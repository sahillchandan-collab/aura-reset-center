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Pipeline" sheetId="2" state="visible" r:id="rId4"/>
    <sheet name="Summary" sheetId="3" state="visible" r:id="rId5"/>
    <sheet name="Lists" sheetId="4" state="visible" r:id="rId6"/>
  </sheets>
  <definedNames>
    <definedName function="false" hidden="true" localSheetId="1" name="_xlnm._FilterDatabase" vbProcedure="false">Pipeline!$A$1:$U$501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L1" authorId="0">
      <text>
        <r>
          <rPr>
            <sz val="10"/>
            <rFont val="Arial"/>
            <family val="2"/>
          </rPr>
          <t xml:space="preserve">From the package fee</t>
        </r>
      </text>
    </comment>
    <comment ref="M1" authorId="0">
      <text>
        <r>
          <rPr>
            <sz val="10"/>
            <rFont val="Arial"/>
            <family val="2"/>
          </rPr>
          <t xml:space="preserve">Green / Yellow / Red - see How to use</t>
        </r>
      </text>
    </comment>
    <comment ref="R1" authorId="0">
      <text>
        <r>
          <rPr>
            <sz val="10"/>
            <rFont val="Arial"/>
            <family val="2"/>
          </rPr>
          <t xml:space="preserve">Turns TODAY or OVERDUE by itself</t>
        </r>
      </text>
    </comment>
  </commentList>
</comments>
</file>

<file path=xl/sharedStrings.xml><?xml version="1.0" encoding="utf-8"?>
<sst xmlns="http://schemas.openxmlformats.org/spreadsheetml/2006/main" count="125" uniqueCount="92">
  <si>
    <t xml:space="preserve">Yontro Sales Pipeline</t>
  </si>
  <si>
    <t xml:space="preserve">Who uses it: the sales team (Usama and sales agents). Each rep filters the Pipeline tab by their name. Sahill: owner.</t>
  </si>
  <si>
    <t xml:space="preserve">This file holds the pipeline only. Sales KPIs, accounting and targets are in the separate confidential founder file.</t>
  </si>
  <si>
    <t xml:space="preserve">Traffic light - how likely the deal is to close:</t>
  </si>
  <si>
    <t xml:space="preserve">Green = decision maker engaged, has seen the free video, expected to sign within 7 days.</t>
  </si>
  <si>
    <t xml:space="preserve">Yellow = interested, but something is stopping them. Name the blocker and the next action that removes it.</t>
  </si>
  <si>
    <t xml:space="preserve">Red = unlikely right now: no reply, no budget, or said no. Follow up monthly.</t>
  </si>
  <si>
    <t xml:space="preserve">Rules:</t>
  </si>
  <si>
    <t xml:space="preserve">Every open deal has a traffic light, a blocker (or 'None') and a next follow-up date. No date = the deal is forgotten.</t>
  </si>
  <si>
    <t xml:space="preserve">The Follow-up column turns TODAY or OVERDUE by itself. Clear all of these before 13:00 every day.</t>
  </si>
  <si>
    <t xml:space="preserve">Won deals: set Stage to Won and hand over to Lianna the same day (SOP 1).</t>
  </si>
  <si>
    <t xml:space="preserve">Summary tab: counts per rep by traffic light, blockers, and follow-ups due - calculated by itself.</t>
  </si>
  <si>
    <t xml:space="preserve">Light orange cell = Lianna types here (input).</t>
  </si>
  <si>
    <t xml:space="preserve">Grey cell = formula, calculates by itself. Do not type over it.</t>
  </si>
  <si>
    <t xml:space="preserve">Grey italic row 2 on each tab = EXAMPLE showing the format. Delete it once real data starts.</t>
  </si>
  <si>
    <t xml:space="preserve">Date added</t>
  </si>
  <si>
    <t xml:space="preserve">Sales rep</t>
  </si>
  <si>
    <t xml:space="preserve">Business</t>
  </si>
  <si>
    <t xml:space="preserve">Niche</t>
  </si>
  <si>
    <t xml:space="preserve">Area</t>
  </si>
  <si>
    <t xml:space="preserve">Contact name</t>
  </si>
  <si>
    <t xml:space="preserve">WhatsApp</t>
  </si>
  <si>
    <t xml:space="preserve">Instagram</t>
  </si>
  <si>
    <t xml:space="preserve">Source</t>
  </si>
  <si>
    <t xml:space="preserve">Stage</t>
  </si>
  <si>
    <t xml:space="preserve">Package interested</t>
  </si>
  <si>
    <t xml:space="preserve">Monthly value (AED)</t>
  </si>
  <si>
    <t xml:space="preserve">Likelihood (traffic light)</t>
  </si>
  <si>
    <t xml:space="preserve">What's stopping them</t>
  </si>
  <si>
    <t xml:space="preserve">Blocker detail</t>
  </si>
  <si>
    <t xml:space="preserve">Next action</t>
  </si>
  <si>
    <t xml:space="preserve">Next follow-up date</t>
  </si>
  <si>
    <t xml:space="preserve">Follow-up</t>
  </si>
  <si>
    <t xml:space="preserve">Last contact</t>
  </si>
  <si>
    <t xml:space="preserve">Expected close date</t>
  </si>
  <si>
    <t xml:space="preserve">Notes</t>
  </si>
  <si>
    <t xml:space="preserve">Usama Rehman</t>
  </si>
  <si>
    <t xml:space="preserve">EXAMPLE Phone Hub</t>
  </si>
  <si>
    <t xml:space="preserve">Mobile phones</t>
  </si>
  <si>
    <t xml:space="preserve">Karama</t>
  </si>
  <si>
    <t xml:space="preserve">Ali K.</t>
  </si>
  <si>
    <t xml:space="preserve">+971 55 000 0000</t>
  </si>
  <si>
    <t xml:space="preserve">@examplephonehub</t>
  </si>
  <si>
    <t xml:space="preserve">Cold call</t>
  </si>
  <si>
    <t xml:space="preserve">Free video delivered</t>
  </si>
  <si>
    <t xml:space="preserve">Growth</t>
  </si>
  <si>
    <t xml:space="preserve">Yellow</t>
  </si>
  <si>
    <t xml:space="preserve">Price</t>
  </si>
  <si>
    <t xml:space="preserve">Likes the video, thinks Growth is too much this month</t>
  </si>
  <si>
    <t xml:space="preserve">Show Launch, then upgrade path after month 1</t>
  </si>
  <si>
    <t xml:space="preserve">Delete this row</t>
  </si>
  <si>
    <t xml:space="preserve">Mobile shop (name to add)</t>
  </si>
  <si>
    <t xml:space="preserve">Spa (name to add)</t>
  </si>
  <si>
    <t xml:space="preserve">Spa</t>
  </si>
  <si>
    <t xml:space="preserve">Rep</t>
  </si>
  <si>
    <t xml:space="preserve">Green</t>
  </si>
  <si>
    <t xml:space="preserve">Red</t>
  </si>
  <si>
    <t xml:space="preserve">Open deals</t>
  </si>
  <si>
    <t xml:space="preserve">Open value (AED / month)</t>
  </si>
  <si>
    <t xml:space="preserve">Follow-ups TODAY</t>
  </si>
  <si>
    <t xml:space="preserve">Follow-ups OVERDUE</t>
  </si>
  <si>
    <t xml:space="preserve">Won (all time)</t>
  </si>
  <si>
    <t xml:space="preserve">Sales Agent 1</t>
  </si>
  <si>
    <t xml:space="preserve">Sales Agent 2</t>
  </si>
  <si>
    <t xml:space="preserve">All reps</t>
  </si>
  <si>
    <t xml:space="preserve">What's stopping open deals</t>
  </si>
  <si>
    <t xml:space="preserve">Of which Yellow</t>
  </si>
  <si>
    <t xml:space="preserve">Timing</t>
  </si>
  <si>
    <t xml:space="preserve">Decision maker not involved</t>
  </si>
  <si>
    <t xml:space="preserve">Wants to see results first</t>
  </si>
  <si>
    <t xml:space="preserve">Already has an agency</t>
  </si>
  <si>
    <t xml:space="preserve">Doesn't want to be on camera</t>
  </si>
  <si>
    <t xml:space="preserve">No reply</t>
  </si>
  <si>
    <t xml:space="preserve">Other</t>
  </si>
  <si>
    <t xml:space="preserve">None</t>
  </si>
  <si>
    <t xml:space="preserve">Reps</t>
  </si>
  <si>
    <t xml:space="preserve">Likelihood</t>
  </si>
  <si>
    <t xml:space="preserve">Package</t>
  </si>
  <si>
    <t xml:space="preserve">Package fee (AED)</t>
  </si>
  <si>
    <t xml:space="preserve">New lead</t>
  </si>
  <si>
    <t xml:space="preserve">Launch</t>
  </si>
  <si>
    <t xml:space="preserve">Contacted</t>
  </si>
  <si>
    <t xml:space="preserve">Meeting booked</t>
  </si>
  <si>
    <t xml:space="preserve">Walk-in</t>
  </si>
  <si>
    <t xml:space="preserve">Scale</t>
  </si>
  <si>
    <t xml:space="preserve">Meeting done</t>
  </si>
  <si>
    <t xml:space="preserve">Referral</t>
  </si>
  <si>
    <t xml:space="preserve">Not decided</t>
  </si>
  <si>
    <t xml:space="preserve">Free video booked</t>
  </si>
  <si>
    <t xml:space="preserve">Proposal sent</t>
  </si>
  <si>
    <t xml:space="preserve">Won</t>
  </si>
  <si>
    <t xml:space="preserve">Lost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</si>
</sst>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-mmm\-yyyy"/>
    <numFmt numFmtId="166" formatCode="#,##0"/>
    <numFmt numFmtId="167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4E5"/>
        <bgColor rgb="FFEDEDED"/>
      </patternFill>
    </fill>
    <fill>
      <patternFill patternType="solid">
        <fgColor rgb="FFEDEDED"/>
        <bgColor rgb="FFFFF4E5"/>
      </patternFill>
    </fill>
    <fill>
      <patternFill patternType="solid">
        <fgColor rgb="FF0B0B0B"/>
        <bgColor rgb="FF0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0B0B0B"/>
          <bgColor rgb="FF000000"/>
        </patternFill>
      </fill>
    </dxf>
    <dxf>
      <fill>
        <patternFill patternType="solid">
          <fgColor rgb="FFFFF4E5"/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b val="1"/>
      </font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4E5"/>
      <rgbColor rgb="FFEDEDED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B0B0B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0"/>
  </cols>
  <sheetData>
    <row r="2" customFormat="false" ht="19.7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</row>
    <row r="5" customFormat="false" ht="15" hidden="false" customHeight="false" outlineLevel="0" collapsed="false">
      <c r="B5" s="2" t="s">
        <v>2</v>
      </c>
    </row>
    <row r="6" customFormat="false" ht="15" hidden="false" customHeight="false" outlineLevel="0" collapsed="false">
      <c r="B6" s="2"/>
    </row>
    <row r="7" customFormat="false" ht="15" hidden="false" customHeight="false" outlineLevel="0" collapsed="false">
      <c r="B7" s="3" t="s">
        <v>3</v>
      </c>
    </row>
    <row r="8" customFormat="false" ht="15" hidden="false" customHeight="false" outlineLevel="0" collapsed="false">
      <c r="B8" s="2" t="s">
        <v>4</v>
      </c>
    </row>
    <row r="9" customFormat="false" ht="15" hidden="false" customHeight="false" outlineLevel="0" collapsed="false">
      <c r="B9" s="2" t="s">
        <v>5</v>
      </c>
    </row>
    <row r="10" customFormat="false" ht="15" hidden="false" customHeight="false" outlineLevel="0" collapsed="false">
      <c r="B10" s="2" t="s">
        <v>6</v>
      </c>
    </row>
    <row r="11" customFormat="false" ht="15" hidden="false" customHeight="false" outlineLevel="0" collapsed="false">
      <c r="B11" s="2"/>
    </row>
    <row r="12" customFormat="false" ht="15" hidden="false" customHeight="false" outlineLevel="0" collapsed="false">
      <c r="B12" s="3" t="s">
        <v>7</v>
      </c>
    </row>
    <row r="13" customFormat="false" ht="15" hidden="false" customHeight="false" outlineLevel="0" collapsed="false">
      <c r="B13" s="2" t="s">
        <v>8</v>
      </c>
    </row>
    <row r="14" customFormat="false" ht="15" hidden="false" customHeight="false" outlineLevel="0" collapsed="false">
      <c r="B14" s="2" t="s">
        <v>9</v>
      </c>
    </row>
    <row r="15" customFormat="false" ht="15" hidden="false" customHeight="false" outlineLevel="0" collapsed="false">
      <c r="B15" s="2" t="s">
        <v>10</v>
      </c>
    </row>
    <row r="16" customFormat="false" ht="15" hidden="false" customHeight="false" outlineLevel="0" collapsed="false">
      <c r="B16" s="2" t="s">
        <v>11</v>
      </c>
    </row>
    <row r="18" customFormat="false" ht="15" hidden="false" customHeight="false" outlineLevel="0" collapsed="false">
      <c r="B18" s="4" t="s">
        <v>12</v>
      </c>
    </row>
    <row r="19" customFormat="false" ht="15" hidden="false" customHeight="false" outlineLevel="0" collapsed="false">
      <c r="B19" s="5" t="s">
        <v>13</v>
      </c>
    </row>
    <row r="20" customFormat="false" ht="15" hidden="false" customHeight="false" outlineLevel="0" collapsed="false">
      <c r="B20" s="6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  <col collapsed="false" customWidth="true" hidden="false" outlineLevel="0" max="3" min="3" style="0" width="24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8" min="6" style="0" width="15"/>
    <col collapsed="false" customWidth="true" hidden="false" outlineLevel="0" max="9" min="9" style="0" width="11"/>
    <col collapsed="false" customWidth="true" hidden="false" outlineLevel="0" max="10" min="10" style="0" width="16"/>
    <col collapsed="false" customWidth="true" hidden="false" outlineLevel="0" max="11" min="11" style="0" width="12"/>
    <col collapsed="false" customWidth="true" hidden="false" outlineLevel="0" max="13" min="12" style="0" width="11"/>
    <col collapsed="false" customWidth="true" hidden="false" outlineLevel="0" max="14" min="14" style="0" width="22"/>
    <col collapsed="false" customWidth="true" hidden="false" outlineLevel="0" max="15" min="15" style="0" width="30"/>
    <col collapsed="false" customWidth="true" hidden="false" outlineLevel="0" max="16" min="16" style="0" width="28"/>
    <col collapsed="false" customWidth="true" hidden="false" outlineLevel="0" max="17" min="17" style="0" width="12"/>
    <col collapsed="false" customWidth="true" hidden="false" outlineLevel="0" max="18" min="18" style="0" width="10"/>
    <col collapsed="false" customWidth="true" hidden="false" outlineLevel="0" max="20" min="19" style="0" width="12"/>
    <col collapsed="false" customWidth="true" hidden="false" outlineLevel="0" max="21" min="21" style="0" width="30"/>
  </cols>
  <sheetData>
    <row r="1" customFormat="false" ht="33.75" hidden="false" customHeight="true" outlineLevel="0" collapsed="false">
      <c r="A1" s="7" t="s">
        <v>15</v>
      </c>
      <c r="B1" s="7" t="s">
        <v>16</v>
      </c>
      <c r="C1" s="7" t="s">
        <v>17</v>
      </c>
      <c r="D1" s="7" t="s">
        <v>18</v>
      </c>
      <c r="E1" s="7" t="s">
        <v>19</v>
      </c>
      <c r="F1" s="7" t="s">
        <v>20</v>
      </c>
      <c r="G1" s="7" t="s">
        <v>21</v>
      </c>
      <c r="H1" s="7" t="s">
        <v>22</v>
      </c>
      <c r="I1" s="7" t="s">
        <v>23</v>
      </c>
      <c r="J1" s="7" t="s">
        <v>24</v>
      </c>
      <c r="K1" s="7" t="s">
        <v>25</v>
      </c>
      <c r="L1" s="7" t="s">
        <v>26</v>
      </c>
      <c r="M1" s="7" t="s">
        <v>27</v>
      </c>
      <c r="N1" s="7" t="s">
        <v>28</v>
      </c>
      <c r="O1" s="7" t="s">
        <v>29</v>
      </c>
      <c r="P1" s="7" t="s">
        <v>30</v>
      </c>
      <c r="Q1" s="7" t="s">
        <v>31</v>
      </c>
      <c r="R1" s="7" t="s">
        <v>32</v>
      </c>
      <c r="S1" s="7" t="s">
        <v>33</v>
      </c>
      <c r="T1" s="7" t="s">
        <v>34</v>
      </c>
      <c r="U1" s="7" t="s">
        <v>35</v>
      </c>
    </row>
    <row r="2" customFormat="false" ht="15" hidden="false" customHeight="false" outlineLevel="0" collapsed="false">
      <c r="A2" s="8" t="n">
        <v>46344</v>
      </c>
      <c r="B2" s="9" t="s">
        <v>36</v>
      </c>
      <c r="C2" s="9" t="s">
        <v>37</v>
      </c>
      <c r="D2" s="9" t="s">
        <v>38</v>
      </c>
      <c r="E2" s="9" t="s">
        <v>39</v>
      </c>
      <c r="F2" s="9" t="s">
        <v>40</v>
      </c>
      <c r="G2" s="9" t="s">
        <v>41</v>
      </c>
      <c r="H2" s="9" t="s">
        <v>42</v>
      </c>
      <c r="I2" s="9" t="s">
        <v>43</v>
      </c>
      <c r="J2" s="9" t="s">
        <v>44</v>
      </c>
      <c r="K2" s="9" t="s">
        <v>45</v>
      </c>
      <c r="L2" s="10" t="n">
        <f aca="false">IF(K2="","",IFERROR(INDEX(Lists!$G$2:$G$5,MATCH(K2,Lists!$F$2:$F$5,0)),""))</f>
        <v>7500</v>
      </c>
      <c r="M2" s="9" t="s">
        <v>46</v>
      </c>
      <c r="N2" s="9" t="s">
        <v>47</v>
      </c>
      <c r="O2" s="9" t="s">
        <v>48</v>
      </c>
      <c r="P2" s="9" t="s">
        <v>49</v>
      </c>
      <c r="Q2" s="8" t="n">
        <v>46346</v>
      </c>
      <c r="R2" s="11" t="str">
        <f aca="true">IF(OR(C2="",Q2=""),"",IF(OR(J2="Won",J2="Lost"),"",IF(Q2&lt;TODAY(),"OVERDUE",IF(Q2=TODAY(),"TODAY",""))))</f>
        <v/>
      </c>
      <c r="S2" s="8" t="n">
        <v>46344</v>
      </c>
      <c r="T2" s="8" t="n">
        <v>46351</v>
      </c>
      <c r="U2" s="9" t="s">
        <v>50</v>
      </c>
    </row>
    <row r="3" customFormat="false" ht="15" hidden="false" customHeight="false" outlineLevel="0" collapsed="false">
      <c r="A3" s="12"/>
      <c r="B3" s="13" t="s">
        <v>36</v>
      </c>
      <c r="C3" s="13" t="s">
        <v>51</v>
      </c>
      <c r="D3" s="13" t="s">
        <v>38</v>
      </c>
      <c r="E3" s="13"/>
      <c r="F3" s="13"/>
      <c r="G3" s="13"/>
      <c r="H3" s="13"/>
      <c r="I3" s="13"/>
      <c r="J3" s="13" t="s">
        <v>44</v>
      </c>
      <c r="K3" s="13"/>
      <c r="L3" s="14" t="str">
        <f aca="false">IF(K3="","",IFERROR(INDEX(Lists!$G$2:$G$5,MATCH(K3,Lists!$F$2:$F$5,0)),""))</f>
        <v/>
      </c>
      <c r="M3" s="13"/>
      <c r="N3" s="13"/>
      <c r="O3" s="13"/>
      <c r="P3" s="13"/>
      <c r="Q3" s="12"/>
      <c r="R3" s="15" t="str">
        <f aca="true">IF(OR(C3="",Q3=""),"",IF(OR(J3="Won",J3="Lost"),"",IF(Q3&lt;TODAY(),"OVERDUE",IF(Q3=TODAY(),"TODAY",""))))</f>
        <v/>
      </c>
      <c r="S3" s="12"/>
      <c r="T3" s="12"/>
      <c r="U3" s="13"/>
    </row>
    <row r="4" customFormat="false" ht="15" hidden="false" customHeight="false" outlineLevel="0" collapsed="false">
      <c r="A4" s="12"/>
      <c r="B4" s="13" t="s">
        <v>36</v>
      </c>
      <c r="C4" s="13" t="s">
        <v>52</v>
      </c>
      <c r="D4" s="13" t="s">
        <v>53</v>
      </c>
      <c r="E4" s="13"/>
      <c r="F4" s="13"/>
      <c r="G4" s="13"/>
      <c r="H4" s="13"/>
      <c r="I4" s="13"/>
      <c r="J4" s="13" t="s">
        <v>44</v>
      </c>
      <c r="K4" s="13"/>
      <c r="L4" s="14" t="str">
        <f aca="false">IF(K4="","",IFERROR(INDEX(Lists!$G$2:$G$5,MATCH(K4,Lists!$F$2:$F$5,0)),""))</f>
        <v/>
      </c>
      <c r="M4" s="13"/>
      <c r="N4" s="13"/>
      <c r="O4" s="13"/>
      <c r="P4" s="13"/>
      <c r="Q4" s="12"/>
      <c r="R4" s="15" t="str">
        <f aca="true">IF(OR(C4="",Q4=""),"",IF(OR(J4="Won",J4="Lost"),"",IF(Q4&lt;TODAY(),"OVERDUE",IF(Q4=TODAY(),"TODAY",""))))</f>
        <v/>
      </c>
      <c r="S4" s="12"/>
      <c r="T4" s="12"/>
      <c r="U4" s="13"/>
    </row>
    <row r="5" customFormat="false" ht="15" hidden="false" customHeight="false" outlineLevel="0" collapsed="false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4" t="str">
        <f aca="false">IF(K5="","",IFERROR(INDEX(Lists!$G$2:$G$5,MATCH(K5,Lists!$F$2:$F$5,0)),""))</f>
        <v/>
      </c>
      <c r="M5" s="13"/>
      <c r="N5" s="13"/>
      <c r="O5" s="13"/>
      <c r="P5" s="13"/>
      <c r="Q5" s="12"/>
      <c r="R5" s="15" t="str">
        <f aca="true">IF(OR(C5="",Q5=""),"",IF(OR(J5="Won",J5="Lost"),"",IF(Q5&lt;TODAY(),"OVERDUE",IF(Q5=TODAY(),"TODAY",""))))</f>
        <v/>
      </c>
      <c r="S5" s="12"/>
      <c r="T5" s="12"/>
      <c r="U5" s="13"/>
    </row>
    <row r="6" customFormat="false" ht="15" hidden="false" customHeight="false" outlineLevel="0" collapsed="false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4" t="str">
        <f aca="false">IF(K6="","",IFERROR(INDEX(Lists!$G$2:$G$5,MATCH(K6,Lists!$F$2:$F$5,0)),""))</f>
        <v/>
      </c>
      <c r="M6" s="13"/>
      <c r="N6" s="13"/>
      <c r="O6" s="13"/>
      <c r="P6" s="13"/>
      <c r="Q6" s="12"/>
      <c r="R6" s="15" t="str">
        <f aca="true">IF(OR(C6="",Q6=""),"",IF(OR(J6="Won",J6="Lost"),"",IF(Q6&lt;TODAY(),"OVERDUE",IF(Q6=TODAY(),"TODAY",""))))</f>
        <v/>
      </c>
      <c r="S6" s="12"/>
      <c r="T6" s="12"/>
      <c r="U6" s="13"/>
    </row>
    <row r="7" customFormat="false" ht="15" hidden="false" customHeight="false" outlineLevel="0" collapsed="false">
      <c r="A7" s="12"/>
      <c r="B7" s="13"/>
      <c r="C7" s="13"/>
      <c r="D7" s="13"/>
      <c r="E7" s="13"/>
      <c r="F7" s="13"/>
      <c r="G7" s="13"/>
      <c r="H7" s="13"/>
      <c r="I7" s="13"/>
      <c r="J7" s="13"/>
      <c r="K7" s="13"/>
      <c r="L7" s="14" t="str">
        <f aca="false">IF(K7="","",IFERROR(INDEX(Lists!$G$2:$G$5,MATCH(K7,Lists!$F$2:$F$5,0)),""))</f>
        <v/>
      </c>
      <c r="M7" s="13"/>
      <c r="N7" s="13"/>
      <c r="O7" s="13"/>
      <c r="P7" s="13"/>
      <c r="Q7" s="12"/>
      <c r="R7" s="15" t="str">
        <f aca="true">IF(OR(C7="",Q7=""),"",IF(OR(J7="Won",J7="Lost"),"",IF(Q7&lt;TODAY(),"OVERDUE",IF(Q7=TODAY(),"TODAY",""))))</f>
        <v/>
      </c>
      <c r="S7" s="12"/>
      <c r="T7" s="12"/>
      <c r="U7" s="13"/>
    </row>
    <row r="8" customFormat="false" ht="15" hidden="false" customHeight="false" outlineLevel="0" collapsed="false">
      <c r="A8" s="12"/>
      <c r="B8" s="13"/>
      <c r="C8" s="13"/>
      <c r="D8" s="13"/>
      <c r="E8" s="13"/>
      <c r="F8" s="13"/>
      <c r="G8" s="13"/>
      <c r="H8" s="13"/>
      <c r="I8" s="13"/>
      <c r="J8" s="13"/>
      <c r="K8" s="13"/>
      <c r="L8" s="14" t="str">
        <f aca="false">IF(K8="","",IFERROR(INDEX(Lists!$G$2:$G$5,MATCH(K8,Lists!$F$2:$F$5,0)),""))</f>
        <v/>
      </c>
      <c r="M8" s="13"/>
      <c r="N8" s="13"/>
      <c r="O8" s="13"/>
      <c r="P8" s="13"/>
      <c r="Q8" s="12"/>
      <c r="R8" s="15" t="str">
        <f aca="true">IF(OR(C8="",Q8=""),"",IF(OR(J8="Won",J8="Lost"),"",IF(Q8&lt;TODAY(),"OVERDUE",IF(Q8=TODAY(),"TODAY",""))))</f>
        <v/>
      </c>
      <c r="S8" s="12"/>
      <c r="T8" s="12"/>
      <c r="U8" s="13"/>
    </row>
    <row r="9" customFormat="false" ht="15" hidden="false" customHeight="false" outlineLevel="0" collapsed="false">
      <c r="A9" s="12"/>
      <c r="B9" s="13"/>
      <c r="C9" s="13"/>
      <c r="D9" s="13"/>
      <c r="E9" s="13"/>
      <c r="F9" s="13"/>
      <c r="G9" s="13"/>
      <c r="H9" s="13"/>
      <c r="I9" s="13"/>
      <c r="J9" s="13"/>
      <c r="K9" s="13"/>
      <c r="L9" s="14" t="str">
        <f aca="false">IF(K9="","",IFERROR(INDEX(Lists!$G$2:$G$5,MATCH(K9,Lists!$F$2:$F$5,0)),""))</f>
        <v/>
      </c>
      <c r="M9" s="13"/>
      <c r="N9" s="13"/>
      <c r="O9" s="13"/>
      <c r="P9" s="13"/>
      <c r="Q9" s="12"/>
      <c r="R9" s="15" t="str">
        <f aca="true">IF(OR(C9="",Q9=""),"",IF(OR(J9="Won",J9="Lost"),"",IF(Q9&lt;TODAY(),"OVERDUE",IF(Q9=TODAY(),"TODAY",""))))</f>
        <v/>
      </c>
      <c r="S9" s="12"/>
      <c r="T9" s="12"/>
      <c r="U9" s="13"/>
    </row>
    <row r="10" customFormat="false" ht="15" hidden="false" customHeight="false" outlineLevel="0" collapsed="false">
      <c r="A10" s="1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4" t="str">
        <f aca="false">IF(K10="","",IFERROR(INDEX(Lists!$G$2:$G$5,MATCH(K10,Lists!$F$2:$F$5,0)),""))</f>
        <v/>
      </c>
      <c r="M10" s="13"/>
      <c r="N10" s="13"/>
      <c r="O10" s="13"/>
      <c r="P10" s="13"/>
      <c r="Q10" s="12"/>
      <c r="R10" s="15" t="str">
        <f aca="true">IF(OR(C10="",Q10=""),"",IF(OR(J10="Won",J10="Lost"),"",IF(Q10&lt;TODAY(),"OVERDUE",IF(Q10=TODAY(),"TODAY",""))))</f>
        <v/>
      </c>
      <c r="S10" s="12"/>
      <c r="T10" s="12"/>
      <c r="U10" s="13"/>
    </row>
    <row r="11" customFormat="false" ht="15" hidden="false" customHeight="false" outlineLevel="0" collapsed="false">
      <c r="A11" s="12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4" t="str">
        <f aca="false">IF(K11="","",IFERROR(INDEX(Lists!$G$2:$G$5,MATCH(K11,Lists!$F$2:$F$5,0)),""))</f>
        <v/>
      </c>
      <c r="M11" s="13"/>
      <c r="N11" s="13"/>
      <c r="O11" s="13"/>
      <c r="P11" s="13"/>
      <c r="Q11" s="12"/>
      <c r="R11" s="15" t="str">
        <f aca="true">IF(OR(C11="",Q11=""),"",IF(OR(J11="Won",J11="Lost"),"",IF(Q11&lt;TODAY(),"OVERDUE",IF(Q11=TODAY(),"TODAY",""))))</f>
        <v/>
      </c>
      <c r="S11" s="12"/>
      <c r="T11" s="12"/>
      <c r="U11" s="13"/>
    </row>
    <row r="12" customFormat="false" ht="15" hidden="false" customHeight="false" outlineLevel="0" collapsed="false">
      <c r="A12" s="12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4" t="str">
        <f aca="false">IF(K12="","",IFERROR(INDEX(Lists!$G$2:$G$5,MATCH(K12,Lists!$F$2:$F$5,0)),""))</f>
        <v/>
      </c>
      <c r="M12" s="13"/>
      <c r="N12" s="13"/>
      <c r="O12" s="13"/>
      <c r="P12" s="13"/>
      <c r="Q12" s="12"/>
      <c r="R12" s="15" t="str">
        <f aca="true">IF(OR(C12="",Q12=""),"",IF(OR(J12="Won",J12="Lost"),"",IF(Q12&lt;TODAY(),"OVERDUE",IF(Q12=TODAY(),"TODAY",""))))</f>
        <v/>
      </c>
      <c r="S12" s="12"/>
      <c r="T12" s="12"/>
      <c r="U12" s="13"/>
    </row>
    <row r="13" customFormat="false" ht="15" hidden="false" customHeight="false" outlineLevel="0" collapsed="false">
      <c r="A13" s="12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4" t="str">
        <f aca="false">IF(K13="","",IFERROR(INDEX(Lists!$G$2:$G$5,MATCH(K13,Lists!$F$2:$F$5,0)),""))</f>
        <v/>
      </c>
      <c r="M13" s="13"/>
      <c r="N13" s="13"/>
      <c r="O13" s="13"/>
      <c r="P13" s="13"/>
      <c r="Q13" s="12"/>
      <c r="R13" s="15" t="str">
        <f aca="true">IF(OR(C13="",Q13=""),"",IF(OR(J13="Won",J13="Lost"),"",IF(Q13&lt;TODAY(),"OVERDUE",IF(Q13=TODAY(),"TODAY",""))))</f>
        <v/>
      </c>
      <c r="S13" s="12"/>
      <c r="T13" s="12"/>
      <c r="U13" s="13"/>
    </row>
    <row r="14" customFormat="false" ht="15" hidden="false" customHeight="false" outlineLevel="0" collapsed="false">
      <c r="A14" s="12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4" t="str">
        <f aca="false">IF(K14="","",IFERROR(INDEX(Lists!$G$2:$G$5,MATCH(K14,Lists!$F$2:$F$5,0)),""))</f>
        <v/>
      </c>
      <c r="M14" s="13"/>
      <c r="N14" s="13"/>
      <c r="O14" s="13"/>
      <c r="P14" s="13"/>
      <c r="Q14" s="12"/>
      <c r="R14" s="15" t="str">
        <f aca="true">IF(OR(C14="",Q14=""),"",IF(OR(J14="Won",J14="Lost"),"",IF(Q14&lt;TODAY(),"OVERDUE",IF(Q14=TODAY(),"TODAY",""))))</f>
        <v/>
      </c>
      <c r="S14" s="12"/>
      <c r="T14" s="12"/>
      <c r="U14" s="13"/>
    </row>
    <row r="15" customFormat="false" ht="15" hidden="false" customHeight="false" outlineLevel="0" collapsed="false">
      <c r="A15" s="12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4" t="str">
        <f aca="false">IF(K15="","",IFERROR(INDEX(Lists!$G$2:$G$5,MATCH(K15,Lists!$F$2:$F$5,0)),""))</f>
        <v/>
      </c>
      <c r="M15" s="13"/>
      <c r="N15" s="13"/>
      <c r="O15" s="13"/>
      <c r="P15" s="13"/>
      <c r="Q15" s="12"/>
      <c r="R15" s="15" t="str">
        <f aca="true">IF(OR(C15="",Q15=""),"",IF(OR(J15="Won",J15="Lost"),"",IF(Q15&lt;TODAY(),"OVERDUE",IF(Q15=TODAY(),"TODAY",""))))</f>
        <v/>
      </c>
      <c r="S15" s="12"/>
      <c r="T15" s="12"/>
      <c r="U15" s="13"/>
    </row>
    <row r="16" customFormat="false" ht="15" hidden="false" customHeight="false" outlineLevel="0" collapsed="false">
      <c r="A16" s="12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4" t="str">
        <f aca="false">IF(K16="","",IFERROR(INDEX(Lists!$G$2:$G$5,MATCH(K16,Lists!$F$2:$F$5,0)),""))</f>
        <v/>
      </c>
      <c r="M16" s="13"/>
      <c r="N16" s="13"/>
      <c r="O16" s="13"/>
      <c r="P16" s="13"/>
      <c r="Q16" s="12"/>
      <c r="R16" s="15" t="str">
        <f aca="true">IF(OR(C16="",Q16=""),"",IF(OR(J16="Won",J16="Lost"),"",IF(Q16&lt;TODAY(),"OVERDUE",IF(Q16=TODAY(),"TODAY",""))))</f>
        <v/>
      </c>
      <c r="S16" s="12"/>
      <c r="T16" s="12"/>
      <c r="U16" s="13"/>
    </row>
    <row r="17" customFormat="false" ht="15" hidden="false" customHeight="false" outlineLevel="0" collapsed="false">
      <c r="A17" s="12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4" t="str">
        <f aca="false">IF(K17="","",IFERROR(INDEX(Lists!$G$2:$G$5,MATCH(K17,Lists!$F$2:$F$5,0)),""))</f>
        <v/>
      </c>
      <c r="M17" s="13"/>
      <c r="N17" s="13"/>
      <c r="O17" s="13"/>
      <c r="P17" s="13"/>
      <c r="Q17" s="12"/>
      <c r="R17" s="15" t="str">
        <f aca="true">IF(OR(C17="",Q17=""),"",IF(OR(J17="Won",J17="Lost"),"",IF(Q17&lt;TODAY(),"OVERDUE",IF(Q17=TODAY(),"TODAY",""))))</f>
        <v/>
      </c>
      <c r="S17" s="12"/>
      <c r="T17" s="12"/>
      <c r="U17" s="13"/>
    </row>
    <row r="18" customFormat="false" ht="15" hidden="false" customHeight="false" outlineLevel="0" collapsed="false">
      <c r="A18" s="12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4" t="str">
        <f aca="false">IF(K18="","",IFERROR(INDEX(Lists!$G$2:$G$5,MATCH(K18,Lists!$F$2:$F$5,0)),""))</f>
        <v/>
      </c>
      <c r="M18" s="13"/>
      <c r="N18" s="13"/>
      <c r="O18" s="13"/>
      <c r="P18" s="13"/>
      <c r="Q18" s="12"/>
      <c r="R18" s="15" t="str">
        <f aca="true">IF(OR(C18="",Q18=""),"",IF(OR(J18="Won",J18="Lost"),"",IF(Q18&lt;TODAY(),"OVERDUE",IF(Q18=TODAY(),"TODAY",""))))</f>
        <v/>
      </c>
      <c r="S18" s="12"/>
      <c r="T18" s="12"/>
      <c r="U18" s="13"/>
    </row>
    <row r="19" customFormat="false" ht="15" hidden="false" customHeight="false" outlineLevel="0" collapsed="false">
      <c r="A19" s="12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4" t="str">
        <f aca="false">IF(K19="","",IFERROR(INDEX(Lists!$G$2:$G$5,MATCH(K19,Lists!$F$2:$F$5,0)),""))</f>
        <v/>
      </c>
      <c r="M19" s="13"/>
      <c r="N19" s="13"/>
      <c r="O19" s="13"/>
      <c r="P19" s="13"/>
      <c r="Q19" s="12"/>
      <c r="R19" s="15" t="str">
        <f aca="true">IF(OR(C19="",Q19=""),"",IF(OR(J19="Won",J19="Lost"),"",IF(Q19&lt;TODAY(),"OVERDUE",IF(Q19=TODAY(),"TODAY",""))))</f>
        <v/>
      </c>
      <c r="S19" s="12"/>
      <c r="T19" s="12"/>
      <c r="U19" s="13"/>
    </row>
    <row r="20" customFormat="false" ht="15" hidden="false" customHeight="false" outlineLevel="0" collapsed="false">
      <c r="A20" s="12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4" t="str">
        <f aca="false">IF(K20="","",IFERROR(INDEX(Lists!$G$2:$G$5,MATCH(K20,Lists!$F$2:$F$5,0)),""))</f>
        <v/>
      </c>
      <c r="M20" s="13"/>
      <c r="N20" s="13"/>
      <c r="O20" s="13"/>
      <c r="P20" s="13"/>
      <c r="Q20" s="12"/>
      <c r="R20" s="15" t="str">
        <f aca="true">IF(OR(C20="",Q20=""),"",IF(OR(J20="Won",J20="Lost"),"",IF(Q20&lt;TODAY(),"OVERDUE",IF(Q20=TODAY(),"TODAY",""))))</f>
        <v/>
      </c>
      <c r="S20" s="12"/>
      <c r="T20" s="12"/>
      <c r="U20" s="13"/>
    </row>
    <row r="21" customFormat="false" ht="15" hidden="false" customHeight="false" outlineLevel="0" collapsed="false">
      <c r="A21" s="12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4" t="str">
        <f aca="false">IF(K21="","",IFERROR(INDEX(Lists!$G$2:$G$5,MATCH(K21,Lists!$F$2:$F$5,0)),""))</f>
        <v/>
      </c>
      <c r="M21" s="13"/>
      <c r="N21" s="13"/>
      <c r="O21" s="13"/>
      <c r="P21" s="13"/>
      <c r="Q21" s="12"/>
      <c r="R21" s="15" t="str">
        <f aca="true">IF(OR(C21="",Q21=""),"",IF(OR(J21="Won",J21="Lost"),"",IF(Q21&lt;TODAY(),"OVERDUE",IF(Q21=TODAY(),"TODAY",""))))</f>
        <v/>
      </c>
      <c r="S21" s="12"/>
      <c r="T21" s="12"/>
      <c r="U21" s="13"/>
    </row>
    <row r="22" customFormat="false" ht="15" hidden="false" customHeight="false" outlineLevel="0" collapsed="false">
      <c r="A22" s="12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4" t="str">
        <f aca="false">IF(K22="","",IFERROR(INDEX(Lists!$G$2:$G$5,MATCH(K22,Lists!$F$2:$F$5,0)),""))</f>
        <v/>
      </c>
      <c r="M22" s="13"/>
      <c r="N22" s="13"/>
      <c r="O22" s="13"/>
      <c r="P22" s="13"/>
      <c r="Q22" s="12"/>
      <c r="R22" s="15" t="str">
        <f aca="true">IF(OR(C22="",Q22=""),"",IF(OR(J22="Won",J22="Lost"),"",IF(Q22&lt;TODAY(),"OVERDUE",IF(Q22=TODAY(),"TODAY",""))))</f>
        <v/>
      </c>
      <c r="S22" s="12"/>
      <c r="T22" s="12"/>
      <c r="U22" s="13"/>
    </row>
    <row r="23" customFormat="false" ht="15" hidden="false" customHeight="false" outlineLevel="0" collapsed="false">
      <c r="A23" s="12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4" t="str">
        <f aca="false">IF(K23="","",IFERROR(INDEX(Lists!$G$2:$G$5,MATCH(K23,Lists!$F$2:$F$5,0)),""))</f>
        <v/>
      </c>
      <c r="M23" s="13"/>
      <c r="N23" s="13"/>
      <c r="O23" s="13"/>
      <c r="P23" s="13"/>
      <c r="Q23" s="12"/>
      <c r="R23" s="15" t="str">
        <f aca="true">IF(OR(C23="",Q23=""),"",IF(OR(J23="Won",J23="Lost"),"",IF(Q23&lt;TODAY(),"OVERDUE",IF(Q23=TODAY(),"TODAY",""))))</f>
        <v/>
      </c>
      <c r="S23" s="12"/>
      <c r="T23" s="12"/>
      <c r="U23" s="13"/>
    </row>
    <row r="24" customFormat="false" ht="15" hidden="false" customHeight="false" outlineLevel="0" collapsed="false">
      <c r="A24" s="12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4" t="str">
        <f aca="false">IF(K24="","",IFERROR(INDEX(Lists!$G$2:$G$5,MATCH(K24,Lists!$F$2:$F$5,0)),""))</f>
        <v/>
      </c>
      <c r="M24" s="13"/>
      <c r="N24" s="13"/>
      <c r="O24" s="13"/>
      <c r="P24" s="13"/>
      <c r="Q24" s="12"/>
      <c r="R24" s="15" t="str">
        <f aca="true">IF(OR(C24="",Q24=""),"",IF(OR(J24="Won",J24="Lost"),"",IF(Q24&lt;TODAY(),"OVERDUE",IF(Q24=TODAY(),"TODAY",""))))</f>
        <v/>
      </c>
      <c r="S24" s="12"/>
      <c r="T24" s="12"/>
      <c r="U24" s="13"/>
    </row>
    <row r="25" customFormat="false" ht="15" hidden="false" customHeight="false" outlineLevel="0" collapsed="false">
      <c r="A25" s="12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4" t="str">
        <f aca="false">IF(K25="","",IFERROR(INDEX(Lists!$G$2:$G$5,MATCH(K25,Lists!$F$2:$F$5,0)),""))</f>
        <v/>
      </c>
      <c r="M25" s="13"/>
      <c r="N25" s="13"/>
      <c r="O25" s="13"/>
      <c r="P25" s="13"/>
      <c r="Q25" s="12"/>
      <c r="R25" s="15" t="str">
        <f aca="true">IF(OR(C25="",Q25=""),"",IF(OR(J25="Won",J25="Lost"),"",IF(Q25&lt;TODAY(),"OVERDUE",IF(Q25=TODAY(),"TODAY",""))))</f>
        <v/>
      </c>
      <c r="S25" s="12"/>
      <c r="T25" s="12"/>
      <c r="U25" s="13"/>
    </row>
    <row r="26" customFormat="false" ht="15" hidden="false" customHeight="false" outlineLevel="0" collapsed="false">
      <c r="A26" s="12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4" t="str">
        <f aca="false">IF(K26="","",IFERROR(INDEX(Lists!$G$2:$G$5,MATCH(K26,Lists!$F$2:$F$5,0)),""))</f>
        <v/>
      </c>
      <c r="M26" s="13"/>
      <c r="N26" s="13"/>
      <c r="O26" s="13"/>
      <c r="P26" s="13"/>
      <c r="Q26" s="12"/>
      <c r="R26" s="15" t="str">
        <f aca="true">IF(OR(C26="",Q26=""),"",IF(OR(J26="Won",J26="Lost"),"",IF(Q26&lt;TODAY(),"OVERDUE",IF(Q26=TODAY(),"TODAY",""))))</f>
        <v/>
      </c>
      <c r="S26" s="12"/>
      <c r="T26" s="12"/>
      <c r="U26" s="13"/>
    </row>
    <row r="27" customFormat="false" ht="15" hidden="false" customHeight="false" outlineLevel="0" collapsed="false">
      <c r="A27" s="12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4" t="str">
        <f aca="false">IF(K27="","",IFERROR(INDEX(Lists!$G$2:$G$5,MATCH(K27,Lists!$F$2:$F$5,0)),""))</f>
        <v/>
      </c>
      <c r="M27" s="13"/>
      <c r="N27" s="13"/>
      <c r="O27" s="13"/>
      <c r="P27" s="13"/>
      <c r="Q27" s="12"/>
      <c r="R27" s="15" t="str">
        <f aca="true">IF(OR(C27="",Q27=""),"",IF(OR(J27="Won",J27="Lost"),"",IF(Q27&lt;TODAY(),"OVERDUE",IF(Q27=TODAY(),"TODAY",""))))</f>
        <v/>
      </c>
      <c r="S27" s="12"/>
      <c r="T27" s="12"/>
      <c r="U27" s="13"/>
    </row>
    <row r="28" customFormat="false" ht="15" hidden="false" customHeight="false" outlineLevel="0" collapsed="false">
      <c r="A28" s="12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4" t="str">
        <f aca="false">IF(K28="","",IFERROR(INDEX(Lists!$G$2:$G$5,MATCH(K28,Lists!$F$2:$F$5,0)),""))</f>
        <v/>
      </c>
      <c r="M28" s="13"/>
      <c r="N28" s="13"/>
      <c r="O28" s="13"/>
      <c r="P28" s="13"/>
      <c r="Q28" s="12"/>
      <c r="R28" s="15" t="str">
        <f aca="true">IF(OR(C28="",Q28=""),"",IF(OR(J28="Won",J28="Lost"),"",IF(Q28&lt;TODAY(),"OVERDUE",IF(Q28=TODAY(),"TODAY",""))))</f>
        <v/>
      </c>
      <c r="S28" s="12"/>
      <c r="T28" s="12"/>
      <c r="U28" s="13"/>
    </row>
    <row r="29" customFormat="false" ht="15" hidden="false" customHeight="false" outlineLevel="0" collapsed="false">
      <c r="A29" s="12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4" t="str">
        <f aca="false">IF(K29="","",IFERROR(INDEX(Lists!$G$2:$G$5,MATCH(K29,Lists!$F$2:$F$5,0)),""))</f>
        <v/>
      </c>
      <c r="M29" s="13"/>
      <c r="N29" s="13"/>
      <c r="O29" s="13"/>
      <c r="P29" s="13"/>
      <c r="Q29" s="12"/>
      <c r="R29" s="15" t="str">
        <f aca="true">IF(OR(C29="",Q29=""),"",IF(OR(J29="Won",J29="Lost"),"",IF(Q29&lt;TODAY(),"OVERDUE",IF(Q29=TODAY(),"TODAY",""))))</f>
        <v/>
      </c>
      <c r="S29" s="12"/>
      <c r="T29" s="12"/>
      <c r="U29" s="13"/>
    </row>
    <row r="30" customFormat="false" ht="15" hidden="false" customHeight="false" outlineLevel="0" collapsed="false">
      <c r="A30" s="12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4" t="str">
        <f aca="false">IF(K30="","",IFERROR(INDEX(Lists!$G$2:$G$5,MATCH(K30,Lists!$F$2:$F$5,0)),""))</f>
        <v/>
      </c>
      <c r="M30" s="13"/>
      <c r="N30" s="13"/>
      <c r="O30" s="13"/>
      <c r="P30" s="13"/>
      <c r="Q30" s="12"/>
      <c r="R30" s="15" t="str">
        <f aca="true">IF(OR(C30="",Q30=""),"",IF(OR(J30="Won",J30="Lost"),"",IF(Q30&lt;TODAY(),"OVERDUE",IF(Q30=TODAY(),"TODAY",""))))</f>
        <v/>
      </c>
      <c r="S30" s="12"/>
      <c r="T30" s="12"/>
      <c r="U30" s="13"/>
    </row>
    <row r="31" customFormat="false" ht="15" hidden="false" customHeight="false" outlineLevel="0" collapsed="false">
      <c r="A31" s="12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4" t="str">
        <f aca="false">IF(K31="","",IFERROR(INDEX(Lists!$G$2:$G$5,MATCH(K31,Lists!$F$2:$F$5,0)),""))</f>
        <v/>
      </c>
      <c r="M31" s="13"/>
      <c r="N31" s="13"/>
      <c r="O31" s="13"/>
      <c r="P31" s="13"/>
      <c r="Q31" s="12"/>
      <c r="R31" s="15" t="str">
        <f aca="true">IF(OR(C31="",Q31=""),"",IF(OR(J31="Won",J31="Lost"),"",IF(Q31&lt;TODAY(),"OVERDUE",IF(Q31=TODAY(),"TODAY",""))))</f>
        <v/>
      </c>
      <c r="S31" s="12"/>
      <c r="T31" s="12"/>
      <c r="U31" s="13"/>
    </row>
    <row r="32" customFormat="false" ht="15" hidden="false" customHeight="false" outlineLevel="0" collapsed="false">
      <c r="A32" s="12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4" t="str">
        <f aca="false">IF(K32="","",IFERROR(INDEX(Lists!$G$2:$G$5,MATCH(K32,Lists!$F$2:$F$5,0)),""))</f>
        <v/>
      </c>
      <c r="M32" s="13"/>
      <c r="N32" s="13"/>
      <c r="O32" s="13"/>
      <c r="P32" s="13"/>
      <c r="Q32" s="12"/>
      <c r="R32" s="15" t="str">
        <f aca="true">IF(OR(C32="",Q32=""),"",IF(OR(J32="Won",J32="Lost"),"",IF(Q32&lt;TODAY(),"OVERDUE",IF(Q32=TODAY(),"TODAY",""))))</f>
        <v/>
      </c>
      <c r="S32" s="12"/>
      <c r="T32" s="12"/>
      <c r="U32" s="13"/>
    </row>
    <row r="33" customFormat="false" ht="15" hidden="false" customHeight="false" outlineLevel="0" collapsed="false">
      <c r="A33" s="12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4" t="str">
        <f aca="false">IF(K33="","",IFERROR(INDEX(Lists!$G$2:$G$5,MATCH(K33,Lists!$F$2:$F$5,0)),""))</f>
        <v/>
      </c>
      <c r="M33" s="13"/>
      <c r="N33" s="13"/>
      <c r="O33" s="13"/>
      <c r="P33" s="13"/>
      <c r="Q33" s="12"/>
      <c r="R33" s="15" t="str">
        <f aca="true">IF(OR(C33="",Q33=""),"",IF(OR(J33="Won",J33="Lost"),"",IF(Q33&lt;TODAY(),"OVERDUE",IF(Q33=TODAY(),"TODAY",""))))</f>
        <v/>
      </c>
      <c r="S33" s="12"/>
      <c r="T33" s="12"/>
      <c r="U33" s="13"/>
    </row>
    <row r="34" customFormat="false" ht="15" hidden="false" customHeight="false" outlineLevel="0" collapsed="false">
      <c r="A34" s="12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4" t="str">
        <f aca="false">IF(K34="","",IFERROR(INDEX(Lists!$G$2:$G$5,MATCH(K34,Lists!$F$2:$F$5,0)),""))</f>
        <v/>
      </c>
      <c r="M34" s="13"/>
      <c r="N34" s="13"/>
      <c r="O34" s="13"/>
      <c r="P34" s="13"/>
      <c r="Q34" s="12"/>
      <c r="R34" s="15" t="str">
        <f aca="true">IF(OR(C34="",Q34=""),"",IF(OR(J34="Won",J34="Lost"),"",IF(Q34&lt;TODAY(),"OVERDUE",IF(Q34=TODAY(),"TODAY",""))))</f>
        <v/>
      </c>
      <c r="S34" s="12"/>
      <c r="T34" s="12"/>
      <c r="U34" s="13"/>
    </row>
    <row r="35" customFormat="false" ht="15" hidden="false" customHeight="false" outlineLevel="0" collapsed="false">
      <c r="A35" s="12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4" t="str">
        <f aca="false">IF(K35="","",IFERROR(INDEX(Lists!$G$2:$G$5,MATCH(K35,Lists!$F$2:$F$5,0)),""))</f>
        <v/>
      </c>
      <c r="M35" s="13"/>
      <c r="N35" s="13"/>
      <c r="O35" s="13"/>
      <c r="P35" s="13"/>
      <c r="Q35" s="12"/>
      <c r="R35" s="15" t="str">
        <f aca="true">IF(OR(C35="",Q35=""),"",IF(OR(J35="Won",J35="Lost"),"",IF(Q35&lt;TODAY(),"OVERDUE",IF(Q35=TODAY(),"TODAY",""))))</f>
        <v/>
      </c>
      <c r="S35" s="12"/>
      <c r="T35" s="12"/>
      <c r="U35" s="13"/>
    </row>
    <row r="36" customFormat="false" ht="15" hidden="false" customHeight="false" outlineLevel="0" collapsed="false">
      <c r="A36" s="12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4" t="str">
        <f aca="false">IF(K36="","",IFERROR(INDEX(Lists!$G$2:$G$5,MATCH(K36,Lists!$F$2:$F$5,0)),""))</f>
        <v/>
      </c>
      <c r="M36" s="13"/>
      <c r="N36" s="13"/>
      <c r="O36" s="13"/>
      <c r="P36" s="13"/>
      <c r="Q36" s="12"/>
      <c r="R36" s="15" t="str">
        <f aca="true">IF(OR(C36="",Q36=""),"",IF(OR(J36="Won",J36="Lost"),"",IF(Q36&lt;TODAY(),"OVERDUE",IF(Q36=TODAY(),"TODAY",""))))</f>
        <v/>
      </c>
      <c r="S36" s="12"/>
      <c r="T36" s="12"/>
      <c r="U36" s="13"/>
    </row>
    <row r="37" customFormat="false" ht="15" hidden="false" customHeight="false" outlineLevel="0" collapsed="false">
      <c r="A37" s="12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4" t="str">
        <f aca="false">IF(K37="","",IFERROR(INDEX(Lists!$G$2:$G$5,MATCH(K37,Lists!$F$2:$F$5,0)),""))</f>
        <v/>
      </c>
      <c r="M37" s="13"/>
      <c r="N37" s="13"/>
      <c r="O37" s="13"/>
      <c r="P37" s="13"/>
      <c r="Q37" s="12"/>
      <c r="R37" s="15" t="str">
        <f aca="true">IF(OR(C37="",Q37=""),"",IF(OR(J37="Won",J37="Lost"),"",IF(Q37&lt;TODAY(),"OVERDUE",IF(Q37=TODAY(),"TODAY",""))))</f>
        <v/>
      </c>
      <c r="S37" s="12"/>
      <c r="T37" s="12"/>
      <c r="U37" s="13"/>
    </row>
    <row r="38" customFormat="false" ht="15" hidden="false" customHeight="false" outlineLevel="0" collapsed="false">
      <c r="A38" s="12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4" t="str">
        <f aca="false">IF(K38="","",IFERROR(INDEX(Lists!$G$2:$G$5,MATCH(K38,Lists!$F$2:$F$5,0)),""))</f>
        <v/>
      </c>
      <c r="M38" s="13"/>
      <c r="N38" s="13"/>
      <c r="O38" s="13"/>
      <c r="P38" s="13"/>
      <c r="Q38" s="12"/>
      <c r="R38" s="15" t="str">
        <f aca="true">IF(OR(C38="",Q38=""),"",IF(OR(J38="Won",J38="Lost"),"",IF(Q38&lt;TODAY(),"OVERDUE",IF(Q38=TODAY(),"TODAY",""))))</f>
        <v/>
      </c>
      <c r="S38" s="12"/>
      <c r="T38" s="12"/>
      <c r="U38" s="13"/>
    </row>
    <row r="39" customFormat="false" ht="15" hidden="false" customHeight="false" outlineLevel="0" collapsed="false">
      <c r="A39" s="12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4" t="str">
        <f aca="false">IF(K39="","",IFERROR(INDEX(Lists!$G$2:$G$5,MATCH(K39,Lists!$F$2:$F$5,0)),""))</f>
        <v/>
      </c>
      <c r="M39" s="13"/>
      <c r="N39" s="13"/>
      <c r="O39" s="13"/>
      <c r="P39" s="13"/>
      <c r="Q39" s="12"/>
      <c r="R39" s="15" t="str">
        <f aca="true">IF(OR(C39="",Q39=""),"",IF(OR(J39="Won",J39="Lost"),"",IF(Q39&lt;TODAY(),"OVERDUE",IF(Q39=TODAY(),"TODAY",""))))</f>
        <v/>
      </c>
      <c r="S39" s="12"/>
      <c r="T39" s="12"/>
      <c r="U39" s="13"/>
    </row>
    <row r="40" customFormat="false" ht="15" hidden="false" customHeight="false" outlineLevel="0" collapsed="false">
      <c r="A40" s="12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4" t="str">
        <f aca="false">IF(K40="","",IFERROR(INDEX(Lists!$G$2:$G$5,MATCH(K40,Lists!$F$2:$F$5,0)),""))</f>
        <v/>
      </c>
      <c r="M40" s="13"/>
      <c r="N40" s="13"/>
      <c r="O40" s="13"/>
      <c r="P40" s="13"/>
      <c r="Q40" s="12"/>
      <c r="R40" s="15" t="str">
        <f aca="true">IF(OR(C40="",Q40=""),"",IF(OR(J40="Won",J40="Lost"),"",IF(Q40&lt;TODAY(),"OVERDUE",IF(Q40=TODAY(),"TODAY",""))))</f>
        <v/>
      </c>
      <c r="S40" s="12"/>
      <c r="T40" s="12"/>
      <c r="U40" s="13"/>
    </row>
    <row r="41" customFormat="false" ht="15" hidden="false" customHeight="false" outlineLevel="0" collapsed="false">
      <c r="A41" s="12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4" t="str">
        <f aca="false">IF(K41="","",IFERROR(INDEX(Lists!$G$2:$G$5,MATCH(K41,Lists!$F$2:$F$5,0)),""))</f>
        <v/>
      </c>
      <c r="M41" s="13"/>
      <c r="N41" s="13"/>
      <c r="O41" s="13"/>
      <c r="P41" s="13"/>
      <c r="Q41" s="12"/>
      <c r="R41" s="15" t="str">
        <f aca="true">IF(OR(C41="",Q41=""),"",IF(OR(J41="Won",J41="Lost"),"",IF(Q41&lt;TODAY(),"OVERDUE",IF(Q41=TODAY(),"TODAY",""))))</f>
        <v/>
      </c>
      <c r="S41" s="12"/>
      <c r="T41" s="12"/>
      <c r="U41" s="13"/>
    </row>
    <row r="42" customFormat="false" ht="15" hidden="false" customHeight="false" outlineLevel="0" collapsed="false">
      <c r="A42" s="12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4" t="str">
        <f aca="false">IF(K42="","",IFERROR(INDEX(Lists!$G$2:$G$5,MATCH(K42,Lists!$F$2:$F$5,0)),""))</f>
        <v/>
      </c>
      <c r="M42" s="13"/>
      <c r="N42" s="13"/>
      <c r="O42" s="13"/>
      <c r="P42" s="13"/>
      <c r="Q42" s="12"/>
      <c r="R42" s="15" t="str">
        <f aca="true">IF(OR(C42="",Q42=""),"",IF(OR(J42="Won",J42="Lost"),"",IF(Q42&lt;TODAY(),"OVERDUE",IF(Q42=TODAY(),"TODAY",""))))</f>
        <v/>
      </c>
      <c r="S42" s="12"/>
      <c r="T42" s="12"/>
      <c r="U42" s="13"/>
    </row>
    <row r="43" customFormat="false" ht="15" hidden="false" customHeight="false" outlineLevel="0" collapsed="false">
      <c r="A43" s="12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4" t="str">
        <f aca="false">IF(K43="","",IFERROR(INDEX(Lists!$G$2:$G$5,MATCH(K43,Lists!$F$2:$F$5,0)),""))</f>
        <v/>
      </c>
      <c r="M43" s="13"/>
      <c r="N43" s="13"/>
      <c r="O43" s="13"/>
      <c r="P43" s="13"/>
      <c r="Q43" s="12"/>
      <c r="R43" s="15" t="str">
        <f aca="true">IF(OR(C43="",Q43=""),"",IF(OR(J43="Won",J43="Lost"),"",IF(Q43&lt;TODAY(),"OVERDUE",IF(Q43=TODAY(),"TODAY",""))))</f>
        <v/>
      </c>
      <c r="S43" s="12"/>
      <c r="T43" s="12"/>
      <c r="U43" s="13"/>
    </row>
    <row r="44" customFormat="false" ht="15" hidden="false" customHeight="false" outlineLevel="0" collapsed="false">
      <c r="A44" s="12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4" t="str">
        <f aca="false">IF(K44="","",IFERROR(INDEX(Lists!$G$2:$G$5,MATCH(K44,Lists!$F$2:$F$5,0)),""))</f>
        <v/>
      </c>
      <c r="M44" s="13"/>
      <c r="N44" s="13"/>
      <c r="O44" s="13"/>
      <c r="P44" s="13"/>
      <c r="Q44" s="12"/>
      <c r="R44" s="15" t="str">
        <f aca="true">IF(OR(C44="",Q44=""),"",IF(OR(J44="Won",J44="Lost"),"",IF(Q44&lt;TODAY(),"OVERDUE",IF(Q44=TODAY(),"TODAY",""))))</f>
        <v/>
      </c>
      <c r="S44" s="12"/>
      <c r="T44" s="12"/>
      <c r="U44" s="13"/>
    </row>
    <row r="45" customFormat="false" ht="15" hidden="false" customHeight="false" outlineLevel="0" collapsed="false">
      <c r="A45" s="12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4" t="str">
        <f aca="false">IF(K45="","",IFERROR(INDEX(Lists!$G$2:$G$5,MATCH(K45,Lists!$F$2:$F$5,0)),""))</f>
        <v/>
      </c>
      <c r="M45" s="13"/>
      <c r="N45" s="13"/>
      <c r="O45" s="13"/>
      <c r="P45" s="13"/>
      <c r="Q45" s="12"/>
      <c r="R45" s="15" t="str">
        <f aca="true">IF(OR(C45="",Q45=""),"",IF(OR(J45="Won",J45="Lost"),"",IF(Q45&lt;TODAY(),"OVERDUE",IF(Q45=TODAY(),"TODAY",""))))</f>
        <v/>
      </c>
      <c r="S45" s="12"/>
      <c r="T45" s="12"/>
      <c r="U45" s="13"/>
    </row>
    <row r="46" customFormat="false" ht="15" hidden="false" customHeight="false" outlineLevel="0" collapsed="false">
      <c r="A46" s="12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4" t="str">
        <f aca="false">IF(K46="","",IFERROR(INDEX(Lists!$G$2:$G$5,MATCH(K46,Lists!$F$2:$F$5,0)),""))</f>
        <v/>
      </c>
      <c r="M46" s="13"/>
      <c r="N46" s="13"/>
      <c r="O46" s="13"/>
      <c r="P46" s="13"/>
      <c r="Q46" s="12"/>
      <c r="R46" s="15" t="str">
        <f aca="true">IF(OR(C46="",Q46=""),"",IF(OR(J46="Won",J46="Lost"),"",IF(Q46&lt;TODAY(),"OVERDUE",IF(Q46=TODAY(),"TODAY",""))))</f>
        <v/>
      </c>
      <c r="S46" s="12"/>
      <c r="T46" s="12"/>
      <c r="U46" s="13"/>
    </row>
    <row r="47" customFormat="false" ht="15" hidden="false" customHeight="false" outlineLevel="0" collapsed="false">
      <c r="A47" s="12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4" t="str">
        <f aca="false">IF(K47="","",IFERROR(INDEX(Lists!$G$2:$G$5,MATCH(K47,Lists!$F$2:$F$5,0)),""))</f>
        <v/>
      </c>
      <c r="M47" s="13"/>
      <c r="N47" s="13"/>
      <c r="O47" s="13"/>
      <c r="P47" s="13"/>
      <c r="Q47" s="12"/>
      <c r="R47" s="15" t="str">
        <f aca="true">IF(OR(C47="",Q47=""),"",IF(OR(J47="Won",J47="Lost"),"",IF(Q47&lt;TODAY(),"OVERDUE",IF(Q47=TODAY(),"TODAY",""))))</f>
        <v/>
      </c>
      <c r="S47" s="12"/>
      <c r="T47" s="12"/>
      <c r="U47" s="13"/>
    </row>
    <row r="48" customFormat="false" ht="15" hidden="false" customHeight="false" outlineLevel="0" collapsed="false">
      <c r="A48" s="12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4" t="str">
        <f aca="false">IF(K48="","",IFERROR(INDEX(Lists!$G$2:$G$5,MATCH(K48,Lists!$F$2:$F$5,0)),""))</f>
        <v/>
      </c>
      <c r="M48" s="13"/>
      <c r="N48" s="13"/>
      <c r="O48" s="13"/>
      <c r="P48" s="13"/>
      <c r="Q48" s="12"/>
      <c r="R48" s="15" t="str">
        <f aca="true">IF(OR(C48="",Q48=""),"",IF(OR(J48="Won",J48="Lost"),"",IF(Q48&lt;TODAY(),"OVERDUE",IF(Q48=TODAY(),"TODAY",""))))</f>
        <v/>
      </c>
      <c r="S48" s="12"/>
      <c r="T48" s="12"/>
      <c r="U48" s="13"/>
    </row>
    <row r="49" customFormat="false" ht="15" hidden="false" customHeight="false" outlineLevel="0" collapsed="false">
      <c r="A49" s="12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4" t="str">
        <f aca="false">IF(K49="","",IFERROR(INDEX(Lists!$G$2:$G$5,MATCH(K49,Lists!$F$2:$F$5,0)),""))</f>
        <v/>
      </c>
      <c r="M49" s="13"/>
      <c r="N49" s="13"/>
      <c r="O49" s="13"/>
      <c r="P49" s="13"/>
      <c r="Q49" s="12"/>
      <c r="R49" s="15" t="str">
        <f aca="true">IF(OR(C49="",Q49=""),"",IF(OR(J49="Won",J49="Lost"),"",IF(Q49&lt;TODAY(),"OVERDUE",IF(Q49=TODAY(),"TODAY",""))))</f>
        <v/>
      </c>
      <c r="S49" s="12"/>
      <c r="T49" s="12"/>
      <c r="U49" s="13"/>
    </row>
    <row r="50" customFormat="false" ht="15" hidden="false" customHeight="false" outlineLevel="0" collapsed="false">
      <c r="A50" s="12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4" t="str">
        <f aca="false">IF(K50="","",IFERROR(INDEX(Lists!$G$2:$G$5,MATCH(K50,Lists!$F$2:$F$5,0)),""))</f>
        <v/>
      </c>
      <c r="M50" s="13"/>
      <c r="N50" s="13"/>
      <c r="O50" s="13"/>
      <c r="P50" s="13"/>
      <c r="Q50" s="12"/>
      <c r="R50" s="15" t="str">
        <f aca="true">IF(OR(C50="",Q50=""),"",IF(OR(J50="Won",J50="Lost"),"",IF(Q50&lt;TODAY(),"OVERDUE",IF(Q50=TODAY(),"TODAY",""))))</f>
        <v/>
      </c>
      <c r="S50" s="12"/>
      <c r="T50" s="12"/>
      <c r="U50" s="13"/>
    </row>
    <row r="51" customFormat="false" ht="15" hidden="false" customHeight="false" outlineLevel="0" collapsed="false">
      <c r="A51" s="12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4" t="str">
        <f aca="false">IF(K51="","",IFERROR(INDEX(Lists!$G$2:$G$5,MATCH(K51,Lists!$F$2:$F$5,0)),""))</f>
        <v/>
      </c>
      <c r="M51" s="13"/>
      <c r="N51" s="13"/>
      <c r="O51" s="13"/>
      <c r="P51" s="13"/>
      <c r="Q51" s="12"/>
      <c r="R51" s="15" t="str">
        <f aca="true">IF(OR(C51="",Q51=""),"",IF(OR(J51="Won",J51="Lost"),"",IF(Q51&lt;TODAY(),"OVERDUE",IF(Q51=TODAY(),"TODAY",""))))</f>
        <v/>
      </c>
      <c r="S51" s="12"/>
      <c r="T51" s="12"/>
      <c r="U51" s="13"/>
    </row>
    <row r="52" customFormat="false" ht="15" hidden="false" customHeight="false" outlineLevel="0" collapsed="false">
      <c r="A52" s="12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4" t="str">
        <f aca="false">IF(K52="","",IFERROR(INDEX(Lists!$G$2:$G$5,MATCH(K52,Lists!$F$2:$F$5,0)),""))</f>
        <v/>
      </c>
      <c r="M52" s="13"/>
      <c r="N52" s="13"/>
      <c r="O52" s="13"/>
      <c r="P52" s="13"/>
      <c r="Q52" s="12"/>
      <c r="R52" s="15" t="str">
        <f aca="true">IF(OR(C52="",Q52=""),"",IF(OR(J52="Won",J52="Lost"),"",IF(Q52&lt;TODAY(),"OVERDUE",IF(Q52=TODAY(),"TODAY",""))))</f>
        <v/>
      </c>
      <c r="S52" s="12"/>
      <c r="T52" s="12"/>
      <c r="U52" s="13"/>
    </row>
    <row r="53" customFormat="false" ht="15" hidden="false" customHeight="false" outlineLevel="0" collapsed="false">
      <c r="A53" s="12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4" t="str">
        <f aca="false">IF(K53="","",IFERROR(INDEX(Lists!$G$2:$G$5,MATCH(K53,Lists!$F$2:$F$5,0)),""))</f>
        <v/>
      </c>
      <c r="M53" s="13"/>
      <c r="N53" s="13"/>
      <c r="O53" s="13"/>
      <c r="P53" s="13"/>
      <c r="Q53" s="12"/>
      <c r="R53" s="15" t="str">
        <f aca="true">IF(OR(C53="",Q53=""),"",IF(OR(J53="Won",J53="Lost"),"",IF(Q53&lt;TODAY(),"OVERDUE",IF(Q53=TODAY(),"TODAY",""))))</f>
        <v/>
      </c>
      <c r="S53" s="12"/>
      <c r="T53" s="12"/>
      <c r="U53" s="13"/>
    </row>
    <row r="54" customFormat="false" ht="15" hidden="false" customHeight="false" outlineLevel="0" collapsed="false">
      <c r="A54" s="12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4" t="str">
        <f aca="false">IF(K54="","",IFERROR(INDEX(Lists!$G$2:$G$5,MATCH(K54,Lists!$F$2:$F$5,0)),""))</f>
        <v/>
      </c>
      <c r="M54" s="13"/>
      <c r="N54" s="13"/>
      <c r="O54" s="13"/>
      <c r="P54" s="13"/>
      <c r="Q54" s="12"/>
      <c r="R54" s="15" t="str">
        <f aca="true">IF(OR(C54="",Q54=""),"",IF(OR(J54="Won",J54="Lost"),"",IF(Q54&lt;TODAY(),"OVERDUE",IF(Q54=TODAY(),"TODAY",""))))</f>
        <v/>
      </c>
      <c r="S54" s="12"/>
      <c r="T54" s="12"/>
      <c r="U54" s="13"/>
    </row>
    <row r="55" customFormat="false" ht="15" hidden="false" customHeight="false" outlineLevel="0" collapsed="false">
      <c r="A55" s="12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4" t="str">
        <f aca="false">IF(K55="","",IFERROR(INDEX(Lists!$G$2:$G$5,MATCH(K55,Lists!$F$2:$F$5,0)),""))</f>
        <v/>
      </c>
      <c r="M55" s="13"/>
      <c r="N55" s="13"/>
      <c r="O55" s="13"/>
      <c r="P55" s="13"/>
      <c r="Q55" s="12"/>
      <c r="R55" s="15" t="str">
        <f aca="true">IF(OR(C55="",Q55=""),"",IF(OR(J55="Won",J55="Lost"),"",IF(Q55&lt;TODAY(),"OVERDUE",IF(Q55=TODAY(),"TODAY",""))))</f>
        <v/>
      </c>
      <c r="S55" s="12"/>
      <c r="T55" s="12"/>
      <c r="U55" s="13"/>
    </row>
    <row r="56" customFormat="false" ht="15" hidden="false" customHeight="false" outlineLevel="0" collapsed="false">
      <c r="A56" s="12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4" t="str">
        <f aca="false">IF(K56="","",IFERROR(INDEX(Lists!$G$2:$G$5,MATCH(K56,Lists!$F$2:$F$5,0)),""))</f>
        <v/>
      </c>
      <c r="M56" s="13"/>
      <c r="N56" s="13"/>
      <c r="O56" s="13"/>
      <c r="P56" s="13"/>
      <c r="Q56" s="12"/>
      <c r="R56" s="15" t="str">
        <f aca="true">IF(OR(C56="",Q56=""),"",IF(OR(J56="Won",J56="Lost"),"",IF(Q56&lt;TODAY(),"OVERDUE",IF(Q56=TODAY(),"TODAY",""))))</f>
        <v/>
      </c>
      <c r="S56" s="12"/>
      <c r="T56" s="12"/>
      <c r="U56" s="13"/>
    </row>
    <row r="57" customFormat="false" ht="15" hidden="false" customHeight="false" outlineLevel="0" collapsed="false">
      <c r="A57" s="12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4" t="str">
        <f aca="false">IF(K57="","",IFERROR(INDEX(Lists!$G$2:$G$5,MATCH(K57,Lists!$F$2:$F$5,0)),""))</f>
        <v/>
      </c>
      <c r="M57" s="13"/>
      <c r="N57" s="13"/>
      <c r="O57" s="13"/>
      <c r="P57" s="13"/>
      <c r="Q57" s="12"/>
      <c r="R57" s="15" t="str">
        <f aca="true">IF(OR(C57="",Q57=""),"",IF(OR(J57="Won",J57="Lost"),"",IF(Q57&lt;TODAY(),"OVERDUE",IF(Q57=TODAY(),"TODAY",""))))</f>
        <v/>
      </c>
      <c r="S57" s="12"/>
      <c r="T57" s="12"/>
      <c r="U57" s="13"/>
    </row>
    <row r="58" customFormat="false" ht="15" hidden="false" customHeight="false" outlineLevel="0" collapsed="false">
      <c r="A58" s="12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4" t="str">
        <f aca="false">IF(K58="","",IFERROR(INDEX(Lists!$G$2:$G$5,MATCH(K58,Lists!$F$2:$F$5,0)),""))</f>
        <v/>
      </c>
      <c r="M58" s="13"/>
      <c r="N58" s="13"/>
      <c r="O58" s="13"/>
      <c r="P58" s="13"/>
      <c r="Q58" s="12"/>
      <c r="R58" s="15" t="str">
        <f aca="true">IF(OR(C58="",Q58=""),"",IF(OR(J58="Won",J58="Lost"),"",IF(Q58&lt;TODAY(),"OVERDUE",IF(Q58=TODAY(),"TODAY",""))))</f>
        <v/>
      </c>
      <c r="S58" s="12"/>
      <c r="T58" s="12"/>
      <c r="U58" s="13"/>
    </row>
    <row r="59" customFormat="false" ht="15" hidden="false" customHeight="false" outlineLevel="0" collapsed="false">
      <c r="A59" s="12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4" t="str">
        <f aca="false">IF(K59="","",IFERROR(INDEX(Lists!$G$2:$G$5,MATCH(K59,Lists!$F$2:$F$5,0)),""))</f>
        <v/>
      </c>
      <c r="M59" s="13"/>
      <c r="N59" s="13"/>
      <c r="O59" s="13"/>
      <c r="P59" s="13"/>
      <c r="Q59" s="12"/>
      <c r="R59" s="15" t="str">
        <f aca="true">IF(OR(C59="",Q59=""),"",IF(OR(J59="Won",J59="Lost"),"",IF(Q59&lt;TODAY(),"OVERDUE",IF(Q59=TODAY(),"TODAY",""))))</f>
        <v/>
      </c>
      <c r="S59" s="12"/>
      <c r="T59" s="12"/>
      <c r="U59" s="13"/>
    </row>
    <row r="60" customFormat="false" ht="15" hidden="false" customHeight="false" outlineLevel="0" collapsed="false">
      <c r="A60" s="12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4" t="str">
        <f aca="false">IF(K60="","",IFERROR(INDEX(Lists!$G$2:$G$5,MATCH(K60,Lists!$F$2:$F$5,0)),""))</f>
        <v/>
      </c>
      <c r="M60" s="13"/>
      <c r="N60" s="13"/>
      <c r="O60" s="13"/>
      <c r="P60" s="13"/>
      <c r="Q60" s="12"/>
      <c r="R60" s="15" t="str">
        <f aca="true">IF(OR(C60="",Q60=""),"",IF(OR(J60="Won",J60="Lost"),"",IF(Q60&lt;TODAY(),"OVERDUE",IF(Q60=TODAY(),"TODAY",""))))</f>
        <v/>
      </c>
      <c r="S60" s="12"/>
      <c r="T60" s="12"/>
      <c r="U60" s="13"/>
    </row>
    <row r="61" customFormat="false" ht="15" hidden="false" customHeight="false" outlineLevel="0" collapsed="false">
      <c r="A61" s="12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4" t="str">
        <f aca="false">IF(K61="","",IFERROR(INDEX(Lists!$G$2:$G$5,MATCH(K61,Lists!$F$2:$F$5,0)),""))</f>
        <v/>
      </c>
      <c r="M61" s="13"/>
      <c r="N61" s="13"/>
      <c r="O61" s="13"/>
      <c r="P61" s="13"/>
      <c r="Q61" s="12"/>
      <c r="R61" s="15" t="str">
        <f aca="true">IF(OR(C61="",Q61=""),"",IF(OR(J61="Won",J61="Lost"),"",IF(Q61&lt;TODAY(),"OVERDUE",IF(Q61=TODAY(),"TODAY",""))))</f>
        <v/>
      </c>
      <c r="S61" s="12"/>
      <c r="T61" s="12"/>
      <c r="U61" s="13"/>
    </row>
    <row r="62" customFormat="false" ht="15" hidden="false" customHeight="false" outlineLevel="0" collapsed="false">
      <c r="A62" s="12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4" t="str">
        <f aca="false">IF(K62="","",IFERROR(INDEX(Lists!$G$2:$G$5,MATCH(K62,Lists!$F$2:$F$5,0)),""))</f>
        <v/>
      </c>
      <c r="M62" s="13"/>
      <c r="N62" s="13"/>
      <c r="O62" s="13"/>
      <c r="P62" s="13"/>
      <c r="Q62" s="12"/>
      <c r="R62" s="15" t="str">
        <f aca="true">IF(OR(C62="",Q62=""),"",IF(OR(J62="Won",J62="Lost"),"",IF(Q62&lt;TODAY(),"OVERDUE",IF(Q62=TODAY(),"TODAY",""))))</f>
        <v/>
      </c>
      <c r="S62" s="12"/>
      <c r="T62" s="12"/>
      <c r="U62" s="13"/>
    </row>
    <row r="63" customFormat="false" ht="15" hidden="false" customHeight="false" outlineLevel="0" collapsed="false">
      <c r="A63" s="12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4" t="str">
        <f aca="false">IF(K63="","",IFERROR(INDEX(Lists!$G$2:$G$5,MATCH(K63,Lists!$F$2:$F$5,0)),""))</f>
        <v/>
      </c>
      <c r="M63" s="13"/>
      <c r="N63" s="13"/>
      <c r="O63" s="13"/>
      <c r="P63" s="13"/>
      <c r="Q63" s="12"/>
      <c r="R63" s="15" t="str">
        <f aca="true">IF(OR(C63="",Q63=""),"",IF(OR(J63="Won",J63="Lost"),"",IF(Q63&lt;TODAY(),"OVERDUE",IF(Q63=TODAY(),"TODAY",""))))</f>
        <v/>
      </c>
      <c r="S63" s="12"/>
      <c r="T63" s="12"/>
      <c r="U63" s="13"/>
    </row>
    <row r="64" customFormat="false" ht="15" hidden="false" customHeight="false" outlineLevel="0" collapsed="false">
      <c r="A64" s="12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4" t="str">
        <f aca="false">IF(K64="","",IFERROR(INDEX(Lists!$G$2:$G$5,MATCH(K64,Lists!$F$2:$F$5,0)),""))</f>
        <v/>
      </c>
      <c r="M64" s="13"/>
      <c r="N64" s="13"/>
      <c r="O64" s="13"/>
      <c r="P64" s="13"/>
      <c r="Q64" s="12"/>
      <c r="R64" s="15" t="str">
        <f aca="true">IF(OR(C64="",Q64=""),"",IF(OR(J64="Won",J64="Lost"),"",IF(Q64&lt;TODAY(),"OVERDUE",IF(Q64=TODAY(),"TODAY",""))))</f>
        <v/>
      </c>
      <c r="S64" s="12"/>
      <c r="T64" s="12"/>
      <c r="U64" s="13"/>
    </row>
    <row r="65" customFormat="false" ht="15" hidden="false" customHeight="false" outlineLevel="0" collapsed="false">
      <c r="A65" s="12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4" t="str">
        <f aca="false">IF(K65="","",IFERROR(INDEX(Lists!$G$2:$G$5,MATCH(K65,Lists!$F$2:$F$5,0)),""))</f>
        <v/>
      </c>
      <c r="M65" s="13"/>
      <c r="N65" s="13"/>
      <c r="O65" s="13"/>
      <c r="P65" s="13"/>
      <c r="Q65" s="12"/>
      <c r="R65" s="15" t="str">
        <f aca="true">IF(OR(C65="",Q65=""),"",IF(OR(J65="Won",J65="Lost"),"",IF(Q65&lt;TODAY(),"OVERDUE",IF(Q65=TODAY(),"TODAY",""))))</f>
        <v/>
      </c>
      <c r="S65" s="12"/>
      <c r="T65" s="12"/>
      <c r="U65" s="13"/>
    </row>
    <row r="66" customFormat="false" ht="15" hidden="false" customHeight="false" outlineLevel="0" collapsed="false">
      <c r="A66" s="12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4" t="str">
        <f aca="false">IF(K66="","",IFERROR(INDEX(Lists!$G$2:$G$5,MATCH(K66,Lists!$F$2:$F$5,0)),""))</f>
        <v/>
      </c>
      <c r="M66" s="13"/>
      <c r="N66" s="13"/>
      <c r="O66" s="13"/>
      <c r="P66" s="13"/>
      <c r="Q66" s="12"/>
      <c r="R66" s="15" t="str">
        <f aca="true">IF(OR(C66="",Q66=""),"",IF(OR(J66="Won",J66="Lost"),"",IF(Q66&lt;TODAY(),"OVERDUE",IF(Q66=TODAY(),"TODAY",""))))</f>
        <v/>
      </c>
      <c r="S66" s="12"/>
      <c r="T66" s="12"/>
      <c r="U66" s="13"/>
    </row>
    <row r="67" customFormat="false" ht="15" hidden="false" customHeight="false" outlineLevel="0" collapsed="false">
      <c r="A67" s="12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4" t="str">
        <f aca="false">IF(K67="","",IFERROR(INDEX(Lists!$G$2:$G$5,MATCH(K67,Lists!$F$2:$F$5,0)),""))</f>
        <v/>
      </c>
      <c r="M67" s="13"/>
      <c r="N67" s="13"/>
      <c r="O67" s="13"/>
      <c r="P67" s="13"/>
      <c r="Q67" s="12"/>
      <c r="R67" s="15" t="str">
        <f aca="true">IF(OR(C67="",Q67=""),"",IF(OR(J67="Won",J67="Lost"),"",IF(Q67&lt;TODAY(),"OVERDUE",IF(Q67=TODAY(),"TODAY",""))))</f>
        <v/>
      </c>
      <c r="S67" s="12"/>
      <c r="T67" s="12"/>
      <c r="U67" s="13"/>
    </row>
    <row r="68" customFormat="false" ht="15" hidden="false" customHeight="false" outlineLevel="0" collapsed="false">
      <c r="A68" s="12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4" t="str">
        <f aca="false">IF(K68="","",IFERROR(INDEX(Lists!$G$2:$G$5,MATCH(K68,Lists!$F$2:$F$5,0)),""))</f>
        <v/>
      </c>
      <c r="M68" s="13"/>
      <c r="N68" s="13"/>
      <c r="O68" s="13"/>
      <c r="P68" s="13"/>
      <c r="Q68" s="12"/>
      <c r="R68" s="15" t="str">
        <f aca="true">IF(OR(C68="",Q68=""),"",IF(OR(J68="Won",J68="Lost"),"",IF(Q68&lt;TODAY(),"OVERDUE",IF(Q68=TODAY(),"TODAY",""))))</f>
        <v/>
      </c>
      <c r="S68" s="12"/>
      <c r="T68" s="12"/>
      <c r="U68" s="13"/>
    </row>
    <row r="69" customFormat="false" ht="15" hidden="false" customHeight="false" outlineLevel="0" collapsed="false">
      <c r="A69" s="12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4" t="str">
        <f aca="false">IF(K69="","",IFERROR(INDEX(Lists!$G$2:$G$5,MATCH(K69,Lists!$F$2:$F$5,0)),""))</f>
        <v/>
      </c>
      <c r="M69" s="13"/>
      <c r="N69" s="13"/>
      <c r="O69" s="13"/>
      <c r="P69" s="13"/>
      <c r="Q69" s="12"/>
      <c r="R69" s="15" t="str">
        <f aca="true">IF(OR(C69="",Q69=""),"",IF(OR(J69="Won",J69="Lost"),"",IF(Q69&lt;TODAY(),"OVERDUE",IF(Q69=TODAY(),"TODAY",""))))</f>
        <v/>
      </c>
      <c r="S69" s="12"/>
      <c r="T69" s="12"/>
      <c r="U69" s="13"/>
    </row>
    <row r="70" customFormat="false" ht="15" hidden="false" customHeight="false" outlineLevel="0" collapsed="false">
      <c r="A70" s="12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4" t="str">
        <f aca="false">IF(K70="","",IFERROR(INDEX(Lists!$G$2:$G$5,MATCH(K70,Lists!$F$2:$F$5,0)),""))</f>
        <v/>
      </c>
      <c r="M70" s="13"/>
      <c r="N70" s="13"/>
      <c r="O70" s="13"/>
      <c r="P70" s="13"/>
      <c r="Q70" s="12"/>
      <c r="R70" s="15" t="str">
        <f aca="true">IF(OR(C70="",Q70=""),"",IF(OR(J70="Won",J70="Lost"),"",IF(Q70&lt;TODAY(),"OVERDUE",IF(Q70=TODAY(),"TODAY",""))))</f>
        <v/>
      </c>
      <c r="S70" s="12"/>
      <c r="T70" s="12"/>
      <c r="U70" s="13"/>
    </row>
    <row r="71" customFormat="false" ht="15" hidden="false" customHeight="false" outlineLevel="0" collapsed="false">
      <c r="A71" s="12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4" t="str">
        <f aca="false">IF(K71="","",IFERROR(INDEX(Lists!$G$2:$G$5,MATCH(K71,Lists!$F$2:$F$5,0)),""))</f>
        <v/>
      </c>
      <c r="M71" s="13"/>
      <c r="N71" s="13"/>
      <c r="O71" s="13"/>
      <c r="P71" s="13"/>
      <c r="Q71" s="12"/>
      <c r="R71" s="15" t="str">
        <f aca="true">IF(OR(C71="",Q71=""),"",IF(OR(J71="Won",J71="Lost"),"",IF(Q71&lt;TODAY(),"OVERDUE",IF(Q71=TODAY(),"TODAY",""))))</f>
        <v/>
      </c>
      <c r="S71" s="12"/>
      <c r="T71" s="12"/>
      <c r="U71" s="13"/>
    </row>
    <row r="72" customFormat="false" ht="15" hidden="false" customHeight="false" outlineLevel="0" collapsed="false">
      <c r="A72" s="12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4" t="str">
        <f aca="false">IF(K72="","",IFERROR(INDEX(Lists!$G$2:$G$5,MATCH(K72,Lists!$F$2:$F$5,0)),""))</f>
        <v/>
      </c>
      <c r="M72" s="13"/>
      <c r="N72" s="13"/>
      <c r="O72" s="13"/>
      <c r="P72" s="13"/>
      <c r="Q72" s="12"/>
      <c r="R72" s="15" t="str">
        <f aca="true">IF(OR(C72="",Q72=""),"",IF(OR(J72="Won",J72="Lost"),"",IF(Q72&lt;TODAY(),"OVERDUE",IF(Q72=TODAY(),"TODAY",""))))</f>
        <v/>
      </c>
      <c r="S72" s="12"/>
      <c r="T72" s="12"/>
      <c r="U72" s="13"/>
    </row>
    <row r="73" customFormat="false" ht="15" hidden="false" customHeight="false" outlineLevel="0" collapsed="false">
      <c r="A73" s="12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4" t="str">
        <f aca="false">IF(K73="","",IFERROR(INDEX(Lists!$G$2:$G$5,MATCH(K73,Lists!$F$2:$F$5,0)),""))</f>
        <v/>
      </c>
      <c r="M73" s="13"/>
      <c r="N73" s="13"/>
      <c r="O73" s="13"/>
      <c r="P73" s="13"/>
      <c r="Q73" s="12"/>
      <c r="R73" s="15" t="str">
        <f aca="true">IF(OR(C73="",Q73=""),"",IF(OR(J73="Won",J73="Lost"),"",IF(Q73&lt;TODAY(),"OVERDUE",IF(Q73=TODAY(),"TODAY",""))))</f>
        <v/>
      </c>
      <c r="S73" s="12"/>
      <c r="T73" s="12"/>
      <c r="U73" s="13"/>
    </row>
    <row r="74" customFormat="false" ht="15" hidden="false" customHeight="false" outlineLevel="0" collapsed="false">
      <c r="A74" s="12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4" t="str">
        <f aca="false">IF(K74="","",IFERROR(INDEX(Lists!$G$2:$G$5,MATCH(K74,Lists!$F$2:$F$5,0)),""))</f>
        <v/>
      </c>
      <c r="M74" s="13"/>
      <c r="N74" s="13"/>
      <c r="O74" s="13"/>
      <c r="P74" s="13"/>
      <c r="Q74" s="12"/>
      <c r="R74" s="15" t="str">
        <f aca="true">IF(OR(C74="",Q74=""),"",IF(OR(J74="Won",J74="Lost"),"",IF(Q74&lt;TODAY(),"OVERDUE",IF(Q74=TODAY(),"TODAY",""))))</f>
        <v/>
      </c>
      <c r="S74" s="12"/>
      <c r="T74" s="12"/>
      <c r="U74" s="13"/>
    </row>
    <row r="75" customFormat="false" ht="15" hidden="false" customHeight="false" outlineLevel="0" collapsed="false">
      <c r="A75" s="12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4" t="str">
        <f aca="false">IF(K75="","",IFERROR(INDEX(Lists!$G$2:$G$5,MATCH(K75,Lists!$F$2:$F$5,0)),""))</f>
        <v/>
      </c>
      <c r="M75" s="13"/>
      <c r="N75" s="13"/>
      <c r="O75" s="13"/>
      <c r="P75" s="13"/>
      <c r="Q75" s="12"/>
      <c r="R75" s="15" t="str">
        <f aca="true">IF(OR(C75="",Q75=""),"",IF(OR(J75="Won",J75="Lost"),"",IF(Q75&lt;TODAY(),"OVERDUE",IF(Q75=TODAY(),"TODAY",""))))</f>
        <v/>
      </c>
      <c r="S75" s="12"/>
      <c r="T75" s="12"/>
      <c r="U75" s="13"/>
    </row>
    <row r="76" customFormat="false" ht="15" hidden="false" customHeight="false" outlineLevel="0" collapsed="false">
      <c r="A76" s="12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4" t="str">
        <f aca="false">IF(K76="","",IFERROR(INDEX(Lists!$G$2:$G$5,MATCH(K76,Lists!$F$2:$F$5,0)),""))</f>
        <v/>
      </c>
      <c r="M76" s="13"/>
      <c r="N76" s="13"/>
      <c r="O76" s="13"/>
      <c r="P76" s="13"/>
      <c r="Q76" s="12"/>
      <c r="R76" s="15" t="str">
        <f aca="true">IF(OR(C76="",Q76=""),"",IF(OR(J76="Won",J76="Lost"),"",IF(Q76&lt;TODAY(),"OVERDUE",IF(Q76=TODAY(),"TODAY",""))))</f>
        <v/>
      </c>
      <c r="S76" s="12"/>
      <c r="T76" s="12"/>
      <c r="U76" s="13"/>
    </row>
    <row r="77" customFormat="false" ht="15" hidden="false" customHeight="false" outlineLevel="0" collapsed="false">
      <c r="A77" s="12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4" t="str">
        <f aca="false">IF(K77="","",IFERROR(INDEX(Lists!$G$2:$G$5,MATCH(K77,Lists!$F$2:$F$5,0)),""))</f>
        <v/>
      </c>
      <c r="M77" s="13"/>
      <c r="N77" s="13"/>
      <c r="O77" s="13"/>
      <c r="P77" s="13"/>
      <c r="Q77" s="12"/>
      <c r="R77" s="15" t="str">
        <f aca="true">IF(OR(C77="",Q77=""),"",IF(OR(J77="Won",J77="Lost"),"",IF(Q77&lt;TODAY(),"OVERDUE",IF(Q77=TODAY(),"TODAY",""))))</f>
        <v/>
      </c>
      <c r="S77" s="12"/>
      <c r="T77" s="12"/>
      <c r="U77" s="13"/>
    </row>
    <row r="78" customFormat="false" ht="15" hidden="false" customHeight="false" outlineLevel="0" collapsed="false">
      <c r="A78" s="12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4" t="str">
        <f aca="false">IF(K78="","",IFERROR(INDEX(Lists!$G$2:$G$5,MATCH(K78,Lists!$F$2:$F$5,0)),""))</f>
        <v/>
      </c>
      <c r="M78" s="13"/>
      <c r="N78" s="13"/>
      <c r="O78" s="13"/>
      <c r="P78" s="13"/>
      <c r="Q78" s="12"/>
      <c r="R78" s="15" t="str">
        <f aca="true">IF(OR(C78="",Q78=""),"",IF(OR(J78="Won",J78="Lost"),"",IF(Q78&lt;TODAY(),"OVERDUE",IF(Q78=TODAY(),"TODAY",""))))</f>
        <v/>
      </c>
      <c r="S78" s="12"/>
      <c r="T78" s="12"/>
      <c r="U78" s="13"/>
    </row>
    <row r="79" customFormat="false" ht="15" hidden="false" customHeight="false" outlineLevel="0" collapsed="false">
      <c r="A79" s="12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4" t="str">
        <f aca="false">IF(K79="","",IFERROR(INDEX(Lists!$G$2:$G$5,MATCH(K79,Lists!$F$2:$F$5,0)),""))</f>
        <v/>
      </c>
      <c r="M79" s="13"/>
      <c r="N79" s="13"/>
      <c r="O79" s="13"/>
      <c r="P79" s="13"/>
      <c r="Q79" s="12"/>
      <c r="R79" s="15" t="str">
        <f aca="true">IF(OR(C79="",Q79=""),"",IF(OR(J79="Won",J79="Lost"),"",IF(Q79&lt;TODAY(),"OVERDUE",IF(Q79=TODAY(),"TODAY",""))))</f>
        <v/>
      </c>
      <c r="S79" s="12"/>
      <c r="T79" s="12"/>
      <c r="U79" s="13"/>
    </row>
    <row r="80" customFormat="false" ht="15" hidden="false" customHeight="false" outlineLevel="0" collapsed="false">
      <c r="A80" s="12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4" t="str">
        <f aca="false">IF(K80="","",IFERROR(INDEX(Lists!$G$2:$G$5,MATCH(K80,Lists!$F$2:$F$5,0)),""))</f>
        <v/>
      </c>
      <c r="M80" s="13"/>
      <c r="N80" s="13"/>
      <c r="O80" s="13"/>
      <c r="P80" s="13"/>
      <c r="Q80" s="12"/>
      <c r="R80" s="15" t="str">
        <f aca="true">IF(OR(C80="",Q80=""),"",IF(OR(J80="Won",J80="Lost"),"",IF(Q80&lt;TODAY(),"OVERDUE",IF(Q80=TODAY(),"TODAY",""))))</f>
        <v/>
      </c>
      <c r="S80" s="12"/>
      <c r="T80" s="12"/>
      <c r="U80" s="13"/>
    </row>
    <row r="81" customFormat="false" ht="15" hidden="false" customHeight="false" outlineLevel="0" collapsed="false">
      <c r="A81" s="12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4" t="str">
        <f aca="false">IF(K81="","",IFERROR(INDEX(Lists!$G$2:$G$5,MATCH(K81,Lists!$F$2:$F$5,0)),""))</f>
        <v/>
      </c>
      <c r="M81" s="13"/>
      <c r="N81" s="13"/>
      <c r="O81" s="13"/>
      <c r="P81" s="13"/>
      <c r="Q81" s="12"/>
      <c r="R81" s="15" t="str">
        <f aca="true">IF(OR(C81="",Q81=""),"",IF(OR(J81="Won",J81="Lost"),"",IF(Q81&lt;TODAY(),"OVERDUE",IF(Q81=TODAY(),"TODAY",""))))</f>
        <v/>
      </c>
      <c r="S81" s="12"/>
      <c r="T81" s="12"/>
      <c r="U81" s="13"/>
    </row>
    <row r="82" customFormat="false" ht="15" hidden="false" customHeight="false" outlineLevel="0" collapsed="false">
      <c r="A82" s="12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4" t="str">
        <f aca="false">IF(K82="","",IFERROR(INDEX(Lists!$G$2:$G$5,MATCH(K82,Lists!$F$2:$F$5,0)),""))</f>
        <v/>
      </c>
      <c r="M82" s="13"/>
      <c r="N82" s="13"/>
      <c r="O82" s="13"/>
      <c r="P82" s="13"/>
      <c r="Q82" s="12"/>
      <c r="R82" s="15" t="str">
        <f aca="true">IF(OR(C82="",Q82=""),"",IF(OR(J82="Won",J82="Lost"),"",IF(Q82&lt;TODAY(),"OVERDUE",IF(Q82=TODAY(),"TODAY",""))))</f>
        <v/>
      </c>
      <c r="S82" s="12"/>
      <c r="T82" s="12"/>
      <c r="U82" s="13"/>
    </row>
    <row r="83" customFormat="false" ht="15" hidden="false" customHeight="false" outlineLevel="0" collapsed="false">
      <c r="A83" s="12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4" t="str">
        <f aca="false">IF(K83="","",IFERROR(INDEX(Lists!$G$2:$G$5,MATCH(K83,Lists!$F$2:$F$5,0)),""))</f>
        <v/>
      </c>
      <c r="M83" s="13"/>
      <c r="N83" s="13"/>
      <c r="O83" s="13"/>
      <c r="P83" s="13"/>
      <c r="Q83" s="12"/>
      <c r="R83" s="15" t="str">
        <f aca="true">IF(OR(C83="",Q83=""),"",IF(OR(J83="Won",J83="Lost"),"",IF(Q83&lt;TODAY(),"OVERDUE",IF(Q83=TODAY(),"TODAY",""))))</f>
        <v/>
      </c>
      <c r="S83" s="12"/>
      <c r="T83" s="12"/>
      <c r="U83" s="13"/>
    </row>
    <row r="84" customFormat="false" ht="15" hidden="false" customHeight="false" outlineLevel="0" collapsed="false">
      <c r="A84" s="12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4" t="str">
        <f aca="false">IF(K84="","",IFERROR(INDEX(Lists!$G$2:$G$5,MATCH(K84,Lists!$F$2:$F$5,0)),""))</f>
        <v/>
      </c>
      <c r="M84" s="13"/>
      <c r="N84" s="13"/>
      <c r="O84" s="13"/>
      <c r="P84" s="13"/>
      <c r="Q84" s="12"/>
      <c r="R84" s="15" t="str">
        <f aca="true">IF(OR(C84="",Q84=""),"",IF(OR(J84="Won",J84="Lost"),"",IF(Q84&lt;TODAY(),"OVERDUE",IF(Q84=TODAY(),"TODAY",""))))</f>
        <v/>
      </c>
      <c r="S84" s="12"/>
      <c r="T84" s="12"/>
      <c r="U84" s="13"/>
    </row>
    <row r="85" customFormat="false" ht="15" hidden="false" customHeight="false" outlineLevel="0" collapsed="false">
      <c r="A85" s="12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4" t="str">
        <f aca="false">IF(K85="","",IFERROR(INDEX(Lists!$G$2:$G$5,MATCH(K85,Lists!$F$2:$F$5,0)),""))</f>
        <v/>
      </c>
      <c r="M85" s="13"/>
      <c r="N85" s="13"/>
      <c r="O85" s="13"/>
      <c r="P85" s="13"/>
      <c r="Q85" s="12"/>
      <c r="R85" s="15" t="str">
        <f aca="true">IF(OR(C85="",Q85=""),"",IF(OR(J85="Won",J85="Lost"),"",IF(Q85&lt;TODAY(),"OVERDUE",IF(Q85=TODAY(),"TODAY",""))))</f>
        <v/>
      </c>
      <c r="S85" s="12"/>
      <c r="T85" s="12"/>
      <c r="U85" s="13"/>
    </row>
    <row r="86" customFormat="false" ht="15" hidden="false" customHeight="false" outlineLevel="0" collapsed="false">
      <c r="A86" s="12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4" t="str">
        <f aca="false">IF(K86="","",IFERROR(INDEX(Lists!$G$2:$G$5,MATCH(K86,Lists!$F$2:$F$5,0)),""))</f>
        <v/>
      </c>
      <c r="M86" s="13"/>
      <c r="N86" s="13"/>
      <c r="O86" s="13"/>
      <c r="P86" s="13"/>
      <c r="Q86" s="12"/>
      <c r="R86" s="15" t="str">
        <f aca="true">IF(OR(C86="",Q86=""),"",IF(OR(J86="Won",J86="Lost"),"",IF(Q86&lt;TODAY(),"OVERDUE",IF(Q86=TODAY(),"TODAY",""))))</f>
        <v/>
      </c>
      <c r="S86" s="12"/>
      <c r="T86" s="12"/>
      <c r="U86" s="13"/>
    </row>
    <row r="87" customFormat="false" ht="15" hidden="false" customHeight="false" outlineLevel="0" collapsed="false">
      <c r="A87" s="12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4" t="str">
        <f aca="false">IF(K87="","",IFERROR(INDEX(Lists!$G$2:$G$5,MATCH(K87,Lists!$F$2:$F$5,0)),""))</f>
        <v/>
      </c>
      <c r="M87" s="13"/>
      <c r="N87" s="13"/>
      <c r="O87" s="13"/>
      <c r="P87" s="13"/>
      <c r="Q87" s="12"/>
      <c r="R87" s="15" t="str">
        <f aca="true">IF(OR(C87="",Q87=""),"",IF(OR(J87="Won",J87="Lost"),"",IF(Q87&lt;TODAY(),"OVERDUE",IF(Q87=TODAY(),"TODAY",""))))</f>
        <v/>
      </c>
      <c r="S87" s="12"/>
      <c r="T87" s="12"/>
      <c r="U87" s="13"/>
    </row>
    <row r="88" customFormat="false" ht="15" hidden="false" customHeight="false" outlineLevel="0" collapsed="false">
      <c r="A88" s="12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4" t="str">
        <f aca="false">IF(K88="","",IFERROR(INDEX(Lists!$G$2:$G$5,MATCH(K88,Lists!$F$2:$F$5,0)),""))</f>
        <v/>
      </c>
      <c r="M88" s="13"/>
      <c r="N88" s="13"/>
      <c r="O88" s="13"/>
      <c r="P88" s="13"/>
      <c r="Q88" s="12"/>
      <c r="R88" s="15" t="str">
        <f aca="true">IF(OR(C88="",Q88=""),"",IF(OR(J88="Won",J88="Lost"),"",IF(Q88&lt;TODAY(),"OVERDUE",IF(Q88=TODAY(),"TODAY",""))))</f>
        <v/>
      </c>
      <c r="S88" s="12"/>
      <c r="T88" s="12"/>
      <c r="U88" s="13"/>
    </row>
    <row r="89" customFormat="false" ht="15" hidden="false" customHeight="false" outlineLevel="0" collapsed="false">
      <c r="A89" s="12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4" t="str">
        <f aca="false">IF(K89="","",IFERROR(INDEX(Lists!$G$2:$G$5,MATCH(K89,Lists!$F$2:$F$5,0)),""))</f>
        <v/>
      </c>
      <c r="M89" s="13"/>
      <c r="N89" s="13"/>
      <c r="O89" s="13"/>
      <c r="P89" s="13"/>
      <c r="Q89" s="12"/>
      <c r="R89" s="15" t="str">
        <f aca="true">IF(OR(C89="",Q89=""),"",IF(OR(J89="Won",J89="Lost"),"",IF(Q89&lt;TODAY(),"OVERDUE",IF(Q89=TODAY(),"TODAY",""))))</f>
        <v/>
      </c>
      <c r="S89" s="12"/>
      <c r="T89" s="12"/>
      <c r="U89" s="13"/>
    </row>
    <row r="90" customFormat="false" ht="15" hidden="false" customHeight="false" outlineLevel="0" collapsed="false">
      <c r="A90" s="12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4" t="str">
        <f aca="false">IF(K90="","",IFERROR(INDEX(Lists!$G$2:$G$5,MATCH(K90,Lists!$F$2:$F$5,0)),""))</f>
        <v/>
      </c>
      <c r="M90" s="13"/>
      <c r="N90" s="13"/>
      <c r="O90" s="13"/>
      <c r="P90" s="13"/>
      <c r="Q90" s="12"/>
      <c r="R90" s="15" t="str">
        <f aca="true">IF(OR(C90="",Q90=""),"",IF(OR(J90="Won",J90="Lost"),"",IF(Q90&lt;TODAY(),"OVERDUE",IF(Q90=TODAY(),"TODAY",""))))</f>
        <v/>
      </c>
      <c r="S90" s="12"/>
      <c r="T90" s="12"/>
      <c r="U90" s="13"/>
    </row>
    <row r="91" customFormat="false" ht="15" hidden="false" customHeight="false" outlineLevel="0" collapsed="false">
      <c r="A91" s="12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4" t="str">
        <f aca="false">IF(K91="","",IFERROR(INDEX(Lists!$G$2:$G$5,MATCH(K91,Lists!$F$2:$F$5,0)),""))</f>
        <v/>
      </c>
      <c r="M91" s="13"/>
      <c r="N91" s="13"/>
      <c r="O91" s="13"/>
      <c r="P91" s="13"/>
      <c r="Q91" s="12"/>
      <c r="R91" s="15" t="str">
        <f aca="true">IF(OR(C91="",Q91=""),"",IF(OR(J91="Won",J91="Lost"),"",IF(Q91&lt;TODAY(),"OVERDUE",IF(Q91=TODAY(),"TODAY",""))))</f>
        <v/>
      </c>
      <c r="S91" s="12"/>
      <c r="T91" s="12"/>
      <c r="U91" s="13"/>
    </row>
    <row r="92" customFormat="false" ht="15" hidden="false" customHeight="false" outlineLevel="0" collapsed="false">
      <c r="A92" s="12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4" t="str">
        <f aca="false">IF(K92="","",IFERROR(INDEX(Lists!$G$2:$G$5,MATCH(K92,Lists!$F$2:$F$5,0)),""))</f>
        <v/>
      </c>
      <c r="M92" s="13"/>
      <c r="N92" s="13"/>
      <c r="O92" s="13"/>
      <c r="P92" s="13"/>
      <c r="Q92" s="12"/>
      <c r="R92" s="15" t="str">
        <f aca="true">IF(OR(C92="",Q92=""),"",IF(OR(J92="Won",J92="Lost"),"",IF(Q92&lt;TODAY(),"OVERDUE",IF(Q92=TODAY(),"TODAY",""))))</f>
        <v/>
      </c>
      <c r="S92" s="12"/>
      <c r="T92" s="12"/>
      <c r="U92" s="13"/>
    </row>
    <row r="93" customFormat="false" ht="15" hidden="false" customHeight="false" outlineLevel="0" collapsed="false">
      <c r="A93" s="12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4" t="str">
        <f aca="false">IF(K93="","",IFERROR(INDEX(Lists!$G$2:$G$5,MATCH(K93,Lists!$F$2:$F$5,0)),""))</f>
        <v/>
      </c>
      <c r="M93" s="13"/>
      <c r="N93" s="13"/>
      <c r="O93" s="13"/>
      <c r="P93" s="13"/>
      <c r="Q93" s="12"/>
      <c r="R93" s="15" t="str">
        <f aca="true">IF(OR(C93="",Q93=""),"",IF(OR(J93="Won",J93="Lost"),"",IF(Q93&lt;TODAY(),"OVERDUE",IF(Q93=TODAY(),"TODAY",""))))</f>
        <v/>
      </c>
      <c r="S93" s="12"/>
      <c r="T93" s="12"/>
      <c r="U93" s="13"/>
    </row>
    <row r="94" customFormat="false" ht="15" hidden="false" customHeight="false" outlineLevel="0" collapsed="false">
      <c r="A94" s="12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4" t="str">
        <f aca="false">IF(K94="","",IFERROR(INDEX(Lists!$G$2:$G$5,MATCH(K94,Lists!$F$2:$F$5,0)),""))</f>
        <v/>
      </c>
      <c r="M94" s="13"/>
      <c r="N94" s="13"/>
      <c r="O94" s="13"/>
      <c r="P94" s="13"/>
      <c r="Q94" s="12"/>
      <c r="R94" s="15" t="str">
        <f aca="true">IF(OR(C94="",Q94=""),"",IF(OR(J94="Won",J94="Lost"),"",IF(Q94&lt;TODAY(),"OVERDUE",IF(Q94=TODAY(),"TODAY",""))))</f>
        <v/>
      </c>
      <c r="S94" s="12"/>
      <c r="T94" s="12"/>
      <c r="U94" s="13"/>
    </row>
    <row r="95" customFormat="false" ht="15" hidden="false" customHeight="false" outlineLevel="0" collapsed="false">
      <c r="A95" s="12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4" t="str">
        <f aca="false">IF(K95="","",IFERROR(INDEX(Lists!$G$2:$G$5,MATCH(K95,Lists!$F$2:$F$5,0)),""))</f>
        <v/>
      </c>
      <c r="M95" s="13"/>
      <c r="N95" s="13"/>
      <c r="O95" s="13"/>
      <c r="P95" s="13"/>
      <c r="Q95" s="12"/>
      <c r="R95" s="15" t="str">
        <f aca="true">IF(OR(C95="",Q95=""),"",IF(OR(J95="Won",J95="Lost"),"",IF(Q95&lt;TODAY(),"OVERDUE",IF(Q95=TODAY(),"TODAY",""))))</f>
        <v/>
      </c>
      <c r="S95" s="12"/>
      <c r="T95" s="12"/>
      <c r="U95" s="13"/>
    </row>
    <row r="96" customFormat="false" ht="15" hidden="false" customHeight="false" outlineLevel="0" collapsed="false">
      <c r="A96" s="12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4" t="str">
        <f aca="false">IF(K96="","",IFERROR(INDEX(Lists!$G$2:$G$5,MATCH(K96,Lists!$F$2:$F$5,0)),""))</f>
        <v/>
      </c>
      <c r="M96" s="13"/>
      <c r="N96" s="13"/>
      <c r="O96" s="13"/>
      <c r="P96" s="13"/>
      <c r="Q96" s="12"/>
      <c r="R96" s="15" t="str">
        <f aca="true">IF(OR(C96="",Q96=""),"",IF(OR(J96="Won",J96="Lost"),"",IF(Q96&lt;TODAY(),"OVERDUE",IF(Q96=TODAY(),"TODAY",""))))</f>
        <v/>
      </c>
      <c r="S96" s="12"/>
      <c r="T96" s="12"/>
      <c r="U96" s="13"/>
    </row>
    <row r="97" customFormat="false" ht="15" hidden="false" customHeight="false" outlineLevel="0" collapsed="false">
      <c r="A97" s="12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4" t="str">
        <f aca="false">IF(K97="","",IFERROR(INDEX(Lists!$G$2:$G$5,MATCH(K97,Lists!$F$2:$F$5,0)),""))</f>
        <v/>
      </c>
      <c r="M97" s="13"/>
      <c r="N97" s="13"/>
      <c r="O97" s="13"/>
      <c r="P97" s="13"/>
      <c r="Q97" s="12"/>
      <c r="R97" s="15" t="str">
        <f aca="true">IF(OR(C97="",Q97=""),"",IF(OR(J97="Won",J97="Lost"),"",IF(Q97&lt;TODAY(),"OVERDUE",IF(Q97=TODAY(),"TODAY",""))))</f>
        <v/>
      </c>
      <c r="S97" s="12"/>
      <c r="T97" s="12"/>
      <c r="U97" s="13"/>
    </row>
    <row r="98" customFormat="false" ht="15" hidden="false" customHeight="false" outlineLevel="0" collapsed="false">
      <c r="A98" s="12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4" t="str">
        <f aca="false">IF(K98="","",IFERROR(INDEX(Lists!$G$2:$G$5,MATCH(K98,Lists!$F$2:$F$5,0)),""))</f>
        <v/>
      </c>
      <c r="M98" s="13"/>
      <c r="N98" s="13"/>
      <c r="O98" s="13"/>
      <c r="P98" s="13"/>
      <c r="Q98" s="12"/>
      <c r="R98" s="15" t="str">
        <f aca="true">IF(OR(C98="",Q98=""),"",IF(OR(J98="Won",J98="Lost"),"",IF(Q98&lt;TODAY(),"OVERDUE",IF(Q98=TODAY(),"TODAY",""))))</f>
        <v/>
      </c>
      <c r="S98" s="12"/>
      <c r="T98" s="12"/>
      <c r="U98" s="13"/>
    </row>
    <row r="99" customFormat="false" ht="15" hidden="false" customHeight="false" outlineLevel="0" collapsed="false">
      <c r="A99" s="12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4" t="str">
        <f aca="false">IF(K99="","",IFERROR(INDEX(Lists!$G$2:$G$5,MATCH(K99,Lists!$F$2:$F$5,0)),""))</f>
        <v/>
      </c>
      <c r="M99" s="13"/>
      <c r="N99" s="13"/>
      <c r="O99" s="13"/>
      <c r="P99" s="13"/>
      <c r="Q99" s="12"/>
      <c r="R99" s="15" t="str">
        <f aca="true">IF(OR(C99="",Q99=""),"",IF(OR(J99="Won",J99="Lost"),"",IF(Q99&lt;TODAY(),"OVERDUE",IF(Q99=TODAY(),"TODAY",""))))</f>
        <v/>
      </c>
      <c r="S99" s="12"/>
      <c r="T99" s="12"/>
      <c r="U99" s="13"/>
    </row>
    <row r="100" customFormat="false" ht="15" hidden="false" customHeight="false" outlineLevel="0" collapsed="false">
      <c r="A100" s="12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4" t="str">
        <f aca="false">IF(K100="","",IFERROR(INDEX(Lists!$G$2:$G$5,MATCH(K100,Lists!$F$2:$F$5,0)),""))</f>
        <v/>
      </c>
      <c r="M100" s="13"/>
      <c r="N100" s="13"/>
      <c r="O100" s="13"/>
      <c r="P100" s="13"/>
      <c r="Q100" s="12"/>
      <c r="R100" s="15" t="str">
        <f aca="true">IF(OR(C100="",Q100=""),"",IF(OR(J100="Won",J100="Lost"),"",IF(Q100&lt;TODAY(),"OVERDUE",IF(Q100=TODAY(),"TODAY",""))))</f>
        <v/>
      </c>
      <c r="S100" s="12"/>
      <c r="T100" s="12"/>
      <c r="U100" s="13"/>
    </row>
    <row r="101" customFormat="false" ht="15" hidden="false" customHeight="false" outlineLevel="0" collapsed="false">
      <c r="A101" s="12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4" t="str">
        <f aca="false">IF(K101="","",IFERROR(INDEX(Lists!$G$2:$G$5,MATCH(K101,Lists!$F$2:$F$5,0)),""))</f>
        <v/>
      </c>
      <c r="M101" s="13"/>
      <c r="N101" s="13"/>
      <c r="O101" s="13"/>
      <c r="P101" s="13"/>
      <c r="Q101" s="12"/>
      <c r="R101" s="15" t="str">
        <f aca="true">IF(OR(C101="",Q101=""),"",IF(OR(J101="Won",J101="Lost"),"",IF(Q101&lt;TODAY(),"OVERDUE",IF(Q101=TODAY(),"TODAY",""))))</f>
        <v/>
      </c>
      <c r="S101" s="12"/>
      <c r="T101" s="12"/>
      <c r="U101" s="13"/>
    </row>
    <row r="102" customFormat="false" ht="15" hidden="false" customHeight="false" outlineLevel="0" collapsed="false">
      <c r="A102" s="12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4" t="str">
        <f aca="false">IF(K102="","",IFERROR(INDEX(Lists!$G$2:$G$5,MATCH(K102,Lists!$F$2:$F$5,0)),""))</f>
        <v/>
      </c>
      <c r="M102" s="13"/>
      <c r="N102" s="13"/>
      <c r="O102" s="13"/>
      <c r="P102" s="13"/>
      <c r="Q102" s="12"/>
      <c r="R102" s="15" t="str">
        <f aca="true">IF(OR(C102="",Q102=""),"",IF(OR(J102="Won",J102="Lost"),"",IF(Q102&lt;TODAY(),"OVERDUE",IF(Q102=TODAY(),"TODAY",""))))</f>
        <v/>
      </c>
      <c r="S102" s="12"/>
      <c r="T102" s="12"/>
      <c r="U102" s="13"/>
    </row>
    <row r="103" customFormat="false" ht="15" hidden="false" customHeight="false" outlineLevel="0" collapsed="false">
      <c r="A103" s="12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4" t="str">
        <f aca="false">IF(K103="","",IFERROR(INDEX(Lists!$G$2:$G$5,MATCH(K103,Lists!$F$2:$F$5,0)),""))</f>
        <v/>
      </c>
      <c r="M103" s="13"/>
      <c r="N103" s="13"/>
      <c r="O103" s="13"/>
      <c r="P103" s="13"/>
      <c r="Q103" s="12"/>
      <c r="R103" s="15" t="str">
        <f aca="true">IF(OR(C103="",Q103=""),"",IF(OR(J103="Won",J103="Lost"),"",IF(Q103&lt;TODAY(),"OVERDUE",IF(Q103=TODAY(),"TODAY",""))))</f>
        <v/>
      </c>
      <c r="S103" s="12"/>
      <c r="T103" s="12"/>
      <c r="U103" s="13"/>
    </row>
    <row r="104" customFormat="false" ht="15" hidden="false" customHeight="false" outlineLevel="0" collapsed="false">
      <c r="A104" s="12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4" t="str">
        <f aca="false">IF(K104="","",IFERROR(INDEX(Lists!$G$2:$G$5,MATCH(K104,Lists!$F$2:$F$5,0)),""))</f>
        <v/>
      </c>
      <c r="M104" s="13"/>
      <c r="N104" s="13"/>
      <c r="O104" s="13"/>
      <c r="P104" s="13"/>
      <c r="Q104" s="12"/>
      <c r="R104" s="15" t="str">
        <f aca="true">IF(OR(C104="",Q104=""),"",IF(OR(J104="Won",J104="Lost"),"",IF(Q104&lt;TODAY(),"OVERDUE",IF(Q104=TODAY(),"TODAY",""))))</f>
        <v/>
      </c>
      <c r="S104" s="12"/>
      <c r="T104" s="12"/>
      <c r="U104" s="13"/>
    </row>
    <row r="105" customFormat="false" ht="15" hidden="false" customHeight="false" outlineLevel="0" collapsed="false">
      <c r="A105" s="12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4" t="str">
        <f aca="false">IF(K105="","",IFERROR(INDEX(Lists!$G$2:$G$5,MATCH(K105,Lists!$F$2:$F$5,0)),""))</f>
        <v/>
      </c>
      <c r="M105" s="13"/>
      <c r="N105" s="13"/>
      <c r="O105" s="13"/>
      <c r="P105" s="13"/>
      <c r="Q105" s="12"/>
      <c r="R105" s="15" t="str">
        <f aca="true">IF(OR(C105="",Q105=""),"",IF(OR(J105="Won",J105="Lost"),"",IF(Q105&lt;TODAY(),"OVERDUE",IF(Q105=TODAY(),"TODAY",""))))</f>
        <v/>
      </c>
      <c r="S105" s="12"/>
      <c r="T105" s="12"/>
      <c r="U105" s="13"/>
    </row>
    <row r="106" customFormat="false" ht="15" hidden="false" customHeight="false" outlineLevel="0" collapsed="false">
      <c r="A106" s="12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4" t="str">
        <f aca="false">IF(K106="","",IFERROR(INDEX(Lists!$G$2:$G$5,MATCH(K106,Lists!$F$2:$F$5,0)),""))</f>
        <v/>
      </c>
      <c r="M106" s="13"/>
      <c r="N106" s="13"/>
      <c r="O106" s="13"/>
      <c r="P106" s="13"/>
      <c r="Q106" s="12"/>
      <c r="R106" s="15" t="str">
        <f aca="true">IF(OR(C106="",Q106=""),"",IF(OR(J106="Won",J106="Lost"),"",IF(Q106&lt;TODAY(),"OVERDUE",IF(Q106=TODAY(),"TODAY",""))))</f>
        <v/>
      </c>
      <c r="S106" s="12"/>
      <c r="T106" s="12"/>
      <c r="U106" s="13"/>
    </row>
    <row r="107" customFormat="false" ht="15" hidden="false" customHeight="false" outlineLevel="0" collapsed="false">
      <c r="A107" s="12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4" t="str">
        <f aca="false">IF(K107="","",IFERROR(INDEX(Lists!$G$2:$G$5,MATCH(K107,Lists!$F$2:$F$5,0)),""))</f>
        <v/>
      </c>
      <c r="M107" s="13"/>
      <c r="N107" s="13"/>
      <c r="O107" s="13"/>
      <c r="P107" s="13"/>
      <c r="Q107" s="12"/>
      <c r="R107" s="15" t="str">
        <f aca="true">IF(OR(C107="",Q107=""),"",IF(OR(J107="Won",J107="Lost"),"",IF(Q107&lt;TODAY(),"OVERDUE",IF(Q107=TODAY(),"TODAY",""))))</f>
        <v/>
      </c>
      <c r="S107" s="12"/>
      <c r="T107" s="12"/>
      <c r="U107" s="13"/>
    </row>
    <row r="108" customFormat="false" ht="15" hidden="false" customHeight="false" outlineLevel="0" collapsed="false">
      <c r="A108" s="12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4" t="str">
        <f aca="false">IF(K108="","",IFERROR(INDEX(Lists!$G$2:$G$5,MATCH(K108,Lists!$F$2:$F$5,0)),""))</f>
        <v/>
      </c>
      <c r="M108" s="13"/>
      <c r="N108" s="13"/>
      <c r="O108" s="13"/>
      <c r="P108" s="13"/>
      <c r="Q108" s="12"/>
      <c r="R108" s="15" t="str">
        <f aca="true">IF(OR(C108="",Q108=""),"",IF(OR(J108="Won",J108="Lost"),"",IF(Q108&lt;TODAY(),"OVERDUE",IF(Q108=TODAY(),"TODAY",""))))</f>
        <v/>
      </c>
      <c r="S108" s="12"/>
      <c r="T108" s="12"/>
      <c r="U108" s="13"/>
    </row>
    <row r="109" customFormat="false" ht="15" hidden="false" customHeight="false" outlineLevel="0" collapsed="false">
      <c r="A109" s="12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4" t="str">
        <f aca="false">IF(K109="","",IFERROR(INDEX(Lists!$G$2:$G$5,MATCH(K109,Lists!$F$2:$F$5,0)),""))</f>
        <v/>
      </c>
      <c r="M109" s="13"/>
      <c r="N109" s="13"/>
      <c r="O109" s="13"/>
      <c r="P109" s="13"/>
      <c r="Q109" s="12"/>
      <c r="R109" s="15" t="str">
        <f aca="true">IF(OR(C109="",Q109=""),"",IF(OR(J109="Won",J109="Lost"),"",IF(Q109&lt;TODAY(),"OVERDUE",IF(Q109=TODAY(),"TODAY",""))))</f>
        <v/>
      </c>
      <c r="S109" s="12"/>
      <c r="T109" s="12"/>
      <c r="U109" s="13"/>
    </row>
    <row r="110" customFormat="false" ht="15" hidden="false" customHeight="false" outlineLevel="0" collapsed="false">
      <c r="A110" s="12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4" t="str">
        <f aca="false">IF(K110="","",IFERROR(INDEX(Lists!$G$2:$G$5,MATCH(K110,Lists!$F$2:$F$5,0)),""))</f>
        <v/>
      </c>
      <c r="M110" s="13"/>
      <c r="N110" s="13"/>
      <c r="O110" s="13"/>
      <c r="P110" s="13"/>
      <c r="Q110" s="12"/>
      <c r="R110" s="15" t="str">
        <f aca="true">IF(OR(C110="",Q110=""),"",IF(OR(J110="Won",J110="Lost"),"",IF(Q110&lt;TODAY(),"OVERDUE",IF(Q110=TODAY(),"TODAY",""))))</f>
        <v/>
      </c>
      <c r="S110" s="12"/>
      <c r="T110" s="12"/>
      <c r="U110" s="13"/>
    </row>
    <row r="111" customFormat="false" ht="15" hidden="false" customHeight="false" outlineLevel="0" collapsed="false">
      <c r="A111" s="12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4" t="str">
        <f aca="false">IF(K111="","",IFERROR(INDEX(Lists!$G$2:$G$5,MATCH(K111,Lists!$F$2:$F$5,0)),""))</f>
        <v/>
      </c>
      <c r="M111" s="13"/>
      <c r="N111" s="13"/>
      <c r="O111" s="13"/>
      <c r="P111" s="13"/>
      <c r="Q111" s="12"/>
      <c r="R111" s="15" t="str">
        <f aca="true">IF(OR(C111="",Q111=""),"",IF(OR(J111="Won",J111="Lost"),"",IF(Q111&lt;TODAY(),"OVERDUE",IF(Q111=TODAY(),"TODAY",""))))</f>
        <v/>
      </c>
      <c r="S111" s="12"/>
      <c r="T111" s="12"/>
      <c r="U111" s="13"/>
    </row>
    <row r="112" customFormat="false" ht="15" hidden="false" customHeight="false" outlineLevel="0" collapsed="false">
      <c r="A112" s="12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4" t="str">
        <f aca="false">IF(K112="","",IFERROR(INDEX(Lists!$G$2:$G$5,MATCH(K112,Lists!$F$2:$F$5,0)),""))</f>
        <v/>
      </c>
      <c r="M112" s="13"/>
      <c r="N112" s="13"/>
      <c r="O112" s="13"/>
      <c r="P112" s="13"/>
      <c r="Q112" s="12"/>
      <c r="R112" s="15" t="str">
        <f aca="true">IF(OR(C112="",Q112=""),"",IF(OR(J112="Won",J112="Lost"),"",IF(Q112&lt;TODAY(),"OVERDUE",IF(Q112=TODAY(),"TODAY",""))))</f>
        <v/>
      </c>
      <c r="S112" s="12"/>
      <c r="T112" s="12"/>
      <c r="U112" s="13"/>
    </row>
    <row r="113" customFormat="false" ht="15" hidden="false" customHeight="false" outlineLevel="0" collapsed="false">
      <c r="A113" s="12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4" t="str">
        <f aca="false">IF(K113="","",IFERROR(INDEX(Lists!$G$2:$G$5,MATCH(K113,Lists!$F$2:$F$5,0)),""))</f>
        <v/>
      </c>
      <c r="M113" s="13"/>
      <c r="N113" s="13"/>
      <c r="O113" s="13"/>
      <c r="P113" s="13"/>
      <c r="Q113" s="12"/>
      <c r="R113" s="15" t="str">
        <f aca="true">IF(OR(C113="",Q113=""),"",IF(OR(J113="Won",J113="Lost"),"",IF(Q113&lt;TODAY(),"OVERDUE",IF(Q113=TODAY(),"TODAY",""))))</f>
        <v/>
      </c>
      <c r="S113" s="12"/>
      <c r="T113" s="12"/>
      <c r="U113" s="13"/>
    </row>
    <row r="114" customFormat="false" ht="15" hidden="false" customHeight="false" outlineLevel="0" collapsed="false">
      <c r="A114" s="12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4" t="str">
        <f aca="false">IF(K114="","",IFERROR(INDEX(Lists!$G$2:$G$5,MATCH(K114,Lists!$F$2:$F$5,0)),""))</f>
        <v/>
      </c>
      <c r="M114" s="13"/>
      <c r="N114" s="13"/>
      <c r="O114" s="13"/>
      <c r="P114" s="13"/>
      <c r="Q114" s="12"/>
      <c r="R114" s="15" t="str">
        <f aca="true">IF(OR(C114="",Q114=""),"",IF(OR(J114="Won",J114="Lost"),"",IF(Q114&lt;TODAY(),"OVERDUE",IF(Q114=TODAY(),"TODAY",""))))</f>
        <v/>
      </c>
      <c r="S114" s="12"/>
      <c r="T114" s="12"/>
      <c r="U114" s="13"/>
    </row>
    <row r="115" customFormat="false" ht="15" hidden="false" customHeight="false" outlineLevel="0" collapsed="false">
      <c r="A115" s="12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4" t="str">
        <f aca="false">IF(K115="","",IFERROR(INDEX(Lists!$G$2:$G$5,MATCH(K115,Lists!$F$2:$F$5,0)),""))</f>
        <v/>
      </c>
      <c r="M115" s="13"/>
      <c r="N115" s="13"/>
      <c r="O115" s="13"/>
      <c r="P115" s="13"/>
      <c r="Q115" s="12"/>
      <c r="R115" s="15" t="str">
        <f aca="true">IF(OR(C115="",Q115=""),"",IF(OR(J115="Won",J115="Lost"),"",IF(Q115&lt;TODAY(),"OVERDUE",IF(Q115=TODAY(),"TODAY",""))))</f>
        <v/>
      </c>
      <c r="S115" s="12"/>
      <c r="T115" s="12"/>
      <c r="U115" s="13"/>
    </row>
    <row r="116" customFormat="false" ht="15" hidden="false" customHeight="false" outlineLevel="0" collapsed="false">
      <c r="A116" s="12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4" t="str">
        <f aca="false">IF(K116="","",IFERROR(INDEX(Lists!$G$2:$G$5,MATCH(K116,Lists!$F$2:$F$5,0)),""))</f>
        <v/>
      </c>
      <c r="M116" s="13"/>
      <c r="N116" s="13"/>
      <c r="O116" s="13"/>
      <c r="P116" s="13"/>
      <c r="Q116" s="12"/>
      <c r="R116" s="15" t="str">
        <f aca="true">IF(OR(C116="",Q116=""),"",IF(OR(J116="Won",J116="Lost"),"",IF(Q116&lt;TODAY(),"OVERDUE",IF(Q116=TODAY(),"TODAY",""))))</f>
        <v/>
      </c>
      <c r="S116" s="12"/>
      <c r="T116" s="12"/>
      <c r="U116" s="13"/>
    </row>
    <row r="117" customFormat="false" ht="15" hidden="false" customHeight="false" outlineLevel="0" collapsed="false">
      <c r="A117" s="12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4" t="str">
        <f aca="false">IF(K117="","",IFERROR(INDEX(Lists!$G$2:$G$5,MATCH(K117,Lists!$F$2:$F$5,0)),""))</f>
        <v/>
      </c>
      <c r="M117" s="13"/>
      <c r="N117" s="13"/>
      <c r="O117" s="13"/>
      <c r="P117" s="13"/>
      <c r="Q117" s="12"/>
      <c r="R117" s="15" t="str">
        <f aca="true">IF(OR(C117="",Q117=""),"",IF(OR(J117="Won",J117="Lost"),"",IF(Q117&lt;TODAY(),"OVERDUE",IF(Q117=TODAY(),"TODAY",""))))</f>
        <v/>
      </c>
      <c r="S117" s="12"/>
      <c r="T117" s="12"/>
      <c r="U117" s="13"/>
    </row>
    <row r="118" customFormat="false" ht="15" hidden="false" customHeight="false" outlineLevel="0" collapsed="false">
      <c r="A118" s="12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4" t="str">
        <f aca="false">IF(K118="","",IFERROR(INDEX(Lists!$G$2:$G$5,MATCH(K118,Lists!$F$2:$F$5,0)),""))</f>
        <v/>
      </c>
      <c r="M118" s="13"/>
      <c r="N118" s="13"/>
      <c r="O118" s="13"/>
      <c r="P118" s="13"/>
      <c r="Q118" s="12"/>
      <c r="R118" s="15" t="str">
        <f aca="true">IF(OR(C118="",Q118=""),"",IF(OR(J118="Won",J118="Lost"),"",IF(Q118&lt;TODAY(),"OVERDUE",IF(Q118=TODAY(),"TODAY",""))))</f>
        <v/>
      </c>
      <c r="S118" s="12"/>
      <c r="T118" s="12"/>
      <c r="U118" s="13"/>
    </row>
    <row r="119" customFormat="false" ht="15" hidden="false" customHeight="false" outlineLevel="0" collapsed="false">
      <c r="A119" s="12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4" t="str">
        <f aca="false">IF(K119="","",IFERROR(INDEX(Lists!$G$2:$G$5,MATCH(K119,Lists!$F$2:$F$5,0)),""))</f>
        <v/>
      </c>
      <c r="M119" s="13"/>
      <c r="N119" s="13"/>
      <c r="O119" s="13"/>
      <c r="P119" s="13"/>
      <c r="Q119" s="12"/>
      <c r="R119" s="15" t="str">
        <f aca="true">IF(OR(C119="",Q119=""),"",IF(OR(J119="Won",J119="Lost"),"",IF(Q119&lt;TODAY(),"OVERDUE",IF(Q119=TODAY(),"TODAY",""))))</f>
        <v/>
      </c>
      <c r="S119" s="12"/>
      <c r="T119" s="12"/>
      <c r="U119" s="13"/>
    </row>
    <row r="120" customFormat="false" ht="15" hidden="false" customHeight="false" outlineLevel="0" collapsed="false">
      <c r="A120" s="12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4" t="str">
        <f aca="false">IF(K120="","",IFERROR(INDEX(Lists!$G$2:$G$5,MATCH(K120,Lists!$F$2:$F$5,0)),""))</f>
        <v/>
      </c>
      <c r="M120" s="13"/>
      <c r="N120" s="13"/>
      <c r="O120" s="13"/>
      <c r="P120" s="13"/>
      <c r="Q120" s="12"/>
      <c r="R120" s="15" t="str">
        <f aca="true">IF(OR(C120="",Q120=""),"",IF(OR(J120="Won",J120="Lost"),"",IF(Q120&lt;TODAY(),"OVERDUE",IF(Q120=TODAY(),"TODAY",""))))</f>
        <v/>
      </c>
      <c r="S120" s="12"/>
      <c r="T120" s="12"/>
      <c r="U120" s="13"/>
    </row>
    <row r="121" customFormat="false" ht="15" hidden="false" customHeight="false" outlineLevel="0" collapsed="false">
      <c r="A121" s="12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4" t="str">
        <f aca="false">IF(K121="","",IFERROR(INDEX(Lists!$G$2:$G$5,MATCH(K121,Lists!$F$2:$F$5,0)),""))</f>
        <v/>
      </c>
      <c r="M121" s="13"/>
      <c r="N121" s="13"/>
      <c r="O121" s="13"/>
      <c r="P121" s="13"/>
      <c r="Q121" s="12"/>
      <c r="R121" s="15" t="str">
        <f aca="true">IF(OR(C121="",Q121=""),"",IF(OR(J121="Won",J121="Lost"),"",IF(Q121&lt;TODAY(),"OVERDUE",IF(Q121=TODAY(),"TODAY",""))))</f>
        <v/>
      </c>
      <c r="S121" s="12"/>
      <c r="T121" s="12"/>
      <c r="U121" s="13"/>
    </row>
    <row r="122" customFormat="false" ht="15" hidden="false" customHeight="false" outlineLevel="0" collapsed="false">
      <c r="A122" s="12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4" t="str">
        <f aca="false">IF(K122="","",IFERROR(INDEX(Lists!$G$2:$G$5,MATCH(K122,Lists!$F$2:$F$5,0)),""))</f>
        <v/>
      </c>
      <c r="M122" s="13"/>
      <c r="N122" s="13"/>
      <c r="O122" s="13"/>
      <c r="P122" s="13"/>
      <c r="Q122" s="12"/>
      <c r="R122" s="15" t="str">
        <f aca="true">IF(OR(C122="",Q122=""),"",IF(OR(J122="Won",J122="Lost"),"",IF(Q122&lt;TODAY(),"OVERDUE",IF(Q122=TODAY(),"TODAY",""))))</f>
        <v/>
      </c>
      <c r="S122" s="12"/>
      <c r="T122" s="12"/>
      <c r="U122" s="13"/>
    </row>
    <row r="123" customFormat="false" ht="15" hidden="false" customHeight="false" outlineLevel="0" collapsed="false">
      <c r="A123" s="12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4" t="str">
        <f aca="false">IF(K123="","",IFERROR(INDEX(Lists!$G$2:$G$5,MATCH(K123,Lists!$F$2:$F$5,0)),""))</f>
        <v/>
      </c>
      <c r="M123" s="13"/>
      <c r="N123" s="13"/>
      <c r="O123" s="13"/>
      <c r="P123" s="13"/>
      <c r="Q123" s="12"/>
      <c r="R123" s="15" t="str">
        <f aca="true">IF(OR(C123="",Q123=""),"",IF(OR(J123="Won",J123="Lost"),"",IF(Q123&lt;TODAY(),"OVERDUE",IF(Q123=TODAY(),"TODAY",""))))</f>
        <v/>
      </c>
      <c r="S123" s="12"/>
      <c r="T123" s="12"/>
      <c r="U123" s="13"/>
    </row>
    <row r="124" customFormat="false" ht="15" hidden="false" customHeight="false" outlineLevel="0" collapsed="false">
      <c r="A124" s="12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4" t="str">
        <f aca="false">IF(K124="","",IFERROR(INDEX(Lists!$G$2:$G$5,MATCH(K124,Lists!$F$2:$F$5,0)),""))</f>
        <v/>
      </c>
      <c r="M124" s="13"/>
      <c r="N124" s="13"/>
      <c r="O124" s="13"/>
      <c r="P124" s="13"/>
      <c r="Q124" s="12"/>
      <c r="R124" s="15" t="str">
        <f aca="true">IF(OR(C124="",Q124=""),"",IF(OR(J124="Won",J124="Lost"),"",IF(Q124&lt;TODAY(),"OVERDUE",IF(Q124=TODAY(),"TODAY",""))))</f>
        <v/>
      </c>
      <c r="S124" s="12"/>
      <c r="T124" s="12"/>
      <c r="U124" s="13"/>
    </row>
    <row r="125" customFormat="false" ht="15" hidden="false" customHeight="false" outlineLevel="0" collapsed="false">
      <c r="A125" s="12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4" t="str">
        <f aca="false">IF(K125="","",IFERROR(INDEX(Lists!$G$2:$G$5,MATCH(K125,Lists!$F$2:$F$5,0)),""))</f>
        <v/>
      </c>
      <c r="M125" s="13"/>
      <c r="N125" s="13"/>
      <c r="O125" s="13"/>
      <c r="P125" s="13"/>
      <c r="Q125" s="12"/>
      <c r="R125" s="15" t="str">
        <f aca="true">IF(OR(C125="",Q125=""),"",IF(OR(J125="Won",J125="Lost"),"",IF(Q125&lt;TODAY(),"OVERDUE",IF(Q125=TODAY(),"TODAY",""))))</f>
        <v/>
      </c>
      <c r="S125" s="12"/>
      <c r="T125" s="12"/>
      <c r="U125" s="13"/>
    </row>
    <row r="126" customFormat="false" ht="15" hidden="false" customHeight="false" outlineLevel="0" collapsed="false">
      <c r="A126" s="12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4" t="str">
        <f aca="false">IF(K126="","",IFERROR(INDEX(Lists!$G$2:$G$5,MATCH(K126,Lists!$F$2:$F$5,0)),""))</f>
        <v/>
      </c>
      <c r="M126" s="13"/>
      <c r="N126" s="13"/>
      <c r="O126" s="13"/>
      <c r="P126" s="13"/>
      <c r="Q126" s="12"/>
      <c r="R126" s="15" t="str">
        <f aca="true">IF(OR(C126="",Q126=""),"",IF(OR(J126="Won",J126="Lost"),"",IF(Q126&lt;TODAY(),"OVERDUE",IF(Q126=TODAY(),"TODAY",""))))</f>
        <v/>
      </c>
      <c r="S126" s="12"/>
      <c r="T126" s="12"/>
      <c r="U126" s="13"/>
    </row>
    <row r="127" customFormat="false" ht="15" hidden="false" customHeight="false" outlineLevel="0" collapsed="false">
      <c r="A127" s="12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4" t="str">
        <f aca="false">IF(K127="","",IFERROR(INDEX(Lists!$G$2:$G$5,MATCH(K127,Lists!$F$2:$F$5,0)),""))</f>
        <v/>
      </c>
      <c r="M127" s="13"/>
      <c r="N127" s="13"/>
      <c r="O127" s="13"/>
      <c r="P127" s="13"/>
      <c r="Q127" s="12"/>
      <c r="R127" s="15" t="str">
        <f aca="true">IF(OR(C127="",Q127=""),"",IF(OR(J127="Won",J127="Lost"),"",IF(Q127&lt;TODAY(),"OVERDUE",IF(Q127=TODAY(),"TODAY",""))))</f>
        <v/>
      </c>
      <c r="S127" s="12"/>
      <c r="T127" s="12"/>
      <c r="U127" s="13"/>
    </row>
    <row r="128" customFormat="false" ht="15" hidden="false" customHeight="false" outlineLevel="0" collapsed="false">
      <c r="A128" s="12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4" t="str">
        <f aca="false">IF(K128="","",IFERROR(INDEX(Lists!$G$2:$G$5,MATCH(K128,Lists!$F$2:$F$5,0)),""))</f>
        <v/>
      </c>
      <c r="M128" s="13"/>
      <c r="N128" s="13"/>
      <c r="O128" s="13"/>
      <c r="P128" s="13"/>
      <c r="Q128" s="12"/>
      <c r="R128" s="15" t="str">
        <f aca="true">IF(OR(C128="",Q128=""),"",IF(OR(J128="Won",J128="Lost"),"",IF(Q128&lt;TODAY(),"OVERDUE",IF(Q128=TODAY(),"TODAY",""))))</f>
        <v/>
      </c>
      <c r="S128" s="12"/>
      <c r="T128" s="12"/>
      <c r="U128" s="13"/>
    </row>
    <row r="129" customFormat="false" ht="15" hidden="false" customHeight="false" outlineLevel="0" collapsed="false">
      <c r="A129" s="12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4" t="str">
        <f aca="false">IF(K129="","",IFERROR(INDEX(Lists!$G$2:$G$5,MATCH(K129,Lists!$F$2:$F$5,0)),""))</f>
        <v/>
      </c>
      <c r="M129" s="13"/>
      <c r="N129" s="13"/>
      <c r="O129" s="13"/>
      <c r="P129" s="13"/>
      <c r="Q129" s="12"/>
      <c r="R129" s="15" t="str">
        <f aca="true">IF(OR(C129="",Q129=""),"",IF(OR(J129="Won",J129="Lost"),"",IF(Q129&lt;TODAY(),"OVERDUE",IF(Q129=TODAY(),"TODAY",""))))</f>
        <v/>
      </c>
      <c r="S129" s="12"/>
      <c r="T129" s="12"/>
      <c r="U129" s="13"/>
    </row>
    <row r="130" customFormat="false" ht="15" hidden="false" customHeight="false" outlineLevel="0" collapsed="false">
      <c r="A130" s="12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4" t="str">
        <f aca="false">IF(K130="","",IFERROR(INDEX(Lists!$G$2:$G$5,MATCH(K130,Lists!$F$2:$F$5,0)),""))</f>
        <v/>
      </c>
      <c r="M130" s="13"/>
      <c r="N130" s="13"/>
      <c r="O130" s="13"/>
      <c r="P130" s="13"/>
      <c r="Q130" s="12"/>
      <c r="R130" s="15" t="str">
        <f aca="true">IF(OR(C130="",Q130=""),"",IF(OR(J130="Won",J130="Lost"),"",IF(Q130&lt;TODAY(),"OVERDUE",IF(Q130=TODAY(),"TODAY",""))))</f>
        <v/>
      </c>
      <c r="S130" s="12"/>
      <c r="T130" s="12"/>
      <c r="U130" s="13"/>
    </row>
    <row r="131" customFormat="false" ht="15" hidden="false" customHeight="false" outlineLevel="0" collapsed="false">
      <c r="A131" s="12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4" t="str">
        <f aca="false">IF(K131="","",IFERROR(INDEX(Lists!$G$2:$G$5,MATCH(K131,Lists!$F$2:$F$5,0)),""))</f>
        <v/>
      </c>
      <c r="M131" s="13"/>
      <c r="N131" s="13"/>
      <c r="O131" s="13"/>
      <c r="P131" s="13"/>
      <c r="Q131" s="12"/>
      <c r="R131" s="15" t="str">
        <f aca="true">IF(OR(C131="",Q131=""),"",IF(OR(J131="Won",J131="Lost"),"",IF(Q131&lt;TODAY(),"OVERDUE",IF(Q131=TODAY(),"TODAY",""))))</f>
        <v/>
      </c>
      <c r="S131" s="12"/>
      <c r="T131" s="12"/>
      <c r="U131" s="13"/>
    </row>
    <row r="132" customFormat="false" ht="15" hidden="false" customHeight="false" outlineLevel="0" collapsed="false">
      <c r="A132" s="12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4" t="str">
        <f aca="false">IF(K132="","",IFERROR(INDEX(Lists!$G$2:$G$5,MATCH(K132,Lists!$F$2:$F$5,0)),""))</f>
        <v/>
      </c>
      <c r="M132" s="13"/>
      <c r="N132" s="13"/>
      <c r="O132" s="13"/>
      <c r="P132" s="13"/>
      <c r="Q132" s="12"/>
      <c r="R132" s="15" t="str">
        <f aca="true">IF(OR(C132="",Q132=""),"",IF(OR(J132="Won",J132="Lost"),"",IF(Q132&lt;TODAY(),"OVERDUE",IF(Q132=TODAY(),"TODAY",""))))</f>
        <v/>
      </c>
      <c r="S132" s="12"/>
      <c r="T132" s="12"/>
      <c r="U132" s="13"/>
    </row>
    <row r="133" customFormat="false" ht="15" hidden="false" customHeight="false" outlineLevel="0" collapsed="false">
      <c r="A133" s="12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4" t="str">
        <f aca="false">IF(K133="","",IFERROR(INDEX(Lists!$G$2:$G$5,MATCH(K133,Lists!$F$2:$F$5,0)),""))</f>
        <v/>
      </c>
      <c r="M133" s="13"/>
      <c r="N133" s="13"/>
      <c r="O133" s="13"/>
      <c r="P133" s="13"/>
      <c r="Q133" s="12"/>
      <c r="R133" s="15" t="str">
        <f aca="true">IF(OR(C133="",Q133=""),"",IF(OR(J133="Won",J133="Lost"),"",IF(Q133&lt;TODAY(),"OVERDUE",IF(Q133=TODAY(),"TODAY",""))))</f>
        <v/>
      </c>
      <c r="S133" s="12"/>
      <c r="T133" s="12"/>
      <c r="U133" s="13"/>
    </row>
    <row r="134" customFormat="false" ht="15" hidden="false" customHeight="false" outlineLevel="0" collapsed="false">
      <c r="A134" s="12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4" t="str">
        <f aca="false">IF(K134="","",IFERROR(INDEX(Lists!$G$2:$G$5,MATCH(K134,Lists!$F$2:$F$5,0)),""))</f>
        <v/>
      </c>
      <c r="M134" s="13"/>
      <c r="N134" s="13"/>
      <c r="O134" s="13"/>
      <c r="P134" s="13"/>
      <c r="Q134" s="12"/>
      <c r="R134" s="15" t="str">
        <f aca="true">IF(OR(C134="",Q134=""),"",IF(OR(J134="Won",J134="Lost"),"",IF(Q134&lt;TODAY(),"OVERDUE",IF(Q134=TODAY(),"TODAY",""))))</f>
        <v/>
      </c>
      <c r="S134" s="12"/>
      <c r="T134" s="12"/>
      <c r="U134" s="13"/>
    </row>
    <row r="135" customFormat="false" ht="15" hidden="false" customHeight="false" outlineLevel="0" collapsed="false">
      <c r="A135" s="12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4" t="str">
        <f aca="false">IF(K135="","",IFERROR(INDEX(Lists!$G$2:$G$5,MATCH(K135,Lists!$F$2:$F$5,0)),""))</f>
        <v/>
      </c>
      <c r="M135" s="13"/>
      <c r="N135" s="13"/>
      <c r="O135" s="13"/>
      <c r="P135" s="13"/>
      <c r="Q135" s="12"/>
      <c r="R135" s="15" t="str">
        <f aca="true">IF(OR(C135="",Q135=""),"",IF(OR(J135="Won",J135="Lost"),"",IF(Q135&lt;TODAY(),"OVERDUE",IF(Q135=TODAY(),"TODAY",""))))</f>
        <v/>
      </c>
      <c r="S135" s="12"/>
      <c r="T135" s="12"/>
      <c r="U135" s="13"/>
    </row>
    <row r="136" customFormat="false" ht="15" hidden="false" customHeight="false" outlineLevel="0" collapsed="false">
      <c r="A136" s="12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4" t="str">
        <f aca="false">IF(K136="","",IFERROR(INDEX(Lists!$G$2:$G$5,MATCH(K136,Lists!$F$2:$F$5,0)),""))</f>
        <v/>
      </c>
      <c r="M136" s="13"/>
      <c r="N136" s="13"/>
      <c r="O136" s="13"/>
      <c r="P136" s="13"/>
      <c r="Q136" s="12"/>
      <c r="R136" s="15" t="str">
        <f aca="true">IF(OR(C136="",Q136=""),"",IF(OR(J136="Won",J136="Lost"),"",IF(Q136&lt;TODAY(),"OVERDUE",IF(Q136=TODAY(),"TODAY",""))))</f>
        <v/>
      </c>
      <c r="S136" s="12"/>
      <c r="T136" s="12"/>
      <c r="U136" s="13"/>
    </row>
    <row r="137" customFormat="false" ht="15" hidden="false" customHeight="false" outlineLevel="0" collapsed="false">
      <c r="A137" s="12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4" t="str">
        <f aca="false">IF(K137="","",IFERROR(INDEX(Lists!$G$2:$G$5,MATCH(K137,Lists!$F$2:$F$5,0)),""))</f>
        <v/>
      </c>
      <c r="M137" s="13"/>
      <c r="N137" s="13"/>
      <c r="O137" s="13"/>
      <c r="P137" s="13"/>
      <c r="Q137" s="12"/>
      <c r="R137" s="15" t="str">
        <f aca="true">IF(OR(C137="",Q137=""),"",IF(OR(J137="Won",J137="Lost"),"",IF(Q137&lt;TODAY(),"OVERDUE",IF(Q137=TODAY(),"TODAY",""))))</f>
        <v/>
      </c>
      <c r="S137" s="12"/>
      <c r="T137" s="12"/>
      <c r="U137" s="13"/>
    </row>
    <row r="138" customFormat="false" ht="15" hidden="false" customHeight="false" outlineLevel="0" collapsed="false">
      <c r="A138" s="12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4" t="str">
        <f aca="false">IF(K138="","",IFERROR(INDEX(Lists!$G$2:$G$5,MATCH(K138,Lists!$F$2:$F$5,0)),""))</f>
        <v/>
      </c>
      <c r="M138" s="13"/>
      <c r="N138" s="13"/>
      <c r="O138" s="13"/>
      <c r="P138" s="13"/>
      <c r="Q138" s="12"/>
      <c r="R138" s="15" t="str">
        <f aca="true">IF(OR(C138="",Q138=""),"",IF(OR(J138="Won",J138="Lost"),"",IF(Q138&lt;TODAY(),"OVERDUE",IF(Q138=TODAY(),"TODAY",""))))</f>
        <v/>
      </c>
      <c r="S138" s="12"/>
      <c r="T138" s="12"/>
      <c r="U138" s="13"/>
    </row>
    <row r="139" customFormat="false" ht="15" hidden="false" customHeight="false" outlineLevel="0" collapsed="false">
      <c r="A139" s="12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4" t="str">
        <f aca="false">IF(K139="","",IFERROR(INDEX(Lists!$G$2:$G$5,MATCH(K139,Lists!$F$2:$F$5,0)),""))</f>
        <v/>
      </c>
      <c r="M139" s="13"/>
      <c r="N139" s="13"/>
      <c r="O139" s="13"/>
      <c r="P139" s="13"/>
      <c r="Q139" s="12"/>
      <c r="R139" s="15" t="str">
        <f aca="true">IF(OR(C139="",Q139=""),"",IF(OR(J139="Won",J139="Lost"),"",IF(Q139&lt;TODAY(),"OVERDUE",IF(Q139=TODAY(),"TODAY",""))))</f>
        <v/>
      </c>
      <c r="S139" s="12"/>
      <c r="T139" s="12"/>
      <c r="U139" s="13"/>
    </row>
    <row r="140" customFormat="false" ht="15" hidden="false" customHeight="false" outlineLevel="0" collapsed="false">
      <c r="A140" s="12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4" t="str">
        <f aca="false">IF(K140="","",IFERROR(INDEX(Lists!$G$2:$G$5,MATCH(K140,Lists!$F$2:$F$5,0)),""))</f>
        <v/>
      </c>
      <c r="M140" s="13"/>
      <c r="N140" s="13"/>
      <c r="O140" s="13"/>
      <c r="P140" s="13"/>
      <c r="Q140" s="12"/>
      <c r="R140" s="15" t="str">
        <f aca="true">IF(OR(C140="",Q140=""),"",IF(OR(J140="Won",J140="Lost"),"",IF(Q140&lt;TODAY(),"OVERDUE",IF(Q140=TODAY(),"TODAY",""))))</f>
        <v/>
      </c>
      <c r="S140" s="12"/>
      <c r="T140" s="12"/>
      <c r="U140" s="13"/>
    </row>
    <row r="141" customFormat="false" ht="15" hidden="false" customHeight="false" outlineLevel="0" collapsed="false">
      <c r="A141" s="12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4" t="str">
        <f aca="false">IF(K141="","",IFERROR(INDEX(Lists!$G$2:$G$5,MATCH(K141,Lists!$F$2:$F$5,0)),""))</f>
        <v/>
      </c>
      <c r="M141" s="13"/>
      <c r="N141" s="13"/>
      <c r="O141" s="13"/>
      <c r="P141" s="13"/>
      <c r="Q141" s="12"/>
      <c r="R141" s="15" t="str">
        <f aca="true">IF(OR(C141="",Q141=""),"",IF(OR(J141="Won",J141="Lost"),"",IF(Q141&lt;TODAY(),"OVERDUE",IF(Q141=TODAY(),"TODAY",""))))</f>
        <v/>
      </c>
      <c r="S141" s="12"/>
      <c r="T141" s="12"/>
      <c r="U141" s="13"/>
    </row>
    <row r="142" customFormat="false" ht="15" hidden="false" customHeight="false" outlineLevel="0" collapsed="false">
      <c r="A142" s="12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4" t="str">
        <f aca="false">IF(K142="","",IFERROR(INDEX(Lists!$G$2:$G$5,MATCH(K142,Lists!$F$2:$F$5,0)),""))</f>
        <v/>
      </c>
      <c r="M142" s="13"/>
      <c r="N142" s="13"/>
      <c r="O142" s="13"/>
      <c r="P142" s="13"/>
      <c r="Q142" s="12"/>
      <c r="R142" s="15" t="str">
        <f aca="true">IF(OR(C142="",Q142=""),"",IF(OR(J142="Won",J142="Lost"),"",IF(Q142&lt;TODAY(),"OVERDUE",IF(Q142=TODAY(),"TODAY",""))))</f>
        <v/>
      </c>
      <c r="S142" s="12"/>
      <c r="T142" s="12"/>
      <c r="U142" s="13"/>
    </row>
    <row r="143" customFormat="false" ht="15" hidden="false" customHeight="false" outlineLevel="0" collapsed="false">
      <c r="A143" s="12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4" t="str">
        <f aca="false">IF(K143="","",IFERROR(INDEX(Lists!$G$2:$G$5,MATCH(K143,Lists!$F$2:$F$5,0)),""))</f>
        <v/>
      </c>
      <c r="M143" s="13"/>
      <c r="N143" s="13"/>
      <c r="O143" s="13"/>
      <c r="P143" s="13"/>
      <c r="Q143" s="12"/>
      <c r="R143" s="15" t="str">
        <f aca="true">IF(OR(C143="",Q143=""),"",IF(OR(J143="Won",J143="Lost"),"",IF(Q143&lt;TODAY(),"OVERDUE",IF(Q143=TODAY(),"TODAY",""))))</f>
        <v/>
      </c>
      <c r="S143" s="12"/>
      <c r="T143" s="12"/>
      <c r="U143" s="13"/>
    </row>
    <row r="144" customFormat="false" ht="15" hidden="false" customHeight="false" outlineLevel="0" collapsed="false">
      <c r="A144" s="12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4" t="str">
        <f aca="false">IF(K144="","",IFERROR(INDEX(Lists!$G$2:$G$5,MATCH(K144,Lists!$F$2:$F$5,0)),""))</f>
        <v/>
      </c>
      <c r="M144" s="13"/>
      <c r="N144" s="13"/>
      <c r="O144" s="13"/>
      <c r="P144" s="13"/>
      <c r="Q144" s="12"/>
      <c r="R144" s="15" t="str">
        <f aca="true">IF(OR(C144="",Q144=""),"",IF(OR(J144="Won",J144="Lost"),"",IF(Q144&lt;TODAY(),"OVERDUE",IF(Q144=TODAY(),"TODAY",""))))</f>
        <v/>
      </c>
      <c r="S144" s="12"/>
      <c r="T144" s="12"/>
      <c r="U144" s="13"/>
    </row>
    <row r="145" customFormat="false" ht="15" hidden="false" customHeight="false" outlineLevel="0" collapsed="false">
      <c r="A145" s="12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4" t="str">
        <f aca="false">IF(K145="","",IFERROR(INDEX(Lists!$G$2:$G$5,MATCH(K145,Lists!$F$2:$F$5,0)),""))</f>
        <v/>
      </c>
      <c r="M145" s="13"/>
      <c r="N145" s="13"/>
      <c r="O145" s="13"/>
      <c r="P145" s="13"/>
      <c r="Q145" s="12"/>
      <c r="R145" s="15" t="str">
        <f aca="true">IF(OR(C145="",Q145=""),"",IF(OR(J145="Won",J145="Lost"),"",IF(Q145&lt;TODAY(),"OVERDUE",IF(Q145=TODAY(),"TODAY",""))))</f>
        <v/>
      </c>
      <c r="S145" s="12"/>
      <c r="T145" s="12"/>
      <c r="U145" s="13"/>
    </row>
    <row r="146" customFormat="false" ht="15" hidden="false" customHeight="false" outlineLevel="0" collapsed="false">
      <c r="A146" s="12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4" t="str">
        <f aca="false">IF(K146="","",IFERROR(INDEX(Lists!$G$2:$G$5,MATCH(K146,Lists!$F$2:$F$5,0)),""))</f>
        <v/>
      </c>
      <c r="M146" s="13"/>
      <c r="N146" s="13"/>
      <c r="O146" s="13"/>
      <c r="P146" s="13"/>
      <c r="Q146" s="12"/>
      <c r="R146" s="15" t="str">
        <f aca="true">IF(OR(C146="",Q146=""),"",IF(OR(J146="Won",J146="Lost"),"",IF(Q146&lt;TODAY(),"OVERDUE",IF(Q146=TODAY(),"TODAY",""))))</f>
        <v/>
      </c>
      <c r="S146" s="12"/>
      <c r="T146" s="12"/>
      <c r="U146" s="13"/>
    </row>
    <row r="147" customFormat="false" ht="15" hidden="false" customHeight="false" outlineLevel="0" collapsed="false">
      <c r="A147" s="12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4" t="str">
        <f aca="false">IF(K147="","",IFERROR(INDEX(Lists!$G$2:$G$5,MATCH(K147,Lists!$F$2:$F$5,0)),""))</f>
        <v/>
      </c>
      <c r="M147" s="13"/>
      <c r="N147" s="13"/>
      <c r="O147" s="13"/>
      <c r="P147" s="13"/>
      <c r="Q147" s="12"/>
      <c r="R147" s="15" t="str">
        <f aca="true">IF(OR(C147="",Q147=""),"",IF(OR(J147="Won",J147="Lost"),"",IF(Q147&lt;TODAY(),"OVERDUE",IF(Q147=TODAY(),"TODAY",""))))</f>
        <v/>
      </c>
      <c r="S147" s="12"/>
      <c r="T147" s="12"/>
      <c r="U147" s="13"/>
    </row>
    <row r="148" customFormat="false" ht="15" hidden="false" customHeight="false" outlineLevel="0" collapsed="false">
      <c r="A148" s="12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4" t="str">
        <f aca="false">IF(K148="","",IFERROR(INDEX(Lists!$G$2:$G$5,MATCH(K148,Lists!$F$2:$F$5,0)),""))</f>
        <v/>
      </c>
      <c r="M148" s="13"/>
      <c r="N148" s="13"/>
      <c r="O148" s="13"/>
      <c r="P148" s="13"/>
      <c r="Q148" s="12"/>
      <c r="R148" s="15" t="str">
        <f aca="true">IF(OR(C148="",Q148=""),"",IF(OR(J148="Won",J148="Lost"),"",IF(Q148&lt;TODAY(),"OVERDUE",IF(Q148=TODAY(),"TODAY",""))))</f>
        <v/>
      </c>
      <c r="S148" s="12"/>
      <c r="T148" s="12"/>
      <c r="U148" s="13"/>
    </row>
    <row r="149" customFormat="false" ht="15" hidden="false" customHeight="false" outlineLevel="0" collapsed="false">
      <c r="A149" s="12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4" t="str">
        <f aca="false">IF(K149="","",IFERROR(INDEX(Lists!$G$2:$G$5,MATCH(K149,Lists!$F$2:$F$5,0)),""))</f>
        <v/>
      </c>
      <c r="M149" s="13"/>
      <c r="N149" s="13"/>
      <c r="O149" s="13"/>
      <c r="P149" s="13"/>
      <c r="Q149" s="12"/>
      <c r="R149" s="15" t="str">
        <f aca="true">IF(OR(C149="",Q149=""),"",IF(OR(J149="Won",J149="Lost"),"",IF(Q149&lt;TODAY(),"OVERDUE",IF(Q149=TODAY(),"TODAY",""))))</f>
        <v/>
      </c>
      <c r="S149" s="12"/>
      <c r="T149" s="12"/>
      <c r="U149" s="13"/>
    </row>
    <row r="150" customFormat="false" ht="15" hidden="false" customHeight="false" outlineLevel="0" collapsed="false">
      <c r="A150" s="12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4" t="str">
        <f aca="false">IF(K150="","",IFERROR(INDEX(Lists!$G$2:$G$5,MATCH(K150,Lists!$F$2:$F$5,0)),""))</f>
        <v/>
      </c>
      <c r="M150" s="13"/>
      <c r="N150" s="13"/>
      <c r="O150" s="13"/>
      <c r="P150" s="13"/>
      <c r="Q150" s="12"/>
      <c r="R150" s="15" t="str">
        <f aca="true">IF(OR(C150="",Q150=""),"",IF(OR(J150="Won",J150="Lost"),"",IF(Q150&lt;TODAY(),"OVERDUE",IF(Q150=TODAY(),"TODAY",""))))</f>
        <v/>
      </c>
      <c r="S150" s="12"/>
      <c r="T150" s="12"/>
      <c r="U150" s="13"/>
    </row>
    <row r="151" customFormat="false" ht="15" hidden="false" customHeight="false" outlineLevel="0" collapsed="false">
      <c r="A151" s="12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4" t="str">
        <f aca="false">IF(K151="","",IFERROR(INDEX(Lists!$G$2:$G$5,MATCH(K151,Lists!$F$2:$F$5,0)),""))</f>
        <v/>
      </c>
      <c r="M151" s="13"/>
      <c r="N151" s="13"/>
      <c r="O151" s="13"/>
      <c r="P151" s="13"/>
      <c r="Q151" s="12"/>
      <c r="R151" s="15" t="str">
        <f aca="true">IF(OR(C151="",Q151=""),"",IF(OR(J151="Won",J151="Lost"),"",IF(Q151&lt;TODAY(),"OVERDUE",IF(Q151=TODAY(),"TODAY",""))))</f>
        <v/>
      </c>
      <c r="S151" s="12"/>
      <c r="T151" s="12"/>
      <c r="U151" s="13"/>
    </row>
    <row r="152" customFormat="false" ht="15" hidden="false" customHeight="false" outlineLevel="0" collapsed="false">
      <c r="A152" s="12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4" t="str">
        <f aca="false">IF(K152="","",IFERROR(INDEX(Lists!$G$2:$G$5,MATCH(K152,Lists!$F$2:$F$5,0)),""))</f>
        <v/>
      </c>
      <c r="M152" s="13"/>
      <c r="N152" s="13"/>
      <c r="O152" s="13"/>
      <c r="P152" s="13"/>
      <c r="Q152" s="12"/>
      <c r="R152" s="15" t="str">
        <f aca="true">IF(OR(C152="",Q152=""),"",IF(OR(J152="Won",J152="Lost"),"",IF(Q152&lt;TODAY(),"OVERDUE",IF(Q152=TODAY(),"TODAY",""))))</f>
        <v/>
      </c>
      <c r="S152" s="12"/>
      <c r="T152" s="12"/>
      <c r="U152" s="13"/>
    </row>
    <row r="153" customFormat="false" ht="15" hidden="false" customHeight="false" outlineLevel="0" collapsed="false">
      <c r="A153" s="12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4" t="str">
        <f aca="false">IF(K153="","",IFERROR(INDEX(Lists!$G$2:$G$5,MATCH(K153,Lists!$F$2:$F$5,0)),""))</f>
        <v/>
      </c>
      <c r="M153" s="13"/>
      <c r="N153" s="13"/>
      <c r="O153" s="13"/>
      <c r="P153" s="13"/>
      <c r="Q153" s="12"/>
      <c r="R153" s="15" t="str">
        <f aca="true">IF(OR(C153="",Q153=""),"",IF(OR(J153="Won",J153="Lost"),"",IF(Q153&lt;TODAY(),"OVERDUE",IF(Q153=TODAY(),"TODAY",""))))</f>
        <v/>
      </c>
      <c r="S153" s="12"/>
      <c r="T153" s="12"/>
      <c r="U153" s="13"/>
    </row>
    <row r="154" customFormat="false" ht="15" hidden="false" customHeight="false" outlineLevel="0" collapsed="false">
      <c r="A154" s="12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4" t="str">
        <f aca="false">IF(K154="","",IFERROR(INDEX(Lists!$G$2:$G$5,MATCH(K154,Lists!$F$2:$F$5,0)),""))</f>
        <v/>
      </c>
      <c r="M154" s="13"/>
      <c r="N154" s="13"/>
      <c r="O154" s="13"/>
      <c r="P154" s="13"/>
      <c r="Q154" s="12"/>
      <c r="R154" s="15" t="str">
        <f aca="true">IF(OR(C154="",Q154=""),"",IF(OR(J154="Won",J154="Lost"),"",IF(Q154&lt;TODAY(),"OVERDUE",IF(Q154=TODAY(),"TODAY",""))))</f>
        <v/>
      </c>
      <c r="S154" s="12"/>
      <c r="T154" s="12"/>
      <c r="U154" s="13"/>
    </row>
    <row r="155" customFormat="false" ht="15" hidden="false" customHeight="false" outlineLevel="0" collapsed="false">
      <c r="A155" s="12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4" t="str">
        <f aca="false">IF(K155="","",IFERROR(INDEX(Lists!$G$2:$G$5,MATCH(K155,Lists!$F$2:$F$5,0)),""))</f>
        <v/>
      </c>
      <c r="M155" s="13"/>
      <c r="N155" s="13"/>
      <c r="O155" s="13"/>
      <c r="P155" s="13"/>
      <c r="Q155" s="12"/>
      <c r="R155" s="15" t="str">
        <f aca="true">IF(OR(C155="",Q155=""),"",IF(OR(J155="Won",J155="Lost"),"",IF(Q155&lt;TODAY(),"OVERDUE",IF(Q155=TODAY(),"TODAY",""))))</f>
        <v/>
      </c>
      <c r="S155" s="12"/>
      <c r="T155" s="12"/>
      <c r="U155" s="13"/>
    </row>
    <row r="156" customFormat="false" ht="15" hidden="false" customHeight="false" outlineLevel="0" collapsed="false">
      <c r="A156" s="12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4" t="str">
        <f aca="false">IF(K156="","",IFERROR(INDEX(Lists!$G$2:$G$5,MATCH(K156,Lists!$F$2:$F$5,0)),""))</f>
        <v/>
      </c>
      <c r="M156" s="13"/>
      <c r="N156" s="13"/>
      <c r="O156" s="13"/>
      <c r="P156" s="13"/>
      <c r="Q156" s="12"/>
      <c r="R156" s="15" t="str">
        <f aca="true">IF(OR(C156="",Q156=""),"",IF(OR(J156="Won",J156="Lost"),"",IF(Q156&lt;TODAY(),"OVERDUE",IF(Q156=TODAY(),"TODAY",""))))</f>
        <v/>
      </c>
      <c r="S156" s="12"/>
      <c r="T156" s="12"/>
      <c r="U156" s="13"/>
    </row>
    <row r="157" customFormat="false" ht="15" hidden="false" customHeight="false" outlineLevel="0" collapsed="false">
      <c r="A157" s="12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4" t="str">
        <f aca="false">IF(K157="","",IFERROR(INDEX(Lists!$G$2:$G$5,MATCH(K157,Lists!$F$2:$F$5,0)),""))</f>
        <v/>
      </c>
      <c r="M157" s="13"/>
      <c r="N157" s="13"/>
      <c r="O157" s="13"/>
      <c r="P157" s="13"/>
      <c r="Q157" s="12"/>
      <c r="R157" s="15" t="str">
        <f aca="true">IF(OR(C157="",Q157=""),"",IF(OR(J157="Won",J157="Lost"),"",IF(Q157&lt;TODAY(),"OVERDUE",IF(Q157=TODAY(),"TODAY",""))))</f>
        <v/>
      </c>
      <c r="S157" s="12"/>
      <c r="T157" s="12"/>
      <c r="U157" s="13"/>
    </row>
    <row r="158" customFormat="false" ht="15" hidden="false" customHeight="false" outlineLevel="0" collapsed="false">
      <c r="A158" s="12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4" t="str">
        <f aca="false">IF(K158="","",IFERROR(INDEX(Lists!$G$2:$G$5,MATCH(K158,Lists!$F$2:$F$5,0)),""))</f>
        <v/>
      </c>
      <c r="M158" s="13"/>
      <c r="N158" s="13"/>
      <c r="O158" s="13"/>
      <c r="P158" s="13"/>
      <c r="Q158" s="12"/>
      <c r="R158" s="15" t="str">
        <f aca="true">IF(OR(C158="",Q158=""),"",IF(OR(J158="Won",J158="Lost"),"",IF(Q158&lt;TODAY(),"OVERDUE",IF(Q158=TODAY(),"TODAY",""))))</f>
        <v/>
      </c>
      <c r="S158" s="12"/>
      <c r="T158" s="12"/>
      <c r="U158" s="13"/>
    </row>
    <row r="159" customFormat="false" ht="15" hidden="false" customHeight="false" outlineLevel="0" collapsed="false">
      <c r="A159" s="12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4" t="str">
        <f aca="false">IF(K159="","",IFERROR(INDEX(Lists!$G$2:$G$5,MATCH(K159,Lists!$F$2:$F$5,0)),""))</f>
        <v/>
      </c>
      <c r="M159" s="13"/>
      <c r="N159" s="13"/>
      <c r="O159" s="13"/>
      <c r="P159" s="13"/>
      <c r="Q159" s="12"/>
      <c r="R159" s="15" t="str">
        <f aca="true">IF(OR(C159="",Q159=""),"",IF(OR(J159="Won",J159="Lost"),"",IF(Q159&lt;TODAY(),"OVERDUE",IF(Q159=TODAY(),"TODAY",""))))</f>
        <v/>
      </c>
      <c r="S159" s="12"/>
      <c r="T159" s="12"/>
      <c r="U159" s="13"/>
    </row>
    <row r="160" customFormat="false" ht="15" hidden="false" customHeight="false" outlineLevel="0" collapsed="false">
      <c r="A160" s="12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4" t="str">
        <f aca="false">IF(K160="","",IFERROR(INDEX(Lists!$G$2:$G$5,MATCH(K160,Lists!$F$2:$F$5,0)),""))</f>
        <v/>
      </c>
      <c r="M160" s="13"/>
      <c r="N160" s="13"/>
      <c r="O160" s="13"/>
      <c r="P160" s="13"/>
      <c r="Q160" s="12"/>
      <c r="R160" s="15" t="str">
        <f aca="true">IF(OR(C160="",Q160=""),"",IF(OR(J160="Won",J160="Lost"),"",IF(Q160&lt;TODAY(),"OVERDUE",IF(Q160=TODAY(),"TODAY",""))))</f>
        <v/>
      </c>
      <c r="S160" s="12"/>
      <c r="T160" s="12"/>
      <c r="U160" s="13"/>
    </row>
    <row r="161" customFormat="false" ht="15" hidden="false" customHeight="false" outlineLevel="0" collapsed="false">
      <c r="A161" s="12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4" t="str">
        <f aca="false">IF(K161="","",IFERROR(INDEX(Lists!$G$2:$G$5,MATCH(K161,Lists!$F$2:$F$5,0)),""))</f>
        <v/>
      </c>
      <c r="M161" s="13"/>
      <c r="N161" s="13"/>
      <c r="O161" s="13"/>
      <c r="P161" s="13"/>
      <c r="Q161" s="12"/>
      <c r="R161" s="15" t="str">
        <f aca="true">IF(OR(C161="",Q161=""),"",IF(OR(J161="Won",J161="Lost"),"",IF(Q161&lt;TODAY(),"OVERDUE",IF(Q161=TODAY(),"TODAY",""))))</f>
        <v/>
      </c>
      <c r="S161" s="12"/>
      <c r="T161" s="12"/>
      <c r="U161" s="13"/>
    </row>
    <row r="162" customFormat="false" ht="15" hidden="false" customHeight="false" outlineLevel="0" collapsed="false">
      <c r="A162" s="12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4" t="str">
        <f aca="false">IF(K162="","",IFERROR(INDEX(Lists!$G$2:$G$5,MATCH(K162,Lists!$F$2:$F$5,0)),""))</f>
        <v/>
      </c>
      <c r="M162" s="13"/>
      <c r="N162" s="13"/>
      <c r="O162" s="13"/>
      <c r="P162" s="13"/>
      <c r="Q162" s="12"/>
      <c r="R162" s="15" t="str">
        <f aca="true">IF(OR(C162="",Q162=""),"",IF(OR(J162="Won",J162="Lost"),"",IF(Q162&lt;TODAY(),"OVERDUE",IF(Q162=TODAY(),"TODAY",""))))</f>
        <v/>
      </c>
      <c r="S162" s="12"/>
      <c r="T162" s="12"/>
      <c r="U162" s="13"/>
    </row>
    <row r="163" customFormat="false" ht="15" hidden="false" customHeight="false" outlineLevel="0" collapsed="false">
      <c r="A163" s="12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4" t="str">
        <f aca="false">IF(K163="","",IFERROR(INDEX(Lists!$G$2:$G$5,MATCH(K163,Lists!$F$2:$F$5,0)),""))</f>
        <v/>
      </c>
      <c r="M163" s="13"/>
      <c r="N163" s="13"/>
      <c r="O163" s="13"/>
      <c r="P163" s="13"/>
      <c r="Q163" s="12"/>
      <c r="R163" s="15" t="str">
        <f aca="true">IF(OR(C163="",Q163=""),"",IF(OR(J163="Won",J163="Lost"),"",IF(Q163&lt;TODAY(),"OVERDUE",IF(Q163=TODAY(),"TODAY",""))))</f>
        <v/>
      </c>
      <c r="S163" s="12"/>
      <c r="T163" s="12"/>
      <c r="U163" s="13"/>
    </row>
    <row r="164" customFormat="false" ht="15" hidden="false" customHeight="false" outlineLevel="0" collapsed="false">
      <c r="A164" s="12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4" t="str">
        <f aca="false">IF(K164="","",IFERROR(INDEX(Lists!$G$2:$G$5,MATCH(K164,Lists!$F$2:$F$5,0)),""))</f>
        <v/>
      </c>
      <c r="M164" s="13"/>
      <c r="N164" s="13"/>
      <c r="O164" s="13"/>
      <c r="P164" s="13"/>
      <c r="Q164" s="12"/>
      <c r="R164" s="15" t="str">
        <f aca="true">IF(OR(C164="",Q164=""),"",IF(OR(J164="Won",J164="Lost"),"",IF(Q164&lt;TODAY(),"OVERDUE",IF(Q164=TODAY(),"TODAY",""))))</f>
        <v/>
      </c>
      <c r="S164" s="12"/>
      <c r="T164" s="12"/>
      <c r="U164" s="13"/>
    </row>
    <row r="165" customFormat="false" ht="15" hidden="false" customHeight="false" outlineLevel="0" collapsed="false">
      <c r="A165" s="12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4" t="str">
        <f aca="false">IF(K165="","",IFERROR(INDEX(Lists!$G$2:$G$5,MATCH(K165,Lists!$F$2:$F$5,0)),""))</f>
        <v/>
      </c>
      <c r="M165" s="13"/>
      <c r="N165" s="13"/>
      <c r="O165" s="13"/>
      <c r="P165" s="13"/>
      <c r="Q165" s="12"/>
      <c r="R165" s="15" t="str">
        <f aca="true">IF(OR(C165="",Q165=""),"",IF(OR(J165="Won",J165="Lost"),"",IF(Q165&lt;TODAY(),"OVERDUE",IF(Q165=TODAY(),"TODAY",""))))</f>
        <v/>
      </c>
      <c r="S165" s="12"/>
      <c r="T165" s="12"/>
      <c r="U165" s="13"/>
    </row>
    <row r="166" customFormat="false" ht="15" hidden="false" customHeight="false" outlineLevel="0" collapsed="false">
      <c r="A166" s="12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4" t="str">
        <f aca="false">IF(K166="","",IFERROR(INDEX(Lists!$G$2:$G$5,MATCH(K166,Lists!$F$2:$F$5,0)),""))</f>
        <v/>
      </c>
      <c r="M166" s="13"/>
      <c r="N166" s="13"/>
      <c r="O166" s="13"/>
      <c r="P166" s="13"/>
      <c r="Q166" s="12"/>
      <c r="R166" s="15" t="str">
        <f aca="true">IF(OR(C166="",Q166=""),"",IF(OR(J166="Won",J166="Lost"),"",IF(Q166&lt;TODAY(),"OVERDUE",IF(Q166=TODAY(),"TODAY",""))))</f>
        <v/>
      </c>
      <c r="S166" s="12"/>
      <c r="T166" s="12"/>
      <c r="U166" s="13"/>
    </row>
    <row r="167" customFormat="false" ht="15" hidden="false" customHeight="false" outlineLevel="0" collapsed="false">
      <c r="A167" s="12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4" t="str">
        <f aca="false">IF(K167="","",IFERROR(INDEX(Lists!$G$2:$G$5,MATCH(K167,Lists!$F$2:$F$5,0)),""))</f>
        <v/>
      </c>
      <c r="M167" s="13"/>
      <c r="N167" s="13"/>
      <c r="O167" s="13"/>
      <c r="P167" s="13"/>
      <c r="Q167" s="12"/>
      <c r="R167" s="15" t="str">
        <f aca="true">IF(OR(C167="",Q167=""),"",IF(OR(J167="Won",J167="Lost"),"",IF(Q167&lt;TODAY(),"OVERDUE",IF(Q167=TODAY(),"TODAY",""))))</f>
        <v/>
      </c>
      <c r="S167" s="12"/>
      <c r="T167" s="12"/>
      <c r="U167" s="13"/>
    </row>
    <row r="168" customFormat="false" ht="15" hidden="false" customHeight="false" outlineLevel="0" collapsed="false">
      <c r="A168" s="12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4" t="str">
        <f aca="false">IF(K168="","",IFERROR(INDEX(Lists!$G$2:$G$5,MATCH(K168,Lists!$F$2:$F$5,0)),""))</f>
        <v/>
      </c>
      <c r="M168" s="13"/>
      <c r="N168" s="13"/>
      <c r="O168" s="13"/>
      <c r="P168" s="13"/>
      <c r="Q168" s="12"/>
      <c r="R168" s="15" t="str">
        <f aca="true">IF(OR(C168="",Q168=""),"",IF(OR(J168="Won",J168="Lost"),"",IF(Q168&lt;TODAY(),"OVERDUE",IF(Q168=TODAY(),"TODAY",""))))</f>
        <v/>
      </c>
      <c r="S168" s="12"/>
      <c r="T168" s="12"/>
      <c r="U168" s="13"/>
    </row>
    <row r="169" customFormat="false" ht="15" hidden="false" customHeight="false" outlineLevel="0" collapsed="false">
      <c r="A169" s="12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4" t="str">
        <f aca="false">IF(K169="","",IFERROR(INDEX(Lists!$G$2:$G$5,MATCH(K169,Lists!$F$2:$F$5,0)),""))</f>
        <v/>
      </c>
      <c r="M169" s="13"/>
      <c r="N169" s="13"/>
      <c r="O169" s="13"/>
      <c r="P169" s="13"/>
      <c r="Q169" s="12"/>
      <c r="R169" s="15" t="str">
        <f aca="true">IF(OR(C169="",Q169=""),"",IF(OR(J169="Won",J169="Lost"),"",IF(Q169&lt;TODAY(),"OVERDUE",IF(Q169=TODAY(),"TODAY",""))))</f>
        <v/>
      </c>
      <c r="S169" s="12"/>
      <c r="T169" s="12"/>
      <c r="U169" s="13"/>
    </row>
    <row r="170" customFormat="false" ht="15" hidden="false" customHeight="false" outlineLevel="0" collapsed="false">
      <c r="A170" s="12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4" t="str">
        <f aca="false">IF(K170="","",IFERROR(INDEX(Lists!$G$2:$G$5,MATCH(K170,Lists!$F$2:$F$5,0)),""))</f>
        <v/>
      </c>
      <c r="M170" s="13"/>
      <c r="N170" s="13"/>
      <c r="O170" s="13"/>
      <c r="P170" s="13"/>
      <c r="Q170" s="12"/>
      <c r="R170" s="15" t="str">
        <f aca="true">IF(OR(C170="",Q170=""),"",IF(OR(J170="Won",J170="Lost"),"",IF(Q170&lt;TODAY(),"OVERDUE",IF(Q170=TODAY(),"TODAY",""))))</f>
        <v/>
      </c>
      <c r="S170" s="12"/>
      <c r="T170" s="12"/>
      <c r="U170" s="13"/>
    </row>
    <row r="171" customFormat="false" ht="15" hidden="false" customHeight="false" outlineLevel="0" collapsed="false">
      <c r="A171" s="12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4" t="str">
        <f aca="false">IF(K171="","",IFERROR(INDEX(Lists!$G$2:$G$5,MATCH(K171,Lists!$F$2:$F$5,0)),""))</f>
        <v/>
      </c>
      <c r="M171" s="13"/>
      <c r="N171" s="13"/>
      <c r="O171" s="13"/>
      <c r="P171" s="13"/>
      <c r="Q171" s="12"/>
      <c r="R171" s="15" t="str">
        <f aca="true">IF(OR(C171="",Q171=""),"",IF(OR(J171="Won",J171="Lost"),"",IF(Q171&lt;TODAY(),"OVERDUE",IF(Q171=TODAY(),"TODAY",""))))</f>
        <v/>
      </c>
      <c r="S171" s="12"/>
      <c r="T171" s="12"/>
      <c r="U171" s="13"/>
    </row>
    <row r="172" customFormat="false" ht="15" hidden="false" customHeight="false" outlineLevel="0" collapsed="false">
      <c r="A172" s="12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4" t="str">
        <f aca="false">IF(K172="","",IFERROR(INDEX(Lists!$G$2:$G$5,MATCH(K172,Lists!$F$2:$F$5,0)),""))</f>
        <v/>
      </c>
      <c r="M172" s="13"/>
      <c r="N172" s="13"/>
      <c r="O172" s="13"/>
      <c r="P172" s="13"/>
      <c r="Q172" s="12"/>
      <c r="R172" s="15" t="str">
        <f aca="true">IF(OR(C172="",Q172=""),"",IF(OR(J172="Won",J172="Lost"),"",IF(Q172&lt;TODAY(),"OVERDUE",IF(Q172=TODAY(),"TODAY",""))))</f>
        <v/>
      </c>
      <c r="S172" s="12"/>
      <c r="T172" s="12"/>
      <c r="U172" s="13"/>
    </row>
    <row r="173" customFormat="false" ht="15" hidden="false" customHeight="false" outlineLevel="0" collapsed="false">
      <c r="A173" s="12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4" t="str">
        <f aca="false">IF(K173="","",IFERROR(INDEX(Lists!$G$2:$G$5,MATCH(K173,Lists!$F$2:$F$5,0)),""))</f>
        <v/>
      </c>
      <c r="M173" s="13"/>
      <c r="N173" s="13"/>
      <c r="O173" s="13"/>
      <c r="P173" s="13"/>
      <c r="Q173" s="12"/>
      <c r="R173" s="15" t="str">
        <f aca="true">IF(OR(C173="",Q173=""),"",IF(OR(J173="Won",J173="Lost"),"",IF(Q173&lt;TODAY(),"OVERDUE",IF(Q173=TODAY(),"TODAY",""))))</f>
        <v/>
      </c>
      <c r="S173" s="12"/>
      <c r="T173" s="12"/>
      <c r="U173" s="13"/>
    </row>
    <row r="174" customFormat="false" ht="15" hidden="false" customHeight="false" outlineLevel="0" collapsed="false">
      <c r="A174" s="12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4" t="str">
        <f aca="false">IF(K174="","",IFERROR(INDEX(Lists!$G$2:$G$5,MATCH(K174,Lists!$F$2:$F$5,0)),""))</f>
        <v/>
      </c>
      <c r="M174" s="13"/>
      <c r="N174" s="13"/>
      <c r="O174" s="13"/>
      <c r="P174" s="13"/>
      <c r="Q174" s="12"/>
      <c r="R174" s="15" t="str">
        <f aca="true">IF(OR(C174="",Q174=""),"",IF(OR(J174="Won",J174="Lost"),"",IF(Q174&lt;TODAY(),"OVERDUE",IF(Q174=TODAY(),"TODAY",""))))</f>
        <v/>
      </c>
      <c r="S174" s="12"/>
      <c r="T174" s="12"/>
      <c r="U174" s="13"/>
    </row>
    <row r="175" customFormat="false" ht="15" hidden="false" customHeight="false" outlineLevel="0" collapsed="false">
      <c r="A175" s="12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4" t="str">
        <f aca="false">IF(K175="","",IFERROR(INDEX(Lists!$G$2:$G$5,MATCH(K175,Lists!$F$2:$F$5,0)),""))</f>
        <v/>
      </c>
      <c r="M175" s="13"/>
      <c r="N175" s="13"/>
      <c r="O175" s="13"/>
      <c r="P175" s="13"/>
      <c r="Q175" s="12"/>
      <c r="R175" s="15" t="str">
        <f aca="true">IF(OR(C175="",Q175=""),"",IF(OR(J175="Won",J175="Lost"),"",IF(Q175&lt;TODAY(),"OVERDUE",IF(Q175=TODAY(),"TODAY",""))))</f>
        <v/>
      </c>
      <c r="S175" s="12"/>
      <c r="T175" s="12"/>
      <c r="U175" s="13"/>
    </row>
    <row r="176" customFormat="false" ht="15" hidden="false" customHeight="false" outlineLevel="0" collapsed="false">
      <c r="A176" s="12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4" t="str">
        <f aca="false">IF(K176="","",IFERROR(INDEX(Lists!$G$2:$G$5,MATCH(K176,Lists!$F$2:$F$5,0)),""))</f>
        <v/>
      </c>
      <c r="M176" s="13"/>
      <c r="N176" s="13"/>
      <c r="O176" s="13"/>
      <c r="P176" s="13"/>
      <c r="Q176" s="12"/>
      <c r="R176" s="15" t="str">
        <f aca="true">IF(OR(C176="",Q176=""),"",IF(OR(J176="Won",J176="Lost"),"",IF(Q176&lt;TODAY(),"OVERDUE",IF(Q176=TODAY(),"TODAY",""))))</f>
        <v/>
      </c>
      <c r="S176" s="12"/>
      <c r="T176" s="12"/>
      <c r="U176" s="13"/>
    </row>
    <row r="177" customFormat="false" ht="15" hidden="false" customHeight="false" outlineLevel="0" collapsed="false">
      <c r="A177" s="12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4" t="str">
        <f aca="false">IF(K177="","",IFERROR(INDEX(Lists!$G$2:$G$5,MATCH(K177,Lists!$F$2:$F$5,0)),""))</f>
        <v/>
      </c>
      <c r="M177" s="13"/>
      <c r="N177" s="13"/>
      <c r="O177" s="13"/>
      <c r="P177" s="13"/>
      <c r="Q177" s="12"/>
      <c r="R177" s="15" t="str">
        <f aca="true">IF(OR(C177="",Q177=""),"",IF(OR(J177="Won",J177="Lost"),"",IF(Q177&lt;TODAY(),"OVERDUE",IF(Q177=TODAY(),"TODAY",""))))</f>
        <v/>
      </c>
      <c r="S177" s="12"/>
      <c r="T177" s="12"/>
      <c r="U177" s="13"/>
    </row>
    <row r="178" customFormat="false" ht="15" hidden="false" customHeight="false" outlineLevel="0" collapsed="false">
      <c r="A178" s="12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4" t="str">
        <f aca="false">IF(K178="","",IFERROR(INDEX(Lists!$G$2:$G$5,MATCH(K178,Lists!$F$2:$F$5,0)),""))</f>
        <v/>
      </c>
      <c r="M178" s="13"/>
      <c r="N178" s="13"/>
      <c r="O178" s="13"/>
      <c r="P178" s="13"/>
      <c r="Q178" s="12"/>
      <c r="R178" s="15" t="str">
        <f aca="true">IF(OR(C178="",Q178=""),"",IF(OR(J178="Won",J178="Lost"),"",IF(Q178&lt;TODAY(),"OVERDUE",IF(Q178=TODAY(),"TODAY",""))))</f>
        <v/>
      </c>
      <c r="S178" s="12"/>
      <c r="T178" s="12"/>
      <c r="U178" s="13"/>
    </row>
    <row r="179" customFormat="false" ht="15" hidden="false" customHeight="false" outlineLevel="0" collapsed="false">
      <c r="A179" s="12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4" t="str">
        <f aca="false">IF(K179="","",IFERROR(INDEX(Lists!$G$2:$G$5,MATCH(K179,Lists!$F$2:$F$5,0)),""))</f>
        <v/>
      </c>
      <c r="M179" s="13"/>
      <c r="N179" s="13"/>
      <c r="O179" s="13"/>
      <c r="P179" s="13"/>
      <c r="Q179" s="12"/>
      <c r="R179" s="15" t="str">
        <f aca="true">IF(OR(C179="",Q179=""),"",IF(OR(J179="Won",J179="Lost"),"",IF(Q179&lt;TODAY(),"OVERDUE",IF(Q179=TODAY(),"TODAY",""))))</f>
        <v/>
      </c>
      <c r="S179" s="12"/>
      <c r="T179" s="12"/>
      <c r="U179" s="13"/>
    </row>
    <row r="180" customFormat="false" ht="15" hidden="false" customHeight="false" outlineLevel="0" collapsed="false">
      <c r="A180" s="12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4" t="str">
        <f aca="false">IF(K180="","",IFERROR(INDEX(Lists!$G$2:$G$5,MATCH(K180,Lists!$F$2:$F$5,0)),""))</f>
        <v/>
      </c>
      <c r="M180" s="13"/>
      <c r="N180" s="13"/>
      <c r="O180" s="13"/>
      <c r="P180" s="13"/>
      <c r="Q180" s="12"/>
      <c r="R180" s="15" t="str">
        <f aca="true">IF(OR(C180="",Q180=""),"",IF(OR(J180="Won",J180="Lost"),"",IF(Q180&lt;TODAY(),"OVERDUE",IF(Q180=TODAY(),"TODAY",""))))</f>
        <v/>
      </c>
      <c r="S180" s="12"/>
      <c r="T180" s="12"/>
      <c r="U180" s="13"/>
    </row>
    <row r="181" customFormat="false" ht="15" hidden="false" customHeight="false" outlineLevel="0" collapsed="false">
      <c r="A181" s="12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4" t="str">
        <f aca="false">IF(K181="","",IFERROR(INDEX(Lists!$G$2:$G$5,MATCH(K181,Lists!$F$2:$F$5,0)),""))</f>
        <v/>
      </c>
      <c r="M181" s="13"/>
      <c r="N181" s="13"/>
      <c r="O181" s="13"/>
      <c r="P181" s="13"/>
      <c r="Q181" s="12"/>
      <c r="R181" s="15" t="str">
        <f aca="true">IF(OR(C181="",Q181=""),"",IF(OR(J181="Won",J181="Lost"),"",IF(Q181&lt;TODAY(),"OVERDUE",IF(Q181=TODAY(),"TODAY",""))))</f>
        <v/>
      </c>
      <c r="S181" s="12"/>
      <c r="T181" s="12"/>
      <c r="U181" s="13"/>
    </row>
    <row r="182" customFormat="false" ht="15" hidden="false" customHeight="false" outlineLevel="0" collapsed="false">
      <c r="A182" s="12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4" t="str">
        <f aca="false">IF(K182="","",IFERROR(INDEX(Lists!$G$2:$G$5,MATCH(K182,Lists!$F$2:$F$5,0)),""))</f>
        <v/>
      </c>
      <c r="M182" s="13"/>
      <c r="N182" s="13"/>
      <c r="O182" s="13"/>
      <c r="P182" s="13"/>
      <c r="Q182" s="12"/>
      <c r="R182" s="15" t="str">
        <f aca="true">IF(OR(C182="",Q182=""),"",IF(OR(J182="Won",J182="Lost"),"",IF(Q182&lt;TODAY(),"OVERDUE",IF(Q182=TODAY(),"TODAY",""))))</f>
        <v/>
      </c>
      <c r="S182" s="12"/>
      <c r="T182" s="12"/>
      <c r="U182" s="13"/>
    </row>
    <row r="183" customFormat="false" ht="15" hidden="false" customHeight="false" outlineLevel="0" collapsed="false">
      <c r="A183" s="12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4" t="str">
        <f aca="false">IF(K183="","",IFERROR(INDEX(Lists!$G$2:$G$5,MATCH(K183,Lists!$F$2:$F$5,0)),""))</f>
        <v/>
      </c>
      <c r="M183" s="13"/>
      <c r="N183" s="13"/>
      <c r="O183" s="13"/>
      <c r="P183" s="13"/>
      <c r="Q183" s="12"/>
      <c r="R183" s="15" t="str">
        <f aca="true">IF(OR(C183="",Q183=""),"",IF(OR(J183="Won",J183="Lost"),"",IF(Q183&lt;TODAY(),"OVERDUE",IF(Q183=TODAY(),"TODAY",""))))</f>
        <v/>
      </c>
      <c r="S183" s="12"/>
      <c r="T183" s="12"/>
      <c r="U183" s="13"/>
    </row>
    <row r="184" customFormat="false" ht="15" hidden="false" customHeight="false" outlineLevel="0" collapsed="false">
      <c r="A184" s="12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4" t="str">
        <f aca="false">IF(K184="","",IFERROR(INDEX(Lists!$G$2:$G$5,MATCH(K184,Lists!$F$2:$F$5,0)),""))</f>
        <v/>
      </c>
      <c r="M184" s="13"/>
      <c r="N184" s="13"/>
      <c r="O184" s="13"/>
      <c r="P184" s="13"/>
      <c r="Q184" s="12"/>
      <c r="R184" s="15" t="str">
        <f aca="true">IF(OR(C184="",Q184=""),"",IF(OR(J184="Won",J184="Lost"),"",IF(Q184&lt;TODAY(),"OVERDUE",IF(Q184=TODAY(),"TODAY",""))))</f>
        <v/>
      </c>
      <c r="S184" s="12"/>
      <c r="T184" s="12"/>
      <c r="U184" s="13"/>
    </row>
    <row r="185" customFormat="false" ht="15" hidden="false" customHeight="false" outlineLevel="0" collapsed="false">
      <c r="A185" s="12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4" t="str">
        <f aca="false">IF(K185="","",IFERROR(INDEX(Lists!$G$2:$G$5,MATCH(K185,Lists!$F$2:$F$5,0)),""))</f>
        <v/>
      </c>
      <c r="M185" s="13"/>
      <c r="N185" s="13"/>
      <c r="O185" s="13"/>
      <c r="P185" s="13"/>
      <c r="Q185" s="12"/>
      <c r="R185" s="15" t="str">
        <f aca="true">IF(OR(C185="",Q185=""),"",IF(OR(J185="Won",J185="Lost"),"",IF(Q185&lt;TODAY(),"OVERDUE",IF(Q185=TODAY(),"TODAY",""))))</f>
        <v/>
      </c>
      <c r="S185" s="12"/>
      <c r="T185" s="12"/>
      <c r="U185" s="13"/>
    </row>
    <row r="186" customFormat="false" ht="15" hidden="false" customHeight="false" outlineLevel="0" collapsed="false">
      <c r="A186" s="12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4" t="str">
        <f aca="false">IF(K186="","",IFERROR(INDEX(Lists!$G$2:$G$5,MATCH(K186,Lists!$F$2:$F$5,0)),""))</f>
        <v/>
      </c>
      <c r="M186" s="13"/>
      <c r="N186" s="13"/>
      <c r="O186" s="13"/>
      <c r="P186" s="13"/>
      <c r="Q186" s="12"/>
      <c r="R186" s="15" t="str">
        <f aca="true">IF(OR(C186="",Q186=""),"",IF(OR(J186="Won",J186="Lost"),"",IF(Q186&lt;TODAY(),"OVERDUE",IF(Q186=TODAY(),"TODAY",""))))</f>
        <v/>
      </c>
      <c r="S186" s="12"/>
      <c r="T186" s="12"/>
      <c r="U186" s="13"/>
    </row>
    <row r="187" customFormat="false" ht="15" hidden="false" customHeight="false" outlineLevel="0" collapsed="false">
      <c r="A187" s="12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4" t="str">
        <f aca="false">IF(K187="","",IFERROR(INDEX(Lists!$G$2:$G$5,MATCH(K187,Lists!$F$2:$F$5,0)),""))</f>
        <v/>
      </c>
      <c r="M187" s="13"/>
      <c r="N187" s="13"/>
      <c r="O187" s="13"/>
      <c r="P187" s="13"/>
      <c r="Q187" s="12"/>
      <c r="R187" s="15" t="str">
        <f aca="true">IF(OR(C187="",Q187=""),"",IF(OR(J187="Won",J187="Lost"),"",IF(Q187&lt;TODAY(),"OVERDUE",IF(Q187=TODAY(),"TODAY",""))))</f>
        <v/>
      </c>
      <c r="S187" s="12"/>
      <c r="T187" s="12"/>
      <c r="U187" s="13"/>
    </row>
    <row r="188" customFormat="false" ht="15" hidden="false" customHeight="false" outlineLevel="0" collapsed="false">
      <c r="A188" s="12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4" t="str">
        <f aca="false">IF(K188="","",IFERROR(INDEX(Lists!$G$2:$G$5,MATCH(K188,Lists!$F$2:$F$5,0)),""))</f>
        <v/>
      </c>
      <c r="M188" s="13"/>
      <c r="N188" s="13"/>
      <c r="O188" s="13"/>
      <c r="P188" s="13"/>
      <c r="Q188" s="12"/>
      <c r="R188" s="15" t="str">
        <f aca="true">IF(OR(C188="",Q188=""),"",IF(OR(J188="Won",J188="Lost"),"",IF(Q188&lt;TODAY(),"OVERDUE",IF(Q188=TODAY(),"TODAY",""))))</f>
        <v/>
      </c>
      <c r="S188" s="12"/>
      <c r="T188" s="12"/>
      <c r="U188" s="13"/>
    </row>
    <row r="189" customFormat="false" ht="15" hidden="false" customHeight="false" outlineLevel="0" collapsed="false">
      <c r="A189" s="12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4" t="str">
        <f aca="false">IF(K189="","",IFERROR(INDEX(Lists!$G$2:$G$5,MATCH(K189,Lists!$F$2:$F$5,0)),""))</f>
        <v/>
      </c>
      <c r="M189" s="13"/>
      <c r="N189" s="13"/>
      <c r="O189" s="13"/>
      <c r="P189" s="13"/>
      <c r="Q189" s="12"/>
      <c r="R189" s="15" t="str">
        <f aca="true">IF(OR(C189="",Q189=""),"",IF(OR(J189="Won",J189="Lost"),"",IF(Q189&lt;TODAY(),"OVERDUE",IF(Q189=TODAY(),"TODAY",""))))</f>
        <v/>
      </c>
      <c r="S189" s="12"/>
      <c r="T189" s="12"/>
      <c r="U189" s="13"/>
    </row>
    <row r="190" customFormat="false" ht="15" hidden="false" customHeight="false" outlineLevel="0" collapsed="false">
      <c r="A190" s="12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4" t="str">
        <f aca="false">IF(K190="","",IFERROR(INDEX(Lists!$G$2:$G$5,MATCH(K190,Lists!$F$2:$F$5,0)),""))</f>
        <v/>
      </c>
      <c r="M190" s="13"/>
      <c r="N190" s="13"/>
      <c r="O190" s="13"/>
      <c r="P190" s="13"/>
      <c r="Q190" s="12"/>
      <c r="R190" s="15" t="str">
        <f aca="true">IF(OR(C190="",Q190=""),"",IF(OR(J190="Won",J190="Lost"),"",IF(Q190&lt;TODAY(),"OVERDUE",IF(Q190=TODAY(),"TODAY",""))))</f>
        <v/>
      </c>
      <c r="S190" s="12"/>
      <c r="T190" s="12"/>
      <c r="U190" s="13"/>
    </row>
    <row r="191" customFormat="false" ht="15" hidden="false" customHeight="false" outlineLevel="0" collapsed="false">
      <c r="A191" s="12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4" t="str">
        <f aca="false">IF(K191="","",IFERROR(INDEX(Lists!$G$2:$G$5,MATCH(K191,Lists!$F$2:$F$5,0)),""))</f>
        <v/>
      </c>
      <c r="M191" s="13"/>
      <c r="N191" s="13"/>
      <c r="O191" s="13"/>
      <c r="P191" s="13"/>
      <c r="Q191" s="12"/>
      <c r="R191" s="15" t="str">
        <f aca="true">IF(OR(C191="",Q191=""),"",IF(OR(J191="Won",J191="Lost"),"",IF(Q191&lt;TODAY(),"OVERDUE",IF(Q191=TODAY(),"TODAY",""))))</f>
        <v/>
      </c>
      <c r="S191" s="12"/>
      <c r="T191" s="12"/>
      <c r="U191" s="13"/>
    </row>
    <row r="192" customFormat="false" ht="15" hidden="false" customHeight="false" outlineLevel="0" collapsed="false">
      <c r="A192" s="12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4" t="str">
        <f aca="false">IF(K192="","",IFERROR(INDEX(Lists!$G$2:$G$5,MATCH(K192,Lists!$F$2:$F$5,0)),""))</f>
        <v/>
      </c>
      <c r="M192" s="13"/>
      <c r="N192" s="13"/>
      <c r="O192" s="13"/>
      <c r="P192" s="13"/>
      <c r="Q192" s="12"/>
      <c r="R192" s="15" t="str">
        <f aca="true">IF(OR(C192="",Q192=""),"",IF(OR(J192="Won",J192="Lost"),"",IF(Q192&lt;TODAY(),"OVERDUE",IF(Q192=TODAY(),"TODAY",""))))</f>
        <v/>
      </c>
      <c r="S192" s="12"/>
      <c r="T192" s="12"/>
      <c r="U192" s="13"/>
    </row>
    <row r="193" customFormat="false" ht="15" hidden="false" customHeight="false" outlineLevel="0" collapsed="false">
      <c r="A193" s="12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4" t="str">
        <f aca="false">IF(K193="","",IFERROR(INDEX(Lists!$G$2:$G$5,MATCH(K193,Lists!$F$2:$F$5,0)),""))</f>
        <v/>
      </c>
      <c r="M193" s="13"/>
      <c r="N193" s="13"/>
      <c r="O193" s="13"/>
      <c r="P193" s="13"/>
      <c r="Q193" s="12"/>
      <c r="R193" s="15" t="str">
        <f aca="true">IF(OR(C193="",Q193=""),"",IF(OR(J193="Won",J193="Lost"),"",IF(Q193&lt;TODAY(),"OVERDUE",IF(Q193=TODAY(),"TODAY",""))))</f>
        <v/>
      </c>
      <c r="S193" s="12"/>
      <c r="T193" s="12"/>
      <c r="U193" s="13"/>
    </row>
    <row r="194" customFormat="false" ht="15" hidden="false" customHeight="false" outlineLevel="0" collapsed="false">
      <c r="A194" s="12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4" t="str">
        <f aca="false">IF(K194="","",IFERROR(INDEX(Lists!$G$2:$G$5,MATCH(K194,Lists!$F$2:$F$5,0)),""))</f>
        <v/>
      </c>
      <c r="M194" s="13"/>
      <c r="N194" s="13"/>
      <c r="O194" s="13"/>
      <c r="P194" s="13"/>
      <c r="Q194" s="12"/>
      <c r="R194" s="15" t="str">
        <f aca="true">IF(OR(C194="",Q194=""),"",IF(OR(J194="Won",J194="Lost"),"",IF(Q194&lt;TODAY(),"OVERDUE",IF(Q194=TODAY(),"TODAY",""))))</f>
        <v/>
      </c>
      <c r="S194" s="12"/>
      <c r="T194" s="12"/>
      <c r="U194" s="13"/>
    </row>
    <row r="195" customFormat="false" ht="15" hidden="false" customHeight="false" outlineLevel="0" collapsed="false">
      <c r="A195" s="12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4" t="str">
        <f aca="false">IF(K195="","",IFERROR(INDEX(Lists!$G$2:$G$5,MATCH(K195,Lists!$F$2:$F$5,0)),""))</f>
        <v/>
      </c>
      <c r="M195" s="13"/>
      <c r="N195" s="13"/>
      <c r="O195" s="13"/>
      <c r="P195" s="13"/>
      <c r="Q195" s="12"/>
      <c r="R195" s="15" t="str">
        <f aca="true">IF(OR(C195="",Q195=""),"",IF(OR(J195="Won",J195="Lost"),"",IF(Q195&lt;TODAY(),"OVERDUE",IF(Q195=TODAY(),"TODAY",""))))</f>
        <v/>
      </c>
      <c r="S195" s="12"/>
      <c r="T195" s="12"/>
      <c r="U195" s="13"/>
    </row>
    <row r="196" customFormat="false" ht="15" hidden="false" customHeight="false" outlineLevel="0" collapsed="false">
      <c r="A196" s="12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4" t="str">
        <f aca="false">IF(K196="","",IFERROR(INDEX(Lists!$G$2:$G$5,MATCH(K196,Lists!$F$2:$F$5,0)),""))</f>
        <v/>
      </c>
      <c r="M196" s="13"/>
      <c r="N196" s="13"/>
      <c r="O196" s="13"/>
      <c r="P196" s="13"/>
      <c r="Q196" s="12"/>
      <c r="R196" s="15" t="str">
        <f aca="true">IF(OR(C196="",Q196=""),"",IF(OR(J196="Won",J196="Lost"),"",IF(Q196&lt;TODAY(),"OVERDUE",IF(Q196=TODAY(),"TODAY",""))))</f>
        <v/>
      </c>
      <c r="S196" s="12"/>
      <c r="T196" s="12"/>
      <c r="U196" s="13"/>
    </row>
    <row r="197" customFormat="false" ht="15" hidden="false" customHeight="false" outlineLevel="0" collapsed="false">
      <c r="A197" s="12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4" t="str">
        <f aca="false">IF(K197="","",IFERROR(INDEX(Lists!$G$2:$G$5,MATCH(K197,Lists!$F$2:$F$5,0)),""))</f>
        <v/>
      </c>
      <c r="M197" s="13"/>
      <c r="N197" s="13"/>
      <c r="O197" s="13"/>
      <c r="P197" s="13"/>
      <c r="Q197" s="12"/>
      <c r="R197" s="15" t="str">
        <f aca="true">IF(OR(C197="",Q197=""),"",IF(OR(J197="Won",J197="Lost"),"",IF(Q197&lt;TODAY(),"OVERDUE",IF(Q197=TODAY(),"TODAY",""))))</f>
        <v/>
      </c>
      <c r="S197" s="12"/>
      <c r="T197" s="12"/>
      <c r="U197" s="13"/>
    </row>
    <row r="198" customFormat="false" ht="15" hidden="false" customHeight="false" outlineLevel="0" collapsed="false">
      <c r="A198" s="12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4" t="str">
        <f aca="false">IF(K198="","",IFERROR(INDEX(Lists!$G$2:$G$5,MATCH(K198,Lists!$F$2:$F$5,0)),""))</f>
        <v/>
      </c>
      <c r="M198" s="13"/>
      <c r="N198" s="13"/>
      <c r="O198" s="13"/>
      <c r="P198" s="13"/>
      <c r="Q198" s="12"/>
      <c r="R198" s="15" t="str">
        <f aca="true">IF(OR(C198="",Q198=""),"",IF(OR(J198="Won",J198="Lost"),"",IF(Q198&lt;TODAY(),"OVERDUE",IF(Q198=TODAY(),"TODAY",""))))</f>
        <v/>
      </c>
      <c r="S198" s="12"/>
      <c r="T198" s="12"/>
      <c r="U198" s="13"/>
    </row>
    <row r="199" customFormat="false" ht="15" hidden="false" customHeight="false" outlineLevel="0" collapsed="false">
      <c r="A199" s="12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4" t="str">
        <f aca="false">IF(K199="","",IFERROR(INDEX(Lists!$G$2:$G$5,MATCH(K199,Lists!$F$2:$F$5,0)),""))</f>
        <v/>
      </c>
      <c r="M199" s="13"/>
      <c r="N199" s="13"/>
      <c r="O199" s="13"/>
      <c r="P199" s="13"/>
      <c r="Q199" s="12"/>
      <c r="R199" s="15" t="str">
        <f aca="true">IF(OR(C199="",Q199=""),"",IF(OR(J199="Won",J199="Lost"),"",IF(Q199&lt;TODAY(),"OVERDUE",IF(Q199=TODAY(),"TODAY",""))))</f>
        <v/>
      </c>
      <c r="S199" s="12"/>
      <c r="T199" s="12"/>
      <c r="U199" s="13"/>
    </row>
    <row r="200" customFormat="false" ht="15" hidden="false" customHeight="false" outlineLevel="0" collapsed="false">
      <c r="A200" s="12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4" t="str">
        <f aca="false">IF(K200="","",IFERROR(INDEX(Lists!$G$2:$G$5,MATCH(K200,Lists!$F$2:$F$5,0)),""))</f>
        <v/>
      </c>
      <c r="M200" s="13"/>
      <c r="N200" s="13"/>
      <c r="O200" s="13"/>
      <c r="P200" s="13"/>
      <c r="Q200" s="12"/>
      <c r="R200" s="15" t="str">
        <f aca="true">IF(OR(C200="",Q200=""),"",IF(OR(J200="Won",J200="Lost"),"",IF(Q200&lt;TODAY(),"OVERDUE",IF(Q200=TODAY(),"TODAY",""))))</f>
        <v/>
      </c>
      <c r="S200" s="12"/>
      <c r="T200" s="12"/>
      <c r="U200" s="13"/>
    </row>
    <row r="201" customFormat="false" ht="15" hidden="false" customHeight="false" outlineLevel="0" collapsed="false">
      <c r="A201" s="12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4" t="str">
        <f aca="false">IF(K201="","",IFERROR(INDEX(Lists!$G$2:$G$5,MATCH(K201,Lists!$F$2:$F$5,0)),""))</f>
        <v/>
      </c>
      <c r="M201" s="13"/>
      <c r="N201" s="13"/>
      <c r="O201" s="13"/>
      <c r="P201" s="13"/>
      <c r="Q201" s="12"/>
      <c r="R201" s="15" t="str">
        <f aca="true">IF(OR(C201="",Q201=""),"",IF(OR(J201="Won",J201="Lost"),"",IF(Q201&lt;TODAY(),"OVERDUE",IF(Q201=TODAY(),"TODAY",""))))</f>
        <v/>
      </c>
      <c r="S201" s="12"/>
      <c r="T201" s="12"/>
      <c r="U201" s="13"/>
    </row>
    <row r="202" customFormat="false" ht="15" hidden="false" customHeight="false" outlineLevel="0" collapsed="false">
      <c r="A202" s="12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4" t="str">
        <f aca="false">IF(K202="","",IFERROR(INDEX(Lists!$G$2:$G$5,MATCH(K202,Lists!$F$2:$F$5,0)),""))</f>
        <v/>
      </c>
      <c r="M202" s="13"/>
      <c r="N202" s="13"/>
      <c r="O202" s="13"/>
      <c r="P202" s="13"/>
      <c r="Q202" s="12"/>
      <c r="R202" s="15" t="str">
        <f aca="true">IF(OR(C202="",Q202=""),"",IF(OR(J202="Won",J202="Lost"),"",IF(Q202&lt;TODAY(),"OVERDUE",IF(Q202=TODAY(),"TODAY",""))))</f>
        <v/>
      </c>
      <c r="S202" s="12"/>
      <c r="T202" s="12"/>
      <c r="U202" s="13"/>
    </row>
    <row r="203" customFormat="false" ht="15" hidden="false" customHeight="false" outlineLevel="0" collapsed="false">
      <c r="A203" s="12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4" t="str">
        <f aca="false">IF(K203="","",IFERROR(INDEX(Lists!$G$2:$G$5,MATCH(K203,Lists!$F$2:$F$5,0)),""))</f>
        <v/>
      </c>
      <c r="M203" s="13"/>
      <c r="N203" s="13"/>
      <c r="O203" s="13"/>
      <c r="P203" s="13"/>
      <c r="Q203" s="12"/>
      <c r="R203" s="15" t="str">
        <f aca="true">IF(OR(C203="",Q203=""),"",IF(OR(J203="Won",J203="Lost"),"",IF(Q203&lt;TODAY(),"OVERDUE",IF(Q203=TODAY(),"TODAY",""))))</f>
        <v/>
      </c>
      <c r="S203" s="12"/>
      <c r="T203" s="12"/>
      <c r="U203" s="13"/>
    </row>
    <row r="204" customFormat="false" ht="15" hidden="false" customHeight="false" outlineLevel="0" collapsed="false">
      <c r="A204" s="12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4" t="str">
        <f aca="false">IF(K204="","",IFERROR(INDEX(Lists!$G$2:$G$5,MATCH(K204,Lists!$F$2:$F$5,0)),""))</f>
        <v/>
      </c>
      <c r="M204" s="13"/>
      <c r="N204" s="13"/>
      <c r="O204" s="13"/>
      <c r="P204" s="13"/>
      <c r="Q204" s="12"/>
      <c r="R204" s="15" t="str">
        <f aca="true">IF(OR(C204="",Q204=""),"",IF(OR(J204="Won",J204="Lost"),"",IF(Q204&lt;TODAY(),"OVERDUE",IF(Q204=TODAY(),"TODAY",""))))</f>
        <v/>
      </c>
      <c r="S204" s="12"/>
      <c r="T204" s="12"/>
      <c r="U204" s="13"/>
    </row>
    <row r="205" customFormat="false" ht="15" hidden="false" customHeight="false" outlineLevel="0" collapsed="false">
      <c r="A205" s="12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4" t="str">
        <f aca="false">IF(K205="","",IFERROR(INDEX(Lists!$G$2:$G$5,MATCH(K205,Lists!$F$2:$F$5,0)),""))</f>
        <v/>
      </c>
      <c r="M205" s="13"/>
      <c r="N205" s="13"/>
      <c r="O205" s="13"/>
      <c r="P205" s="13"/>
      <c r="Q205" s="12"/>
      <c r="R205" s="15" t="str">
        <f aca="true">IF(OR(C205="",Q205=""),"",IF(OR(J205="Won",J205="Lost"),"",IF(Q205&lt;TODAY(),"OVERDUE",IF(Q205=TODAY(),"TODAY",""))))</f>
        <v/>
      </c>
      <c r="S205" s="12"/>
      <c r="T205" s="12"/>
      <c r="U205" s="13"/>
    </row>
    <row r="206" customFormat="false" ht="15" hidden="false" customHeight="false" outlineLevel="0" collapsed="false">
      <c r="A206" s="12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4" t="str">
        <f aca="false">IF(K206="","",IFERROR(INDEX(Lists!$G$2:$G$5,MATCH(K206,Lists!$F$2:$F$5,0)),""))</f>
        <v/>
      </c>
      <c r="M206" s="13"/>
      <c r="N206" s="13"/>
      <c r="O206" s="13"/>
      <c r="P206" s="13"/>
      <c r="Q206" s="12"/>
      <c r="R206" s="15" t="str">
        <f aca="true">IF(OR(C206="",Q206=""),"",IF(OR(J206="Won",J206="Lost"),"",IF(Q206&lt;TODAY(),"OVERDUE",IF(Q206=TODAY(),"TODAY",""))))</f>
        <v/>
      </c>
      <c r="S206" s="12"/>
      <c r="T206" s="12"/>
      <c r="U206" s="13"/>
    </row>
    <row r="207" customFormat="false" ht="15" hidden="false" customHeight="false" outlineLevel="0" collapsed="false">
      <c r="A207" s="12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4" t="str">
        <f aca="false">IF(K207="","",IFERROR(INDEX(Lists!$G$2:$G$5,MATCH(K207,Lists!$F$2:$F$5,0)),""))</f>
        <v/>
      </c>
      <c r="M207" s="13"/>
      <c r="N207" s="13"/>
      <c r="O207" s="13"/>
      <c r="P207" s="13"/>
      <c r="Q207" s="12"/>
      <c r="R207" s="15" t="str">
        <f aca="true">IF(OR(C207="",Q207=""),"",IF(OR(J207="Won",J207="Lost"),"",IF(Q207&lt;TODAY(),"OVERDUE",IF(Q207=TODAY(),"TODAY",""))))</f>
        <v/>
      </c>
      <c r="S207" s="12"/>
      <c r="T207" s="12"/>
      <c r="U207" s="13"/>
    </row>
    <row r="208" customFormat="false" ht="15" hidden="false" customHeight="false" outlineLevel="0" collapsed="false">
      <c r="A208" s="12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4" t="str">
        <f aca="false">IF(K208="","",IFERROR(INDEX(Lists!$G$2:$G$5,MATCH(K208,Lists!$F$2:$F$5,0)),""))</f>
        <v/>
      </c>
      <c r="M208" s="13"/>
      <c r="N208" s="13"/>
      <c r="O208" s="13"/>
      <c r="P208" s="13"/>
      <c r="Q208" s="12"/>
      <c r="R208" s="15" t="str">
        <f aca="true">IF(OR(C208="",Q208=""),"",IF(OR(J208="Won",J208="Lost"),"",IF(Q208&lt;TODAY(),"OVERDUE",IF(Q208=TODAY(),"TODAY",""))))</f>
        <v/>
      </c>
      <c r="S208" s="12"/>
      <c r="T208" s="12"/>
      <c r="U208" s="13"/>
    </row>
    <row r="209" customFormat="false" ht="15" hidden="false" customHeight="false" outlineLevel="0" collapsed="false">
      <c r="A209" s="12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4" t="str">
        <f aca="false">IF(K209="","",IFERROR(INDEX(Lists!$G$2:$G$5,MATCH(K209,Lists!$F$2:$F$5,0)),""))</f>
        <v/>
      </c>
      <c r="M209" s="13"/>
      <c r="N209" s="13"/>
      <c r="O209" s="13"/>
      <c r="P209" s="13"/>
      <c r="Q209" s="12"/>
      <c r="R209" s="15" t="str">
        <f aca="true">IF(OR(C209="",Q209=""),"",IF(OR(J209="Won",J209="Lost"),"",IF(Q209&lt;TODAY(),"OVERDUE",IF(Q209=TODAY(),"TODAY",""))))</f>
        <v/>
      </c>
      <c r="S209" s="12"/>
      <c r="T209" s="12"/>
      <c r="U209" s="13"/>
    </row>
    <row r="210" customFormat="false" ht="15" hidden="false" customHeight="false" outlineLevel="0" collapsed="false">
      <c r="A210" s="12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4" t="str">
        <f aca="false">IF(K210="","",IFERROR(INDEX(Lists!$G$2:$G$5,MATCH(K210,Lists!$F$2:$F$5,0)),""))</f>
        <v/>
      </c>
      <c r="M210" s="13"/>
      <c r="N210" s="13"/>
      <c r="O210" s="13"/>
      <c r="P210" s="13"/>
      <c r="Q210" s="12"/>
      <c r="R210" s="15" t="str">
        <f aca="true">IF(OR(C210="",Q210=""),"",IF(OR(J210="Won",J210="Lost"),"",IF(Q210&lt;TODAY(),"OVERDUE",IF(Q210=TODAY(),"TODAY",""))))</f>
        <v/>
      </c>
      <c r="S210" s="12"/>
      <c r="T210" s="12"/>
      <c r="U210" s="13"/>
    </row>
    <row r="211" customFormat="false" ht="15" hidden="false" customHeight="false" outlineLevel="0" collapsed="false">
      <c r="A211" s="12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4" t="str">
        <f aca="false">IF(K211="","",IFERROR(INDEX(Lists!$G$2:$G$5,MATCH(K211,Lists!$F$2:$F$5,0)),""))</f>
        <v/>
      </c>
      <c r="M211" s="13"/>
      <c r="N211" s="13"/>
      <c r="O211" s="13"/>
      <c r="P211" s="13"/>
      <c r="Q211" s="12"/>
      <c r="R211" s="15" t="str">
        <f aca="true">IF(OR(C211="",Q211=""),"",IF(OR(J211="Won",J211="Lost"),"",IF(Q211&lt;TODAY(),"OVERDUE",IF(Q211=TODAY(),"TODAY",""))))</f>
        <v/>
      </c>
      <c r="S211" s="12"/>
      <c r="T211" s="12"/>
      <c r="U211" s="13"/>
    </row>
    <row r="212" customFormat="false" ht="15" hidden="false" customHeight="false" outlineLevel="0" collapsed="false">
      <c r="A212" s="12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4" t="str">
        <f aca="false">IF(K212="","",IFERROR(INDEX(Lists!$G$2:$G$5,MATCH(K212,Lists!$F$2:$F$5,0)),""))</f>
        <v/>
      </c>
      <c r="M212" s="13"/>
      <c r="N212" s="13"/>
      <c r="O212" s="13"/>
      <c r="P212" s="13"/>
      <c r="Q212" s="12"/>
      <c r="R212" s="15" t="str">
        <f aca="true">IF(OR(C212="",Q212=""),"",IF(OR(J212="Won",J212="Lost"),"",IF(Q212&lt;TODAY(),"OVERDUE",IF(Q212=TODAY(),"TODAY",""))))</f>
        <v/>
      </c>
      <c r="S212" s="12"/>
      <c r="T212" s="12"/>
      <c r="U212" s="13"/>
    </row>
    <row r="213" customFormat="false" ht="15" hidden="false" customHeight="false" outlineLevel="0" collapsed="false">
      <c r="A213" s="12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4" t="str">
        <f aca="false">IF(K213="","",IFERROR(INDEX(Lists!$G$2:$G$5,MATCH(K213,Lists!$F$2:$F$5,0)),""))</f>
        <v/>
      </c>
      <c r="M213" s="13"/>
      <c r="N213" s="13"/>
      <c r="O213" s="13"/>
      <c r="P213" s="13"/>
      <c r="Q213" s="12"/>
      <c r="R213" s="15" t="str">
        <f aca="true">IF(OR(C213="",Q213=""),"",IF(OR(J213="Won",J213="Lost"),"",IF(Q213&lt;TODAY(),"OVERDUE",IF(Q213=TODAY(),"TODAY",""))))</f>
        <v/>
      </c>
      <c r="S213" s="12"/>
      <c r="T213" s="12"/>
      <c r="U213" s="13"/>
    </row>
    <row r="214" customFormat="false" ht="15" hidden="false" customHeight="false" outlineLevel="0" collapsed="false">
      <c r="A214" s="12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4" t="str">
        <f aca="false">IF(K214="","",IFERROR(INDEX(Lists!$G$2:$G$5,MATCH(K214,Lists!$F$2:$F$5,0)),""))</f>
        <v/>
      </c>
      <c r="M214" s="13"/>
      <c r="N214" s="13"/>
      <c r="O214" s="13"/>
      <c r="P214" s="13"/>
      <c r="Q214" s="12"/>
      <c r="R214" s="15" t="str">
        <f aca="true">IF(OR(C214="",Q214=""),"",IF(OR(J214="Won",J214="Lost"),"",IF(Q214&lt;TODAY(),"OVERDUE",IF(Q214=TODAY(),"TODAY",""))))</f>
        <v/>
      </c>
      <c r="S214" s="12"/>
      <c r="T214" s="12"/>
      <c r="U214" s="13"/>
    </row>
    <row r="215" customFormat="false" ht="15" hidden="false" customHeight="false" outlineLevel="0" collapsed="false">
      <c r="A215" s="12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4" t="str">
        <f aca="false">IF(K215="","",IFERROR(INDEX(Lists!$G$2:$G$5,MATCH(K215,Lists!$F$2:$F$5,0)),""))</f>
        <v/>
      </c>
      <c r="M215" s="13"/>
      <c r="N215" s="13"/>
      <c r="O215" s="13"/>
      <c r="P215" s="13"/>
      <c r="Q215" s="12"/>
      <c r="R215" s="15" t="str">
        <f aca="true">IF(OR(C215="",Q215=""),"",IF(OR(J215="Won",J215="Lost"),"",IF(Q215&lt;TODAY(),"OVERDUE",IF(Q215=TODAY(),"TODAY",""))))</f>
        <v/>
      </c>
      <c r="S215" s="12"/>
      <c r="T215" s="12"/>
      <c r="U215" s="13"/>
    </row>
    <row r="216" customFormat="false" ht="15" hidden="false" customHeight="false" outlineLevel="0" collapsed="false">
      <c r="A216" s="12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4" t="str">
        <f aca="false">IF(K216="","",IFERROR(INDEX(Lists!$G$2:$G$5,MATCH(K216,Lists!$F$2:$F$5,0)),""))</f>
        <v/>
      </c>
      <c r="M216" s="13"/>
      <c r="N216" s="13"/>
      <c r="O216" s="13"/>
      <c r="P216" s="13"/>
      <c r="Q216" s="12"/>
      <c r="R216" s="15" t="str">
        <f aca="true">IF(OR(C216="",Q216=""),"",IF(OR(J216="Won",J216="Lost"),"",IF(Q216&lt;TODAY(),"OVERDUE",IF(Q216=TODAY(),"TODAY",""))))</f>
        <v/>
      </c>
      <c r="S216" s="12"/>
      <c r="T216" s="12"/>
      <c r="U216" s="13"/>
    </row>
    <row r="217" customFormat="false" ht="15" hidden="false" customHeight="false" outlineLevel="0" collapsed="false">
      <c r="A217" s="12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4" t="str">
        <f aca="false">IF(K217="","",IFERROR(INDEX(Lists!$G$2:$G$5,MATCH(K217,Lists!$F$2:$F$5,0)),""))</f>
        <v/>
      </c>
      <c r="M217" s="13"/>
      <c r="N217" s="13"/>
      <c r="O217" s="13"/>
      <c r="P217" s="13"/>
      <c r="Q217" s="12"/>
      <c r="R217" s="15" t="str">
        <f aca="true">IF(OR(C217="",Q217=""),"",IF(OR(J217="Won",J217="Lost"),"",IF(Q217&lt;TODAY(),"OVERDUE",IF(Q217=TODAY(),"TODAY",""))))</f>
        <v/>
      </c>
      <c r="S217" s="12"/>
      <c r="T217" s="12"/>
      <c r="U217" s="13"/>
    </row>
    <row r="218" customFormat="false" ht="15" hidden="false" customHeight="false" outlineLevel="0" collapsed="false">
      <c r="A218" s="12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4" t="str">
        <f aca="false">IF(K218="","",IFERROR(INDEX(Lists!$G$2:$G$5,MATCH(K218,Lists!$F$2:$F$5,0)),""))</f>
        <v/>
      </c>
      <c r="M218" s="13"/>
      <c r="N218" s="13"/>
      <c r="O218" s="13"/>
      <c r="P218" s="13"/>
      <c r="Q218" s="12"/>
      <c r="R218" s="15" t="str">
        <f aca="true">IF(OR(C218="",Q218=""),"",IF(OR(J218="Won",J218="Lost"),"",IF(Q218&lt;TODAY(),"OVERDUE",IF(Q218=TODAY(),"TODAY",""))))</f>
        <v/>
      </c>
      <c r="S218" s="12"/>
      <c r="T218" s="12"/>
      <c r="U218" s="13"/>
    </row>
    <row r="219" customFormat="false" ht="15" hidden="false" customHeight="false" outlineLevel="0" collapsed="false">
      <c r="A219" s="12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4" t="str">
        <f aca="false">IF(K219="","",IFERROR(INDEX(Lists!$G$2:$G$5,MATCH(K219,Lists!$F$2:$F$5,0)),""))</f>
        <v/>
      </c>
      <c r="M219" s="13"/>
      <c r="N219" s="13"/>
      <c r="O219" s="13"/>
      <c r="P219" s="13"/>
      <c r="Q219" s="12"/>
      <c r="R219" s="15" t="str">
        <f aca="true">IF(OR(C219="",Q219=""),"",IF(OR(J219="Won",J219="Lost"),"",IF(Q219&lt;TODAY(),"OVERDUE",IF(Q219=TODAY(),"TODAY",""))))</f>
        <v/>
      </c>
      <c r="S219" s="12"/>
      <c r="T219" s="12"/>
      <c r="U219" s="13"/>
    </row>
    <row r="220" customFormat="false" ht="15" hidden="false" customHeight="false" outlineLevel="0" collapsed="false">
      <c r="A220" s="12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4" t="str">
        <f aca="false">IF(K220="","",IFERROR(INDEX(Lists!$G$2:$G$5,MATCH(K220,Lists!$F$2:$F$5,0)),""))</f>
        <v/>
      </c>
      <c r="M220" s="13"/>
      <c r="N220" s="13"/>
      <c r="O220" s="13"/>
      <c r="P220" s="13"/>
      <c r="Q220" s="12"/>
      <c r="R220" s="15" t="str">
        <f aca="true">IF(OR(C220="",Q220=""),"",IF(OR(J220="Won",J220="Lost"),"",IF(Q220&lt;TODAY(),"OVERDUE",IF(Q220=TODAY(),"TODAY",""))))</f>
        <v/>
      </c>
      <c r="S220" s="12"/>
      <c r="T220" s="12"/>
      <c r="U220" s="13"/>
    </row>
    <row r="221" customFormat="false" ht="15" hidden="false" customHeight="false" outlineLevel="0" collapsed="false">
      <c r="A221" s="12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4" t="str">
        <f aca="false">IF(K221="","",IFERROR(INDEX(Lists!$G$2:$G$5,MATCH(K221,Lists!$F$2:$F$5,0)),""))</f>
        <v/>
      </c>
      <c r="M221" s="13"/>
      <c r="N221" s="13"/>
      <c r="O221" s="13"/>
      <c r="P221" s="13"/>
      <c r="Q221" s="12"/>
      <c r="R221" s="15" t="str">
        <f aca="true">IF(OR(C221="",Q221=""),"",IF(OR(J221="Won",J221="Lost"),"",IF(Q221&lt;TODAY(),"OVERDUE",IF(Q221=TODAY(),"TODAY",""))))</f>
        <v/>
      </c>
      <c r="S221" s="12"/>
      <c r="T221" s="12"/>
      <c r="U221" s="13"/>
    </row>
    <row r="222" customFormat="false" ht="15" hidden="false" customHeight="false" outlineLevel="0" collapsed="false">
      <c r="A222" s="12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4" t="str">
        <f aca="false">IF(K222="","",IFERROR(INDEX(Lists!$G$2:$G$5,MATCH(K222,Lists!$F$2:$F$5,0)),""))</f>
        <v/>
      </c>
      <c r="M222" s="13"/>
      <c r="N222" s="13"/>
      <c r="O222" s="13"/>
      <c r="P222" s="13"/>
      <c r="Q222" s="12"/>
      <c r="R222" s="15" t="str">
        <f aca="true">IF(OR(C222="",Q222=""),"",IF(OR(J222="Won",J222="Lost"),"",IF(Q222&lt;TODAY(),"OVERDUE",IF(Q222=TODAY(),"TODAY",""))))</f>
        <v/>
      </c>
      <c r="S222" s="12"/>
      <c r="T222" s="12"/>
      <c r="U222" s="13"/>
    </row>
    <row r="223" customFormat="false" ht="15" hidden="false" customHeight="false" outlineLevel="0" collapsed="false">
      <c r="A223" s="12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4" t="str">
        <f aca="false">IF(K223="","",IFERROR(INDEX(Lists!$G$2:$G$5,MATCH(K223,Lists!$F$2:$F$5,0)),""))</f>
        <v/>
      </c>
      <c r="M223" s="13"/>
      <c r="N223" s="13"/>
      <c r="O223" s="13"/>
      <c r="P223" s="13"/>
      <c r="Q223" s="12"/>
      <c r="R223" s="15" t="str">
        <f aca="true">IF(OR(C223="",Q223=""),"",IF(OR(J223="Won",J223="Lost"),"",IF(Q223&lt;TODAY(),"OVERDUE",IF(Q223=TODAY(),"TODAY",""))))</f>
        <v/>
      </c>
      <c r="S223" s="12"/>
      <c r="T223" s="12"/>
      <c r="U223" s="13"/>
    </row>
    <row r="224" customFormat="false" ht="15" hidden="false" customHeight="false" outlineLevel="0" collapsed="false">
      <c r="A224" s="12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4" t="str">
        <f aca="false">IF(K224="","",IFERROR(INDEX(Lists!$G$2:$G$5,MATCH(K224,Lists!$F$2:$F$5,0)),""))</f>
        <v/>
      </c>
      <c r="M224" s="13"/>
      <c r="N224" s="13"/>
      <c r="O224" s="13"/>
      <c r="P224" s="13"/>
      <c r="Q224" s="12"/>
      <c r="R224" s="15" t="str">
        <f aca="true">IF(OR(C224="",Q224=""),"",IF(OR(J224="Won",J224="Lost"),"",IF(Q224&lt;TODAY(),"OVERDUE",IF(Q224=TODAY(),"TODAY",""))))</f>
        <v/>
      </c>
      <c r="S224" s="12"/>
      <c r="T224" s="12"/>
      <c r="U224" s="13"/>
    </row>
    <row r="225" customFormat="false" ht="15" hidden="false" customHeight="false" outlineLevel="0" collapsed="false">
      <c r="A225" s="12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4" t="str">
        <f aca="false">IF(K225="","",IFERROR(INDEX(Lists!$G$2:$G$5,MATCH(K225,Lists!$F$2:$F$5,0)),""))</f>
        <v/>
      </c>
      <c r="M225" s="13"/>
      <c r="N225" s="13"/>
      <c r="O225" s="13"/>
      <c r="P225" s="13"/>
      <c r="Q225" s="12"/>
      <c r="R225" s="15" t="str">
        <f aca="true">IF(OR(C225="",Q225=""),"",IF(OR(J225="Won",J225="Lost"),"",IF(Q225&lt;TODAY(),"OVERDUE",IF(Q225=TODAY(),"TODAY",""))))</f>
        <v/>
      </c>
      <c r="S225" s="12"/>
      <c r="T225" s="12"/>
      <c r="U225" s="13"/>
    </row>
    <row r="226" customFormat="false" ht="15" hidden="false" customHeight="false" outlineLevel="0" collapsed="false">
      <c r="A226" s="12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4" t="str">
        <f aca="false">IF(K226="","",IFERROR(INDEX(Lists!$G$2:$G$5,MATCH(K226,Lists!$F$2:$F$5,0)),""))</f>
        <v/>
      </c>
      <c r="M226" s="13"/>
      <c r="N226" s="13"/>
      <c r="O226" s="13"/>
      <c r="P226" s="13"/>
      <c r="Q226" s="12"/>
      <c r="R226" s="15" t="str">
        <f aca="true">IF(OR(C226="",Q226=""),"",IF(OR(J226="Won",J226="Lost"),"",IF(Q226&lt;TODAY(),"OVERDUE",IF(Q226=TODAY(),"TODAY",""))))</f>
        <v/>
      </c>
      <c r="S226" s="12"/>
      <c r="T226" s="12"/>
      <c r="U226" s="13"/>
    </row>
    <row r="227" customFormat="false" ht="15" hidden="false" customHeight="false" outlineLevel="0" collapsed="false">
      <c r="A227" s="12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4" t="str">
        <f aca="false">IF(K227="","",IFERROR(INDEX(Lists!$G$2:$G$5,MATCH(K227,Lists!$F$2:$F$5,0)),""))</f>
        <v/>
      </c>
      <c r="M227" s="13"/>
      <c r="N227" s="13"/>
      <c r="O227" s="13"/>
      <c r="P227" s="13"/>
      <c r="Q227" s="12"/>
      <c r="R227" s="15" t="str">
        <f aca="true">IF(OR(C227="",Q227=""),"",IF(OR(J227="Won",J227="Lost"),"",IF(Q227&lt;TODAY(),"OVERDUE",IF(Q227=TODAY(),"TODAY",""))))</f>
        <v/>
      </c>
      <c r="S227" s="12"/>
      <c r="T227" s="12"/>
      <c r="U227" s="13"/>
    </row>
    <row r="228" customFormat="false" ht="15" hidden="false" customHeight="false" outlineLevel="0" collapsed="false">
      <c r="A228" s="12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4" t="str">
        <f aca="false">IF(K228="","",IFERROR(INDEX(Lists!$G$2:$G$5,MATCH(K228,Lists!$F$2:$F$5,0)),""))</f>
        <v/>
      </c>
      <c r="M228" s="13"/>
      <c r="N228" s="13"/>
      <c r="O228" s="13"/>
      <c r="P228" s="13"/>
      <c r="Q228" s="12"/>
      <c r="R228" s="15" t="str">
        <f aca="true">IF(OR(C228="",Q228=""),"",IF(OR(J228="Won",J228="Lost"),"",IF(Q228&lt;TODAY(),"OVERDUE",IF(Q228=TODAY(),"TODAY",""))))</f>
        <v/>
      </c>
      <c r="S228" s="12"/>
      <c r="T228" s="12"/>
      <c r="U228" s="13"/>
    </row>
    <row r="229" customFormat="false" ht="15" hidden="false" customHeight="false" outlineLevel="0" collapsed="false">
      <c r="A229" s="12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4" t="str">
        <f aca="false">IF(K229="","",IFERROR(INDEX(Lists!$G$2:$G$5,MATCH(K229,Lists!$F$2:$F$5,0)),""))</f>
        <v/>
      </c>
      <c r="M229" s="13"/>
      <c r="N229" s="13"/>
      <c r="O229" s="13"/>
      <c r="P229" s="13"/>
      <c r="Q229" s="12"/>
      <c r="R229" s="15" t="str">
        <f aca="true">IF(OR(C229="",Q229=""),"",IF(OR(J229="Won",J229="Lost"),"",IF(Q229&lt;TODAY(),"OVERDUE",IF(Q229=TODAY(),"TODAY",""))))</f>
        <v/>
      </c>
      <c r="S229" s="12"/>
      <c r="T229" s="12"/>
      <c r="U229" s="13"/>
    </row>
    <row r="230" customFormat="false" ht="15" hidden="false" customHeight="false" outlineLevel="0" collapsed="false">
      <c r="A230" s="12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4" t="str">
        <f aca="false">IF(K230="","",IFERROR(INDEX(Lists!$G$2:$G$5,MATCH(K230,Lists!$F$2:$F$5,0)),""))</f>
        <v/>
      </c>
      <c r="M230" s="13"/>
      <c r="N230" s="13"/>
      <c r="O230" s="13"/>
      <c r="P230" s="13"/>
      <c r="Q230" s="12"/>
      <c r="R230" s="15" t="str">
        <f aca="true">IF(OR(C230="",Q230=""),"",IF(OR(J230="Won",J230="Lost"),"",IF(Q230&lt;TODAY(),"OVERDUE",IF(Q230=TODAY(),"TODAY",""))))</f>
        <v/>
      </c>
      <c r="S230" s="12"/>
      <c r="T230" s="12"/>
      <c r="U230" s="13"/>
    </row>
    <row r="231" customFormat="false" ht="15" hidden="false" customHeight="false" outlineLevel="0" collapsed="false">
      <c r="A231" s="12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4" t="str">
        <f aca="false">IF(K231="","",IFERROR(INDEX(Lists!$G$2:$G$5,MATCH(K231,Lists!$F$2:$F$5,0)),""))</f>
        <v/>
      </c>
      <c r="M231" s="13"/>
      <c r="N231" s="13"/>
      <c r="O231" s="13"/>
      <c r="P231" s="13"/>
      <c r="Q231" s="12"/>
      <c r="R231" s="15" t="str">
        <f aca="true">IF(OR(C231="",Q231=""),"",IF(OR(J231="Won",J231="Lost"),"",IF(Q231&lt;TODAY(),"OVERDUE",IF(Q231=TODAY(),"TODAY",""))))</f>
        <v/>
      </c>
      <c r="S231" s="12"/>
      <c r="T231" s="12"/>
      <c r="U231" s="13"/>
    </row>
    <row r="232" customFormat="false" ht="15" hidden="false" customHeight="false" outlineLevel="0" collapsed="false">
      <c r="A232" s="12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4" t="str">
        <f aca="false">IF(K232="","",IFERROR(INDEX(Lists!$G$2:$G$5,MATCH(K232,Lists!$F$2:$F$5,0)),""))</f>
        <v/>
      </c>
      <c r="M232" s="13"/>
      <c r="N232" s="13"/>
      <c r="O232" s="13"/>
      <c r="P232" s="13"/>
      <c r="Q232" s="12"/>
      <c r="R232" s="15" t="str">
        <f aca="true">IF(OR(C232="",Q232=""),"",IF(OR(J232="Won",J232="Lost"),"",IF(Q232&lt;TODAY(),"OVERDUE",IF(Q232=TODAY(),"TODAY",""))))</f>
        <v/>
      </c>
      <c r="S232" s="12"/>
      <c r="T232" s="12"/>
      <c r="U232" s="13"/>
    </row>
    <row r="233" customFormat="false" ht="15" hidden="false" customHeight="false" outlineLevel="0" collapsed="false">
      <c r="A233" s="12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4" t="str">
        <f aca="false">IF(K233="","",IFERROR(INDEX(Lists!$G$2:$G$5,MATCH(K233,Lists!$F$2:$F$5,0)),""))</f>
        <v/>
      </c>
      <c r="M233" s="13"/>
      <c r="N233" s="13"/>
      <c r="O233" s="13"/>
      <c r="P233" s="13"/>
      <c r="Q233" s="12"/>
      <c r="R233" s="15" t="str">
        <f aca="true">IF(OR(C233="",Q233=""),"",IF(OR(J233="Won",J233="Lost"),"",IF(Q233&lt;TODAY(),"OVERDUE",IF(Q233=TODAY(),"TODAY",""))))</f>
        <v/>
      </c>
      <c r="S233" s="12"/>
      <c r="T233" s="12"/>
      <c r="U233" s="13"/>
    </row>
    <row r="234" customFormat="false" ht="15" hidden="false" customHeight="false" outlineLevel="0" collapsed="false">
      <c r="A234" s="12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4" t="str">
        <f aca="false">IF(K234="","",IFERROR(INDEX(Lists!$G$2:$G$5,MATCH(K234,Lists!$F$2:$F$5,0)),""))</f>
        <v/>
      </c>
      <c r="M234" s="13"/>
      <c r="N234" s="13"/>
      <c r="O234" s="13"/>
      <c r="P234" s="13"/>
      <c r="Q234" s="12"/>
      <c r="R234" s="15" t="str">
        <f aca="true">IF(OR(C234="",Q234=""),"",IF(OR(J234="Won",J234="Lost"),"",IF(Q234&lt;TODAY(),"OVERDUE",IF(Q234=TODAY(),"TODAY",""))))</f>
        <v/>
      </c>
      <c r="S234" s="12"/>
      <c r="T234" s="12"/>
      <c r="U234" s="13"/>
    </row>
    <row r="235" customFormat="false" ht="15" hidden="false" customHeight="false" outlineLevel="0" collapsed="false">
      <c r="A235" s="12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4" t="str">
        <f aca="false">IF(K235="","",IFERROR(INDEX(Lists!$G$2:$G$5,MATCH(K235,Lists!$F$2:$F$5,0)),""))</f>
        <v/>
      </c>
      <c r="M235" s="13"/>
      <c r="N235" s="13"/>
      <c r="O235" s="13"/>
      <c r="P235" s="13"/>
      <c r="Q235" s="12"/>
      <c r="R235" s="15" t="str">
        <f aca="true">IF(OR(C235="",Q235=""),"",IF(OR(J235="Won",J235="Lost"),"",IF(Q235&lt;TODAY(),"OVERDUE",IF(Q235=TODAY(),"TODAY",""))))</f>
        <v/>
      </c>
      <c r="S235" s="12"/>
      <c r="T235" s="12"/>
      <c r="U235" s="13"/>
    </row>
    <row r="236" customFormat="false" ht="15" hidden="false" customHeight="false" outlineLevel="0" collapsed="false">
      <c r="A236" s="12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4" t="str">
        <f aca="false">IF(K236="","",IFERROR(INDEX(Lists!$G$2:$G$5,MATCH(K236,Lists!$F$2:$F$5,0)),""))</f>
        <v/>
      </c>
      <c r="M236" s="13"/>
      <c r="N236" s="13"/>
      <c r="O236" s="13"/>
      <c r="P236" s="13"/>
      <c r="Q236" s="12"/>
      <c r="R236" s="15" t="str">
        <f aca="true">IF(OR(C236="",Q236=""),"",IF(OR(J236="Won",J236="Lost"),"",IF(Q236&lt;TODAY(),"OVERDUE",IF(Q236=TODAY(),"TODAY",""))))</f>
        <v/>
      </c>
      <c r="S236" s="12"/>
      <c r="T236" s="12"/>
      <c r="U236" s="13"/>
    </row>
    <row r="237" customFormat="false" ht="15" hidden="false" customHeight="false" outlineLevel="0" collapsed="false">
      <c r="A237" s="12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4" t="str">
        <f aca="false">IF(K237="","",IFERROR(INDEX(Lists!$G$2:$G$5,MATCH(K237,Lists!$F$2:$F$5,0)),""))</f>
        <v/>
      </c>
      <c r="M237" s="13"/>
      <c r="N237" s="13"/>
      <c r="O237" s="13"/>
      <c r="P237" s="13"/>
      <c r="Q237" s="12"/>
      <c r="R237" s="15" t="str">
        <f aca="true">IF(OR(C237="",Q237=""),"",IF(OR(J237="Won",J237="Lost"),"",IF(Q237&lt;TODAY(),"OVERDUE",IF(Q237=TODAY(),"TODAY",""))))</f>
        <v/>
      </c>
      <c r="S237" s="12"/>
      <c r="T237" s="12"/>
      <c r="U237" s="13"/>
    </row>
    <row r="238" customFormat="false" ht="15" hidden="false" customHeight="false" outlineLevel="0" collapsed="false">
      <c r="A238" s="12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4" t="str">
        <f aca="false">IF(K238="","",IFERROR(INDEX(Lists!$G$2:$G$5,MATCH(K238,Lists!$F$2:$F$5,0)),""))</f>
        <v/>
      </c>
      <c r="M238" s="13"/>
      <c r="N238" s="13"/>
      <c r="O238" s="13"/>
      <c r="P238" s="13"/>
      <c r="Q238" s="12"/>
      <c r="R238" s="15" t="str">
        <f aca="true">IF(OR(C238="",Q238=""),"",IF(OR(J238="Won",J238="Lost"),"",IF(Q238&lt;TODAY(),"OVERDUE",IF(Q238=TODAY(),"TODAY",""))))</f>
        <v/>
      </c>
      <c r="S238" s="12"/>
      <c r="T238" s="12"/>
      <c r="U238" s="13"/>
    </row>
    <row r="239" customFormat="false" ht="15" hidden="false" customHeight="false" outlineLevel="0" collapsed="false">
      <c r="A239" s="12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4" t="str">
        <f aca="false">IF(K239="","",IFERROR(INDEX(Lists!$G$2:$G$5,MATCH(K239,Lists!$F$2:$F$5,0)),""))</f>
        <v/>
      </c>
      <c r="M239" s="13"/>
      <c r="N239" s="13"/>
      <c r="O239" s="13"/>
      <c r="P239" s="13"/>
      <c r="Q239" s="12"/>
      <c r="R239" s="15" t="str">
        <f aca="true">IF(OR(C239="",Q239=""),"",IF(OR(J239="Won",J239="Lost"),"",IF(Q239&lt;TODAY(),"OVERDUE",IF(Q239=TODAY(),"TODAY",""))))</f>
        <v/>
      </c>
      <c r="S239" s="12"/>
      <c r="T239" s="12"/>
      <c r="U239" s="13"/>
    </row>
    <row r="240" customFormat="false" ht="15" hidden="false" customHeight="false" outlineLevel="0" collapsed="false">
      <c r="A240" s="12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4" t="str">
        <f aca="false">IF(K240="","",IFERROR(INDEX(Lists!$G$2:$G$5,MATCH(K240,Lists!$F$2:$F$5,0)),""))</f>
        <v/>
      </c>
      <c r="M240" s="13"/>
      <c r="N240" s="13"/>
      <c r="O240" s="13"/>
      <c r="P240" s="13"/>
      <c r="Q240" s="12"/>
      <c r="R240" s="15" t="str">
        <f aca="true">IF(OR(C240="",Q240=""),"",IF(OR(J240="Won",J240="Lost"),"",IF(Q240&lt;TODAY(),"OVERDUE",IF(Q240=TODAY(),"TODAY",""))))</f>
        <v/>
      </c>
      <c r="S240" s="12"/>
      <c r="T240" s="12"/>
      <c r="U240" s="13"/>
    </row>
    <row r="241" customFormat="false" ht="15" hidden="false" customHeight="false" outlineLevel="0" collapsed="false">
      <c r="A241" s="12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4" t="str">
        <f aca="false">IF(K241="","",IFERROR(INDEX(Lists!$G$2:$G$5,MATCH(K241,Lists!$F$2:$F$5,0)),""))</f>
        <v/>
      </c>
      <c r="M241" s="13"/>
      <c r="N241" s="13"/>
      <c r="O241" s="13"/>
      <c r="P241" s="13"/>
      <c r="Q241" s="12"/>
      <c r="R241" s="15" t="str">
        <f aca="true">IF(OR(C241="",Q241=""),"",IF(OR(J241="Won",J241="Lost"),"",IF(Q241&lt;TODAY(),"OVERDUE",IF(Q241=TODAY(),"TODAY",""))))</f>
        <v/>
      </c>
      <c r="S241" s="12"/>
      <c r="T241" s="12"/>
      <c r="U241" s="13"/>
    </row>
    <row r="242" customFormat="false" ht="15" hidden="false" customHeight="false" outlineLevel="0" collapsed="false">
      <c r="A242" s="12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4" t="str">
        <f aca="false">IF(K242="","",IFERROR(INDEX(Lists!$G$2:$G$5,MATCH(K242,Lists!$F$2:$F$5,0)),""))</f>
        <v/>
      </c>
      <c r="M242" s="13"/>
      <c r="N242" s="13"/>
      <c r="O242" s="13"/>
      <c r="P242" s="13"/>
      <c r="Q242" s="12"/>
      <c r="R242" s="15" t="str">
        <f aca="true">IF(OR(C242="",Q242=""),"",IF(OR(J242="Won",J242="Lost"),"",IF(Q242&lt;TODAY(),"OVERDUE",IF(Q242=TODAY(),"TODAY",""))))</f>
        <v/>
      </c>
      <c r="S242" s="12"/>
      <c r="T242" s="12"/>
      <c r="U242" s="13"/>
    </row>
    <row r="243" customFormat="false" ht="15" hidden="false" customHeight="false" outlineLevel="0" collapsed="false">
      <c r="A243" s="12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4" t="str">
        <f aca="false">IF(K243="","",IFERROR(INDEX(Lists!$G$2:$G$5,MATCH(K243,Lists!$F$2:$F$5,0)),""))</f>
        <v/>
      </c>
      <c r="M243" s="13"/>
      <c r="N243" s="13"/>
      <c r="O243" s="13"/>
      <c r="P243" s="13"/>
      <c r="Q243" s="12"/>
      <c r="R243" s="15" t="str">
        <f aca="true">IF(OR(C243="",Q243=""),"",IF(OR(J243="Won",J243="Lost"),"",IF(Q243&lt;TODAY(),"OVERDUE",IF(Q243=TODAY(),"TODAY",""))))</f>
        <v/>
      </c>
      <c r="S243" s="12"/>
      <c r="T243" s="12"/>
      <c r="U243" s="13"/>
    </row>
    <row r="244" customFormat="false" ht="15" hidden="false" customHeight="false" outlineLevel="0" collapsed="false">
      <c r="A244" s="12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4" t="str">
        <f aca="false">IF(K244="","",IFERROR(INDEX(Lists!$G$2:$G$5,MATCH(K244,Lists!$F$2:$F$5,0)),""))</f>
        <v/>
      </c>
      <c r="M244" s="13"/>
      <c r="N244" s="13"/>
      <c r="O244" s="13"/>
      <c r="P244" s="13"/>
      <c r="Q244" s="12"/>
      <c r="R244" s="15" t="str">
        <f aca="true">IF(OR(C244="",Q244=""),"",IF(OR(J244="Won",J244="Lost"),"",IF(Q244&lt;TODAY(),"OVERDUE",IF(Q244=TODAY(),"TODAY",""))))</f>
        <v/>
      </c>
      <c r="S244" s="12"/>
      <c r="T244" s="12"/>
      <c r="U244" s="13"/>
    </row>
    <row r="245" customFormat="false" ht="15" hidden="false" customHeight="false" outlineLevel="0" collapsed="false">
      <c r="A245" s="12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4" t="str">
        <f aca="false">IF(K245="","",IFERROR(INDEX(Lists!$G$2:$G$5,MATCH(K245,Lists!$F$2:$F$5,0)),""))</f>
        <v/>
      </c>
      <c r="M245" s="13"/>
      <c r="N245" s="13"/>
      <c r="O245" s="13"/>
      <c r="P245" s="13"/>
      <c r="Q245" s="12"/>
      <c r="R245" s="15" t="str">
        <f aca="true">IF(OR(C245="",Q245=""),"",IF(OR(J245="Won",J245="Lost"),"",IF(Q245&lt;TODAY(),"OVERDUE",IF(Q245=TODAY(),"TODAY",""))))</f>
        <v/>
      </c>
      <c r="S245" s="12"/>
      <c r="T245" s="12"/>
      <c r="U245" s="13"/>
    </row>
    <row r="246" customFormat="false" ht="15" hidden="false" customHeight="false" outlineLevel="0" collapsed="false">
      <c r="A246" s="12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4" t="str">
        <f aca="false">IF(K246="","",IFERROR(INDEX(Lists!$G$2:$G$5,MATCH(K246,Lists!$F$2:$F$5,0)),""))</f>
        <v/>
      </c>
      <c r="M246" s="13"/>
      <c r="N246" s="13"/>
      <c r="O246" s="13"/>
      <c r="P246" s="13"/>
      <c r="Q246" s="12"/>
      <c r="R246" s="15" t="str">
        <f aca="true">IF(OR(C246="",Q246=""),"",IF(OR(J246="Won",J246="Lost"),"",IF(Q246&lt;TODAY(),"OVERDUE",IF(Q246=TODAY(),"TODAY",""))))</f>
        <v/>
      </c>
      <c r="S246" s="12"/>
      <c r="T246" s="12"/>
      <c r="U246" s="13"/>
    </row>
    <row r="247" customFormat="false" ht="15" hidden="false" customHeight="false" outlineLevel="0" collapsed="false">
      <c r="A247" s="12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4" t="str">
        <f aca="false">IF(K247="","",IFERROR(INDEX(Lists!$G$2:$G$5,MATCH(K247,Lists!$F$2:$F$5,0)),""))</f>
        <v/>
      </c>
      <c r="M247" s="13"/>
      <c r="N247" s="13"/>
      <c r="O247" s="13"/>
      <c r="P247" s="13"/>
      <c r="Q247" s="12"/>
      <c r="R247" s="15" t="str">
        <f aca="true">IF(OR(C247="",Q247=""),"",IF(OR(J247="Won",J247="Lost"),"",IF(Q247&lt;TODAY(),"OVERDUE",IF(Q247=TODAY(),"TODAY",""))))</f>
        <v/>
      </c>
      <c r="S247" s="12"/>
      <c r="T247" s="12"/>
      <c r="U247" s="13"/>
    </row>
    <row r="248" customFormat="false" ht="15" hidden="false" customHeight="false" outlineLevel="0" collapsed="false">
      <c r="A248" s="12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4" t="str">
        <f aca="false">IF(K248="","",IFERROR(INDEX(Lists!$G$2:$G$5,MATCH(K248,Lists!$F$2:$F$5,0)),""))</f>
        <v/>
      </c>
      <c r="M248" s="13"/>
      <c r="N248" s="13"/>
      <c r="O248" s="13"/>
      <c r="P248" s="13"/>
      <c r="Q248" s="12"/>
      <c r="R248" s="15" t="str">
        <f aca="true">IF(OR(C248="",Q248=""),"",IF(OR(J248="Won",J248="Lost"),"",IF(Q248&lt;TODAY(),"OVERDUE",IF(Q248=TODAY(),"TODAY",""))))</f>
        <v/>
      </c>
      <c r="S248" s="12"/>
      <c r="T248" s="12"/>
      <c r="U248" s="13"/>
    </row>
    <row r="249" customFormat="false" ht="15" hidden="false" customHeight="false" outlineLevel="0" collapsed="false">
      <c r="A249" s="12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4" t="str">
        <f aca="false">IF(K249="","",IFERROR(INDEX(Lists!$G$2:$G$5,MATCH(K249,Lists!$F$2:$F$5,0)),""))</f>
        <v/>
      </c>
      <c r="M249" s="13"/>
      <c r="N249" s="13"/>
      <c r="O249" s="13"/>
      <c r="P249" s="13"/>
      <c r="Q249" s="12"/>
      <c r="R249" s="15" t="str">
        <f aca="true">IF(OR(C249="",Q249=""),"",IF(OR(J249="Won",J249="Lost"),"",IF(Q249&lt;TODAY(),"OVERDUE",IF(Q249=TODAY(),"TODAY",""))))</f>
        <v/>
      </c>
      <c r="S249" s="12"/>
      <c r="T249" s="12"/>
      <c r="U249" s="13"/>
    </row>
    <row r="250" customFormat="false" ht="15" hidden="false" customHeight="false" outlineLevel="0" collapsed="false">
      <c r="A250" s="12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4" t="str">
        <f aca="false">IF(K250="","",IFERROR(INDEX(Lists!$G$2:$G$5,MATCH(K250,Lists!$F$2:$F$5,0)),""))</f>
        <v/>
      </c>
      <c r="M250" s="13"/>
      <c r="N250" s="13"/>
      <c r="O250" s="13"/>
      <c r="P250" s="13"/>
      <c r="Q250" s="12"/>
      <c r="R250" s="15" t="str">
        <f aca="true">IF(OR(C250="",Q250=""),"",IF(OR(J250="Won",J250="Lost"),"",IF(Q250&lt;TODAY(),"OVERDUE",IF(Q250=TODAY(),"TODAY",""))))</f>
        <v/>
      </c>
      <c r="S250" s="12"/>
      <c r="T250" s="12"/>
      <c r="U250" s="13"/>
    </row>
    <row r="251" customFormat="false" ht="15" hidden="false" customHeight="false" outlineLevel="0" collapsed="false">
      <c r="A251" s="12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4" t="str">
        <f aca="false">IF(K251="","",IFERROR(INDEX(Lists!$G$2:$G$5,MATCH(K251,Lists!$F$2:$F$5,0)),""))</f>
        <v/>
      </c>
      <c r="M251" s="13"/>
      <c r="N251" s="13"/>
      <c r="O251" s="13"/>
      <c r="P251" s="13"/>
      <c r="Q251" s="12"/>
      <c r="R251" s="15" t="str">
        <f aca="true">IF(OR(C251="",Q251=""),"",IF(OR(J251="Won",J251="Lost"),"",IF(Q251&lt;TODAY(),"OVERDUE",IF(Q251=TODAY(),"TODAY",""))))</f>
        <v/>
      </c>
      <c r="S251" s="12"/>
      <c r="T251" s="12"/>
      <c r="U251" s="13"/>
    </row>
    <row r="252" customFormat="false" ht="15" hidden="false" customHeight="false" outlineLevel="0" collapsed="false">
      <c r="A252" s="12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4" t="str">
        <f aca="false">IF(K252="","",IFERROR(INDEX(Lists!$G$2:$G$5,MATCH(K252,Lists!$F$2:$F$5,0)),""))</f>
        <v/>
      </c>
      <c r="M252" s="13"/>
      <c r="N252" s="13"/>
      <c r="O252" s="13"/>
      <c r="P252" s="13"/>
      <c r="Q252" s="12"/>
      <c r="R252" s="15" t="str">
        <f aca="true">IF(OR(C252="",Q252=""),"",IF(OR(J252="Won",J252="Lost"),"",IF(Q252&lt;TODAY(),"OVERDUE",IF(Q252=TODAY(),"TODAY",""))))</f>
        <v/>
      </c>
      <c r="S252" s="12"/>
      <c r="T252" s="12"/>
      <c r="U252" s="13"/>
    </row>
    <row r="253" customFormat="false" ht="15" hidden="false" customHeight="false" outlineLevel="0" collapsed="false">
      <c r="A253" s="12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4" t="str">
        <f aca="false">IF(K253="","",IFERROR(INDEX(Lists!$G$2:$G$5,MATCH(K253,Lists!$F$2:$F$5,0)),""))</f>
        <v/>
      </c>
      <c r="M253" s="13"/>
      <c r="N253" s="13"/>
      <c r="O253" s="13"/>
      <c r="P253" s="13"/>
      <c r="Q253" s="12"/>
      <c r="R253" s="15" t="str">
        <f aca="true">IF(OR(C253="",Q253=""),"",IF(OR(J253="Won",J253="Lost"),"",IF(Q253&lt;TODAY(),"OVERDUE",IF(Q253=TODAY(),"TODAY",""))))</f>
        <v/>
      </c>
      <c r="S253" s="12"/>
      <c r="T253" s="12"/>
      <c r="U253" s="13"/>
    </row>
    <row r="254" customFormat="false" ht="15" hidden="false" customHeight="false" outlineLevel="0" collapsed="false">
      <c r="A254" s="12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4" t="str">
        <f aca="false">IF(K254="","",IFERROR(INDEX(Lists!$G$2:$G$5,MATCH(K254,Lists!$F$2:$F$5,0)),""))</f>
        <v/>
      </c>
      <c r="M254" s="13"/>
      <c r="N254" s="13"/>
      <c r="O254" s="13"/>
      <c r="P254" s="13"/>
      <c r="Q254" s="12"/>
      <c r="R254" s="15" t="str">
        <f aca="true">IF(OR(C254="",Q254=""),"",IF(OR(J254="Won",J254="Lost"),"",IF(Q254&lt;TODAY(),"OVERDUE",IF(Q254=TODAY(),"TODAY",""))))</f>
        <v/>
      </c>
      <c r="S254" s="12"/>
      <c r="T254" s="12"/>
      <c r="U254" s="13"/>
    </row>
    <row r="255" customFormat="false" ht="15" hidden="false" customHeight="false" outlineLevel="0" collapsed="false">
      <c r="A255" s="12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4" t="str">
        <f aca="false">IF(K255="","",IFERROR(INDEX(Lists!$G$2:$G$5,MATCH(K255,Lists!$F$2:$F$5,0)),""))</f>
        <v/>
      </c>
      <c r="M255" s="13"/>
      <c r="N255" s="13"/>
      <c r="O255" s="13"/>
      <c r="P255" s="13"/>
      <c r="Q255" s="12"/>
      <c r="R255" s="15" t="str">
        <f aca="true">IF(OR(C255="",Q255=""),"",IF(OR(J255="Won",J255="Lost"),"",IF(Q255&lt;TODAY(),"OVERDUE",IF(Q255=TODAY(),"TODAY",""))))</f>
        <v/>
      </c>
      <c r="S255" s="12"/>
      <c r="T255" s="12"/>
      <c r="U255" s="13"/>
    </row>
    <row r="256" customFormat="false" ht="15" hidden="false" customHeight="false" outlineLevel="0" collapsed="false">
      <c r="A256" s="12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4" t="str">
        <f aca="false">IF(K256="","",IFERROR(INDEX(Lists!$G$2:$G$5,MATCH(K256,Lists!$F$2:$F$5,0)),""))</f>
        <v/>
      </c>
      <c r="M256" s="13"/>
      <c r="N256" s="13"/>
      <c r="O256" s="13"/>
      <c r="P256" s="13"/>
      <c r="Q256" s="12"/>
      <c r="R256" s="15" t="str">
        <f aca="true">IF(OR(C256="",Q256=""),"",IF(OR(J256="Won",J256="Lost"),"",IF(Q256&lt;TODAY(),"OVERDUE",IF(Q256=TODAY(),"TODAY",""))))</f>
        <v/>
      </c>
      <c r="S256" s="12"/>
      <c r="T256" s="12"/>
      <c r="U256" s="13"/>
    </row>
    <row r="257" customFormat="false" ht="15" hidden="false" customHeight="false" outlineLevel="0" collapsed="false">
      <c r="A257" s="12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4" t="str">
        <f aca="false">IF(K257="","",IFERROR(INDEX(Lists!$G$2:$G$5,MATCH(K257,Lists!$F$2:$F$5,0)),""))</f>
        <v/>
      </c>
      <c r="M257" s="13"/>
      <c r="N257" s="13"/>
      <c r="O257" s="13"/>
      <c r="P257" s="13"/>
      <c r="Q257" s="12"/>
      <c r="R257" s="15" t="str">
        <f aca="true">IF(OR(C257="",Q257=""),"",IF(OR(J257="Won",J257="Lost"),"",IF(Q257&lt;TODAY(),"OVERDUE",IF(Q257=TODAY(),"TODAY",""))))</f>
        <v/>
      </c>
      <c r="S257" s="12"/>
      <c r="T257" s="12"/>
      <c r="U257" s="13"/>
    </row>
    <row r="258" customFormat="false" ht="15" hidden="false" customHeight="false" outlineLevel="0" collapsed="false">
      <c r="A258" s="12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4" t="str">
        <f aca="false">IF(K258="","",IFERROR(INDEX(Lists!$G$2:$G$5,MATCH(K258,Lists!$F$2:$F$5,0)),""))</f>
        <v/>
      </c>
      <c r="M258" s="13"/>
      <c r="N258" s="13"/>
      <c r="O258" s="13"/>
      <c r="P258" s="13"/>
      <c r="Q258" s="12"/>
      <c r="R258" s="15" t="str">
        <f aca="true">IF(OR(C258="",Q258=""),"",IF(OR(J258="Won",J258="Lost"),"",IF(Q258&lt;TODAY(),"OVERDUE",IF(Q258=TODAY(),"TODAY",""))))</f>
        <v/>
      </c>
      <c r="S258" s="12"/>
      <c r="T258" s="12"/>
      <c r="U258" s="13"/>
    </row>
    <row r="259" customFormat="false" ht="15" hidden="false" customHeight="false" outlineLevel="0" collapsed="false">
      <c r="A259" s="12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4" t="str">
        <f aca="false">IF(K259="","",IFERROR(INDEX(Lists!$G$2:$G$5,MATCH(K259,Lists!$F$2:$F$5,0)),""))</f>
        <v/>
      </c>
      <c r="M259" s="13"/>
      <c r="N259" s="13"/>
      <c r="O259" s="13"/>
      <c r="P259" s="13"/>
      <c r="Q259" s="12"/>
      <c r="R259" s="15" t="str">
        <f aca="true">IF(OR(C259="",Q259=""),"",IF(OR(J259="Won",J259="Lost"),"",IF(Q259&lt;TODAY(),"OVERDUE",IF(Q259=TODAY(),"TODAY",""))))</f>
        <v/>
      </c>
      <c r="S259" s="12"/>
      <c r="T259" s="12"/>
      <c r="U259" s="13"/>
    </row>
    <row r="260" customFormat="false" ht="15" hidden="false" customHeight="false" outlineLevel="0" collapsed="false">
      <c r="A260" s="12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4" t="str">
        <f aca="false">IF(K260="","",IFERROR(INDEX(Lists!$G$2:$G$5,MATCH(K260,Lists!$F$2:$F$5,0)),""))</f>
        <v/>
      </c>
      <c r="M260" s="13"/>
      <c r="N260" s="13"/>
      <c r="O260" s="13"/>
      <c r="P260" s="13"/>
      <c r="Q260" s="12"/>
      <c r="R260" s="15" t="str">
        <f aca="true">IF(OR(C260="",Q260=""),"",IF(OR(J260="Won",J260="Lost"),"",IF(Q260&lt;TODAY(),"OVERDUE",IF(Q260=TODAY(),"TODAY",""))))</f>
        <v/>
      </c>
      <c r="S260" s="12"/>
      <c r="T260" s="12"/>
      <c r="U260" s="13"/>
    </row>
    <row r="261" customFormat="false" ht="15" hidden="false" customHeight="false" outlineLevel="0" collapsed="false">
      <c r="A261" s="12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4" t="str">
        <f aca="false">IF(K261="","",IFERROR(INDEX(Lists!$G$2:$G$5,MATCH(K261,Lists!$F$2:$F$5,0)),""))</f>
        <v/>
      </c>
      <c r="M261" s="13"/>
      <c r="N261" s="13"/>
      <c r="O261" s="13"/>
      <c r="P261" s="13"/>
      <c r="Q261" s="12"/>
      <c r="R261" s="15" t="str">
        <f aca="true">IF(OR(C261="",Q261=""),"",IF(OR(J261="Won",J261="Lost"),"",IF(Q261&lt;TODAY(),"OVERDUE",IF(Q261=TODAY(),"TODAY",""))))</f>
        <v/>
      </c>
      <c r="S261" s="12"/>
      <c r="T261" s="12"/>
      <c r="U261" s="13"/>
    </row>
    <row r="262" customFormat="false" ht="15" hidden="false" customHeight="false" outlineLevel="0" collapsed="false">
      <c r="A262" s="12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4" t="str">
        <f aca="false">IF(K262="","",IFERROR(INDEX(Lists!$G$2:$G$5,MATCH(K262,Lists!$F$2:$F$5,0)),""))</f>
        <v/>
      </c>
      <c r="M262" s="13"/>
      <c r="N262" s="13"/>
      <c r="O262" s="13"/>
      <c r="P262" s="13"/>
      <c r="Q262" s="12"/>
      <c r="R262" s="15" t="str">
        <f aca="true">IF(OR(C262="",Q262=""),"",IF(OR(J262="Won",J262="Lost"),"",IF(Q262&lt;TODAY(),"OVERDUE",IF(Q262=TODAY(),"TODAY",""))))</f>
        <v/>
      </c>
      <c r="S262" s="12"/>
      <c r="T262" s="12"/>
      <c r="U262" s="13"/>
    </row>
    <row r="263" customFormat="false" ht="15" hidden="false" customHeight="false" outlineLevel="0" collapsed="false">
      <c r="A263" s="12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4" t="str">
        <f aca="false">IF(K263="","",IFERROR(INDEX(Lists!$G$2:$G$5,MATCH(K263,Lists!$F$2:$F$5,0)),""))</f>
        <v/>
      </c>
      <c r="M263" s="13"/>
      <c r="N263" s="13"/>
      <c r="O263" s="13"/>
      <c r="P263" s="13"/>
      <c r="Q263" s="12"/>
      <c r="R263" s="15" t="str">
        <f aca="true">IF(OR(C263="",Q263=""),"",IF(OR(J263="Won",J263="Lost"),"",IF(Q263&lt;TODAY(),"OVERDUE",IF(Q263=TODAY(),"TODAY",""))))</f>
        <v/>
      </c>
      <c r="S263" s="12"/>
      <c r="T263" s="12"/>
      <c r="U263" s="13"/>
    </row>
    <row r="264" customFormat="false" ht="15" hidden="false" customHeight="false" outlineLevel="0" collapsed="false">
      <c r="A264" s="12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4" t="str">
        <f aca="false">IF(K264="","",IFERROR(INDEX(Lists!$G$2:$G$5,MATCH(K264,Lists!$F$2:$F$5,0)),""))</f>
        <v/>
      </c>
      <c r="M264" s="13"/>
      <c r="N264" s="13"/>
      <c r="O264" s="13"/>
      <c r="P264" s="13"/>
      <c r="Q264" s="12"/>
      <c r="R264" s="15" t="str">
        <f aca="true">IF(OR(C264="",Q264=""),"",IF(OR(J264="Won",J264="Lost"),"",IF(Q264&lt;TODAY(),"OVERDUE",IF(Q264=TODAY(),"TODAY",""))))</f>
        <v/>
      </c>
      <c r="S264" s="12"/>
      <c r="T264" s="12"/>
      <c r="U264" s="13"/>
    </row>
    <row r="265" customFormat="false" ht="15" hidden="false" customHeight="false" outlineLevel="0" collapsed="false">
      <c r="A265" s="12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4" t="str">
        <f aca="false">IF(K265="","",IFERROR(INDEX(Lists!$G$2:$G$5,MATCH(K265,Lists!$F$2:$F$5,0)),""))</f>
        <v/>
      </c>
      <c r="M265" s="13"/>
      <c r="N265" s="13"/>
      <c r="O265" s="13"/>
      <c r="P265" s="13"/>
      <c r="Q265" s="12"/>
      <c r="R265" s="15" t="str">
        <f aca="true">IF(OR(C265="",Q265=""),"",IF(OR(J265="Won",J265="Lost"),"",IF(Q265&lt;TODAY(),"OVERDUE",IF(Q265=TODAY(),"TODAY",""))))</f>
        <v/>
      </c>
      <c r="S265" s="12"/>
      <c r="T265" s="12"/>
      <c r="U265" s="13"/>
    </row>
    <row r="266" customFormat="false" ht="15" hidden="false" customHeight="false" outlineLevel="0" collapsed="false">
      <c r="A266" s="12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4" t="str">
        <f aca="false">IF(K266="","",IFERROR(INDEX(Lists!$G$2:$G$5,MATCH(K266,Lists!$F$2:$F$5,0)),""))</f>
        <v/>
      </c>
      <c r="M266" s="13"/>
      <c r="N266" s="13"/>
      <c r="O266" s="13"/>
      <c r="P266" s="13"/>
      <c r="Q266" s="12"/>
      <c r="R266" s="15" t="str">
        <f aca="true">IF(OR(C266="",Q266=""),"",IF(OR(J266="Won",J266="Lost"),"",IF(Q266&lt;TODAY(),"OVERDUE",IF(Q266=TODAY(),"TODAY",""))))</f>
        <v/>
      </c>
      <c r="S266" s="12"/>
      <c r="T266" s="12"/>
      <c r="U266" s="13"/>
    </row>
    <row r="267" customFormat="false" ht="15" hidden="false" customHeight="false" outlineLevel="0" collapsed="false">
      <c r="A267" s="12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4" t="str">
        <f aca="false">IF(K267="","",IFERROR(INDEX(Lists!$G$2:$G$5,MATCH(K267,Lists!$F$2:$F$5,0)),""))</f>
        <v/>
      </c>
      <c r="M267" s="13"/>
      <c r="N267" s="13"/>
      <c r="O267" s="13"/>
      <c r="P267" s="13"/>
      <c r="Q267" s="12"/>
      <c r="R267" s="15" t="str">
        <f aca="true">IF(OR(C267="",Q267=""),"",IF(OR(J267="Won",J267="Lost"),"",IF(Q267&lt;TODAY(),"OVERDUE",IF(Q267=TODAY(),"TODAY",""))))</f>
        <v/>
      </c>
      <c r="S267" s="12"/>
      <c r="T267" s="12"/>
      <c r="U267" s="13"/>
    </row>
    <row r="268" customFormat="false" ht="15" hidden="false" customHeight="false" outlineLevel="0" collapsed="false">
      <c r="A268" s="12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4" t="str">
        <f aca="false">IF(K268="","",IFERROR(INDEX(Lists!$G$2:$G$5,MATCH(K268,Lists!$F$2:$F$5,0)),""))</f>
        <v/>
      </c>
      <c r="M268" s="13"/>
      <c r="N268" s="13"/>
      <c r="O268" s="13"/>
      <c r="P268" s="13"/>
      <c r="Q268" s="12"/>
      <c r="R268" s="15" t="str">
        <f aca="true">IF(OR(C268="",Q268=""),"",IF(OR(J268="Won",J268="Lost"),"",IF(Q268&lt;TODAY(),"OVERDUE",IF(Q268=TODAY(),"TODAY",""))))</f>
        <v/>
      </c>
      <c r="S268" s="12"/>
      <c r="T268" s="12"/>
      <c r="U268" s="13"/>
    </row>
    <row r="269" customFormat="false" ht="15" hidden="false" customHeight="false" outlineLevel="0" collapsed="false">
      <c r="A269" s="12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4" t="str">
        <f aca="false">IF(K269="","",IFERROR(INDEX(Lists!$G$2:$G$5,MATCH(K269,Lists!$F$2:$F$5,0)),""))</f>
        <v/>
      </c>
      <c r="M269" s="13"/>
      <c r="N269" s="13"/>
      <c r="O269" s="13"/>
      <c r="P269" s="13"/>
      <c r="Q269" s="12"/>
      <c r="R269" s="15" t="str">
        <f aca="true">IF(OR(C269="",Q269=""),"",IF(OR(J269="Won",J269="Lost"),"",IF(Q269&lt;TODAY(),"OVERDUE",IF(Q269=TODAY(),"TODAY",""))))</f>
        <v/>
      </c>
      <c r="S269" s="12"/>
      <c r="T269" s="12"/>
      <c r="U269" s="13"/>
    </row>
    <row r="270" customFormat="false" ht="15" hidden="false" customHeight="false" outlineLevel="0" collapsed="false">
      <c r="A270" s="12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4" t="str">
        <f aca="false">IF(K270="","",IFERROR(INDEX(Lists!$G$2:$G$5,MATCH(K270,Lists!$F$2:$F$5,0)),""))</f>
        <v/>
      </c>
      <c r="M270" s="13"/>
      <c r="N270" s="13"/>
      <c r="O270" s="13"/>
      <c r="P270" s="13"/>
      <c r="Q270" s="12"/>
      <c r="R270" s="15" t="str">
        <f aca="true">IF(OR(C270="",Q270=""),"",IF(OR(J270="Won",J270="Lost"),"",IF(Q270&lt;TODAY(),"OVERDUE",IF(Q270=TODAY(),"TODAY",""))))</f>
        <v/>
      </c>
      <c r="S270" s="12"/>
      <c r="T270" s="12"/>
      <c r="U270" s="13"/>
    </row>
    <row r="271" customFormat="false" ht="15" hidden="false" customHeight="false" outlineLevel="0" collapsed="false">
      <c r="A271" s="12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4" t="str">
        <f aca="false">IF(K271="","",IFERROR(INDEX(Lists!$G$2:$G$5,MATCH(K271,Lists!$F$2:$F$5,0)),""))</f>
        <v/>
      </c>
      <c r="M271" s="13"/>
      <c r="N271" s="13"/>
      <c r="O271" s="13"/>
      <c r="P271" s="13"/>
      <c r="Q271" s="12"/>
      <c r="R271" s="15" t="str">
        <f aca="true">IF(OR(C271="",Q271=""),"",IF(OR(J271="Won",J271="Lost"),"",IF(Q271&lt;TODAY(),"OVERDUE",IF(Q271=TODAY(),"TODAY",""))))</f>
        <v/>
      </c>
      <c r="S271" s="12"/>
      <c r="T271" s="12"/>
      <c r="U271" s="13"/>
    </row>
    <row r="272" customFormat="false" ht="15" hidden="false" customHeight="false" outlineLevel="0" collapsed="false">
      <c r="A272" s="12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4" t="str">
        <f aca="false">IF(K272="","",IFERROR(INDEX(Lists!$G$2:$G$5,MATCH(K272,Lists!$F$2:$F$5,0)),""))</f>
        <v/>
      </c>
      <c r="M272" s="13"/>
      <c r="N272" s="13"/>
      <c r="O272" s="13"/>
      <c r="P272" s="13"/>
      <c r="Q272" s="12"/>
      <c r="R272" s="15" t="str">
        <f aca="true">IF(OR(C272="",Q272=""),"",IF(OR(J272="Won",J272="Lost"),"",IF(Q272&lt;TODAY(),"OVERDUE",IF(Q272=TODAY(),"TODAY",""))))</f>
        <v/>
      </c>
      <c r="S272" s="12"/>
      <c r="T272" s="12"/>
      <c r="U272" s="13"/>
    </row>
    <row r="273" customFormat="false" ht="15" hidden="false" customHeight="false" outlineLevel="0" collapsed="false">
      <c r="A273" s="12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4" t="str">
        <f aca="false">IF(K273="","",IFERROR(INDEX(Lists!$G$2:$G$5,MATCH(K273,Lists!$F$2:$F$5,0)),""))</f>
        <v/>
      </c>
      <c r="M273" s="13"/>
      <c r="N273" s="13"/>
      <c r="O273" s="13"/>
      <c r="P273" s="13"/>
      <c r="Q273" s="12"/>
      <c r="R273" s="15" t="str">
        <f aca="true">IF(OR(C273="",Q273=""),"",IF(OR(J273="Won",J273="Lost"),"",IF(Q273&lt;TODAY(),"OVERDUE",IF(Q273=TODAY(),"TODAY",""))))</f>
        <v/>
      </c>
      <c r="S273" s="12"/>
      <c r="T273" s="12"/>
      <c r="U273" s="13"/>
    </row>
    <row r="274" customFormat="false" ht="15" hidden="false" customHeight="false" outlineLevel="0" collapsed="false">
      <c r="A274" s="12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4" t="str">
        <f aca="false">IF(K274="","",IFERROR(INDEX(Lists!$G$2:$G$5,MATCH(K274,Lists!$F$2:$F$5,0)),""))</f>
        <v/>
      </c>
      <c r="M274" s="13"/>
      <c r="N274" s="13"/>
      <c r="O274" s="13"/>
      <c r="P274" s="13"/>
      <c r="Q274" s="12"/>
      <c r="R274" s="15" t="str">
        <f aca="true">IF(OR(C274="",Q274=""),"",IF(OR(J274="Won",J274="Lost"),"",IF(Q274&lt;TODAY(),"OVERDUE",IF(Q274=TODAY(),"TODAY",""))))</f>
        <v/>
      </c>
      <c r="S274" s="12"/>
      <c r="T274" s="12"/>
      <c r="U274" s="13"/>
    </row>
    <row r="275" customFormat="false" ht="15" hidden="false" customHeight="false" outlineLevel="0" collapsed="false">
      <c r="A275" s="12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4" t="str">
        <f aca="false">IF(K275="","",IFERROR(INDEX(Lists!$G$2:$G$5,MATCH(K275,Lists!$F$2:$F$5,0)),""))</f>
        <v/>
      </c>
      <c r="M275" s="13"/>
      <c r="N275" s="13"/>
      <c r="O275" s="13"/>
      <c r="P275" s="13"/>
      <c r="Q275" s="12"/>
      <c r="R275" s="15" t="str">
        <f aca="true">IF(OR(C275="",Q275=""),"",IF(OR(J275="Won",J275="Lost"),"",IF(Q275&lt;TODAY(),"OVERDUE",IF(Q275=TODAY(),"TODAY",""))))</f>
        <v/>
      </c>
      <c r="S275" s="12"/>
      <c r="T275" s="12"/>
      <c r="U275" s="13"/>
    </row>
    <row r="276" customFormat="false" ht="15" hidden="false" customHeight="false" outlineLevel="0" collapsed="false">
      <c r="A276" s="12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4" t="str">
        <f aca="false">IF(K276="","",IFERROR(INDEX(Lists!$G$2:$G$5,MATCH(K276,Lists!$F$2:$F$5,0)),""))</f>
        <v/>
      </c>
      <c r="M276" s="13"/>
      <c r="N276" s="13"/>
      <c r="O276" s="13"/>
      <c r="P276" s="13"/>
      <c r="Q276" s="12"/>
      <c r="R276" s="15" t="str">
        <f aca="true">IF(OR(C276="",Q276=""),"",IF(OR(J276="Won",J276="Lost"),"",IF(Q276&lt;TODAY(),"OVERDUE",IF(Q276=TODAY(),"TODAY",""))))</f>
        <v/>
      </c>
      <c r="S276" s="12"/>
      <c r="T276" s="12"/>
      <c r="U276" s="13"/>
    </row>
    <row r="277" customFormat="false" ht="15" hidden="false" customHeight="false" outlineLevel="0" collapsed="false">
      <c r="A277" s="12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4" t="str">
        <f aca="false">IF(K277="","",IFERROR(INDEX(Lists!$G$2:$G$5,MATCH(K277,Lists!$F$2:$F$5,0)),""))</f>
        <v/>
      </c>
      <c r="M277" s="13"/>
      <c r="N277" s="13"/>
      <c r="O277" s="13"/>
      <c r="P277" s="13"/>
      <c r="Q277" s="12"/>
      <c r="R277" s="15" t="str">
        <f aca="true">IF(OR(C277="",Q277=""),"",IF(OR(J277="Won",J277="Lost"),"",IF(Q277&lt;TODAY(),"OVERDUE",IF(Q277=TODAY(),"TODAY",""))))</f>
        <v/>
      </c>
      <c r="S277" s="12"/>
      <c r="T277" s="12"/>
      <c r="U277" s="13"/>
    </row>
    <row r="278" customFormat="false" ht="15" hidden="false" customHeight="false" outlineLevel="0" collapsed="false">
      <c r="A278" s="12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4" t="str">
        <f aca="false">IF(K278="","",IFERROR(INDEX(Lists!$G$2:$G$5,MATCH(K278,Lists!$F$2:$F$5,0)),""))</f>
        <v/>
      </c>
      <c r="M278" s="13"/>
      <c r="N278" s="13"/>
      <c r="O278" s="13"/>
      <c r="P278" s="13"/>
      <c r="Q278" s="12"/>
      <c r="R278" s="15" t="str">
        <f aca="true">IF(OR(C278="",Q278=""),"",IF(OR(J278="Won",J278="Lost"),"",IF(Q278&lt;TODAY(),"OVERDUE",IF(Q278=TODAY(),"TODAY",""))))</f>
        <v/>
      </c>
      <c r="S278" s="12"/>
      <c r="T278" s="12"/>
      <c r="U278" s="13"/>
    </row>
    <row r="279" customFormat="false" ht="15" hidden="false" customHeight="false" outlineLevel="0" collapsed="false">
      <c r="A279" s="12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4" t="str">
        <f aca="false">IF(K279="","",IFERROR(INDEX(Lists!$G$2:$G$5,MATCH(K279,Lists!$F$2:$F$5,0)),""))</f>
        <v/>
      </c>
      <c r="M279" s="13"/>
      <c r="N279" s="13"/>
      <c r="O279" s="13"/>
      <c r="P279" s="13"/>
      <c r="Q279" s="12"/>
      <c r="R279" s="15" t="str">
        <f aca="true">IF(OR(C279="",Q279=""),"",IF(OR(J279="Won",J279="Lost"),"",IF(Q279&lt;TODAY(),"OVERDUE",IF(Q279=TODAY(),"TODAY",""))))</f>
        <v/>
      </c>
      <c r="S279" s="12"/>
      <c r="T279" s="12"/>
      <c r="U279" s="13"/>
    </row>
    <row r="280" customFormat="false" ht="15" hidden="false" customHeight="false" outlineLevel="0" collapsed="false">
      <c r="A280" s="12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4" t="str">
        <f aca="false">IF(K280="","",IFERROR(INDEX(Lists!$G$2:$G$5,MATCH(K280,Lists!$F$2:$F$5,0)),""))</f>
        <v/>
      </c>
      <c r="M280" s="13"/>
      <c r="N280" s="13"/>
      <c r="O280" s="13"/>
      <c r="P280" s="13"/>
      <c r="Q280" s="12"/>
      <c r="R280" s="15" t="str">
        <f aca="true">IF(OR(C280="",Q280=""),"",IF(OR(J280="Won",J280="Lost"),"",IF(Q280&lt;TODAY(),"OVERDUE",IF(Q280=TODAY(),"TODAY",""))))</f>
        <v/>
      </c>
      <c r="S280" s="12"/>
      <c r="T280" s="12"/>
      <c r="U280" s="13"/>
    </row>
    <row r="281" customFormat="false" ht="15" hidden="false" customHeight="false" outlineLevel="0" collapsed="false">
      <c r="A281" s="12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4" t="str">
        <f aca="false">IF(K281="","",IFERROR(INDEX(Lists!$G$2:$G$5,MATCH(K281,Lists!$F$2:$F$5,0)),""))</f>
        <v/>
      </c>
      <c r="M281" s="13"/>
      <c r="N281" s="13"/>
      <c r="O281" s="13"/>
      <c r="P281" s="13"/>
      <c r="Q281" s="12"/>
      <c r="R281" s="15" t="str">
        <f aca="true">IF(OR(C281="",Q281=""),"",IF(OR(J281="Won",J281="Lost"),"",IF(Q281&lt;TODAY(),"OVERDUE",IF(Q281=TODAY(),"TODAY",""))))</f>
        <v/>
      </c>
      <c r="S281" s="12"/>
      <c r="T281" s="12"/>
      <c r="U281" s="13"/>
    </row>
    <row r="282" customFormat="false" ht="15" hidden="false" customHeight="false" outlineLevel="0" collapsed="false">
      <c r="A282" s="12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4" t="str">
        <f aca="false">IF(K282="","",IFERROR(INDEX(Lists!$G$2:$G$5,MATCH(K282,Lists!$F$2:$F$5,0)),""))</f>
        <v/>
      </c>
      <c r="M282" s="13"/>
      <c r="N282" s="13"/>
      <c r="O282" s="13"/>
      <c r="P282" s="13"/>
      <c r="Q282" s="12"/>
      <c r="R282" s="15" t="str">
        <f aca="true">IF(OR(C282="",Q282=""),"",IF(OR(J282="Won",J282="Lost"),"",IF(Q282&lt;TODAY(),"OVERDUE",IF(Q282=TODAY(),"TODAY",""))))</f>
        <v/>
      </c>
      <c r="S282" s="12"/>
      <c r="T282" s="12"/>
      <c r="U282" s="13"/>
    </row>
    <row r="283" customFormat="false" ht="15" hidden="false" customHeight="false" outlineLevel="0" collapsed="false">
      <c r="A283" s="12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4" t="str">
        <f aca="false">IF(K283="","",IFERROR(INDEX(Lists!$G$2:$G$5,MATCH(K283,Lists!$F$2:$F$5,0)),""))</f>
        <v/>
      </c>
      <c r="M283" s="13"/>
      <c r="N283" s="13"/>
      <c r="O283" s="13"/>
      <c r="P283" s="13"/>
      <c r="Q283" s="12"/>
      <c r="R283" s="15" t="str">
        <f aca="true">IF(OR(C283="",Q283=""),"",IF(OR(J283="Won",J283="Lost"),"",IF(Q283&lt;TODAY(),"OVERDUE",IF(Q283=TODAY(),"TODAY",""))))</f>
        <v/>
      </c>
      <c r="S283" s="12"/>
      <c r="T283" s="12"/>
      <c r="U283" s="13"/>
    </row>
    <row r="284" customFormat="false" ht="15" hidden="false" customHeight="false" outlineLevel="0" collapsed="false">
      <c r="A284" s="12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4" t="str">
        <f aca="false">IF(K284="","",IFERROR(INDEX(Lists!$G$2:$G$5,MATCH(K284,Lists!$F$2:$F$5,0)),""))</f>
        <v/>
      </c>
      <c r="M284" s="13"/>
      <c r="N284" s="13"/>
      <c r="O284" s="13"/>
      <c r="P284" s="13"/>
      <c r="Q284" s="12"/>
      <c r="R284" s="15" t="str">
        <f aca="true">IF(OR(C284="",Q284=""),"",IF(OR(J284="Won",J284="Lost"),"",IF(Q284&lt;TODAY(),"OVERDUE",IF(Q284=TODAY(),"TODAY",""))))</f>
        <v/>
      </c>
      <c r="S284" s="12"/>
      <c r="T284" s="12"/>
      <c r="U284" s="13"/>
    </row>
    <row r="285" customFormat="false" ht="15" hidden="false" customHeight="false" outlineLevel="0" collapsed="false">
      <c r="A285" s="12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4" t="str">
        <f aca="false">IF(K285="","",IFERROR(INDEX(Lists!$G$2:$G$5,MATCH(K285,Lists!$F$2:$F$5,0)),""))</f>
        <v/>
      </c>
      <c r="M285" s="13"/>
      <c r="N285" s="13"/>
      <c r="O285" s="13"/>
      <c r="P285" s="13"/>
      <c r="Q285" s="12"/>
      <c r="R285" s="15" t="str">
        <f aca="true">IF(OR(C285="",Q285=""),"",IF(OR(J285="Won",J285="Lost"),"",IF(Q285&lt;TODAY(),"OVERDUE",IF(Q285=TODAY(),"TODAY",""))))</f>
        <v/>
      </c>
      <c r="S285" s="12"/>
      <c r="T285" s="12"/>
      <c r="U285" s="13"/>
    </row>
    <row r="286" customFormat="false" ht="15" hidden="false" customHeight="false" outlineLevel="0" collapsed="false">
      <c r="A286" s="12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4" t="str">
        <f aca="false">IF(K286="","",IFERROR(INDEX(Lists!$G$2:$G$5,MATCH(K286,Lists!$F$2:$F$5,0)),""))</f>
        <v/>
      </c>
      <c r="M286" s="13"/>
      <c r="N286" s="13"/>
      <c r="O286" s="13"/>
      <c r="P286" s="13"/>
      <c r="Q286" s="12"/>
      <c r="R286" s="15" t="str">
        <f aca="true">IF(OR(C286="",Q286=""),"",IF(OR(J286="Won",J286="Lost"),"",IF(Q286&lt;TODAY(),"OVERDUE",IF(Q286=TODAY(),"TODAY",""))))</f>
        <v/>
      </c>
      <c r="S286" s="12"/>
      <c r="T286" s="12"/>
      <c r="U286" s="13"/>
    </row>
    <row r="287" customFormat="false" ht="15" hidden="false" customHeight="false" outlineLevel="0" collapsed="false">
      <c r="A287" s="12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4" t="str">
        <f aca="false">IF(K287="","",IFERROR(INDEX(Lists!$G$2:$G$5,MATCH(K287,Lists!$F$2:$F$5,0)),""))</f>
        <v/>
      </c>
      <c r="M287" s="13"/>
      <c r="N287" s="13"/>
      <c r="O287" s="13"/>
      <c r="P287" s="13"/>
      <c r="Q287" s="12"/>
      <c r="R287" s="15" t="str">
        <f aca="true">IF(OR(C287="",Q287=""),"",IF(OR(J287="Won",J287="Lost"),"",IF(Q287&lt;TODAY(),"OVERDUE",IF(Q287=TODAY(),"TODAY",""))))</f>
        <v/>
      </c>
      <c r="S287" s="12"/>
      <c r="T287" s="12"/>
      <c r="U287" s="13"/>
    </row>
    <row r="288" customFormat="false" ht="15" hidden="false" customHeight="false" outlineLevel="0" collapsed="false">
      <c r="A288" s="12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4" t="str">
        <f aca="false">IF(K288="","",IFERROR(INDEX(Lists!$G$2:$G$5,MATCH(K288,Lists!$F$2:$F$5,0)),""))</f>
        <v/>
      </c>
      <c r="M288" s="13"/>
      <c r="N288" s="13"/>
      <c r="O288" s="13"/>
      <c r="P288" s="13"/>
      <c r="Q288" s="12"/>
      <c r="R288" s="15" t="str">
        <f aca="true">IF(OR(C288="",Q288=""),"",IF(OR(J288="Won",J288="Lost"),"",IF(Q288&lt;TODAY(),"OVERDUE",IF(Q288=TODAY(),"TODAY",""))))</f>
        <v/>
      </c>
      <c r="S288" s="12"/>
      <c r="T288" s="12"/>
      <c r="U288" s="13"/>
    </row>
    <row r="289" customFormat="false" ht="15" hidden="false" customHeight="false" outlineLevel="0" collapsed="false">
      <c r="A289" s="12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4" t="str">
        <f aca="false">IF(K289="","",IFERROR(INDEX(Lists!$G$2:$G$5,MATCH(K289,Lists!$F$2:$F$5,0)),""))</f>
        <v/>
      </c>
      <c r="M289" s="13"/>
      <c r="N289" s="13"/>
      <c r="O289" s="13"/>
      <c r="P289" s="13"/>
      <c r="Q289" s="12"/>
      <c r="R289" s="15" t="str">
        <f aca="true">IF(OR(C289="",Q289=""),"",IF(OR(J289="Won",J289="Lost"),"",IF(Q289&lt;TODAY(),"OVERDUE",IF(Q289=TODAY(),"TODAY",""))))</f>
        <v/>
      </c>
      <c r="S289" s="12"/>
      <c r="T289" s="12"/>
      <c r="U289" s="13"/>
    </row>
    <row r="290" customFormat="false" ht="15" hidden="false" customHeight="false" outlineLevel="0" collapsed="false">
      <c r="A290" s="12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4" t="str">
        <f aca="false">IF(K290="","",IFERROR(INDEX(Lists!$G$2:$G$5,MATCH(K290,Lists!$F$2:$F$5,0)),""))</f>
        <v/>
      </c>
      <c r="M290" s="13"/>
      <c r="N290" s="13"/>
      <c r="O290" s="13"/>
      <c r="P290" s="13"/>
      <c r="Q290" s="12"/>
      <c r="R290" s="15" t="str">
        <f aca="true">IF(OR(C290="",Q290=""),"",IF(OR(J290="Won",J290="Lost"),"",IF(Q290&lt;TODAY(),"OVERDUE",IF(Q290=TODAY(),"TODAY",""))))</f>
        <v/>
      </c>
      <c r="S290" s="12"/>
      <c r="T290" s="12"/>
      <c r="U290" s="13"/>
    </row>
    <row r="291" customFormat="false" ht="15" hidden="false" customHeight="false" outlineLevel="0" collapsed="false">
      <c r="A291" s="12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4" t="str">
        <f aca="false">IF(K291="","",IFERROR(INDEX(Lists!$G$2:$G$5,MATCH(K291,Lists!$F$2:$F$5,0)),""))</f>
        <v/>
      </c>
      <c r="M291" s="13"/>
      <c r="N291" s="13"/>
      <c r="O291" s="13"/>
      <c r="P291" s="13"/>
      <c r="Q291" s="12"/>
      <c r="R291" s="15" t="str">
        <f aca="true">IF(OR(C291="",Q291=""),"",IF(OR(J291="Won",J291="Lost"),"",IF(Q291&lt;TODAY(),"OVERDUE",IF(Q291=TODAY(),"TODAY",""))))</f>
        <v/>
      </c>
      <c r="S291" s="12"/>
      <c r="T291" s="12"/>
      <c r="U291" s="13"/>
    </row>
    <row r="292" customFormat="false" ht="15" hidden="false" customHeight="false" outlineLevel="0" collapsed="false">
      <c r="A292" s="12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4" t="str">
        <f aca="false">IF(K292="","",IFERROR(INDEX(Lists!$G$2:$G$5,MATCH(K292,Lists!$F$2:$F$5,0)),""))</f>
        <v/>
      </c>
      <c r="M292" s="13"/>
      <c r="N292" s="13"/>
      <c r="O292" s="13"/>
      <c r="P292" s="13"/>
      <c r="Q292" s="12"/>
      <c r="R292" s="15" t="str">
        <f aca="true">IF(OR(C292="",Q292=""),"",IF(OR(J292="Won",J292="Lost"),"",IF(Q292&lt;TODAY(),"OVERDUE",IF(Q292=TODAY(),"TODAY",""))))</f>
        <v/>
      </c>
      <c r="S292" s="12"/>
      <c r="T292" s="12"/>
      <c r="U292" s="13"/>
    </row>
    <row r="293" customFormat="false" ht="15" hidden="false" customHeight="false" outlineLevel="0" collapsed="false">
      <c r="A293" s="12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4" t="str">
        <f aca="false">IF(K293="","",IFERROR(INDEX(Lists!$G$2:$G$5,MATCH(K293,Lists!$F$2:$F$5,0)),""))</f>
        <v/>
      </c>
      <c r="M293" s="13"/>
      <c r="N293" s="13"/>
      <c r="O293" s="13"/>
      <c r="P293" s="13"/>
      <c r="Q293" s="12"/>
      <c r="R293" s="15" t="str">
        <f aca="true">IF(OR(C293="",Q293=""),"",IF(OR(J293="Won",J293="Lost"),"",IF(Q293&lt;TODAY(),"OVERDUE",IF(Q293=TODAY(),"TODAY",""))))</f>
        <v/>
      </c>
      <c r="S293" s="12"/>
      <c r="T293" s="12"/>
      <c r="U293" s="13"/>
    </row>
    <row r="294" customFormat="false" ht="15" hidden="false" customHeight="false" outlineLevel="0" collapsed="false">
      <c r="A294" s="12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4" t="str">
        <f aca="false">IF(K294="","",IFERROR(INDEX(Lists!$G$2:$G$5,MATCH(K294,Lists!$F$2:$F$5,0)),""))</f>
        <v/>
      </c>
      <c r="M294" s="13"/>
      <c r="N294" s="13"/>
      <c r="O294" s="13"/>
      <c r="P294" s="13"/>
      <c r="Q294" s="12"/>
      <c r="R294" s="15" t="str">
        <f aca="true">IF(OR(C294="",Q294=""),"",IF(OR(J294="Won",J294="Lost"),"",IF(Q294&lt;TODAY(),"OVERDUE",IF(Q294=TODAY(),"TODAY",""))))</f>
        <v/>
      </c>
      <c r="S294" s="12"/>
      <c r="T294" s="12"/>
      <c r="U294" s="13"/>
    </row>
    <row r="295" customFormat="false" ht="15" hidden="false" customHeight="false" outlineLevel="0" collapsed="false">
      <c r="A295" s="12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4" t="str">
        <f aca="false">IF(K295="","",IFERROR(INDEX(Lists!$G$2:$G$5,MATCH(K295,Lists!$F$2:$F$5,0)),""))</f>
        <v/>
      </c>
      <c r="M295" s="13"/>
      <c r="N295" s="13"/>
      <c r="O295" s="13"/>
      <c r="P295" s="13"/>
      <c r="Q295" s="12"/>
      <c r="R295" s="15" t="str">
        <f aca="true">IF(OR(C295="",Q295=""),"",IF(OR(J295="Won",J295="Lost"),"",IF(Q295&lt;TODAY(),"OVERDUE",IF(Q295=TODAY(),"TODAY",""))))</f>
        <v/>
      </c>
      <c r="S295" s="12"/>
      <c r="T295" s="12"/>
      <c r="U295" s="13"/>
    </row>
    <row r="296" customFormat="false" ht="15" hidden="false" customHeight="false" outlineLevel="0" collapsed="false">
      <c r="A296" s="12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4" t="str">
        <f aca="false">IF(K296="","",IFERROR(INDEX(Lists!$G$2:$G$5,MATCH(K296,Lists!$F$2:$F$5,0)),""))</f>
        <v/>
      </c>
      <c r="M296" s="13"/>
      <c r="N296" s="13"/>
      <c r="O296" s="13"/>
      <c r="P296" s="13"/>
      <c r="Q296" s="12"/>
      <c r="R296" s="15" t="str">
        <f aca="true">IF(OR(C296="",Q296=""),"",IF(OR(J296="Won",J296="Lost"),"",IF(Q296&lt;TODAY(),"OVERDUE",IF(Q296=TODAY(),"TODAY",""))))</f>
        <v/>
      </c>
      <c r="S296" s="12"/>
      <c r="T296" s="12"/>
      <c r="U296" s="13"/>
    </row>
    <row r="297" customFormat="false" ht="15" hidden="false" customHeight="false" outlineLevel="0" collapsed="false">
      <c r="A297" s="12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4" t="str">
        <f aca="false">IF(K297="","",IFERROR(INDEX(Lists!$G$2:$G$5,MATCH(K297,Lists!$F$2:$F$5,0)),""))</f>
        <v/>
      </c>
      <c r="M297" s="13"/>
      <c r="N297" s="13"/>
      <c r="O297" s="13"/>
      <c r="P297" s="13"/>
      <c r="Q297" s="12"/>
      <c r="R297" s="15" t="str">
        <f aca="true">IF(OR(C297="",Q297=""),"",IF(OR(J297="Won",J297="Lost"),"",IF(Q297&lt;TODAY(),"OVERDUE",IF(Q297=TODAY(),"TODAY",""))))</f>
        <v/>
      </c>
      <c r="S297" s="12"/>
      <c r="T297" s="12"/>
      <c r="U297" s="13"/>
    </row>
    <row r="298" customFormat="false" ht="15" hidden="false" customHeight="false" outlineLevel="0" collapsed="false">
      <c r="A298" s="12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4" t="str">
        <f aca="false">IF(K298="","",IFERROR(INDEX(Lists!$G$2:$G$5,MATCH(K298,Lists!$F$2:$F$5,0)),""))</f>
        <v/>
      </c>
      <c r="M298" s="13"/>
      <c r="N298" s="13"/>
      <c r="O298" s="13"/>
      <c r="P298" s="13"/>
      <c r="Q298" s="12"/>
      <c r="R298" s="15" t="str">
        <f aca="true">IF(OR(C298="",Q298=""),"",IF(OR(J298="Won",J298="Lost"),"",IF(Q298&lt;TODAY(),"OVERDUE",IF(Q298=TODAY(),"TODAY",""))))</f>
        <v/>
      </c>
      <c r="S298" s="12"/>
      <c r="T298" s="12"/>
      <c r="U298" s="13"/>
    </row>
    <row r="299" customFormat="false" ht="15" hidden="false" customHeight="false" outlineLevel="0" collapsed="false">
      <c r="A299" s="12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4" t="str">
        <f aca="false">IF(K299="","",IFERROR(INDEX(Lists!$G$2:$G$5,MATCH(K299,Lists!$F$2:$F$5,0)),""))</f>
        <v/>
      </c>
      <c r="M299" s="13"/>
      <c r="N299" s="13"/>
      <c r="O299" s="13"/>
      <c r="P299" s="13"/>
      <c r="Q299" s="12"/>
      <c r="R299" s="15" t="str">
        <f aca="true">IF(OR(C299="",Q299=""),"",IF(OR(J299="Won",J299="Lost"),"",IF(Q299&lt;TODAY(),"OVERDUE",IF(Q299=TODAY(),"TODAY",""))))</f>
        <v/>
      </c>
      <c r="S299" s="12"/>
      <c r="T299" s="12"/>
      <c r="U299" s="13"/>
    </row>
    <row r="300" customFormat="false" ht="15" hidden="false" customHeight="false" outlineLevel="0" collapsed="false">
      <c r="A300" s="12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4" t="str">
        <f aca="false">IF(K300="","",IFERROR(INDEX(Lists!$G$2:$G$5,MATCH(K300,Lists!$F$2:$F$5,0)),""))</f>
        <v/>
      </c>
      <c r="M300" s="13"/>
      <c r="N300" s="13"/>
      <c r="O300" s="13"/>
      <c r="P300" s="13"/>
      <c r="Q300" s="12"/>
      <c r="R300" s="15" t="str">
        <f aca="true">IF(OR(C300="",Q300=""),"",IF(OR(J300="Won",J300="Lost"),"",IF(Q300&lt;TODAY(),"OVERDUE",IF(Q300=TODAY(),"TODAY",""))))</f>
        <v/>
      </c>
      <c r="S300" s="12"/>
      <c r="T300" s="12"/>
      <c r="U300" s="13"/>
    </row>
    <row r="301" customFormat="false" ht="15" hidden="false" customHeight="false" outlineLevel="0" collapsed="false">
      <c r="A301" s="12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4" t="str">
        <f aca="false">IF(K301="","",IFERROR(INDEX(Lists!$G$2:$G$5,MATCH(K301,Lists!$F$2:$F$5,0)),""))</f>
        <v/>
      </c>
      <c r="M301" s="13"/>
      <c r="N301" s="13"/>
      <c r="O301" s="13"/>
      <c r="P301" s="13"/>
      <c r="Q301" s="12"/>
      <c r="R301" s="15" t="str">
        <f aca="true">IF(OR(C301="",Q301=""),"",IF(OR(J301="Won",J301="Lost"),"",IF(Q301&lt;TODAY(),"OVERDUE",IF(Q301=TODAY(),"TODAY",""))))</f>
        <v/>
      </c>
      <c r="S301" s="12"/>
      <c r="T301" s="12"/>
      <c r="U301" s="13"/>
    </row>
    <row r="302" customFormat="false" ht="15" hidden="false" customHeight="false" outlineLevel="0" collapsed="false">
      <c r="A302" s="12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4" t="str">
        <f aca="false">IF(K302="","",IFERROR(INDEX(Lists!$G$2:$G$5,MATCH(K302,Lists!$F$2:$F$5,0)),""))</f>
        <v/>
      </c>
      <c r="M302" s="13"/>
      <c r="N302" s="13"/>
      <c r="O302" s="13"/>
      <c r="P302" s="13"/>
      <c r="Q302" s="12"/>
      <c r="R302" s="15" t="str">
        <f aca="true">IF(OR(C302="",Q302=""),"",IF(OR(J302="Won",J302="Lost"),"",IF(Q302&lt;TODAY(),"OVERDUE",IF(Q302=TODAY(),"TODAY",""))))</f>
        <v/>
      </c>
      <c r="S302" s="12"/>
      <c r="T302" s="12"/>
      <c r="U302" s="13"/>
    </row>
    <row r="303" customFormat="false" ht="15" hidden="false" customHeight="false" outlineLevel="0" collapsed="false">
      <c r="A303" s="12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4" t="str">
        <f aca="false">IF(K303="","",IFERROR(INDEX(Lists!$G$2:$G$5,MATCH(K303,Lists!$F$2:$F$5,0)),""))</f>
        <v/>
      </c>
      <c r="M303" s="13"/>
      <c r="N303" s="13"/>
      <c r="O303" s="13"/>
      <c r="P303" s="13"/>
      <c r="Q303" s="12"/>
      <c r="R303" s="15" t="str">
        <f aca="true">IF(OR(C303="",Q303=""),"",IF(OR(J303="Won",J303="Lost"),"",IF(Q303&lt;TODAY(),"OVERDUE",IF(Q303=TODAY(),"TODAY",""))))</f>
        <v/>
      </c>
      <c r="S303" s="12"/>
      <c r="T303" s="12"/>
      <c r="U303" s="13"/>
    </row>
    <row r="304" customFormat="false" ht="15" hidden="false" customHeight="false" outlineLevel="0" collapsed="false">
      <c r="A304" s="12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4" t="str">
        <f aca="false">IF(K304="","",IFERROR(INDEX(Lists!$G$2:$G$5,MATCH(K304,Lists!$F$2:$F$5,0)),""))</f>
        <v/>
      </c>
      <c r="M304" s="13"/>
      <c r="N304" s="13"/>
      <c r="O304" s="13"/>
      <c r="P304" s="13"/>
      <c r="Q304" s="12"/>
      <c r="R304" s="15" t="str">
        <f aca="true">IF(OR(C304="",Q304=""),"",IF(OR(J304="Won",J304="Lost"),"",IF(Q304&lt;TODAY(),"OVERDUE",IF(Q304=TODAY(),"TODAY",""))))</f>
        <v/>
      </c>
      <c r="S304" s="12"/>
      <c r="T304" s="12"/>
      <c r="U304" s="13"/>
    </row>
    <row r="305" customFormat="false" ht="15" hidden="false" customHeight="false" outlineLevel="0" collapsed="false">
      <c r="A305" s="12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4" t="str">
        <f aca="false">IF(K305="","",IFERROR(INDEX(Lists!$G$2:$G$5,MATCH(K305,Lists!$F$2:$F$5,0)),""))</f>
        <v/>
      </c>
      <c r="M305" s="13"/>
      <c r="N305" s="13"/>
      <c r="O305" s="13"/>
      <c r="P305" s="13"/>
      <c r="Q305" s="12"/>
      <c r="R305" s="15" t="str">
        <f aca="true">IF(OR(C305="",Q305=""),"",IF(OR(J305="Won",J305="Lost"),"",IF(Q305&lt;TODAY(),"OVERDUE",IF(Q305=TODAY(),"TODAY",""))))</f>
        <v/>
      </c>
      <c r="S305" s="12"/>
      <c r="T305" s="12"/>
      <c r="U305" s="13"/>
    </row>
    <row r="306" customFormat="false" ht="15" hidden="false" customHeight="false" outlineLevel="0" collapsed="false">
      <c r="A306" s="12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4" t="str">
        <f aca="false">IF(K306="","",IFERROR(INDEX(Lists!$G$2:$G$5,MATCH(K306,Lists!$F$2:$F$5,0)),""))</f>
        <v/>
      </c>
      <c r="M306" s="13"/>
      <c r="N306" s="13"/>
      <c r="O306" s="13"/>
      <c r="P306" s="13"/>
      <c r="Q306" s="12"/>
      <c r="R306" s="15" t="str">
        <f aca="true">IF(OR(C306="",Q306=""),"",IF(OR(J306="Won",J306="Lost"),"",IF(Q306&lt;TODAY(),"OVERDUE",IF(Q306=TODAY(),"TODAY",""))))</f>
        <v/>
      </c>
      <c r="S306" s="12"/>
      <c r="T306" s="12"/>
      <c r="U306" s="13"/>
    </row>
    <row r="307" customFormat="false" ht="15" hidden="false" customHeight="false" outlineLevel="0" collapsed="false">
      <c r="A307" s="12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4" t="str">
        <f aca="false">IF(K307="","",IFERROR(INDEX(Lists!$G$2:$G$5,MATCH(K307,Lists!$F$2:$F$5,0)),""))</f>
        <v/>
      </c>
      <c r="M307" s="13"/>
      <c r="N307" s="13"/>
      <c r="O307" s="13"/>
      <c r="P307" s="13"/>
      <c r="Q307" s="12"/>
      <c r="R307" s="15" t="str">
        <f aca="true">IF(OR(C307="",Q307=""),"",IF(OR(J307="Won",J307="Lost"),"",IF(Q307&lt;TODAY(),"OVERDUE",IF(Q307=TODAY(),"TODAY",""))))</f>
        <v/>
      </c>
      <c r="S307" s="12"/>
      <c r="T307" s="12"/>
      <c r="U307" s="13"/>
    </row>
    <row r="308" customFormat="false" ht="15" hidden="false" customHeight="false" outlineLevel="0" collapsed="false">
      <c r="A308" s="12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4" t="str">
        <f aca="false">IF(K308="","",IFERROR(INDEX(Lists!$G$2:$G$5,MATCH(K308,Lists!$F$2:$F$5,0)),""))</f>
        <v/>
      </c>
      <c r="M308" s="13"/>
      <c r="N308" s="13"/>
      <c r="O308" s="13"/>
      <c r="P308" s="13"/>
      <c r="Q308" s="12"/>
      <c r="R308" s="15" t="str">
        <f aca="true">IF(OR(C308="",Q308=""),"",IF(OR(J308="Won",J308="Lost"),"",IF(Q308&lt;TODAY(),"OVERDUE",IF(Q308=TODAY(),"TODAY",""))))</f>
        <v/>
      </c>
      <c r="S308" s="12"/>
      <c r="T308" s="12"/>
      <c r="U308" s="13"/>
    </row>
    <row r="309" customFormat="false" ht="15" hidden="false" customHeight="false" outlineLevel="0" collapsed="false">
      <c r="A309" s="12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4" t="str">
        <f aca="false">IF(K309="","",IFERROR(INDEX(Lists!$G$2:$G$5,MATCH(K309,Lists!$F$2:$F$5,0)),""))</f>
        <v/>
      </c>
      <c r="M309" s="13"/>
      <c r="N309" s="13"/>
      <c r="O309" s="13"/>
      <c r="P309" s="13"/>
      <c r="Q309" s="12"/>
      <c r="R309" s="15" t="str">
        <f aca="true">IF(OR(C309="",Q309=""),"",IF(OR(J309="Won",J309="Lost"),"",IF(Q309&lt;TODAY(),"OVERDUE",IF(Q309=TODAY(),"TODAY",""))))</f>
        <v/>
      </c>
      <c r="S309" s="12"/>
      <c r="T309" s="12"/>
      <c r="U309" s="13"/>
    </row>
    <row r="310" customFormat="false" ht="15" hidden="false" customHeight="false" outlineLevel="0" collapsed="false">
      <c r="A310" s="12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4" t="str">
        <f aca="false">IF(K310="","",IFERROR(INDEX(Lists!$G$2:$G$5,MATCH(K310,Lists!$F$2:$F$5,0)),""))</f>
        <v/>
      </c>
      <c r="M310" s="13"/>
      <c r="N310" s="13"/>
      <c r="O310" s="13"/>
      <c r="P310" s="13"/>
      <c r="Q310" s="12"/>
      <c r="R310" s="15" t="str">
        <f aca="true">IF(OR(C310="",Q310=""),"",IF(OR(J310="Won",J310="Lost"),"",IF(Q310&lt;TODAY(),"OVERDUE",IF(Q310=TODAY(),"TODAY",""))))</f>
        <v/>
      </c>
      <c r="S310" s="12"/>
      <c r="T310" s="12"/>
      <c r="U310" s="13"/>
    </row>
    <row r="311" customFormat="false" ht="15" hidden="false" customHeight="false" outlineLevel="0" collapsed="false">
      <c r="A311" s="12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4" t="str">
        <f aca="false">IF(K311="","",IFERROR(INDEX(Lists!$G$2:$G$5,MATCH(K311,Lists!$F$2:$F$5,0)),""))</f>
        <v/>
      </c>
      <c r="M311" s="13"/>
      <c r="N311" s="13"/>
      <c r="O311" s="13"/>
      <c r="P311" s="13"/>
      <c r="Q311" s="12"/>
      <c r="R311" s="15" t="str">
        <f aca="true">IF(OR(C311="",Q311=""),"",IF(OR(J311="Won",J311="Lost"),"",IF(Q311&lt;TODAY(),"OVERDUE",IF(Q311=TODAY(),"TODAY",""))))</f>
        <v/>
      </c>
      <c r="S311" s="12"/>
      <c r="T311" s="12"/>
      <c r="U311" s="13"/>
    </row>
    <row r="312" customFormat="false" ht="15" hidden="false" customHeight="false" outlineLevel="0" collapsed="false">
      <c r="A312" s="12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4" t="str">
        <f aca="false">IF(K312="","",IFERROR(INDEX(Lists!$G$2:$G$5,MATCH(K312,Lists!$F$2:$F$5,0)),""))</f>
        <v/>
      </c>
      <c r="M312" s="13"/>
      <c r="N312" s="13"/>
      <c r="O312" s="13"/>
      <c r="P312" s="13"/>
      <c r="Q312" s="12"/>
      <c r="R312" s="15" t="str">
        <f aca="true">IF(OR(C312="",Q312=""),"",IF(OR(J312="Won",J312="Lost"),"",IF(Q312&lt;TODAY(),"OVERDUE",IF(Q312=TODAY(),"TODAY",""))))</f>
        <v/>
      </c>
      <c r="S312" s="12"/>
      <c r="T312" s="12"/>
      <c r="U312" s="13"/>
    </row>
    <row r="313" customFormat="false" ht="15" hidden="false" customHeight="false" outlineLevel="0" collapsed="false">
      <c r="A313" s="12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4" t="str">
        <f aca="false">IF(K313="","",IFERROR(INDEX(Lists!$G$2:$G$5,MATCH(K313,Lists!$F$2:$F$5,0)),""))</f>
        <v/>
      </c>
      <c r="M313" s="13"/>
      <c r="N313" s="13"/>
      <c r="O313" s="13"/>
      <c r="P313" s="13"/>
      <c r="Q313" s="12"/>
      <c r="R313" s="15" t="str">
        <f aca="true">IF(OR(C313="",Q313=""),"",IF(OR(J313="Won",J313="Lost"),"",IF(Q313&lt;TODAY(),"OVERDUE",IF(Q313=TODAY(),"TODAY",""))))</f>
        <v/>
      </c>
      <c r="S313" s="12"/>
      <c r="T313" s="12"/>
      <c r="U313" s="13"/>
    </row>
    <row r="314" customFormat="false" ht="15" hidden="false" customHeight="false" outlineLevel="0" collapsed="false">
      <c r="A314" s="12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4" t="str">
        <f aca="false">IF(K314="","",IFERROR(INDEX(Lists!$G$2:$G$5,MATCH(K314,Lists!$F$2:$F$5,0)),""))</f>
        <v/>
      </c>
      <c r="M314" s="13"/>
      <c r="N314" s="13"/>
      <c r="O314" s="13"/>
      <c r="P314" s="13"/>
      <c r="Q314" s="12"/>
      <c r="R314" s="15" t="str">
        <f aca="true">IF(OR(C314="",Q314=""),"",IF(OR(J314="Won",J314="Lost"),"",IF(Q314&lt;TODAY(),"OVERDUE",IF(Q314=TODAY(),"TODAY",""))))</f>
        <v/>
      </c>
      <c r="S314" s="12"/>
      <c r="T314" s="12"/>
      <c r="U314" s="13"/>
    </row>
    <row r="315" customFormat="false" ht="15" hidden="false" customHeight="false" outlineLevel="0" collapsed="false">
      <c r="A315" s="12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4" t="str">
        <f aca="false">IF(K315="","",IFERROR(INDEX(Lists!$G$2:$G$5,MATCH(K315,Lists!$F$2:$F$5,0)),""))</f>
        <v/>
      </c>
      <c r="M315" s="13"/>
      <c r="N315" s="13"/>
      <c r="O315" s="13"/>
      <c r="P315" s="13"/>
      <c r="Q315" s="12"/>
      <c r="R315" s="15" t="str">
        <f aca="true">IF(OR(C315="",Q315=""),"",IF(OR(J315="Won",J315="Lost"),"",IF(Q315&lt;TODAY(),"OVERDUE",IF(Q315=TODAY(),"TODAY",""))))</f>
        <v/>
      </c>
      <c r="S315" s="12"/>
      <c r="T315" s="12"/>
      <c r="U315" s="13"/>
    </row>
    <row r="316" customFormat="false" ht="15" hidden="false" customHeight="false" outlineLevel="0" collapsed="false">
      <c r="A316" s="12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4" t="str">
        <f aca="false">IF(K316="","",IFERROR(INDEX(Lists!$G$2:$G$5,MATCH(K316,Lists!$F$2:$F$5,0)),""))</f>
        <v/>
      </c>
      <c r="M316" s="13"/>
      <c r="N316" s="13"/>
      <c r="O316" s="13"/>
      <c r="P316" s="13"/>
      <c r="Q316" s="12"/>
      <c r="R316" s="15" t="str">
        <f aca="true">IF(OR(C316="",Q316=""),"",IF(OR(J316="Won",J316="Lost"),"",IF(Q316&lt;TODAY(),"OVERDUE",IF(Q316=TODAY(),"TODAY",""))))</f>
        <v/>
      </c>
      <c r="S316" s="12"/>
      <c r="T316" s="12"/>
      <c r="U316" s="13"/>
    </row>
    <row r="317" customFormat="false" ht="15" hidden="false" customHeight="false" outlineLevel="0" collapsed="false">
      <c r="A317" s="12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4" t="str">
        <f aca="false">IF(K317="","",IFERROR(INDEX(Lists!$G$2:$G$5,MATCH(K317,Lists!$F$2:$F$5,0)),""))</f>
        <v/>
      </c>
      <c r="M317" s="13"/>
      <c r="N317" s="13"/>
      <c r="O317" s="13"/>
      <c r="P317" s="13"/>
      <c r="Q317" s="12"/>
      <c r="R317" s="15" t="str">
        <f aca="true">IF(OR(C317="",Q317=""),"",IF(OR(J317="Won",J317="Lost"),"",IF(Q317&lt;TODAY(),"OVERDUE",IF(Q317=TODAY(),"TODAY",""))))</f>
        <v/>
      </c>
      <c r="S317" s="12"/>
      <c r="T317" s="12"/>
      <c r="U317" s="13"/>
    </row>
    <row r="318" customFormat="false" ht="15" hidden="false" customHeight="false" outlineLevel="0" collapsed="false">
      <c r="A318" s="12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4" t="str">
        <f aca="false">IF(K318="","",IFERROR(INDEX(Lists!$G$2:$G$5,MATCH(K318,Lists!$F$2:$F$5,0)),""))</f>
        <v/>
      </c>
      <c r="M318" s="13"/>
      <c r="N318" s="13"/>
      <c r="O318" s="13"/>
      <c r="P318" s="13"/>
      <c r="Q318" s="12"/>
      <c r="R318" s="15" t="str">
        <f aca="true">IF(OR(C318="",Q318=""),"",IF(OR(J318="Won",J318="Lost"),"",IF(Q318&lt;TODAY(),"OVERDUE",IF(Q318=TODAY(),"TODAY",""))))</f>
        <v/>
      </c>
      <c r="S318" s="12"/>
      <c r="T318" s="12"/>
      <c r="U318" s="13"/>
    </row>
    <row r="319" customFormat="false" ht="15" hidden="false" customHeight="false" outlineLevel="0" collapsed="false">
      <c r="A319" s="12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4" t="str">
        <f aca="false">IF(K319="","",IFERROR(INDEX(Lists!$G$2:$G$5,MATCH(K319,Lists!$F$2:$F$5,0)),""))</f>
        <v/>
      </c>
      <c r="M319" s="13"/>
      <c r="N319" s="13"/>
      <c r="O319" s="13"/>
      <c r="P319" s="13"/>
      <c r="Q319" s="12"/>
      <c r="R319" s="15" t="str">
        <f aca="true">IF(OR(C319="",Q319=""),"",IF(OR(J319="Won",J319="Lost"),"",IF(Q319&lt;TODAY(),"OVERDUE",IF(Q319=TODAY(),"TODAY",""))))</f>
        <v/>
      </c>
      <c r="S319" s="12"/>
      <c r="T319" s="12"/>
      <c r="U319" s="13"/>
    </row>
    <row r="320" customFormat="false" ht="15" hidden="false" customHeight="false" outlineLevel="0" collapsed="false">
      <c r="A320" s="12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4" t="str">
        <f aca="false">IF(K320="","",IFERROR(INDEX(Lists!$G$2:$G$5,MATCH(K320,Lists!$F$2:$F$5,0)),""))</f>
        <v/>
      </c>
      <c r="M320" s="13"/>
      <c r="N320" s="13"/>
      <c r="O320" s="13"/>
      <c r="P320" s="13"/>
      <c r="Q320" s="12"/>
      <c r="R320" s="15" t="str">
        <f aca="true">IF(OR(C320="",Q320=""),"",IF(OR(J320="Won",J320="Lost"),"",IF(Q320&lt;TODAY(),"OVERDUE",IF(Q320=TODAY(),"TODAY",""))))</f>
        <v/>
      </c>
      <c r="S320" s="12"/>
      <c r="T320" s="12"/>
      <c r="U320" s="13"/>
    </row>
    <row r="321" customFormat="false" ht="15" hidden="false" customHeight="false" outlineLevel="0" collapsed="false">
      <c r="A321" s="12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4" t="str">
        <f aca="false">IF(K321="","",IFERROR(INDEX(Lists!$G$2:$G$5,MATCH(K321,Lists!$F$2:$F$5,0)),""))</f>
        <v/>
      </c>
      <c r="M321" s="13"/>
      <c r="N321" s="13"/>
      <c r="O321" s="13"/>
      <c r="P321" s="13"/>
      <c r="Q321" s="12"/>
      <c r="R321" s="15" t="str">
        <f aca="true">IF(OR(C321="",Q321=""),"",IF(OR(J321="Won",J321="Lost"),"",IF(Q321&lt;TODAY(),"OVERDUE",IF(Q321=TODAY(),"TODAY",""))))</f>
        <v/>
      </c>
      <c r="S321" s="12"/>
      <c r="T321" s="12"/>
      <c r="U321" s="13"/>
    </row>
    <row r="322" customFormat="false" ht="15" hidden="false" customHeight="false" outlineLevel="0" collapsed="false">
      <c r="A322" s="12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4" t="str">
        <f aca="false">IF(K322="","",IFERROR(INDEX(Lists!$G$2:$G$5,MATCH(K322,Lists!$F$2:$F$5,0)),""))</f>
        <v/>
      </c>
      <c r="M322" s="13"/>
      <c r="N322" s="13"/>
      <c r="O322" s="13"/>
      <c r="P322" s="13"/>
      <c r="Q322" s="12"/>
      <c r="R322" s="15" t="str">
        <f aca="true">IF(OR(C322="",Q322=""),"",IF(OR(J322="Won",J322="Lost"),"",IF(Q322&lt;TODAY(),"OVERDUE",IF(Q322=TODAY(),"TODAY",""))))</f>
        <v/>
      </c>
      <c r="S322" s="12"/>
      <c r="T322" s="12"/>
      <c r="U322" s="13"/>
    </row>
    <row r="323" customFormat="false" ht="15" hidden="false" customHeight="false" outlineLevel="0" collapsed="false">
      <c r="A323" s="12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4" t="str">
        <f aca="false">IF(K323="","",IFERROR(INDEX(Lists!$G$2:$G$5,MATCH(K323,Lists!$F$2:$F$5,0)),""))</f>
        <v/>
      </c>
      <c r="M323" s="13"/>
      <c r="N323" s="13"/>
      <c r="O323" s="13"/>
      <c r="P323" s="13"/>
      <c r="Q323" s="12"/>
      <c r="R323" s="15" t="str">
        <f aca="true">IF(OR(C323="",Q323=""),"",IF(OR(J323="Won",J323="Lost"),"",IF(Q323&lt;TODAY(),"OVERDUE",IF(Q323=TODAY(),"TODAY",""))))</f>
        <v/>
      </c>
      <c r="S323" s="12"/>
      <c r="T323" s="12"/>
      <c r="U323" s="13"/>
    </row>
    <row r="324" customFormat="false" ht="15" hidden="false" customHeight="false" outlineLevel="0" collapsed="false">
      <c r="A324" s="12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4" t="str">
        <f aca="false">IF(K324="","",IFERROR(INDEX(Lists!$G$2:$G$5,MATCH(K324,Lists!$F$2:$F$5,0)),""))</f>
        <v/>
      </c>
      <c r="M324" s="13"/>
      <c r="N324" s="13"/>
      <c r="O324" s="13"/>
      <c r="P324" s="13"/>
      <c r="Q324" s="12"/>
      <c r="R324" s="15" t="str">
        <f aca="true">IF(OR(C324="",Q324=""),"",IF(OR(J324="Won",J324="Lost"),"",IF(Q324&lt;TODAY(),"OVERDUE",IF(Q324=TODAY(),"TODAY",""))))</f>
        <v/>
      </c>
      <c r="S324" s="12"/>
      <c r="T324" s="12"/>
      <c r="U324" s="13"/>
    </row>
    <row r="325" customFormat="false" ht="15" hidden="false" customHeight="false" outlineLevel="0" collapsed="false">
      <c r="A325" s="12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4" t="str">
        <f aca="false">IF(K325="","",IFERROR(INDEX(Lists!$G$2:$G$5,MATCH(K325,Lists!$F$2:$F$5,0)),""))</f>
        <v/>
      </c>
      <c r="M325" s="13"/>
      <c r="N325" s="13"/>
      <c r="O325" s="13"/>
      <c r="P325" s="13"/>
      <c r="Q325" s="12"/>
      <c r="R325" s="15" t="str">
        <f aca="true">IF(OR(C325="",Q325=""),"",IF(OR(J325="Won",J325="Lost"),"",IF(Q325&lt;TODAY(),"OVERDUE",IF(Q325=TODAY(),"TODAY",""))))</f>
        <v/>
      </c>
      <c r="S325" s="12"/>
      <c r="T325" s="12"/>
      <c r="U325" s="13"/>
    </row>
    <row r="326" customFormat="false" ht="15" hidden="false" customHeight="false" outlineLevel="0" collapsed="false">
      <c r="A326" s="12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4" t="str">
        <f aca="false">IF(K326="","",IFERROR(INDEX(Lists!$G$2:$G$5,MATCH(K326,Lists!$F$2:$F$5,0)),""))</f>
        <v/>
      </c>
      <c r="M326" s="13"/>
      <c r="N326" s="13"/>
      <c r="O326" s="13"/>
      <c r="P326" s="13"/>
      <c r="Q326" s="12"/>
      <c r="R326" s="15" t="str">
        <f aca="true">IF(OR(C326="",Q326=""),"",IF(OR(J326="Won",J326="Lost"),"",IF(Q326&lt;TODAY(),"OVERDUE",IF(Q326=TODAY(),"TODAY",""))))</f>
        <v/>
      </c>
      <c r="S326" s="12"/>
      <c r="T326" s="12"/>
      <c r="U326" s="13"/>
    </row>
    <row r="327" customFormat="false" ht="15" hidden="false" customHeight="false" outlineLevel="0" collapsed="false">
      <c r="A327" s="12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4" t="str">
        <f aca="false">IF(K327="","",IFERROR(INDEX(Lists!$G$2:$G$5,MATCH(K327,Lists!$F$2:$F$5,0)),""))</f>
        <v/>
      </c>
      <c r="M327" s="13"/>
      <c r="N327" s="13"/>
      <c r="O327" s="13"/>
      <c r="P327" s="13"/>
      <c r="Q327" s="12"/>
      <c r="R327" s="15" t="str">
        <f aca="true">IF(OR(C327="",Q327=""),"",IF(OR(J327="Won",J327="Lost"),"",IF(Q327&lt;TODAY(),"OVERDUE",IF(Q327=TODAY(),"TODAY",""))))</f>
        <v/>
      </c>
      <c r="S327" s="12"/>
      <c r="T327" s="12"/>
      <c r="U327" s="13"/>
    </row>
    <row r="328" customFormat="false" ht="15" hidden="false" customHeight="false" outlineLevel="0" collapsed="false">
      <c r="A328" s="12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4" t="str">
        <f aca="false">IF(K328="","",IFERROR(INDEX(Lists!$G$2:$G$5,MATCH(K328,Lists!$F$2:$F$5,0)),""))</f>
        <v/>
      </c>
      <c r="M328" s="13"/>
      <c r="N328" s="13"/>
      <c r="O328" s="13"/>
      <c r="P328" s="13"/>
      <c r="Q328" s="12"/>
      <c r="R328" s="15" t="str">
        <f aca="true">IF(OR(C328="",Q328=""),"",IF(OR(J328="Won",J328="Lost"),"",IF(Q328&lt;TODAY(),"OVERDUE",IF(Q328=TODAY(),"TODAY",""))))</f>
        <v/>
      </c>
      <c r="S328" s="12"/>
      <c r="T328" s="12"/>
      <c r="U328" s="13"/>
    </row>
    <row r="329" customFormat="false" ht="15" hidden="false" customHeight="false" outlineLevel="0" collapsed="false">
      <c r="A329" s="12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4" t="str">
        <f aca="false">IF(K329="","",IFERROR(INDEX(Lists!$G$2:$G$5,MATCH(K329,Lists!$F$2:$F$5,0)),""))</f>
        <v/>
      </c>
      <c r="M329" s="13"/>
      <c r="N329" s="13"/>
      <c r="O329" s="13"/>
      <c r="P329" s="13"/>
      <c r="Q329" s="12"/>
      <c r="R329" s="15" t="str">
        <f aca="true">IF(OR(C329="",Q329=""),"",IF(OR(J329="Won",J329="Lost"),"",IF(Q329&lt;TODAY(),"OVERDUE",IF(Q329=TODAY(),"TODAY",""))))</f>
        <v/>
      </c>
      <c r="S329" s="12"/>
      <c r="T329" s="12"/>
      <c r="U329" s="13"/>
    </row>
    <row r="330" customFormat="false" ht="15" hidden="false" customHeight="false" outlineLevel="0" collapsed="false">
      <c r="A330" s="12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4" t="str">
        <f aca="false">IF(K330="","",IFERROR(INDEX(Lists!$G$2:$G$5,MATCH(K330,Lists!$F$2:$F$5,0)),""))</f>
        <v/>
      </c>
      <c r="M330" s="13"/>
      <c r="N330" s="13"/>
      <c r="O330" s="13"/>
      <c r="P330" s="13"/>
      <c r="Q330" s="12"/>
      <c r="R330" s="15" t="str">
        <f aca="true">IF(OR(C330="",Q330=""),"",IF(OR(J330="Won",J330="Lost"),"",IF(Q330&lt;TODAY(),"OVERDUE",IF(Q330=TODAY(),"TODAY",""))))</f>
        <v/>
      </c>
      <c r="S330" s="12"/>
      <c r="T330" s="12"/>
      <c r="U330" s="13"/>
    </row>
    <row r="331" customFormat="false" ht="15" hidden="false" customHeight="false" outlineLevel="0" collapsed="false">
      <c r="A331" s="12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4" t="str">
        <f aca="false">IF(K331="","",IFERROR(INDEX(Lists!$G$2:$G$5,MATCH(K331,Lists!$F$2:$F$5,0)),""))</f>
        <v/>
      </c>
      <c r="M331" s="13"/>
      <c r="N331" s="13"/>
      <c r="O331" s="13"/>
      <c r="P331" s="13"/>
      <c r="Q331" s="12"/>
      <c r="R331" s="15" t="str">
        <f aca="true">IF(OR(C331="",Q331=""),"",IF(OR(J331="Won",J331="Lost"),"",IF(Q331&lt;TODAY(),"OVERDUE",IF(Q331=TODAY(),"TODAY",""))))</f>
        <v/>
      </c>
      <c r="S331" s="12"/>
      <c r="T331" s="12"/>
      <c r="U331" s="13"/>
    </row>
    <row r="332" customFormat="false" ht="15" hidden="false" customHeight="false" outlineLevel="0" collapsed="false">
      <c r="A332" s="12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4" t="str">
        <f aca="false">IF(K332="","",IFERROR(INDEX(Lists!$G$2:$G$5,MATCH(K332,Lists!$F$2:$F$5,0)),""))</f>
        <v/>
      </c>
      <c r="M332" s="13"/>
      <c r="N332" s="13"/>
      <c r="O332" s="13"/>
      <c r="P332" s="13"/>
      <c r="Q332" s="12"/>
      <c r="R332" s="15" t="str">
        <f aca="true">IF(OR(C332="",Q332=""),"",IF(OR(J332="Won",J332="Lost"),"",IF(Q332&lt;TODAY(),"OVERDUE",IF(Q332=TODAY(),"TODAY",""))))</f>
        <v/>
      </c>
      <c r="S332" s="12"/>
      <c r="T332" s="12"/>
      <c r="U332" s="13"/>
    </row>
    <row r="333" customFormat="false" ht="15" hidden="false" customHeight="false" outlineLevel="0" collapsed="false">
      <c r="A333" s="12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4" t="str">
        <f aca="false">IF(K333="","",IFERROR(INDEX(Lists!$G$2:$G$5,MATCH(K333,Lists!$F$2:$F$5,0)),""))</f>
        <v/>
      </c>
      <c r="M333" s="13"/>
      <c r="N333" s="13"/>
      <c r="O333" s="13"/>
      <c r="P333" s="13"/>
      <c r="Q333" s="12"/>
      <c r="R333" s="15" t="str">
        <f aca="true">IF(OR(C333="",Q333=""),"",IF(OR(J333="Won",J333="Lost"),"",IF(Q333&lt;TODAY(),"OVERDUE",IF(Q333=TODAY(),"TODAY",""))))</f>
        <v/>
      </c>
      <c r="S333" s="12"/>
      <c r="T333" s="12"/>
      <c r="U333" s="13"/>
    </row>
    <row r="334" customFormat="false" ht="15" hidden="false" customHeight="false" outlineLevel="0" collapsed="false">
      <c r="A334" s="12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4" t="str">
        <f aca="false">IF(K334="","",IFERROR(INDEX(Lists!$G$2:$G$5,MATCH(K334,Lists!$F$2:$F$5,0)),""))</f>
        <v/>
      </c>
      <c r="M334" s="13"/>
      <c r="N334" s="13"/>
      <c r="O334" s="13"/>
      <c r="P334" s="13"/>
      <c r="Q334" s="12"/>
      <c r="R334" s="15" t="str">
        <f aca="true">IF(OR(C334="",Q334=""),"",IF(OR(J334="Won",J334="Lost"),"",IF(Q334&lt;TODAY(),"OVERDUE",IF(Q334=TODAY(),"TODAY",""))))</f>
        <v/>
      </c>
      <c r="S334" s="12"/>
      <c r="T334" s="12"/>
      <c r="U334" s="13"/>
    </row>
    <row r="335" customFormat="false" ht="15" hidden="false" customHeight="false" outlineLevel="0" collapsed="false">
      <c r="A335" s="12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4" t="str">
        <f aca="false">IF(K335="","",IFERROR(INDEX(Lists!$G$2:$G$5,MATCH(K335,Lists!$F$2:$F$5,0)),""))</f>
        <v/>
      </c>
      <c r="M335" s="13"/>
      <c r="N335" s="13"/>
      <c r="O335" s="13"/>
      <c r="P335" s="13"/>
      <c r="Q335" s="12"/>
      <c r="R335" s="15" t="str">
        <f aca="true">IF(OR(C335="",Q335=""),"",IF(OR(J335="Won",J335="Lost"),"",IF(Q335&lt;TODAY(),"OVERDUE",IF(Q335=TODAY(),"TODAY",""))))</f>
        <v/>
      </c>
      <c r="S335" s="12"/>
      <c r="T335" s="12"/>
      <c r="U335" s="13"/>
    </row>
    <row r="336" customFormat="false" ht="15" hidden="false" customHeight="false" outlineLevel="0" collapsed="false">
      <c r="A336" s="12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4" t="str">
        <f aca="false">IF(K336="","",IFERROR(INDEX(Lists!$G$2:$G$5,MATCH(K336,Lists!$F$2:$F$5,0)),""))</f>
        <v/>
      </c>
      <c r="M336" s="13"/>
      <c r="N336" s="13"/>
      <c r="O336" s="13"/>
      <c r="P336" s="13"/>
      <c r="Q336" s="12"/>
      <c r="R336" s="15" t="str">
        <f aca="true">IF(OR(C336="",Q336=""),"",IF(OR(J336="Won",J336="Lost"),"",IF(Q336&lt;TODAY(),"OVERDUE",IF(Q336=TODAY(),"TODAY",""))))</f>
        <v/>
      </c>
      <c r="S336" s="12"/>
      <c r="T336" s="12"/>
      <c r="U336" s="13"/>
    </row>
    <row r="337" customFormat="false" ht="15" hidden="false" customHeight="false" outlineLevel="0" collapsed="false">
      <c r="A337" s="12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4" t="str">
        <f aca="false">IF(K337="","",IFERROR(INDEX(Lists!$G$2:$G$5,MATCH(K337,Lists!$F$2:$F$5,0)),""))</f>
        <v/>
      </c>
      <c r="M337" s="13"/>
      <c r="N337" s="13"/>
      <c r="O337" s="13"/>
      <c r="P337" s="13"/>
      <c r="Q337" s="12"/>
      <c r="R337" s="15" t="str">
        <f aca="true">IF(OR(C337="",Q337=""),"",IF(OR(J337="Won",J337="Lost"),"",IF(Q337&lt;TODAY(),"OVERDUE",IF(Q337=TODAY(),"TODAY",""))))</f>
        <v/>
      </c>
      <c r="S337" s="12"/>
      <c r="T337" s="12"/>
      <c r="U337" s="13"/>
    </row>
    <row r="338" customFormat="false" ht="15" hidden="false" customHeight="false" outlineLevel="0" collapsed="false">
      <c r="A338" s="12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4" t="str">
        <f aca="false">IF(K338="","",IFERROR(INDEX(Lists!$G$2:$G$5,MATCH(K338,Lists!$F$2:$F$5,0)),""))</f>
        <v/>
      </c>
      <c r="M338" s="13"/>
      <c r="N338" s="13"/>
      <c r="O338" s="13"/>
      <c r="P338" s="13"/>
      <c r="Q338" s="12"/>
      <c r="R338" s="15" t="str">
        <f aca="true">IF(OR(C338="",Q338=""),"",IF(OR(J338="Won",J338="Lost"),"",IF(Q338&lt;TODAY(),"OVERDUE",IF(Q338=TODAY(),"TODAY",""))))</f>
        <v/>
      </c>
      <c r="S338" s="12"/>
      <c r="T338" s="12"/>
      <c r="U338" s="13"/>
    </row>
    <row r="339" customFormat="false" ht="15" hidden="false" customHeight="false" outlineLevel="0" collapsed="false">
      <c r="A339" s="12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4" t="str">
        <f aca="false">IF(K339="","",IFERROR(INDEX(Lists!$G$2:$G$5,MATCH(K339,Lists!$F$2:$F$5,0)),""))</f>
        <v/>
      </c>
      <c r="M339" s="13"/>
      <c r="N339" s="13"/>
      <c r="O339" s="13"/>
      <c r="P339" s="13"/>
      <c r="Q339" s="12"/>
      <c r="R339" s="15" t="str">
        <f aca="true">IF(OR(C339="",Q339=""),"",IF(OR(J339="Won",J339="Lost"),"",IF(Q339&lt;TODAY(),"OVERDUE",IF(Q339=TODAY(),"TODAY",""))))</f>
        <v/>
      </c>
      <c r="S339" s="12"/>
      <c r="T339" s="12"/>
      <c r="U339" s="13"/>
    </row>
    <row r="340" customFormat="false" ht="15" hidden="false" customHeight="false" outlineLevel="0" collapsed="false">
      <c r="A340" s="12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4" t="str">
        <f aca="false">IF(K340="","",IFERROR(INDEX(Lists!$G$2:$G$5,MATCH(K340,Lists!$F$2:$F$5,0)),""))</f>
        <v/>
      </c>
      <c r="M340" s="13"/>
      <c r="N340" s="13"/>
      <c r="O340" s="13"/>
      <c r="P340" s="13"/>
      <c r="Q340" s="12"/>
      <c r="R340" s="15" t="str">
        <f aca="true">IF(OR(C340="",Q340=""),"",IF(OR(J340="Won",J340="Lost"),"",IF(Q340&lt;TODAY(),"OVERDUE",IF(Q340=TODAY(),"TODAY",""))))</f>
        <v/>
      </c>
      <c r="S340" s="12"/>
      <c r="T340" s="12"/>
      <c r="U340" s="13"/>
    </row>
    <row r="341" customFormat="false" ht="15" hidden="false" customHeight="false" outlineLevel="0" collapsed="false">
      <c r="A341" s="12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4" t="str">
        <f aca="false">IF(K341="","",IFERROR(INDEX(Lists!$G$2:$G$5,MATCH(K341,Lists!$F$2:$F$5,0)),""))</f>
        <v/>
      </c>
      <c r="M341" s="13"/>
      <c r="N341" s="13"/>
      <c r="O341" s="13"/>
      <c r="P341" s="13"/>
      <c r="Q341" s="12"/>
      <c r="R341" s="15" t="str">
        <f aca="true">IF(OR(C341="",Q341=""),"",IF(OR(J341="Won",J341="Lost"),"",IF(Q341&lt;TODAY(),"OVERDUE",IF(Q341=TODAY(),"TODAY",""))))</f>
        <v/>
      </c>
      <c r="S341" s="12"/>
      <c r="T341" s="12"/>
      <c r="U341" s="13"/>
    </row>
    <row r="342" customFormat="false" ht="15" hidden="false" customHeight="false" outlineLevel="0" collapsed="false">
      <c r="A342" s="12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4" t="str">
        <f aca="false">IF(K342="","",IFERROR(INDEX(Lists!$G$2:$G$5,MATCH(K342,Lists!$F$2:$F$5,0)),""))</f>
        <v/>
      </c>
      <c r="M342" s="13"/>
      <c r="N342" s="13"/>
      <c r="O342" s="13"/>
      <c r="P342" s="13"/>
      <c r="Q342" s="12"/>
      <c r="R342" s="15" t="str">
        <f aca="true">IF(OR(C342="",Q342=""),"",IF(OR(J342="Won",J342="Lost"),"",IF(Q342&lt;TODAY(),"OVERDUE",IF(Q342=TODAY(),"TODAY",""))))</f>
        <v/>
      </c>
      <c r="S342" s="12"/>
      <c r="T342" s="12"/>
      <c r="U342" s="13"/>
    </row>
    <row r="343" customFormat="false" ht="15" hidden="false" customHeight="false" outlineLevel="0" collapsed="false">
      <c r="A343" s="12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4" t="str">
        <f aca="false">IF(K343="","",IFERROR(INDEX(Lists!$G$2:$G$5,MATCH(K343,Lists!$F$2:$F$5,0)),""))</f>
        <v/>
      </c>
      <c r="M343" s="13"/>
      <c r="N343" s="13"/>
      <c r="O343" s="13"/>
      <c r="P343" s="13"/>
      <c r="Q343" s="12"/>
      <c r="R343" s="15" t="str">
        <f aca="true">IF(OR(C343="",Q343=""),"",IF(OR(J343="Won",J343="Lost"),"",IF(Q343&lt;TODAY(),"OVERDUE",IF(Q343=TODAY(),"TODAY",""))))</f>
        <v/>
      </c>
      <c r="S343" s="12"/>
      <c r="T343" s="12"/>
      <c r="U343" s="13"/>
    </row>
    <row r="344" customFormat="false" ht="15" hidden="false" customHeight="false" outlineLevel="0" collapsed="false">
      <c r="A344" s="12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4" t="str">
        <f aca="false">IF(K344="","",IFERROR(INDEX(Lists!$G$2:$G$5,MATCH(K344,Lists!$F$2:$F$5,0)),""))</f>
        <v/>
      </c>
      <c r="M344" s="13"/>
      <c r="N344" s="13"/>
      <c r="O344" s="13"/>
      <c r="P344" s="13"/>
      <c r="Q344" s="12"/>
      <c r="R344" s="15" t="str">
        <f aca="true">IF(OR(C344="",Q344=""),"",IF(OR(J344="Won",J344="Lost"),"",IF(Q344&lt;TODAY(),"OVERDUE",IF(Q344=TODAY(),"TODAY",""))))</f>
        <v/>
      </c>
      <c r="S344" s="12"/>
      <c r="T344" s="12"/>
      <c r="U344" s="13"/>
    </row>
    <row r="345" customFormat="false" ht="15" hidden="false" customHeight="false" outlineLevel="0" collapsed="false">
      <c r="A345" s="12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4" t="str">
        <f aca="false">IF(K345="","",IFERROR(INDEX(Lists!$G$2:$G$5,MATCH(K345,Lists!$F$2:$F$5,0)),""))</f>
        <v/>
      </c>
      <c r="M345" s="13"/>
      <c r="N345" s="13"/>
      <c r="O345" s="13"/>
      <c r="P345" s="13"/>
      <c r="Q345" s="12"/>
      <c r="R345" s="15" t="str">
        <f aca="true">IF(OR(C345="",Q345=""),"",IF(OR(J345="Won",J345="Lost"),"",IF(Q345&lt;TODAY(),"OVERDUE",IF(Q345=TODAY(),"TODAY",""))))</f>
        <v/>
      </c>
      <c r="S345" s="12"/>
      <c r="T345" s="12"/>
      <c r="U345" s="13"/>
    </row>
    <row r="346" customFormat="false" ht="15" hidden="false" customHeight="false" outlineLevel="0" collapsed="false">
      <c r="A346" s="12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4" t="str">
        <f aca="false">IF(K346="","",IFERROR(INDEX(Lists!$G$2:$G$5,MATCH(K346,Lists!$F$2:$F$5,0)),""))</f>
        <v/>
      </c>
      <c r="M346" s="13"/>
      <c r="N346" s="13"/>
      <c r="O346" s="13"/>
      <c r="P346" s="13"/>
      <c r="Q346" s="12"/>
      <c r="R346" s="15" t="str">
        <f aca="true">IF(OR(C346="",Q346=""),"",IF(OR(J346="Won",J346="Lost"),"",IF(Q346&lt;TODAY(),"OVERDUE",IF(Q346=TODAY(),"TODAY",""))))</f>
        <v/>
      </c>
      <c r="S346" s="12"/>
      <c r="T346" s="12"/>
      <c r="U346" s="13"/>
    </row>
    <row r="347" customFormat="false" ht="15" hidden="false" customHeight="false" outlineLevel="0" collapsed="false">
      <c r="A347" s="12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4" t="str">
        <f aca="false">IF(K347="","",IFERROR(INDEX(Lists!$G$2:$G$5,MATCH(K347,Lists!$F$2:$F$5,0)),""))</f>
        <v/>
      </c>
      <c r="M347" s="13"/>
      <c r="N347" s="13"/>
      <c r="O347" s="13"/>
      <c r="P347" s="13"/>
      <c r="Q347" s="12"/>
      <c r="R347" s="15" t="str">
        <f aca="true">IF(OR(C347="",Q347=""),"",IF(OR(J347="Won",J347="Lost"),"",IF(Q347&lt;TODAY(),"OVERDUE",IF(Q347=TODAY(),"TODAY",""))))</f>
        <v/>
      </c>
      <c r="S347" s="12"/>
      <c r="T347" s="12"/>
      <c r="U347" s="13"/>
    </row>
    <row r="348" customFormat="false" ht="15" hidden="false" customHeight="false" outlineLevel="0" collapsed="false">
      <c r="A348" s="12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4" t="str">
        <f aca="false">IF(K348="","",IFERROR(INDEX(Lists!$G$2:$G$5,MATCH(K348,Lists!$F$2:$F$5,0)),""))</f>
        <v/>
      </c>
      <c r="M348" s="13"/>
      <c r="N348" s="13"/>
      <c r="O348" s="13"/>
      <c r="P348" s="13"/>
      <c r="Q348" s="12"/>
      <c r="R348" s="15" t="str">
        <f aca="true">IF(OR(C348="",Q348=""),"",IF(OR(J348="Won",J348="Lost"),"",IF(Q348&lt;TODAY(),"OVERDUE",IF(Q348=TODAY(),"TODAY",""))))</f>
        <v/>
      </c>
      <c r="S348" s="12"/>
      <c r="T348" s="12"/>
      <c r="U348" s="13"/>
    </row>
    <row r="349" customFormat="false" ht="15" hidden="false" customHeight="false" outlineLevel="0" collapsed="false">
      <c r="A349" s="12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4" t="str">
        <f aca="false">IF(K349="","",IFERROR(INDEX(Lists!$G$2:$G$5,MATCH(K349,Lists!$F$2:$F$5,0)),""))</f>
        <v/>
      </c>
      <c r="M349" s="13"/>
      <c r="N349" s="13"/>
      <c r="O349" s="13"/>
      <c r="P349" s="13"/>
      <c r="Q349" s="12"/>
      <c r="R349" s="15" t="str">
        <f aca="true">IF(OR(C349="",Q349=""),"",IF(OR(J349="Won",J349="Lost"),"",IF(Q349&lt;TODAY(),"OVERDUE",IF(Q349=TODAY(),"TODAY",""))))</f>
        <v/>
      </c>
      <c r="S349" s="12"/>
      <c r="T349" s="12"/>
      <c r="U349" s="13"/>
    </row>
    <row r="350" customFormat="false" ht="15" hidden="false" customHeight="false" outlineLevel="0" collapsed="false">
      <c r="A350" s="12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4" t="str">
        <f aca="false">IF(K350="","",IFERROR(INDEX(Lists!$G$2:$G$5,MATCH(K350,Lists!$F$2:$F$5,0)),""))</f>
        <v/>
      </c>
      <c r="M350" s="13"/>
      <c r="N350" s="13"/>
      <c r="O350" s="13"/>
      <c r="P350" s="13"/>
      <c r="Q350" s="12"/>
      <c r="R350" s="15" t="str">
        <f aca="true">IF(OR(C350="",Q350=""),"",IF(OR(J350="Won",J350="Lost"),"",IF(Q350&lt;TODAY(),"OVERDUE",IF(Q350=TODAY(),"TODAY",""))))</f>
        <v/>
      </c>
      <c r="S350" s="12"/>
      <c r="T350" s="12"/>
      <c r="U350" s="13"/>
    </row>
    <row r="351" customFormat="false" ht="15" hidden="false" customHeight="false" outlineLevel="0" collapsed="false">
      <c r="A351" s="12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4" t="str">
        <f aca="false">IF(K351="","",IFERROR(INDEX(Lists!$G$2:$G$5,MATCH(K351,Lists!$F$2:$F$5,0)),""))</f>
        <v/>
      </c>
      <c r="M351" s="13"/>
      <c r="N351" s="13"/>
      <c r="O351" s="13"/>
      <c r="P351" s="13"/>
      <c r="Q351" s="12"/>
      <c r="R351" s="15" t="str">
        <f aca="true">IF(OR(C351="",Q351=""),"",IF(OR(J351="Won",J351="Lost"),"",IF(Q351&lt;TODAY(),"OVERDUE",IF(Q351=TODAY(),"TODAY",""))))</f>
        <v/>
      </c>
      <c r="S351" s="12"/>
      <c r="T351" s="12"/>
      <c r="U351" s="13"/>
    </row>
    <row r="352" customFormat="false" ht="15" hidden="false" customHeight="false" outlineLevel="0" collapsed="false">
      <c r="A352" s="12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4" t="str">
        <f aca="false">IF(K352="","",IFERROR(INDEX(Lists!$G$2:$G$5,MATCH(K352,Lists!$F$2:$F$5,0)),""))</f>
        <v/>
      </c>
      <c r="M352" s="13"/>
      <c r="N352" s="13"/>
      <c r="O352" s="13"/>
      <c r="P352" s="13"/>
      <c r="Q352" s="12"/>
      <c r="R352" s="15" t="str">
        <f aca="true">IF(OR(C352="",Q352=""),"",IF(OR(J352="Won",J352="Lost"),"",IF(Q352&lt;TODAY(),"OVERDUE",IF(Q352=TODAY(),"TODAY",""))))</f>
        <v/>
      </c>
      <c r="S352" s="12"/>
      <c r="T352" s="12"/>
      <c r="U352" s="13"/>
    </row>
    <row r="353" customFormat="false" ht="15" hidden="false" customHeight="false" outlineLevel="0" collapsed="false">
      <c r="A353" s="12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4" t="str">
        <f aca="false">IF(K353="","",IFERROR(INDEX(Lists!$G$2:$G$5,MATCH(K353,Lists!$F$2:$F$5,0)),""))</f>
        <v/>
      </c>
      <c r="M353" s="13"/>
      <c r="N353" s="13"/>
      <c r="O353" s="13"/>
      <c r="P353" s="13"/>
      <c r="Q353" s="12"/>
      <c r="R353" s="15" t="str">
        <f aca="true">IF(OR(C353="",Q353=""),"",IF(OR(J353="Won",J353="Lost"),"",IF(Q353&lt;TODAY(),"OVERDUE",IF(Q353=TODAY(),"TODAY",""))))</f>
        <v/>
      </c>
      <c r="S353" s="12"/>
      <c r="T353" s="12"/>
      <c r="U353" s="13"/>
    </row>
    <row r="354" customFormat="false" ht="15" hidden="false" customHeight="false" outlineLevel="0" collapsed="false">
      <c r="A354" s="12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4" t="str">
        <f aca="false">IF(K354="","",IFERROR(INDEX(Lists!$G$2:$G$5,MATCH(K354,Lists!$F$2:$F$5,0)),""))</f>
        <v/>
      </c>
      <c r="M354" s="13"/>
      <c r="N354" s="13"/>
      <c r="O354" s="13"/>
      <c r="P354" s="13"/>
      <c r="Q354" s="12"/>
      <c r="R354" s="15" t="str">
        <f aca="true">IF(OR(C354="",Q354=""),"",IF(OR(J354="Won",J354="Lost"),"",IF(Q354&lt;TODAY(),"OVERDUE",IF(Q354=TODAY(),"TODAY",""))))</f>
        <v/>
      </c>
      <c r="S354" s="12"/>
      <c r="T354" s="12"/>
      <c r="U354" s="13"/>
    </row>
    <row r="355" customFormat="false" ht="15" hidden="false" customHeight="false" outlineLevel="0" collapsed="false">
      <c r="A355" s="12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4" t="str">
        <f aca="false">IF(K355="","",IFERROR(INDEX(Lists!$G$2:$G$5,MATCH(K355,Lists!$F$2:$F$5,0)),""))</f>
        <v/>
      </c>
      <c r="M355" s="13"/>
      <c r="N355" s="13"/>
      <c r="O355" s="13"/>
      <c r="P355" s="13"/>
      <c r="Q355" s="12"/>
      <c r="R355" s="15" t="str">
        <f aca="true">IF(OR(C355="",Q355=""),"",IF(OR(J355="Won",J355="Lost"),"",IF(Q355&lt;TODAY(),"OVERDUE",IF(Q355=TODAY(),"TODAY",""))))</f>
        <v/>
      </c>
      <c r="S355" s="12"/>
      <c r="T355" s="12"/>
      <c r="U355" s="13"/>
    </row>
    <row r="356" customFormat="false" ht="15" hidden="false" customHeight="false" outlineLevel="0" collapsed="false">
      <c r="A356" s="12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4" t="str">
        <f aca="false">IF(K356="","",IFERROR(INDEX(Lists!$G$2:$G$5,MATCH(K356,Lists!$F$2:$F$5,0)),""))</f>
        <v/>
      </c>
      <c r="M356" s="13"/>
      <c r="N356" s="13"/>
      <c r="O356" s="13"/>
      <c r="P356" s="13"/>
      <c r="Q356" s="12"/>
      <c r="R356" s="15" t="str">
        <f aca="true">IF(OR(C356="",Q356=""),"",IF(OR(J356="Won",J356="Lost"),"",IF(Q356&lt;TODAY(),"OVERDUE",IF(Q356=TODAY(),"TODAY",""))))</f>
        <v/>
      </c>
      <c r="S356" s="12"/>
      <c r="T356" s="12"/>
      <c r="U356" s="13"/>
    </row>
    <row r="357" customFormat="false" ht="15" hidden="false" customHeight="false" outlineLevel="0" collapsed="false">
      <c r="A357" s="12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4" t="str">
        <f aca="false">IF(K357="","",IFERROR(INDEX(Lists!$G$2:$G$5,MATCH(K357,Lists!$F$2:$F$5,0)),""))</f>
        <v/>
      </c>
      <c r="M357" s="13"/>
      <c r="N357" s="13"/>
      <c r="O357" s="13"/>
      <c r="P357" s="13"/>
      <c r="Q357" s="12"/>
      <c r="R357" s="15" t="str">
        <f aca="true">IF(OR(C357="",Q357=""),"",IF(OR(J357="Won",J357="Lost"),"",IF(Q357&lt;TODAY(),"OVERDUE",IF(Q357=TODAY(),"TODAY",""))))</f>
        <v/>
      </c>
      <c r="S357" s="12"/>
      <c r="T357" s="12"/>
      <c r="U357" s="13"/>
    </row>
    <row r="358" customFormat="false" ht="15" hidden="false" customHeight="false" outlineLevel="0" collapsed="false">
      <c r="A358" s="12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4" t="str">
        <f aca="false">IF(K358="","",IFERROR(INDEX(Lists!$G$2:$G$5,MATCH(K358,Lists!$F$2:$F$5,0)),""))</f>
        <v/>
      </c>
      <c r="M358" s="13"/>
      <c r="N358" s="13"/>
      <c r="O358" s="13"/>
      <c r="P358" s="13"/>
      <c r="Q358" s="12"/>
      <c r="R358" s="15" t="str">
        <f aca="true">IF(OR(C358="",Q358=""),"",IF(OR(J358="Won",J358="Lost"),"",IF(Q358&lt;TODAY(),"OVERDUE",IF(Q358=TODAY(),"TODAY",""))))</f>
        <v/>
      </c>
      <c r="S358" s="12"/>
      <c r="T358" s="12"/>
      <c r="U358" s="13"/>
    </row>
    <row r="359" customFormat="false" ht="15" hidden="false" customHeight="false" outlineLevel="0" collapsed="false">
      <c r="A359" s="12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4" t="str">
        <f aca="false">IF(K359="","",IFERROR(INDEX(Lists!$G$2:$G$5,MATCH(K359,Lists!$F$2:$F$5,0)),""))</f>
        <v/>
      </c>
      <c r="M359" s="13"/>
      <c r="N359" s="13"/>
      <c r="O359" s="13"/>
      <c r="P359" s="13"/>
      <c r="Q359" s="12"/>
      <c r="R359" s="15" t="str">
        <f aca="true">IF(OR(C359="",Q359=""),"",IF(OR(J359="Won",J359="Lost"),"",IF(Q359&lt;TODAY(),"OVERDUE",IF(Q359=TODAY(),"TODAY",""))))</f>
        <v/>
      </c>
      <c r="S359" s="12"/>
      <c r="T359" s="12"/>
      <c r="U359" s="13"/>
    </row>
    <row r="360" customFormat="false" ht="15" hidden="false" customHeight="false" outlineLevel="0" collapsed="false">
      <c r="A360" s="12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4" t="str">
        <f aca="false">IF(K360="","",IFERROR(INDEX(Lists!$G$2:$G$5,MATCH(K360,Lists!$F$2:$F$5,0)),""))</f>
        <v/>
      </c>
      <c r="M360" s="13"/>
      <c r="N360" s="13"/>
      <c r="O360" s="13"/>
      <c r="P360" s="13"/>
      <c r="Q360" s="12"/>
      <c r="R360" s="15" t="str">
        <f aca="true">IF(OR(C360="",Q360=""),"",IF(OR(J360="Won",J360="Lost"),"",IF(Q360&lt;TODAY(),"OVERDUE",IF(Q360=TODAY(),"TODAY",""))))</f>
        <v/>
      </c>
      <c r="S360" s="12"/>
      <c r="T360" s="12"/>
      <c r="U360" s="13"/>
    </row>
    <row r="361" customFormat="false" ht="15" hidden="false" customHeight="false" outlineLevel="0" collapsed="false">
      <c r="A361" s="12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4" t="str">
        <f aca="false">IF(K361="","",IFERROR(INDEX(Lists!$G$2:$G$5,MATCH(K361,Lists!$F$2:$F$5,0)),""))</f>
        <v/>
      </c>
      <c r="M361" s="13"/>
      <c r="N361" s="13"/>
      <c r="O361" s="13"/>
      <c r="P361" s="13"/>
      <c r="Q361" s="12"/>
      <c r="R361" s="15" t="str">
        <f aca="true">IF(OR(C361="",Q361=""),"",IF(OR(J361="Won",J361="Lost"),"",IF(Q361&lt;TODAY(),"OVERDUE",IF(Q361=TODAY(),"TODAY",""))))</f>
        <v/>
      </c>
      <c r="S361" s="12"/>
      <c r="T361" s="12"/>
      <c r="U361" s="13"/>
    </row>
    <row r="362" customFormat="false" ht="15" hidden="false" customHeight="false" outlineLevel="0" collapsed="false">
      <c r="A362" s="12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4" t="str">
        <f aca="false">IF(K362="","",IFERROR(INDEX(Lists!$G$2:$G$5,MATCH(K362,Lists!$F$2:$F$5,0)),""))</f>
        <v/>
      </c>
      <c r="M362" s="13"/>
      <c r="N362" s="13"/>
      <c r="O362" s="13"/>
      <c r="P362" s="13"/>
      <c r="Q362" s="12"/>
      <c r="R362" s="15" t="str">
        <f aca="true">IF(OR(C362="",Q362=""),"",IF(OR(J362="Won",J362="Lost"),"",IF(Q362&lt;TODAY(),"OVERDUE",IF(Q362=TODAY(),"TODAY",""))))</f>
        <v/>
      </c>
      <c r="S362" s="12"/>
      <c r="T362" s="12"/>
      <c r="U362" s="13"/>
    </row>
    <row r="363" customFormat="false" ht="15" hidden="false" customHeight="false" outlineLevel="0" collapsed="false">
      <c r="A363" s="12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4" t="str">
        <f aca="false">IF(K363="","",IFERROR(INDEX(Lists!$G$2:$G$5,MATCH(K363,Lists!$F$2:$F$5,0)),""))</f>
        <v/>
      </c>
      <c r="M363" s="13"/>
      <c r="N363" s="13"/>
      <c r="O363" s="13"/>
      <c r="P363" s="13"/>
      <c r="Q363" s="12"/>
      <c r="R363" s="15" t="str">
        <f aca="true">IF(OR(C363="",Q363=""),"",IF(OR(J363="Won",J363="Lost"),"",IF(Q363&lt;TODAY(),"OVERDUE",IF(Q363=TODAY(),"TODAY",""))))</f>
        <v/>
      </c>
      <c r="S363" s="12"/>
      <c r="T363" s="12"/>
      <c r="U363" s="13"/>
    </row>
    <row r="364" customFormat="false" ht="15" hidden="false" customHeight="false" outlineLevel="0" collapsed="false">
      <c r="A364" s="12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4" t="str">
        <f aca="false">IF(K364="","",IFERROR(INDEX(Lists!$G$2:$G$5,MATCH(K364,Lists!$F$2:$F$5,0)),""))</f>
        <v/>
      </c>
      <c r="M364" s="13"/>
      <c r="N364" s="13"/>
      <c r="O364" s="13"/>
      <c r="P364" s="13"/>
      <c r="Q364" s="12"/>
      <c r="R364" s="15" t="str">
        <f aca="true">IF(OR(C364="",Q364=""),"",IF(OR(J364="Won",J364="Lost"),"",IF(Q364&lt;TODAY(),"OVERDUE",IF(Q364=TODAY(),"TODAY",""))))</f>
        <v/>
      </c>
      <c r="S364" s="12"/>
      <c r="T364" s="12"/>
      <c r="U364" s="13"/>
    </row>
    <row r="365" customFormat="false" ht="15" hidden="false" customHeight="false" outlineLevel="0" collapsed="false">
      <c r="A365" s="12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4" t="str">
        <f aca="false">IF(K365="","",IFERROR(INDEX(Lists!$G$2:$G$5,MATCH(K365,Lists!$F$2:$F$5,0)),""))</f>
        <v/>
      </c>
      <c r="M365" s="13"/>
      <c r="N365" s="13"/>
      <c r="O365" s="13"/>
      <c r="P365" s="13"/>
      <c r="Q365" s="12"/>
      <c r="R365" s="15" t="str">
        <f aca="true">IF(OR(C365="",Q365=""),"",IF(OR(J365="Won",J365="Lost"),"",IF(Q365&lt;TODAY(),"OVERDUE",IF(Q365=TODAY(),"TODAY",""))))</f>
        <v/>
      </c>
      <c r="S365" s="12"/>
      <c r="T365" s="12"/>
      <c r="U365" s="13"/>
    </row>
    <row r="366" customFormat="false" ht="15" hidden="false" customHeight="false" outlineLevel="0" collapsed="false">
      <c r="A366" s="12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4" t="str">
        <f aca="false">IF(K366="","",IFERROR(INDEX(Lists!$G$2:$G$5,MATCH(K366,Lists!$F$2:$F$5,0)),""))</f>
        <v/>
      </c>
      <c r="M366" s="13"/>
      <c r="N366" s="13"/>
      <c r="O366" s="13"/>
      <c r="P366" s="13"/>
      <c r="Q366" s="12"/>
      <c r="R366" s="15" t="str">
        <f aca="true">IF(OR(C366="",Q366=""),"",IF(OR(J366="Won",J366="Lost"),"",IF(Q366&lt;TODAY(),"OVERDUE",IF(Q366=TODAY(),"TODAY",""))))</f>
        <v/>
      </c>
      <c r="S366" s="12"/>
      <c r="T366" s="12"/>
      <c r="U366" s="13"/>
    </row>
    <row r="367" customFormat="false" ht="15" hidden="false" customHeight="false" outlineLevel="0" collapsed="false">
      <c r="A367" s="12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4" t="str">
        <f aca="false">IF(K367="","",IFERROR(INDEX(Lists!$G$2:$G$5,MATCH(K367,Lists!$F$2:$F$5,0)),""))</f>
        <v/>
      </c>
      <c r="M367" s="13"/>
      <c r="N367" s="13"/>
      <c r="O367" s="13"/>
      <c r="P367" s="13"/>
      <c r="Q367" s="12"/>
      <c r="R367" s="15" t="str">
        <f aca="true">IF(OR(C367="",Q367=""),"",IF(OR(J367="Won",J367="Lost"),"",IF(Q367&lt;TODAY(),"OVERDUE",IF(Q367=TODAY(),"TODAY",""))))</f>
        <v/>
      </c>
      <c r="S367" s="12"/>
      <c r="T367" s="12"/>
      <c r="U367" s="13"/>
    </row>
    <row r="368" customFormat="false" ht="15" hidden="false" customHeight="false" outlineLevel="0" collapsed="false">
      <c r="A368" s="12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4" t="str">
        <f aca="false">IF(K368="","",IFERROR(INDEX(Lists!$G$2:$G$5,MATCH(K368,Lists!$F$2:$F$5,0)),""))</f>
        <v/>
      </c>
      <c r="M368" s="13"/>
      <c r="N368" s="13"/>
      <c r="O368" s="13"/>
      <c r="P368" s="13"/>
      <c r="Q368" s="12"/>
      <c r="R368" s="15" t="str">
        <f aca="true">IF(OR(C368="",Q368=""),"",IF(OR(J368="Won",J368="Lost"),"",IF(Q368&lt;TODAY(),"OVERDUE",IF(Q368=TODAY(),"TODAY",""))))</f>
        <v/>
      </c>
      <c r="S368" s="12"/>
      <c r="T368" s="12"/>
      <c r="U368" s="13"/>
    </row>
    <row r="369" customFormat="false" ht="15" hidden="false" customHeight="false" outlineLevel="0" collapsed="false">
      <c r="A369" s="12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4" t="str">
        <f aca="false">IF(K369="","",IFERROR(INDEX(Lists!$G$2:$G$5,MATCH(K369,Lists!$F$2:$F$5,0)),""))</f>
        <v/>
      </c>
      <c r="M369" s="13"/>
      <c r="N369" s="13"/>
      <c r="O369" s="13"/>
      <c r="P369" s="13"/>
      <c r="Q369" s="12"/>
      <c r="R369" s="15" t="str">
        <f aca="true">IF(OR(C369="",Q369=""),"",IF(OR(J369="Won",J369="Lost"),"",IF(Q369&lt;TODAY(),"OVERDUE",IF(Q369=TODAY(),"TODAY",""))))</f>
        <v/>
      </c>
      <c r="S369" s="12"/>
      <c r="T369" s="12"/>
      <c r="U369" s="13"/>
    </row>
    <row r="370" customFormat="false" ht="15" hidden="false" customHeight="false" outlineLevel="0" collapsed="false">
      <c r="A370" s="12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4" t="str">
        <f aca="false">IF(K370="","",IFERROR(INDEX(Lists!$G$2:$G$5,MATCH(K370,Lists!$F$2:$F$5,0)),""))</f>
        <v/>
      </c>
      <c r="M370" s="13"/>
      <c r="N370" s="13"/>
      <c r="O370" s="13"/>
      <c r="P370" s="13"/>
      <c r="Q370" s="12"/>
      <c r="R370" s="15" t="str">
        <f aca="true">IF(OR(C370="",Q370=""),"",IF(OR(J370="Won",J370="Lost"),"",IF(Q370&lt;TODAY(),"OVERDUE",IF(Q370=TODAY(),"TODAY",""))))</f>
        <v/>
      </c>
      <c r="S370" s="12"/>
      <c r="T370" s="12"/>
      <c r="U370" s="13"/>
    </row>
    <row r="371" customFormat="false" ht="15" hidden="false" customHeight="false" outlineLevel="0" collapsed="false">
      <c r="A371" s="12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4" t="str">
        <f aca="false">IF(K371="","",IFERROR(INDEX(Lists!$G$2:$G$5,MATCH(K371,Lists!$F$2:$F$5,0)),""))</f>
        <v/>
      </c>
      <c r="M371" s="13"/>
      <c r="N371" s="13"/>
      <c r="O371" s="13"/>
      <c r="P371" s="13"/>
      <c r="Q371" s="12"/>
      <c r="R371" s="15" t="str">
        <f aca="true">IF(OR(C371="",Q371=""),"",IF(OR(J371="Won",J371="Lost"),"",IF(Q371&lt;TODAY(),"OVERDUE",IF(Q371=TODAY(),"TODAY",""))))</f>
        <v/>
      </c>
      <c r="S371" s="12"/>
      <c r="T371" s="12"/>
      <c r="U371" s="13"/>
    </row>
    <row r="372" customFormat="false" ht="15" hidden="false" customHeight="false" outlineLevel="0" collapsed="false">
      <c r="A372" s="12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4" t="str">
        <f aca="false">IF(K372="","",IFERROR(INDEX(Lists!$G$2:$G$5,MATCH(K372,Lists!$F$2:$F$5,0)),""))</f>
        <v/>
      </c>
      <c r="M372" s="13"/>
      <c r="N372" s="13"/>
      <c r="O372" s="13"/>
      <c r="P372" s="13"/>
      <c r="Q372" s="12"/>
      <c r="R372" s="15" t="str">
        <f aca="true">IF(OR(C372="",Q372=""),"",IF(OR(J372="Won",J372="Lost"),"",IF(Q372&lt;TODAY(),"OVERDUE",IF(Q372=TODAY(),"TODAY",""))))</f>
        <v/>
      </c>
      <c r="S372" s="12"/>
      <c r="T372" s="12"/>
      <c r="U372" s="13"/>
    </row>
    <row r="373" customFormat="false" ht="15" hidden="false" customHeight="false" outlineLevel="0" collapsed="false">
      <c r="A373" s="12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4" t="str">
        <f aca="false">IF(K373="","",IFERROR(INDEX(Lists!$G$2:$G$5,MATCH(K373,Lists!$F$2:$F$5,0)),""))</f>
        <v/>
      </c>
      <c r="M373" s="13"/>
      <c r="N373" s="13"/>
      <c r="O373" s="13"/>
      <c r="P373" s="13"/>
      <c r="Q373" s="12"/>
      <c r="R373" s="15" t="str">
        <f aca="true">IF(OR(C373="",Q373=""),"",IF(OR(J373="Won",J373="Lost"),"",IF(Q373&lt;TODAY(),"OVERDUE",IF(Q373=TODAY(),"TODAY",""))))</f>
        <v/>
      </c>
      <c r="S373" s="12"/>
      <c r="T373" s="12"/>
      <c r="U373" s="13"/>
    </row>
    <row r="374" customFormat="false" ht="15" hidden="false" customHeight="false" outlineLevel="0" collapsed="false">
      <c r="A374" s="12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4" t="str">
        <f aca="false">IF(K374="","",IFERROR(INDEX(Lists!$G$2:$G$5,MATCH(K374,Lists!$F$2:$F$5,0)),""))</f>
        <v/>
      </c>
      <c r="M374" s="13"/>
      <c r="N374" s="13"/>
      <c r="O374" s="13"/>
      <c r="P374" s="13"/>
      <c r="Q374" s="12"/>
      <c r="R374" s="15" t="str">
        <f aca="true">IF(OR(C374="",Q374=""),"",IF(OR(J374="Won",J374="Lost"),"",IF(Q374&lt;TODAY(),"OVERDUE",IF(Q374=TODAY(),"TODAY",""))))</f>
        <v/>
      </c>
      <c r="S374" s="12"/>
      <c r="T374" s="12"/>
      <c r="U374" s="13"/>
    </row>
    <row r="375" customFormat="false" ht="15" hidden="false" customHeight="false" outlineLevel="0" collapsed="false">
      <c r="A375" s="12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4" t="str">
        <f aca="false">IF(K375="","",IFERROR(INDEX(Lists!$G$2:$G$5,MATCH(K375,Lists!$F$2:$F$5,0)),""))</f>
        <v/>
      </c>
      <c r="M375" s="13"/>
      <c r="N375" s="13"/>
      <c r="O375" s="13"/>
      <c r="P375" s="13"/>
      <c r="Q375" s="12"/>
      <c r="R375" s="15" t="str">
        <f aca="true">IF(OR(C375="",Q375=""),"",IF(OR(J375="Won",J375="Lost"),"",IF(Q375&lt;TODAY(),"OVERDUE",IF(Q375=TODAY(),"TODAY",""))))</f>
        <v/>
      </c>
      <c r="S375" s="12"/>
      <c r="T375" s="12"/>
      <c r="U375" s="13"/>
    </row>
    <row r="376" customFormat="false" ht="15" hidden="false" customHeight="false" outlineLevel="0" collapsed="false">
      <c r="A376" s="12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4" t="str">
        <f aca="false">IF(K376="","",IFERROR(INDEX(Lists!$G$2:$G$5,MATCH(K376,Lists!$F$2:$F$5,0)),""))</f>
        <v/>
      </c>
      <c r="M376" s="13"/>
      <c r="N376" s="13"/>
      <c r="O376" s="13"/>
      <c r="P376" s="13"/>
      <c r="Q376" s="12"/>
      <c r="R376" s="15" t="str">
        <f aca="true">IF(OR(C376="",Q376=""),"",IF(OR(J376="Won",J376="Lost"),"",IF(Q376&lt;TODAY(),"OVERDUE",IF(Q376=TODAY(),"TODAY",""))))</f>
        <v/>
      </c>
      <c r="S376" s="12"/>
      <c r="T376" s="12"/>
      <c r="U376" s="13"/>
    </row>
    <row r="377" customFormat="false" ht="15" hidden="false" customHeight="false" outlineLevel="0" collapsed="false">
      <c r="A377" s="12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4" t="str">
        <f aca="false">IF(K377="","",IFERROR(INDEX(Lists!$G$2:$G$5,MATCH(K377,Lists!$F$2:$F$5,0)),""))</f>
        <v/>
      </c>
      <c r="M377" s="13"/>
      <c r="N377" s="13"/>
      <c r="O377" s="13"/>
      <c r="P377" s="13"/>
      <c r="Q377" s="12"/>
      <c r="R377" s="15" t="str">
        <f aca="true">IF(OR(C377="",Q377=""),"",IF(OR(J377="Won",J377="Lost"),"",IF(Q377&lt;TODAY(),"OVERDUE",IF(Q377=TODAY(),"TODAY",""))))</f>
        <v/>
      </c>
      <c r="S377" s="12"/>
      <c r="T377" s="12"/>
      <c r="U377" s="13"/>
    </row>
    <row r="378" customFormat="false" ht="15" hidden="false" customHeight="false" outlineLevel="0" collapsed="false">
      <c r="A378" s="12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4" t="str">
        <f aca="false">IF(K378="","",IFERROR(INDEX(Lists!$G$2:$G$5,MATCH(K378,Lists!$F$2:$F$5,0)),""))</f>
        <v/>
      </c>
      <c r="M378" s="13"/>
      <c r="N378" s="13"/>
      <c r="O378" s="13"/>
      <c r="P378" s="13"/>
      <c r="Q378" s="12"/>
      <c r="R378" s="15" t="str">
        <f aca="true">IF(OR(C378="",Q378=""),"",IF(OR(J378="Won",J378="Lost"),"",IF(Q378&lt;TODAY(),"OVERDUE",IF(Q378=TODAY(),"TODAY",""))))</f>
        <v/>
      </c>
      <c r="S378" s="12"/>
      <c r="T378" s="12"/>
      <c r="U378" s="13"/>
    </row>
    <row r="379" customFormat="false" ht="15" hidden="false" customHeight="false" outlineLevel="0" collapsed="false">
      <c r="A379" s="12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4" t="str">
        <f aca="false">IF(K379="","",IFERROR(INDEX(Lists!$G$2:$G$5,MATCH(K379,Lists!$F$2:$F$5,0)),""))</f>
        <v/>
      </c>
      <c r="M379" s="13"/>
      <c r="N379" s="13"/>
      <c r="O379" s="13"/>
      <c r="P379" s="13"/>
      <c r="Q379" s="12"/>
      <c r="R379" s="15" t="str">
        <f aca="true">IF(OR(C379="",Q379=""),"",IF(OR(J379="Won",J379="Lost"),"",IF(Q379&lt;TODAY(),"OVERDUE",IF(Q379=TODAY(),"TODAY",""))))</f>
        <v/>
      </c>
      <c r="S379" s="12"/>
      <c r="T379" s="12"/>
      <c r="U379" s="13"/>
    </row>
    <row r="380" customFormat="false" ht="15" hidden="false" customHeight="false" outlineLevel="0" collapsed="false">
      <c r="A380" s="12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4" t="str">
        <f aca="false">IF(K380="","",IFERROR(INDEX(Lists!$G$2:$G$5,MATCH(K380,Lists!$F$2:$F$5,0)),""))</f>
        <v/>
      </c>
      <c r="M380" s="13"/>
      <c r="N380" s="13"/>
      <c r="O380" s="13"/>
      <c r="P380" s="13"/>
      <c r="Q380" s="12"/>
      <c r="R380" s="15" t="str">
        <f aca="true">IF(OR(C380="",Q380=""),"",IF(OR(J380="Won",J380="Lost"),"",IF(Q380&lt;TODAY(),"OVERDUE",IF(Q380=TODAY(),"TODAY",""))))</f>
        <v/>
      </c>
      <c r="S380" s="12"/>
      <c r="T380" s="12"/>
      <c r="U380" s="13"/>
    </row>
    <row r="381" customFormat="false" ht="15" hidden="false" customHeight="false" outlineLevel="0" collapsed="false">
      <c r="A381" s="12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4" t="str">
        <f aca="false">IF(K381="","",IFERROR(INDEX(Lists!$G$2:$G$5,MATCH(K381,Lists!$F$2:$F$5,0)),""))</f>
        <v/>
      </c>
      <c r="M381" s="13"/>
      <c r="N381" s="13"/>
      <c r="O381" s="13"/>
      <c r="P381" s="13"/>
      <c r="Q381" s="12"/>
      <c r="R381" s="15" t="str">
        <f aca="true">IF(OR(C381="",Q381=""),"",IF(OR(J381="Won",J381="Lost"),"",IF(Q381&lt;TODAY(),"OVERDUE",IF(Q381=TODAY(),"TODAY",""))))</f>
        <v/>
      </c>
      <c r="S381" s="12"/>
      <c r="T381" s="12"/>
      <c r="U381" s="13"/>
    </row>
    <row r="382" customFormat="false" ht="15" hidden="false" customHeight="false" outlineLevel="0" collapsed="false">
      <c r="A382" s="12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4" t="str">
        <f aca="false">IF(K382="","",IFERROR(INDEX(Lists!$G$2:$G$5,MATCH(K382,Lists!$F$2:$F$5,0)),""))</f>
        <v/>
      </c>
      <c r="M382" s="13"/>
      <c r="N382" s="13"/>
      <c r="O382" s="13"/>
      <c r="P382" s="13"/>
      <c r="Q382" s="12"/>
      <c r="R382" s="15" t="str">
        <f aca="true">IF(OR(C382="",Q382=""),"",IF(OR(J382="Won",J382="Lost"),"",IF(Q382&lt;TODAY(),"OVERDUE",IF(Q382=TODAY(),"TODAY",""))))</f>
        <v/>
      </c>
      <c r="S382" s="12"/>
      <c r="T382" s="12"/>
      <c r="U382" s="13"/>
    </row>
    <row r="383" customFormat="false" ht="15" hidden="false" customHeight="false" outlineLevel="0" collapsed="false">
      <c r="A383" s="12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4" t="str">
        <f aca="false">IF(K383="","",IFERROR(INDEX(Lists!$G$2:$G$5,MATCH(K383,Lists!$F$2:$F$5,0)),""))</f>
        <v/>
      </c>
      <c r="M383" s="13"/>
      <c r="N383" s="13"/>
      <c r="O383" s="13"/>
      <c r="P383" s="13"/>
      <c r="Q383" s="12"/>
      <c r="R383" s="15" t="str">
        <f aca="true">IF(OR(C383="",Q383=""),"",IF(OR(J383="Won",J383="Lost"),"",IF(Q383&lt;TODAY(),"OVERDUE",IF(Q383=TODAY(),"TODAY",""))))</f>
        <v/>
      </c>
      <c r="S383" s="12"/>
      <c r="T383" s="12"/>
      <c r="U383" s="13"/>
    </row>
    <row r="384" customFormat="false" ht="15" hidden="false" customHeight="false" outlineLevel="0" collapsed="false">
      <c r="A384" s="12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4" t="str">
        <f aca="false">IF(K384="","",IFERROR(INDEX(Lists!$G$2:$G$5,MATCH(K384,Lists!$F$2:$F$5,0)),""))</f>
        <v/>
      </c>
      <c r="M384" s="13"/>
      <c r="N384" s="13"/>
      <c r="O384" s="13"/>
      <c r="P384" s="13"/>
      <c r="Q384" s="12"/>
      <c r="R384" s="15" t="str">
        <f aca="true">IF(OR(C384="",Q384=""),"",IF(OR(J384="Won",J384="Lost"),"",IF(Q384&lt;TODAY(),"OVERDUE",IF(Q384=TODAY(),"TODAY",""))))</f>
        <v/>
      </c>
      <c r="S384" s="12"/>
      <c r="T384" s="12"/>
      <c r="U384" s="13"/>
    </row>
    <row r="385" customFormat="false" ht="15" hidden="false" customHeight="false" outlineLevel="0" collapsed="false">
      <c r="A385" s="12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4" t="str">
        <f aca="false">IF(K385="","",IFERROR(INDEX(Lists!$G$2:$G$5,MATCH(K385,Lists!$F$2:$F$5,0)),""))</f>
        <v/>
      </c>
      <c r="M385" s="13"/>
      <c r="N385" s="13"/>
      <c r="O385" s="13"/>
      <c r="P385" s="13"/>
      <c r="Q385" s="12"/>
      <c r="R385" s="15" t="str">
        <f aca="true">IF(OR(C385="",Q385=""),"",IF(OR(J385="Won",J385="Lost"),"",IF(Q385&lt;TODAY(),"OVERDUE",IF(Q385=TODAY(),"TODAY",""))))</f>
        <v/>
      </c>
      <c r="S385" s="12"/>
      <c r="T385" s="12"/>
      <c r="U385" s="13"/>
    </row>
    <row r="386" customFormat="false" ht="15" hidden="false" customHeight="false" outlineLevel="0" collapsed="false">
      <c r="A386" s="12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4" t="str">
        <f aca="false">IF(K386="","",IFERROR(INDEX(Lists!$G$2:$G$5,MATCH(K386,Lists!$F$2:$F$5,0)),""))</f>
        <v/>
      </c>
      <c r="M386" s="13"/>
      <c r="N386" s="13"/>
      <c r="O386" s="13"/>
      <c r="P386" s="13"/>
      <c r="Q386" s="12"/>
      <c r="R386" s="15" t="str">
        <f aca="true">IF(OR(C386="",Q386=""),"",IF(OR(J386="Won",J386="Lost"),"",IF(Q386&lt;TODAY(),"OVERDUE",IF(Q386=TODAY(),"TODAY",""))))</f>
        <v/>
      </c>
      <c r="S386" s="12"/>
      <c r="T386" s="12"/>
      <c r="U386" s="13"/>
    </row>
    <row r="387" customFormat="false" ht="15" hidden="false" customHeight="false" outlineLevel="0" collapsed="false">
      <c r="A387" s="12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4" t="str">
        <f aca="false">IF(K387="","",IFERROR(INDEX(Lists!$G$2:$G$5,MATCH(K387,Lists!$F$2:$F$5,0)),""))</f>
        <v/>
      </c>
      <c r="M387" s="13"/>
      <c r="N387" s="13"/>
      <c r="O387" s="13"/>
      <c r="P387" s="13"/>
      <c r="Q387" s="12"/>
      <c r="R387" s="15" t="str">
        <f aca="true">IF(OR(C387="",Q387=""),"",IF(OR(J387="Won",J387="Lost"),"",IF(Q387&lt;TODAY(),"OVERDUE",IF(Q387=TODAY(),"TODAY",""))))</f>
        <v/>
      </c>
      <c r="S387" s="12"/>
      <c r="T387" s="12"/>
      <c r="U387" s="13"/>
    </row>
    <row r="388" customFormat="false" ht="15" hidden="false" customHeight="false" outlineLevel="0" collapsed="false">
      <c r="A388" s="12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4" t="str">
        <f aca="false">IF(K388="","",IFERROR(INDEX(Lists!$G$2:$G$5,MATCH(K388,Lists!$F$2:$F$5,0)),""))</f>
        <v/>
      </c>
      <c r="M388" s="13"/>
      <c r="N388" s="13"/>
      <c r="O388" s="13"/>
      <c r="P388" s="13"/>
      <c r="Q388" s="12"/>
      <c r="R388" s="15" t="str">
        <f aca="true">IF(OR(C388="",Q388=""),"",IF(OR(J388="Won",J388="Lost"),"",IF(Q388&lt;TODAY(),"OVERDUE",IF(Q388=TODAY(),"TODAY",""))))</f>
        <v/>
      </c>
      <c r="S388" s="12"/>
      <c r="T388" s="12"/>
      <c r="U388" s="13"/>
    </row>
    <row r="389" customFormat="false" ht="15" hidden="false" customHeight="false" outlineLevel="0" collapsed="false">
      <c r="A389" s="12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4" t="str">
        <f aca="false">IF(K389="","",IFERROR(INDEX(Lists!$G$2:$G$5,MATCH(K389,Lists!$F$2:$F$5,0)),""))</f>
        <v/>
      </c>
      <c r="M389" s="13"/>
      <c r="N389" s="13"/>
      <c r="O389" s="13"/>
      <c r="P389" s="13"/>
      <c r="Q389" s="12"/>
      <c r="R389" s="15" t="str">
        <f aca="true">IF(OR(C389="",Q389=""),"",IF(OR(J389="Won",J389="Lost"),"",IF(Q389&lt;TODAY(),"OVERDUE",IF(Q389=TODAY(),"TODAY",""))))</f>
        <v/>
      </c>
      <c r="S389" s="12"/>
      <c r="T389" s="12"/>
      <c r="U389" s="13"/>
    </row>
    <row r="390" customFormat="false" ht="15" hidden="false" customHeight="false" outlineLevel="0" collapsed="false">
      <c r="A390" s="12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4" t="str">
        <f aca="false">IF(K390="","",IFERROR(INDEX(Lists!$G$2:$G$5,MATCH(K390,Lists!$F$2:$F$5,0)),""))</f>
        <v/>
      </c>
      <c r="M390" s="13"/>
      <c r="N390" s="13"/>
      <c r="O390" s="13"/>
      <c r="P390" s="13"/>
      <c r="Q390" s="12"/>
      <c r="R390" s="15" t="str">
        <f aca="true">IF(OR(C390="",Q390=""),"",IF(OR(J390="Won",J390="Lost"),"",IF(Q390&lt;TODAY(),"OVERDUE",IF(Q390=TODAY(),"TODAY",""))))</f>
        <v/>
      </c>
      <c r="S390" s="12"/>
      <c r="T390" s="12"/>
      <c r="U390" s="13"/>
    </row>
    <row r="391" customFormat="false" ht="15" hidden="false" customHeight="false" outlineLevel="0" collapsed="false">
      <c r="A391" s="12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4" t="str">
        <f aca="false">IF(K391="","",IFERROR(INDEX(Lists!$G$2:$G$5,MATCH(K391,Lists!$F$2:$F$5,0)),""))</f>
        <v/>
      </c>
      <c r="M391" s="13"/>
      <c r="N391" s="13"/>
      <c r="O391" s="13"/>
      <c r="P391" s="13"/>
      <c r="Q391" s="12"/>
      <c r="R391" s="15" t="str">
        <f aca="true">IF(OR(C391="",Q391=""),"",IF(OR(J391="Won",J391="Lost"),"",IF(Q391&lt;TODAY(),"OVERDUE",IF(Q391=TODAY(),"TODAY",""))))</f>
        <v/>
      </c>
      <c r="S391" s="12"/>
      <c r="T391" s="12"/>
      <c r="U391" s="13"/>
    </row>
    <row r="392" customFormat="false" ht="15" hidden="false" customHeight="false" outlineLevel="0" collapsed="false">
      <c r="A392" s="12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4" t="str">
        <f aca="false">IF(K392="","",IFERROR(INDEX(Lists!$G$2:$G$5,MATCH(K392,Lists!$F$2:$F$5,0)),""))</f>
        <v/>
      </c>
      <c r="M392" s="13"/>
      <c r="N392" s="13"/>
      <c r="O392" s="13"/>
      <c r="P392" s="13"/>
      <c r="Q392" s="12"/>
      <c r="R392" s="15" t="str">
        <f aca="true">IF(OR(C392="",Q392=""),"",IF(OR(J392="Won",J392="Lost"),"",IF(Q392&lt;TODAY(),"OVERDUE",IF(Q392=TODAY(),"TODAY",""))))</f>
        <v/>
      </c>
      <c r="S392" s="12"/>
      <c r="T392" s="12"/>
      <c r="U392" s="13"/>
    </row>
    <row r="393" customFormat="false" ht="15" hidden="false" customHeight="false" outlineLevel="0" collapsed="false">
      <c r="A393" s="12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4" t="str">
        <f aca="false">IF(K393="","",IFERROR(INDEX(Lists!$G$2:$G$5,MATCH(K393,Lists!$F$2:$F$5,0)),""))</f>
        <v/>
      </c>
      <c r="M393" s="13"/>
      <c r="N393" s="13"/>
      <c r="O393" s="13"/>
      <c r="P393" s="13"/>
      <c r="Q393" s="12"/>
      <c r="R393" s="15" t="str">
        <f aca="true">IF(OR(C393="",Q393=""),"",IF(OR(J393="Won",J393="Lost"),"",IF(Q393&lt;TODAY(),"OVERDUE",IF(Q393=TODAY(),"TODAY",""))))</f>
        <v/>
      </c>
      <c r="S393" s="12"/>
      <c r="T393" s="12"/>
      <c r="U393" s="13"/>
    </row>
    <row r="394" customFormat="false" ht="15" hidden="false" customHeight="false" outlineLevel="0" collapsed="false">
      <c r="A394" s="12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4" t="str">
        <f aca="false">IF(K394="","",IFERROR(INDEX(Lists!$G$2:$G$5,MATCH(K394,Lists!$F$2:$F$5,0)),""))</f>
        <v/>
      </c>
      <c r="M394" s="13"/>
      <c r="N394" s="13"/>
      <c r="O394" s="13"/>
      <c r="P394" s="13"/>
      <c r="Q394" s="12"/>
      <c r="R394" s="15" t="str">
        <f aca="true">IF(OR(C394="",Q394=""),"",IF(OR(J394="Won",J394="Lost"),"",IF(Q394&lt;TODAY(),"OVERDUE",IF(Q394=TODAY(),"TODAY",""))))</f>
        <v/>
      </c>
      <c r="S394" s="12"/>
      <c r="T394" s="12"/>
      <c r="U394" s="13"/>
    </row>
    <row r="395" customFormat="false" ht="15" hidden="false" customHeight="false" outlineLevel="0" collapsed="false">
      <c r="A395" s="12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4" t="str">
        <f aca="false">IF(K395="","",IFERROR(INDEX(Lists!$G$2:$G$5,MATCH(K395,Lists!$F$2:$F$5,0)),""))</f>
        <v/>
      </c>
      <c r="M395" s="13"/>
      <c r="N395" s="13"/>
      <c r="O395" s="13"/>
      <c r="P395" s="13"/>
      <c r="Q395" s="12"/>
      <c r="R395" s="15" t="str">
        <f aca="true">IF(OR(C395="",Q395=""),"",IF(OR(J395="Won",J395="Lost"),"",IF(Q395&lt;TODAY(),"OVERDUE",IF(Q395=TODAY(),"TODAY",""))))</f>
        <v/>
      </c>
      <c r="S395" s="12"/>
      <c r="T395" s="12"/>
      <c r="U395" s="13"/>
    </row>
    <row r="396" customFormat="false" ht="15" hidden="false" customHeight="false" outlineLevel="0" collapsed="false">
      <c r="A396" s="12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4" t="str">
        <f aca="false">IF(K396="","",IFERROR(INDEX(Lists!$G$2:$G$5,MATCH(K396,Lists!$F$2:$F$5,0)),""))</f>
        <v/>
      </c>
      <c r="M396" s="13"/>
      <c r="N396" s="13"/>
      <c r="O396" s="13"/>
      <c r="P396" s="13"/>
      <c r="Q396" s="12"/>
      <c r="R396" s="15" t="str">
        <f aca="true">IF(OR(C396="",Q396=""),"",IF(OR(J396="Won",J396="Lost"),"",IF(Q396&lt;TODAY(),"OVERDUE",IF(Q396=TODAY(),"TODAY",""))))</f>
        <v/>
      </c>
      <c r="S396" s="12"/>
      <c r="T396" s="12"/>
      <c r="U396" s="13"/>
    </row>
    <row r="397" customFormat="false" ht="15" hidden="false" customHeight="false" outlineLevel="0" collapsed="false">
      <c r="A397" s="12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4" t="str">
        <f aca="false">IF(K397="","",IFERROR(INDEX(Lists!$G$2:$G$5,MATCH(K397,Lists!$F$2:$F$5,0)),""))</f>
        <v/>
      </c>
      <c r="M397" s="13"/>
      <c r="N397" s="13"/>
      <c r="O397" s="13"/>
      <c r="P397" s="13"/>
      <c r="Q397" s="12"/>
      <c r="R397" s="15" t="str">
        <f aca="true">IF(OR(C397="",Q397=""),"",IF(OR(J397="Won",J397="Lost"),"",IF(Q397&lt;TODAY(),"OVERDUE",IF(Q397=TODAY(),"TODAY",""))))</f>
        <v/>
      </c>
      <c r="S397" s="12"/>
      <c r="T397" s="12"/>
      <c r="U397" s="13"/>
    </row>
    <row r="398" customFormat="false" ht="15" hidden="false" customHeight="false" outlineLevel="0" collapsed="false">
      <c r="A398" s="12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4" t="str">
        <f aca="false">IF(K398="","",IFERROR(INDEX(Lists!$G$2:$G$5,MATCH(K398,Lists!$F$2:$F$5,0)),""))</f>
        <v/>
      </c>
      <c r="M398" s="13"/>
      <c r="N398" s="13"/>
      <c r="O398" s="13"/>
      <c r="P398" s="13"/>
      <c r="Q398" s="12"/>
      <c r="R398" s="15" t="str">
        <f aca="true">IF(OR(C398="",Q398=""),"",IF(OR(J398="Won",J398="Lost"),"",IF(Q398&lt;TODAY(),"OVERDUE",IF(Q398=TODAY(),"TODAY",""))))</f>
        <v/>
      </c>
      <c r="S398" s="12"/>
      <c r="T398" s="12"/>
      <c r="U398" s="13"/>
    </row>
    <row r="399" customFormat="false" ht="15" hidden="false" customHeight="false" outlineLevel="0" collapsed="false">
      <c r="A399" s="12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4" t="str">
        <f aca="false">IF(K399="","",IFERROR(INDEX(Lists!$G$2:$G$5,MATCH(K399,Lists!$F$2:$F$5,0)),""))</f>
        <v/>
      </c>
      <c r="M399" s="13"/>
      <c r="N399" s="13"/>
      <c r="O399" s="13"/>
      <c r="P399" s="13"/>
      <c r="Q399" s="12"/>
      <c r="R399" s="15" t="str">
        <f aca="true">IF(OR(C399="",Q399=""),"",IF(OR(J399="Won",J399="Lost"),"",IF(Q399&lt;TODAY(),"OVERDUE",IF(Q399=TODAY(),"TODAY",""))))</f>
        <v/>
      </c>
      <c r="S399" s="12"/>
      <c r="T399" s="12"/>
      <c r="U399" s="13"/>
    </row>
    <row r="400" customFormat="false" ht="15" hidden="false" customHeight="false" outlineLevel="0" collapsed="false">
      <c r="A400" s="12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4" t="str">
        <f aca="false">IF(K400="","",IFERROR(INDEX(Lists!$G$2:$G$5,MATCH(K400,Lists!$F$2:$F$5,0)),""))</f>
        <v/>
      </c>
      <c r="M400" s="13"/>
      <c r="N400" s="13"/>
      <c r="O400" s="13"/>
      <c r="P400" s="13"/>
      <c r="Q400" s="12"/>
      <c r="R400" s="15" t="str">
        <f aca="true">IF(OR(C400="",Q400=""),"",IF(OR(J400="Won",J400="Lost"),"",IF(Q400&lt;TODAY(),"OVERDUE",IF(Q400=TODAY(),"TODAY",""))))</f>
        <v/>
      </c>
      <c r="S400" s="12"/>
      <c r="T400" s="12"/>
      <c r="U400" s="13"/>
    </row>
    <row r="401" customFormat="false" ht="15" hidden="false" customHeight="false" outlineLevel="0" collapsed="false">
      <c r="A401" s="12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4" t="str">
        <f aca="false">IF(K401="","",IFERROR(INDEX(Lists!$G$2:$G$5,MATCH(K401,Lists!$F$2:$F$5,0)),""))</f>
        <v/>
      </c>
      <c r="M401" s="13"/>
      <c r="N401" s="13"/>
      <c r="O401" s="13"/>
      <c r="P401" s="13"/>
      <c r="Q401" s="12"/>
      <c r="R401" s="15" t="str">
        <f aca="true">IF(OR(C401="",Q401=""),"",IF(OR(J401="Won",J401="Lost"),"",IF(Q401&lt;TODAY(),"OVERDUE",IF(Q401=TODAY(),"TODAY",""))))</f>
        <v/>
      </c>
      <c r="S401" s="12"/>
      <c r="T401" s="12"/>
      <c r="U401" s="13"/>
    </row>
    <row r="402" customFormat="false" ht="15" hidden="false" customHeight="false" outlineLevel="0" collapsed="false">
      <c r="A402" s="12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4" t="str">
        <f aca="false">IF(K402="","",IFERROR(INDEX(Lists!$G$2:$G$5,MATCH(K402,Lists!$F$2:$F$5,0)),""))</f>
        <v/>
      </c>
      <c r="M402" s="13"/>
      <c r="N402" s="13"/>
      <c r="O402" s="13"/>
      <c r="P402" s="13"/>
      <c r="Q402" s="12"/>
      <c r="R402" s="15" t="str">
        <f aca="true">IF(OR(C402="",Q402=""),"",IF(OR(J402="Won",J402="Lost"),"",IF(Q402&lt;TODAY(),"OVERDUE",IF(Q402=TODAY(),"TODAY",""))))</f>
        <v/>
      </c>
      <c r="S402" s="12"/>
      <c r="T402" s="12"/>
      <c r="U402" s="13"/>
    </row>
    <row r="403" customFormat="false" ht="15" hidden="false" customHeight="false" outlineLevel="0" collapsed="false">
      <c r="A403" s="12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4" t="str">
        <f aca="false">IF(K403="","",IFERROR(INDEX(Lists!$G$2:$G$5,MATCH(K403,Lists!$F$2:$F$5,0)),""))</f>
        <v/>
      </c>
      <c r="M403" s="13"/>
      <c r="N403" s="13"/>
      <c r="O403" s="13"/>
      <c r="P403" s="13"/>
      <c r="Q403" s="12"/>
      <c r="R403" s="15" t="str">
        <f aca="true">IF(OR(C403="",Q403=""),"",IF(OR(J403="Won",J403="Lost"),"",IF(Q403&lt;TODAY(),"OVERDUE",IF(Q403=TODAY(),"TODAY",""))))</f>
        <v/>
      </c>
      <c r="S403" s="12"/>
      <c r="T403" s="12"/>
      <c r="U403" s="13"/>
    </row>
    <row r="404" customFormat="false" ht="15" hidden="false" customHeight="false" outlineLevel="0" collapsed="false">
      <c r="A404" s="12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4" t="str">
        <f aca="false">IF(K404="","",IFERROR(INDEX(Lists!$G$2:$G$5,MATCH(K404,Lists!$F$2:$F$5,0)),""))</f>
        <v/>
      </c>
      <c r="M404" s="13"/>
      <c r="N404" s="13"/>
      <c r="O404" s="13"/>
      <c r="P404" s="13"/>
      <c r="Q404" s="12"/>
      <c r="R404" s="15" t="str">
        <f aca="true">IF(OR(C404="",Q404=""),"",IF(OR(J404="Won",J404="Lost"),"",IF(Q404&lt;TODAY(),"OVERDUE",IF(Q404=TODAY(),"TODAY",""))))</f>
        <v/>
      </c>
      <c r="S404" s="12"/>
      <c r="T404" s="12"/>
      <c r="U404" s="13"/>
    </row>
    <row r="405" customFormat="false" ht="15" hidden="false" customHeight="false" outlineLevel="0" collapsed="false">
      <c r="A405" s="12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4" t="str">
        <f aca="false">IF(K405="","",IFERROR(INDEX(Lists!$G$2:$G$5,MATCH(K405,Lists!$F$2:$F$5,0)),""))</f>
        <v/>
      </c>
      <c r="M405" s="13"/>
      <c r="N405" s="13"/>
      <c r="O405" s="13"/>
      <c r="P405" s="13"/>
      <c r="Q405" s="12"/>
      <c r="R405" s="15" t="str">
        <f aca="true">IF(OR(C405="",Q405=""),"",IF(OR(J405="Won",J405="Lost"),"",IF(Q405&lt;TODAY(),"OVERDUE",IF(Q405=TODAY(),"TODAY",""))))</f>
        <v/>
      </c>
      <c r="S405" s="12"/>
      <c r="T405" s="12"/>
      <c r="U405" s="13"/>
    </row>
    <row r="406" customFormat="false" ht="15" hidden="false" customHeight="false" outlineLevel="0" collapsed="false">
      <c r="A406" s="12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4" t="str">
        <f aca="false">IF(K406="","",IFERROR(INDEX(Lists!$G$2:$G$5,MATCH(K406,Lists!$F$2:$F$5,0)),""))</f>
        <v/>
      </c>
      <c r="M406" s="13"/>
      <c r="N406" s="13"/>
      <c r="O406" s="13"/>
      <c r="P406" s="13"/>
      <c r="Q406" s="12"/>
      <c r="R406" s="15" t="str">
        <f aca="true">IF(OR(C406="",Q406=""),"",IF(OR(J406="Won",J406="Lost"),"",IF(Q406&lt;TODAY(),"OVERDUE",IF(Q406=TODAY(),"TODAY",""))))</f>
        <v/>
      </c>
      <c r="S406" s="12"/>
      <c r="T406" s="12"/>
      <c r="U406" s="13"/>
    </row>
    <row r="407" customFormat="false" ht="15" hidden="false" customHeight="false" outlineLevel="0" collapsed="false">
      <c r="A407" s="12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4" t="str">
        <f aca="false">IF(K407="","",IFERROR(INDEX(Lists!$G$2:$G$5,MATCH(K407,Lists!$F$2:$F$5,0)),""))</f>
        <v/>
      </c>
      <c r="M407" s="13"/>
      <c r="N407" s="13"/>
      <c r="O407" s="13"/>
      <c r="P407" s="13"/>
      <c r="Q407" s="12"/>
      <c r="R407" s="15" t="str">
        <f aca="true">IF(OR(C407="",Q407=""),"",IF(OR(J407="Won",J407="Lost"),"",IF(Q407&lt;TODAY(),"OVERDUE",IF(Q407=TODAY(),"TODAY",""))))</f>
        <v/>
      </c>
      <c r="S407" s="12"/>
      <c r="T407" s="12"/>
      <c r="U407" s="13"/>
    </row>
    <row r="408" customFormat="false" ht="15" hidden="false" customHeight="false" outlineLevel="0" collapsed="false">
      <c r="A408" s="12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4" t="str">
        <f aca="false">IF(K408="","",IFERROR(INDEX(Lists!$G$2:$G$5,MATCH(K408,Lists!$F$2:$F$5,0)),""))</f>
        <v/>
      </c>
      <c r="M408" s="13"/>
      <c r="N408" s="13"/>
      <c r="O408" s="13"/>
      <c r="P408" s="13"/>
      <c r="Q408" s="12"/>
      <c r="R408" s="15" t="str">
        <f aca="true">IF(OR(C408="",Q408=""),"",IF(OR(J408="Won",J408="Lost"),"",IF(Q408&lt;TODAY(),"OVERDUE",IF(Q408=TODAY(),"TODAY",""))))</f>
        <v/>
      </c>
      <c r="S408" s="12"/>
      <c r="T408" s="12"/>
      <c r="U408" s="13"/>
    </row>
    <row r="409" customFormat="false" ht="15" hidden="false" customHeight="false" outlineLevel="0" collapsed="false">
      <c r="A409" s="12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4" t="str">
        <f aca="false">IF(K409="","",IFERROR(INDEX(Lists!$G$2:$G$5,MATCH(K409,Lists!$F$2:$F$5,0)),""))</f>
        <v/>
      </c>
      <c r="M409" s="13"/>
      <c r="N409" s="13"/>
      <c r="O409" s="13"/>
      <c r="P409" s="13"/>
      <c r="Q409" s="12"/>
      <c r="R409" s="15" t="str">
        <f aca="true">IF(OR(C409="",Q409=""),"",IF(OR(J409="Won",J409="Lost"),"",IF(Q409&lt;TODAY(),"OVERDUE",IF(Q409=TODAY(),"TODAY",""))))</f>
        <v/>
      </c>
      <c r="S409" s="12"/>
      <c r="T409" s="12"/>
      <c r="U409" s="13"/>
    </row>
    <row r="410" customFormat="false" ht="15" hidden="false" customHeight="false" outlineLevel="0" collapsed="false">
      <c r="A410" s="12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4" t="str">
        <f aca="false">IF(K410="","",IFERROR(INDEX(Lists!$G$2:$G$5,MATCH(K410,Lists!$F$2:$F$5,0)),""))</f>
        <v/>
      </c>
      <c r="M410" s="13"/>
      <c r="N410" s="13"/>
      <c r="O410" s="13"/>
      <c r="P410" s="13"/>
      <c r="Q410" s="12"/>
      <c r="R410" s="15" t="str">
        <f aca="true">IF(OR(C410="",Q410=""),"",IF(OR(J410="Won",J410="Lost"),"",IF(Q410&lt;TODAY(),"OVERDUE",IF(Q410=TODAY(),"TODAY",""))))</f>
        <v/>
      </c>
      <c r="S410" s="12"/>
      <c r="T410" s="12"/>
      <c r="U410" s="13"/>
    </row>
    <row r="411" customFormat="false" ht="15" hidden="false" customHeight="false" outlineLevel="0" collapsed="false">
      <c r="A411" s="12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4" t="str">
        <f aca="false">IF(K411="","",IFERROR(INDEX(Lists!$G$2:$G$5,MATCH(K411,Lists!$F$2:$F$5,0)),""))</f>
        <v/>
      </c>
      <c r="M411" s="13"/>
      <c r="N411" s="13"/>
      <c r="O411" s="13"/>
      <c r="P411" s="13"/>
      <c r="Q411" s="12"/>
      <c r="R411" s="15" t="str">
        <f aca="true">IF(OR(C411="",Q411=""),"",IF(OR(J411="Won",J411="Lost"),"",IF(Q411&lt;TODAY(),"OVERDUE",IF(Q411=TODAY(),"TODAY",""))))</f>
        <v/>
      </c>
      <c r="S411" s="12"/>
      <c r="T411" s="12"/>
      <c r="U411" s="13"/>
    </row>
    <row r="412" customFormat="false" ht="15" hidden="false" customHeight="false" outlineLevel="0" collapsed="false">
      <c r="A412" s="12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4" t="str">
        <f aca="false">IF(K412="","",IFERROR(INDEX(Lists!$G$2:$G$5,MATCH(K412,Lists!$F$2:$F$5,0)),""))</f>
        <v/>
      </c>
      <c r="M412" s="13"/>
      <c r="N412" s="13"/>
      <c r="O412" s="13"/>
      <c r="P412" s="13"/>
      <c r="Q412" s="12"/>
      <c r="R412" s="15" t="str">
        <f aca="true">IF(OR(C412="",Q412=""),"",IF(OR(J412="Won",J412="Lost"),"",IF(Q412&lt;TODAY(),"OVERDUE",IF(Q412=TODAY(),"TODAY",""))))</f>
        <v/>
      </c>
      <c r="S412" s="12"/>
      <c r="T412" s="12"/>
      <c r="U412" s="13"/>
    </row>
    <row r="413" customFormat="false" ht="15" hidden="false" customHeight="false" outlineLevel="0" collapsed="false">
      <c r="A413" s="12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4" t="str">
        <f aca="false">IF(K413="","",IFERROR(INDEX(Lists!$G$2:$G$5,MATCH(K413,Lists!$F$2:$F$5,0)),""))</f>
        <v/>
      </c>
      <c r="M413" s="13"/>
      <c r="N413" s="13"/>
      <c r="O413" s="13"/>
      <c r="P413" s="13"/>
      <c r="Q413" s="12"/>
      <c r="R413" s="15" t="str">
        <f aca="true">IF(OR(C413="",Q413=""),"",IF(OR(J413="Won",J413="Lost"),"",IF(Q413&lt;TODAY(),"OVERDUE",IF(Q413=TODAY(),"TODAY",""))))</f>
        <v/>
      </c>
      <c r="S413" s="12"/>
      <c r="T413" s="12"/>
      <c r="U413" s="13"/>
    </row>
    <row r="414" customFormat="false" ht="15" hidden="false" customHeight="false" outlineLevel="0" collapsed="false">
      <c r="A414" s="12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4" t="str">
        <f aca="false">IF(K414="","",IFERROR(INDEX(Lists!$G$2:$G$5,MATCH(K414,Lists!$F$2:$F$5,0)),""))</f>
        <v/>
      </c>
      <c r="M414" s="13"/>
      <c r="N414" s="13"/>
      <c r="O414" s="13"/>
      <c r="P414" s="13"/>
      <c r="Q414" s="12"/>
      <c r="R414" s="15" t="str">
        <f aca="true">IF(OR(C414="",Q414=""),"",IF(OR(J414="Won",J414="Lost"),"",IF(Q414&lt;TODAY(),"OVERDUE",IF(Q414=TODAY(),"TODAY",""))))</f>
        <v/>
      </c>
      <c r="S414" s="12"/>
      <c r="T414" s="12"/>
      <c r="U414" s="13"/>
    </row>
    <row r="415" customFormat="false" ht="15" hidden="false" customHeight="false" outlineLevel="0" collapsed="false">
      <c r="A415" s="12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4" t="str">
        <f aca="false">IF(K415="","",IFERROR(INDEX(Lists!$G$2:$G$5,MATCH(K415,Lists!$F$2:$F$5,0)),""))</f>
        <v/>
      </c>
      <c r="M415" s="13"/>
      <c r="N415" s="13"/>
      <c r="O415" s="13"/>
      <c r="P415" s="13"/>
      <c r="Q415" s="12"/>
      <c r="R415" s="15" t="str">
        <f aca="true">IF(OR(C415="",Q415=""),"",IF(OR(J415="Won",J415="Lost"),"",IF(Q415&lt;TODAY(),"OVERDUE",IF(Q415=TODAY(),"TODAY",""))))</f>
        <v/>
      </c>
      <c r="S415" s="12"/>
      <c r="T415" s="12"/>
      <c r="U415" s="13"/>
    </row>
    <row r="416" customFormat="false" ht="15" hidden="false" customHeight="false" outlineLevel="0" collapsed="false">
      <c r="A416" s="12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4" t="str">
        <f aca="false">IF(K416="","",IFERROR(INDEX(Lists!$G$2:$G$5,MATCH(K416,Lists!$F$2:$F$5,0)),""))</f>
        <v/>
      </c>
      <c r="M416" s="13"/>
      <c r="N416" s="13"/>
      <c r="O416" s="13"/>
      <c r="P416" s="13"/>
      <c r="Q416" s="12"/>
      <c r="R416" s="15" t="str">
        <f aca="true">IF(OR(C416="",Q416=""),"",IF(OR(J416="Won",J416="Lost"),"",IF(Q416&lt;TODAY(),"OVERDUE",IF(Q416=TODAY(),"TODAY",""))))</f>
        <v/>
      </c>
      <c r="S416" s="12"/>
      <c r="T416" s="12"/>
      <c r="U416" s="13"/>
    </row>
    <row r="417" customFormat="false" ht="15" hidden="false" customHeight="false" outlineLevel="0" collapsed="false">
      <c r="A417" s="12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4" t="str">
        <f aca="false">IF(K417="","",IFERROR(INDEX(Lists!$G$2:$G$5,MATCH(K417,Lists!$F$2:$F$5,0)),""))</f>
        <v/>
      </c>
      <c r="M417" s="13"/>
      <c r="N417" s="13"/>
      <c r="O417" s="13"/>
      <c r="P417" s="13"/>
      <c r="Q417" s="12"/>
      <c r="R417" s="15" t="str">
        <f aca="true">IF(OR(C417="",Q417=""),"",IF(OR(J417="Won",J417="Lost"),"",IF(Q417&lt;TODAY(),"OVERDUE",IF(Q417=TODAY(),"TODAY",""))))</f>
        <v/>
      </c>
      <c r="S417" s="12"/>
      <c r="T417" s="12"/>
      <c r="U417" s="13"/>
    </row>
    <row r="418" customFormat="false" ht="15" hidden="false" customHeight="false" outlineLevel="0" collapsed="false">
      <c r="A418" s="12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4" t="str">
        <f aca="false">IF(K418="","",IFERROR(INDEX(Lists!$G$2:$G$5,MATCH(K418,Lists!$F$2:$F$5,0)),""))</f>
        <v/>
      </c>
      <c r="M418" s="13"/>
      <c r="N418" s="13"/>
      <c r="O418" s="13"/>
      <c r="P418" s="13"/>
      <c r="Q418" s="12"/>
      <c r="R418" s="15" t="str">
        <f aca="true">IF(OR(C418="",Q418=""),"",IF(OR(J418="Won",J418="Lost"),"",IF(Q418&lt;TODAY(),"OVERDUE",IF(Q418=TODAY(),"TODAY",""))))</f>
        <v/>
      </c>
      <c r="S418" s="12"/>
      <c r="T418" s="12"/>
      <c r="U418" s="13"/>
    </row>
    <row r="419" customFormat="false" ht="15" hidden="false" customHeight="false" outlineLevel="0" collapsed="false">
      <c r="A419" s="12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4" t="str">
        <f aca="false">IF(K419="","",IFERROR(INDEX(Lists!$G$2:$G$5,MATCH(K419,Lists!$F$2:$F$5,0)),""))</f>
        <v/>
      </c>
      <c r="M419" s="13"/>
      <c r="N419" s="13"/>
      <c r="O419" s="13"/>
      <c r="P419" s="13"/>
      <c r="Q419" s="12"/>
      <c r="R419" s="15" t="str">
        <f aca="true">IF(OR(C419="",Q419=""),"",IF(OR(J419="Won",J419="Lost"),"",IF(Q419&lt;TODAY(),"OVERDUE",IF(Q419=TODAY(),"TODAY",""))))</f>
        <v/>
      </c>
      <c r="S419" s="12"/>
      <c r="T419" s="12"/>
      <c r="U419" s="13"/>
    </row>
    <row r="420" customFormat="false" ht="15" hidden="false" customHeight="false" outlineLevel="0" collapsed="false">
      <c r="A420" s="12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4" t="str">
        <f aca="false">IF(K420="","",IFERROR(INDEX(Lists!$G$2:$G$5,MATCH(K420,Lists!$F$2:$F$5,0)),""))</f>
        <v/>
      </c>
      <c r="M420" s="13"/>
      <c r="N420" s="13"/>
      <c r="O420" s="13"/>
      <c r="P420" s="13"/>
      <c r="Q420" s="12"/>
      <c r="R420" s="15" t="str">
        <f aca="true">IF(OR(C420="",Q420=""),"",IF(OR(J420="Won",J420="Lost"),"",IF(Q420&lt;TODAY(),"OVERDUE",IF(Q420=TODAY(),"TODAY",""))))</f>
        <v/>
      </c>
      <c r="S420" s="12"/>
      <c r="T420" s="12"/>
      <c r="U420" s="13"/>
    </row>
    <row r="421" customFormat="false" ht="15" hidden="false" customHeight="false" outlineLevel="0" collapsed="false">
      <c r="A421" s="12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4" t="str">
        <f aca="false">IF(K421="","",IFERROR(INDEX(Lists!$G$2:$G$5,MATCH(K421,Lists!$F$2:$F$5,0)),""))</f>
        <v/>
      </c>
      <c r="M421" s="13"/>
      <c r="N421" s="13"/>
      <c r="O421" s="13"/>
      <c r="P421" s="13"/>
      <c r="Q421" s="12"/>
      <c r="R421" s="15" t="str">
        <f aca="true">IF(OR(C421="",Q421=""),"",IF(OR(J421="Won",J421="Lost"),"",IF(Q421&lt;TODAY(),"OVERDUE",IF(Q421=TODAY(),"TODAY",""))))</f>
        <v/>
      </c>
      <c r="S421" s="12"/>
      <c r="T421" s="12"/>
      <c r="U421" s="13"/>
    </row>
    <row r="422" customFormat="false" ht="15" hidden="false" customHeight="false" outlineLevel="0" collapsed="false">
      <c r="A422" s="12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4" t="str">
        <f aca="false">IF(K422="","",IFERROR(INDEX(Lists!$G$2:$G$5,MATCH(K422,Lists!$F$2:$F$5,0)),""))</f>
        <v/>
      </c>
      <c r="M422" s="13"/>
      <c r="N422" s="13"/>
      <c r="O422" s="13"/>
      <c r="P422" s="13"/>
      <c r="Q422" s="12"/>
      <c r="R422" s="15" t="str">
        <f aca="true">IF(OR(C422="",Q422=""),"",IF(OR(J422="Won",J422="Lost"),"",IF(Q422&lt;TODAY(),"OVERDUE",IF(Q422=TODAY(),"TODAY",""))))</f>
        <v/>
      </c>
      <c r="S422" s="12"/>
      <c r="T422" s="12"/>
      <c r="U422" s="13"/>
    </row>
    <row r="423" customFormat="false" ht="15" hidden="false" customHeight="false" outlineLevel="0" collapsed="false">
      <c r="A423" s="12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4" t="str">
        <f aca="false">IF(K423="","",IFERROR(INDEX(Lists!$G$2:$G$5,MATCH(K423,Lists!$F$2:$F$5,0)),""))</f>
        <v/>
      </c>
      <c r="M423" s="13"/>
      <c r="N423" s="13"/>
      <c r="O423" s="13"/>
      <c r="P423" s="13"/>
      <c r="Q423" s="12"/>
      <c r="R423" s="15" t="str">
        <f aca="true">IF(OR(C423="",Q423=""),"",IF(OR(J423="Won",J423="Lost"),"",IF(Q423&lt;TODAY(),"OVERDUE",IF(Q423=TODAY(),"TODAY",""))))</f>
        <v/>
      </c>
      <c r="S423" s="12"/>
      <c r="T423" s="12"/>
      <c r="U423" s="13"/>
    </row>
    <row r="424" customFormat="false" ht="15" hidden="false" customHeight="false" outlineLevel="0" collapsed="false">
      <c r="A424" s="12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4" t="str">
        <f aca="false">IF(K424="","",IFERROR(INDEX(Lists!$G$2:$G$5,MATCH(K424,Lists!$F$2:$F$5,0)),""))</f>
        <v/>
      </c>
      <c r="M424" s="13"/>
      <c r="N424" s="13"/>
      <c r="O424" s="13"/>
      <c r="P424" s="13"/>
      <c r="Q424" s="12"/>
      <c r="R424" s="15" t="str">
        <f aca="true">IF(OR(C424="",Q424=""),"",IF(OR(J424="Won",J424="Lost"),"",IF(Q424&lt;TODAY(),"OVERDUE",IF(Q424=TODAY(),"TODAY",""))))</f>
        <v/>
      </c>
      <c r="S424" s="12"/>
      <c r="T424" s="12"/>
      <c r="U424" s="13"/>
    </row>
    <row r="425" customFormat="false" ht="15" hidden="false" customHeight="false" outlineLevel="0" collapsed="false">
      <c r="A425" s="12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4" t="str">
        <f aca="false">IF(K425="","",IFERROR(INDEX(Lists!$G$2:$G$5,MATCH(K425,Lists!$F$2:$F$5,0)),""))</f>
        <v/>
      </c>
      <c r="M425" s="13"/>
      <c r="N425" s="13"/>
      <c r="O425" s="13"/>
      <c r="P425" s="13"/>
      <c r="Q425" s="12"/>
      <c r="R425" s="15" t="str">
        <f aca="true">IF(OR(C425="",Q425=""),"",IF(OR(J425="Won",J425="Lost"),"",IF(Q425&lt;TODAY(),"OVERDUE",IF(Q425=TODAY(),"TODAY",""))))</f>
        <v/>
      </c>
      <c r="S425" s="12"/>
      <c r="T425" s="12"/>
      <c r="U425" s="13"/>
    </row>
    <row r="426" customFormat="false" ht="15" hidden="false" customHeight="false" outlineLevel="0" collapsed="false">
      <c r="A426" s="12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4" t="str">
        <f aca="false">IF(K426="","",IFERROR(INDEX(Lists!$G$2:$G$5,MATCH(K426,Lists!$F$2:$F$5,0)),""))</f>
        <v/>
      </c>
      <c r="M426" s="13"/>
      <c r="N426" s="13"/>
      <c r="O426" s="13"/>
      <c r="P426" s="13"/>
      <c r="Q426" s="12"/>
      <c r="R426" s="15" t="str">
        <f aca="true">IF(OR(C426="",Q426=""),"",IF(OR(J426="Won",J426="Lost"),"",IF(Q426&lt;TODAY(),"OVERDUE",IF(Q426=TODAY(),"TODAY",""))))</f>
        <v/>
      </c>
      <c r="S426" s="12"/>
      <c r="T426" s="12"/>
      <c r="U426" s="13"/>
    </row>
    <row r="427" customFormat="false" ht="15" hidden="false" customHeight="false" outlineLevel="0" collapsed="false">
      <c r="A427" s="12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4" t="str">
        <f aca="false">IF(K427="","",IFERROR(INDEX(Lists!$G$2:$G$5,MATCH(K427,Lists!$F$2:$F$5,0)),""))</f>
        <v/>
      </c>
      <c r="M427" s="13"/>
      <c r="N427" s="13"/>
      <c r="O427" s="13"/>
      <c r="P427" s="13"/>
      <c r="Q427" s="12"/>
      <c r="R427" s="15" t="str">
        <f aca="true">IF(OR(C427="",Q427=""),"",IF(OR(J427="Won",J427="Lost"),"",IF(Q427&lt;TODAY(),"OVERDUE",IF(Q427=TODAY(),"TODAY",""))))</f>
        <v/>
      </c>
      <c r="S427" s="12"/>
      <c r="T427" s="12"/>
      <c r="U427" s="13"/>
    </row>
    <row r="428" customFormat="false" ht="15" hidden="false" customHeight="false" outlineLevel="0" collapsed="false">
      <c r="A428" s="12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4" t="str">
        <f aca="false">IF(K428="","",IFERROR(INDEX(Lists!$G$2:$G$5,MATCH(K428,Lists!$F$2:$F$5,0)),""))</f>
        <v/>
      </c>
      <c r="M428" s="13"/>
      <c r="N428" s="13"/>
      <c r="O428" s="13"/>
      <c r="P428" s="13"/>
      <c r="Q428" s="12"/>
      <c r="R428" s="15" t="str">
        <f aca="true">IF(OR(C428="",Q428=""),"",IF(OR(J428="Won",J428="Lost"),"",IF(Q428&lt;TODAY(),"OVERDUE",IF(Q428=TODAY(),"TODAY",""))))</f>
        <v/>
      </c>
      <c r="S428" s="12"/>
      <c r="T428" s="12"/>
      <c r="U428" s="13"/>
    </row>
    <row r="429" customFormat="false" ht="15" hidden="false" customHeight="false" outlineLevel="0" collapsed="false">
      <c r="A429" s="12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4" t="str">
        <f aca="false">IF(K429="","",IFERROR(INDEX(Lists!$G$2:$G$5,MATCH(K429,Lists!$F$2:$F$5,0)),""))</f>
        <v/>
      </c>
      <c r="M429" s="13"/>
      <c r="N429" s="13"/>
      <c r="O429" s="13"/>
      <c r="P429" s="13"/>
      <c r="Q429" s="12"/>
      <c r="R429" s="15" t="str">
        <f aca="true">IF(OR(C429="",Q429=""),"",IF(OR(J429="Won",J429="Lost"),"",IF(Q429&lt;TODAY(),"OVERDUE",IF(Q429=TODAY(),"TODAY",""))))</f>
        <v/>
      </c>
      <c r="S429" s="12"/>
      <c r="T429" s="12"/>
      <c r="U429" s="13"/>
    </row>
    <row r="430" customFormat="false" ht="15" hidden="false" customHeight="false" outlineLevel="0" collapsed="false">
      <c r="A430" s="12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4" t="str">
        <f aca="false">IF(K430="","",IFERROR(INDEX(Lists!$G$2:$G$5,MATCH(K430,Lists!$F$2:$F$5,0)),""))</f>
        <v/>
      </c>
      <c r="M430" s="13"/>
      <c r="N430" s="13"/>
      <c r="O430" s="13"/>
      <c r="P430" s="13"/>
      <c r="Q430" s="12"/>
      <c r="R430" s="15" t="str">
        <f aca="true">IF(OR(C430="",Q430=""),"",IF(OR(J430="Won",J430="Lost"),"",IF(Q430&lt;TODAY(),"OVERDUE",IF(Q430=TODAY(),"TODAY",""))))</f>
        <v/>
      </c>
      <c r="S430" s="12"/>
      <c r="T430" s="12"/>
      <c r="U430" s="13"/>
    </row>
    <row r="431" customFormat="false" ht="15" hidden="false" customHeight="false" outlineLevel="0" collapsed="false">
      <c r="A431" s="12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4" t="str">
        <f aca="false">IF(K431="","",IFERROR(INDEX(Lists!$G$2:$G$5,MATCH(K431,Lists!$F$2:$F$5,0)),""))</f>
        <v/>
      </c>
      <c r="M431" s="13"/>
      <c r="N431" s="13"/>
      <c r="O431" s="13"/>
      <c r="P431" s="13"/>
      <c r="Q431" s="12"/>
      <c r="R431" s="15" t="str">
        <f aca="true">IF(OR(C431="",Q431=""),"",IF(OR(J431="Won",J431="Lost"),"",IF(Q431&lt;TODAY(),"OVERDUE",IF(Q431=TODAY(),"TODAY",""))))</f>
        <v/>
      </c>
      <c r="S431" s="12"/>
      <c r="T431" s="12"/>
      <c r="U431" s="13"/>
    </row>
    <row r="432" customFormat="false" ht="15" hidden="false" customHeight="false" outlineLevel="0" collapsed="false">
      <c r="A432" s="12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4" t="str">
        <f aca="false">IF(K432="","",IFERROR(INDEX(Lists!$G$2:$G$5,MATCH(K432,Lists!$F$2:$F$5,0)),""))</f>
        <v/>
      </c>
      <c r="M432" s="13"/>
      <c r="N432" s="13"/>
      <c r="O432" s="13"/>
      <c r="P432" s="13"/>
      <c r="Q432" s="12"/>
      <c r="R432" s="15" t="str">
        <f aca="true">IF(OR(C432="",Q432=""),"",IF(OR(J432="Won",J432="Lost"),"",IF(Q432&lt;TODAY(),"OVERDUE",IF(Q432=TODAY(),"TODAY",""))))</f>
        <v/>
      </c>
      <c r="S432" s="12"/>
      <c r="T432" s="12"/>
      <c r="U432" s="13"/>
    </row>
    <row r="433" customFormat="false" ht="15" hidden="false" customHeight="false" outlineLevel="0" collapsed="false">
      <c r="A433" s="12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4" t="str">
        <f aca="false">IF(K433="","",IFERROR(INDEX(Lists!$G$2:$G$5,MATCH(K433,Lists!$F$2:$F$5,0)),""))</f>
        <v/>
      </c>
      <c r="M433" s="13"/>
      <c r="N433" s="13"/>
      <c r="O433" s="13"/>
      <c r="P433" s="13"/>
      <c r="Q433" s="12"/>
      <c r="R433" s="15" t="str">
        <f aca="true">IF(OR(C433="",Q433=""),"",IF(OR(J433="Won",J433="Lost"),"",IF(Q433&lt;TODAY(),"OVERDUE",IF(Q433=TODAY(),"TODAY",""))))</f>
        <v/>
      </c>
      <c r="S433" s="12"/>
      <c r="T433" s="12"/>
      <c r="U433" s="13"/>
    </row>
    <row r="434" customFormat="false" ht="15" hidden="false" customHeight="false" outlineLevel="0" collapsed="false">
      <c r="A434" s="12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4" t="str">
        <f aca="false">IF(K434="","",IFERROR(INDEX(Lists!$G$2:$G$5,MATCH(K434,Lists!$F$2:$F$5,0)),""))</f>
        <v/>
      </c>
      <c r="M434" s="13"/>
      <c r="N434" s="13"/>
      <c r="O434" s="13"/>
      <c r="P434" s="13"/>
      <c r="Q434" s="12"/>
      <c r="R434" s="15" t="str">
        <f aca="true">IF(OR(C434="",Q434=""),"",IF(OR(J434="Won",J434="Lost"),"",IF(Q434&lt;TODAY(),"OVERDUE",IF(Q434=TODAY(),"TODAY",""))))</f>
        <v/>
      </c>
      <c r="S434" s="12"/>
      <c r="T434" s="12"/>
      <c r="U434" s="13"/>
    </row>
    <row r="435" customFormat="false" ht="15" hidden="false" customHeight="false" outlineLevel="0" collapsed="false">
      <c r="A435" s="12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4" t="str">
        <f aca="false">IF(K435="","",IFERROR(INDEX(Lists!$G$2:$G$5,MATCH(K435,Lists!$F$2:$F$5,0)),""))</f>
        <v/>
      </c>
      <c r="M435" s="13"/>
      <c r="N435" s="13"/>
      <c r="O435" s="13"/>
      <c r="P435" s="13"/>
      <c r="Q435" s="12"/>
      <c r="R435" s="15" t="str">
        <f aca="true">IF(OR(C435="",Q435=""),"",IF(OR(J435="Won",J435="Lost"),"",IF(Q435&lt;TODAY(),"OVERDUE",IF(Q435=TODAY(),"TODAY",""))))</f>
        <v/>
      </c>
      <c r="S435" s="12"/>
      <c r="T435" s="12"/>
      <c r="U435" s="13"/>
    </row>
    <row r="436" customFormat="false" ht="15" hidden="false" customHeight="false" outlineLevel="0" collapsed="false">
      <c r="A436" s="12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4" t="str">
        <f aca="false">IF(K436="","",IFERROR(INDEX(Lists!$G$2:$G$5,MATCH(K436,Lists!$F$2:$F$5,0)),""))</f>
        <v/>
      </c>
      <c r="M436" s="13"/>
      <c r="N436" s="13"/>
      <c r="O436" s="13"/>
      <c r="P436" s="13"/>
      <c r="Q436" s="12"/>
      <c r="R436" s="15" t="str">
        <f aca="true">IF(OR(C436="",Q436=""),"",IF(OR(J436="Won",J436="Lost"),"",IF(Q436&lt;TODAY(),"OVERDUE",IF(Q436=TODAY(),"TODAY",""))))</f>
        <v/>
      </c>
      <c r="S436" s="12"/>
      <c r="T436" s="12"/>
      <c r="U436" s="13"/>
    </row>
    <row r="437" customFormat="false" ht="15" hidden="false" customHeight="false" outlineLevel="0" collapsed="false">
      <c r="A437" s="12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4" t="str">
        <f aca="false">IF(K437="","",IFERROR(INDEX(Lists!$G$2:$G$5,MATCH(K437,Lists!$F$2:$F$5,0)),""))</f>
        <v/>
      </c>
      <c r="M437" s="13"/>
      <c r="N437" s="13"/>
      <c r="O437" s="13"/>
      <c r="P437" s="13"/>
      <c r="Q437" s="12"/>
      <c r="R437" s="15" t="str">
        <f aca="true">IF(OR(C437="",Q437=""),"",IF(OR(J437="Won",J437="Lost"),"",IF(Q437&lt;TODAY(),"OVERDUE",IF(Q437=TODAY(),"TODAY",""))))</f>
        <v/>
      </c>
      <c r="S437" s="12"/>
      <c r="T437" s="12"/>
      <c r="U437" s="13"/>
    </row>
    <row r="438" customFormat="false" ht="15" hidden="false" customHeight="false" outlineLevel="0" collapsed="false">
      <c r="A438" s="12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4" t="str">
        <f aca="false">IF(K438="","",IFERROR(INDEX(Lists!$G$2:$G$5,MATCH(K438,Lists!$F$2:$F$5,0)),""))</f>
        <v/>
      </c>
      <c r="M438" s="13"/>
      <c r="N438" s="13"/>
      <c r="O438" s="13"/>
      <c r="P438" s="13"/>
      <c r="Q438" s="12"/>
      <c r="R438" s="15" t="str">
        <f aca="true">IF(OR(C438="",Q438=""),"",IF(OR(J438="Won",J438="Lost"),"",IF(Q438&lt;TODAY(),"OVERDUE",IF(Q438=TODAY(),"TODAY",""))))</f>
        <v/>
      </c>
      <c r="S438" s="12"/>
      <c r="T438" s="12"/>
      <c r="U438" s="13"/>
    </row>
    <row r="439" customFormat="false" ht="15" hidden="false" customHeight="false" outlineLevel="0" collapsed="false">
      <c r="A439" s="12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4" t="str">
        <f aca="false">IF(K439="","",IFERROR(INDEX(Lists!$G$2:$G$5,MATCH(K439,Lists!$F$2:$F$5,0)),""))</f>
        <v/>
      </c>
      <c r="M439" s="13"/>
      <c r="N439" s="13"/>
      <c r="O439" s="13"/>
      <c r="P439" s="13"/>
      <c r="Q439" s="12"/>
      <c r="R439" s="15" t="str">
        <f aca="true">IF(OR(C439="",Q439=""),"",IF(OR(J439="Won",J439="Lost"),"",IF(Q439&lt;TODAY(),"OVERDUE",IF(Q439=TODAY(),"TODAY",""))))</f>
        <v/>
      </c>
      <c r="S439" s="12"/>
      <c r="T439" s="12"/>
      <c r="U439" s="13"/>
    </row>
    <row r="440" customFormat="false" ht="15" hidden="false" customHeight="false" outlineLevel="0" collapsed="false">
      <c r="A440" s="12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4" t="str">
        <f aca="false">IF(K440="","",IFERROR(INDEX(Lists!$G$2:$G$5,MATCH(K440,Lists!$F$2:$F$5,0)),""))</f>
        <v/>
      </c>
      <c r="M440" s="13"/>
      <c r="N440" s="13"/>
      <c r="O440" s="13"/>
      <c r="P440" s="13"/>
      <c r="Q440" s="12"/>
      <c r="R440" s="15" t="str">
        <f aca="true">IF(OR(C440="",Q440=""),"",IF(OR(J440="Won",J440="Lost"),"",IF(Q440&lt;TODAY(),"OVERDUE",IF(Q440=TODAY(),"TODAY",""))))</f>
        <v/>
      </c>
      <c r="S440" s="12"/>
      <c r="T440" s="12"/>
      <c r="U440" s="13"/>
    </row>
    <row r="441" customFormat="false" ht="15" hidden="false" customHeight="false" outlineLevel="0" collapsed="false">
      <c r="A441" s="12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4" t="str">
        <f aca="false">IF(K441="","",IFERROR(INDEX(Lists!$G$2:$G$5,MATCH(K441,Lists!$F$2:$F$5,0)),""))</f>
        <v/>
      </c>
      <c r="M441" s="13"/>
      <c r="N441" s="13"/>
      <c r="O441" s="13"/>
      <c r="P441" s="13"/>
      <c r="Q441" s="12"/>
      <c r="R441" s="15" t="str">
        <f aca="true">IF(OR(C441="",Q441=""),"",IF(OR(J441="Won",J441="Lost"),"",IF(Q441&lt;TODAY(),"OVERDUE",IF(Q441=TODAY(),"TODAY",""))))</f>
        <v/>
      </c>
      <c r="S441" s="12"/>
      <c r="T441" s="12"/>
      <c r="U441" s="13"/>
    </row>
    <row r="442" customFormat="false" ht="15" hidden="false" customHeight="false" outlineLevel="0" collapsed="false">
      <c r="A442" s="12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4" t="str">
        <f aca="false">IF(K442="","",IFERROR(INDEX(Lists!$G$2:$G$5,MATCH(K442,Lists!$F$2:$F$5,0)),""))</f>
        <v/>
      </c>
      <c r="M442" s="13"/>
      <c r="N442" s="13"/>
      <c r="O442" s="13"/>
      <c r="P442" s="13"/>
      <c r="Q442" s="12"/>
      <c r="R442" s="15" t="str">
        <f aca="true">IF(OR(C442="",Q442=""),"",IF(OR(J442="Won",J442="Lost"),"",IF(Q442&lt;TODAY(),"OVERDUE",IF(Q442=TODAY(),"TODAY",""))))</f>
        <v/>
      </c>
      <c r="S442" s="12"/>
      <c r="T442" s="12"/>
      <c r="U442" s="13"/>
    </row>
    <row r="443" customFormat="false" ht="15" hidden="false" customHeight="false" outlineLevel="0" collapsed="false">
      <c r="A443" s="12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4" t="str">
        <f aca="false">IF(K443="","",IFERROR(INDEX(Lists!$G$2:$G$5,MATCH(K443,Lists!$F$2:$F$5,0)),""))</f>
        <v/>
      </c>
      <c r="M443" s="13"/>
      <c r="N443" s="13"/>
      <c r="O443" s="13"/>
      <c r="P443" s="13"/>
      <c r="Q443" s="12"/>
      <c r="R443" s="15" t="str">
        <f aca="true">IF(OR(C443="",Q443=""),"",IF(OR(J443="Won",J443="Lost"),"",IF(Q443&lt;TODAY(),"OVERDUE",IF(Q443=TODAY(),"TODAY",""))))</f>
        <v/>
      </c>
      <c r="S443" s="12"/>
      <c r="T443" s="12"/>
      <c r="U443" s="13"/>
    </row>
    <row r="444" customFormat="false" ht="15" hidden="false" customHeight="false" outlineLevel="0" collapsed="false">
      <c r="A444" s="12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4" t="str">
        <f aca="false">IF(K444="","",IFERROR(INDEX(Lists!$G$2:$G$5,MATCH(K444,Lists!$F$2:$F$5,0)),""))</f>
        <v/>
      </c>
      <c r="M444" s="13"/>
      <c r="N444" s="13"/>
      <c r="O444" s="13"/>
      <c r="P444" s="13"/>
      <c r="Q444" s="12"/>
      <c r="R444" s="15" t="str">
        <f aca="true">IF(OR(C444="",Q444=""),"",IF(OR(J444="Won",J444="Lost"),"",IF(Q444&lt;TODAY(),"OVERDUE",IF(Q444=TODAY(),"TODAY",""))))</f>
        <v/>
      </c>
      <c r="S444" s="12"/>
      <c r="T444" s="12"/>
      <c r="U444" s="13"/>
    </row>
    <row r="445" customFormat="false" ht="15" hidden="false" customHeight="false" outlineLevel="0" collapsed="false">
      <c r="A445" s="12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4" t="str">
        <f aca="false">IF(K445="","",IFERROR(INDEX(Lists!$G$2:$G$5,MATCH(K445,Lists!$F$2:$F$5,0)),""))</f>
        <v/>
      </c>
      <c r="M445" s="13"/>
      <c r="N445" s="13"/>
      <c r="O445" s="13"/>
      <c r="P445" s="13"/>
      <c r="Q445" s="12"/>
      <c r="R445" s="15" t="str">
        <f aca="true">IF(OR(C445="",Q445=""),"",IF(OR(J445="Won",J445="Lost"),"",IF(Q445&lt;TODAY(),"OVERDUE",IF(Q445=TODAY(),"TODAY",""))))</f>
        <v/>
      </c>
      <c r="S445" s="12"/>
      <c r="T445" s="12"/>
      <c r="U445" s="13"/>
    </row>
    <row r="446" customFormat="false" ht="15" hidden="false" customHeight="false" outlineLevel="0" collapsed="false">
      <c r="A446" s="12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4" t="str">
        <f aca="false">IF(K446="","",IFERROR(INDEX(Lists!$G$2:$G$5,MATCH(K446,Lists!$F$2:$F$5,0)),""))</f>
        <v/>
      </c>
      <c r="M446" s="13"/>
      <c r="N446" s="13"/>
      <c r="O446" s="13"/>
      <c r="P446" s="13"/>
      <c r="Q446" s="12"/>
      <c r="R446" s="15" t="str">
        <f aca="true">IF(OR(C446="",Q446=""),"",IF(OR(J446="Won",J446="Lost"),"",IF(Q446&lt;TODAY(),"OVERDUE",IF(Q446=TODAY(),"TODAY",""))))</f>
        <v/>
      </c>
      <c r="S446" s="12"/>
      <c r="T446" s="12"/>
      <c r="U446" s="13"/>
    </row>
    <row r="447" customFormat="false" ht="15" hidden="false" customHeight="false" outlineLevel="0" collapsed="false">
      <c r="A447" s="12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4" t="str">
        <f aca="false">IF(K447="","",IFERROR(INDEX(Lists!$G$2:$G$5,MATCH(K447,Lists!$F$2:$F$5,0)),""))</f>
        <v/>
      </c>
      <c r="M447" s="13"/>
      <c r="N447" s="13"/>
      <c r="O447" s="13"/>
      <c r="P447" s="13"/>
      <c r="Q447" s="12"/>
      <c r="R447" s="15" t="str">
        <f aca="true">IF(OR(C447="",Q447=""),"",IF(OR(J447="Won",J447="Lost"),"",IF(Q447&lt;TODAY(),"OVERDUE",IF(Q447=TODAY(),"TODAY",""))))</f>
        <v/>
      </c>
      <c r="S447" s="12"/>
      <c r="T447" s="12"/>
      <c r="U447" s="13"/>
    </row>
    <row r="448" customFormat="false" ht="15" hidden="false" customHeight="false" outlineLevel="0" collapsed="false">
      <c r="A448" s="12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4" t="str">
        <f aca="false">IF(K448="","",IFERROR(INDEX(Lists!$G$2:$G$5,MATCH(K448,Lists!$F$2:$F$5,0)),""))</f>
        <v/>
      </c>
      <c r="M448" s="13"/>
      <c r="N448" s="13"/>
      <c r="O448" s="13"/>
      <c r="P448" s="13"/>
      <c r="Q448" s="12"/>
      <c r="R448" s="15" t="str">
        <f aca="true">IF(OR(C448="",Q448=""),"",IF(OR(J448="Won",J448="Lost"),"",IF(Q448&lt;TODAY(),"OVERDUE",IF(Q448=TODAY(),"TODAY",""))))</f>
        <v/>
      </c>
      <c r="S448" s="12"/>
      <c r="T448" s="12"/>
      <c r="U448" s="13"/>
    </row>
    <row r="449" customFormat="false" ht="15" hidden="false" customHeight="false" outlineLevel="0" collapsed="false">
      <c r="A449" s="12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4" t="str">
        <f aca="false">IF(K449="","",IFERROR(INDEX(Lists!$G$2:$G$5,MATCH(K449,Lists!$F$2:$F$5,0)),""))</f>
        <v/>
      </c>
      <c r="M449" s="13"/>
      <c r="N449" s="13"/>
      <c r="O449" s="13"/>
      <c r="P449" s="13"/>
      <c r="Q449" s="12"/>
      <c r="R449" s="15" t="str">
        <f aca="true">IF(OR(C449="",Q449=""),"",IF(OR(J449="Won",J449="Lost"),"",IF(Q449&lt;TODAY(),"OVERDUE",IF(Q449=TODAY(),"TODAY",""))))</f>
        <v/>
      </c>
      <c r="S449" s="12"/>
      <c r="T449" s="12"/>
      <c r="U449" s="13"/>
    </row>
    <row r="450" customFormat="false" ht="15" hidden="false" customHeight="false" outlineLevel="0" collapsed="false">
      <c r="A450" s="12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4" t="str">
        <f aca="false">IF(K450="","",IFERROR(INDEX(Lists!$G$2:$G$5,MATCH(K450,Lists!$F$2:$F$5,0)),""))</f>
        <v/>
      </c>
      <c r="M450" s="13"/>
      <c r="N450" s="13"/>
      <c r="O450" s="13"/>
      <c r="P450" s="13"/>
      <c r="Q450" s="12"/>
      <c r="R450" s="15" t="str">
        <f aca="true">IF(OR(C450="",Q450=""),"",IF(OR(J450="Won",J450="Lost"),"",IF(Q450&lt;TODAY(),"OVERDUE",IF(Q450=TODAY(),"TODAY",""))))</f>
        <v/>
      </c>
      <c r="S450" s="12"/>
      <c r="T450" s="12"/>
      <c r="U450" s="13"/>
    </row>
    <row r="451" customFormat="false" ht="15" hidden="false" customHeight="false" outlineLevel="0" collapsed="false">
      <c r="A451" s="12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4" t="str">
        <f aca="false">IF(K451="","",IFERROR(INDEX(Lists!$G$2:$G$5,MATCH(K451,Lists!$F$2:$F$5,0)),""))</f>
        <v/>
      </c>
      <c r="M451" s="13"/>
      <c r="N451" s="13"/>
      <c r="O451" s="13"/>
      <c r="P451" s="13"/>
      <c r="Q451" s="12"/>
      <c r="R451" s="15" t="str">
        <f aca="true">IF(OR(C451="",Q451=""),"",IF(OR(J451="Won",J451="Lost"),"",IF(Q451&lt;TODAY(),"OVERDUE",IF(Q451=TODAY(),"TODAY",""))))</f>
        <v/>
      </c>
      <c r="S451" s="12"/>
      <c r="T451" s="12"/>
      <c r="U451" s="13"/>
    </row>
    <row r="452" customFormat="false" ht="15" hidden="false" customHeight="false" outlineLevel="0" collapsed="false">
      <c r="A452" s="12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4" t="str">
        <f aca="false">IF(K452="","",IFERROR(INDEX(Lists!$G$2:$G$5,MATCH(K452,Lists!$F$2:$F$5,0)),""))</f>
        <v/>
      </c>
      <c r="M452" s="13"/>
      <c r="N452" s="13"/>
      <c r="O452" s="13"/>
      <c r="P452" s="13"/>
      <c r="Q452" s="12"/>
      <c r="R452" s="15" t="str">
        <f aca="true">IF(OR(C452="",Q452=""),"",IF(OR(J452="Won",J452="Lost"),"",IF(Q452&lt;TODAY(),"OVERDUE",IF(Q452=TODAY(),"TODAY",""))))</f>
        <v/>
      </c>
      <c r="S452" s="12"/>
      <c r="T452" s="12"/>
      <c r="U452" s="13"/>
    </row>
    <row r="453" customFormat="false" ht="15" hidden="false" customHeight="false" outlineLevel="0" collapsed="false">
      <c r="A453" s="12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4" t="str">
        <f aca="false">IF(K453="","",IFERROR(INDEX(Lists!$G$2:$G$5,MATCH(K453,Lists!$F$2:$F$5,0)),""))</f>
        <v/>
      </c>
      <c r="M453" s="13"/>
      <c r="N453" s="13"/>
      <c r="O453" s="13"/>
      <c r="P453" s="13"/>
      <c r="Q453" s="12"/>
      <c r="R453" s="15" t="str">
        <f aca="true">IF(OR(C453="",Q453=""),"",IF(OR(J453="Won",J453="Lost"),"",IF(Q453&lt;TODAY(),"OVERDUE",IF(Q453=TODAY(),"TODAY",""))))</f>
        <v/>
      </c>
      <c r="S453" s="12"/>
      <c r="T453" s="12"/>
      <c r="U453" s="13"/>
    </row>
    <row r="454" customFormat="false" ht="15" hidden="false" customHeight="false" outlineLevel="0" collapsed="false">
      <c r="A454" s="12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4" t="str">
        <f aca="false">IF(K454="","",IFERROR(INDEX(Lists!$G$2:$G$5,MATCH(K454,Lists!$F$2:$F$5,0)),""))</f>
        <v/>
      </c>
      <c r="M454" s="13"/>
      <c r="N454" s="13"/>
      <c r="O454" s="13"/>
      <c r="P454" s="13"/>
      <c r="Q454" s="12"/>
      <c r="R454" s="15" t="str">
        <f aca="true">IF(OR(C454="",Q454=""),"",IF(OR(J454="Won",J454="Lost"),"",IF(Q454&lt;TODAY(),"OVERDUE",IF(Q454=TODAY(),"TODAY",""))))</f>
        <v/>
      </c>
      <c r="S454" s="12"/>
      <c r="T454" s="12"/>
      <c r="U454" s="13"/>
    </row>
    <row r="455" customFormat="false" ht="15" hidden="false" customHeight="false" outlineLevel="0" collapsed="false">
      <c r="A455" s="12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4" t="str">
        <f aca="false">IF(K455="","",IFERROR(INDEX(Lists!$G$2:$G$5,MATCH(K455,Lists!$F$2:$F$5,0)),""))</f>
        <v/>
      </c>
      <c r="M455" s="13"/>
      <c r="N455" s="13"/>
      <c r="O455" s="13"/>
      <c r="P455" s="13"/>
      <c r="Q455" s="12"/>
      <c r="R455" s="15" t="str">
        <f aca="true">IF(OR(C455="",Q455=""),"",IF(OR(J455="Won",J455="Lost"),"",IF(Q455&lt;TODAY(),"OVERDUE",IF(Q455=TODAY(),"TODAY",""))))</f>
        <v/>
      </c>
      <c r="S455" s="12"/>
      <c r="T455" s="12"/>
      <c r="U455" s="13"/>
    </row>
    <row r="456" customFormat="false" ht="15" hidden="false" customHeight="false" outlineLevel="0" collapsed="false">
      <c r="A456" s="12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4" t="str">
        <f aca="false">IF(K456="","",IFERROR(INDEX(Lists!$G$2:$G$5,MATCH(K456,Lists!$F$2:$F$5,0)),""))</f>
        <v/>
      </c>
      <c r="M456" s="13"/>
      <c r="N456" s="13"/>
      <c r="O456" s="13"/>
      <c r="P456" s="13"/>
      <c r="Q456" s="12"/>
      <c r="R456" s="15" t="str">
        <f aca="true">IF(OR(C456="",Q456=""),"",IF(OR(J456="Won",J456="Lost"),"",IF(Q456&lt;TODAY(),"OVERDUE",IF(Q456=TODAY(),"TODAY",""))))</f>
        <v/>
      </c>
      <c r="S456" s="12"/>
      <c r="T456" s="12"/>
      <c r="U456" s="13"/>
    </row>
    <row r="457" customFormat="false" ht="15" hidden="false" customHeight="false" outlineLevel="0" collapsed="false">
      <c r="A457" s="12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4" t="str">
        <f aca="false">IF(K457="","",IFERROR(INDEX(Lists!$G$2:$G$5,MATCH(K457,Lists!$F$2:$F$5,0)),""))</f>
        <v/>
      </c>
      <c r="M457" s="13"/>
      <c r="N457" s="13"/>
      <c r="O457" s="13"/>
      <c r="P457" s="13"/>
      <c r="Q457" s="12"/>
      <c r="R457" s="15" t="str">
        <f aca="true">IF(OR(C457="",Q457=""),"",IF(OR(J457="Won",J457="Lost"),"",IF(Q457&lt;TODAY(),"OVERDUE",IF(Q457=TODAY(),"TODAY",""))))</f>
        <v/>
      </c>
      <c r="S457" s="12"/>
      <c r="T457" s="12"/>
      <c r="U457" s="13"/>
    </row>
    <row r="458" customFormat="false" ht="15" hidden="false" customHeight="false" outlineLevel="0" collapsed="false">
      <c r="A458" s="12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4" t="str">
        <f aca="false">IF(K458="","",IFERROR(INDEX(Lists!$G$2:$G$5,MATCH(K458,Lists!$F$2:$F$5,0)),""))</f>
        <v/>
      </c>
      <c r="M458" s="13"/>
      <c r="N458" s="13"/>
      <c r="O458" s="13"/>
      <c r="P458" s="13"/>
      <c r="Q458" s="12"/>
      <c r="R458" s="15" t="str">
        <f aca="true">IF(OR(C458="",Q458=""),"",IF(OR(J458="Won",J458="Lost"),"",IF(Q458&lt;TODAY(),"OVERDUE",IF(Q458=TODAY(),"TODAY",""))))</f>
        <v/>
      </c>
      <c r="S458" s="12"/>
      <c r="T458" s="12"/>
      <c r="U458" s="13"/>
    </row>
    <row r="459" customFormat="false" ht="15" hidden="false" customHeight="false" outlineLevel="0" collapsed="false">
      <c r="A459" s="12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4" t="str">
        <f aca="false">IF(K459="","",IFERROR(INDEX(Lists!$G$2:$G$5,MATCH(K459,Lists!$F$2:$F$5,0)),""))</f>
        <v/>
      </c>
      <c r="M459" s="13"/>
      <c r="N459" s="13"/>
      <c r="O459" s="13"/>
      <c r="P459" s="13"/>
      <c r="Q459" s="12"/>
      <c r="R459" s="15" t="str">
        <f aca="true">IF(OR(C459="",Q459=""),"",IF(OR(J459="Won",J459="Lost"),"",IF(Q459&lt;TODAY(),"OVERDUE",IF(Q459=TODAY(),"TODAY",""))))</f>
        <v/>
      </c>
      <c r="S459" s="12"/>
      <c r="T459" s="12"/>
      <c r="U459" s="13"/>
    </row>
    <row r="460" customFormat="false" ht="15" hidden="false" customHeight="false" outlineLevel="0" collapsed="false">
      <c r="A460" s="12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4" t="str">
        <f aca="false">IF(K460="","",IFERROR(INDEX(Lists!$G$2:$G$5,MATCH(K460,Lists!$F$2:$F$5,0)),""))</f>
        <v/>
      </c>
      <c r="M460" s="13"/>
      <c r="N460" s="13"/>
      <c r="O460" s="13"/>
      <c r="P460" s="13"/>
      <c r="Q460" s="12"/>
      <c r="R460" s="15" t="str">
        <f aca="true">IF(OR(C460="",Q460=""),"",IF(OR(J460="Won",J460="Lost"),"",IF(Q460&lt;TODAY(),"OVERDUE",IF(Q460=TODAY(),"TODAY",""))))</f>
        <v/>
      </c>
      <c r="S460" s="12"/>
      <c r="T460" s="12"/>
      <c r="U460" s="13"/>
    </row>
    <row r="461" customFormat="false" ht="15" hidden="false" customHeight="false" outlineLevel="0" collapsed="false">
      <c r="A461" s="12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4" t="str">
        <f aca="false">IF(K461="","",IFERROR(INDEX(Lists!$G$2:$G$5,MATCH(K461,Lists!$F$2:$F$5,0)),""))</f>
        <v/>
      </c>
      <c r="M461" s="13"/>
      <c r="N461" s="13"/>
      <c r="O461" s="13"/>
      <c r="P461" s="13"/>
      <c r="Q461" s="12"/>
      <c r="R461" s="15" t="str">
        <f aca="true">IF(OR(C461="",Q461=""),"",IF(OR(J461="Won",J461="Lost"),"",IF(Q461&lt;TODAY(),"OVERDUE",IF(Q461=TODAY(),"TODAY",""))))</f>
        <v/>
      </c>
      <c r="S461" s="12"/>
      <c r="T461" s="12"/>
      <c r="U461" s="13"/>
    </row>
    <row r="462" customFormat="false" ht="15" hidden="false" customHeight="false" outlineLevel="0" collapsed="false">
      <c r="A462" s="12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4" t="str">
        <f aca="false">IF(K462="","",IFERROR(INDEX(Lists!$G$2:$G$5,MATCH(K462,Lists!$F$2:$F$5,0)),""))</f>
        <v/>
      </c>
      <c r="M462" s="13"/>
      <c r="N462" s="13"/>
      <c r="O462" s="13"/>
      <c r="P462" s="13"/>
      <c r="Q462" s="12"/>
      <c r="R462" s="15" t="str">
        <f aca="true">IF(OR(C462="",Q462=""),"",IF(OR(J462="Won",J462="Lost"),"",IF(Q462&lt;TODAY(),"OVERDUE",IF(Q462=TODAY(),"TODAY",""))))</f>
        <v/>
      </c>
      <c r="S462" s="12"/>
      <c r="T462" s="12"/>
      <c r="U462" s="13"/>
    </row>
    <row r="463" customFormat="false" ht="15" hidden="false" customHeight="false" outlineLevel="0" collapsed="false">
      <c r="A463" s="12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4" t="str">
        <f aca="false">IF(K463="","",IFERROR(INDEX(Lists!$G$2:$G$5,MATCH(K463,Lists!$F$2:$F$5,0)),""))</f>
        <v/>
      </c>
      <c r="M463" s="13"/>
      <c r="N463" s="13"/>
      <c r="O463" s="13"/>
      <c r="P463" s="13"/>
      <c r="Q463" s="12"/>
      <c r="R463" s="15" t="str">
        <f aca="true">IF(OR(C463="",Q463=""),"",IF(OR(J463="Won",J463="Lost"),"",IF(Q463&lt;TODAY(),"OVERDUE",IF(Q463=TODAY(),"TODAY",""))))</f>
        <v/>
      </c>
      <c r="S463" s="12"/>
      <c r="T463" s="12"/>
      <c r="U463" s="13"/>
    </row>
    <row r="464" customFormat="false" ht="15" hidden="false" customHeight="false" outlineLevel="0" collapsed="false">
      <c r="A464" s="12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4" t="str">
        <f aca="false">IF(K464="","",IFERROR(INDEX(Lists!$G$2:$G$5,MATCH(K464,Lists!$F$2:$F$5,0)),""))</f>
        <v/>
      </c>
      <c r="M464" s="13"/>
      <c r="N464" s="13"/>
      <c r="O464" s="13"/>
      <c r="P464" s="13"/>
      <c r="Q464" s="12"/>
      <c r="R464" s="15" t="str">
        <f aca="true">IF(OR(C464="",Q464=""),"",IF(OR(J464="Won",J464="Lost"),"",IF(Q464&lt;TODAY(),"OVERDUE",IF(Q464=TODAY(),"TODAY",""))))</f>
        <v/>
      </c>
      <c r="S464" s="12"/>
      <c r="T464" s="12"/>
      <c r="U464" s="13"/>
    </row>
    <row r="465" customFormat="false" ht="15" hidden="false" customHeight="false" outlineLevel="0" collapsed="false">
      <c r="A465" s="12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4" t="str">
        <f aca="false">IF(K465="","",IFERROR(INDEX(Lists!$G$2:$G$5,MATCH(K465,Lists!$F$2:$F$5,0)),""))</f>
        <v/>
      </c>
      <c r="M465" s="13"/>
      <c r="N465" s="13"/>
      <c r="O465" s="13"/>
      <c r="P465" s="13"/>
      <c r="Q465" s="12"/>
      <c r="R465" s="15" t="str">
        <f aca="true">IF(OR(C465="",Q465=""),"",IF(OR(J465="Won",J465="Lost"),"",IF(Q465&lt;TODAY(),"OVERDUE",IF(Q465=TODAY(),"TODAY",""))))</f>
        <v/>
      </c>
      <c r="S465" s="12"/>
      <c r="T465" s="12"/>
      <c r="U465" s="13"/>
    </row>
    <row r="466" customFormat="false" ht="15" hidden="false" customHeight="false" outlineLevel="0" collapsed="false">
      <c r="A466" s="12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4" t="str">
        <f aca="false">IF(K466="","",IFERROR(INDEX(Lists!$G$2:$G$5,MATCH(K466,Lists!$F$2:$F$5,0)),""))</f>
        <v/>
      </c>
      <c r="M466" s="13"/>
      <c r="N466" s="13"/>
      <c r="O466" s="13"/>
      <c r="P466" s="13"/>
      <c r="Q466" s="12"/>
      <c r="R466" s="15" t="str">
        <f aca="true">IF(OR(C466="",Q466=""),"",IF(OR(J466="Won",J466="Lost"),"",IF(Q466&lt;TODAY(),"OVERDUE",IF(Q466=TODAY(),"TODAY",""))))</f>
        <v/>
      </c>
      <c r="S466" s="12"/>
      <c r="T466" s="12"/>
      <c r="U466" s="13"/>
    </row>
    <row r="467" customFormat="false" ht="15" hidden="false" customHeight="false" outlineLevel="0" collapsed="false">
      <c r="A467" s="12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4" t="str">
        <f aca="false">IF(K467="","",IFERROR(INDEX(Lists!$G$2:$G$5,MATCH(K467,Lists!$F$2:$F$5,0)),""))</f>
        <v/>
      </c>
      <c r="M467" s="13"/>
      <c r="N467" s="13"/>
      <c r="O467" s="13"/>
      <c r="P467" s="13"/>
      <c r="Q467" s="12"/>
      <c r="R467" s="15" t="str">
        <f aca="true">IF(OR(C467="",Q467=""),"",IF(OR(J467="Won",J467="Lost"),"",IF(Q467&lt;TODAY(),"OVERDUE",IF(Q467=TODAY(),"TODAY",""))))</f>
        <v/>
      </c>
      <c r="S467" s="12"/>
      <c r="T467" s="12"/>
      <c r="U467" s="13"/>
    </row>
    <row r="468" customFormat="false" ht="15" hidden="false" customHeight="false" outlineLevel="0" collapsed="false">
      <c r="A468" s="12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4" t="str">
        <f aca="false">IF(K468="","",IFERROR(INDEX(Lists!$G$2:$G$5,MATCH(K468,Lists!$F$2:$F$5,0)),""))</f>
        <v/>
      </c>
      <c r="M468" s="13"/>
      <c r="N468" s="13"/>
      <c r="O468" s="13"/>
      <c r="P468" s="13"/>
      <c r="Q468" s="12"/>
      <c r="R468" s="15" t="str">
        <f aca="true">IF(OR(C468="",Q468=""),"",IF(OR(J468="Won",J468="Lost"),"",IF(Q468&lt;TODAY(),"OVERDUE",IF(Q468=TODAY(),"TODAY",""))))</f>
        <v/>
      </c>
      <c r="S468" s="12"/>
      <c r="T468" s="12"/>
      <c r="U468" s="13"/>
    </row>
    <row r="469" customFormat="false" ht="15" hidden="false" customHeight="false" outlineLevel="0" collapsed="false">
      <c r="A469" s="12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4" t="str">
        <f aca="false">IF(K469="","",IFERROR(INDEX(Lists!$G$2:$G$5,MATCH(K469,Lists!$F$2:$F$5,0)),""))</f>
        <v/>
      </c>
      <c r="M469" s="13"/>
      <c r="N469" s="13"/>
      <c r="O469" s="13"/>
      <c r="P469" s="13"/>
      <c r="Q469" s="12"/>
      <c r="R469" s="15" t="str">
        <f aca="true">IF(OR(C469="",Q469=""),"",IF(OR(J469="Won",J469="Lost"),"",IF(Q469&lt;TODAY(),"OVERDUE",IF(Q469=TODAY(),"TODAY",""))))</f>
        <v/>
      </c>
      <c r="S469" s="12"/>
      <c r="T469" s="12"/>
      <c r="U469" s="13"/>
    </row>
    <row r="470" customFormat="false" ht="15" hidden="false" customHeight="false" outlineLevel="0" collapsed="false">
      <c r="A470" s="12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4" t="str">
        <f aca="false">IF(K470="","",IFERROR(INDEX(Lists!$G$2:$G$5,MATCH(K470,Lists!$F$2:$F$5,0)),""))</f>
        <v/>
      </c>
      <c r="M470" s="13"/>
      <c r="N470" s="13"/>
      <c r="O470" s="13"/>
      <c r="P470" s="13"/>
      <c r="Q470" s="12"/>
      <c r="R470" s="15" t="str">
        <f aca="true">IF(OR(C470="",Q470=""),"",IF(OR(J470="Won",J470="Lost"),"",IF(Q470&lt;TODAY(),"OVERDUE",IF(Q470=TODAY(),"TODAY",""))))</f>
        <v/>
      </c>
      <c r="S470" s="12"/>
      <c r="T470" s="12"/>
      <c r="U470" s="13"/>
    </row>
    <row r="471" customFormat="false" ht="15" hidden="false" customHeight="false" outlineLevel="0" collapsed="false">
      <c r="A471" s="12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4" t="str">
        <f aca="false">IF(K471="","",IFERROR(INDEX(Lists!$G$2:$G$5,MATCH(K471,Lists!$F$2:$F$5,0)),""))</f>
        <v/>
      </c>
      <c r="M471" s="13"/>
      <c r="N471" s="13"/>
      <c r="O471" s="13"/>
      <c r="P471" s="13"/>
      <c r="Q471" s="12"/>
      <c r="R471" s="15" t="str">
        <f aca="true">IF(OR(C471="",Q471=""),"",IF(OR(J471="Won",J471="Lost"),"",IF(Q471&lt;TODAY(),"OVERDUE",IF(Q471=TODAY(),"TODAY",""))))</f>
        <v/>
      </c>
      <c r="S471" s="12"/>
      <c r="T471" s="12"/>
      <c r="U471" s="13"/>
    </row>
    <row r="472" customFormat="false" ht="15" hidden="false" customHeight="false" outlineLevel="0" collapsed="false">
      <c r="A472" s="12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4" t="str">
        <f aca="false">IF(K472="","",IFERROR(INDEX(Lists!$G$2:$G$5,MATCH(K472,Lists!$F$2:$F$5,0)),""))</f>
        <v/>
      </c>
      <c r="M472" s="13"/>
      <c r="N472" s="13"/>
      <c r="O472" s="13"/>
      <c r="P472" s="13"/>
      <c r="Q472" s="12"/>
      <c r="R472" s="15" t="str">
        <f aca="true">IF(OR(C472="",Q472=""),"",IF(OR(J472="Won",J472="Lost"),"",IF(Q472&lt;TODAY(),"OVERDUE",IF(Q472=TODAY(),"TODAY",""))))</f>
        <v/>
      </c>
      <c r="S472" s="12"/>
      <c r="T472" s="12"/>
      <c r="U472" s="13"/>
    </row>
    <row r="473" customFormat="false" ht="15" hidden="false" customHeight="false" outlineLevel="0" collapsed="false">
      <c r="A473" s="12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4" t="str">
        <f aca="false">IF(K473="","",IFERROR(INDEX(Lists!$G$2:$G$5,MATCH(K473,Lists!$F$2:$F$5,0)),""))</f>
        <v/>
      </c>
      <c r="M473" s="13"/>
      <c r="N473" s="13"/>
      <c r="O473" s="13"/>
      <c r="P473" s="13"/>
      <c r="Q473" s="12"/>
      <c r="R473" s="15" t="str">
        <f aca="true">IF(OR(C473="",Q473=""),"",IF(OR(J473="Won",J473="Lost"),"",IF(Q473&lt;TODAY(),"OVERDUE",IF(Q473=TODAY(),"TODAY",""))))</f>
        <v/>
      </c>
      <c r="S473" s="12"/>
      <c r="T473" s="12"/>
      <c r="U473" s="13"/>
    </row>
    <row r="474" customFormat="false" ht="15" hidden="false" customHeight="false" outlineLevel="0" collapsed="false">
      <c r="A474" s="12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4" t="str">
        <f aca="false">IF(K474="","",IFERROR(INDEX(Lists!$G$2:$G$5,MATCH(K474,Lists!$F$2:$F$5,0)),""))</f>
        <v/>
      </c>
      <c r="M474" s="13"/>
      <c r="N474" s="13"/>
      <c r="O474" s="13"/>
      <c r="P474" s="13"/>
      <c r="Q474" s="12"/>
      <c r="R474" s="15" t="str">
        <f aca="true">IF(OR(C474="",Q474=""),"",IF(OR(J474="Won",J474="Lost"),"",IF(Q474&lt;TODAY(),"OVERDUE",IF(Q474=TODAY(),"TODAY",""))))</f>
        <v/>
      </c>
      <c r="S474" s="12"/>
      <c r="T474" s="12"/>
      <c r="U474" s="13"/>
    </row>
    <row r="475" customFormat="false" ht="15" hidden="false" customHeight="false" outlineLevel="0" collapsed="false">
      <c r="A475" s="12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4" t="str">
        <f aca="false">IF(K475="","",IFERROR(INDEX(Lists!$G$2:$G$5,MATCH(K475,Lists!$F$2:$F$5,0)),""))</f>
        <v/>
      </c>
      <c r="M475" s="13"/>
      <c r="N475" s="13"/>
      <c r="O475" s="13"/>
      <c r="P475" s="13"/>
      <c r="Q475" s="12"/>
      <c r="R475" s="15" t="str">
        <f aca="true">IF(OR(C475="",Q475=""),"",IF(OR(J475="Won",J475="Lost"),"",IF(Q475&lt;TODAY(),"OVERDUE",IF(Q475=TODAY(),"TODAY",""))))</f>
        <v/>
      </c>
      <c r="S475" s="12"/>
      <c r="T475" s="12"/>
      <c r="U475" s="13"/>
    </row>
    <row r="476" customFormat="false" ht="15" hidden="false" customHeight="false" outlineLevel="0" collapsed="false">
      <c r="A476" s="12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4" t="str">
        <f aca="false">IF(K476="","",IFERROR(INDEX(Lists!$G$2:$G$5,MATCH(K476,Lists!$F$2:$F$5,0)),""))</f>
        <v/>
      </c>
      <c r="M476" s="13"/>
      <c r="N476" s="13"/>
      <c r="O476" s="13"/>
      <c r="P476" s="13"/>
      <c r="Q476" s="12"/>
      <c r="R476" s="15" t="str">
        <f aca="true">IF(OR(C476="",Q476=""),"",IF(OR(J476="Won",J476="Lost"),"",IF(Q476&lt;TODAY(),"OVERDUE",IF(Q476=TODAY(),"TODAY",""))))</f>
        <v/>
      </c>
      <c r="S476" s="12"/>
      <c r="T476" s="12"/>
      <c r="U476" s="13"/>
    </row>
    <row r="477" customFormat="false" ht="15" hidden="false" customHeight="false" outlineLevel="0" collapsed="false">
      <c r="A477" s="12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4" t="str">
        <f aca="false">IF(K477="","",IFERROR(INDEX(Lists!$G$2:$G$5,MATCH(K477,Lists!$F$2:$F$5,0)),""))</f>
        <v/>
      </c>
      <c r="M477" s="13"/>
      <c r="N477" s="13"/>
      <c r="O477" s="13"/>
      <c r="P477" s="13"/>
      <c r="Q477" s="12"/>
      <c r="R477" s="15" t="str">
        <f aca="true">IF(OR(C477="",Q477=""),"",IF(OR(J477="Won",J477="Lost"),"",IF(Q477&lt;TODAY(),"OVERDUE",IF(Q477=TODAY(),"TODAY",""))))</f>
        <v/>
      </c>
      <c r="S477" s="12"/>
      <c r="T477" s="12"/>
      <c r="U477" s="13"/>
    </row>
    <row r="478" customFormat="false" ht="15" hidden="false" customHeight="false" outlineLevel="0" collapsed="false">
      <c r="A478" s="12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4" t="str">
        <f aca="false">IF(K478="","",IFERROR(INDEX(Lists!$G$2:$G$5,MATCH(K478,Lists!$F$2:$F$5,0)),""))</f>
        <v/>
      </c>
      <c r="M478" s="13"/>
      <c r="N478" s="13"/>
      <c r="O478" s="13"/>
      <c r="P478" s="13"/>
      <c r="Q478" s="12"/>
      <c r="R478" s="15" t="str">
        <f aca="true">IF(OR(C478="",Q478=""),"",IF(OR(J478="Won",J478="Lost"),"",IF(Q478&lt;TODAY(),"OVERDUE",IF(Q478=TODAY(),"TODAY",""))))</f>
        <v/>
      </c>
      <c r="S478" s="12"/>
      <c r="T478" s="12"/>
      <c r="U478" s="13"/>
    </row>
    <row r="479" customFormat="false" ht="15" hidden="false" customHeight="false" outlineLevel="0" collapsed="false">
      <c r="A479" s="12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4" t="str">
        <f aca="false">IF(K479="","",IFERROR(INDEX(Lists!$G$2:$G$5,MATCH(K479,Lists!$F$2:$F$5,0)),""))</f>
        <v/>
      </c>
      <c r="M479" s="13"/>
      <c r="N479" s="13"/>
      <c r="O479" s="13"/>
      <c r="P479" s="13"/>
      <c r="Q479" s="12"/>
      <c r="R479" s="15" t="str">
        <f aca="true">IF(OR(C479="",Q479=""),"",IF(OR(J479="Won",J479="Lost"),"",IF(Q479&lt;TODAY(),"OVERDUE",IF(Q479=TODAY(),"TODAY",""))))</f>
        <v/>
      </c>
      <c r="S479" s="12"/>
      <c r="T479" s="12"/>
      <c r="U479" s="13"/>
    </row>
    <row r="480" customFormat="false" ht="15" hidden="false" customHeight="false" outlineLevel="0" collapsed="false">
      <c r="A480" s="12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4" t="str">
        <f aca="false">IF(K480="","",IFERROR(INDEX(Lists!$G$2:$G$5,MATCH(K480,Lists!$F$2:$F$5,0)),""))</f>
        <v/>
      </c>
      <c r="M480" s="13"/>
      <c r="N480" s="13"/>
      <c r="O480" s="13"/>
      <c r="P480" s="13"/>
      <c r="Q480" s="12"/>
      <c r="R480" s="15" t="str">
        <f aca="true">IF(OR(C480="",Q480=""),"",IF(OR(J480="Won",J480="Lost"),"",IF(Q480&lt;TODAY(),"OVERDUE",IF(Q480=TODAY(),"TODAY",""))))</f>
        <v/>
      </c>
      <c r="S480" s="12"/>
      <c r="T480" s="12"/>
      <c r="U480" s="13"/>
    </row>
    <row r="481" customFormat="false" ht="15" hidden="false" customHeight="false" outlineLevel="0" collapsed="false">
      <c r="A481" s="12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4" t="str">
        <f aca="false">IF(K481="","",IFERROR(INDEX(Lists!$G$2:$G$5,MATCH(K481,Lists!$F$2:$F$5,0)),""))</f>
        <v/>
      </c>
      <c r="M481" s="13"/>
      <c r="N481" s="13"/>
      <c r="O481" s="13"/>
      <c r="P481" s="13"/>
      <c r="Q481" s="12"/>
      <c r="R481" s="15" t="str">
        <f aca="true">IF(OR(C481="",Q481=""),"",IF(OR(J481="Won",J481="Lost"),"",IF(Q481&lt;TODAY(),"OVERDUE",IF(Q481=TODAY(),"TODAY",""))))</f>
        <v/>
      </c>
      <c r="S481" s="12"/>
      <c r="T481" s="12"/>
      <c r="U481" s="13"/>
    </row>
    <row r="482" customFormat="false" ht="15" hidden="false" customHeight="false" outlineLevel="0" collapsed="false">
      <c r="A482" s="12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4" t="str">
        <f aca="false">IF(K482="","",IFERROR(INDEX(Lists!$G$2:$G$5,MATCH(K482,Lists!$F$2:$F$5,0)),""))</f>
        <v/>
      </c>
      <c r="M482" s="13"/>
      <c r="N482" s="13"/>
      <c r="O482" s="13"/>
      <c r="P482" s="13"/>
      <c r="Q482" s="12"/>
      <c r="R482" s="15" t="str">
        <f aca="true">IF(OR(C482="",Q482=""),"",IF(OR(J482="Won",J482="Lost"),"",IF(Q482&lt;TODAY(),"OVERDUE",IF(Q482=TODAY(),"TODAY",""))))</f>
        <v/>
      </c>
      <c r="S482" s="12"/>
      <c r="T482" s="12"/>
      <c r="U482" s="13"/>
    </row>
    <row r="483" customFormat="false" ht="15" hidden="false" customHeight="false" outlineLevel="0" collapsed="false">
      <c r="A483" s="12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4" t="str">
        <f aca="false">IF(K483="","",IFERROR(INDEX(Lists!$G$2:$G$5,MATCH(K483,Lists!$F$2:$F$5,0)),""))</f>
        <v/>
      </c>
      <c r="M483" s="13"/>
      <c r="N483" s="13"/>
      <c r="O483" s="13"/>
      <c r="P483" s="13"/>
      <c r="Q483" s="12"/>
      <c r="R483" s="15" t="str">
        <f aca="true">IF(OR(C483="",Q483=""),"",IF(OR(J483="Won",J483="Lost"),"",IF(Q483&lt;TODAY(),"OVERDUE",IF(Q483=TODAY(),"TODAY",""))))</f>
        <v/>
      </c>
      <c r="S483" s="12"/>
      <c r="T483" s="12"/>
      <c r="U483" s="13"/>
    </row>
    <row r="484" customFormat="false" ht="15" hidden="false" customHeight="false" outlineLevel="0" collapsed="false">
      <c r="A484" s="12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4" t="str">
        <f aca="false">IF(K484="","",IFERROR(INDEX(Lists!$G$2:$G$5,MATCH(K484,Lists!$F$2:$F$5,0)),""))</f>
        <v/>
      </c>
      <c r="M484" s="13"/>
      <c r="N484" s="13"/>
      <c r="O484" s="13"/>
      <c r="P484" s="13"/>
      <c r="Q484" s="12"/>
      <c r="R484" s="15" t="str">
        <f aca="true">IF(OR(C484="",Q484=""),"",IF(OR(J484="Won",J484="Lost"),"",IF(Q484&lt;TODAY(),"OVERDUE",IF(Q484=TODAY(),"TODAY",""))))</f>
        <v/>
      </c>
      <c r="S484" s="12"/>
      <c r="T484" s="12"/>
      <c r="U484" s="13"/>
    </row>
    <row r="485" customFormat="false" ht="15" hidden="false" customHeight="false" outlineLevel="0" collapsed="false">
      <c r="A485" s="12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4" t="str">
        <f aca="false">IF(K485="","",IFERROR(INDEX(Lists!$G$2:$G$5,MATCH(K485,Lists!$F$2:$F$5,0)),""))</f>
        <v/>
      </c>
      <c r="M485" s="13"/>
      <c r="N485" s="13"/>
      <c r="O485" s="13"/>
      <c r="P485" s="13"/>
      <c r="Q485" s="12"/>
      <c r="R485" s="15" t="str">
        <f aca="true">IF(OR(C485="",Q485=""),"",IF(OR(J485="Won",J485="Lost"),"",IF(Q485&lt;TODAY(),"OVERDUE",IF(Q485=TODAY(),"TODAY",""))))</f>
        <v/>
      </c>
      <c r="S485" s="12"/>
      <c r="T485" s="12"/>
      <c r="U485" s="13"/>
    </row>
    <row r="486" customFormat="false" ht="15" hidden="false" customHeight="false" outlineLevel="0" collapsed="false">
      <c r="A486" s="12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4" t="str">
        <f aca="false">IF(K486="","",IFERROR(INDEX(Lists!$G$2:$G$5,MATCH(K486,Lists!$F$2:$F$5,0)),""))</f>
        <v/>
      </c>
      <c r="M486" s="13"/>
      <c r="N486" s="13"/>
      <c r="O486" s="13"/>
      <c r="P486" s="13"/>
      <c r="Q486" s="12"/>
      <c r="R486" s="15" t="str">
        <f aca="true">IF(OR(C486="",Q486=""),"",IF(OR(J486="Won",J486="Lost"),"",IF(Q486&lt;TODAY(),"OVERDUE",IF(Q486=TODAY(),"TODAY",""))))</f>
        <v/>
      </c>
      <c r="S486" s="12"/>
      <c r="T486" s="12"/>
      <c r="U486" s="13"/>
    </row>
    <row r="487" customFormat="false" ht="15" hidden="false" customHeight="false" outlineLevel="0" collapsed="false">
      <c r="A487" s="12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4" t="str">
        <f aca="false">IF(K487="","",IFERROR(INDEX(Lists!$G$2:$G$5,MATCH(K487,Lists!$F$2:$F$5,0)),""))</f>
        <v/>
      </c>
      <c r="M487" s="13"/>
      <c r="N487" s="13"/>
      <c r="O487" s="13"/>
      <c r="P487" s="13"/>
      <c r="Q487" s="12"/>
      <c r="R487" s="15" t="str">
        <f aca="true">IF(OR(C487="",Q487=""),"",IF(OR(J487="Won",J487="Lost"),"",IF(Q487&lt;TODAY(),"OVERDUE",IF(Q487=TODAY(),"TODAY",""))))</f>
        <v/>
      </c>
      <c r="S487" s="12"/>
      <c r="T487" s="12"/>
      <c r="U487" s="13"/>
    </row>
    <row r="488" customFormat="false" ht="15" hidden="false" customHeight="false" outlineLevel="0" collapsed="false">
      <c r="A488" s="12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4" t="str">
        <f aca="false">IF(K488="","",IFERROR(INDEX(Lists!$G$2:$G$5,MATCH(K488,Lists!$F$2:$F$5,0)),""))</f>
        <v/>
      </c>
      <c r="M488" s="13"/>
      <c r="N488" s="13"/>
      <c r="O488" s="13"/>
      <c r="P488" s="13"/>
      <c r="Q488" s="12"/>
      <c r="R488" s="15" t="str">
        <f aca="true">IF(OR(C488="",Q488=""),"",IF(OR(J488="Won",J488="Lost"),"",IF(Q488&lt;TODAY(),"OVERDUE",IF(Q488=TODAY(),"TODAY",""))))</f>
        <v/>
      </c>
      <c r="S488" s="12"/>
      <c r="T488" s="12"/>
      <c r="U488" s="13"/>
    </row>
    <row r="489" customFormat="false" ht="15" hidden="false" customHeight="false" outlineLevel="0" collapsed="false">
      <c r="A489" s="12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4" t="str">
        <f aca="false">IF(K489="","",IFERROR(INDEX(Lists!$G$2:$G$5,MATCH(K489,Lists!$F$2:$F$5,0)),""))</f>
        <v/>
      </c>
      <c r="M489" s="13"/>
      <c r="N489" s="13"/>
      <c r="O489" s="13"/>
      <c r="P489" s="13"/>
      <c r="Q489" s="12"/>
      <c r="R489" s="15" t="str">
        <f aca="true">IF(OR(C489="",Q489=""),"",IF(OR(J489="Won",J489="Lost"),"",IF(Q489&lt;TODAY(),"OVERDUE",IF(Q489=TODAY(),"TODAY",""))))</f>
        <v/>
      </c>
      <c r="S489" s="12"/>
      <c r="T489" s="12"/>
      <c r="U489" s="13"/>
    </row>
    <row r="490" customFormat="false" ht="15" hidden="false" customHeight="false" outlineLevel="0" collapsed="false">
      <c r="A490" s="12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4" t="str">
        <f aca="false">IF(K490="","",IFERROR(INDEX(Lists!$G$2:$G$5,MATCH(K490,Lists!$F$2:$F$5,0)),""))</f>
        <v/>
      </c>
      <c r="M490" s="13"/>
      <c r="N490" s="13"/>
      <c r="O490" s="13"/>
      <c r="P490" s="13"/>
      <c r="Q490" s="12"/>
      <c r="R490" s="15" t="str">
        <f aca="true">IF(OR(C490="",Q490=""),"",IF(OR(J490="Won",J490="Lost"),"",IF(Q490&lt;TODAY(),"OVERDUE",IF(Q490=TODAY(),"TODAY",""))))</f>
        <v/>
      </c>
      <c r="S490" s="12"/>
      <c r="T490" s="12"/>
      <c r="U490" s="13"/>
    </row>
    <row r="491" customFormat="false" ht="15" hidden="false" customHeight="false" outlineLevel="0" collapsed="false">
      <c r="A491" s="12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4" t="str">
        <f aca="false">IF(K491="","",IFERROR(INDEX(Lists!$G$2:$G$5,MATCH(K491,Lists!$F$2:$F$5,0)),""))</f>
        <v/>
      </c>
      <c r="M491" s="13"/>
      <c r="N491" s="13"/>
      <c r="O491" s="13"/>
      <c r="P491" s="13"/>
      <c r="Q491" s="12"/>
      <c r="R491" s="15" t="str">
        <f aca="true">IF(OR(C491="",Q491=""),"",IF(OR(J491="Won",J491="Lost"),"",IF(Q491&lt;TODAY(),"OVERDUE",IF(Q491=TODAY(),"TODAY",""))))</f>
        <v/>
      </c>
      <c r="S491" s="12"/>
      <c r="T491" s="12"/>
      <c r="U491" s="13"/>
    </row>
    <row r="492" customFormat="false" ht="15" hidden="false" customHeight="false" outlineLevel="0" collapsed="false">
      <c r="A492" s="12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4" t="str">
        <f aca="false">IF(K492="","",IFERROR(INDEX(Lists!$G$2:$G$5,MATCH(K492,Lists!$F$2:$F$5,0)),""))</f>
        <v/>
      </c>
      <c r="M492" s="13"/>
      <c r="N492" s="13"/>
      <c r="O492" s="13"/>
      <c r="P492" s="13"/>
      <c r="Q492" s="12"/>
      <c r="R492" s="15" t="str">
        <f aca="true">IF(OR(C492="",Q492=""),"",IF(OR(J492="Won",J492="Lost"),"",IF(Q492&lt;TODAY(),"OVERDUE",IF(Q492=TODAY(),"TODAY",""))))</f>
        <v/>
      </c>
      <c r="S492" s="12"/>
      <c r="T492" s="12"/>
      <c r="U492" s="13"/>
    </row>
    <row r="493" customFormat="false" ht="15" hidden="false" customHeight="false" outlineLevel="0" collapsed="false">
      <c r="A493" s="12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4" t="str">
        <f aca="false">IF(K493="","",IFERROR(INDEX(Lists!$G$2:$G$5,MATCH(K493,Lists!$F$2:$F$5,0)),""))</f>
        <v/>
      </c>
      <c r="M493" s="13"/>
      <c r="N493" s="13"/>
      <c r="O493" s="13"/>
      <c r="P493" s="13"/>
      <c r="Q493" s="12"/>
      <c r="R493" s="15" t="str">
        <f aca="true">IF(OR(C493="",Q493=""),"",IF(OR(J493="Won",J493="Lost"),"",IF(Q493&lt;TODAY(),"OVERDUE",IF(Q493=TODAY(),"TODAY",""))))</f>
        <v/>
      </c>
      <c r="S493" s="12"/>
      <c r="T493" s="12"/>
      <c r="U493" s="13"/>
    </row>
    <row r="494" customFormat="false" ht="15" hidden="false" customHeight="false" outlineLevel="0" collapsed="false">
      <c r="A494" s="12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4" t="str">
        <f aca="false">IF(K494="","",IFERROR(INDEX(Lists!$G$2:$G$5,MATCH(K494,Lists!$F$2:$F$5,0)),""))</f>
        <v/>
      </c>
      <c r="M494" s="13"/>
      <c r="N494" s="13"/>
      <c r="O494" s="13"/>
      <c r="P494" s="13"/>
      <c r="Q494" s="12"/>
      <c r="R494" s="15" t="str">
        <f aca="true">IF(OR(C494="",Q494=""),"",IF(OR(J494="Won",J494="Lost"),"",IF(Q494&lt;TODAY(),"OVERDUE",IF(Q494=TODAY(),"TODAY",""))))</f>
        <v/>
      </c>
      <c r="S494" s="12"/>
      <c r="T494" s="12"/>
      <c r="U494" s="13"/>
    </row>
    <row r="495" customFormat="false" ht="15" hidden="false" customHeight="false" outlineLevel="0" collapsed="false">
      <c r="A495" s="12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4" t="str">
        <f aca="false">IF(K495="","",IFERROR(INDEX(Lists!$G$2:$G$5,MATCH(K495,Lists!$F$2:$F$5,0)),""))</f>
        <v/>
      </c>
      <c r="M495" s="13"/>
      <c r="N495" s="13"/>
      <c r="O495" s="13"/>
      <c r="P495" s="13"/>
      <c r="Q495" s="12"/>
      <c r="R495" s="15" t="str">
        <f aca="true">IF(OR(C495="",Q495=""),"",IF(OR(J495="Won",J495="Lost"),"",IF(Q495&lt;TODAY(),"OVERDUE",IF(Q495=TODAY(),"TODAY",""))))</f>
        <v/>
      </c>
      <c r="S495" s="12"/>
      <c r="T495" s="12"/>
      <c r="U495" s="13"/>
    </row>
    <row r="496" customFormat="false" ht="15" hidden="false" customHeight="false" outlineLevel="0" collapsed="false">
      <c r="A496" s="12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4" t="str">
        <f aca="false">IF(K496="","",IFERROR(INDEX(Lists!$G$2:$G$5,MATCH(K496,Lists!$F$2:$F$5,0)),""))</f>
        <v/>
      </c>
      <c r="M496" s="13"/>
      <c r="N496" s="13"/>
      <c r="O496" s="13"/>
      <c r="P496" s="13"/>
      <c r="Q496" s="12"/>
      <c r="R496" s="15" t="str">
        <f aca="true">IF(OR(C496="",Q496=""),"",IF(OR(J496="Won",J496="Lost"),"",IF(Q496&lt;TODAY(),"OVERDUE",IF(Q496=TODAY(),"TODAY",""))))</f>
        <v/>
      </c>
      <c r="S496" s="12"/>
      <c r="T496" s="12"/>
      <c r="U496" s="13"/>
    </row>
    <row r="497" customFormat="false" ht="15" hidden="false" customHeight="false" outlineLevel="0" collapsed="false">
      <c r="A497" s="12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4" t="str">
        <f aca="false">IF(K497="","",IFERROR(INDEX(Lists!$G$2:$G$5,MATCH(K497,Lists!$F$2:$F$5,0)),""))</f>
        <v/>
      </c>
      <c r="M497" s="13"/>
      <c r="N497" s="13"/>
      <c r="O497" s="13"/>
      <c r="P497" s="13"/>
      <c r="Q497" s="12"/>
      <c r="R497" s="15" t="str">
        <f aca="true">IF(OR(C497="",Q497=""),"",IF(OR(J497="Won",J497="Lost"),"",IF(Q497&lt;TODAY(),"OVERDUE",IF(Q497=TODAY(),"TODAY",""))))</f>
        <v/>
      </c>
      <c r="S497" s="12"/>
      <c r="T497" s="12"/>
      <c r="U497" s="13"/>
    </row>
    <row r="498" customFormat="false" ht="15" hidden="false" customHeight="false" outlineLevel="0" collapsed="false">
      <c r="A498" s="12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4" t="str">
        <f aca="false">IF(K498="","",IFERROR(INDEX(Lists!$G$2:$G$5,MATCH(K498,Lists!$F$2:$F$5,0)),""))</f>
        <v/>
      </c>
      <c r="M498" s="13"/>
      <c r="N498" s="13"/>
      <c r="O498" s="13"/>
      <c r="P498" s="13"/>
      <c r="Q498" s="12"/>
      <c r="R498" s="15" t="str">
        <f aca="true">IF(OR(C498="",Q498=""),"",IF(OR(J498="Won",J498="Lost"),"",IF(Q498&lt;TODAY(),"OVERDUE",IF(Q498=TODAY(),"TODAY",""))))</f>
        <v/>
      </c>
      <c r="S498" s="12"/>
      <c r="T498" s="12"/>
      <c r="U498" s="13"/>
    </row>
    <row r="499" customFormat="false" ht="15" hidden="false" customHeight="false" outlineLevel="0" collapsed="false">
      <c r="A499" s="12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4" t="str">
        <f aca="false">IF(K499="","",IFERROR(INDEX(Lists!$G$2:$G$5,MATCH(K499,Lists!$F$2:$F$5,0)),""))</f>
        <v/>
      </c>
      <c r="M499" s="13"/>
      <c r="N499" s="13"/>
      <c r="O499" s="13"/>
      <c r="P499" s="13"/>
      <c r="Q499" s="12"/>
      <c r="R499" s="15" t="str">
        <f aca="true">IF(OR(C499="",Q499=""),"",IF(OR(J499="Won",J499="Lost"),"",IF(Q499&lt;TODAY(),"OVERDUE",IF(Q499=TODAY(),"TODAY",""))))</f>
        <v/>
      </c>
      <c r="S499" s="12"/>
      <c r="T499" s="12"/>
      <c r="U499" s="13"/>
    </row>
    <row r="500" customFormat="false" ht="15" hidden="false" customHeight="false" outlineLevel="0" collapsed="false">
      <c r="A500" s="12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4" t="str">
        <f aca="false">IF(K500="","",IFERROR(INDEX(Lists!$G$2:$G$5,MATCH(K500,Lists!$F$2:$F$5,0)),""))</f>
        <v/>
      </c>
      <c r="M500" s="13"/>
      <c r="N500" s="13"/>
      <c r="O500" s="13"/>
      <c r="P500" s="13"/>
      <c r="Q500" s="12"/>
      <c r="R500" s="15" t="str">
        <f aca="true">IF(OR(C500="",Q500=""),"",IF(OR(J500="Won",J500="Lost"),"",IF(Q500&lt;TODAY(),"OVERDUE",IF(Q500=TODAY(),"TODAY",""))))</f>
        <v/>
      </c>
      <c r="S500" s="12"/>
      <c r="T500" s="12"/>
      <c r="U500" s="13"/>
    </row>
    <row r="501" customFormat="false" ht="15" hidden="false" customHeight="false" outlineLevel="0" collapsed="false">
      <c r="A501" s="12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4" t="str">
        <f aca="false">IF(K501="","",IFERROR(INDEX(Lists!$G$2:$G$5,MATCH(K501,Lists!$F$2:$F$5,0)),""))</f>
        <v/>
      </c>
      <c r="M501" s="13"/>
      <c r="N501" s="13"/>
      <c r="O501" s="13"/>
      <c r="P501" s="13"/>
      <c r="Q501" s="12"/>
      <c r="R501" s="15" t="str">
        <f aca="true">IF(OR(C501="",Q501=""),"",IF(OR(J501="Won",J501="Lost"),"",IF(Q501&lt;TODAY(),"OVERDUE",IF(Q501=TODAY(),"TODAY",""))))</f>
        <v/>
      </c>
      <c r="S501" s="12"/>
      <c r="T501" s="12"/>
      <c r="U501" s="13"/>
    </row>
  </sheetData>
  <autoFilter ref="A1:U501"/>
  <conditionalFormatting sqref="M2:M501">
    <cfRule type="expression" priority="2" aboveAverage="0" equalAverage="0" bottom="0" percent="0" rank="0" text="" dxfId="7">
      <formula>$M2="Green"</formula>
    </cfRule>
    <cfRule type="expression" priority="3" aboveAverage="0" equalAverage="0" bottom="0" percent="0" rank="0" text="" dxfId="8">
      <formula>$M2="Yellow"</formula>
    </cfRule>
    <cfRule type="expression" priority="4" aboveAverage="0" equalAverage="0" bottom="0" percent="0" rank="0" text="" dxfId="9">
      <formula>$M2="Red"</formula>
    </cfRule>
  </conditionalFormatting>
  <conditionalFormatting sqref="R2:R501">
    <cfRule type="expression" priority="5" aboveAverage="0" equalAverage="0" bottom="0" percent="0" rank="0" text="" dxfId="10">
      <formula>$R2="OVERDUE"</formula>
    </cfRule>
    <cfRule type="expression" priority="6" aboveAverage="0" equalAverage="0" bottom="0" percent="0" rank="0" text="" dxfId="11">
      <formula>$R2="TODAY"</formula>
    </cfRule>
  </conditionalFormatting>
  <dataValidations count="6">
    <dataValidation allowBlank="true" errorStyle="stop" operator="between" showDropDown="false" showErrorMessage="false" showInputMessage="false" sqref="B2:B501" type="list">
      <formula1>Lists!$A$2:$A$10</formula1>
      <formula2>0</formula2>
    </dataValidation>
    <dataValidation allowBlank="true" errorStyle="stop" operator="between" showDropDown="false" showErrorMessage="false" showInputMessage="false" sqref="I2:I501" type="list">
      <formula1>Lists!$E$2:$E$7</formula1>
      <formula2>0</formula2>
    </dataValidation>
    <dataValidation allowBlank="true" errorStyle="stop" operator="between" showDropDown="false" showErrorMessage="false" showInputMessage="false" sqref="J2:J501" type="list">
      <formula1>Lists!$B$2:$B$10</formula1>
      <formula2>0</formula2>
    </dataValidation>
    <dataValidation allowBlank="true" errorStyle="stop" operator="between" showDropDown="false" showErrorMessage="false" showInputMessage="false" sqref="K2:K501" type="list">
      <formula1>Lists!$F$2:$F$5</formula1>
      <formula2>0</formula2>
    </dataValidation>
    <dataValidation allowBlank="true" errorStyle="stop" operator="between" showDropDown="false" showErrorMessage="false" showInputMessage="false" sqref="M2:M501" type="list">
      <formula1>Lists!$C$2:$C$4</formula1>
      <formula2>0</formula2>
    </dataValidation>
    <dataValidation allowBlank="true" errorStyle="stop" operator="between" showDropDown="false" showErrorMessage="false" showInputMessage="false" sqref="N2:N501" type="list">
      <formula1>Lists!$D$2:$D$10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9" min="2" style="0" width="13"/>
  </cols>
  <sheetData>
    <row r="1" customFormat="false" ht="23.85" hidden="false" customHeight="false" outlineLevel="0" collapsed="false">
      <c r="A1" s="16" t="s">
        <v>54</v>
      </c>
      <c r="B1" s="16" t="s">
        <v>55</v>
      </c>
      <c r="C1" s="16" t="s">
        <v>46</v>
      </c>
      <c r="D1" s="16" t="s">
        <v>56</v>
      </c>
      <c r="E1" s="16" t="s">
        <v>57</v>
      </c>
      <c r="F1" s="16" t="s">
        <v>58</v>
      </c>
      <c r="G1" s="16" t="s">
        <v>59</v>
      </c>
      <c r="H1" s="16" t="s">
        <v>60</v>
      </c>
      <c r="I1" s="16" t="s">
        <v>61</v>
      </c>
    </row>
    <row r="2" customFormat="false" ht="15" hidden="false" customHeight="false" outlineLevel="0" collapsed="false">
      <c r="A2" s="17" t="s">
        <v>36</v>
      </c>
      <c r="B2" s="18" t="n">
        <f aca="false">COUNTIFS(Pipeline!$B:$B,$A2,Pipeline!$M:$M,"Green",Pipeline!$J:$J,"&lt;&gt;Won",Pipeline!$J:$J,"&lt;&gt;Lost",Pipeline!$C:$C,"&lt;&gt;")</f>
        <v>0</v>
      </c>
      <c r="C2" s="15" t="n">
        <f aca="false">COUNTIFS(Pipeline!$B:$B,$A2,Pipeline!$M:$M,"Yellow",Pipeline!$J:$J,"&lt;&gt;Won",Pipeline!$J:$J,"&lt;&gt;Lost",Pipeline!$C:$C,"&lt;&gt;")</f>
        <v>1</v>
      </c>
      <c r="D2" s="18" t="n">
        <f aca="false">COUNTIFS(Pipeline!$B:$B,$A2,Pipeline!$M:$M,"Red",Pipeline!$J:$J,"&lt;&gt;Won",Pipeline!$J:$J,"&lt;&gt;Lost",Pipeline!$C:$C,"&lt;&gt;")</f>
        <v>0</v>
      </c>
      <c r="E2" s="18" t="n">
        <f aca="false">COUNTIFS(Pipeline!$B:$B,$A2,Pipeline!$J:$J,"&lt;&gt;Won",Pipeline!$J:$J,"&lt;&gt;Lost",Pipeline!$C:$C,"&lt;&gt;")</f>
        <v>3</v>
      </c>
      <c r="F2" s="14" t="n">
        <f aca="false">SUMIFS(Pipeline!$L:$L,Pipeline!$B:$B,$A2,Pipeline!$J:$J,"&lt;&gt;Won",Pipeline!$J:$J,"&lt;&gt;Lost",Pipeline!$C:$C,"&lt;&gt;")</f>
        <v>7500</v>
      </c>
      <c r="G2" s="18" t="n">
        <f aca="false">COUNTIFS(Pipeline!$B:$B,$A2,Pipeline!$R:$R,"TODAY")</f>
        <v>0</v>
      </c>
      <c r="H2" s="18" t="n">
        <f aca="false">COUNTIFS(Pipeline!$B:$B,$A2,Pipeline!$R:$R,"OVERDUE")</f>
        <v>0</v>
      </c>
      <c r="I2" s="18" t="n">
        <f aca="false">COUNTIFS(Pipeline!$B:$B,$A2,Pipeline!$J:$J,"Won")</f>
        <v>0</v>
      </c>
    </row>
    <row r="3" customFormat="false" ht="15" hidden="false" customHeight="false" outlineLevel="0" collapsed="false">
      <c r="A3" s="17" t="s">
        <v>62</v>
      </c>
      <c r="B3" s="18" t="n">
        <f aca="false">COUNTIFS(Pipeline!$B:$B,$A3,Pipeline!$M:$M,"Green",Pipeline!$J:$J,"&lt;&gt;Won",Pipeline!$J:$J,"&lt;&gt;Lost",Pipeline!$C:$C,"&lt;&gt;")</f>
        <v>0</v>
      </c>
      <c r="C3" s="15" t="n">
        <f aca="false">COUNTIFS(Pipeline!$B:$B,$A3,Pipeline!$M:$M,"Yellow",Pipeline!$J:$J,"&lt;&gt;Won",Pipeline!$J:$J,"&lt;&gt;Lost",Pipeline!$C:$C,"&lt;&gt;")</f>
        <v>0</v>
      </c>
      <c r="D3" s="18" t="n">
        <f aca="false">COUNTIFS(Pipeline!$B:$B,$A3,Pipeline!$M:$M,"Red",Pipeline!$J:$J,"&lt;&gt;Won",Pipeline!$J:$J,"&lt;&gt;Lost",Pipeline!$C:$C,"&lt;&gt;")</f>
        <v>0</v>
      </c>
      <c r="E3" s="18" t="n">
        <f aca="false">COUNTIFS(Pipeline!$B:$B,$A3,Pipeline!$J:$J,"&lt;&gt;Won",Pipeline!$J:$J,"&lt;&gt;Lost",Pipeline!$C:$C,"&lt;&gt;")</f>
        <v>0</v>
      </c>
      <c r="F3" s="14" t="n">
        <f aca="false">SUMIFS(Pipeline!$L:$L,Pipeline!$B:$B,$A3,Pipeline!$J:$J,"&lt;&gt;Won",Pipeline!$J:$J,"&lt;&gt;Lost",Pipeline!$C:$C,"&lt;&gt;")</f>
        <v>0</v>
      </c>
      <c r="G3" s="18" t="n">
        <f aca="false">COUNTIFS(Pipeline!$B:$B,$A3,Pipeline!$R:$R,"TODAY")</f>
        <v>0</v>
      </c>
      <c r="H3" s="18" t="n">
        <f aca="false">COUNTIFS(Pipeline!$B:$B,$A3,Pipeline!$R:$R,"OVERDUE")</f>
        <v>0</v>
      </c>
      <c r="I3" s="18" t="n">
        <f aca="false">COUNTIFS(Pipeline!$B:$B,$A3,Pipeline!$J:$J,"Won")</f>
        <v>0</v>
      </c>
    </row>
    <row r="4" customFormat="false" ht="15" hidden="false" customHeight="false" outlineLevel="0" collapsed="false">
      <c r="A4" s="17" t="s">
        <v>63</v>
      </c>
      <c r="B4" s="18" t="n">
        <f aca="false">COUNTIFS(Pipeline!$B:$B,$A4,Pipeline!$M:$M,"Green",Pipeline!$J:$J,"&lt;&gt;Won",Pipeline!$J:$J,"&lt;&gt;Lost",Pipeline!$C:$C,"&lt;&gt;")</f>
        <v>0</v>
      </c>
      <c r="C4" s="15" t="n">
        <f aca="false">COUNTIFS(Pipeline!$B:$B,$A4,Pipeline!$M:$M,"Yellow",Pipeline!$J:$J,"&lt;&gt;Won",Pipeline!$J:$J,"&lt;&gt;Lost",Pipeline!$C:$C,"&lt;&gt;")</f>
        <v>0</v>
      </c>
      <c r="D4" s="18" t="n">
        <f aca="false">COUNTIFS(Pipeline!$B:$B,$A4,Pipeline!$M:$M,"Red",Pipeline!$J:$J,"&lt;&gt;Won",Pipeline!$J:$J,"&lt;&gt;Lost",Pipeline!$C:$C,"&lt;&gt;")</f>
        <v>0</v>
      </c>
      <c r="E4" s="18" t="n">
        <f aca="false">COUNTIFS(Pipeline!$B:$B,$A4,Pipeline!$J:$J,"&lt;&gt;Won",Pipeline!$J:$J,"&lt;&gt;Lost",Pipeline!$C:$C,"&lt;&gt;")</f>
        <v>0</v>
      </c>
      <c r="F4" s="14" t="n">
        <f aca="false">SUMIFS(Pipeline!$L:$L,Pipeline!$B:$B,$A4,Pipeline!$J:$J,"&lt;&gt;Won",Pipeline!$J:$J,"&lt;&gt;Lost",Pipeline!$C:$C,"&lt;&gt;")</f>
        <v>0</v>
      </c>
      <c r="G4" s="18" t="n">
        <f aca="false">COUNTIFS(Pipeline!$B:$B,$A4,Pipeline!$R:$R,"TODAY")</f>
        <v>0</v>
      </c>
      <c r="H4" s="18" t="n">
        <f aca="false">COUNTIFS(Pipeline!$B:$B,$A4,Pipeline!$R:$R,"OVERDUE")</f>
        <v>0</v>
      </c>
      <c r="I4" s="18" t="n">
        <f aca="false">COUNTIFS(Pipeline!$B:$B,$A4,Pipeline!$J:$J,"Won")</f>
        <v>0</v>
      </c>
    </row>
    <row r="5" customFormat="false" ht="15" hidden="false" customHeight="false" outlineLevel="0" collapsed="false">
      <c r="A5" s="19" t="s">
        <v>64</v>
      </c>
      <c r="B5" s="20" t="n">
        <f aca="false">COUNTIFS(Pipeline!$M:$M,"Green",Pipeline!$J:$J,"&lt;&gt;Won",Pipeline!$J:$J,"&lt;&gt;Lost",Pipeline!$C:$C,"&lt;&gt;")</f>
        <v>0</v>
      </c>
      <c r="C5" s="20" t="n">
        <f aca="false">COUNTIFS(Pipeline!$M:$M,"Yellow",Pipeline!$J:$J,"&lt;&gt;Won",Pipeline!$J:$J,"&lt;&gt;Lost",Pipeline!$C:$C,"&lt;&gt;")</f>
        <v>1</v>
      </c>
      <c r="D5" s="20" t="n">
        <f aca="false">COUNTIFS(Pipeline!$M:$M,"Red",Pipeline!$J:$J,"&lt;&gt;Won",Pipeline!$J:$J,"&lt;&gt;Lost",Pipeline!$C:$C,"&lt;&gt;")</f>
        <v>0</v>
      </c>
      <c r="E5" s="20" t="n">
        <f aca="false">COUNTIFS(Pipeline!$J:$J,"&lt;&gt;Won",Pipeline!$J:$J,"&lt;&gt;Lost",Pipeline!$C:$C,"&lt;&gt;")</f>
        <v>4</v>
      </c>
      <c r="F5" s="21" t="n">
        <f aca="false">SUMIFS(Pipeline!$L:$L,Pipeline!$J:$J,"&lt;&gt;Won",Pipeline!$J:$J,"&lt;&gt;Lost",Pipeline!$C:$C,"&lt;&gt;")</f>
        <v>7500</v>
      </c>
      <c r="G5" s="20" t="n">
        <f aca="false">COUNTIFS(Pipeline!$R:$R,"TODAY")</f>
        <v>0</v>
      </c>
      <c r="H5" s="20" t="n">
        <f aca="false">COUNTIFS(Pipeline!$R:$R,"OVERDUE")</f>
        <v>0</v>
      </c>
      <c r="I5" s="20" t="n">
        <f aca="false">COUNTIFS(Pipeline!$J:$J,"Won")</f>
        <v>0</v>
      </c>
    </row>
    <row r="8" customFormat="false" ht="15" hidden="false" customHeight="false" outlineLevel="0" collapsed="false">
      <c r="A8" s="22" t="s">
        <v>65</v>
      </c>
      <c r="B8" s="22" t="s">
        <v>57</v>
      </c>
      <c r="C8" s="22" t="s">
        <v>66</v>
      </c>
    </row>
    <row r="9" customFormat="false" ht="15" hidden="false" customHeight="false" outlineLevel="0" collapsed="false">
      <c r="A9" s="17" t="s">
        <v>47</v>
      </c>
      <c r="B9" s="18" t="n">
        <f aca="false">COUNTIFS(Pipeline!$N:$N,$A9,Pipeline!$J:$J,"&lt;&gt;Won",Pipeline!$J:$J,"&lt;&gt;Lost",Pipeline!$C:$C,"&lt;&gt;")</f>
        <v>1</v>
      </c>
      <c r="C9" s="18" t="n">
        <f aca="false">COUNTIFS(Pipeline!$N:$N,$A9,Pipeline!$M:$M,"Yellow",Pipeline!$J:$J,"&lt;&gt;Won",Pipeline!$J:$J,"&lt;&gt;Lost",Pipeline!$C:$C,"&lt;&gt;")</f>
        <v>1</v>
      </c>
    </row>
    <row r="10" customFormat="false" ht="15" hidden="false" customHeight="false" outlineLevel="0" collapsed="false">
      <c r="A10" s="17" t="s">
        <v>67</v>
      </c>
      <c r="B10" s="18" t="n">
        <f aca="false">COUNTIFS(Pipeline!$N:$N,$A10,Pipeline!$J:$J,"&lt;&gt;Won",Pipeline!$J:$J,"&lt;&gt;Lost",Pipeline!$C:$C,"&lt;&gt;")</f>
        <v>0</v>
      </c>
      <c r="C10" s="18" t="n">
        <f aca="false">COUNTIFS(Pipeline!$N:$N,$A10,Pipeline!$M:$M,"Yellow",Pipeline!$J:$J,"&lt;&gt;Won",Pipeline!$J:$J,"&lt;&gt;Lost",Pipeline!$C:$C,"&lt;&gt;")</f>
        <v>0</v>
      </c>
    </row>
    <row r="11" customFormat="false" ht="15" hidden="false" customHeight="false" outlineLevel="0" collapsed="false">
      <c r="A11" s="17" t="s">
        <v>68</v>
      </c>
      <c r="B11" s="18" t="n">
        <f aca="false">COUNTIFS(Pipeline!$N:$N,$A11,Pipeline!$J:$J,"&lt;&gt;Won",Pipeline!$J:$J,"&lt;&gt;Lost",Pipeline!$C:$C,"&lt;&gt;")</f>
        <v>0</v>
      </c>
      <c r="C11" s="18" t="n">
        <f aca="false">COUNTIFS(Pipeline!$N:$N,$A11,Pipeline!$M:$M,"Yellow",Pipeline!$J:$J,"&lt;&gt;Won",Pipeline!$J:$J,"&lt;&gt;Lost",Pipeline!$C:$C,"&lt;&gt;")</f>
        <v>0</v>
      </c>
    </row>
    <row r="12" customFormat="false" ht="15" hidden="false" customHeight="false" outlineLevel="0" collapsed="false">
      <c r="A12" s="17" t="s">
        <v>69</v>
      </c>
      <c r="B12" s="18" t="n">
        <f aca="false">COUNTIFS(Pipeline!$N:$N,$A12,Pipeline!$J:$J,"&lt;&gt;Won",Pipeline!$J:$J,"&lt;&gt;Lost",Pipeline!$C:$C,"&lt;&gt;")</f>
        <v>0</v>
      </c>
      <c r="C12" s="18" t="n">
        <f aca="false">COUNTIFS(Pipeline!$N:$N,$A12,Pipeline!$M:$M,"Yellow",Pipeline!$J:$J,"&lt;&gt;Won",Pipeline!$J:$J,"&lt;&gt;Lost",Pipeline!$C:$C,"&lt;&gt;")</f>
        <v>0</v>
      </c>
    </row>
    <row r="13" customFormat="false" ht="15" hidden="false" customHeight="false" outlineLevel="0" collapsed="false">
      <c r="A13" s="17" t="s">
        <v>70</v>
      </c>
      <c r="B13" s="18" t="n">
        <f aca="false">COUNTIFS(Pipeline!$N:$N,$A13,Pipeline!$J:$J,"&lt;&gt;Won",Pipeline!$J:$J,"&lt;&gt;Lost",Pipeline!$C:$C,"&lt;&gt;")</f>
        <v>0</v>
      </c>
      <c r="C13" s="18" t="n">
        <f aca="false">COUNTIFS(Pipeline!$N:$N,$A13,Pipeline!$M:$M,"Yellow",Pipeline!$J:$J,"&lt;&gt;Won",Pipeline!$J:$J,"&lt;&gt;Lost",Pipeline!$C:$C,"&lt;&gt;")</f>
        <v>0</v>
      </c>
    </row>
    <row r="14" customFormat="false" ht="15" hidden="false" customHeight="false" outlineLevel="0" collapsed="false">
      <c r="A14" s="17" t="s">
        <v>71</v>
      </c>
      <c r="B14" s="18" t="n">
        <f aca="false">COUNTIFS(Pipeline!$N:$N,$A14,Pipeline!$J:$J,"&lt;&gt;Won",Pipeline!$J:$J,"&lt;&gt;Lost",Pipeline!$C:$C,"&lt;&gt;")</f>
        <v>0</v>
      </c>
      <c r="C14" s="18" t="n">
        <f aca="false">COUNTIFS(Pipeline!$N:$N,$A14,Pipeline!$M:$M,"Yellow",Pipeline!$J:$J,"&lt;&gt;Won",Pipeline!$J:$J,"&lt;&gt;Lost",Pipeline!$C:$C,"&lt;&gt;")</f>
        <v>0</v>
      </c>
    </row>
    <row r="15" customFormat="false" ht="15" hidden="false" customHeight="false" outlineLevel="0" collapsed="false">
      <c r="A15" s="17" t="s">
        <v>72</v>
      </c>
      <c r="B15" s="18" t="n">
        <f aca="false">COUNTIFS(Pipeline!$N:$N,$A15,Pipeline!$J:$J,"&lt;&gt;Won",Pipeline!$J:$J,"&lt;&gt;Lost",Pipeline!$C:$C,"&lt;&gt;")</f>
        <v>0</v>
      </c>
      <c r="C15" s="18" t="n">
        <f aca="false">COUNTIFS(Pipeline!$N:$N,$A15,Pipeline!$M:$M,"Yellow",Pipeline!$J:$J,"&lt;&gt;Won",Pipeline!$J:$J,"&lt;&gt;Lost",Pipeline!$C:$C,"&lt;&gt;")</f>
        <v>0</v>
      </c>
    </row>
    <row r="16" customFormat="false" ht="15" hidden="false" customHeight="false" outlineLevel="0" collapsed="false">
      <c r="A16" s="17" t="s">
        <v>73</v>
      </c>
      <c r="B16" s="18" t="n">
        <f aca="false">COUNTIFS(Pipeline!$N:$N,$A16,Pipeline!$J:$J,"&lt;&gt;Won",Pipeline!$J:$J,"&lt;&gt;Lost",Pipeline!$C:$C,"&lt;&gt;")</f>
        <v>0</v>
      </c>
      <c r="C16" s="18" t="n">
        <f aca="false">COUNTIFS(Pipeline!$N:$N,$A16,Pipeline!$M:$M,"Yellow",Pipeline!$J:$J,"&lt;&gt;Won",Pipeline!$J:$J,"&lt;&gt;Lost",Pipeline!$C:$C,"&lt;&gt;")</f>
        <v>0</v>
      </c>
    </row>
    <row r="17" customFormat="false" ht="15" hidden="false" customHeight="false" outlineLevel="0" collapsed="false">
      <c r="A17" s="17" t="s">
        <v>74</v>
      </c>
      <c r="B17" s="18" t="n">
        <f aca="false">COUNTIFS(Pipeline!$N:$N,$A17,Pipeline!$J:$J,"&lt;&gt;Won",Pipeline!$J:$J,"&lt;&gt;Lost",Pipeline!$C:$C,"&lt;&gt;")</f>
        <v>0</v>
      </c>
      <c r="C17" s="18" t="n">
        <f aca="false">COUNTIFS(Pipeline!$N:$N,$A17,Pipeline!$M:$M,"Yellow",Pipeline!$J:$J,"&lt;&gt;Won",Pipeline!$J:$J,"&lt;&gt;Lost",Pipeline!$C:$C,"&lt;&gt;")</f>
        <v>0</v>
      </c>
    </row>
  </sheetData>
  <conditionalFormatting sqref="B2:B5">
    <cfRule type="cellIs" priority="2" operator="greaterThan" aboveAverage="0" equalAverage="0" bottom="0" percent="0" rank="0" text="" dxfId="7">
      <formula>0</formula>
    </cfRule>
  </conditionalFormatting>
  <conditionalFormatting sqref="C2:C5">
    <cfRule type="cellIs" priority="3" operator="greaterThan" aboveAverage="0" equalAverage="0" bottom="0" percent="0" rank="0" text="" dxfId="8">
      <formula>0</formula>
    </cfRule>
  </conditionalFormatting>
  <conditionalFormatting sqref="D2:D5">
    <cfRule type="cellIs" priority="4" operator="greaterThan" aboveAverage="0" equalAverage="0" bottom="0" percent="0" rank="0" text="" dxfId="9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24"/>
  </cols>
  <sheetData>
    <row r="1" customFormat="false" ht="15" hidden="false" customHeight="false" outlineLevel="0" collapsed="false">
      <c r="A1" s="22" t="s">
        <v>75</v>
      </c>
      <c r="B1" s="22" t="s">
        <v>24</v>
      </c>
      <c r="C1" s="22" t="s">
        <v>76</v>
      </c>
      <c r="D1" s="22" t="s">
        <v>28</v>
      </c>
      <c r="E1" s="22" t="s">
        <v>23</v>
      </c>
      <c r="F1" s="22" t="s">
        <v>77</v>
      </c>
      <c r="G1" s="22" t="s">
        <v>78</v>
      </c>
    </row>
    <row r="2" customFormat="false" ht="15" hidden="false" customHeight="false" outlineLevel="0" collapsed="false">
      <c r="A2" s="23" t="s">
        <v>36</v>
      </c>
      <c r="B2" s="23" t="s">
        <v>79</v>
      </c>
      <c r="C2" s="23" t="s">
        <v>55</v>
      </c>
      <c r="D2" s="23" t="s">
        <v>74</v>
      </c>
      <c r="E2" s="23" t="s">
        <v>43</v>
      </c>
      <c r="F2" s="23" t="s">
        <v>80</v>
      </c>
      <c r="G2" s="23" t="n">
        <v>5000</v>
      </c>
    </row>
    <row r="3" customFormat="false" ht="15" hidden="false" customHeight="false" outlineLevel="0" collapsed="false">
      <c r="A3" s="23" t="s">
        <v>62</v>
      </c>
      <c r="B3" s="23" t="s">
        <v>81</v>
      </c>
      <c r="C3" s="23" t="s">
        <v>46</v>
      </c>
      <c r="D3" s="23" t="s">
        <v>47</v>
      </c>
      <c r="E3" s="23" t="s">
        <v>21</v>
      </c>
      <c r="F3" s="23" t="s">
        <v>45</v>
      </c>
      <c r="G3" s="23" t="n">
        <v>7500</v>
      </c>
    </row>
    <row r="4" customFormat="false" ht="15" hidden="false" customHeight="false" outlineLevel="0" collapsed="false">
      <c r="A4" s="23" t="s">
        <v>63</v>
      </c>
      <c r="B4" s="23" t="s">
        <v>82</v>
      </c>
      <c r="C4" s="23" t="s">
        <v>56</v>
      </c>
      <c r="D4" s="23" t="s">
        <v>67</v>
      </c>
      <c r="E4" s="23" t="s">
        <v>83</v>
      </c>
      <c r="F4" s="23" t="s">
        <v>84</v>
      </c>
      <c r="G4" s="23" t="n">
        <v>10000</v>
      </c>
    </row>
    <row r="5" customFormat="false" ht="15" hidden="false" customHeight="false" outlineLevel="0" collapsed="false">
      <c r="B5" s="23" t="s">
        <v>85</v>
      </c>
      <c r="D5" s="23" t="s">
        <v>68</v>
      </c>
      <c r="E5" s="23" t="s">
        <v>86</v>
      </c>
      <c r="F5" s="23" t="s">
        <v>87</v>
      </c>
      <c r="G5" s="23" t="n">
        <v>0</v>
      </c>
    </row>
    <row r="6" customFormat="false" ht="15" hidden="false" customHeight="false" outlineLevel="0" collapsed="false">
      <c r="B6" s="23" t="s">
        <v>88</v>
      </c>
      <c r="D6" s="23" t="s">
        <v>69</v>
      </c>
      <c r="E6" s="23" t="s">
        <v>22</v>
      </c>
    </row>
    <row r="7" customFormat="false" ht="15" hidden="false" customHeight="false" outlineLevel="0" collapsed="false">
      <c r="B7" s="23" t="s">
        <v>44</v>
      </c>
      <c r="D7" s="23" t="s">
        <v>70</v>
      </c>
      <c r="E7" s="23" t="s">
        <v>73</v>
      </c>
    </row>
    <row r="8" customFormat="false" ht="15" hidden="false" customHeight="false" outlineLevel="0" collapsed="false">
      <c r="B8" s="23" t="s">
        <v>89</v>
      </c>
      <c r="D8" s="23" t="s">
        <v>71</v>
      </c>
    </row>
    <row r="9" customFormat="false" ht="15" hidden="false" customHeight="false" outlineLevel="0" collapsed="false">
      <c r="B9" s="23" t="s">
        <v>90</v>
      </c>
      <c r="D9" s="23" t="s">
        <v>72</v>
      </c>
    </row>
    <row r="10" customFormat="false" ht="15" hidden="false" customHeight="false" outlineLevel="0" collapsed="false">
      <c r="B10" s="23" t="s">
        <v>91</v>
      </c>
      <c r="D10" s="23" t="s">
        <v>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2026-10-26T19:14:49Z</dcterms:created>
  <dc:creator>openpyxl</dc:creator>
  <dc:description/>
  <dc:language>en-US</dc:language>
  <cp:lastModifiedBy/>
  <dcterms:modified xsi:type="dcterms:W3CDTF">2026-10-26T19:14:49Z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