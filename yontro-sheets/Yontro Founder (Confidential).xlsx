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vmlDrawing8.vml" ContentType="application/vnd.openxmlformats-officedocument.vmlDrawing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vmlDrawing3.vml" ContentType="application/vnd.openxmlformats-officedocument.vmlDrawing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ales Daily KPIs" sheetId="2" state="visible" r:id="rId4"/>
    <sheet name="Sales Weekly KPIs" sheetId="3" state="visible" r:id="rId5"/>
    <sheet name="Spending" sheetId="4" state="visible" r:id="rId6"/>
    <sheet name="Earnings" sheetId="5" state="visible" r:id="rId7"/>
    <sheet name="Monthly Summary" sheetId="6" state="visible" r:id="rId8"/>
    <sheet name="Growth Targets" sheetId="7" state="visible" r:id="rId9"/>
    <sheet name="Hiring Plan" sheetId="8" state="visible" r:id="rId10"/>
    <sheet name="Scaling Milestones" sheetId="9" state="visible" r:id="rId11"/>
    <sheet name="Settings" sheetId="10" state="visible" r:id="rId12"/>
    <sheet name="Lists" sheetId="11" state="visible" r:id="rId13"/>
  </sheets>
  <definedNames>
    <definedName function="false" hidden="true" localSheetId="4" name="_xlnm._FilterDatabase" vbProcedure="false">Earnings!$A$1:$O$1001</definedName>
    <definedName function="false" hidden="true" localSheetId="6" name="_xlnm._FilterDatabase" vbProcedure="false">'Growth Targets'!$A$1:$L$13</definedName>
    <definedName function="false" hidden="true" localSheetId="7" name="_xlnm._FilterDatabase" vbProcedure="false">'Hiring Plan'!$A$1:$L$13</definedName>
    <definedName function="false" hidden="true" localSheetId="5" name="_xlnm._FilterDatabase" vbProcedure="false">'Monthly Summary'!$A$1:$H$27</definedName>
    <definedName function="false" hidden="true" localSheetId="1" name="_xlnm._FilterDatabase" vbProcedure="false">'Sales Daily KPIs'!$A$1:$K$601</definedName>
    <definedName function="false" hidden="true" localSheetId="2" name="_xlnm._FilterDatabase" vbProcedure="false">'Sales Weekly KPIs'!$A$1:$N$121</definedName>
    <definedName function="false" hidden="true" localSheetId="8" name="_xlnm._FilterDatabase" vbProcedure="false">'Scaling Milestones'!$A$1:$G$21</definedName>
    <definedName function="false" hidden="true" localSheetId="3" name="_xlnm._FilterDatabase" vbProcedure="false">Spending!$A$1:$L$1001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Calls + WhatsApps + walk-ins + DMs</t>
        </r>
      </text>
    </comment>
    <comment ref="F1" authorId="0">
      <text>
        <r>
          <rPr>
            <sz val="10"/>
            <rFont val="Arial"/>
            <family val="2"/>
          </rPr>
          <t xml:space="preserve">TODAY + OVERDUE count on the Pipeline file's Summary tab, at start of day</t>
        </r>
      </text>
    </comment>
    <comment ref="H1" authorId="0">
      <text>
        <r>
          <rPr>
            <sz val="10"/>
            <rFont val="Arial"/>
            <family val="2"/>
          </rPr>
          <t xml:space="preserve">Target 100%</t>
        </r>
      </text>
    </comment>
    <comment ref="J1" authorId="0">
      <text>
        <r>
          <rPr>
            <sz val="10"/>
            <rFont val="Arial"/>
            <family val="2"/>
          </rPr>
          <t xml:space="preserve">Calls, meetings booked, meetings done, follow-ups cleared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2 closed deals per rep per week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Link to the receipt photo in Google Drive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YON-YYYY-001</t>
        </r>
      </text>
    </comment>
    <comment ref="J1" authorId="0">
      <text>
        <r>
          <rPr>
            <sz val="10"/>
            <rFont val="Arial"/>
            <family val="2"/>
          </rPr>
          <t xml:space="preserve">Invoice date + 5 days (service agreement)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Invoiced minus spent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November 2026 counts from 19 Nov</t>
        </r>
      </text>
    </comment>
    <comment ref="B1" authorId="0">
      <text>
        <r>
          <rPr>
            <sz val="10"/>
            <rFont val="Arial"/>
            <family val="2"/>
          </rPr>
          <t xml:space="preserve">From the Hiring Plan tab</t>
        </r>
      </text>
    </comment>
    <comment ref="C1" authorId="0">
      <text>
        <r>
          <rPr>
            <sz val="10"/>
            <rFont val="Arial"/>
            <family val="2"/>
          </rPr>
          <t xml:space="preserve">Reps x 2 closed deals per rep per week x 4.33 weeks (Nov: from 19 Nov only)</t>
        </r>
      </text>
    </comment>
    <comment ref="C2" authorId="0">
      <text>
        <r>
          <rPr>
            <sz val="10"/>
            <rFont val="Arial"/>
            <family val="2"/>
          </rPr>
          <t xml:space="preserve">November is a part month: selling weeks from 19 Nov to 30 Nov only.</t>
        </r>
      </text>
    </comment>
    <comment ref="D1" authorId="0">
      <text>
        <r>
          <rPr>
            <sz val="10"/>
            <rFont val="Arial"/>
            <family val="2"/>
          </rPr>
          <t xml:space="preserve">Last month's active clients x churn (Settings)</t>
        </r>
      </text>
    </comment>
    <comment ref="F1" authorId="0">
      <text>
        <r>
          <rPr>
            <sz val="10"/>
            <rFont val="Arial"/>
            <family val="2"/>
          </rPr>
          <t xml:space="preserve">Active clients x average fee</t>
        </r>
      </text>
    </comment>
    <comment ref="I1" authorId="0">
      <text>
        <r>
          <rPr>
            <sz val="10"/>
            <rFont val="Arial"/>
            <family val="2"/>
          </rPr>
          <t xml:space="preserve">From Monthly Summary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ASSUMPTION: Sahill sets how many reps sell each month. Drives the client targets.</t>
        </r>
      </text>
    </comment>
    <comment ref="D1" authorId="0">
      <text>
        <r>
          <rPr>
            <sz val="10"/>
            <rFont val="Arial"/>
            <family val="2"/>
          </rPr>
          <t xml:space="preserve">Azeem counts as the first</t>
        </r>
      </text>
    </comment>
    <comment ref="E1" authorId="0">
      <text>
        <r>
          <rPr>
            <sz val="10"/>
            <rFont val="Arial"/>
            <family val="2"/>
          </rPr>
          <t xml:space="preserve">Lianna counts as the first</t>
        </r>
      </text>
    </comment>
    <comment ref="G1" authorId="0">
      <text>
        <r>
          <rPr>
            <sz val="10"/>
            <rFont val="Arial"/>
            <family val="2"/>
          </rPr>
          <t xml:space="preserve">Actual headcount (excl. founder)</t>
        </r>
      </text>
    </comment>
    <comment ref="I1" authorId="0">
      <text>
        <r>
          <rPr>
            <sz val="10"/>
            <rFont val="Arial"/>
            <family val="2"/>
          </rPr>
          <t xml:space="preserve">Uses salaries on Settings; 0 until filled in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Calculated from Growth Targets</t>
        </r>
      </text>
    </comment>
  </commentList>
</comments>
</file>

<file path=xl/sharedStrings.xml><?xml version="1.0" encoding="utf-8"?>
<sst xmlns="http://schemas.openxmlformats.org/spreadsheetml/2006/main" count="275" uniqueCount="175">
  <si>
    <t xml:space="preserve">Yontro Founder File - CONFIDENTIAL</t>
  </si>
  <si>
    <t xml:space="preserve">CONFIDENTIAL: share with Sahill Chandan only. Do not share this file with any employee. In Google Sheets: Share &gt; Restricted, no other people added.</t>
  </si>
  <si>
    <t xml:space="preserve">Tabs:</t>
  </si>
  <si>
    <t xml:space="preserve">Sales Daily KPIs - one row per rep per working day. Targets: 100 calls and outreaches, 4 meetings booked for the next day, 2 meetings done, all pipeline follow-ups cleared.</t>
  </si>
  <si>
    <t xml:space="preserve">Sales Weekly KPIs - weekly totals per rep, including closed deals (target 2 a week). Calculated from the daily tab.</t>
  </si>
  <si>
    <t xml:space="preserve">Spending - every business expense. Earnings - every invoice and payment received.</t>
  </si>
  <si>
    <t xml:space="preserve">Monthly Summary - invoiced, received, spent, profit and margin per month. Calculated.</t>
  </si>
  <si>
    <t xml:space="preserve">Growth Targets - target clients and revenue per month, driven by the number of sales reps and the settings.</t>
  </si>
  <si>
    <t xml:space="preserve">Hiring Plan - team needed per month for the target clients, hires needed, payroll vs revenue.</t>
  </si>
  <si>
    <t xml:space="preserve">Scaling Milestones - the trigger for each hire or expansion step, and the month the targets reach it.</t>
  </si>
  <si>
    <t xml:space="preserve">Settings - every target and assumption the formulas use. Change them here only.</t>
  </si>
  <si>
    <t xml:space="preserve">Where the daily sales numbers come from: each rep sends their numbers to Sahill on WhatsApp at 19:00; Sahill (or a person he names) enters them. Follow-ups due come from the Pipeline file's Summary tab.</t>
  </si>
  <si>
    <t xml:space="preserve">Assumptions marked on the Settings tab (churn, clients per videographer or account manager, reps per month) are starting points, not facts. Replace them with real numbers.</t>
  </si>
  <si>
    <t xml:space="preserve">Light orange cell = Lianna types here (input).</t>
  </si>
  <si>
    <t xml:space="preserve">Grey cell = formula, calculates by itself. Do not type over it.</t>
  </si>
  <si>
    <t xml:space="preserve">Grey italic row 2 on each tab = EXAMPLE showing the format. Delete it once real data starts.</t>
  </si>
  <si>
    <t xml:space="preserve">Date</t>
  </si>
  <si>
    <t xml:space="preserve">Sales rep</t>
  </si>
  <si>
    <t xml:space="preserve">Calls and outreaches (target 100)</t>
  </si>
  <si>
    <t xml:space="preserve">Meetings booked for next day (target 4)</t>
  </si>
  <si>
    <t xml:space="preserve">Meetings done today (target 2)</t>
  </si>
  <si>
    <t xml:space="preserve">Follow-ups due from pipeline</t>
  </si>
  <si>
    <t xml:space="preserve">Follow-ups done</t>
  </si>
  <si>
    <t xml:space="preserve">Follow-ups cleared %</t>
  </si>
  <si>
    <t xml:space="preserve">Deals closed today</t>
  </si>
  <si>
    <t xml:space="preserve">Daily targets hit (of 4)</t>
  </si>
  <si>
    <t xml:space="preserve">Notes / what stopped the target</t>
  </si>
  <si>
    <t xml:space="preserve">Usama Rehman</t>
  </si>
  <si>
    <t xml:space="preserve">EXAMPLE row - delete</t>
  </si>
  <si>
    <t xml:space="preserve">Week start</t>
  </si>
  <si>
    <t xml:space="preserve">Week end</t>
  </si>
  <si>
    <t xml:space="preserve">Days reported</t>
  </si>
  <si>
    <t xml:space="preserve">Calls and outreaches</t>
  </si>
  <si>
    <t xml:space="preserve">Target</t>
  </si>
  <si>
    <t xml:space="preserve">Meetings booked</t>
  </si>
  <si>
    <t xml:space="preserve">Meetings done</t>
  </si>
  <si>
    <t xml:space="preserve">Deals closed</t>
  </si>
  <si>
    <t xml:space="preserve">Notes</t>
  </si>
  <si>
    <t xml:space="preserve">Category</t>
  </si>
  <si>
    <t xml:space="preserve">Description</t>
  </si>
  <si>
    <t xml:space="preserve">Paid to</t>
  </si>
  <si>
    <t xml:space="preserve">Amount excl. VAT (AED)</t>
  </si>
  <si>
    <t xml:space="preserve">VAT charged? (Y/N)</t>
  </si>
  <si>
    <t xml:space="preserve">VAT (AED)</t>
  </si>
  <si>
    <t xml:space="preserve">Total paid (AED)</t>
  </si>
  <si>
    <t xml:space="preserve">Payment method</t>
  </si>
  <si>
    <t xml:space="preserve">Recurring</t>
  </si>
  <si>
    <t xml:space="preserve">Receipt link</t>
  </si>
  <si>
    <t xml:space="preserve">Software and subscriptions</t>
  </si>
  <si>
    <t xml:space="preserve">EXAMPLE: editing software, monthly</t>
  </si>
  <si>
    <t xml:space="preserve">Software vendor</t>
  </si>
  <si>
    <t xml:space="preserve">Y</t>
  </si>
  <si>
    <t xml:space="preserve">Card</t>
  </si>
  <si>
    <t xml:space="preserve">Monthly</t>
  </si>
  <si>
    <t xml:space="preserve">Delete this row</t>
  </si>
  <si>
    <t xml:space="preserve">Invoice no.</t>
  </si>
  <si>
    <t xml:space="preserve">Invoice date</t>
  </si>
  <si>
    <t xml:space="preserve">Client</t>
  </si>
  <si>
    <t xml:space="preserve">Service</t>
  </si>
  <si>
    <t xml:space="preserve">Invoice total (AED)</t>
  </si>
  <si>
    <t xml:space="preserve">Due date</t>
  </si>
  <si>
    <t xml:space="preserve">Paid on</t>
  </si>
  <si>
    <t xml:space="preserve">Amount received (AED)</t>
  </si>
  <si>
    <t xml:space="preserve">Status</t>
  </si>
  <si>
    <t xml:space="preserve">Days overdue</t>
  </si>
  <si>
    <t xml:space="preserve">YON-2026-000</t>
  </si>
  <si>
    <t xml:space="preserve">EXAMPLE Spa Co</t>
  </si>
  <si>
    <t xml:space="preserve">Growth</t>
  </si>
  <si>
    <t xml:space="preserve">EXAMPLE: November content package</t>
  </si>
  <si>
    <t xml:space="preserve">N</t>
  </si>
  <si>
    <t xml:space="preserve">Month</t>
  </si>
  <si>
    <t xml:space="preserve">Invoiced excl. VAT (AED)</t>
  </si>
  <si>
    <t xml:space="preserve">Cash received (AED)</t>
  </si>
  <si>
    <t xml:space="preserve">Spent excl. VAT (AED)</t>
  </si>
  <si>
    <t xml:space="preserve">Profit (AED)</t>
  </si>
  <si>
    <t xml:space="preserve">Margin</t>
  </si>
  <si>
    <t xml:space="preserve">Unpaid invoices from this month (AED)</t>
  </si>
  <si>
    <t xml:space="preserve">VAT collected minus VAT paid (AED)</t>
  </si>
  <si>
    <t xml:space="preserve">Sales reps</t>
  </si>
  <si>
    <t xml:space="preserve">Target new clients</t>
  </si>
  <si>
    <t xml:space="preserve">Target clients lost</t>
  </si>
  <si>
    <t xml:space="preserve">Target active clients</t>
  </si>
  <si>
    <t xml:space="preserve">Target revenue (AED / month)</t>
  </si>
  <si>
    <t xml:space="preserve">Actual new clients</t>
  </si>
  <si>
    <t xml:space="preserve">Actual active clients</t>
  </si>
  <si>
    <t xml:space="preserve">Actual revenue invoiced (AED)</t>
  </si>
  <si>
    <t xml:space="preserve">Revenue vs target</t>
  </si>
  <si>
    <t xml:space="preserve">Active clients vs target</t>
  </si>
  <si>
    <t xml:space="preserve">12-month totals</t>
  </si>
  <si>
    <t xml:space="preserve">Sales reps planned</t>
  </si>
  <si>
    <t xml:space="preserve">Videographer-editors needed</t>
  </si>
  <si>
    <t xml:space="preserve">Account managers needed</t>
  </si>
  <si>
    <t xml:space="preserve">Team needed (excl. founder)</t>
  </si>
  <si>
    <t xml:space="preserve">Team in place</t>
  </si>
  <si>
    <t xml:space="preserve">Hires needed</t>
  </si>
  <si>
    <t xml:space="preserve">Payroll estimate (AED / month)</t>
  </si>
  <si>
    <t xml:space="preserve">Payroll as % of revenue</t>
  </si>
  <si>
    <t xml:space="preserve">Milestone</t>
  </si>
  <si>
    <t xml:space="preserve">Trigger: target active clients reach</t>
  </si>
  <si>
    <t xml:space="preserve">First month the plan reaches it</t>
  </si>
  <si>
    <t xml:space="preserve">Action</t>
  </si>
  <si>
    <t xml:space="preserve">Owner</t>
  </si>
  <si>
    <t xml:space="preserve">Hire 1st videographer-editor (Azeem at capacity)</t>
  </si>
  <si>
    <t xml:space="preserve">Post the Videographer &amp; Editor role; Azeem trains and reviews</t>
  </si>
  <si>
    <t xml:space="preserve">Sahill</t>
  </si>
  <si>
    <t xml:space="preserve">Not yet</t>
  </si>
  <si>
    <t xml:space="preserve">Hire 2nd account manager (Lianna at capacity)</t>
  </si>
  <si>
    <t xml:space="preserve">Post the Strategist &amp; Account Manager role</t>
  </si>
  <si>
    <t xml:space="preserve">Hire 2nd videographer-editor</t>
  </si>
  <si>
    <t xml:space="preserve">Second shoot team; shared shoot calendar</t>
  </si>
  <si>
    <t xml:space="preserve">Move Azeem to review-only creative director</t>
  </si>
  <si>
    <t xml:space="preserve">Azeem stops shooting daily; reviews every video</t>
  </si>
  <si>
    <t xml:space="preserve">Start shoots outside Dubai (Sharjah, Ajman, Abu Dhabi)</t>
  </si>
  <si>
    <t xml:space="preserve">Website already quotes travel per shoot; set the trigger</t>
  </si>
  <si>
    <t xml:space="preserve">Larger office or studio</t>
  </si>
  <si>
    <t xml:space="preserve">Set the trigger (clients or team size)</t>
  </si>
  <si>
    <t xml:space="preserve">Setting</t>
  </si>
  <si>
    <t xml:space="preserve">Value</t>
  </si>
  <si>
    <t xml:space="preserve">Source</t>
  </si>
  <si>
    <t xml:space="preserve">Calls and outreaches per rep per day</t>
  </si>
  <si>
    <t xml:space="preserve">Meetings booked for next day per rep per day</t>
  </si>
  <si>
    <t xml:space="preserve">Meetings done per rep per day</t>
  </si>
  <si>
    <t xml:space="preserve">Closed deals per rep per week</t>
  </si>
  <si>
    <t xml:space="preserve">Working days per week</t>
  </si>
  <si>
    <t xml:space="preserve">Yontro hours: Monday to Saturday (website)</t>
  </si>
  <si>
    <t xml:space="preserve">Weeks per month</t>
  </si>
  <si>
    <t xml:space="preserve">52 weeks / 12 months</t>
  </si>
  <si>
    <t xml:space="preserve">Clients at start (19 Nov 2026)</t>
  </si>
  <si>
    <t xml:space="preserve">Assumption: no paying clients yet. Update when the mobile shop and spa sign</t>
  </si>
  <si>
    <t xml:space="preserve">Monthly client churn</t>
  </si>
  <si>
    <t xml:space="preserve">ASSUMPTION: 1 in 10 active clients leaves each month after the 3-month minimum. Replace with real data</t>
  </si>
  <si>
    <t xml:space="preserve">Average monthly fee per client (AED)</t>
  </si>
  <si>
    <t xml:space="preserve">Average of the three packages below. Replace with your real mix</t>
  </si>
  <si>
    <t xml:space="preserve">Clients one videographer-editor can handle</t>
  </si>
  <si>
    <t xml:space="preserve">Careers page: 'five to six clients' per videographer</t>
  </si>
  <si>
    <t xml:space="preserve">Clients one account manager can handle</t>
  </si>
  <si>
    <t xml:space="preserve">ASSUMPTION - replace with Lianna's real capacity</t>
  </si>
  <si>
    <t xml:space="preserve">Monthly salary: sales agent (AED)</t>
  </si>
  <si>
    <t xml:space="preserve">Fill in - leave blank until known; payroll counts it as 0</t>
  </si>
  <si>
    <t xml:space="preserve">Monthly salary: videographer-editor (AED)</t>
  </si>
  <si>
    <t xml:space="preserve">Fill in</t>
  </si>
  <si>
    <t xml:space="preserve">Monthly salary: account manager (AED)</t>
  </si>
  <si>
    <t xml:space="preserve">VAT rate</t>
  </si>
  <si>
    <t xml:space="preserve">UAE standard VAT rate. Only charge it if Yontro is VAT-registered</t>
  </si>
  <si>
    <t xml:space="preserve">Days to pay an invoice</t>
  </si>
  <si>
    <t xml:space="preserve">Service agreement clause 4</t>
  </si>
  <si>
    <t xml:space="preserve">Package</t>
  </si>
  <si>
    <t xml:space="preserve">Fee (AED)</t>
  </si>
  <si>
    <t xml:space="preserve">Launch</t>
  </si>
  <si>
    <t xml:space="preserve">Scale</t>
  </si>
  <si>
    <t xml:space="preserve">Reps</t>
  </si>
  <si>
    <t xml:space="preserve">Spending category</t>
  </si>
  <si>
    <t xml:space="preserve">Yes/No</t>
  </si>
  <si>
    <t xml:space="preserve">Milestone status</t>
  </si>
  <si>
    <t xml:space="preserve">Salaries</t>
  </si>
  <si>
    <t xml:space="preserve">Bank transfer</t>
  </si>
  <si>
    <t xml:space="preserve">Sales Agent 1</t>
  </si>
  <si>
    <t xml:space="preserve">Commission</t>
  </si>
  <si>
    <t xml:space="preserve">One-off</t>
  </si>
  <si>
    <t xml:space="preserve">In progress</t>
  </si>
  <si>
    <t xml:space="preserve">Sales Agent 2</t>
  </si>
  <si>
    <t xml:space="preserve">Office rent</t>
  </si>
  <si>
    <t xml:space="preserve">Cash</t>
  </si>
  <si>
    <t xml:space="preserve">Done</t>
  </si>
  <si>
    <t xml:space="preserve">Equipment</t>
  </si>
  <si>
    <t xml:space="preserve">Add-on</t>
  </si>
  <si>
    <t xml:space="preserve">Cheque</t>
  </si>
  <si>
    <t xml:space="preserve">Other</t>
  </si>
  <si>
    <t xml:space="preserve">Yontro's own ads</t>
  </si>
  <si>
    <t xml:space="preserve">Transport and fuel</t>
  </si>
  <si>
    <t xml:space="preserve">Visas and licences</t>
  </si>
  <si>
    <t xml:space="preserve">Freelancers and talent</t>
  </si>
  <si>
    <t xml:space="preserve">Props and production</t>
  </si>
  <si>
    <t xml:space="preserve">Marketing and printing</t>
  </si>
  <si>
    <t xml:space="preserve">Bank fees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</si>
</sst>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0.0%"/>
    <numFmt numFmtId="168" formatCode="mmm\-yyyy"/>
    <numFmt numFmtId="169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4E5"/>
        <bgColor rgb="FFEDEDED"/>
      </patternFill>
    </fill>
    <fill>
      <patternFill patternType="solid">
        <fgColor rgb="FFEDEDED"/>
        <bgColor rgb="FFFFF4E5"/>
      </patternFill>
    </fill>
    <fill>
      <patternFill patternType="solid">
        <fgColor rgb="FF0B0B0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B0B0B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4E5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4" customFormat="false" ht="23.8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3" t="s">
        <v>2</v>
      </c>
    </row>
    <row r="7" customFormat="false" ht="23.85" hidden="false" customHeight="false" outlineLevel="0" collapsed="false">
      <c r="B7" s="2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/>
    </row>
    <row r="16" customFormat="false" ht="23.85" hidden="false" customHeight="false" outlineLevel="0" collapsed="false">
      <c r="B16" s="2" t="s">
        <v>11</v>
      </c>
    </row>
    <row r="17" customFormat="false" ht="23.85" hidden="false" customHeight="false" outlineLevel="0" collapsed="false">
      <c r="B17" s="2" t="s">
        <v>12</v>
      </c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5" t="s">
        <v>14</v>
      </c>
    </row>
    <row r="21" customFormat="false" ht="15" hidden="false" customHeight="false" outlineLevel="0" collapsed="false">
      <c r="B21" s="6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5" min="3" style="0" width="12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34"/>
  </cols>
  <sheetData>
    <row r="1" customFormat="false" ht="33.75" hidden="false" customHeight="true" outlineLevel="0" collapsed="false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</row>
    <row r="2" customFormat="false" ht="15" hidden="false" customHeight="false" outlineLevel="0" collapsed="false">
      <c r="A2" s="8" t="n">
        <v>46344</v>
      </c>
      <c r="B2" s="9" t="s">
        <v>27</v>
      </c>
      <c r="C2" s="10" t="n">
        <v>104</v>
      </c>
      <c r="D2" s="10" t="n">
        <v>4</v>
      </c>
      <c r="E2" s="10" t="n">
        <v>2</v>
      </c>
      <c r="F2" s="10" t="n">
        <v>6</v>
      </c>
      <c r="G2" s="10" t="n">
        <v>6</v>
      </c>
      <c r="H2" s="11" t="n">
        <f aca="false">IF(OR(F2="",F2=0),IF(G2="","",1),MIN(1,G2/F2))</f>
        <v>1</v>
      </c>
      <c r="I2" s="10" t="n">
        <v>0</v>
      </c>
      <c r="J2" s="12" t="str">
        <f aca="false">IF(C2="","",(C2&gt;=Settings!$B$2)+(D2&gt;=Settings!$B$3)+(E2&gt;=Settings!$B$4)+(N(H2)&gt;=1))&amp;"/4"</f>
        <v>4/4</v>
      </c>
      <c r="K2" s="9" t="s">
        <v>28</v>
      </c>
    </row>
    <row r="3" customFormat="false" ht="15" hidden="false" customHeight="false" outlineLevel="0" collapsed="false">
      <c r="A3" s="13" t="n">
        <v>46345</v>
      </c>
      <c r="B3" s="14" t="s">
        <v>27</v>
      </c>
      <c r="C3" s="15"/>
      <c r="D3" s="15"/>
      <c r="E3" s="15"/>
      <c r="F3" s="15"/>
      <c r="G3" s="15"/>
      <c r="H3" s="16" t="str">
        <f aca="false">IF(OR(F3="",F3=0),IF(G3="","",1),MIN(1,G3/F3))</f>
        <v/>
      </c>
      <c r="I3" s="15"/>
      <c r="J3" s="17" t="str">
        <f aca="false">IF(C3="","",(C3&gt;=Settings!$B$2)+(D3&gt;=Settings!$B$3)+(E3&gt;=Settings!$B$4)+(N(H3)&gt;=1))&amp;"/4"</f>
        <v>/4</v>
      </c>
      <c r="K3" s="14"/>
    </row>
    <row r="4" customFormat="false" ht="15" hidden="false" customHeight="false" outlineLevel="0" collapsed="false">
      <c r="A4" s="13" t="n">
        <v>46346</v>
      </c>
      <c r="B4" s="14" t="s">
        <v>27</v>
      </c>
      <c r="C4" s="15"/>
      <c r="D4" s="15"/>
      <c r="E4" s="15"/>
      <c r="F4" s="15"/>
      <c r="G4" s="15"/>
      <c r="H4" s="16" t="str">
        <f aca="false">IF(OR(F4="",F4=0),IF(G4="","",1),MIN(1,G4/F4))</f>
        <v/>
      </c>
      <c r="I4" s="15"/>
      <c r="J4" s="17" t="str">
        <f aca="false">IF(C4="","",(C4&gt;=Settings!$B$2)+(D4&gt;=Settings!$B$3)+(E4&gt;=Settings!$B$4)+(N(H4)&gt;=1))&amp;"/4"</f>
        <v>/4</v>
      </c>
      <c r="K4" s="14"/>
    </row>
    <row r="5" customFormat="false" ht="15" hidden="false" customHeight="false" outlineLevel="0" collapsed="false">
      <c r="A5" s="13" t="n">
        <v>46347</v>
      </c>
      <c r="B5" s="14" t="s">
        <v>27</v>
      </c>
      <c r="C5" s="15"/>
      <c r="D5" s="15"/>
      <c r="E5" s="15"/>
      <c r="F5" s="15"/>
      <c r="G5" s="15"/>
      <c r="H5" s="16" t="str">
        <f aca="false">IF(OR(F5="",F5=0),IF(G5="","",1),MIN(1,G5/F5))</f>
        <v/>
      </c>
      <c r="I5" s="15"/>
      <c r="J5" s="17" t="str">
        <f aca="false">IF(C5="","",(C5&gt;=Settings!$B$2)+(D5&gt;=Settings!$B$3)+(E5&gt;=Settings!$B$4)+(N(H5)&gt;=1))&amp;"/4"</f>
        <v>/4</v>
      </c>
      <c r="K5" s="14"/>
    </row>
    <row r="6" customFormat="false" ht="15" hidden="false" customHeight="false" outlineLevel="0" collapsed="false">
      <c r="A6" s="13" t="n">
        <v>46349</v>
      </c>
      <c r="B6" s="14" t="s">
        <v>27</v>
      </c>
      <c r="C6" s="15"/>
      <c r="D6" s="15"/>
      <c r="E6" s="15"/>
      <c r="F6" s="15"/>
      <c r="G6" s="15"/>
      <c r="H6" s="16" t="str">
        <f aca="false">IF(OR(F6="",F6=0),IF(G6="","",1),MIN(1,G6/F6))</f>
        <v/>
      </c>
      <c r="I6" s="15"/>
      <c r="J6" s="17" t="str">
        <f aca="false">IF(C6="","",(C6&gt;=Settings!$B$2)+(D6&gt;=Settings!$B$3)+(E6&gt;=Settings!$B$4)+(N(H6)&gt;=1))&amp;"/4"</f>
        <v>/4</v>
      </c>
      <c r="K6" s="14"/>
    </row>
    <row r="7" customFormat="false" ht="15" hidden="false" customHeight="false" outlineLevel="0" collapsed="false">
      <c r="A7" s="13" t="n">
        <v>46350</v>
      </c>
      <c r="B7" s="14" t="s">
        <v>27</v>
      </c>
      <c r="C7" s="15"/>
      <c r="D7" s="15"/>
      <c r="E7" s="15"/>
      <c r="F7" s="15"/>
      <c r="G7" s="15"/>
      <c r="H7" s="16" t="str">
        <f aca="false">IF(OR(F7="",F7=0),IF(G7="","",1),MIN(1,G7/F7))</f>
        <v/>
      </c>
      <c r="I7" s="15"/>
      <c r="J7" s="17" t="str">
        <f aca="false">IF(C7="","",(C7&gt;=Settings!$B$2)+(D7&gt;=Settings!$B$3)+(E7&gt;=Settings!$B$4)+(N(H7)&gt;=1))&amp;"/4"</f>
        <v>/4</v>
      </c>
      <c r="K7" s="14"/>
    </row>
    <row r="8" customFormat="false" ht="15" hidden="false" customHeight="false" outlineLevel="0" collapsed="false">
      <c r="A8" s="13" t="n">
        <v>46351</v>
      </c>
      <c r="B8" s="14" t="s">
        <v>27</v>
      </c>
      <c r="C8" s="15"/>
      <c r="D8" s="15"/>
      <c r="E8" s="15"/>
      <c r="F8" s="15"/>
      <c r="G8" s="15"/>
      <c r="H8" s="16" t="str">
        <f aca="false">IF(OR(F8="",F8=0),IF(G8="","",1),MIN(1,G8/F8))</f>
        <v/>
      </c>
      <c r="I8" s="15"/>
      <c r="J8" s="17" t="str">
        <f aca="false">IF(C8="","",(C8&gt;=Settings!$B$2)+(D8&gt;=Settings!$B$3)+(E8&gt;=Settings!$B$4)+(N(H8)&gt;=1))&amp;"/4"</f>
        <v>/4</v>
      </c>
      <c r="K8" s="14"/>
    </row>
    <row r="9" customFormat="false" ht="15" hidden="false" customHeight="false" outlineLevel="0" collapsed="false">
      <c r="A9" s="13" t="n">
        <v>46352</v>
      </c>
      <c r="B9" s="14" t="s">
        <v>27</v>
      </c>
      <c r="C9" s="15"/>
      <c r="D9" s="15"/>
      <c r="E9" s="15"/>
      <c r="F9" s="15"/>
      <c r="G9" s="15"/>
      <c r="H9" s="16" t="str">
        <f aca="false">IF(OR(F9="",F9=0),IF(G9="","",1),MIN(1,G9/F9))</f>
        <v/>
      </c>
      <c r="I9" s="15"/>
      <c r="J9" s="17" t="str">
        <f aca="false">IF(C9="","",(C9&gt;=Settings!$B$2)+(D9&gt;=Settings!$B$3)+(E9&gt;=Settings!$B$4)+(N(H9)&gt;=1))&amp;"/4"</f>
        <v>/4</v>
      </c>
      <c r="K9" s="14"/>
    </row>
    <row r="10" customFormat="false" ht="15" hidden="false" customHeight="false" outlineLevel="0" collapsed="false">
      <c r="A10" s="13" t="n">
        <v>46353</v>
      </c>
      <c r="B10" s="14" t="s">
        <v>27</v>
      </c>
      <c r="C10" s="15"/>
      <c r="D10" s="15"/>
      <c r="E10" s="15"/>
      <c r="F10" s="15"/>
      <c r="G10" s="15"/>
      <c r="H10" s="16" t="str">
        <f aca="false">IF(OR(F10="",F10=0),IF(G10="","",1),MIN(1,G10/F10))</f>
        <v/>
      </c>
      <c r="I10" s="15"/>
      <c r="J10" s="17" t="str">
        <f aca="false">IF(C10="","",(C10&gt;=Settings!$B$2)+(D10&gt;=Settings!$B$3)+(E10&gt;=Settings!$B$4)+(N(H10)&gt;=1))&amp;"/4"</f>
        <v>/4</v>
      </c>
      <c r="K10" s="14"/>
    </row>
    <row r="11" customFormat="false" ht="15" hidden="false" customHeight="false" outlineLevel="0" collapsed="false">
      <c r="A11" s="13" t="n">
        <v>46354</v>
      </c>
      <c r="B11" s="14" t="s">
        <v>27</v>
      </c>
      <c r="C11" s="15"/>
      <c r="D11" s="15"/>
      <c r="E11" s="15"/>
      <c r="F11" s="15"/>
      <c r="G11" s="15"/>
      <c r="H11" s="16" t="str">
        <f aca="false">IF(OR(F11="",F11=0),IF(G11="","",1),MIN(1,G11/F11))</f>
        <v/>
      </c>
      <c r="I11" s="15"/>
      <c r="J11" s="17" t="str">
        <f aca="false">IF(C11="","",(C11&gt;=Settings!$B$2)+(D11&gt;=Settings!$B$3)+(E11&gt;=Settings!$B$4)+(N(H11)&gt;=1))&amp;"/4"</f>
        <v>/4</v>
      </c>
      <c r="K11" s="14"/>
    </row>
    <row r="12" customFormat="false" ht="15" hidden="false" customHeight="false" outlineLevel="0" collapsed="false">
      <c r="A12" s="13" t="n">
        <v>46356</v>
      </c>
      <c r="B12" s="14" t="s">
        <v>27</v>
      </c>
      <c r="C12" s="15"/>
      <c r="D12" s="15"/>
      <c r="E12" s="15"/>
      <c r="F12" s="15"/>
      <c r="G12" s="15"/>
      <c r="H12" s="16" t="str">
        <f aca="false">IF(OR(F12="",F12=0),IF(G12="","",1),MIN(1,G12/F12))</f>
        <v/>
      </c>
      <c r="I12" s="15"/>
      <c r="J12" s="17" t="str">
        <f aca="false">IF(C12="","",(C12&gt;=Settings!$B$2)+(D12&gt;=Settings!$B$3)+(E12&gt;=Settings!$B$4)+(N(H12)&gt;=1))&amp;"/4"</f>
        <v>/4</v>
      </c>
      <c r="K12" s="14"/>
    </row>
    <row r="13" customFormat="false" ht="15" hidden="false" customHeight="false" outlineLevel="0" collapsed="false">
      <c r="A13" s="13" t="n">
        <v>46357</v>
      </c>
      <c r="B13" s="14" t="s">
        <v>27</v>
      </c>
      <c r="C13" s="15"/>
      <c r="D13" s="15"/>
      <c r="E13" s="15"/>
      <c r="F13" s="15"/>
      <c r="G13" s="15"/>
      <c r="H13" s="16" t="str">
        <f aca="false">IF(OR(F13="",F13=0),IF(G13="","",1),MIN(1,G13/F13))</f>
        <v/>
      </c>
      <c r="I13" s="15"/>
      <c r="J13" s="17" t="str">
        <f aca="false">IF(C13="","",(C13&gt;=Settings!$B$2)+(D13&gt;=Settings!$B$3)+(E13&gt;=Settings!$B$4)+(N(H13)&gt;=1))&amp;"/4"</f>
        <v>/4</v>
      </c>
      <c r="K13" s="14"/>
    </row>
    <row r="14" customFormat="false" ht="15" hidden="false" customHeight="false" outlineLevel="0" collapsed="false">
      <c r="A14" s="13" t="n">
        <v>46358</v>
      </c>
      <c r="B14" s="14" t="s">
        <v>27</v>
      </c>
      <c r="C14" s="15"/>
      <c r="D14" s="15"/>
      <c r="E14" s="15"/>
      <c r="F14" s="15"/>
      <c r="G14" s="15"/>
      <c r="H14" s="16" t="str">
        <f aca="false">IF(OR(F14="",F14=0),IF(G14="","",1),MIN(1,G14/F14))</f>
        <v/>
      </c>
      <c r="I14" s="15"/>
      <c r="J14" s="17" t="str">
        <f aca="false">IF(C14="","",(C14&gt;=Settings!$B$2)+(D14&gt;=Settings!$B$3)+(E14&gt;=Settings!$B$4)+(N(H14)&gt;=1))&amp;"/4"</f>
        <v>/4</v>
      </c>
      <c r="K14" s="14"/>
    </row>
    <row r="15" customFormat="false" ht="15" hidden="false" customHeight="false" outlineLevel="0" collapsed="false">
      <c r="A15" s="13" t="n">
        <v>46359</v>
      </c>
      <c r="B15" s="14" t="s">
        <v>27</v>
      </c>
      <c r="C15" s="15"/>
      <c r="D15" s="15"/>
      <c r="E15" s="15"/>
      <c r="F15" s="15"/>
      <c r="G15" s="15"/>
      <c r="H15" s="16" t="str">
        <f aca="false">IF(OR(F15="",F15=0),IF(G15="","",1),MIN(1,G15/F15))</f>
        <v/>
      </c>
      <c r="I15" s="15"/>
      <c r="J15" s="17" t="str">
        <f aca="false">IF(C15="","",(C15&gt;=Settings!$B$2)+(D15&gt;=Settings!$B$3)+(E15&gt;=Settings!$B$4)+(N(H15)&gt;=1))&amp;"/4"</f>
        <v>/4</v>
      </c>
      <c r="K15" s="14"/>
    </row>
    <row r="16" customFormat="false" ht="15" hidden="false" customHeight="false" outlineLevel="0" collapsed="false">
      <c r="A16" s="13" t="n">
        <v>46360</v>
      </c>
      <c r="B16" s="14" t="s">
        <v>27</v>
      </c>
      <c r="C16" s="15"/>
      <c r="D16" s="15"/>
      <c r="E16" s="15"/>
      <c r="F16" s="15"/>
      <c r="G16" s="15"/>
      <c r="H16" s="16" t="str">
        <f aca="false">IF(OR(F16="",F16=0),IF(G16="","",1),MIN(1,G16/F16))</f>
        <v/>
      </c>
      <c r="I16" s="15"/>
      <c r="J16" s="17" t="str">
        <f aca="false">IF(C16="","",(C16&gt;=Settings!$B$2)+(D16&gt;=Settings!$B$3)+(E16&gt;=Settings!$B$4)+(N(H16)&gt;=1))&amp;"/4"</f>
        <v>/4</v>
      </c>
      <c r="K16" s="14"/>
    </row>
    <row r="17" customFormat="false" ht="15" hidden="false" customHeight="false" outlineLevel="0" collapsed="false">
      <c r="A17" s="13" t="n">
        <v>46361</v>
      </c>
      <c r="B17" s="14" t="s">
        <v>27</v>
      </c>
      <c r="C17" s="15"/>
      <c r="D17" s="15"/>
      <c r="E17" s="15"/>
      <c r="F17" s="15"/>
      <c r="G17" s="15"/>
      <c r="H17" s="16" t="str">
        <f aca="false">IF(OR(F17="",F17=0),IF(G17="","",1),MIN(1,G17/F17))</f>
        <v/>
      </c>
      <c r="I17" s="15"/>
      <c r="J17" s="17" t="str">
        <f aca="false">IF(C17="","",(C17&gt;=Settings!$B$2)+(D17&gt;=Settings!$B$3)+(E17&gt;=Settings!$B$4)+(N(H17)&gt;=1))&amp;"/4"</f>
        <v>/4</v>
      </c>
      <c r="K17" s="14"/>
    </row>
    <row r="18" customFormat="false" ht="15" hidden="false" customHeight="false" outlineLevel="0" collapsed="false">
      <c r="A18" s="13" t="n">
        <v>46363</v>
      </c>
      <c r="B18" s="14" t="s">
        <v>27</v>
      </c>
      <c r="C18" s="15"/>
      <c r="D18" s="15"/>
      <c r="E18" s="15"/>
      <c r="F18" s="15"/>
      <c r="G18" s="15"/>
      <c r="H18" s="16" t="str">
        <f aca="false">IF(OR(F18="",F18=0),IF(G18="","",1),MIN(1,G18/F18))</f>
        <v/>
      </c>
      <c r="I18" s="15"/>
      <c r="J18" s="17" t="str">
        <f aca="false">IF(C18="","",(C18&gt;=Settings!$B$2)+(D18&gt;=Settings!$B$3)+(E18&gt;=Settings!$B$4)+(N(H18)&gt;=1))&amp;"/4"</f>
        <v>/4</v>
      </c>
      <c r="K18" s="14"/>
    </row>
    <row r="19" customFormat="false" ht="15" hidden="false" customHeight="false" outlineLevel="0" collapsed="false">
      <c r="A19" s="13" t="n">
        <v>46364</v>
      </c>
      <c r="B19" s="14" t="s">
        <v>27</v>
      </c>
      <c r="C19" s="15"/>
      <c r="D19" s="15"/>
      <c r="E19" s="15"/>
      <c r="F19" s="15"/>
      <c r="G19" s="15"/>
      <c r="H19" s="16" t="str">
        <f aca="false">IF(OR(F19="",F19=0),IF(G19="","",1),MIN(1,G19/F19))</f>
        <v/>
      </c>
      <c r="I19" s="15"/>
      <c r="J19" s="17" t="str">
        <f aca="false">IF(C19="","",(C19&gt;=Settings!$B$2)+(D19&gt;=Settings!$B$3)+(E19&gt;=Settings!$B$4)+(N(H19)&gt;=1))&amp;"/4"</f>
        <v>/4</v>
      </c>
      <c r="K19" s="14"/>
    </row>
    <row r="20" customFormat="false" ht="15" hidden="false" customHeight="false" outlineLevel="0" collapsed="false">
      <c r="A20" s="13" t="n">
        <v>46365</v>
      </c>
      <c r="B20" s="14" t="s">
        <v>27</v>
      </c>
      <c r="C20" s="15"/>
      <c r="D20" s="15"/>
      <c r="E20" s="15"/>
      <c r="F20" s="15"/>
      <c r="G20" s="15"/>
      <c r="H20" s="16" t="str">
        <f aca="false">IF(OR(F20="",F20=0),IF(G20="","",1),MIN(1,G20/F20))</f>
        <v/>
      </c>
      <c r="I20" s="15"/>
      <c r="J20" s="17" t="str">
        <f aca="false">IF(C20="","",(C20&gt;=Settings!$B$2)+(D20&gt;=Settings!$B$3)+(E20&gt;=Settings!$B$4)+(N(H20)&gt;=1))&amp;"/4"</f>
        <v>/4</v>
      </c>
      <c r="K20" s="14"/>
    </row>
    <row r="21" customFormat="false" ht="15" hidden="false" customHeight="false" outlineLevel="0" collapsed="false">
      <c r="A21" s="13" t="n">
        <v>46366</v>
      </c>
      <c r="B21" s="14" t="s">
        <v>27</v>
      </c>
      <c r="C21" s="15"/>
      <c r="D21" s="15"/>
      <c r="E21" s="15"/>
      <c r="F21" s="15"/>
      <c r="G21" s="15"/>
      <c r="H21" s="16" t="str">
        <f aca="false">IF(OR(F21="",F21=0),IF(G21="","",1),MIN(1,G21/F21))</f>
        <v/>
      </c>
      <c r="I21" s="15"/>
      <c r="J21" s="17" t="str">
        <f aca="false">IF(C21="","",(C21&gt;=Settings!$B$2)+(D21&gt;=Settings!$B$3)+(E21&gt;=Settings!$B$4)+(N(H21)&gt;=1))&amp;"/4"</f>
        <v>/4</v>
      </c>
      <c r="K21" s="14"/>
    </row>
    <row r="22" customFormat="false" ht="15" hidden="false" customHeight="false" outlineLevel="0" collapsed="false">
      <c r="A22" s="13" t="n">
        <v>46367</v>
      </c>
      <c r="B22" s="14" t="s">
        <v>27</v>
      </c>
      <c r="C22" s="15"/>
      <c r="D22" s="15"/>
      <c r="E22" s="15"/>
      <c r="F22" s="15"/>
      <c r="G22" s="15"/>
      <c r="H22" s="16" t="str">
        <f aca="false">IF(OR(F22="",F22=0),IF(G22="","",1),MIN(1,G22/F22))</f>
        <v/>
      </c>
      <c r="I22" s="15"/>
      <c r="J22" s="17" t="str">
        <f aca="false">IF(C22="","",(C22&gt;=Settings!$B$2)+(D22&gt;=Settings!$B$3)+(E22&gt;=Settings!$B$4)+(N(H22)&gt;=1))&amp;"/4"</f>
        <v>/4</v>
      </c>
      <c r="K22" s="14"/>
    </row>
    <row r="23" customFormat="false" ht="15" hidden="false" customHeight="false" outlineLevel="0" collapsed="false">
      <c r="A23" s="13" t="n">
        <v>46368</v>
      </c>
      <c r="B23" s="14" t="s">
        <v>27</v>
      </c>
      <c r="C23" s="15"/>
      <c r="D23" s="15"/>
      <c r="E23" s="15"/>
      <c r="F23" s="15"/>
      <c r="G23" s="15"/>
      <c r="H23" s="16" t="str">
        <f aca="false">IF(OR(F23="",F23=0),IF(G23="","",1),MIN(1,G23/F23))</f>
        <v/>
      </c>
      <c r="I23" s="15"/>
      <c r="J23" s="17" t="str">
        <f aca="false">IF(C23="","",(C23&gt;=Settings!$B$2)+(D23&gt;=Settings!$B$3)+(E23&gt;=Settings!$B$4)+(N(H23)&gt;=1))&amp;"/4"</f>
        <v>/4</v>
      </c>
      <c r="K23" s="14"/>
    </row>
    <row r="24" customFormat="false" ht="15" hidden="false" customHeight="false" outlineLevel="0" collapsed="false">
      <c r="A24" s="13" t="n">
        <v>46370</v>
      </c>
      <c r="B24" s="14" t="s">
        <v>27</v>
      </c>
      <c r="C24" s="15"/>
      <c r="D24" s="15"/>
      <c r="E24" s="15"/>
      <c r="F24" s="15"/>
      <c r="G24" s="15"/>
      <c r="H24" s="16" t="str">
        <f aca="false">IF(OR(F24="",F24=0),IF(G24="","",1),MIN(1,G24/F24))</f>
        <v/>
      </c>
      <c r="I24" s="15"/>
      <c r="J24" s="17" t="str">
        <f aca="false">IF(C24="","",(C24&gt;=Settings!$B$2)+(D24&gt;=Settings!$B$3)+(E24&gt;=Settings!$B$4)+(N(H24)&gt;=1))&amp;"/4"</f>
        <v>/4</v>
      </c>
      <c r="K24" s="14"/>
    </row>
    <row r="25" customFormat="false" ht="15" hidden="false" customHeight="false" outlineLevel="0" collapsed="false">
      <c r="A25" s="13" t="n">
        <v>46371</v>
      </c>
      <c r="B25" s="14" t="s">
        <v>27</v>
      </c>
      <c r="C25" s="15"/>
      <c r="D25" s="15"/>
      <c r="E25" s="15"/>
      <c r="F25" s="15"/>
      <c r="G25" s="15"/>
      <c r="H25" s="16" t="str">
        <f aca="false">IF(OR(F25="",F25=0),IF(G25="","",1),MIN(1,G25/F25))</f>
        <v/>
      </c>
      <c r="I25" s="15"/>
      <c r="J25" s="17" t="str">
        <f aca="false">IF(C25="","",(C25&gt;=Settings!$B$2)+(D25&gt;=Settings!$B$3)+(E25&gt;=Settings!$B$4)+(N(H25)&gt;=1))&amp;"/4"</f>
        <v>/4</v>
      </c>
      <c r="K25" s="14"/>
    </row>
    <row r="26" customFormat="false" ht="15" hidden="false" customHeight="false" outlineLevel="0" collapsed="false">
      <c r="A26" s="13" t="n">
        <v>46372</v>
      </c>
      <c r="B26" s="14" t="s">
        <v>27</v>
      </c>
      <c r="C26" s="15"/>
      <c r="D26" s="15"/>
      <c r="E26" s="15"/>
      <c r="F26" s="15"/>
      <c r="G26" s="15"/>
      <c r="H26" s="16" t="str">
        <f aca="false">IF(OR(F26="",F26=0),IF(G26="","",1),MIN(1,G26/F26))</f>
        <v/>
      </c>
      <c r="I26" s="15"/>
      <c r="J26" s="17" t="str">
        <f aca="false">IF(C26="","",(C26&gt;=Settings!$B$2)+(D26&gt;=Settings!$B$3)+(E26&gt;=Settings!$B$4)+(N(H26)&gt;=1))&amp;"/4"</f>
        <v>/4</v>
      </c>
      <c r="K26" s="14"/>
    </row>
    <row r="27" customFormat="false" ht="15" hidden="false" customHeight="false" outlineLevel="0" collapsed="false">
      <c r="A27" s="13" t="n">
        <v>46373</v>
      </c>
      <c r="B27" s="14" t="s">
        <v>27</v>
      </c>
      <c r="C27" s="15"/>
      <c r="D27" s="15"/>
      <c r="E27" s="15"/>
      <c r="F27" s="15"/>
      <c r="G27" s="15"/>
      <c r="H27" s="16" t="str">
        <f aca="false">IF(OR(F27="",F27=0),IF(G27="","",1),MIN(1,G27/F27))</f>
        <v/>
      </c>
      <c r="I27" s="15"/>
      <c r="J27" s="17" t="str">
        <f aca="false">IF(C27="","",(C27&gt;=Settings!$B$2)+(D27&gt;=Settings!$B$3)+(E27&gt;=Settings!$B$4)+(N(H27)&gt;=1))&amp;"/4"</f>
        <v>/4</v>
      </c>
      <c r="K27" s="14"/>
    </row>
    <row r="28" customFormat="false" ht="15" hidden="false" customHeight="false" outlineLevel="0" collapsed="false">
      <c r="A28" s="13" t="n">
        <v>46374</v>
      </c>
      <c r="B28" s="14" t="s">
        <v>27</v>
      </c>
      <c r="C28" s="15"/>
      <c r="D28" s="15"/>
      <c r="E28" s="15"/>
      <c r="F28" s="15"/>
      <c r="G28" s="15"/>
      <c r="H28" s="16" t="str">
        <f aca="false">IF(OR(F28="",F28=0),IF(G28="","",1),MIN(1,G28/F28))</f>
        <v/>
      </c>
      <c r="I28" s="15"/>
      <c r="J28" s="17" t="str">
        <f aca="false">IF(C28="","",(C28&gt;=Settings!$B$2)+(D28&gt;=Settings!$B$3)+(E28&gt;=Settings!$B$4)+(N(H28)&gt;=1))&amp;"/4"</f>
        <v>/4</v>
      </c>
      <c r="K28" s="14"/>
    </row>
    <row r="29" customFormat="false" ht="15" hidden="false" customHeight="false" outlineLevel="0" collapsed="false">
      <c r="A29" s="13" t="n">
        <v>46375</v>
      </c>
      <c r="B29" s="14" t="s">
        <v>27</v>
      </c>
      <c r="C29" s="15"/>
      <c r="D29" s="15"/>
      <c r="E29" s="15"/>
      <c r="F29" s="15"/>
      <c r="G29" s="15"/>
      <c r="H29" s="16" t="str">
        <f aca="false">IF(OR(F29="",F29=0),IF(G29="","",1),MIN(1,G29/F29))</f>
        <v/>
      </c>
      <c r="I29" s="15"/>
      <c r="J29" s="17" t="str">
        <f aca="false">IF(C29="","",(C29&gt;=Settings!$B$2)+(D29&gt;=Settings!$B$3)+(E29&gt;=Settings!$B$4)+(N(H29)&gt;=1))&amp;"/4"</f>
        <v>/4</v>
      </c>
      <c r="K29" s="14"/>
    </row>
    <row r="30" customFormat="false" ht="15" hidden="false" customHeight="false" outlineLevel="0" collapsed="false">
      <c r="A30" s="13" t="n">
        <v>46377</v>
      </c>
      <c r="B30" s="14" t="s">
        <v>27</v>
      </c>
      <c r="C30" s="15"/>
      <c r="D30" s="15"/>
      <c r="E30" s="15"/>
      <c r="F30" s="15"/>
      <c r="G30" s="15"/>
      <c r="H30" s="16" t="str">
        <f aca="false">IF(OR(F30="",F30=0),IF(G30="","",1),MIN(1,G30/F30))</f>
        <v/>
      </c>
      <c r="I30" s="15"/>
      <c r="J30" s="17" t="str">
        <f aca="false">IF(C30="","",(C30&gt;=Settings!$B$2)+(D30&gt;=Settings!$B$3)+(E30&gt;=Settings!$B$4)+(N(H30)&gt;=1))&amp;"/4"</f>
        <v>/4</v>
      </c>
      <c r="K30" s="14"/>
    </row>
    <row r="31" customFormat="false" ht="15" hidden="false" customHeight="false" outlineLevel="0" collapsed="false">
      <c r="A31" s="13" t="n">
        <v>46378</v>
      </c>
      <c r="B31" s="14" t="s">
        <v>27</v>
      </c>
      <c r="C31" s="15"/>
      <c r="D31" s="15"/>
      <c r="E31" s="15"/>
      <c r="F31" s="15"/>
      <c r="G31" s="15"/>
      <c r="H31" s="16" t="str">
        <f aca="false">IF(OR(F31="",F31=0),IF(G31="","",1),MIN(1,G31/F31))</f>
        <v/>
      </c>
      <c r="I31" s="15"/>
      <c r="J31" s="17" t="str">
        <f aca="false">IF(C31="","",(C31&gt;=Settings!$B$2)+(D31&gt;=Settings!$B$3)+(E31&gt;=Settings!$B$4)+(N(H31)&gt;=1))&amp;"/4"</f>
        <v>/4</v>
      </c>
      <c r="K31" s="14"/>
    </row>
    <row r="32" customFormat="false" ht="15" hidden="false" customHeight="false" outlineLevel="0" collapsed="false">
      <c r="A32" s="13" t="n">
        <v>46379</v>
      </c>
      <c r="B32" s="14" t="s">
        <v>27</v>
      </c>
      <c r="C32" s="15"/>
      <c r="D32" s="15"/>
      <c r="E32" s="15"/>
      <c r="F32" s="15"/>
      <c r="G32" s="15"/>
      <c r="H32" s="16" t="str">
        <f aca="false">IF(OR(F32="",F32=0),IF(G32="","",1),MIN(1,G32/F32))</f>
        <v/>
      </c>
      <c r="I32" s="15"/>
      <c r="J32" s="17" t="str">
        <f aca="false">IF(C32="","",(C32&gt;=Settings!$B$2)+(D32&gt;=Settings!$B$3)+(E32&gt;=Settings!$B$4)+(N(H32)&gt;=1))&amp;"/4"</f>
        <v>/4</v>
      </c>
      <c r="K32" s="14"/>
    </row>
    <row r="33" customFormat="false" ht="15" hidden="false" customHeight="false" outlineLevel="0" collapsed="false">
      <c r="A33" s="13" t="n">
        <v>46380</v>
      </c>
      <c r="B33" s="14" t="s">
        <v>27</v>
      </c>
      <c r="C33" s="15"/>
      <c r="D33" s="15"/>
      <c r="E33" s="15"/>
      <c r="F33" s="15"/>
      <c r="G33" s="15"/>
      <c r="H33" s="16" t="str">
        <f aca="false">IF(OR(F33="",F33=0),IF(G33="","",1),MIN(1,G33/F33))</f>
        <v/>
      </c>
      <c r="I33" s="15"/>
      <c r="J33" s="17" t="str">
        <f aca="false">IF(C33="","",(C33&gt;=Settings!$B$2)+(D33&gt;=Settings!$B$3)+(E33&gt;=Settings!$B$4)+(N(H33)&gt;=1))&amp;"/4"</f>
        <v>/4</v>
      </c>
      <c r="K33" s="14"/>
    </row>
    <row r="34" customFormat="false" ht="15" hidden="false" customHeight="false" outlineLevel="0" collapsed="false">
      <c r="A34" s="13" t="n">
        <v>46381</v>
      </c>
      <c r="B34" s="14" t="s">
        <v>27</v>
      </c>
      <c r="C34" s="15"/>
      <c r="D34" s="15"/>
      <c r="E34" s="15"/>
      <c r="F34" s="15"/>
      <c r="G34" s="15"/>
      <c r="H34" s="16" t="str">
        <f aca="false">IF(OR(F34="",F34=0),IF(G34="","",1),MIN(1,G34/F34))</f>
        <v/>
      </c>
      <c r="I34" s="15"/>
      <c r="J34" s="17" t="str">
        <f aca="false">IF(C34="","",(C34&gt;=Settings!$B$2)+(D34&gt;=Settings!$B$3)+(E34&gt;=Settings!$B$4)+(N(H34)&gt;=1))&amp;"/4"</f>
        <v>/4</v>
      </c>
      <c r="K34" s="14"/>
    </row>
    <row r="35" customFormat="false" ht="15" hidden="false" customHeight="false" outlineLevel="0" collapsed="false">
      <c r="A35" s="13" t="n">
        <v>46382</v>
      </c>
      <c r="B35" s="14" t="s">
        <v>27</v>
      </c>
      <c r="C35" s="15"/>
      <c r="D35" s="15"/>
      <c r="E35" s="15"/>
      <c r="F35" s="15"/>
      <c r="G35" s="15"/>
      <c r="H35" s="16" t="str">
        <f aca="false">IF(OR(F35="",F35=0),IF(G35="","",1),MIN(1,G35/F35))</f>
        <v/>
      </c>
      <c r="I35" s="15"/>
      <c r="J35" s="17" t="str">
        <f aca="false">IF(C35="","",(C35&gt;=Settings!$B$2)+(D35&gt;=Settings!$B$3)+(E35&gt;=Settings!$B$4)+(N(H35)&gt;=1))&amp;"/4"</f>
        <v>/4</v>
      </c>
      <c r="K35" s="14"/>
    </row>
    <row r="36" customFormat="false" ht="15" hidden="false" customHeight="false" outlineLevel="0" collapsed="false">
      <c r="A36" s="13" t="n">
        <v>46384</v>
      </c>
      <c r="B36" s="14" t="s">
        <v>27</v>
      </c>
      <c r="C36" s="15"/>
      <c r="D36" s="15"/>
      <c r="E36" s="15"/>
      <c r="F36" s="15"/>
      <c r="G36" s="15"/>
      <c r="H36" s="16" t="str">
        <f aca="false">IF(OR(F36="",F36=0),IF(G36="","",1),MIN(1,G36/F36))</f>
        <v/>
      </c>
      <c r="I36" s="15"/>
      <c r="J36" s="17" t="str">
        <f aca="false">IF(C36="","",(C36&gt;=Settings!$B$2)+(D36&gt;=Settings!$B$3)+(E36&gt;=Settings!$B$4)+(N(H36)&gt;=1))&amp;"/4"</f>
        <v>/4</v>
      </c>
      <c r="K36" s="14"/>
    </row>
    <row r="37" customFormat="false" ht="15" hidden="false" customHeight="false" outlineLevel="0" collapsed="false">
      <c r="A37" s="13" t="n">
        <v>46385</v>
      </c>
      <c r="B37" s="14" t="s">
        <v>27</v>
      </c>
      <c r="C37" s="15"/>
      <c r="D37" s="15"/>
      <c r="E37" s="15"/>
      <c r="F37" s="15"/>
      <c r="G37" s="15"/>
      <c r="H37" s="16" t="str">
        <f aca="false">IF(OR(F37="",F37=0),IF(G37="","",1),MIN(1,G37/F37))</f>
        <v/>
      </c>
      <c r="I37" s="15"/>
      <c r="J37" s="17" t="str">
        <f aca="false">IF(C37="","",(C37&gt;=Settings!$B$2)+(D37&gt;=Settings!$B$3)+(E37&gt;=Settings!$B$4)+(N(H37)&gt;=1))&amp;"/4"</f>
        <v>/4</v>
      </c>
      <c r="K37" s="14"/>
    </row>
    <row r="38" customFormat="false" ht="15" hidden="false" customHeight="false" outlineLevel="0" collapsed="false">
      <c r="A38" s="13" t="n">
        <v>46386</v>
      </c>
      <c r="B38" s="14" t="s">
        <v>27</v>
      </c>
      <c r="C38" s="15"/>
      <c r="D38" s="15"/>
      <c r="E38" s="15"/>
      <c r="F38" s="15"/>
      <c r="G38" s="15"/>
      <c r="H38" s="16" t="str">
        <f aca="false">IF(OR(F38="",F38=0),IF(G38="","",1),MIN(1,G38/F38))</f>
        <v/>
      </c>
      <c r="I38" s="15"/>
      <c r="J38" s="17" t="str">
        <f aca="false">IF(C38="","",(C38&gt;=Settings!$B$2)+(D38&gt;=Settings!$B$3)+(E38&gt;=Settings!$B$4)+(N(H38)&gt;=1))&amp;"/4"</f>
        <v>/4</v>
      </c>
      <c r="K38" s="14"/>
    </row>
    <row r="39" customFormat="false" ht="15" hidden="false" customHeight="false" outlineLevel="0" collapsed="false">
      <c r="A39" s="13" t="n">
        <v>46387</v>
      </c>
      <c r="B39" s="14" t="s">
        <v>27</v>
      </c>
      <c r="C39" s="15"/>
      <c r="D39" s="15"/>
      <c r="E39" s="15"/>
      <c r="F39" s="15"/>
      <c r="G39" s="15"/>
      <c r="H39" s="16" t="str">
        <f aca="false">IF(OR(F39="",F39=0),IF(G39="","",1),MIN(1,G39/F39))</f>
        <v/>
      </c>
      <c r="I39" s="15"/>
      <c r="J39" s="17" t="str">
        <f aca="false">IF(C39="","",(C39&gt;=Settings!$B$2)+(D39&gt;=Settings!$B$3)+(E39&gt;=Settings!$B$4)+(N(H39)&gt;=1))&amp;"/4"</f>
        <v>/4</v>
      </c>
      <c r="K39" s="14"/>
    </row>
    <row r="40" customFormat="false" ht="15" hidden="false" customHeight="false" outlineLevel="0" collapsed="false">
      <c r="A40" s="13"/>
      <c r="B40" s="14"/>
      <c r="C40" s="15"/>
      <c r="D40" s="15"/>
      <c r="E40" s="15"/>
      <c r="F40" s="15"/>
      <c r="G40" s="15"/>
      <c r="H40" s="16" t="str">
        <f aca="false">IF(OR(F40="",F40=0),IF(G40="","",1),MIN(1,G40/F40))</f>
        <v/>
      </c>
      <c r="I40" s="15"/>
      <c r="J40" s="17" t="str">
        <f aca="false">IF(C40="","",(C40&gt;=Settings!$B$2)+(D40&gt;=Settings!$B$3)+(E40&gt;=Settings!$B$4)+(N(H40)&gt;=1))&amp;"/4"</f>
        <v>/4</v>
      </c>
      <c r="K40" s="14"/>
    </row>
    <row r="41" customFormat="false" ht="15" hidden="false" customHeight="false" outlineLevel="0" collapsed="false">
      <c r="A41" s="13"/>
      <c r="B41" s="14"/>
      <c r="C41" s="15"/>
      <c r="D41" s="15"/>
      <c r="E41" s="15"/>
      <c r="F41" s="15"/>
      <c r="G41" s="15"/>
      <c r="H41" s="16" t="str">
        <f aca="false">IF(OR(F41="",F41=0),IF(G41="","",1),MIN(1,G41/F41))</f>
        <v/>
      </c>
      <c r="I41" s="15"/>
      <c r="J41" s="17" t="str">
        <f aca="false">IF(C41="","",(C41&gt;=Settings!$B$2)+(D41&gt;=Settings!$B$3)+(E41&gt;=Settings!$B$4)+(N(H41)&gt;=1))&amp;"/4"</f>
        <v>/4</v>
      </c>
      <c r="K41" s="14"/>
    </row>
    <row r="42" customFormat="false" ht="15" hidden="false" customHeight="false" outlineLevel="0" collapsed="false">
      <c r="A42" s="13"/>
      <c r="B42" s="14"/>
      <c r="C42" s="15"/>
      <c r="D42" s="15"/>
      <c r="E42" s="15"/>
      <c r="F42" s="15"/>
      <c r="G42" s="15"/>
      <c r="H42" s="16" t="str">
        <f aca="false">IF(OR(F42="",F42=0),IF(G42="","",1),MIN(1,G42/F42))</f>
        <v/>
      </c>
      <c r="I42" s="15"/>
      <c r="J42" s="17" t="str">
        <f aca="false">IF(C42="","",(C42&gt;=Settings!$B$2)+(D42&gt;=Settings!$B$3)+(E42&gt;=Settings!$B$4)+(N(H42)&gt;=1))&amp;"/4"</f>
        <v>/4</v>
      </c>
      <c r="K42" s="14"/>
    </row>
    <row r="43" customFormat="false" ht="15" hidden="false" customHeight="false" outlineLevel="0" collapsed="false">
      <c r="A43" s="13"/>
      <c r="B43" s="14"/>
      <c r="C43" s="15"/>
      <c r="D43" s="15"/>
      <c r="E43" s="15"/>
      <c r="F43" s="15"/>
      <c r="G43" s="15"/>
      <c r="H43" s="16" t="str">
        <f aca="false">IF(OR(F43="",F43=0),IF(G43="","",1),MIN(1,G43/F43))</f>
        <v/>
      </c>
      <c r="I43" s="15"/>
      <c r="J43" s="17" t="str">
        <f aca="false">IF(C43="","",(C43&gt;=Settings!$B$2)+(D43&gt;=Settings!$B$3)+(E43&gt;=Settings!$B$4)+(N(H43)&gt;=1))&amp;"/4"</f>
        <v>/4</v>
      </c>
      <c r="K43" s="14"/>
    </row>
    <row r="44" customFormat="false" ht="15" hidden="false" customHeight="false" outlineLevel="0" collapsed="false">
      <c r="A44" s="13"/>
      <c r="B44" s="14"/>
      <c r="C44" s="15"/>
      <c r="D44" s="15"/>
      <c r="E44" s="15"/>
      <c r="F44" s="15"/>
      <c r="G44" s="15"/>
      <c r="H44" s="16" t="str">
        <f aca="false">IF(OR(F44="",F44=0),IF(G44="","",1),MIN(1,G44/F44))</f>
        <v/>
      </c>
      <c r="I44" s="15"/>
      <c r="J44" s="17" t="str">
        <f aca="false">IF(C44="","",(C44&gt;=Settings!$B$2)+(D44&gt;=Settings!$B$3)+(E44&gt;=Settings!$B$4)+(N(H44)&gt;=1))&amp;"/4"</f>
        <v>/4</v>
      </c>
      <c r="K44" s="14"/>
    </row>
    <row r="45" customFormat="false" ht="15" hidden="false" customHeight="false" outlineLevel="0" collapsed="false">
      <c r="A45" s="13"/>
      <c r="B45" s="14"/>
      <c r="C45" s="15"/>
      <c r="D45" s="15"/>
      <c r="E45" s="15"/>
      <c r="F45" s="15"/>
      <c r="G45" s="15"/>
      <c r="H45" s="16" t="str">
        <f aca="false">IF(OR(F45="",F45=0),IF(G45="","",1),MIN(1,G45/F45))</f>
        <v/>
      </c>
      <c r="I45" s="15"/>
      <c r="J45" s="17" t="str">
        <f aca="false">IF(C45="","",(C45&gt;=Settings!$B$2)+(D45&gt;=Settings!$B$3)+(E45&gt;=Settings!$B$4)+(N(H45)&gt;=1))&amp;"/4"</f>
        <v>/4</v>
      </c>
      <c r="K45" s="14"/>
    </row>
    <row r="46" customFormat="false" ht="15" hidden="false" customHeight="false" outlineLevel="0" collapsed="false">
      <c r="A46" s="13"/>
      <c r="B46" s="14"/>
      <c r="C46" s="15"/>
      <c r="D46" s="15"/>
      <c r="E46" s="15"/>
      <c r="F46" s="15"/>
      <c r="G46" s="15"/>
      <c r="H46" s="16" t="str">
        <f aca="false">IF(OR(F46="",F46=0),IF(G46="","",1),MIN(1,G46/F46))</f>
        <v/>
      </c>
      <c r="I46" s="15"/>
      <c r="J46" s="17" t="str">
        <f aca="false">IF(C46="","",(C46&gt;=Settings!$B$2)+(D46&gt;=Settings!$B$3)+(E46&gt;=Settings!$B$4)+(N(H46)&gt;=1))&amp;"/4"</f>
        <v>/4</v>
      </c>
      <c r="K46" s="14"/>
    </row>
    <row r="47" customFormat="false" ht="15" hidden="false" customHeight="false" outlineLevel="0" collapsed="false">
      <c r="A47" s="13"/>
      <c r="B47" s="14"/>
      <c r="C47" s="15"/>
      <c r="D47" s="15"/>
      <c r="E47" s="15"/>
      <c r="F47" s="15"/>
      <c r="G47" s="15"/>
      <c r="H47" s="16" t="str">
        <f aca="false">IF(OR(F47="",F47=0),IF(G47="","",1),MIN(1,G47/F47))</f>
        <v/>
      </c>
      <c r="I47" s="15"/>
      <c r="J47" s="17" t="str">
        <f aca="false">IF(C47="","",(C47&gt;=Settings!$B$2)+(D47&gt;=Settings!$B$3)+(E47&gt;=Settings!$B$4)+(N(H47)&gt;=1))&amp;"/4"</f>
        <v>/4</v>
      </c>
      <c r="K47" s="14"/>
    </row>
    <row r="48" customFormat="false" ht="15" hidden="false" customHeight="false" outlineLevel="0" collapsed="false">
      <c r="A48" s="13"/>
      <c r="B48" s="14"/>
      <c r="C48" s="15"/>
      <c r="D48" s="15"/>
      <c r="E48" s="15"/>
      <c r="F48" s="15"/>
      <c r="G48" s="15"/>
      <c r="H48" s="16" t="str">
        <f aca="false">IF(OR(F48="",F48=0),IF(G48="","",1),MIN(1,G48/F48))</f>
        <v/>
      </c>
      <c r="I48" s="15"/>
      <c r="J48" s="17" t="str">
        <f aca="false">IF(C48="","",(C48&gt;=Settings!$B$2)+(D48&gt;=Settings!$B$3)+(E48&gt;=Settings!$B$4)+(N(H48)&gt;=1))&amp;"/4"</f>
        <v>/4</v>
      </c>
      <c r="K48" s="14"/>
    </row>
    <row r="49" customFormat="false" ht="15" hidden="false" customHeight="false" outlineLevel="0" collapsed="false">
      <c r="A49" s="13"/>
      <c r="B49" s="14"/>
      <c r="C49" s="15"/>
      <c r="D49" s="15"/>
      <c r="E49" s="15"/>
      <c r="F49" s="15"/>
      <c r="G49" s="15"/>
      <c r="H49" s="16" t="str">
        <f aca="false">IF(OR(F49="",F49=0),IF(G49="","",1),MIN(1,G49/F49))</f>
        <v/>
      </c>
      <c r="I49" s="15"/>
      <c r="J49" s="17" t="str">
        <f aca="false">IF(C49="","",(C49&gt;=Settings!$B$2)+(D49&gt;=Settings!$B$3)+(E49&gt;=Settings!$B$4)+(N(H49)&gt;=1))&amp;"/4"</f>
        <v>/4</v>
      </c>
      <c r="K49" s="14"/>
    </row>
    <row r="50" customFormat="false" ht="15" hidden="false" customHeight="false" outlineLevel="0" collapsed="false">
      <c r="A50" s="13"/>
      <c r="B50" s="14"/>
      <c r="C50" s="15"/>
      <c r="D50" s="15"/>
      <c r="E50" s="15"/>
      <c r="F50" s="15"/>
      <c r="G50" s="15"/>
      <c r="H50" s="16" t="str">
        <f aca="false">IF(OR(F50="",F50=0),IF(G50="","",1),MIN(1,G50/F50))</f>
        <v/>
      </c>
      <c r="I50" s="15"/>
      <c r="J50" s="17" t="str">
        <f aca="false">IF(C50="","",(C50&gt;=Settings!$B$2)+(D50&gt;=Settings!$B$3)+(E50&gt;=Settings!$B$4)+(N(H50)&gt;=1))&amp;"/4"</f>
        <v>/4</v>
      </c>
      <c r="K50" s="14"/>
    </row>
    <row r="51" customFormat="false" ht="15" hidden="false" customHeight="false" outlineLevel="0" collapsed="false">
      <c r="A51" s="13"/>
      <c r="B51" s="14"/>
      <c r="C51" s="15"/>
      <c r="D51" s="15"/>
      <c r="E51" s="15"/>
      <c r="F51" s="15"/>
      <c r="G51" s="15"/>
      <c r="H51" s="16" t="str">
        <f aca="false">IF(OR(F51="",F51=0),IF(G51="","",1),MIN(1,G51/F51))</f>
        <v/>
      </c>
      <c r="I51" s="15"/>
      <c r="J51" s="17" t="str">
        <f aca="false">IF(C51="","",(C51&gt;=Settings!$B$2)+(D51&gt;=Settings!$B$3)+(E51&gt;=Settings!$B$4)+(N(H51)&gt;=1))&amp;"/4"</f>
        <v>/4</v>
      </c>
      <c r="K51" s="14"/>
    </row>
    <row r="52" customFormat="false" ht="15" hidden="false" customHeight="false" outlineLevel="0" collapsed="false">
      <c r="A52" s="13"/>
      <c r="B52" s="14"/>
      <c r="C52" s="15"/>
      <c r="D52" s="15"/>
      <c r="E52" s="15"/>
      <c r="F52" s="15"/>
      <c r="G52" s="15"/>
      <c r="H52" s="16" t="str">
        <f aca="false">IF(OR(F52="",F52=0),IF(G52="","",1),MIN(1,G52/F52))</f>
        <v/>
      </c>
      <c r="I52" s="15"/>
      <c r="J52" s="17" t="str">
        <f aca="false">IF(C52="","",(C52&gt;=Settings!$B$2)+(D52&gt;=Settings!$B$3)+(E52&gt;=Settings!$B$4)+(N(H52)&gt;=1))&amp;"/4"</f>
        <v>/4</v>
      </c>
      <c r="K52" s="14"/>
    </row>
    <row r="53" customFormat="false" ht="15" hidden="false" customHeight="false" outlineLevel="0" collapsed="false">
      <c r="A53" s="13"/>
      <c r="B53" s="14"/>
      <c r="C53" s="15"/>
      <c r="D53" s="15"/>
      <c r="E53" s="15"/>
      <c r="F53" s="15"/>
      <c r="G53" s="15"/>
      <c r="H53" s="16" t="str">
        <f aca="false">IF(OR(F53="",F53=0),IF(G53="","",1),MIN(1,G53/F53))</f>
        <v/>
      </c>
      <c r="I53" s="15"/>
      <c r="J53" s="17" t="str">
        <f aca="false">IF(C53="","",(C53&gt;=Settings!$B$2)+(D53&gt;=Settings!$B$3)+(E53&gt;=Settings!$B$4)+(N(H53)&gt;=1))&amp;"/4"</f>
        <v>/4</v>
      </c>
      <c r="K53" s="14"/>
    </row>
    <row r="54" customFormat="false" ht="15" hidden="false" customHeight="false" outlineLevel="0" collapsed="false">
      <c r="A54" s="13"/>
      <c r="B54" s="14"/>
      <c r="C54" s="15"/>
      <c r="D54" s="15"/>
      <c r="E54" s="15"/>
      <c r="F54" s="15"/>
      <c r="G54" s="15"/>
      <c r="H54" s="16" t="str">
        <f aca="false">IF(OR(F54="",F54=0),IF(G54="","",1),MIN(1,G54/F54))</f>
        <v/>
      </c>
      <c r="I54" s="15"/>
      <c r="J54" s="17" t="str">
        <f aca="false">IF(C54="","",(C54&gt;=Settings!$B$2)+(D54&gt;=Settings!$B$3)+(E54&gt;=Settings!$B$4)+(N(H54)&gt;=1))&amp;"/4"</f>
        <v>/4</v>
      </c>
      <c r="K54" s="14"/>
    </row>
    <row r="55" customFormat="false" ht="15" hidden="false" customHeight="false" outlineLevel="0" collapsed="false">
      <c r="A55" s="13"/>
      <c r="B55" s="14"/>
      <c r="C55" s="15"/>
      <c r="D55" s="15"/>
      <c r="E55" s="15"/>
      <c r="F55" s="15"/>
      <c r="G55" s="15"/>
      <c r="H55" s="16" t="str">
        <f aca="false">IF(OR(F55="",F55=0),IF(G55="","",1),MIN(1,G55/F55))</f>
        <v/>
      </c>
      <c r="I55" s="15"/>
      <c r="J55" s="17" t="str">
        <f aca="false">IF(C55="","",(C55&gt;=Settings!$B$2)+(D55&gt;=Settings!$B$3)+(E55&gt;=Settings!$B$4)+(N(H55)&gt;=1))&amp;"/4"</f>
        <v>/4</v>
      </c>
      <c r="K55" s="14"/>
    </row>
    <row r="56" customFormat="false" ht="15" hidden="false" customHeight="false" outlineLevel="0" collapsed="false">
      <c r="A56" s="13"/>
      <c r="B56" s="14"/>
      <c r="C56" s="15"/>
      <c r="D56" s="15"/>
      <c r="E56" s="15"/>
      <c r="F56" s="15"/>
      <c r="G56" s="15"/>
      <c r="H56" s="16" t="str">
        <f aca="false">IF(OR(F56="",F56=0),IF(G56="","",1),MIN(1,G56/F56))</f>
        <v/>
      </c>
      <c r="I56" s="15"/>
      <c r="J56" s="17" t="str">
        <f aca="false">IF(C56="","",(C56&gt;=Settings!$B$2)+(D56&gt;=Settings!$B$3)+(E56&gt;=Settings!$B$4)+(N(H56)&gt;=1))&amp;"/4"</f>
        <v>/4</v>
      </c>
      <c r="K56" s="14"/>
    </row>
    <row r="57" customFormat="false" ht="15" hidden="false" customHeight="false" outlineLevel="0" collapsed="false">
      <c r="A57" s="13"/>
      <c r="B57" s="14"/>
      <c r="C57" s="15"/>
      <c r="D57" s="15"/>
      <c r="E57" s="15"/>
      <c r="F57" s="15"/>
      <c r="G57" s="15"/>
      <c r="H57" s="16" t="str">
        <f aca="false">IF(OR(F57="",F57=0),IF(G57="","",1),MIN(1,G57/F57))</f>
        <v/>
      </c>
      <c r="I57" s="15"/>
      <c r="J57" s="17" t="str">
        <f aca="false">IF(C57="","",(C57&gt;=Settings!$B$2)+(D57&gt;=Settings!$B$3)+(E57&gt;=Settings!$B$4)+(N(H57)&gt;=1))&amp;"/4"</f>
        <v>/4</v>
      </c>
      <c r="K57" s="14"/>
    </row>
    <row r="58" customFormat="false" ht="15" hidden="false" customHeight="false" outlineLevel="0" collapsed="false">
      <c r="A58" s="13"/>
      <c r="B58" s="14"/>
      <c r="C58" s="15"/>
      <c r="D58" s="15"/>
      <c r="E58" s="15"/>
      <c r="F58" s="15"/>
      <c r="G58" s="15"/>
      <c r="H58" s="16" t="str">
        <f aca="false">IF(OR(F58="",F58=0),IF(G58="","",1),MIN(1,G58/F58))</f>
        <v/>
      </c>
      <c r="I58" s="15"/>
      <c r="J58" s="17" t="str">
        <f aca="false">IF(C58="","",(C58&gt;=Settings!$B$2)+(D58&gt;=Settings!$B$3)+(E58&gt;=Settings!$B$4)+(N(H58)&gt;=1))&amp;"/4"</f>
        <v>/4</v>
      </c>
      <c r="K58" s="14"/>
    </row>
    <row r="59" customFormat="false" ht="15" hidden="false" customHeight="false" outlineLevel="0" collapsed="false">
      <c r="A59" s="13"/>
      <c r="B59" s="14"/>
      <c r="C59" s="15"/>
      <c r="D59" s="15"/>
      <c r="E59" s="15"/>
      <c r="F59" s="15"/>
      <c r="G59" s="15"/>
      <c r="H59" s="16" t="str">
        <f aca="false">IF(OR(F59="",F59=0),IF(G59="","",1),MIN(1,G59/F59))</f>
        <v/>
      </c>
      <c r="I59" s="15"/>
      <c r="J59" s="17" t="str">
        <f aca="false">IF(C59="","",(C59&gt;=Settings!$B$2)+(D59&gt;=Settings!$B$3)+(E59&gt;=Settings!$B$4)+(N(H59)&gt;=1))&amp;"/4"</f>
        <v>/4</v>
      </c>
      <c r="K59" s="14"/>
    </row>
    <row r="60" customFormat="false" ht="15" hidden="false" customHeight="false" outlineLevel="0" collapsed="false">
      <c r="A60" s="13"/>
      <c r="B60" s="14"/>
      <c r="C60" s="15"/>
      <c r="D60" s="15"/>
      <c r="E60" s="15"/>
      <c r="F60" s="15"/>
      <c r="G60" s="15"/>
      <c r="H60" s="16" t="str">
        <f aca="false">IF(OR(F60="",F60=0),IF(G60="","",1),MIN(1,G60/F60))</f>
        <v/>
      </c>
      <c r="I60" s="15"/>
      <c r="J60" s="17" t="str">
        <f aca="false">IF(C60="","",(C60&gt;=Settings!$B$2)+(D60&gt;=Settings!$B$3)+(E60&gt;=Settings!$B$4)+(N(H60)&gt;=1))&amp;"/4"</f>
        <v>/4</v>
      </c>
      <c r="K60" s="14"/>
    </row>
    <row r="61" customFormat="false" ht="15" hidden="false" customHeight="false" outlineLevel="0" collapsed="false">
      <c r="A61" s="13"/>
      <c r="B61" s="14"/>
      <c r="C61" s="15"/>
      <c r="D61" s="15"/>
      <c r="E61" s="15"/>
      <c r="F61" s="15"/>
      <c r="G61" s="15"/>
      <c r="H61" s="16" t="str">
        <f aca="false">IF(OR(F61="",F61=0),IF(G61="","",1),MIN(1,G61/F61))</f>
        <v/>
      </c>
      <c r="I61" s="15"/>
      <c r="J61" s="17" t="str">
        <f aca="false">IF(C61="","",(C61&gt;=Settings!$B$2)+(D61&gt;=Settings!$B$3)+(E61&gt;=Settings!$B$4)+(N(H61)&gt;=1))&amp;"/4"</f>
        <v>/4</v>
      </c>
      <c r="K61" s="14"/>
    </row>
    <row r="62" customFormat="false" ht="15" hidden="false" customHeight="false" outlineLevel="0" collapsed="false">
      <c r="A62" s="13"/>
      <c r="B62" s="14"/>
      <c r="C62" s="15"/>
      <c r="D62" s="15"/>
      <c r="E62" s="15"/>
      <c r="F62" s="15"/>
      <c r="G62" s="15"/>
      <c r="H62" s="16" t="str">
        <f aca="false">IF(OR(F62="",F62=0),IF(G62="","",1),MIN(1,G62/F62))</f>
        <v/>
      </c>
      <c r="I62" s="15"/>
      <c r="J62" s="17" t="str">
        <f aca="false">IF(C62="","",(C62&gt;=Settings!$B$2)+(D62&gt;=Settings!$B$3)+(E62&gt;=Settings!$B$4)+(N(H62)&gt;=1))&amp;"/4"</f>
        <v>/4</v>
      </c>
      <c r="K62" s="14"/>
    </row>
    <row r="63" customFormat="false" ht="15" hidden="false" customHeight="false" outlineLevel="0" collapsed="false">
      <c r="A63" s="13"/>
      <c r="B63" s="14"/>
      <c r="C63" s="15"/>
      <c r="D63" s="15"/>
      <c r="E63" s="15"/>
      <c r="F63" s="15"/>
      <c r="G63" s="15"/>
      <c r="H63" s="16" t="str">
        <f aca="false">IF(OR(F63="",F63=0),IF(G63="","",1),MIN(1,G63/F63))</f>
        <v/>
      </c>
      <c r="I63" s="15"/>
      <c r="J63" s="17" t="str">
        <f aca="false">IF(C63="","",(C63&gt;=Settings!$B$2)+(D63&gt;=Settings!$B$3)+(E63&gt;=Settings!$B$4)+(N(H63)&gt;=1))&amp;"/4"</f>
        <v>/4</v>
      </c>
      <c r="K63" s="14"/>
    </row>
    <row r="64" customFormat="false" ht="15" hidden="false" customHeight="false" outlineLevel="0" collapsed="false">
      <c r="A64" s="13"/>
      <c r="B64" s="14"/>
      <c r="C64" s="15"/>
      <c r="D64" s="15"/>
      <c r="E64" s="15"/>
      <c r="F64" s="15"/>
      <c r="G64" s="15"/>
      <c r="H64" s="16" t="str">
        <f aca="false">IF(OR(F64="",F64=0),IF(G64="","",1),MIN(1,G64/F64))</f>
        <v/>
      </c>
      <c r="I64" s="15"/>
      <c r="J64" s="17" t="str">
        <f aca="false">IF(C64="","",(C64&gt;=Settings!$B$2)+(D64&gt;=Settings!$B$3)+(E64&gt;=Settings!$B$4)+(N(H64)&gt;=1))&amp;"/4"</f>
        <v>/4</v>
      </c>
      <c r="K64" s="14"/>
    </row>
    <row r="65" customFormat="false" ht="15" hidden="false" customHeight="false" outlineLevel="0" collapsed="false">
      <c r="A65" s="13"/>
      <c r="B65" s="14"/>
      <c r="C65" s="15"/>
      <c r="D65" s="15"/>
      <c r="E65" s="15"/>
      <c r="F65" s="15"/>
      <c r="G65" s="15"/>
      <c r="H65" s="16" t="str">
        <f aca="false">IF(OR(F65="",F65=0),IF(G65="","",1),MIN(1,G65/F65))</f>
        <v/>
      </c>
      <c r="I65" s="15"/>
      <c r="J65" s="17" t="str">
        <f aca="false">IF(C65="","",(C65&gt;=Settings!$B$2)+(D65&gt;=Settings!$B$3)+(E65&gt;=Settings!$B$4)+(N(H65)&gt;=1))&amp;"/4"</f>
        <v>/4</v>
      </c>
      <c r="K65" s="14"/>
    </row>
    <row r="66" customFormat="false" ht="15" hidden="false" customHeight="false" outlineLevel="0" collapsed="false">
      <c r="A66" s="13"/>
      <c r="B66" s="14"/>
      <c r="C66" s="15"/>
      <c r="D66" s="15"/>
      <c r="E66" s="15"/>
      <c r="F66" s="15"/>
      <c r="G66" s="15"/>
      <c r="H66" s="16" t="str">
        <f aca="false">IF(OR(F66="",F66=0),IF(G66="","",1),MIN(1,G66/F66))</f>
        <v/>
      </c>
      <c r="I66" s="15"/>
      <c r="J66" s="17" t="str">
        <f aca="false">IF(C66="","",(C66&gt;=Settings!$B$2)+(D66&gt;=Settings!$B$3)+(E66&gt;=Settings!$B$4)+(N(H66)&gt;=1))&amp;"/4"</f>
        <v>/4</v>
      </c>
      <c r="K66" s="14"/>
    </row>
    <row r="67" customFormat="false" ht="15" hidden="false" customHeight="false" outlineLevel="0" collapsed="false">
      <c r="A67" s="13"/>
      <c r="B67" s="14"/>
      <c r="C67" s="15"/>
      <c r="D67" s="15"/>
      <c r="E67" s="15"/>
      <c r="F67" s="15"/>
      <c r="G67" s="15"/>
      <c r="H67" s="16" t="str">
        <f aca="false">IF(OR(F67="",F67=0),IF(G67="","",1),MIN(1,G67/F67))</f>
        <v/>
      </c>
      <c r="I67" s="15"/>
      <c r="J67" s="17" t="str">
        <f aca="false">IF(C67="","",(C67&gt;=Settings!$B$2)+(D67&gt;=Settings!$B$3)+(E67&gt;=Settings!$B$4)+(N(H67)&gt;=1))&amp;"/4"</f>
        <v>/4</v>
      </c>
      <c r="K67" s="14"/>
    </row>
    <row r="68" customFormat="false" ht="15" hidden="false" customHeight="false" outlineLevel="0" collapsed="false">
      <c r="A68" s="13"/>
      <c r="B68" s="14"/>
      <c r="C68" s="15"/>
      <c r="D68" s="15"/>
      <c r="E68" s="15"/>
      <c r="F68" s="15"/>
      <c r="G68" s="15"/>
      <c r="H68" s="16" t="str">
        <f aca="false">IF(OR(F68="",F68=0),IF(G68="","",1),MIN(1,G68/F68))</f>
        <v/>
      </c>
      <c r="I68" s="15"/>
      <c r="J68" s="17" t="str">
        <f aca="false">IF(C68="","",(C68&gt;=Settings!$B$2)+(D68&gt;=Settings!$B$3)+(E68&gt;=Settings!$B$4)+(N(H68)&gt;=1))&amp;"/4"</f>
        <v>/4</v>
      </c>
      <c r="K68" s="14"/>
    </row>
    <row r="69" customFormat="false" ht="15" hidden="false" customHeight="false" outlineLevel="0" collapsed="false">
      <c r="A69" s="13"/>
      <c r="B69" s="14"/>
      <c r="C69" s="15"/>
      <c r="D69" s="15"/>
      <c r="E69" s="15"/>
      <c r="F69" s="15"/>
      <c r="G69" s="15"/>
      <c r="H69" s="16" t="str">
        <f aca="false">IF(OR(F69="",F69=0),IF(G69="","",1),MIN(1,G69/F69))</f>
        <v/>
      </c>
      <c r="I69" s="15"/>
      <c r="J69" s="17" t="str">
        <f aca="false">IF(C69="","",(C69&gt;=Settings!$B$2)+(D69&gt;=Settings!$B$3)+(E69&gt;=Settings!$B$4)+(N(H69)&gt;=1))&amp;"/4"</f>
        <v>/4</v>
      </c>
      <c r="K69" s="14"/>
    </row>
    <row r="70" customFormat="false" ht="15" hidden="false" customHeight="false" outlineLevel="0" collapsed="false">
      <c r="A70" s="13"/>
      <c r="B70" s="14"/>
      <c r="C70" s="15"/>
      <c r="D70" s="15"/>
      <c r="E70" s="15"/>
      <c r="F70" s="15"/>
      <c r="G70" s="15"/>
      <c r="H70" s="16" t="str">
        <f aca="false">IF(OR(F70="",F70=0),IF(G70="","",1),MIN(1,G70/F70))</f>
        <v/>
      </c>
      <c r="I70" s="15"/>
      <c r="J70" s="17" t="str">
        <f aca="false">IF(C70="","",(C70&gt;=Settings!$B$2)+(D70&gt;=Settings!$B$3)+(E70&gt;=Settings!$B$4)+(N(H70)&gt;=1))&amp;"/4"</f>
        <v>/4</v>
      </c>
      <c r="K70" s="14"/>
    </row>
    <row r="71" customFormat="false" ht="15" hidden="false" customHeight="false" outlineLevel="0" collapsed="false">
      <c r="A71" s="13"/>
      <c r="B71" s="14"/>
      <c r="C71" s="15"/>
      <c r="D71" s="15"/>
      <c r="E71" s="15"/>
      <c r="F71" s="15"/>
      <c r="G71" s="15"/>
      <c r="H71" s="16" t="str">
        <f aca="false">IF(OR(F71="",F71=0),IF(G71="","",1),MIN(1,G71/F71))</f>
        <v/>
      </c>
      <c r="I71" s="15"/>
      <c r="J71" s="17" t="str">
        <f aca="false">IF(C71="","",(C71&gt;=Settings!$B$2)+(D71&gt;=Settings!$B$3)+(E71&gt;=Settings!$B$4)+(N(H71)&gt;=1))&amp;"/4"</f>
        <v>/4</v>
      </c>
      <c r="K71" s="14"/>
    </row>
    <row r="72" customFormat="false" ht="15" hidden="false" customHeight="false" outlineLevel="0" collapsed="false">
      <c r="A72" s="13"/>
      <c r="B72" s="14"/>
      <c r="C72" s="15"/>
      <c r="D72" s="15"/>
      <c r="E72" s="15"/>
      <c r="F72" s="15"/>
      <c r="G72" s="15"/>
      <c r="H72" s="16" t="str">
        <f aca="false">IF(OR(F72="",F72=0),IF(G72="","",1),MIN(1,G72/F72))</f>
        <v/>
      </c>
      <c r="I72" s="15"/>
      <c r="J72" s="17" t="str">
        <f aca="false">IF(C72="","",(C72&gt;=Settings!$B$2)+(D72&gt;=Settings!$B$3)+(E72&gt;=Settings!$B$4)+(N(H72)&gt;=1))&amp;"/4"</f>
        <v>/4</v>
      </c>
      <c r="K72" s="14"/>
    </row>
    <row r="73" customFormat="false" ht="15" hidden="false" customHeight="false" outlineLevel="0" collapsed="false">
      <c r="A73" s="13"/>
      <c r="B73" s="14"/>
      <c r="C73" s="15"/>
      <c r="D73" s="15"/>
      <c r="E73" s="15"/>
      <c r="F73" s="15"/>
      <c r="G73" s="15"/>
      <c r="H73" s="16" t="str">
        <f aca="false">IF(OR(F73="",F73=0),IF(G73="","",1),MIN(1,G73/F73))</f>
        <v/>
      </c>
      <c r="I73" s="15"/>
      <c r="J73" s="17" t="str">
        <f aca="false">IF(C73="","",(C73&gt;=Settings!$B$2)+(D73&gt;=Settings!$B$3)+(E73&gt;=Settings!$B$4)+(N(H73)&gt;=1))&amp;"/4"</f>
        <v>/4</v>
      </c>
      <c r="K73" s="14"/>
    </row>
    <row r="74" customFormat="false" ht="15" hidden="false" customHeight="false" outlineLevel="0" collapsed="false">
      <c r="A74" s="13"/>
      <c r="B74" s="14"/>
      <c r="C74" s="15"/>
      <c r="D74" s="15"/>
      <c r="E74" s="15"/>
      <c r="F74" s="15"/>
      <c r="G74" s="15"/>
      <c r="H74" s="16" t="str">
        <f aca="false">IF(OR(F74="",F74=0),IF(G74="","",1),MIN(1,G74/F74))</f>
        <v/>
      </c>
      <c r="I74" s="15"/>
      <c r="J74" s="17" t="str">
        <f aca="false">IF(C74="","",(C74&gt;=Settings!$B$2)+(D74&gt;=Settings!$B$3)+(E74&gt;=Settings!$B$4)+(N(H74)&gt;=1))&amp;"/4"</f>
        <v>/4</v>
      </c>
      <c r="K74" s="14"/>
    </row>
    <row r="75" customFormat="false" ht="15" hidden="false" customHeight="false" outlineLevel="0" collapsed="false">
      <c r="A75" s="13"/>
      <c r="B75" s="14"/>
      <c r="C75" s="15"/>
      <c r="D75" s="15"/>
      <c r="E75" s="15"/>
      <c r="F75" s="15"/>
      <c r="G75" s="15"/>
      <c r="H75" s="16" t="str">
        <f aca="false">IF(OR(F75="",F75=0),IF(G75="","",1),MIN(1,G75/F75))</f>
        <v/>
      </c>
      <c r="I75" s="15"/>
      <c r="J75" s="17" t="str">
        <f aca="false">IF(C75="","",(C75&gt;=Settings!$B$2)+(D75&gt;=Settings!$B$3)+(E75&gt;=Settings!$B$4)+(N(H75)&gt;=1))&amp;"/4"</f>
        <v>/4</v>
      </c>
      <c r="K75" s="14"/>
    </row>
    <row r="76" customFormat="false" ht="15" hidden="false" customHeight="false" outlineLevel="0" collapsed="false">
      <c r="A76" s="13"/>
      <c r="B76" s="14"/>
      <c r="C76" s="15"/>
      <c r="D76" s="15"/>
      <c r="E76" s="15"/>
      <c r="F76" s="15"/>
      <c r="G76" s="15"/>
      <c r="H76" s="16" t="str">
        <f aca="false">IF(OR(F76="",F76=0),IF(G76="","",1),MIN(1,G76/F76))</f>
        <v/>
      </c>
      <c r="I76" s="15"/>
      <c r="J76" s="17" t="str">
        <f aca="false">IF(C76="","",(C76&gt;=Settings!$B$2)+(D76&gt;=Settings!$B$3)+(E76&gt;=Settings!$B$4)+(N(H76)&gt;=1))&amp;"/4"</f>
        <v>/4</v>
      </c>
      <c r="K76" s="14"/>
    </row>
    <row r="77" customFormat="false" ht="15" hidden="false" customHeight="false" outlineLevel="0" collapsed="false">
      <c r="A77" s="13"/>
      <c r="B77" s="14"/>
      <c r="C77" s="15"/>
      <c r="D77" s="15"/>
      <c r="E77" s="15"/>
      <c r="F77" s="15"/>
      <c r="G77" s="15"/>
      <c r="H77" s="16" t="str">
        <f aca="false">IF(OR(F77="",F77=0),IF(G77="","",1),MIN(1,G77/F77))</f>
        <v/>
      </c>
      <c r="I77" s="15"/>
      <c r="J77" s="17" t="str">
        <f aca="false">IF(C77="","",(C77&gt;=Settings!$B$2)+(D77&gt;=Settings!$B$3)+(E77&gt;=Settings!$B$4)+(N(H77)&gt;=1))&amp;"/4"</f>
        <v>/4</v>
      </c>
      <c r="K77" s="14"/>
    </row>
    <row r="78" customFormat="false" ht="15" hidden="false" customHeight="false" outlineLevel="0" collapsed="false">
      <c r="A78" s="13"/>
      <c r="B78" s="14"/>
      <c r="C78" s="15"/>
      <c r="D78" s="15"/>
      <c r="E78" s="15"/>
      <c r="F78" s="15"/>
      <c r="G78" s="15"/>
      <c r="H78" s="16" t="str">
        <f aca="false">IF(OR(F78="",F78=0),IF(G78="","",1),MIN(1,G78/F78))</f>
        <v/>
      </c>
      <c r="I78" s="15"/>
      <c r="J78" s="17" t="str">
        <f aca="false">IF(C78="","",(C78&gt;=Settings!$B$2)+(D78&gt;=Settings!$B$3)+(E78&gt;=Settings!$B$4)+(N(H78)&gt;=1))&amp;"/4"</f>
        <v>/4</v>
      </c>
      <c r="K78" s="14"/>
    </row>
    <row r="79" customFormat="false" ht="15" hidden="false" customHeight="false" outlineLevel="0" collapsed="false">
      <c r="A79" s="13"/>
      <c r="B79" s="14"/>
      <c r="C79" s="15"/>
      <c r="D79" s="15"/>
      <c r="E79" s="15"/>
      <c r="F79" s="15"/>
      <c r="G79" s="15"/>
      <c r="H79" s="16" t="str">
        <f aca="false">IF(OR(F79="",F79=0),IF(G79="","",1),MIN(1,G79/F79))</f>
        <v/>
      </c>
      <c r="I79" s="15"/>
      <c r="J79" s="17" t="str">
        <f aca="false">IF(C79="","",(C79&gt;=Settings!$B$2)+(D79&gt;=Settings!$B$3)+(E79&gt;=Settings!$B$4)+(N(H79)&gt;=1))&amp;"/4"</f>
        <v>/4</v>
      </c>
      <c r="K79" s="14"/>
    </row>
    <row r="80" customFormat="false" ht="15" hidden="false" customHeight="false" outlineLevel="0" collapsed="false">
      <c r="A80" s="13"/>
      <c r="B80" s="14"/>
      <c r="C80" s="15"/>
      <c r="D80" s="15"/>
      <c r="E80" s="15"/>
      <c r="F80" s="15"/>
      <c r="G80" s="15"/>
      <c r="H80" s="16" t="str">
        <f aca="false">IF(OR(F80="",F80=0),IF(G80="","",1),MIN(1,G80/F80))</f>
        <v/>
      </c>
      <c r="I80" s="15"/>
      <c r="J80" s="17" t="str">
        <f aca="false">IF(C80="","",(C80&gt;=Settings!$B$2)+(D80&gt;=Settings!$B$3)+(E80&gt;=Settings!$B$4)+(N(H80)&gt;=1))&amp;"/4"</f>
        <v>/4</v>
      </c>
      <c r="K80" s="14"/>
    </row>
    <row r="81" customFormat="false" ht="15" hidden="false" customHeight="false" outlineLevel="0" collapsed="false">
      <c r="A81" s="13"/>
      <c r="B81" s="14"/>
      <c r="C81" s="15"/>
      <c r="D81" s="15"/>
      <c r="E81" s="15"/>
      <c r="F81" s="15"/>
      <c r="G81" s="15"/>
      <c r="H81" s="16" t="str">
        <f aca="false">IF(OR(F81="",F81=0),IF(G81="","",1),MIN(1,G81/F81))</f>
        <v/>
      </c>
      <c r="I81" s="15"/>
      <c r="J81" s="17" t="str">
        <f aca="false">IF(C81="","",(C81&gt;=Settings!$B$2)+(D81&gt;=Settings!$B$3)+(E81&gt;=Settings!$B$4)+(N(H81)&gt;=1))&amp;"/4"</f>
        <v>/4</v>
      </c>
      <c r="K81" s="14"/>
    </row>
    <row r="82" customFormat="false" ht="15" hidden="false" customHeight="false" outlineLevel="0" collapsed="false">
      <c r="A82" s="13"/>
      <c r="B82" s="14"/>
      <c r="C82" s="15"/>
      <c r="D82" s="15"/>
      <c r="E82" s="15"/>
      <c r="F82" s="15"/>
      <c r="G82" s="15"/>
      <c r="H82" s="16" t="str">
        <f aca="false">IF(OR(F82="",F82=0),IF(G82="","",1),MIN(1,G82/F82))</f>
        <v/>
      </c>
      <c r="I82" s="15"/>
      <c r="J82" s="17" t="str">
        <f aca="false">IF(C82="","",(C82&gt;=Settings!$B$2)+(D82&gt;=Settings!$B$3)+(E82&gt;=Settings!$B$4)+(N(H82)&gt;=1))&amp;"/4"</f>
        <v>/4</v>
      </c>
      <c r="K82" s="14"/>
    </row>
    <row r="83" customFormat="false" ht="15" hidden="false" customHeight="false" outlineLevel="0" collapsed="false">
      <c r="A83" s="13"/>
      <c r="B83" s="14"/>
      <c r="C83" s="15"/>
      <c r="D83" s="15"/>
      <c r="E83" s="15"/>
      <c r="F83" s="15"/>
      <c r="G83" s="15"/>
      <c r="H83" s="16" t="str">
        <f aca="false">IF(OR(F83="",F83=0),IF(G83="","",1),MIN(1,G83/F83))</f>
        <v/>
      </c>
      <c r="I83" s="15"/>
      <c r="J83" s="17" t="str">
        <f aca="false">IF(C83="","",(C83&gt;=Settings!$B$2)+(D83&gt;=Settings!$B$3)+(E83&gt;=Settings!$B$4)+(N(H83)&gt;=1))&amp;"/4"</f>
        <v>/4</v>
      </c>
      <c r="K83" s="14"/>
    </row>
    <row r="84" customFormat="false" ht="15" hidden="false" customHeight="false" outlineLevel="0" collapsed="false">
      <c r="A84" s="13"/>
      <c r="B84" s="14"/>
      <c r="C84" s="15"/>
      <c r="D84" s="15"/>
      <c r="E84" s="15"/>
      <c r="F84" s="15"/>
      <c r="G84" s="15"/>
      <c r="H84" s="16" t="str">
        <f aca="false">IF(OR(F84="",F84=0),IF(G84="","",1),MIN(1,G84/F84))</f>
        <v/>
      </c>
      <c r="I84" s="15"/>
      <c r="J84" s="17" t="str">
        <f aca="false">IF(C84="","",(C84&gt;=Settings!$B$2)+(D84&gt;=Settings!$B$3)+(E84&gt;=Settings!$B$4)+(N(H84)&gt;=1))&amp;"/4"</f>
        <v>/4</v>
      </c>
      <c r="K84" s="14"/>
    </row>
    <row r="85" customFormat="false" ht="15" hidden="false" customHeight="false" outlineLevel="0" collapsed="false">
      <c r="A85" s="13"/>
      <c r="B85" s="14"/>
      <c r="C85" s="15"/>
      <c r="D85" s="15"/>
      <c r="E85" s="15"/>
      <c r="F85" s="15"/>
      <c r="G85" s="15"/>
      <c r="H85" s="16" t="str">
        <f aca="false">IF(OR(F85="",F85=0),IF(G85="","",1),MIN(1,G85/F85))</f>
        <v/>
      </c>
      <c r="I85" s="15"/>
      <c r="J85" s="17" t="str">
        <f aca="false">IF(C85="","",(C85&gt;=Settings!$B$2)+(D85&gt;=Settings!$B$3)+(E85&gt;=Settings!$B$4)+(N(H85)&gt;=1))&amp;"/4"</f>
        <v>/4</v>
      </c>
      <c r="K85" s="14"/>
    </row>
    <row r="86" customFormat="false" ht="15" hidden="false" customHeight="false" outlineLevel="0" collapsed="false">
      <c r="A86" s="13"/>
      <c r="B86" s="14"/>
      <c r="C86" s="15"/>
      <c r="D86" s="15"/>
      <c r="E86" s="15"/>
      <c r="F86" s="15"/>
      <c r="G86" s="15"/>
      <c r="H86" s="16" t="str">
        <f aca="false">IF(OR(F86="",F86=0),IF(G86="","",1),MIN(1,G86/F86))</f>
        <v/>
      </c>
      <c r="I86" s="15"/>
      <c r="J86" s="17" t="str">
        <f aca="false">IF(C86="","",(C86&gt;=Settings!$B$2)+(D86&gt;=Settings!$B$3)+(E86&gt;=Settings!$B$4)+(N(H86)&gt;=1))&amp;"/4"</f>
        <v>/4</v>
      </c>
      <c r="K86" s="14"/>
    </row>
    <row r="87" customFormat="false" ht="15" hidden="false" customHeight="false" outlineLevel="0" collapsed="false">
      <c r="A87" s="13"/>
      <c r="B87" s="14"/>
      <c r="C87" s="15"/>
      <c r="D87" s="15"/>
      <c r="E87" s="15"/>
      <c r="F87" s="15"/>
      <c r="G87" s="15"/>
      <c r="H87" s="16" t="str">
        <f aca="false">IF(OR(F87="",F87=0),IF(G87="","",1),MIN(1,G87/F87))</f>
        <v/>
      </c>
      <c r="I87" s="15"/>
      <c r="J87" s="17" t="str">
        <f aca="false">IF(C87="","",(C87&gt;=Settings!$B$2)+(D87&gt;=Settings!$B$3)+(E87&gt;=Settings!$B$4)+(N(H87)&gt;=1))&amp;"/4"</f>
        <v>/4</v>
      </c>
      <c r="K87" s="14"/>
    </row>
    <row r="88" customFormat="false" ht="15" hidden="false" customHeight="false" outlineLevel="0" collapsed="false">
      <c r="A88" s="13"/>
      <c r="B88" s="14"/>
      <c r="C88" s="15"/>
      <c r="D88" s="15"/>
      <c r="E88" s="15"/>
      <c r="F88" s="15"/>
      <c r="G88" s="15"/>
      <c r="H88" s="16" t="str">
        <f aca="false">IF(OR(F88="",F88=0),IF(G88="","",1),MIN(1,G88/F88))</f>
        <v/>
      </c>
      <c r="I88" s="15"/>
      <c r="J88" s="17" t="str">
        <f aca="false">IF(C88="","",(C88&gt;=Settings!$B$2)+(D88&gt;=Settings!$B$3)+(E88&gt;=Settings!$B$4)+(N(H88)&gt;=1))&amp;"/4"</f>
        <v>/4</v>
      </c>
      <c r="K88" s="14"/>
    </row>
    <row r="89" customFormat="false" ht="15" hidden="false" customHeight="false" outlineLevel="0" collapsed="false">
      <c r="A89" s="13"/>
      <c r="B89" s="14"/>
      <c r="C89" s="15"/>
      <c r="D89" s="15"/>
      <c r="E89" s="15"/>
      <c r="F89" s="15"/>
      <c r="G89" s="15"/>
      <c r="H89" s="16" t="str">
        <f aca="false">IF(OR(F89="",F89=0),IF(G89="","",1),MIN(1,G89/F89))</f>
        <v/>
      </c>
      <c r="I89" s="15"/>
      <c r="J89" s="17" t="str">
        <f aca="false">IF(C89="","",(C89&gt;=Settings!$B$2)+(D89&gt;=Settings!$B$3)+(E89&gt;=Settings!$B$4)+(N(H89)&gt;=1))&amp;"/4"</f>
        <v>/4</v>
      </c>
      <c r="K89" s="14"/>
    </row>
    <row r="90" customFormat="false" ht="15" hidden="false" customHeight="false" outlineLevel="0" collapsed="false">
      <c r="A90" s="13"/>
      <c r="B90" s="14"/>
      <c r="C90" s="15"/>
      <c r="D90" s="15"/>
      <c r="E90" s="15"/>
      <c r="F90" s="15"/>
      <c r="G90" s="15"/>
      <c r="H90" s="16" t="str">
        <f aca="false">IF(OR(F90="",F90=0),IF(G90="","",1),MIN(1,G90/F90))</f>
        <v/>
      </c>
      <c r="I90" s="15"/>
      <c r="J90" s="17" t="str">
        <f aca="false">IF(C90="","",(C90&gt;=Settings!$B$2)+(D90&gt;=Settings!$B$3)+(E90&gt;=Settings!$B$4)+(N(H90)&gt;=1))&amp;"/4"</f>
        <v>/4</v>
      </c>
      <c r="K90" s="14"/>
    </row>
    <row r="91" customFormat="false" ht="15" hidden="false" customHeight="false" outlineLevel="0" collapsed="false">
      <c r="A91" s="13"/>
      <c r="B91" s="14"/>
      <c r="C91" s="15"/>
      <c r="D91" s="15"/>
      <c r="E91" s="15"/>
      <c r="F91" s="15"/>
      <c r="G91" s="15"/>
      <c r="H91" s="16" t="str">
        <f aca="false">IF(OR(F91="",F91=0),IF(G91="","",1),MIN(1,G91/F91))</f>
        <v/>
      </c>
      <c r="I91" s="15"/>
      <c r="J91" s="17" t="str">
        <f aca="false">IF(C91="","",(C91&gt;=Settings!$B$2)+(D91&gt;=Settings!$B$3)+(E91&gt;=Settings!$B$4)+(N(H91)&gt;=1))&amp;"/4"</f>
        <v>/4</v>
      </c>
      <c r="K91" s="14"/>
    </row>
    <row r="92" customFormat="false" ht="15" hidden="false" customHeight="false" outlineLevel="0" collapsed="false">
      <c r="A92" s="13"/>
      <c r="B92" s="14"/>
      <c r="C92" s="15"/>
      <c r="D92" s="15"/>
      <c r="E92" s="15"/>
      <c r="F92" s="15"/>
      <c r="G92" s="15"/>
      <c r="H92" s="16" t="str">
        <f aca="false">IF(OR(F92="",F92=0),IF(G92="","",1),MIN(1,G92/F92))</f>
        <v/>
      </c>
      <c r="I92" s="15"/>
      <c r="J92" s="17" t="str">
        <f aca="false">IF(C92="","",(C92&gt;=Settings!$B$2)+(D92&gt;=Settings!$B$3)+(E92&gt;=Settings!$B$4)+(N(H92)&gt;=1))&amp;"/4"</f>
        <v>/4</v>
      </c>
      <c r="K92" s="14"/>
    </row>
    <row r="93" customFormat="false" ht="15" hidden="false" customHeight="false" outlineLevel="0" collapsed="false">
      <c r="A93" s="13"/>
      <c r="B93" s="14"/>
      <c r="C93" s="15"/>
      <c r="D93" s="15"/>
      <c r="E93" s="15"/>
      <c r="F93" s="15"/>
      <c r="G93" s="15"/>
      <c r="H93" s="16" t="str">
        <f aca="false">IF(OR(F93="",F93=0),IF(G93="","",1),MIN(1,G93/F93))</f>
        <v/>
      </c>
      <c r="I93" s="15"/>
      <c r="J93" s="17" t="str">
        <f aca="false">IF(C93="","",(C93&gt;=Settings!$B$2)+(D93&gt;=Settings!$B$3)+(E93&gt;=Settings!$B$4)+(N(H93)&gt;=1))&amp;"/4"</f>
        <v>/4</v>
      </c>
      <c r="K93" s="14"/>
    </row>
    <row r="94" customFormat="false" ht="15" hidden="false" customHeight="false" outlineLevel="0" collapsed="false">
      <c r="A94" s="13"/>
      <c r="B94" s="14"/>
      <c r="C94" s="15"/>
      <c r="D94" s="15"/>
      <c r="E94" s="15"/>
      <c r="F94" s="15"/>
      <c r="G94" s="15"/>
      <c r="H94" s="16" t="str">
        <f aca="false">IF(OR(F94="",F94=0),IF(G94="","",1),MIN(1,G94/F94))</f>
        <v/>
      </c>
      <c r="I94" s="15"/>
      <c r="J94" s="17" t="str">
        <f aca="false">IF(C94="","",(C94&gt;=Settings!$B$2)+(D94&gt;=Settings!$B$3)+(E94&gt;=Settings!$B$4)+(N(H94)&gt;=1))&amp;"/4"</f>
        <v>/4</v>
      </c>
      <c r="K94" s="14"/>
    </row>
    <row r="95" customFormat="false" ht="15" hidden="false" customHeight="false" outlineLevel="0" collapsed="false">
      <c r="A95" s="13"/>
      <c r="B95" s="14"/>
      <c r="C95" s="15"/>
      <c r="D95" s="15"/>
      <c r="E95" s="15"/>
      <c r="F95" s="15"/>
      <c r="G95" s="15"/>
      <c r="H95" s="16" t="str">
        <f aca="false">IF(OR(F95="",F95=0),IF(G95="","",1),MIN(1,G95/F95))</f>
        <v/>
      </c>
      <c r="I95" s="15"/>
      <c r="J95" s="17" t="str">
        <f aca="false">IF(C95="","",(C95&gt;=Settings!$B$2)+(D95&gt;=Settings!$B$3)+(E95&gt;=Settings!$B$4)+(N(H95)&gt;=1))&amp;"/4"</f>
        <v>/4</v>
      </c>
      <c r="K95" s="14"/>
    </row>
    <row r="96" customFormat="false" ht="15" hidden="false" customHeight="false" outlineLevel="0" collapsed="false">
      <c r="A96" s="13"/>
      <c r="B96" s="14"/>
      <c r="C96" s="15"/>
      <c r="D96" s="15"/>
      <c r="E96" s="15"/>
      <c r="F96" s="15"/>
      <c r="G96" s="15"/>
      <c r="H96" s="16" t="str">
        <f aca="false">IF(OR(F96="",F96=0),IF(G96="","",1),MIN(1,G96/F96))</f>
        <v/>
      </c>
      <c r="I96" s="15"/>
      <c r="J96" s="17" t="str">
        <f aca="false">IF(C96="","",(C96&gt;=Settings!$B$2)+(D96&gt;=Settings!$B$3)+(E96&gt;=Settings!$B$4)+(N(H96)&gt;=1))&amp;"/4"</f>
        <v>/4</v>
      </c>
      <c r="K96" s="14"/>
    </row>
    <row r="97" customFormat="false" ht="15" hidden="false" customHeight="false" outlineLevel="0" collapsed="false">
      <c r="A97" s="13"/>
      <c r="B97" s="14"/>
      <c r="C97" s="15"/>
      <c r="D97" s="15"/>
      <c r="E97" s="15"/>
      <c r="F97" s="15"/>
      <c r="G97" s="15"/>
      <c r="H97" s="16" t="str">
        <f aca="false">IF(OR(F97="",F97=0),IF(G97="","",1),MIN(1,G97/F97))</f>
        <v/>
      </c>
      <c r="I97" s="15"/>
      <c r="J97" s="17" t="str">
        <f aca="false">IF(C97="","",(C97&gt;=Settings!$B$2)+(D97&gt;=Settings!$B$3)+(E97&gt;=Settings!$B$4)+(N(H97)&gt;=1))&amp;"/4"</f>
        <v>/4</v>
      </c>
      <c r="K97" s="14"/>
    </row>
    <row r="98" customFormat="false" ht="15" hidden="false" customHeight="false" outlineLevel="0" collapsed="false">
      <c r="A98" s="13"/>
      <c r="B98" s="14"/>
      <c r="C98" s="15"/>
      <c r="D98" s="15"/>
      <c r="E98" s="15"/>
      <c r="F98" s="15"/>
      <c r="G98" s="15"/>
      <c r="H98" s="16" t="str">
        <f aca="false">IF(OR(F98="",F98=0),IF(G98="","",1),MIN(1,G98/F98))</f>
        <v/>
      </c>
      <c r="I98" s="15"/>
      <c r="J98" s="17" t="str">
        <f aca="false">IF(C98="","",(C98&gt;=Settings!$B$2)+(D98&gt;=Settings!$B$3)+(E98&gt;=Settings!$B$4)+(N(H98)&gt;=1))&amp;"/4"</f>
        <v>/4</v>
      </c>
      <c r="K98" s="14"/>
    </row>
    <row r="99" customFormat="false" ht="15" hidden="false" customHeight="false" outlineLevel="0" collapsed="false">
      <c r="A99" s="13"/>
      <c r="B99" s="14"/>
      <c r="C99" s="15"/>
      <c r="D99" s="15"/>
      <c r="E99" s="15"/>
      <c r="F99" s="15"/>
      <c r="G99" s="15"/>
      <c r="H99" s="16" t="str">
        <f aca="false">IF(OR(F99="",F99=0),IF(G99="","",1),MIN(1,G99/F99))</f>
        <v/>
      </c>
      <c r="I99" s="15"/>
      <c r="J99" s="17" t="str">
        <f aca="false">IF(C99="","",(C99&gt;=Settings!$B$2)+(D99&gt;=Settings!$B$3)+(E99&gt;=Settings!$B$4)+(N(H99)&gt;=1))&amp;"/4"</f>
        <v>/4</v>
      </c>
      <c r="K99" s="14"/>
    </row>
    <row r="100" customFormat="false" ht="15" hidden="false" customHeight="false" outlineLevel="0" collapsed="false">
      <c r="A100" s="13"/>
      <c r="B100" s="14"/>
      <c r="C100" s="15"/>
      <c r="D100" s="15"/>
      <c r="E100" s="15"/>
      <c r="F100" s="15"/>
      <c r="G100" s="15"/>
      <c r="H100" s="16" t="str">
        <f aca="false">IF(OR(F100="",F100=0),IF(G100="","",1),MIN(1,G100/F100))</f>
        <v/>
      </c>
      <c r="I100" s="15"/>
      <c r="J100" s="17" t="str">
        <f aca="false">IF(C100="","",(C100&gt;=Settings!$B$2)+(D100&gt;=Settings!$B$3)+(E100&gt;=Settings!$B$4)+(N(H100)&gt;=1))&amp;"/4"</f>
        <v>/4</v>
      </c>
      <c r="K100" s="14"/>
    </row>
    <row r="101" customFormat="false" ht="15" hidden="false" customHeight="false" outlineLevel="0" collapsed="false">
      <c r="A101" s="13"/>
      <c r="B101" s="14"/>
      <c r="C101" s="15"/>
      <c r="D101" s="15"/>
      <c r="E101" s="15"/>
      <c r="F101" s="15"/>
      <c r="G101" s="15"/>
      <c r="H101" s="16" t="str">
        <f aca="false">IF(OR(F101="",F101=0),IF(G101="","",1),MIN(1,G101/F101))</f>
        <v/>
      </c>
      <c r="I101" s="15"/>
      <c r="J101" s="17" t="str">
        <f aca="false">IF(C101="","",(C101&gt;=Settings!$B$2)+(D101&gt;=Settings!$B$3)+(E101&gt;=Settings!$B$4)+(N(H101)&gt;=1))&amp;"/4"</f>
        <v>/4</v>
      </c>
      <c r="K101" s="14"/>
    </row>
    <row r="102" customFormat="false" ht="15" hidden="false" customHeight="false" outlineLevel="0" collapsed="false">
      <c r="A102" s="13"/>
      <c r="B102" s="14"/>
      <c r="C102" s="15"/>
      <c r="D102" s="15"/>
      <c r="E102" s="15"/>
      <c r="F102" s="15"/>
      <c r="G102" s="15"/>
      <c r="H102" s="16" t="str">
        <f aca="false">IF(OR(F102="",F102=0),IF(G102="","",1),MIN(1,G102/F102))</f>
        <v/>
      </c>
      <c r="I102" s="15"/>
      <c r="J102" s="17" t="str">
        <f aca="false">IF(C102="","",(C102&gt;=Settings!$B$2)+(D102&gt;=Settings!$B$3)+(E102&gt;=Settings!$B$4)+(N(H102)&gt;=1))&amp;"/4"</f>
        <v>/4</v>
      </c>
      <c r="K102" s="14"/>
    </row>
    <row r="103" customFormat="false" ht="15" hidden="false" customHeight="false" outlineLevel="0" collapsed="false">
      <c r="A103" s="13"/>
      <c r="B103" s="14"/>
      <c r="C103" s="15"/>
      <c r="D103" s="15"/>
      <c r="E103" s="15"/>
      <c r="F103" s="15"/>
      <c r="G103" s="15"/>
      <c r="H103" s="16" t="str">
        <f aca="false">IF(OR(F103="",F103=0),IF(G103="","",1),MIN(1,G103/F103))</f>
        <v/>
      </c>
      <c r="I103" s="15"/>
      <c r="J103" s="17" t="str">
        <f aca="false">IF(C103="","",(C103&gt;=Settings!$B$2)+(D103&gt;=Settings!$B$3)+(E103&gt;=Settings!$B$4)+(N(H103)&gt;=1))&amp;"/4"</f>
        <v>/4</v>
      </c>
      <c r="K103" s="14"/>
    </row>
    <row r="104" customFormat="false" ht="15" hidden="false" customHeight="false" outlineLevel="0" collapsed="false">
      <c r="A104" s="13"/>
      <c r="B104" s="14"/>
      <c r="C104" s="15"/>
      <c r="D104" s="15"/>
      <c r="E104" s="15"/>
      <c r="F104" s="15"/>
      <c r="G104" s="15"/>
      <c r="H104" s="16" t="str">
        <f aca="false">IF(OR(F104="",F104=0),IF(G104="","",1),MIN(1,G104/F104))</f>
        <v/>
      </c>
      <c r="I104" s="15"/>
      <c r="J104" s="17" t="str">
        <f aca="false">IF(C104="","",(C104&gt;=Settings!$B$2)+(D104&gt;=Settings!$B$3)+(E104&gt;=Settings!$B$4)+(N(H104)&gt;=1))&amp;"/4"</f>
        <v>/4</v>
      </c>
      <c r="K104" s="14"/>
    </row>
    <row r="105" customFormat="false" ht="15" hidden="false" customHeight="false" outlineLevel="0" collapsed="false">
      <c r="A105" s="13"/>
      <c r="B105" s="14"/>
      <c r="C105" s="15"/>
      <c r="D105" s="15"/>
      <c r="E105" s="15"/>
      <c r="F105" s="15"/>
      <c r="G105" s="15"/>
      <c r="H105" s="16" t="str">
        <f aca="false">IF(OR(F105="",F105=0),IF(G105="","",1),MIN(1,G105/F105))</f>
        <v/>
      </c>
      <c r="I105" s="15"/>
      <c r="J105" s="17" t="str">
        <f aca="false">IF(C105="","",(C105&gt;=Settings!$B$2)+(D105&gt;=Settings!$B$3)+(E105&gt;=Settings!$B$4)+(N(H105)&gt;=1))&amp;"/4"</f>
        <v>/4</v>
      </c>
      <c r="K105" s="14"/>
    </row>
    <row r="106" customFormat="false" ht="15" hidden="false" customHeight="false" outlineLevel="0" collapsed="false">
      <c r="A106" s="13"/>
      <c r="B106" s="14"/>
      <c r="C106" s="15"/>
      <c r="D106" s="15"/>
      <c r="E106" s="15"/>
      <c r="F106" s="15"/>
      <c r="G106" s="15"/>
      <c r="H106" s="16" t="str">
        <f aca="false">IF(OR(F106="",F106=0),IF(G106="","",1),MIN(1,G106/F106))</f>
        <v/>
      </c>
      <c r="I106" s="15"/>
      <c r="J106" s="17" t="str">
        <f aca="false">IF(C106="","",(C106&gt;=Settings!$B$2)+(D106&gt;=Settings!$B$3)+(E106&gt;=Settings!$B$4)+(N(H106)&gt;=1))&amp;"/4"</f>
        <v>/4</v>
      </c>
      <c r="K106" s="14"/>
    </row>
    <row r="107" customFormat="false" ht="15" hidden="false" customHeight="false" outlineLevel="0" collapsed="false">
      <c r="A107" s="13"/>
      <c r="B107" s="14"/>
      <c r="C107" s="15"/>
      <c r="D107" s="15"/>
      <c r="E107" s="15"/>
      <c r="F107" s="15"/>
      <c r="G107" s="15"/>
      <c r="H107" s="16" t="str">
        <f aca="false">IF(OR(F107="",F107=0),IF(G107="","",1),MIN(1,G107/F107))</f>
        <v/>
      </c>
      <c r="I107" s="15"/>
      <c r="J107" s="17" t="str">
        <f aca="false">IF(C107="","",(C107&gt;=Settings!$B$2)+(D107&gt;=Settings!$B$3)+(E107&gt;=Settings!$B$4)+(N(H107)&gt;=1))&amp;"/4"</f>
        <v>/4</v>
      </c>
      <c r="K107" s="14"/>
    </row>
    <row r="108" customFormat="false" ht="15" hidden="false" customHeight="false" outlineLevel="0" collapsed="false">
      <c r="A108" s="13"/>
      <c r="B108" s="14"/>
      <c r="C108" s="15"/>
      <c r="D108" s="15"/>
      <c r="E108" s="15"/>
      <c r="F108" s="15"/>
      <c r="G108" s="15"/>
      <c r="H108" s="16" t="str">
        <f aca="false">IF(OR(F108="",F108=0),IF(G108="","",1),MIN(1,G108/F108))</f>
        <v/>
      </c>
      <c r="I108" s="15"/>
      <c r="J108" s="17" t="str">
        <f aca="false">IF(C108="","",(C108&gt;=Settings!$B$2)+(D108&gt;=Settings!$B$3)+(E108&gt;=Settings!$B$4)+(N(H108)&gt;=1))&amp;"/4"</f>
        <v>/4</v>
      </c>
      <c r="K108" s="14"/>
    </row>
    <row r="109" customFormat="false" ht="15" hidden="false" customHeight="false" outlineLevel="0" collapsed="false">
      <c r="A109" s="13"/>
      <c r="B109" s="14"/>
      <c r="C109" s="15"/>
      <c r="D109" s="15"/>
      <c r="E109" s="15"/>
      <c r="F109" s="15"/>
      <c r="G109" s="15"/>
      <c r="H109" s="16" t="str">
        <f aca="false">IF(OR(F109="",F109=0),IF(G109="","",1),MIN(1,G109/F109))</f>
        <v/>
      </c>
      <c r="I109" s="15"/>
      <c r="J109" s="17" t="str">
        <f aca="false">IF(C109="","",(C109&gt;=Settings!$B$2)+(D109&gt;=Settings!$B$3)+(E109&gt;=Settings!$B$4)+(N(H109)&gt;=1))&amp;"/4"</f>
        <v>/4</v>
      </c>
      <c r="K109" s="14"/>
    </row>
    <row r="110" customFormat="false" ht="15" hidden="false" customHeight="false" outlineLevel="0" collapsed="false">
      <c r="A110" s="13"/>
      <c r="B110" s="14"/>
      <c r="C110" s="15"/>
      <c r="D110" s="15"/>
      <c r="E110" s="15"/>
      <c r="F110" s="15"/>
      <c r="G110" s="15"/>
      <c r="H110" s="16" t="str">
        <f aca="false">IF(OR(F110="",F110=0),IF(G110="","",1),MIN(1,G110/F110))</f>
        <v/>
      </c>
      <c r="I110" s="15"/>
      <c r="J110" s="17" t="str">
        <f aca="false">IF(C110="","",(C110&gt;=Settings!$B$2)+(D110&gt;=Settings!$B$3)+(E110&gt;=Settings!$B$4)+(N(H110)&gt;=1))&amp;"/4"</f>
        <v>/4</v>
      </c>
      <c r="K110" s="14"/>
    </row>
    <row r="111" customFormat="false" ht="15" hidden="false" customHeight="false" outlineLevel="0" collapsed="false">
      <c r="A111" s="13"/>
      <c r="B111" s="14"/>
      <c r="C111" s="15"/>
      <c r="D111" s="15"/>
      <c r="E111" s="15"/>
      <c r="F111" s="15"/>
      <c r="G111" s="15"/>
      <c r="H111" s="16" t="str">
        <f aca="false">IF(OR(F111="",F111=0),IF(G111="","",1),MIN(1,G111/F111))</f>
        <v/>
      </c>
      <c r="I111" s="15"/>
      <c r="J111" s="17" t="str">
        <f aca="false">IF(C111="","",(C111&gt;=Settings!$B$2)+(D111&gt;=Settings!$B$3)+(E111&gt;=Settings!$B$4)+(N(H111)&gt;=1))&amp;"/4"</f>
        <v>/4</v>
      </c>
      <c r="K111" s="14"/>
    </row>
    <row r="112" customFormat="false" ht="15" hidden="false" customHeight="false" outlineLevel="0" collapsed="false">
      <c r="A112" s="13"/>
      <c r="B112" s="14"/>
      <c r="C112" s="15"/>
      <c r="D112" s="15"/>
      <c r="E112" s="15"/>
      <c r="F112" s="15"/>
      <c r="G112" s="15"/>
      <c r="H112" s="16" t="str">
        <f aca="false">IF(OR(F112="",F112=0),IF(G112="","",1),MIN(1,G112/F112))</f>
        <v/>
      </c>
      <c r="I112" s="15"/>
      <c r="J112" s="17" t="str">
        <f aca="false">IF(C112="","",(C112&gt;=Settings!$B$2)+(D112&gt;=Settings!$B$3)+(E112&gt;=Settings!$B$4)+(N(H112)&gt;=1))&amp;"/4"</f>
        <v>/4</v>
      </c>
      <c r="K112" s="14"/>
    </row>
    <row r="113" customFormat="false" ht="15" hidden="false" customHeight="false" outlineLevel="0" collapsed="false">
      <c r="A113" s="13"/>
      <c r="B113" s="14"/>
      <c r="C113" s="15"/>
      <c r="D113" s="15"/>
      <c r="E113" s="15"/>
      <c r="F113" s="15"/>
      <c r="G113" s="15"/>
      <c r="H113" s="16" t="str">
        <f aca="false">IF(OR(F113="",F113=0),IF(G113="","",1),MIN(1,G113/F113))</f>
        <v/>
      </c>
      <c r="I113" s="15"/>
      <c r="J113" s="17" t="str">
        <f aca="false">IF(C113="","",(C113&gt;=Settings!$B$2)+(D113&gt;=Settings!$B$3)+(E113&gt;=Settings!$B$4)+(N(H113)&gt;=1))&amp;"/4"</f>
        <v>/4</v>
      </c>
      <c r="K113" s="14"/>
    </row>
    <row r="114" customFormat="false" ht="15" hidden="false" customHeight="false" outlineLevel="0" collapsed="false">
      <c r="A114" s="13"/>
      <c r="B114" s="14"/>
      <c r="C114" s="15"/>
      <c r="D114" s="15"/>
      <c r="E114" s="15"/>
      <c r="F114" s="15"/>
      <c r="G114" s="15"/>
      <c r="H114" s="16" t="str">
        <f aca="false">IF(OR(F114="",F114=0),IF(G114="","",1),MIN(1,G114/F114))</f>
        <v/>
      </c>
      <c r="I114" s="15"/>
      <c r="J114" s="17" t="str">
        <f aca="false">IF(C114="","",(C114&gt;=Settings!$B$2)+(D114&gt;=Settings!$B$3)+(E114&gt;=Settings!$B$4)+(N(H114)&gt;=1))&amp;"/4"</f>
        <v>/4</v>
      </c>
      <c r="K114" s="14"/>
    </row>
    <row r="115" customFormat="false" ht="15" hidden="false" customHeight="false" outlineLevel="0" collapsed="false">
      <c r="A115" s="13"/>
      <c r="B115" s="14"/>
      <c r="C115" s="15"/>
      <c r="D115" s="15"/>
      <c r="E115" s="15"/>
      <c r="F115" s="15"/>
      <c r="G115" s="15"/>
      <c r="H115" s="16" t="str">
        <f aca="false">IF(OR(F115="",F115=0),IF(G115="","",1),MIN(1,G115/F115))</f>
        <v/>
      </c>
      <c r="I115" s="15"/>
      <c r="J115" s="17" t="str">
        <f aca="false">IF(C115="","",(C115&gt;=Settings!$B$2)+(D115&gt;=Settings!$B$3)+(E115&gt;=Settings!$B$4)+(N(H115)&gt;=1))&amp;"/4"</f>
        <v>/4</v>
      </c>
      <c r="K115" s="14"/>
    </row>
    <row r="116" customFormat="false" ht="15" hidden="false" customHeight="false" outlineLevel="0" collapsed="false">
      <c r="A116" s="13"/>
      <c r="B116" s="14"/>
      <c r="C116" s="15"/>
      <c r="D116" s="15"/>
      <c r="E116" s="15"/>
      <c r="F116" s="15"/>
      <c r="G116" s="15"/>
      <c r="H116" s="16" t="str">
        <f aca="false">IF(OR(F116="",F116=0),IF(G116="","",1),MIN(1,G116/F116))</f>
        <v/>
      </c>
      <c r="I116" s="15"/>
      <c r="J116" s="17" t="str">
        <f aca="false">IF(C116="","",(C116&gt;=Settings!$B$2)+(D116&gt;=Settings!$B$3)+(E116&gt;=Settings!$B$4)+(N(H116)&gt;=1))&amp;"/4"</f>
        <v>/4</v>
      </c>
      <c r="K116" s="14"/>
    </row>
    <row r="117" customFormat="false" ht="15" hidden="false" customHeight="false" outlineLevel="0" collapsed="false">
      <c r="A117" s="13"/>
      <c r="B117" s="14"/>
      <c r="C117" s="15"/>
      <c r="D117" s="15"/>
      <c r="E117" s="15"/>
      <c r="F117" s="15"/>
      <c r="G117" s="15"/>
      <c r="H117" s="16" t="str">
        <f aca="false">IF(OR(F117="",F117=0),IF(G117="","",1),MIN(1,G117/F117))</f>
        <v/>
      </c>
      <c r="I117" s="15"/>
      <c r="J117" s="17" t="str">
        <f aca="false">IF(C117="","",(C117&gt;=Settings!$B$2)+(D117&gt;=Settings!$B$3)+(E117&gt;=Settings!$B$4)+(N(H117)&gt;=1))&amp;"/4"</f>
        <v>/4</v>
      </c>
      <c r="K117" s="14"/>
    </row>
    <row r="118" customFormat="false" ht="15" hidden="false" customHeight="false" outlineLevel="0" collapsed="false">
      <c r="A118" s="13"/>
      <c r="B118" s="14"/>
      <c r="C118" s="15"/>
      <c r="D118" s="15"/>
      <c r="E118" s="15"/>
      <c r="F118" s="15"/>
      <c r="G118" s="15"/>
      <c r="H118" s="16" t="str">
        <f aca="false">IF(OR(F118="",F118=0),IF(G118="","",1),MIN(1,G118/F118))</f>
        <v/>
      </c>
      <c r="I118" s="15"/>
      <c r="J118" s="17" t="str">
        <f aca="false">IF(C118="","",(C118&gt;=Settings!$B$2)+(D118&gt;=Settings!$B$3)+(E118&gt;=Settings!$B$4)+(N(H118)&gt;=1))&amp;"/4"</f>
        <v>/4</v>
      </c>
      <c r="K118" s="14"/>
    </row>
    <row r="119" customFormat="false" ht="15" hidden="false" customHeight="false" outlineLevel="0" collapsed="false">
      <c r="A119" s="13"/>
      <c r="B119" s="14"/>
      <c r="C119" s="15"/>
      <c r="D119" s="15"/>
      <c r="E119" s="15"/>
      <c r="F119" s="15"/>
      <c r="G119" s="15"/>
      <c r="H119" s="16" t="str">
        <f aca="false">IF(OR(F119="",F119=0),IF(G119="","",1),MIN(1,G119/F119))</f>
        <v/>
      </c>
      <c r="I119" s="15"/>
      <c r="J119" s="17" t="str">
        <f aca="false">IF(C119="","",(C119&gt;=Settings!$B$2)+(D119&gt;=Settings!$B$3)+(E119&gt;=Settings!$B$4)+(N(H119)&gt;=1))&amp;"/4"</f>
        <v>/4</v>
      </c>
      <c r="K119" s="14"/>
    </row>
    <row r="120" customFormat="false" ht="15" hidden="false" customHeight="false" outlineLevel="0" collapsed="false">
      <c r="A120" s="13"/>
      <c r="B120" s="14"/>
      <c r="C120" s="15"/>
      <c r="D120" s="15"/>
      <c r="E120" s="15"/>
      <c r="F120" s="15"/>
      <c r="G120" s="15"/>
      <c r="H120" s="16" t="str">
        <f aca="false">IF(OR(F120="",F120=0),IF(G120="","",1),MIN(1,G120/F120))</f>
        <v/>
      </c>
      <c r="I120" s="15"/>
      <c r="J120" s="17" t="str">
        <f aca="false">IF(C120="","",(C120&gt;=Settings!$B$2)+(D120&gt;=Settings!$B$3)+(E120&gt;=Settings!$B$4)+(N(H120)&gt;=1))&amp;"/4"</f>
        <v>/4</v>
      </c>
      <c r="K120" s="14"/>
    </row>
    <row r="121" customFormat="false" ht="15" hidden="false" customHeight="false" outlineLevel="0" collapsed="false">
      <c r="A121" s="13"/>
      <c r="B121" s="14"/>
      <c r="C121" s="15"/>
      <c r="D121" s="15"/>
      <c r="E121" s="15"/>
      <c r="F121" s="15"/>
      <c r="G121" s="15"/>
      <c r="H121" s="16" t="str">
        <f aca="false">IF(OR(F121="",F121=0),IF(G121="","",1),MIN(1,G121/F121))</f>
        <v/>
      </c>
      <c r="I121" s="15"/>
      <c r="J121" s="17" t="str">
        <f aca="false">IF(C121="","",(C121&gt;=Settings!$B$2)+(D121&gt;=Settings!$B$3)+(E121&gt;=Settings!$B$4)+(N(H121)&gt;=1))&amp;"/4"</f>
        <v>/4</v>
      </c>
      <c r="K121" s="14"/>
    </row>
    <row r="122" customFormat="false" ht="15" hidden="false" customHeight="false" outlineLevel="0" collapsed="false">
      <c r="A122" s="13"/>
      <c r="B122" s="14"/>
      <c r="C122" s="15"/>
      <c r="D122" s="15"/>
      <c r="E122" s="15"/>
      <c r="F122" s="15"/>
      <c r="G122" s="15"/>
      <c r="H122" s="16" t="str">
        <f aca="false">IF(OR(F122="",F122=0),IF(G122="","",1),MIN(1,G122/F122))</f>
        <v/>
      </c>
      <c r="I122" s="15"/>
      <c r="J122" s="17" t="str">
        <f aca="false">IF(C122="","",(C122&gt;=Settings!$B$2)+(D122&gt;=Settings!$B$3)+(E122&gt;=Settings!$B$4)+(N(H122)&gt;=1))&amp;"/4"</f>
        <v>/4</v>
      </c>
      <c r="K122" s="14"/>
    </row>
    <row r="123" customFormat="false" ht="15" hidden="false" customHeight="false" outlineLevel="0" collapsed="false">
      <c r="A123" s="13"/>
      <c r="B123" s="14"/>
      <c r="C123" s="15"/>
      <c r="D123" s="15"/>
      <c r="E123" s="15"/>
      <c r="F123" s="15"/>
      <c r="G123" s="15"/>
      <c r="H123" s="16" t="str">
        <f aca="false">IF(OR(F123="",F123=0),IF(G123="","",1),MIN(1,G123/F123))</f>
        <v/>
      </c>
      <c r="I123" s="15"/>
      <c r="J123" s="17" t="str">
        <f aca="false">IF(C123="","",(C123&gt;=Settings!$B$2)+(D123&gt;=Settings!$B$3)+(E123&gt;=Settings!$B$4)+(N(H123)&gt;=1))&amp;"/4"</f>
        <v>/4</v>
      </c>
      <c r="K123" s="14"/>
    </row>
    <row r="124" customFormat="false" ht="15" hidden="false" customHeight="false" outlineLevel="0" collapsed="false">
      <c r="A124" s="13"/>
      <c r="B124" s="14"/>
      <c r="C124" s="15"/>
      <c r="D124" s="15"/>
      <c r="E124" s="15"/>
      <c r="F124" s="15"/>
      <c r="G124" s="15"/>
      <c r="H124" s="16" t="str">
        <f aca="false">IF(OR(F124="",F124=0),IF(G124="","",1),MIN(1,G124/F124))</f>
        <v/>
      </c>
      <c r="I124" s="15"/>
      <c r="J124" s="17" t="str">
        <f aca="false">IF(C124="","",(C124&gt;=Settings!$B$2)+(D124&gt;=Settings!$B$3)+(E124&gt;=Settings!$B$4)+(N(H124)&gt;=1))&amp;"/4"</f>
        <v>/4</v>
      </c>
      <c r="K124" s="14"/>
    </row>
    <row r="125" customFormat="false" ht="15" hidden="false" customHeight="false" outlineLevel="0" collapsed="false">
      <c r="A125" s="13"/>
      <c r="B125" s="14"/>
      <c r="C125" s="15"/>
      <c r="D125" s="15"/>
      <c r="E125" s="15"/>
      <c r="F125" s="15"/>
      <c r="G125" s="15"/>
      <c r="H125" s="16" t="str">
        <f aca="false">IF(OR(F125="",F125=0),IF(G125="","",1),MIN(1,G125/F125))</f>
        <v/>
      </c>
      <c r="I125" s="15"/>
      <c r="J125" s="17" t="str">
        <f aca="false">IF(C125="","",(C125&gt;=Settings!$B$2)+(D125&gt;=Settings!$B$3)+(E125&gt;=Settings!$B$4)+(N(H125)&gt;=1))&amp;"/4"</f>
        <v>/4</v>
      </c>
      <c r="K125" s="14"/>
    </row>
    <row r="126" customFormat="false" ht="15" hidden="false" customHeight="false" outlineLevel="0" collapsed="false">
      <c r="A126" s="13"/>
      <c r="B126" s="14"/>
      <c r="C126" s="15"/>
      <c r="D126" s="15"/>
      <c r="E126" s="15"/>
      <c r="F126" s="15"/>
      <c r="G126" s="15"/>
      <c r="H126" s="16" t="str">
        <f aca="false">IF(OR(F126="",F126=0),IF(G126="","",1),MIN(1,G126/F126))</f>
        <v/>
      </c>
      <c r="I126" s="15"/>
      <c r="J126" s="17" t="str">
        <f aca="false">IF(C126="","",(C126&gt;=Settings!$B$2)+(D126&gt;=Settings!$B$3)+(E126&gt;=Settings!$B$4)+(N(H126)&gt;=1))&amp;"/4"</f>
        <v>/4</v>
      </c>
      <c r="K126" s="14"/>
    </row>
    <row r="127" customFormat="false" ht="15" hidden="false" customHeight="false" outlineLevel="0" collapsed="false">
      <c r="A127" s="13"/>
      <c r="B127" s="14"/>
      <c r="C127" s="15"/>
      <c r="D127" s="15"/>
      <c r="E127" s="15"/>
      <c r="F127" s="15"/>
      <c r="G127" s="15"/>
      <c r="H127" s="16" t="str">
        <f aca="false">IF(OR(F127="",F127=0),IF(G127="","",1),MIN(1,G127/F127))</f>
        <v/>
      </c>
      <c r="I127" s="15"/>
      <c r="J127" s="17" t="str">
        <f aca="false">IF(C127="","",(C127&gt;=Settings!$B$2)+(D127&gt;=Settings!$B$3)+(E127&gt;=Settings!$B$4)+(N(H127)&gt;=1))&amp;"/4"</f>
        <v>/4</v>
      </c>
      <c r="K127" s="14"/>
    </row>
    <row r="128" customFormat="false" ht="15" hidden="false" customHeight="false" outlineLevel="0" collapsed="false">
      <c r="A128" s="13"/>
      <c r="B128" s="14"/>
      <c r="C128" s="15"/>
      <c r="D128" s="15"/>
      <c r="E128" s="15"/>
      <c r="F128" s="15"/>
      <c r="G128" s="15"/>
      <c r="H128" s="16" t="str">
        <f aca="false">IF(OR(F128="",F128=0),IF(G128="","",1),MIN(1,G128/F128))</f>
        <v/>
      </c>
      <c r="I128" s="15"/>
      <c r="J128" s="17" t="str">
        <f aca="false">IF(C128="","",(C128&gt;=Settings!$B$2)+(D128&gt;=Settings!$B$3)+(E128&gt;=Settings!$B$4)+(N(H128)&gt;=1))&amp;"/4"</f>
        <v>/4</v>
      </c>
      <c r="K128" s="14"/>
    </row>
    <row r="129" customFormat="false" ht="15" hidden="false" customHeight="false" outlineLevel="0" collapsed="false">
      <c r="A129" s="13"/>
      <c r="B129" s="14"/>
      <c r="C129" s="15"/>
      <c r="D129" s="15"/>
      <c r="E129" s="15"/>
      <c r="F129" s="15"/>
      <c r="G129" s="15"/>
      <c r="H129" s="16" t="str">
        <f aca="false">IF(OR(F129="",F129=0),IF(G129="","",1),MIN(1,G129/F129))</f>
        <v/>
      </c>
      <c r="I129" s="15"/>
      <c r="J129" s="17" t="str">
        <f aca="false">IF(C129="","",(C129&gt;=Settings!$B$2)+(D129&gt;=Settings!$B$3)+(E129&gt;=Settings!$B$4)+(N(H129)&gt;=1))&amp;"/4"</f>
        <v>/4</v>
      </c>
      <c r="K129" s="14"/>
    </row>
    <row r="130" customFormat="false" ht="15" hidden="false" customHeight="false" outlineLevel="0" collapsed="false">
      <c r="A130" s="13"/>
      <c r="B130" s="14"/>
      <c r="C130" s="15"/>
      <c r="D130" s="15"/>
      <c r="E130" s="15"/>
      <c r="F130" s="15"/>
      <c r="G130" s="15"/>
      <c r="H130" s="16" t="str">
        <f aca="false">IF(OR(F130="",F130=0),IF(G130="","",1),MIN(1,G130/F130))</f>
        <v/>
      </c>
      <c r="I130" s="15"/>
      <c r="J130" s="17" t="str">
        <f aca="false">IF(C130="","",(C130&gt;=Settings!$B$2)+(D130&gt;=Settings!$B$3)+(E130&gt;=Settings!$B$4)+(N(H130)&gt;=1))&amp;"/4"</f>
        <v>/4</v>
      </c>
      <c r="K130" s="14"/>
    </row>
    <row r="131" customFormat="false" ht="15" hidden="false" customHeight="false" outlineLevel="0" collapsed="false">
      <c r="A131" s="13"/>
      <c r="B131" s="14"/>
      <c r="C131" s="15"/>
      <c r="D131" s="15"/>
      <c r="E131" s="15"/>
      <c r="F131" s="15"/>
      <c r="G131" s="15"/>
      <c r="H131" s="16" t="str">
        <f aca="false">IF(OR(F131="",F131=0),IF(G131="","",1),MIN(1,G131/F131))</f>
        <v/>
      </c>
      <c r="I131" s="15"/>
      <c r="J131" s="17" t="str">
        <f aca="false">IF(C131="","",(C131&gt;=Settings!$B$2)+(D131&gt;=Settings!$B$3)+(E131&gt;=Settings!$B$4)+(N(H131)&gt;=1))&amp;"/4"</f>
        <v>/4</v>
      </c>
      <c r="K131" s="14"/>
    </row>
    <row r="132" customFormat="false" ht="15" hidden="false" customHeight="false" outlineLevel="0" collapsed="false">
      <c r="A132" s="13"/>
      <c r="B132" s="14"/>
      <c r="C132" s="15"/>
      <c r="D132" s="15"/>
      <c r="E132" s="15"/>
      <c r="F132" s="15"/>
      <c r="G132" s="15"/>
      <c r="H132" s="16" t="str">
        <f aca="false">IF(OR(F132="",F132=0),IF(G132="","",1),MIN(1,G132/F132))</f>
        <v/>
      </c>
      <c r="I132" s="15"/>
      <c r="J132" s="17" t="str">
        <f aca="false">IF(C132="","",(C132&gt;=Settings!$B$2)+(D132&gt;=Settings!$B$3)+(E132&gt;=Settings!$B$4)+(N(H132)&gt;=1))&amp;"/4"</f>
        <v>/4</v>
      </c>
      <c r="K132" s="14"/>
    </row>
    <row r="133" customFormat="false" ht="15" hidden="false" customHeight="false" outlineLevel="0" collapsed="false">
      <c r="A133" s="13"/>
      <c r="B133" s="14"/>
      <c r="C133" s="15"/>
      <c r="D133" s="15"/>
      <c r="E133" s="15"/>
      <c r="F133" s="15"/>
      <c r="G133" s="15"/>
      <c r="H133" s="16" t="str">
        <f aca="false">IF(OR(F133="",F133=0),IF(G133="","",1),MIN(1,G133/F133))</f>
        <v/>
      </c>
      <c r="I133" s="15"/>
      <c r="J133" s="17" t="str">
        <f aca="false">IF(C133="","",(C133&gt;=Settings!$B$2)+(D133&gt;=Settings!$B$3)+(E133&gt;=Settings!$B$4)+(N(H133)&gt;=1))&amp;"/4"</f>
        <v>/4</v>
      </c>
      <c r="K133" s="14"/>
    </row>
    <row r="134" customFormat="false" ht="15" hidden="false" customHeight="false" outlineLevel="0" collapsed="false">
      <c r="A134" s="13"/>
      <c r="B134" s="14"/>
      <c r="C134" s="15"/>
      <c r="D134" s="15"/>
      <c r="E134" s="15"/>
      <c r="F134" s="15"/>
      <c r="G134" s="15"/>
      <c r="H134" s="16" t="str">
        <f aca="false">IF(OR(F134="",F134=0),IF(G134="","",1),MIN(1,G134/F134))</f>
        <v/>
      </c>
      <c r="I134" s="15"/>
      <c r="J134" s="17" t="str">
        <f aca="false">IF(C134="","",(C134&gt;=Settings!$B$2)+(D134&gt;=Settings!$B$3)+(E134&gt;=Settings!$B$4)+(N(H134)&gt;=1))&amp;"/4"</f>
        <v>/4</v>
      </c>
      <c r="K134" s="14"/>
    </row>
    <row r="135" customFormat="false" ht="15" hidden="false" customHeight="false" outlineLevel="0" collapsed="false">
      <c r="A135" s="13"/>
      <c r="B135" s="14"/>
      <c r="C135" s="15"/>
      <c r="D135" s="15"/>
      <c r="E135" s="15"/>
      <c r="F135" s="15"/>
      <c r="G135" s="15"/>
      <c r="H135" s="16" t="str">
        <f aca="false">IF(OR(F135="",F135=0),IF(G135="","",1),MIN(1,G135/F135))</f>
        <v/>
      </c>
      <c r="I135" s="15"/>
      <c r="J135" s="17" t="str">
        <f aca="false">IF(C135="","",(C135&gt;=Settings!$B$2)+(D135&gt;=Settings!$B$3)+(E135&gt;=Settings!$B$4)+(N(H135)&gt;=1))&amp;"/4"</f>
        <v>/4</v>
      </c>
      <c r="K135" s="14"/>
    </row>
    <row r="136" customFormat="false" ht="15" hidden="false" customHeight="false" outlineLevel="0" collapsed="false">
      <c r="A136" s="13"/>
      <c r="B136" s="14"/>
      <c r="C136" s="15"/>
      <c r="D136" s="15"/>
      <c r="E136" s="15"/>
      <c r="F136" s="15"/>
      <c r="G136" s="15"/>
      <c r="H136" s="16" t="str">
        <f aca="false">IF(OR(F136="",F136=0),IF(G136="","",1),MIN(1,G136/F136))</f>
        <v/>
      </c>
      <c r="I136" s="15"/>
      <c r="J136" s="17" t="str">
        <f aca="false">IF(C136="","",(C136&gt;=Settings!$B$2)+(D136&gt;=Settings!$B$3)+(E136&gt;=Settings!$B$4)+(N(H136)&gt;=1))&amp;"/4"</f>
        <v>/4</v>
      </c>
      <c r="K136" s="14"/>
    </row>
    <row r="137" customFormat="false" ht="15" hidden="false" customHeight="false" outlineLevel="0" collapsed="false">
      <c r="A137" s="13"/>
      <c r="B137" s="14"/>
      <c r="C137" s="15"/>
      <c r="D137" s="15"/>
      <c r="E137" s="15"/>
      <c r="F137" s="15"/>
      <c r="G137" s="15"/>
      <c r="H137" s="16" t="str">
        <f aca="false">IF(OR(F137="",F137=0),IF(G137="","",1),MIN(1,G137/F137))</f>
        <v/>
      </c>
      <c r="I137" s="15"/>
      <c r="J137" s="17" t="str">
        <f aca="false">IF(C137="","",(C137&gt;=Settings!$B$2)+(D137&gt;=Settings!$B$3)+(E137&gt;=Settings!$B$4)+(N(H137)&gt;=1))&amp;"/4"</f>
        <v>/4</v>
      </c>
      <c r="K137" s="14"/>
    </row>
    <row r="138" customFormat="false" ht="15" hidden="false" customHeight="false" outlineLevel="0" collapsed="false">
      <c r="A138" s="13"/>
      <c r="B138" s="14"/>
      <c r="C138" s="15"/>
      <c r="D138" s="15"/>
      <c r="E138" s="15"/>
      <c r="F138" s="15"/>
      <c r="G138" s="15"/>
      <c r="H138" s="16" t="str">
        <f aca="false">IF(OR(F138="",F138=0),IF(G138="","",1),MIN(1,G138/F138))</f>
        <v/>
      </c>
      <c r="I138" s="15"/>
      <c r="J138" s="17" t="str">
        <f aca="false">IF(C138="","",(C138&gt;=Settings!$B$2)+(D138&gt;=Settings!$B$3)+(E138&gt;=Settings!$B$4)+(N(H138)&gt;=1))&amp;"/4"</f>
        <v>/4</v>
      </c>
      <c r="K138" s="14"/>
    </row>
    <row r="139" customFormat="false" ht="15" hidden="false" customHeight="false" outlineLevel="0" collapsed="false">
      <c r="A139" s="13"/>
      <c r="B139" s="14"/>
      <c r="C139" s="15"/>
      <c r="D139" s="15"/>
      <c r="E139" s="15"/>
      <c r="F139" s="15"/>
      <c r="G139" s="15"/>
      <c r="H139" s="16" t="str">
        <f aca="false">IF(OR(F139="",F139=0),IF(G139="","",1),MIN(1,G139/F139))</f>
        <v/>
      </c>
      <c r="I139" s="15"/>
      <c r="J139" s="17" t="str">
        <f aca="false">IF(C139="","",(C139&gt;=Settings!$B$2)+(D139&gt;=Settings!$B$3)+(E139&gt;=Settings!$B$4)+(N(H139)&gt;=1))&amp;"/4"</f>
        <v>/4</v>
      </c>
      <c r="K139" s="14"/>
    </row>
    <row r="140" customFormat="false" ht="15" hidden="false" customHeight="false" outlineLevel="0" collapsed="false">
      <c r="A140" s="13"/>
      <c r="B140" s="14"/>
      <c r="C140" s="15"/>
      <c r="D140" s="15"/>
      <c r="E140" s="15"/>
      <c r="F140" s="15"/>
      <c r="G140" s="15"/>
      <c r="H140" s="16" t="str">
        <f aca="false">IF(OR(F140="",F140=0),IF(G140="","",1),MIN(1,G140/F140))</f>
        <v/>
      </c>
      <c r="I140" s="15"/>
      <c r="J140" s="17" t="str">
        <f aca="false">IF(C140="","",(C140&gt;=Settings!$B$2)+(D140&gt;=Settings!$B$3)+(E140&gt;=Settings!$B$4)+(N(H140)&gt;=1))&amp;"/4"</f>
        <v>/4</v>
      </c>
      <c r="K140" s="14"/>
    </row>
    <row r="141" customFormat="false" ht="15" hidden="false" customHeight="false" outlineLevel="0" collapsed="false">
      <c r="A141" s="13"/>
      <c r="B141" s="14"/>
      <c r="C141" s="15"/>
      <c r="D141" s="15"/>
      <c r="E141" s="15"/>
      <c r="F141" s="15"/>
      <c r="G141" s="15"/>
      <c r="H141" s="16" t="str">
        <f aca="false">IF(OR(F141="",F141=0),IF(G141="","",1),MIN(1,G141/F141))</f>
        <v/>
      </c>
      <c r="I141" s="15"/>
      <c r="J141" s="17" t="str">
        <f aca="false">IF(C141="","",(C141&gt;=Settings!$B$2)+(D141&gt;=Settings!$B$3)+(E141&gt;=Settings!$B$4)+(N(H141)&gt;=1))&amp;"/4"</f>
        <v>/4</v>
      </c>
      <c r="K141" s="14"/>
    </row>
    <row r="142" customFormat="false" ht="15" hidden="false" customHeight="false" outlineLevel="0" collapsed="false">
      <c r="A142" s="13"/>
      <c r="B142" s="14"/>
      <c r="C142" s="15"/>
      <c r="D142" s="15"/>
      <c r="E142" s="15"/>
      <c r="F142" s="15"/>
      <c r="G142" s="15"/>
      <c r="H142" s="16" t="str">
        <f aca="false">IF(OR(F142="",F142=0),IF(G142="","",1),MIN(1,G142/F142))</f>
        <v/>
      </c>
      <c r="I142" s="15"/>
      <c r="J142" s="17" t="str">
        <f aca="false">IF(C142="","",(C142&gt;=Settings!$B$2)+(D142&gt;=Settings!$B$3)+(E142&gt;=Settings!$B$4)+(N(H142)&gt;=1))&amp;"/4"</f>
        <v>/4</v>
      </c>
      <c r="K142" s="14"/>
    </row>
    <row r="143" customFormat="false" ht="15" hidden="false" customHeight="false" outlineLevel="0" collapsed="false">
      <c r="A143" s="13"/>
      <c r="B143" s="14"/>
      <c r="C143" s="15"/>
      <c r="D143" s="15"/>
      <c r="E143" s="15"/>
      <c r="F143" s="15"/>
      <c r="G143" s="15"/>
      <c r="H143" s="16" t="str">
        <f aca="false">IF(OR(F143="",F143=0),IF(G143="","",1),MIN(1,G143/F143))</f>
        <v/>
      </c>
      <c r="I143" s="15"/>
      <c r="J143" s="17" t="str">
        <f aca="false">IF(C143="","",(C143&gt;=Settings!$B$2)+(D143&gt;=Settings!$B$3)+(E143&gt;=Settings!$B$4)+(N(H143)&gt;=1))&amp;"/4"</f>
        <v>/4</v>
      </c>
      <c r="K143" s="14"/>
    </row>
    <row r="144" customFormat="false" ht="15" hidden="false" customHeight="false" outlineLevel="0" collapsed="false">
      <c r="A144" s="13"/>
      <c r="B144" s="14"/>
      <c r="C144" s="15"/>
      <c r="D144" s="15"/>
      <c r="E144" s="15"/>
      <c r="F144" s="15"/>
      <c r="G144" s="15"/>
      <c r="H144" s="16" t="str">
        <f aca="false">IF(OR(F144="",F144=0),IF(G144="","",1),MIN(1,G144/F144))</f>
        <v/>
      </c>
      <c r="I144" s="15"/>
      <c r="J144" s="17" t="str">
        <f aca="false">IF(C144="","",(C144&gt;=Settings!$B$2)+(D144&gt;=Settings!$B$3)+(E144&gt;=Settings!$B$4)+(N(H144)&gt;=1))&amp;"/4"</f>
        <v>/4</v>
      </c>
      <c r="K144" s="14"/>
    </row>
    <row r="145" customFormat="false" ht="15" hidden="false" customHeight="false" outlineLevel="0" collapsed="false">
      <c r="A145" s="13"/>
      <c r="B145" s="14"/>
      <c r="C145" s="15"/>
      <c r="D145" s="15"/>
      <c r="E145" s="15"/>
      <c r="F145" s="15"/>
      <c r="G145" s="15"/>
      <c r="H145" s="16" t="str">
        <f aca="false">IF(OR(F145="",F145=0),IF(G145="","",1),MIN(1,G145/F145))</f>
        <v/>
      </c>
      <c r="I145" s="15"/>
      <c r="J145" s="17" t="str">
        <f aca="false">IF(C145="","",(C145&gt;=Settings!$B$2)+(D145&gt;=Settings!$B$3)+(E145&gt;=Settings!$B$4)+(N(H145)&gt;=1))&amp;"/4"</f>
        <v>/4</v>
      </c>
      <c r="K145" s="14"/>
    </row>
    <row r="146" customFormat="false" ht="15" hidden="false" customHeight="false" outlineLevel="0" collapsed="false">
      <c r="A146" s="13"/>
      <c r="B146" s="14"/>
      <c r="C146" s="15"/>
      <c r="D146" s="15"/>
      <c r="E146" s="15"/>
      <c r="F146" s="15"/>
      <c r="G146" s="15"/>
      <c r="H146" s="16" t="str">
        <f aca="false">IF(OR(F146="",F146=0),IF(G146="","",1),MIN(1,G146/F146))</f>
        <v/>
      </c>
      <c r="I146" s="15"/>
      <c r="J146" s="17" t="str">
        <f aca="false">IF(C146="","",(C146&gt;=Settings!$B$2)+(D146&gt;=Settings!$B$3)+(E146&gt;=Settings!$B$4)+(N(H146)&gt;=1))&amp;"/4"</f>
        <v>/4</v>
      </c>
      <c r="K146" s="14"/>
    </row>
    <row r="147" customFormat="false" ht="15" hidden="false" customHeight="false" outlineLevel="0" collapsed="false">
      <c r="A147" s="13"/>
      <c r="B147" s="14"/>
      <c r="C147" s="15"/>
      <c r="D147" s="15"/>
      <c r="E147" s="15"/>
      <c r="F147" s="15"/>
      <c r="G147" s="15"/>
      <c r="H147" s="16" t="str">
        <f aca="false">IF(OR(F147="",F147=0),IF(G147="","",1),MIN(1,G147/F147))</f>
        <v/>
      </c>
      <c r="I147" s="15"/>
      <c r="J147" s="17" t="str">
        <f aca="false">IF(C147="","",(C147&gt;=Settings!$B$2)+(D147&gt;=Settings!$B$3)+(E147&gt;=Settings!$B$4)+(N(H147)&gt;=1))&amp;"/4"</f>
        <v>/4</v>
      </c>
      <c r="K147" s="14"/>
    </row>
    <row r="148" customFormat="false" ht="15" hidden="false" customHeight="false" outlineLevel="0" collapsed="false">
      <c r="A148" s="13"/>
      <c r="B148" s="14"/>
      <c r="C148" s="15"/>
      <c r="D148" s="15"/>
      <c r="E148" s="15"/>
      <c r="F148" s="15"/>
      <c r="G148" s="15"/>
      <c r="H148" s="16" t="str">
        <f aca="false">IF(OR(F148="",F148=0),IF(G148="","",1),MIN(1,G148/F148))</f>
        <v/>
      </c>
      <c r="I148" s="15"/>
      <c r="J148" s="17" t="str">
        <f aca="false">IF(C148="","",(C148&gt;=Settings!$B$2)+(D148&gt;=Settings!$B$3)+(E148&gt;=Settings!$B$4)+(N(H148)&gt;=1))&amp;"/4"</f>
        <v>/4</v>
      </c>
      <c r="K148" s="14"/>
    </row>
    <row r="149" customFormat="false" ht="15" hidden="false" customHeight="false" outlineLevel="0" collapsed="false">
      <c r="A149" s="13"/>
      <c r="B149" s="14"/>
      <c r="C149" s="15"/>
      <c r="D149" s="15"/>
      <c r="E149" s="15"/>
      <c r="F149" s="15"/>
      <c r="G149" s="15"/>
      <c r="H149" s="16" t="str">
        <f aca="false">IF(OR(F149="",F149=0),IF(G149="","",1),MIN(1,G149/F149))</f>
        <v/>
      </c>
      <c r="I149" s="15"/>
      <c r="J149" s="17" t="str">
        <f aca="false">IF(C149="","",(C149&gt;=Settings!$B$2)+(D149&gt;=Settings!$B$3)+(E149&gt;=Settings!$B$4)+(N(H149)&gt;=1))&amp;"/4"</f>
        <v>/4</v>
      </c>
      <c r="K149" s="14"/>
    </row>
    <row r="150" customFormat="false" ht="15" hidden="false" customHeight="false" outlineLevel="0" collapsed="false">
      <c r="A150" s="13"/>
      <c r="B150" s="14"/>
      <c r="C150" s="15"/>
      <c r="D150" s="15"/>
      <c r="E150" s="15"/>
      <c r="F150" s="15"/>
      <c r="G150" s="15"/>
      <c r="H150" s="16" t="str">
        <f aca="false">IF(OR(F150="",F150=0),IF(G150="","",1),MIN(1,G150/F150))</f>
        <v/>
      </c>
      <c r="I150" s="15"/>
      <c r="J150" s="17" t="str">
        <f aca="false">IF(C150="","",(C150&gt;=Settings!$B$2)+(D150&gt;=Settings!$B$3)+(E150&gt;=Settings!$B$4)+(N(H150)&gt;=1))&amp;"/4"</f>
        <v>/4</v>
      </c>
      <c r="K150" s="14"/>
    </row>
    <row r="151" customFormat="false" ht="15" hidden="false" customHeight="false" outlineLevel="0" collapsed="false">
      <c r="A151" s="13"/>
      <c r="B151" s="14"/>
      <c r="C151" s="15"/>
      <c r="D151" s="15"/>
      <c r="E151" s="15"/>
      <c r="F151" s="15"/>
      <c r="G151" s="15"/>
      <c r="H151" s="16" t="str">
        <f aca="false">IF(OR(F151="",F151=0),IF(G151="","",1),MIN(1,G151/F151))</f>
        <v/>
      </c>
      <c r="I151" s="15"/>
      <c r="J151" s="17" t="str">
        <f aca="false">IF(C151="","",(C151&gt;=Settings!$B$2)+(D151&gt;=Settings!$B$3)+(E151&gt;=Settings!$B$4)+(N(H151)&gt;=1))&amp;"/4"</f>
        <v>/4</v>
      </c>
      <c r="K151" s="14"/>
    </row>
    <row r="152" customFormat="false" ht="15" hidden="false" customHeight="false" outlineLevel="0" collapsed="false">
      <c r="A152" s="13"/>
      <c r="B152" s="14"/>
      <c r="C152" s="15"/>
      <c r="D152" s="15"/>
      <c r="E152" s="15"/>
      <c r="F152" s="15"/>
      <c r="G152" s="15"/>
      <c r="H152" s="16" t="str">
        <f aca="false">IF(OR(F152="",F152=0),IF(G152="","",1),MIN(1,G152/F152))</f>
        <v/>
      </c>
      <c r="I152" s="15"/>
      <c r="J152" s="17" t="str">
        <f aca="false">IF(C152="","",(C152&gt;=Settings!$B$2)+(D152&gt;=Settings!$B$3)+(E152&gt;=Settings!$B$4)+(N(H152)&gt;=1))&amp;"/4"</f>
        <v>/4</v>
      </c>
      <c r="K152" s="14"/>
    </row>
    <row r="153" customFormat="false" ht="15" hidden="false" customHeight="false" outlineLevel="0" collapsed="false">
      <c r="A153" s="13"/>
      <c r="B153" s="14"/>
      <c r="C153" s="15"/>
      <c r="D153" s="15"/>
      <c r="E153" s="15"/>
      <c r="F153" s="15"/>
      <c r="G153" s="15"/>
      <c r="H153" s="16" t="str">
        <f aca="false">IF(OR(F153="",F153=0),IF(G153="","",1),MIN(1,G153/F153))</f>
        <v/>
      </c>
      <c r="I153" s="15"/>
      <c r="J153" s="17" t="str">
        <f aca="false">IF(C153="","",(C153&gt;=Settings!$B$2)+(D153&gt;=Settings!$B$3)+(E153&gt;=Settings!$B$4)+(N(H153)&gt;=1))&amp;"/4"</f>
        <v>/4</v>
      </c>
      <c r="K153" s="14"/>
    </row>
    <row r="154" customFormat="false" ht="15" hidden="false" customHeight="false" outlineLevel="0" collapsed="false">
      <c r="A154" s="13"/>
      <c r="B154" s="14"/>
      <c r="C154" s="15"/>
      <c r="D154" s="15"/>
      <c r="E154" s="15"/>
      <c r="F154" s="15"/>
      <c r="G154" s="15"/>
      <c r="H154" s="16" t="str">
        <f aca="false">IF(OR(F154="",F154=0),IF(G154="","",1),MIN(1,G154/F154))</f>
        <v/>
      </c>
      <c r="I154" s="15"/>
      <c r="J154" s="17" t="str">
        <f aca="false">IF(C154="","",(C154&gt;=Settings!$B$2)+(D154&gt;=Settings!$B$3)+(E154&gt;=Settings!$B$4)+(N(H154)&gt;=1))&amp;"/4"</f>
        <v>/4</v>
      </c>
      <c r="K154" s="14"/>
    </row>
    <row r="155" customFormat="false" ht="15" hidden="false" customHeight="false" outlineLevel="0" collapsed="false">
      <c r="A155" s="13"/>
      <c r="B155" s="14"/>
      <c r="C155" s="15"/>
      <c r="D155" s="15"/>
      <c r="E155" s="15"/>
      <c r="F155" s="15"/>
      <c r="G155" s="15"/>
      <c r="H155" s="16" t="str">
        <f aca="false">IF(OR(F155="",F155=0),IF(G155="","",1),MIN(1,G155/F155))</f>
        <v/>
      </c>
      <c r="I155" s="15"/>
      <c r="J155" s="17" t="str">
        <f aca="false">IF(C155="","",(C155&gt;=Settings!$B$2)+(D155&gt;=Settings!$B$3)+(E155&gt;=Settings!$B$4)+(N(H155)&gt;=1))&amp;"/4"</f>
        <v>/4</v>
      </c>
      <c r="K155" s="14"/>
    </row>
    <row r="156" customFormat="false" ht="15" hidden="false" customHeight="false" outlineLevel="0" collapsed="false">
      <c r="A156" s="13"/>
      <c r="B156" s="14"/>
      <c r="C156" s="15"/>
      <c r="D156" s="15"/>
      <c r="E156" s="15"/>
      <c r="F156" s="15"/>
      <c r="G156" s="15"/>
      <c r="H156" s="16" t="str">
        <f aca="false">IF(OR(F156="",F156=0),IF(G156="","",1),MIN(1,G156/F156))</f>
        <v/>
      </c>
      <c r="I156" s="15"/>
      <c r="J156" s="17" t="str">
        <f aca="false">IF(C156="","",(C156&gt;=Settings!$B$2)+(D156&gt;=Settings!$B$3)+(E156&gt;=Settings!$B$4)+(N(H156)&gt;=1))&amp;"/4"</f>
        <v>/4</v>
      </c>
      <c r="K156" s="14"/>
    </row>
    <row r="157" customFormat="false" ht="15" hidden="false" customHeight="false" outlineLevel="0" collapsed="false">
      <c r="A157" s="13"/>
      <c r="B157" s="14"/>
      <c r="C157" s="15"/>
      <c r="D157" s="15"/>
      <c r="E157" s="15"/>
      <c r="F157" s="15"/>
      <c r="G157" s="15"/>
      <c r="H157" s="16" t="str">
        <f aca="false">IF(OR(F157="",F157=0),IF(G157="","",1),MIN(1,G157/F157))</f>
        <v/>
      </c>
      <c r="I157" s="15"/>
      <c r="J157" s="17" t="str">
        <f aca="false">IF(C157="","",(C157&gt;=Settings!$B$2)+(D157&gt;=Settings!$B$3)+(E157&gt;=Settings!$B$4)+(N(H157)&gt;=1))&amp;"/4"</f>
        <v>/4</v>
      </c>
      <c r="K157" s="14"/>
    </row>
    <row r="158" customFormat="false" ht="15" hidden="false" customHeight="false" outlineLevel="0" collapsed="false">
      <c r="A158" s="13"/>
      <c r="B158" s="14"/>
      <c r="C158" s="15"/>
      <c r="D158" s="15"/>
      <c r="E158" s="15"/>
      <c r="F158" s="15"/>
      <c r="G158" s="15"/>
      <c r="H158" s="16" t="str">
        <f aca="false">IF(OR(F158="",F158=0),IF(G158="","",1),MIN(1,G158/F158))</f>
        <v/>
      </c>
      <c r="I158" s="15"/>
      <c r="J158" s="17" t="str">
        <f aca="false">IF(C158="","",(C158&gt;=Settings!$B$2)+(D158&gt;=Settings!$B$3)+(E158&gt;=Settings!$B$4)+(N(H158)&gt;=1))&amp;"/4"</f>
        <v>/4</v>
      </c>
      <c r="K158" s="14"/>
    </row>
    <row r="159" customFormat="false" ht="15" hidden="false" customHeight="false" outlineLevel="0" collapsed="false">
      <c r="A159" s="13"/>
      <c r="B159" s="14"/>
      <c r="C159" s="15"/>
      <c r="D159" s="15"/>
      <c r="E159" s="15"/>
      <c r="F159" s="15"/>
      <c r="G159" s="15"/>
      <c r="H159" s="16" t="str">
        <f aca="false">IF(OR(F159="",F159=0),IF(G159="","",1),MIN(1,G159/F159))</f>
        <v/>
      </c>
      <c r="I159" s="15"/>
      <c r="J159" s="17" t="str">
        <f aca="false">IF(C159="","",(C159&gt;=Settings!$B$2)+(D159&gt;=Settings!$B$3)+(E159&gt;=Settings!$B$4)+(N(H159)&gt;=1))&amp;"/4"</f>
        <v>/4</v>
      </c>
      <c r="K159" s="14"/>
    </row>
    <row r="160" customFormat="false" ht="15" hidden="false" customHeight="false" outlineLevel="0" collapsed="false">
      <c r="A160" s="13"/>
      <c r="B160" s="14"/>
      <c r="C160" s="15"/>
      <c r="D160" s="15"/>
      <c r="E160" s="15"/>
      <c r="F160" s="15"/>
      <c r="G160" s="15"/>
      <c r="H160" s="16" t="str">
        <f aca="false">IF(OR(F160="",F160=0),IF(G160="","",1),MIN(1,G160/F160))</f>
        <v/>
      </c>
      <c r="I160" s="15"/>
      <c r="J160" s="17" t="str">
        <f aca="false">IF(C160="","",(C160&gt;=Settings!$B$2)+(D160&gt;=Settings!$B$3)+(E160&gt;=Settings!$B$4)+(N(H160)&gt;=1))&amp;"/4"</f>
        <v>/4</v>
      </c>
      <c r="K160" s="14"/>
    </row>
    <row r="161" customFormat="false" ht="15" hidden="false" customHeight="false" outlineLevel="0" collapsed="false">
      <c r="A161" s="13"/>
      <c r="B161" s="14"/>
      <c r="C161" s="15"/>
      <c r="D161" s="15"/>
      <c r="E161" s="15"/>
      <c r="F161" s="15"/>
      <c r="G161" s="15"/>
      <c r="H161" s="16" t="str">
        <f aca="false">IF(OR(F161="",F161=0),IF(G161="","",1),MIN(1,G161/F161))</f>
        <v/>
      </c>
      <c r="I161" s="15"/>
      <c r="J161" s="17" t="str">
        <f aca="false">IF(C161="","",(C161&gt;=Settings!$B$2)+(D161&gt;=Settings!$B$3)+(E161&gt;=Settings!$B$4)+(N(H161)&gt;=1))&amp;"/4"</f>
        <v>/4</v>
      </c>
      <c r="K161" s="14"/>
    </row>
    <row r="162" customFormat="false" ht="15" hidden="false" customHeight="false" outlineLevel="0" collapsed="false">
      <c r="A162" s="13"/>
      <c r="B162" s="14"/>
      <c r="C162" s="15"/>
      <c r="D162" s="15"/>
      <c r="E162" s="15"/>
      <c r="F162" s="15"/>
      <c r="G162" s="15"/>
      <c r="H162" s="16" t="str">
        <f aca="false">IF(OR(F162="",F162=0),IF(G162="","",1),MIN(1,G162/F162))</f>
        <v/>
      </c>
      <c r="I162" s="15"/>
      <c r="J162" s="17" t="str">
        <f aca="false">IF(C162="","",(C162&gt;=Settings!$B$2)+(D162&gt;=Settings!$B$3)+(E162&gt;=Settings!$B$4)+(N(H162)&gt;=1))&amp;"/4"</f>
        <v>/4</v>
      </c>
      <c r="K162" s="14"/>
    </row>
    <row r="163" customFormat="false" ht="15" hidden="false" customHeight="false" outlineLevel="0" collapsed="false">
      <c r="A163" s="13"/>
      <c r="B163" s="14"/>
      <c r="C163" s="15"/>
      <c r="D163" s="15"/>
      <c r="E163" s="15"/>
      <c r="F163" s="15"/>
      <c r="G163" s="15"/>
      <c r="H163" s="16" t="str">
        <f aca="false">IF(OR(F163="",F163=0),IF(G163="","",1),MIN(1,G163/F163))</f>
        <v/>
      </c>
      <c r="I163" s="15"/>
      <c r="J163" s="17" t="str">
        <f aca="false">IF(C163="","",(C163&gt;=Settings!$B$2)+(D163&gt;=Settings!$B$3)+(E163&gt;=Settings!$B$4)+(N(H163)&gt;=1))&amp;"/4"</f>
        <v>/4</v>
      </c>
      <c r="K163" s="14"/>
    </row>
    <row r="164" customFormat="false" ht="15" hidden="false" customHeight="false" outlineLevel="0" collapsed="false">
      <c r="A164" s="13"/>
      <c r="B164" s="14"/>
      <c r="C164" s="15"/>
      <c r="D164" s="15"/>
      <c r="E164" s="15"/>
      <c r="F164" s="15"/>
      <c r="G164" s="15"/>
      <c r="H164" s="16" t="str">
        <f aca="false">IF(OR(F164="",F164=0),IF(G164="","",1),MIN(1,G164/F164))</f>
        <v/>
      </c>
      <c r="I164" s="15"/>
      <c r="J164" s="17" t="str">
        <f aca="false">IF(C164="","",(C164&gt;=Settings!$B$2)+(D164&gt;=Settings!$B$3)+(E164&gt;=Settings!$B$4)+(N(H164)&gt;=1))&amp;"/4"</f>
        <v>/4</v>
      </c>
      <c r="K164" s="14"/>
    </row>
    <row r="165" customFormat="false" ht="15" hidden="false" customHeight="false" outlineLevel="0" collapsed="false">
      <c r="A165" s="13"/>
      <c r="B165" s="14"/>
      <c r="C165" s="15"/>
      <c r="D165" s="15"/>
      <c r="E165" s="15"/>
      <c r="F165" s="15"/>
      <c r="G165" s="15"/>
      <c r="H165" s="16" t="str">
        <f aca="false">IF(OR(F165="",F165=0),IF(G165="","",1),MIN(1,G165/F165))</f>
        <v/>
      </c>
      <c r="I165" s="15"/>
      <c r="J165" s="17" t="str">
        <f aca="false">IF(C165="","",(C165&gt;=Settings!$B$2)+(D165&gt;=Settings!$B$3)+(E165&gt;=Settings!$B$4)+(N(H165)&gt;=1))&amp;"/4"</f>
        <v>/4</v>
      </c>
      <c r="K165" s="14"/>
    </row>
    <row r="166" customFormat="false" ht="15" hidden="false" customHeight="false" outlineLevel="0" collapsed="false">
      <c r="A166" s="13"/>
      <c r="B166" s="14"/>
      <c r="C166" s="15"/>
      <c r="D166" s="15"/>
      <c r="E166" s="15"/>
      <c r="F166" s="15"/>
      <c r="G166" s="15"/>
      <c r="H166" s="16" t="str">
        <f aca="false">IF(OR(F166="",F166=0),IF(G166="","",1),MIN(1,G166/F166))</f>
        <v/>
      </c>
      <c r="I166" s="15"/>
      <c r="J166" s="17" t="str">
        <f aca="false">IF(C166="","",(C166&gt;=Settings!$B$2)+(D166&gt;=Settings!$B$3)+(E166&gt;=Settings!$B$4)+(N(H166)&gt;=1))&amp;"/4"</f>
        <v>/4</v>
      </c>
      <c r="K166" s="14"/>
    </row>
    <row r="167" customFormat="false" ht="15" hidden="false" customHeight="false" outlineLevel="0" collapsed="false">
      <c r="A167" s="13"/>
      <c r="B167" s="14"/>
      <c r="C167" s="15"/>
      <c r="D167" s="15"/>
      <c r="E167" s="15"/>
      <c r="F167" s="15"/>
      <c r="G167" s="15"/>
      <c r="H167" s="16" t="str">
        <f aca="false">IF(OR(F167="",F167=0),IF(G167="","",1),MIN(1,G167/F167))</f>
        <v/>
      </c>
      <c r="I167" s="15"/>
      <c r="J167" s="17" t="str">
        <f aca="false">IF(C167="","",(C167&gt;=Settings!$B$2)+(D167&gt;=Settings!$B$3)+(E167&gt;=Settings!$B$4)+(N(H167)&gt;=1))&amp;"/4"</f>
        <v>/4</v>
      </c>
      <c r="K167" s="14"/>
    </row>
    <row r="168" customFormat="false" ht="15" hidden="false" customHeight="false" outlineLevel="0" collapsed="false">
      <c r="A168" s="13"/>
      <c r="B168" s="14"/>
      <c r="C168" s="15"/>
      <c r="D168" s="15"/>
      <c r="E168" s="15"/>
      <c r="F168" s="15"/>
      <c r="G168" s="15"/>
      <c r="H168" s="16" t="str">
        <f aca="false">IF(OR(F168="",F168=0),IF(G168="","",1),MIN(1,G168/F168))</f>
        <v/>
      </c>
      <c r="I168" s="15"/>
      <c r="J168" s="17" t="str">
        <f aca="false">IF(C168="","",(C168&gt;=Settings!$B$2)+(D168&gt;=Settings!$B$3)+(E168&gt;=Settings!$B$4)+(N(H168)&gt;=1))&amp;"/4"</f>
        <v>/4</v>
      </c>
      <c r="K168" s="14"/>
    </row>
    <row r="169" customFormat="false" ht="15" hidden="false" customHeight="false" outlineLevel="0" collapsed="false">
      <c r="A169" s="13"/>
      <c r="B169" s="14"/>
      <c r="C169" s="15"/>
      <c r="D169" s="15"/>
      <c r="E169" s="15"/>
      <c r="F169" s="15"/>
      <c r="G169" s="15"/>
      <c r="H169" s="16" t="str">
        <f aca="false">IF(OR(F169="",F169=0),IF(G169="","",1),MIN(1,G169/F169))</f>
        <v/>
      </c>
      <c r="I169" s="15"/>
      <c r="J169" s="17" t="str">
        <f aca="false">IF(C169="","",(C169&gt;=Settings!$B$2)+(D169&gt;=Settings!$B$3)+(E169&gt;=Settings!$B$4)+(N(H169)&gt;=1))&amp;"/4"</f>
        <v>/4</v>
      </c>
      <c r="K169" s="14"/>
    </row>
    <row r="170" customFormat="false" ht="15" hidden="false" customHeight="false" outlineLevel="0" collapsed="false">
      <c r="A170" s="13"/>
      <c r="B170" s="14"/>
      <c r="C170" s="15"/>
      <c r="D170" s="15"/>
      <c r="E170" s="15"/>
      <c r="F170" s="15"/>
      <c r="G170" s="15"/>
      <c r="H170" s="16" t="str">
        <f aca="false">IF(OR(F170="",F170=0),IF(G170="","",1),MIN(1,G170/F170))</f>
        <v/>
      </c>
      <c r="I170" s="15"/>
      <c r="J170" s="17" t="str">
        <f aca="false">IF(C170="","",(C170&gt;=Settings!$B$2)+(D170&gt;=Settings!$B$3)+(E170&gt;=Settings!$B$4)+(N(H170)&gt;=1))&amp;"/4"</f>
        <v>/4</v>
      </c>
      <c r="K170" s="14"/>
    </row>
    <row r="171" customFormat="false" ht="15" hidden="false" customHeight="false" outlineLevel="0" collapsed="false">
      <c r="A171" s="13"/>
      <c r="B171" s="14"/>
      <c r="C171" s="15"/>
      <c r="D171" s="15"/>
      <c r="E171" s="15"/>
      <c r="F171" s="15"/>
      <c r="G171" s="15"/>
      <c r="H171" s="16" t="str">
        <f aca="false">IF(OR(F171="",F171=0),IF(G171="","",1),MIN(1,G171/F171))</f>
        <v/>
      </c>
      <c r="I171" s="15"/>
      <c r="J171" s="17" t="str">
        <f aca="false">IF(C171="","",(C171&gt;=Settings!$B$2)+(D171&gt;=Settings!$B$3)+(E171&gt;=Settings!$B$4)+(N(H171)&gt;=1))&amp;"/4"</f>
        <v>/4</v>
      </c>
      <c r="K171" s="14"/>
    </row>
    <row r="172" customFormat="false" ht="15" hidden="false" customHeight="false" outlineLevel="0" collapsed="false">
      <c r="A172" s="13"/>
      <c r="B172" s="14"/>
      <c r="C172" s="15"/>
      <c r="D172" s="15"/>
      <c r="E172" s="15"/>
      <c r="F172" s="15"/>
      <c r="G172" s="15"/>
      <c r="H172" s="16" t="str">
        <f aca="false">IF(OR(F172="",F172=0),IF(G172="","",1),MIN(1,G172/F172))</f>
        <v/>
      </c>
      <c r="I172" s="15"/>
      <c r="J172" s="17" t="str">
        <f aca="false">IF(C172="","",(C172&gt;=Settings!$B$2)+(D172&gt;=Settings!$B$3)+(E172&gt;=Settings!$B$4)+(N(H172)&gt;=1))&amp;"/4"</f>
        <v>/4</v>
      </c>
      <c r="K172" s="14"/>
    </row>
    <row r="173" customFormat="false" ht="15" hidden="false" customHeight="false" outlineLevel="0" collapsed="false">
      <c r="A173" s="13"/>
      <c r="B173" s="14"/>
      <c r="C173" s="15"/>
      <c r="D173" s="15"/>
      <c r="E173" s="15"/>
      <c r="F173" s="15"/>
      <c r="G173" s="15"/>
      <c r="H173" s="16" t="str">
        <f aca="false">IF(OR(F173="",F173=0),IF(G173="","",1),MIN(1,G173/F173))</f>
        <v/>
      </c>
      <c r="I173" s="15"/>
      <c r="J173" s="17" t="str">
        <f aca="false">IF(C173="","",(C173&gt;=Settings!$B$2)+(D173&gt;=Settings!$B$3)+(E173&gt;=Settings!$B$4)+(N(H173)&gt;=1))&amp;"/4"</f>
        <v>/4</v>
      </c>
      <c r="K173" s="14"/>
    </row>
    <row r="174" customFormat="false" ht="15" hidden="false" customHeight="false" outlineLevel="0" collapsed="false">
      <c r="A174" s="13"/>
      <c r="B174" s="14"/>
      <c r="C174" s="15"/>
      <c r="D174" s="15"/>
      <c r="E174" s="15"/>
      <c r="F174" s="15"/>
      <c r="G174" s="15"/>
      <c r="H174" s="16" t="str">
        <f aca="false">IF(OR(F174="",F174=0),IF(G174="","",1),MIN(1,G174/F174))</f>
        <v/>
      </c>
      <c r="I174" s="15"/>
      <c r="J174" s="17" t="str">
        <f aca="false">IF(C174="","",(C174&gt;=Settings!$B$2)+(D174&gt;=Settings!$B$3)+(E174&gt;=Settings!$B$4)+(N(H174)&gt;=1))&amp;"/4"</f>
        <v>/4</v>
      </c>
      <c r="K174" s="14"/>
    </row>
    <row r="175" customFormat="false" ht="15" hidden="false" customHeight="false" outlineLevel="0" collapsed="false">
      <c r="A175" s="13"/>
      <c r="B175" s="14"/>
      <c r="C175" s="15"/>
      <c r="D175" s="15"/>
      <c r="E175" s="15"/>
      <c r="F175" s="15"/>
      <c r="G175" s="15"/>
      <c r="H175" s="16" t="str">
        <f aca="false">IF(OR(F175="",F175=0),IF(G175="","",1),MIN(1,G175/F175))</f>
        <v/>
      </c>
      <c r="I175" s="15"/>
      <c r="J175" s="17" t="str">
        <f aca="false">IF(C175="","",(C175&gt;=Settings!$B$2)+(D175&gt;=Settings!$B$3)+(E175&gt;=Settings!$B$4)+(N(H175)&gt;=1))&amp;"/4"</f>
        <v>/4</v>
      </c>
      <c r="K175" s="14"/>
    </row>
    <row r="176" customFormat="false" ht="15" hidden="false" customHeight="false" outlineLevel="0" collapsed="false">
      <c r="A176" s="13"/>
      <c r="B176" s="14"/>
      <c r="C176" s="15"/>
      <c r="D176" s="15"/>
      <c r="E176" s="15"/>
      <c r="F176" s="15"/>
      <c r="G176" s="15"/>
      <c r="H176" s="16" t="str">
        <f aca="false">IF(OR(F176="",F176=0),IF(G176="","",1),MIN(1,G176/F176))</f>
        <v/>
      </c>
      <c r="I176" s="15"/>
      <c r="J176" s="17" t="str">
        <f aca="false">IF(C176="","",(C176&gt;=Settings!$B$2)+(D176&gt;=Settings!$B$3)+(E176&gt;=Settings!$B$4)+(N(H176)&gt;=1))&amp;"/4"</f>
        <v>/4</v>
      </c>
      <c r="K176" s="14"/>
    </row>
    <row r="177" customFormat="false" ht="15" hidden="false" customHeight="false" outlineLevel="0" collapsed="false">
      <c r="A177" s="13"/>
      <c r="B177" s="14"/>
      <c r="C177" s="15"/>
      <c r="D177" s="15"/>
      <c r="E177" s="15"/>
      <c r="F177" s="15"/>
      <c r="G177" s="15"/>
      <c r="H177" s="16" t="str">
        <f aca="false">IF(OR(F177="",F177=0),IF(G177="","",1),MIN(1,G177/F177))</f>
        <v/>
      </c>
      <c r="I177" s="15"/>
      <c r="J177" s="17" t="str">
        <f aca="false">IF(C177="","",(C177&gt;=Settings!$B$2)+(D177&gt;=Settings!$B$3)+(E177&gt;=Settings!$B$4)+(N(H177)&gt;=1))&amp;"/4"</f>
        <v>/4</v>
      </c>
      <c r="K177" s="14"/>
    </row>
    <row r="178" customFormat="false" ht="15" hidden="false" customHeight="false" outlineLevel="0" collapsed="false">
      <c r="A178" s="13"/>
      <c r="B178" s="14"/>
      <c r="C178" s="15"/>
      <c r="D178" s="15"/>
      <c r="E178" s="15"/>
      <c r="F178" s="15"/>
      <c r="G178" s="15"/>
      <c r="H178" s="16" t="str">
        <f aca="false">IF(OR(F178="",F178=0),IF(G178="","",1),MIN(1,G178/F178))</f>
        <v/>
      </c>
      <c r="I178" s="15"/>
      <c r="J178" s="17" t="str">
        <f aca="false">IF(C178="","",(C178&gt;=Settings!$B$2)+(D178&gt;=Settings!$B$3)+(E178&gt;=Settings!$B$4)+(N(H178)&gt;=1))&amp;"/4"</f>
        <v>/4</v>
      </c>
      <c r="K178" s="14"/>
    </row>
    <row r="179" customFormat="false" ht="15" hidden="false" customHeight="false" outlineLevel="0" collapsed="false">
      <c r="A179" s="13"/>
      <c r="B179" s="14"/>
      <c r="C179" s="15"/>
      <c r="D179" s="15"/>
      <c r="E179" s="15"/>
      <c r="F179" s="15"/>
      <c r="G179" s="15"/>
      <c r="H179" s="16" t="str">
        <f aca="false">IF(OR(F179="",F179=0),IF(G179="","",1),MIN(1,G179/F179))</f>
        <v/>
      </c>
      <c r="I179" s="15"/>
      <c r="J179" s="17" t="str">
        <f aca="false">IF(C179="","",(C179&gt;=Settings!$B$2)+(D179&gt;=Settings!$B$3)+(E179&gt;=Settings!$B$4)+(N(H179)&gt;=1))&amp;"/4"</f>
        <v>/4</v>
      </c>
      <c r="K179" s="14"/>
    </row>
    <row r="180" customFormat="false" ht="15" hidden="false" customHeight="false" outlineLevel="0" collapsed="false">
      <c r="A180" s="13"/>
      <c r="B180" s="14"/>
      <c r="C180" s="15"/>
      <c r="D180" s="15"/>
      <c r="E180" s="15"/>
      <c r="F180" s="15"/>
      <c r="G180" s="15"/>
      <c r="H180" s="16" t="str">
        <f aca="false">IF(OR(F180="",F180=0),IF(G180="","",1),MIN(1,G180/F180))</f>
        <v/>
      </c>
      <c r="I180" s="15"/>
      <c r="J180" s="17" t="str">
        <f aca="false">IF(C180="","",(C180&gt;=Settings!$B$2)+(D180&gt;=Settings!$B$3)+(E180&gt;=Settings!$B$4)+(N(H180)&gt;=1))&amp;"/4"</f>
        <v>/4</v>
      </c>
      <c r="K180" s="14"/>
    </row>
    <row r="181" customFormat="false" ht="15" hidden="false" customHeight="false" outlineLevel="0" collapsed="false">
      <c r="A181" s="13"/>
      <c r="B181" s="14"/>
      <c r="C181" s="15"/>
      <c r="D181" s="15"/>
      <c r="E181" s="15"/>
      <c r="F181" s="15"/>
      <c r="G181" s="15"/>
      <c r="H181" s="16" t="str">
        <f aca="false">IF(OR(F181="",F181=0),IF(G181="","",1),MIN(1,G181/F181))</f>
        <v/>
      </c>
      <c r="I181" s="15"/>
      <c r="J181" s="17" t="str">
        <f aca="false">IF(C181="","",(C181&gt;=Settings!$B$2)+(D181&gt;=Settings!$B$3)+(E181&gt;=Settings!$B$4)+(N(H181)&gt;=1))&amp;"/4"</f>
        <v>/4</v>
      </c>
      <c r="K181" s="14"/>
    </row>
    <row r="182" customFormat="false" ht="15" hidden="false" customHeight="false" outlineLevel="0" collapsed="false">
      <c r="A182" s="13"/>
      <c r="B182" s="14"/>
      <c r="C182" s="15"/>
      <c r="D182" s="15"/>
      <c r="E182" s="15"/>
      <c r="F182" s="15"/>
      <c r="G182" s="15"/>
      <c r="H182" s="16" t="str">
        <f aca="false">IF(OR(F182="",F182=0),IF(G182="","",1),MIN(1,G182/F182))</f>
        <v/>
      </c>
      <c r="I182" s="15"/>
      <c r="J182" s="17" t="str">
        <f aca="false">IF(C182="","",(C182&gt;=Settings!$B$2)+(D182&gt;=Settings!$B$3)+(E182&gt;=Settings!$B$4)+(N(H182)&gt;=1))&amp;"/4"</f>
        <v>/4</v>
      </c>
      <c r="K182" s="14"/>
    </row>
    <row r="183" customFormat="false" ht="15" hidden="false" customHeight="false" outlineLevel="0" collapsed="false">
      <c r="A183" s="13"/>
      <c r="B183" s="14"/>
      <c r="C183" s="15"/>
      <c r="D183" s="15"/>
      <c r="E183" s="15"/>
      <c r="F183" s="15"/>
      <c r="G183" s="15"/>
      <c r="H183" s="16" t="str">
        <f aca="false">IF(OR(F183="",F183=0),IF(G183="","",1),MIN(1,G183/F183))</f>
        <v/>
      </c>
      <c r="I183" s="15"/>
      <c r="J183" s="17" t="str">
        <f aca="false">IF(C183="","",(C183&gt;=Settings!$B$2)+(D183&gt;=Settings!$B$3)+(E183&gt;=Settings!$B$4)+(N(H183)&gt;=1))&amp;"/4"</f>
        <v>/4</v>
      </c>
      <c r="K183" s="14"/>
    </row>
    <row r="184" customFormat="false" ht="15" hidden="false" customHeight="false" outlineLevel="0" collapsed="false">
      <c r="A184" s="13"/>
      <c r="B184" s="14"/>
      <c r="C184" s="15"/>
      <c r="D184" s="15"/>
      <c r="E184" s="15"/>
      <c r="F184" s="15"/>
      <c r="G184" s="15"/>
      <c r="H184" s="16" t="str">
        <f aca="false">IF(OR(F184="",F184=0),IF(G184="","",1),MIN(1,G184/F184))</f>
        <v/>
      </c>
      <c r="I184" s="15"/>
      <c r="J184" s="17" t="str">
        <f aca="false">IF(C184="","",(C184&gt;=Settings!$B$2)+(D184&gt;=Settings!$B$3)+(E184&gt;=Settings!$B$4)+(N(H184)&gt;=1))&amp;"/4"</f>
        <v>/4</v>
      </c>
      <c r="K184" s="14"/>
    </row>
    <row r="185" customFormat="false" ht="15" hidden="false" customHeight="false" outlineLevel="0" collapsed="false">
      <c r="A185" s="13"/>
      <c r="B185" s="14"/>
      <c r="C185" s="15"/>
      <c r="D185" s="15"/>
      <c r="E185" s="15"/>
      <c r="F185" s="15"/>
      <c r="G185" s="15"/>
      <c r="H185" s="16" t="str">
        <f aca="false">IF(OR(F185="",F185=0),IF(G185="","",1),MIN(1,G185/F185))</f>
        <v/>
      </c>
      <c r="I185" s="15"/>
      <c r="J185" s="17" t="str">
        <f aca="false">IF(C185="","",(C185&gt;=Settings!$B$2)+(D185&gt;=Settings!$B$3)+(E185&gt;=Settings!$B$4)+(N(H185)&gt;=1))&amp;"/4"</f>
        <v>/4</v>
      </c>
      <c r="K185" s="14"/>
    </row>
    <row r="186" customFormat="false" ht="15" hidden="false" customHeight="false" outlineLevel="0" collapsed="false">
      <c r="A186" s="13"/>
      <c r="B186" s="14"/>
      <c r="C186" s="15"/>
      <c r="D186" s="15"/>
      <c r="E186" s="15"/>
      <c r="F186" s="15"/>
      <c r="G186" s="15"/>
      <c r="H186" s="16" t="str">
        <f aca="false">IF(OR(F186="",F186=0),IF(G186="","",1),MIN(1,G186/F186))</f>
        <v/>
      </c>
      <c r="I186" s="15"/>
      <c r="J186" s="17" t="str">
        <f aca="false">IF(C186="","",(C186&gt;=Settings!$B$2)+(D186&gt;=Settings!$B$3)+(E186&gt;=Settings!$B$4)+(N(H186)&gt;=1))&amp;"/4"</f>
        <v>/4</v>
      </c>
      <c r="K186" s="14"/>
    </row>
    <row r="187" customFormat="false" ht="15" hidden="false" customHeight="false" outlineLevel="0" collapsed="false">
      <c r="A187" s="13"/>
      <c r="B187" s="14"/>
      <c r="C187" s="15"/>
      <c r="D187" s="15"/>
      <c r="E187" s="15"/>
      <c r="F187" s="15"/>
      <c r="G187" s="15"/>
      <c r="H187" s="16" t="str">
        <f aca="false">IF(OR(F187="",F187=0),IF(G187="","",1),MIN(1,G187/F187))</f>
        <v/>
      </c>
      <c r="I187" s="15"/>
      <c r="J187" s="17" t="str">
        <f aca="false">IF(C187="","",(C187&gt;=Settings!$B$2)+(D187&gt;=Settings!$B$3)+(E187&gt;=Settings!$B$4)+(N(H187)&gt;=1))&amp;"/4"</f>
        <v>/4</v>
      </c>
      <c r="K187" s="14"/>
    </row>
    <row r="188" customFormat="false" ht="15" hidden="false" customHeight="false" outlineLevel="0" collapsed="false">
      <c r="A188" s="13"/>
      <c r="B188" s="14"/>
      <c r="C188" s="15"/>
      <c r="D188" s="15"/>
      <c r="E188" s="15"/>
      <c r="F188" s="15"/>
      <c r="G188" s="15"/>
      <c r="H188" s="16" t="str">
        <f aca="false">IF(OR(F188="",F188=0),IF(G188="","",1),MIN(1,G188/F188))</f>
        <v/>
      </c>
      <c r="I188" s="15"/>
      <c r="J188" s="17" t="str">
        <f aca="false">IF(C188="","",(C188&gt;=Settings!$B$2)+(D188&gt;=Settings!$B$3)+(E188&gt;=Settings!$B$4)+(N(H188)&gt;=1))&amp;"/4"</f>
        <v>/4</v>
      </c>
      <c r="K188" s="14"/>
    </row>
    <row r="189" customFormat="false" ht="15" hidden="false" customHeight="false" outlineLevel="0" collapsed="false">
      <c r="A189" s="13"/>
      <c r="B189" s="14"/>
      <c r="C189" s="15"/>
      <c r="D189" s="15"/>
      <c r="E189" s="15"/>
      <c r="F189" s="15"/>
      <c r="G189" s="15"/>
      <c r="H189" s="16" t="str">
        <f aca="false">IF(OR(F189="",F189=0),IF(G189="","",1),MIN(1,G189/F189))</f>
        <v/>
      </c>
      <c r="I189" s="15"/>
      <c r="J189" s="17" t="str">
        <f aca="false">IF(C189="","",(C189&gt;=Settings!$B$2)+(D189&gt;=Settings!$B$3)+(E189&gt;=Settings!$B$4)+(N(H189)&gt;=1))&amp;"/4"</f>
        <v>/4</v>
      </c>
      <c r="K189" s="14"/>
    </row>
    <row r="190" customFormat="false" ht="15" hidden="false" customHeight="false" outlineLevel="0" collapsed="false">
      <c r="A190" s="13"/>
      <c r="B190" s="14"/>
      <c r="C190" s="15"/>
      <c r="D190" s="15"/>
      <c r="E190" s="15"/>
      <c r="F190" s="15"/>
      <c r="G190" s="15"/>
      <c r="H190" s="16" t="str">
        <f aca="false">IF(OR(F190="",F190=0),IF(G190="","",1),MIN(1,G190/F190))</f>
        <v/>
      </c>
      <c r="I190" s="15"/>
      <c r="J190" s="17" t="str">
        <f aca="false">IF(C190="","",(C190&gt;=Settings!$B$2)+(D190&gt;=Settings!$B$3)+(E190&gt;=Settings!$B$4)+(N(H190)&gt;=1))&amp;"/4"</f>
        <v>/4</v>
      </c>
      <c r="K190" s="14"/>
    </row>
    <row r="191" customFormat="false" ht="15" hidden="false" customHeight="false" outlineLevel="0" collapsed="false">
      <c r="A191" s="13"/>
      <c r="B191" s="14"/>
      <c r="C191" s="15"/>
      <c r="D191" s="15"/>
      <c r="E191" s="15"/>
      <c r="F191" s="15"/>
      <c r="G191" s="15"/>
      <c r="H191" s="16" t="str">
        <f aca="false">IF(OR(F191="",F191=0),IF(G191="","",1),MIN(1,G191/F191))</f>
        <v/>
      </c>
      <c r="I191" s="15"/>
      <c r="J191" s="17" t="str">
        <f aca="false">IF(C191="","",(C191&gt;=Settings!$B$2)+(D191&gt;=Settings!$B$3)+(E191&gt;=Settings!$B$4)+(N(H191)&gt;=1))&amp;"/4"</f>
        <v>/4</v>
      </c>
      <c r="K191" s="14"/>
    </row>
    <row r="192" customFormat="false" ht="15" hidden="false" customHeight="false" outlineLevel="0" collapsed="false">
      <c r="A192" s="13"/>
      <c r="B192" s="14"/>
      <c r="C192" s="15"/>
      <c r="D192" s="15"/>
      <c r="E192" s="15"/>
      <c r="F192" s="15"/>
      <c r="G192" s="15"/>
      <c r="H192" s="16" t="str">
        <f aca="false">IF(OR(F192="",F192=0),IF(G192="","",1),MIN(1,G192/F192))</f>
        <v/>
      </c>
      <c r="I192" s="15"/>
      <c r="J192" s="17" t="str">
        <f aca="false">IF(C192="","",(C192&gt;=Settings!$B$2)+(D192&gt;=Settings!$B$3)+(E192&gt;=Settings!$B$4)+(N(H192)&gt;=1))&amp;"/4"</f>
        <v>/4</v>
      </c>
      <c r="K192" s="14"/>
    </row>
    <row r="193" customFormat="false" ht="15" hidden="false" customHeight="false" outlineLevel="0" collapsed="false">
      <c r="A193" s="13"/>
      <c r="B193" s="14"/>
      <c r="C193" s="15"/>
      <c r="D193" s="15"/>
      <c r="E193" s="15"/>
      <c r="F193" s="15"/>
      <c r="G193" s="15"/>
      <c r="H193" s="16" t="str">
        <f aca="false">IF(OR(F193="",F193=0),IF(G193="","",1),MIN(1,G193/F193))</f>
        <v/>
      </c>
      <c r="I193" s="15"/>
      <c r="J193" s="17" t="str">
        <f aca="false">IF(C193="","",(C193&gt;=Settings!$B$2)+(D193&gt;=Settings!$B$3)+(E193&gt;=Settings!$B$4)+(N(H193)&gt;=1))&amp;"/4"</f>
        <v>/4</v>
      </c>
      <c r="K193" s="14"/>
    </row>
    <row r="194" customFormat="false" ht="15" hidden="false" customHeight="false" outlineLevel="0" collapsed="false">
      <c r="A194" s="13"/>
      <c r="B194" s="14"/>
      <c r="C194" s="15"/>
      <c r="D194" s="15"/>
      <c r="E194" s="15"/>
      <c r="F194" s="15"/>
      <c r="G194" s="15"/>
      <c r="H194" s="16" t="str">
        <f aca="false">IF(OR(F194="",F194=0),IF(G194="","",1),MIN(1,G194/F194))</f>
        <v/>
      </c>
      <c r="I194" s="15"/>
      <c r="J194" s="17" t="str">
        <f aca="false">IF(C194="","",(C194&gt;=Settings!$B$2)+(D194&gt;=Settings!$B$3)+(E194&gt;=Settings!$B$4)+(N(H194)&gt;=1))&amp;"/4"</f>
        <v>/4</v>
      </c>
      <c r="K194" s="14"/>
    </row>
    <row r="195" customFormat="false" ht="15" hidden="false" customHeight="false" outlineLevel="0" collapsed="false">
      <c r="A195" s="13"/>
      <c r="B195" s="14"/>
      <c r="C195" s="15"/>
      <c r="D195" s="15"/>
      <c r="E195" s="15"/>
      <c r="F195" s="15"/>
      <c r="G195" s="15"/>
      <c r="H195" s="16" t="str">
        <f aca="false">IF(OR(F195="",F195=0),IF(G195="","",1),MIN(1,G195/F195))</f>
        <v/>
      </c>
      <c r="I195" s="15"/>
      <c r="J195" s="17" t="str">
        <f aca="false">IF(C195="","",(C195&gt;=Settings!$B$2)+(D195&gt;=Settings!$B$3)+(E195&gt;=Settings!$B$4)+(N(H195)&gt;=1))&amp;"/4"</f>
        <v>/4</v>
      </c>
      <c r="K195" s="14"/>
    </row>
    <row r="196" customFormat="false" ht="15" hidden="false" customHeight="false" outlineLevel="0" collapsed="false">
      <c r="A196" s="13"/>
      <c r="B196" s="14"/>
      <c r="C196" s="15"/>
      <c r="D196" s="15"/>
      <c r="E196" s="15"/>
      <c r="F196" s="15"/>
      <c r="G196" s="15"/>
      <c r="H196" s="16" t="str">
        <f aca="false">IF(OR(F196="",F196=0),IF(G196="","",1),MIN(1,G196/F196))</f>
        <v/>
      </c>
      <c r="I196" s="15"/>
      <c r="J196" s="17" t="str">
        <f aca="false">IF(C196="","",(C196&gt;=Settings!$B$2)+(D196&gt;=Settings!$B$3)+(E196&gt;=Settings!$B$4)+(N(H196)&gt;=1))&amp;"/4"</f>
        <v>/4</v>
      </c>
      <c r="K196" s="14"/>
    </row>
    <row r="197" customFormat="false" ht="15" hidden="false" customHeight="false" outlineLevel="0" collapsed="false">
      <c r="A197" s="13"/>
      <c r="B197" s="14"/>
      <c r="C197" s="15"/>
      <c r="D197" s="15"/>
      <c r="E197" s="15"/>
      <c r="F197" s="15"/>
      <c r="G197" s="15"/>
      <c r="H197" s="16" t="str">
        <f aca="false">IF(OR(F197="",F197=0),IF(G197="","",1),MIN(1,G197/F197))</f>
        <v/>
      </c>
      <c r="I197" s="15"/>
      <c r="J197" s="17" t="str">
        <f aca="false">IF(C197="","",(C197&gt;=Settings!$B$2)+(D197&gt;=Settings!$B$3)+(E197&gt;=Settings!$B$4)+(N(H197)&gt;=1))&amp;"/4"</f>
        <v>/4</v>
      </c>
      <c r="K197" s="14"/>
    </row>
    <row r="198" customFormat="false" ht="15" hidden="false" customHeight="false" outlineLevel="0" collapsed="false">
      <c r="A198" s="13"/>
      <c r="B198" s="14"/>
      <c r="C198" s="15"/>
      <c r="D198" s="15"/>
      <c r="E198" s="15"/>
      <c r="F198" s="15"/>
      <c r="G198" s="15"/>
      <c r="H198" s="16" t="str">
        <f aca="false">IF(OR(F198="",F198=0),IF(G198="","",1),MIN(1,G198/F198))</f>
        <v/>
      </c>
      <c r="I198" s="15"/>
      <c r="J198" s="17" t="str">
        <f aca="false">IF(C198="","",(C198&gt;=Settings!$B$2)+(D198&gt;=Settings!$B$3)+(E198&gt;=Settings!$B$4)+(N(H198)&gt;=1))&amp;"/4"</f>
        <v>/4</v>
      </c>
      <c r="K198" s="14"/>
    </row>
    <row r="199" customFormat="false" ht="15" hidden="false" customHeight="false" outlineLevel="0" collapsed="false">
      <c r="A199" s="13"/>
      <c r="B199" s="14"/>
      <c r="C199" s="15"/>
      <c r="D199" s="15"/>
      <c r="E199" s="15"/>
      <c r="F199" s="15"/>
      <c r="G199" s="15"/>
      <c r="H199" s="16" t="str">
        <f aca="false">IF(OR(F199="",F199=0),IF(G199="","",1),MIN(1,G199/F199))</f>
        <v/>
      </c>
      <c r="I199" s="15"/>
      <c r="J199" s="17" t="str">
        <f aca="false">IF(C199="","",(C199&gt;=Settings!$B$2)+(D199&gt;=Settings!$B$3)+(E199&gt;=Settings!$B$4)+(N(H199)&gt;=1))&amp;"/4"</f>
        <v>/4</v>
      </c>
      <c r="K199" s="14"/>
    </row>
    <row r="200" customFormat="false" ht="15" hidden="false" customHeight="false" outlineLevel="0" collapsed="false">
      <c r="A200" s="13"/>
      <c r="B200" s="14"/>
      <c r="C200" s="15"/>
      <c r="D200" s="15"/>
      <c r="E200" s="15"/>
      <c r="F200" s="15"/>
      <c r="G200" s="15"/>
      <c r="H200" s="16" t="str">
        <f aca="false">IF(OR(F200="",F200=0),IF(G200="","",1),MIN(1,G200/F200))</f>
        <v/>
      </c>
      <c r="I200" s="15"/>
      <c r="J200" s="17" t="str">
        <f aca="false">IF(C200="","",(C200&gt;=Settings!$B$2)+(D200&gt;=Settings!$B$3)+(E200&gt;=Settings!$B$4)+(N(H200)&gt;=1))&amp;"/4"</f>
        <v>/4</v>
      </c>
      <c r="K200" s="14"/>
    </row>
    <row r="201" customFormat="false" ht="15" hidden="false" customHeight="false" outlineLevel="0" collapsed="false">
      <c r="A201" s="13"/>
      <c r="B201" s="14"/>
      <c r="C201" s="15"/>
      <c r="D201" s="15"/>
      <c r="E201" s="15"/>
      <c r="F201" s="15"/>
      <c r="G201" s="15"/>
      <c r="H201" s="16" t="str">
        <f aca="false">IF(OR(F201="",F201=0),IF(G201="","",1),MIN(1,G201/F201))</f>
        <v/>
      </c>
      <c r="I201" s="15"/>
      <c r="J201" s="17" t="str">
        <f aca="false">IF(C201="","",(C201&gt;=Settings!$B$2)+(D201&gt;=Settings!$B$3)+(E201&gt;=Settings!$B$4)+(N(H201)&gt;=1))&amp;"/4"</f>
        <v>/4</v>
      </c>
      <c r="K201" s="14"/>
    </row>
    <row r="202" customFormat="false" ht="15" hidden="false" customHeight="false" outlineLevel="0" collapsed="false">
      <c r="A202" s="13"/>
      <c r="B202" s="14"/>
      <c r="C202" s="15"/>
      <c r="D202" s="15"/>
      <c r="E202" s="15"/>
      <c r="F202" s="15"/>
      <c r="G202" s="15"/>
      <c r="H202" s="16" t="str">
        <f aca="false">IF(OR(F202="",F202=0),IF(G202="","",1),MIN(1,G202/F202))</f>
        <v/>
      </c>
      <c r="I202" s="15"/>
      <c r="J202" s="17" t="str">
        <f aca="false">IF(C202="","",(C202&gt;=Settings!$B$2)+(D202&gt;=Settings!$B$3)+(E202&gt;=Settings!$B$4)+(N(H202)&gt;=1))&amp;"/4"</f>
        <v>/4</v>
      </c>
      <c r="K202" s="14"/>
    </row>
    <row r="203" customFormat="false" ht="15" hidden="false" customHeight="false" outlineLevel="0" collapsed="false">
      <c r="A203" s="13"/>
      <c r="B203" s="14"/>
      <c r="C203" s="15"/>
      <c r="D203" s="15"/>
      <c r="E203" s="15"/>
      <c r="F203" s="15"/>
      <c r="G203" s="15"/>
      <c r="H203" s="16" t="str">
        <f aca="false">IF(OR(F203="",F203=0),IF(G203="","",1),MIN(1,G203/F203))</f>
        <v/>
      </c>
      <c r="I203" s="15"/>
      <c r="J203" s="17" t="str">
        <f aca="false">IF(C203="","",(C203&gt;=Settings!$B$2)+(D203&gt;=Settings!$B$3)+(E203&gt;=Settings!$B$4)+(N(H203)&gt;=1))&amp;"/4"</f>
        <v>/4</v>
      </c>
      <c r="K203" s="14"/>
    </row>
    <row r="204" customFormat="false" ht="15" hidden="false" customHeight="false" outlineLevel="0" collapsed="false">
      <c r="A204" s="13"/>
      <c r="B204" s="14"/>
      <c r="C204" s="15"/>
      <c r="D204" s="15"/>
      <c r="E204" s="15"/>
      <c r="F204" s="15"/>
      <c r="G204" s="15"/>
      <c r="H204" s="16" t="str">
        <f aca="false">IF(OR(F204="",F204=0),IF(G204="","",1),MIN(1,G204/F204))</f>
        <v/>
      </c>
      <c r="I204" s="15"/>
      <c r="J204" s="17" t="str">
        <f aca="false">IF(C204="","",(C204&gt;=Settings!$B$2)+(D204&gt;=Settings!$B$3)+(E204&gt;=Settings!$B$4)+(N(H204)&gt;=1))&amp;"/4"</f>
        <v>/4</v>
      </c>
      <c r="K204" s="14"/>
    </row>
    <row r="205" customFormat="false" ht="15" hidden="false" customHeight="false" outlineLevel="0" collapsed="false">
      <c r="A205" s="13"/>
      <c r="B205" s="14"/>
      <c r="C205" s="15"/>
      <c r="D205" s="15"/>
      <c r="E205" s="15"/>
      <c r="F205" s="15"/>
      <c r="G205" s="15"/>
      <c r="H205" s="16" t="str">
        <f aca="false">IF(OR(F205="",F205=0),IF(G205="","",1),MIN(1,G205/F205))</f>
        <v/>
      </c>
      <c r="I205" s="15"/>
      <c r="J205" s="17" t="str">
        <f aca="false">IF(C205="","",(C205&gt;=Settings!$B$2)+(D205&gt;=Settings!$B$3)+(E205&gt;=Settings!$B$4)+(N(H205)&gt;=1))&amp;"/4"</f>
        <v>/4</v>
      </c>
      <c r="K205" s="14"/>
    </row>
    <row r="206" customFormat="false" ht="15" hidden="false" customHeight="false" outlineLevel="0" collapsed="false">
      <c r="A206" s="13"/>
      <c r="B206" s="14"/>
      <c r="C206" s="15"/>
      <c r="D206" s="15"/>
      <c r="E206" s="15"/>
      <c r="F206" s="15"/>
      <c r="G206" s="15"/>
      <c r="H206" s="16" t="str">
        <f aca="false">IF(OR(F206="",F206=0),IF(G206="","",1),MIN(1,G206/F206))</f>
        <v/>
      </c>
      <c r="I206" s="15"/>
      <c r="J206" s="17" t="str">
        <f aca="false">IF(C206="","",(C206&gt;=Settings!$B$2)+(D206&gt;=Settings!$B$3)+(E206&gt;=Settings!$B$4)+(N(H206)&gt;=1))&amp;"/4"</f>
        <v>/4</v>
      </c>
      <c r="K206" s="14"/>
    </row>
    <row r="207" customFormat="false" ht="15" hidden="false" customHeight="false" outlineLevel="0" collapsed="false">
      <c r="A207" s="13"/>
      <c r="B207" s="14"/>
      <c r="C207" s="15"/>
      <c r="D207" s="15"/>
      <c r="E207" s="15"/>
      <c r="F207" s="15"/>
      <c r="G207" s="15"/>
      <c r="H207" s="16" t="str">
        <f aca="false">IF(OR(F207="",F207=0),IF(G207="","",1),MIN(1,G207/F207))</f>
        <v/>
      </c>
      <c r="I207" s="15"/>
      <c r="J207" s="17" t="str">
        <f aca="false">IF(C207="","",(C207&gt;=Settings!$B$2)+(D207&gt;=Settings!$B$3)+(E207&gt;=Settings!$B$4)+(N(H207)&gt;=1))&amp;"/4"</f>
        <v>/4</v>
      </c>
      <c r="K207" s="14"/>
    </row>
    <row r="208" customFormat="false" ht="15" hidden="false" customHeight="false" outlineLevel="0" collapsed="false">
      <c r="A208" s="13"/>
      <c r="B208" s="14"/>
      <c r="C208" s="15"/>
      <c r="D208" s="15"/>
      <c r="E208" s="15"/>
      <c r="F208" s="15"/>
      <c r="G208" s="15"/>
      <c r="H208" s="16" t="str">
        <f aca="false">IF(OR(F208="",F208=0),IF(G208="","",1),MIN(1,G208/F208))</f>
        <v/>
      </c>
      <c r="I208" s="15"/>
      <c r="J208" s="17" t="str">
        <f aca="false">IF(C208="","",(C208&gt;=Settings!$B$2)+(D208&gt;=Settings!$B$3)+(E208&gt;=Settings!$B$4)+(N(H208)&gt;=1))&amp;"/4"</f>
        <v>/4</v>
      </c>
      <c r="K208" s="14"/>
    </row>
    <row r="209" customFormat="false" ht="15" hidden="false" customHeight="false" outlineLevel="0" collapsed="false">
      <c r="A209" s="13"/>
      <c r="B209" s="14"/>
      <c r="C209" s="15"/>
      <c r="D209" s="15"/>
      <c r="E209" s="15"/>
      <c r="F209" s="15"/>
      <c r="G209" s="15"/>
      <c r="H209" s="16" t="str">
        <f aca="false">IF(OR(F209="",F209=0),IF(G209="","",1),MIN(1,G209/F209))</f>
        <v/>
      </c>
      <c r="I209" s="15"/>
      <c r="J209" s="17" t="str">
        <f aca="false">IF(C209="","",(C209&gt;=Settings!$B$2)+(D209&gt;=Settings!$B$3)+(E209&gt;=Settings!$B$4)+(N(H209)&gt;=1))&amp;"/4"</f>
        <v>/4</v>
      </c>
      <c r="K209" s="14"/>
    </row>
    <row r="210" customFormat="false" ht="15" hidden="false" customHeight="false" outlineLevel="0" collapsed="false">
      <c r="A210" s="13"/>
      <c r="B210" s="14"/>
      <c r="C210" s="15"/>
      <c r="D210" s="15"/>
      <c r="E210" s="15"/>
      <c r="F210" s="15"/>
      <c r="G210" s="15"/>
      <c r="H210" s="16" t="str">
        <f aca="false">IF(OR(F210="",F210=0),IF(G210="","",1),MIN(1,G210/F210))</f>
        <v/>
      </c>
      <c r="I210" s="15"/>
      <c r="J210" s="17" t="str">
        <f aca="false">IF(C210="","",(C210&gt;=Settings!$B$2)+(D210&gt;=Settings!$B$3)+(E210&gt;=Settings!$B$4)+(N(H210)&gt;=1))&amp;"/4"</f>
        <v>/4</v>
      </c>
      <c r="K210" s="14"/>
    </row>
    <row r="211" customFormat="false" ht="15" hidden="false" customHeight="false" outlineLevel="0" collapsed="false">
      <c r="A211" s="13"/>
      <c r="B211" s="14"/>
      <c r="C211" s="15"/>
      <c r="D211" s="15"/>
      <c r="E211" s="15"/>
      <c r="F211" s="15"/>
      <c r="G211" s="15"/>
      <c r="H211" s="16" t="str">
        <f aca="false">IF(OR(F211="",F211=0),IF(G211="","",1),MIN(1,G211/F211))</f>
        <v/>
      </c>
      <c r="I211" s="15"/>
      <c r="J211" s="17" t="str">
        <f aca="false">IF(C211="","",(C211&gt;=Settings!$B$2)+(D211&gt;=Settings!$B$3)+(E211&gt;=Settings!$B$4)+(N(H211)&gt;=1))&amp;"/4"</f>
        <v>/4</v>
      </c>
      <c r="K211" s="14"/>
    </row>
    <row r="212" customFormat="false" ht="15" hidden="false" customHeight="false" outlineLevel="0" collapsed="false">
      <c r="A212" s="13"/>
      <c r="B212" s="14"/>
      <c r="C212" s="15"/>
      <c r="D212" s="15"/>
      <c r="E212" s="15"/>
      <c r="F212" s="15"/>
      <c r="G212" s="15"/>
      <c r="H212" s="16" t="str">
        <f aca="false">IF(OR(F212="",F212=0),IF(G212="","",1),MIN(1,G212/F212))</f>
        <v/>
      </c>
      <c r="I212" s="15"/>
      <c r="J212" s="17" t="str">
        <f aca="false">IF(C212="","",(C212&gt;=Settings!$B$2)+(D212&gt;=Settings!$B$3)+(E212&gt;=Settings!$B$4)+(N(H212)&gt;=1))&amp;"/4"</f>
        <v>/4</v>
      </c>
      <c r="K212" s="14"/>
    </row>
    <row r="213" customFormat="false" ht="15" hidden="false" customHeight="false" outlineLevel="0" collapsed="false">
      <c r="A213" s="13"/>
      <c r="B213" s="14"/>
      <c r="C213" s="15"/>
      <c r="D213" s="15"/>
      <c r="E213" s="15"/>
      <c r="F213" s="15"/>
      <c r="G213" s="15"/>
      <c r="H213" s="16" t="str">
        <f aca="false">IF(OR(F213="",F213=0),IF(G213="","",1),MIN(1,G213/F213))</f>
        <v/>
      </c>
      <c r="I213" s="15"/>
      <c r="J213" s="17" t="str">
        <f aca="false">IF(C213="","",(C213&gt;=Settings!$B$2)+(D213&gt;=Settings!$B$3)+(E213&gt;=Settings!$B$4)+(N(H213)&gt;=1))&amp;"/4"</f>
        <v>/4</v>
      </c>
      <c r="K213" s="14"/>
    </row>
    <row r="214" customFormat="false" ht="15" hidden="false" customHeight="false" outlineLevel="0" collapsed="false">
      <c r="A214" s="13"/>
      <c r="B214" s="14"/>
      <c r="C214" s="15"/>
      <c r="D214" s="15"/>
      <c r="E214" s="15"/>
      <c r="F214" s="15"/>
      <c r="G214" s="15"/>
      <c r="H214" s="16" t="str">
        <f aca="false">IF(OR(F214="",F214=0),IF(G214="","",1),MIN(1,G214/F214))</f>
        <v/>
      </c>
      <c r="I214" s="15"/>
      <c r="J214" s="17" t="str">
        <f aca="false">IF(C214="","",(C214&gt;=Settings!$B$2)+(D214&gt;=Settings!$B$3)+(E214&gt;=Settings!$B$4)+(N(H214)&gt;=1))&amp;"/4"</f>
        <v>/4</v>
      </c>
      <c r="K214" s="14"/>
    </row>
    <row r="215" customFormat="false" ht="15" hidden="false" customHeight="false" outlineLevel="0" collapsed="false">
      <c r="A215" s="13"/>
      <c r="B215" s="14"/>
      <c r="C215" s="15"/>
      <c r="D215" s="15"/>
      <c r="E215" s="15"/>
      <c r="F215" s="15"/>
      <c r="G215" s="15"/>
      <c r="H215" s="16" t="str">
        <f aca="false">IF(OR(F215="",F215=0),IF(G215="","",1),MIN(1,G215/F215))</f>
        <v/>
      </c>
      <c r="I215" s="15"/>
      <c r="J215" s="17" t="str">
        <f aca="false">IF(C215="","",(C215&gt;=Settings!$B$2)+(D215&gt;=Settings!$B$3)+(E215&gt;=Settings!$B$4)+(N(H215)&gt;=1))&amp;"/4"</f>
        <v>/4</v>
      </c>
      <c r="K215" s="14"/>
    </row>
    <row r="216" customFormat="false" ht="15" hidden="false" customHeight="false" outlineLevel="0" collapsed="false">
      <c r="A216" s="13"/>
      <c r="B216" s="14"/>
      <c r="C216" s="15"/>
      <c r="D216" s="15"/>
      <c r="E216" s="15"/>
      <c r="F216" s="15"/>
      <c r="G216" s="15"/>
      <c r="H216" s="16" t="str">
        <f aca="false">IF(OR(F216="",F216=0),IF(G216="","",1),MIN(1,G216/F216))</f>
        <v/>
      </c>
      <c r="I216" s="15"/>
      <c r="J216" s="17" t="str">
        <f aca="false">IF(C216="","",(C216&gt;=Settings!$B$2)+(D216&gt;=Settings!$B$3)+(E216&gt;=Settings!$B$4)+(N(H216)&gt;=1))&amp;"/4"</f>
        <v>/4</v>
      </c>
      <c r="K216" s="14"/>
    </row>
    <row r="217" customFormat="false" ht="15" hidden="false" customHeight="false" outlineLevel="0" collapsed="false">
      <c r="A217" s="13"/>
      <c r="B217" s="14"/>
      <c r="C217" s="15"/>
      <c r="D217" s="15"/>
      <c r="E217" s="15"/>
      <c r="F217" s="15"/>
      <c r="G217" s="15"/>
      <c r="H217" s="16" t="str">
        <f aca="false">IF(OR(F217="",F217=0),IF(G217="","",1),MIN(1,G217/F217))</f>
        <v/>
      </c>
      <c r="I217" s="15"/>
      <c r="J217" s="17" t="str">
        <f aca="false">IF(C217="","",(C217&gt;=Settings!$B$2)+(D217&gt;=Settings!$B$3)+(E217&gt;=Settings!$B$4)+(N(H217)&gt;=1))&amp;"/4"</f>
        <v>/4</v>
      </c>
      <c r="K217" s="14"/>
    </row>
    <row r="218" customFormat="false" ht="15" hidden="false" customHeight="false" outlineLevel="0" collapsed="false">
      <c r="A218" s="13"/>
      <c r="B218" s="14"/>
      <c r="C218" s="15"/>
      <c r="D218" s="15"/>
      <c r="E218" s="15"/>
      <c r="F218" s="15"/>
      <c r="G218" s="15"/>
      <c r="H218" s="16" t="str">
        <f aca="false">IF(OR(F218="",F218=0),IF(G218="","",1),MIN(1,G218/F218))</f>
        <v/>
      </c>
      <c r="I218" s="15"/>
      <c r="J218" s="17" t="str">
        <f aca="false">IF(C218="","",(C218&gt;=Settings!$B$2)+(D218&gt;=Settings!$B$3)+(E218&gt;=Settings!$B$4)+(N(H218)&gt;=1))&amp;"/4"</f>
        <v>/4</v>
      </c>
      <c r="K218" s="14"/>
    </row>
    <row r="219" customFormat="false" ht="15" hidden="false" customHeight="false" outlineLevel="0" collapsed="false">
      <c r="A219" s="13"/>
      <c r="B219" s="14"/>
      <c r="C219" s="15"/>
      <c r="D219" s="15"/>
      <c r="E219" s="15"/>
      <c r="F219" s="15"/>
      <c r="G219" s="15"/>
      <c r="H219" s="16" t="str">
        <f aca="false">IF(OR(F219="",F219=0),IF(G219="","",1),MIN(1,G219/F219))</f>
        <v/>
      </c>
      <c r="I219" s="15"/>
      <c r="J219" s="17" t="str">
        <f aca="false">IF(C219="","",(C219&gt;=Settings!$B$2)+(D219&gt;=Settings!$B$3)+(E219&gt;=Settings!$B$4)+(N(H219)&gt;=1))&amp;"/4"</f>
        <v>/4</v>
      </c>
      <c r="K219" s="14"/>
    </row>
    <row r="220" customFormat="false" ht="15" hidden="false" customHeight="false" outlineLevel="0" collapsed="false">
      <c r="A220" s="13"/>
      <c r="B220" s="14"/>
      <c r="C220" s="15"/>
      <c r="D220" s="15"/>
      <c r="E220" s="15"/>
      <c r="F220" s="15"/>
      <c r="G220" s="15"/>
      <c r="H220" s="16" t="str">
        <f aca="false">IF(OR(F220="",F220=0),IF(G220="","",1),MIN(1,G220/F220))</f>
        <v/>
      </c>
      <c r="I220" s="15"/>
      <c r="J220" s="17" t="str">
        <f aca="false">IF(C220="","",(C220&gt;=Settings!$B$2)+(D220&gt;=Settings!$B$3)+(E220&gt;=Settings!$B$4)+(N(H220)&gt;=1))&amp;"/4"</f>
        <v>/4</v>
      </c>
      <c r="K220" s="14"/>
    </row>
    <row r="221" customFormat="false" ht="15" hidden="false" customHeight="false" outlineLevel="0" collapsed="false">
      <c r="A221" s="13"/>
      <c r="B221" s="14"/>
      <c r="C221" s="15"/>
      <c r="D221" s="15"/>
      <c r="E221" s="15"/>
      <c r="F221" s="15"/>
      <c r="G221" s="15"/>
      <c r="H221" s="16" t="str">
        <f aca="false">IF(OR(F221="",F221=0),IF(G221="","",1),MIN(1,G221/F221))</f>
        <v/>
      </c>
      <c r="I221" s="15"/>
      <c r="J221" s="17" t="str">
        <f aca="false">IF(C221="","",(C221&gt;=Settings!$B$2)+(D221&gt;=Settings!$B$3)+(E221&gt;=Settings!$B$4)+(N(H221)&gt;=1))&amp;"/4"</f>
        <v>/4</v>
      </c>
      <c r="K221" s="14"/>
    </row>
    <row r="222" customFormat="false" ht="15" hidden="false" customHeight="false" outlineLevel="0" collapsed="false">
      <c r="A222" s="13"/>
      <c r="B222" s="14"/>
      <c r="C222" s="15"/>
      <c r="D222" s="15"/>
      <c r="E222" s="15"/>
      <c r="F222" s="15"/>
      <c r="G222" s="15"/>
      <c r="H222" s="16" t="str">
        <f aca="false">IF(OR(F222="",F222=0),IF(G222="","",1),MIN(1,G222/F222))</f>
        <v/>
      </c>
      <c r="I222" s="15"/>
      <c r="J222" s="17" t="str">
        <f aca="false">IF(C222="","",(C222&gt;=Settings!$B$2)+(D222&gt;=Settings!$B$3)+(E222&gt;=Settings!$B$4)+(N(H222)&gt;=1))&amp;"/4"</f>
        <v>/4</v>
      </c>
      <c r="K222" s="14"/>
    </row>
    <row r="223" customFormat="false" ht="15" hidden="false" customHeight="false" outlineLevel="0" collapsed="false">
      <c r="A223" s="13"/>
      <c r="B223" s="14"/>
      <c r="C223" s="15"/>
      <c r="D223" s="15"/>
      <c r="E223" s="15"/>
      <c r="F223" s="15"/>
      <c r="G223" s="15"/>
      <c r="H223" s="16" t="str">
        <f aca="false">IF(OR(F223="",F223=0),IF(G223="","",1),MIN(1,G223/F223))</f>
        <v/>
      </c>
      <c r="I223" s="15"/>
      <c r="J223" s="17" t="str">
        <f aca="false">IF(C223="","",(C223&gt;=Settings!$B$2)+(D223&gt;=Settings!$B$3)+(E223&gt;=Settings!$B$4)+(N(H223)&gt;=1))&amp;"/4"</f>
        <v>/4</v>
      </c>
      <c r="K223" s="14"/>
    </row>
    <row r="224" customFormat="false" ht="15" hidden="false" customHeight="false" outlineLevel="0" collapsed="false">
      <c r="A224" s="13"/>
      <c r="B224" s="14"/>
      <c r="C224" s="15"/>
      <c r="D224" s="15"/>
      <c r="E224" s="15"/>
      <c r="F224" s="15"/>
      <c r="G224" s="15"/>
      <c r="H224" s="16" t="str">
        <f aca="false">IF(OR(F224="",F224=0),IF(G224="","",1),MIN(1,G224/F224))</f>
        <v/>
      </c>
      <c r="I224" s="15"/>
      <c r="J224" s="17" t="str">
        <f aca="false">IF(C224="","",(C224&gt;=Settings!$B$2)+(D224&gt;=Settings!$B$3)+(E224&gt;=Settings!$B$4)+(N(H224)&gt;=1))&amp;"/4"</f>
        <v>/4</v>
      </c>
      <c r="K224" s="14"/>
    </row>
    <row r="225" customFormat="false" ht="15" hidden="false" customHeight="false" outlineLevel="0" collapsed="false">
      <c r="A225" s="13"/>
      <c r="B225" s="14"/>
      <c r="C225" s="15"/>
      <c r="D225" s="15"/>
      <c r="E225" s="15"/>
      <c r="F225" s="15"/>
      <c r="G225" s="15"/>
      <c r="H225" s="16" t="str">
        <f aca="false">IF(OR(F225="",F225=0),IF(G225="","",1),MIN(1,G225/F225))</f>
        <v/>
      </c>
      <c r="I225" s="15"/>
      <c r="J225" s="17" t="str">
        <f aca="false">IF(C225="","",(C225&gt;=Settings!$B$2)+(D225&gt;=Settings!$B$3)+(E225&gt;=Settings!$B$4)+(N(H225)&gt;=1))&amp;"/4"</f>
        <v>/4</v>
      </c>
      <c r="K225" s="14"/>
    </row>
    <row r="226" customFormat="false" ht="15" hidden="false" customHeight="false" outlineLevel="0" collapsed="false">
      <c r="A226" s="13"/>
      <c r="B226" s="14"/>
      <c r="C226" s="15"/>
      <c r="D226" s="15"/>
      <c r="E226" s="15"/>
      <c r="F226" s="15"/>
      <c r="G226" s="15"/>
      <c r="H226" s="16" t="str">
        <f aca="false">IF(OR(F226="",F226=0),IF(G226="","",1),MIN(1,G226/F226))</f>
        <v/>
      </c>
      <c r="I226" s="15"/>
      <c r="J226" s="17" t="str">
        <f aca="false">IF(C226="","",(C226&gt;=Settings!$B$2)+(D226&gt;=Settings!$B$3)+(E226&gt;=Settings!$B$4)+(N(H226)&gt;=1))&amp;"/4"</f>
        <v>/4</v>
      </c>
      <c r="K226" s="14"/>
    </row>
    <row r="227" customFormat="false" ht="15" hidden="false" customHeight="false" outlineLevel="0" collapsed="false">
      <c r="A227" s="13"/>
      <c r="B227" s="14"/>
      <c r="C227" s="15"/>
      <c r="D227" s="15"/>
      <c r="E227" s="15"/>
      <c r="F227" s="15"/>
      <c r="G227" s="15"/>
      <c r="H227" s="16" t="str">
        <f aca="false">IF(OR(F227="",F227=0),IF(G227="","",1),MIN(1,G227/F227))</f>
        <v/>
      </c>
      <c r="I227" s="15"/>
      <c r="J227" s="17" t="str">
        <f aca="false">IF(C227="","",(C227&gt;=Settings!$B$2)+(D227&gt;=Settings!$B$3)+(E227&gt;=Settings!$B$4)+(N(H227)&gt;=1))&amp;"/4"</f>
        <v>/4</v>
      </c>
      <c r="K227" s="14"/>
    </row>
    <row r="228" customFormat="false" ht="15" hidden="false" customHeight="false" outlineLevel="0" collapsed="false">
      <c r="A228" s="13"/>
      <c r="B228" s="14"/>
      <c r="C228" s="15"/>
      <c r="D228" s="15"/>
      <c r="E228" s="15"/>
      <c r="F228" s="15"/>
      <c r="G228" s="15"/>
      <c r="H228" s="16" t="str">
        <f aca="false">IF(OR(F228="",F228=0),IF(G228="","",1),MIN(1,G228/F228))</f>
        <v/>
      </c>
      <c r="I228" s="15"/>
      <c r="J228" s="17" t="str">
        <f aca="false">IF(C228="","",(C228&gt;=Settings!$B$2)+(D228&gt;=Settings!$B$3)+(E228&gt;=Settings!$B$4)+(N(H228)&gt;=1))&amp;"/4"</f>
        <v>/4</v>
      </c>
      <c r="K228" s="14"/>
    </row>
    <row r="229" customFormat="false" ht="15" hidden="false" customHeight="false" outlineLevel="0" collapsed="false">
      <c r="A229" s="13"/>
      <c r="B229" s="14"/>
      <c r="C229" s="15"/>
      <c r="D229" s="15"/>
      <c r="E229" s="15"/>
      <c r="F229" s="15"/>
      <c r="G229" s="15"/>
      <c r="H229" s="16" t="str">
        <f aca="false">IF(OR(F229="",F229=0),IF(G229="","",1),MIN(1,G229/F229))</f>
        <v/>
      </c>
      <c r="I229" s="15"/>
      <c r="J229" s="17" t="str">
        <f aca="false">IF(C229="","",(C229&gt;=Settings!$B$2)+(D229&gt;=Settings!$B$3)+(E229&gt;=Settings!$B$4)+(N(H229)&gt;=1))&amp;"/4"</f>
        <v>/4</v>
      </c>
      <c r="K229" s="14"/>
    </row>
    <row r="230" customFormat="false" ht="15" hidden="false" customHeight="false" outlineLevel="0" collapsed="false">
      <c r="A230" s="13"/>
      <c r="B230" s="14"/>
      <c r="C230" s="15"/>
      <c r="D230" s="15"/>
      <c r="E230" s="15"/>
      <c r="F230" s="15"/>
      <c r="G230" s="15"/>
      <c r="H230" s="16" t="str">
        <f aca="false">IF(OR(F230="",F230=0),IF(G230="","",1),MIN(1,G230/F230))</f>
        <v/>
      </c>
      <c r="I230" s="15"/>
      <c r="J230" s="17" t="str">
        <f aca="false">IF(C230="","",(C230&gt;=Settings!$B$2)+(D230&gt;=Settings!$B$3)+(E230&gt;=Settings!$B$4)+(N(H230)&gt;=1))&amp;"/4"</f>
        <v>/4</v>
      </c>
      <c r="K230" s="14"/>
    </row>
    <row r="231" customFormat="false" ht="15" hidden="false" customHeight="false" outlineLevel="0" collapsed="false">
      <c r="A231" s="13"/>
      <c r="B231" s="14"/>
      <c r="C231" s="15"/>
      <c r="D231" s="15"/>
      <c r="E231" s="15"/>
      <c r="F231" s="15"/>
      <c r="G231" s="15"/>
      <c r="H231" s="16" t="str">
        <f aca="false">IF(OR(F231="",F231=0),IF(G231="","",1),MIN(1,G231/F231))</f>
        <v/>
      </c>
      <c r="I231" s="15"/>
      <c r="J231" s="17" t="str">
        <f aca="false">IF(C231="","",(C231&gt;=Settings!$B$2)+(D231&gt;=Settings!$B$3)+(E231&gt;=Settings!$B$4)+(N(H231)&gt;=1))&amp;"/4"</f>
        <v>/4</v>
      </c>
      <c r="K231" s="14"/>
    </row>
    <row r="232" customFormat="false" ht="15" hidden="false" customHeight="false" outlineLevel="0" collapsed="false">
      <c r="A232" s="13"/>
      <c r="B232" s="14"/>
      <c r="C232" s="15"/>
      <c r="D232" s="15"/>
      <c r="E232" s="15"/>
      <c r="F232" s="15"/>
      <c r="G232" s="15"/>
      <c r="H232" s="16" t="str">
        <f aca="false">IF(OR(F232="",F232=0),IF(G232="","",1),MIN(1,G232/F232))</f>
        <v/>
      </c>
      <c r="I232" s="15"/>
      <c r="J232" s="17" t="str">
        <f aca="false">IF(C232="","",(C232&gt;=Settings!$B$2)+(D232&gt;=Settings!$B$3)+(E232&gt;=Settings!$B$4)+(N(H232)&gt;=1))&amp;"/4"</f>
        <v>/4</v>
      </c>
      <c r="K232" s="14"/>
    </row>
    <row r="233" customFormat="false" ht="15" hidden="false" customHeight="false" outlineLevel="0" collapsed="false">
      <c r="A233" s="13"/>
      <c r="B233" s="14"/>
      <c r="C233" s="15"/>
      <c r="D233" s="15"/>
      <c r="E233" s="15"/>
      <c r="F233" s="15"/>
      <c r="G233" s="15"/>
      <c r="H233" s="16" t="str">
        <f aca="false">IF(OR(F233="",F233=0),IF(G233="","",1),MIN(1,G233/F233))</f>
        <v/>
      </c>
      <c r="I233" s="15"/>
      <c r="J233" s="17" t="str">
        <f aca="false">IF(C233="","",(C233&gt;=Settings!$B$2)+(D233&gt;=Settings!$B$3)+(E233&gt;=Settings!$B$4)+(N(H233)&gt;=1))&amp;"/4"</f>
        <v>/4</v>
      </c>
      <c r="K233" s="14"/>
    </row>
    <row r="234" customFormat="false" ht="15" hidden="false" customHeight="false" outlineLevel="0" collapsed="false">
      <c r="A234" s="13"/>
      <c r="B234" s="14"/>
      <c r="C234" s="15"/>
      <c r="D234" s="15"/>
      <c r="E234" s="15"/>
      <c r="F234" s="15"/>
      <c r="G234" s="15"/>
      <c r="H234" s="16" t="str">
        <f aca="false">IF(OR(F234="",F234=0),IF(G234="","",1),MIN(1,G234/F234))</f>
        <v/>
      </c>
      <c r="I234" s="15"/>
      <c r="J234" s="17" t="str">
        <f aca="false">IF(C234="","",(C234&gt;=Settings!$B$2)+(D234&gt;=Settings!$B$3)+(E234&gt;=Settings!$B$4)+(N(H234)&gt;=1))&amp;"/4"</f>
        <v>/4</v>
      </c>
      <c r="K234" s="14"/>
    </row>
    <row r="235" customFormat="false" ht="15" hidden="false" customHeight="false" outlineLevel="0" collapsed="false">
      <c r="A235" s="13"/>
      <c r="B235" s="14"/>
      <c r="C235" s="15"/>
      <c r="D235" s="15"/>
      <c r="E235" s="15"/>
      <c r="F235" s="15"/>
      <c r="G235" s="15"/>
      <c r="H235" s="16" t="str">
        <f aca="false">IF(OR(F235="",F235=0),IF(G235="","",1),MIN(1,G235/F235))</f>
        <v/>
      </c>
      <c r="I235" s="15"/>
      <c r="J235" s="17" t="str">
        <f aca="false">IF(C235="","",(C235&gt;=Settings!$B$2)+(D235&gt;=Settings!$B$3)+(E235&gt;=Settings!$B$4)+(N(H235)&gt;=1))&amp;"/4"</f>
        <v>/4</v>
      </c>
      <c r="K235" s="14"/>
    </row>
    <row r="236" customFormat="false" ht="15" hidden="false" customHeight="false" outlineLevel="0" collapsed="false">
      <c r="A236" s="13"/>
      <c r="B236" s="14"/>
      <c r="C236" s="15"/>
      <c r="D236" s="15"/>
      <c r="E236" s="15"/>
      <c r="F236" s="15"/>
      <c r="G236" s="15"/>
      <c r="H236" s="16" t="str">
        <f aca="false">IF(OR(F236="",F236=0),IF(G236="","",1),MIN(1,G236/F236))</f>
        <v/>
      </c>
      <c r="I236" s="15"/>
      <c r="J236" s="17" t="str">
        <f aca="false">IF(C236="","",(C236&gt;=Settings!$B$2)+(D236&gt;=Settings!$B$3)+(E236&gt;=Settings!$B$4)+(N(H236)&gt;=1))&amp;"/4"</f>
        <v>/4</v>
      </c>
      <c r="K236" s="14"/>
    </row>
    <row r="237" customFormat="false" ht="15" hidden="false" customHeight="false" outlineLevel="0" collapsed="false">
      <c r="A237" s="13"/>
      <c r="B237" s="14"/>
      <c r="C237" s="15"/>
      <c r="D237" s="15"/>
      <c r="E237" s="15"/>
      <c r="F237" s="15"/>
      <c r="G237" s="15"/>
      <c r="H237" s="16" t="str">
        <f aca="false">IF(OR(F237="",F237=0),IF(G237="","",1),MIN(1,G237/F237))</f>
        <v/>
      </c>
      <c r="I237" s="15"/>
      <c r="J237" s="17" t="str">
        <f aca="false">IF(C237="","",(C237&gt;=Settings!$B$2)+(D237&gt;=Settings!$B$3)+(E237&gt;=Settings!$B$4)+(N(H237)&gt;=1))&amp;"/4"</f>
        <v>/4</v>
      </c>
      <c r="K237" s="14"/>
    </row>
    <row r="238" customFormat="false" ht="15" hidden="false" customHeight="false" outlineLevel="0" collapsed="false">
      <c r="A238" s="13"/>
      <c r="B238" s="14"/>
      <c r="C238" s="15"/>
      <c r="D238" s="15"/>
      <c r="E238" s="15"/>
      <c r="F238" s="15"/>
      <c r="G238" s="15"/>
      <c r="H238" s="16" t="str">
        <f aca="false">IF(OR(F238="",F238=0),IF(G238="","",1),MIN(1,G238/F238))</f>
        <v/>
      </c>
      <c r="I238" s="15"/>
      <c r="J238" s="17" t="str">
        <f aca="false">IF(C238="","",(C238&gt;=Settings!$B$2)+(D238&gt;=Settings!$B$3)+(E238&gt;=Settings!$B$4)+(N(H238)&gt;=1))&amp;"/4"</f>
        <v>/4</v>
      </c>
      <c r="K238" s="14"/>
    </row>
    <row r="239" customFormat="false" ht="15" hidden="false" customHeight="false" outlineLevel="0" collapsed="false">
      <c r="A239" s="13"/>
      <c r="B239" s="14"/>
      <c r="C239" s="15"/>
      <c r="D239" s="15"/>
      <c r="E239" s="15"/>
      <c r="F239" s="15"/>
      <c r="G239" s="15"/>
      <c r="H239" s="16" t="str">
        <f aca="false">IF(OR(F239="",F239=0),IF(G239="","",1),MIN(1,G239/F239))</f>
        <v/>
      </c>
      <c r="I239" s="15"/>
      <c r="J239" s="17" t="str">
        <f aca="false">IF(C239="","",(C239&gt;=Settings!$B$2)+(D239&gt;=Settings!$B$3)+(E239&gt;=Settings!$B$4)+(N(H239)&gt;=1))&amp;"/4"</f>
        <v>/4</v>
      </c>
      <c r="K239" s="14"/>
    </row>
    <row r="240" customFormat="false" ht="15" hidden="false" customHeight="false" outlineLevel="0" collapsed="false">
      <c r="A240" s="13"/>
      <c r="B240" s="14"/>
      <c r="C240" s="15"/>
      <c r="D240" s="15"/>
      <c r="E240" s="15"/>
      <c r="F240" s="15"/>
      <c r="G240" s="15"/>
      <c r="H240" s="16" t="str">
        <f aca="false">IF(OR(F240="",F240=0),IF(G240="","",1),MIN(1,G240/F240))</f>
        <v/>
      </c>
      <c r="I240" s="15"/>
      <c r="J240" s="17" t="str">
        <f aca="false">IF(C240="","",(C240&gt;=Settings!$B$2)+(D240&gt;=Settings!$B$3)+(E240&gt;=Settings!$B$4)+(N(H240)&gt;=1))&amp;"/4"</f>
        <v>/4</v>
      </c>
      <c r="K240" s="14"/>
    </row>
    <row r="241" customFormat="false" ht="15" hidden="false" customHeight="false" outlineLevel="0" collapsed="false">
      <c r="A241" s="13"/>
      <c r="B241" s="14"/>
      <c r="C241" s="15"/>
      <c r="D241" s="15"/>
      <c r="E241" s="15"/>
      <c r="F241" s="15"/>
      <c r="G241" s="15"/>
      <c r="H241" s="16" t="str">
        <f aca="false">IF(OR(F241="",F241=0),IF(G241="","",1),MIN(1,G241/F241))</f>
        <v/>
      </c>
      <c r="I241" s="15"/>
      <c r="J241" s="17" t="str">
        <f aca="false">IF(C241="","",(C241&gt;=Settings!$B$2)+(D241&gt;=Settings!$B$3)+(E241&gt;=Settings!$B$4)+(N(H241)&gt;=1))&amp;"/4"</f>
        <v>/4</v>
      </c>
      <c r="K241" s="14"/>
    </row>
    <row r="242" customFormat="false" ht="15" hidden="false" customHeight="false" outlineLevel="0" collapsed="false">
      <c r="A242" s="13"/>
      <c r="B242" s="14"/>
      <c r="C242" s="15"/>
      <c r="D242" s="15"/>
      <c r="E242" s="15"/>
      <c r="F242" s="15"/>
      <c r="G242" s="15"/>
      <c r="H242" s="16" t="str">
        <f aca="false">IF(OR(F242="",F242=0),IF(G242="","",1),MIN(1,G242/F242))</f>
        <v/>
      </c>
      <c r="I242" s="15"/>
      <c r="J242" s="17" t="str">
        <f aca="false">IF(C242="","",(C242&gt;=Settings!$B$2)+(D242&gt;=Settings!$B$3)+(E242&gt;=Settings!$B$4)+(N(H242)&gt;=1))&amp;"/4"</f>
        <v>/4</v>
      </c>
      <c r="K242" s="14"/>
    </row>
    <row r="243" customFormat="false" ht="15" hidden="false" customHeight="false" outlineLevel="0" collapsed="false">
      <c r="A243" s="13"/>
      <c r="B243" s="14"/>
      <c r="C243" s="15"/>
      <c r="D243" s="15"/>
      <c r="E243" s="15"/>
      <c r="F243" s="15"/>
      <c r="G243" s="15"/>
      <c r="H243" s="16" t="str">
        <f aca="false">IF(OR(F243="",F243=0),IF(G243="","",1),MIN(1,G243/F243))</f>
        <v/>
      </c>
      <c r="I243" s="15"/>
      <c r="J243" s="17" t="str">
        <f aca="false">IF(C243="","",(C243&gt;=Settings!$B$2)+(D243&gt;=Settings!$B$3)+(E243&gt;=Settings!$B$4)+(N(H243)&gt;=1))&amp;"/4"</f>
        <v>/4</v>
      </c>
      <c r="K243" s="14"/>
    </row>
    <row r="244" customFormat="false" ht="15" hidden="false" customHeight="false" outlineLevel="0" collapsed="false">
      <c r="A244" s="13"/>
      <c r="B244" s="14"/>
      <c r="C244" s="15"/>
      <c r="D244" s="15"/>
      <c r="E244" s="15"/>
      <c r="F244" s="15"/>
      <c r="G244" s="15"/>
      <c r="H244" s="16" t="str">
        <f aca="false">IF(OR(F244="",F244=0),IF(G244="","",1),MIN(1,G244/F244))</f>
        <v/>
      </c>
      <c r="I244" s="15"/>
      <c r="J244" s="17" t="str">
        <f aca="false">IF(C244="","",(C244&gt;=Settings!$B$2)+(D244&gt;=Settings!$B$3)+(E244&gt;=Settings!$B$4)+(N(H244)&gt;=1))&amp;"/4"</f>
        <v>/4</v>
      </c>
      <c r="K244" s="14"/>
    </row>
    <row r="245" customFormat="false" ht="15" hidden="false" customHeight="false" outlineLevel="0" collapsed="false">
      <c r="A245" s="13"/>
      <c r="B245" s="14"/>
      <c r="C245" s="15"/>
      <c r="D245" s="15"/>
      <c r="E245" s="15"/>
      <c r="F245" s="15"/>
      <c r="G245" s="15"/>
      <c r="H245" s="16" t="str">
        <f aca="false">IF(OR(F245="",F245=0),IF(G245="","",1),MIN(1,G245/F245))</f>
        <v/>
      </c>
      <c r="I245" s="15"/>
      <c r="J245" s="17" t="str">
        <f aca="false">IF(C245="","",(C245&gt;=Settings!$B$2)+(D245&gt;=Settings!$B$3)+(E245&gt;=Settings!$B$4)+(N(H245)&gt;=1))&amp;"/4"</f>
        <v>/4</v>
      </c>
      <c r="K245" s="14"/>
    </row>
    <row r="246" customFormat="false" ht="15" hidden="false" customHeight="false" outlineLevel="0" collapsed="false">
      <c r="A246" s="13"/>
      <c r="B246" s="14"/>
      <c r="C246" s="15"/>
      <c r="D246" s="15"/>
      <c r="E246" s="15"/>
      <c r="F246" s="15"/>
      <c r="G246" s="15"/>
      <c r="H246" s="16" t="str">
        <f aca="false">IF(OR(F246="",F246=0),IF(G246="","",1),MIN(1,G246/F246))</f>
        <v/>
      </c>
      <c r="I246" s="15"/>
      <c r="J246" s="17" t="str">
        <f aca="false">IF(C246="","",(C246&gt;=Settings!$B$2)+(D246&gt;=Settings!$B$3)+(E246&gt;=Settings!$B$4)+(N(H246)&gt;=1))&amp;"/4"</f>
        <v>/4</v>
      </c>
      <c r="K246" s="14"/>
    </row>
    <row r="247" customFormat="false" ht="15" hidden="false" customHeight="false" outlineLevel="0" collapsed="false">
      <c r="A247" s="13"/>
      <c r="B247" s="14"/>
      <c r="C247" s="15"/>
      <c r="D247" s="15"/>
      <c r="E247" s="15"/>
      <c r="F247" s="15"/>
      <c r="G247" s="15"/>
      <c r="H247" s="16" t="str">
        <f aca="false">IF(OR(F247="",F247=0),IF(G247="","",1),MIN(1,G247/F247))</f>
        <v/>
      </c>
      <c r="I247" s="15"/>
      <c r="J247" s="17" t="str">
        <f aca="false">IF(C247="","",(C247&gt;=Settings!$B$2)+(D247&gt;=Settings!$B$3)+(E247&gt;=Settings!$B$4)+(N(H247)&gt;=1))&amp;"/4"</f>
        <v>/4</v>
      </c>
      <c r="K247" s="14"/>
    </row>
    <row r="248" customFormat="false" ht="15" hidden="false" customHeight="false" outlineLevel="0" collapsed="false">
      <c r="A248" s="13"/>
      <c r="B248" s="14"/>
      <c r="C248" s="15"/>
      <c r="D248" s="15"/>
      <c r="E248" s="15"/>
      <c r="F248" s="15"/>
      <c r="G248" s="15"/>
      <c r="H248" s="16" t="str">
        <f aca="false">IF(OR(F248="",F248=0),IF(G248="","",1),MIN(1,G248/F248))</f>
        <v/>
      </c>
      <c r="I248" s="15"/>
      <c r="J248" s="17" t="str">
        <f aca="false">IF(C248="","",(C248&gt;=Settings!$B$2)+(D248&gt;=Settings!$B$3)+(E248&gt;=Settings!$B$4)+(N(H248)&gt;=1))&amp;"/4"</f>
        <v>/4</v>
      </c>
      <c r="K248" s="14"/>
    </row>
    <row r="249" customFormat="false" ht="15" hidden="false" customHeight="false" outlineLevel="0" collapsed="false">
      <c r="A249" s="13"/>
      <c r="B249" s="14"/>
      <c r="C249" s="15"/>
      <c r="D249" s="15"/>
      <c r="E249" s="15"/>
      <c r="F249" s="15"/>
      <c r="G249" s="15"/>
      <c r="H249" s="16" t="str">
        <f aca="false">IF(OR(F249="",F249=0),IF(G249="","",1),MIN(1,G249/F249))</f>
        <v/>
      </c>
      <c r="I249" s="15"/>
      <c r="J249" s="17" t="str">
        <f aca="false">IF(C249="","",(C249&gt;=Settings!$B$2)+(D249&gt;=Settings!$B$3)+(E249&gt;=Settings!$B$4)+(N(H249)&gt;=1))&amp;"/4"</f>
        <v>/4</v>
      </c>
      <c r="K249" s="14"/>
    </row>
    <row r="250" customFormat="false" ht="15" hidden="false" customHeight="false" outlineLevel="0" collapsed="false">
      <c r="A250" s="13"/>
      <c r="B250" s="14"/>
      <c r="C250" s="15"/>
      <c r="D250" s="15"/>
      <c r="E250" s="15"/>
      <c r="F250" s="15"/>
      <c r="G250" s="15"/>
      <c r="H250" s="16" t="str">
        <f aca="false">IF(OR(F250="",F250=0),IF(G250="","",1),MIN(1,G250/F250))</f>
        <v/>
      </c>
      <c r="I250" s="15"/>
      <c r="J250" s="17" t="str">
        <f aca="false">IF(C250="","",(C250&gt;=Settings!$B$2)+(D250&gt;=Settings!$B$3)+(E250&gt;=Settings!$B$4)+(N(H250)&gt;=1))&amp;"/4"</f>
        <v>/4</v>
      </c>
      <c r="K250" s="14"/>
    </row>
    <row r="251" customFormat="false" ht="15" hidden="false" customHeight="false" outlineLevel="0" collapsed="false">
      <c r="A251" s="13"/>
      <c r="B251" s="14"/>
      <c r="C251" s="15"/>
      <c r="D251" s="15"/>
      <c r="E251" s="15"/>
      <c r="F251" s="15"/>
      <c r="G251" s="15"/>
      <c r="H251" s="16" t="str">
        <f aca="false">IF(OR(F251="",F251=0),IF(G251="","",1),MIN(1,G251/F251))</f>
        <v/>
      </c>
      <c r="I251" s="15"/>
      <c r="J251" s="17" t="str">
        <f aca="false">IF(C251="","",(C251&gt;=Settings!$B$2)+(D251&gt;=Settings!$B$3)+(E251&gt;=Settings!$B$4)+(N(H251)&gt;=1))&amp;"/4"</f>
        <v>/4</v>
      </c>
      <c r="K251" s="14"/>
    </row>
    <row r="252" customFormat="false" ht="15" hidden="false" customHeight="false" outlineLevel="0" collapsed="false">
      <c r="A252" s="13"/>
      <c r="B252" s="14"/>
      <c r="C252" s="15"/>
      <c r="D252" s="15"/>
      <c r="E252" s="15"/>
      <c r="F252" s="15"/>
      <c r="G252" s="15"/>
      <c r="H252" s="16" t="str">
        <f aca="false">IF(OR(F252="",F252=0),IF(G252="","",1),MIN(1,G252/F252))</f>
        <v/>
      </c>
      <c r="I252" s="15"/>
      <c r="J252" s="17" t="str">
        <f aca="false">IF(C252="","",(C252&gt;=Settings!$B$2)+(D252&gt;=Settings!$B$3)+(E252&gt;=Settings!$B$4)+(N(H252)&gt;=1))&amp;"/4"</f>
        <v>/4</v>
      </c>
      <c r="K252" s="14"/>
    </row>
    <row r="253" customFormat="false" ht="15" hidden="false" customHeight="false" outlineLevel="0" collapsed="false">
      <c r="A253" s="13"/>
      <c r="B253" s="14"/>
      <c r="C253" s="15"/>
      <c r="D253" s="15"/>
      <c r="E253" s="15"/>
      <c r="F253" s="15"/>
      <c r="G253" s="15"/>
      <c r="H253" s="16" t="str">
        <f aca="false">IF(OR(F253="",F253=0),IF(G253="","",1),MIN(1,G253/F253))</f>
        <v/>
      </c>
      <c r="I253" s="15"/>
      <c r="J253" s="17" t="str">
        <f aca="false">IF(C253="","",(C253&gt;=Settings!$B$2)+(D253&gt;=Settings!$B$3)+(E253&gt;=Settings!$B$4)+(N(H253)&gt;=1))&amp;"/4"</f>
        <v>/4</v>
      </c>
      <c r="K253" s="14"/>
    </row>
    <row r="254" customFormat="false" ht="15" hidden="false" customHeight="false" outlineLevel="0" collapsed="false">
      <c r="A254" s="13"/>
      <c r="B254" s="14"/>
      <c r="C254" s="15"/>
      <c r="D254" s="15"/>
      <c r="E254" s="15"/>
      <c r="F254" s="15"/>
      <c r="G254" s="15"/>
      <c r="H254" s="16" t="str">
        <f aca="false">IF(OR(F254="",F254=0),IF(G254="","",1),MIN(1,G254/F254))</f>
        <v/>
      </c>
      <c r="I254" s="15"/>
      <c r="J254" s="17" t="str">
        <f aca="false">IF(C254="","",(C254&gt;=Settings!$B$2)+(D254&gt;=Settings!$B$3)+(E254&gt;=Settings!$B$4)+(N(H254)&gt;=1))&amp;"/4"</f>
        <v>/4</v>
      </c>
      <c r="K254" s="14"/>
    </row>
    <row r="255" customFormat="false" ht="15" hidden="false" customHeight="false" outlineLevel="0" collapsed="false">
      <c r="A255" s="13"/>
      <c r="B255" s="14"/>
      <c r="C255" s="15"/>
      <c r="D255" s="15"/>
      <c r="E255" s="15"/>
      <c r="F255" s="15"/>
      <c r="G255" s="15"/>
      <c r="H255" s="16" t="str">
        <f aca="false">IF(OR(F255="",F255=0),IF(G255="","",1),MIN(1,G255/F255))</f>
        <v/>
      </c>
      <c r="I255" s="15"/>
      <c r="J255" s="17" t="str">
        <f aca="false">IF(C255="","",(C255&gt;=Settings!$B$2)+(D255&gt;=Settings!$B$3)+(E255&gt;=Settings!$B$4)+(N(H255)&gt;=1))&amp;"/4"</f>
        <v>/4</v>
      </c>
      <c r="K255" s="14"/>
    </row>
    <row r="256" customFormat="false" ht="15" hidden="false" customHeight="false" outlineLevel="0" collapsed="false">
      <c r="A256" s="13"/>
      <c r="B256" s="14"/>
      <c r="C256" s="15"/>
      <c r="D256" s="15"/>
      <c r="E256" s="15"/>
      <c r="F256" s="15"/>
      <c r="G256" s="15"/>
      <c r="H256" s="16" t="str">
        <f aca="false">IF(OR(F256="",F256=0),IF(G256="","",1),MIN(1,G256/F256))</f>
        <v/>
      </c>
      <c r="I256" s="15"/>
      <c r="J256" s="17" t="str">
        <f aca="false">IF(C256="","",(C256&gt;=Settings!$B$2)+(D256&gt;=Settings!$B$3)+(E256&gt;=Settings!$B$4)+(N(H256)&gt;=1))&amp;"/4"</f>
        <v>/4</v>
      </c>
      <c r="K256" s="14"/>
    </row>
    <row r="257" customFormat="false" ht="15" hidden="false" customHeight="false" outlineLevel="0" collapsed="false">
      <c r="A257" s="13"/>
      <c r="B257" s="14"/>
      <c r="C257" s="15"/>
      <c r="D257" s="15"/>
      <c r="E257" s="15"/>
      <c r="F257" s="15"/>
      <c r="G257" s="15"/>
      <c r="H257" s="16" t="str">
        <f aca="false">IF(OR(F257="",F257=0),IF(G257="","",1),MIN(1,G257/F257))</f>
        <v/>
      </c>
      <c r="I257" s="15"/>
      <c r="J257" s="17" t="str">
        <f aca="false">IF(C257="","",(C257&gt;=Settings!$B$2)+(D257&gt;=Settings!$B$3)+(E257&gt;=Settings!$B$4)+(N(H257)&gt;=1))&amp;"/4"</f>
        <v>/4</v>
      </c>
      <c r="K257" s="14"/>
    </row>
    <row r="258" customFormat="false" ht="15" hidden="false" customHeight="false" outlineLevel="0" collapsed="false">
      <c r="A258" s="13"/>
      <c r="B258" s="14"/>
      <c r="C258" s="15"/>
      <c r="D258" s="15"/>
      <c r="E258" s="15"/>
      <c r="F258" s="15"/>
      <c r="G258" s="15"/>
      <c r="H258" s="16" t="str">
        <f aca="false">IF(OR(F258="",F258=0),IF(G258="","",1),MIN(1,G258/F258))</f>
        <v/>
      </c>
      <c r="I258" s="15"/>
      <c r="J258" s="17" t="str">
        <f aca="false">IF(C258="","",(C258&gt;=Settings!$B$2)+(D258&gt;=Settings!$B$3)+(E258&gt;=Settings!$B$4)+(N(H258)&gt;=1))&amp;"/4"</f>
        <v>/4</v>
      </c>
      <c r="K258" s="14"/>
    </row>
    <row r="259" customFormat="false" ht="15" hidden="false" customHeight="false" outlineLevel="0" collapsed="false">
      <c r="A259" s="13"/>
      <c r="B259" s="14"/>
      <c r="C259" s="15"/>
      <c r="D259" s="15"/>
      <c r="E259" s="15"/>
      <c r="F259" s="15"/>
      <c r="G259" s="15"/>
      <c r="H259" s="16" t="str">
        <f aca="false">IF(OR(F259="",F259=0),IF(G259="","",1),MIN(1,G259/F259))</f>
        <v/>
      </c>
      <c r="I259" s="15"/>
      <c r="J259" s="17" t="str">
        <f aca="false">IF(C259="","",(C259&gt;=Settings!$B$2)+(D259&gt;=Settings!$B$3)+(E259&gt;=Settings!$B$4)+(N(H259)&gt;=1))&amp;"/4"</f>
        <v>/4</v>
      </c>
      <c r="K259" s="14"/>
    </row>
    <row r="260" customFormat="false" ht="15" hidden="false" customHeight="false" outlineLevel="0" collapsed="false">
      <c r="A260" s="13"/>
      <c r="B260" s="14"/>
      <c r="C260" s="15"/>
      <c r="D260" s="15"/>
      <c r="E260" s="15"/>
      <c r="F260" s="15"/>
      <c r="G260" s="15"/>
      <c r="H260" s="16" t="str">
        <f aca="false">IF(OR(F260="",F260=0),IF(G260="","",1),MIN(1,G260/F260))</f>
        <v/>
      </c>
      <c r="I260" s="15"/>
      <c r="J260" s="17" t="str">
        <f aca="false">IF(C260="","",(C260&gt;=Settings!$B$2)+(D260&gt;=Settings!$B$3)+(E260&gt;=Settings!$B$4)+(N(H260)&gt;=1))&amp;"/4"</f>
        <v>/4</v>
      </c>
      <c r="K260" s="14"/>
    </row>
    <row r="261" customFormat="false" ht="15" hidden="false" customHeight="false" outlineLevel="0" collapsed="false">
      <c r="A261" s="13"/>
      <c r="B261" s="14"/>
      <c r="C261" s="15"/>
      <c r="D261" s="15"/>
      <c r="E261" s="15"/>
      <c r="F261" s="15"/>
      <c r="G261" s="15"/>
      <c r="H261" s="16" t="str">
        <f aca="false">IF(OR(F261="",F261=0),IF(G261="","",1),MIN(1,G261/F261))</f>
        <v/>
      </c>
      <c r="I261" s="15"/>
      <c r="J261" s="17" t="str">
        <f aca="false">IF(C261="","",(C261&gt;=Settings!$B$2)+(D261&gt;=Settings!$B$3)+(E261&gt;=Settings!$B$4)+(N(H261)&gt;=1))&amp;"/4"</f>
        <v>/4</v>
      </c>
      <c r="K261" s="14"/>
    </row>
    <row r="262" customFormat="false" ht="15" hidden="false" customHeight="false" outlineLevel="0" collapsed="false">
      <c r="A262" s="13"/>
      <c r="B262" s="14"/>
      <c r="C262" s="15"/>
      <c r="D262" s="15"/>
      <c r="E262" s="15"/>
      <c r="F262" s="15"/>
      <c r="G262" s="15"/>
      <c r="H262" s="16" t="str">
        <f aca="false">IF(OR(F262="",F262=0),IF(G262="","",1),MIN(1,G262/F262))</f>
        <v/>
      </c>
      <c r="I262" s="15"/>
      <c r="J262" s="17" t="str">
        <f aca="false">IF(C262="","",(C262&gt;=Settings!$B$2)+(D262&gt;=Settings!$B$3)+(E262&gt;=Settings!$B$4)+(N(H262)&gt;=1))&amp;"/4"</f>
        <v>/4</v>
      </c>
      <c r="K262" s="14"/>
    </row>
    <row r="263" customFormat="false" ht="15" hidden="false" customHeight="false" outlineLevel="0" collapsed="false">
      <c r="A263" s="13"/>
      <c r="B263" s="14"/>
      <c r="C263" s="15"/>
      <c r="D263" s="15"/>
      <c r="E263" s="15"/>
      <c r="F263" s="15"/>
      <c r="G263" s="15"/>
      <c r="H263" s="16" t="str">
        <f aca="false">IF(OR(F263="",F263=0),IF(G263="","",1),MIN(1,G263/F263))</f>
        <v/>
      </c>
      <c r="I263" s="15"/>
      <c r="J263" s="17" t="str">
        <f aca="false">IF(C263="","",(C263&gt;=Settings!$B$2)+(D263&gt;=Settings!$B$3)+(E263&gt;=Settings!$B$4)+(N(H263)&gt;=1))&amp;"/4"</f>
        <v>/4</v>
      </c>
      <c r="K263" s="14"/>
    </row>
    <row r="264" customFormat="false" ht="15" hidden="false" customHeight="false" outlineLevel="0" collapsed="false">
      <c r="A264" s="13"/>
      <c r="B264" s="14"/>
      <c r="C264" s="15"/>
      <c r="D264" s="15"/>
      <c r="E264" s="15"/>
      <c r="F264" s="15"/>
      <c r="G264" s="15"/>
      <c r="H264" s="16" t="str">
        <f aca="false">IF(OR(F264="",F264=0),IF(G264="","",1),MIN(1,G264/F264))</f>
        <v/>
      </c>
      <c r="I264" s="15"/>
      <c r="J264" s="17" t="str">
        <f aca="false">IF(C264="","",(C264&gt;=Settings!$B$2)+(D264&gt;=Settings!$B$3)+(E264&gt;=Settings!$B$4)+(N(H264)&gt;=1))&amp;"/4"</f>
        <v>/4</v>
      </c>
      <c r="K264" s="14"/>
    </row>
    <row r="265" customFormat="false" ht="15" hidden="false" customHeight="false" outlineLevel="0" collapsed="false">
      <c r="A265" s="13"/>
      <c r="B265" s="14"/>
      <c r="C265" s="15"/>
      <c r="D265" s="15"/>
      <c r="E265" s="15"/>
      <c r="F265" s="15"/>
      <c r="G265" s="15"/>
      <c r="H265" s="16" t="str">
        <f aca="false">IF(OR(F265="",F265=0),IF(G265="","",1),MIN(1,G265/F265))</f>
        <v/>
      </c>
      <c r="I265" s="15"/>
      <c r="J265" s="17" t="str">
        <f aca="false">IF(C265="","",(C265&gt;=Settings!$B$2)+(D265&gt;=Settings!$B$3)+(E265&gt;=Settings!$B$4)+(N(H265)&gt;=1))&amp;"/4"</f>
        <v>/4</v>
      </c>
      <c r="K265" s="14"/>
    </row>
    <row r="266" customFormat="false" ht="15" hidden="false" customHeight="false" outlineLevel="0" collapsed="false">
      <c r="A266" s="13"/>
      <c r="B266" s="14"/>
      <c r="C266" s="15"/>
      <c r="D266" s="15"/>
      <c r="E266" s="15"/>
      <c r="F266" s="15"/>
      <c r="G266" s="15"/>
      <c r="H266" s="16" t="str">
        <f aca="false">IF(OR(F266="",F266=0),IF(G266="","",1),MIN(1,G266/F266))</f>
        <v/>
      </c>
      <c r="I266" s="15"/>
      <c r="J266" s="17" t="str">
        <f aca="false">IF(C266="","",(C266&gt;=Settings!$B$2)+(D266&gt;=Settings!$B$3)+(E266&gt;=Settings!$B$4)+(N(H266)&gt;=1))&amp;"/4"</f>
        <v>/4</v>
      </c>
      <c r="K266" s="14"/>
    </row>
    <row r="267" customFormat="false" ht="15" hidden="false" customHeight="false" outlineLevel="0" collapsed="false">
      <c r="A267" s="13"/>
      <c r="B267" s="14"/>
      <c r="C267" s="15"/>
      <c r="D267" s="15"/>
      <c r="E267" s="15"/>
      <c r="F267" s="15"/>
      <c r="G267" s="15"/>
      <c r="H267" s="16" t="str">
        <f aca="false">IF(OR(F267="",F267=0),IF(G267="","",1),MIN(1,G267/F267))</f>
        <v/>
      </c>
      <c r="I267" s="15"/>
      <c r="J267" s="17" t="str">
        <f aca="false">IF(C267="","",(C267&gt;=Settings!$B$2)+(D267&gt;=Settings!$B$3)+(E267&gt;=Settings!$B$4)+(N(H267)&gt;=1))&amp;"/4"</f>
        <v>/4</v>
      </c>
      <c r="K267" s="14"/>
    </row>
    <row r="268" customFormat="false" ht="15" hidden="false" customHeight="false" outlineLevel="0" collapsed="false">
      <c r="A268" s="13"/>
      <c r="B268" s="14"/>
      <c r="C268" s="15"/>
      <c r="D268" s="15"/>
      <c r="E268" s="15"/>
      <c r="F268" s="15"/>
      <c r="G268" s="15"/>
      <c r="H268" s="16" t="str">
        <f aca="false">IF(OR(F268="",F268=0),IF(G268="","",1),MIN(1,G268/F268))</f>
        <v/>
      </c>
      <c r="I268" s="15"/>
      <c r="J268" s="17" t="str">
        <f aca="false">IF(C268="","",(C268&gt;=Settings!$B$2)+(D268&gt;=Settings!$B$3)+(E268&gt;=Settings!$B$4)+(N(H268)&gt;=1))&amp;"/4"</f>
        <v>/4</v>
      </c>
      <c r="K268" s="14"/>
    </row>
    <row r="269" customFormat="false" ht="15" hidden="false" customHeight="false" outlineLevel="0" collapsed="false">
      <c r="A269" s="13"/>
      <c r="B269" s="14"/>
      <c r="C269" s="15"/>
      <c r="D269" s="15"/>
      <c r="E269" s="15"/>
      <c r="F269" s="15"/>
      <c r="G269" s="15"/>
      <c r="H269" s="16" t="str">
        <f aca="false">IF(OR(F269="",F269=0),IF(G269="","",1),MIN(1,G269/F269))</f>
        <v/>
      </c>
      <c r="I269" s="15"/>
      <c r="J269" s="17" t="str">
        <f aca="false">IF(C269="","",(C269&gt;=Settings!$B$2)+(D269&gt;=Settings!$B$3)+(E269&gt;=Settings!$B$4)+(N(H269)&gt;=1))&amp;"/4"</f>
        <v>/4</v>
      </c>
      <c r="K269" s="14"/>
    </row>
    <row r="270" customFormat="false" ht="15" hidden="false" customHeight="false" outlineLevel="0" collapsed="false">
      <c r="A270" s="13"/>
      <c r="B270" s="14"/>
      <c r="C270" s="15"/>
      <c r="D270" s="15"/>
      <c r="E270" s="15"/>
      <c r="F270" s="15"/>
      <c r="G270" s="15"/>
      <c r="H270" s="16" t="str">
        <f aca="false">IF(OR(F270="",F270=0),IF(G270="","",1),MIN(1,G270/F270))</f>
        <v/>
      </c>
      <c r="I270" s="15"/>
      <c r="J270" s="17" t="str">
        <f aca="false">IF(C270="","",(C270&gt;=Settings!$B$2)+(D270&gt;=Settings!$B$3)+(E270&gt;=Settings!$B$4)+(N(H270)&gt;=1))&amp;"/4"</f>
        <v>/4</v>
      </c>
      <c r="K270" s="14"/>
    </row>
    <row r="271" customFormat="false" ht="15" hidden="false" customHeight="false" outlineLevel="0" collapsed="false">
      <c r="A271" s="13"/>
      <c r="B271" s="14"/>
      <c r="C271" s="15"/>
      <c r="D271" s="15"/>
      <c r="E271" s="15"/>
      <c r="F271" s="15"/>
      <c r="G271" s="15"/>
      <c r="H271" s="16" t="str">
        <f aca="false">IF(OR(F271="",F271=0),IF(G271="","",1),MIN(1,G271/F271))</f>
        <v/>
      </c>
      <c r="I271" s="15"/>
      <c r="J271" s="17" t="str">
        <f aca="false">IF(C271="","",(C271&gt;=Settings!$B$2)+(D271&gt;=Settings!$B$3)+(E271&gt;=Settings!$B$4)+(N(H271)&gt;=1))&amp;"/4"</f>
        <v>/4</v>
      </c>
      <c r="K271" s="14"/>
    </row>
    <row r="272" customFormat="false" ht="15" hidden="false" customHeight="false" outlineLevel="0" collapsed="false">
      <c r="A272" s="13"/>
      <c r="B272" s="14"/>
      <c r="C272" s="15"/>
      <c r="D272" s="15"/>
      <c r="E272" s="15"/>
      <c r="F272" s="15"/>
      <c r="G272" s="15"/>
      <c r="H272" s="16" t="str">
        <f aca="false">IF(OR(F272="",F272=0),IF(G272="","",1),MIN(1,G272/F272))</f>
        <v/>
      </c>
      <c r="I272" s="15"/>
      <c r="J272" s="17" t="str">
        <f aca="false">IF(C272="","",(C272&gt;=Settings!$B$2)+(D272&gt;=Settings!$B$3)+(E272&gt;=Settings!$B$4)+(N(H272)&gt;=1))&amp;"/4"</f>
        <v>/4</v>
      </c>
      <c r="K272" s="14"/>
    </row>
    <row r="273" customFormat="false" ht="15" hidden="false" customHeight="false" outlineLevel="0" collapsed="false">
      <c r="A273" s="13"/>
      <c r="B273" s="14"/>
      <c r="C273" s="15"/>
      <c r="D273" s="15"/>
      <c r="E273" s="15"/>
      <c r="F273" s="15"/>
      <c r="G273" s="15"/>
      <c r="H273" s="16" t="str">
        <f aca="false">IF(OR(F273="",F273=0),IF(G273="","",1),MIN(1,G273/F273))</f>
        <v/>
      </c>
      <c r="I273" s="15"/>
      <c r="J273" s="17" t="str">
        <f aca="false">IF(C273="","",(C273&gt;=Settings!$B$2)+(D273&gt;=Settings!$B$3)+(E273&gt;=Settings!$B$4)+(N(H273)&gt;=1))&amp;"/4"</f>
        <v>/4</v>
      </c>
      <c r="K273" s="14"/>
    </row>
    <row r="274" customFormat="false" ht="15" hidden="false" customHeight="false" outlineLevel="0" collapsed="false">
      <c r="A274" s="13"/>
      <c r="B274" s="14"/>
      <c r="C274" s="15"/>
      <c r="D274" s="15"/>
      <c r="E274" s="15"/>
      <c r="F274" s="15"/>
      <c r="G274" s="15"/>
      <c r="H274" s="16" t="str">
        <f aca="false">IF(OR(F274="",F274=0),IF(G274="","",1),MIN(1,G274/F274))</f>
        <v/>
      </c>
      <c r="I274" s="15"/>
      <c r="J274" s="17" t="str">
        <f aca="false">IF(C274="","",(C274&gt;=Settings!$B$2)+(D274&gt;=Settings!$B$3)+(E274&gt;=Settings!$B$4)+(N(H274)&gt;=1))&amp;"/4"</f>
        <v>/4</v>
      </c>
      <c r="K274" s="14"/>
    </row>
    <row r="275" customFormat="false" ht="15" hidden="false" customHeight="false" outlineLevel="0" collapsed="false">
      <c r="A275" s="13"/>
      <c r="B275" s="14"/>
      <c r="C275" s="15"/>
      <c r="D275" s="15"/>
      <c r="E275" s="15"/>
      <c r="F275" s="15"/>
      <c r="G275" s="15"/>
      <c r="H275" s="16" t="str">
        <f aca="false">IF(OR(F275="",F275=0),IF(G275="","",1),MIN(1,G275/F275))</f>
        <v/>
      </c>
      <c r="I275" s="15"/>
      <c r="J275" s="17" t="str">
        <f aca="false">IF(C275="","",(C275&gt;=Settings!$B$2)+(D275&gt;=Settings!$B$3)+(E275&gt;=Settings!$B$4)+(N(H275)&gt;=1))&amp;"/4"</f>
        <v>/4</v>
      </c>
      <c r="K275" s="14"/>
    </row>
    <row r="276" customFormat="false" ht="15" hidden="false" customHeight="false" outlineLevel="0" collapsed="false">
      <c r="A276" s="13"/>
      <c r="B276" s="14"/>
      <c r="C276" s="15"/>
      <c r="D276" s="15"/>
      <c r="E276" s="15"/>
      <c r="F276" s="15"/>
      <c r="G276" s="15"/>
      <c r="H276" s="16" t="str">
        <f aca="false">IF(OR(F276="",F276=0),IF(G276="","",1),MIN(1,G276/F276))</f>
        <v/>
      </c>
      <c r="I276" s="15"/>
      <c r="J276" s="17" t="str">
        <f aca="false">IF(C276="","",(C276&gt;=Settings!$B$2)+(D276&gt;=Settings!$B$3)+(E276&gt;=Settings!$B$4)+(N(H276)&gt;=1))&amp;"/4"</f>
        <v>/4</v>
      </c>
      <c r="K276" s="14"/>
    </row>
    <row r="277" customFormat="false" ht="15" hidden="false" customHeight="false" outlineLevel="0" collapsed="false">
      <c r="A277" s="13"/>
      <c r="B277" s="14"/>
      <c r="C277" s="15"/>
      <c r="D277" s="15"/>
      <c r="E277" s="15"/>
      <c r="F277" s="15"/>
      <c r="G277" s="15"/>
      <c r="H277" s="16" t="str">
        <f aca="false">IF(OR(F277="",F277=0),IF(G277="","",1),MIN(1,G277/F277))</f>
        <v/>
      </c>
      <c r="I277" s="15"/>
      <c r="J277" s="17" t="str">
        <f aca="false">IF(C277="","",(C277&gt;=Settings!$B$2)+(D277&gt;=Settings!$B$3)+(E277&gt;=Settings!$B$4)+(N(H277)&gt;=1))&amp;"/4"</f>
        <v>/4</v>
      </c>
      <c r="K277" s="14"/>
    </row>
    <row r="278" customFormat="false" ht="15" hidden="false" customHeight="false" outlineLevel="0" collapsed="false">
      <c r="A278" s="13"/>
      <c r="B278" s="14"/>
      <c r="C278" s="15"/>
      <c r="D278" s="15"/>
      <c r="E278" s="15"/>
      <c r="F278" s="15"/>
      <c r="G278" s="15"/>
      <c r="H278" s="16" t="str">
        <f aca="false">IF(OR(F278="",F278=0),IF(G278="","",1),MIN(1,G278/F278))</f>
        <v/>
      </c>
      <c r="I278" s="15"/>
      <c r="J278" s="17" t="str">
        <f aca="false">IF(C278="","",(C278&gt;=Settings!$B$2)+(D278&gt;=Settings!$B$3)+(E278&gt;=Settings!$B$4)+(N(H278)&gt;=1))&amp;"/4"</f>
        <v>/4</v>
      </c>
      <c r="K278" s="14"/>
    </row>
    <row r="279" customFormat="false" ht="15" hidden="false" customHeight="false" outlineLevel="0" collapsed="false">
      <c r="A279" s="13"/>
      <c r="B279" s="14"/>
      <c r="C279" s="15"/>
      <c r="D279" s="15"/>
      <c r="E279" s="15"/>
      <c r="F279" s="15"/>
      <c r="G279" s="15"/>
      <c r="H279" s="16" t="str">
        <f aca="false">IF(OR(F279="",F279=0),IF(G279="","",1),MIN(1,G279/F279))</f>
        <v/>
      </c>
      <c r="I279" s="15"/>
      <c r="J279" s="17" t="str">
        <f aca="false">IF(C279="","",(C279&gt;=Settings!$B$2)+(D279&gt;=Settings!$B$3)+(E279&gt;=Settings!$B$4)+(N(H279)&gt;=1))&amp;"/4"</f>
        <v>/4</v>
      </c>
      <c r="K279" s="14"/>
    </row>
    <row r="280" customFormat="false" ht="15" hidden="false" customHeight="false" outlineLevel="0" collapsed="false">
      <c r="A280" s="13"/>
      <c r="B280" s="14"/>
      <c r="C280" s="15"/>
      <c r="D280" s="15"/>
      <c r="E280" s="15"/>
      <c r="F280" s="15"/>
      <c r="G280" s="15"/>
      <c r="H280" s="16" t="str">
        <f aca="false">IF(OR(F280="",F280=0),IF(G280="","",1),MIN(1,G280/F280))</f>
        <v/>
      </c>
      <c r="I280" s="15"/>
      <c r="J280" s="17" t="str">
        <f aca="false">IF(C280="","",(C280&gt;=Settings!$B$2)+(D280&gt;=Settings!$B$3)+(E280&gt;=Settings!$B$4)+(N(H280)&gt;=1))&amp;"/4"</f>
        <v>/4</v>
      </c>
      <c r="K280" s="14"/>
    </row>
    <row r="281" customFormat="false" ht="15" hidden="false" customHeight="false" outlineLevel="0" collapsed="false">
      <c r="A281" s="13"/>
      <c r="B281" s="14"/>
      <c r="C281" s="15"/>
      <c r="D281" s="15"/>
      <c r="E281" s="15"/>
      <c r="F281" s="15"/>
      <c r="G281" s="15"/>
      <c r="H281" s="16" t="str">
        <f aca="false">IF(OR(F281="",F281=0),IF(G281="","",1),MIN(1,G281/F281))</f>
        <v/>
      </c>
      <c r="I281" s="15"/>
      <c r="J281" s="17" t="str">
        <f aca="false">IF(C281="","",(C281&gt;=Settings!$B$2)+(D281&gt;=Settings!$B$3)+(E281&gt;=Settings!$B$4)+(N(H281)&gt;=1))&amp;"/4"</f>
        <v>/4</v>
      </c>
      <c r="K281" s="14"/>
    </row>
    <row r="282" customFormat="false" ht="15" hidden="false" customHeight="false" outlineLevel="0" collapsed="false">
      <c r="A282" s="13"/>
      <c r="B282" s="14"/>
      <c r="C282" s="15"/>
      <c r="D282" s="15"/>
      <c r="E282" s="15"/>
      <c r="F282" s="15"/>
      <c r="G282" s="15"/>
      <c r="H282" s="16" t="str">
        <f aca="false">IF(OR(F282="",F282=0),IF(G282="","",1),MIN(1,G282/F282))</f>
        <v/>
      </c>
      <c r="I282" s="15"/>
      <c r="J282" s="17" t="str">
        <f aca="false">IF(C282="","",(C282&gt;=Settings!$B$2)+(D282&gt;=Settings!$B$3)+(E282&gt;=Settings!$B$4)+(N(H282)&gt;=1))&amp;"/4"</f>
        <v>/4</v>
      </c>
      <c r="K282" s="14"/>
    </row>
    <row r="283" customFormat="false" ht="15" hidden="false" customHeight="false" outlineLevel="0" collapsed="false">
      <c r="A283" s="13"/>
      <c r="B283" s="14"/>
      <c r="C283" s="15"/>
      <c r="D283" s="15"/>
      <c r="E283" s="15"/>
      <c r="F283" s="15"/>
      <c r="G283" s="15"/>
      <c r="H283" s="16" t="str">
        <f aca="false">IF(OR(F283="",F283=0),IF(G283="","",1),MIN(1,G283/F283))</f>
        <v/>
      </c>
      <c r="I283" s="15"/>
      <c r="J283" s="17" t="str">
        <f aca="false">IF(C283="","",(C283&gt;=Settings!$B$2)+(D283&gt;=Settings!$B$3)+(E283&gt;=Settings!$B$4)+(N(H283)&gt;=1))&amp;"/4"</f>
        <v>/4</v>
      </c>
      <c r="K283" s="14"/>
    </row>
    <row r="284" customFormat="false" ht="15" hidden="false" customHeight="false" outlineLevel="0" collapsed="false">
      <c r="A284" s="13"/>
      <c r="B284" s="14"/>
      <c r="C284" s="15"/>
      <c r="D284" s="15"/>
      <c r="E284" s="15"/>
      <c r="F284" s="15"/>
      <c r="G284" s="15"/>
      <c r="H284" s="16" t="str">
        <f aca="false">IF(OR(F284="",F284=0),IF(G284="","",1),MIN(1,G284/F284))</f>
        <v/>
      </c>
      <c r="I284" s="15"/>
      <c r="J284" s="17" t="str">
        <f aca="false">IF(C284="","",(C284&gt;=Settings!$B$2)+(D284&gt;=Settings!$B$3)+(E284&gt;=Settings!$B$4)+(N(H284)&gt;=1))&amp;"/4"</f>
        <v>/4</v>
      </c>
      <c r="K284" s="14"/>
    </row>
    <row r="285" customFormat="false" ht="15" hidden="false" customHeight="false" outlineLevel="0" collapsed="false">
      <c r="A285" s="13"/>
      <c r="B285" s="14"/>
      <c r="C285" s="15"/>
      <c r="D285" s="15"/>
      <c r="E285" s="15"/>
      <c r="F285" s="15"/>
      <c r="G285" s="15"/>
      <c r="H285" s="16" t="str">
        <f aca="false">IF(OR(F285="",F285=0),IF(G285="","",1),MIN(1,G285/F285))</f>
        <v/>
      </c>
      <c r="I285" s="15"/>
      <c r="J285" s="17" t="str">
        <f aca="false">IF(C285="","",(C285&gt;=Settings!$B$2)+(D285&gt;=Settings!$B$3)+(E285&gt;=Settings!$B$4)+(N(H285)&gt;=1))&amp;"/4"</f>
        <v>/4</v>
      </c>
      <c r="K285" s="14"/>
    </row>
    <row r="286" customFormat="false" ht="15" hidden="false" customHeight="false" outlineLevel="0" collapsed="false">
      <c r="A286" s="13"/>
      <c r="B286" s="14"/>
      <c r="C286" s="15"/>
      <c r="D286" s="15"/>
      <c r="E286" s="15"/>
      <c r="F286" s="15"/>
      <c r="G286" s="15"/>
      <c r="H286" s="16" t="str">
        <f aca="false">IF(OR(F286="",F286=0),IF(G286="","",1),MIN(1,G286/F286))</f>
        <v/>
      </c>
      <c r="I286" s="15"/>
      <c r="J286" s="17" t="str">
        <f aca="false">IF(C286="","",(C286&gt;=Settings!$B$2)+(D286&gt;=Settings!$B$3)+(E286&gt;=Settings!$B$4)+(N(H286)&gt;=1))&amp;"/4"</f>
        <v>/4</v>
      </c>
      <c r="K286" s="14"/>
    </row>
    <row r="287" customFormat="false" ht="15" hidden="false" customHeight="false" outlineLevel="0" collapsed="false">
      <c r="A287" s="13"/>
      <c r="B287" s="14"/>
      <c r="C287" s="15"/>
      <c r="D287" s="15"/>
      <c r="E287" s="15"/>
      <c r="F287" s="15"/>
      <c r="G287" s="15"/>
      <c r="H287" s="16" t="str">
        <f aca="false">IF(OR(F287="",F287=0),IF(G287="","",1),MIN(1,G287/F287))</f>
        <v/>
      </c>
      <c r="I287" s="15"/>
      <c r="J287" s="17" t="str">
        <f aca="false">IF(C287="","",(C287&gt;=Settings!$B$2)+(D287&gt;=Settings!$B$3)+(E287&gt;=Settings!$B$4)+(N(H287)&gt;=1))&amp;"/4"</f>
        <v>/4</v>
      </c>
      <c r="K287" s="14"/>
    </row>
    <row r="288" customFormat="false" ht="15" hidden="false" customHeight="false" outlineLevel="0" collapsed="false">
      <c r="A288" s="13"/>
      <c r="B288" s="14"/>
      <c r="C288" s="15"/>
      <c r="D288" s="15"/>
      <c r="E288" s="15"/>
      <c r="F288" s="15"/>
      <c r="G288" s="15"/>
      <c r="H288" s="16" t="str">
        <f aca="false">IF(OR(F288="",F288=0),IF(G288="","",1),MIN(1,G288/F288))</f>
        <v/>
      </c>
      <c r="I288" s="15"/>
      <c r="J288" s="17" t="str">
        <f aca="false">IF(C288="","",(C288&gt;=Settings!$B$2)+(D288&gt;=Settings!$B$3)+(E288&gt;=Settings!$B$4)+(N(H288)&gt;=1))&amp;"/4"</f>
        <v>/4</v>
      </c>
      <c r="K288" s="14"/>
    </row>
    <row r="289" customFormat="false" ht="15" hidden="false" customHeight="false" outlineLevel="0" collapsed="false">
      <c r="A289" s="13"/>
      <c r="B289" s="14"/>
      <c r="C289" s="15"/>
      <c r="D289" s="15"/>
      <c r="E289" s="15"/>
      <c r="F289" s="15"/>
      <c r="G289" s="15"/>
      <c r="H289" s="16" t="str">
        <f aca="false">IF(OR(F289="",F289=0),IF(G289="","",1),MIN(1,G289/F289))</f>
        <v/>
      </c>
      <c r="I289" s="15"/>
      <c r="J289" s="17" t="str">
        <f aca="false">IF(C289="","",(C289&gt;=Settings!$B$2)+(D289&gt;=Settings!$B$3)+(E289&gt;=Settings!$B$4)+(N(H289)&gt;=1))&amp;"/4"</f>
        <v>/4</v>
      </c>
      <c r="K289" s="14"/>
    </row>
    <row r="290" customFormat="false" ht="15" hidden="false" customHeight="false" outlineLevel="0" collapsed="false">
      <c r="A290" s="13"/>
      <c r="B290" s="14"/>
      <c r="C290" s="15"/>
      <c r="D290" s="15"/>
      <c r="E290" s="15"/>
      <c r="F290" s="15"/>
      <c r="G290" s="15"/>
      <c r="H290" s="16" t="str">
        <f aca="false">IF(OR(F290="",F290=0),IF(G290="","",1),MIN(1,G290/F290))</f>
        <v/>
      </c>
      <c r="I290" s="15"/>
      <c r="J290" s="17" t="str">
        <f aca="false">IF(C290="","",(C290&gt;=Settings!$B$2)+(D290&gt;=Settings!$B$3)+(E290&gt;=Settings!$B$4)+(N(H290)&gt;=1))&amp;"/4"</f>
        <v>/4</v>
      </c>
      <c r="K290" s="14"/>
    </row>
    <row r="291" customFormat="false" ht="15" hidden="false" customHeight="false" outlineLevel="0" collapsed="false">
      <c r="A291" s="13"/>
      <c r="B291" s="14"/>
      <c r="C291" s="15"/>
      <c r="D291" s="15"/>
      <c r="E291" s="15"/>
      <c r="F291" s="15"/>
      <c r="G291" s="15"/>
      <c r="H291" s="16" t="str">
        <f aca="false">IF(OR(F291="",F291=0),IF(G291="","",1),MIN(1,G291/F291))</f>
        <v/>
      </c>
      <c r="I291" s="15"/>
      <c r="J291" s="17" t="str">
        <f aca="false">IF(C291="","",(C291&gt;=Settings!$B$2)+(D291&gt;=Settings!$B$3)+(E291&gt;=Settings!$B$4)+(N(H291)&gt;=1))&amp;"/4"</f>
        <v>/4</v>
      </c>
      <c r="K291" s="14"/>
    </row>
    <row r="292" customFormat="false" ht="15" hidden="false" customHeight="false" outlineLevel="0" collapsed="false">
      <c r="A292" s="13"/>
      <c r="B292" s="14"/>
      <c r="C292" s="15"/>
      <c r="D292" s="15"/>
      <c r="E292" s="15"/>
      <c r="F292" s="15"/>
      <c r="G292" s="15"/>
      <c r="H292" s="16" t="str">
        <f aca="false">IF(OR(F292="",F292=0),IF(G292="","",1),MIN(1,G292/F292))</f>
        <v/>
      </c>
      <c r="I292" s="15"/>
      <c r="J292" s="17" t="str">
        <f aca="false">IF(C292="","",(C292&gt;=Settings!$B$2)+(D292&gt;=Settings!$B$3)+(E292&gt;=Settings!$B$4)+(N(H292)&gt;=1))&amp;"/4"</f>
        <v>/4</v>
      </c>
      <c r="K292" s="14"/>
    </row>
    <row r="293" customFormat="false" ht="15" hidden="false" customHeight="false" outlineLevel="0" collapsed="false">
      <c r="A293" s="13"/>
      <c r="B293" s="14"/>
      <c r="C293" s="15"/>
      <c r="D293" s="15"/>
      <c r="E293" s="15"/>
      <c r="F293" s="15"/>
      <c r="G293" s="15"/>
      <c r="H293" s="16" t="str">
        <f aca="false">IF(OR(F293="",F293=0),IF(G293="","",1),MIN(1,G293/F293))</f>
        <v/>
      </c>
      <c r="I293" s="15"/>
      <c r="J293" s="17" t="str">
        <f aca="false">IF(C293="","",(C293&gt;=Settings!$B$2)+(D293&gt;=Settings!$B$3)+(E293&gt;=Settings!$B$4)+(N(H293)&gt;=1))&amp;"/4"</f>
        <v>/4</v>
      </c>
      <c r="K293" s="14"/>
    </row>
    <row r="294" customFormat="false" ht="15" hidden="false" customHeight="false" outlineLevel="0" collapsed="false">
      <c r="A294" s="13"/>
      <c r="B294" s="14"/>
      <c r="C294" s="15"/>
      <c r="D294" s="15"/>
      <c r="E294" s="15"/>
      <c r="F294" s="15"/>
      <c r="G294" s="15"/>
      <c r="H294" s="16" t="str">
        <f aca="false">IF(OR(F294="",F294=0),IF(G294="","",1),MIN(1,G294/F294))</f>
        <v/>
      </c>
      <c r="I294" s="15"/>
      <c r="J294" s="17" t="str">
        <f aca="false">IF(C294="","",(C294&gt;=Settings!$B$2)+(D294&gt;=Settings!$B$3)+(E294&gt;=Settings!$B$4)+(N(H294)&gt;=1))&amp;"/4"</f>
        <v>/4</v>
      </c>
      <c r="K294" s="14"/>
    </row>
    <row r="295" customFormat="false" ht="15" hidden="false" customHeight="false" outlineLevel="0" collapsed="false">
      <c r="A295" s="13"/>
      <c r="B295" s="14"/>
      <c r="C295" s="15"/>
      <c r="D295" s="15"/>
      <c r="E295" s="15"/>
      <c r="F295" s="15"/>
      <c r="G295" s="15"/>
      <c r="H295" s="16" t="str">
        <f aca="false">IF(OR(F295="",F295=0),IF(G295="","",1),MIN(1,G295/F295))</f>
        <v/>
      </c>
      <c r="I295" s="15"/>
      <c r="J295" s="17" t="str">
        <f aca="false">IF(C295="","",(C295&gt;=Settings!$B$2)+(D295&gt;=Settings!$B$3)+(E295&gt;=Settings!$B$4)+(N(H295)&gt;=1))&amp;"/4"</f>
        <v>/4</v>
      </c>
      <c r="K295" s="14"/>
    </row>
    <row r="296" customFormat="false" ht="15" hidden="false" customHeight="false" outlineLevel="0" collapsed="false">
      <c r="A296" s="13"/>
      <c r="B296" s="14"/>
      <c r="C296" s="15"/>
      <c r="D296" s="15"/>
      <c r="E296" s="15"/>
      <c r="F296" s="15"/>
      <c r="G296" s="15"/>
      <c r="H296" s="16" t="str">
        <f aca="false">IF(OR(F296="",F296=0),IF(G296="","",1),MIN(1,G296/F296))</f>
        <v/>
      </c>
      <c r="I296" s="15"/>
      <c r="J296" s="17" t="str">
        <f aca="false">IF(C296="","",(C296&gt;=Settings!$B$2)+(D296&gt;=Settings!$B$3)+(E296&gt;=Settings!$B$4)+(N(H296)&gt;=1))&amp;"/4"</f>
        <v>/4</v>
      </c>
      <c r="K296" s="14"/>
    </row>
    <row r="297" customFormat="false" ht="15" hidden="false" customHeight="false" outlineLevel="0" collapsed="false">
      <c r="A297" s="13"/>
      <c r="B297" s="14"/>
      <c r="C297" s="15"/>
      <c r="D297" s="15"/>
      <c r="E297" s="15"/>
      <c r="F297" s="15"/>
      <c r="G297" s="15"/>
      <c r="H297" s="16" t="str">
        <f aca="false">IF(OR(F297="",F297=0),IF(G297="","",1),MIN(1,G297/F297))</f>
        <v/>
      </c>
      <c r="I297" s="15"/>
      <c r="J297" s="17" t="str">
        <f aca="false">IF(C297="","",(C297&gt;=Settings!$B$2)+(D297&gt;=Settings!$B$3)+(E297&gt;=Settings!$B$4)+(N(H297)&gt;=1))&amp;"/4"</f>
        <v>/4</v>
      </c>
      <c r="K297" s="14"/>
    </row>
    <row r="298" customFormat="false" ht="15" hidden="false" customHeight="false" outlineLevel="0" collapsed="false">
      <c r="A298" s="13"/>
      <c r="B298" s="14"/>
      <c r="C298" s="15"/>
      <c r="D298" s="15"/>
      <c r="E298" s="15"/>
      <c r="F298" s="15"/>
      <c r="G298" s="15"/>
      <c r="H298" s="16" t="str">
        <f aca="false">IF(OR(F298="",F298=0),IF(G298="","",1),MIN(1,G298/F298))</f>
        <v/>
      </c>
      <c r="I298" s="15"/>
      <c r="J298" s="17" t="str">
        <f aca="false">IF(C298="","",(C298&gt;=Settings!$B$2)+(D298&gt;=Settings!$B$3)+(E298&gt;=Settings!$B$4)+(N(H298)&gt;=1))&amp;"/4"</f>
        <v>/4</v>
      </c>
      <c r="K298" s="14"/>
    </row>
    <row r="299" customFormat="false" ht="15" hidden="false" customHeight="false" outlineLevel="0" collapsed="false">
      <c r="A299" s="13"/>
      <c r="B299" s="14"/>
      <c r="C299" s="15"/>
      <c r="D299" s="15"/>
      <c r="E299" s="15"/>
      <c r="F299" s="15"/>
      <c r="G299" s="15"/>
      <c r="H299" s="16" t="str">
        <f aca="false">IF(OR(F299="",F299=0),IF(G299="","",1),MIN(1,G299/F299))</f>
        <v/>
      </c>
      <c r="I299" s="15"/>
      <c r="J299" s="17" t="str">
        <f aca="false">IF(C299="","",(C299&gt;=Settings!$B$2)+(D299&gt;=Settings!$B$3)+(E299&gt;=Settings!$B$4)+(N(H299)&gt;=1))&amp;"/4"</f>
        <v>/4</v>
      </c>
      <c r="K299" s="14"/>
    </row>
    <row r="300" customFormat="false" ht="15" hidden="false" customHeight="false" outlineLevel="0" collapsed="false">
      <c r="A300" s="13"/>
      <c r="B300" s="14"/>
      <c r="C300" s="15"/>
      <c r="D300" s="15"/>
      <c r="E300" s="15"/>
      <c r="F300" s="15"/>
      <c r="G300" s="15"/>
      <c r="H300" s="16" t="str">
        <f aca="false">IF(OR(F300="",F300=0),IF(G300="","",1),MIN(1,G300/F300))</f>
        <v/>
      </c>
      <c r="I300" s="15"/>
      <c r="J300" s="17" t="str">
        <f aca="false">IF(C300="","",(C300&gt;=Settings!$B$2)+(D300&gt;=Settings!$B$3)+(E300&gt;=Settings!$B$4)+(N(H300)&gt;=1))&amp;"/4"</f>
        <v>/4</v>
      </c>
      <c r="K300" s="14"/>
    </row>
    <row r="301" customFormat="false" ht="15" hidden="false" customHeight="false" outlineLevel="0" collapsed="false">
      <c r="A301" s="13"/>
      <c r="B301" s="14"/>
      <c r="C301" s="15"/>
      <c r="D301" s="15"/>
      <c r="E301" s="15"/>
      <c r="F301" s="15"/>
      <c r="G301" s="15"/>
      <c r="H301" s="16" t="str">
        <f aca="false">IF(OR(F301="",F301=0),IF(G301="","",1),MIN(1,G301/F301))</f>
        <v/>
      </c>
      <c r="I301" s="15"/>
      <c r="J301" s="17" t="str">
        <f aca="false">IF(C301="","",(C301&gt;=Settings!$B$2)+(D301&gt;=Settings!$B$3)+(E301&gt;=Settings!$B$4)+(N(H301)&gt;=1))&amp;"/4"</f>
        <v>/4</v>
      </c>
      <c r="K301" s="14"/>
    </row>
    <row r="302" customFormat="false" ht="15" hidden="false" customHeight="false" outlineLevel="0" collapsed="false">
      <c r="A302" s="13"/>
      <c r="B302" s="14"/>
      <c r="C302" s="15"/>
      <c r="D302" s="15"/>
      <c r="E302" s="15"/>
      <c r="F302" s="15"/>
      <c r="G302" s="15"/>
      <c r="H302" s="16" t="str">
        <f aca="false">IF(OR(F302="",F302=0),IF(G302="","",1),MIN(1,G302/F302))</f>
        <v/>
      </c>
      <c r="I302" s="15"/>
      <c r="J302" s="17" t="str">
        <f aca="false">IF(C302="","",(C302&gt;=Settings!$B$2)+(D302&gt;=Settings!$B$3)+(E302&gt;=Settings!$B$4)+(N(H302)&gt;=1))&amp;"/4"</f>
        <v>/4</v>
      </c>
      <c r="K302" s="14"/>
    </row>
    <row r="303" customFormat="false" ht="15" hidden="false" customHeight="false" outlineLevel="0" collapsed="false">
      <c r="A303" s="13"/>
      <c r="B303" s="14"/>
      <c r="C303" s="15"/>
      <c r="D303" s="15"/>
      <c r="E303" s="15"/>
      <c r="F303" s="15"/>
      <c r="G303" s="15"/>
      <c r="H303" s="16" t="str">
        <f aca="false">IF(OR(F303="",F303=0),IF(G303="","",1),MIN(1,G303/F303))</f>
        <v/>
      </c>
      <c r="I303" s="15"/>
      <c r="J303" s="17" t="str">
        <f aca="false">IF(C303="","",(C303&gt;=Settings!$B$2)+(D303&gt;=Settings!$B$3)+(E303&gt;=Settings!$B$4)+(N(H303)&gt;=1))&amp;"/4"</f>
        <v>/4</v>
      </c>
      <c r="K303" s="14"/>
    </row>
    <row r="304" customFormat="false" ht="15" hidden="false" customHeight="false" outlineLevel="0" collapsed="false">
      <c r="A304" s="13"/>
      <c r="B304" s="14"/>
      <c r="C304" s="15"/>
      <c r="D304" s="15"/>
      <c r="E304" s="15"/>
      <c r="F304" s="15"/>
      <c r="G304" s="15"/>
      <c r="H304" s="16" t="str">
        <f aca="false">IF(OR(F304="",F304=0),IF(G304="","",1),MIN(1,G304/F304))</f>
        <v/>
      </c>
      <c r="I304" s="15"/>
      <c r="J304" s="17" t="str">
        <f aca="false">IF(C304="","",(C304&gt;=Settings!$B$2)+(D304&gt;=Settings!$B$3)+(E304&gt;=Settings!$B$4)+(N(H304)&gt;=1))&amp;"/4"</f>
        <v>/4</v>
      </c>
      <c r="K304" s="14"/>
    </row>
    <row r="305" customFormat="false" ht="15" hidden="false" customHeight="false" outlineLevel="0" collapsed="false">
      <c r="A305" s="13"/>
      <c r="B305" s="14"/>
      <c r="C305" s="15"/>
      <c r="D305" s="15"/>
      <c r="E305" s="15"/>
      <c r="F305" s="15"/>
      <c r="G305" s="15"/>
      <c r="H305" s="16" t="str">
        <f aca="false">IF(OR(F305="",F305=0),IF(G305="","",1),MIN(1,G305/F305))</f>
        <v/>
      </c>
      <c r="I305" s="15"/>
      <c r="J305" s="17" t="str">
        <f aca="false">IF(C305="","",(C305&gt;=Settings!$B$2)+(D305&gt;=Settings!$B$3)+(E305&gt;=Settings!$B$4)+(N(H305)&gt;=1))&amp;"/4"</f>
        <v>/4</v>
      </c>
      <c r="K305" s="14"/>
    </row>
    <row r="306" customFormat="false" ht="15" hidden="false" customHeight="false" outlineLevel="0" collapsed="false">
      <c r="A306" s="13"/>
      <c r="B306" s="14"/>
      <c r="C306" s="15"/>
      <c r="D306" s="15"/>
      <c r="E306" s="15"/>
      <c r="F306" s="15"/>
      <c r="G306" s="15"/>
      <c r="H306" s="16" t="str">
        <f aca="false">IF(OR(F306="",F306=0),IF(G306="","",1),MIN(1,G306/F306))</f>
        <v/>
      </c>
      <c r="I306" s="15"/>
      <c r="J306" s="17" t="str">
        <f aca="false">IF(C306="","",(C306&gt;=Settings!$B$2)+(D306&gt;=Settings!$B$3)+(E306&gt;=Settings!$B$4)+(N(H306)&gt;=1))&amp;"/4"</f>
        <v>/4</v>
      </c>
      <c r="K306" s="14"/>
    </row>
    <row r="307" customFormat="false" ht="15" hidden="false" customHeight="false" outlineLevel="0" collapsed="false">
      <c r="A307" s="13"/>
      <c r="B307" s="14"/>
      <c r="C307" s="15"/>
      <c r="D307" s="15"/>
      <c r="E307" s="15"/>
      <c r="F307" s="15"/>
      <c r="G307" s="15"/>
      <c r="H307" s="16" t="str">
        <f aca="false">IF(OR(F307="",F307=0),IF(G307="","",1),MIN(1,G307/F307))</f>
        <v/>
      </c>
      <c r="I307" s="15"/>
      <c r="J307" s="17" t="str">
        <f aca="false">IF(C307="","",(C307&gt;=Settings!$B$2)+(D307&gt;=Settings!$B$3)+(E307&gt;=Settings!$B$4)+(N(H307)&gt;=1))&amp;"/4"</f>
        <v>/4</v>
      </c>
      <c r="K307" s="14"/>
    </row>
    <row r="308" customFormat="false" ht="15" hidden="false" customHeight="false" outlineLevel="0" collapsed="false">
      <c r="A308" s="13"/>
      <c r="B308" s="14"/>
      <c r="C308" s="15"/>
      <c r="D308" s="15"/>
      <c r="E308" s="15"/>
      <c r="F308" s="15"/>
      <c r="G308" s="15"/>
      <c r="H308" s="16" t="str">
        <f aca="false">IF(OR(F308="",F308=0),IF(G308="","",1),MIN(1,G308/F308))</f>
        <v/>
      </c>
      <c r="I308" s="15"/>
      <c r="J308" s="17" t="str">
        <f aca="false">IF(C308="","",(C308&gt;=Settings!$B$2)+(D308&gt;=Settings!$B$3)+(E308&gt;=Settings!$B$4)+(N(H308)&gt;=1))&amp;"/4"</f>
        <v>/4</v>
      </c>
      <c r="K308" s="14"/>
    </row>
    <row r="309" customFormat="false" ht="15" hidden="false" customHeight="false" outlineLevel="0" collapsed="false">
      <c r="A309" s="13"/>
      <c r="B309" s="14"/>
      <c r="C309" s="15"/>
      <c r="D309" s="15"/>
      <c r="E309" s="15"/>
      <c r="F309" s="15"/>
      <c r="G309" s="15"/>
      <c r="H309" s="16" t="str">
        <f aca="false">IF(OR(F309="",F309=0),IF(G309="","",1),MIN(1,G309/F309))</f>
        <v/>
      </c>
      <c r="I309" s="15"/>
      <c r="J309" s="17" t="str">
        <f aca="false">IF(C309="","",(C309&gt;=Settings!$B$2)+(D309&gt;=Settings!$B$3)+(E309&gt;=Settings!$B$4)+(N(H309)&gt;=1))&amp;"/4"</f>
        <v>/4</v>
      </c>
      <c r="K309" s="14"/>
    </row>
    <row r="310" customFormat="false" ht="15" hidden="false" customHeight="false" outlineLevel="0" collapsed="false">
      <c r="A310" s="13"/>
      <c r="B310" s="14"/>
      <c r="C310" s="15"/>
      <c r="D310" s="15"/>
      <c r="E310" s="15"/>
      <c r="F310" s="15"/>
      <c r="G310" s="15"/>
      <c r="H310" s="16" t="str">
        <f aca="false">IF(OR(F310="",F310=0),IF(G310="","",1),MIN(1,G310/F310))</f>
        <v/>
      </c>
      <c r="I310" s="15"/>
      <c r="J310" s="17" t="str">
        <f aca="false">IF(C310="","",(C310&gt;=Settings!$B$2)+(D310&gt;=Settings!$B$3)+(E310&gt;=Settings!$B$4)+(N(H310)&gt;=1))&amp;"/4"</f>
        <v>/4</v>
      </c>
      <c r="K310" s="14"/>
    </row>
    <row r="311" customFormat="false" ht="15" hidden="false" customHeight="false" outlineLevel="0" collapsed="false">
      <c r="A311" s="13"/>
      <c r="B311" s="14"/>
      <c r="C311" s="15"/>
      <c r="D311" s="15"/>
      <c r="E311" s="15"/>
      <c r="F311" s="15"/>
      <c r="G311" s="15"/>
      <c r="H311" s="16" t="str">
        <f aca="false">IF(OR(F311="",F311=0),IF(G311="","",1),MIN(1,G311/F311))</f>
        <v/>
      </c>
      <c r="I311" s="15"/>
      <c r="J311" s="17" t="str">
        <f aca="false">IF(C311="","",(C311&gt;=Settings!$B$2)+(D311&gt;=Settings!$B$3)+(E311&gt;=Settings!$B$4)+(N(H311)&gt;=1))&amp;"/4"</f>
        <v>/4</v>
      </c>
      <c r="K311" s="14"/>
    </row>
    <row r="312" customFormat="false" ht="15" hidden="false" customHeight="false" outlineLevel="0" collapsed="false">
      <c r="A312" s="13"/>
      <c r="B312" s="14"/>
      <c r="C312" s="15"/>
      <c r="D312" s="15"/>
      <c r="E312" s="15"/>
      <c r="F312" s="15"/>
      <c r="G312" s="15"/>
      <c r="H312" s="16" t="str">
        <f aca="false">IF(OR(F312="",F312=0),IF(G312="","",1),MIN(1,G312/F312))</f>
        <v/>
      </c>
      <c r="I312" s="15"/>
      <c r="J312" s="17" t="str">
        <f aca="false">IF(C312="","",(C312&gt;=Settings!$B$2)+(D312&gt;=Settings!$B$3)+(E312&gt;=Settings!$B$4)+(N(H312)&gt;=1))&amp;"/4"</f>
        <v>/4</v>
      </c>
      <c r="K312" s="14"/>
    </row>
    <row r="313" customFormat="false" ht="15" hidden="false" customHeight="false" outlineLevel="0" collapsed="false">
      <c r="A313" s="13"/>
      <c r="B313" s="14"/>
      <c r="C313" s="15"/>
      <c r="D313" s="15"/>
      <c r="E313" s="15"/>
      <c r="F313" s="15"/>
      <c r="G313" s="15"/>
      <c r="H313" s="16" t="str">
        <f aca="false">IF(OR(F313="",F313=0),IF(G313="","",1),MIN(1,G313/F313))</f>
        <v/>
      </c>
      <c r="I313" s="15"/>
      <c r="J313" s="17" t="str">
        <f aca="false">IF(C313="","",(C313&gt;=Settings!$B$2)+(D313&gt;=Settings!$B$3)+(E313&gt;=Settings!$B$4)+(N(H313)&gt;=1))&amp;"/4"</f>
        <v>/4</v>
      </c>
      <c r="K313" s="14"/>
    </row>
    <row r="314" customFormat="false" ht="15" hidden="false" customHeight="false" outlineLevel="0" collapsed="false">
      <c r="A314" s="13"/>
      <c r="B314" s="14"/>
      <c r="C314" s="15"/>
      <c r="D314" s="15"/>
      <c r="E314" s="15"/>
      <c r="F314" s="15"/>
      <c r="G314" s="15"/>
      <c r="H314" s="16" t="str">
        <f aca="false">IF(OR(F314="",F314=0),IF(G314="","",1),MIN(1,G314/F314))</f>
        <v/>
      </c>
      <c r="I314" s="15"/>
      <c r="J314" s="17" t="str">
        <f aca="false">IF(C314="","",(C314&gt;=Settings!$B$2)+(D314&gt;=Settings!$B$3)+(E314&gt;=Settings!$B$4)+(N(H314)&gt;=1))&amp;"/4"</f>
        <v>/4</v>
      </c>
      <c r="K314" s="14"/>
    </row>
    <row r="315" customFormat="false" ht="15" hidden="false" customHeight="false" outlineLevel="0" collapsed="false">
      <c r="A315" s="13"/>
      <c r="B315" s="14"/>
      <c r="C315" s="15"/>
      <c r="D315" s="15"/>
      <c r="E315" s="15"/>
      <c r="F315" s="15"/>
      <c r="G315" s="15"/>
      <c r="H315" s="16" t="str">
        <f aca="false">IF(OR(F315="",F315=0),IF(G315="","",1),MIN(1,G315/F315))</f>
        <v/>
      </c>
      <c r="I315" s="15"/>
      <c r="J315" s="17" t="str">
        <f aca="false">IF(C315="","",(C315&gt;=Settings!$B$2)+(D315&gt;=Settings!$B$3)+(E315&gt;=Settings!$B$4)+(N(H315)&gt;=1))&amp;"/4"</f>
        <v>/4</v>
      </c>
      <c r="K315" s="14"/>
    </row>
    <row r="316" customFormat="false" ht="15" hidden="false" customHeight="false" outlineLevel="0" collapsed="false">
      <c r="A316" s="13"/>
      <c r="B316" s="14"/>
      <c r="C316" s="15"/>
      <c r="D316" s="15"/>
      <c r="E316" s="15"/>
      <c r="F316" s="15"/>
      <c r="G316" s="15"/>
      <c r="H316" s="16" t="str">
        <f aca="false">IF(OR(F316="",F316=0),IF(G316="","",1),MIN(1,G316/F316))</f>
        <v/>
      </c>
      <c r="I316" s="15"/>
      <c r="J316" s="17" t="str">
        <f aca="false">IF(C316="","",(C316&gt;=Settings!$B$2)+(D316&gt;=Settings!$B$3)+(E316&gt;=Settings!$B$4)+(N(H316)&gt;=1))&amp;"/4"</f>
        <v>/4</v>
      </c>
      <c r="K316" s="14"/>
    </row>
    <row r="317" customFormat="false" ht="15" hidden="false" customHeight="false" outlineLevel="0" collapsed="false">
      <c r="A317" s="13"/>
      <c r="B317" s="14"/>
      <c r="C317" s="15"/>
      <c r="D317" s="15"/>
      <c r="E317" s="15"/>
      <c r="F317" s="15"/>
      <c r="G317" s="15"/>
      <c r="H317" s="16" t="str">
        <f aca="false">IF(OR(F317="",F317=0),IF(G317="","",1),MIN(1,G317/F317))</f>
        <v/>
      </c>
      <c r="I317" s="15"/>
      <c r="J317" s="17" t="str">
        <f aca="false">IF(C317="","",(C317&gt;=Settings!$B$2)+(D317&gt;=Settings!$B$3)+(E317&gt;=Settings!$B$4)+(N(H317)&gt;=1))&amp;"/4"</f>
        <v>/4</v>
      </c>
      <c r="K317" s="14"/>
    </row>
    <row r="318" customFormat="false" ht="15" hidden="false" customHeight="false" outlineLevel="0" collapsed="false">
      <c r="A318" s="13"/>
      <c r="B318" s="14"/>
      <c r="C318" s="15"/>
      <c r="D318" s="15"/>
      <c r="E318" s="15"/>
      <c r="F318" s="15"/>
      <c r="G318" s="15"/>
      <c r="H318" s="16" t="str">
        <f aca="false">IF(OR(F318="",F318=0),IF(G318="","",1),MIN(1,G318/F318))</f>
        <v/>
      </c>
      <c r="I318" s="15"/>
      <c r="J318" s="17" t="str">
        <f aca="false">IF(C318="","",(C318&gt;=Settings!$B$2)+(D318&gt;=Settings!$B$3)+(E318&gt;=Settings!$B$4)+(N(H318)&gt;=1))&amp;"/4"</f>
        <v>/4</v>
      </c>
      <c r="K318" s="14"/>
    </row>
    <row r="319" customFormat="false" ht="15" hidden="false" customHeight="false" outlineLevel="0" collapsed="false">
      <c r="A319" s="13"/>
      <c r="B319" s="14"/>
      <c r="C319" s="15"/>
      <c r="D319" s="15"/>
      <c r="E319" s="15"/>
      <c r="F319" s="15"/>
      <c r="G319" s="15"/>
      <c r="H319" s="16" t="str">
        <f aca="false">IF(OR(F319="",F319=0),IF(G319="","",1),MIN(1,G319/F319))</f>
        <v/>
      </c>
      <c r="I319" s="15"/>
      <c r="J319" s="17" t="str">
        <f aca="false">IF(C319="","",(C319&gt;=Settings!$B$2)+(D319&gt;=Settings!$B$3)+(E319&gt;=Settings!$B$4)+(N(H319)&gt;=1))&amp;"/4"</f>
        <v>/4</v>
      </c>
      <c r="K319" s="14"/>
    </row>
    <row r="320" customFormat="false" ht="15" hidden="false" customHeight="false" outlineLevel="0" collapsed="false">
      <c r="A320" s="13"/>
      <c r="B320" s="14"/>
      <c r="C320" s="15"/>
      <c r="D320" s="15"/>
      <c r="E320" s="15"/>
      <c r="F320" s="15"/>
      <c r="G320" s="15"/>
      <c r="H320" s="16" t="str">
        <f aca="false">IF(OR(F320="",F320=0),IF(G320="","",1),MIN(1,G320/F320))</f>
        <v/>
      </c>
      <c r="I320" s="15"/>
      <c r="J320" s="17" t="str">
        <f aca="false">IF(C320="","",(C320&gt;=Settings!$B$2)+(D320&gt;=Settings!$B$3)+(E320&gt;=Settings!$B$4)+(N(H320)&gt;=1))&amp;"/4"</f>
        <v>/4</v>
      </c>
      <c r="K320" s="14"/>
    </row>
    <row r="321" customFormat="false" ht="15" hidden="false" customHeight="false" outlineLevel="0" collapsed="false">
      <c r="A321" s="13"/>
      <c r="B321" s="14"/>
      <c r="C321" s="15"/>
      <c r="D321" s="15"/>
      <c r="E321" s="15"/>
      <c r="F321" s="15"/>
      <c r="G321" s="15"/>
      <c r="H321" s="16" t="str">
        <f aca="false">IF(OR(F321="",F321=0),IF(G321="","",1),MIN(1,G321/F321))</f>
        <v/>
      </c>
      <c r="I321" s="15"/>
      <c r="J321" s="17" t="str">
        <f aca="false">IF(C321="","",(C321&gt;=Settings!$B$2)+(D321&gt;=Settings!$B$3)+(E321&gt;=Settings!$B$4)+(N(H321)&gt;=1))&amp;"/4"</f>
        <v>/4</v>
      </c>
      <c r="K321" s="14"/>
    </row>
    <row r="322" customFormat="false" ht="15" hidden="false" customHeight="false" outlineLevel="0" collapsed="false">
      <c r="A322" s="13"/>
      <c r="B322" s="14"/>
      <c r="C322" s="15"/>
      <c r="D322" s="15"/>
      <c r="E322" s="15"/>
      <c r="F322" s="15"/>
      <c r="G322" s="15"/>
      <c r="H322" s="16" t="str">
        <f aca="false">IF(OR(F322="",F322=0),IF(G322="","",1),MIN(1,G322/F322))</f>
        <v/>
      </c>
      <c r="I322" s="15"/>
      <c r="J322" s="17" t="str">
        <f aca="false">IF(C322="","",(C322&gt;=Settings!$B$2)+(D322&gt;=Settings!$B$3)+(E322&gt;=Settings!$B$4)+(N(H322)&gt;=1))&amp;"/4"</f>
        <v>/4</v>
      </c>
      <c r="K322" s="14"/>
    </row>
    <row r="323" customFormat="false" ht="15" hidden="false" customHeight="false" outlineLevel="0" collapsed="false">
      <c r="A323" s="13"/>
      <c r="B323" s="14"/>
      <c r="C323" s="15"/>
      <c r="D323" s="15"/>
      <c r="E323" s="15"/>
      <c r="F323" s="15"/>
      <c r="G323" s="15"/>
      <c r="H323" s="16" t="str">
        <f aca="false">IF(OR(F323="",F323=0),IF(G323="","",1),MIN(1,G323/F323))</f>
        <v/>
      </c>
      <c r="I323" s="15"/>
      <c r="J323" s="17" t="str">
        <f aca="false">IF(C323="","",(C323&gt;=Settings!$B$2)+(D323&gt;=Settings!$B$3)+(E323&gt;=Settings!$B$4)+(N(H323)&gt;=1))&amp;"/4"</f>
        <v>/4</v>
      </c>
      <c r="K323" s="14"/>
    </row>
    <row r="324" customFormat="false" ht="15" hidden="false" customHeight="false" outlineLevel="0" collapsed="false">
      <c r="A324" s="13"/>
      <c r="B324" s="14"/>
      <c r="C324" s="15"/>
      <c r="D324" s="15"/>
      <c r="E324" s="15"/>
      <c r="F324" s="15"/>
      <c r="G324" s="15"/>
      <c r="H324" s="16" t="str">
        <f aca="false">IF(OR(F324="",F324=0),IF(G324="","",1),MIN(1,G324/F324))</f>
        <v/>
      </c>
      <c r="I324" s="15"/>
      <c r="J324" s="17" t="str">
        <f aca="false">IF(C324="","",(C324&gt;=Settings!$B$2)+(D324&gt;=Settings!$B$3)+(E324&gt;=Settings!$B$4)+(N(H324)&gt;=1))&amp;"/4"</f>
        <v>/4</v>
      </c>
      <c r="K324" s="14"/>
    </row>
    <row r="325" customFormat="false" ht="15" hidden="false" customHeight="false" outlineLevel="0" collapsed="false">
      <c r="A325" s="13"/>
      <c r="B325" s="14"/>
      <c r="C325" s="15"/>
      <c r="D325" s="15"/>
      <c r="E325" s="15"/>
      <c r="F325" s="15"/>
      <c r="G325" s="15"/>
      <c r="H325" s="16" t="str">
        <f aca="false">IF(OR(F325="",F325=0),IF(G325="","",1),MIN(1,G325/F325))</f>
        <v/>
      </c>
      <c r="I325" s="15"/>
      <c r="J325" s="17" t="str">
        <f aca="false">IF(C325="","",(C325&gt;=Settings!$B$2)+(D325&gt;=Settings!$B$3)+(E325&gt;=Settings!$B$4)+(N(H325)&gt;=1))&amp;"/4"</f>
        <v>/4</v>
      </c>
      <c r="K325" s="14"/>
    </row>
    <row r="326" customFormat="false" ht="15" hidden="false" customHeight="false" outlineLevel="0" collapsed="false">
      <c r="A326" s="13"/>
      <c r="B326" s="14"/>
      <c r="C326" s="15"/>
      <c r="D326" s="15"/>
      <c r="E326" s="15"/>
      <c r="F326" s="15"/>
      <c r="G326" s="15"/>
      <c r="H326" s="16" t="str">
        <f aca="false">IF(OR(F326="",F326=0),IF(G326="","",1),MIN(1,G326/F326))</f>
        <v/>
      </c>
      <c r="I326" s="15"/>
      <c r="J326" s="17" t="str">
        <f aca="false">IF(C326="","",(C326&gt;=Settings!$B$2)+(D326&gt;=Settings!$B$3)+(E326&gt;=Settings!$B$4)+(N(H326)&gt;=1))&amp;"/4"</f>
        <v>/4</v>
      </c>
      <c r="K326" s="14"/>
    </row>
    <row r="327" customFormat="false" ht="15" hidden="false" customHeight="false" outlineLevel="0" collapsed="false">
      <c r="A327" s="13"/>
      <c r="B327" s="14"/>
      <c r="C327" s="15"/>
      <c r="D327" s="15"/>
      <c r="E327" s="15"/>
      <c r="F327" s="15"/>
      <c r="G327" s="15"/>
      <c r="H327" s="16" t="str">
        <f aca="false">IF(OR(F327="",F327=0),IF(G327="","",1),MIN(1,G327/F327))</f>
        <v/>
      </c>
      <c r="I327" s="15"/>
      <c r="J327" s="17" t="str">
        <f aca="false">IF(C327="","",(C327&gt;=Settings!$B$2)+(D327&gt;=Settings!$B$3)+(E327&gt;=Settings!$B$4)+(N(H327)&gt;=1))&amp;"/4"</f>
        <v>/4</v>
      </c>
      <c r="K327" s="14"/>
    </row>
    <row r="328" customFormat="false" ht="15" hidden="false" customHeight="false" outlineLevel="0" collapsed="false">
      <c r="A328" s="13"/>
      <c r="B328" s="14"/>
      <c r="C328" s="15"/>
      <c r="D328" s="15"/>
      <c r="E328" s="15"/>
      <c r="F328" s="15"/>
      <c r="G328" s="15"/>
      <c r="H328" s="16" t="str">
        <f aca="false">IF(OR(F328="",F328=0),IF(G328="","",1),MIN(1,G328/F328))</f>
        <v/>
      </c>
      <c r="I328" s="15"/>
      <c r="J328" s="17" t="str">
        <f aca="false">IF(C328="","",(C328&gt;=Settings!$B$2)+(D328&gt;=Settings!$B$3)+(E328&gt;=Settings!$B$4)+(N(H328)&gt;=1))&amp;"/4"</f>
        <v>/4</v>
      </c>
      <c r="K328" s="14"/>
    </row>
    <row r="329" customFormat="false" ht="15" hidden="false" customHeight="false" outlineLevel="0" collapsed="false">
      <c r="A329" s="13"/>
      <c r="B329" s="14"/>
      <c r="C329" s="15"/>
      <c r="D329" s="15"/>
      <c r="E329" s="15"/>
      <c r="F329" s="15"/>
      <c r="G329" s="15"/>
      <c r="H329" s="16" t="str">
        <f aca="false">IF(OR(F329="",F329=0),IF(G329="","",1),MIN(1,G329/F329))</f>
        <v/>
      </c>
      <c r="I329" s="15"/>
      <c r="J329" s="17" t="str">
        <f aca="false">IF(C329="","",(C329&gt;=Settings!$B$2)+(D329&gt;=Settings!$B$3)+(E329&gt;=Settings!$B$4)+(N(H329)&gt;=1))&amp;"/4"</f>
        <v>/4</v>
      </c>
      <c r="K329" s="14"/>
    </row>
    <row r="330" customFormat="false" ht="15" hidden="false" customHeight="false" outlineLevel="0" collapsed="false">
      <c r="A330" s="13"/>
      <c r="B330" s="14"/>
      <c r="C330" s="15"/>
      <c r="D330" s="15"/>
      <c r="E330" s="15"/>
      <c r="F330" s="15"/>
      <c r="G330" s="15"/>
      <c r="H330" s="16" t="str">
        <f aca="false">IF(OR(F330="",F330=0),IF(G330="","",1),MIN(1,G330/F330))</f>
        <v/>
      </c>
      <c r="I330" s="15"/>
      <c r="J330" s="17" t="str">
        <f aca="false">IF(C330="","",(C330&gt;=Settings!$B$2)+(D330&gt;=Settings!$B$3)+(E330&gt;=Settings!$B$4)+(N(H330)&gt;=1))&amp;"/4"</f>
        <v>/4</v>
      </c>
      <c r="K330" s="14"/>
    </row>
    <row r="331" customFormat="false" ht="15" hidden="false" customHeight="false" outlineLevel="0" collapsed="false">
      <c r="A331" s="13"/>
      <c r="B331" s="14"/>
      <c r="C331" s="15"/>
      <c r="D331" s="15"/>
      <c r="E331" s="15"/>
      <c r="F331" s="15"/>
      <c r="G331" s="15"/>
      <c r="H331" s="16" t="str">
        <f aca="false">IF(OR(F331="",F331=0),IF(G331="","",1),MIN(1,G331/F331))</f>
        <v/>
      </c>
      <c r="I331" s="15"/>
      <c r="J331" s="17" t="str">
        <f aca="false">IF(C331="","",(C331&gt;=Settings!$B$2)+(D331&gt;=Settings!$B$3)+(E331&gt;=Settings!$B$4)+(N(H331)&gt;=1))&amp;"/4"</f>
        <v>/4</v>
      </c>
      <c r="K331" s="14"/>
    </row>
    <row r="332" customFormat="false" ht="15" hidden="false" customHeight="false" outlineLevel="0" collapsed="false">
      <c r="A332" s="13"/>
      <c r="B332" s="14"/>
      <c r="C332" s="15"/>
      <c r="D332" s="15"/>
      <c r="E332" s="15"/>
      <c r="F332" s="15"/>
      <c r="G332" s="15"/>
      <c r="H332" s="16" t="str">
        <f aca="false">IF(OR(F332="",F332=0),IF(G332="","",1),MIN(1,G332/F332))</f>
        <v/>
      </c>
      <c r="I332" s="15"/>
      <c r="J332" s="17" t="str">
        <f aca="false">IF(C332="","",(C332&gt;=Settings!$B$2)+(D332&gt;=Settings!$B$3)+(E332&gt;=Settings!$B$4)+(N(H332)&gt;=1))&amp;"/4"</f>
        <v>/4</v>
      </c>
      <c r="K332" s="14"/>
    </row>
    <row r="333" customFormat="false" ht="15" hidden="false" customHeight="false" outlineLevel="0" collapsed="false">
      <c r="A333" s="13"/>
      <c r="B333" s="14"/>
      <c r="C333" s="15"/>
      <c r="D333" s="15"/>
      <c r="E333" s="15"/>
      <c r="F333" s="15"/>
      <c r="G333" s="15"/>
      <c r="H333" s="16" t="str">
        <f aca="false">IF(OR(F333="",F333=0),IF(G333="","",1),MIN(1,G333/F333))</f>
        <v/>
      </c>
      <c r="I333" s="15"/>
      <c r="J333" s="17" t="str">
        <f aca="false">IF(C333="","",(C333&gt;=Settings!$B$2)+(D333&gt;=Settings!$B$3)+(E333&gt;=Settings!$B$4)+(N(H333)&gt;=1))&amp;"/4"</f>
        <v>/4</v>
      </c>
      <c r="K333" s="14"/>
    </row>
    <row r="334" customFormat="false" ht="15" hidden="false" customHeight="false" outlineLevel="0" collapsed="false">
      <c r="A334" s="13"/>
      <c r="B334" s="14"/>
      <c r="C334" s="15"/>
      <c r="D334" s="15"/>
      <c r="E334" s="15"/>
      <c r="F334" s="15"/>
      <c r="G334" s="15"/>
      <c r="H334" s="16" t="str">
        <f aca="false">IF(OR(F334="",F334=0),IF(G334="","",1),MIN(1,G334/F334))</f>
        <v/>
      </c>
      <c r="I334" s="15"/>
      <c r="J334" s="17" t="str">
        <f aca="false">IF(C334="","",(C334&gt;=Settings!$B$2)+(D334&gt;=Settings!$B$3)+(E334&gt;=Settings!$B$4)+(N(H334)&gt;=1))&amp;"/4"</f>
        <v>/4</v>
      </c>
      <c r="K334" s="14"/>
    </row>
    <row r="335" customFormat="false" ht="15" hidden="false" customHeight="false" outlineLevel="0" collapsed="false">
      <c r="A335" s="13"/>
      <c r="B335" s="14"/>
      <c r="C335" s="15"/>
      <c r="D335" s="15"/>
      <c r="E335" s="15"/>
      <c r="F335" s="15"/>
      <c r="G335" s="15"/>
      <c r="H335" s="16" t="str">
        <f aca="false">IF(OR(F335="",F335=0),IF(G335="","",1),MIN(1,G335/F335))</f>
        <v/>
      </c>
      <c r="I335" s="15"/>
      <c r="J335" s="17" t="str">
        <f aca="false">IF(C335="","",(C335&gt;=Settings!$B$2)+(D335&gt;=Settings!$B$3)+(E335&gt;=Settings!$B$4)+(N(H335)&gt;=1))&amp;"/4"</f>
        <v>/4</v>
      </c>
      <c r="K335" s="14"/>
    </row>
    <row r="336" customFormat="false" ht="15" hidden="false" customHeight="false" outlineLevel="0" collapsed="false">
      <c r="A336" s="13"/>
      <c r="B336" s="14"/>
      <c r="C336" s="15"/>
      <c r="D336" s="15"/>
      <c r="E336" s="15"/>
      <c r="F336" s="15"/>
      <c r="G336" s="15"/>
      <c r="H336" s="16" t="str">
        <f aca="false">IF(OR(F336="",F336=0),IF(G336="","",1),MIN(1,G336/F336))</f>
        <v/>
      </c>
      <c r="I336" s="15"/>
      <c r="J336" s="17" t="str">
        <f aca="false">IF(C336="","",(C336&gt;=Settings!$B$2)+(D336&gt;=Settings!$B$3)+(E336&gt;=Settings!$B$4)+(N(H336)&gt;=1))&amp;"/4"</f>
        <v>/4</v>
      </c>
      <c r="K336" s="14"/>
    </row>
    <row r="337" customFormat="false" ht="15" hidden="false" customHeight="false" outlineLevel="0" collapsed="false">
      <c r="A337" s="13"/>
      <c r="B337" s="14"/>
      <c r="C337" s="15"/>
      <c r="D337" s="15"/>
      <c r="E337" s="15"/>
      <c r="F337" s="15"/>
      <c r="G337" s="15"/>
      <c r="H337" s="16" t="str">
        <f aca="false">IF(OR(F337="",F337=0),IF(G337="","",1),MIN(1,G337/F337))</f>
        <v/>
      </c>
      <c r="I337" s="15"/>
      <c r="J337" s="17" t="str">
        <f aca="false">IF(C337="","",(C337&gt;=Settings!$B$2)+(D337&gt;=Settings!$B$3)+(E337&gt;=Settings!$B$4)+(N(H337)&gt;=1))&amp;"/4"</f>
        <v>/4</v>
      </c>
      <c r="K337" s="14"/>
    </row>
    <row r="338" customFormat="false" ht="15" hidden="false" customHeight="false" outlineLevel="0" collapsed="false">
      <c r="A338" s="13"/>
      <c r="B338" s="14"/>
      <c r="C338" s="15"/>
      <c r="D338" s="15"/>
      <c r="E338" s="15"/>
      <c r="F338" s="15"/>
      <c r="G338" s="15"/>
      <c r="H338" s="16" t="str">
        <f aca="false">IF(OR(F338="",F338=0),IF(G338="","",1),MIN(1,G338/F338))</f>
        <v/>
      </c>
      <c r="I338" s="15"/>
      <c r="J338" s="17" t="str">
        <f aca="false">IF(C338="","",(C338&gt;=Settings!$B$2)+(D338&gt;=Settings!$B$3)+(E338&gt;=Settings!$B$4)+(N(H338)&gt;=1))&amp;"/4"</f>
        <v>/4</v>
      </c>
      <c r="K338" s="14"/>
    </row>
    <row r="339" customFormat="false" ht="15" hidden="false" customHeight="false" outlineLevel="0" collapsed="false">
      <c r="A339" s="13"/>
      <c r="B339" s="14"/>
      <c r="C339" s="15"/>
      <c r="D339" s="15"/>
      <c r="E339" s="15"/>
      <c r="F339" s="15"/>
      <c r="G339" s="15"/>
      <c r="H339" s="16" t="str">
        <f aca="false">IF(OR(F339="",F339=0),IF(G339="","",1),MIN(1,G339/F339))</f>
        <v/>
      </c>
      <c r="I339" s="15"/>
      <c r="J339" s="17" t="str">
        <f aca="false">IF(C339="","",(C339&gt;=Settings!$B$2)+(D339&gt;=Settings!$B$3)+(E339&gt;=Settings!$B$4)+(N(H339)&gt;=1))&amp;"/4"</f>
        <v>/4</v>
      </c>
      <c r="K339" s="14"/>
    </row>
    <row r="340" customFormat="false" ht="15" hidden="false" customHeight="false" outlineLevel="0" collapsed="false">
      <c r="A340" s="13"/>
      <c r="B340" s="14"/>
      <c r="C340" s="15"/>
      <c r="D340" s="15"/>
      <c r="E340" s="15"/>
      <c r="F340" s="15"/>
      <c r="G340" s="15"/>
      <c r="H340" s="16" t="str">
        <f aca="false">IF(OR(F340="",F340=0),IF(G340="","",1),MIN(1,G340/F340))</f>
        <v/>
      </c>
      <c r="I340" s="15"/>
      <c r="J340" s="17" t="str">
        <f aca="false">IF(C340="","",(C340&gt;=Settings!$B$2)+(D340&gt;=Settings!$B$3)+(E340&gt;=Settings!$B$4)+(N(H340)&gt;=1))&amp;"/4"</f>
        <v>/4</v>
      </c>
      <c r="K340" s="14"/>
    </row>
    <row r="341" customFormat="false" ht="15" hidden="false" customHeight="false" outlineLevel="0" collapsed="false">
      <c r="A341" s="13"/>
      <c r="B341" s="14"/>
      <c r="C341" s="15"/>
      <c r="D341" s="15"/>
      <c r="E341" s="15"/>
      <c r="F341" s="15"/>
      <c r="G341" s="15"/>
      <c r="H341" s="16" t="str">
        <f aca="false">IF(OR(F341="",F341=0),IF(G341="","",1),MIN(1,G341/F341))</f>
        <v/>
      </c>
      <c r="I341" s="15"/>
      <c r="J341" s="17" t="str">
        <f aca="false">IF(C341="","",(C341&gt;=Settings!$B$2)+(D341&gt;=Settings!$B$3)+(E341&gt;=Settings!$B$4)+(N(H341)&gt;=1))&amp;"/4"</f>
        <v>/4</v>
      </c>
      <c r="K341" s="14"/>
    </row>
    <row r="342" customFormat="false" ht="15" hidden="false" customHeight="false" outlineLevel="0" collapsed="false">
      <c r="A342" s="13"/>
      <c r="B342" s="14"/>
      <c r="C342" s="15"/>
      <c r="D342" s="15"/>
      <c r="E342" s="15"/>
      <c r="F342" s="15"/>
      <c r="G342" s="15"/>
      <c r="H342" s="16" t="str">
        <f aca="false">IF(OR(F342="",F342=0),IF(G342="","",1),MIN(1,G342/F342))</f>
        <v/>
      </c>
      <c r="I342" s="15"/>
      <c r="J342" s="17" t="str">
        <f aca="false">IF(C342="","",(C342&gt;=Settings!$B$2)+(D342&gt;=Settings!$B$3)+(E342&gt;=Settings!$B$4)+(N(H342)&gt;=1))&amp;"/4"</f>
        <v>/4</v>
      </c>
      <c r="K342" s="14"/>
    </row>
    <row r="343" customFormat="false" ht="15" hidden="false" customHeight="false" outlineLevel="0" collapsed="false">
      <c r="A343" s="13"/>
      <c r="B343" s="14"/>
      <c r="C343" s="15"/>
      <c r="D343" s="15"/>
      <c r="E343" s="15"/>
      <c r="F343" s="15"/>
      <c r="G343" s="15"/>
      <c r="H343" s="16" t="str">
        <f aca="false">IF(OR(F343="",F343=0),IF(G343="","",1),MIN(1,G343/F343))</f>
        <v/>
      </c>
      <c r="I343" s="15"/>
      <c r="J343" s="17" t="str">
        <f aca="false">IF(C343="","",(C343&gt;=Settings!$B$2)+(D343&gt;=Settings!$B$3)+(E343&gt;=Settings!$B$4)+(N(H343)&gt;=1))&amp;"/4"</f>
        <v>/4</v>
      </c>
      <c r="K343" s="14"/>
    </row>
    <row r="344" customFormat="false" ht="15" hidden="false" customHeight="false" outlineLevel="0" collapsed="false">
      <c r="A344" s="13"/>
      <c r="B344" s="14"/>
      <c r="C344" s="15"/>
      <c r="D344" s="15"/>
      <c r="E344" s="15"/>
      <c r="F344" s="15"/>
      <c r="G344" s="15"/>
      <c r="H344" s="16" t="str">
        <f aca="false">IF(OR(F344="",F344=0),IF(G344="","",1),MIN(1,G344/F344))</f>
        <v/>
      </c>
      <c r="I344" s="15"/>
      <c r="J344" s="17" t="str">
        <f aca="false">IF(C344="","",(C344&gt;=Settings!$B$2)+(D344&gt;=Settings!$B$3)+(E344&gt;=Settings!$B$4)+(N(H344)&gt;=1))&amp;"/4"</f>
        <v>/4</v>
      </c>
      <c r="K344" s="14"/>
    </row>
    <row r="345" customFormat="false" ht="15" hidden="false" customHeight="false" outlineLevel="0" collapsed="false">
      <c r="A345" s="13"/>
      <c r="B345" s="14"/>
      <c r="C345" s="15"/>
      <c r="D345" s="15"/>
      <c r="E345" s="15"/>
      <c r="F345" s="15"/>
      <c r="G345" s="15"/>
      <c r="H345" s="16" t="str">
        <f aca="false">IF(OR(F345="",F345=0),IF(G345="","",1),MIN(1,G345/F345))</f>
        <v/>
      </c>
      <c r="I345" s="15"/>
      <c r="J345" s="17" t="str">
        <f aca="false">IF(C345="","",(C345&gt;=Settings!$B$2)+(D345&gt;=Settings!$B$3)+(E345&gt;=Settings!$B$4)+(N(H345)&gt;=1))&amp;"/4"</f>
        <v>/4</v>
      </c>
      <c r="K345" s="14"/>
    </row>
    <row r="346" customFormat="false" ht="15" hidden="false" customHeight="false" outlineLevel="0" collapsed="false">
      <c r="A346" s="13"/>
      <c r="B346" s="14"/>
      <c r="C346" s="15"/>
      <c r="D346" s="15"/>
      <c r="E346" s="15"/>
      <c r="F346" s="15"/>
      <c r="G346" s="15"/>
      <c r="H346" s="16" t="str">
        <f aca="false">IF(OR(F346="",F346=0),IF(G346="","",1),MIN(1,G346/F346))</f>
        <v/>
      </c>
      <c r="I346" s="15"/>
      <c r="J346" s="17" t="str">
        <f aca="false">IF(C346="","",(C346&gt;=Settings!$B$2)+(D346&gt;=Settings!$B$3)+(E346&gt;=Settings!$B$4)+(N(H346)&gt;=1))&amp;"/4"</f>
        <v>/4</v>
      </c>
      <c r="K346" s="14"/>
    </row>
    <row r="347" customFormat="false" ht="15" hidden="false" customHeight="false" outlineLevel="0" collapsed="false">
      <c r="A347" s="13"/>
      <c r="B347" s="14"/>
      <c r="C347" s="15"/>
      <c r="D347" s="15"/>
      <c r="E347" s="15"/>
      <c r="F347" s="15"/>
      <c r="G347" s="15"/>
      <c r="H347" s="16" t="str">
        <f aca="false">IF(OR(F347="",F347=0),IF(G347="","",1),MIN(1,G347/F347))</f>
        <v/>
      </c>
      <c r="I347" s="15"/>
      <c r="J347" s="17" t="str">
        <f aca="false">IF(C347="","",(C347&gt;=Settings!$B$2)+(D347&gt;=Settings!$B$3)+(E347&gt;=Settings!$B$4)+(N(H347)&gt;=1))&amp;"/4"</f>
        <v>/4</v>
      </c>
      <c r="K347" s="14"/>
    </row>
    <row r="348" customFormat="false" ht="15" hidden="false" customHeight="false" outlineLevel="0" collapsed="false">
      <c r="A348" s="13"/>
      <c r="B348" s="14"/>
      <c r="C348" s="15"/>
      <c r="D348" s="15"/>
      <c r="E348" s="15"/>
      <c r="F348" s="15"/>
      <c r="G348" s="15"/>
      <c r="H348" s="16" t="str">
        <f aca="false">IF(OR(F348="",F348=0),IF(G348="","",1),MIN(1,G348/F348))</f>
        <v/>
      </c>
      <c r="I348" s="15"/>
      <c r="J348" s="17" t="str">
        <f aca="false">IF(C348="","",(C348&gt;=Settings!$B$2)+(D348&gt;=Settings!$B$3)+(E348&gt;=Settings!$B$4)+(N(H348)&gt;=1))&amp;"/4"</f>
        <v>/4</v>
      </c>
      <c r="K348" s="14"/>
    </row>
    <row r="349" customFormat="false" ht="15" hidden="false" customHeight="false" outlineLevel="0" collapsed="false">
      <c r="A349" s="13"/>
      <c r="B349" s="14"/>
      <c r="C349" s="15"/>
      <c r="D349" s="15"/>
      <c r="E349" s="15"/>
      <c r="F349" s="15"/>
      <c r="G349" s="15"/>
      <c r="H349" s="16" t="str">
        <f aca="false">IF(OR(F349="",F349=0),IF(G349="","",1),MIN(1,G349/F349))</f>
        <v/>
      </c>
      <c r="I349" s="15"/>
      <c r="J349" s="17" t="str">
        <f aca="false">IF(C349="","",(C349&gt;=Settings!$B$2)+(D349&gt;=Settings!$B$3)+(E349&gt;=Settings!$B$4)+(N(H349)&gt;=1))&amp;"/4"</f>
        <v>/4</v>
      </c>
      <c r="K349" s="14"/>
    </row>
    <row r="350" customFormat="false" ht="15" hidden="false" customHeight="false" outlineLevel="0" collapsed="false">
      <c r="A350" s="13"/>
      <c r="B350" s="14"/>
      <c r="C350" s="15"/>
      <c r="D350" s="15"/>
      <c r="E350" s="15"/>
      <c r="F350" s="15"/>
      <c r="G350" s="15"/>
      <c r="H350" s="16" t="str">
        <f aca="false">IF(OR(F350="",F350=0),IF(G350="","",1),MIN(1,G350/F350))</f>
        <v/>
      </c>
      <c r="I350" s="15"/>
      <c r="J350" s="17" t="str">
        <f aca="false">IF(C350="","",(C350&gt;=Settings!$B$2)+(D350&gt;=Settings!$B$3)+(E350&gt;=Settings!$B$4)+(N(H350)&gt;=1))&amp;"/4"</f>
        <v>/4</v>
      </c>
      <c r="K350" s="14"/>
    </row>
    <row r="351" customFormat="false" ht="15" hidden="false" customHeight="false" outlineLevel="0" collapsed="false">
      <c r="A351" s="13"/>
      <c r="B351" s="14"/>
      <c r="C351" s="15"/>
      <c r="D351" s="15"/>
      <c r="E351" s="15"/>
      <c r="F351" s="15"/>
      <c r="G351" s="15"/>
      <c r="H351" s="16" t="str">
        <f aca="false">IF(OR(F351="",F351=0),IF(G351="","",1),MIN(1,G351/F351))</f>
        <v/>
      </c>
      <c r="I351" s="15"/>
      <c r="J351" s="17" t="str">
        <f aca="false">IF(C351="","",(C351&gt;=Settings!$B$2)+(D351&gt;=Settings!$B$3)+(E351&gt;=Settings!$B$4)+(N(H351)&gt;=1))&amp;"/4"</f>
        <v>/4</v>
      </c>
      <c r="K351" s="14"/>
    </row>
    <row r="352" customFormat="false" ht="15" hidden="false" customHeight="false" outlineLevel="0" collapsed="false">
      <c r="A352" s="13"/>
      <c r="B352" s="14"/>
      <c r="C352" s="15"/>
      <c r="D352" s="15"/>
      <c r="E352" s="15"/>
      <c r="F352" s="15"/>
      <c r="G352" s="15"/>
      <c r="H352" s="16" t="str">
        <f aca="false">IF(OR(F352="",F352=0),IF(G352="","",1),MIN(1,G352/F352))</f>
        <v/>
      </c>
      <c r="I352" s="15"/>
      <c r="J352" s="17" t="str">
        <f aca="false">IF(C352="","",(C352&gt;=Settings!$B$2)+(D352&gt;=Settings!$B$3)+(E352&gt;=Settings!$B$4)+(N(H352)&gt;=1))&amp;"/4"</f>
        <v>/4</v>
      </c>
      <c r="K352" s="14"/>
    </row>
    <row r="353" customFormat="false" ht="15" hidden="false" customHeight="false" outlineLevel="0" collapsed="false">
      <c r="A353" s="13"/>
      <c r="B353" s="14"/>
      <c r="C353" s="15"/>
      <c r="D353" s="15"/>
      <c r="E353" s="15"/>
      <c r="F353" s="15"/>
      <c r="G353" s="15"/>
      <c r="H353" s="16" t="str">
        <f aca="false">IF(OR(F353="",F353=0),IF(G353="","",1),MIN(1,G353/F353))</f>
        <v/>
      </c>
      <c r="I353" s="15"/>
      <c r="J353" s="17" t="str">
        <f aca="false">IF(C353="","",(C353&gt;=Settings!$B$2)+(D353&gt;=Settings!$B$3)+(E353&gt;=Settings!$B$4)+(N(H353)&gt;=1))&amp;"/4"</f>
        <v>/4</v>
      </c>
      <c r="K353" s="14"/>
    </row>
    <row r="354" customFormat="false" ht="15" hidden="false" customHeight="false" outlineLevel="0" collapsed="false">
      <c r="A354" s="13"/>
      <c r="B354" s="14"/>
      <c r="C354" s="15"/>
      <c r="D354" s="15"/>
      <c r="E354" s="15"/>
      <c r="F354" s="15"/>
      <c r="G354" s="15"/>
      <c r="H354" s="16" t="str">
        <f aca="false">IF(OR(F354="",F354=0),IF(G354="","",1),MIN(1,G354/F354))</f>
        <v/>
      </c>
      <c r="I354" s="15"/>
      <c r="J354" s="17" t="str">
        <f aca="false">IF(C354="","",(C354&gt;=Settings!$B$2)+(D354&gt;=Settings!$B$3)+(E354&gt;=Settings!$B$4)+(N(H354)&gt;=1))&amp;"/4"</f>
        <v>/4</v>
      </c>
      <c r="K354" s="14"/>
    </row>
    <row r="355" customFormat="false" ht="15" hidden="false" customHeight="false" outlineLevel="0" collapsed="false">
      <c r="A355" s="13"/>
      <c r="B355" s="14"/>
      <c r="C355" s="15"/>
      <c r="D355" s="15"/>
      <c r="E355" s="15"/>
      <c r="F355" s="15"/>
      <c r="G355" s="15"/>
      <c r="H355" s="16" t="str">
        <f aca="false">IF(OR(F355="",F355=0),IF(G355="","",1),MIN(1,G355/F355))</f>
        <v/>
      </c>
      <c r="I355" s="15"/>
      <c r="J355" s="17" t="str">
        <f aca="false">IF(C355="","",(C355&gt;=Settings!$B$2)+(D355&gt;=Settings!$B$3)+(E355&gt;=Settings!$B$4)+(N(H355)&gt;=1))&amp;"/4"</f>
        <v>/4</v>
      </c>
      <c r="K355" s="14"/>
    </row>
    <row r="356" customFormat="false" ht="15" hidden="false" customHeight="false" outlineLevel="0" collapsed="false">
      <c r="A356" s="13"/>
      <c r="B356" s="14"/>
      <c r="C356" s="15"/>
      <c r="D356" s="15"/>
      <c r="E356" s="15"/>
      <c r="F356" s="15"/>
      <c r="G356" s="15"/>
      <c r="H356" s="16" t="str">
        <f aca="false">IF(OR(F356="",F356=0),IF(G356="","",1),MIN(1,G356/F356))</f>
        <v/>
      </c>
      <c r="I356" s="15"/>
      <c r="J356" s="17" t="str">
        <f aca="false">IF(C356="","",(C356&gt;=Settings!$B$2)+(D356&gt;=Settings!$B$3)+(E356&gt;=Settings!$B$4)+(N(H356)&gt;=1))&amp;"/4"</f>
        <v>/4</v>
      </c>
      <c r="K356" s="14"/>
    </row>
    <row r="357" customFormat="false" ht="15" hidden="false" customHeight="false" outlineLevel="0" collapsed="false">
      <c r="A357" s="13"/>
      <c r="B357" s="14"/>
      <c r="C357" s="15"/>
      <c r="D357" s="15"/>
      <c r="E357" s="15"/>
      <c r="F357" s="15"/>
      <c r="G357" s="15"/>
      <c r="H357" s="16" t="str">
        <f aca="false">IF(OR(F357="",F357=0),IF(G357="","",1),MIN(1,G357/F357))</f>
        <v/>
      </c>
      <c r="I357" s="15"/>
      <c r="J357" s="17" t="str">
        <f aca="false">IF(C357="","",(C357&gt;=Settings!$B$2)+(D357&gt;=Settings!$B$3)+(E357&gt;=Settings!$B$4)+(N(H357)&gt;=1))&amp;"/4"</f>
        <v>/4</v>
      </c>
      <c r="K357" s="14"/>
    </row>
    <row r="358" customFormat="false" ht="15" hidden="false" customHeight="false" outlineLevel="0" collapsed="false">
      <c r="A358" s="13"/>
      <c r="B358" s="14"/>
      <c r="C358" s="15"/>
      <c r="D358" s="15"/>
      <c r="E358" s="15"/>
      <c r="F358" s="15"/>
      <c r="G358" s="15"/>
      <c r="H358" s="16" t="str">
        <f aca="false">IF(OR(F358="",F358=0),IF(G358="","",1),MIN(1,G358/F358))</f>
        <v/>
      </c>
      <c r="I358" s="15"/>
      <c r="J358" s="17" t="str">
        <f aca="false">IF(C358="","",(C358&gt;=Settings!$B$2)+(D358&gt;=Settings!$B$3)+(E358&gt;=Settings!$B$4)+(N(H358)&gt;=1))&amp;"/4"</f>
        <v>/4</v>
      </c>
      <c r="K358" s="14"/>
    </row>
    <row r="359" customFormat="false" ht="15" hidden="false" customHeight="false" outlineLevel="0" collapsed="false">
      <c r="A359" s="13"/>
      <c r="B359" s="14"/>
      <c r="C359" s="15"/>
      <c r="D359" s="15"/>
      <c r="E359" s="15"/>
      <c r="F359" s="15"/>
      <c r="G359" s="15"/>
      <c r="H359" s="16" t="str">
        <f aca="false">IF(OR(F359="",F359=0),IF(G359="","",1),MIN(1,G359/F359))</f>
        <v/>
      </c>
      <c r="I359" s="15"/>
      <c r="J359" s="17" t="str">
        <f aca="false">IF(C359="","",(C359&gt;=Settings!$B$2)+(D359&gt;=Settings!$B$3)+(E359&gt;=Settings!$B$4)+(N(H359)&gt;=1))&amp;"/4"</f>
        <v>/4</v>
      </c>
      <c r="K359" s="14"/>
    </row>
    <row r="360" customFormat="false" ht="15" hidden="false" customHeight="false" outlineLevel="0" collapsed="false">
      <c r="A360" s="13"/>
      <c r="B360" s="14"/>
      <c r="C360" s="15"/>
      <c r="D360" s="15"/>
      <c r="E360" s="15"/>
      <c r="F360" s="15"/>
      <c r="G360" s="15"/>
      <c r="H360" s="16" t="str">
        <f aca="false">IF(OR(F360="",F360=0),IF(G360="","",1),MIN(1,G360/F360))</f>
        <v/>
      </c>
      <c r="I360" s="15"/>
      <c r="J360" s="17" t="str">
        <f aca="false">IF(C360="","",(C360&gt;=Settings!$B$2)+(D360&gt;=Settings!$B$3)+(E360&gt;=Settings!$B$4)+(N(H360)&gt;=1))&amp;"/4"</f>
        <v>/4</v>
      </c>
      <c r="K360" s="14"/>
    </row>
    <row r="361" customFormat="false" ht="15" hidden="false" customHeight="false" outlineLevel="0" collapsed="false">
      <c r="A361" s="13"/>
      <c r="B361" s="14"/>
      <c r="C361" s="15"/>
      <c r="D361" s="15"/>
      <c r="E361" s="15"/>
      <c r="F361" s="15"/>
      <c r="G361" s="15"/>
      <c r="H361" s="16" t="str">
        <f aca="false">IF(OR(F361="",F361=0),IF(G361="","",1),MIN(1,G361/F361))</f>
        <v/>
      </c>
      <c r="I361" s="15"/>
      <c r="J361" s="17" t="str">
        <f aca="false">IF(C361="","",(C361&gt;=Settings!$B$2)+(D361&gt;=Settings!$B$3)+(E361&gt;=Settings!$B$4)+(N(H361)&gt;=1))&amp;"/4"</f>
        <v>/4</v>
      </c>
      <c r="K361" s="14"/>
    </row>
    <row r="362" customFormat="false" ht="15" hidden="false" customHeight="false" outlineLevel="0" collapsed="false">
      <c r="A362" s="13"/>
      <c r="B362" s="14"/>
      <c r="C362" s="15"/>
      <c r="D362" s="15"/>
      <c r="E362" s="15"/>
      <c r="F362" s="15"/>
      <c r="G362" s="15"/>
      <c r="H362" s="16" t="str">
        <f aca="false">IF(OR(F362="",F362=0),IF(G362="","",1),MIN(1,G362/F362))</f>
        <v/>
      </c>
      <c r="I362" s="15"/>
      <c r="J362" s="17" t="str">
        <f aca="false">IF(C362="","",(C362&gt;=Settings!$B$2)+(D362&gt;=Settings!$B$3)+(E362&gt;=Settings!$B$4)+(N(H362)&gt;=1))&amp;"/4"</f>
        <v>/4</v>
      </c>
      <c r="K362" s="14"/>
    </row>
    <row r="363" customFormat="false" ht="15" hidden="false" customHeight="false" outlineLevel="0" collapsed="false">
      <c r="A363" s="13"/>
      <c r="B363" s="14"/>
      <c r="C363" s="15"/>
      <c r="D363" s="15"/>
      <c r="E363" s="15"/>
      <c r="F363" s="15"/>
      <c r="G363" s="15"/>
      <c r="H363" s="16" t="str">
        <f aca="false">IF(OR(F363="",F363=0),IF(G363="","",1),MIN(1,G363/F363))</f>
        <v/>
      </c>
      <c r="I363" s="15"/>
      <c r="J363" s="17" t="str">
        <f aca="false">IF(C363="","",(C363&gt;=Settings!$B$2)+(D363&gt;=Settings!$B$3)+(E363&gt;=Settings!$B$4)+(N(H363)&gt;=1))&amp;"/4"</f>
        <v>/4</v>
      </c>
      <c r="K363" s="14"/>
    </row>
    <row r="364" customFormat="false" ht="15" hidden="false" customHeight="false" outlineLevel="0" collapsed="false">
      <c r="A364" s="13"/>
      <c r="B364" s="14"/>
      <c r="C364" s="15"/>
      <c r="D364" s="15"/>
      <c r="E364" s="15"/>
      <c r="F364" s="15"/>
      <c r="G364" s="15"/>
      <c r="H364" s="16" t="str">
        <f aca="false">IF(OR(F364="",F364=0),IF(G364="","",1),MIN(1,G364/F364))</f>
        <v/>
      </c>
      <c r="I364" s="15"/>
      <c r="J364" s="17" t="str">
        <f aca="false">IF(C364="","",(C364&gt;=Settings!$B$2)+(D364&gt;=Settings!$B$3)+(E364&gt;=Settings!$B$4)+(N(H364)&gt;=1))&amp;"/4"</f>
        <v>/4</v>
      </c>
      <c r="K364" s="14"/>
    </row>
    <row r="365" customFormat="false" ht="15" hidden="false" customHeight="false" outlineLevel="0" collapsed="false">
      <c r="A365" s="13"/>
      <c r="B365" s="14"/>
      <c r="C365" s="15"/>
      <c r="D365" s="15"/>
      <c r="E365" s="15"/>
      <c r="F365" s="15"/>
      <c r="G365" s="15"/>
      <c r="H365" s="16" t="str">
        <f aca="false">IF(OR(F365="",F365=0),IF(G365="","",1),MIN(1,G365/F365))</f>
        <v/>
      </c>
      <c r="I365" s="15"/>
      <c r="J365" s="17" t="str">
        <f aca="false">IF(C365="","",(C365&gt;=Settings!$B$2)+(D365&gt;=Settings!$B$3)+(E365&gt;=Settings!$B$4)+(N(H365)&gt;=1))&amp;"/4"</f>
        <v>/4</v>
      </c>
      <c r="K365" s="14"/>
    </row>
    <row r="366" customFormat="false" ht="15" hidden="false" customHeight="false" outlineLevel="0" collapsed="false">
      <c r="A366" s="13"/>
      <c r="B366" s="14"/>
      <c r="C366" s="15"/>
      <c r="D366" s="15"/>
      <c r="E366" s="15"/>
      <c r="F366" s="15"/>
      <c r="G366" s="15"/>
      <c r="H366" s="16" t="str">
        <f aca="false">IF(OR(F366="",F366=0),IF(G366="","",1),MIN(1,G366/F366))</f>
        <v/>
      </c>
      <c r="I366" s="15"/>
      <c r="J366" s="17" t="str">
        <f aca="false">IF(C366="","",(C366&gt;=Settings!$B$2)+(D366&gt;=Settings!$B$3)+(E366&gt;=Settings!$B$4)+(N(H366)&gt;=1))&amp;"/4"</f>
        <v>/4</v>
      </c>
      <c r="K366" s="14"/>
    </row>
    <row r="367" customFormat="false" ht="15" hidden="false" customHeight="false" outlineLevel="0" collapsed="false">
      <c r="A367" s="13"/>
      <c r="B367" s="14"/>
      <c r="C367" s="15"/>
      <c r="D367" s="15"/>
      <c r="E367" s="15"/>
      <c r="F367" s="15"/>
      <c r="G367" s="15"/>
      <c r="H367" s="16" t="str">
        <f aca="false">IF(OR(F367="",F367=0),IF(G367="","",1),MIN(1,G367/F367))</f>
        <v/>
      </c>
      <c r="I367" s="15"/>
      <c r="J367" s="17" t="str">
        <f aca="false">IF(C367="","",(C367&gt;=Settings!$B$2)+(D367&gt;=Settings!$B$3)+(E367&gt;=Settings!$B$4)+(N(H367)&gt;=1))&amp;"/4"</f>
        <v>/4</v>
      </c>
      <c r="K367" s="14"/>
    </row>
    <row r="368" customFormat="false" ht="15" hidden="false" customHeight="false" outlineLevel="0" collapsed="false">
      <c r="A368" s="13"/>
      <c r="B368" s="14"/>
      <c r="C368" s="15"/>
      <c r="D368" s="15"/>
      <c r="E368" s="15"/>
      <c r="F368" s="15"/>
      <c r="G368" s="15"/>
      <c r="H368" s="16" t="str">
        <f aca="false">IF(OR(F368="",F368=0),IF(G368="","",1),MIN(1,G368/F368))</f>
        <v/>
      </c>
      <c r="I368" s="15"/>
      <c r="J368" s="17" t="str">
        <f aca="false">IF(C368="","",(C368&gt;=Settings!$B$2)+(D368&gt;=Settings!$B$3)+(E368&gt;=Settings!$B$4)+(N(H368)&gt;=1))&amp;"/4"</f>
        <v>/4</v>
      </c>
      <c r="K368" s="14"/>
    </row>
    <row r="369" customFormat="false" ht="15" hidden="false" customHeight="false" outlineLevel="0" collapsed="false">
      <c r="A369" s="13"/>
      <c r="B369" s="14"/>
      <c r="C369" s="15"/>
      <c r="D369" s="15"/>
      <c r="E369" s="15"/>
      <c r="F369" s="15"/>
      <c r="G369" s="15"/>
      <c r="H369" s="16" t="str">
        <f aca="false">IF(OR(F369="",F369=0),IF(G369="","",1),MIN(1,G369/F369))</f>
        <v/>
      </c>
      <c r="I369" s="15"/>
      <c r="J369" s="17" t="str">
        <f aca="false">IF(C369="","",(C369&gt;=Settings!$B$2)+(D369&gt;=Settings!$B$3)+(E369&gt;=Settings!$B$4)+(N(H369)&gt;=1))&amp;"/4"</f>
        <v>/4</v>
      </c>
      <c r="K369" s="14"/>
    </row>
    <row r="370" customFormat="false" ht="15" hidden="false" customHeight="false" outlineLevel="0" collapsed="false">
      <c r="A370" s="13"/>
      <c r="B370" s="14"/>
      <c r="C370" s="15"/>
      <c r="D370" s="15"/>
      <c r="E370" s="15"/>
      <c r="F370" s="15"/>
      <c r="G370" s="15"/>
      <c r="H370" s="16" t="str">
        <f aca="false">IF(OR(F370="",F370=0),IF(G370="","",1),MIN(1,G370/F370))</f>
        <v/>
      </c>
      <c r="I370" s="15"/>
      <c r="J370" s="17" t="str">
        <f aca="false">IF(C370="","",(C370&gt;=Settings!$B$2)+(D370&gt;=Settings!$B$3)+(E370&gt;=Settings!$B$4)+(N(H370)&gt;=1))&amp;"/4"</f>
        <v>/4</v>
      </c>
      <c r="K370" s="14"/>
    </row>
    <row r="371" customFormat="false" ht="15" hidden="false" customHeight="false" outlineLevel="0" collapsed="false">
      <c r="A371" s="13"/>
      <c r="B371" s="14"/>
      <c r="C371" s="15"/>
      <c r="D371" s="15"/>
      <c r="E371" s="15"/>
      <c r="F371" s="15"/>
      <c r="G371" s="15"/>
      <c r="H371" s="16" t="str">
        <f aca="false">IF(OR(F371="",F371=0),IF(G371="","",1),MIN(1,G371/F371))</f>
        <v/>
      </c>
      <c r="I371" s="15"/>
      <c r="J371" s="17" t="str">
        <f aca="false">IF(C371="","",(C371&gt;=Settings!$B$2)+(D371&gt;=Settings!$B$3)+(E371&gt;=Settings!$B$4)+(N(H371)&gt;=1))&amp;"/4"</f>
        <v>/4</v>
      </c>
      <c r="K371" s="14"/>
    </row>
    <row r="372" customFormat="false" ht="15" hidden="false" customHeight="false" outlineLevel="0" collapsed="false">
      <c r="A372" s="13"/>
      <c r="B372" s="14"/>
      <c r="C372" s="15"/>
      <c r="D372" s="15"/>
      <c r="E372" s="15"/>
      <c r="F372" s="15"/>
      <c r="G372" s="15"/>
      <c r="H372" s="16" t="str">
        <f aca="false">IF(OR(F372="",F372=0),IF(G372="","",1),MIN(1,G372/F372))</f>
        <v/>
      </c>
      <c r="I372" s="15"/>
      <c r="J372" s="17" t="str">
        <f aca="false">IF(C372="","",(C372&gt;=Settings!$B$2)+(D372&gt;=Settings!$B$3)+(E372&gt;=Settings!$B$4)+(N(H372)&gt;=1))&amp;"/4"</f>
        <v>/4</v>
      </c>
      <c r="K372" s="14"/>
    </row>
    <row r="373" customFormat="false" ht="15" hidden="false" customHeight="false" outlineLevel="0" collapsed="false">
      <c r="A373" s="13"/>
      <c r="B373" s="14"/>
      <c r="C373" s="15"/>
      <c r="D373" s="15"/>
      <c r="E373" s="15"/>
      <c r="F373" s="15"/>
      <c r="G373" s="15"/>
      <c r="H373" s="16" t="str">
        <f aca="false">IF(OR(F373="",F373=0),IF(G373="","",1),MIN(1,G373/F373))</f>
        <v/>
      </c>
      <c r="I373" s="15"/>
      <c r="J373" s="17" t="str">
        <f aca="false">IF(C373="","",(C373&gt;=Settings!$B$2)+(D373&gt;=Settings!$B$3)+(E373&gt;=Settings!$B$4)+(N(H373)&gt;=1))&amp;"/4"</f>
        <v>/4</v>
      </c>
      <c r="K373" s="14"/>
    </row>
    <row r="374" customFormat="false" ht="15" hidden="false" customHeight="false" outlineLevel="0" collapsed="false">
      <c r="A374" s="13"/>
      <c r="B374" s="14"/>
      <c r="C374" s="15"/>
      <c r="D374" s="15"/>
      <c r="E374" s="15"/>
      <c r="F374" s="15"/>
      <c r="G374" s="15"/>
      <c r="H374" s="16" t="str">
        <f aca="false">IF(OR(F374="",F374=0),IF(G374="","",1),MIN(1,G374/F374))</f>
        <v/>
      </c>
      <c r="I374" s="15"/>
      <c r="J374" s="17" t="str">
        <f aca="false">IF(C374="","",(C374&gt;=Settings!$B$2)+(D374&gt;=Settings!$B$3)+(E374&gt;=Settings!$B$4)+(N(H374)&gt;=1))&amp;"/4"</f>
        <v>/4</v>
      </c>
      <c r="K374" s="14"/>
    </row>
    <row r="375" customFormat="false" ht="15" hidden="false" customHeight="false" outlineLevel="0" collapsed="false">
      <c r="A375" s="13"/>
      <c r="B375" s="14"/>
      <c r="C375" s="15"/>
      <c r="D375" s="15"/>
      <c r="E375" s="15"/>
      <c r="F375" s="15"/>
      <c r="G375" s="15"/>
      <c r="H375" s="16" t="str">
        <f aca="false">IF(OR(F375="",F375=0),IF(G375="","",1),MIN(1,G375/F375))</f>
        <v/>
      </c>
      <c r="I375" s="15"/>
      <c r="J375" s="17" t="str">
        <f aca="false">IF(C375="","",(C375&gt;=Settings!$B$2)+(D375&gt;=Settings!$B$3)+(E375&gt;=Settings!$B$4)+(N(H375)&gt;=1))&amp;"/4"</f>
        <v>/4</v>
      </c>
      <c r="K375" s="14"/>
    </row>
    <row r="376" customFormat="false" ht="15" hidden="false" customHeight="false" outlineLevel="0" collapsed="false">
      <c r="A376" s="13"/>
      <c r="B376" s="14"/>
      <c r="C376" s="15"/>
      <c r="D376" s="15"/>
      <c r="E376" s="15"/>
      <c r="F376" s="15"/>
      <c r="G376" s="15"/>
      <c r="H376" s="16" t="str">
        <f aca="false">IF(OR(F376="",F376=0),IF(G376="","",1),MIN(1,G376/F376))</f>
        <v/>
      </c>
      <c r="I376" s="15"/>
      <c r="J376" s="17" t="str">
        <f aca="false">IF(C376="","",(C376&gt;=Settings!$B$2)+(D376&gt;=Settings!$B$3)+(E376&gt;=Settings!$B$4)+(N(H376)&gt;=1))&amp;"/4"</f>
        <v>/4</v>
      </c>
      <c r="K376" s="14"/>
    </row>
    <row r="377" customFormat="false" ht="15" hidden="false" customHeight="false" outlineLevel="0" collapsed="false">
      <c r="A377" s="13"/>
      <c r="B377" s="14"/>
      <c r="C377" s="15"/>
      <c r="D377" s="15"/>
      <c r="E377" s="15"/>
      <c r="F377" s="15"/>
      <c r="G377" s="15"/>
      <c r="H377" s="16" t="str">
        <f aca="false">IF(OR(F377="",F377=0),IF(G377="","",1),MIN(1,G377/F377))</f>
        <v/>
      </c>
      <c r="I377" s="15"/>
      <c r="J377" s="17" t="str">
        <f aca="false">IF(C377="","",(C377&gt;=Settings!$B$2)+(D377&gt;=Settings!$B$3)+(E377&gt;=Settings!$B$4)+(N(H377)&gt;=1))&amp;"/4"</f>
        <v>/4</v>
      </c>
      <c r="K377" s="14"/>
    </row>
    <row r="378" customFormat="false" ht="15" hidden="false" customHeight="false" outlineLevel="0" collapsed="false">
      <c r="A378" s="13"/>
      <c r="B378" s="14"/>
      <c r="C378" s="15"/>
      <c r="D378" s="15"/>
      <c r="E378" s="15"/>
      <c r="F378" s="15"/>
      <c r="G378" s="15"/>
      <c r="H378" s="16" t="str">
        <f aca="false">IF(OR(F378="",F378=0),IF(G378="","",1),MIN(1,G378/F378))</f>
        <v/>
      </c>
      <c r="I378" s="15"/>
      <c r="J378" s="17" t="str">
        <f aca="false">IF(C378="","",(C378&gt;=Settings!$B$2)+(D378&gt;=Settings!$B$3)+(E378&gt;=Settings!$B$4)+(N(H378)&gt;=1))&amp;"/4"</f>
        <v>/4</v>
      </c>
      <c r="K378" s="14"/>
    </row>
    <row r="379" customFormat="false" ht="15" hidden="false" customHeight="false" outlineLevel="0" collapsed="false">
      <c r="A379" s="13"/>
      <c r="B379" s="14"/>
      <c r="C379" s="15"/>
      <c r="D379" s="15"/>
      <c r="E379" s="15"/>
      <c r="F379" s="15"/>
      <c r="G379" s="15"/>
      <c r="H379" s="16" t="str">
        <f aca="false">IF(OR(F379="",F379=0),IF(G379="","",1),MIN(1,G379/F379))</f>
        <v/>
      </c>
      <c r="I379" s="15"/>
      <c r="J379" s="17" t="str">
        <f aca="false">IF(C379="","",(C379&gt;=Settings!$B$2)+(D379&gt;=Settings!$B$3)+(E379&gt;=Settings!$B$4)+(N(H379)&gt;=1))&amp;"/4"</f>
        <v>/4</v>
      </c>
      <c r="K379" s="14"/>
    </row>
    <row r="380" customFormat="false" ht="15" hidden="false" customHeight="false" outlineLevel="0" collapsed="false">
      <c r="A380" s="13"/>
      <c r="B380" s="14"/>
      <c r="C380" s="15"/>
      <c r="D380" s="15"/>
      <c r="E380" s="15"/>
      <c r="F380" s="15"/>
      <c r="G380" s="15"/>
      <c r="H380" s="16" t="str">
        <f aca="false">IF(OR(F380="",F380=0),IF(G380="","",1),MIN(1,G380/F380))</f>
        <v/>
      </c>
      <c r="I380" s="15"/>
      <c r="J380" s="17" t="str">
        <f aca="false">IF(C380="","",(C380&gt;=Settings!$B$2)+(D380&gt;=Settings!$B$3)+(E380&gt;=Settings!$B$4)+(N(H380)&gt;=1))&amp;"/4"</f>
        <v>/4</v>
      </c>
      <c r="K380" s="14"/>
    </row>
    <row r="381" customFormat="false" ht="15" hidden="false" customHeight="false" outlineLevel="0" collapsed="false">
      <c r="A381" s="13"/>
      <c r="B381" s="14"/>
      <c r="C381" s="15"/>
      <c r="D381" s="15"/>
      <c r="E381" s="15"/>
      <c r="F381" s="15"/>
      <c r="G381" s="15"/>
      <c r="H381" s="16" t="str">
        <f aca="false">IF(OR(F381="",F381=0),IF(G381="","",1),MIN(1,G381/F381))</f>
        <v/>
      </c>
      <c r="I381" s="15"/>
      <c r="J381" s="17" t="str">
        <f aca="false">IF(C381="","",(C381&gt;=Settings!$B$2)+(D381&gt;=Settings!$B$3)+(E381&gt;=Settings!$B$4)+(N(H381)&gt;=1))&amp;"/4"</f>
        <v>/4</v>
      </c>
      <c r="K381" s="14"/>
    </row>
    <row r="382" customFormat="false" ht="15" hidden="false" customHeight="false" outlineLevel="0" collapsed="false">
      <c r="A382" s="13"/>
      <c r="B382" s="14"/>
      <c r="C382" s="15"/>
      <c r="D382" s="15"/>
      <c r="E382" s="15"/>
      <c r="F382" s="15"/>
      <c r="G382" s="15"/>
      <c r="H382" s="16" t="str">
        <f aca="false">IF(OR(F382="",F382=0),IF(G382="","",1),MIN(1,G382/F382))</f>
        <v/>
      </c>
      <c r="I382" s="15"/>
      <c r="J382" s="17" t="str">
        <f aca="false">IF(C382="","",(C382&gt;=Settings!$B$2)+(D382&gt;=Settings!$B$3)+(E382&gt;=Settings!$B$4)+(N(H382)&gt;=1))&amp;"/4"</f>
        <v>/4</v>
      </c>
      <c r="K382" s="14"/>
    </row>
    <row r="383" customFormat="false" ht="15" hidden="false" customHeight="false" outlineLevel="0" collapsed="false">
      <c r="A383" s="13"/>
      <c r="B383" s="14"/>
      <c r="C383" s="15"/>
      <c r="D383" s="15"/>
      <c r="E383" s="15"/>
      <c r="F383" s="15"/>
      <c r="G383" s="15"/>
      <c r="H383" s="16" t="str">
        <f aca="false">IF(OR(F383="",F383=0),IF(G383="","",1),MIN(1,G383/F383))</f>
        <v/>
      </c>
      <c r="I383" s="15"/>
      <c r="J383" s="17" t="str">
        <f aca="false">IF(C383="","",(C383&gt;=Settings!$B$2)+(D383&gt;=Settings!$B$3)+(E383&gt;=Settings!$B$4)+(N(H383)&gt;=1))&amp;"/4"</f>
        <v>/4</v>
      </c>
      <c r="K383" s="14"/>
    </row>
    <row r="384" customFormat="false" ht="15" hidden="false" customHeight="false" outlineLevel="0" collapsed="false">
      <c r="A384" s="13"/>
      <c r="B384" s="14"/>
      <c r="C384" s="15"/>
      <c r="D384" s="15"/>
      <c r="E384" s="15"/>
      <c r="F384" s="15"/>
      <c r="G384" s="15"/>
      <c r="H384" s="16" t="str">
        <f aca="false">IF(OR(F384="",F384=0),IF(G384="","",1),MIN(1,G384/F384))</f>
        <v/>
      </c>
      <c r="I384" s="15"/>
      <c r="J384" s="17" t="str">
        <f aca="false">IF(C384="","",(C384&gt;=Settings!$B$2)+(D384&gt;=Settings!$B$3)+(E384&gt;=Settings!$B$4)+(N(H384)&gt;=1))&amp;"/4"</f>
        <v>/4</v>
      </c>
      <c r="K384" s="14"/>
    </row>
    <row r="385" customFormat="false" ht="15" hidden="false" customHeight="false" outlineLevel="0" collapsed="false">
      <c r="A385" s="13"/>
      <c r="B385" s="14"/>
      <c r="C385" s="15"/>
      <c r="D385" s="15"/>
      <c r="E385" s="15"/>
      <c r="F385" s="15"/>
      <c r="G385" s="15"/>
      <c r="H385" s="16" t="str">
        <f aca="false">IF(OR(F385="",F385=0),IF(G385="","",1),MIN(1,G385/F385))</f>
        <v/>
      </c>
      <c r="I385" s="15"/>
      <c r="J385" s="17" t="str">
        <f aca="false">IF(C385="","",(C385&gt;=Settings!$B$2)+(D385&gt;=Settings!$B$3)+(E385&gt;=Settings!$B$4)+(N(H385)&gt;=1))&amp;"/4"</f>
        <v>/4</v>
      </c>
      <c r="K385" s="14"/>
    </row>
    <row r="386" customFormat="false" ht="15" hidden="false" customHeight="false" outlineLevel="0" collapsed="false">
      <c r="A386" s="13"/>
      <c r="B386" s="14"/>
      <c r="C386" s="15"/>
      <c r="D386" s="15"/>
      <c r="E386" s="15"/>
      <c r="F386" s="15"/>
      <c r="G386" s="15"/>
      <c r="H386" s="16" t="str">
        <f aca="false">IF(OR(F386="",F386=0),IF(G386="","",1),MIN(1,G386/F386))</f>
        <v/>
      </c>
      <c r="I386" s="15"/>
      <c r="J386" s="17" t="str">
        <f aca="false">IF(C386="","",(C386&gt;=Settings!$B$2)+(D386&gt;=Settings!$B$3)+(E386&gt;=Settings!$B$4)+(N(H386)&gt;=1))&amp;"/4"</f>
        <v>/4</v>
      </c>
      <c r="K386" s="14"/>
    </row>
    <row r="387" customFormat="false" ht="15" hidden="false" customHeight="false" outlineLevel="0" collapsed="false">
      <c r="A387" s="13"/>
      <c r="B387" s="14"/>
      <c r="C387" s="15"/>
      <c r="D387" s="15"/>
      <c r="E387" s="15"/>
      <c r="F387" s="15"/>
      <c r="G387" s="15"/>
      <c r="H387" s="16" t="str">
        <f aca="false">IF(OR(F387="",F387=0),IF(G387="","",1),MIN(1,G387/F387))</f>
        <v/>
      </c>
      <c r="I387" s="15"/>
      <c r="J387" s="17" t="str">
        <f aca="false">IF(C387="","",(C387&gt;=Settings!$B$2)+(D387&gt;=Settings!$B$3)+(E387&gt;=Settings!$B$4)+(N(H387)&gt;=1))&amp;"/4"</f>
        <v>/4</v>
      </c>
      <c r="K387" s="14"/>
    </row>
    <row r="388" customFormat="false" ht="15" hidden="false" customHeight="false" outlineLevel="0" collapsed="false">
      <c r="A388" s="13"/>
      <c r="B388" s="14"/>
      <c r="C388" s="15"/>
      <c r="D388" s="15"/>
      <c r="E388" s="15"/>
      <c r="F388" s="15"/>
      <c r="G388" s="15"/>
      <c r="H388" s="16" t="str">
        <f aca="false">IF(OR(F388="",F388=0),IF(G388="","",1),MIN(1,G388/F388))</f>
        <v/>
      </c>
      <c r="I388" s="15"/>
      <c r="J388" s="17" t="str">
        <f aca="false">IF(C388="","",(C388&gt;=Settings!$B$2)+(D388&gt;=Settings!$B$3)+(E388&gt;=Settings!$B$4)+(N(H388)&gt;=1))&amp;"/4"</f>
        <v>/4</v>
      </c>
      <c r="K388" s="14"/>
    </row>
    <row r="389" customFormat="false" ht="15" hidden="false" customHeight="false" outlineLevel="0" collapsed="false">
      <c r="A389" s="13"/>
      <c r="B389" s="14"/>
      <c r="C389" s="15"/>
      <c r="D389" s="15"/>
      <c r="E389" s="15"/>
      <c r="F389" s="15"/>
      <c r="G389" s="15"/>
      <c r="H389" s="16" t="str">
        <f aca="false">IF(OR(F389="",F389=0),IF(G389="","",1),MIN(1,G389/F389))</f>
        <v/>
      </c>
      <c r="I389" s="15"/>
      <c r="J389" s="17" t="str">
        <f aca="false">IF(C389="","",(C389&gt;=Settings!$B$2)+(D389&gt;=Settings!$B$3)+(E389&gt;=Settings!$B$4)+(N(H389)&gt;=1))&amp;"/4"</f>
        <v>/4</v>
      </c>
      <c r="K389" s="14"/>
    </row>
    <row r="390" customFormat="false" ht="15" hidden="false" customHeight="false" outlineLevel="0" collapsed="false">
      <c r="A390" s="13"/>
      <c r="B390" s="14"/>
      <c r="C390" s="15"/>
      <c r="D390" s="15"/>
      <c r="E390" s="15"/>
      <c r="F390" s="15"/>
      <c r="G390" s="15"/>
      <c r="H390" s="16" t="str">
        <f aca="false">IF(OR(F390="",F390=0),IF(G390="","",1),MIN(1,G390/F390))</f>
        <v/>
      </c>
      <c r="I390" s="15"/>
      <c r="J390" s="17" t="str">
        <f aca="false">IF(C390="","",(C390&gt;=Settings!$B$2)+(D390&gt;=Settings!$B$3)+(E390&gt;=Settings!$B$4)+(N(H390)&gt;=1))&amp;"/4"</f>
        <v>/4</v>
      </c>
      <c r="K390" s="14"/>
    </row>
    <row r="391" customFormat="false" ht="15" hidden="false" customHeight="false" outlineLevel="0" collapsed="false">
      <c r="A391" s="13"/>
      <c r="B391" s="14"/>
      <c r="C391" s="15"/>
      <c r="D391" s="15"/>
      <c r="E391" s="15"/>
      <c r="F391" s="15"/>
      <c r="G391" s="15"/>
      <c r="H391" s="16" t="str">
        <f aca="false">IF(OR(F391="",F391=0),IF(G391="","",1),MIN(1,G391/F391))</f>
        <v/>
      </c>
      <c r="I391" s="15"/>
      <c r="J391" s="17" t="str">
        <f aca="false">IF(C391="","",(C391&gt;=Settings!$B$2)+(D391&gt;=Settings!$B$3)+(E391&gt;=Settings!$B$4)+(N(H391)&gt;=1))&amp;"/4"</f>
        <v>/4</v>
      </c>
      <c r="K391" s="14"/>
    </row>
    <row r="392" customFormat="false" ht="15" hidden="false" customHeight="false" outlineLevel="0" collapsed="false">
      <c r="A392" s="13"/>
      <c r="B392" s="14"/>
      <c r="C392" s="15"/>
      <c r="D392" s="15"/>
      <c r="E392" s="15"/>
      <c r="F392" s="15"/>
      <c r="G392" s="15"/>
      <c r="H392" s="16" t="str">
        <f aca="false">IF(OR(F392="",F392=0),IF(G392="","",1),MIN(1,G392/F392))</f>
        <v/>
      </c>
      <c r="I392" s="15"/>
      <c r="J392" s="17" t="str">
        <f aca="false">IF(C392="","",(C392&gt;=Settings!$B$2)+(D392&gt;=Settings!$B$3)+(E392&gt;=Settings!$B$4)+(N(H392)&gt;=1))&amp;"/4"</f>
        <v>/4</v>
      </c>
      <c r="K392" s="14"/>
    </row>
    <row r="393" customFormat="false" ht="15" hidden="false" customHeight="false" outlineLevel="0" collapsed="false">
      <c r="A393" s="13"/>
      <c r="B393" s="14"/>
      <c r="C393" s="15"/>
      <c r="D393" s="15"/>
      <c r="E393" s="15"/>
      <c r="F393" s="15"/>
      <c r="G393" s="15"/>
      <c r="H393" s="16" t="str">
        <f aca="false">IF(OR(F393="",F393=0),IF(G393="","",1),MIN(1,G393/F393))</f>
        <v/>
      </c>
      <c r="I393" s="15"/>
      <c r="J393" s="17" t="str">
        <f aca="false">IF(C393="","",(C393&gt;=Settings!$B$2)+(D393&gt;=Settings!$B$3)+(E393&gt;=Settings!$B$4)+(N(H393)&gt;=1))&amp;"/4"</f>
        <v>/4</v>
      </c>
      <c r="K393" s="14"/>
    </row>
    <row r="394" customFormat="false" ht="15" hidden="false" customHeight="false" outlineLevel="0" collapsed="false">
      <c r="A394" s="13"/>
      <c r="B394" s="14"/>
      <c r="C394" s="15"/>
      <c r="D394" s="15"/>
      <c r="E394" s="15"/>
      <c r="F394" s="15"/>
      <c r="G394" s="15"/>
      <c r="H394" s="16" t="str">
        <f aca="false">IF(OR(F394="",F394=0),IF(G394="","",1),MIN(1,G394/F394))</f>
        <v/>
      </c>
      <c r="I394" s="15"/>
      <c r="J394" s="17" t="str">
        <f aca="false">IF(C394="","",(C394&gt;=Settings!$B$2)+(D394&gt;=Settings!$B$3)+(E394&gt;=Settings!$B$4)+(N(H394)&gt;=1))&amp;"/4"</f>
        <v>/4</v>
      </c>
      <c r="K394" s="14"/>
    </row>
    <row r="395" customFormat="false" ht="15" hidden="false" customHeight="false" outlineLevel="0" collapsed="false">
      <c r="A395" s="13"/>
      <c r="B395" s="14"/>
      <c r="C395" s="15"/>
      <c r="D395" s="15"/>
      <c r="E395" s="15"/>
      <c r="F395" s="15"/>
      <c r="G395" s="15"/>
      <c r="H395" s="16" t="str">
        <f aca="false">IF(OR(F395="",F395=0),IF(G395="","",1),MIN(1,G395/F395))</f>
        <v/>
      </c>
      <c r="I395" s="15"/>
      <c r="J395" s="17" t="str">
        <f aca="false">IF(C395="","",(C395&gt;=Settings!$B$2)+(D395&gt;=Settings!$B$3)+(E395&gt;=Settings!$B$4)+(N(H395)&gt;=1))&amp;"/4"</f>
        <v>/4</v>
      </c>
      <c r="K395" s="14"/>
    </row>
    <row r="396" customFormat="false" ht="15" hidden="false" customHeight="false" outlineLevel="0" collapsed="false">
      <c r="A396" s="13"/>
      <c r="B396" s="14"/>
      <c r="C396" s="15"/>
      <c r="D396" s="15"/>
      <c r="E396" s="15"/>
      <c r="F396" s="15"/>
      <c r="G396" s="15"/>
      <c r="H396" s="16" t="str">
        <f aca="false">IF(OR(F396="",F396=0),IF(G396="","",1),MIN(1,G396/F396))</f>
        <v/>
      </c>
      <c r="I396" s="15"/>
      <c r="J396" s="17" t="str">
        <f aca="false">IF(C396="","",(C396&gt;=Settings!$B$2)+(D396&gt;=Settings!$B$3)+(E396&gt;=Settings!$B$4)+(N(H396)&gt;=1))&amp;"/4"</f>
        <v>/4</v>
      </c>
      <c r="K396" s="14"/>
    </row>
    <row r="397" customFormat="false" ht="15" hidden="false" customHeight="false" outlineLevel="0" collapsed="false">
      <c r="A397" s="13"/>
      <c r="B397" s="14"/>
      <c r="C397" s="15"/>
      <c r="D397" s="15"/>
      <c r="E397" s="15"/>
      <c r="F397" s="15"/>
      <c r="G397" s="15"/>
      <c r="H397" s="16" t="str">
        <f aca="false">IF(OR(F397="",F397=0),IF(G397="","",1),MIN(1,G397/F397))</f>
        <v/>
      </c>
      <c r="I397" s="15"/>
      <c r="J397" s="17" t="str">
        <f aca="false">IF(C397="","",(C397&gt;=Settings!$B$2)+(D397&gt;=Settings!$B$3)+(E397&gt;=Settings!$B$4)+(N(H397)&gt;=1))&amp;"/4"</f>
        <v>/4</v>
      </c>
      <c r="K397" s="14"/>
    </row>
    <row r="398" customFormat="false" ht="15" hidden="false" customHeight="false" outlineLevel="0" collapsed="false">
      <c r="A398" s="13"/>
      <c r="B398" s="14"/>
      <c r="C398" s="15"/>
      <c r="D398" s="15"/>
      <c r="E398" s="15"/>
      <c r="F398" s="15"/>
      <c r="G398" s="15"/>
      <c r="H398" s="16" t="str">
        <f aca="false">IF(OR(F398="",F398=0),IF(G398="","",1),MIN(1,G398/F398))</f>
        <v/>
      </c>
      <c r="I398" s="15"/>
      <c r="J398" s="17" t="str">
        <f aca="false">IF(C398="","",(C398&gt;=Settings!$B$2)+(D398&gt;=Settings!$B$3)+(E398&gt;=Settings!$B$4)+(N(H398)&gt;=1))&amp;"/4"</f>
        <v>/4</v>
      </c>
      <c r="K398" s="14"/>
    </row>
    <row r="399" customFormat="false" ht="15" hidden="false" customHeight="false" outlineLevel="0" collapsed="false">
      <c r="A399" s="13"/>
      <c r="B399" s="14"/>
      <c r="C399" s="15"/>
      <c r="D399" s="15"/>
      <c r="E399" s="15"/>
      <c r="F399" s="15"/>
      <c r="G399" s="15"/>
      <c r="H399" s="16" t="str">
        <f aca="false">IF(OR(F399="",F399=0),IF(G399="","",1),MIN(1,G399/F399))</f>
        <v/>
      </c>
      <c r="I399" s="15"/>
      <c r="J399" s="17" t="str">
        <f aca="false">IF(C399="","",(C399&gt;=Settings!$B$2)+(D399&gt;=Settings!$B$3)+(E399&gt;=Settings!$B$4)+(N(H399)&gt;=1))&amp;"/4"</f>
        <v>/4</v>
      </c>
      <c r="K399" s="14"/>
    </row>
    <row r="400" customFormat="false" ht="15" hidden="false" customHeight="false" outlineLevel="0" collapsed="false">
      <c r="A400" s="13"/>
      <c r="B400" s="14"/>
      <c r="C400" s="15"/>
      <c r="D400" s="15"/>
      <c r="E400" s="15"/>
      <c r="F400" s="15"/>
      <c r="G400" s="15"/>
      <c r="H400" s="16" t="str">
        <f aca="false">IF(OR(F400="",F400=0),IF(G400="","",1),MIN(1,G400/F400))</f>
        <v/>
      </c>
      <c r="I400" s="15"/>
      <c r="J400" s="17" t="str">
        <f aca="false">IF(C400="","",(C400&gt;=Settings!$B$2)+(D400&gt;=Settings!$B$3)+(E400&gt;=Settings!$B$4)+(N(H400)&gt;=1))&amp;"/4"</f>
        <v>/4</v>
      </c>
      <c r="K400" s="14"/>
    </row>
    <row r="401" customFormat="false" ht="15" hidden="false" customHeight="false" outlineLevel="0" collapsed="false">
      <c r="A401" s="13"/>
      <c r="B401" s="14"/>
      <c r="C401" s="15"/>
      <c r="D401" s="15"/>
      <c r="E401" s="15"/>
      <c r="F401" s="15"/>
      <c r="G401" s="15"/>
      <c r="H401" s="16" t="str">
        <f aca="false">IF(OR(F401="",F401=0),IF(G401="","",1),MIN(1,G401/F401))</f>
        <v/>
      </c>
      <c r="I401" s="15"/>
      <c r="J401" s="17" t="str">
        <f aca="false">IF(C401="","",(C401&gt;=Settings!$B$2)+(D401&gt;=Settings!$B$3)+(E401&gt;=Settings!$B$4)+(N(H401)&gt;=1))&amp;"/4"</f>
        <v>/4</v>
      </c>
      <c r="K401" s="14"/>
    </row>
    <row r="402" customFormat="false" ht="15" hidden="false" customHeight="false" outlineLevel="0" collapsed="false">
      <c r="A402" s="13"/>
      <c r="B402" s="14"/>
      <c r="C402" s="15"/>
      <c r="D402" s="15"/>
      <c r="E402" s="15"/>
      <c r="F402" s="15"/>
      <c r="G402" s="15"/>
      <c r="H402" s="16" t="str">
        <f aca="false">IF(OR(F402="",F402=0),IF(G402="","",1),MIN(1,G402/F402))</f>
        <v/>
      </c>
      <c r="I402" s="15"/>
      <c r="J402" s="17" t="str">
        <f aca="false">IF(C402="","",(C402&gt;=Settings!$B$2)+(D402&gt;=Settings!$B$3)+(E402&gt;=Settings!$B$4)+(N(H402)&gt;=1))&amp;"/4"</f>
        <v>/4</v>
      </c>
      <c r="K402" s="14"/>
    </row>
    <row r="403" customFormat="false" ht="15" hidden="false" customHeight="false" outlineLevel="0" collapsed="false">
      <c r="A403" s="13"/>
      <c r="B403" s="14"/>
      <c r="C403" s="15"/>
      <c r="D403" s="15"/>
      <c r="E403" s="15"/>
      <c r="F403" s="15"/>
      <c r="G403" s="15"/>
      <c r="H403" s="16" t="str">
        <f aca="false">IF(OR(F403="",F403=0),IF(G403="","",1),MIN(1,G403/F403))</f>
        <v/>
      </c>
      <c r="I403" s="15"/>
      <c r="J403" s="17" t="str">
        <f aca="false">IF(C403="","",(C403&gt;=Settings!$B$2)+(D403&gt;=Settings!$B$3)+(E403&gt;=Settings!$B$4)+(N(H403)&gt;=1))&amp;"/4"</f>
        <v>/4</v>
      </c>
      <c r="K403" s="14"/>
    </row>
    <row r="404" customFormat="false" ht="15" hidden="false" customHeight="false" outlineLevel="0" collapsed="false">
      <c r="A404" s="13"/>
      <c r="B404" s="14"/>
      <c r="C404" s="15"/>
      <c r="D404" s="15"/>
      <c r="E404" s="15"/>
      <c r="F404" s="15"/>
      <c r="G404" s="15"/>
      <c r="H404" s="16" t="str">
        <f aca="false">IF(OR(F404="",F404=0),IF(G404="","",1),MIN(1,G404/F404))</f>
        <v/>
      </c>
      <c r="I404" s="15"/>
      <c r="J404" s="17" t="str">
        <f aca="false">IF(C404="","",(C404&gt;=Settings!$B$2)+(D404&gt;=Settings!$B$3)+(E404&gt;=Settings!$B$4)+(N(H404)&gt;=1))&amp;"/4"</f>
        <v>/4</v>
      </c>
      <c r="K404" s="14"/>
    </row>
    <row r="405" customFormat="false" ht="15" hidden="false" customHeight="false" outlineLevel="0" collapsed="false">
      <c r="A405" s="13"/>
      <c r="B405" s="14"/>
      <c r="C405" s="15"/>
      <c r="D405" s="15"/>
      <c r="E405" s="15"/>
      <c r="F405" s="15"/>
      <c r="G405" s="15"/>
      <c r="H405" s="16" t="str">
        <f aca="false">IF(OR(F405="",F405=0),IF(G405="","",1),MIN(1,G405/F405))</f>
        <v/>
      </c>
      <c r="I405" s="15"/>
      <c r="J405" s="17" t="str">
        <f aca="false">IF(C405="","",(C405&gt;=Settings!$B$2)+(D405&gt;=Settings!$B$3)+(E405&gt;=Settings!$B$4)+(N(H405)&gt;=1))&amp;"/4"</f>
        <v>/4</v>
      </c>
      <c r="K405" s="14"/>
    </row>
    <row r="406" customFormat="false" ht="15" hidden="false" customHeight="false" outlineLevel="0" collapsed="false">
      <c r="A406" s="13"/>
      <c r="B406" s="14"/>
      <c r="C406" s="15"/>
      <c r="D406" s="15"/>
      <c r="E406" s="15"/>
      <c r="F406" s="15"/>
      <c r="G406" s="15"/>
      <c r="H406" s="16" t="str">
        <f aca="false">IF(OR(F406="",F406=0),IF(G406="","",1),MIN(1,G406/F406))</f>
        <v/>
      </c>
      <c r="I406" s="15"/>
      <c r="J406" s="17" t="str">
        <f aca="false">IF(C406="","",(C406&gt;=Settings!$B$2)+(D406&gt;=Settings!$B$3)+(E406&gt;=Settings!$B$4)+(N(H406)&gt;=1))&amp;"/4"</f>
        <v>/4</v>
      </c>
      <c r="K406" s="14"/>
    </row>
    <row r="407" customFormat="false" ht="15" hidden="false" customHeight="false" outlineLevel="0" collapsed="false">
      <c r="A407" s="13"/>
      <c r="B407" s="14"/>
      <c r="C407" s="15"/>
      <c r="D407" s="15"/>
      <c r="E407" s="15"/>
      <c r="F407" s="15"/>
      <c r="G407" s="15"/>
      <c r="H407" s="16" t="str">
        <f aca="false">IF(OR(F407="",F407=0),IF(G407="","",1),MIN(1,G407/F407))</f>
        <v/>
      </c>
      <c r="I407" s="15"/>
      <c r="J407" s="17" t="str">
        <f aca="false">IF(C407="","",(C407&gt;=Settings!$B$2)+(D407&gt;=Settings!$B$3)+(E407&gt;=Settings!$B$4)+(N(H407)&gt;=1))&amp;"/4"</f>
        <v>/4</v>
      </c>
      <c r="K407" s="14"/>
    </row>
    <row r="408" customFormat="false" ht="15" hidden="false" customHeight="false" outlineLevel="0" collapsed="false">
      <c r="A408" s="13"/>
      <c r="B408" s="14"/>
      <c r="C408" s="15"/>
      <c r="D408" s="15"/>
      <c r="E408" s="15"/>
      <c r="F408" s="15"/>
      <c r="G408" s="15"/>
      <c r="H408" s="16" t="str">
        <f aca="false">IF(OR(F408="",F408=0),IF(G408="","",1),MIN(1,G408/F408))</f>
        <v/>
      </c>
      <c r="I408" s="15"/>
      <c r="J408" s="17" t="str">
        <f aca="false">IF(C408="","",(C408&gt;=Settings!$B$2)+(D408&gt;=Settings!$B$3)+(E408&gt;=Settings!$B$4)+(N(H408)&gt;=1))&amp;"/4"</f>
        <v>/4</v>
      </c>
      <c r="K408" s="14"/>
    </row>
    <row r="409" customFormat="false" ht="15" hidden="false" customHeight="false" outlineLevel="0" collapsed="false">
      <c r="A409" s="13"/>
      <c r="B409" s="14"/>
      <c r="C409" s="15"/>
      <c r="D409" s="15"/>
      <c r="E409" s="15"/>
      <c r="F409" s="15"/>
      <c r="G409" s="15"/>
      <c r="H409" s="16" t="str">
        <f aca="false">IF(OR(F409="",F409=0),IF(G409="","",1),MIN(1,G409/F409))</f>
        <v/>
      </c>
      <c r="I409" s="15"/>
      <c r="J409" s="17" t="str">
        <f aca="false">IF(C409="","",(C409&gt;=Settings!$B$2)+(D409&gt;=Settings!$B$3)+(E409&gt;=Settings!$B$4)+(N(H409)&gt;=1))&amp;"/4"</f>
        <v>/4</v>
      </c>
      <c r="K409" s="14"/>
    </row>
    <row r="410" customFormat="false" ht="15" hidden="false" customHeight="false" outlineLevel="0" collapsed="false">
      <c r="A410" s="13"/>
      <c r="B410" s="14"/>
      <c r="C410" s="15"/>
      <c r="D410" s="15"/>
      <c r="E410" s="15"/>
      <c r="F410" s="15"/>
      <c r="G410" s="15"/>
      <c r="H410" s="16" t="str">
        <f aca="false">IF(OR(F410="",F410=0),IF(G410="","",1),MIN(1,G410/F410))</f>
        <v/>
      </c>
      <c r="I410" s="15"/>
      <c r="J410" s="17" t="str">
        <f aca="false">IF(C410="","",(C410&gt;=Settings!$B$2)+(D410&gt;=Settings!$B$3)+(E410&gt;=Settings!$B$4)+(N(H410)&gt;=1))&amp;"/4"</f>
        <v>/4</v>
      </c>
      <c r="K410" s="14"/>
    </row>
    <row r="411" customFormat="false" ht="15" hidden="false" customHeight="false" outlineLevel="0" collapsed="false">
      <c r="A411" s="13"/>
      <c r="B411" s="14"/>
      <c r="C411" s="15"/>
      <c r="D411" s="15"/>
      <c r="E411" s="15"/>
      <c r="F411" s="15"/>
      <c r="G411" s="15"/>
      <c r="H411" s="16" t="str">
        <f aca="false">IF(OR(F411="",F411=0),IF(G411="","",1),MIN(1,G411/F411))</f>
        <v/>
      </c>
      <c r="I411" s="15"/>
      <c r="J411" s="17" t="str">
        <f aca="false">IF(C411="","",(C411&gt;=Settings!$B$2)+(D411&gt;=Settings!$B$3)+(E411&gt;=Settings!$B$4)+(N(H411)&gt;=1))&amp;"/4"</f>
        <v>/4</v>
      </c>
      <c r="K411" s="14"/>
    </row>
    <row r="412" customFormat="false" ht="15" hidden="false" customHeight="false" outlineLevel="0" collapsed="false">
      <c r="A412" s="13"/>
      <c r="B412" s="14"/>
      <c r="C412" s="15"/>
      <c r="D412" s="15"/>
      <c r="E412" s="15"/>
      <c r="F412" s="15"/>
      <c r="G412" s="15"/>
      <c r="H412" s="16" t="str">
        <f aca="false">IF(OR(F412="",F412=0),IF(G412="","",1),MIN(1,G412/F412))</f>
        <v/>
      </c>
      <c r="I412" s="15"/>
      <c r="J412" s="17" t="str">
        <f aca="false">IF(C412="","",(C412&gt;=Settings!$B$2)+(D412&gt;=Settings!$B$3)+(E412&gt;=Settings!$B$4)+(N(H412)&gt;=1))&amp;"/4"</f>
        <v>/4</v>
      </c>
      <c r="K412" s="14"/>
    </row>
    <row r="413" customFormat="false" ht="15" hidden="false" customHeight="false" outlineLevel="0" collapsed="false">
      <c r="A413" s="13"/>
      <c r="B413" s="14"/>
      <c r="C413" s="15"/>
      <c r="D413" s="15"/>
      <c r="E413" s="15"/>
      <c r="F413" s="15"/>
      <c r="G413" s="15"/>
      <c r="H413" s="16" t="str">
        <f aca="false">IF(OR(F413="",F413=0),IF(G413="","",1),MIN(1,G413/F413))</f>
        <v/>
      </c>
      <c r="I413" s="15"/>
      <c r="J413" s="17" t="str">
        <f aca="false">IF(C413="","",(C413&gt;=Settings!$B$2)+(D413&gt;=Settings!$B$3)+(E413&gt;=Settings!$B$4)+(N(H413)&gt;=1))&amp;"/4"</f>
        <v>/4</v>
      </c>
      <c r="K413" s="14"/>
    </row>
    <row r="414" customFormat="false" ht="15" hidden="false" customHeight="false" outlineLevel="0" collapsed="false">
      <c r="A414" s="13"/>
      <c r="B414" s="14"/>
      <c r="C414" s="15"/>
      <c r="D414" s="15"/>
      <c r="E414" s="15"/>
      <c r="F414" s="15"/>
      <c r="G414" s="15"/>
      <c r="H414" s="16" t="str">
        <f aca="false">IF(OR(F414="",F414=0),IF(G414="","",1),MIN(1,G414/F414))</f>
        <v/>
      </c>
      <c r="I414" s="15"/>
      <c r="J414" s="17" t="str">
        <f aca="false">IF(C414="","",(C414&gt;=Settings!$B$2)+(D414&gt;=Settings!$B$3)+(E414&gt;=Settings!$B$4)+(N(H414)&gt;=1))&amp;"/4"</f>
        <v>/4</v>
      </c>
      <c r="K414" s="14"/>
    </row>
    <row r="415" customFormat="false" ht="15" hidden="false" customHeight="false" outlineLevel="0" collapsed="false">
      <c r="A415" s="13"/>
      <c r="B415" s="14"/>
      <c r="C415" s="15"/>
      <c r="D415" s="15"/>
      <c r="E415" s="15"/>
      <c r="F415" s="15"/>
      <c r="G415" s="15"/>
      <c r="H415" s="16" t="str">
        <f aca="false">IF(OR(F415="",F415=0),IF(G415="","",1),MIN(1,G415/F415))</f>
        <v/>
      </c>
      <c r="I415" s="15"/>
      <c r="J415" s="17" t="str">
        <f aca="false">IF(C415="","",(C415&gt;=Settings!$B$2)+(D415&gt;=Settings!$B$3)+(E415&gt;=Settings!$B$4)+(N(H415)&gt;=1))&amp;"/4"</f>
        <v>/4</v>
      </c>
      <c r="K415" s="14"/>
    </row>
    <row r="416" customFormat="false" ht="15" hidden="false" customHeight="false" outlineLevel="0" collapsed="false">
      <c r="A416" s="13"/>
      <c r="B416" s="14"/>
      <c r="C416" s="15"/>
      <c r="D416" s="15"/>
      <c r="E416" s="15"/>
      <c r="F416" s="15"/>
      <c r="G416" s="15"/>
      <c r="H416" s="16" t="str">
        <f aca="false">IF(OR(F416="",F416=0),IF(G416="","",1),MIN(1,G416/F416))</f>
        <v/>
      </c>
      <c r="I416" s="15"/>
      <c r="J416" s="17" t="str">
        <f aca="false">IF(C416="","",(C416&gt;=Settings!$B$2)+(D416&gt;=Settings!$B$3)+(E416&gt;=Settings!$B$4)+(N(H416)&gt;=1))&amp;"/4"</f>
        <v>/4</v>
      </c>
      <c r="K416" s="14"/>
    </row>
    <row r="417" customFormat="false" ht="15" hidden="false" customHeight="false" outlineLevel="0" collapsed="false">
      <c r="A417" s="13"/>
      <c r="B417" s="14"/>
      <c r="C417" s="15"/>
      <c r="D417" s="15"/>
      <c r="E417" s="15"/>
      <c r="F417" s="15"/>
      <c r="G417" s="15"/>
      <c r="H417" s="16" t="str">
        <f aca="false">IF(OR(F417="",F417=0),IF(G417="","",1),MIN(1,G417/F417))</f>
        <v/>
      </c>
      <c r="I417" s="15"/>
      <c r="J417" s="17" t="str">
        <f aca="false">IF(C417="","",(C417&gt;=Settings!$B$2)+(D417&gt;=Settings!$B$3)+(E417&gt;=Settings!$B$4)+(N(H417)&gt;=1))&amp;"/4"</f>
        <v>/4</v>
      </c>
      <c r="K417" s="14"/>
    </row>
    <row r="418" customFormat="false" ht="15" hidden="false" customHeight="false" outlineLevel="0" collapsed="false">
      <c r="A418" s="13"/>
      <c r="B418" s="14"/>
      <c r="C418" s="15"/>
      <c r="D418" s="15"/>
      <c r="E418" s="15"/>
      <c r="F418" s="15"/>
      <c r="G418" s="15"/>
      <c r="H418" s="16" t="str">
        <f aca="false">IF(OR(F418="",F418=0),IF(G418="","",1),MIN(1,G418/F418))</f>
        <v/>
      </c>
      <c r="I418" s="15"/>
      <c r="J418" s="17" t="str">
        <f aca="false">IF(C418="","",(C418&gt;=Settings!$B$2)+(D418&gt;=Settings!$B$3)+(E418&gt;=Settings!$B$4)+(N(H418)&gt;=1))&amp;"/4"</f>
        <v>/4</v>
      </c>
      <c r="K418" s="14"/>
    </row>
    <row r="419" customFormat="false" ht="15" hidden="false" customHeight="false" outlineLevel="0" collapsed="false">
      <c r="A419" s="13"/>
      <c r="B419" s="14"/>
      <c r="C419" s="15"/>
      <c r="D419" s="15"/>
      <c r="E419" s="15"/>
      <c r="F419" s="15"/>
      <c r="G419" s="15"/>
      <c r="H419" s="16" t="str">
        <f aca="false">IF(OR(F419="",F419=0),IF(G419="","",1),MIN(1,G419/F419))</f>
        <v/>
      </c>
      <c r="I419" s="15"/>
      <c r="J419" s="17" t="str">
        <f aca="false">IF(C419="","",(C419&gt;=Settings!$B$2)+(D419&gt;=Settings!$B$3)+(E419&gt;=Settings!$B$4)+(N(H419)&gt;=1))&amp;"/4"</f>
        <v>/4</v>
      </c>
      <c r="K419" s="14"/>
    </row>
    <row r="420" customFormat="false" ht="15" hidden="false" customHeight="false" outlineLevel="0" collapsed="false">
      <c r="A420" s="13"/>
      <c r="B420" s="14"/>
      <c r="C420" s="15"/>
      <c r="D420" s="15"/>
      <c r="E420" s="15"/>
      <c r="F420" s="15"/>
      <c r="G420" s="15"/>
      <c r="H420" s="16" t="str">
        <f aca="false">IF(OR(F420="",F420=0),IF(G420="","",1),MIN(1,G420/F420))</f>
        <v/>
      </c>
      <c r="I420" s="15"/>
      <c r="J420" s="17" t="str">
        <f aca="false">IF(C420="","",(C420&gt;=Settings!$B$2)+(D420&gt;=Settings!$B$3)+(E420&gt;=Settings!$B$4)+(N(H420)&gt;=1))&amp;"/4"</f>
        <v>/4</v>
      </c>
      <c r="K420" s="14"/>
    </row>
    <row r="421" customFormat="false" ht="15" hidden="false" customHeight="false" outlineLevel="0" collapsed="false">
      <c r="A421" s="13"/>
      <c r="B421" s="14"/>
      <c r="C421" s="15"/>
      <c r="D421" s="15"/>
      <c r="E421" s="15"/>
      <c r="F421" s="15"/>
      <c r="G421" s="15"/>
      <c r="H421" s="16" t="str">
        <f aca="false">IF(OR(F421="",F421=0),IF(G421="","",1),MIN(1,G421/F421))</f>
        <v/>
      </c>
      <c r="I421" s="15"/>
      <c r="J421" s="17" t="str">
        <f aca="false">IF(C421="","",(C421&gt;=Settings!$B$2)+(D421&gt;=Settings!$B$3)+(E421&gt;=Settings!$B$4)+(N(H421)&gt;=1))&amp;"/4"</f>
        <v>/4</v>
      </c>
      <c r="K421" s="14"/>
    </row>
    <row r="422" customFormat="false" ht="15" hidden="false" customHeight="false" outlineLevel="0" collapsed="false">
      <c r="A422" s="13"/>
      <c r="B422" s="14"/>
      <c r="C422" s="15"/>
      <c r="D422" s="15"/>
      <c r="E422" s="15"/>
      <c r="F422" s="15"/>
      <c r="G422" s="15"/>
      <c r="H422" s="16" t="str">
        <f aca="false">IF(OR(F422="",F422=0),IF(G422="","",1),MIN(1,G422/F422))</f>
        <v/>
      </c>
      <c r="I422" s="15"/>
      <c r="J422" s="17" t="str">
        <f aca="false">IF(C422="","",(C422&gt;=Settings!$B$2)+(D422&gt;=Settings!$B$3)+(E422&gt;=Settings!$B$4)+(N(H422)&gt;=1))&amp;"/4"</f>
        <v>/4</v>
      </c>
      <c r="K422" s="14"/>
    </row>
    <row r="423" customFormat="false" ht="15" hidden="false" customHeight="false" outlineLevel="0" collapsed="false">
      <c r="A423" s="13"/>
      <c r="B423" s="14"/>
      <c r="C423" s="15"/>
      <c r="D423" s="15"/>
      <c r="E423" s="15"/>
      <c r="F423" s="15"/>
      <c r="G423" s="15"/>
      <c r="H423" s="16" t="str">
        <f aca="false">IF(OR(F423="",F423=0),IF(G423="","",1),MIN(1,G423/F423))</f>
        <v/>
      </c>
      <c r="I423" s="15"/>
      <c r="J423" s="17" t="str">
        <f aca="false">IF(C423="","",(C423&gt;=Settings!$B$2)+(D423&gt;=Settings!$B$3)+(E423&gt;=Settings!$B$4)+(N(H423)&gt;=1))&amp;"/4"</f>
        <v>/4</v>
      </c>
      <c r="K423" s="14"/>
    </row>
    <row r="424" customFormat="false" ht="15" hidden="false" customHeight="false" outlineLevel="0" collapsed="false">
      <c r="A424" s="13"/>
      <c r="B424" s="14"/>
      <c r="C424" s="15"/>
      <c r="D424" s="15"/>
      <c r="E424" s="15"/>
      <c r="F424" s="15"/>
      <c r="G424" s="15"/>
      <c r="H424" s="16" t="str">
        <f aca="false">IF(OR(F424="",F424=0),IF(G424="","",1),MIN(1,G424/F424))</f>
        <v/>
      </c>
      <c r="I424" s="15"/>
      <c r="J424" s="17" t="str">
        <f aca="false">IF(C424="","",(C424&gt;=Settings!$B$2)+(D424&gt;=Settings!$B$3)+(E424&gt;=Settings!$B$4)+(N(H424)&gt;=1))&amp;"/4"</f>
        <v>/4</v>
      </c>
      <c r="K424" s="14"/>
    </row>
    <row r="425" customFormat="false" ht="15" hidden="false" customHeight="false" outlineLevel="0" collapsed="false">
      <c r="A425" s="13"/>
      <c r="B425" s="14"/>
      <c r="C425" s="15"/>
      <c r="D425" s="15"/>
      <c r="E425" s="15"/>
      <c r="F425" s="15"/>
      <c r="G425" s="15"/>
      <c r="H425" s="16" t="str">
        <f aca="false">IF(OR(F425="",F425=0),IF(G425="","",1),MIN(1,G425/F425))</f>
        <v/>
      </c>
      <c r="I425" s="15"/>
      <c r="J425" s="17" t="str">
        <f aca="false">IF(C425="","",(C425&gt;=Settings!$B$2)+(D425&gt;=Settings!$B$3)+(E425&gt;=Settings!$B$4)+(N(H425)&gt;=1))&amp;"/4"</f>
        <v>/4</v>
      </c>
      <c r="K425" s="14"/>
    </row>
    <row r="426" customFormat="false" ht="15" hidden="false" customHeight="false" outlineLevel="0" collapsed="false">
      <c r="A426" s="13"/>
      <c r="B426" s="14"/>
      <c r="C426" s="15"/>
      <c r="D426" s="15"/>
      <c r="E426" s="15"/>
      <c r="F426" s="15"/>
      <c r="G426" s="15"/>
      <c r="H426" s="16" t="str">
        <f aca="false">IF(OR(F426="",F426=0),IF(G426="","",1),MIN(1,G426/F426))</f>
        <v/>
      </c>
      <c r="I426" s="15"/>
      <c r="J426" s="17" t="str">
        <f aca="false">IF(C426="","",(C426&gt;=Settings!$B$2)+(D426&gt;=Settings!$B$3)+(E426&gt;=Settings!$B$4)+(N(H426)&gt;=1))&amp;"/4"</f>
        <v>/4</v>
      </c>
      <c r="K426" s="14"/>
    </row>
    <row r="427" customFormat="false" ht="15" hidden="false" customHeight="false" outlineLevel="0" collapsed="false">
      <c r="A427" s="13"/>
      <c r="B427" s="14"/>
      <c r="C427" s="15"/>
      <c r="D427" s="15"/>
      <c r="E427" s="15"/>
      <c r="F427" s="15"/>
      <c r="G427" s="15"/>
      <c r="H427" s="16" t="str">
        <f aca="false">IF(OR(F427="",F427=0),IF(G427="","",1),MIN(1,G427/F427))</f>
        <v/>
      </c>
      <c r="I427" s="15"/>
      <c r="J427" s="17" t="str">
        <f aca="false">IF(C427="","",(C427&gt;=Settings!$B$2)+(D427&gt;=Settings!$B$3)+(E427&gt;=Settings!$B$4)+(N(H427)&gt;=1))&amp;"/4"</f>
        <v>/4</v>
      </c>
      <c r="K427" s="14"/>
    </row>
    <row r="428" customFormat="false" ht="15" hidden="false" customHeight="false" outlineLevel="0" collapsed="false">
      <c r="A428" s="13"/>
      <c r="B428" s="14"/>
      <c r="C428" s="15"/>
      <c r="D428" s="15"/>
      <c r="E428" s="15"/>
      <c r="F428" s="15"/>
      <c r="G428" s="15"/>
      <c r="H428" s="16" t="str">
        <f aca="false">IF(OR(F428="",F428=0),IF(G428="","",1),MIN(1,G428/F428))</f>
        <v/>
      </c>
      <c r="I428" s="15"/>
      <c r="J428" s="17" t="str">
        <f aca="false">IF(C428="","",(C428&gt;=Settings!$B$2)+(D428&gt;=Settings!$B$3)+(E428&gt;=Settings!$B$4)+(N(H428)&gt;=1))&amp;"/4"</f>
        <v>/4</v>
      </c>
      <c r="K428" s="14"/>
    </row>
    <row r="429" customFormat="false" ht="15" hidden="false" customHeight="false" outlineLevel="0" collapsed="false">
      <c r="A429" s="13"/>
      <c r="B429" s="14"/>
      <c r="C429" s="15"/>
      <c r="D429" s="15"/>
      <c r="E429" s="15"/>
      <c r="F429" s="15"/>
      <c r="G429" s="15"/>
      <c r="H429" s="16" t="str">
        <f aca="false">IF(OR(F429="",F429=0),IF(G429="","",1),MIN(1,G429/F429))</f>
        <v/>
      </c>
      <c r="I429" s="15"/>
      <c r="J429" s="17" t="str">
        <f aca="false">IF(C429="","",(C429&gt;=Settings!$B$2)+(D429&gt;=Settings!$B$3)+(E429&gt;=Settings!$B$4)+(N(H429)&gt;=1))&amp;"/4"</f>
        <v>/4</v>
      </c>
      <c r="K429" s="14"/>
    </row>
    <row r="430" customFormat="false" ht="15" hidden="false" customHeight="false" outlineLevel="0" collapsed="false">
      <c r="A430" s="13"/>
      <c r="B430" s="14"/>
      <c r="C430" s="15"/>
      <c r="D430" s="15"/>
      <c r="E430" s="15"/>
      <c r="F430" s="15"/>
      <c r="G430" s="15"/>
      <c r="H430" s="16" t="str">
        <f aca="false">IF(OR(F430="",F430=0),IF(G430="","",1),MIN(1,G430/F430))</f>
        <v/>
      </c>
      <c r="I430" s="15"/>
      <c r="J430" s="17" t="str">
        <f aca="false">IF(C430="","",(C430&gt;=Settings!$B$2)+(D430&gt;=Settings!$B$3)+(E430&gt;=Settings!$B$4)+(N(H430)&gt;=1))&amp;"/4"</f>
        <v>/4</v>
      </c>
      <c r="K430" s="14"/>
    </row>
    <row r="431" customFormat="false" ht="15" hidden="false" customHeight="false" outlineLevel="0" collapsed="false">
      <c r="A431" s="13"/>
      <c r="B431" s="14"/>
      <c r="C431" s="15"/>
      <c r="D431" s="15"/>
      <c r="E431" s="15"/>
      <c r="F431" s="15"/>
      <c r="G431" s="15"/>
      <c r="H431" s="16" t="str">
        <f aca="false">IF(OR(F431="",F431=0),IF(G431="","",1),MIN(1,G431/F431))</f>
        <v/>
      </c>
      <c r="I431" s="15"/>
      <c r="J431" s="17" t="str">
        <f aca="false">IF(C431="","",(C431&gt;=Settings!$B$2)+(D431&gt;=Settings!$B$3)+(E431&gt;=Settings!$B$4)+(N(H431)&gt;=1))&amp;"/4"</f>
        <v>/4</v>
      </c>
      <c r="K431" s="14"/>
    </row>
    <row r="432" customFormat="false" ht="15" hidden="false" customHeight="false" outlineLevel="0" collapsed="false">
      <c r="A432" s="13"/>
      <c r="B432" s="14"/>
      <c r="C432" s="15"/>
      <c r="D432" s="15"/>
      <c r="E432" s="15"/>
      <c r="F432" s="15"/>
      <c r="G432" s="15"/>
      <c r="H432" s="16" t="str">
        <f aca="false">IF(OR(F432="",F432=0),IF(G432="","",1),MIN(1,G432/F432))</f>
        <v/>
      </c>
      <c r="I432" s="15"/>
      <c r="J432" s="17" t="str">
        <f aca="false">IF(C432="","",(C432&gt;=Settings!$B$2)+(D432&gt;=Settings!$B$3)+(E432&gt;=Settings!$B$4)+(N(H432)&gt;=1))&amp;"/4"</f>
        <v>/4</v>
      </c>
      <c r="K432" s="14"/>
    </row>
    <row r="433" customFormat="false" ht="15" hidden="false" customHeight="false" outlineLevel="0" collapsed="false">
      <c r="A433" s="13"/>
      <c r="B433" s="14"/>
      <c r="C433" s="15"/>
      <c r="D433" s="15"/>
      <c r="E433" s="15"/>
      <c r="F433" s="15"/>
      <c r="G433" s="15"/>
      <c r="H433" s="16" t="str">
        <f aca="false">IF(OR(F433="",F433=0),IF(G433="","",1),MIN(1,G433/F433))</f>
        <v/>
      </c>
      <c r="I433" s="15"/>
      <c r="J433" s="17" t="str">
        <f aca="false">IF(C433="","",(C433&gt;=Settings!$B$2)+(D433&gt;=Settings!$B$3)+(E433&gt;=Settings!$B$4)+(N(H433)&gt;=1))&amp;"/4"</f>
        <v>/4</v>
      </c>
      <c r="K433" s="14"/>
    </row>
    <row r="434" customFormat="false" ht="15" hidden="false" customHeight="false" outlineLevel="0" collapsed="false">
      <c r="A434" s="13"/>
      <c r="B434" s="14"/>
      <c r="C434" s="15"/>
      <c r="D434" s="15"/>
      <c r="E434" s="15"/>
      <c r="F434" s="15"/>
      <c r="G434" s="15"/>
      <c r="H434" s="16" t="str">
        <f aca="false">IF(OR(F434="",F434=0),IF(G434="","",1),MIN(1,G434/F434))</f>
        <v/>
      </c>
      <c r="I434" s="15"/>
      <c r="J434" s="17" t="str">
        <f aca="false">IF(C434="","",(C434&gt;=Settings!$B$2)+(D434&gt;=Settings!$B$3)+(E434&gt;=Settings!$B$4)+(N(H434)&gt;=1))&amp;"/4"</f>
        <v>/4</v>
      </c>
      <c r="K434" s="14"/>
    </row>
    <row r="435" customFormat="false" ht="15" hidden="false" customHeight="false" outlineLevel="0" collapsed="false">
      <c r="A435" s="13"/>
      <c r="B435" s="14"/>
      <c r="C435" s="15"/>
      <c r="D435" s="15"/>
      <c r="E435" s="15"/>
      <c r="F435" s="15"/>
      <c r="G435" s="15"/>
      <c r="H435" s="16" t="str">
        <f aca="false">IF(OR(F435="",F435=0),IF(G435="","",1),MIN(1,G435/F435))</f>
        <v/>
      </c>
      <c r="I435" s="15"/>
      <c r="J435" s="17" t="str">
        <f aca="false">IF(C435="","",(C435&gt;=Settings!$B$2)+(D435&gt;=Settings!$B$3)+(E435&gt;=Settings!$B$4)+(N(H435)&gt;=1))&amp;"/4"</f>
        <v>/4</v>
      </c>
      <c r="K435" s="14"/>
    </row>
    <row r="436" customFormat="false" ht="15" hidden="false" customHeight="false" outlineLevel="0" collapsed="false">
      <c r="A436" s="13"/>
      <c r="B436" s="14"/>
      <c r="C436" s="15"/>
      <c r="D436" s="15"/>
      <c r="E436" s="15"/>
      <c r="F436" s="15"/>
      <c r="G436" s="15"/>
      <c r="H436" s="16" t="str">
        <f aca="false">IF(OR(F436="",F436=0),IF(G436="","",1),MIN(1,G436/F436))</f>
        <v/>
      </c>
      <c r="I436" s="15"/>
      <c r="J436" s="17" t="str">
        <f aca="false">IF(C436="","",(C436&gt;=Settings!$B$2)+(D436&gt;=Settings!$B$3)+(E436&gt;=Settings!$B$4)+(N(H436)&gt;=1))&amp;"/4"</f>
        <v>/4</v>
      </c>
      <c r="K436" s="14"/>
    </row>
    <row r="437" customFormat="false" ht="15" hidden="false" customHeight="false" outlineLevel="0" collapsed="false">
      <c r="A437" s="13"/>
      <c r="B437" s="14"/>
      <c r="C437" s="15"/>
      <c r="D437" s="15"/>
      <c r="E437" s="15"/>
      <c r="F437" s="15"/>
      <c r="G437" s="15"/>
      <c r="H437" s="16" t="str">
        <f aca="false">IF(OR(F437="",F437=0),IF(G437="","",1),MIN(1,G437/F437))</f>
        <v/>
      </c>
      <c r="I437" s="15"/>
      <c r="J437" s="17" t="str">
        <f aca="false">IF(C437="","",(C437&gt;=Settings!$B$2)+(D437&gt;=Settings!$B$3)+(E437&gt;=Settings!$B$4)+(N(H437)&gt;=1))&amp;"/4"</f>
        <v>/4</v>
      </c>
      <c r="K437" s="14"/>
    </row>
    <row r="438" customFormat="false" ht="15" hidden="false" customHeight="false" outlineLevel="0" collapsed="false">
      <c r="A438" s="13"/>
      <c r="B438" s="14"/>
      <c r="C438" s="15"/>
      <c r="D438" s="15"/>
      <c r="E438" s="15"/>
      <c r="F438" s="15"/>
      <c r="G438" s="15"/>
      <c r="H438" s="16" t="str">
        <f aca="false">IF(OR(F438="",F438=0),IF(G438="","",1),MIN(1,G438/F438))</f>
        <v/>
      </c>
      <c r="I438" s="15"/>
      <c r="J438" s="17" t="str">
        <f aca="false">IF(C438="","",(C438&gt;=Settings!$B$2)+(D438&gt;=Settings!$B$3)+(E438&gt;=Settings!$B$4)+(N(H438)&gt;=1))&amp;"/4"</f>
        <v>/4</v>
      </c>
      <c r="K438" s="14"/>
    </row>
    <row r="439" customFormat="false" ht="15" hidden="false" customHeight="false" outlineLevel="0" collapsed="false">
      <c r="A439" s="13"/>
      <c r="B439" s="14"/>
      <c r="C439" s="15"/>
      <c r="D439" s="15"/>
      <c r="E439" s="15"/>
      <c r="F439" s="15"/>
      <c r="G439" s="15"/>
      <c r="H439" s="16" t="str">
        <f aca="false">IF(OR(F439="",F439=0),IF(G439="","",1),MIN(1,G439/F439))</f>
        <v/>
      </c>
      <c r="I439" s="15"/>
      <c r="J439" s="17" t="str">
        <f aca="false">IF(C439="","",(C439&gt;=Settings!$B$2)+(D439&gt;=Settings!$B$3)+(E439&gt;=Settings!$B$4)+(N(H439)&gt;=1))&amp;"/4"</f>
        <v>/4</v>
      </c>
      <c r="K439" s="14"/>
    </row>
    <row r="440" customFormat="false" ht="15" hidden="false" customHeight="false" outlineLevel="0" collapsed="false">
      <c r="A440" s="13"/>
      <c r="B440" s="14"/>
      <c r="C440" s="15"/>
      <c r="D440" s="15"/>
      <c r="E440" s="15"/>
      <c r="F440" s="15"/>
      <c r="G440" s="15"/>
      <c r="H440" s="16" t="str">
        <f aca="false">IF(OR(F440="",F440=0),IF(G440="","",1),MIN(1,G440/F440))</f>
        <v/>
      </c>
      <c r="I440" s="15"/>
      <c r="J440" s="17" t="str">
        <f aca="false">IF(C440="","",(C440&gt;=Settings!$B$2)+(D440&gt;=Settings!$B$3)+(E440&gt;=Settings!$B$4)+(N(H440)&gt;=1))&amp;"/4"</f>
        <v>/4</v>
      </c>
      <c r="K440" s="14"/>
    </row>
    <row r="441" customFormat="false" ht="15" hidden="false" customHeight="false" outlineLevel="0" collapsed="false">
      <c r="A441" s="13"/>
      <c r="B441" s="14"/>
      <c r="C441" s="15"/>
      <c r="D441" s="15"/>
      <c r="E441" s="15"/>
      <c r="F441" s="15"/>
      <c r="G441" s="15"/>
      <c r="H441" s="16" t="str">
        <f aca="false">IF(OR(F441="",F441=0),IF(G441="","",1),MIN(1,G441/F441))</f>
        <v/>
      </c>
      <c r="I441" s="15"/>
      <c r="J441" s="17" t="str">
        <f aca="false">IF(C441="","",(C441&gt;=Settings!$B$2)+(D441&gt;=Settings!$B$3)+(E441&gt;=Settings!$B$4)+(N(H441)&gt;=1))&amp;"/4"</f>
        <v>/4</v>
      </c>
      <c r="K441" s="14"/>
    </row>
    <row r="442" customFormat="false" ht="15" hidden="false" customHeight="false" outlineLevel="0" collapsed="false">
      <c r="A442" s="13"/>
      <c r="B442" s="14"/>
      <c r="C442" s="15"/>
      <c r="D442" s="15"/>
      <c r="E442" s="15"/>
      <c r="F442" s="15"/>
      <c r="G442" s="15"/>
      <c r="H442" s="16" t="str">
        <f aca="false">IF(OR(F442="",F442=0),IF(G442="","",1),MIN(1,G442/F442))</f>
        <v/>
      </c>
      <c r="I442" s="15"/>
      <c r="J442" s="17" t="str">
        <f aca="false">IF(C442="","",(C442&gt;=Settings!$B$2)+(D442&gt;=Settings!$B$3)+(E442&gt;=Settings!$B$4)+(N(H442)&gt;=1))&amp;"/4"</f>
        <v>/4</v>
      </c>
      <c r="K442" s="14"/>
    </row>
    <row r="443" customFormat="false" ht="15" hidden="false" customHeight="false" outlineLevel="0" collapsed="false">
      <c r="A443" s="13"/>
      <c r="B443" s="14"/>
      <c r="C443" s="15"/>
      <c r="D443" s="15"/>
      <c r="E443" s="15"/>
      <c r="F443" s="15"/>
      <c r="G443" s="15"/>
      <c r="H443" s="16" t="str">
        <f aca="false">IF(OR(F443="",F443=0),IF(G443="","",1),MIN(1,G443/F443))</f>
        <v/>
      </c>
      <c r="I443" s="15"/>
      <c r="J443" s="17" t="str">
        <f aca="false">IF(C443="","",(C443&gt;=Settings!$B$2)+(D443&gt;=Settings!$B$3)+(E443&gt;=Settings!$B$4)+(N(H443)&gt;=1))&amp;"/4"</f>
        <v>/4</v>
      </c>
      <c r="K443" s="14"/>
    </row>
    <row r="444" customFormat="false" ht="15" hidden="false" customHeight="false" outlineLevel="0" collapsed="false">
      <c r="A444" s="13"/>
      <c r="B444" s="14"/>
      <c r="C444" s="15"/>
      <c r="D444" s="15"/>
      <c r="E444" s="15"/>
      <c r="F444" s="15"/>
      <c r="G444" s="15"/>
      <c r="H444" s="16" t="str">
        <f aca="false">IF(OR(F444="",F444=0),IF(G444="","",1),MIN(1,G444/F444))</f>
        <v/>
      </c>
      <c r="I444" s="15"/>
      <c r="J444" s="17" t="str">
        <f aca="false">IF(C444="","",(C444&gt;=Settings!$B$2)+(D444&gt;=Settings!$B$3)+(E444&gt;=Settings!$B$4)+(N(H444)&gt;=1))&amp;"/4"</f>
        <v>/4</v>
      </c>
      <c r="K444" s="14"/>
    </row>
    <row r="445" customFormat="false" ht="15" hidden="false" customHeight="false" outlineLevel="0" collapsed="false">
      <c r="A445" s="13"/>
      <c r="B445" s="14"/>
      <c r="C445" s="15"/>
      <c r="D445" s="15"/>
      <c r="E445" s="15"/>
      <c r="F445" s="15"/>
      <c r="G445" s="15"/>
      <c r="H445" s="16" t="str">
        <f aca="false">IF(OR(F445="",F445=0),IF(G445="","",1),MIN(1,G445/F445))</f>
        <v/>
      </c>
      <c r="I445" s="15"/>
      <c r="J445" s="17" t="str">
        <f aca="false">IF(C445="","",(C445&gt;=Settings!$B$2)+(D445&gt;=Settings!$B$3)+(E445&gt;=Settings!$B$4)+(N(H445)&gt;=1))&amp;"/4"</f>
        <v>/4</v>
      </c>
      <c r="K445" s="14"/>
    </row>
    <row r="446" customFormat="false" ht="15" hidden="false" customHeight="false" outlineLevel="0" collapsed="false">
      <c r="A446" s="13"/>
      <c r="B446" s="14"/>
      <c r="C446" s="15"/>
      <c r="D446" s="15"/>
      <c r="E446" s="15"/>
      <c r="F446" s="15"/>
      <c r="G446" s="15"/>
      <c r="H446" s="16" t="str">
        <f aca="false">IF(OR(F446="",F446=0),IF(G446="","",1),MIN(1,G446/F446))</f>
        <v/>
      </c>
      <c r="I446" s="15"/>
      <c r="J446" s="17" t="str">
        <f aca="false">IF(C446="","",(C446&gt;=Settings!$B$2)+(D446&gt;=Settings!$B$3)+(E446&gt;=Settings!$B$4)+(N(H446)&gt;=1))&amp;"/4"</f>
        <v>/4</v>
      </c>
      <c r="K446" s="14"/>
    </row>
    <row r="447" customFormat="false" ht="15" hidden="false" customHeight="false" outlineLevel="0" collapsed="false">
      <c r="A447" s="13"/>
      <c r="B447" s="14"/>
      <c r="C447" s="15"/>
      <c r="D447" s="15"/>
      <c r="E447" s="15"/>
      <c r="F447" s="15"/>
      <c r="G447" s="15"/>
      <c r="H447" s="16" t="str">
        <f aca="false">IF(OR(F447="",F447=0),IF(G447="","",1),MIN(1,G447/F447))</f>
        <v/>
      </c>
      <c r="I447" s="15"/>
      <c r="J447" s="17" t="str">
        <f aca="false">IF(C447="","",(C447&gt;=Settings!$B$2)+(D447&gt;=Settings!$B$3)+(E447&gt;=Settings!$B$4)+(N(H447)&gt;=1))&amp;"/4"</f>
        <v>/4</v>
      </c>
      <c r="K447" s="14"/>
    </row>
    <row r="448" customFormat="false" ht="15" hidden="false" customHeight="false" outlineLevel="0" collapsed="false">
      <c r="A448" s="13"/>
      <c r="B448" s="14"/>
      <c r="C448" s="15"/>
      <c r="D448" s="15"/>
      <c r="E448" s="15"/>
      <c r="F448" s="15"/>
      <c r="G448" s="15"/>
      <c r="H448" s="16" t="str">
        <f aca="false">IF(OR(F448="",F448=0),IF(G448="","",1),MIN(1,G448/F448))</f>
        <v/>
      </c>
      <c r="I448" s="15"/>
      <c r="J448" s="17" t="str">
        <f aca="false">IF(C448="","",(C448&gt;=Settings!$B$2)+(D448&gt;=Settings!$B$3)+(E448&gt;=Settings!$B$4)+(N(H448)&gt;=1))&amp;"/4"</f>
        <v>/4</v>
      </c>
      <c r="K448" s="14"/>
    </row>
    <row r="449" customFormat="false" ht="15" hidden="false" customHeight="false" outlineLevel="0" collapsed="false">
      <c r="A449" s="13"/>
      <c r="B449" s="14"/>
      <c r="C449" s="15"/>
      <c r="D449" s="15"/>
      <c r="E449" s="15"/>
      <c r="F449" s="15"/>
      <c r="G449" s="15"/>
      <c r="H449" s="16" t="str">
        <f aca="false">IF(OR(F449="",F449=0),IF(G449="","",1),MIN(1,G449/F449))</f>
        <v/>
      </c>
      <c r="I449" s="15"/>
      <c r="J449" s="17" t="str">
        <f aca="false">IF(C449="","",(C449&gt;=Settings!$B$2)+(D449&gt;=Settings!$B$3)+(E449&gt;=Settings!$B$4)+(N(H449)&gt;=1))&amp;"/4"</f>
        <v>/4</v>
      </c>
      <c r="K449" s="14"/>
    </row>
    <row r="450" customFormat="false" ht="15" hidden="false" customHeight="false" outlineLevel="0" collapsed="false">
      <c r="A450" s="13"/>
      <c r="B450" s="14"/>
      <c r="C450" s="15"/>
      <c r="D450" s="15"/>
      <c r="E450" s="15"/>
      <c r="F450" s="15"/>
      <c r="G450" s="15"/>
      <c r="H450" s="16" t="str">
        <f aca="false">IF(OR(F450="",F450=0),IF(G450="","",1),MIN(1,G450/F450))</f>
        <v/>
      </c>
      <c r="I450" s="15"/>
      <c r="J450" s="17" t="str">
        <f aca="false">IF(C450="","",(C450&gt;=Settings!$B$2)+(D450&gt;=Settings!$B$3)+(E450&gt;=Settings!$B$4)+(N(H450)&gt;=1))&amp;"/4"</f>
        <v>/4</v>
      </c>
      <c r="K450" s="14"/>
    </row>
    <row r="451" customFormat="false" ht="15" hidden="false" customHeight="false" outlineLevel="0" collapsed="false">
      <c r="A451" s="13"/>
      <c r="B451" s="14"/>
      <c r="C451" s="15"/>
      <c r="D451" s="15"/>
      <c r="E451" s="15"/>
      <c r="F451" s="15"/>
      <c r="G451" s="15"/>
      <c r="H451" s="16" t="str">
        <f aca="false">IF(OR(F451="",F451=0),IF(G451="","",1),MIN(1,G451/F451))</f>
        <v/>
      </c>
      <c r="I451" s="15"/>
      <c r="J451" s="17" t="str">
        <f aca="false">IF(C451="","",(C451&gt;=Settings!$B$2)+(D451&gt;=Settings!$B$3)+(E451&gt;=Settings!$B$4)+(N(H451)&gt;=1))&amp;"/4"</f>
        <v>/4</v>
      </c>
      <c r="K451" s="14"/>
    </row>
    <row r="452" customFormat="false" ht="15" hidden="false" customHeight="false" outlineLevel="0" collapsed="false">
      <c r="A452" s="13"/>
      <c r="B452" s="14"/>
      <c r="C452" s="15"/>
      <c r="D452" s="15"/>
      <c r="E452" s="15"/>
      <c r="F452" s="15"/>
      <c r="G452" s="15"/>
      <c r="H452" s="16" t="str">
        <f aca="false">IF(OR(F452="",F452=0),IF(G452="","",1),MIN(1,G452/F452))</f>
        <v/>
      </c>
      <c r="I452" s="15"/>
      <c r="J452" s="17" t="str">
        <f aca="false">IF(C452="","",(C452&gt;=Settings!$B$2)+(D452&gt;=Settings!$B$3)+(E452&gt;=Settings!$B$4)+(N(H452)&gt;=1))&amp;"/4"</f>
        <v>/4</v>
      </c>
      <c r="K452" s="14"/>
    </row>
    <row r="453" customFormat="false" ht="15" hidden="false" customHeight="false" outlineLevel="0" collapsed="false">
      <c r="A453" s="13"/>
      <c r="B453" s="14"/>
      <c r="C453" s="15"/>
      <c r="D453" s="15"/>
      <c r="E453" s="15"/>
      <c r="F453" s="15"/>
      <c r="G453" s="15"/>
      <c r="H453" s="16" t="str">
        <f aca="false">IF(OR(F453="",F453=0),IF(G453="","",1),MIN(1,G453/F453))</f>
        <v/>
      </c>
      <c r="I453" s="15"/>
      <c r="J453" s="17" t="str">
        <f aca="false">IF(C453="","",(C453&gt;=Settings!$B$2)+(D453&gt;=Settings!$B$3)+(E453&gt;=Settings!$B$4)+(N(H453)&gt;=1))&amp;"/4"</f>
        <v>/4</v>
      </c>
      <c r="K453" s="14"/>
    </row>
    <row r="454" customFormat="false" ht="15" hidden="false" customHeight="false" outlineLevel="0" collapsed="false">
      <c r="A454" s="13"/>
      <c r="B454" s="14"/>
      <c r="C454" s="15"/>
      <c r="D454" s="15"/>
      <c r="E454" s="15"/>
      <c r="F454" s="15"/>
      <c r="G454" s="15"/>
      <c r="H454" s="16" t="str">
        <f aca="false">IF(OR(F454="",F454=0),IF(G454="","",1),MIN(1,G454/F454))</f>
        <v/>
      </c>
      <c r="I454" s="15"/>
      <c r="J454" s="17" t="str">
        <f aca="false">IF(C454="","",(C454&gt;=Settings!$B$2)+(D454&gt;=Settings!$B$3)+(E454&gt;=Settings!$B$4)+(N(H454)&gt;=1))&amp;"/4"</f>
        <v>/4</v>
      </c>
      <c r="K454" s="14"/>
    </row>
    <row r="455" customFormat="false" ht="15" hidden="false" customHeight="false" outlineLevel="0" collapsed="false">
      <c r="A455" s="13"/>
      <c r="B455" s="14"/>
      <c r="C455" s="15"/>
      <c r="D455" s="15"/>
      <c r="E455" s="15"/>
      <c r="F455" s="15"/>
      <c r="G455" s="15"/>
      <c r="H455" s="16" t="str">
        <f aca="false">IF(OR(F455="",F455=0),IF(G455="","",1),MIN(1,G455/F455))</f>
        <v/>
      </c>
      <c r="I455" s="15"/>
      <c r="J455" s="17" t="str">
        <f aca="false">IF(C455="","",(C455&gt;=Settings!$B$2)+(D455&gt;=Settings!$B$3)+(E455&gt;=Settings!$B$4)+(N(H455)&gt;=1))&amp;"/4"</f>
        <v>/4</v>
      </c>
      <c r="K455" s="14"/>
    </row>
    <row r="456" customFormat="false" ht="15" hidden="false" customHeight="false" outlineLevel="0" collapsed="false">
      <c r="A456" s="13"/>
      <c r="B456" s="14"/>
      <c r="C456" s="15"/>
      <c r="D456" s="15"/>
      <c r="E456" s="15"/>
      <c r="F456" s="15"/>
      <c r="G456" s="15"/>
      <c r="H456" s="16" t="str">
        <f aca="false">IF(OR(F456="",F456=0),IF(G456="","",1),MIN(1,G456/F456))</f>
        <v/>
      </c>
      <c r="I456" s="15"/>
      <c r="J456" s="17" t="str">
        <f aca="false">IF(C456="","",(C456&gt;=Settings!$B$2)+(D456&gt;=Settings!$B$3)+(E456&gt;=Settings!$B$4)+(N(H456)&gt;=1))&amp;"/4"</f>
        <v>/4</v>
      </c>
      <c r="K456" s="14"/>
    </row>
    <row r="457" customFormat="false" ht="15" hidden="false" customHeight="false" outlineLevel="0" collapsed="false">
      <c r="A457" s="13"/>
      <c r="B457" s="14"/>
      <c r="C457" s="15"/>
      <c r="D457" s="15"/>
      <c r="E457" s="15"/>
      <c r="F457" s="15"/>
      <c r="G457" s="15"/>
      <c r="H457" s="16" t="str">
        <f aca="false">IF(OR(F457="",F457=0),IF(G457="","",1),MIN(1,G457/F457))</f>
        <v/>
      </c>
      <c r="I457" s="15"/>
      <c r="J457" s="17" t="str">
        <f aca="false">IF(C457="","",(C457&gt;=Settings!$B$2)+(D457&gt;=Settings!$B$3)+(E457&gt;=Settings!$B$4)+(N(H457)&gt;=1))&amp;"/4"</f>
        <v>/4</v>
      </c>
      <c r="K457" s="14"/>
    </row>
    <row r="458" customFormat="false" ht="15" hidden="false" customHeight="false" outlineLevel="0" collapsed="false">
      <c r="A458" s="13"/>
      <c r="B458" s="14"/>
      <c r="C458" s="15"/>
      <c r="D458" s="15"/>
      <c r="E458" s="15"/>
      <c r="F458" s="15"/>
      <c r="G458" s="15"/>
      <c r="H458" s="16" t="str">
        <f aca="false">IF(OR(F458="",F458=0),IF(G458="","",1),MIN(1,G458/F458))</f>
        <v/>
      </c>
      <c r="I458" s="15"/>
      <c r="J458" s="17" t="str">
        <f aca="false">IF(C458="","",(C458&gt;=Settings!$B$2)+(D458&gt;=Settings!$B$3)+(E458&gt;=Settings!$B$4)+(N(H458)&gt;=1))&amp;"/4"</f>
        <v>/4</v>
      </c>
      <c r="K458" s="14"/>
    </row>
    <row r="459" customFormat="false" ht="15" hidden="false" customHeight="false" outlineLevel="0" collapsed="false">
      <c r="A459" s="13"/>
      <c r="B459" s="14"/>
      <c r="C459" s="15"/>
      <c r="D459" s="15"/>
      <c r="E459" s="15"/>
      <c r="F459" s="15"/>
      <c r="G459" s="15"/>
      <c r="H459" s="16" t="str">
        <f aca="false">IF(OR(F459="",F459=0),IF(G459="","",1),MIN(1,G459/F459))</f>
        <v/>
      </c>
      <c r="I459" s="15"/>
      <c r="J459" s="17" t="str">
        <f aca="false">IF(C459="","",(C459&gt;=Settings!$B$2)+(D459&gt;=Settings!$B$3)+(E459&gt;=Settings!$B$4)+(N(H459)&gt;=1))&amp;"/4"</f>
        <v>/4</v>
      </c>
      <c r="K459" s="14"/>
    </row>
    <row r="460" customFormat="false" ht="15" hidden="false" customHeight="false" outlineLevel="0" collapsed="false">
      <c r="A460" s="13"/>
      <c r="B460" s="14"/>
      <c r="C460" s="15"/>
      <c r="D460" s="15"/>
      <c r="E460" s="15"/>
      <c r="F460" s="15"/>
      <c r="G460" s="15"/>
      <c r="H460" s="16" t="str">
        <f aca="false">IF(OR(F460="",F460=0),IF(G460="","",1),MIN(1,G460/F460))</f>
        <v/>
      </c>
      <c r="I460" s="15"/>
      <c r="J460" s="17" t="str">
        <f aca="false">IF(C460="","",(C460&gt;=Settings!$B$2)+(D460&gt;=Settings!$B$3)+(E460&gt;=Settings!$B$4)+(N(H460)&gt;=1))&amp;"/4"</f>
        <v>/4</v>
      </c>
      <c r="K460" s="14"/>
    </row>
    <row r="461" customFormat="false" ht="15" hidden="false" customHeight="false" outlineLevel="0" collapsed="false">
      <c r="A461" s="13"/>
      <c r="B461" s="14"/>
      <c r="C461" s="15"/>
      <c r="D461" s="15"/>
      <c r="E461" s="15"/>
      <c r="F461" s="15"/>
      <c r="G461" s="15"/>
      <c r="H461" s="16" t="str">
        <f aca="false">IF(OR(F461="",F461=0),IF(G461="","",1),MIN(1,G461/F461))</f>
        <v/>
      </c>
      <c r="I461" s="15"/>
      <c r="J461" s="17" t="str">
        <f aca="false">IF(C461="","",(C461&gt;=Settings!$B$2)+(D461&gt;=Settings!$B$3)+(E461&gt;=Settings!$B$4)+(N(H461)&gt;=1))&amp;"/4"</f>
        <v>/4</v>
      </c>
      <c r="K461" s="14"/>
    </row>
    <row r="462" customFormat="false" ht="15" hidden="false" customHeight="false" outlineLevel="0" collapsed="false">
      <c r="A462" s="13"/>
      <c r="B462" s="14"/>
      <c r="C462" s="15"/>
      <c r="D462" s="15"/>
      <c r="E462" s="15"/>
      <c r="F462" s="15"/>
      <c r="G462" s="15"/>
      <c r="H462" s="16" t="str">
        <f aca="false">IF(OR(F462="",F462=0),IF(G462="","",1),MIN(1,G462/F462))</f>
        <v/>
      </c>
      <c r="I462" s="15"/>
      <c r="J462" s="17" t="str">
        <f aca="false">IF(C462="","",(C462&gt;=Settings!$B$2)+(D462&gt;=Settings!$B$3)+(E462&gt;=Settings!$B$4)+(N(H462)&gt;=1))&amp;"/4"</f>
        <v>/4</v>
      </c>
      <c r="K462" s="14"/>
    </row>
    <row r="463" customFormat="false" ht="15" hidden="false" customHeight="false" outlineLevel="0" collapsed="false">
      <c r="A463" s="13"/>
      <c r="B463" s="14"/>
      <c r="C463" s="15"/>
      <c r="D463" s="15"/>
      <c r="E463" s="15"/>
      <c r="F463" s="15"/>
      <c r="G463" s="15"/>
      <c r="H463" s="16" t="str">
        <f aca="false">IF(OR(F463="",F463=0),IF(G463="","",1),MIN(1,G463/F463))</f>
        <v/>
      </c>
      <c r="I463" s="15"/>
      <c r="J463" s="17" t="str">
        <f aca="false">IF(C463="","",(C463&gt;=Settings!$B$2)+(D463&gt;=Settings!$B$3)+(E463&gt;=Settings!$B$4)+(N(H463)&gt;=1))&amp;"/4"</f>
        <v>/4</v>
      </c>
      <c r="K463" s="14"/>
    </row>
    <row r="464" customFormat="false" ht="15" hidden="false" customHeight="false" outlineLevel="0" collapsed="false">
      <c r="A464" s="13"/>
      <c r="B464" s="14"/>
      <c r="C464" s="15"/>
      <c r="D464" s="15"/>
      <c r="E464" s="15"/>
      <c r="F464" s="15"/>
      <c r="G464" s="15"/>
      <c r="H464" s="16" t="str">
        <f aca="false">IF(OR(F464="",F464=0),IF(G464="","",1),MIN(1,G464/F464))</f>
        <v/>
      </c>
      <c r="I464" s="15"/>
      <c r="J464" s="17" t="str">
        <f aca="false">IF(C464="","",(C464&gt;=Settings!$B$2)+(D464&gt;=Settings!$B$3)+(E464&gt;=Settings!$B$4)+(N(H464)&gt;=1))&amp;"/4"</f>
        <v>/4</v>
      </c>
      <c r="K464" s="14"/>
    </row>
    <row r="465" customFormat="false" ht="15" hidden="false" customHeight="false" outlineLevel="0" collapsed="false">
      <c r="A465" s="13"/>
      <c r="B465" s="14"/>
      <c r="C465" s="15"/>
      <c r="D465" s="15"/>
      <c r="E465" s="15"/>
      <c r="F465" s="15"/>
      <c r="G465" s="15"/>
      <c r="H465" s="16" t="str">
        <f aca="false">IF(OR(F465="",F465=0),IF(G465="","",1),MIN(1,G465/F465))</f>
        <v/>
      </c>
      <c r="I465" s="15"/>
      <c r="J465" s="17" t="str">
        <f aca="false">IF(C465="","",(C465&gt;=Settings!$B$2)+(D465&gt;=Settings!$B$3)+(E465&gt;=Settings!$B$4)+(N(H465)&gt;=1))&amp;"/4"</f>
        <v>/4</v>
      </c>
      <c r="K465" s="14"/>
    </row>
    <row r="466" customFormat="false" ht="15" hidden="false" customHeight="false" outlineLevel="0" collapsed="false">
      <c r="A466" s="13"/>
      <c r="B466" s="14"/>
      <c r="C466" s="15"/>
      <c r="D466" s="15"/>
      <c r="E466" s="15"/>
      <c r="F466" s="15"/>
      <c r="G466" s="15"/>
      <c r="H466" s="16" t="str">
        <f aca="false">IF(OR(F466="",F466=0),IF(G466="","",1),MIN(1,G466/F466))</f>
        <v/>
      </c>
      <c r="I466" s="15"/>
      <c r="J466" s="17" t="str">
        <f aca="false">IF(C466="","",(C466&gt;=Settings!$B$2)+(D466&gt;=Settings!$B$3)+(E466&gt;=Settings!$B$4)+(N(H466)&gt;=1))&amp;"/4"</f>
        <v>/4</v>
      </c>
      <c r="K466" s="14"/>
    </row>
    <row r="467" customFormat="false" ht="15" hidden="false" customHeight="false" outlineLevel="0" collapsed="false">
      <c r="A467" s="13"/>
      <c r="B467" s="14"/>
      <c r="C467" s="15"/>
      <c r="D467" s="15"/>
      <c r="E467" s="15"/>
      <c r="F467" s="15"/>
      <c r="G467" s="15"/>
      <c r="H467" s="16" t="str">
        <f aca="false">IF(OR(F467="",F467=0),IF(G467="","",1),MIN(1,G467/F467))</f>
        <v/>
      </c>
      <c r="I467" s="15"/>
      <c r="J467" s="17" t="str">
        <f aca="false">IF(C467="","",(C467&gt;=Settings!$B$2)+(D467&gt;=Settings!$B$3)+(E467&gt;=Settings!$B$4)+(N(H467)&gt;=1))&amp;"/4"</f>
        <v>/4</v>
      </c>
      <c r="K467" s="14"/>
    </row>
    <row r="468" customFormat="false" ht="15" hidden="false" customHeight="false" outlineLevel="0" collapsed="false">
      <c r="A468" s="13"/>
      <c r="B468" s="14"/>
      <c r="C468" s="15"/>
      <c r="D468" s="15"/>
      <c r="E468" s="15"/>
      <c r="F468" s="15"/>
      <c r="G468" s="15"/>
      <c r="H468" s="16" t="str">
        <f aca="false">IF(OR(F468="",F468=0),IF(G468="","",1),MIN(1,G468/F468))</f>
        <v/>
      </c>
      <c r="I468" s="15"/>
      <c r="J468" s="17" t="str">
        <f aca="false">IF(C468="","",(C468&gt;=Settings!$B$2)+(D468&gt;=Settings!$B$3)+(E468&gt;=Settings!$B$4)+(N(H468)&gt;=1))&amp;"/4"</f>
        <v>/4</v>
      </c>
      <c r="K468" s="14"/>
    </row>
    <row r="469" customFormat="false" ht="15" hidden="false" customHeight="false" outlineLevel="0" collapsed="false">
      <c r="A469" s="13"/>
      <c r="B469" s="14"/>
      <c r="C469" s="15"/>
      <c r="D469" s="15"/>
      <c r="E469" s="15"/>
      <c r="F469" s="15"/>
      <c r="G469" s="15"/>
      <c r="H469" s="16" t="str">
        <f aca="false">IF(OR(F469="",F469=0),IF(G469="","",1),MIN(1,G469/F469))</f>
        <v/>
      </c>
      <c r="I469" s="15"/>
      <c r="J469" s="17" t="str">
        <f aca="false">IF(C469="","",(C469&gt;=Settings!$B$2)+(D469&gt;=Settings!$B$3)+(E469&gt;=Settings!$B$4)+(N(H469)&gt;=1))&amp;"/4"</f>
        <v>/4</v>
      </c>
      <c r="K469" s="14"/>
    </row>
    <row r="470" customFormat="false" ht="15" hidden="false" customHeight="false" outlineLevel="0" collapsed="false">
      <c r="A470" s="13"/>
      <c r="B470" s="14"/>
      <c r="C470" s="15"/>
      <c r="D470" s="15"/>
      <c r="E470" s="15"/>
      <c r="F470" s="15"/>
      <c r="G470" s="15"/>
      <c r="H470" s="16" t="str">
        <f aca="false">IF(OR(F470="",F470=0),IF(G470="","",1),MIN(1,G470/F470))</f>
        <v/>
      </c>
      <c r="I470" s="15"/>
      <c r="J470" s="17" t="str">
        <f aca="false">IF(C470="","",(C470&gt;=Settings!$B$2)+(D470&gt;=Settings!$B$3)+(E470&gt;=Settings!$B$4)+(N(H470)&gt;=1))&amp;"/4"</f>
        <v>/4</v>
      </c>
      <c r="K470" s="14"/>
    </row>
    <row r="471" customFormat="false" ht="15" hidden="false" customHeight="false" outlineLevel="0" collapsed="false">
      <c r="A471" s="13"/>
      <c r="B471" s="14"/>
      <c r="C471" s="15"/>
      <c r="D471" s="15"/>
      <c r="E471" s="15"/>
      <c r="F471" s="15"/>
      <c r="G471" s="15"/>
      <c r="H471" s="16" t="str">
        <f aca="false">IF(OR(F471="",F471=0),IF(G471="","",1),MIN(1,G471/F471))</f>
        <v/>
      </c>
      <c r="I471" s="15"/>
      <c r="J471" s="17" t="str">
        <f aca="false">IF(C471="","",(C471&gt;=Settings!$B$2)+(D471&gt;=Settings!$B$3)+(E471&gt;=Settings!$B$4)+(N(H471)&gt;=1))&amp;"/4"</f>
        <v>/4</v>
      </c>
      <c r="K471" s="14"/>
    </row>
    <row r="472" customFormat="false" ht="15" hidden="false" customHeight="false" outlineLevel="0" collapsed="false">
      <c r="A472" s="13"/>
      <c r="B472" s="14"/>
      <c r="C472" s="15"/>
      <c r="D472" s="15"/>
      <c r="E472" s="15"/>
      <c r="F472" s="15"/>
      <c r="G472" s="15"/>
      <c r="H472" s="16" t="str">
        <f aca="false">IF(OR(F472="",F472=0),IF(G472="","",1),MIN(1,G472/F472))</f>
        <v/>
      </c>
      <c r="I472" s="15"/>
      <c r="J472" s="17" t="str">
        <f aca="false">IF(C472="","",(C472&gt;=Settings!$B$2)+(D472&gt;=Settings!$B$3)+(E472&gt;=Settings!$B$4)+(N(H472)&gt;=1))&amp;"/4"</f>
        <v>/4</v>
      </c>
      <c r="K472" s="14"/>
    </row>
    <row r="473" customFormat="false" ht="15" hidden="false" customHeight="false" outlineLevel="0" collapsed="false">
      <c r="A473" s="13"/>
      <c r="B473" s="14"/>
      <c r="C473" s="15"/>
      <c r="D473" s="15"/>
      <c r="E473" s="15"/>
      <c r="F473" s="15"/>
      <c r="G473" s="15"/>
      <c r="H473" s="16" t="str">
        <f aca="false">IF(OR(F473="",F473=0),IF(G473="","",1),MIN(1,G473/F473))</f>
        <v/>
      </c>
      <c r="I473" s="15"/>
      <c r="J473" s="17" t="str">
        <f aca="false">IF(C473="","",(C473&gt;=Settings!$B$2)+(D473&gt;=Settings!$B$3)+(E473&gt;=Settings!$B$4)+(N(H473)&gt;=1))&amp;"/4"</f>
        <v>/4</v>
      </c>
      <c r="K473" s="14"/>
    </row>
    <row r="474" customFormat="false" ht="15" hidden="false" customHeight="false" outlineLevel="0" collapsed="false">
      <c r="A474" s="13"/>
      <c r="B474" s="14"/>
      <c r="C474" s="15"/>
      <c r="D474" s="15"/>
      <c r="E474" s="15"/>
      <c r="F474" s="15"/>
      <c r="G474" s="15"/>
      <c r="H474" s="16" t="str">
        <f aca="false">IF(OR(F474="",F474=0),IF(G474="","",1),MIN(1,G474/F474))</f>
        <v/>
      </c>
      <c r="I474" s="15"/>
      <c r="J474" s="17" t="str">
        <f aca="false">IF(C474="","",(C474&gt;=Settings!$B$2)+(D474&gt;=Settings!$B$3)+(E474&gt;=Settings!$B$4)+(N(H474)&gt;=1))&amp;"/4"</f>
        <v>/4</v>
      </c>
      <c r="K474" s="14"/>
    </row>
    <row r="475" customFormat="false" ht="15" hidden="false" customHeight="false" outlineLevel="0" collapsed="false">
      <c r="A475" s="13"/>
      <c r="B475" s="14"/>
      <c r="C475" s="15"/>
      <c r="D475" s="15"/>
      <c r="E475" s="15"/>
      <c r="F475" s="15"/>
      <c r="G475" s="15"/>
      <c r="H475" s="16" t="str">
        <f aca="false">IF(OR(F475="",F475=0),IF(G475="","",1),MIN(1,G475/F475))</f>
        <v/>
      </c>
      <c r="I475" s="15"/>
      <c r="J475" s="17" t="str">
        <f aca="false">IF(C475="","",(C475&gt;=Settings!$B$2)+(D475&gt;=Settings!$B$3)+(E475&gt;=Settings!$B$4)+(N(H475)&gt;=1))&amp;"/4"</f>
        <v>/4</v>
      </c>
      <c r="K475" s="14"/>
    </row>
    <row r="476" customFormat="false" ht="15" hidden="false" customHeight="false" outlineLevel="0" collapsed="false">
      <c r="A476" s="13"/>
      <c r="B476" s="14"/>
      <c r="C476" s="15"/>
      <c r="D476" s="15"/>
      <c r="E476" s="15"/>
      <c r="F476" s="15"/>
      <c r="G476" s="15"/>
      <c r="H476" s="16" t="str">
        <f aca="false">IF(OR(F476="",F476=0),IF(G476="","",1),MIN(1,G476/F476))</f>
        <v/>
      </c>
      <c r="I476" s="15"/>
      <c r="J476" s="17" t="str">
        <f aca="false">IF(C476="","",(C476&gt;=Settings!$B$2)+(D476&gt;=Settings!$B$3)+(E476&gt;=Settings!$B$4)+(N(H476)&gt;=1))&amp;"/4"</f>
        <v>/4</v>
      </c>
      <c r="K476" s="14"/>
    </row>
    <row r="477" customFormat="false" ht="15" hidden="false" customHeight="false" outlineLevel="0" collapsed="false">
      <c r="A477" s="13"/>
      <c r="B477" s="14"/>
      <c r="C477" s="15"/>
      <c r="D477" s="15"/>
      <c r="E477" s="15"/>
      <c r="F477" s="15"/>
      <c r="G477" s="15"/>
      <c r="H477" s="16" t="str">
        <f aca="false">IF(OR(F477="",F477=0),IF(G477="","",1),MIN(1,G477/F477))</f>
        <v/>
      </c>
      <c r="I477" s="15"/>
      <c r="J477" s="17" t="str">
        <f aca="false">IF(C477="","",(C477&gt;=Settings!$B$2)+(D477&gt;=Settings!$B$3)+(E477&gt;=Settings!$B$4)+(N(H477)&gt;=1))&amp;"/4"</f>
        <v>/4</v>
      </c>
      <c r="K477" s="14"/>
    </row>
    <row r="478" customFormat="false" ht="15" hidden="false" customHeight="false" outlineLevel="0" collapsed="false">
      <c r="A478" s="13"/>
      <c r="B478" s="14"/>
      <c r="C478" s="15"/>
      <c r="D478" s="15"/>
      <c r="E478" s="15"/>
      <c r="F478" s="15"/>
      <c r="G478" s="15"/>
      <c r="H478" s="16" t="str">
        <f aca="false">IF(OR(F478="",F478=0),IF(G478="","",1),MIN(1,G478/F478))</f>
        <v/>
      </c>
      <c r="I478" s="15"/>
      <c r="J478" s="17" t="str">
        <f aca="false">IF(C478="","",(C478&gt;=Settings!$B$2)+(D478&gt;=Settings!$B$3)+(E478&gt;=Settings!$B$4)+(N(H478)&gt;=1))&amp;"/4"</f>
        <v>/4</v>
      </c>
      <c r="K478" s="14"/>
    </row>
    <row r="479" customFormat="false" ht="15" hidden="false" customHeight="false" outlineLevel="0" collapsed="false">
      <c r="A479" s="13"/>
      <c r="B479" s="14"/>
      <c r="C479" s="15"/>
      <c r="D479" s="15"/>
      <c r="E479" s="15"/>
      <c r="F479" s="15"/>
      <c r="G479" s="15"/>
      <c r="H479" s="16" t="str">
        <f aca="false">IF(OR(F479="",F479=0),IF(G479="","",1),MIN(1,G479/F479))</f>
        <v/>
      </c>
      <c r="I479" s="15"/>
      <c r="J479" s="17" t="str">
        <f aca="false">IF(C479="","",(C479&gt;=Settings!$B$2)+(D479&gt;=Settings!$B$3)+(E479&gt;=Settings!$B$4)+(N(H479)&gt;=1))&amp;"/4"</f>
        <v>/4</v>
      </c>
      <c r="K479" s="14"/>
    </row>
    <row r="480" customFormat="false" ht="15" hidden="false" customHeight="false" outlineLevel="0" collapsed="false">
      <c r="A480" s="13"/>
      <c r="B480" s="14"/>
      <c r="C480" s="15"/>
      <c r="D480" s="15"/>
      <c r="E480" s="15"/>
      <c r="F480" s="15"/>
      <c r="G480" s="15"/>
      <c r="H480" s="16" t="str">
        <f aca="false">IF(OR(F480="",F480=0),IF(G480="","",1),MIN(1,G480/F480))</f>
        <v/>
      </c>
      <c r="I480" s="15"/>
      <c r="J480" s="17" t="str">
        <f aca="false">IF(C480="","",(C480&gt;=Settings!$B$2)+(D480&gt;=Settings!$B$3)+(E480&gt;=Settings!$B$4)+(N(H480)&gt;=1))&amp;"/4"</f>
        <v>/4</v>
      </c>
      <c r="K480" s="14"/>
    </row>
    <row r="481" customFormat="false" ht="15" hidden="false" customHeight="false" outlineLevel="0" collapsed="false">
      <c r="A481" s="13"/>
      <c r="B481" s="14"/>
      <c r="C481" s="15"/>
      <c r="D481" s="15"/>
      <c r="E481" s="15"/>
      <c r="F481" s="15"/>
      <c r="G481" s="15"/>
      <c r="H481" s="16" t="str">
        <f aca="false">IF(OR(F481="",F481=0),IF(G481="","",1),MIN(1,G481/F481))</f>
        <v/>
      </c>
      <c r="I481" s="15"/>
      <c r="J481" s="17" t="str">
        <f aca="false">IF(C481="","",(C481&gt;=Settings!$B$2)+(D481&gt;=Settings!$B$3)+(E481&gt;=Settings!$B$4)+(N(H481)&gt;=1))&amp;"/4"</f>
        <v>/4</v>
      </c>
      <c r="K481" s="14"/>
    </row>
    <row r="482" customFormat="false" ht="15" hidden="false" customHeight="false" outlineLevel="0" collapsed="false">
      <c r="A482" s="13"/>
      <c r="B482" s="14"/>
      <c r="C482" s="15"/>
      <c r="D482" s="15"/>
      <c r="E482" s="15"/>
      <c r="F482" s="15"/>
      <c r="G482" s="15"/>
      <c r="H482" s="16" t="str">
        <f aca="false">IF(OR(F482="",F482=0),IF(G482="","",1),MIN(1,G482/F482))</f>
        <v/>
      </c>
      <c r="I482" s="15"/>
      <c r="J482" s="17" t="str">
        <f aca="false">IF(C482="","",(C482&gt;=Settings!$B$2)+(D482&gt;=Settings!$B$3)+(E482&gt;=Settings!$B$4)+(N(H482)&gt;=1))&amp;"/4"</f>
        <v>/4</v>
      </c>
      <c r="K482" s="14"/>
    </row>
    <row r="483" customFormat="false" ht="15" hidden="false" customHeight="false" outlineLevel="0" collapsed="false">
      <c r="A483" s="13"/>
      <c r="B483" s="14"/>
      <c r="C483" s="15"/>
      <c r="D483" s="15"/>
      <c r="E483" s="15"/>
      <c r="F483" s="15"/>
      <c r="G483" s="15"/>
      <c r="H483" s="16" t="str">
        <f aca="false">IF(OR(F483="",F483=0),IF(G483="","",1),MIN(1,G483/F483))</f>
        <v/>
      </c>
      <c r="I483" s="15"/>
      <c r="J483" s="17" t="str">
        <f aca="false">IF(C483="","",(C483&gt;=Settings!$B$2)+(D483&gt;=Settings!$B$3)+(E483&gt;=Settings!$B$4)+(N(H483)&gt;=1))&amp;"/4"</f>
        <v>/4</v>
      </c>
      <c r="K483" s="14"/>
    </row>
    <row r="484" customFormat="false" ht="15" hidden="false" customHeight="false" outlineLevel="0" collapsed="false">
      <c r="A484" s="13"/>
      <c r="B484" s="14"/>
      <c r="C484" s="15"/>
      <c r="D484" s="15"/>
      <c r="E484" s="15"/>
      <c r="F484" s="15"/>
      <c r="G484" s="15"/>
      <c r="H484" s="16" t="str">
        <f aca="false">IF(OR(F484="",F484=0),IF(G484="","",1),MIN(1,G484/F484))</f>
        <v/>
      </c>
      <c r="I484" s="15"/>
      <c r="J484" s="17" t="str">
        <f aca="false">IF(C484="","",(C484&gt;=Settings!$B$2)+(D484&gt;=Settings!$B$3)+(E484&gt;=Settings!$B$4)+(N(H484)&gt;=1))&amp;"/4"</f>
        <v>/4</v>
      </c>
      <c r="K484" s="14"/>
    </row>
    <row r="485" customFormat="false" ht="15" hidden="false" customHeight="false" outlineLevel="0" collapsed="false">
      <c r="A485" s="13"/>
      <c r="B485" s="14"/>
      <c r="C485" s="15"/>
      <c r="D485" s="15"/>
      <c r="E485" s="15"/>
      <c r="F485" s="15"/>
      <c r="G485" s="15"/>
      <c r="H485" s="16" t="str">
        <f aca="false">IF(OR(F485="",F485=0),IF(G485="","",1),MIN(1,G485/F485))</f>
        <v/>
      </c>
      <c r="I485" s="15"/>
      <c r="J485" s="17" t="str">
        <f aca="false">IF(C485="","",(C485&gt;=Settings!$B$2)+(D485&gt;=Settings!$B$3)+(E485&gt;=Settings!$B$4)+(N(H485)&gt;=1))&amp;"/4"</f>
        <v>/4</v>
      </c>
      <c r="K485" s="14"/>
    </row>
    <row r="486" customFormat="false" ht="15" hidden="false" customHeight="false" outlineLevel="0" collapsed="false">
      <c r="A486" s="13"/>
      <c r="B486" s="14"/>
      <c r="C486" s="15"/>
      <c r="D486" s="15"/>
      <c r="E486" s="15"/>
      <c r="F486" s="15"/>
      <c r="G486" s="15"/>
      <c r="H486" s="16" t="str">
        <f aca="false">IF(OR(F486="",F486=0),IF(G486="","",1),MIN(1,G486/F486))</f>
        <v/>
      </c>
      <c r="I486" s="15"/>
      <c r="J486" s="17" t="str">
        <f aca="false">IF(C486="","",(C486&gt;=Settings!$B$2)+(D486&gt;=Settings!$B$3)+(E486&gt;=Settings!$B$4)+(N(H486)&gt;=1))&amp;"/4"</f>
        <v>/4</v>
      </c>
      <c r="K486" s="14"/>
    </row>
    <row r="487" customFormat="false" ht="15" hidden="false" customHeight="false" outlineLevel="0" collapsed="false">
      <c r="A487" s="13"/>
      <c r="B487" s="14"/>
      <c r="C487" s="15"/>
      <c r="D487" s="15"/>
      <c r="E487" s="15"/>
      <c r="F487" s="15"/>
      <c r="G487" s="15"/>
      <c r="H487" s="16" t="str">
        <f aca="false">IF(OR(F487="",F487=0),IF(G487="","",1),MIN(1,G487/F487))</f>
        <v/>
      </c>
      <c r="I487" s="15"/>
      <c r="J487" s="17" t="str">
        <f aca="false">IF(C487="","",(C487&gt;=Settings!$B$2)+(D487&gt;=Settings!$B$3)+(E487&gt;=Settings!$B$4)+(N(H487)&gt;=1))&amp;"/4"</f>
        <v>/4</v>
      </c>
      <c r="K487" s="14"/>
    </row>
    <row r="488" customFormat="false" ht="15" hidden="false" customHeight="false" outlineLevel="0" collapsed="false">
      <c r="A488" s="13"/>
      <c r="B488" s="14"/>
      <c r="C488" s="15"/>
      <c r="D488" s="15"/>
      <c r="E488" s="15"/>
      <c r="F488" s="15"/>
      <c r="G488" s="15"/>
      <c r="H488" s="16" t="str">
        <f aca="false">IF(OR(F488="",F488=0),IF(G488="","",1),MIN(1,G488/F488))</f>
        <v/>
      </c>
      <c r="I488" s="15"/>
      <c r="J488" s="17" t="str">
        <f aca="false">IF(C488="","",(C488&gt;=Settings!$B$2)+(D488&gt;=Settings!$B$3)+(E488&gt;=Settings!$B$4)+(N(H488)&gt;=1))&amp;"/4"</f>
        <v>/4</v>
      </c>
      <c r="K488" s="14"/>
    </row>
    <row r="489" customFormat="false" ht="15" hidden="false" customHeight="false" outlineLevel="0" collapsed="false">
      <c r="A489" s="13"/>
      <c r="B489" s="14"/>
      <c r="C489" s="15"/>
      <c r="D489" s="15"/>
      <c r="E489" s="15"/>
      <c r="F489" s="15"/>
      <c r="G489" s="15"/>
      <c r="H489" s="16" t="str">
        <f aca="false">IF(OR(F489="",F489=0),IF(G489="","",1),MIN(1,G489/F489))</f>
        <v/>
      </c>
      <c r="I489" s="15"/>
      <c r="J489" s="17" t="str">
        <f aca="false">IF(C489="","",(C489&gt;=Settings!$B$2)+(D489&gt;=Settings!$B$3)+(E489&gt;=Settings!$B$4)+(N(H489)&gt;=1))&amp;"/4"</f>
        <v>/4</v>
      </c>
      <c r="K489" s="14"/>
    </row>
    <row r="490" customFormat="false" ht="15" hidden="false" customHeight="false" outlineLevel="0" collapsed="false">
      <c r="A490" s="13"/>
      <c r="B490" s="14"/>
      <c r="C490" s="15"/>
      <c r="D490" s="15"/>
      <c r="E490" s="15"/>
      <c r="F490" s="15"/>
      <c r="G490" s="15"/>
      <c r="H490" s="16" t="str">
        <f aca="false">IF(OR(F490="",F490=0),IF(G490="","",1),MIN(1,G490/F490))</f>
        <v/>
      </c>
      <c r="I490" s="15"/>
      <c r="J490" s="17" t="str">
        <f aca="false">IF(C490="","",(C490&gt;=Settings!$B$2)+(D490&gt;=Settings!$B$3)+(E490&gt;=Settings!$B$4)+(N(H490)&gt;=1))&amp;"/4"</f>
        <v>/4</v>
      </c>
      <c r="K490" s="14"/>
    </row>
    <row r="491" customFormat="false" ht="15" hidden="false" customHeight="false" outlineLevel="0" collapsed="false">
      <c r="A491" s="13"/>
      <c r="B491" s="14"/>
      <c r="C491" s="15"/>
      <c r="D491" s="15"/>
      <c r="E491" s="15"/>
      <c r="F491" s="15"/>
      <c r="G491" s="15"/>
      <c r="H491" s="16" t="str">
        <f aca="false">IF(OR(F491="",F491=0),IF(G491="","",1),MIN(1,G491/F491))</f>
        <v/>
      </c>
      <c r="I491" s="15"/>
      <c r="J491" s="17" t="str">
        <f aca="false">IF(C491="","",(C491&gt;=Settings!$B$2)+(D491&gt;=Settings!$B$3)+(E491&gt;=Settings!$B$4)+(N(H491)&gt;=1))&amp;"/4"</f>
        <v>/4</v>
      </c>
      <c r="K491" s="14"/>
    </row>
    <row r="492" customFormat="false" ht="15" hidden="false" customHeight="false" outlineLevel="0" collapsed="false">
      <c r="A492" s="13"/>
      <c r="B492" s="14"/>
      <c r="C492" s="15"/>
      <c r="D492" s="15"/>
      <c r="E492" s="15"/>
      <c r="F492" s="15"/>
      <c r="G492" s="15"/>
      <c r="H492" s="16" t="str">
        <f aca="false">IF(OR(F492="",F492=0),IF(G492="","",1),MIN(1,G492/F492))</f>
        <v/>
      </c>
      <c r="I492" s="15"/>
      <c r="J492" s="17" t="str">
        <f aca="false">IF(C492="","",(C492&gt;=Settings!$B$2)+(D492&gt;=Settings!$B$3)+(E492&gt;=Settings!$B$4)+(N(H492)&gt;=1))&amp;"/4"</f>
        <v>/4</v>
      </c>
      <c r="K492" s="14"/>
    </row>
    <row r="493" customFormat="false" ht="15" hidden="false" customHeight="false" outlineLevel="0" collapsed="false">
      <c r="A493" s="13"/>
      <c r="B493" s="14"/>
      <c r="C493" s="15"/>
      <c r="D493" s="15"/>
      <c r="E493" s="15"/>
      <c r="F493" s="15"/>
      <c r="G493" s="15"/>
      <c r="H493" s="16" t="str">
        <f aca="false">IF(OR(F493="",F493=0),IF(G493="","",1),MIN(1,G493/F493))</f>
        <v/>
      </c>
      <c r="I493" s="15"/>
      <c r="J493" s="17" t="str">
        <f aca="false">IF(C493="","",(C493&gt;=Settings!$B$2)+(D493&gt;=Settings!$B$3)+(E493&gt;=Settings!$B$4)+(N(H493)&gt;=1))&amp;"/4"</f>
        <v>/4</v>
      </c>
      <c r="K493" s="14"/>
    </row>
    <row r="494" customFormat="false" ht="15" hidden="false" customHeight="false" outlineLevel="0" collapsed="false">
      <c r="A494" s="13"/>
      <c r="B494" s="14"/>
      <c r="C494" s="15"/>
      <c r="D494" s="15"/>
      <c r="E494" s="15"/>
      <c r="F494" s="15"/>
      <c r="G494" s="15"/>
      <c r="H494" s="16" t="str">
        <f aca="false">IF(OR(F494="",F494=0),IF(G494="","",1),MIN(1,G494/F494))</f>
        <v/>
      </c>
      <c r="I494" s="15"/>
      <c r="J494" s="17" t="str">
        <f aca="false">IF(C494="","",(C494&gt;=Settings!$B$2)+(D494&gt;=Settings!$B$3)+(E494&gt;=Settings!$B$4)+(N(H494)&gt;=1))&amp;"/4"</f>
        <v>/4</v>
      </c>
      <c r="K494" s="14"/>
    </row>
    <row r="495" customFormat="false" ht="15" hidden="false" customHeight="false" outlineLevel="0" collapsed="false">
      <c r="A495" s="13"/>
      <c r="B495" s="14"/>
      <c r="C495" s="15"/>
      <c r="D495" s="15"/>
      <c r="E495" s="15"/>
      <c r="F495" s="15"/>
      <c r="G495" s="15"/>
      <c r="H495" s="16" t="str">
        <f aca="false">IF(OR(F495="",F495=0),IF(G495="","",1),MIN(1,G495/F495))</f>
        <v/>
      </c>
      <c r="I495" s="15"/>
      <c r="J495" s="17" t="str">
        <f aca="false">IF(C495="","",(C495&gt;=Settings!$B$2)+(D495&gt;=Settings!$B$3)+(E495&gt;=Settings!$B$4)+(N(H495)&gt;=1))&amp;"/4"</f>
        <v>/4</v>
      </c>
      <c r="K495" s="14"/>
    </row>
    <row r="496" customFormat="false" ht="15" hidden="false" customHeight="false" outlineLevel="0" collapsed="false">
      <c r="A496" s="13"/>
      <c r="B496" s="14"/>
      <c r="C496" s="15"/>
      <c r="D496" s="15"/>
      <c r="E496" s="15"/>
      <c r="F496" s="15"/>
      <c r="G496" s="15"/>
      <c r="H496" s="16" t="str">
        <f aca="false">IF(OR(F496="",F496=0),IF(G496="","",1),MIN(1,G496/F496))</f>
        <v/>
      </c>
      <c r="I496" s="15"/>
      <c r="J496" s="17" t="str">
        <f aca="false">IF(C496="","",(C496&gt;=Settings!$B$2)+(D496&gt;=Settings!$B$3)+(E496&gt;=Settings!$B$4)+(N(H496)&gt;=1))&amp;"/4"</f>
        <v>/4</v>
      </c>
      <c r="K496" s="14"/>
    </row>
    <row r="497" customFormat="false" ht="15" hidden="false" customHeight="false" outlineLevel="0" collapsed="false">
      <c r="A497" s="13"/>
      <c r="B497" s="14"/>
      <c r="C497" s="15"/>
      <c r="D497" s="15"/>
      <c r="E497" s="15"/>
      <c r="F497" s="15"/>
      <c r="G497" s="15"/>
      <c r="H497" s="16" t="str">
        <f aca="false">IF(OR(F497="",F497=0),IF(G497="","",1),MIN(1,G497/F497))</f>
        <v/>
      </c>
      <c r="I497" s="15"/>
      <c r="J497" s="17" t="str">
        <f aca="false">IF(C497="","",(C497&gt;=Settings!$B$2)+(D497&gt;=Settings!$B$3)+(E497&gt;=Settings!$B$4)+(N(H497)&gt;=1))&amp;"/4"</f>
        <v>/4</v>
      </c>
      <c r="K497" s="14"/>
    </row>
    <row r="498" customFormat="false" ht="15" hidden="false" customHeight="false" outlineLevel="0" collapsed="false">
      <c r="A498" s="13"/>
      <c r="B498" s="14"/>
      <c r="C498" s="15"/>
      <c r="D498" s="15"/>
      <c r="E498" s="15"/>
      <c r="F498" s="15"/>
      <c r="G498" s="15"/>
      <c r="H498" s="16" t="str">
        <f aca="false">IF(OR(F498="",F498=0),IF(G498="","",1),MIN(1,G498/F498))</f>
        <v/>
      </c>
      <c r="I498" s="15"/>
      <c r="J498" s="17" t="str">
        <f aca="false">IF(C498="","",(C498&gt;=Settings!$B$2)+(D498&gt;=Settings!$B$3)+(E498&gt;=Settings!$B$4)+(N(H498)&gt;=1))&amp;"/4"</f>
        <v>/4</v>
      </c>
      <c r="K498" s="14"/>
    </row>
    <row r="499" customFormat="false" ht="15" hidden="false" customHeight="false" outlineLevel="0" collapsed="false">
      <c r="A499" s="13"/>
      <c r="B499" s="14"/>
      <c r="C499" s="15"/>
      <c r="D499" s="15"/>
      <c r="E499" s="15"/>
      <c r="F499" s="15"/>
      <c r="G499" s="15"/>
      <c r="H499" s="16" t="str">
        <f aca="false">IF(OR(F499="",F499=0),IF(G499="","",1),MIN(1,G499/F499))</f>
        <v/>
      </c>
      <c r="I499" s="15"/>
      <c r="J499" s="17" t="str">
        <f aca="false">IF(C499="","",(C499&gt;=Settings!$B$2)+(D499&gt;=Settings!$B$3)+(E499&gt;=Settings!$B$4)+(N(H499)&gt;=1))&amp;"/4"</f>
        <v>/4</v>
      </c>
      <c r="K499" s="14"/>
    </row>
    <row r="500" customFormat="false" ht="15" hidden="false" customHeight="false" outlineLevel="0" collapsed="false">
      <c r="A500" s="13"/>
      <c r="B500" s="14"/>
      <c r="C500" s="15"/>
      <c r="D500" s="15"/>
      <c r="E500" s="15"/>
      <c r="F500" s="15"/>
      <c r="G500" s="15"/>
      <c r="H500" s="16" t="str">
        <f aca="false">IF(OR(F500="",F500=0),IF(G500="","",1),MIN(1,G500/F500))</f>
        <v/>
      </c>
      <c r="I500" s="15"/>
      <c r="J500" s="17" t="str">
        <f aca="false">IF(C500="","",(C500&gt;=Settings!$B$2)+(D500&gt;=Settings!$B$3)+(E500&gt;=Settings!$B$4)+(N(H500)&gt;=1))&amp;"/4"</f>
        <v>/4</v>
      </c>
      <c r="K500" s="14"/>
    </row>
    <row r="501" customFormat="false" ht="15" hidden="false" customHeight="false" outlineLevel="0" collapsed="false">
      <c r="A501" s="13"/>
      <c r="B501" s="14"/>
      <c r="C501" s="15"/>
      <c r="D501" s="15"/>
      <c r="E501" s="15"/>
      <c r="F501" s="15"/>
      <c r="G501" s="15"/>
      <c r="H501" s="16" t="str">
        <f aca="false">IF(OR(F501="",F501=0),IF(G501="","",1),MIN(1,G501/F501))</f>
        <v/>
      </c>
      <c r="I501" s="15"/>
      <c r="J501" s="17" t="str">
        <f aca="false">IF(C501="","",(C501&gt;=Settings!$B$2)+(D501&gt;=Settings!$B$3)+(E501&gt;=Settings!$B$4)+(N(H501)&gt;=1))&amp;"/4"</f>
        <v>/4</v>
      </c>
      <c r="K501" s="14"/>
    </row>
    <row r="502" customFormat="false" ht="15" hidden="false" customHeight="false" outlineLevel="0" collapsed="false">
      <c r="A502" s="13"/>
      <c r="B502" s="14"/>
      <c r="C502" s="15"/>
      <c r="D502" s="15"/>
      <c r="E502" s="15"/>
      <c r="F502" s="15"/>
      <c r="G502" s="15"/>
      <c r="H502" s="16" t="str">
        <f aca="false">IF(OR(F502="",F502=0),IF(G502="","",1),MIN(1,G502/F502))</f>
        <v/>
      </c>
      <c r="I502" s="15"/>
      <c r="J502" s="17" t="str">
        <f aca="false">IF(C502="","",(C502&gt;=Settings!$B$2)+(D502&gt;=Settings!$B$3)+(E502&gt;=Settings!$B$4)+(N(H502)&gt;=1))&amp;"/4"</f>
        <v>/4</v>
      </c>
      <c r="K502" s="14"/>
    </row>
    <row r="503" customFormat="false" ht="15" hidden="false" customHeight="false" outlineLevel="0" collapsed="false">
      <c r="A503" s="13"/>
      <c r="B503" s="14"/>
      <c r="C503" s="15"/>
      <c r="D503" s="15"/>
      <c r="E503" s="15"/>
      <c r="F503" s="15"/>
      <c r="G503" s="15"/>
      <c r="H503" s="16" t="str">
        <f aca="false">IF(OR(F503="",F503=0),IF(G503="","",1),MIN(1,G503/F503))</f>
        <v/>
      </c>
      <c r="I503" s="15"/>
      <c r="J503" s="17" t="str">
        <f aca="false">IF(C503="","",(C503&gt;=Settings!$B$2)+(D503&gt;=Settings!$B$3)+(E503&gt;=Settings!$B$4)+(N(H503)&gt;=1))&amp;"/4"</f>
        <v>/4</v>
      </c>
      <c r="K503" s="14"/>
    </row>
    <row r="504" customFormat="false" ht="15" hidden="false" customHeight="false" outlineLevel="0" collapsed="false">
      <c r="A504" s="13"/>
      <c r="B504" s="14"/>
      <c r="C504" s="15"/>
      <c r="D504" s="15"/>
      <c r="E504" s="15"/>
      <c r="F504" s="15"/>
      <c r="G504" s="15"/>
      <c r="H504" s="16" t="str">
        <f aca="false">IF(OR(F504="",F504=0),IF(G504="","",1),MIN(1,G504/F504))</f>
        <v/>
      </c>
      <c r="I504" s="15"/>
      <c r="J504" s="17" t="str">
        <f aca="false">IF(C504="","",(C504&gt;=Settings!$B$2)+(D504&gt;=Settings!$B$3)+(E504&gt;=Settings!$B$4)+(N(H504)&gt;=1))&amp;"/4"</f>
        <v>/4</v>
      </c>
      <c r="K504" s="14"/>
    </row>
    <row r="505" customFormat="false" ht="15" hidden="false" customHeight="false" outlineLevel="0" collapsed="false">
      <c r="A505" s="13"/>
      <c r="B505" s="14"/>
      <c r="C505" s="15"/>
      <c r="D505" s="15"/>
      <c r="E505" s="15"/>
      <c r="F505" s="15"/>
      <c r="G505" s="15"/>
      <c r="H505" s="16" t="str">
        <f aca="false">IF(OR(F505="",F505=0),IF(G505="","",1),MIN(1,G505/F505))</f>
        <v/>
      </c>
      <c r="I505" s="15"/>
      <c r="J505" s="17" t="str">
        <f aca="false">IF(C505="","",(C505&gt;=Settings!$B$2)+(D505&gt;=Settings!$B$3)+(E505&gt;=Settings!$B$4)+(N(H505)&gt;=1))&amp;"/4"</f>
        <v>/4</v>
      </c>
      <c r="K505" s="14"/>
    </row>
    <row r="506" customFormat="false" ht="15" hidden="false" customHeight="false" outlineLevel="0" collapsed="false">
      <c r="A506" s="13"/>
      <c r="B506" s="14"/>
      <c r="C506" s="15"/>
      <c r="D506" s="15"/>
      <c r="E506" s="15"/>
      <c r="F506" s="15"/>
      <c r="G506" s="15"/>
      <c r="H506" s="16" t="str">
        <f aca="false">IF(OR(F506="",F506=0),IF(G506="","",1),MIN(1,G506/F506))</f>
        <v/>
      </c>
      <c r="I506" s="15"/>
      <c r="J506" s="17" t="str">
        <f aca="false">IF(C506="","",(C506&gt;=Settings!$B$2)+(D506&gt;=Settings!$B$3)+(E506&gt;=Settings!$B$4)+(N(H506)&gt;=1))&amp;"/4"</f>
        <v>/4</v>
      </c>
      <c r="K506" s="14"/>
    </row>
    <row r="507" customFormat="false" ht="15" hidden="false" customHeight="false" outlineLevel="0" collapsed="false">
      <c r="A507" s="13"/>
      <c r="B507" s="14"/>
      <c r="C507" s="15"/>
      <c r="D507" s="15"/>
      <c r="E507" s="15"/>
      <c r="F507" s="15"/>
      <c r="G507" s="15"/>
      <c r="H507" s="16" t="str">
        <f aca="false">IF(OR(F507="",F507=0),IF(G507="","",1),MIN(1,G507/F507))</f>
        <v/>
      </c>
      <c r="I507" s="15"/>
      <c r="J507" s="17" t="str">
        <f aca="false">IF(C507="","",(C507&gt;=Settings!$B$2)+(D507&gt;=Settings!$B$3)+(E507&gt;=Settings!$B$4)+(N(H507)&gt;=1))&amp;"/4"</f>
        <v>/4</v>
      </c>
      <c r="K507" s="14"/>
    </row>
    <row r="508" customFormat="false" ht="15" hidden="false" customHeight="false" outlineLevel="0" collapsed="false">
      <c r="A508" s="13"/>
      <c r="B508" s="14"/>
      <c r="C508" s="15"/>
      <c r="D508" s="15"/>
      <c r="E508" s="15"/>
      <c r="F508" s="15"/>
      <c r="G508" s="15"/>
      <c r="H508" s="16" t="str">
        <f aca="false">IF(OR(F508="",F508=0),IF(G508="","",1),MIN(1,G508/F508))</f>
        <v/>
      </c>
      <c r="I508" s="15"/>
      <c r="J508" s="17" t="str">
        <f aca="false">IF(C508="","",(C508&gt;=Settings!$B$2)+(D508&gt;=Settings!$B$3)+(E508&gt;=Settings!$B$4)+(N(H508)&gt;=1))&amp;"/4"</f>
        <v>/4</v>
      </c>
      <c r="K508" s="14"/>
    </row>
    <row r="509" customFormat="false" ht="15" hidden="false" customHeight="false" outlineLevel="0" collapsed="false">
      <c r="A509" s="13"/>
      <c r="B509" s="14"/>
      <c r="C509" s="15"/>
      <c r="D509" s="15"/>
      <c r="E509" s="15"/>
      <c r="F509" s="15"/>
      <c r="G509" s="15"/>
      <c r="H509" s="16" t="str">
        <f aca="false">IF(OR(F509="",F509=0),IF(G509="","",1),MIN(1,G509/F509))</f>
        <v/>
      </c>
      <c r="I509" s="15"/>
      <c r="J509" s="17" t="str">
        <f aca="false">IF(C509="","",(C509&gt;=Settings!$B$2)+(D509&gt;=Settings!$B$3)+(E509&gt;=Settings!$B$4)+(N(H509)&gt;=1))&amp;"/4"</f>
        <v>/4</v>
      </c>
      <c r="K509" s="14"/>
    </row>
    <row r="510" customFormat="false" ht="15" hidden="false" customHeight="false" outlineLevel="0" collapsed="false">
      <c r="A510" s="13"/>
      <c r="B510" s="14"/>
      <c r="C510" s="15"/>
      <c r="D510" s="15"/>
      <c r="E510" s="15"/>
      <c r="F510" s="15"/>
      <c r="G510" s="15"/>
      <c r="H510" s="16" t="str">
        <f aca="false">IF(OR(F510="",F510=0),IF(G510="","",1),MIN(1,G510/F510))</f>
        <v/>
      </c>
      <c r="I510" s="15"/>
      <c r="J510" s="17" t="str">
        <f aca="false">IF(C510="","",(C510&gt;=Settings!$B$2)+(D510&gt;=Settings!$B$3)+(E510&gt;=Settings!$B$4)+(N(H510)&gt;=1))&amp;"/4"</f>
        <v>/4</v>
      </c>
      <c r="K510" s="14"/>
    </row>
    <row r="511" customFormat="false" ht="15" hidden="false" customHeight="false" outlineLevel="0" collapsed="false">
      <c r="A511" s="13"/>
      <c r="B511" s="14"/>
      <c r="C511" s="15"/>
      <c r="D511" s="15"/>
      <c r="E511" s="15"/>
      <c r="F511" s="15"/>
      <c r="G511" s="15"/>
      <c r="H511" s="16" t="str">
        <f aca="false">IF(OR(F511="",F511=0),IF(G511="","",1),MIN(1,G511/F511))</f>
        <v/>
      </c>
      <c r="I511" s="15"/>
      <c r="J511" s="17" t="str">
        <f aca="false">IF(C511="","",(C511&gt;=Settings!$B$2)+(D511&gt;=Settings!$B$3)+(E511&gt;=Settings!$B$4)+(N(H511)&gt;=1))&amp;"/4"</f>
        <v>/4</v>
      </c>
      <c r="K511" s="14"/>
    </row>
    <row r="512" customFormat="false" ht="15" hidden="false" customHeight="false" outlineLevel="0" collapsed="false">
      <c r="A512" s="13"/>
      <c r="B512" s="14"/>
      <c r="C512" s="15"/>
      <c r="D512" s="15"/>
      <c r="E512" s="15"/>
      <c r="F512" s="15"/>
      <c r="G512" s="15"/>
      <c r="H512" s="16" t="str">
        <f aca="false">IF(OR(F512="",F512=0),IF(G512="","",1),MIN(1,G512/F512))</f>
        <v/>
      </c>
      <c r="I512" s="15"/>
      <c r="J512" s="17" t="str">
        <f aca="false">IF(C512="","",(C512&gt;=Settings!$B$2)+(D512&gt;=Settings!$B$3)+(E512&gt;=Settings!$B$4)+(N(H512)&gt;=1))&amp;"/4"</f>
        <v>/4</v>
      </c>
      <c r="K512" s="14"/>
    </row>
    <row r="513" customFormat="false" ht="15" hidden="false" customHeight="false" outlineLevel="0" collapsed="false">
      <c r="A513" s="13"/>
      <c r="B513" s="14"/>
      <c r="C513" s="15"/>
      <c r="D513" s="15"/>
      <c r="E513" s="15"/>
      <c r="F513" s="15"/>
      <c r="G513" s="15"/>
      <c r="H513" s="16" t="str">
        <f aca="false">IF(OR(F513="",F513=0),IF(G513="","",1),MIN(1,G513/F513))</f>
        <v/>
      </c>
      <c r="I513" s="15"/>
      <c r="J513" s="17" t="str">
        <f aca="false">IF(C513="","",(C513&gt;=Settings!$B$2)+(D513&gt;=Settings!$B$3)+(E513&gt;=Settings!$B$4)+(N(H513)&gt;=1))&amp;"/4"</f>
        <v>/4</v>
      </c>
      <c r="K513" s="14"/>
    </row>
    <row r="514" customFormat="false" ht="15" hidden="false" customHeight="false" outlineLevel="0" collapsed="false">
      <c r="A514" s="13"/>
      <c r="B514" s="14"/>
      <c r="C514" s="15"/>
      <c r="D514" s="15"/>
      <c r="E514" s="15"/>
      <c r="F514" s="15"/>
      <c r="G514" s="15"/>
      <c r="H514" s="16" t="str">
        <f aca="false">IF(OR(F514="",F514=0),IF(G514="","",1),MIN(1,G514/F514))</f>
        <v/>
      </c>
      <c r="I514" s="15"/>
      <c r="J514" s="17" t="str">
        <f aca="false">IF(C514="","",(C514&gt;=Settings!$B$2)+(D514&gt;=Settings!$B$3)+(E514&gt;=Settings!$B$4)+(N(H514)&gt;=1))&amp;"/4"</f>
        <v>/4</v>
      </c>
      <c r="K514" s="14"/>
    </row>
    <row r="515" customFormat="false" ht="15" hidden="false" customHeight="false" outlineLevel="0" collapsed="false">
      <c r="A515" s="13"/>
      <c r="B515" s="14"/>
      <c r="C515" s="15"/>
      <c r="D515" s="15"/>
      <c r="E515" s="15"/>
      <c r="F515" s="15"/>
      <c r="G515" s="15"/>
      <c r="H515" s="16" t="str">
        <f aca="false">IF(OR(F515="",F515=0),IF(G515="","",1),MIN(1,G515/F515))</f>
        <v/>
      </c>
      <c r="I515" s="15"/>
      <c r="J515" s="17" t="str">
        <f aca="false">IF(C515="","",(C515&gt;=Settings!$B$2)+(D515&gt;=Settings!$B$3)+(E515&gt;=Settings!$B$4)+(N(H515)&gt;=1))&amp;"/4"</f>
        <v>/4</v>
      </c>
      <c r="K515" s="14"/>
    </row>
    <row r="516" customFormat="false" ht="15" hidden="false" customHeight="false" outlineLevel="0" collapsed="false">
      <c r="A516" s="13"/>
      <c r="B516" s="14"/>
      <c r="C516" s="15"/>
      <c r="D516" s="15"/>
      <c r="E516" s="15"/>
      <c r="F516" s="15"/>
      <c r="G516" s="15"/>
      <c r="H516" s="16" t="str">
        <f aca="false">IF(OR(F516="",F516=0),IF(G516="","",1),MIN(1,G516/F516))</f>
        <v/>
      </c>
      <c r="I516" s="15"/>
      <c r="J516" s="17" t="str">
        <f aca="false">IF(C516="","",(C516&gt;=Settings!$B$2)+(D516&gt;=Settings!$B$3)+(E516&gt;=Settings!$B$4)+(N(H516)&gt;=1))&amp;"/4"</f>
        <v>/4</v>
      </c>
      <c r="K516" s="14"/>
    </row>
    <row r="517" customFormat="false" ht="15" hidden="false" customHeight="false" outlineLevel="0" collapsed="false">
      <c r="A517" s="13"/>
      <c r="B517" s="14"/>
      <c r="C517" s="15"/>
      <c r="D517" s="15"/>
      <c r="E517" s="15"/>
      <c r="F517" s="15"/>
      <c r="G517" s="15"/>
      <c r="H517" s="16" t="str">
        <f aca="false">IF(OR(F517="",F517=0),IF(G517="","",1),MIN(1,G517/F517))</f>
        <v/>
      </c>
      <c r="I517" s="15"/>
      <c r="J517" s="17" t="str">
        <f aca="false">IF(C517="","",(C517&gt;=Settings!$B$2)+(D517&gt;=Settings!$B$3)+(E517&gt;=Settings!$B$4)+(N(H517)&gt;=1))&amp;"/4"</f>
        <v>/4</v>
      </c>
      <c r="K517" s="14"/>
    </row>
    <row r="518" customFormat="false" ht="15" hidden="false" customHeight="false" outlineLevel="0" collapsed="false">
      <c r="A518" s="13"/>
      <c r="B518" s="14"/>
      <c r="C518" s="15"/>
      <c r="D518" s="15"/>
      <c r="E518" s="15"/>
      <c r="F518" s="15"/>
      <c r="G518" s="15"/>
      <c r="H518" s="16" t="str">
        <f aca="false">IF(OR(F518="",F518=0),IF(G518="","",1),MIN(1,G518/F518))</f>
        <v/>
      </c>
      <c r="I518" s="15"/>
      <c r="J518" s="17" t="str">
        <f aca="false">IF(C518="","",(C518&gt;=Settings!$B$2)+(D518&gt;=Settings!$B$3)+(E518&gt;=Settings!$B$4)+(N(H518)&gt;=1))&amp;"/4"</f>
        <v>/4</v>
      </c>
      <c r="K518" s="14"/>
    </row>
    <row r="519" customFormat="false" ht="15" hidden="false" customHeight="false" outlineLevel="0" collapsed="false">
      <c r="A519" s="13"/>
      <c r="B519" s="14"/>
      <c r="C519" s="15"/>
      <c r="D519" s="15"/>
      <c r="E519" s="15"/>
      <c r="F519" s="15"/>
      <c r="G519" s="15"/>
      <c r="H519" s="16" t="str">
        <f aca="false">IF(OR(F519="",F519=0),IF(G519="","",1),MIN(1,G519/F519))</f>
        <v/>
      </c>
      <c r="I519" s="15"/>
      <c r="J519" s="17" t="str">
        <f aca="false">IF(C519="","",(C519&gt;=Settings!$B$2)+(D519&gt;=Settings!$B$3)+(E519&gt;=Settings!$B$4)+(N(H519)&gt;=1))&amp;"/4"</f>
        <v>/4</v>
      </c>
      <c r="K519" s="14"/>
    </row>
    <row r="520" customFormat="false" ht="15" hidden="false" customHeight="false" outlineLevel="0" collapsed="false">
      <c r="A520" s="13"/>
      <c r="B520" s="14"/>
      <c r="C520" s="15"/>
      <c r="D520" s="15"/>
      <c r="E520" s="15"/>
      <c r="F520" s="15"/>
      <c r="G520" s="15"/>
      <c r="H520" s="16" t="str">
        <f aca="false">IF(OR(F520="",F520=0),IF(G520="","",1),MIN(1,G520/F520))</f>
        <v/>
      </c>
      <c r="I520" s="15"/>
      <c r="J520" s="17" t="str">
        <f aca="false">IF(C520="","",(C520&gt;=Settings!$B$2)+(D520&gt;=Settings!$B$3)+(E520&gt;=Settings!$B$4)+(N(H520)&gt;=1))&amp;"/4"</f>
        <v>/4</v>
      </c>
      <c r="K520" s="14"/>
    </row>
    <row r="521" customFormat="false" ht="15" hidden="false" customHeight="false" outlineLevel="0" collapsed="false">
      <c r="A521" s="13"/>
      <c r="B521" s="14"/>
      <c r="C521" s="15"/>
      <c r="D521" s="15"/>
      <c r="E521" s="15"/>
      <c r="F521" s="15"/>
      <c r="G521" s="15"/>
      <c r="H521" s="16" t="str">
        <f aca="false">IF(OR(F521="",F521=0),IF(G521="","",1),MIN(1,G521/F521))</f>
        <v/>
      </c>
      <c r="I521" s="15"/>
      <c r="J521" s="17" t="str">
        <f aca="false">IF(C521="","",(C521&gt;=Settings!$B$2)+(D521&gt;=Settings!$B$3)+(E521&gt;=Settings!$B$4)+(N(H521)&gt;=1))&amp;"/4"</f>
        <v>/4</v>
      </c>
      <c r="K521" s="14"/>
    </row>
    <row r="522" customFormat="false" ht="15" hidden="false" customHeight="false" outlineLevel="0" collapsed="false">
      <c r="A522" s="13"/>
      <c r="B522" s="14"/>
      <c r="C522" s="15"/>
      <c r="D522" s="15"/>
      <c r="E522" s="15"/>
      <c r="F522" s="15"/>
      <c r="G522" s="15"/>
      <c r="H522" s="16" t="str">
        <f aca="false">IF(OR(F522="",F522=0),IF(G522="","",1),MIN(1,G522/F522))</f>
        <v/>
      </c>
      <c r="I522" s="15"/>
      <c r="J522" s="17" t="str">
        <f aca="false">IF(C522="","",(C522&gt;=Settings!$B$2)+(D522&gt;=Settings!$B$3)+(E522&gt;=Settings!$B$4)+(N(H522)&gt;=1))&amp;"/4"</f>
        <v>/4</v>
      </c>
      <c r="K522" s="14"/>
    </row>
    <row r="523" customFormat="false" ht="15" hidden="false" customHeight="false" outlineLevel="0" collapsed="false">
      <c r="A523" s="13"/>
      <c r="B523" s="14"/>
      <c r="C523" s="15"/>
      <c r="D523" s="15"/>
      <c r="E523" s="15"/>
      <c r="F523" s="15"/>
      <c r="G523" s="15"/>
      <c r="H523" s="16" t="str">
        <f aca="false">IF(OR(F523="",F523=0),IF(G523="","",1),MIN(1,G523/F523))</f>
        <v/>
      </c>
      <c r="I523" s="15"/>
      <c r="J523" s="17" t="str">
        <f aca="false">IF(C523="","",(C523&gt;=Settings!$B$2)+(D523&gt;=Settings!$B$3)+(E523&gt;=Settings!$B$4)+(N(H523)&gt;=1))&amp;"/4"</f>
        <v>/4</v>
      </c>
      <c r="K523" s="14"/>
    </row>
    <row r="524" customFormat="false" ht="15" hidden="false" customHeight="false" outlineLevel="0" collapsed="false">
      <c r="A524" s="13"/>
      <c r="B524" s="14"/>
      <c r="C524" s="15"/>
      <c r="D524" s="15"/>
      <c r="E524" s="15"/>
      <c r="F524" s="15"/>
      <c r="G524" s="15"/>
      <c r="H524" s="16" t="str">
        <f aca="false">IF(OR(F524="",F524=0),IF(G524="","",1),MIN(1,G524/F524))</f>
        <v/>
      </c>
      <c r="I524" s="15"/>
      <c r="J524" s="17" t="str">
        <f aca="false">IF(C524="","",(C524&gt;=Settings!$B$2)+(D524&gt;=Settings!$B$3)+(E524&gt;=Settings!$B$4)+(N(H524)&gt;=1))&amp;"/4"</f>
        <v>/4</v>
      </c>
      <c r="K524" s="14"/>
    </row>
    <row r="525" customFormat="false" ht="15" hidden="false" customHeight="false" outlineLevel="0" collapsed="false">
      <c r="A525" s="13"/>
      <c r="B525" s="14"/>
      <c r="C525" s="15"/>
      <c r="D525" s="15"/>
      <c r="E525" s="15"/>
      <c r="F525" s="15"/>
      <c r="G525" s="15"/>
      <c r="H525" s="16" t="str">
        <f aca="false">IF(OR(F525="",F525=0),IF(G525="","",1),MIN(1,G525/F525))</f>
        <v/>
      </c>
      <c r="I525" s="15"/>
      <c r="J525" s="17" t="str">
        <f aca="false">IF(C525="","",(C525&gt;=Settings!$B$2)+(D525&gt;=Settings!$B$3)+(E525&gt;=Settings!$B$4)+(N(H525)&gt;=1))&amp;"/4"</f>
        <v>/4</v>
      </c>
      <c r="K525" s="14"/>
    </row>
    <row r="526" customFormat="false" ht="15" hidden="false" customHeight="false" outlineLevel="0" collapsed="false">
      <c r="A526" s="13"/>
      <c r="B526" s="14"/>
      <c r="C526" s="15"/>
      <c r="D526" s="15"/>
      <c r="E526" s="15"/>
      <c r="F526" s="15"/>
      <c r="G526" s="15"/>
      <c r="H526" s="16" t="str">
        <f aca="false">IF(OR(F526="",F526=0),IF(G526="","",1),MIN(1,G526/F526))</f>
        <v/>
      </c>
      <c r="I526" s="15"/>
      <c r="J526" s="17" t="str">
        <f aca="false">IF(C526="","",(C526&gt;=Settings!$B$2)+(D526&gt;=Settings!$B$3)+(E526&gt;=Settings!$B$4)+(N(H526)&gt;=1))&amp;"/4"</f>
        <v>/4</v>
      </c>
      <c r="K526" s="14"/>
    </row>
    <row r="527" customFormat="false" ht="15" hidden="false" customHeight="false" outlineLevel="0" collapsed="false">
      <c r="A527" s="13"/>
      <c r="B527" s="14"/>
      <c r="C527" s="15"/>
      <c r="D527" s="15"/>
      <c r="E527" s="15"/>
      <c r="F527" s="15"/>
      <c r="G527" s="15"/>
      <c r="H527" s="16" t="str">
        <f aca="false">IF(OR(F527="",F527=0),IF(G527="","",1),MIN(1,G527/F527))</f>
        <v/>
      </c>
      <c r="I527" s="15"/>
      <c r="J527" s="17" t="str">
        <f aca="false">IF(C527="","",(C527&gt;=Settings!$B$2)+(D527&gt;=Settings!$B$3)+(E527&gt;=Settings!$B$4)+(N(H527)&gt;=1))&amp;"/4"</f>
        <v>/4</v>
      </c>
      <c r="K527" s="14"/>
    </row>
    <row r="528" customFormat="false" ht="15" hidden="false" customHeight="false" outlineLevel="0" collapsed="false">
      <c r="A528" s="13"/>
      <c r="B528" s="14"/>
      <c r="C528" s="15"/>
      <c r="D528" s="15"/>
      <c r="E528" s="15"/>
      <c r="F528" s="15"/>
      <c r="G528" s="15"/>
      <c r="H528" s="16" t="str">
        <f aca="false">IF(OR(F528="",F528=0),IF(G528="","",1),MIN(1,G528/F528))</f>
        <v/>
      </c>
      <c r="I528" s="15"/>
      <c r="J528" s="17" t="str">
        <f aca="false">IF(C528="","",(C528&gt;=Settings!$B$2)+(D528&gt;=Settings!$B$3)+(E528&gt;=Settings!$B$4)+(N(H528)&gt;=1))&amp;"/4"</f>
        <v>/4</v>
      </c>
      <c r="K528" s="14"/>
    </row>
    <row r="529" customFormat="false" ht="15" hidden="false" customHeight="false" outlineLevel="0" collapsed="false">
      <c r="A529" s="13"/>
      <c r="B529" s="14"/>
      <c r="C529" s="15"/>
      <c r="D529" s="15"/>
      <c r="E529" s="15"/>
      <c r="F529" s="15"/>
      <c r="G529" s="15"/>
      <c r="H529" s="16" t="str">
        <f aca="false">IF(OR(F529="",F529=0),IF(G529="","",1),MIN(1,G529/F529))</f>
        <v/>
      </c>
      <c r="I529" s="15"/>
      <c r="J529" s="17" t="str">
        <f aca="false">IF(C529="","",(C529&gt;=Settings!$B$2)+(D529&gt;=Settings!$B$3)+(E529&gt;=Settings!$B$4)+(N(H529)&gt;=1))&amp;"/4"</f>
        <v>/4</v>
      </c>
      <c r="K529" s="14"/>
    </row>
    <row r="530" customFormat="false" ht="15" hidden="false" customHeight="false" outlineLevel="0" collapsed="false">
      <c r="A530" s="13"/>
      <c r="B530" s="14"/>
      <c r="C530" s="15"/>
      <c r="D530" s="15"/>
      <c r="E530" s="15"/>
      <c r="F530" s="15"/>
      <c r="G530" s="15"/>
      <c r="H530" s="16" t="str">
        <f aca="false">IF(OR(F530="",F530=0),IF(G530="","",1),MIN(1,G530/F530))</f>
        <v/>
      </c>
      <c r="I530" s="15"/>
      <c r="J530" s="17" t="str">
        <f aca="false">IF(C530="","",(C530&gt;=Settings!$B$2)+(D530&gt;=Settings!$B$3)+(E530&gt;=Settings!$B$4)+(N(H530)&gt;=1))&amp;"/4"</f>
        <v>/4</v>
      </c>
      <c r="K530" s="14"/>
    </row>
    <row r="531" customFormat="false" ht="15" hidden="false" customHeight="false" outlineLevel="0" collapsed="false">
      <c r="A531" s="13"/>
      <c r="B531" s="14"/>
      <c r="C531" s="15"/>
      <c r="D531" s="15"/>
      <c r="E531" s="15"/>
      <c r="F531" s="15"/>
      <c r="G531" s="15"/>
      <c r="H531" s="16" t="str">
        <f aca="false">IF(OR(F531="",F531=0),IF(G531="","",1),MIN(1,G531/F531))</f>
        <v/>
      </c>
      <c r="I531" s="15"/>
      <c r="J531" s="17" t="str">
        <f aca="false">IF(C531="","",(C531&gt;=Settings!$B$2)+(D531&gt;=Settings!$B$3)+(E531&gt;=Settings!$B$4)+(N(H531)&gt;=1))&amp;"/4"</f>
        <v>/4</v>
      </c>
      <c r="K531" s="14"/>
    </row>
    <row r="532" customFormat="false" ht="15" hidden="false" customHeight="false" outlineLevel="0" collapsed="false">
      <c r="A532" s="13"/>
      <c r="B532" s="14"/>
      <c r="C532" s="15"/>
      <c r="D532" s="15"/>
      <c r="E532" s="15"/>
      <c r="F532" s="15"/>
      <c r="G532" s="15"/>
      <c r="H532" s="16" t="str">
        <f aca="false">IF(OR(F532="",F532=0),IF(G532="","",1),MIN(1,G532/F532))</f>
        <v/>
      </c>
      <c r="I532" s="15"/>
      <c r="J532" s="17" t="str">
        <f aca="false">IF(C532="","",(C532&gt;=Settings!$B$2)+(D532&gt;=Settings!$B$3)+(E532&gt;=Settings!$B$4)+(N(H532)&gt;=1))&amp;"/4"</f>
        <v>/4</v>
      </c>
      <c r="K532" s="14"/>
    </row>
    <row r="533" customFormat="false" ht="15" hidden="false" customHeight="false" outlineLevel="0" collapsed="false">
      <c r="A533" s="13"/>
      <c r="B533" s="14"/>
      <c r="C533" s="15"/>
      <c r="D533" s="15"/>
      <c r="E533" s="15"/>
      <c r="F533" s="15"/>
      <c r="G533" s="15"/>
      <c r="H533" s="16" t="str">
        <f aca="false">IF(OR(F533="",F533=0),IF(G533="","",1),MIN(1,G533/F533))</f>
        <v/>
      </c>
      <c r="I533" s="15"/>
      <c r="J533" s="17" t="str">
        <f aca="false">IF(C533="","",(C533&gt;=Settings!$B$2)+(D533&gt;=Settings!$B$3)+(E533&gt;=Settings!$B$4)+(N(H533)&gt;=1))&amp;"/4"</f>
        <v>/4</v>
      </c>
      <c r="K533" s="14"/>
    </row>
    <row r="534" customFormat="false" ht="15" hidden="false" customHeight="false" outlineLevel="0" collapsed="false">
      <c r="A534" s="13"/>
      <c r="B534" s="14"/>
      <c r="C534" s="15"/>
      <c r="D534" s="15"/>
      <c r="E534" s="15"/>
      <c r="F534" s="15"/>
      <c r="G534" s="15"/>
      <c r="H534" s="16" t="str">
        <f aca="false">IF(OR(F534="",F534=0),IF(G534="","",1),MIN(1,G534/F534))</f>
        <v/>
      </c>
      <c r="I534" s="15"/>
      <c r="J534" s="17" t="str">
        <f aca="false">IF(C534="","",(C534&gt;=Settings!$B$2)+(D534&gt;=Settings!$B$3)+(E534&gt;=Settings!$B$4)+(N(H534)&gt;=1))&amp;"/4"</f>
        <v>/4</v>
      </c>
      <c r="K534" s="14"/>
    </row>
    <row r="535" customFormat="false" ht="15" hidden="false" customHeight="false" outlineLevel="0" collapsed="false">
      <c r="A535" s="13"/>
      <c r="B535" s="14"/>
      <c r="C535" s="15"/>
      <c r="D535" s="15"/>
      <c r="E535" s="15"/>
      <c r="F535" s="15"/>
      <c r="G535" s="15"/>
      <c r="H535" s="16" t="str">
        <f aca="false">IF(OR(F535="",F535=0),IF(G535="","",1),MIN(1,G535/F535))</f>
        <v/>
      </c>
      <c r="I535" s="15"/>
      <c r="J535" s="17" t="str">
        <f aca="false">IF(C535="","",(C535&gt;=Settings!$B$2)+(D535&gt;=Settings!$B$3)+(E535&gt;=Settings!$B$4)+(N(H535)&gt;=1))&amp;"/4"</f>
        <v>/4</v>
      </c>
      <c r="K535" s="14"/>
    </row>
    <row r="536" customFormat="false" ht="15" hidden="false" customHeight="false" outlineLevel="0" collapsed="false">
      <c r="A536" s="13"/>
      <c r="B536" s="14"/>
      <c r="C536" s="15"/>
      <c r="D536" s="15"/>
      <c r="E536" s="15"/>
      <c r="F536" s="15"/>
      <c r="G536" s="15"/>
      <c r="H536" s="16" t="str">
        <f aca="false">IF(OR(F536="",F536=0),IF(G536="","",1),MIN(1,G536/F536))</f>
        <v/>
      </c>
      <c r="I536" s="15"/>
      <c r="J536" s="17" t="str">
        <f aca="false">IF(C536="","",(C536&gt;=Settings!$B$2)+(D536&gt;=Settings!$B$3)+(E536&gt;=Settings!$B$4)+(N(H536)&gt;=1))&amp;"/4"</f>
        <v>/4</v>
      </c>
      <c r="K536" s="14"/>
    </row>
    <row r="537" customFormat="false" ht="15" hidden="false" customHeight="false" outlineLevel="0" collapsed="false">
      <c r="A537" s="13"/>
      <c r="B537" s="14"/>
      <c r="C537" s="15"/>
      <c r="D537" s="15"/>
      <c r="E537" s="15"/>
      <c r="F537" s="15"/>
      <c r="G537" s="15"/>
      <c r="H537" s="16" t="str">
        <f aca="false">IF(OR(F537="",F537=0),IF(G537="","",1),MIN(1,G537/F537))</f>
        <v/>
      </c>
      <c r="I537" s="15"/>
      <c r="J537" s="17" t="str">
        <f aca="false">IF(C537="","",(C537&gt;=Settings!$B$2)+(D537&gt;=Settings!$B$3)+(E537&gt;=Settings!$B$4)+(N(H537)&gt;=1))&amp;"/4"</f>
        <v>/4</v>
      </c>
      <c r="K537" s="14"/>
    </row>
    <row r="538" customFormat="false" ht="15" hidden="false" customHeight="false" outlineLevel="0" collapsed="false">
      <c r="A538" s="13"/>
      <c r="B538" s="14"/>
      <c r="C538" s="15"/>
      <c r="D538" s="15"/>
      <c r="E538" s="15"/>
      <c r="F538" s="15"/>
      <c r="G538" s="15"/>
      <c r="H538" s="16" t="str">
        <f aca="false">IF(OR(F538="",F538=0),IF(G538="","",1),MIN(1,G538/F538))</f>
        <v/>
      </c>
      <c r="I538" s="15"/>
      <c r="J538" s="17" t="str">
        <f aca="false">IF(C538="","",(C538&gt;=Settings!$B$2)+(D538&gt;=Settings!$B$3)+(E538&gt;=Settings!$B$4)+(N(H538)&gt;=1))&amp;"/4"</f>
        <v>/4</v>
      </c>
      <c r="K538" s="14"/>
    </row>
    <row r="539" customFormat="false" ht="15" hidden="false" customHeight="false" outlineLevel="0" collapsed="false">
      <c r="A539" s="13"/>
      <c r="B539" s="14"/>
      <c r="C539" s="15"/>
      <c r="D539" s="15"/>
      <c r="E539" s="15"/>
      <c r="F539" s="15"/>
      <c r="G539" s="15"/>
      <c r="H539" s="16" t="str">
        <f aca="false">IF(OR(F539="",F539=0),IF(G539="","",1),MIN(1,G539/F539))</f>
        <v/>
      </c>
      <c r="I539" s="15"/>
      <c r="J539" s="17" t="str">
        <f aca="false">IF(C539="","",(C539&gt;=Settings!$B$2)+(D539&gt;=Settings!$B$3)+(E539&gt;=Settings!$B$4)+(N(H539)&gt;=1))&amp;"/4"</f>
        <v>/4</v>
      </c>
      <c r="K539" s="14"/>
    </row>
    <row r="540" customFormat="false" ht="15" hidden="false" customHeight="false" outlineLevel="0" collapsed="false">
      <c r="A540" s="13"/>
      <c r="B540" s="14"/>
      <c r="C540" s="15"/>
      <c r="D540" s="15"/>
      <c r="E540" s="15"/>
      <c r="F540" s="15"/>
      <c r="G540" s="15"/>
      <c r="H540" s="16" t="str">
        <f aca="false">IF(OR(F540="",F540=0),IF(G540="","",1),MIN(1,G540/F540))</f>
        <v/>
      </c>
      <c r="I540" s="15"/>
      <c r="J540" s="17" t="str">
        <f aca="false">IF(C540="","",(C540&gt;=Settings!$B$2)+(D540&gt;=Settings!$B$3)+(E540&gt;=Settings!$B$4)+(N(H540)&gt;=1))&amp;"/4"</f>
        <v>/4</v>
      </c>
      <c r="K540" s="14"/>
    </row>
    <row r="541" customFormat="false" ht="15" hidden="false" customHeight="false" outlineLevel="0" collapsed="false">
      <c r="A541" s="13"/>
      <c r="B541" s="14"/>
      <c r="C541" s="15"/>
      <c r="D541" s="15"/>
      <c r="E541" s="15"/>
      <c r="F541" s="15"/>
      <c r="G541" s="15"/>
      <c r="H541" s="16" t="str">
        <f aca="false">IF(OR(F541="",F541=0),IF(G541="","",1),MIN(1,G541/F541))</f>
        <v/>
      </c>
      <c r="I541" s="15"/>
      <c r="J541" s="17" t="str">
        <f aca="false">IF(C541="","",(C541&gt;=Settings!$B$2)+(D541&gt;=Settings!$B$3)+(E541&gt;=Settings!$B$4)+(N(H541)&gt;=1))&amp;"/4"</f>
        <v>/4</v>
      </c>
      <c r="K541" s="14"/>
    </row>
    <row r="542" customFormat="false" ht="15" hidden="false" customHeight="false" outlineLevel="0" collapsed="false">
      <c r="A542" s="13"/>
      <c r="B542" s="14"/>
      <c r="C542" s="15"/>
      <c r="D542" s="15"/>
      <c r="E542" s="15"/>
      <c r="F542" s="15"/>
      <c r="G542" s="15"/>
      <c r="H542" s="16" t="str">
        <f aca="false">IF(OR(F542="",F542=0),IF(G542="","",1),MIN(1,G542/F542))</f>
        <v/>
      </c>
      <c r="I542" s="15"/>
      <c r="J542" s="17" t="str">
        <f aca="false">IF(C542="","",(C542&gt;=Settings!$B$2)+(D542&gt;=Settings!$B$3)+(E542&gt;=Settings!$B$4)+(N(H542)&gt;=1))&amp;"/4"</f>
        <v>/4</v>
      </c>
      <c r="K542" s="14"/>
    </row>
    <row r="543" customFormat="false" ht="15" hidden="false" customHeight="false" outlineLevel="0" collapsed="false">
      <c r="A543" s="13"/>
      <c r="B543" s="14"/>
      <c r="C543" s="15"/>
      <c r="D543" s="15"/>
      <c r="E543" s="15"/>
      <c r="F543" s="15"/>
      <c r="G543" s="15"/>
      <c r="H543" s="16" t="str">
        <f aca="false">IF(OR(F543="",F543=0),IF(G543="","",1),MIN(1,G543/F543))</f>
        <v/>
      </c>
      <c r="I543" s="15"/>
      <c r="J543" s="17" t="str">
        <f aca="false">IF(C543="","",(C543&gt;=Settings!$B$2)+(D543&gt;=Settings!$B$3)+(E543&gt;=Settings!$B$4)+(N(H543)&gt;=1))&amp;"/4"</f>
        <v>/4</v>
      </c>
      <c r="K543" s="14"/>
    </row>
    <row r="544" customFormat="false" ht="15" hidden="false" customHeight="false" outlineLevel="0" collapsed="false">
      <c r="A544" s="13"/>
      <c r="B544" s="14"/>
      <c r="C544" s="15"/>
      <c r="D544" s="15"/>
      <c r="E544" s="15"/>
      <c r="F544" s="15"/>
      <c r="G544" s="15"/>
      <c r="H544" s="16" t="str">
        <f aca="false">IF(OR(F544="",F544=0),IF(G544="","",1),MIN(1,G544/F544))</f>
        <v/>
      </c>
      <c r="I544" s="15"/>
      <c r="J544" s="17" t="str">
        <f aca="false">IF(C544="","",(C544&gt;=Settings!$B$2)+(D544&gt;=Settings!$B$3)+(E544&gt;=Settings!$B$4)+(N(H544)&gt;=1))&amp;"/4"</f>
        <v>/4</v>
      </c>
      <c r="K544" s="14"/>
    </row>
    <row r="545" customFormat="false" ht="15" hidden="false" customHeight="false" outlineLevel="0" collapsed="false">
      <c r="A545" s="13"/>
      <c r="B545" s="14"/>
      <c r="C545" s="15"/>
      <c r="D545" s="15"/>
      <c r="E545" s="15"/>
      <c r="F545" s="15"/>
      <c r="G545" s="15"/>
      <c r="H545" s="16" t="str">
        <f aca="false">IF(OR(F545="",F545=0),IF(G545="","",1),MIN(1,G545/F545))</f>
        <v/>
      </c>
      <c r="I545" s="15"/>
      <c r="J545" s="17" t="str">
        <f aca="false">IF(C545="","",(C545&gt;=Settings!$B$2)+(D545&gt;=Settings!$B$3)+(E545&gt;=Settings!$B$4)+(N(H545)&gt;=1))&amp;"/4"</f>
        <v>/4</v>
      </c>
      <c r="K545" s="14"/>
    </row>
    <row r="546" customFormat="false" ht="15" hidden="false" customHeight="false" outlineLevel="0" collapsed="false">
      <c r="A546" s="13"/>
      <c r="B546" s="14"/>
      <c r="C546" s="15"/>
      <c r="D546" s="15"/>
      <c r="E546" s="15"/>
      <c r="F546" s="15"/>
      <c r="G546" s="15"/>
      <c r="H546" s="16" t="str">
        <f aca="false">IF(OR(F546="",F546=0),IF(G546="","",1),MIN(1,G546/F546))</f>
        <v/>
      </c>
      <c r="I546" s="15"/>
      <c r="J546" s="17" t="str">
        <f aca="false">IF(C546="","",(C546&gt;=Settings!$B$2)+(D546&gt;=Settings!$B$3)+(E546&gt;=Settings!$B$4)+(N(H546)&gt;=1))&amp;"/4"</f>
        <v>/4</v>
      </c>
      <c r="K546" s="14"/>
    </row>
    <row r="547" customFormat="false" ht="15" hidden="false" customHeight="false" outlineLevel="0" collapsed="false">
      <c r="A547" s="13"/>
      <c r="B547" s="14"/>
      <c r="C547" s="15"/>
      <c r="D547" s="15"/>
      <c r="E547" s="15"/>
      <c r="F547" s="15"/>
      <c r="G547" s="15"/>
      <c r="H547" s="16" t="str">
        <f aca="false">IF(OR(F547="",F547=0),IF(G547="","",1),MIN(1,G547/F547))</f>
        <v/>
      </c>
      <c r="I547" s="15"/>
      <c r="J547" s="17" t="str">
        <f aca="false">IF(C547="","",(C547&gt;=Settings!$B$2)+(D547&gt;=Settings!$B$3)+(E547&gt;=Settings!$B$4)+(N(H547)&gt;=1))&amp;"/4"</f>
        <v>/4</v>
      </c>
      <c r="K547" s="14"/>
    </row>
    <row r="548" customFormat="false" ht="15" hidden="false" customHeight="false" outlineLevel="0" collapsed="false">
      <c r="A548" s="13"/>
      <c r="B548" s="14"/>
      <c r="C548" s="15"/>
      <c r="D548" s="15"/>
      <c r="E548" s="15"/>
      <c r="F548" s="15"/>
      <c r="G548" s="15"/>
      <c r="H548" s="16" t="str">
        <f aca="false">IF(OR(F548="",F548=0),IF(G548="","",1),MIN(1,G548/F548))</f>
        <v/>
      </c>
      <c r="I548" s="15"/>
      <c r="J548" s="17" t="str">
        <f aca="false">IF(C548="","",(C548&gt;=Settings!$B$2)+(D548&gt;=Settings!$B$3)+(E548&gt;=Settings!$B$4)+(N(H548)&gt;=1))&amp;"/4"</f>
        <v>/4</v>
      </c>
      <c r="K548" s="14"/>
    </row>
    <row r="549" customFormat="false" ht="15" hidden="false" customHeight="false" outlineLevel="0" collapsed="false">
      <c r="A549" s="13"/>
      <c r="B549" s="14"/>
      <c r="C549" s="15"/>
      <c r="D549" s="15"/>
      <c r="E549" s="15"/>
      <c r="F549" s="15"/>
      <c r="G549" s="15"/>
      <c r="H549" s="16" t="str">
        <f aca="false">IF(OR(F549="",F549=0),IF(G549="","",1),MIN(1,G549/F549))</f>
        <v/>
      </c>
      <c r="I549" s="15"/>
      <c r="J549" s="17" t="str">
        <f aca="false">IF(C549="","",(C549&gt;=Settings!$B$2)+(D549&gt;=Settings!$B$3)+(E549&gt;=Settings!$B$4)+(N(H549)&gt;=1))&amp;"/4"</f>
        <v>/4</v>
      </c>
      <c r="K549" s="14"/>
    </row>
    <row r="550" customFormat="false" ht="15" hidden="false" customHeight="false" outlineLevel="0" collapsed="false">
      <c r="A550" s="13"/>
      <c r="B550" s="14"/>
      <c r="C550" s="15"/>
      <c r="D550" s="15"/>
      <c r="E550" s="15"/>
      <c r="F550" s="15"/>
      <c r="G550" s="15"/>
      <c r="H550" s="16" t="str">
        <f aca="false">IF(OR(F550="",F550=0),IF(G550="","",1),MIN(1,G550/F550))</f>
        <v/>
      </c>
      <c r="I550" s="15"/>
      <c r="J550" s="17" t="str">
        <f aca="false">IF(C550="","",(C550&gt;=Settings!$B$2)+(D550&gt;=Settings!$B$3)+(E550&gt;=Settings!$B$4)+(N(H550)&gt;=1))&amp;"/4"</f>
        <v>/4</v>
      </c>
      <c r="K550" s="14"/>
    </row>
    <row r="551" customFormat="false" ht="15" hidden="false" customHeight="false" outlineLevel="0" collapsed="false">
      <c r="A551" s="13"/>
      <c r="B551" s="14"/>
      <c r="C551" s="15"/>
      <c r="D551" s="15"/>
      <c r="E551" s="15"/>
      <c r="F551" s="15"/>
      <c r="G551" s="15"/>
      <c r="H551" s="16" t="str">
        <f aca="false">IF(OR(F551="",F551=0),IF(G551="","",1),MIN(1,G551/F551))</f>
        <v/>
      </c>
      <c r="I551" s="15"/>
      <c r="J551" s="17" t="str">
        <f aca="false">IF(C551="","",(C551&gt;=Settings!$B$2)+(D551&gt;=Settings!$B$3)+(E551&gt;=Settings!$B$4)+(N(H551)&gt;=1))&amp;"/4"</f>
        <v>/4</v>
      </c>
      <c r="K551" s="14"/>
    </row>
    <row r="552" customFormat="false" ht="15" hidden="false" customHeight="false" outlineLevel="0" collapsed="false">
      <c r="A552" s="13"/>
      <c r="B552" s="14"/>
      <c r="C552" s="15"/>
      <c r="D552" s="15"/>
      <c r="E552" s="15"/>
      <c r="F552" s="15"/>
      <c r="G552" s="15"/>
      <c r="H552" s="16" t="str">
        <f aca="false">IF(OR(F552="",F552=0),IF(G552="","",1),MIN(1,G552/F552))</f>
        <v/>
      </c>
      <c r="I552" s="15"/>
      <c r="J552" s="17" t="str">
        <f aca="false">IF(C552="","",(C552&gt;=Settings!$B$2)+(D552&gt;=Settings!$B$3)+(E552&gt;=Settings!$B$4)+(N(H552)&gt;=1))&amp;"/4"</f>
        <v>/4</v>
      </c>
      <c r="K552" s="14"/>
    </row>
    <row r="553" customFormat="false" ht="15" hidden="false" customHeight="false" outlineLevel="0" collapsed="false">
      <c r="A553" s="13"/>
      <c r="B553" s="14"/>
      <c r="C553" s="15"/>
      <c r="D553" s="15"/>
      <c r="E553" s="15"/>
      <c r="F553" s="15"/>
      <c r="G553" s="15"/>
      <c r="H553" s="16" t="str">
        <f aca="false">IF(OR(F553="",F553=0),IF(G553="","",1),MIN(1,G553/F553))</f>
        <v/>
      </c>
      <c r="I553" s="15"/>
      <c r="J553" s="17" t="str">
        <f aca="false">IF(C553="","",(C553&gt;=Settings!$B$2)+(D553&gt;=Settings!$B$3)+(E553&gt;=Settings!$B$4)+(N(H553)&gt;=1))&amp;"/4"</f>
        <v>/4</v>
      </c>
      <c r="K553" s="14"/>
    </row>
    <row r="554" customFormat="false" ht="15" hidden="false" customHeight="false" outlineLevel="0" collapsed="false">
      <c r="A554" s="13"/>
      <c r="B554" s="14"/>
      <c r="C554" s="15"/>
      <c r="D554" s="15"/>
      <c r="E554" s="15"/>
      <c r="F554" s="15"/>
      <c r="G554" s="15"/>
      <c r="H554" s="16" t="str">
        <f aca="false">IF(OR(F554="",F554=0),IF(G554="","",1),MIN(1,G554/F554))</f>
        <v/>
      </c>
      <c r="I554" s="15"/>
      <c r="J554" s="17" t="str">
        <f aca="false">IF(C554="","",(C554&gt;=Settings!$B$2)+(D554&gt;=Settings!$B$3)+(E554&gt;=Settings!$B$4)+(N(H554)&gt;=1))&amp;"/4"</f>
        <v>/4</v>
      </c>
      <c r="K554" s="14"/>
    </row>
    <row r="555" customFormat="false" ht="15" hidden="false" customHeight="false" outlineLevel="0" collapsed="false">
      <c r="A555" s="13"/>
      <c r="B555" s="14"/>
      <c r="C555" s="15"/>
      <c r="D555" s="15"/>
      <c r="E555" s="15"/>
      <c r="F555" s="15"/>
      <c r="G555" s="15"/>
      <c r="H555" s="16" t="str">
        <f aca="false">IF(OR(F555="",F555=0),IF(G555="","",1),MIN(1,G555/F555))</f>
        <v/>
      </c>
      <c r="I555" s="15"/>
      <c r="J555" s="17" t="str">
        <f aca="false">IF(C555="","",(C555&gt;=Settings!$B$2)+(D555&gt;=Settings!$B$3)+(E555&gt;=Settings!$B$4)+(N(H555)&gt;=1))&amp;"/4"</f>
        <v>/4</v>
      </c>
      <c r="K555" s="14"/>
    </row>
    <row r="556" customFormat="false" ht="15" hidden="false" customHeight="false" outlineLevel="0" collapsed="false">
      <c r="A556" s="13"/>
      <c r="B556" s="14"/>
      <c r="C556" s="15"/>
      <c r="D556" s="15"/>
      <c r="E556" s="15"/>
      <c r="F556" s="15"/>
      <c r="G556" s="15"/>
      <c r="H556" s="16" t="str">
        <f aca="false">IF(OR(F556="",F556=0),IF(G556="","",1),MIN(1,G556/F556))</f>
        <v/>
      </c>
      <c r="I556" s="15"/>
      <c r="J556" s="17" t="str">
        <f aca="false">IF(C556="","",(C556&gt;=Settings!$B$2)+(D556&gt;=Settings!$B$3)+(E556&gt;=Settings!$B$4)+(N(H556)&gt;=1))&amp;"/4"</f>
        <v>/4</v>
      </c>
      <c r="K556" s="14"/>
    </row>
    <row r="557" customFormat="false" ht="15" hidden="false" customHeight="false" outlineLevel="0" collapsed="false">
      <c r="A557" s="13"/>
      <c r="B557" s="14"/>
      <c r="C557" s="15"/>
      <c r="D557" s="15"/>
      <c r="E557" s="15"/>
      <c r="F557" s="15"/>
      <c r="G557" s="15"/>
      <c r="H557" s="16" t="str">
        <f aca="false">IF(OR(F557="",F557=0),IF(G557="","",1),MIN(1,G557/F557))</f>
        <v/>
      </c>
      <c r="I557" s="15"/>
      <c r="J557" s="17" t="str">
        <f aca="false">IF(C557="","",(C557&gt;=Settings!$B$2)+(D557&gt;=Settings!$B$3)+(E557&gt;=Settings!$B$4)+(N(H557)&gt;=1))&amp;"/4"</f>
        <v>/4</v>
      </c>
      <c r="K557" s="14"/>
    </row>
    <row r="558" customFormat="false" ht="15" hidden="false" customHeight="false" outlineLevel="0" collapsed="false">
      <c r="A558" s="13"/>
      <c r="B558" s="14"/>
      <c r="C558" s="15"/>
      <c r="D558" s="15"/>
      <c r="E558" s="15"/>
      <c r="F558" s="15"/>
      <c r="G558" s="15"/>
      <c r="H558" s="16" t="str">
        <f aca="false">IF(OR(F558="",F558=0),IF(G558="","",1),MIN(1,G558/F558))</f>
        <v/>
      </c>
      <c r="I558" s="15"/>
      <c r="J558" s="17" t="str">
        <f aca="false">IF(C558="","",(C558&gt;=Settings!$B$2)+(D558&gt;=Settings!$B$3)+(E558&gt;=Settings!$B$4)+(N(H558)&gt;=1))&amp;"/4"</f>
        <v>/4</v>
      </c>
      <c r="K558" s="14"/>
    </row>
    <row r="559" customFormat="false" ht="15" hidden="false" customHeight="false" outlineLevel="0" collapsed="false">
      <c r="A559" s="13"/>
      <c r="B559" s="14"/>
      <c r="C559" s="15"/>
      <c r="D559" s="15"/>
      <c r="E559" s="15"/>
      <c r="F559" s="15"/>
      <c r="G559" s="15"/>
      <c r="H559" s="16" t="str">
        <f aca="false">IF(OR(F559="",F559=0),IF(G559="","",1),MIN(1,G559/F559))</f>
        <v/>
      </c>
      <c r="I559" s="15"/>
      <c r="J559" s="17" t="str">
        <f aca="false">IF(C559="","",(C559&gt;=Settings!$B$2)+(D559&gt;=Settings!$B$3)+(E559&gt;=Settings!$B$4)+(N(H559)&gt;=1))&amp;"/4"</f>
        <v>/4</v>
      </c>
      <c r="K559" s="14"/>
    </row>
    <row r="560" customFormat="false" ht="15" hidden="false" customHeight="false" outlineLevel="0" collapsed="false">
      <c r="A560" s="13"/>
      <c r="B560" s="14"/>
      <c r="C560" s="15"/>
      <c r="D560" s="15"/>
      <c r="E560" s="15"/>
      <c r="F560" s="15"/>
      <c r="G560" s="15"/>
      <c r="H560" s="16" t="str">
        <f aca="false">IF(OR(F560="",F560=0),IF(G560="","",1),MIN(1,G560/F560))</f>
        <v/>
      </c>
      <c r="I560" s="15"/>
      <c r="J560" s="17" t="str">
        <f aca="false">IF(C560="","",(C560&gt;=Settings!$B$2)+(D560&gt;=Settings!$B$3)+(E560&gt;=Settings!$B$4)+(N(H560)&gt;=1))&amp;"/4"</f>
        <v>/4</v>
      </c>
      <c r="K560" s="14"/>
    </row>
    <row r="561" customFormat="false" ht="15" hidden="false" customHeight="false" outlineLevel="0" collapsed="false">
      <c r="A561" s="13"/>
      <c r="B561" s="14"/>
      <c r="C561" s="15"/>
      <c r="D561" s="15"/>
      <c r="E561" s="15"/>
      <c r="F561" s="15"/>
      <c r="G561" s="15"/>
      <c r="H561" s="16" t="str">
        <f aca="false">IF(OR(F561="",F561=0),IF(G561="","",1),MIN(1,G561/F561))</f>
        <v/>
      </c>
      <c r="I561" s="15"/>
      <c r="J561" s="17" t="str">
        <f aca="false">IF(C561="","",(C561&gt;=Settings!$B$2)+(D561&gt;=Settings!$B$3)+(E561&gt;=Settings!$B$4)+(N(H561)&gt;=1))&amp;"/4"</f>
        <v>/4</v>
      </c>
      <c r="K561" s="14"/>
    </row>
    <row r="562" customFormat="false" ht="15" hidden="false" customHeight="false" outlineLevel="0" collapsed="false">
      <c r="A562" s="13"/>
      <c r="B562" s="14"/>
      <c r="C562" s="15"/>
      <c r="D562" s="15"/>
      <c r="E562" s="15"/>
      <c r="F562" s="15"/>
      <c r="G562" s="15"/>
      <c r="H562" s="16" t="str">
        <f aca="false">IF(OR(F562="",F562=0),IF(G562="","",1),MIN(1,G562/F562))</f>
        <v/>
      </c>
      <c r="I562" s="15"/>
      <c r="J562" s="17" t="str">
        <f aca="false">IF(C562="","",(C562&gt;=Settings!$B$2)+(D562&gt;=Settings!$B$3)+(E562&gt;=Settings!$B$4)+(N(H562)&gt;=1))&amp;"/4"</f>
        <v>/4</v>
      </c>
      <c r="K562" s="14"/>
    </row>
    <row r="563" customFormat="false" ht="15" hidden="false" customHeight="false" outlineLevel="0" collapsed="false">
      <c r="A563" s="13"/>
      <c r="B563" s="14"/>
      <c r="C563" s="15"/>
      <c r="D563" s="15"/>
      <c r="E563" s="15"/>
      <c r="F563" s="15"/>
      <c r="G563" s="15"/>
      <c r="H563" s="16" t="str">
        <f aca="false">IF(OR(F563="",F563=0),IF(G563="","",1),MIN(1,G563/F563))</f>
        <v/>
      </c>
      <c r="I563" s="15"/>
      <c r="J563" s="17" t="str">
        <f aca="false">IF(C563="","",(C563&gt;=Settings!$B$2)+(D563&gt;=Settings!$B$3)+(E563&gt;=Settings!$B$4)+(N(H563)&gt;=1))&amp;"/4"</f>
        <v>/4</v>
      </c>
      <c r="K563" s="14"/>
    </row>
    <row r="564" customFormat="false" ht="15" hidden="false" customHeight="false" outlineLevel="0" collapsed="false">
      <c r="A564" s="13"/>
      <c r="B564" s="14"/>
      <c r="C564" s="15"/>
      <c r="D564" s="15"/>
      <c r="E564" s="15"/>
      <c r="F564" s="15"/>
      <c r="G564" s="15"/>
      <c r="H564" s="16" t="str">
        <f aca="false">IF(OR(F564="",F564=0),IF(G564="","",1),MIN(1,G564/F564))</f>
        <v/>
      </c>
      <c r="I564" s="15"/>
      <c r="J564" s="17" t="str">
        <f aca="false">IF(C564="","",(C564&gt;=Settings!$B$2)+(D564&gt;=Settings!$B$3)+(E564&gt;=Settings!$B$4)+(N(H564)&gt;=1))&amp;"/4"</f>
        <v>/4</v>
      </c>
      <c r="K564" s="14"/>
    </row>
    <row r="565" customFormat="false" ht="15" hidden="false" customHeight="false" outlineLevel="0" collapsed="false">
      <c r="A565" s="13"/>
      <c r="B565" s="14"/>
      <c r="C565" s="15"/>
      <c r="D565" s="15"/>
      <c r="E565" s="15"/>
      <c r="F565" s="15"/>
      <c r="G565" s="15"/>
      <c r="H565" s="16" t="str">
        <f aca="false">IF(OR(F565="",F565=0),IF(G565="","",1),MIN(1,G565/F565))</f>
        <v/>
      </c>
      <c r="I565" s="15"/>
      <c r="J565" s="17" t="str">
        <f aca="false">IF(C565="","",(C565&gt;=Settings!$B$2)+(D565&gt;=Settings!$B$3)+(E565&gt;=Settings!$B$4)+(N(H565)&gt;=1))&amp;"/4"</f>
        <v>/4</v>
      </c>
      <c r="K565" s="14"/>
    </row>
    <row r="566" customFormat="false" ht="15" hidden="false" customHeight="false" outlineLevel="0" collapsed="false">
      <c r="A566" s="13"/>
      <c r="B566" s="14"/>
      <c r="C566" s="15"/>
      <c r="D566" s="15"/>
      <c r="E566" s="15"/>
      <c r="F566" s="15"/>
      <c r="G566" s="15"/>
      <c r="H566" s="16" t="str">
        <f aca="false">IF(OR(F566="",F566=0),IF(G566="","",1),MIN(1,G566/F566))</f>
        <v/>
      </c>
      <c r="I566" s="15"/>
      <c r="J566" s="17" t="str">
        <f aca="false">IF(C566="","",(C566&gt;=Settings!$B$2)+(D566&gt;=Settings!$B$3)+(E566&gt;=Settings!$B$4)+(N(H566)&gt;=1))&amp;"/4"</f>
        <v>/4</v>
      </c>
      <c r="K566" s="14"/>
    </row>
    <row r="567" customFormat="false" ht="15" hidden="false" customHeight="false" outlineLevel="0" collapsed="false">
      <c r="A567" s="13"/>
      <c r="B567" s="14"/>
      <c r="C567" s="15"/>
      <c r="D567" s="15"/>
      <c r="E567" s="15"/>
      <c r="F567" s="15"/>
      <c r="G567" s="15"/>
      <c r="H567" s="16" t="str">
        <f aca="false">IF(OR(F567="",F567=0),IF(G567="","",1),MIN(1,G567/F567))</f>
        <v/>
      </c>
      <c r="I567" s="15"/>
      <c r="J567" s="17" t="str">
        <f aca="false">IF(C567="","",(C567&gt;=Settings!$B$2)+(D567&gt;=Settings!$B$3)+(E567&gt;=Settings!$B$4)+(N(H567)&gt;=1))&amp;"/4"</f>
        <v>/4</v>
      </c>
      <c r="K567" s="14"/>
    </row>
    <row r="568" customFormat="false" ht="15" hidden="false" customHeight="false" outlineLevel="0" collapsed="false">
      <c r="A568" s="13"/>
      <c r="B568" s="14"/>
      <c r="C568" s="15"/>
      <c r="D568" s="15"/>
      <c r="E568" s="15"/>
      <c r="F568" s="15"/>
      <c r="G568" s="15"/>
      <c r="H568" s="16" t="str">
        <f aca="false">IF(OR(F568="",F568=0),IF(G568="","",1),MIN(1,G568/F568))</f>
        <v/>
      </c>
      <c r="I568" s="15"/>
      <c r="J568" s="17" t="str">
        <f aca="false">IF(C568="","",(C568&gt;=Settings!$B$2)+(D568&gt;=Settings!$B$3)+(E568&gt;=Settings!$B$4)+(N(H568)&gt;=1))&amp;"/4"</f>
        <v>/4</v>
      </c>
      <c r="K568" s="14"/>
    </row>
    <row r="569" customFormat="false" ht="15" hidden="false" customHeight="false" outlineLevel="0" collapsed="false">
      <c r="A569" s="13"/>
      <c r="B569" s="14"/>
      <c r="C569" s="15"/>
      <c r="D569" s="15"/>
      <c r="E569" s="15"/>
      <c r="F569" s="15"/>
      <c r="G569" s="15"/>
      <c r="H569" s="16" t="str">
        <f aca="false">IF(OR(F569="",F569=0),IF(G569="","",1),MIN(1,G569/F569))</f>
        <v/>
      </c>
      <c r="I569" s="15"/>
      <c r="J569" s="17" t="str">
        <f aca="false">IF(C569="","",(C569&gt;=Settings!$B$2)+(D569&gt;=Settings!$B$3)+(E569&gt;=Settings!$B$4)+(N(H569)&gt;=1))&amp;"/4"</f>
        <v>/4</v>
      </c>
      <c r="K569" s="14"/>
    </row>
    <row r="570" customFormat="false" ht="15" hidden="false" customHeight="false" outlineLevel="0" collapsed="false">
      <c r="A570" s="13"/>
      <c r="B570" s="14"/>
      <c r="C570" s="15"/>
      <c r="D570" s="15"/>
      <c r="E570" s="15"/>
      <c r="F570" s="15"/>
      <c r="G570" s="15"/>
      <c r="H570" s="16" t="str">
        <f aca="false">IF(OR(F570="",F570=0),IF(G570="","",1),MIN(1,G570/F570))</f>
        <v/>
      </c>
      <c r="I570" s="15"/>
      <c r="J570" s="17" t="str">
        <f aca="false">IF(C570="","",(C570&gt;=Settings!$B$2)+(D570&gt;=Settings!$B$3)+(E570&gt;=Settings!$B$4)+(N(H570)&gt;=1))&amp;"/4"</f>
        <v>/4</v>
      </c>
      <c r="K570" s="14"/>
    </row>
    <row r="571" customFormat="false" ht="15" hidden="false" customHeight="false" outlineLevel="0" collapsed="false">
      <c r="A571" s="13"/>
      <c r="B571" s="14"/>
      <c r="C571" s="15"/>
      <c r="D571" s="15"/>
      <c r="E571" s="15"/>
      <c r="F571" s="15"/>
      <c r="G571" s="15"/>
      <c r="H571" s="16" t="str">
        <f aca="false">IF(OR(F571="",F571=0),IF(G571="","",1),MIN(1,G571/F571))</f>
        <v/>
      </c>
      <c r="I571" s="15"/>
      <c r="J571" s="17" t="str">
        <f aca="false">IF(C571="","",(C571&gt;=Settings!$B$2)+(D571&gt;=Settings!$B$3)+(E571&gt;=Settings!$B$4)+(N(H571)&gt;=1))&amp;"/4"</f>
        <v>/4</v>
      </c>
      <c r="K571" s="14"/>
    </row>
    <row r="572" customFormat="false" ht="15" hidden="false" customHeight="false" outlineLevel="0" collapsed="false">
      <c r="A572" s="13"/>
      <c r="B572" s="14"/>
      <c r="C572" s="15"/>
      <c r="D572" s="15"/>
      <c r="E572" s="15"/>
      <c r="F572" s="15"/>
      <c r="G572" s="15"/>
      <c r="H572" s="16" t="str">
        <f aca="false">IF(OR(F572="",F572=0),IF(G572="","",1),MIN(1,G572/F572))</f>
        <v/>
      </c>
      <c r="I572" s="15"/>
      <c r="J572" s="17" t="str">
        <f aca="false">IF(C572="","",(C572&gt;=Settings!$B$2)+(D572&gt;=Settings!$B$3)+(E572&gt;=Settings!$B$4)+(N(H572)&gt;=1))&amp;"/4"</f>
        <v>/4</v>
      </c>
      <c r="K572" s="14"/>
    </row>
    <row r="573" customFormat="false" ht="15" hidden="false" customHeight="false" outlineLevel="0" collapsed="false">
      <c r="A573" s="13"/>
      <c r="B573" s="14"/>
      <c r="C573" s="15"/>
      <c r="D573" s="15"/>
      <c r="E573" s="15"/>
      <c r="F573" s="15"/>
      <c r="G573" s="15"/>
      <c r="H573" s="16" t="str">
        <f aca="false">IF(OR(F573="",F573=0),IF(G573="","",1),MIN(1,G573/F573))</f>
        <v/>
      </c>
      <c r="I573" s="15"/>
      <c r="J573" s="17" t="str">
        <f aca="false">IF(C573="","",(C573&gt;=Settings!$B$2)+(D573&gt;=Settings!$B$3)+(E573&gt;=Settings!$B$4)+(N(H573)&gt;=1))&amp;"/4"</f>
        <v>/4</v>
      </c>
      <c r="K573" s="14"/>
    </row>
    <row r="574" customFormat="false" ht="15" hidden="false" customHeight="false" outlineLevel="0" collapsed="false">
      <c r="A574" s="13"/>
      <c r="B574" s="14"/>
      <c r="C574" s="15"/>
      <c r="D574" s="15"/>
      <c r="E574" s="15"/>
      <c r="F574" s="15"/>
      <c r="G574" s="15"/>
      <c r="H574" s="16" t="str">
        <f aca="false">IF(OR(F574="",F574=0),IF(G574="","",1),MIN(1,G574/F574))</f>
        <v/>
      </c>
      <c r="I574" s="15"/>
      <c r="J574" s="17" t="str">
        <f aca="false">IF(C574="","",(C574&gt;=Settings!$B$2)+(D574&gt;=Settings!$B$3)+(E574&gt;=Settings!$B$4)+(N(H574)&gt;=1))&amp;"/4"</f>
        <v>/4</v>
      </c>
      <c r="K574" s="14"/>
    </row>
    <row r="575" customFormat="false" ht="15" hidden="false" customHeight="false" outlineLevel="0" collapsed="false">
      <c r="A575" s="13"/>
      <c r="B575" s="14"/>
      <c r="C575" s="15"/>
      <c r="D575" s="15"/>
      <c r="E575" s="15"/>
      <c r="F575" s="15"/>
      <c r="G575" s="15"/>
      <c r="H575" s="16" t="str">
        <f aca="false">IF(OR(F575="",F575=0),IF(G575="","",1),MIN(1,G575/F575))</f>
        <v/>
      </c>
      <c r="I575" s="15"/>
      <c r="J575" s="17" t="str">
        <f aca="false">IF(C575="","",(C575&gt;=Settings!$B$2)+(D575&gt;=Settings!$B$3)+(E575&gt;=Settings!$B$4)+(N(H575)&gt;=1))&amp;"/4"</f>
        <v>/4</v>
      </c>
      <c r="K575" s="14"/>
    </row>
    <row r="576" customFormat="false" ht="15" hidden="false" customHeight="false" outlineLevel="0" collapsed="false">
      <c r="A576" s="13"/>
      <c r="B576" s="14"/>
      <c r="C576" s="15"/>
      <c r="D576" s="15"/>
      <c r="E576" s="15"/>
      <c r="F576" s="15"/>
      <c r="G576" s="15"/>
      <c r="H576" s="16" t="str">
        <f aca="false">IF(OR(F576="",F576=0),IF(G576="","",1),MIN(1,G576/F576))</f>
        <v/>
      </c>
      <c r="I576" s="15"/>
      <c r="J576" s="17" t="str">
        <f aca="false">IF(C576="","",(C576&gt;=Settings!$B$2)+(D576&gt;=Settings!$B$3)+(E576&gt;=Settings!$B$4)+(N(H576)&gt;=1))&amp;"/4"</f>
        <v>/4</v>
      </c>
      <c r="K576" s="14"/>
    </row>
    <row r="577" customFormat="false" ht="15" hidden="false" customHeight="false" outlineLevel="0" collapsed="false">
      <c r="A577" s="13"/>
      <c r="B577" s="14"/>
      <c r="C577" s="15"/>
      <c r="D577" s="15"/>
      <c r="E577" s="15"/>
      <c r="F577" s="15"/>
      <c r="G577" s="15"/>
      <c r="H577" s="16" t="str">
        <f aca="false">IF(OR(F577="",F577=0),IF(G577="","",1),MIN(1,G577/F577))</f>
        <v/>
      </c>
      <c r="I577" s="15"/>
      <c r="J577" s="17" t="str">
        <f aca="false">IF(C577="","",(C577&gt;=Settings!$B$2)+(D577&gt;=Settings!$B$3)+(E577&gt;=Settings!$B$4)+(N(H577)&gt;=1))&amp;"/4"</f>
        <v>/4</v>
      </c>
      <c r="K577" s="14"/>
    </row>
    <row r="578" customFormat="false" ht="15" hidden="false" customHeight="false" outlineLevel="0" collapsed="false">
      <c r="A578" s="13"/>
      <c r="B578" s="14"/>
      <c r="C578" s="15"/>
      <c r="D578" s="15"/>
      <c r="E578" s="15"/>
      <c r="F578" s="15"/>
      <c r="G578" s="15"/>
      <c r="H578" s="16" t="str">
        <f aca="false">IF(OR(F578="",F578=0),IF(G578="","",1),MIN(1,G578/F578))</f>
        <v/>
      </c>
      <c r="I578" s="15"/>
      <c r="J578" s="17" t="str">
        <f aca="false">IF(C578="","",(C578&gt;=Settings!$B$2)+(D578&gt;=Settings!$B$3)+(E578&gt;=Settings!$B$4)+(N(H578)&gt;=1))&amp;"/4"</f>
        <v>/4</v>
      </c>
      <c r="K578" s="14"/>
    </row>
    <row r="579" customFormat="false" ht="15" hidden="false" customHeight="false" outlineLevel="0" collapsed="false">
      <c r="A579" s="13"/>
      <c r="B579" s="14"/>
      <c r="C579" s="15"/>
      <c r="D579" s="15"/>
      <c r="E579" s="15"/>
      <c r="F579" s="15"/>
      <c r="G579" s="15"/>
      <c r="H579" s="16" t="str">
        <f aca="false">IF(OR(F579="",F579=0),IF(G579="","",1),MIN(1,G579/F579))</f>
        <v/>
      </c>
      <c r="I579" s="15"/>
      <c r="J579" s="17" t="str">
        <f aca="false">IF(C579="","",(C579&gt;=Settings!$B$2)+(D579&gt;=Settings!$B$3)+(E579&gt;=Settings!$B$4)+(N(H579)&gt;=1))&amp;"/4"</f>
        <v>/4</v>
      </c>
      <c r="K579" s="14"/>
    </row>
    <row r="580" customFormat="false" ht="15" hidden="false" customHeight="false" outlineLevel="0" collapsed="false">
      <c r="A580" s="13"/>
      <c r="B580" s="14"/>
      <c r="C580" s="15"/>
      <c r="D580" s="15"/>
      <c r="E580" s="15"/>
      <c r="F580" s="15"/>
      <c r="G580" s="15"/>
      <c r="H580" s="16" t="str">
        <f aca="false">IF(OR(F580="",F580=0),IF(G580="","",1),MIN(1,G580/F580))</f>
        <v/>
      </c>
      <c r="I580" s="15"/>
      <c r="J580" s="17" t="str">
        <f aca="false">IF(C580="","",(C580&gt;=Settings!$B$2)+(D580&gt;=Settings!$B$3)+(E580&gt;=Settings!$B$4)+(N(H580)&gt;=1))&amp;"/4"</f>
        <v>/4</v>
      </c>
      <c r="K580" s="14"/>
    </row>
    <row r="581" customFormat="false" ht="15" hidden="false" customHeight="false" outlineLevel="0" collapsed="false">
      <c r="A581" s="13"/>
      <c r="B581" s="14"/>
      <c r="C581" s="15"/>
      <c r="D581" s="15"/>
      <c r="E581" s="15"/>
      <c r="F581" s="15"/>
      <c r="G581" s="15"/>
      <c r="H581" s="16" t="str">
        <f aca="false">IF(OR(F581="",F581=0),IF(G581="","",1),MIN(1,G581/F581))</f>
        <v/>
      </c>
      <c r="I581" s="15"/>
      <c r="J581" s="17" t="str">
        <f aca="false">IF(C581="","",(C581&gt;=Settings!$B$2)+(D581&gt;=Settings!$B$3)+(E581&gt;=Settings!$B$4)+(N(H581)&gt;=1))&amp;"/4"</f>
        <v>/4</v>
      </c>
      <c r="K581" s="14"/>
    </row>
    <row r="582" customFormat="false" ht="15" hidden="false" customHeight="false" outlineLevel="0" collapsed="false">
      <c r="A582" s="13"/>
      <c r="B582" s="14"/>
      <c r="C582" s="15"/>
      <c r="D582" s="15"/>
      <c r="E582" s="15"/>
      <c r="F582" s="15"/>
      <c r="G582" s="15"/>
      <c r="H582" s="16" t="str">
        <f aca="false">IF(OR(F582="",F582=0),IF(G582="","",1),MIN(1,G582/F582))</f>
        <v/>
      </c>
      <c r="I582" s="15"/>
      <c r="J582" s="17" t="str">
        <f aca="false">IF(C582="","",(C582&gt;=Settings!$B$2)+(D582&gt;=Settings!$B$3)+(E582&gt;=Settings!$B$4)+(N(H582)&gt;=1))&amp;"/4"</f>
        <v>/4</v>
      </c>
      <c r="K582" s="14"/>
    </row>
    <row r="583" customFormat="false" ht="15" hidden="false" customHeight="false" outlineLevel="0" collapsed="false">
      <c r="A583" s="13"/>
      <c r="B583" s="14"/>
      <c r="C583" s="15"/>
      <c r="D583" s="15"/>
      <c r="E583" s="15"/>
      <c r="F583" s="15"/>
      <c r="G583" s="15"/>
      <c r="H583" s="16" t="str">
        <f aca="false">IF(OR(F583="",F583=0),IF(G583="","",1),MIN(1,G583/F583))</f>
        <v/>
      </c>
      <c r="I583" s="15"/>
      <c r="J583" s="17" t="str">
        <f aca="false">IF(C583="","",(C583&gt;=Settings!$B$2)+(D583&gt;=Settings!$B$3)+(E583&gt;=Settings!$B$4)+(N(H583)&gt;=1))&amp;"/4"</f>
        <v>/4</v>
      </c>
      <c r="K583" s="14"/>
    </row>
    <row r="584" customFormat="false" ht="15" hidden="false" customHeight="false" outlineLevel="0" collapsed="false">
      <c r="A584" s="13"/>
      <c r="B584" s="14"/>
      <c r="C584" s="15"/>
      <c r="D584" s="15"/>
      <c r="E584" s="15"/>
      <c r="F584" s="15"/>
      <c r="G584" s="15"/>
      <c r="H584" s="16" t="str">
        <f aca="false">IF(OR(F584="",F584=0),IF(G584="","",1),MIN(1,G584/F584))</f>
        <v/>
      </c>
      <c r="I584" s="15"/>
      <c r="J584" s="17" t="str">
        <f aca="false">IF(C584="","",(C584&gt;=Settings!$B$2)+(D584&gt;=Settings!$B$3)+(E584&gt;=Settings!$B$4)+(N(H584)&gt;=1))&amp;"/4"</f>
        <v>/4</v>
      </c>
      <c r="K584" s="14"/>
    </row>
    <row r="585" customFormat="false" ht="15" hidden="false" customHeight="false" outlineLevel="0" collapsed="false">
      <c r="A585" s="13"/>
      <c r="B585" s="14"/>
      <c r="C585" s="15"/>
      <c r="D585" s="15"/>
      <c r="E585" s="15"/>
      <c r="F585" s="15"/>
      <c r="G585" s="15"/>
      <c r="H585" s="16" t="str">
        <f aca="false">IF(OR(F585="",F585=0),IF(G585="","",1),MIN(1,G585/F585))</f>
        <v/>
      </c>
      <c r="I585" s="15"/>
      <c r="J585" s="17" t="str">
        <f aca="false">IF(C585="","",(C585&gt;=Settings!$B$2)+(D585&gt;=Settings!$B$3)+(E585&gt;=Settings!$B$4)+(N(H585)&gt;=1))&amp;"/4"</f>
        <v>/4</v>
      </c>
      <c r="K585" s="14"/>
    </row>
    <row r="586" customFormat="false" ht="15" hidden="false" customHeight="false" outlineLevel="0" collapsed="false">
      <c r="A586" s="13"/>
      <c r="B586" s="14"/>
      <c r="C586" s="15"/>
      <c r="D586" s="15"/>
      <c r="E586" s="15"/>
      <c r="F586" s="15"/>
      <c r="G586" s="15"/>
      <c r="H586" s="16" t="str">
        <f aca="false">IF(OR(F586="",F586=0),IF(G586="","",1),MIN(1,G586/F586))</f>
        <v/>
      </c>
      <c r="I586" s="15"/>
      <c r="J586" s="17" t="str">
        <f aca="false">IF(C586="","",(C586&gt;=Settings!$B$2)+(D586&gt;=Settings!$B$3)+(E586&gt;=Settings!$B$4)+(N(H586)&gt;=1))&amp;"/4"</f>
        <v>/4</v>
      </c>
      <c r="K586" s="14"/>
    </row>
    <row r="587" customFormat="false" ht="15" hidden="false" customHeight="false" outlineLevel="0" collapsed="false">
      <c r="A587" s="13"/>
      <c r="B587" s="14"/>
      <c r="C587" s="15"/>
      <c r="D587" s="15"/>
      <c r="E587" s="15"/>
      <c r="F587" s="15"/>
      <c r="G587" s="15"/>
      <c r="H587" s="16" t="str">
        <f aca="false">IF(OR(F587="",F587=0),IF(G587="","",1),MIN(1,G587/F587))</f>
        <v/>
      </c>
      <c r="I587" s="15"/>
      <c r="J587" s="17" t="str">
        <f aca="false">IF(C587="","",(C587&gt;=Settings!$B$2)+(D587&gt;=Settings!$B$3)+(E587&gt;=Settings!$B$4)+(N(H587)&gt;=1))&amp;"/4"</f>
        <v>/4</v>
      </c>
      <c r="K587" s="14"/>
    </row>
    <row r="588" customFormat="false" ht="15" hidden="false" customHeight="false" outlineLevel="0" collapsed="false">
      <c r="A588" s="13"/>
      <c r="B588" s="14"/>
      <c r="C588" s="15"/>
      <c r="D588" s="15"/>
      <c r="E588" s="15"/>
      <c r="F588" s="15"/>
      <c r="G588" s="15"/>
      <c r="H588" s="16" t="str">
        <f aca="false">IF(OR(F588="",F588=0),IF(G588="","",1),MIN(1,G588/F588))</f>
        <v/>
      </c>
      <c r="I588" s="15"/>
      <c r="J588" s="17" t="str">
        <f aca="false">IF(C588="","",(C588&gt;=Settings!$B$2)+(D588&gt;=Settings!$B$3)+(E588&gt;=Settings!$B$4)+(N(H588)&gt;=1))&amp;"/4"</f>
        <v>/4</v>
      </c>
      <c r="K588" s="14"/>
    </row>
    <row r="589" customFormat="false" ht="15" hidden="false" customHeight="false" outlineLevel="0" collapsed="false">
      <c r="A589" s="13"/>
      <c r="B589" s="14"/>
      <c r="C589" s="15"/>
      <c r="D589" s="15"/>
      <c r="E589" s="15"/>
      <c r="F589" s="15"/>
      <c r="G589" s="15"/>
      <c r="H589" s="16" t="str">
        <f aca="false">IF(OR(F589="",F589=0),IF(G589="","",1),MIN(1,G589/F589))</f>
        <v/>
      </c>
      <c r="I589" s="15"/>
      <c r="J589" s="17" t="str">
        <f aca="false">IF(C589="","",(C589&gt;=Settings!$B$2)+(D589&gt;=Settings!$B$3)+(E589&gt;=Settings!$B$4)+(N(H589)&gt;=1))&amp;"/4"</f>
        <v>/4</v>
      </c>
      <c r="K589" s="14"/>
    </row>
    <row r="590" customFormat="false" ht="15" hidden="false" customHeight="false" outlineLevel="0" collapsed="false">
      <c r="A590" s="13"/>
      <c r="B590" s="14"/>
      <c r="C590" s="15"/>
      <c r="D590" s="15"/>
      <c r="E590" s="15"/>
      <c r="F590" s="15"/>
      <c r="G590" s="15"/>
      <c r="H590" s="16" t="str">
        <f aca="false">IF(OR(F590="",F590=0),IF(G590="","",1),MIN(1,G590/F590))</f>
        <v/>
      </c>
      <c r="I590" s="15"/>
      <c r="J590" s="17" t="str">
        <f aca="false">IF(C590="","",(C590&gt;=Settings!$B$2)+(D590&gt;=Settings!$B$3)+(E590&gt;=Settings!$B$4)+(N(H590)&gt;=1))&amp;"/4"</f>
        <v>/4</v>
      </c>
      <c r="K590" s="14"/>
    </row>
    <row r="591" customFormat="false" ht="15" hidden="false" customHeight="false" outlineLevel="0" collapsed="false">
      <c r="A591" s="13"/>
      <c r="B591" s="14"/>
      <c r="C591" s="15"/>
      <c r="D591" s="15"/>
      <c r="E591" s="15"/>
      <c r="F591" s="15"/>
      <c r="G591" s="15"/>
      <c r="H591" s="16" t="str">
        <f aca="false">IF(OR(F591="",F591=0),IF(G591="","",1),MIN(1,G591/F591))</f>
        <v/>
      </c>
      <c r="I591" s="15"/>
      <c r="J591" s="17" t="str">
        <f aca="false">IF(C591="","",(C591&gt;=Settings!$B$2)+(D591&gt;=Settings!$B$3)+(E591&gt;=Settings!$B$4)+(N(H591)&gt;=1))&amp;"/4"</f>
        <v>/4</v>
      </c>
      <c r="K591" s="14"/>
    </row>
    <row r="592" customFormat="false" ht="15" hidden="false" customHeight="false" outlineLevel="0" collapsed="false">
      <c r="A592" s="13"/>
      <c r="B592" s="14"/>
      <c r="C592" s="15"/>
      <c r="D592" s="15"/>
      <c r="E592" s="15"/>
      <c r="F592" s="15"/>
      <c r="G592" s="15"/>
      <c r="H592" s="16" t="str">
        <f aca="false">IF(OR(F592="",F592=0),IF(G592="","",1),MIN(1,G592/F592))</f>
        <v/>
      </c>
      <c r="I592" s="15"/>
      <c r="J592" s="17" t="str">
        <f aca="false">IF(C592="","",(C592&gt;=Settings!$B$2)+(D592&gt;=Settings!$B$3)+(E592&gt;=Settings!$B$4)+(N(H592)&gt;=1))&amp;"/4"</f>
        <v>/4</v>
      </c>
      <c r="K592" s="14"/>
    </row>
    <row r="593" customFormat="false" ht="15" hidden="false" customHeight="false" outlineLevel="0" collapsed="false">
      <c r="A593" s="13"/>
      <c r="B593" s="14"/>
      <c r="C593" s="15"/>
      <c r="D593" s="15"/>
      <c r="E593" s="15"/>
      <c r="F593" s="15"/>
      <c r="G593" s="15"/>
      <c r="H593" s="16" t="str">
        <f aca="false">IF(OR(F593="",F593=0),IF(G593="","",1),MIN(1,G593/F593))</f>
        <v/>
      </c>
      <c r="I593" s="15"/>
      <c r="J593" s="17" t="str">
        <f aca="false">IF(C593="","",(C593&gt;=Settings!$B$2)+(D593&gt;=Settings!$B$3)+(E593&gt;=Settings!$B$4)+(N(H593)&gt;=1))&amp;"/4"</f>
        <v>/4</v>
      </c>
      <c r="K593" s="14"/>
    </row>
    <row r="594" customFormat="false" ht="15" hidden="false" customHeight="false" outlineLevel="0" collapsed="false">
      <c r="A594" s="13"/>
      <c r="B594" s="14"/>
      <c r="C594" s="15"/>
      <c r="D594" s="15"/>
      <c r="E594" s="15"/>
      <c r="F594" s="15"/>
      <c r="G594" s="15"/>
      <c r="H594" s="16" t="str">
        <f aca="false">IF(OR(F594="",F594=0),IF(G594="","",1),MIN(1,G594/F594))</f>
        <v/>
      </c>
      <c r="I594" s="15"/>
      <c r="J594" s="17" t="str">
        <f aca="false">IF(C594="","",(C594&gt;=Settings!$B$2)+(D594&gt;=Settings!$B$3)+(E594&gt;=Settings!$B$4)+(N(H594)&gt;=1))&amp;"/4"</f>
        <v>/4</v>
      </c>
      <c r="K594" s="14"/>
    </row>
    <row r="595" customFormat="false" ht="15" hidden="false" customHeight="false" outlineLevel="0" collapsed="false">
      <c r="A595" s="13"/>
      <c r="B595" s="14"/>
      <c r="C595" s="15"/>
      <c r="D595" s="15"/>
      <c r="E595" s="15"/>
      <c r="F595" s="15"/>
      <c r="G595" s="15"/>
      <c r="H595" s="16" t="str">
        <f aca="false">IF(OR(F595="",F595=0),IF(G595="","",1),MIN(1,G595/F595))</f>
        <v/>
      </c>
      <c r="I595" s="15"/>
      <c r="J595" s="17" t="str">
        <f aca="false">IF(C595="","",(C595&gt;=Settings!$B$2)+(D595&gt;=Settings!$B$3)+(E595&gt;=Settings!$B$4)+(N(H595)&gt;=1))&amp;"/4"</f>
        <v>/4</v>
      </c>
      <c r="K595" s="14"/>
    </row>
    <row r="596" customFormat="false" ht="15" hidden="false" customHeight="false" outlineLevel="0" collapsed="false">
      <c r="A596" s="13"/>
      <c r="B596" s="14"/>
      <c r="C596" s="15"/>
      <c r="D596" s="15"/>
      <c r="E596" s="15"/>
      <c r="F596" s="15"/>
      <c r="G596" s="15"/>
      <c r="H596" s="16" t="str">
        <f aca="false">IF(OR(F596="",F596=0),IF(G596="","",1),MIN(1,G596/F596))</f>
        <v/>
      </c>
      <c r="I596" s="15"/>
      <c r="J596" s="17" t="str">
        <f aca="false">IF(C596="","",(C596&gt;=Settings!$B$2)+(D596&gt;=Settings!$B$3)+(E596&gt;=Settings!$B$4)+(N(H596)&gt;=1))&amp;"/4"</f>
        <v>/4</v>
      </c>
      <c r="K596" s="14"/>
    </row>
    <row r="597" customFormat="false" ht="15" hidden="false" customHeight="false" outlineLevel="0" collapsed="false">
      <c r="A597" s="13"/>
      <c r="B597" s="14"/>
      <c r="C597" s="15"/>
      <c r="D597" s="15"/>
      <c r="E597" s="15"/>
      <c r="F597" s="15"/>
      <c r="G597" s="15"/>
      <c r="H597" s="16" t="str">
        <f aca="false">IF(OR(F597="",F597=0),IF(G597="","",1),MIN(1,G597/F597))</f>
        <v/>
      </c>
      <c r="I597" s="15"/>
      <c r="J597" s="17" t="str">
        <f aca="false">IF(C597="","",(C597&gt;=Settings!$B$2)+(D597&gt;=Settings!$B$3)+(E597&gt;=Settings!$B$4)+(N(H597)&gt;=1))&amp;"/4"</f>
        <v>/4</v>
      </c>
      <c r="K597" s="14"/>
    </row>
    <row r="598" customFormat="false" ht="15" hidden="false" customHeight="false" outlineLevel="0" collapsed="false">
      <c r="A598" s="13"/>
      <c r="B598" s="14"/>
      <c r="C598" s="15"/>
      <c r="D598" s="15"/>
      <c r="E598" s="15"/>
      <c r="F598" s="15"/>
      <c r="G598" s="15"/>
      <c r="H598" s="16" t="str">
        <f aca="false">IF(OR(F598="",F598=0),IF(G598="","",1),MIN(1,G598/F598))</f>
        <v/>
      </c>
      <c r="I598" s="15"/>
      <c r="J598" s="17" t="str">
        <f aca="false">IF(C598="","",(C598&gt;=Settings!$B$2)+(D598&gt;=Settings!$B$3)+(E598&gt;=Settings!$B$4)+(N(H598)&gt;=1))&amp;"/4"</f>
        <v>/4</v>
      </c>
      <c r="K598" s="14"/>
    </row>
    <row r="599" customFormat="false" ht="15" hidden="false" customHeight="false" outlineLevel="0" collapsed="false">
      <c r="A599" s="13"/>
      <c r="B599" s="14"/>
      <c r="C599" s="15"/>
      <c r="D599" s="15"/>
      <c r="E599" s="15"/>
      <c r="F599" s="15"/>
      <c r="G599" s="15"/>
      <c r="H599" s="16" t="str">
        <f aca="false">IF(OR(F599="",F599=0),IF(G599="","",1),MIN(1,G599/F599))</f>
        <v/>
      </c>
      <c r="I599" s="15"/>
      <c r="J599" s="17" t="str">
        <f aca="false">IF(C599="","",(C599&gt;=Settings!$B$2)+(D599&gt;=Settings!$B$3)+(E599&gt;=Settings!$B$4)+(N(H599)&gt;=1))&amp;"/4"</f>
        <v>/4</v>
      </c>
      <c r="K599" s="14"/>
    </row>
    <row r="600" customFormat="false" ht="15" hidden="false" customHeight="false" outlineLevel="0" collapsed="false">
      <c r="A600" s="13"/>
      <c r="B600" s="14"/>
      <c r="C600" s="15"/>
      <c r="D600" s="15"/>
      <c r="E600" s="15"/>
      <c r="F600" s="15"/>
      <c r="G600" s="15"/>
      <c r="H600" s="16" t="str">
        <f aca="false">IF(OR(F600="",F600=0),IF(G600="","",1),MIN(1,G600/F600))</f>
        <v/>
      </c>
      <c r="I600" s="15"/>
      <c r="J600" s="17" t="str">
        <f aca="false">IF(C600="","",(C600&gt;=Settings!$B$2)+(D600&gt;=Settings!$B$3)+(E600&gt;=Settings!$B$4)+(N(H600)&gt;=1))&amp;"/4"</f>
        <v>/4</v>
      </c>
      <c r="K600" s="14"/>
    </row>
    <row r="601" customFormat="false" ht="15" hidden="false" customHeight="false" outlineLevel="0" collapsed="false">
      <c r="A601" s="13"/>
      <c r="B601" s="14"/>
      <c r="C601" s="15"/>
      <c r="D601" s="15"/>
      <c r="E601" s="15"/>
      <c r="F601" s="15"/>
      <c r="G601" s="15"/>
      <c r="H601" s="16" t="str">
        <f aca="false">IF(OR(F601="",F601=0),IF(G601="","",1),MIN(1,G601/F601))</f>
        <v/>
      </c>
      <c r="I601" s="15"/>
      <c r="J601" s="17" t="str">
        <f aca="false">IF(C601="","",(C601&gt;=Settings!$B$2)+(D601&gt;=Settings!$B$3)+(E601&gt;=Settings!$B$4)+(N(H601)&gt;=1))&amp;"/4"</f>
        <v>/4</v>
      </c>
      <c r="K601" s="14"/>
    </row>
  </sheetData>
  <autoFilter ref="A1:K601"/>
  <conditionalFormatting sqref="C2:C601">
    <cfRule type="expression" priority="2" aboveAverage="0" equalAverage="0" bottom="0" percent="0" rank="0" text="" dxfId="7">
      <formula>AND(C2&lt;&gt;"",C2&gt;=Settings!$B$2)</formula>
    </cfRule>
    <cfRule type="expression" priority="3" aboveAverage="0" equalAverage="0" bottom="0" percent="0" rank="0" text="" dxfId="8">
      <formula>AND(C2&lt;&gt;"",C2&lt;Settings!$B$2)</formula>
    </cfRule>
  </conditionalFormatting>
  <conditionalFormatting sqref="D2:D601">
    <cfRule type="expression" priority="4" aboveAverage="0" equalAverage="0" bottom="0" percent="0" rank="0" text="" dxfId="7">
      <formula>AND(D2&lt;&gt;"",D2&gt;=Settings!$B$3)</formula>
    </cfRule>
    <cfRule type="expression" priority="5" aboveAverage="0" equalAverage="0" bottom="0" percent="0" rank="0" text="" dxfId="8">
      <formula>AND(D2&lt;&gt;"",D2&lt;Settings!$B$3)</formula>
    </cfRule>
  </conditionalFormatting>
  <conditionalFormatting sqref="E2:E601">
    <cfRule type="expression" priority="6" aboveAverage="0" equalAverage="0" bottom="0" percent="0" rank="0" text="" dxfId="7">
      <formula>AND(E2&lt;&gt;"",E2&gt;=Settings!$B$4)</formula>
    </cfRule>
    <cfRule type="expression" priority="7" aboveAverage="0" equalAverage="0" bottom="0" percent="0" rank="0" text="" dxfId="8">
      <formula>AND(E2&lt;&gt;"",E2&lt;Settings!$B$4)</formula>
    </cfRule>
  </conditionalFormatting>
  <conditionalFormatting sqref="H2:H601">
    <cfRule type="expression" priority="8" aboveAverage="0" equalAverage="0" bottom="0" percent="0" rank="0" text="" dxfId="7">
      <formula>AND(H2&lt;&gt;"",H2&gt;=1)</formula>
    </cfRule>
    <cfRule type="expression" priority="9" aboveAverage="0" equalAverage="0" bottom="0" percent="0" rank="0" text="" dxfId="8">
      <formula>AND(H2&lt;&gt;"",H2&lt;1)</formula>
    </cfRule>
  </conditionalFormatting>
  <dataValidations count="1">
    <dataValidation allowBlank="true" errorStyle="stop" operator="between" showDropDown="false" showErrorMessage="false" showInputMessage="false" sqref="B2:B601" type="list">
      <formula1>Lists!$A$2:$A$10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3" min="12" style="0" width="9"/>
    <col collapsed="false" customWidth="true" hidden="false" outlineLevel="0" max="14" min="14" style="0" width="30"/>
  </cols>
  <sheetData>
    <row r="1" customFormat="false" ht="33.75" hidden="false" customHeight="true" outlineLevel="0" collapsed="false">
      <c r="A1" s="7" t="s">
        <v>29</v>
      </c>
      <c r="B1" s="7" t="s">
        <v>30</v>
      </c>
      <c r="C1" s="7" t="s">
        <v>17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33</v>
      </c>
      <c r="I1" s="7" t="s">
        <v>35</v>
      </c>
      <c r="J1" s="7" t="s">
        <v>33</v>
      </c>
      <c r="K1" s="7" t="s">
        <v>23</v>
      </c>
      <c r="L1" s="7" t="s">
        <v>36</v>
      </c>
      <c r="M1" s="7" t="s">
        <v>33</v>
      </c>
      <c r="N1" s="7" t="s">
        <v>37</v>
      </c>
    </row>
    <row r="2" customFormat="false" ht="15" hidden="false" customHeight="false" outlineLevel="0" collapsed="false">
      <c r="A2" s="13" t="n">
        <v>46345</v>
      </c>
      <c r="B2" s="18" t="n">
        <f aca="false">IF(A2="","",A2+6)</f>
        <v>46351</v>
      </c>
      <c r="C2" s="14" t="s">
        <v>27</v>
      </c>
      <c r="D2" s="19" t="n">
        <f aca="false">IF(A2="","",COUNTIFS('Sales Daily KPIs'!$B:$B,$C2,'Sales Daily KPIs'!$A:$A,"&gt;="&amp;$A2,'Sales Daily KPIs'!$A:$A,"&lt;="&amp;$B2,'Sales Daily KPIs'!$C:$C,"&lt;&gt;"))</f>
        <v>0</v>
      </c>
      <c r="E2" s="19" t="n">
        <f aca="false">IF(A2="","",SUMIFS('Sales Daily KPIs'!$C:$C,'Sales Daily KPIs'!$B:$B,$C2,'Sales Daily KPIs'!$A:$A,"&gt;="&amp;$A2,'Sales Daily KPIs'!$A:$A,"&lt;="&amp;$B2))</f>
        <v>0</v>
      </c>
      <c r="F2" s="19" t="n">
        <f aca="false">IF(A2="","",Settings!$B$2*Settings!$B$6)</f>
        <v>600</v>
      </c>
      <c r="G2" s="19" t="n">
        <f aca="false">IF(A2="","",SUMIFS('Sales Daily KPIs'!$D:$D,'Sales Daily KPIs'!$B:$B,$C2,'Sales Daily KPIs'!$A:$A,"&gt;="&amp;$A2,'Sales Daily KPIs'!$A:$A,"&lt;="&amp;$B2))</f>
        <v>0</v>
      </c>
      <c r="H2" s="19" t="n">
        <f aca="false">IF(A2="","",Settings!$B$3*Settings!$B$6)</f>
        <v>24</v>
      </c>
      <c r="I2" s="19" t="n">
        <f aca="false">IF(A2="","",SUMIFS('Sales Daily KPIs'!$E:$E,'Sales Daily KPIs'!$B:$B,$C2,'Sales Daily KPIs'!$A:$A,"&gt;="&amp;$A2,'Sales Daily KPIs'!$A:$A,"&lt;="&amp;$B2))</f>
        <v>0</v>
      </c>
      <c r="J2" s="19" t="n">
        <f aca="false">IF(A2="","",Settings!$B$4*Settings!$B$6)</f>
        <v>12</v>
      </c>
      <c r="K2" s="16" t="str">
        <f aca="false">IF(A2="","",IFERROR(SUMIFS('Sales Daily KPIs'!$G:$G,'Sales Daily KPIs'!$B:$B,$C2,'Sales Daily KPIs'!$A:$A,"&gt;="&amp;$A2,'Sales Daily KPIs'!$A:$A,"&lt;="&amp;$B2)/SUMIFS('Sales Daily KPIs'!$F:$F,'Sales Daily KPIs'!$B:$B,$C2,'Sales Daily KPIs'!$A:$A,"&gt;="&amp;$A2,'Sales Daily KPIs'!$A:$A,"&lt;="&amp;$B2),""))</f>
        <v/>
      </c>
      <c r="L2" s="19" t="n">
        <f aca="false">IF(A2="","",SUMIFS('Sales Daily KPIs'!$I:$I,'Sales Daily KPIs'!$B:$B,$C2,'Sales Daily KPIs'!$A:$A,"&gt;="&amp;$A2,'Sales Daily KPIs'!$A:$A,"&lt;="&amp;$B2))</f>
        <v>0</v>
      </c>
      <c r="M2" s="19" t="n">
        <f aca="false">IF(A2="","",Settings!$B$5)</f>
        <v>2</v>
      </c>
      <c r="N2" s="14"/>
    </row>
    <row r="3" customFormat="false" ht="15" hidden="false" customHeight="false" outlineLevel="0" collapsed="false">
      <c r="A3" s="13" t="n">
        <v>46352</v>
      </c>
      <c r="B3" s="18" t="n">
        <f aca="false">IF(A3="","",A3+6)</f>
        <v>46358</v>
      </c>
      <c r="C3" s="14" t="s">
        <v>27</v>
      </c>
      <c r="D3" s="19" t="n">
        <f aca="false">IF(A3="","",COUNTIFS('Sales Daily KPIs'!$B:$B,$C3,'Sales Daily KPIs'!$A:$A,"&gt;="&amp;$A3,'Sales Daily KPIs'!$A:$A,"&lt;="&amp;$B3,'Sales Daily KPIs'!$C:$C,"&lt;&gt;"))</f>
        <v>0</v>
      </c>
      <c r="E3" s="19" t="n">
        <f aca="false">IF(A3="","",SUMIFS('Sales Daily KPIs'!$C:$C,'Sales Daily KPIs'!$B:$B,$C3,'Sales Daily KPIs'!$A:$A,"&gt;="&amp;$A3,'Sales Daily KPIs'!$A:$A,"&lt;="&amp;$B3))</f>
        <v>0</v>
      </c>
      <c r="F3" s="19" t="n">
        <f aca="false">IF(A3="","",Settings!$B$2*Settings!$B$6)</f>
        <v>600</v>
      </c>
      <c r="G3" s="19" t="n">
        <f aca="false">IF(A3="","",SUMIFS('Sales Daily KPIs'!$D:$D,'Sales Daily KPIs'!$B:$B,$C3,'Sales Daily KPIs'!$A:$A,"&gt;="&amp;$A3,'Sales Daily KPIs'!$A:$A,"&lt;="&amp;$B3))</f>
        <v>0</v>
      </c>
      <c r="H3" s="19" t="n">
        <f aca="false">IF(A3="","",Settings!$B$3*Settings!$B$6)</f>
        <v>24</v>
      </c>
      <c r="I3" s="19" t="n">
        <f aca="false">IF(A3="","",SUMIFS('Sales Daily KPIs'!$E:$E,'Sales Daily KPIs'!$B:$B,$C3,'Sales Daily KPIs'!$A:$A,"&gt;="&amp;$A3,'Sales Daily KPIs'!$A:$A,"&lt;="&amp;$B3))</f>
        <v>0</v>
      </c>
      <c r="J3" s="19" t="n">
        <f aca="false">IF(A3="","",Settings!$B$4*Settings!$B$6)</f>
        <v>12</v>
      </c>
      <c r="K3" s="16" t="str">
        <f aca="false">IF(A3="","",IFERROR(SUMIFS('Sales Daily KPIs'!$G:$G,'Sales Daily KPIs'!$B:$B,$C3,'Sales Daily KPIs'!$A:$A,"&gt;="&amp;$A3,'Sales Daily KPIs'!$A:$A,"&lt;="&amp;$B3)/SUMIFS('Sales Daily KPIs'!$F:$F,'Sales Daily KPIs'!$B:$B,$C3,'Sales Daily KPIs'!$A:$A,"&gt;="&amp;$A3,'Sales Daily KPIs'!$A:$A,"&lt;="&amp;$B3),""))</f>
        <v/>
      </c>
      <c r="L3" s="19" t="n">
        <f aca="false">IF(A3="","",SUMIFS('Sales Daily KPIs'!$I:$I,'Sales Daily KPIs'!$B:$B,$C3,'Sales Daily KPIs'!$A:$A,"&gt;="&amp;$A3,'Sales Daily KPIs'!$A:$A,"&lt;="&amp;$B3))</f>
        <v>0</v>
      </c>
      <c r="M3" s="19" t="n">
        <f aca="false">IF(A3="","",Settings!$B$5)</f>
        <v>2</v>
      </c>
      <c r="N3" s="14"/>
    </row>
    <row r="4" customFormat="false" ht="15" hidden="false" customHeight="false" outlineLevel="0" collapsed="false">
      <c r="A4" s="13" t="n">
        <v>46359</v>
      </c>
      <c r="B4" s="18" t="n">
        <f aca="false">IF(A4="","",A4+6)</f>
        <v>46365</v>
      </c>
      <c r="C4" s="14" t="s">
        <v>27</v>
      </c>
      <c r="D4" s="19" t="n">
        <f aca="false">IF(A4="","",COUNTIFS('Sales Daily KPIs'!$B:$B,$C4,'Sales Daily KPIs'!$A:$A,"&gt;="&amp;$A4,'Sales Daily KPIs'!$A:$A,"&lt;="&amp;$B4,'Sales Daily KPIs'!$C:$C,"&lt;&gt;"))</f>
        <v>0</v>
      </c>
      <c r="E4" s="19" t="n">
        <f aca="false">IF(A4="","",SUMIFS('Sales Daily KPIs'!$C:$C,'Sales Daily KPIs'!$B:$B,$C4,'Sales Daily KPIs'!$A:$A,"&gt;="&amp;$A4,'Sales Daily KPIs'!$A:$A,"&lt;="&amp;$B4))</f>
        <v>0</v>
      </c>
      <c r="F4" s="19" t="n">
        <f aca="false">IF(A4="","",Settings!$B$2*Settings!$B$6)</f>
        <v>600</v>
      </c>
      <c r="G4" s="19" t="n">
        <f aca="false">IF(A4="","",SUMIFS('Sales Daily KPIs'!$D:$D,'Sales Daily KPIs'!$B:$B,$C4,'Sales Daily KPIs'!$A:$A,"&gt;="&amp;$A4,'Sales Daily KPIs'!$A:$A,"&lt;="&amp;$B4))</f>
        <v>0</v>
      </c>
      <c r="H4" s="19" t="n">
        <f aca="false">IF(A4="","",Settings!$B$3*Settings!$B$6)</f>
        <v>24</v>
      </c>
      <c r="I4" s="19" t="n">
        <f aca="false">IF(A4="","",SUMIFS('Sales Daily KPIs'!$E:$E,'Sales Daily KPIs'!$B:$B,$C4,'Sales Daily KPIs'!$A:$A,"&gt;="&amp;$A4,'Sales Daily KPIs'!$A:$A,"&lt;="&amp;$B4))</f>
        <v>0</v>
      </c>
      <c r="J4" s="19" t="n">
        <f aca="false">IF(A4="","",Settings!$B$4*Settings!$B$6)</f>
        <v>12</v>
      </c>
      <c r="K4" s="16" t="str">
        <f aca="false">IF(A4="","",IFERROR(SUMIFS('Sales Daily KPIs'!$G:$G,'Sales Daily KPIs'!$B:$B,$C4,'Sales Daily KPIs'!$A:$A,"&gt;="&amp;$A4,'Sales Daily KPIs'!$A:$A,"&lt;="&amp;$B4)/SUMIFS('Sales Daily KPIs'!$F:$F,'Sales Daily KPIs'!$B:$B,$C4,'Sales Daily KPIs'!$A:$A,"&gt;="&amp;$A4,'Sales Daily KPIs'!$A:$A,"&lt;="&amp;$B4),""))</f>
        <v/>
      </c>
      <c r="L4" s="19" t="n">
        <f aca="false">IF(A4="","",SUMIFS('Sales Daily KPIs'!$I:$I,'Sales Daily KPIs'!$B:$B,$C4,'Sales Daily KPIs'!$A:$A,"&gt;="&amp;$A4,'Sales Daily KPIs'!$A:$A,"&lt;="&amp;$B4))</f>
        <v>0</v>
      </c>
      <c r="M4" s="19" t="n">
        <f aca="false">IF(A4="","",Settings!$B$5)</f>
        <v>2</v>
      </c>
      <c r="N4" s="14"/>
    </row>
    <row r="5" customFormat="false" ht="15" hidden="false" customHeight="false" outlineLevel="0" collapsed="false">
      <c r="A5" s="13" t="n">
        <v>46366</v>
      </c>
      <c r="B5" s="18" t="n">
        <f aca="false">IF(A5="","",A5+6)</f>
        <v>46372</v>
      </c>
      <c r="C5" s="14" t="s">
        <v>27</v>
      </c>
      <c r="D5" s="19" t="n">
        <f aca="false">IF(A5="","",COUNTIFS('Sales Daily KPIs'!$B:$B,$C5,'Sales Daily KPIs'!$A:$A,"&gt;="&amp;$A5,'Sales Daily KPIs'!$A:$A,"&lt;="&amp;$B5,'Sales Daily KPIs'!$C:$C,"&lt;&gt;"))</f>
        <v>0</v>
      </c>
      <c r="E5" s="19" t="n">
        <f aca="false">IF(A5="","",SUMIFS('Sales Daily KPIs'!$C:$C,'Sales Daily KPIs'!$B:$B,$C5,'Sales Daily KPIs'!$A:$A,"&gt;="&amp;$A5,'Sales Daily KPIs'!$A:$A,"&lt;="&amp;$B5))</f>
        <v>0</v>
      </c>
      <c r="F5" s="19" t="n">
        <f aca="false">IF(A5="","",Settings!$B$2*Settings!$B$6)</f>
        <v>600</v>
      </c>
      <c r="G5" s="19" t="n">
        <f aca="false">IF(A5="","",SUMIFS('Sales Daily KPIs'!$D:$D,'Sales Daily KPIs'!$B:$B,$C5,'Sales Daily KPIs'!$A:$A,"&gt;="&amp;$A5,'Sales Daily KPIs'!$A:$A,"&lt;="&amp;$B5))</f>
        <v>0</v>
      </c>
      <c r="H5" s="19" t="n">
        <f aca="false">IF(A5="","",Settings!$B$3*Settings!$B$6)</f>
        <v>24</v>
      </c>
      <c r="I5" s="19" t="n">
        <f aca="false">IF(A5="","",SUMIFS('Sales Daily KPIs'!$E:$E,'Sales Daily KPIs'!$B:$B,$C5,'Sales Daily KPIs'!$A:$A,"&gt;="&amp;$A5,'Sales Daily KPIs'!$A:$A,"&lt;="&amp;$B5))</f>
        <v>0</v>
      </c>
      <c r="J5" s="19" t="n">
        <f aca="false">IF(A5="","",Settings!$B$4*Settings!$B$6)</f>
        <v>12</v>
      </c>
      <c r="K5" s="16" t="str">
        <f aca="false">IF(A5="","",IFERROR(SUMIFS('Sales Daily KPIs'!$G:$G,'Sales Daily KPIs'!$B:$B,$C5,'Sales Daily KPIs'!$A:$A,"&gt;="&amp;$A5,'Sales Daily KPIs'!$A:$A,"&lt;="&amp;$B5)/SUMIFS('Sales Daily KPIs'!$F:$F,'Sales Daily KPIs'!$B:$B,$C5,'Sales Daily KPIs'!$A:$A,"&gt;="&amp;$A5,'Sales Daily KPIs'!$A:$A,"&lt;="&amp;$B5),""))</f>
        <v/>
      </c>
      <c r="L5" s="19" t="n">
        <f aca="false">IF(A5="","",SUMIFS('Sales Daily KPIs'!$I:$I,'Sales Daily KPIs'!$B:$B,$C5,'Sales Daily KPIs'!$A:$A,"&gt;="&amp;$A5,'Sales Daily KPIs'!$A:$A,"&lt;="&amp;$B5))</f>
        <v>0</v>
      </c>
      <c r="M5" s="19" t="n">
        <f aca="false">IF(A5="","",Settings!$B$5)</f>
        <v>2</v>
      </c>
      <c r="N5" s="14"/>
    </row>
    <row r="6" customFormat="false" ht="15" hidden="false" customHeight="false" outlineLevel="0" collapsed="false">
      <c r="A6" s="13" t="n">
        <v>46373</v>
      </c>
      <c r="B6" s="18" t="n">
        <f aca="false">IF(A6="","",A6+6)</f>
        <v>46379</v>
      </c>
      <c r="C6" s="14" t="s">
        <v>27</v>
      </c>
      <c r="D6" s="19" t="n">
        <f aca="false">IF(A6="","",COUNTIFS('Sales Daily KPIs'!$B:$B,$C6,'Sales Daily KPIs'!$A:$A,"&gt;="&amp;$A6,'Sales Daily KPIs'!$A:$A,"&lt;="&amp;$B6,'Sales Daily KPIs'!$C:$C,"&lt;&gt;"))</f>
        <v>0</v>
      </c>
      <c r="E6" s="19" t="n">
        <f aca="false">IF(A6="","",SUMIFS('Sales Daily KPIs'!$C:$C,'Sales Daily KPIs'!$B:$B,$C6,'Sales Daily KPIs'!$A:$A,"&gt;="&amp;$A6,'Sales Daily KPIs'!$A:$A,"&lt;="&amp;$B6))</f>
        <v>0</v>
      </c>
      <c r="F6" s="19" t="n">
        <f aca="false">IF(A6="","",Settings!$B$2*Settings!$B$6)</f>
        <v>600</v>
      </c>
      <c r="G6" s="19" t="n">
        <f aca="false">IF(A6="","",SUMIFS('Sales Daily KPIs'!$D:$D,'Sales Daily KPIs'!$B:$B,$C6,'Sales Daily KPIs'!$A:$A,"&gt;="&amp;$A6,'Sales Daily KPIs'!$A:$A,"&lt;="&amp;$B6))</f>
        <v>0</v>
      </c>
      <c r="H6" s="19" t="n">
        <f aca="false">IF(A6="","",Settings!$B$3*Settings!$B$6)</f>
        <v>24</v>
      </c>
      <c r="I6" s="19" t="n">
        <f aca="false">IF(A6="","",SUMIFS('Sales Daily KPIs'!$E:$E,'Sales Daily KPIs'!$B:$B,$C6,'Sales Daily KPIs'!$A:$A,"&gt;="&amp;$A6,'Sales Daily KPIs'!$A:$A,"&lt;="&amp;$B6))</f>
        <v>0</v>
      </c>
      <c r="J6" s="19" t="n">
        <f aca="false">IF(A6="","",Settings!$B$4*Settings!$B$6)</f>
        <v>12</v>
      </c>
      <c r="K6" s="16" t="str">
        <f aca="false">IF(A6="","",IFERROR(SUMIFS('Sales Daily KPIs'!$G:$G,'Sales Daily KPIs'!$B:$B,$C6,'Sales Daily KPIs'!$A:$A,"&gt;="&amp;$A6,'Sales Daily KPIs'!$A:$A,"&lt;="&amp;$B6)/SUMIFS('Sales Daily KPIs'!$F:$F,'Sales Daily KPIs'!$B:$B,$C6,'Sales Daily KPIs'!$A:$A,"&gt;="&amp;$A6,'Sales Daily KPIs'!$A:$A,"&lt;="&amp;$B6),""))</f>
        <v/>
      </c>
      <c r="L6" s="19" t="n">
        <f aca="false">IF(A6="","",SUMIFS('Sales Daily KPIs'!$I:$I,'Sales Daily KPIs'!$B:$B,$C6,'Sales Daily KPIs'!$A:$A,"&gt;="&amp;$A6,'Sales Daily KPIs'!$A:$A,"&lt;="&amp;$B6))</f>
        <v>0</v>
      </c>
      <c r="M6" s="19" t="n">
        <f aca="false">IF(A6="","",Settings!$B$5)</f>
        <v>2</v>
      </c>
      <c r="N6" s="14"/>
    </row>
    <row r="7" customFormat="false" ht="15" hidden="false" customHeight="false" outlineLevel="0" collapsed="false">
      <c r="A7" s="13" t="n">
        <v>46380</v>
      </c>
      <c r="B7" s="18" t="n">
        <f aca="false">IF(A7="","",A7+6)</f>
        <v>46386</v>
      </c>
      <c r="C7" s="14" t="s">
        <v>27</v>
      </c>
      <c r="D7" s="19" t="n">
        <f aca="false">IF(A7="","",COUNTIFS('Sales Daily KPIs'!$B:$B,$C7,'Sales Daily KPIs'!$A:$A,"&gt;="&amp;$A7,'Sales Daily KPIs'!$A:$A,"&lt;="&amp;$B7,'Sales Daily KPIs'!$C:$C,"&lt;&gt;"))</f>
        <v>0</v>
      </c>
      <c r="E7" s="19" t="n">
        <f aca="false">IF(A7="","",SUMIFS('Sales Daily KPIs'!$C:$C,'Sales Daily KPIs'!$B:$B,$C7,'Sales Daily KPIs'!$A:$A,"&gt;="&amp;$A7,'Sales Daily KPIs'!$A:$A,"&lt;="&amp;$B7))</f>
        <v>0</v>
      </c>
      <c r="F7" s="19" t="n">
        <f aca="false">IF(A7="","",Settings!$B$2*Settings!$B$6)</f>
        <v>600</v>
      </c>
      <c r="G7" s="19" t="n">
        <f aca="false">IF(A7="","",SUMIFS('Sales Daily KPIs'!$D:$D,'Sales Daily KPIs'!$B:$B,$C7,'Sales Daily KPIs'!$A:$A,"&gt;="&amp;$A7,'Sales Daily KPIs'!$A:$A,"&lt;="&amp;$B7))</f>
        <v>0</v>
      </c>
      <c r="H7" s="19" t="n">
        <f aca="false">IF(A7="","",Settings!$B$3*Settings!$B$6)</f>
        <v>24</v>
      </c>
      <c r="I7" s="19" t="n">
        <f aca="false">IF(A7="","",SUMIFS('Sales Daily KPIs'!$E:$E,'Sales Daily KPIs'!$B:$B,$C7,'Sales Daily KPIs'!$A:$A,"&gt;="&amp;$A7,'Sales Daily KPIs'!$A:$A,"&lt;="&amp;$B7))</f>
        <v>0</v>
      </c>
      <c r="J7" s="19" t="n">
        <f aca="false">IF(A7="","",Settings!$B$4*Settings!$B$6)</f>
        <v>12</v>
      </c>
      <c r="K7" s="16" t="str">
        <f aca="false">IF(A7="","",IFERROR(SUMIFS('Sales Daily KPIs'!$G:$G,'Sales Daily KPIs'!$B:$B,$C7,'Sales Daily KPIs'!$A:$A,"&gt;="&amp;$A7,'Sales Daily KPIs'!$A:$A,"&lt;="&amp;$B7)/SUMIFS('Sales Daily KPIs'!$F:$F,'Sales Daily KPIs'!$B:$B,$C7,'Sales Daily KPIs'!$A:$A,"&gt;="&amp;$A7,'Sales Daily KPIs'!$A:$A,"&lt;="&amp;$B7),""))</f>
        <v/>
      </c>
      <c r="L7" s="19" t="n">
        <f aca="false">IF(A7="","",SUMIFS('Sales Daily KPIs'!$I:$I,'Sales Daily KPIs'!$B:$B,$C7,'Sales Daily KPIs'!$A:$A,"&gt;="&amp;$A7,'Sales Daily KPIs'!$A:$A,"&lt;="&amp;$B7))</f>
        <v>0</v>
      </c>
      <c r="M7" s="19" t="n">
        <f aca="false">IF(A7="","",Settings!$B$5)</f>
        <v>2</v>
      </c>
      <c r="N7" s="14"/>
    </row>
    <row r="8" customFormat="false" ht="15" hidden="false" customHeight="false" outlineLevel="0" collapsed="false">
      <c r="A8" s="13" t="n">
        <v>46387</v>
      </c>
      <c r="B8" s="18" t="n">
        <f aca="false">IF(A8="","",A8+6)</f>
        <v>46393</v>
      </c>
      <c r="C8" s="14" t="s">
        <v>27</v>
      </c>
      <c r="D8" s="19" t="n">
        <f aca="false">IF(A8="","",COUNTIFS('Sales Daily KPIs'!$B:$B,$C8,'Sales Daily KPIs'!$A:$A,"&gt;="&amp;$A8,'Sales Daily KPIs'!$A:$A,"&lt;="&amp;$B8,'Sales Daily KPIs'!$C:$C,"&lt;&gt;"))</f>
        <v>0</v>
      </c>
      <c r="E8" s="19" t="n">
        <f aca="false">IF(A8="","",SUMIFS('Sales Daily KPIs'!$C:$C,'Sales Daily KPIs'!$B:$B,$C8,'Sales Daily KPIs'!$A:$A,"&gt;="&amp;$A8,'Sales Daily KPIs'!$A:$A,"&lt;="&amp;$B8))</f>
        <v>0</v>
      </c>
      <c r="F8" s="19" t="n">
        <f aca="false">IF(A8="","",Settings!$B$2*Settings!$B$6)</f>
        <v>600</v>
      </c>
      <c r="G8" s="19" t="n">
        <f aca="false">IF(A8="","",SUMIFS('Sales Daily KPIs'!$D:$D,'Sales Daily KPIs'!$B:$B,$C8,'Sales Daily KPIs'!$A:$A,"&gt;="&amp;$A8,'Sales Daily KPIs'!$A:$A,"&lt;="&amp;$B8))</f>
        <v>0</v>
      </c>
      <c r="H8" s="19" t="n">
        <f aca="false">IF(A8="","",Settings!$B$3*Settings!$B$6)</f>
        <v>24</v>
      </c>
      <c r="I8" s="19" t="n">
        <f aca="false">IF(A8="","",SUMIFS('Sales Daily KPIs'!$E:$E,'Sales Daily KPIs'!$B:$B,$C8,'Sales Daily KPIs'!$A:$A,"&gt;="&amp;$A8,'Sales Daily KPIs'!$A:$A,"&lt;="&amp;$B8))</f>
        <v>0</v>
      </c>
      <c r="J8" s="19" t="n">
        <f aca="false">IF(A8="","",Settings!$B$4*Settings!$B$6)</f>
        <v>12</v>
      </c>
      <c r="K8" s="16" t="str">
        <f aca="false">IF(A8="","",IFERROR(SUMIFS('Sales Daily KPIs'!$G:$G,'Sales Daily KPIs'!$B:$B,$C8,'Sales Daily KPIs'!$A:$A,"&gt;="&amp;$A8,'Sales Daily KPIs'!$A:$A,"&lt;="&amp;$B8)/SUMIFS('Sales Daily KPIs'!$F:$F,'Sales Daily KPIs'!$B:$B,$C8,'Sales Daily KPIs'!$A:$A,"&gt;="&amp;$A8,'Sales Daily KPIs'!$A:$A,"&lt;="&amp;$B8),""))</f>
        <v/>
      </c>
      <c r="L8" s="19" t="n">
        <f aca="false">IF(A8="","",SUMIFS('Sales Daily KPIs'!$I:$I,'Sales Daily KPIs'!$B:$B,$C8,'Sales Daily KPIs'!$A:$A,"&gt;="&amp;$A8,'Sales Daily KPIs'!$A:$A,"&lt;="&amp;$B8))</f>
        <v>0</v>
      </c>
      <c r="M8" s="19" t="n">
        <f aca="false">IF(A8="","",Settings!$B$5)</f>
        <v>2</v>
      </c>
      <c r="N8" s="14"/>
    </row>
    <row r="9" customFormat="false" ht="15" hidden="false" customHeight="false" outlineLevel="0" collapsed="false">
      <c r="A9" s="13" t="n">
        <v>46394</v>
      </c>
      <c r="B9" s="18" t="n">
        <f aca="false">IF(A9="","",A9+6)</f>
        <v>46400</v>
      </c>
      <c r="C9" s="14" t="s">
        <v>27</v>
      </c>
      <c r="D9" s="19" t="n">
        <f aca="false">IF(A9="","",COUNTIFS('Sales Daily KPIs'!$B:$B,$C9,'Sales Daily KPIs'!$A:$A,"&gt;="&amp;$A9,'Sales Daily KPIs'!$A:$A,"&lt;="&amp;$B9,'Sales Daily KPIs'!$C:$C,"&lt;&gt;"))</f>
        <v>0</v>
      </c>
      <c r="E9" s="19" t="n">
        <f aca="false">IF(A9="","",SUMIFS('Sales Daily KPIs'!$C:$C,'Sales Daily KPIs'!$B:$B,$C9,'Sales Daily KPIs'!$A:$A,"&gt;="&amp;$A9,'Sales Daily KPIs'!$A:$A,"&lt;="&amp;$B9))</f>
        <v>0</v>
      </c>
      <c r="F9" s="19" t="n">
        <f aca="false">IF(A9="","",Settings!$B$2*Settings!$B$6)</f>
        <v>600</v>
      </c>
      <c r="G9" s="19" t="n">
        <f aca="false">IF(A9="","",SUMIFS('Sales Daily KPIs'!$D:$D,'Sales Daily KPIs'!$B:$B,$C9,'Sales Daily KPIs'!$A:$A,"&gt;="&amp;$A9,'Sales Daily KPIs'!$A:$A,"&lt;="&amp;$B9))</f>
        <v>0</v>
      </c>
      <c r="H9" s="19" t="n">
        <f aca="false">IF(A9="","",Settings!$B$3*Settings!$B$6)</f>
        <v>24</v>
      </c>
      <c r="I9" s="19" t="n">
        <f aca="false">IF(A9="","",SUMIFS('Sales Daily KPIs'!$E:$E,'Sales Daily KPIs'!$B:$B,$C9,'Sales Daily KPIs'!$A:$A,"&gt;="&amp;$A9,'Sales Daily KPIs'!$A:$A,"&lt;="&amp;$B9))</f>
        <v>0</v>
      </c>
      <c r="J9" s="19" t="n">
        <f aca="false">IF(A9="","",Settings!$B$4*Settings!$B$6)</f>
        <v>12</v>
      </c>
      <c r="K9" s="16" t="str">
        <f aca="false">IF(A9="","",IFERROR(SUMIFS('Sales Daily KPIs'!$G:$G,'Sales Daily KPIs'!$B:$B,$C9,'Sales Daily KPIs'!$A:$A,"&gt;="&amp;$A9,'Sales Daily KPIs'!$A:$A,"&lt;="&amp;$B9)/SUMIFS('Sales Daily KPIs'!$F:$F,'Sales Daily KPIs'!$B:$B,$C9,'Sales Daily KPIs'!$A:$A,"&gt;="&amp;$A9,'Sales Daily KPIs'!$A:$A,"&lt;="&amp;$B9),""))</f>
        <v/>
      </c>
      <c r="L9" s="19" t="n">
        <f aca="false">IF(A9="","",SUMIFS('Sales Daily KPIs'!$I:$I,'Sales Daily KPIs'!$B:$B,$C9,'Sales Daily KPIs'!$A:$A,"&gt;="&amp;$A9,'Sales Daily KPIs'!$A:$A,"&lt;="&amp;$B9))</f>
        <v>0</v>
      </c>
      <c r="M9" s="19" t="n">
        <f aca="false">IF(A9="","",Settings!$B$5)</f>
        <v>2</v>
      </c>
      <c r="N9" s="14"/>
    </row>
    <row r="10" customFormat="false" ht="15" hidden="false" customHeight="false" outlineLevel="0" collapsed="false">
      <c r="A10" s="13" t="n">
        <v>46401</v>
      </c>
      <c r="B10" s="18" t="n">
        <f aca="false">IF(A10="","",A10+6)</f>
        <v>46407</v>
      </c>
      <c r="C10" s="14" t="s">
        <v>27</v>
      </c>
      <c r="D10" s="19" t="n">
        <f aca="false">IF(A10="","",COUNTIFS('Sales Daily KPIs'!$B:$B,$C10,'Sales Daily KPIs'!$A:$A,"&gt;="&amp;$A10,'Sales Daily KPIs'!$A:$A,"&lt;="&amp;$B10,'Sales Daily KPIs'!$C:$C,"&lt;&gt;"))</f>
        <v>0</v>
      </c>
      <c r="E10" s="19" t="n">
        <f aca="false">IF(A10="","",SUMIFS('Sales Daily KPIs'!$C:$C,'Sales Daily KPIs'!$B:$B,$C10,'Sales Daily KPIs'!$A:$A,"&gt;="&amp;$A10,'Sales Daily KPIs'!$A:$A,"&lt;="&amp;$B10))</f>
        <v>0</v>
      </c>
      <c r="F10" s="19" t="n">
        <f aca="false">IF(A10="","",Settings!$B$2*Settings!$B$6)</f>
        <v>600</v>
      </c>
      <c r="G10" s="19" t="n">
        <f aca="false">IF(A10="","",SUMIFS('Sales Daily KPIs'!$D:$D,'Sales Daily KPIs'!$B:$B,$C10,'Sales Daily KPIs'!$A:$A,"&gt;="&amp;$A10,'Sales Daily KPIs'!$A:$A,"&lt;="&amp;$B10))</f>
        <v>0</v>
      </c>
      <c r="H10" s="19" t="n">
        <f aca="false">IF(A10="","",Settings!$B$3*Settings!$B$6)</f>
        <v>24</v>
      </c>
      <c r="I10" s="19" t="n">
        <f aca="false">IF(A10="","",SUMIFS('Sales Daily KPIs'!$E:$E,'Sales Daily KPIs'!$B:$B,$C10,'Sales Daily KPIs'!$A:$A,"&gt;="&amp;$A10,'Sales Daily KPIs'!$A:$A,"&lt;="&amp;$B10))</f>
        <v>0</v>
      </c>
      <c r="J10" s="19" t="n">
        <f aca="false">IF(A10="","",Settings!$B$4*Settings!$B$6)</f>
        <v>12</v>
      </c>
      <c r="K10" s="16" t="str">
        <f aca="false">IF(A10="","",IFERROR(SUMIFS('Sales Daily KPIs'!$G:$G,'Sales Daily KPIs'!$B:$B,$C10,'Sales Daily KPIs'!$A:$A,"&gt;="&amp;$A10,'Sales Daily KPIs'!$A:$A,"&lt;="&amp;$B10)/SUMIFS('Sales Daily KPIs'!$F:$F,'Sales Daily KPIs'!$B:$B,$C10,'Sales Daily KPIs'!$A:$A,"&gt;="&amp;$A10,'Sales Daily KPIs'!$A:$A,"&lt;="&amp;$B10),""))</f>
        <v/>
      </c>
      <c r="L10" s="19" t="n">
        <f aca="false">IF(A10="","",SUMIFS('Sales Daily KPIs'!$I:$I,'Sales Daily KPIs'!$B:$B,$C10,'Sales Daily KPIs'!$A:$A,"&gt;="&amp;$A10,'Sales Daily KPIs'!$A:$A,"&lt;="&amp;$B10))</f>
        <v>0</v>
      </c>
      <c r="M10" s="19" t="n">
        <f aca="false">IF(A10="","",Settings!$B$5)</f>
        <v>2</v>
      </c>
      <c r="N10" s="14"/>
    </row>
    <row r="11" customFormat="false" ht="15" hidden="false" customHeight="false" outlineLevel="0" collapsed="false">
      <c r="A11" s="13" t="n">
        <v>46408</v>
      </c>
      <c r="B11" s="18" t="n">
        <f aca="false">IF(A11="","",A11+6)</f>
        <v>46414</v>
      </c>
      <c r="C11" s="14" t="s">
        <v>27</v>
      </c>
      <c r="D11" s="19" t="n">
        <f aca="false">IF(A11="","",COUNTIFS('Sales Daily KPIs'!$B:$B,$C11,'Sales Daily KPIs'!$A:$A,"&gt;="&amp;$A11,'Sales Daily KPIs'!$A:$A,"&lt;="&amp;$B11,'Sales Daily KPIs'!$C:$C,"&lt;&gt;"))</f>
        <v>0</v>
      </c>
      <c r="E11" s="19" t="n">
        <f aca="false">IF(A11="","",SUMIFS('Sales Daily KPIs'!$C:$C,'Sales Daily KPIs'!$B:$B,$C11,'Sales Daily KPIs'!$A:$A,"&gt;="&amp;$A11,'Sales Daily KPIs'!$A:$A,"&lt;="&amp;$B11))</f>
        <v>0</v>
      </c>
      <c r="F11" s="19" t="n">
        <f aca="false">IF(A11="","",Settings!$B$2*Settings!$B$6)</f>
        <v>600</v>
      </c>
      <c r="G11" s="19" t="n">
        <f aca="false">IF(A11="","",SUMIFS('Sales Daily KPIs'!$D:$D,'Sales Daily KPIs'!$B:$B,$C11,'Sales Daily KPIs'!$A:$A,"&gt;="&amp;$A11,'Sales Daily KPIs'!$A:$A,"&lt;="&amp;$B11))</f>
        <v>0</v>
      </c>
      <c r="H11" s="19" t="n">
        <f aca="false">IF(A11="","",Settings!$B$3*Settings!$B$6)</f>
        <v>24</v>
      </c>
      <c r="I11" s="19" t="n">
        <f aca="false">IF(A11="","",SUMIFS('Sales Daily KPIs'!$E:$E,'Sales Daily KPIs'!$B:$B,$C11,'Sales Daily KPIs'!$A:$A,"&gt;="&amp;$A11,'Sales Daily KPIs'!$A:$A,"&lt;="&amp;$B11))</f>
        <v>0</v>
      </c>
      <c r="J11" s="19" t="n">
        <f aca="false">IF(A11="","",Settings!$B$4*Settings!$B$6)</f>
        <v>12</v>
      </c>
      <c r="K11" s="16" t="str">
        <f aca="false">IF(A11="","",IFERROR(SUMIFS('Sales Daily KPIs'!$G:$G,'Sales Daily KPIs'!$B:$B,$C11,'Sales Daily KPIs'!$A:$A,"&gt;="&amp;$A11,'Sales Daily KPIs'!$A:$A,"&lt;="&amp;$B11)/SUMIFS('Sales Daily KPIs'!$F:$F,'Sales Daily KPIs'!$B:$B,$C11,'Sales Daily KPIs'!$A:$A,"&gt;="&amp;$A11,'Sales Daily KPIs'!$A:$A,"&lt;="&amp;$B11),""))</f>
        <v/>
      </c>
      <c r="L11" s="19" t="n">
        <f aca="false">IF(A11="","",SUMIFS('Sales Daily KPIs'!$I:$I,'Sales Daily KPIs'!$B:$B,$C11,'Sales Daily KPIs'!$A:$A,"&gt;="&amp;$A11,'Sales Daily KPIs'!$A:$A,"&lt;="&amp;$B11))</f>
        <v>0</v>
      </c>
      <c r="M11" s="19" t="n">
        <f aca="false">IF(A11="","",Settings!$B$5)</f>
        <v>2</v>
      </c>
      <c r="N11" s="14"/>
    </row>
    <row r="12" customFormat="false" ht="15" hidden="false" customHeight="false" outlineLevel="0" collapsed="false">
      <c r="A12" s="13" t="n">
        <v>46415</v>
      </c>
      <c r="B12" s="18" t="n">
        <f aca="false">IF(A12="","",A12+6)</f>
        <v>46421</v>
      </c>
      <c r="C12" s="14" t="s">
        <v>27</v>
      </c>
      <c r="D12" s="19" t="n">
        <f aca="false">IF(A12="","",COUNTIFS('Sales Daily KPIs'!$B:$B,$C12,'Sales Daily KPIs'!$A:$A,"&gt;="&amp;$A12,'Sales Daily KPIs'!$A:$A,"&lt;="&amp;$B12,'Sales Daily KPIs'!$C:$C,"&lt;&gt;"))</f>
        <v>0</v>
      </c>
      <c r="E12" s="19" t="n">
        <f aca="false">IF(A12="","",SUMIFS('Sales Daily KPIs'!$C:$C,'Sales Daily KPIs'!$B:$B,$C12,'Sales Daily KPIs'!$A:$A,"&gt;="&amp;$A12,'Sales Daily KPIs'!$A:$A,"&lt;="&amp;$B12))</f>
        <v>0</v>
      </c>
      <c r="F12" s="19" t="n">
        <f aca="false">IF(A12="","",Settings!$B$2*Settings!$B$6)</f>
        <v>600</v>
      </c>
      <c r="G12" s="19" t="n">
        <f aca="false">IF(A12="","",SUMIFS('Sales Daily KPIs'!$D:$D,'Sales Daily KPIs'!$B:$B,$C12,'Sales Daily KPIs'!$A:$A,"&gt;="&amp;$A12,'Sales Daily KPIs'!$A:$A,"&lt;="&amp;$B12))</f>
        <v>0</v>
      </c>
      <c r="H12" s="19" t="n">
        <f aca="false">IF(A12="","",Settings!$B$3*Settings!$B$6)</f>
        <v>24</v>
      </c>
      <c r="I12" s="19" t="n">
        <f aca="false">IF(A12="","",SUMIFS('Sales Daily KPIs'!$E:$E,'Sales Daily KPIs'!$B:$B,$C12,'Sales Daily KPIs'!$A:$A,"&gt;="&amp;$A12,'Sales Daily KPIs'!$A:$A,"&lt;="&amp;$B12))</f>
        <v>0</v>
      </c>
      <c r="J12" s="19" t="n">
        <f aca="false">IF(A12="","",Settings!$B$4*Settings!$B$6)</f>
        <v>12</v>
      </c>
      <c r="K12" s="16" t="str">
        <f aca="false">IF(A12="","",IFERROR(SUMIFS('Sales Daily KPIs'!$G:$G,'Sales Daily KPIs'!$B:$B,$C12,'Sales Daily KPIs'!$A:$A,"&gt;="&amp;$A12,'Sales Daily KPIs'!$A:$A,"&lt;="&amp;$B12)/SUMIFS('Sales Daily KPIs'!$F:$F,'Sales Daily KPIs'!$B:$B,$C12,'Sales Daily KPIs'!$A:$A,"&gt;="&amp;$A12,'Sales Daily KPIs'!$A:$A,"&lt;="&amp;$B12),""))</f>
        <v/>
      </c>
      <c r="L12" s="19" t="n">
        <f aca="false">IF(A12="","",SUMIFS('Sales Daily KPIs'!$I:$I,'Sales Daily KPIs'!$B:$B,$C12,'Sales Daily KPIs'!$A:$A,"&gt;="&amp;$A12,'Sales Daily KPIs'!$A:$A,"&lt;="&amp;$B12))</f>
        <v>0</v>
      </c>
      <c r="M12" s="19" t="n">
        <f aca="false">IF(A12="","",Settings!$B$5)</f>
        <v>2</v>
      </c>
      <c r="N12" s="14"/>
    </row>
    <row r="13" customFormat="false" ht="15" hidden="false" customHeight="false" outlineLevel="0" collapsed="false">
      <c r="A13" s="13" t="n">
        <v>46422</v>
      </c>
      <c r="B13" s="18" t="n">
        <f aca="false">IF(A13="","",A13+6)</f>
        <v>46428</v>
      </c>
      <c r="C13" s="14" t="s">
        <v>27</v>
      </c>
      <c r="D13" s="19" t="n">
        <f aca="false">IF(A13="","",COUNTIFS('Sales Daily KPIs'!$B:$B,$C13,'Sales Daily KPIs'!$A:$A,"&gt;="&amp;$A13,'Sales Daily KPIs'!$A:$A,"&lt;="&amp;$B13,'Sales Daily KPIs'!$C:$C,"&lt;&gt;"))</f>
        <v>0</v>
      </c>
      <c r="E13" s="19" t="n">
        <f aca="false">IF(A13="","",SUMIFS('Sales Daily KPIs'!$C:$C,'Sales Daily KPIs'!$B:$B,$C13,'Sales Daily KPIs'!$A:$A,"&gt;="&amp;$A13,'Sales Daily KPIs'!$A:$A,"&lt;="&amp;$B13))</f>
        <v>0</v>
      </c>
      <c r="F13" s="19" t="n">
        <f aca="false">IF(A13="","",Settings!$B$2*Settings!$B$6)</f>
        <v>600</v>
      </c>
      <c r="G13" s="19" t="n">
        <f aca="false">IF(A13="","",SUMIFS('Sales Daily KPIs'!$D:$D,'Sales Daily KPIs'!$B:$B,$C13,'Sales Daily KPIs'!$A:$A,"&gt;="&amp;$A13,'Sales Daily KPIs'!$A:$A,"&lt;="&amp;$B13))</f>
        <v>0</v>
      </c>
      <c r="H13" s="19" t="n">
        <f aca="false">IF(A13="","",Settings!$B$3*Settings!$B$6)</f>
        <v>24</v>
      </c>
      <c r="I13" s="19" t="n">
        <f aca="false">IF(A13="","",SUMIFS('Sales Daily KPIs'!$E:$E,'Sales Daily KPIs'!$B:$B,$C13,'Sales Daily KPIs'!$A:$A,"&gt;="&amp;$A13,'Sales Daily KPIs'!$A:$A,"&lt;="&amp;$B13))</f>
        <v>0</v>
      </c>
      <c r="J13" s="19" t="n">
        <f aca="false">IF(A13="","",Settings!$B$4*Settings!$B$6)</f>
        <v>12</v>
      </c>
      <c r="K13" s="16" t="str">
        <f aca="false">IF(A13="","",IFERROR(SUMIFS('Sales Daily KPIs'!$G:$G,'Sales Daily KPIs'!$B:$B,$C13,'Sales Daily KPIs'!$A:$A,"&gt;="&amp;$A13,'Sales Daily KPIs'!$A:$A,"&lt;="&amp;$B13)/SUMIFS('Sales Daily KPIs'!$F:$F,'Sales Daily KPIs'!$B:$B,$C13,'Sales Daily KPIs'!$A:$A,"&gt;="&amp;$A13,'Sales Daily KPIs'!$A:$A,"&lt;="&amp;$B13),""))</f>
        <v/>
      </c>
      <c r="L13" s="19" t="n">
        <f aca="false">IF(A13="","",SUMIFS('Sales Daily KPIs'!$I:$I,'Sales Daily KPIs'!$B:$B,$C13,'Sales Daily KPIs'!$A:$A,"&gt;="&amp;$A13,'Sales Daily KPIs'!$A:$A,"&lt;="&amp;$B13))</f>
        <v>0</v>
      </c>
      <c r="M13" s="19" t="n">
        <f aca="false">IF(A13="","",Settings!$B$5)</f>
        <v>2</v>
      </c>
      <c r="N13" s="14"/>
    </row>
    <row r="14" customFormat="false" ht="15" hidden="false" customHeight="false" outlineLevel="0" collapsed="false">
      <c r="A14" s="13"/>
      <c r="B14" s="18" t="str">
        <f aca="false">IF(A14="","",A14+6)</f>
        <v/>
      </c>
      <c r="C14" s="14"/>
      <c r="D14" s="19" t="str">
        <f aca="false">IF(A14="","",COUNTIFS('Sales Daily KPIs'!$B:$B,$C14,'Sales Daily KPIs'!$A:$A,"&gt;="&amp;$A14,'Sales Daily KPIs'!$A:$A,"&lt;="&amp;$B14,'Sales Daily KPIs'!$C:$C,"&lt;&gt;"))</f>
        <v/>
      </c>
      <c r="E14" s="19" t="str">
        <f aca="false">IF(A14="","",SUMIFS('Sales Daily KPIs'!$C:$C,'Sales Daily KPIs'!$B:$B,$C14,'Sales Daily KPIs'!$A:$A,"&gt;="&amp;$A14,'Sales Daily KPIs'!$A:$A,"&lt;="&amp;$B14))</f>
        <v/>
      </c>
      <c r="F14" s="19" t="str">
        <f aca="false">IF(A14="","",Settings!$B$2*Settings!$B$6)</f>
        <v/>
      </c>
      <c r="G14" s="19" t="str">
        <f aca="false">IF(A14="","",SUMIFS('Sales Daily KPIs'!$D:$D,'Sales Daily KPIs'!$B:$B,$C14,'Sales Daily KPIs'!$A:$A,"&gt;="&amp;$A14,'Sales Daily KPIs'!$A:$A,"&lt;="&amp;$B14))</f>
        <v/>
      </c>
      <c r="H14" s="19" t="str">
        <f aca="false">IF(A14="","",Settings!$B$3*Settings!$B$6)</f>
        <v/>
      </c>
      <c r="I14" s="19" t="str">
        <f aca="false">IF(A14="","",SUMIFS('Sales Daily KPIs'!$E:$E,'Sales Daily KPIs'!$B:$B,$C14,'Sales Daily KPIs'!$A:$A,"&gt;="&amp;$A14,'Sales Daily KPIs'!$A:$A,"&lt;="&amp;$B14))</f>
        <v/>
      </c>
      <c r="J14" s="19" t="str">
        <f aca="false">IF(A14="","",Settings!$B$4*Settings!$B$6)</f>
        <v/>
      </c>
      <c r="K14" s="16" t="str">
        <f aca="false">IF(A14="","",IFERROR(SUMIFS('Sales Daily KPIs'!$G:$G,'Sales Daily KPIs'!$B:$B,$C14,'Sales Daily KPIs'!$A:$A,"&gt;="&amp;$A14,'Sales Daily KPIs'!$A:$A,"&lt;="&amp;$B14)/SUMIFS('Sales Daily KPIs'!$F:$F,'Sales Daily KPIs'!$B:$B,$C14,'Sales Daily KPIs'!$A:$A,"&gt;="&amp;$A14,'Sales Daily KPIs'!$A:$A,"&lt;="&amp;$B14),""))</f>
        <v/>
      </c>
      <c r="L14" s="19" t="str">
        <f aca="false">IF(A14="","",SUMIFS('Sales Daily KPIs'!$I:$I,'Sales Daily KPIs'!$B:$B,$C14,'Sales Daily KPIs'!$A:$A,"&gt;="&amp;$A14,'Sales Daily KPIs'!$A:$A,"&lt;="&amp;$B14))</f>
        <v/>
      </c>
      <c r="M14" s="19" t="str">
        <f aca="false">IF(A14="","",Settings!$B$5)</f>
        <v/>
      </c>
      <c r="N14" s="14"/>
    </row>
    <row r="15" customFormat="false" ht="15" hidden="false" customHeight="false" outlineLevel="0" collapsed="false">
      <c r="A15" s="13"/>
      <c r="B15" s="18" t="str">
        <f aca="false">IF(A15="","",A15+6)</f>
        <v/>
      </c>
      <c r="C15" s="14"/>
      <c r="D15" s="19" t="str">
        <f aca="false">IF(A15="","",COUNTIFS('Sales Daily KPIs'!$B:$B,$C15,'Sales Daily KPIs'!$A:$A,"&gt;="&amp;$A15,'Sales Daily KPIs'!$A:$A,"&lt;="&amp;$B15,'Sales Daily KPIs'!$C:$C,"&lt;&gt;"))</f>
        <v/>
      </c>
      <c r="E15" s="19" t="str">
        <f aca="false">IF(A15="","",SUMIFS('Sales Daily KPIs'!$C:$C,'Sales Daily KPIs'!$B:$B,$C15,'Sales Daily KPIs'!$A:$A,"&gt;="&amp;$A15,'Sales Daily KPIs'!$A:$A,"&lt;="&amp;$B15))</f>
        <v/>
      </c>
      <c r="F15" s="19" t="str">
        <f aca="false">IF(A15="","",Settings!$B$2*Settings!$B$6)</f>
        <v/>
      </c>
      <c r="G15" s="19" t="str">
        <f aca="false">IF(A15="","",SUMIFS('Sales Daily KPIs'!$D:$D,'Sales Daily KPIs'!$B:$B,$C15,'Sales Daily KPIs'!$A:$A,"&gt;="&amp;$A15,'Sales Daily KPIs'!$A:$A,"&lt;="&amp;$B15))</f>
        <v/>
      </c>
      <c r="H15" s="19" t="str">
        <f aca="false">IF(A15="","",Settings!$B$3*Settings!$B$6)</f>
        <v/>
      </c>
      <c r="I15" s="19" t="str">
        <f aca="false">IF(A15="","",SUMIFS('Sales Daily KPIs'!$E:$E,'Sales Daily KPIs'!$B:$B,$C15,'Sales Daily KPIs'!$A:$A,"&gt;="&amp;$A15,'Sales Daily KPIs'!$A:$A,"&lt;="&amp;$B15))</f>
        <v/>
      </c>
      <c r="J15" s="19" t="str">
        <f aca="false">IF(A15="","",Settings!$B$4*Settings!$B$6)</f>
        <v/>
      </c>
      <c r="K15" s="16" t="str">
        <f aca="false">IF(A15="","",IFERROR(SUMIFS('Sales Daily KPIs'!$G:$G,'Sales Daily KPIs'!$B:$B,$C15,'Sales Daily KPIs'!$A:$A,"&gt;="&amp;$A15,'Sales Daily KPIs'!$A:$A,"&lt;="&amp;$B15)/SUMIFS('Sales Daily KPIs'!$F:$F,'Sales Daily KPIs'!$B:$B,$C15,'Sales Daily KPIs'!$A:$A,"&gt;="&amp;$A15,'Sales Daily KPIs'!$A:$A,"&lt;="&amp;$B15),""))</f>
        <v/>
      </c>
      <c r="L15" s="19" t="str">
        <f aca="false">IF(A15="","",SUMIFS('Sales Daily KPIs'!$I:$I,'Sales Daily KPIs'!$B:$B,$C15,'Sales Daily KPIs'!$A:$A,"&gt;="&amp;$A15,'Sales Daily KPIs'!$A:$A,"&lt;="&amp;$B15))</f>
        <v/>
      </c>
      <c r="M15" s="19" t="str">
        <f aca="false">IF(A15="","",Settings!$B$5)</f>
        <v/>
      </c>
      <c r="N15" s="14"/>
    </row>
    <row r="16" customFormat="false" ht="15" hidden="false" customHeight="false" outlineLevel="0" collapsed="false">
      <c r="A16" s="13"/>
      <c r="B16" s="18" t="str">
        <f aca="false">IF(A16="","",A16+6)</f>
        <v/>
      </c>
      <c r="C16" s="14"/>
      <c r="D16" s="19" t="str">
        <f aca="false">IF(A16="","",COUNTIFS('Sales Daily KPIs'!$B:$B,$C16,'Sales Daily KPIs'!$A:$A,"&gt;="&amp;$A16,'Sales Daily KPIs'!$A:$A,"&lt;="&amp;$B16,'Sales Daily KPIs'!$C:$C,"&lt;&gt;"))</f>
        <v/>
      </c>
      <c r="E16" s="19" t="str">
        <f aca="false">IF(A16="","",SUMIFS('Sales Daily KPIs'!$C:$C,'Sales Daily KPIs'!$B:$B,$C16,'Sales Daily KPIs'!$A:$A,"&gt;="&amp;$A16,'Sales Daily KPIs'!$A:$A,"&lt;="&amp;$B16))</f>
        <v/>
      </c>
      <c r="F16" s="19" t="str">
        <f aca="false">IF(A16="","",Settings!$B$2*Settings!$B$6)</f>
        <v/>
      </c>
      <c r="G16" s="19" t="str">
        <f aca="false">IF(A16="","",SUMIFS('Sales Daily KPIs'!$D:$D,'Sales Daily KPIs'!$B:$B,$C16,'Sales Daily KPIs'!$A:$A,"&gt;="&amp;$A16,'Sales Daily KPIs'!$A:$A,"&lt;="&amp;$B16))</f>
        <v/>
      </c>
      <c r="H16" s="19" t="str">
        <f aca="false">IF(A16="","",Settings!$B$3*Settings!$B$6)</f>
        <v/>
      </c>
      <c r="I16" s="19" t="str">
        <f aca="false">IF(A16="","",SUMIFS('Sales Daily KPIs'!$E:$E,'Sales Daily KPIs'!$B:$B,$C16,'Sales Daily KPIs'!$A:$A,"&gt;="&amp;$A16,'Sales Daily KPIs'!$A:$A,"&lt;="&amp;$B16))</f>
        <v/>
      </c>
      <c r="J16" s="19" t="str">
        <f aca="false">IF(A16="","",Settings!$B$4*Settings!$B$6)</f>
        <v/>
      </c>
      <c r="K16" s="16" t="str">
        <f aca="false">IF(A16="","",IFERROR(SUMIFS('Sales Daily KPIs'!$G:$G,'Sales Daily KPIs'!$B:$B,$C16,'Sales Daily KPIs'!$A:$A,"&gt;="&amp;$A16,'Sales Daily KPIs'!$A:$A,"&lt;="&amp;$B16)/SUMIFS('Sales Daily KPIs'!$F:$F,'Sales Daily KPIs'!$B:$B,$C16,'Sales Daily KPIs'!$A:$A,"&gt;="&amp;$A16,'Sales Daily KPIs'!$A:$A,"&lt;="&amp;$B16),""))</f>
        <v/>
      </c>
      <c r="L16" s="19" t="str">
        <f aca="false">IF(A16="","",SUMIFS('Sales Daily KPIs'!$I:$I,'Sales Daily KPIs'!$B:$B,$C16,'Sales Daily KPIs'!$A:$A,"&gt;="&amp;$A16,'Sales Daily KPIs'!$A:$A,"&lt;="&amp;$B16))</f>
        <v/>
      </c>
      <c r="M16" s="19" t="str">
        <f aca="false">IF(A16="","",Settings!$B$5)</f>
        <v/>
      </c>
      <c r="N16" s="14"/>
    </row>
    <row r="17" customFormat="false" ht="15" hidden="false" customHeight="false" outlineLevel="0" collapsed="false">
      <c r="A17" s="13"/>
      <c r="B17" s="18" t="str">
        <f aca="false">IF(A17="","",A17+6)</f>
        <v/>
      </c>
      <c r="C17" s="14"/>
      <c r="D17" s="19" t="str">
        <f aca="false">IF(A17="","",COUNTIFS('Sales Daily KPIs'!$B:$B,$C17,'Sales Daily KPIs'!$A:$A,"&gt;="&amp;$A17,'Sales Daily KPIs'!$A:$A,"&lt;="&amp;$B17,'Sales Daily KPIs'!$C:$C,"&lt;&gt;"))</f>
        <v/>
      </c>
      <c r="E17" s="19" t="str">
        <f aca="false">IF(A17="","",SUMIFS('Sales Daily KPIs'!$C:$C,'Sales Daily KPIs'!$B:$B,$C17,'Sales Daily KPIs'!$A:$A,"&gt;="&amp;$A17,'Sales Daily KPIs'!$A:$A,"&lt;="&amp;$B17))</f>
        <v/>
      </c>
      <c r="F17" s="19" t="str">
        <f aca="false">IF(A17="","",Settings!$B$2*Settings!$B$6)</f>
        <v/>
      </c>
      <c r="G17" s="19" t="str">
        <f aca="false">IF(A17="","",SUMIFS('Sales Daily KPIs'!$D:$D,'Sales Daily KPIs'!$B:$B,$C17,'Sales Daily KPIs'!$A:$A,"&gt;="&amp;$A17,'Sales Daily KPIs'!$A:$A,"&lt;="&amp;$B17))</f>
        <v/>
      </c>
      <c r="H17" s="19" t="str">
        <f aca="false">IF(A17="","",Settings!$B$3*Settings!$B$6)</f>
        <v/>
      </c>
      <c r="I17" s="19" t="str">
        <f aca="false">IF(A17="","",SUMIFS('Sales Daily KPIs'!$E:$E,'Sales Daily KPIs'!$B:$B,$C17,'Sales Daily KPIs'!$A:$A,"&gt;="&amp;$A17,'Sales Daily KPIs'!$A:$A,"&lt;="&amp;$B17))</f>
        <v/>
      </c>
      <c r="J17" s="19" t="str">
        <f aca="false">IF(A17="","",Settings!$B$4*Settings!$B$6)</f>
        <v/>
      </c>
      <c r="K17" s="16" t="str">
        <f aca="false">IF(A17="","",IFERROR(SUMIFS('Sales Daily KPIs'!$G:$G,'Sales Daily KPIs'!$B:$B,$C17,'Sales Daily KPIs'!$A:$A,"&gt;="&amp;$A17,'Sales Daily KPIs'!$A:$A,"&lt;="&amp;$B17)/SUMIFS('Sales Daily KPIs'!$F:$F,'Sales Daily KPIs'!$B:$B,$C17,'Sales Daily KPIs'!$A:$A,"&gt;="&amp;$A17,'Sales Daily KPIs'!$A:$A,"&lt;="&amp;$B17),""))</f>
        <v/>
      </c>
      <c r="L17" s="19" t="str">
        <f aca="false">IF(A17="","",SUMIFS('Sales Daily KPIs'!$I:$I,'Sales Daily KPIs'!$B:$B,$C17,'Sales Daily KPIs'!$A:$A,"&gt;="&amp;$A17,'Sales Daily KPIs'!$A:$A,"&lt;="&amp;$B17))</f>
        <v/>
      </c>
      <c r="M17" s="19" t="str">
        <f aca="false">IF(A17="","",Settings!$B$5)</f>
        <v/>
      </c>
      <c r="N17" s="14"/>
    </row>
    <row r="18" customFormat="false" ht="15" hidden="false" customHeight="false" outlineLevel="0" collapsed="false">
      <c r="A18" s="13"/>
      <c r="B18" s="18" t="str">
        <f aca="false">IF(A18="","",A18+6)</f>
        <v/>
      </c>
      <c r="C18" s="14"/>
      <c r="D18" s="19" t="str">
        <f aca="false">IF(A18="","",COUNTIFS('Sales Daily KPIs'!$B:$B,$C18,'Sales Daily KPIs'!$A:$A,"&gt;="&amp;$A18,'Sales Daily KPIs'!$A:$A,"&lt;="&amp;$B18,'Sales Daily KPIs'!$C:$C,"&lt;&gt;"))</f>
        <v/>
      </c>
      <c r="E18" s="19" t="str">
        <f aca="false">IF(A18="","",SUMIFS('Sales Daily KPIs'!$C:$C,'Sales Daily KPIs'!$B:$B,$C18,'Sales Daily KPIs'!$A:$A,"&gt;="&amp;$A18,'Sales Daily KPIs'!$A:$A,"&lt;="&amp;$B18))</f>
        <v/>
      </c>
      <c r="F18" s="19" t="str">
        <f aca="false">IF(A18="","",Settings!$B$2*Settings!$B$6)</f>
        <v/>
      </c>
      <c r="G18" s="19" t="str">
        <f aca="false">IF(A18="","",SUMIFS('Sales Daily KPIs'!$D:$D,'Sales Daily KPIs'!$B:$B,$C18,'Sales Daily KPIs'!$A:$A,"&gt;="&amp;$A18,'Sales Daily KPIs'!$A:$A,"&lt;="&amp;$B18))</f>
        <v/>
      </c>
      <c r="H18" s="19" t="str">
        <f aca="false">IF(A18="","",Settings!$B$3*Settings!$B$6)</f>
        <v/>
      </c>
      <c r="I18" s="19" t="str">
        <f aca="false">IF(A18="","",SUMIFS('Sales Daily KPIs'!$E:$E,'Sales Daily KPIs'!$B:$B,$C18,'Sales Daily KPIs'!$A:$A,"&gt;="&amp;$A18,'Sales Daily KPIs'!$A:$A,"&lt;="&amp;$B18))</f>
        <v/>
      </c>
      <c r="J18" s="19" t="str">
        <f aca="false">IF(A18="","",Settings!$B$4*Settings!$B$6)</f>
        <v/>
      </c>
      <c r="K18" s="16" t="str">
        <f aca="false">IF(A18="","",IFERROR(SUMIFS('Sales Daily KPIs'!$G:$G,'Sales Daily KPIs'!$B:$B,$C18,'Sales Daily KPIs'!$A:$A,"&gt;="&amp;$A18,'Sales Daily KPIs'!$A:$A,"&lt;="&amp;$B18)/SUMIFS('Sales Daily KPIs'!$F:$F,'Sales Daily KPIs'!$B:$B,$C18,'Sales Daily KPIs'!$A:$A,"&gt;="&amp;$A18,'Sales Daily KPIs'!$A:$A,"&lt;="&amp;$B18),""))</f>
        <v/>
      </c>
      <c r="L18" s="19" t="str">
        <f aca="false">IF(A18="","",SUMIFS('Sales Daily KPIs'!$I:$I,'Sales Daily KPIs'!$B:$B,$C18,'Sales Daily KPIs'!$A:$A,"&gt;="&amp;$A18,'Sales Daily KPIs'!$A:$A,"&lt;="&amp;$B18))</f>
        <v/>
      </c>
      <c r="M18" s="19" t="str">
        <f aca="false">IF(A18="","",Settings!$B$5)</f>
        <v/>
      </c>
      <c r="N18" s="14"/>
    </row>
    <row r="19" customFormat="false" ht="15" hidden="false" customHeight="false" outlineLevel="0" collapsed="false">
      <c r="A19" s="13"/>
      <c r="B19" s="18" t="str">
        <f aca="false">IF(A19="","",A19+6)</f>
        <v/>
      </c>
      <c r="C19" s="14"/>
      <c r="D19" s="19" t="str">
        <f aca="false">IF(A19="","",COUNTIFS('Sales Daily KPIs'!$B:$B,$C19,'Sales Daily KPIs'!$A:$A,"&gt;="&amp;$A19,'Sales Daily KPIs'!$A:$A,"&lt;="&amp;$B19,'Sales Daily KPIs'!$C:$C,"&lt;&gt;"))</f>
        <v/>
      </c>
      <c r="E19" s="19" t="str">
        <f aca="false">IF(A19="","",SUMIFS('Sales Daily KPIs'!$C:$C,'Sales Daily KPIs'!$B:$B,$C19,'Sales Daily KPIs'!$A:$A,"&gt;="&amp;$A19,'Sales Daily KPIs'!$A:$A,"&lt;="&amp;$B19))</f>
        <v/>
      </c>
      <c r="F19" s="19" t="str">
        <f aca="false">IF(A19="","",Settings!$B$2*Settings!$B$6)</f>
        <v/>
      </c>
      <c r="G19" s="19" t="str">
        <f aca="false">IF(A19="","",SUMIFS('Sales Daily KPIs'!$D:$D,'Sales Daily KPIs'!$B:$B,$C19,'Sales Daily KPIs'!$A:$A,"&gt;="&amp;$A19,'Sales Daily KPIs'!$A:$A,"&lt;="&amp;$B19))</f>
        <v/>
      </c>
      <c r="H19" s="19" t="str">
        <f aca="false">IF(A19="","",Settings!$B$3*Settings!$B$6)</f>
        <v/>
      </c>
      <c r="I19" s="19" t="str">
        <f aca="false">IF(A19="","",SUMIFS('Sales Daily KPIs'!$E:$E,'Sales Daily KPIs'!$B:$B,$C19,'Sales Daily KPIs'!$A:$A,"&gt;="&amp;$A19,'Sales Daily KPIs'!$A:$A,"&lt;="&amp;$B19))</f>
        <v/>
      </c>
      <c r="J19" s="19" t="str">
        <f aca="false">IF(A19="","",Settings!$B$4*Settings!$B$6)</f>
        <v/>
      </c>
      <c r="K19" s="16" t="str">
        <f aca="false">IF(A19="","",IFERROR(SUMIFS('Sales Daily KPIs'!$G:$G,'Sales Daily KPIs'!$B:$B,$C19,'Sales Daily KPIs'!$A:$A,"&gt;="&amp;$A19,'Sales Daily KPIs'!$A:$A,"&lt;="&amp;$B19)/SUMIFS('Sales Daily KPIs'!$F:$F,'Sales Daily KPIs'!$B:$B,$C19,'Sales Daily KPIs'!$A:$A,"&gt;="&amp;$A19,'Sales Daily KPIs'!$A:$A,"&lt;="&amp;$B19),""))</f>
        <v/>
      </c>
      <c r="L19" s="19" t="str">
        <f aca="false">IF(A19="","",SUMIFS('Sales Daily KPIs'!$I:$I,'Sales Daily KPIs'!$B:$B,$C19,'Sales Daily KPIs'!$A:$A,"&gt;="&amp;$A19,'Sales Daily KPIs'!$A:$A,"&lt;="&amp;$B19))</f>
        <v/>
      </c>
      <c r="M19" s="19" t="str">
        <f aca="false">IF(A19="","",Settings!$B$5)</f>
        <v/>
      </c>
      <c r="N19" s="14"/>
    </row>
    <row r="20" customFormat="false" ht="15" hidden="false" customHeight="false" outlineLevel="0" collapsed="false">
      <c r="A20" s="13"/>
      <c r="B20" s="18" t="str">
        <f aca="false">IF(A20="","",A20+6)</f>
        <v/>
      </c>
      <c r="C20" s="14"/>
      <c r="D20" s="19" t="str">
        <f aca="false">IF(A20="","",COUNTIFS('Sales Daily KPIs'!$B:$B,$C20,'Sales Daily KPIs'!$A:$A,"&gt;="&amp;$A20,'Sales Daily KPIs'!$A:$A,"&lt;="&amp;$B20,'Sales Daily KPIs'!$C:$C,"&lt;&gt;"))</f>
        <v/>
      </c>
      <c r="E20" s="19" t="str">
        <f aca="false">IF(A20="","",SUMIFS('Sales Daily KPIs'!$C:$C,'Sales Daily KPIs'!$B:$B,$C20,'Sales Daily KPIs'!$A:$A,"&gt;="&amp;$A20,'Sales Daily KPIs'!$A:$A,"&lt;="&amp;$B20))</f>
        <v/>
      </c>
      <c r="F20" s="19" t="str">
        <f aca="false">IF(A20="","",Settings!$B$2*Settings!$B$6)</f>
        <v/>
      </c>
      <c r="G20" s="19" t="str">
        <f aca="false">IF(A20="","",SUMIFS('Sales Daily KPIs'!$D:$D,'Sales Daily KPIs'!$B:$B,$C20,'Sales Daily KPIs'!$A:$A,"&gt;="&amp;$A20,'Sales Daily KPIs'!$A:$A,"&lt;="&amp;$B20))</f>
        <v/>
      </c>
      <c r="H20" s="19" t="str">
        <f aca="false">IF(A20="","",Settings!$B$3*Settings!$B$6)</f>
        <v/>
      </c>
      <c r="I20" s="19" t="str">
        <f aca="false">IF(A20="","",SUMIFS('Sales Daily KPIs'!$E:$E,'Sales Daily KPIs'!$B:$B,$C20,'Sales Daily KPIs'!$A:$A,"&gt;="&amp;$A20,'Sales Daily KPIs'!$A:$A,"&lt;="&amp;$B20))</f>
        <v/>
      </c>
      <c r="J20" s="19" t="str">
        <f aca="false">IF(A20="","",Settings!$B$4*Settings!$B$6)</f>
        <v/>
      </c>
      <c r="K20" s="16" t="str">
        <f aca="false">IF(A20="","",IFERROR(SUMIFS('Sales Daily KPIs'!$G:$G,'Sales Daily KPIs'!$B:$B,$C20,'Sales Daily KPIs'!$A:$A,"&gt;="&amp;$A20,'Sales Daily KPIs'!$A:$A,"&lt;="&amp;$B20)/SUMIFS('Sales Daily KPIs'!$F:$F,'Sales Daily KPIs'!$B:$B,$C20,'Sales Daily KPIs'!$A:$A,"&gt;="&amp;$A20,'Sales Daily KPIs'!$A:$A,"&lt;="&amp;$B20),""))</f>
        <v/>
      </c>
      <c r="L20" s="19" t="str">
        <f aca="false">IF(A20="","",SUMIFS('Sales Daily KPIs'!$I:$I,'Sales Daily KPIs'!$B:$B,$C20,'Sales Daily KPIs'!$A:$A,"&gt;="&amp;$A20,'Sales Daily KPIs'!$A:$A,"&lt;="&amp;$B20))</f>
        <v/>
      </c>
      <c r="M20" s="19" t="str">
        <f aca="false">IF(A20="","",Settings!$B$5)</f>
        <v/>
      </c>
      <c r="N20" s="14"/>
    </row>
    <row r="21" customFormat="false" ht="15" hidden="false" customHeight="false" outlineLevel="0" collapsed="false">
      <c r="A21" s="13"/>
      <c r="B21" s="18" t="str">
        <f aca="false">IF(A21="","",A21+6)</f>
        <v/>
      </c>
      <c r="C21" s="14"/>
      <c r="D21" s="19" t="str">
        <f aca="false">IF(A21="","",COUNTIFS('Sales Daily KPIs'!$B:$B,$C21,'Sales Daily KPIs'!$A:$A,"&gt;="&amp;$A21,'Sales Daily KPIs'!$A:$A,"&lt;="&amp;$B21,'Sales Daily KPIs'!$C:$C,"&lt;&gt;"))</f>
        <v/>
      </c>
      <c r="E21" s="19" t="str">
        <f aca="false">IF(A21="","",SUMIFS('Sales Daily KPIs'!$C:$C,'Sales Daily KPIs'!$B:$B,$C21,'Sales Daily KPIs'!$A:$A,"&gt;="&amp;$A21,'Sales Daily KPIs'!$A:$A,"&lt;="&amp;$B21))</f>
        <v/>
      </c>
      <c r="F21" s="19" t="str">
        <f aca="false">IF(A21="","",Settings!$B$2*Settings!$B$6)</f>
        <v/>
      </c>
      <c r="G21" s="19" t="str">
        <f aca="false">IF(A21="","",SUMIFS('Sales Daily KPIs'!$D:$D,'Sales Daily KPIs'!$B:$B,$C21,'Sales Daily KPIs'!$A:$A,"&gt;="&amp;$A21,'Sales Daily KPIs'!$A:$A,"&lt;="&amp;$B21))</f>
        <v/>
      </c>
      <c r="H21" s="19" t="str">
        <f aca="false">IF(A21="","",Settings!$B$3*Settings!$B$6)</f>
        <v/>
      </c>
      <c r="I21" s="19" t="str">
        <f aca="false">IF(A21="","",SUMIFS('Sales Daily KPIs'!$E:$E,'Sales Daily KPIs'!$B:$B,$C21,'Sales Daily KPIs'!$A:$A,"&gt;="&amp;$A21,'Sales Daily KPIs'!$A:$A,"&lt;="&amp;$B21))</f>
        <v/>
      </c>
      <c r="J21" s="19" t="str">
        <f aca="false">IF(A21="","",Settings!$B$4*Settings!$B$6)</f>
        <v/>
      </c>
      <c r="K21" s="16" t="str">
        <f aca="false">IF(A21="","",IFERROR(SUMIFS('Sales Daily KPIs'!$G:$G,'Sales Daily KPIs'!$B:$B,$C21,'Sales Daily KPIs'!$A:$A,"&gt;="&amp;$A21,'Sales Daily KPIs'!$A:$A,"&lt;="&amp;$B21)/SUMIFS('Sales Daily KPIs'!$F:$F,'Sales Daily KPIs'!$B:$B,$C21,'Sales Daily KPIs'!$A:$A,"&gt;="&amp;$A21,'Sales Daily KPIs'!$A:$A,"&lt;="&amp;$B21),""))</f>
        <v/>
      </c>
      <c r="L21" s="19" t="str">
        <f aca="false">IF(A21="","",SUMIFS('Sales Daily KPIs'!$I:$I,'Sales Daily KPIs'!$B:$B,$C21,'Sales Daily KPIs'!$A:$A,"&gt;="&amp;$A21,'Sales Daily KPIs'!$A:$A,"&lt;="&amp;$B21))</f>
        <v/>
      </c>
      <c r="M21" s="19" t="str">
        <f aca="false">IF(A21="","",Settings!$B$5)</f>
        <v/>
      </c>
      <c r="N21" s="14"/>
    </row>
    <row r="22" customFormat="false" ht="15" hidden="false" customHeight="false" outlineLevel="0" collapsed="false">
      <c r="A22" s="13"/>
      <c r="B22" s="18" t="str">
        <f aca="false">IF(A22="","",A22+6)</f>
        <v/>
      </c>
      <c r="C22" s="14"/>
      <c r="D22" s="19" t="str">
        <f aca="false">IF(A22="","",COUNTIFS('Sales Daily KPIs'!$B:$B,$C22,'Sales Daily KPIs'!$A:$A,"&gt;="&amp;$A22,'Sales Daily KPIs'!$A:$A,"&lt;="&amp;$B22,'Sales Daily KPIs'!$C:$C,"&lt;&gt;"))</f>
        <v/>
      </c>
      <c r="E22" s="19" t="str">
        <f aca="false">IF(A22="","",SUMIFS('Sales Daily KPIs'!$C:$C,'Sales Daily KPIs'!$B:$B,$C22,'Sales Daily KPIs'!$A:$A,"&gt;="&amp;$A22,'Sales Daily KPIs'!$A:$A,"&lt;="&amp;$B22))</f>
        <v/>
      </c>
      <c r="F22" s="19" t="str">
        <f aca="false">IF(A22="","",Settings!$B$2*Settings!$B$6)</f>
        <v/>
      </c>
      <c r="G22" s="19" t="str">
        <f aca="false">IF(A22="","",SUMIFS('Sales Daily KPIs'!$D:$D,'Sales Daily KPIs'!$B:$B,$C22,'Sales Daily KPIs'!$A:$A,"&gt;="&amp;$A22,'Sales Daily KPIs'!$A:$A,"&lt;="&amp;$B22))</f>
        <v/>
      </c>
      <c r="H22" s="19" t="str">
        <f aca="false">IF(A22="","",Settings!$B$3*Settings!$B$6)</f>
        <v/>
      </c>
      <c r="I22" s="19" t="str">
        <f aca="false">IF(A22="","",SUMIFS('Sales Daily KPIs'!$E:$E,'Sales Daily KPIs'!$B:$B,$C22,'Sales Daily KPIs'!$A:$A,"&gt;="&amp;$A22,'Sales Daily KPIs'!$A:$A,"&lt;="&amp;$B22))</f>
        <v/>
      </c>
      <c r="J22" s="19" t="str">
        <f aca="false">IF(A22="","",Settings!$B$4*Settings!$B$6)</f>
        <v/>
      </c>
      <c r="K22" s="16" t="str">
        <f aca="false">IF(A22="","",IFERROR(SUMIFS('Sales Daily KPIs'!$G:$G,'Sales Daily KPIs'!$B:$B,$C22,'Sales Daily KPIs'!$A:$A,"&gt;="&amp;$A22,'Sales Daily KPIs'!$A:$A,"&lt;="&amp;$B22)/SUMIFS('Sales Daily KPIs'!$F:$F,'Sales Daily KPIs'!$B:$B,$C22,'Sales Daily KPIs'!$A:$A,"&gt;="&amp;$A22,'Sales Daily KPIs'!$A:$A,"&lt;="&amp;$B22),""))</f>
        <v/>
      </c>
      <c r="L22" s="19" t="str">
        <f aca="false">IF(A22="","",SUMIFS('Sales Daily KPIs'!$I:$I,'Sales Daily KPIs'!$B:$B,$C22,'Sales Daily KPIs'!$A:$A,"&gt;="&amp;$A22,'Sales Daily KPIs'!$A:$A,"&lt;="&amp;$B22))</f>
        <v/>
      </c>
      <c r="M22" s="19" t="str">
        <f aca="false">IF(A22="","",Settings!$B$5)</f>
        <v/>
      </c>
      <c r="N22" s="14"/>
    </row>
    <row r="23" customFormat="false" ht="15" hidden="false" customHeight="false" outlineLevel="0" collapsed="false">
      <c r="A23" s="13"/>
      <c r="B23" s="18" t="str">
        <f aca="false">IF(A23="","",A23+6)</f>
        <v/>
      </c>
      <c r="C23" s="14"/>
      <c r="D23" s="19" t="str">
        <f aca="false">IF(A23="","",COUNTIFS('Sales Daily KPIs'!$B:$B,$C23,'Sales Daily KPIs'!$A:$A,"&gt;="&amp;$A23,'Sales Daily KPIs'!$A:$A,"&lt;="&amp;$B23,'Sales Daily KPIs'!$C:$C,"&lt;&gt;"))</f>
        <v/>
      </c>
      <c r="E23" s="19" t="str">
        <f aca="false">IF(A23="","",SUMIFS('Sales Daily KPIs'!$C:$C,'Sales Daily KPIs'!$B:$B,$C23,'Sales Daily KPIs'!$A:$A,"&gt;="&amp;$A23,'Sales Daily KPIs'!$A:$A,"&lt;="&amp;$B23))</f>
        <v/>
      </c>
      <c r="F23" s="19" t="str">
        <f aca="false">IF(A23="","",Settings!$B$2*Settings!$B$6)</f>
        <v/>
      </c>
      <c r="G23" s="19" t="str">
        <f aca="false">IF(A23="","",SUMIFS('Sales Daily KPIs'!$D:$D,'Sales Daily KPIs'!$B:$B,$C23,'Sales Daily KPIs'!$A:$A,"&gt;="&amp;$A23,'Sales Daily KPIs'!$A:$A,"&lt;="&amp;$B23))</f>
        <v/>
      </c>
      <c r="H23" s="19" t="str">
        <f aca="false">IF(A23="","",Settings!$B$3*Settings!$B$6)</f>
        <v/>
      </c>
      <c r="I23" s="19" t="str">
        <f aca="false">IF(A23="","",SUMIFS('Sales Daily KPIs'!$E:$E,'Sales Daily KPIs'!$B:$B,$C23,'Sales Daily KPIs'!$A:$A,"&gt;="&amp;$A23,'Sales Daily KPIs'!$A:$A,"&lt;="&amp;$B23))</f>
        <v/>
      </c>
      <c r="J23" s="19" t="str">
        <f aca="false">IF(A23="","",Settings!$B$4*Settings!$B$6)</f>
        <v/>
      </c>
      <c r="K23" s="16" t="str">
        <f aca="false">IF(A23="","",IFERROR(SUMIFS('Sales Daily KPIs'!$G:$G,'Sales Daily KPIs'!$B:$B,$C23,'Sales Daily KPIs'!$A:$A,"&gt;="&amp;$A23,'Sales Daily KPIs'!$A:$A,"&lt;="&amp;$B23)/SUMIFS('Sales Daily KPIs'!$F:$F,'Sales Daily KPIs'!$B:$B,$C23,'Sales Daily KPIs'!$A:$A,"&gt;="&amp;$A23,'Sales Daily KPIs'!$A:$A,"&lt;="&amp;$B23),""))</f>
        <v/>
      </c>
      <c r="L23" s="19" t="str">
        <f aca="false">IF(A23="","",SUMIFS('Sales Daily KPIs'!$I:$I,'Sales Daily KPIs'!$B:$B,$C23,'Sales Daily KPIs'!$A:$A,"&gt;="&amp;$A23,'Sales Daily KPIs'!$A:$A,"&lt;="&amp;$B23))</f>
        <v/>
      </c>
      <c r="M23" s="19" t="str">
        <f aca="false">IF(A23="","",Settings!$B$5)</f>
        <v/>
      </c>
      <c r="N23" s="14"/>
    </row>
    <row r="24" customFormat="false" ht="15" hidden="false" customHeight="false" outlineLevel="0" collapsed="false">
      <c r="A24" s="13"/>
      <c r="B24" s="18" t="str">
        <f aca="false">IF(A24="","",A24+6)</f>
        <v/>
      </c>
      <c r="C24" s="14"/>
      <c r="D24" s="19" t="str">
        <f aca="false">IF(A24="","",COUNTIFS('Sales Daily KPIs'!$B:$B,$C24,'Sales Daily KPIs'!$A:$A,"&gt;="&amp;$A24,'Sales Daily KPIs'!$A:$A,"&lt;="&amp;$B24,'Sales Daily KPIs'!$C:$C,"&lt;&gt;"))</f>
        <v/>
      </c>
      <c r="E24" s="19" t="str">
        <f aca="false">IF(A24="","",SUMIFS('Sales Daily KPIs'!$C:$C,'Sales Daily KPIs'!$B:$B,$C24,'Sales Daily KPIs'!$A:$A,"&gt;="&amp;$A24,'Sales Daily KPIs'!$A:$A,"&lt;="&amp;$B24))</f>
        <v/>
      </c>
      <c r="F24" s="19" t="str">
        <f aca="false">IF(A24="","",Settings!$B$2*Settings!$B$6)</f>
        <v/>
      </c>
      <c r="G24" s="19" t="str">
        <f aca="false">IF(A24="","",SUMIFS('Sales Daily KPIs'!$D:$D,'Sales Daily KPIs'!$B:$B,$C24,'Sales Daily KPIs'!$A:$A,"&gt;="&amp;$A24,'Sales Daily KPIs'!$A:$A,"&lt;="&amp;$B24))</f>
        <v/>
      </c>
      <c r="H24" s="19" t="str">
        <f aca="false">IF(A24="","",Settings!$B$3*Settings!$B$6)</f>
        <v/>
      </c>
      <c r="I24" s="19" t="str">
        <f aca="false">IF(A24="","",SUMIFS('Sales Daily KPIs'!$E:$E,'Sales Daily KPIs'!$B:$B,$C24,'Sales Daily KPIs'!$A:$A,"&gt;="&amp;$A24,'Sales Daily KPIs'!$A:$A,"&lt;="&amp;$B24))</f>
        <v/>
      </c>
      <c r="J24" s="19" t="str">
        <f aca="false">IF(A24="","",Settings!$B$4*Settings!$B$6)</f>
        <v/>
      </c>
      <c r="K24" s="16" t="str">
        <f aca="false">IF(A24="","",IFERROR(SUMIFS('Sales Daily KPIs'!$G:$G,'Sales Daily KPIs'!$B:$B,$C24,'Sales Daily KPIs'!$A:$A,"&gt;="&amp;$A24,'Sales Daily KPIs'!$A:$A,"&lt;="&amp;$B24)/SUMIFS('Sales Daily KPIs'!$F:$F,'Sales Daily KPIs'!$B:$B,$C24,'Sales Daily KPIs'!$A:$A,"&gt;="&amp;$A24,'Sales Daily KPIs'!$A:$A,"&lt;="&amp;$B24),""))</f>
        <v/>
      </c>
      <c r="L24" s="19" t="str">
        <f aca="false">IF(A24="","",SUMIFS('Sales Daily KPIs'!$I:$I,'Sales Daily KPIs'!$B:$B,$C24,'Sales Daily KPIs'!$A:$A,"&gt;="&amp;$A24,'Sales Daily KPIs'!$A:$A,"&lt;="&amp;$B24))</f>
        <v/>
      </c>
      <c r="M24" s="19" t="str">
        <f aca="false">IF(A24="","",Settings!$B$5)</f>
        <v/>
      </c>
      <c r="N24" s="14"/>
    </row>
    <row r="25" customFormat="false" ht="15" hidden="false" customHeight="false" outlineLevel="0" collapsed="false">
      <c r="A25" s="13"/>
      <c r="B25" s="18" t="str">
        <f aca="false">IF(A25="","",A25+6)</f>
        <v/>
      </c>
      <c r="C25" s="14"/>
      <c r="D25" s="19" t="str">
        <f aca="false">IF(A25="","",COUNTIFS('Sales Daily KPIs'!$B:$B,$C25,'Sales Daily KPIs'!$A:$A,"&gt;="&amp;$A25,'Sales Daily KPIs'!$A:$A,"&lt;="&amp;$B25,'Sales Daily KPIs'!$C:$C,"&lt;&gt;"))</f>
        <v/>
      </c>
      <c r="E25" s="19" t="str">
        <f aca="false">IF(A25="","",SUMIFS('Sales Daily KPIs'!$C:$C,'Sales Daily KPIs'!$B:$B,$C25,'Sales Daily KPIs'!$A:$A,"&gt;="&amp;$A25,'Sales Daily KPIs'!$A:$A,"&lt;="&amp;$B25))</f>
        <v/>
      </c>
      <c r="F25" s="19" t="str">
        <f aca="false">IF(A25="","",Settings!$B$2*Settings!$B$6)</f>
        <v/>
      </c>
      <c r="G25" s="19" t="str">
        <f aca="false">IF(A25="","",SUMIFS('Sales Daily KPIs'!$D:$D,'Sales Daily KPIs'!$B:$B,$C25,'Sales Daily KPIs'!$A:$A,"&gt;="&amp;$A25,'Sales Daily KPIs'!$A:$A,"&lt;="&amp;$B25))</f>
        <v/>
      </c>
      <c r="H25" s="19" t="str">
        <f aca="false">IF(A25="","",Settings!$B$3*Settings!$B$6)</f>
        <v/>
      </c>
      <c r="I25" s="19" t="str">
        <f aca="false">IF(A25="","",SUMIFS('Sales Daily KPIs'!$E:$E,'Sales Daily KPIs'!$B:$B,$C25,'Sales Daily KPIs'!$A:$A,"&gt;="&amp;$A25,'Sales Daily KPIs'!$A:$A,"&lt;="&amp;$B25))</f>
        <v/>
      </c>
      <c r="J25" s="19" t="str">
        <f aca="false">IF(A25="","",Settings!$B$4*Settings!$B$6)</f>
        <v/>
      </c>
      <c r="K25" s="16" t="str">
        <f aca="false">IF(A25="","",IFERROR(SUMIFS('Sales Daily KPIs'!$G:$G,'Sales Daily KPIs'!$B:$B,$C25,'Sales Daily KPIs'!$A:$A,"&gt;="&amp;$A25,'Sales Daily KPIs'!$A:$A,"&lt;="&amp;$B25)/SUMIFS('Sales Daily KPIs'!$F:$F,'Sales Daily KPIs'!$B:$B,$C25,'Sales Daily KPIs'!$A:$A,"&gt;="&amp;$A25,'Sales Daily KPIs'!$A:$A,"&lt;="&amp;$B25),""))</f>
        <v/>
      </c>
      <c r="L25" s="19" t="str">
        <f aca="false">IF(A25="","",SUMIFS('Sales Daily KPIs'!$I:$I,'Sales Daily KPIs'!$B:$B,$C25,'Sales Daily KPIs'!$A:$A,"&gt;="&amp;$A25,'Sales Daily KPIs'!$A:$A,"&lt;="&amp;$B25))</f>
        <v/>
      </c>
      <c r="M25" s="19" t="str">
        <f aca="false">IF(A25="","",Settings!$B$5)</f>
        <v/>
      </c>
      <c r="N25" s="14"/>
    </row>
    <row r="26" customFormat="false" ht="15" hidden="false" customHeight="false" outlineLevel="0" collapsed="false">
      <c r="A26" s="13"/>
      <c r="B26" s="18" t="str">
        <f aca="false">IF(A26="","",A26+6)</f>
        <v/>
      </c>
      <c r="C26" s="14"/>
      <c r="D26" s="19" t="str">
        <f aca="false">IF(A26="","",COUNTIFS('Sales Daily KPIs'!$B:$B,$C26,'Sales Daily KPIs'!$A:$A,"&gt;="&amp;$A26,'Sales Daily KPIs'!$A:$A,"&lt;="&amp;$B26,'Sales Daily KPIs'!$C:$C,"&lt;&gt;"))</f>
        <v/>
      </c>
      <c r="E26" s="19" t="str">
        <f aca="false">IF(A26="","",SUMIFS('Sales Daily KPIs'!$C:$C,'Sales Daily KPIs'!$B:$B,$C26,'Sales Daily KPIs'!$A:$A,"&gt;="&amp;$A26,'Sales Daily KPIs'!$A:$A,"&lt;="&amp;$B26))</f>
        <v/>
      </c>
      <c r="F26" s="19" t="str">
        <f aca="false">IF(A26="","",Settings!$B$2*Settings!$B$6)</f>
        <v/>
      </c>
      <c r="G26" s="19" t="str">
        <f aca="false">IF(A26="","",SUMIFS('Sales Daily KPIs'!$D:$D,'Sales Daily KPIs'!$B:$B,$C26,'Sales Daily KPIs'!$A:$A,"&gt;="&amp;$A26,'Sales Daily KPIs'!$A:$A,"&lt;="&amp;$B26))</f>
        <v/>
      </c>
      <c r="H26" s="19" t="str">
        <f aca="false">IF(A26="","",Settings!$B$3*Settings!$B$6)</f>
        <v/>
      </c>
      <c r="I26" s="19" t="str">
        <f aca="false">IF(A26="","",SUMIFS('Sales Daily KPIs'!$E:$E,'Sales Daily KPIs'!$B:$B,$C26,'Sales Daily KPIs'!$A:$A,"&gt;="&amp;$A26,'Sales Daily KPIs'!$A:$A,"&lt;="&amp;$B26))</f>
        <v/>
      </c>
      <c r="J26" s="19" t="str">
        <f aca="false">IF(A26="","",Settings!$B$4*Settings!$B$6)</f>
        <v/>
      </c>
      <c r="K26" s="16" t="str">
        <f aca="false">IF(A26="","",IFERROR(SUMIFS('Sales Daily KPIs'!$G:$G,'Sales Daily KPIs'!$B:$B,$C26,'Sales Daily KPIs'!$A:$A,"&gt;="&amp;$A26,'Sales Daily KPIs'!$A:$A,"&lt;="&amp;$B26)/SUMIFS('Sales Daily KPIs'!$F:$F,'Sales Daily KPIs'!$B:$B,$C26,'Sales Daily KPIs'!$A:$A,"&gt;="&amp;$A26,'Sales Daily KPIs'!$A:$A,"&lt;="&amp;$B26),""))</f>
        <v/>
      </c>
      <c r="L26" s="19" t="str">
        <f aca="false">IF(A26="","",SUMIFS('Sales Daily KPIs'!$I:$I,'Sales Daily KPIs'!$B:$B,$C26,'Sales Daily KPIs'!$A:$A,"&gt;="&amp;$A26,'Sales Daily KPIs'!$A:$A,"&lt;="&amp;$B26))</f>
        <v/>
      </c>
      <c r="M26" s="19" t="str">
        <f aca="false">IF(A26="","",Settings!$B$5)</f>
        <v/>
      </c>
      <c r="N26" s="14"/>
    </row>
    <row r="27" customFormat="false" ht="15" hidden="false" customHeight="false" outlineLevel="0" collapsed="false">
      <c r="A27" s="13"/>
      <c r="B27" s="18" t="str">
        <f aca="false">IF(A27="","",A27+6)</f>
        <v/>
      </c>
      <c r="C27" s="14"/>
      <c r="D27" s="19" t="str">
        <f aca="false">IF(A27="","",COUNTIFS('Sales Daily KPIs'!$B:$B,$C27,'Sales Daily KPIs'!$A:$A,"&gt;="&amp;$A27,'Sales Daily KPIs'!$A:$A,"&lt;="&amp;$B27,'Sales Daily KPIs'!$C:$C,"&lt;&gt;"))</f>
        <v/>
      </c>
      <c r="E27" s="19" t="str">
        <f aca="false">IF(A27="","",SUMIFS('Sales Daily KPIs'!$C:$C,'Sales Daily KPIs'!$B:$B,$C27,'Sales Daily KPIs'!$A:$A,"&gt;="&amp;$A27,'Sales Daily KPIs'!$A:$A,"&lt;="&amp;$B27))</f>
        <v/>
      </c>
      <c r="F27" s="19" t="str">
        <f aca="false">IF(A27="","",Settings!$B$2*Settings!$B$6)</f>
        <v/>
      </c>
      <c r="G27" s="19" t="str">
        <f aca="false">IF(A27="","",SUMIFS('Sales Daily KPIs'!$D:$D,'Sales Daily KPIs'!$B:$B,$C27,'Sales Daily KPIs'!$A:$A,"&gt;="&amp;$A27,'Sales Daily KPIs'!$A:$A,"&lt;="&amp;$B27))</f>
        <v/>
      </c>
      <c r="H27" s="19" t="str">
        <f aca="false">IF(A27="","",Settings!$B$3*Settings!$B$6)</f>
        <v/>
      </c>
      <c r="I27" s="19" t="str">
        <f aca="false">IF(A27="","",SUMIFS('Sales Daily KPIs'!$E:$E,'Sales Daily KPIs'!$B:$B,$C27,'Sales Daily KPIs'!$A:$A,"&gt;="&amp;$A27,'Sales Daily KPIs'!$A:$A,"&lt;="&amp;$B27))</f>
        <v/>
      </c>
      <c r="J27" s="19" t="str">
        <f aca="false">IF(A27="","",Settings!$B$4*Settings!$B$6)</f>
        <v/>
      </c>
      <c r="K27" s="16" t="str">
        <f aca="false">IF(A27="","",IFERROR(SUMIFS('Sales Daily KPIs'!$G:$G,'Sales Daily KPIs'!$B:$B,$C27,'Sales Daily KPIs'!$A:$A,"&gt;="&amp;$A27,'Sales Daily KPIs'!$A:$A,"&lt;="&amp;$B27)/SUMIFS('Sales Daily KPIs'!$F:$F,'Sales Daily KPIs'!$B:$B,$C27,'Sales Daily KPIs'!$A:$A,"&gt;="&amp;$A27,'Sales Daily KPIs'!$A:$A,"&lt;="&amp;$B27),""))</f>
        <v/>
      </c>
      <c r="L27" s="19" t="str">
        <f aca="false">IF(A27="","",SUMIFS('Sales Daily KPIs'!$I:$I,'Sales Daily KPIs'!$B:$B,$C27,'Sales Daily KPIs'!$A:$A,"&gt;="&amp;$A27,'Sales Daily KPIs'!$A:$A,"&lt;="&amp;$B27))</f>
        <v/>
      </c>
      <c r="M27" s="19" t="str">
        <f aca="false">IF(A27="","",Settings!$B$5)</f>
        <v/>
      </c>
      <c r="N27" s="14"/>
    </row>
    <row r="28" customFormat="false" ht="15" hidden="false" customHeight="false" outlineLevel="0" collapsed="false">
      <c r="A28" s="13"/>
      <c r="B28" s="18" t="str">
        <f aca="false">IF(A28="","",A28+6)</f>
        <v/>
      </c>
      <c r="C28" s="14"/>
      <c r="D28" s="19" t="str">
        <f aca="false">IF(A28="","",COUNTIFS('Sales Daily KPIs'!$B:$B,$C28,'Sales Daily KPIs'!$A:$A,"&gt;="&amp;$A28,'Sales Daily KPIs'!$A:$A,"&lt;="&amp;$B28,'Sales Daily KPIs'!$C:$C,"&lt;&gt;"))</f>
        <v/>
      </c>
      <c r="E28" s="19" t="str">
        <f aca="false">IF(A28="","",SUMIFS('Sales Daily KPIs'!$C:$C,'Sales Daily KPIs'!$B:$B,$C28,'Sales Daily KPIs'!$A:$A,"&gt;="&amp;$A28,'Sales Daily KPIs'!$A:$A,"&lt;="&amp;$B28))</f>
        <v/>
      </c>
      <c r="F28" s="19" t="str">
        <f aca="false">IF(A28="","",Settings!$B$2*Settings!$B$6)</f>
        <v/>
      </c>
      <c r="G28" s="19" t="str">
        <f aca="false">IF(A28="","",SUMIFS('Sales Daily KPIs'!$D:$D,'Sales Daily KPIs'!$B:$B,$C28,'Sales Daily KPIs'!$A:$A,"&gt;="&amp;$A28,'Sales Daily KPIs'!$A:$A,"&lt;="&amp;$B28))</f>
        <v/>
      </c>
      <c r="H28" s="19" t="str">
        <f aca="false">IF(A28="","",Settings!$B$3*Settings!$B$6)</f>
        <v/>
      </c>
      <c r="I28" s="19" t="str">
        <f aca="false">IF(A28="","",SUMIFS('Sales Daily KPIs'!$E:$E,'Sales Daily KPIs'!$B:$B,$C28,'Sales Daily KPIs'!$A:$A,"&gt;="&amp;$A28,'Sales Daily KPIs'!$A:$A,"&lt;="&amp;$B28))</f>
        <v/>
      </c>
      <c r="J28" s="19" t="str">
        <f aca="false">IF(A28="","",Settings!$B$4*Settings!$B$6)</f>
        <v/>
      </c>
      <c r="K28" s="16" t="str">
        <f aca="false">IF(A28="","",IFERROR(SUMIFS('Sales Daily KPIs'!$G:$G,'Sales Daily KPIs'!$B:$B,$C28,'Sales Daily KPIs'!$A:$A,"&gt;="&amp;$A28,'Sales Daily KPIs'!$A:$A,"&lt;="&amp;$B28)/SUMIFS('Sales Daily KPIs'!$F:$F,'Sales Daily KPIs'!$B:$B,$C28,'Sales Daily KPIs'!$A:$A,"&gt;="&amp;$A28,'Sales Daily KPIs'!$A:$A,"&lt;="&amp;$B28),""))</f>
        <v/>
      </c>
      <c r="L28" s="19" t="str">
        <f aca="false">IF(A28="","",SUMIFS('Sales Daily KPIs'!$I:$I,'Sales Daily KPIs'!$B:$B,$C28,'Sales Daily KPIs'!$A:$A,"&gt;="&amp;$A28,'Sales Daily KPIs'!$A:$A,"&lt;="&amp;$B28))</f>
        <v/>
      </c>
      <c r="M28" s="19" t="str">
        <f aca="false">IF(A28="","",Settings!$B$5)</f>
        <v/>
      </c>
      <c r="N28" s="14"/>
    </row>
    <row r="29" customFormat="false" ht="15" hidden="false" customHeight="false" outlineLevel="0" collapsed="false">
      <c r="A29" s="13"/>
      <c r="B29" s="18" t="str">
        <f aca="false">IF(A29="","",A29+6)</f>
        <v/>
      </c>
      <c r="C29" s="14"/>
      <c r="D29" s="19" t="str">
        <f aca="false">IF(A29="","",COUNTIFS('Sales Daily KPIs'!$B:$B,$C29,'Sales Daily KPIs'!$A:$A,"&gt;="&amp;$A29,'Sales Daily KPIs'!$A:$A,"&lt;="&amp;$B29,'Sales Daily KPIs'!$C:$C,"&lt;&gt;"))</f>
        <v/>
      </c>
      <c r="E29" s="19" t="str">
        <f aca="false">IF(A29="","",SUMIFS('Sales Daily KPIs'!$C:$C,'Sales Daily KPIs'!$B:$B,$C29,'Sales Daily KPIs'!$A:$A,"&gt;="&amp;$A29,'Sales Daily KPIs'!$A:$A,"&lt;="&amp;$B29))</f>
        <v/>
      </c>
      <c r="F29" s="19" t="str">
        <f aca="false">IF(A29="","",Settings!$B$2*Settings!$B$6)</f>
        <v/>
      </c>
      <c r="G29" s="19" t="str">
        <f aca="false">IF(A29="","",SUMIFS('Sales Daily KPIs'!$D:$D,'Sales Daily KPIs'!$B:$B,$C29,'Sales Daily KPIs'!$A:$A,"&gt;="&amp;$A29,'Sales Daily KPIs'!$A:$A,"&lt;="&amp;$B29))</f>
        <v/>
      </c>
      <c r="H29" s="19" t="str">
        <f aca="false">IF(A29="","",Settings!$B$3*Settings!$B$6)</f>
        <v/>
      </c>
      <c r="I29" s="19" t="str">
        <f aca="false">IF(A29="","",SUMIFS('Sales Daily KPIs'!$E:$E,'Sales Daily KPIs'!$B:$B,$C29,'Sales Daily KPIs'!$A:$A,"&gt;="&amp;$A29,'Sales Daily KPIs'!$A:$A,"&lt;="&amp;$B29))</f>
        <v/>
      </c>
      <c r="J29" s="19" t="str">
        <f aca="false">IF(A29="","",Settings!$B$4*Settings!$B$6)</f>
        <v/>
      </c>
      <c r="K29" s="16" t="str">
        <f aca="false">IF(A29="","",IFERROR(SUMIFS('Sales Daily KPIs'!$G:$G,'Sales Daily KPIs'!$B:$B,$C29,'Sales Daily KPIs'!$A:$A,"&gt;="&amp;$A29,'Sales Daily KPIs'!$A:$A,"&lt;="&amp;$B29)/SUMIFS('Sales Daily KPIs'!$F:$F,'Sales Daily KPIs'!$B:$B,$C29,'Sales Daily KPIs'!$A:$A,"&gt;="&amp;$A29,'Sales Daily KPIs'!$A:$A,"&lt;="&amp;$B29),""))</f>
        <v/>
      </c>
      <c r="L29" s="19" t="str">
        <f aca="false">IF(A29="","",SUMIFS('Sales Daily KPIs'!$I:$I,'Sales Daily KPIs'!$B:$B,$C29,'Sales Daily KPIs'!$A:$A,"&gt;="&amp;$A29,'Sales Daily KPIs'!$A:$A,"&lt;="&amp;$B29))</f>
        <v/>
      </c>
      <c r="M29" s="19" t="str">
        <f aca="false">IF(A29="","",Settings!$B$5)</f>
        <v/>
      </c>
      <c r="N29" s="14"/>
    </row>
    <row r="30" customFormat="false" ht="15" hidden="false" customHeight="false" outlineLevel="0" collapsed="false">
      <c r="A30" s="13"/>
      <c r="B30" s="18" t="str">
        <f aca="false">IF(A30="","",A30+6)</f>
        <v/>
      </c>
      <c r="C30" s="14"/>
      <c r="D30" s="19" t="str">
        <f aca="false">IF(A30="","",COUNTIFS('Sales Daily KPIs'!$B:$B,$C30,'Sales Daily KPIs'!$A:$A,"&gt;="&amp;$A30,'Sales Daily KPIs'!$A:$A,"&lt;="&amp;$B30,'Sales Daily KPIs'!$C:$C,"&lt;&gt;"))</f>
        <v/>
      </c>
      <c r="E30" s="19" t="str">
        <f aca="false">IF(A30="","",SUMIFS('Sales Daily KPIs'!$C:$C,'Sales Daily KPIs'!$B:$B,$C30,'Sales Daily KPIs'!$A:$A,"&gt;="&amp;$A30,'Sales Daily KPIs'!$A:$A,"&lt;="&amp;$B30))</f>
        <v/>
      </c>
      <c r="F30" s="19" t="str">
        <f aca="false">IF(A30="","",Settings!$B$2*Settings!$B$6)</f>
        <v/>
      </c>
      <c r="G30" s="19" t="str">
        <f aca="false">IF(A30="","",SUMIFS('Sales Daily KPIs'!$D:$D,'Sales Daily KPIs'!$B:$B,$C30,'Sales Daily KPIs'!$A:$A,"&gt;="&amp;$A30,'Sales Daily KPIs'!$A:$A,"&lt;="&amp;$B30))</f>
        <v/>
      </c>
      <c r="H30" s="19" t="str">
        <f aca="false">IF(A30="","",Settings!$B$3*Settings!$B$6)</f>
        <v/>
      </c>
      <c r="I30" s="19" t="str">
        <f aca="false">IF(A30="","",SUMIFS('Sales Daily KPIs'!$E:$E,'Sales Daily KPIs'!$B:$B,$C30,'Sales Daily KPIs'!$A:$A,"&gt;="&amp;$A30,'Sales Daily KPIs'!$A:$A,"&lt;="&amp;$B30))</f>
        <v/>
      </c>
      <c r="J30" s="19" t="str">
        <f aca="false">IF(A30="","",Settings!$B$4*Settings!$B$6)</f>
        <v/>
      </c>
      <c r="K30" s="16" t="str">
        <f aca="false">IF(A30="","",IFERROR(SUMIFS('Sales Daily KPIs'!$G:$G,'Sales Daily KPIs'!$B:$B,$C30,'Sales Daily KPIs'!$A:$A,"&gt;="&amp;$A30,'Sales Daily KPIs'!$A:$A,"&lt;="&amp;$B30)/SUMIFS('Sales Daily KPIs'!$F:$F,'Sales Daily KPIs'!$B:$B,$C30,'Sales Daily KPIs'!$A:$A,"&gt;="&amp;$A30,'Sales Daily KPIs'!$A:$A,"&lt;="&amp;$B30),""))</f>
        <v/>
      </c>
      <c r="L30" s="19" t="str">
        <f aca="false">IF(A30="","",SUMIFS('Sales Daily KPIs'!$I:$I,'Sales Daily KPIs'!$B:$B,$C30,'Sales Daily KPIs'!$A:$A,"&gt;="&amp;$A30,'Sales Daily KPIs'!$A:$A,"&lt;="&amp;$B30))</f>
        <v/>
      </c>
      <c r="M30" s="19" t="str">
        <f aca="false">IF(A30="","",Settings!$B$5)</f>
        <v/>
      </c>
      <c r="N30" s="14"/>
    </row>
    <row r="31" customFormat="false" ht="15" hidden="false" customHeight="false" outlineLevel="0" collapsed="false">
      <c r="A31" s="13"/>
      <c r="B31" s="18" t="str">
        <f aca="false">IF(A31="","",A31+6)</f>
        <v/>
      </c>
      <c r="C31" s="14"/>
      <c r="D31" s="19" t="str">
        <f aca="false">IF(A31="","",COUNTIFS('Sales Daily KPIs'!$B:$B,$C31,'Sales Daily KPIs'!$A:$A,"&gt;="&amp;$A31,'Sales Daily KPIs'!$A:$A,"&lt;="&amp;$B31,'Sales Daily KPIs'!$C:$C,"&lt;&gt;"))</f>
        <v/>
      </c>
      <c r="E31" s="19" t="str">
        <f aca="false">IF(A31="","",SUMIFS('Sales Daily KPIs'!$C:$C,'Sales Daily KPIs'!$B:$B,$C31,'Sales Daily KPIs'!$A:$A,"&gt;="&amp;$A31,'Sales Daily KPIs'!$A:$A,"&lt;="&amp;$B31))</f>
        <v/>
      </c>
      <c r="F31" s="19" t="str">
        <f aca="false">IF(A31="","",Settings!$B$2*Settings!$B$6)</f>
        <v/>
      </c>
      <c r="G31" s="19" t="str">
        <f aca="false">IF(A31="","",SUMIFS('Sales Daily KPIs'!$D:$D,'Sales Daily KPIs'!$B:$B,$C31,'Sales Daily KPIs'!$A:$A,"&gt;="&amp;$A31,'Sales Daily KPIs'!$A:$A,"&lt;="&amp;$B31))</f>
        <v/>
      </c>
      <c r="H31" s="19" t="str">
        <f aca="false">IF(A31="","",Settings!$B$3*Settings!$B$6)</f>
        <v/>
      </c>
      <c r="I31" s="19" t="str">
        <f aca="false">IF(A31="","",SUMIFS('Sales Daily KPIs'!$E:$E,'Sales Daily KPIs'!$B:$B,$C31,'Sales Daily KPIs'!$A:$A,"&gt;="&amp;$A31,'Sales Daily KPIs'!$A:$A,"&lt;="&amp;$B31))</f>
        <v/>
      </c>
      <c r="J31" s="19" t="str">
        <f aca="false">IF(A31="","",Settings!$B$4*Settings!$B$6)</f>
        <v/>
      </c>
      <c r="K31" s="16" t="str">
        <f aca="false">IF(A31="","",IFERROR(SUMIFS('Sales Daily KPIs'!$G:$G,'Sales Daily KPIs'!$B:$B,$C31,'Sales Daily KPIs'!$A:$A,"&gt;="&amp;$A31,'Sales Daily KPIs'!$A:$A,"&lt;="&amp;$B31)/SUMIFS('Sales Daily KPIs'!$F:$F,'Sales Daily KPIs'!$B:$B,$C31,'Sales Daily KPIs'!$A:$A,"&gt;="&amp;$A31,'Sales Daily KPIs'!$A:$A,"&lt;="&amp;$B31),""))</f>
        <v/>
      </c>
      <c r="L31" s="19" t="str">
        <f aca="false">IF(A31="","",SUMIFS('Sales Daily KPIs'!$I:$I,'Sales Daily KPIs'!$B:$B,$C31,'Sales Daily KPIs'!$A:$A,"&gt;="&amp;$A31,'Sales Daily KPIs'!$A:$A,"&lt;="&amp;$B31))</f>
        <v/>
      </c>
      <c r="M31" s="19" t="str">
        <f aca="false">IF(A31="","",Settings!$B$5)</f>
        <v/>
      </c>
      <c r="N31" s="14"/>
    </row>
    <row r="32" customFormat="false" ht="15" hidden="false" customHeight="false" outlineLevel="0" collapsed="false">
      <c r="A32" s="13"/>
      <c r="B32" s="18" t="str">
        <f aca="false">IF(A32="","",A32+6)</f>
        <v/>
      </c>
      <c r="C32" s="14"/>
      <c r="D32" s="19" t="str">
        <f aca="false">IF(A32="","",COUNTIFS('Sales Daily KPIs'!$B:$B,$C32,'Sales Daily KPIs'!$A:$A,"&gt;="&amp;$A32,'Sales Daily KPIs'!$A:$A,"&lt;="&amp;$B32,'Sales Daily KPIs'!$C:$C,"&lt;&gt;"))</f>
        <v/>
      </c>
      <c r="E32" s="19" t="str">
        <f aca="false">IF(A32="","",SUMIFS('Sales Daily KPIs'!$C:$C,'Sales Daily KPIs'!$B:$B,$C32,'Sales Daily KPIs'!$A:$A,"&gt;="&amp;$A32,'Sales Daily KPIs'!$A:$A,"&lt;="&amp;$B32))</f>
        <v/>
      </c>
      <c r="F32" s="19" t="str">
        <f aca="false">IF(A32="","",Settings!$B$2*Settings!$B$6)</f>
        <v/>
      </c>
      <c r="G32" s="19" t="str">
        <f aca="false">IF(A32="","",SUMIFS('Sales Daily KPIs'!$D:$D,'Sales Daily KPIs'!$B:$B,$C32,'Sales Daily KPIs'!$A:$A,"&gt;="&amp;$A32,'Sales Daily KPIs'!$A:$A,"&lt;="&amp;$B32))</f>
        <v/>
      </c>
      <c r="H32" s="19" t="str">
        <f aca="false">IF(A32="","",Settings!$B$3*Settings!$B$6)</f>
        <v/>
      </c>
      <c r="I32" s="19" t="str">
        <f aca="false">IF(A32="","",SUMIFS('Sales Daily KPIs'!$E:$E,'Sales Daily KPIs'!$B:$B,$C32,'Sales Daily KPIs'!$A:$A,"&gt;="&amp;$A32,'Sales Daily KPIs'!$A:$A,"&lt;="&amp;$B32))</f>
        <v/>
      </c>
      <c r="J32" s="19" t="str">
        <f aca="false">IF(A32="","",Settings!$B$4*Settings!$B$6)</f>
        <v/>
      </c>
      <c r="K32" s="16" t="str">
        <f aca="false">IF(A32="","",IFERROR(SUMIFS('Sales Daily KPIs'!$G:$G,'Sales Daily KPIs'!$B:$B,$C32,'Sales Daily KPIs'!$A:$A,"&gt;="&amp;$A32,'Sales Daily KPIs'!$A:$A,"&lt;="&amp;$B32)/SUMIFS('Sales Daily KPIs'!$F:$F,'Sales Daily KPIs'!$B:$B,$C32,'Sales Daily KPIs'!$A:$A,"&gt;="&amp;$A32,'Sales Daily KPIs'!$A:$A,"&lt;="&amp;$B32),""))</f>
        <v/>
      </c>
      <c r="L32" s="19" t="str">
        <f aca="false">IF(A32="","",SUMIFS('Sales Daily KPIs'!$I:$I,'Sales Daily KPIs'!$B:$B,$C32,'Sales Daily KPIs'!$A:$A,"&gt;="&amp;$A32,'Sales Daily KPIs'!$A:$A,"&lt;="&amp;$B32))</f>
        <v/>
      </c>
      <c r="M32" s="19" t="str">
        <f aca="false">IF(A32="","",Settings!$B$5)</f>
        <v/>
      </c>
      <c r="N32" s="14"/>
    </row>
    <row r="33" customFormat="false" ht="15" hidden="false" customHeight="false" outlineLevel="0" collapsed="false">
      <c r="A33" s="13"/>
      <c r="B33" s="18" t="str">
        <f aca="false">IF(A33="","",A33+6)</f>
        <v/>
      </c>
      <c r="C33" s="14"/>
      <c r="D33" s="19" t="str">
        <f aca="false">IF(A33="","",COUNTIFS('Sales Daily KPIs'!$B:$B,$C33,'Sales Daily KPIs'!$A:$A,"&gt;="&amp;$A33,'Sales Daily KPIs'!$A:$A,"&lt;="&amp;$B33,'Sales Daily KPIs'!$C:$C,"&lt;&gt;"))</f>
        <v/>
      </c>
      <c r="E33" s="19" t="str">
        <f aca="false">IF(A33="","",SUMIFS('Sales Daily KPIs'!$C:$C,'Sales Daily KPIs'!$B:$B,$C33,'Sales Daily KPIs'!$A:$A,"&gt;="&amp;$A33,'Sales Daily KPIs'!$A:$A,"&lt;="&amp;$B33))</f>
        <v/>
      </c>
      <c r="F33" s="19" t="str">
        <f aca="false">IF(A33="","",Settings!$B$2*Settings!$B$6)</f>
        <v/>
      </c>
      <c r="G33" s="19" t="str">
        <f aca="false">IF(A33="","",SUMIFS('Sales Daily KPIs'!$D:$D,'Sales Daily KPIs'!$B:$B,$C33,'Sales Daily KPIs'!$A:$A,"&gt;="&amp;$A33,'Sales Daily KPIs'!$A:$A,"&lt;="&amp;$B33))</f>
        <v/>
      </c>
      <c r="H33" s="19" t="str">
        <f aca="false">IF(A33="","",Settings!$B$3*Settings!$B$6)</f>
        <v/>
      </c>
      <c r="I33" s="19" t="str">
        <f aca="false">IF(A33="","",SUMIFS('Sales Daily KPIs'!$E:$E,'Sales Daily KPIs'!$B:$B,$C33,'Sales Daily KPIs'!$A:$A,"&gt;="&amp;$A33,'Sales Daily KPIs'!$A:$A,"&lt;="&amp;$B33))</f>
        <v/>
      </c>
      <c r="J33" s="19" t="str">
        <f aca="false">IF(A33="","",Settings!$B$4*Settings!$B$6)</f>
        <v/>
      </c>
      <c r="K33" s="16" t="str">
        <f aca="false">IF(A33="","",IFERROR(SUMIFS('Sales Daily KPIs'!$G:$G,'Sales Daily KPIs'!$B:$B,$C33,'Sales Daily KPIs'!$A:$A,"&gt;="&amp;$A33,'Sales Daily KPIs'!$A:$A,"&lt;="&amp;$B33)/SUMIFS('Sales Daily KPIs'!$F:$F,'Sales Daily KPIs'!$B:$B,$C33,'Sales Daily KPIs'!$A:$A,"&gt;="&amp;$A33,'Sales Daily KPIs'!$A:$A,"&lt;="&amp;$B33),""))</f>
        <v/>
      </c>
      <c r="L33" s="19" t="str">
        <f aca="false">IF(A33="","",SUMIFS('Sales Daily KPIs'!$I:$I,'Sales Daily KPIs'!$B:$B,$C33,'Sales Daily KPIs'!$A:$A,"&gt;="&amp;$A33,'Sales Daily KPIs'!$A:$A,"&lt;="&amp;$B33))</f>
        <v/>
      </c>
      <c r="M33" s="19" t="str">
        <f aca="false">IF(A33="","",Settings!$B$5)</f>
        <v/>
      </c>
      <c r="N33" s="14"/>
    </row>
    <row r="34" customFormat="false" ht="15" hidden="false" customHeight="false" outlineLevel="0" collapsed="false">
      <c r="A34" s="13"/>
      <c r="B34" s="18" t="str">
        <f aca="false">IF(A34="","",A34+6)</f>
        <v/>
      </c>
      <c r="C34" s="14"/>
      <c r="D34" s="19" t="str">
        <f aca="false">IF(A34="","",COUNTIFS('Sales Daily KPIs'!$B:$B,$C34,'Sales Daily KPIs'!$A:$A,"&gt;="&amp;$A34,'Sales Daily KPIs'!$A:$A,"&lt;="&amp;$B34,'Sales Daily KPIs'!$C:$C,"&lt;&gt;"))</f>
        <v/>
      </c>
      <c r="E34" s="19" t="str">
        <f aca="false">IF(A34="","",SUMIFS('Sales Daily KPIs'!$C:$C,'Sales Daily KPIs'!$B:$B,$C34,'Sales Daily KPIs'!$A:$A,"&gt;="&amp;$A34,'Sales Daily KPIs'!$A:$A,"&lt;="&amp;$B34))</f>
        <v/>
      </c>
      <c r="F34" s="19" t="str">
        <f aca="false">IF(A34="","",Settings!$B$2*Settings!$B$6)</f>
        <v/>
      </c>
      <c r="G34" s="19" t="str">
        <f aca="false">IF(A34="","",SUMIFS('Sales Daily KPIs'!$D:$D,'Sales Daily KPIs'!$B:$B,$C34,'Sales Daily KPIs'!$A:$A,"&gt;="&amp;$A34,'Sales Daily KPIs'!$A:$A,"&lt;="&amp;$B34))</f>
        <v/>
      </c>
      <c r="H34" s="19" t="str">
        <f aca="false">IF(A34="","",Settings!$B$3*Settings!$B$6)</f>
        <v/>
      </c>
      <c r="I34" s="19" t="str">
        <f aca="false">IF(A34="","",SUMIFS('Sales Daily KPIs'!$E:$E,'Sales Daily KPIs'!$B:$B,$C34,'Sales Daily KPIs'!$A:$A,"&gt;="&amp;$A34,'Sales Daily KPIs'!$A:$A,"&lt;="&amp;$B34))</f>
        <v/>
      </c>
      <c r="J34" s="19" t="str">
        <f aca="false">IF(A34="","",Settings!$B$4*Settings!$B$6)</f>
        <v/>
      </c>
      <c r="K34" s="16" t="str">
        <f aca="false">IF(A34="","",IFERROR(SUMIFS('Sales Daily KPIs'!$G:$G,'Sales Daily KPIs'!$B:$B,$C34,'Sales Daily KPIs'!$A:$A,"&gt;="&amp;$A34,'Sales Daily KPIs'!$A:$A,"&lt;="&amp;$B34)/SUMIFS('Sales Daily KPIs'!$F:$F,'Sales Daily KPIs'!$B:$B,$C34,'Sales Daily KPIs'!$A:$A,"&gt;="&amp;$A34,'Sales Daily KPIs'!$A:$A,"&lt;="&amp;$B34),""))</f>
        <v/>
      </c>
      <c r="L34" s="19" t="str">
        <f aca="false">IF(A34="","",SUMIFS('Sales Daily KPIs'!$I:$I,'Sales Daily KPIs'!$B:$B,$C34,'Sales Daily KPIs'!$A:$A,"&gt;="&amp;$A34,'Sales Daily KPIs'!$A:$A,"&lt;="&amp;$B34))</f>
        <v/>
      </c>
      <c r="M34" s="19" t="str">
        <f aca="false">IF(A34="","",Settings!$B$5)</f>
        <v/>
      </c>
      <c r="N34" s="14"/>
    </row>
    <row r="35" customFormat="false" ht="15" hidden="false" customHeight="false" outlineLevel="0" collapsed="false">
      <c r="A35" s="13"/>
      <c r="B35" s="18" t="str">
        <f aca="false">IF(A35="","",A35+6)</f>
        <v/>
      </c>
      <c r="C35" s="14"/>
      <c r="D35" s="19" t="str">
        <f aca="false">IF(A35="","",COUNTIFS('Sales Daily KPIs'!$B:$B,$C35,'Sales Daily KPIs'!$A:$A,"&gt;="&amp;$A35,'Sales Daily KPIs'!$A:$A,"&lt;="&amp;$B35,'Sales Daily KPIs'!$C:$C,"&lt;&gt;"))</f>
        <v/>
      </c>
      <c r="E35" s="19" t="str">
        <f aca="false">IF(A35="","",SUMIFS('Sales Daily KPIs'!$C:$C,'Sales Daily KPIs'!$B:$B,$C35,'Sales Daily KPIs'!$A:$A,"&gt;="&amp;$A35,'Sales Daily KPIs'!$A:$A,"&lt;="&amp;$B35))</f>
        <v/>
      </c>
      <c r="F35" s="19" t="str">
        <f aca="false">IF(A35="","",Settings!$B$2*Settings!$B$6)</f>
        <v/>
      </c>
      <c r="G35" s="19" t="str">
        <f aca="false">IF(A35="","",SUMIFS('Sales Daily KPIs'!$D:$D,'Sales Daily KPIs'!$B:$B,$C35,'Sales Daily KPIs'!$A:$A,"&gt;="&amp;$A35,'Sales Daily KPIs'!$A:$A,"&lt;="&amp;$B35))</f>
        <v/>
      </c>
      <c r="H35" s="19" t="str">
        <f aca="false">IF(A35="","",Settings!$B$3*Settings!$B$6)</f>
        <v/>
      </c>
      <c r="I35" s="19" t="str">
        <f aca="false">IF(A35="","",SUMIFS('Sales Daily KPIs'!$E:$E,'Sales Daily KPIs'!$B:$B,$C35,'Sales Daily KPIs'!$A:$A,"&gt;="&amp;$A35,'Sales Daily KPIs'!$A:$A,"&lt;="&amp;$B35))</f>
        <v/>
      </c>
      <c r="J35" s="19" t="str">
        <f aca="false">IF(A35="","",Settings!$B$4*Settings!$B$6)</f>
        <v/>
      </c>
      <c r="K35" s="16" t="str">
        <f aca="false">IF(A35="","",IFERROR(SUMIFS('Sales Daily KPIs'!$G:$G,'Sales Daily KPIs'!$B:$B,$C35,'Sales Daily KPIs'!$A:$A,"&gt;="&amp;$A35,'Sales Daily KPIs'!$A:$A,"&lt;="&amp;$B35)/SUMIFS('Sales Daily KPIs'!$F:$F,'Sales Daily KPIs'!$B:$B,$C35,'Sales Daily KPIs'!$A:$A,"&gt;="&amp;$A35,'Sales Daily KPIs'!$A:$A,"&lt;="&amp;$B35),""))</f>
        <v/>
      </c>
      <c r="L35" s="19" t="str">
        <f aca="false">IF(A35="","",SUMIFS('Sales Daily KPIs'!$I:$I,'Sales Daily KPIs'!$B:$B,$C35,'Sales Daily KPIs'!$A:$A,"&gt;="&amp;$A35,'Sales Daily KPIs'!$A:$A,"&lt;="&amp;$B35))</f>
        <v/>
      </c>
      <c r="M35" s="19" t="str">
        <f aca="false">IF(A35="","",Settings!$B$5)</f>
        <v/>
      </c>
      <c r="N35" s="14"/>
    </row>
    <row r="36" customFormat="false" ht="15" hidden="false" customHeight="false" outlineLevel="0" collapsed="false">
      <c r="A36" s="13"/>
      <c r="B36" s="18" t="str">
        <f aca="false">IF(A36="","",A36+6)</f>
        <v/>
      </c>
      <c r="C36" s="14"/>
      <c r="D36" s="19" t="str">
        <f aca="false">IF(A36="","",COUNTIFS('Sales Daily KPIs'!$B:$B,$C36,'Sales Daily KPIs'!$A:$A,"&gt;="&amp;$A36,'Sales Daily KPIs'!$A:$A,"&lt;="&amp;$B36,'Sales Daily KPIs'!$C:$C,"&lt;&gt;"))</f>
        <v/>
      </c>
      <c r="E36" s="19" t="str">
        <f aca="false">IF(A36="","",SUMIFS('Sales Daily KPIs'!$C:$C,'Sales Daily KPIs'!$B:$B,$C36,'Sales Daily KPIs'!$A:$A,"&gt;="&amp;$A36,'Sales Daily KPIs'!$A:$A,"&lt;="&amp;$B36))</f>
        <v/>
      </c>
      <c r="F36" s="19" t="str">
        <f aca="false">IF(A36="","",Settings!$B$2*Settings!$B$6)</f>
        <v/>
      </c>
      <c r="G36" s="19" t="str">
        <f aca="false">IF(A36="","",SUMIFS('Sales Daily KPIs'!$D:$D,'Sales Daily KPIs'!$B:$B,$C36,'Sales Daily KPIs'!$A:$A,"&gt;="&amp;$A36,'Sales Daily KPIs'!$A:$A,"&lt;="&amp;$B36))</f>
        <v/>
      </c>
      <c r="H36" s="19" t="str">
        <f aca="false">IF(A36="","",Settings!$B$3*Settings!$B$6)</f>
        <v/>
      </c>
      <c r="I36" s="19" t="str">
        <f aca="false">IF(A36="","",SUMIFS('Sales Daily KPIs'!$E:$E,'Sales Daily KPIs'!$B:$B,$C36,'Sales Daily KPIs'!$A:$A,"&gt;="&amp;$A36,'Sales Daily KPIs'!$A:$A,"&lt;="&amp;$B36))</f>
        <v/>
      </c>
      <c r="J36" s="19" t="str">
        <f aca="false">IF(A36="","",Settings!$B$4*Settings!$B$6)</f>
        <v/>
      </c>
      <c r="K36" s="16" t="str">
        <f aca="false">IF(A36="","",IFERROR(SUMIFS('Sales Daily KPIs'!$G:$G,'Sales Daily KPIs'!$B:$B,$C36,'Sales Daily KPIs'!$A:$A,"&gt;="&amp;$A36,'Sales Daily KPIs'!$A:$A,"&lt;="&amp;$B36)/SUMIFS('Sales Daily KPIs'!$F:$F,'Sales Daily KPIs'!$B:$B,$C36,'Sales Daily KPIs'!$A:$A,"&gt;="&amp;$A36,'Sales Daily KPIs'!$A:$A,"&lt;="&amp;$B36),""))</f>
        <v/>
      </c>
      <c r="L36" s="19" t="str">
        <f aca="false">IF(A36="","",SUMIFS('Sales Daily KPIs'!$I:$I,'Sales Daily KPIs'!$B:$B,$C36,'Sales Daily KPIs'!$A:$A,"&gt;="&amp;$A36,'Sales Daily KPIs'!$A:$A,"&lt;="&amp;$B36))</f>
        <v/>
      </c>
      <c r="M36" s="19" t="str">
        <f aca="false">IF(A36="","",Settings!$B$5)</f>
        <v/>
      </c>
      <c r="N36" s="14"/>
    </row>
    <row r="37" customFormat="false" ht="15" hidden="false" customHeight="false" outlineLevel="0" collapsed="false">
      <c r="A37" s="13"/>
      <c r="B37" s="18" t="str">
        <f aca="false">IF(A37="","",A37+6)</f>
        <v/>
      </c>
      <c r="C37" s="14"/>
      <c r="D37" s="19" t="str">
        <f aca="false">IF(A37="","",COUNTIFS('Sales Daily KPIs'!$B:$B,$C37,'Sales Daily KPIs'!$A:$A,"&gt;="&amp;$A37,'Sales Daily KPIs'!$A:$A,"&lt;="&amp;$B37,'Sales Daily KPIs'!$C:$C,"&lt;&gt;"))</f>
        <v/>
      </c>
      <c r="E37" s="19" t="str">
        <f aca="false">IF(A37="","",SUMIFS('Sales Daily KPIs'!$C:$C,'Sales Daily KPIs'!$B:$B,$C37,'Sales Daily KPIs'!$A:$A,"&gt;="&amp;$A37,'Sales Daily KPIs'!$A:$A,"&lt;="&amp;$B37))</f>
        <v/>
      </c>
      <c r="F37" s="19" t="str">
        <f aca="false">IF(A37="","",Settings!$B$2*Settings!$B$6)</f>
        <v/>
      </c>
      <c r="G37" s="19" t="str">
        <f aca="false">IF(A37="","",SUMIFS('Sales Daily KPIs'!$D:$D,'Sales Daily KPIs'!$B:$B,$C37,'Sales Daily KPIs'!$A:$A,"&gt;="&amp;$A37,'Sales Daily KPIs'!$A:$A,"&lt;="&amp;$B37))</f>
        <v/>
      </c>
      <c r="H37" s="19" t="str">
        <f aca="false">IF(A37="","",Settings!$B$3*Settings!$B$6)</f>
        <v/>
      </c>
      <c r="I37" s="19" t="str">
        <f aca="false">IF(A37="","",SUMIFS('Sales Daily KPIs'!$E:$E,'Sales Daily KPIs'!$B:$B,$C37,'Sales Daily KPIs'!$A:$A,"&gt;="&amp;$A37,'Sales Daily KPIs'!$A:$A,"&lt;="&amp;$B37))</f>
        <v/>
      </c>
      <c r="J37" s="19" t="str">
        <f aca="false">IF(A37="","",Settings!$B$4*Settings!$B$6)</f>
        <v/>
      </c>
      <c r="K37" s="16" t="str">
        <f aca="false">IF(A37="","",IFERROR(SUMIFS('Sales Daily KPIs'!$G:$G,'Sales Daily KPIs'!$B:$B,$C37,'Sales Daily KPIs'!$A:$A,"&gt;="&amp;$A37,'Sales Daily KPIs'!$A:$A,"&lt;="&amp;$B37)/SUMIFS('Sales Daily KPIs'!$F:$F,'Sales Daily KPIs'!$B:$B,$C37,'Sales Daily KPIs'!$A:$A,"&gt;="&amp;$A37,'Sales Daily KPIs'!$A:$A,"&lt;="&amp;$B37),""))</f>
        <v/>
      </c>
      <c r="L37" s="19" t="str">
        <f aca="false">IF(A37="","",SUMIFS('Sales Daily KPIs'!$I:$I,'Sales Daily KPIs'!$B:$B,$C37,'Sales Daily KPIs'!$A:$A,"&gt;="&amp;$A37,'Sales Daily KPIs'!$A:$A,"&lt;="&amp;$B37))</f>
        <v/>
      </c>
      <c r="M37" s="19" t="str">
        <f aca="false">IF(A37="","",Settings!$B$5)</f>
        <v/>
      </c>
      <c r="N37" s="14"/>
    </row>
    <row r="38" customFormat="false" ht="15" hidden="false" customHeight="false" outlineLevel="0" collapsed="false">
      <c r="A38" s="13"/>
      <c r="B38" s="18" t="str">
        <f aca="false">IF(A38="","",A38+6)</f>
        <v/>
      </c>
      <c r="C38" s="14"/>
      <c r="D38" s="19" t="str">
        <f aca="false">IF(A38="","",COUNTIFS('Sales Daily KPIs'!$B:$B,$C38,'Sales Daily KPIs'!$A:$A,"&gt;="&amp;$A38,'Sales Daily KPIs'!$A:$A,"&lt;="&amp;$B38,'Sales Daily KPIs'!$C:$C,"&lt;&gt;"))</f>
        <v/>
      </c>
      <c r="E38" s="19" t="str">
        <f aca="false">IF(A38="","",SUMIFS('Sales Daily KPIs'!$C:$C,'Sales Daily KPIs'!$B:$B,$C38,'Sales Daily KPIs'!$A:$A,"&gt;="&amp;$A38,'Sales Daily KPIs'!$A:$A,"&lt;="&amp;$B38))</f>
        <v/>
      </c>
      <c r="F38" s="19" t="str">
        <f aca="false">IF(A38="","",Settings!$B$2*Settings!$B$6)</f>
        <v/>
      </c>
      <c r="G38" s="19" t="str">
        <f aca="false">IF(A38="","",SUMIFS('Sales Daily KPIs'!$D:$D,'Sales Daily KPIs'!$B:$B,$C38,'Sales Daily KPIs'!$A:$A,"&gt;="&amp;$A38,'Sales Daily KPIs'!$A:$A,"&lt;="&amp;$B38))</f>
        <v/>
      </c>
      <c r="H38" s="19" t="str">
        <f aca="false">IF(A38="","",Settings!$B$3*Settings!$B$6)</f>
        <v/>
      </c>
      <c r="I38" s="19" t="str">
        <f aca="false">IF(A38="","",SUMIFS('Sales Daily KPIs'!$E:$E,'Sales Daily KPIs'!$B:$B,$C38,'Sales Daily KPIs'!$A:$A,"&gt;="&amp;$A38,'Sales Daily KPIs'!$A:$A,"&lt;="&amp;$B38))</f>
        <v/>
      </c>
      <c r="J38" s="19" t="str">
        <f aca="false">IF(A38="","",Settings!$B$4*Settings!$B$6)</f>
        <v/>
      </c>
      <c r="K38" s="16" t="str">
        <f aca="false">IF(A38="","",IFERROR(SUMIFS('Sales Daily KPIs'!$G:$G,'Sales Daily KPIs'!$B:$B,$C38,'Sales Daily KPIs'!$A:$A,"&gt;="&amp;$A38,'Sales Daily KPIs'!$A:$A,"&lt;="&amp;$B38)/SUMIFS('Sales Daily KPIs'!$F:$F,'Sales Daily KPIs'!$B:$B,$C38,'Sales Daily KPIs'!$A:$A,"&gt;="&amp;$A38,'Sales Daily KPIs'!$A:$A,"&lt;="&amp;$B38),""))</f>
        <v/>
      </c>
      <c r="L38" s="19" t="str">
        <f aca="false">IF(A38="","",SUMIFS('Sales Daily KPIs'!$I:$I,'Sales Daily KPIs'!$B:$B,$C38,'Sales Daily KPIs'!$A:$A,"&gt;="&amp;$A38,'Sales Daily KPIs'!$A:$A,"&lt;="&amp;$B38))</f>
        <v/>
      </c>
      <c r="M38" s="19" t="str">
        <f aca="false">IF(A38="","",Settings!$B$5)</f>
        <v/>
      </c>
      <c r="N38" s="14"/>
    </row>
    <row r="39" customFormat="false" ht="15" hidden="false" customHeight="false" outlineLevel="0" collapsed="false">
      <c r="A39" s="13"/>
      <c r="B39" s="18" t="str">
        <f aca="false">IF(A39="","",A39+6)</f>
        <v/>
      </c>
      <c r="C39" s="14"/>
      <c r="D39" s="19" t="str">
        <f aca="false">IF(A39="","",COUNTIFS('Sales Daily KPIs'!$B:$B,$C39,'Sales Daily KPIs'!$A:$A,"&gt;="&amp;$A39,'Sales Daily KPIs'!$A:$A,"&lt;="&amp;$B39,'Sales Daily KPIs'!$C:$C,"&lt;&gt;"))</f>
        <v/>
      </c>
      <c r="E39" s="19" t="str">
        <f aca="false">IF(A39="","",SUMIFS('Sales Daily KPIs'!$C:$C,'Sales Daily KPIs'!$B:$B,$C39,'Sales Daily KPIs'!$A:$A,"&gt;="&amp;$A39,'Sales Daily KPIs'!$A:$A,"&lt;="&amp;$B39))</f>
        <v/>
      </c>
      <c r="F39" s="19" t="str">
        <f aca="false">IF(A39="","",Settings!$B$2*Settings!$B$6)</f>
        <v/>
      </c>
      <c r="G39" s="19" t="str">
        <f aca="false">IF(A39="","",SUMIFS('Sales Daily KPIs'!$D:$D,'Sales Daily KPIs'!$B:$B,$C39,'Sales Daily KPIs'!$A:$A,"&gt;="&amp;$A39,'Sales Daily KPIs'!$A:$A,"&lt;="&amp;$B39))</f>
        <v/>
      </c>
      <c r="H39" s="19" t="str">
        <f aca="false">IF(A39="","",Settings!$B$3*Settings!$B$6)</f>
        <v/>
      </c>
      <c r="I39" s="19" t="str">
        <f aca="false">IF(A39="","",SUMIFS('Sales Daily KPIs'!$E:$E,'Sales Daily KPIs'!$B:$B,$C39,'Sales Daily KPIs'!$A:$A,"&gt;="&amp;$A39,'Sales Daily KPIs'!$A:$A,"&lt;="&amp;$B39))</f>
        <v/>
      </c>
      <c r="J39" s="19" t="str">
        <f aca="false">IF(A39="","",Settings!$B$4*Settings!$B$6)</f>
        <v/>
      </c>
      <c r="K39" s="16" t="str">
        <f aca="false">IF(A39="","",IFERROR(SUMIFS('Sales Daily KPIs'!$G:$G,'Sales Daily KPIs'!$B:$B,$C39,'Sales Daily KPIs'!$A:$A,"&gt;="&amp;$A39,'Sales Daily KPIs'!$A:$A,"&lt;="&amp;$B39)/SUMIFS('Sales Daily KPIs'!$F:$F,'Sales Daily KPIs'!$B:$B,$C39,'Sales Daily KPIs'!$A:$A,"&gt;="&amp;$A39,'Sales Daily KPIs'!$A:$A,"&lt;="&amp;$B39),""))</f>
        <v/>
      </c>
      <c r="L39" s="19" t="str">
        <f aca="false">IF(A39="","",SUMIFS('Sales Daily KPIs'!$I:$I,'Sales Daily KPIs'!$B:$B,$C39,'Sales Daily KPIs'!$A:$A,"&gt;="&amp;$A39,'Sales Daily KPIs'!$A:$A,"&lt;="&amp;$B39))</f>
        <v/>
      </c>
      <c r="M39" s="19" t="str">
        <f aca="false">IF(A39="","",Settings!$B$5)</f>
        <v/>
      </c>
      <c r="N39" s="14"/>
    </row>
    <row r="40" customFormat="false" ht="15" hidden="false" customHeight="false" outlineLevel="0" collapsed="false">
      <c r="A40" s="13"/>
      <c r="B40" s="18" t="str">
        <f aca="false">IF(A40="","",A40+6)</f>
        <v/>
      </c>
      <c r="C40" s="14"/>
      <c r="D40" s="19" t="str">
        <f aca="false">IF(A40="","",COUNTIFS('Sales Daily KPIs'!$B:$B,$C40,'Sales Daily KPIs'!$A:$A,"&gt;="&amp;$A40,'Sales Daily KPIs'!$A:$A,"&lt;="&amp;$B40,'Sales Daily KPIs'!$C:$C,"&lt;&gt;"))</f>
        <v/>
      </c>
      <c r="E40" s="19" t="str">
        <f aca="false">IF(A40="","",SUMIFS('Sales Daily KPIs'!$C:$C,'Sales Daily KPIs'!$B:$B,$C40,'Sales Daily KPIs'!$A:$A,"&gt;="&amp;$A40,'Sales Daily KPIs'!$A:$A,"&lt;="&amp;$B40))</f>
        <v/>
      </c>
      <c r="F40" s="19" t="str">
        <f aca="false">IF(A40="","",Settings!$B$2*Settings!$B$6)</f>
        <v/>
      </c>
      <c r="G40" s="19" t="str">
        <f aca="false">IF(A40="","",SUMIFS('Sales Daily KPIs'!$D:$D,'Sales Daily KPIs'!$B:$B,$C40,'Sales Daily KPIs'!$A:$A,"&gt;="&amp;$A40,'Sales Daily KPIs'!$A:$A,"&lt;="&amp;$B40))</f>
        <v/>
      </c>
      <c r="H40" s="19" t="str">
        <f aca="false">IF(A40="","",Settings!$B$3*Settings!$B$6)</f>
        <v/>
      </c>
      <c r="I40" s="19" t="str">
        <f aca="false">IF(A40="","",SUMIFS('Sales Daily KPIs'!$E:$E,'Sales Daily KPIs'!$B:$B,$C40,'Sales Daily KPIs'!$A:$A,"&gt;="&amp;$A40,'Sales Daily KPIs'!$A:$A,"&lt;="&amp;$B40))</f>
        <v/>
      </c>
      <c r="J40" s="19" t="str">
        <f aca="false">IF(A40="","",Settings!$B$4*Settings!$B$6)</f>
        <v/>
      </c>
      <c r="K40" s="16" t="str">
        <f aca="false">IF(A40="","",IFERROR(SUMIFS('Sales Daily KPIs'!$G:$G,'Sales Daily KPIs'!$B:$B,$C40,'Sales Daily KPIs'!$A:$A,"&gt;="&amp;$A40,'Sales Daily KPIs'!$A:$A,"&lt;="&amp;$B40)/SUMIFS('Sales Daily KPIs'!$F:$F,'Sales Daily KPIs'!$B:$B,$C40,'Sales Daily KPIs'!$A:$A,"&gt;="&amp;$A40,'Sales Daily KPIs'!$A:$A,"&lt;="&amp;$B40),""))</f>
        <v/>
      </c>
      <c r="L40" s="19" t="str">
        <f aca="false">IF(A40="","",SUMIFS('Sales Daily KPIs'!$I:$I,'Sales Daily KPIs'!$B:$B,$C40,'Sales Daily KPIs'!$A:$A,"&gt;="&amp;$A40,'Sales Daily KPIs'!$A:$A,"&lt;="&amp;$B40))</f>
        <v/>
      </c>
      <c r="M40" s="19" t="str">
        <f aca="false">IF(A40="","",Settings!$B$5)</f>
        <v/>
      </c>
      <c r="N40" s="14"/>
    </row>
    <row r="41" customFormat="false" ht="15" hidden="false" customHeight="false" outlineLevel="0" collapsed="false">
      <c r="A41" s="13"/>
      <c r="B41" s="18" t="str">
        <f aca="false">IF(A41="","",A41+6)</f>
        <v/>
      </c>
      <c r="C41" s="14"/>
      <c r="D41" s="19" t="str">
        <f aca="false">IF(A41="","",COUNTIFS('Sales Daily KPIs'!$B:$B,$C41,'Sales Daily KPIs'!$A:$A,"&gt;="&amp;$A41,'Sales Daily KPIs'!$A:$A,"&lt;="&amp;$B41,'Sales Daily KPIs'!$C:$C,"&lt;&gt;"))</f>
        <v/>
      </c>
      <c r="E41" s="19" t="str">
        <f aca="false">IF(A41="","",SUMIFS('Sales Daily KPIs'!$C:$C,'Sales Daily KPIs'!$B:$B,$C41,'Sales Daily KPIs'!$A:$A,"&gt;="&amp;$A41,'Sales Daily KPIs'!$A:$A,"&lt;="&amp;$B41))</f>
        <v/>
      </c>
      <c r="F41" s="19" t="str">
        <f aca="false">IF(A41="","",Settings!$B$2*Settings!$B$6)</f>
        <v/>
      </c>
      <c r="G41" s="19" t="str">
        <f aca="false">IF(A41="","",SUMIFS('Sales Daily KPIs'!$D:$D,'Sales Daily KPIs'!$B:$B,$C41,'Sales Daily KPIs'!$A:$A,"&gt;="&amp;$A41,'Sales Daily KPIs'!$A:$A,"&lt;="&amp;$B41))</f>
        <v/>
      </c>
      <c r="H41" s="19" t="str">
        <f aca="false">IF(A41="","",Settings!$B$3*Settings!$B$6)</f>
        <v/>
      </c>
      <c r="I41" s="19" t="str">
        <f aca="false">IF(A41="","",SUMIFS('Sales Daily KPIs'!$E:$E,'Sales Daily KPIs'!$B:$B,$C41,'Sales Daily KPIs'!$A:$A,"&gt;="&amp;$A41,'Sales Daily KPIs'!$A:$A,"&lt;="&amp;$B41))</f>
        <v/>
      </c>
      <c r="J41" s="19" t="str">
        <f aca="false">IF(A41="","",Settings!$B$4*Settings!$B$6)</f>
        <v/>
      </c>
      <c r="K41" s="16" t="str">
        <f aca="false">IF(A41="","",IFERROR(SUMIFS('Sales Daily KPIs'!$G:$G,'Sales Daily KPIs'!$B:$B,$C41,'Sales Daily KPIs'!$A:$A,"&gt;="&amp;$A41,'Sales Daily KPIs'!$A:$A,"&lt;="&amp;$B41)/SUMIFS('Sales Daily KPIs'!$F:$F,'Sales Daily KPIs'!$B:$B,$C41,'Sales Daily KPIs'!$A:$A,"&gt;="&amp;$A41,'Sales Daily KPIs'!$A:$A,"&lt;="&amp;$B41),""))</f>
        <v/>
      </c>
      <c r="L41" s="19" t="str">
        <f aca="false">IF(A41="","",SUMIFS('Sales Daily KPIs'!$I:$I,'Sales Daily KPIs'!$B:$B,$C41,'Sales Daily KPIs'!$A:$A,"&gt;="&amp;$A41,'Sales Daily KPIs'!$A:$A,"&lt;="&amp;$B41))</f>
        <v/>
      </c>
      <c r="M41" s="19" t="str">
        <f aca="false">IF(A41="","",Settings!$B$5)</f>
        <v/>
      </c>
      <c r="N41" s="14"/>
    </row>
    <row r="42" customFormat="false" ht="15" hidden="false" customHeight="false" outlineLevel="0" collapsed="false">
      <c r="A42" s="13"/>
      <c r="B42" s="18" t="str">
        <f aca="false">IF(A42="","",A42+6)</f>
        <v/>
      </c>
      <c r="C42" s="14"/>
      <c r="D42" s="19" t="str">
        <f aca="false">IF(A42="","",COUNTIFS('Sales Daily KPIs'!$B:$B,$C42,'Sales Daily KPIs'!$A:$A,"&gt;="&amp;$A42,'Sales Daily KPIs'!$A:$A,"&lt;="&amp;$B42,'Sales Daily KPIs'!$C:$C,"&lt;&gt;"))</f>
        <v/>
      </c>
      <c r="E42" s="19" t="str">
        <f aca="false">IF(A42="","",SUMIFS('Sales Daily KPIs'!$C:$C,'Sales Daily KPIs'!$B:$B,$C42,'Sales Daily KPIs'!$A:$A,"&gt;="&amp;$A42,'Sales Daily KPIs'!$A:$A,"&lt;="&amp;$B42))</f>
        <v/>
      </c>
      <c r="F42" s="19" t="str">
        <f aca="false">IF(A42="","",Settings!$B$2*Settings!$B$6)</f>
        <v/>
      </c>
      <c r="G42" s="19" t="str">
        <f aca="false">IF(A42="","",SUMIFS('Sales Daily KPIs'!$D:$D,'Sales Daily KPIs'!$B:$B,$C42,'Sales Daily KPIs'!$A:$A,"&gt;="&amp;$A42,'Sales Daily KPIs'!$A:$A,"&lt;="&amp;$B42))</f>
        <v/>
      </c>
      <c r="H42" s="19" t="str">
        <f aca="false">IF(A42="","",Settings!$B$3*Settings!$B$6)</f>
        <v/>
      </c>
      <c r="I42" s="19" t="str">
        <f aca="false">IF(A42="","",SUMIFS('Sales Daily KPIs'!$E:$E,'Sales Daily KPIs'!$B:$B,$C42,'Sales Daily KPIs'!$A:$A,"&gt;="&amp;$A42,'Sales Daily KPIs'!$A:$A,"&lt;="&amp;$B42))</f>
        <v/>
      </c>
      <c r="J42" s="19" t="str">
        <f aca="false">IF(A42="","",Settings!$B$4*Settings!$B$6)</f>
        <v/>
      </c>
      <c r="K42" s="16" t="str">
        <f aca="false">IF(A42="","",IFERROR(SUMIFS('Sales Daily KPIs'!$G:$G,'Sales Daily KPIs'!$B:$B,$C42,'Sales Daily KPIs'!$A:$A,"&gt;="&amp;$A42,'Sales Daily KPIs'!$A:$A,"&lt;="&amp;$B42)/SUMIFS('Sales Daily KPIs'!$F:$F,'Sales Daily KPIs'!$B:$B,$C42,'Sales Daily KPIs'!$A:$A,"&gt;="&amp;$A42,'Sales Daily KPIs'!$A:$A,"&lt;="&amp;$B42),""))</f>
        <v/>
      </c>
      <c r="L42" s="19" t="str">
        <f aca="false">IF(A42="","",SUMIFS('Sales Daily KPIs'!$I:$I,'Sales Daily KPIs'!$B:$B,$C42,'Sales Daily KPIs'!$A:$A,"&gt;="&amp;$A42,'Sales Daily KPIs'!$A:$A,"&lt;="&amp;$B42))</f>
        <v/>
      </c>
      <c r="M42" s="19" t="str">
        <f aca="false">IF(A42="","",Settings!$B$5)</f>
        <v/>
      </c>
      <c r="N42" s="14"/>
    </row>
    <row r="43" customFormat="false" ht="15" hidden="false" customHeight="false" outlineLevel="0" collapsed="false">
      <c r="A43" s="13"/>
      <c r="B43" s="18" t="str">
        <f aca="false">IF(A43="","",A43+6)</f>
        <v/>
      </c>
      <c r="C43" s="14"/>
      <c r="D43" s="19" t="str">
        <f aca="false">IF(A43="","",COUNTIFS('Sales Daily KPIs'!$B:$B,$C43,'Sales Daily KPIs'!$A:$A,"&gt;="&amp;$A43,'Sales Daily KPIs'!$A:$A,"&lt;="&amp;$B43,'Sales Daily KPIs'!$C:$C,"&lt;&gt;"))</f>
        <v/>
      </c>
      <c r="E43" s="19" t="str">
        <f aca="false">IF(A43="","",SUMIFS('Sales Daily KPIs'!$C:$C,'Sales Daily KPIs'!$B:$B,$C43,'Sales Daily KPIs'!$A:$A,"&gt;="&amp;$A43,'Sales Daily KPIs'!$A:$A,"&lt;="&amp;$B43))</f>
        <v/>
      </c>
      <c r="F43" s="19" t="str">
        <f aca="false">IF(A43="","",Settings!$B$2*Settings!$B$6)</f>
        <v/>
      </c>
      <c r="G43" s="19" t="str">
        <f aca="false">IF(A43="","",SUMIFS('Sales Daily KPIs'!$D:$D,'Sales Daily KPIs'!$B:$B,$C43,'Sales Daily KPIs'!$A:$A,"&gt;="&amp;$A43,'Sales Daily KPIs'!$A:$A,"&lt;="&amp;$B43))</f>
        <v/>
      </c>
      <c r="H43" s="19" t="str">
        <f aca="false">IF(A43="","",Settings!$B$3*Settings!$B$6)</f>
        <v/>
      </c>
      <c r="I43" s="19" t="str">
        <f aca="false">IF(A43="","",SUMIFS('Sales Daily KPIs'!$E:$E,'Sales Daily KPIs'!$B:$B,$C43,'Sales Daily KPIs'!$A:$A,"&gt;="&amp;$A43,'Sales Daily KPIs'!$A:$A,"&lt;="&amp;$B43))</f>
        <v/>
      </c>
      <c r="J43" s="19" t="str">
        <f aca="false">IF(A43="","",Settings!$B$4*Settings!$B$6)</f>
        <v/>
      </c>
      <c r="K43" s="16" t="str">
        <f aca="false">IF(A43="","",IFERROR(SUMIFS('Sales Daily KPIs'!$G:$G,'Sales Daily KPIs'!$B:$B,$C43,'Sales Daily KPIs'!$A:$A,"&gt;="&amp;$A43,'Sales Daily KPIs'!$A:$A,"&lt;="&amp;$B43)/SUMIFS('Sales Daily KPIs'!$F:$F,'Sales Daily KPIs'!$B:$B,$C43,'Sales Daily KPIs'!$A:$A,"&gt;="&amp;$A43,'Sales Daily KPIs'!$A:$A,"&lt;="&amp;$B43),""))</f>
        <v/>
      </c>
      <c r="L43" s="19" t="str">
        <f aca="false">IF(A43="","",SUMIFS('Sales Daily KPIs'!$I:$I,'Sales Daily KPIs'!$B:$B,$C43,'Sales Daily KPIs'!$A:$A,"&gt;="&amp;$A43,'Sales Daily KPIs'!$A:$A,"&lt;="&amp;$B43))</f>
        <v/>
      </c>
      <c r="M43" s="19" t="str">
        <f aca="false">IF(A43="","",Settings!$B$5)</f>
        <v/>
      </c>
      <c r="N43" s="14"/>
    </row>
    <row r="44" customFormat="false" ht="15" hidden="false" customHeight="false" outlineLevel="0" collapsed="false">
      <c r="A44" s="13"/>
      <c r="B44" s="18" t="str">
        <f aca="false">IF(A44="","",A44+6)</f>
        <v/>
      </c>
      <c r="C44" s="14"/>
      <c r="D44" s="19" t="str">
        <f aca="false">IF(A44="","",COUNTIFS('Sales Daily KPIs'!$B:$B,$C44,'Sales Daily KPIs'!$A:$A,"&gt;="&amp;$A44,'Sales Daily KPIs'!$A:$A,"&lt;="&amp;$B44,'Sales Daily KPIs'!$C:$C,"&lt;&gt;"))</f>
        <v/>
      </c>
      <c r="E44" s="19" t="str">
        <f aca="false">IF(A44="","",SUMIFS('Sales Daily KPIs'!$C:$C,'Sales Daily KPIs'!$B:$B,$C44,'Sales Daily KPIs'!$A:$A,"&gt;="&amp;$A44,'Sales Daily KPIs'!$A:$A,"&lt;="&amp;$B44))</f>
        <v/>
      </c>
      <c r="F44" s="19" t="str">
        <f aca="false">IF(A44="","",Settings!$B$2*Settings!$B$6)</f>
        <v/>
      </c>
      <c r="G44" s="19" t="str">
        <f aca="false">IF(A44="","",SUMIFS('Sales Daily KPIs'!$D:$D,'Sales Daily KPIs'!$B:$B,$C44,'Sales Daily KPIs'!$A:$A,"&gt;="&amp;$A44,'Sales Daily KPIs'!$A:$A,"&lt;="&amp;$B44))</f>
        <v/>
      </c>
      <c r="H44" s="19" t="str">
        <f aca="false">IF(A44="","",Settings!$B$3*Settings!$B$6)</f>
        <v/>
      </c>
      <c r="I44" s="19" t="str">
        <f aca="false">IF(A44="","",SUMIFS('Sales Daily KPIs'!$E:$E,'Sales Daily KPIs'!$B:$B,$C44,'Sales Daily KPIs'!$A:$A,"&gt;="&amp;$A44,'Sales Daily KPIs'!$A:$A,"&lt;="&amp;$B44))</f>
        <v/>
      </c>
      <c r="J44" s="19" t="str">
        <f aca="false">IF(A44="","",Settings!$B$4*Settings!$B$6)</f>
        <v/>
      </c>
      <c r="K44" s="16" t="str">
        <f aca="false">IF(A44="","",IFERROR(SUMIFS('Sales Daily KPIs'!$G:$G,'Sales Daily KPIs'!$B:$B,$C44,'Sales Daily KPIs'!$A:$A,"&gt;="&amp;$A44,'Sales Daily KPIs'!$A:$A,"&lt;="&amp;$B44)/SUMIFS('Sales Daily KPIs'!$F:$F,'Sales Daily KPIs'!$B:$B,$C44,'Sales Daily KPIs'!$A:$A,"&gt;="&amp;$A44,'Sales Daily KPIs'!$A:$A,"&lt;="&amp;$B44),""))</f>
        <v/>
      </c>
      <c r="L44" s="19" t="str">
        <f aca="false">IF(A44="","",SUMIFS('Sales Daily KPIs'!$I:$I,'Sales Daily KPIs'!$B:$B,$C44,'Sales Daily KPIs'!$A:$A,"&gt;="&amp;$A44,'Sales Daily KPIs'!$A:$A,"&lt;="&amp;$B44))</f>
        <v/>
      </c>
      <c r="M44" s="19" t="str">
        <f aca="false">IF(A44="","",Settings!$B$5)</f>
        <v/>
      </c>
      <c r="N44" s="14"/>
    </row>
    <row r="45" customFormat="false" ht="15" hidden="false" customHeight="false" outlineLevel="0" collapsed="false">
      <c r="A45" s="13"/>
      <c r="B45" s="18" t="str">
        <f aca="false">IF(A45="","",A45+6)</f>
        <v/>
      </c>
      <c r="C45" s="14"/>
      <c r="D45" s="19" t="str">
        <f aca="false">IF(A45="","",COUNTIFS('Sales Daily KPIs'!$B:$B,$C45,'Sales Daily KPIs'!$A:$A,"&gt;="&amp;$A45,'Sales Daily KPIs'!$A:$A,"&lt;="&amp;$B45,'Sales Daily KPIs'!$C:$C,"&lt;&gt;"))</f>
        <v/>
      </c>
      <c r="E45" s="19" t="str">
        <f aca="false">IF(A45="","",SUMIFS('Sales Daily KPIs'!$C:$C,'Sales Daily KPIs'!$B:$B,$C45,'Sales Daily KPIs'!$A:$A,"&gt;="&amp;$A45,'Sales Daily KPIs'!$A:$A,"&lt;="&amp;$B45))</f>
        <v/>
      </c>
      <c r="F45" s="19" t="str">
        <f aca="false">IF(A45="","",Settings!$B$2*Settings!$B$6)</f>
        <v/>
      </c>
      <c r="G45" s="19" t="str">
        <f aca="false">IF(A45="","",SUMIFS('Sales Daily KPIs'!$D:$D,'Sales Daily KPIs'!$B:$B,$C45,'Sales Daily KPIs'!$A:$A,"&gt;="&amp;$A45,'Sales Daily KPIs'!$A:$A,"&lt;="&amp;$B45))</f>
        <v/>
      </c>
      <c r="H45" s="19" t="str">
        <f aca="false">IF(A45="","",Settings!$B$3*Settings!$B$6)</f>
        <v/>
      </c>
      <c r="I45" s="19" t="str">
        <f aca="false">IF(A45="","",SUMIFS('Sales Daily KPIs'!$E:$E,'Sales Daily KPIs'!$B:$B,$C45,'Sales Daily KPIs'!$A:$A,"&gt;="&amp;$A45,'Sales Daily KPIs'!$A:$A,"&lt;="&amp;$B45))</f>
        <v/>
      </c>
      <c r="J45" s="19" t="str">
        <f aca="false">IF(A45="","",Settings!$B$4*Settings!$B$6)</f>
        <v/>
      </c>
      <c r="K45" s="16" t="str">
        <f aca="false">IF(A45="","",IFERROR(SUMIFS('Sales Daily KPIs'!$G:$G,'Sales Daily KPIs'!$B:$B,$C45,'Sales Daily KPIs'!$A:$A,"&gt;="&amp;$A45,'Sales Daily KPIs'!$A:$A,"&lt;="&amp;$B45)/SUMIFS('Sales Daily KPIs'!$F:$F,'Sales Daily KPIs'!$B:$B,$C45,'Sales Daily KPIs'!$A:$A,"&gt;="&amp;$A45,'Sales Daily KPIs'!$A:$A,"&lt;="&amp;$B45),""))</f>
        <v/>
      </c>
      <c r="L45" s="19" t="str">
        <f aca="false">IF(A45="","",SUMIFS('Sales Daily KPIs'!$I:$I,'Sales Daily KPIs'!$B:$B,$C45,'Sales Daily KPIs'!$A:$A,"&gt;="&amp;$A45,'Sales Daily KPIs'!$A:$A,"&lt;="&amp;$B45))</f>
        <v/>
      </c>
      <c r="M45" s="19" t="str">
        <f aca="false">IF(A45="","",Settings!$B$5)</f>
        <v/>
      </c>
      <c r="N45" s="14"/>
    </row>
    <row r="46" customFormat="false" ht="15" hidden="false" customHeight="false" outlineLevel="0" collapsed="false">
      <c r="A46" s="13"/>
      <c r="B46" s="18" t="str">
        <f aca="false">IF(A46="","",A46+6)</f>
        <v/>
      </c>
      <c r="C46" s="14"/>
      <c r="D46" s="19" t="str">
        <f aca="false">IF(A46="","",COUNTIFS('Sales Daily KPIs'!$B:$B,$C46,'Sales Daily KPIs'!$A:$A,"&gt;="&amp;$A46,'Sales Daily KPIs'!$A:$A,"&lt;="&amp;$B46,'Sales Daily KPIs'!$C:$C,"&lt;&gt;"))</f>
        <v/>
      </c>
      <c r="E46" s="19" t="str">
        <f aca="false">IF(A46="","",SUMIFS('Sales Daily KPIs'!$C:$C,'Sales Daily KPIs'!$B:$B,$C46,'Sales Daily KPIs'!$A:$A,"&gt;="&amp;$A46,'Sales Daily KPIs'!$A:$A,"&lt;="&amp;$B46))</f>
        <v/>
      </c>
      <c r="F46" s="19" t="str">
        <f aca="false">IF(A46="","",Settings!$B$2*Settings!$B$6)</f>
        <v/>
      </c>
      <c r="G46" s="19" t="str">
        <f aca="false">IF(A46="","",SUMIFS('Sales Daily KPIs'!$D:$D,'Sales Daily KPIs'!$B:$B,$C46,'Sales Daily KPIs'!$A:$A,"&gt;="&amp;$A46,'Sales Daily KPIs'!$A:$A,"&lt;="&amp;$B46))</f>
        <v/>
      </c>
      <c r="H46" s="19" t="str">
        <f aca="false">IF(A46="","",Settings!$B$3*Settings!$B$6)</f>
        <v/>
      </c>
      <c r="I46" s="19" t="str">
        <f aca="false">IF(A46="","",SUMIFS('Sales Daily KPIs'!$E:$E,'Sales Daily KPIs'!$B:$B,$C46,'Sales Daily KPIs'!$A:$A,"&gt;="&amp;$A46,'Sales Daily KPIs'!$A:$A,"&lt;="&amp;$B46))</f>
        <v/>
      </c>
      <c r="J46" s="19" t="str">
        <f aca="false">IF(A46="","",Settings!$B$4*Settings!$B$6)</f>
        <v/>
      </c>
      <c r="K46" s="16" t="str">
        <f aca="false">IF(A46="","",IFERROR(SUMIFS('Sales Daily KPIs'!$G:$G,'Sales Daily KPIs'!$B:$B,$C46,'Sales Daily KPIs'!$A:$A,"&gt;="&amp;$A46,'Sales Daily KPIs'!$A:$A,"&lt;="&amp;$B46)/SUMIFS('Sales Daily KPIs'!$F:$F,'Sales Daily KPIs'!$B:$B,$C46,'Sales Daily KPIs'!$A:$A,"&gt;="&amp;$A46,'Sales Daily KPIs'!$A:$A,"&lt;="&amp;$B46),""))</f>
        <v/>
      </c>
      <c r="L46" s="19" t="str">
        <f aca="false">IF(A46="","",SUMIFS('Sales Daily KPIs'!$I:$I,'Sales Daily KPIs'!$B:$B,$C46,'Sales Daily KPIs'!$A:$A,"&gt;="&amp;$A46,'Sales Daily KPIs'!$A:$A,"&lt;="&amp;$B46))</f>
        <v/>
      </c>
      <c r="M46" s="19" t="str">
        <f aca="false">IF(A46="","",Settings!$B$5)</f>
        <v/>
      </c>
      <c r="N46" s="14"/>
    </row>
    <row r="47" customFormat="false" ht="15" hidden="false" customHeight="false" outlineLevel="0" collapsed="false">
      <c r="A47" s="13"/>
      <c r="B47" s="18" t="str">
        <f aca="false">IF(A47="","",A47+6)</f>
        <v/>
      </c>
      <c r="C47" s="14"/>
      <c r="D47" s="19" t="str">
        <f aca="false">IF(A47="","",COUNTIFS('Sales Daily KPIs'!$B:$B,$C47,'Sales Daily KPIs'!$A:$A,"&gt;="&amp;$A47,'Sales Daily KPIs'!$A:$A,"&lt;="&amp;$B47,'Sales Daily KPIs'!$C:$C,"&lt;&gt;"))</f>
        <v/>
      </c>
      <c r="E47" s="19" t="str">
        <f aca="false">IF(A47="","",SUMIFS('Sales Daily KPIs'!$C:$C,'Sales Daily KPIs'!$B:$B,$C47,'Sales Daily KPIs'!$A:$A,"&gt;="&amp;$A47,'Sales Daily KPIs'!$A:$A,"&lt;="&amp;$B47))</f>
        <v/>
      </c>
      <c r="F47" s="19" t="str">
        <f aca="false">IF(A47="","",Settings!$B$2*Settings!$B$6)</f>
        <v/>
      </c>
      <c r="G47" s="19" t="str">
        <f aca="false">IF(A47="","",SUMIFS('Sales Daily KPIs'!$D:$D,'Sales Daily KPIs'!$B:$B,$C47,'Sales Daily KPIs'!$A:$A,"&gt;="&amp;$A47,'Sales Daily KPIs'!$A:$A,"&lt;="&amp;$B47))</f>
        <v/>
      </c>
      <c r="H47" s="19" t="str">
        <f aca="false">IF(A47="","",Settings!$B$3*Settings!$B$6)</f>
        <v/>
      </c>
      <c r="I47" s="19" t="str">
        <f aca="false">IF(A47="","",SUMIFS('Sales Daily KPIs'!$E:$E,'Sales Daily KPIs'!$B:$B,$C47,'Sales Daily KPIs'!$A:$A,"&gt;="&amp;$A47,'Sales Daily KPIs'!$A:$A,"&lt;="&amp;$B47))</f>
        <v/>
      </c>
      <c r="J47" s="19" t="str">
        <f aca="false">IF(A47="","",Settings!$B$4*Settings!$B$6)</f>
        <v/>
      </c>
      <c r="K47" s="16" t="str">
        <f aca="false">IF(A47="","",IFERROR(SUMIFS('Sales Daily KPIs'!$G:$G,'Sales Daily KPIs'!$B:$B,$C47,'Sales Daily KPIs'!$A:$A,"&gt;="&amp;$A47,'Sales Daily KPIs'!$A:$A,"&lt;="&amp;$B47)/SUMIFS('Sales Daily KPIs'!$F:$F,'Sales Daily KPIs'!$B:$B,$C47,'Sales Daily KPIs'!$A:$A,"&gt;="&amp;$A47,'Sales Daily KPIs'!$A:$A,"&lt;="&amp;$B47),""))</f>
        <v/>
      </c>
      <c r="L47" s="19" t="str">
        <f aca="false">IF(A47="","",SUMIFS('Sales Daily KPIs'!$I:$I,'Sales Daily KPIs'!$B:$B,$C47,'Sales Daily KPIs'!$A:$A,"&gt;="&amp;$A47,'Sales Daily KPIs'!$A:$A,"&lt;="&amp;$B47))</f>
        <v/>
      </c>
      <c r="M47" s="19" t="str">
        <f aca="false">IF(A47="","",Settings!$B$5)</f>
        <v/>
      </c>
      <c r="N47" s="14"/>
    </row>
    <row r="48" customFormat="false" ht="15" hidden="false" customHeight="false" outlineLevel="0" collapsed="false">
      <c r="A48" s="13"/>
      <c r="B48" s="18" t="str">
        <f aca="false">IF(A48="","",A48+6)</f>
        <v/>
      </c>
      <c r="C48" s="14"/>
      <c r="D48" s="19" t="str">
        <f aca="false">IF(A48="","",COUNTIFS('Sales Daily KPIs'!$B:$B,$C48,'Sales Daily KPIs'!$A:$A,"&gt;="&amp;$A48,'Sales Daily KPIs'!$A:$A,"&lt;="&amp;$B48,'Sales Daily KPIs'!$C:$C,"&lt;&gt;"))</f>
        <v/>
      </c>
      <c r="E48" s="19" t="str">
        <f aca="false">IF(A48="","",SUMIFS('Sales Daily KPIs'!$C:$C,'Sales Daily KPIs'!$B:$B,$C48,'Sales Daily KPIs'!$A:$A,"&gt;="&amp;$A48,'Sales Daily KPIs'!$A:$A,"&lt;="&amp;$B48))</f>
        <v/>
      </c>
      <c r="F48" s="19" t="str">
        <f aca="false">IF(A48="","",Settings!$B$2*Settings!$B$6)</f>
        <v/>
      </c>
      <c r="G48" s="19" t="str">
        <f aca="false">IF(A48="","",SUMIFS('Sales Daily KPIs'!$D:$D,'Sales Daily KPIs'!$B:$B,$C48,'Sales Daily KPIs'!$A:$A,"&gt;="&amp;$A48,'Sales Daily KPIs'!$A:$A,"&lt;="&amp;$B48))</f>
        <v/>
      </c>
      <c r="H48" s="19" t="str">
        <f aca="false">IF(A48="","",Settings!$B$3*Settings!$B$6)</f>
        <v/>
      </c>
      <c r="I48" s="19" t="str">
        <f aca="false">IF(A48="","",SUMIFS('Sales Daily KPIs'!$E:$E,'Sales Daily KPIs'!$B:$B,$C48,'Sales Daily KPIs'!$A:$A,"&gt;="&amp;$A48,'Sales Daily KPIs'!$A:$A,"&lt;="&amp;$B48))</f>
        <v/>
      </c>
      <c r="J48" s="19" t="str">
        <f aca="false">IF(A48="","",Settings!$B$4*Settings!$B$6)</f>
        <v/>
      </c>
      <c r="K48" s="16" t="str">
        <f aca="false">IF(A48="","",IFERROR(SUMIFS('Sales Daily KPIs'!$G:$G,'Sales Daily KPIs'!$B:$B,$C48,'Sales Daily KPIs'!$A:$A,"&gt;="&amp;$A48,'Sales Daily KPIs'!$A:$A,"&lt;="&amp;$B48)/SUMIFS('Sales Daily KPIs'!$F:$F,'Sales Daily KPIs'!$B:$B,$C48,'Sales Daily KPIs'!$A:$A,"&gt;="&amp;$A48,'Sales Daily KPIs'!$A:$A,"&lt;="&amp;$B48),""))</f>
        <v/>
      </c>
      <c r="L48" s="19" t="str">
        <f aca="false">IF(A48="","",SUMIFS('Sales Daily KPIs'!$I:$I,'Sales Daily KPIs'!$B:$B,$C48,'Sales Daily KPIs'!$A:$A,"&gt;="&amp;$A48,'Sales Daily KPIs'!$A:$A,"&lt;="&amp;$B48))</f>
        <v/>
      </c>
      <c r="M48" s="19" t="str">
        <f aca="false">IF(A48="","",Settings!$B$5)</f>
        <v/>
      </c>
      <c r="N48" s="14"/>
    </row>
    <row r="49" customFormat="false" ht="15" hidden="false" customHeight="false" outlineLevel="0" collapsed="false">
      <c r="A49" s="13"/>
      <c r="B49" s="18" t="str">
        <f aca="false">IF(A49="","",A49+6)</f>
        <v/>
      </c>
      <c r="C49" s="14"/>
      <c r="D49" s="19" t="str">
        <f aca="false">IF(A49="","",COUNTIFS('Sales Daily KPIs'!$B:$B,$C49,'Sales Daily KPIs'!$A:$A,"&gt;="&amp;$A49,'Sales Daily KPIs'!$A:$A,"&lt;="&amp;$B49,'Sales Daily KPIs'!$C:$C,"&lt;&gt;"))</f>
        <v/>
      </c>
      <c r="E49" s="19" t="str">
        <f aca="false">IF(A49="","",SUMIFS('Sales Daily KPIs'!$C:$C,'Sales Daily KPIs'!$B:$B,$C49,'Sales Daily KPIs'!$A:$A,"&gt;="&amp;$A49,'Sales Daily KPIs'!$A:$A,"&lt;="&amp;$B49))</f>
        <v/>
      </c>
      <c r="F49" s="19" t="str">
        <f aca="false">IF(A49="","",Settings!$B$2*Settings!$B$6)</f>
        <v/>
      </c>
      <c r="G49" s="19" t="str">
        <f aca="false">IF(A49="","",SUMIFS('Sales Daily KPIs'!$D:$D,'Sales Daily KPIs'!$B:$B,$C49,'Sales Daily KPIs'!$A:$A,"&gt;="&amp;$A49,'Sales Daily KPIs'!$A:$A,"&lt;="&amp;$B49))</f>
        <v/>
      </c>
      <c r="H49" s="19" t="str">
        <f aca="false">IF(A49="","",Settings!$B$3*Settings!$B$6)</f>
        <v/>
      </c>
      <c r="I49" s="19" t="str">
        <f aca="false">IF(A49="","",SUMIFS('Sales Daily KPIs'!$E:$E,'Sales Daily KPIs'!$B:$B,$C49,'Sales Daily KPIs'!$A:$A,"&gt;="&amp;$A49,'Sales Daily KPIs'!$A:$A,"&lt;="&amp;$B49))</f>
        <v/>
      </c>
      <c r="J49" s="19" t="str">
        <f aca="false">IF(A49="","",Settings!$B$4*Settings!$B$6)</f>
        <v/>
      </c>
      <c r="K49" s="16" t="str">
        <f aca="false">IF(A49="","",IFERROR(SUMIFS('Sales Daily KPIs'!$G:$G,'Sales Daily KPIs'!$B:$B,$C49,'Sales Daily KPIs'!$A:$A,"&gt;="&amp;$A49,'Sales Daily KPIs'!$A:$A,"&lt;="&amp;$B49)/SUMIFS('Sales Daily KPIs'!$F:$F,'Sales Daily KPIs'!$B:$B,$C49,'Sales Daily KPIs'!$A:$A,"&gt;="&amp;$A49,'Sales Daily KPIs'!$A:$A,"&lt;="&amp;$B49),""))</f>
        <v/>
      </c>
      <c r="L49" s="19" t="str">
        <f aca="false">IF(A49="","",SUMIFS('Sales Daily KPIs'!$I:$I,'Sales Daily KPIs'!$B:$B,$C49,'Sales Daily KPIs'!$A:$A,"&gt;="&amp;$A49,'Sales Daily KPIs'!$A:$A,"&lt;="&amp;$B49))</f>
        <v/>
      </c>
      <c r="M49" s="19" t="str">
        <f aca="false">IF(A49="","",Settings!$B$5)</f>
        <v/>
      </c>
      <c r="N49" s="14"/>
    </row>
    <row r="50" customFormat="false" ht="15" hidden="false" customHeight="false" outlineLevel="0" collapsed="false">
      <c r="A50" s="13"/>
      <c r="B50" s="18" t="str">
        <f aca="false">IF(A50="","",A50+6)</f>
        <v/>
      </c>
      <c r="C50" s="14"/>
      <c r="D50" s="19" t="str">
        <f aca="false">IF(A50="","",COUNTIFS('Sales Daily KPIs'!$B:$B,$C50,'Sales Daily KPIs'!$A:$A,"&gt;="&amp;$A50,'Sales Daily KPIs'!$A:$A,"&lt;="&amp;$B50,'Sales Daily KPIs'!$C:$C,"&lt;&gt;"))</f>
        <v/>
      </c>
      <c r="E50" s="19" t="str">
        <f aca="false">IF(A50="","",SUMIFS('Sales Daily KPIs'!$C:$C,'Sales Daily KPIs'!$B:$B,$C50,'Sales Daily KPIs'!$A:$A,"&gt;="&amp;$A50,'Sales Daily KPIs'!$A:$A,"&lt;="&amp;$B50))</f>
        <v/>
      </c>
      <c r="F50" s="19" t="str">
        <f aca="false">IF(A50="","",Settings!$B$2*Settings!$B$6)</f>
        <v/>
      </c>
      <c r="G50" s="19" t="str">
        <f aca="false">IF(A50="","",SUMIFS('Sales Daily KPIs'!$D:$D,'Sales Daily KPIs'!$B:$B,$C50,'Sales Daily KPIs'!$A:$A,"&gt;="&amp;$A50,'Sales Daily KPIs'!$A:$A,"&lt;="&amp;$B50))</f>
        <v/>
      </c>
      <c r="H50" s="19" t="str">
        <f aca="false">IF(A50="","",Settings!$B$3*Settings!$B$6)</f>
        <v/>
      </c>
      <c r="I50" s="19" t="str">
        <f aca="false">IF(A50="","",SUMIFS('Sales Daily KPIs'!$E:$E,'Sales Daily KPIs'!$B:$B,$C50,'Sales Daily KPIs'!$A:$A,"&gt;="&amp;$A50,'Sales Daily KPIs'!$A:$A,"&lt;="&amp;$B50))</f>
        <v/>
      </c>
      <c r="J50" s="19" t="str">
        <f aca="false">IF(A50="","",Settings!$B$4*Settings!$B$6)</f>
        <v/>
      </c>
      <c r="K50" s="16" t="str">
        <f aca="false">IF(A50="","",IFERROR(SUMIFS('Sales Daily KPIs'!$G:$G,'Sales Daily KPIs'!$B:$B,$C50,'Sales Daily KPIs'!$A:$A,"&gt;="&amp;$A50,'Sales Daily KPIs'!$A:$A,"&lt;="&amp;$B50)/SUMIFS('Sales Daily KPIs'!$F:$F,'Sales Daily KPIs'!$B:$B,$C50,'Sales Daily KPIs'!$A:$A,"&gt;="&amp;$A50,'Sales Daily KPIs'!$A:$A,"&lt;="&amp;$B50),""))</f>
        <v/>
      </c>
      <c r="L50" s="19" t="str">
        <f aca="false">IF(A50="","",SUMIFS('Sales Daily KPIs'!$I:$I,'Sales Daily KPIs'!$B:$B,$C50,'Sales Daily KPIs'!$A:$A,"&gt;="&amp;$A50,'Sales Daily KPIs'!$A:$A,"&lt;="&amp;$B50))</f>
        <v/>
      </c>
      <c r="M50" s="19" t="str">
        <f aca="false">IF(A50="","",Settings!$B$5)</f>
        <v/>
      </c>
      <c r="N50" s="14"/>
    </row>
    <row r="51" customFormat="false" ht="15" hidden="false" customHeight="false" outlineLevel="0" collapsed="false">
      <c r="A51" s="13"/>
      <c r="B51" s="18" t="str">
        <f aca="false">IF(A51="","",A51+6)</f>
        <v/>
      </c>
      <c r="C51" s="14"/>
      <c r="D51" s="19" t="str">
        <f aca="false">IF(A51="","",COUNTIFS('Sales Daily KPIs'!$B:$B,$C51,'Sales Daily KPIs'!$A:$A,"&gt;="&amp;$A51,'Sales Daily KPIs'!$A:$A,"&lt;="&amp;$B51,'Sales Daily KPIs'!$C:$C,"&lt;&gt;"))</f>
        <v/>
      </c>
      <c r="E51" s="19" t="str">
        <f aca="false">IF(A51="","",SUMIFS('Sales Daily KPIs'!$C:$C,'Sales Daily KPIs'!$B:$B,$C51,'Sales Daily KPIs'!$A:$A,"&gt;="&amp;$A51,'Sales Daily KPIs'!$A:$A,"&lt;="&amp;$B51))</f>
        <v/>
      </c>
      <c r="F51" s="19" t="str">
        <f aca="false">IF(A51="","",Settings!$B$2*Settings!$B$6)</f>
        <v/>
      </c>
      <c r="G51" s="19" t="str">
        <f aca="false">IF(A51="","",SUMIFS('Sales Daily KPIs'!$D:$D,'Sales Daily KPIs'!$B:$B,$C51,'Sales Daily KPIs'!$A:$A,"&gt;="&amp;$A51,'Sales Daily KPIs'!$A:$A,"&lt;="&amp;$B51))</f>
        <v/>
      </c>
      <c r="H51" s="19" t="str">
        <f aca="false">IF(A51="","",Settings!$B$3*Settings!$B$6)</f>
        <v/>
      </c>
      <c r="I51" s="19" t="str">
        <f aca="false">IF(A51="","",SUMIFS('Sales Daily KPIs'!$E:$E,'Sales Daily KPIs'!$B:$B,$C51,'Sales Daily KPIs'!$A:$A,"&gt;="&amp;$A51,'Sales Daily KPIs'!$A:$A,"&lt;="&amp;$B51))</f>
        <v/>
      </c>
      <c r="J51" s="19" t="str">
        <f aca="false">IF(A51="","",Settings!$B$4*Settings!$B$6)</f>
        <v/>
      </c>
      <c r="K51" s="16" t="str">
        <f aca="false">IF(A51="","",IFERROR(SUMIFS('Sales Daily KPIs'!$G:$G,'Sales Daily KPIs'!$B:$B,$C51,'Sales Daily KPIs'!$A:$A,"&gt;="&amp;$A51,'Sales Daily KPIs'!$A:$A,"&lt;="&amp;$B51)/SUMIFS('Sales Daily KPIs'!$F:$F,'Sales Daily KPIs'!$B:$B,$C51,'Sales Daily KPIs'!$A:$A,"&gt;="&amp;$A51,'Sales Daily KPIs'!$A:$A,"&lt;="&amp;$B51),""))</f>
        <v/>
      </c>
      <c r="L51" s="19" t="str">
        <f aca="false">IF(A51="","",SUMIFS('Sales Daily KPIs'!$I:$I,'Sales Daily KPIs'!$B:$B,$C51,'Sales Daily KPIs'!$A:$A,"&gt;="&amp;$A51,'Sales Daily KPIs'!$A:$A,"&lt;="&amp;$B51))</f>
        <v/>
      </c>
      <c r="M51" s="19" t="str">
        <f aca="false">IF(A51="","",Settings!$B$5)</f>
        <v/>
      </c>
      <c r="N51" s="14"/>
    </row>
    <row r="52" customFormat="false" ht="15" hidden="false" customHeight="false" outlineLevel="0" collapsed="false">
      <c r="A52" s="13"/>
      <c r="B52" s="18" t="str">
        <f aca="false">IF(A52="","",A52+6)</f>
        <v/>
      </c>
      <c r="C52" s="14"/>
      <c r="D52" s="19" t="str">
        <f aca="false">IF(A52="","",COUNTIFS('Sales Daily KPIs'!$B:$B,$C52,'Sales Daily KPIs'!$A:$A,"&gt;="&amp;$A52,'Sales Daily KPIs'!$A:$A,"&lt;="&amp;$B52,'Sales Daily KPIs'!$C:$C,"&lt;&gt;"))</f>
        <v/>
      </c>
      <c r="E52" s="19" t="str">
        <f aca="false">IF(A52="","",SUMIFS('Sales Daily KPIs'!$C:$C,'Sales Daily KPIs'!$B:$B,$C52,'Sales Daily KPIs'!$A:$A,"&gt;="&amp;$A52,'Sales Daily KPIs'!$A:$A,"&lt;="&amp;$B52))</f>
        <v/>
      </c>
      <c r="F52" s="19" t="str">
        <f aca="false">IF(A52="","",Settings!$B$2*Settings!$B$6)</f>
        <v/>
      </c>
      <c r="G52" s="19" t="str">
        <f aca="false">IF(A52="","",SUMIFS('Sales Daily KPIs'!$D:$D,'Sales Daily KPIs'!$B:$B,$C52,'Sales Daily KPIs'!$A:$A,"&gt;="&amp;$A52,'Sales Daily KPIs'!$A:$A,"&lt;="&amp;$B52))</f>
        <v/>
      </c>
      <c r="H52" s="19" t="str">
        <f aca="false">IF(A52="","",Settings!$B$3*Settings!$B$6)</f>
        <v/>
      </c>
      <c r="I52" s="19" t="str">
        <f aca="false">IF(A52="","",SUMIFS('Sales Daily KPIs'!$E:$E,'Sales Daily KPIs'!$B:$B,$C52,'Sales Daily KPIs'!$A:$A,"&gt;="&amp;$A52,'Sales Daily KPIs'!$A:$A,"&lt;="&amp;$B52))</f>
        <v/>
      </c>
      <c r="J52" s="19" t="str">
        <f aca="false">IF(A52="","",Settings!$B$4*Settings!$B$6)</f>
        <v/>
      </c>
      <c r="K52" s="16" t="str">
        <f aca="false">IF(A52="","",IFERROR(SUMIFS('Sales Daily KPIs'!$G:$G,'Sales Daily KPIs'!$B:$B,$C52,'Sales Daily KPIs'!$A:$A,"&gt;="&amp;$A52,'Sales Daily KPIs'!$A:$A,"&lt;="&amp;$B52)/SUMIFS('Sales Daily KPIs'!$F:$F,'Sales Daily KPIs'!$B:$B,$C52,'Sales Daily KPIs'!$A:$A,"&gt;="&amp;$A52,'Sales Daily KPIs'!$A:$A,"&lt;="&amp;$B52),""))</f>
        <v/>
      </c>
      <c r="L52" s="19" t="str">
        <f aca="false">IF(A52="","",SUMIFS('Sales Daily KPIs'!$I:$I,'Sales Daily KPIs'!$B:$B,$C52,'Sales Daily KPIs'!$A:$A,"&gt;="&amp;$A52,'Sales Daily KPIs'!$A:$A,"&lt;="&amp;$B52))</f>
        <v/>
      </c>
      <c r="M52" s="19" t="str">
        <f aca="false">IF(A52="","",Settings!$B$5)</f>
        <v/>
      </c>
      <c r="N52" s="14"/>
    </row>
    <row r="53" customFormat="false" ht="15" hidden="false" customHeight="false" outlineLevel="0" collapsed="false">
      <c r="A53" s="13"/>
      <c r="B53" s="18" t="str">
        <f aca="false">IF(A53="","",A53+6)</f>
        <v/>
      </c>
      <c r="C53" s="14"/>
      <c r="D53" s="19" t="str">
        <f aca="false">IF(A53="","",COUNTIFS('Sales Daily KPIs'!$B:$B,$C53,'Sales Daily KPIs'!$A:$A,"&gt;="&amp;$A53,'Sales Daily KPIs'!$A:$A,"&lt;="&amp;$B53,'Sales Daily KPIs'!$C:$C,"&lt;&gt;"))</f>
        <v/>
      </c>
      <c r="E53" s="19" t="str">
        <f aca="false">IF(A53="","",SUMIFS('Sales Daily KPIs'!$C:$C,'Sales Daily KPIs'!$B:$B,$C53,'Sales Daily KPIs'!$A:$A,"&gt;="&amp;$A53,'Sales Daily KPIs'!$A:$A,"&lt;="&amp;$B53))</f>
        <v/>
      </c>
      <c r="F53" s="19" t="str">
        <f aca="false">IF(A53="","",Settings!$B$2*Settings!$B$6)</f>
        <v/>
      </c>
      <c r="G53" s="19" t="str">
        <f aca="false">IF(A53="","",SUMIFS('Sales Daily KPIs'!$D:$D,'Sales Daily KPIs'!$B:$B,$C53,'Sales Daily KPIs'!$A:$A,"&gt;="&amp;$A53,'Sales Daily KPIs'!$A:$A,"&lt;="&amp;$B53))</f>
        <v/>
      </c>
      <c r="H53" s="19" t="str">
        <f aca="false">IF(A53="","",Settings!$B$3*Settings!$B$6)</f>
        <v/>
      </c>
      <c r="I53" s="19" t="str">
        <f aca="false">IF(A53="","",SUMIFS('Sales Daily KPIs'!$E:$E,'Sales Daily KPIs'!$B:$B,$C53,'Sales Daily KPIs'!$A:$A,"&gt;="&amp;$A53,'Sales Daily KPIs'!$A:$A,"&lt;="&amp;$B53))</f>
        <v/>
      </c>
      <c r="J53" s="19" t="str">
        <f aca="false">IF(A53="","",Settings!$B$4*Settings!$B$6)</f>
        <v/>
      </c>
      <c r="K53" s="16" t="str">
        <f aca="false">IF(A53="","",IFERROR(SUMIFS('Sales Daily KPIs'!$G:$G,'Sales Daily KPIs'!$B:$B,$C53,'Sales Daily KPIs'!$A:$A,"&gt;="&amp;$A53,'Sales Daily KPIs'!$A:$A,"&lt;="&amp;$B53)/SUMIFS('Sales Daily KPIs'!$F:$F,'Sales Daily KPIs'!$B:$B,$C53,'Sales Daily KPIs'!$A:$A,"&gt;="&amp;$A53,'Sales Daily KPIs'!$A:$A,"&lt;="&amp;$B53),""))</f>
        <v/>
      </c>
      <c r="L53" s="19" t="str">
        <f aca="false">IF(A53="","",SUMIFS('Sales Daily KPIs'!$I:$I,'Sales Daily KPIs'!$B:$B,$C53,'Sales Daily KPIs'!$A:$A,"&gt;="&amp;$A53,'Sales Daily KPIs'!$A:$A,"&lt;="&amp;$B53))</f>
        <v/>
      </c>
      <c r="M53" s="19" t="str">
        <f aca="false">IF(A53="","",Settings!$B$5)</f>
        <v/>
      </c>
      <c r="N53" s="14"/>
    </row>
    <row r="54" customFormat="false" ht="15" hidden="false" customHeight="false" outlineLevel="0" collapsed="false">
      <c r="A54" s="13"/>
      <c r="B54" s="18" t="str">
        <f aca="false">IF(A54="","",A54+6)</f>
        <v/>
      </c>
      <c r="C54" s="14"/>
      <c r="D54" s="19" t="str">
        <f aca="false">IF(A54="","",COUNTIFS('Sales Daily KPIs'!$B:$B,$C54,'Sales Daily KPIs'!$A:$A,"&gt;="&amp;$A54,'Sales Daily KPIs'!$A:$A,"&lt;="&amp;$B54,'Sales Daily KPIs'!$C:$C,"&lt;&gt;"))</f>
        <v/>
      </c>
      <c r="E54" s="19" t="str">
        <f aca="false">IF(A54="","",SUMIFS('Sales Daily KPIs'!$C:$C,'Sales Daily KPIs'!$B:$B,$C54,'Sales Daily KPIs'!$A:$A,"&gt;="&amp;$A54,'Sales Daily KPIs'!$A:$A,"&lt;="&amp;$B54))</f>
        <v/>
      </c>
      <c r="F54" s="19" t="str">
        <f aca="false">IF(A54="","",Settings!$B$2*Settings!$B$6)</f>
        <v/>
      </c>
      <c r="G54" s="19" t="str">
        <f aca="false">IF(A54="","",SUMIFS('Sales Daily KPIs'!$D:$D,'Sales Daily KPIs'!$B:$B,$C54,'Sales Daily KPIs'!$A:$A,"&gt;="&amp;$A54,'Sales Daily KPIs'!$A:$A,"&lt;="&amp;$B54))</f>
        <v/>
      </c>
      <c r="H54" s="19" t="str">
        <f aca="false">IF(A54="","",Settings!$B$3*Settings!$B$6)</f>
        <v/>
      </c>
      <c r="I54" s="19" t="str">
        <f aca="false">IF(A54="","",SUMIFS('Sales Daily KPIs'!$E:$E,'Sales Daily KPIs'!$B:$B,$C54,'Sales Daily KPIs'!$A:$A,"&gt;="&amp;$A54,'Sales Daily KPIs'!$A:$A,"&lt;="&amp;$B54))</f>
        <v/>
      </c>
      <c r="J54" s="19" t="str">
        <f aca="false">IF(A54="","",Settings!$B$4*Settings!$B$6)</f>
        <v/>
      </c>
      <c r="K54" s="16" t="str">
        <f aca="false">IF(A54="","",IFERROR(SUMIFS('Sales Daily KPIs'!$G:$G,'Sales Daily KPIs'!$B:$B,$C54,'Sales Daily KPIs'!$A:$A,"&gt;="&amp;$A54,'Sales Daily KPIs'!$A:$A,"&lt;="&amp;$B54)/SUMIFS('Sales Daily KPIs'!$F:$F,'Sales Daily KPIs'!$B:$B,$C54,'Sales Daily KPIs'!$A:$A,"&gt;="&amp;$A54,'Sales Daily KPIs'!$A:$A,"&lt;="&amp;$B54),""))</f>
        <v/>
      </c>
      <c r="L54" s="19" t="str">
        <f aca="false">IF(A54="","",SUMIFS('Sales Daily KPIs'!$I:$I,'Sales Daily KPIs'!$B:$B,$C54,'Sales Daily KPIs'!$A:$A,"&gt;="&amp;$A54,'Sales Daily KPIs'!$A:$A,"&lt;="&amp;$B54))</f>
        <v/>
      </c>
      <c r="M54" s="19" t="str">
        <f aca="false">IF(A54="","",Settings!$B$5)</f>
        <v/>
      </c>
      <c r="N54" s="14"/>
    </row>
    <row r="55" customFormat="false" ht="15" hidden="false" customHeight="false" outlineLevel="0" collapsed="false">
      <c r="A55" s="13"/>
      <c r="B55" s="18" t="str">
        <f aca="false">IF(A55="","",A55+6)</f>
        <v/>
      </c>
      <c r="C55" s="14"/>
      <c r="D55" s="19" t="str">
        <f aca="false">IF(A55="","",COUNTIFS('Sales Daily KPIs'!$B:$B,$C55,'Sales Daily KPIs'!$A:$A,"&gt;="&amp;$A55,'Sales Daily KPIs'!$A:$A,"&lt;="&amp;$B55,'Sales Daily KPIs'!$C:$C,"&lt;&gt;"))</f>
        <v/>
      </c>
      <c r="E55" s="19" t="str">
        <f aca="false">IF(A55="","",SUMIFS('Sales Daily KPIs'!$C:$C,'Sales Daily KPIs'!$B:$B,$C55,'Sales Daily KPIs'!$A:$A,"&gt;="&amp;$A55,'Sales Daily KPIs'!$A:$A,"&lt;="&amp;$B55))</f>
        <v/>
      </c>
      <c r="F55" s="19" t="str">
        <f aca="false">IF(A55="","",Settings!$B$2*Settings!$B$6)</f>
        <v/>
      </c>
      <c r="G55" s="19" t="str">
        <f aca="false">IF(A55="","",SUMIFS('Sales Daily KPIs'!$D:$D,'Sales Daily KPIs'!$B:$B,$C55,'Sales Daily KPIs'!$A:$A,"&gt;="&amp;$A55,'Sales Daily KPIs'!$A:$A,"&lt;="&amp;$B55))</f>
        <v/>
      </c>
      <c r="H55" s="19" t="str">
        <f aca="false">IF(A55="","",Settings!$B$3*Settings!$B$6)</f>
        <v/>
      </c>
      <c r="I55" s="19" t="str">
        <f aca="false">IF(A55="","",SUMIFS('Sales Daily KPIs'!$E:$E,'Sales Daily KPIs'!$B:$B,$C55,'Sales Daily KPIs'!$A:$A,"&gt;="&amp;$A55,'Sales Daily KPIs'!$A:$A,"&lt;="&amp;$B55))</f>
        <v/>
      </c>
      <c r="J55" s="19" t="str">
        <f aca="false">IF(A55="","",Settings!$B$4*Settings!$B$6)</f>
        <v/>
      </c>
      <c r="K55" s="16" t="str">
        <f aca="false">IF(A55="","",IFERROR(SUMIFS('Sales Daily KPIs'!$G:$G,'Sales Daily KPIs'!$B:$B,$C55,'Sales Daily KPIs'!$A:$A,"&gt;="&amp;$A55,'Sales Daily KPIs'!$A:$A,"&lt;="&amp;$B55)/SUMIFS('Sales Daily KPIs'!$F:$F,'Sales Daily KPIs'!$B:$B,$C55,'Sales Daily KPIs'!$A:$A,"&gt;="&amp;$A55,'Sales Daily KPIs'!$A:$A,"&lt;="&amp;$B55),""))</f>
        <v/>
      </c>
      <c r="L55" s="19" t="str">
        <f aca="false">IF(A55="","",SUMIFS('Sales Daily KPIs'!$I:$I,'Sales Daily KPIs'!$B:$B,$C55,'Sales Daily KPIs'!$A:$A,"&gt;="&amp;$A55,'Sales Daily KPIs'!$A:$A,"&lt;="&amp;$B55))</f>
        <v/>
      </c>
      <c r="M55" s="19" t="str">
        <f aca="false">IF(A55="","",Settings!$B$5)</f>
        <v/>
      </c>
      <c r="N55" s="14"/>
    </row>
    <row r="56" customFormat="false" ht="15" hidden="false" customHeight="false" outlineLevel="0" collapsed="false">
      <c r="A56" s="13"/>
      <c r="B56" s="18" t="str">
        <f aca="false">IF(A56="","",A56+6)</f>
        <v/>
      </c>
      <c r="C56" s="14"/>
      <c r="D56" s="19" t="str">
        <f aca="false">IF(A56="","",COUNTIFS('Sales Daily KPIs'!$B:$B,$C56,'Sales Daily KPIs'!$A:$A,"&gt;="&amp;$A56,'Sales Daily KPIs'!$A:$A,"&lt;="&amp;$B56,'Sales Daily KPIs'!$C:$C,"&lt;&gt;"))</f>
        <v/>
      </c>
      <c r="E56" s="19" t="str">
        <f aca="false">IF(A56="","",SUMIFS('Sales Daily KPIs'!$C:$C,'Sales Daily KPIs'!$B:$B,$C56,'Sales Daily KPIs'!$A:$A,"&gt;="&amp;$A56,'Sales Daily KPIs'!$A:$A,"&lt;="&amp;$B56))</f>
        <v/>
      </c>
      <c r="F56" s="19" t="str">
        <f aca="false">IF(A56="","",Settings!$B$2*Settings!$B$6)</f>
        <v/>
      </c>
      <c r="G56" s="19" t="str">
        <f aca="false">IF(A56="","",SUMIFS('Sales Daily KPIs'!$D:$D,'Sales Daily KPIs'!$B:$B,$C56,'Sales Daily KPIs'!$A:$A,"&gt;="&amp;$A56,'Sales Daily KPIs'!$A:$A,"&lt;="&amp;$B56))</f>
        <v/>
      </c>
      <c r="H56" s="19" t="str">
        <f aca="false">IF(A56="","",Settings!$B$3*Settings!$B$6)</f>
        <v/>
      </c>
      <c r="I56" s="19" t="str">
        <f aca="false">IF(A56="","",SUMIFS('Sales Daily KPIs'!$E:$E,'Sales Daily KPIs'!$B:$B,$C56,'Sales Daily KPIs'!$A:$A,"&gt;="&amp;$A56,'Sales Daily KPIs'!$A:$A,"&lt;="&amp;$B56))</f>
        <v/>
      </c>
      <c r="J56" s="19" t="str">
        <f aca="false">IF(A56="","",Settings!$B$4*Settings!$B$6)</f>
        <v/>
      </c>
      <c r="K56" s="16" t="str">
        <f aca="false">IF(A56="","",IFERROR(SUMIFS('Sales Daily KPIs'!$G:$G,'Sales Daily KPIs'!$B:$B,$C56,'Sales Daily KPIs'!$A:$A,"&gt;="&amp;$A56,'Sales Daily KPIs'!$A:$A,"&lt;="&amp;$B56)/SUMIFS('Sales Daily KPIs'!$F:$F,'Sales Daily KPIs'!$B:$B,$C56,'Sales Daily KPIs'!$A:$A,"&gt;="&amp;$A56,'Sales Daily KPIs'!$A:$A,"&lt;="&amp;$B56),""))</f>
        <v/>
      </c>
      <c r="L56" s="19" t="str">
        <f aca="false">IF(A56="","",SUMIFS('Sales Daily KPIs'!$I:$I,'Sales Daily KPIs'!$B:$B,$C56,'Sales Daily KPIs'!$A:$A,"&gt;="&amp;$A56,'Sales Daily KPIs'!$A:$A,"&lt;="&amp;$B56))</f>
        <v/>
      </c>
      <c r="M56" s="19" t="str">
        <f aca="false">IF(A56="","",Settings!$B$5)</f>
        <v/>
      </c>
      <c r="N56" s="14"/>
    </row>
    <row r="57" customFormat="false" ht="15" hidden="false" customHeight="false" outlineLevel="0" collapsed="false">
      <c r="A57" s="13"/>
      <c r="B57" s="18" t="str">
        <f aca="false">IF(A57="","",A57+6)</f>
        <v/>
      </c>
      <c r="C57" s="14"/>
      <c r="D57" s="19" t="str">
        <f aca="false">IF(A57="","",COUNTIFS('Sales Daily KPIs'!$B:$B,$C57,'Sales Daily KPIs'!$A:$A,"&gt;="&amp;$A57,'Sales Daily KPIs'!$A:$A,"&lt;="&amp;$B57,'Sales Daily KPIs'!$C:$C,"&lt;&gt;"))</f>
        <v/>
      </c>
      <c r="E57" s="19" t="str">
        <f aca="false">IF(A57="","",SUMIFS('Sales Daily KPIs'!$C:$C,'Sales Daily KPIs'!$B:$B,$C57,'Sales Daily KPIs'!$A:$A,"&gt;="&amp;$A57,'Sales Daily KPIs'!$A:$A,"&lt;="&amp;$B57))</f>
        <v/>
      </c>
      <c r="F57" s="19" t="str">
        <f aca="false">IF(A57="","",Settings!$B$2*Settings!$B$6)</f>
        <v/>
      </c>
      <c r="G57" s="19" t="str">
        <f aca="false">IF(A57="","",SUMIFS('Sales Daily KPIs'!$D:$D,'Sales Daily KPIs'!$B:$B,$C57,'Sales Daily KPIs'!$A:$A,"&gt;="&amp;$A57,'Sales Daily KPIs'!$A:$A,"&lt;="&amp;$B57))</f>
        <v/>
      </c>
      <c r="H57" s="19" t="str">
        <f aca="false">IF(A57="","",Settings!$B$3*Settings!$B$6)</f>
        <v/>
      </c>
      <c r="I57" s="19" t="str">
        <f aca="false">IF(A57="","",SUMIFS('Sales Daily KPIs'!$E:$E,'Sales Daily KPIs'!$B:$B,$C57,'Sales Daily KPIs'!$A:$A,"&gt;="&amp;$A57,'Sales Daily KPIs'!$A:$A,"&lt;="&amp;$B57))</f>
        <v/>
      </c>
      <c r="J57" s="19" t="str">
        <f aca="false">IF(A57="","",Settings!$B$4*Settings!$B$6)</f>
        <v/>
      </c>
      <c r="K57" s="16" t="str">
        <f aca="false">IF(A57="","",IFERROR(SUMIFS('Sales Daily KPIs'!$G:$G,'Sales Daily KPIs'!$B:$B,$C57,'Sales Daily KPIs'!$A:$A,"&gt;="&amp;$A57,'Sales Daily KPIs'!$A:$A,"&lt;="&amp;$B57)/SUMIFS('Sales Daily KPIs'!$F:$F,'Sales Daily KPIs'!$B:$B,$C57,'Sales Daily KPIs'!$A:$A,"&gt;="&amp;$A57,'Sales Daily KPIs'!$A:$A,"&lt;="&amp;$B57),""))</f>
        <v/>
      </c>
      <c r="L57" s="19" t="str">
        <f aca="false">IF(A57="","",SUMIFS('Sales Daily KPIs'!$I:$I,'Sales Daily KPIs'!$B:$B,$C57,'Sales Daily KPIs'!$A:$A,"&gt;="&amp;$A57,'Sales Daily KPIs'!$A:$A,"&lt;="&amp;$B57))</f>
        <v/>
      </c>
      <c r="M57" s="19" t="str">
        <f aca="false">IF(A57="","",Settings!$B$5)</f>
        <v/>
      </c>
      <c r="N57" s="14"/>
    </row>
    <row r="58" customFormat="false" ht="15" hidden="false" customHeight="false" outlineLevel="0" collapsed="false">
      <c r="A58" s="13"/>
      <c r="B58" s="18" t="str">
        <f aca="false">IF(A58="","",A58+6)</f>
        <v/>
      </c>
      <c r="C58" s="14"/>
      <c r="D58" s="19" t="str">
        <f aca="false">IF(A58="","",COUNTIFS('Sales Daily KPIs'!$B:$B,$C58,'Sales Daily KPIs'!$A:$A,"&gt;="&amp;$A58,'Sales Daily KPIs'!$A:$A,"&lt;="&amp;$B58,'Sales Daily KPIs'!$C:$C,"&lt;&gt;"))</f>
        <v/>
      </c>
      <c r="E58" s="19" t="str">
        <f aca="false">IF(A58="","",SUMIFS('Sales Daily KPIs'!$C:$C,'Sales Daily KPIs'!$B:$B,$C58,'Sales Daily KPIs'!$A:$A,"&gt;="&amp;$A58,'Sales Daily KPIs'!$A:$A,"&lt;="&amp;$B58))</f>
        <v/>
      </c>
      <c r="F58" s="19" t="str">
        <f aca="false">IF(A58="","",Settings!$B$2*Settings!$B$6)</f>
        <v/>
      </c>
      <c r="G58" s="19" t="str">
        <f aca="false">IF(A58="","",SUMIFS('Sales Daily KPIs'!$D:$D,'Sales Daily KPIs'!$B:$B,$C58,'Sales Daily KPIs'!$A:$A,"&gt;="&amp;$A58,'Sales Daily KPIs'!$A:$A,"&lt;="&amp;$B58))</f>
        <v/>
      </c>
      <c r="H58" s="19" t="str">
        <f aca="false">IF(A58="","",Settings!$B$3*Settings!$B$6)</f>
        <v/>
      </c>
      <c r="I58" s="19" t="str">
        <f aca="false">IF(A58="","",SUMIFS('Sales Daily KPIs'!$E:$E,'Sales Daily KPIs'!$B:$B,$C58,'Sales Daily KPIs'!$A:$A,"&gt;="&amp;$A58,'Sales Daily KPIs'!$A:$A,"&lt;="&amp;$B58))</f>
        <v/>
      </c>
      <c r="J58" s="19" t="str">
        <f aca="false">IF(A58="","",Settings!$B$4*Settings!$B$6)</f>
        <v/>
      </c>
      <c r="K58" s="16" t="str">
        <f aca="false">IF(A58="","",IFERROR(SUMIFS('Sales Daily KPIs'!$G:$G,'Sales Daily KPIs'!$B:$B,$C58,'Sales Daily KPIs'!$A:$A,"&gt;="&amp;$A58,'Sales Daily KPIs'!$A:$A,"&lt;="&amp;$B58)/SUMIFS('Sales Daily KPIs'!$F:$F,'Sales Daily KPIs'!$B:$B,$C58,'Sales Daily KPIs'!$A:$A,"&gt;="&amp;$A58,'Sales Daily KPIs'!$A:$A,"&lt;="&amp;$B58),""))</f>
        <v/>
      </c>
      <c r="L58" s="19" t="str">
        <f aca="false">IF(A58="","",SUMIFS('Sales Daily KPIs'!$I:$I,'Sales Daily KPIs'!$B:$B,$C58,'Sales Daily KPIs'!$A:$A,"&gt;="&amp;$A58,'Sales Daily KPIs'!$A:$A,"&lt;="&amp;$B58))</f>
        <v/>
      </c>
      <c r="M58" s="19" t="str">
        <f aca="false">IF(A58="","",Settings!$B$5)</f>
        <v/>
      </c>
      <c r="N58" s="14"/>
    </row>
    <row r="59" customFormat="false" ht="15" hidden="false" customHeight="false" outlineLevel="0" collapsed="false">
      <c r="A59" s="13"/>
      <c r="B59" s="18" t="str">
        <f aca="false">IF(A59="","",A59+6)</f>
        <v/>
      </c>
      <c r="C59" s="14"/>
      <c r="D59" s="19" t="str">
        <f aca="false">IF(A59="","",COUNTIFS('Sales Daily KPIs'!$B:$B,$C59,'Sales Daily KPIs'!$A:$A,"&gt;="&amp;$A59,'Sales Daily KPIs'!$A:$A,"&lt;="&amp;$B59,'Sales Daily KPIs'!$C:$C,"&lt;&gt;"))</f>
        <v/>
      </c>
      <c r="E59" s="19" t="str">
        <f aca="false">IF(A59="","",SUMIFS('Sales Daily KPIs'!$C:$C,'Sales Daily KPIs'!$B:$B,$C59,'Sales Daily KPIs'!$A:$A,"&gt;="&amp;$A59,'Sales Daily KPIs'!$A:$A,"&lt;="&amp;$B59))</f>
        <v/>
      </c>
      <c r="F59" s="19" t="str">
        <f aca="false">IF(A59="","",Settings!$B$2*Settings!$B$6)</f>
        <v/>
      </c>
      <c r="G59" s="19" t="str">
        <f aca="false">IF(A59="","",SUMIFS('Sales Daily KPIs'!$D:$D,'Sales Daily KPIs'!$B:$B,$C59,'Sales Daily KPIs'!$A:$A,"&gt;="&amp;$A59,'Sales Daily KPIs'!$A:$A,"&lt;="&amp;$B59))</f>
        <v/>
      </c>
      <c r="H59" s="19" t="str">
        <f aca="false">IF(A59="","",Settings!$B$3*Settings!$B$6)</f>
        <v/>
      </c>
      <c r="I59" s="19" t="str">
        <f aca="false">IF(A59="","",SUMIFS('Sales Daily KPIs'!$E:$E,'Sales Daily KPIs'!$B:$B,$C59,'Sales Daily KPIs'!$A:$A,"&gt;="&amp;$A59,'Sales Daily KPIs'!$A:$A,"&lt;="&amp;$B59))</f>
        <v/>
      </c>
      <c r="J59" s="19" t="str">
        <f aca="false">IF(A59="","",Settings!$B$4*Settings!$B$6)</f>
        <v/>
      </c>
      <c r="K59" s="16" t="str">
        <f aca="false">IF(A59="","",IFERROR(SUMIFS('Sales Daily KPIs'!$G:$G,'Sales Daily KPIs'!$B:$B,$C59,'Sales Daily KPIs'!$A:$A,"&gt;="&amp;$A59,'Sales Daily KPIs'!$A:$A,"&lt;="&amp;$B59)/SUMIFS('Sales Daily KPIs'!$F:$F,'Sales Daily KPIs'!$B:$B,$C59,'Sales Daily KPIs'!$A:$A,"&gt;="&amp;$A59,'Sales Daily KPIs'!$A:$A,"&lt;="&amp;$B59),""))</f>
        <v/>
      </c>
      <c r="L59" s="19" t="str">
        <f aca="false">IF(A59="","",SUMIFS('Sales Daily KPIs'!$I:$I,'Sales Daily KPIs'!$B:$B,$C59,'Sales Daily KPIs'!$A:$A,"&gt;="&amp;$A59,'Sales Daily KPIs'!$A:$A,"&lt;="&amp;$B59))</f>
        <v/>
      </c>
      <c r="M59" s="19" t="str">
        <f aca="false">IF(A59="","",Settings!$B$5)</f>
        <v/>
      </c>
      <c r="N59" s="14"/>
    </row>
    <row r="60" customFormat="false" ht="15" hidden="false" customHeight="false" outlineLevel="0" collapsed="false">
      <c r="A60" s="13"/>
      <c r="B60" s="18" t="str">
        <f aca="false">IF(A60="","",A60+6)</f>
        <v/>
      </c>
      <c r="C60" s="14"/>
      <c r="D60" s="19" t="str">
        <f aca="false">IF(A60="","",COUNTIFS('Sales Daily KPIs'!$B:$B,$C60,'Sales Daily KPIs'!$A:$A,"&gt;="&amp;$A60,'Sales Daily KPIs'!$A:$A,"&lt;="&amp;$B60,'Sales Daily KPIs'!$C:$C,"&lt;&gt;"))</f>
        <v/>
      </c>
      <c r="E60" s="19" t="str">
        <f aca="false">IF(A60="","",SUMIFS('Sales Daily KPIs'!$C:$C,'Sales Daily KPIs'!$B:$B,$C60,'Sales Daily KPIs'!$A:$A,"&gt;="&amp;$A60,'Sales Daily KPIs'!$A:$A,"&lt;="&amp;$B60))</f>
        <v/>
      </c>
      <c r="F60" s="19" t="str">
        <f aca="false">IF(A60="","",Settings!$B$2*Settings!$B$6)</f>
        <v/>
      </c>
      <c r="G60" s="19" t="str">
        <f aca="false">IF(A60="","",SUMIFS('Sales Daily KPIs'!$D:$D,'Sales Daily KPIs'!$B:$B,$C60,'Sales Daily KPIs'!$A:$A,"&gt;="&amp;$A60,'Sales Daily KPIs'!$A:$A,"&lt;="&amp;$B60))</f>
        <v/>
      </c>
      <c r="H60" s="19" t="str">
        <f aca="false">IF(A60="","",Settings!$B$3*Settings!$B$6)</f>
        <v/>
      </c>
      <c r="I60" s="19" t="str">
        <f aca="false">IF(A60="","",SUMIFS('Sales Daily KPIs'!$E:$E,'Sales Daily KPIs'!$B:$B,$C60,'Sales Daily KPIs'!$A:$A,"&gt;="&amp;$A60,'Sales Daily KPIs'!$A:$A,"&lt;="&amp;$B60))</f>
        <v/>
      </c>
      <c r="J60" s="19" t="str">
        <f aca="false">IF(A60="","",Settings!$B$4*Settings!$B$6)</f>
        <v/>
      </c>
      <c r="K60" s="16" t="str">
        <f aca="false">IF(A60="","",IFERROR(SUMIFS('Sales Daily KPIs'!$G:$G,'Sales Daily KPIs'!$B:$B,$C60,'Sales Daily KPIs'!$A:$A,"&gt;="&amp;$A60,'Sales Daily KPIs'!$A:$A,"&lt;="&amp;$B60)/SUMIFS('Sales Daily KPIs'!$F:$F,'Sales Daily KPIs'!$B:$B,$C60,'Sales Daily KPIs'!$A:$A,"&gt;="&amp;$A60,'Sales Daily KPIs'!$A:$A,"&lt;="&amp;$B60),""))</f>
        <v/>
      </c>
      <c r="L60" s="19" t="str">
        <f aca="false">IF(A60="","",SUMIFS('Sales Daily KPIs'!$I:$I,'Sales Daily KPIs'!$B:$B,$C60,'Sales Daily KPIs'!$A:$A,"&gt;="&amp;$A60,'Sales Daily KPIs'!$A:$A,"&lt;="&amp;$B60))</f>
        <v/>
      </c>
      <c r="M60" s="19" t="str">
        <f aca="false">IF(A60="","",Settings!$B$5)</f>
        <v/>
      </c>
      <c r="N60" s="14"/>
    </row>
    <row r="61" customFormat="false" ht="15" hidden="false" customHeight="false" outlineLevel="0" collapsed="false">
      <c r="A61" s="13"/>
      <c r="B61" s="18" t="str">
        <f aca="false">IF(A61="","",A61+6)</f>
        <v/>
      </c>
      <c r="C61" s="14"/>
      <c r="D61" s="19" t="str">
        <f aca="false">IF(A61="","",COUNTIFS('Sales Daily KPIs'!$B:$B,$C61,'Sales Daily KPIs'!$A:$A,"&gt;="&amp;$A61,'Sales Daily KPIs'!$A:$A,"&lt;="&amp;$B61,'Sales Daily KPIs'!$C:$C,"&lt;&gt;"))</f>
        <v/>
      </c>
      <c r="E61" s="19" t="str">
        <f aca="false">IF(A61="","",SUMIFS('Sales Daily KPIs'!$C:$C,'Sales Daily KPIs'!$B:$B,$C61,'Sales Daily KPIs'!$A:$A,"&gt;="&amp;$A61,'Sales Daily KPIs'!$A:$A,"&lt;="&amp;$B61))</f>
        <v/>
      </c>
      <c r="F61" s="19" t="str">
        <f aca="false">IF(A61="","",Settings!$B$2*Settings!$B$6)</f>
        <v/>
      </c>
      <c r="G61" s="19" t="str">
        <f aca="false">IF(A61="","",SUMIFS('Sales Daily KPIs'!$D:$D,'Sales Daily KPIs'!$B:$B,$C61,'Sales Daily KPIs'!$A:$A,"&gt;="&amp;$A61,'Sales Daily KPIs'!$A:$A,"&lt;="&amp;$B61))</f>
        <v/>
      </c>
      <c r="H61" s="19" t="str">
        <f aca="false">IF(A61="","",Settings!$B$3*Settings!$B$6)</f>
        <v/>
      </c>
      <c r="I61" s="19" t="str">
        <f aca="false">IF(A61="","",SUMIFS('Sales Daily KPIs'!$E:$E,'Sales Daily KPIs'!$B:$B,$C61,'Sales Daily KPIs'!$A:$A,"&gt;="&amp;$A61,'Sales Daily KPIs'!$A:$A,"&lt;="&amp;$B61))</f>
        <v/>
      </c>
      <c r="J61" s="19" t="str">
        <f aca="false">IF(A61="","",Settings!$B$4*Settings!$B$6)</f>
        <v/>
      </c>
      <c r="K61" s="16" t="str">
        <f aca="false">IF(A61="","",IFERROR(SUMIFS('Sales Daily KPIs'!$G:$G,'Sales Daily KPIs'!$B:$B,$C61,'Sales Daily KPIs'!$A:$A,"&gt;="&amp;$A61,'Sales Daily KPIs'!$A:$A,"&lt;="&amp;$B61)/SUMIFS('Sales Daily KPIs'!$F:$F,'Sales Daily KPIs'!$B:$B,$C61,'Sales Daily KPIs'!$A:$A,"&gt;="&amp;$A61,'Sales Daily KPIs'!$A:$A,"&lt;="&amp;$B61),""))</f>
        <v/>
      </c>
      <c r="L61" s="19" t="str">
        <f aca="false">IF(A61="","",SUMIFS('Sales Daily KPIs'!$I:$I,'Sales Daily KPIs'!$B:$B,$C61,'Sales Daily KPIs'!$A:$A,"&gt;="&amp;$A61,'Sales Daily KPIs'!$A:$A,"&lt;="&amp;$B61))</f>
        <v/>
      </c>
      <c r="M61" s="19" t="str">
        <f aca="false">IF(A61="","",Settings!$B$5)</f>
        <v/>
      </c>
      <c r="N61" s="14"/>
    </row>
    <row r="62" customFormat="false" ht="15" hidden="false" customHeight="false" outlineLevel="0" collapsed="false">
      <c r="A62" s="13"/>
      <c r="B62" s="18" t="str">
        <f aca="false">IF(A62="","",A62+6)</f>
        <v/>
      </c>
      <c r="C62" s="14"/>
      <c r="D62" s="19" t="str">
        <f aca="false">IF(A62="","",COUNTIFS('Sales Daily KPIs'!$B:$B,$C62,'Sales Daily KPIs'!$A:$A,"&gt;="&amp;$A62,'Sales Daily KPIs'!$A:$A,"&lt;="&amp;$B62,'Sales Daily KPIs'!$C:$C,"&lt;&gt;"))</f>
        <v/>
      </c>
      <c r="E62" s="19" t="str">
        <f aca="false">IF(A62="","",SUMIFS('Sales Daily KPIs'!$C:$C,'Sales Daily KPIs'!$B:$B,$C62,'Sales Daily KPIs'!$A:$A,"&gt;="&amp;$A62,'Sales Daily KPIs'!$A:$A,"&lt;="&amp;$B62))</f>
        <v/>
      </c>
      <c r="F62" s="19" t="str">
        <f aca="false">IF(A62="","",Settings!$B$2*Settings!$B$6)</f>
        <v/>
      </c>
      <c r="G62" s="19" t="str">
        <f aca="false">IF(A62="","",SUMIFS('Sales Daily KPIs'!$D:$D,'Sales Daily KPIs'!$B:$B,$C62,'Sales Daily KPIs'!$A:$A,"&gt;="&amp;$A62,'Sales Daily KPIs'!$A:$A,"&lt;="&amp;$B62))</f>
        <v/>
      </c>
      <c r="H62" s="19" t="str">
        <f aca="false">IF(A62="","",Settings!$B$3*Settings!$B$6)</f>
        <v/>
      </c>
      <c r="I62" s="19" t="str">
        <f aca="false">IF(A62="","",SUMIFS('Sales Daily KPIs'!$E:$E,'Sales Daily KPIs'!$B:$B,$C62,'Sales Daily KPIs'!$A:$A,"&gt;="&amp;$A62,'Sales Daily KPIs'!$A:$A,"&lt;="&amp;$B62))</f>
        <v/>
      </c>
      <c r="J62" s="19" t="str">
        <f aca="false">IF(A62="","",Settings!$B$4*Settings!$B$6)</f>
        <v/>
      </c>
      <c r="K62" s="16" t="str">
        <f aca="false">IF(A62="","",IFERROR(SUMIFS('Sales Daily KPIs'!$G:$G,'Sales Daily KPIs'!$B:$B,$C62,'Sales Daily KPIs'!$A:$A,"&gt;="&amp;$A62,'Sales Daily KPIs'!$A:$A,"&lt;="&amp;$B62)/SUMIFS('Sales Daily KPIs'!$F:$F,'Sales Daily KPIs'!$B:$B,$C62,'Sales Daily KPIs'!$A:$A,"&gt;="&amp;$A62,'Sales Daily KPIs'!$A:$A,"&lt;="&amp;$B62),""))</f>
        <v/>
      </c>
      <c r="L62" s="19" t="str">
        <f aca="false">IF(A62="","",SUMIFS('Sales Daily KPIs'!$I:$I,'Sales Daily KPIs'!$B:$B,$C62,'Sales Daily KPIs'!$A:$A,"&gt;="&amp;$A62,'Sales Daily KPIs'!$A:$A,"&lt;="&amp;$B62))</f>
        <v/>
      </c>
      <c r="M62" s="19" t="str">
        <f aca="false">IF(A62="","",Settings!$B$5)</f>
        <v/>
      </c>
      <c r="N62" s="14"/>
    </row>
    <row r="63" customFormat="false" ht="15" hidden="false" customHeight="false" outlineLevel="0" collapsed="false">
      <c r="A63" s="13"/>
      <c r="B63" s="18" t="str">
        <f aca="false">IF(A63="","",A63+6)</f>
        <v/>
      </c>
      <c r="C63" s="14"/>
      <c r="D63" s="19" t="str">
        <f aca="false">IF(A63="","",COUNTIFS('Sales Daily KPIs'!$B:$B,$C63,'Sales Daily KPIs'!$A:$A,"&gt;="&amp;$A63,'Sales Daily KPIs'!$A:$A,"&lt;="&amp;$B63,'Sales Daily KPIs'!$C:$C,"&lt;&gt;"))</f>
        <v/>
      </c>
      <c r="E63" s="19" t="str">
        <f aca="false">IF(A63="","",SUMIFS('Sales Daily KPIs'!$C:$C,'Sales Daily KPIs'!$B:$B,$C63,'Sales Daily KPIs'!$A:$A,"&gt;="&amp;$A63,'Sales Daily KPIs'!$A:$A,"&lt;="&amp;$B63))</f>
        <v/>
      </c>
      <c r="F63" s="19" t="str">
        <f aca="false">IF(A63="","",Settings!$B$2*Settings!$B$6)</f>
        <v/>
      </c>
      <c r="G63" s="19" t="str">
        <f aca="false">IF(A63="","",SUMIFS('Sales Daily KPIs'!$D:$D,'Sales Daily KPIs'!$B:$B,$C63,'Sales Daily KPIs'!$A:$A,"&gt;="&amp;$A63,'Sales Daily KPIs'!$A:$A,"&lt;="&amp;$B63))</f>
        <v/>
      </c>
      <c r="H63" s="19" t="str">
        <f aca="false">IF(A63="","",Settings!$B$3*Settings!$B$6)</f>
        <v/>
      </c>
      <c r="I63" s="19" t="str">
        <f aca="false">IF(A63="","",SUMIFS('Sales Daily KPIs'!$E:$E,'Sales Daily KPIs'!$B:$B,$C63,'Sales Daily KPIs'!$A:$A,"&gt;="&amp;$A63,'Sales Daily KPIs'!$A:$A,"&lt;="&amp;$B63))</f>
        <v/>
      </c>
      <c r="J63" s="19" t="str">
        <f aca="false">IF(A63="","",Settings!$B$4*Settings!$B$6)</f>
        <v/>
      </c>
      <c r="K63" s="16" t="str">
        <f aca="false">IF(A63="","",IFERROR(SUMIFS('Sales Daily KPIs'!$G:$G,'Sales Daily KPIs'!$B:$B,$C63,'Sales Daily KPIs'!$A:$A,"&gt;="&amp;$A63,'Sales Daily KPIs'!$A:$A,"&lt;="&amp;$B63)/SUMIFS('Sales Daily KPIs'!$F:$F,'Sales Daily KPIs'!$B:$B,$C63,'Sales Daily KPIs'!$A:$A,"&gt;="&amp;$A63,'Sales Daily KPIs'!$A:$A,"&lt;="&amp;$B63),""))</f>
        <v/>
      </c>
      <c r="L63" s="19" t="str">
        <f aca="false">IF(A63="","",SUMIFS('Sales Daily KPIs'!$I:$I,'Sales Daily KPIs'!$B:$B,$C63,'Sales Daily KPIs'!$A:$A,"&gt;="&amp;$A63,'Sales Daily KPIs'!$A:$A,"&lt;="&amp;$B63))</f>
        <v/>
      </c>
      <c r="M63" s="19" t="str">
        <f aca="false">IF(A63="","",Settings!$B$5)</f>
        <v/>
      </c>
      <c r="N63" s="14"/>
    </row>
    <row r="64" customFormat="false" ht="15" hidden="false" customHeight="false" outlineLevel="0" collapsed="false">
      <c r="A64" s="13"/>
      <c r="B64" s="18" t="str">
        <f aca="false">IF(A64="","",A64+6)</f>
        <v/>
      </c>
      <c r="C64" s="14"/>
      <c r="D64" s="19" t="str">
        <f aca="false">IF(A64="","",COUNTIFS('Sales Daily KPIs'!$B:$B,$C64,'Sales Daily KPIs'!$A:$A,"&gt;="&amp;$A64,'Sales Daily KPIs'!$A:$A,"&lt;="&amp;$B64,'Sales Daily KPIs'!$C:$C,"&lt;&gt;"))</f>
        <v/>
      </c>
      <c r="E64" s="19" t="str">
        <f aca="false">IF(A64="","",SUMIFS('Sales Daily KPIs'!$C:$C,'Sales Daily KPIs'!$B:$B,$C64,'Sales Daily KPIs'!$A:$A,"&gt;="&amp;$A64,'Sales Daily KPIs'!$A:$A,"&lt;="&amp;$B64))</f>
        <v/>
      </c>
      <c r="F64" s="19" t="str">
        <f aca="false">IF(A64="","",Settings!$B$2*Settings!$B$6)</f>
        <v/>
      </c>
      <c r="G64" s="19" t="str">
        <f aca="false">IF(A64="","",SUMIFS('Sales Daily KPIs'!$D:$D,'Sales Daily KPIs'!$B:$B,$C64,'Sales Daily KPIs'!$A:$A,"&gt;="&amp;$A64,'Sales Daily KPIs'!$A:$A,"&lt;="&amp;$B64))</f>
        <v/>
      </c>
      <c r="H64" s="19" t="str">
        <f aca="false">IF(A64="","",Settings!$B$3*Settings!$B$6)</f>
        <v/>
      </c>
      <c r="I64" s="19" t="str">
        <f aca="false">IF(A64="","",SUMIFS('Sales Daily KPIs'!$E:$E,'Sales Daily KPIs'!$B:$B,$C64,'Sales Daily KPIs'!$A:$A,"&gt;="&amp;$A64,'Sales Daily KPIs'!$A:$A,"&lt;="&amp;$B64))</f>
        <v/>
      </c>
      <c r="J64" s="19" t="str">
        <f aca="false">IF(A64="","",Settings!$B$4*Settings!$B$6)</f>
        <v/>
      </c>
      <c r="K64" s="16" t="str">
        <f aca="false">IF(A64="","",IFERROR(SUMIFS('Sales Daily KPIs'!$G:$G,'Sales Daily KPIs'!$B:$B,$C64,'Sales Daily KPIs'!$A:$A,"&gt;="&amp;$A64,'Sales Daily KPIs'!$A:$A,"&lt;="&amp;$B64)/SUMIFS('Sales Daily KPIs'!$F:$F,'Sales Daily KPIs'!$B:$B,$C64,'Sales Daily KPIs'!$A:$A,"&gt;="&amp;$A64,'Sales Daily KPIs'!$A:$A,"&lt;="&amp;$B64),""))</f>
        <v/>
      </c>
      <c r="L64" s="19" t="str">
        <f aca="false">IF(A64="","",SUMIFS('Sales Daily KPIs'!$I:$I,'Sales Daily KPIs'!$B:$B,$C64,'Sales Daily KPIs'!$A:$A,"&gt;="&amp;$A64,'Sales Daily KPIs'!$A:$A,"&lt;="&amp;$B64))</f>
        <v/>
      </c>
      <c r="M64" s="19" t="str">
        <f aca="false">IF(A64="","",Settings!$B$5)</f>
        <v/>
      </c>
      <c r="N64" s="14"/>
    </row>
    <row r="65" customFormat="false" ht="15" hidden="false" customHeight="false" outlineLevel="0" collapsed="false">
      <c r="A65" s="13"/>
      <c r="B65" s="18" t="str">
        <f aca="false">IF(A65="","",A65+6)</f>
        <v/>
      </c>
      <c r="C65" s="14"/>
      <c r="D65" s="19" t="str">
        <f aca="false">IF(A65="","",COUNTIFS('Sales Daily KPIs'!$B:$B,$C65,'Sales Daily KPIs'!$A:$A,"&gt;="&amp;$A65,'Sales Daily KPIs'!$A:$A,"&lt;="&amp;$B65,'Sales Daily KPIs'!$C:$C,"&lt;&gt;"))</f>
        <v/>
      </c>
      <c r="E65" s="19" t="str">
        <f aca="false">IF(A65="","",SUMIFS('Sales Daily KPIs'!$C:$C,'Sales Daily KPIs'!$B:$B,$C65,'Sales Daily KPIs'!$A:$A,"&gt;="&amp;$A65,'Sales Daily KPIs'!$A:$A,"&lt;="&amp;$B65))</f>
        <v/>
      </c>
      <c r="F65" s="19" t="str">
        <f aca="false">IF(A65="","",Settings!$B$2*Settings!$B$6)</f>
        <v/>
      </c>
      <c r="G65" s="19" t="str">
        <f aca="false">IF(A65="","",SUMIFS('Sales Daily KPIs'!$D:$D,'Sales Daily KPIs'!$B:$B,$C65,'Sales Daily KPIs'!$A:$A,"&gt;="&amp;$A65,'Sales Daily KPIs'!$A:$A,"&lt;="&amp;$B65))</f>
        <v/>
      </c>
      <c r="H65" s="19" t="str">
        <f aca="false">IF(A65="","",Settings!$B$3*Settings!$B$6)</f>
        <v/>
      </c>
      <c r="I65" s="19" t="str">
        <f aca="false">IF(A65="","",SUMIFS('Sales Daily KPIs'!$E:$E,'Sales Daily KPIs'!$B:$B,$C65,'Sales Daily KPIs'!$A:$A,"&gt;="&amp;$A65,'Sales Daily KPIs'!$A:$A,"&lt;="&amp;$B65))</f>
        <v/>
      </c>
      <c r="J65" s="19" t="str">
        <f aca="false">IF(A65="","",Settings!$B$4*Settings!$B$6)</f>
        <v/>
      </c>
      <c r="K65" s="16" t="str">
        <f aca="false">IF(A65="","",IFERROR(SUMIFS('Sales Daily KPIs'!$G:$G,'Sales Daily KPIs'!$B:$B,$C65,'Sales Daily KPIs'!$A:$A,"&gt;="&amp;$A65,'Sales Daily KPIs'!$A:$A,"&lt;="&amp;$B65)/SUMIFS('Sales Daily KPIs'!$F:$F,'Sales Daily KPIs'!$B:$B,$C65,'Sales Daily KPIs'!$A:$A,"&gt;="&amp;$A65,'Sales Daily KPIs'!$A:$A,"&lt;="&amp;$B65),""))</f>
        <v/>
      </c>
      <c r="L65" s="19" t="str">
        <f aca="false">IF(A65="","",SUMIFS('Sales Daily KPIs'!$I:$I,'Sales Daily KPIs'!$B:$B,$C65,'Sales Daily KPIs'!$A:$A,"&gt;="&amp;$A65,'Sales Daily KPIs'!$A:$A,"&lt;="&amp;$B65))</f>
        <v/>
      </c>
      <c r="M65" s="19" t="str">
        <f aca="false">IF(A65="","",Settings!$B$5)</f>
        <v/>
      </c>
      <c r="N65" s="14"/>
    </row>
    <row r="66" customFormat="false" ht="15" hidden="false" customHeight="false" outlineLevel="0" collapsed="false">
      <c r="A66" s="13"/>
      <c r="B66" s="18" t="str">
        <f aca="false">IF(A66="","",A66+6)</f>
        <v/>
      </c>
      <c r="C66" s="14"/>
      <c r="D66" s="19" t="str">
        <f aca="false">IF(A66="","",COUNTIFS('Sales Daily KPIs'!$B:$B,$C66,'Sales Daily KPIs'!$A:$A,"&gt;="&amp;$A66,'Sales Daily KPIs'!$A:$A,"&lt;="&amp;$B66,'Sales Daily KPIs'!$C:$C,"&lt;&gt;"))</f>
        <v/>
      </c>
      <c r="E66" s="19" t="str">
        <f aca="false">IF(A66="","",SUMIFS('Sales Daily KPIs'!$C:$C,'Sales Daily KPIs'!$B:$B,$C66,'Sales Daily KPIs'!$A:$A,"&gt;="&amp;$A66,'Sales Daily KPIs'!$A:$A,"&lt;="&amp;$B66))</f>
        <v/>
      </c>
      <c r="F66" s="19" t="str">
        <f aca="false">IF(A66="","",Settings!$B$2*Settings!$B$6)</f>
        <v/>
      </c>
      <c r="G66" s="19" t="str">
        <f aca="false">IF(A66="","",SUMIFS('Sales Daily KPIs'!$D:$D,'Sales Daily KPIs'!$B:$B,$C66,'Sales Daily KPIs'!$A:$A,"&gt;="&amp;$A66,'Sales Daily KPIs'!$A:$A,"&lt;="&amp;$B66))</f>
        <v/>
      </c>
      <c r="H66" s="19" t="str">
        <f aca="false">IF(A66="","",Settings!$B$3*Settings!$B$6)</f>
        <v/>
      </c>
      <c r="I66" s="19" t="str">
        <f aca="false">IF(A66="","",SUMIFS('Sales Daily KPIs'!$E:$E,'Sales Daily KPIs'!$B:$B,$C66,'Sales Daily KPIs'!$A:$A,"&gt;="&amp;$A66,'Sales Daily KPIs'!$A:$A,"&lt;="&amp;$B66))</f>
        <v/>
      </c>
      <c r="J66" s="19" t="str">
        <f aca="false">IF(A66="","",Settings!$B$4*Settings!$B$6)</f>
        <v/>
      </c>
      <c r="K66" s="16" t="str">
        <f aca="false">IF(A66="","",IFERROR(SUMIFS('Sales Daily KPIs'!$G:$G,'Sales Daily KPIs'!$B:$B,$C66,'Sales Daily KPIs'!$A:$A,"&gt;="&amp;$A66,'Sales Daily KPIs'!$A:$A,"&lt;="&amp;$B66)/SUMIFS('Sales Daily KPIs'!$F:$F,'Sales Daily KPIs'!$B:$B,$C66,'Sales Daily KPIs'!$A:$A,"&gt;="&amp;$A66,'Sales Daily KPIs'!$A:$A,"&lt;="&amp;$B66),""))</f>
        <v/>
      </c>
      <c r="L66" s="19" t="str">
        <f aca="false">IF(A66="","",SUMIFS('Sales Daily KPIs'!$I:$I,'Sales Daily KPIs'!$B:$B,$C66,'Sales Daily KPIs'!$A:$A,"&gt;="&amp;$A66,'Sales Daily KPIs'!$A:$A,"&lt;="&amp;$B66))</f>
        <v/>
      </c>
      <c r="M66" s="19" t="str">
        <f aca="false">IF(A66="","",Settings!$B$5)</f>
        <v/>
      </c>
      <c r="N66" s="14"/>
    </row>
    <row r="67" customFormat="false" ht="15" hidden="false" customHeight="false" outlineLevel="0" collapsed="false">
      <c r="A67" s="13"/>
      <c r="B67" s="18" t="str">
        <f aca="false">IF(A67="","",A67+6)</f>
        <v/>
      </c>
      <c r="C67" s="14"/>
      <c r="D67" s="19" t="str">
        <f aca="false">IF(A67="","",COUNTIFS('Sales Daily KPIs'!$B:$B,$C67,'Sales Daily KPIs'!$A:$A,"&gt;="&amp;$A67,'Sales Daily KPIs'!$A:$A,"&lt;="&amp;$B67,'Sales Daily KPIs'!$C:$C,"&lt;&gt;"))</f>
        <v/>
      </c>
      <c r="E67" s="19" t="str">
        <f aca="false">IF(A67="","",SUMIFS('Sales Daily KPIs'!$C:$C,'Sales Daily KPIs'!$B:$B,$C67,'Sales Daily KPIs'!$A:$A,"&gt;="&amp;$A67,'Sales Daily KPIs'!$A:$A,"&lt;="&amp;$B67))</f>
        <v/>
      </c>
      <c r="F67" s="19" t="str">
        <f aca="false">IF(A67="","",Settings!$B$2*Settings!$B$6)</f>
        <v/>
      </c>
      <c r="G67" s="19" t="str">
        <f aca="false">IF(A67="","",SUMIFS('Sales Daily KPIs'!$D:$D,'Sales Daily KPIs'!$B:$B,$C67,'Sales Daily KPIs'!$A:$A,"&gt;="&amp;$A67,'Sales Daily KPIs'!$A:$A,"&lt;="&amp;$B67))</f>
        <v/>
      </c>
      <c r="H67" s="19" t="str">
        <f aca="false">IF(A67="","",Settings!$B$3*Settings!$B$6)</f>
        <v/>
      </c>
      <c r="I67" s="19" t="str">
        <f aca="false">IF(A67="","",SUMIFS('Sales Daily KPIs'!$E:$E,'Sales Daily KPIs'!$B:$B,$C67,'Sales Daily KPIs'!$A:$A,"&gt;="&amp;$A67,'Sales Daily KPIs'!$A:$A,"&lt;="&amp;$B67))</f>
        <v/>
      </c>
      <c r="J67" s="19" t="str">
        <f aca="false">IF(A67="","",Settings!$B$4*Settings!$B$6)</f>
        <v/>
      </c>
      <c r="K67" s="16" t="str">
        <f aca="false">IF(A67="","",IFERROR(SUMIFS('Sales Daily KPIs'!$G:$G,'Sales Daily KPIs'!$B:$B,$C67,'Sales Daily KPIs'!$A:$A,"&gt;="&amp;$A67,'Sales Daily KPIs'!$A:$A,"&lt;="&amp;$B67)/SUMIFS('Sales Daily KPIs'!$F:$F,'Sales Daily KPIs'!$B:$B,$C67,'Sales Daily KPIs'!$A:$A,"&gt;="&amp;$A67,'Sales Daily KPIs'!$A:$A,"&lt;="&amp;$B67),""))</f>
        <v/>
      </c>
      <c r="L67" s="19" t="str">
        <f aca="false">IF(A67="","",SUMIFS('Sales Daily KPIs'!$I:$I,'Sales Daily KPIs'!$B:$B,$C67,'Sales Daily KPIs'!$A:$A,"&gt;="&amp;$A67,'Sales Daily KPIs'!$A:$A,"&lt;="&amp;$B67))</f>
        <v/>
      </c>
      <c r="M67" s="19" t="str">
        <f aca="false">IF(A67="","",Settings!$B$5)</f>
        <v/>
      </c>
      <c r="N67" s="14"/>
    </row>
    <row r="68" customFormat="false" ht="15" hidden="false" customHeight="false" outlineLevel="0" collapsed="false">
      <c r="A68" s="13"/>
      <c r="B68" s="18" t="str">
        <f aca="false">IF(A68="","",A68+6)</f>
        <v/>
      </c>
      <c r="C68" s="14"/>
      <c r="D68" s="19" t="str">
        <f aca="false">IF(A68="","",COUNTIFS('Sales Daily KPIs'!$B:$B,$C68,'Sales Daily KPIs'!$A:$A,"&gt;="&amp;$A68,'Sales Daily KPIs'!$A:$A,"&lt;="&amp;$B68,'Sales Daily KPIs'!$C:$C,"&lt;&gt;"))</f>
        <v/>
      </c>
      <c r="E68" s="19" t="str">
        <f aca="false">IF(A68="","",SUMIFS('Sales Daily KPIs'!$C:$C,'Sales Daily KPIs'!$B:$B,$C68,'Sales Daily KPIs'!$A:$A,"&gt;="&amp;$A68,'Sales Daily KPIs'!$A:$A,"&lt;="&amp;$B68))</f>
        <v/>
      </c>
      <c r="F68" s="19" t="str">
        <f aca="false">IF(A68="","",Settings!$B$2*Settings!$B$6)</f>
        <v/>
      </c>
      <c r="G68" s="19" t="str">
        <f aca="false">IF(A68="","",SUMIFS('Sales Daily KPIs'!$D:$D,'Sales Daily KPIs'!$B:$B,$C68,'Sales Daily KPIs'!$A:$A,"&gt;="&amp;$A68,'Sales Daily KPIs'!$A:$A,"&lt;="&amp;$B68))</f>
        <v/>
      </c>
      <c r="H68" s="19" t="str">
        <f aca="false">IF(A68="","",Settings!$B$3*Settings!$B$6)</f>
        <v/>
      </c>
      <c r="I68" s="19" t="str">
        <f aca="false">IF(A68="","",SUMIFS('Sales Daily KPIs'!$E:$E,'Sales Daily KPIs'!$B:$B,$C68,'Sales Daily KPIs'!$A:$A,"&gt;="&amp;$A68,'Sales Daily KPIs'!$A:$A,"&lt;="&amp;$B68))</f>
        <v/>
      </c>
      <c r="J68" s="19" t="str">
        <f aca="false">IF(A68="","",Settings!$B$4*Settings!$B$6)</f>
        <v/>
      </c>
      <c r="K68" s="16" t="str">
        <f aca="false">IF(A68="","",IFERROR(SUMIFS('Sales Daily KPIs'!$G:$G,'Sales Daily KPIs'!$B:$B,$C68,'Sales Daily KPIs'!$A:$A,"&gt;="&amp;$A68,'Sales Daily KPIs'!$A:$A,"&lt;="&amp;$B68)/SUMIFS('Sales Daily KPIs'!$F:$F,'Sales Daily KPIs'!$B:$B,$C68,'Sales Daily KPIs'!$A:$A,"&gt;="&amp;$A68,'Sales Daily KPIs'!$A:$A,"&lt;="&amp;$B68),""))</f>
        <v/>
      </c>
      <c r="L68" s="19" t="str">
        <f aca="false">IF(A68="","",SUMIFS('Sales Daily KPIs'!$I:$I,'Sales Daily KPIs'!$B:$B,$C68,'Sales Daily KPIs'!$A:$A,"&gt;="&amp;$A68,'Sales Daily KPIs'!$A:$A,"&lt;="&amp;$B68))</f>
        <v/>
      </c>
      <c r="M68" s="19" t="str">
        <f aca="false">IF(A68="","",Settings!$B$5)</f>
        <v/>
      </c>
      <c r="N68" s="14"/>
    </row>
    <row r="69" customFormat="false" ht="15" hidden="false" customHeight="false" outlineLevel="0" collapsed="false">
      <c r="A69" s="13"/>
      <c r="B69" s="18" t="str">
        <f aca="false">IF(A69="","",A69+6)</f>
        <v/>
      </c>
      <c r="C69" s="14"/>
      <c r="D69" s="19" t="str">
        <f aca="false">IF(A69="","",COUNTIFS('Sales Daily KPIs'!$B:$B,$C69,'Sales Daily KPIs'!$A:$A,"&gt;="&amp;$A69,'Sales Daily KPIs'!$A:$A,"&lt;="&amp;$B69,'Sales Daily KPIs'!$C:$C,"&lt;&gt;"))</f>
        <v/>
      </c>
      <c r="E69" s="19" t="str">
        <f aca="false">IF(A69="","",SUMIFS('Sales Daily KPIs'!$C:$C,'Sales Daily KPIs'!$B:$B,$C69,'Sales Daily KPIs'!$A:$A,"&gt;="&amp;$A69,'Sales Daily KPIs'!$A:$A,"&lt;="&amp;$B69))</f>
        <v/>
      </c>
      <c r="F69" s="19" t="str">
        <f aca="false">IF(A69="","",Settings!$B$2*Settings!$B$6)</f>
        <v/>
      </c>
      <c r="G69" s="19" t="str">
        <f aca="false">IF(A69="","",SUMIFS('Sales Daily KPIs'!$D:$D,'Sales Daily KPIs'!$B:$B,$C69,'Sales Daily KPIs'!$A:$A,"&gt;="&amp;$A69,'Sales Daily KPIs'!$A:$A,"&lt;="&amp;$B69))</f>
        <v/>
      </c>
      <c r="H69" s="19" t="str">
        <f aca="false">IF(A69="","",Settings!$B$3*Settings!$B$6)</f>
        <v/>
      </c>
      <c r="I69" s="19" t="str">
        <f aca="false">IF(A69="","",SUMIFS('Sales Daily KPIs'!$E:$E,'Sales Daily KPIs'!$B:$B,$C69,'Sales Daily KPIs'!$A:$A,"&gt;="&amp;$A69,'Sales Daily KPIs'!$A:$A,"&lt;="&amp;$B69))</f>
        <v/>
      </c>
      <c r="J69" s="19" t="str">
        <f aca="false">IF(A69="","",Settings!$B$4*Settings!$B$6)</f>
        <v/>
      </c>
      <c r="K69" s="16" t="str">
        <f aca="false">IF(A69="","",IFERROR(SUMIFS('Sales Daily KPIs'!$G:$G,'Sales Daily KPIs'!$B:$B,$C69,'Sales Daily KPIs'!$A:$A,"&gt;="&amp;$A69,'Sales Daily KPIs'!$A:$A,"&lt;="&amp;$B69)/SUMIFS('Sales Daily KPIs'!$F:$F,'Sales Daily KPIs'!$B:$B,$C69,'Sales Daily KPIs'!$A:$A,"&gt;="&amp;$A69,'Sales Daily KPIs'!$A:$A,"&lt;="&amp;$B69),""))</f>
        <v/>
      </c>
      <c r="L69" s="19" t="str">
        <f aca="false">IF(A69="","",SUMIFS('Sales Daily KPIs'!$I:$I,'Sales Daily KPIs'!$B:$B,$C69,'Sales Daily KPIs'!$A:$A,"&gt;="&amp;$A69,'Sales Daily KPIs'!$A:$A,"&lt;="&amp;$B69))</f>
        <v/>
      </c>
      <c r="M69" s="19" t="str">
        <f aca="false">IF(A69="","",Settings!$B$5)</f>
        <v/>
      </c>
      <c r="N69" s="14"/>
    </row>
    <row r="70" customFormat="false" ht="15" hidden="false" customHeight="false" outlineLevel="0" collapsed="false">
      <c r="A70" s="13"/>
      <c r="B70" s="18" t="str">
        <f aca="false">IF(A70="","",A70+6)</f>
        <v/>
      </c>
      <c r="C70" s="14"/>
      <c r="D70" s="19" t="str">
        <f aca="false">IF(A70="","",COUNTIFS('Sales Daily KPIs'!$B:$B,$C70,'Sales Daily KPIs'!$A:$A,"&gt;="&amp;$A70,'Sales Daily KPIs'!$A:$A,"&lt;="&amp;$B70,'Sales Daily KPIs'!$C:$C,"&lt;&gt;"))</f>
        <v/>
      </c>
      <c r="E70" s="19" t="str">
        <f aca="false">IF(A70="","",SUMIFS('Sales Daily KPIs'!$C:$C,'Sales Daily KPIs'!$B:$B,$C70,'Sales Daily KPIs'!$A:$A,"&gt;="&amp;$A70,'Sales Daily KPIs'!$A:$A,"&lt;="&amp;$B70))</f>
        <v/>
      </c>
      <c r="F70" s="19" t="str">
        <f aca="false">IF(A70="","",Settings!$B$2*Settings!$B$6)</f>
        <v/>
      </c>
      <c r="G70" s="19" t="str">
        <f aca="false">IF(A70="","",SUMIFS('Sales Daily KPIs'!$D:$D,'Sales Daily KPIs'!$B:$B,$C70,'Sales Daily KPIs'!$A:$A,"&gt;="&amp;$A70,'Sales Daily KPIs'!$A:$A,"&lt;="&amp;$B70))</f>
        <v/>
      </c>
      <c r="H70" s="19" t="str">
        <f aca="false">IF(A70="","",Settings!$B$3*Settings!$B$6)</f>
        <v/>
      </c>
      <c r="I70" s="19" t="str">
        <f aca="false">IF(A70="","",SUMIFS('Sales Daily KPIs'!$E:$E,'Sales Daily KPIs'!$B:$B,$C70,'Sales Daily KPIs'!$A:$A,"&gt;="&amp;$A70,'Sales Daily KPIs'!$A:$A,"&lt;="&amp;$B70))</f>
        <v/>
      </c>
      <c r="J70" s="19" t="str">
        <f aca="false">IF(A70="","",Settings!$B$4*Settings!$B$6)</f>
        <v/>
      </c>
      <c r="K70" s="16" t="str">
        <f aca="false">IF(A70="","",IFERROR(SUMIFS('Sales Daily KPIs'!$G:$G,'Sales Daily KPIs'!$B:$B,$C70,'Sales Daily KPIs'!$A:$A,"&gt;="&amp;$A70,'Sales Daily KPIs'!$A:$A,"&lt;="&amp;$B70)/SUMIFS('Sales Daily KPIs'!$F:$F,'Sales Daily KPIs'!$B:$B,$C70,'Sales Daily KPIs'!$A:$A,"&gt;="&amp;$A70,'Sales Daily KPIs'!$A:$A,"&lt;="&amp;$B70),""))</f>
        <v/>
      </c>
      <c r="L70" s="19" t="str">
        <f aca="false">IF(A70="","",SUMIFS('Sales Daily KPIs'!$I:$I,'Sales Daily KPIs'!$B:$B,$C70,'Sales Daily KPIs'!$A:$A,"&gt;="&amp;$A70,'Sales Daily KPIs'!$A:$A,"&lt;="&amp;$B70))</f>
        <v/>
      </c>
      <c r="M70" s="19" t="str">
        <f aca="false">IF(A70="","",Settings!$B$5)</f>
        <v/>
      </c>
      <c r="N70" s="14"/>
    </row>
    <row r="71" customFormat="false" ht="15" hidden="false" customHeight="false" outlineLevel="0" collapsed="false">
      <c r="A71" s="13"/>
      <c r="B71" s="18" t="str">
        <f aca="false">IF(A71="","",A71+6)</f>
        <v/>
      </c>
      <c r="C71" s="14"/>
      <c r="D71" s="19" t="str">
        <f aca="false">IF(A71="","",COUNTIFS('Sales Daily KPIs'!$B:$B,$C71,'Sales Daily KPIs'!$A:$A,"&gt;="&amp;$A71,'Sales Daily KPIs'!$A:$A,"&lt;="&amp;$B71,'Sales Daily KPIs'!$C:$C,"&lt;&gt;"))</f>
        <v/>
      </c>
      <c r="E71" s="19" t="str">
        <f aca="false">IF(A71="","",SUMIFS('Sales Daily KPIs'!$C:$C,'Sales Daily KPIs'!$B:$B,$C71,'Sales Daily KPIs'!$A:$A,"&gt;="&amp;$A71,'Sales Daily KPIs'!$A:$A,"&lt;="&amp;$B71))</f>
        <v/>
      </c>
      <c r="F71" s="19" t="str">
        <f aca="false">IF(A71="","",Settings!$B$2*Settings!$B$6)</f>
        <v/>
      </c>
      <c r="G71" s="19" t="str">
        <f aca="false">IF(A71="","",SUMIFS('Sales Daily KPIs'!$D:$D,'Sales Daily KPIs'!$B:$B,$C71,'Sales Daily KPIs'!$A:$A,"&gt;="&amp;$A71,'Sales Daily KPIs'!$A:$A,"&lt;="&amp;$B71))</f>
        <v/>
      </c>
      <c r="H71" s="19" t="str">
        <f aca="false">IF(A71="","",Settings!$B$3*Settings!$B$6)</f>
        <v/>
      </c>
      <c r="I71" s="19" t="str">
        <f aca="false">IF(A71="","",SUMIFS('Sales Daily KPIs'!$E:$E,'Sales Daily KPIs'!$B:$B,$C71,'Sales Daily KPIs'!$A:$A,"&gt;="&amp;$A71,'Sales Daily KPIs'!$A:$A,"&lt;="&amp;$B71))</f>
        <v/>
      </c>
      <c r="J71" s="19" t="str">
        <f aca="false">IF(A71="","",Settings!$B$4*Settings!$B$6)</f>
        <v/>
      </c>
      <c r="K71" s="16" t="str">
        <f aca="false">IF(A71="","",IFERROR(SUMIFS('Sales Daily KPIs'!$G:$G,'Sales Daily KPIs'!$B:$B,$C71,'Sales Daily KPIs'!$A:$A,"&gt;="&amp;$A71,'Sales Daily KPIs'!$A:$A,"&lt;="&amp;$B71)/SUMIFS('Sales Daily KPIs'!$F:$F,'Sales Daily KPIs'!$B:$B,$C71,'Sales Daily KPIs'!$A:$A,"&gt;="&amp;$A71,'Sales Daily KPIs'!$A:$A,"&lt;="&amp;$B71),""))</f>
        <v/>
      </c>
      <c r="L71" s="19" t="str">
        <f aca="false">IF(A71="","",SUMIFS('Sales Daily KPIs'!$I:$I,'Sales Daily KPIs'!$B:$B,$C71,'Sales Daily KPIs'!$A:$A,"&gt;="&amp;$A71,'Sales Daily KPIs'!$A:$A,"&lt;="&amp;$B71))</f>
        <v/>
      </c>
      <c r="M71" s="19" t="str">
        <f aca="false">IF(A71="","",Settings!$B$5)</f>
        <v/>
      </c>
      <c r="N71" s="14"/>
    </row>
    <row r="72" customFormat="false" ht="15" hidden="false" customHeight="false" outlineLevel="0" collapsed="false">
      <c r="A72" s="13"/>
      <c r="B72" s="18" t="str">
        <f aca="false">IF(A72="","",A72+6)</f>
        <v/>
      </c>
      <c r="C72" s="14"/>
      <c r="D72" s="19" t="str">
        <f aca="false">IF(A72="","",COUNTIFS('Sales Daily KPIs'!$B:$B,$C72,'Sales Daily KPIs'!$A:$A,"&gt;="&amp;$A72,'Sales Daily KPIs'!$A:$A,"&lt;="&amp;$B72,'Sales Daily KPIs'!$C:$C,"&lt;&gt;"))</f>
        <v/>
      </c>
      <c r="E72" s="19" t="str">
        <f aca="false">IF(A72="","",SUMIFS('Sales Daily KPIs'!$C:$C,'Sales Daily KPIs'!$B:$B,$C72,'Sales Daily KPIs'!$A:$A,"&gt;="&amp;$A72,'Sales Daily KPIs'!$A:$A,"&lt;="&amp;$B72))</f>
        <v/>
      </c>
      <c r="F72" s="19" t="str">
        <f aca="false">IF(A72="","",Settings!$B$2*Settings!$B$6)</f>
        <v/>
      </c>
      <c r="G72" s="19" t="str">
        <f aca="false">IF(A72="","",SUMIFS('Sales Daily KPIs'!$D:$D,'Sales Daily KPIs'!$B:$B,$C72,'Sales Daily KPIs'!$A:$A,"&gt;="&amp;$A72,'Sales Daily KPIs'!$A:$A,"&lt;="&amp;$B72))</f>
        <v/>
      </c>
      <c r="H72" s="19" t="str">
        <f aca="false">IF(A72="","",Settings!$B$3*Settings!$B$6)</f>
        <v/>
      </c>
      <c r="I72" s="19" t="str">
        <f aca="false">IF(A72="","",SUMIFS('Sales Daily KPIs'!$E:$E,'Sales Daily KPIs'!$B:$B,$C72,'Sales Daily KPIs'!$A:$A,"&gt;="&amp;$A72,'Sales Daily KPIs'!$A:$A,"&lt;="&amp;$B72))</f>
        <v/>
      </c>
      <c r="J72" s="19" t="str">
        <f aca="false">IF(A72="","",Settings!$B$4*Settings!$B$6)</f>
        <v/>
      </c>
      <c r="K72" s="16" t="str">
        <f aca="false">IF(A72="","",IFERROR(SUMIFS('Sales Daily KPIs'!$G:$G,'Sales Daily KPIs'!$B:$B,$C72,'Sales Daily KPIs'!$A:$A,"&gt;="&amp;$A72,'Sales Daily KPIs'!$A:$A,"&lt;="&amp;$B72)/SUMIFS('Sales Daily KPIs'!$F:$F,'Sales Daily KPIs'!$B:$B,$C72,'Sales Daily KPIs'!$A:$A,"&gt;="&amp;$A72,'Sales Daily KPIs'!$A:$A,"&lt;="&amp;$B72),""))</f>
        <v/>
      </c>
      <c r="L72" s="19" t="str">
        <f aca="false">IF(A72="","",SUMIFS('Sales Daily KPIs'!$I:$I,'Sales Daily KPIs'!$B:$B,$C72,'Sales Daily KPIs'!$A:$A,"&gt;="&amp;$A72,'Sales Daily KPIs'!$A:$A,"&lt;="&amp;$B72))</f>
        <v/>
      </c>
      <c r="M72" s="19" t="str">
        <f aca="false">IF(A72="","",Settings!$B$5)</f>
        <v/>
      </c>
      <c r="N72" s="14"/>
    </row>
    <row r="73" customFormat="false" ht="15" hidden="false" customHeight="false" outlineLevel="0" collapsed="false">
      <c r="A73" s="13"/>
      <c r="B73" s="18" t="str">
        <f aca="false">IF(A73="","",A73+6)</f>
        <v/>
      </c>
      <c r="C73" s="14"/>
      <c r="D73" s="19" t="str">
        <f aca="false">IF(A73="","",COUNTIFS('Sales Daily KPIs'!$B:$B,$C73,'Sales Daily KPIs'!$A:$A,"&gt;="&amp;$A73,'Sales Daily KPIs'!$A:$A,"&lt;="&amp;$B73,'Sales Daily KPIs'!$C:$C,"&lt;&gt;"))</f>
        <v/>
      </c>
      <c r="E73" s="19" t="str">
        <f aca="false">IF(A73="","",SUMIFS('Sales Daily KPIs'!$C:$C,'Sales Daily KPIs'!$B:$B,$C73,'Sales Daily KPIs'!$A:$A,"&gt;="&amp;$A73,'Sales Daily KPIs'!$A:$A,"&lt;="&amp;$B73))</f>
        <v/>
      </c>
      <c r="F73" s="19" t="str">
        <f aca="false">IF(A73="","",Settings!$B$2*Settings!$B$6)</f>
        <v/>
      </c>
      <c r="G73" s="19" t="str">
        <f aca="false">IF(A73="","",SUMIFS('Sales Daily KPIs'!$D:$D,'Sales Daily KPIs'!$B:$B,$C73,'Sales Daily KPIs'!$A:$A,"&gt;="&amp;$A73,'Sales Daily KPIs'!$A:$A,"&lt;="&amp;$B73))</f>
        <v/>
      </c>
      <c r="H73" s="19" t="str">
        <f aca="false">IF(A73="","",Settings!$B$3*Settings!$B$6)</f>
        <v/>
      </c>
      <c r="I73" s="19" t="str">
        <f aca="false">IF(A73="","",SUMIFS('Sales Daily KPIs'!$E:$E,'Sales Daily KPIs'!$B:$B,$C73,'Sales Daily KPIs'!$A:$A,"&gt;="&amp;$A73,'Sales Daily KPIs'!$A:$A,"&lt;="&amp;$B73))</f>
        <v/>
      </c>
      <c r="J73" s="19" t="str">
        <f aca="false">IF(A73="","",Settings!$B$4*Settings!$B$6)</f>
        <v/>
      </c>
      <c r="K73" s="16" t="str">
        <f aca="false">IF(A73="","",IFERROR(SUMIFS('Sales Daily KPIs'!$G:$G,'Sales Daily KPIs'!$B:$B,$C73,'Sales Daily KPIs'!$A:$A,"&gt;="&amp;$A73,'Sales Daily KPIs'!$A:$A,"&lt;="&amp;$B73)/SUMIFS('Sales Daily KPIs'!$F:$F,'Sales Daily KPIs'!$B:$B,$C73,'Sales Daily KPIs'!$A:$A,"&gt;="&amp;$A73,'Sales Daily KPIs'!$A:$A,"&lt;="&amp;$B73),""))</f>
        <v/>
      </c>
      <c r="L73" s="19" t="str">
        <f aca="false">IF(A73="","",SUMIFS('Sales Daily KPIs'!$I:$I,'Sales Daily KPIs'!$B:$B,$C73,'Sales Daily KPIs'!$A:$A,"&gt;="&amp;$A73,'Sales Daily KPIs'!$A:$A,"&lt;="&amp;$B73))</f>
        <v/>
      </c>
      <c r="M73" s="19" t="str">
        <f aca="false">IF(A73="","",Settings!$B$5)</f>
        <v/>
      </c>
      <c r="N73" s="14"/>
    </row>
    <row r="74" customFormat="false" ht="15" hidden="false" customHeight="false" outlineLevel="0" collapsed="false">
      <c r="A74" s="13"/>
      <c r="B74" s="18" t="str">
        <f aca="false">IF(A74="","",A74+6)</f>
        <v/>
      </c>
      <c r="C74" s="14"/>
      <c r="D74" s="19" t="str">
        <f aca="false">IF(A74="","",COUNTIFS('Sales Daily KPIs'!$B:$B,$C74,'Sales Daily KPIs'!$A:$A,"&gt;="&amp;$A74,'Sales Daily KPIs'!$A:$A,"&lt;="&amp;$B74,'Sales Daily KPIs'!$C:$C,"&lt;&gt;"))</f>
        <v/>
      </c>
      <c r="E74" s="19" t="str">
        <f aca="false">IF(A74="","",SUMIFS('Sales Daily KPIs'!$C:$C,'Sales Daily KPIs'!$B:$B,$C74,'Sales Daily KPIs'!$A:$A,"&gt;="&amp;$A74,'Sales Daily KPIs'!$A:$A,"&lt;="&amp;$B74))</f>
        <v/>
      </c>
      <c r="F74" s="19" t="str">
        <f aca="false">IF(A74="","",Settings!$B$2*Settings!$B$6)</f>
        <v/>
      </c>
      <c r="G74" s="19" t="str">
        <f aca="false">IF(A74="","",SUMIFS('Sales Daily KPIs'!$D:$D,'Sales Daily KPIs'!$B:$B,$C74,'Sales Daily KPIs'!$A:$A,"&gt;="&amp;$A74,'Sales Daily KPIs'!$A:$A,"&lt;="&amp;$B74))</f>
        <v/>
      </c>
      <c r="H74" s="19" t="str">
        <f aca="false">IF(A74="","",Settings!$B$3*Settings!$B$6)</f>
        <v/>
      </c>
      <c r="I74" s="19" t="str">
        <f aca="false">IF(A74="","",SUMIFS('Sales Daily KPIs'!$E:$E,'Sales Daily KPIs'!$B:$B,$C74,'Sales Daily KPIs'!$A:$A,"&gt;="&amp;$A74,'Sales Daily KPIs'!$A:$A,"&lt;="&amp;$B74))</f>
        <v/>
      </c>
      <c r="J74" s="19" t="str">
        <f aca="false">IF(A74="","",Settings!$B$4*Settings!$B$6)</f>
        <v/>
      </c>
      <c r="K74" s="16" t="str">
        <f aca="false">IF(A74="","",IFERROR(SUMIFS('Sales Daily KPIs'!$G:$G,'Sales Daily KPIs'!$B:$B,$C74,'Sales Daily KPIs'!$A:$A,"&gt;="&amp;$A74,'Sales Daily KPIs'!$A:$A,"&lt;="&amp;$B74)/SUMIFS('Sales Daily KPIs'!$F:$F,'Sales Daily KPIs'!$B:$B,$C74,'Sales Daily KPIs'!$A:$A,"&gt;="&amp;$A74,'Sales Daily KPIs'!$A:$A,"&lt;="&amp;$B74),""))</f>
        <v/>
      </c>
      <c r="L74" s="19" t="str">
        <f aca="false">IF(A74="","",SUMIFS('Sales Daily KPIs'!$I:$I,'Sales Daily KPIs'!$B:$B,$C74,'Sales Daily KPIs'!$A:$A,"&gt;="&amp;$A74,'Sales Daily KPIs'!$A:$A,"&lt;="&amp;$B74))</f>
        <v/>
      </c>
      <c r="M74" s="19" t="str">
        <f aca="false">IF(A74="","",Settings!$B$5)</f>
        <v/>
      </c>
      <c r="N74" s="14"/>
    </row>
    <row r="75" customFormat="false" ht="15" hidden="false" customHeight="false" outlineLevel="0" collapsed="false">
      <c r="A75" s="13"/>
      <c r="B75" s="18" t="str">
        <f aca="false">IF(A75="","",A75+6)</f>
        <v/>
      </c>
      <c r="C75" s="14"/>
      <c r="D75" s="19" t="str">
        <f aca="false">IF(A75="","",COUNTIFS('Sales Daily KPIs'!$B:$B,$C75,'Sales Daily KPIs'!$A:$A,"&gt;="&amp;$A75,'Sales Daily KPIs'!$A:$A,"&lt;="&amp;$B75,'Sales Daily KPIs'!$C:$C,"&lt;&gt;"))</f>
        <v/>
      </c>
      <c r="E75" s="19" t="str">
        <f aca="false">IF(A75="","",SUMIFS('Sales Daily KPIs'!$C:$C,'Sales Daily KPIs'!$B:$B,$C75,'Sales Daily KPIs'!$A:$A,"&gt;="&amp;$A75,'Sales Daily KPIs'!$A:$A,"&lt;="&amp;$B75))</f>
        <v/>
      </c>
      <c r="F75" s="19" t="str">
        <f aca="false">IF(A75="","",Settings!$B$2*Settings!$B$6)</f>
        <v/>
      </c>
      <c r="G75" s="19" t="str">
        <f aca="false">IF(A75="","",SUMIFS('Sales Daily KPIs'!$D:$D,'Sales Daily KPIs'!$B:$B,$C75,'Sales Daily KPIs'!$A:$A,"&gt;="&amp;$A75,'Sales Daily KPIs'!$A:$A,"&lt;="&amp;$B75))</f>
        <v/>
      </c>
      <c r="H75" s="19" t="str">
        <f aca="false">IF(A75="","",Settings!$B$3*Settings!$B$6)</f>
        <v/>
      </c>
      <c r="I75" s="19" t="str">
        <f aca="false">IF(A75="","",SUMIFS('Sales Daily KPIs'!$E:$E,'Sales Daily KPIs'!$B:$B,$C75,'Sales Daily KPIs'!$A:$A,"&gt;="&amp;$A75,'Sales Daily KPIs'!$A:$A,"&lt;="&amp;$B75))</f>
        <v/>
      </c>
      <c r="J75" s="19" t="str">
        <f aca="false">IF(A75="","",Settings!$B$4*Settings!$B$6)</f>
        <v/>
      </c>
      <c r="K75" s="16" t="str">
        <f aca="false">IF(A75="","",IFERROR(SUMIFS('Sales Daily KPIs'!$G:$G,'Sales Daily KPIs'!$B:$B,$C75,'Sales Daily KPIs'!$A:$A,"&gt;="&amp;$A75,'Sales Daily KPIs'!$A:$A,"&lt;="&amp;$B75)/SUMIFS('Sales Daily KPIs'!$F:$F,'Sales Daily KPIs'!$B:$B,$C75,'Sales Daily KPIs'!$A:$A,"&gt;="&amp;$A75,'Sales Daily KPIs'!$A:$A,"&lt;="&amp;$B75),""))</f>
        <v/>
      </c>
      <c r="L75" s="19" t="str">
        <f aca="false">IF(A75="","",SUMIFS('Sales Daily KPIs'!$I:$I,'Sales Daily KPIs'!$B:$B,$C75,'Sales Daily KPIs'!$A:$A,"&gt;="&amp;$A75,'Sales Daily KPIs'!$A:$A,"&lt;="&amp;$B75))</f>
        <v/>
      </c>
      <c r="M75" s="19" t="str">
        <f aca="false">IF(A75="","",Settings!$B$5)</f>
        <v/>
      </c>
      <c r="N75" s="14"/>
    </row>
    <row r="76" customFormat="false" ht="15" hidden="false" customHeight="false" outlineLevel="0" collapsed="false">
      <c r="A76" s="13"/>
      <c r="B76" s="18" t="str">
        <f aca="false">IF(A76="","",A76+6)</f>
        <v/>
      </c>
      <c r="C76" s="14"/>
      <c r="D76" s="19" t="str">
        <f aca="false">IF(A76="","",COUNTIFS('Sales Daily KPIs'!$B:$B,$C76,'Sales Daily KPIs'!$A:$A,"&gt;="&amp;$A76,'Sales Daily KPIs'!$A:$A,"&lt;="&amp;$B76,'Sales Daily KPIs'!$C:$C,"&lt;&gt;"))</f>
        <v/>
      </c>
      <c r="E76" s="19" t="str">
        <f aca="false">IF(A76="","",SUMIFS('Sales Daily KPIs'!$C:$C,'Sales Daily KPIs'!$B:$B,$C76,'Sales Daily KPIs'!$A:$A,"&gt;="&amp;$A76,'Sales Daily KPIs'!$A:$A,"&lt;="&amp;$B76))</f>
        <v/>
      </c>
      <c r="F76" s="19" t="str">
        <f aca="false">IF(A76="","",Settings!$B$2*Settings!$B$6)</f>
        <v/>
      </c>
      <c r="G76" s="19" t="str">
        <f aca="false">IF(A76="","",SUMIFS('Sales Daily KPIs'!$D:$D,'Sales Daily KPIs'!$B:$B,$C76,'Sales Daily KPIs'!$A:$A,"&gt;="&amp;$A76,'Sales Daily KPIs'!$A:$A,"&lt;="&amp;$B76))</f>
        <v/>
      </c>
      <c r="H76" s="19" t="str">
        <f aca="false">IF(A76="","",Settings!$B$3*Settings!$B$6)</f>
        <v/>
      </c>
      <c r="I76" s="19" t="str">
        <f aca="false">IF(A76="","",SUMIFS('Sales Daily KPIs'!$E:$E,'Sales Daily KPIs'!$B:$B,$C76,'Sales Daily KPIs'!$A:$A,"&gt;="&amp;$A76,'Sales Daily KPIs'!$A:$A,"&lt;="&amp;$B76))</f>
        <v/>
      </c>
      <c r="J76" s="19" t="str">
        <f aca="false">IF(A76="","",Settings!$B$4*Settings!$B$6)</f>
        <v/>
      </c>
      <c r="K76" s="16" t="str">
        <f aca="false">IF(A76="","",IFERROR(SUMIFS('Sales Daily KPIs'!$G:$G,'Sales Daily KPIs'!$B:$B,$C76,'Sales Daily KPIs'!$A:$A,"&gt;="&amp;$A76,'Sales Daily KPIs'!$A:$A,"&lt;="&amp;$B76)/SUMIFS('Sales Daily KPIs'!$F:$F,'Sales Daily KPIs'!$B:$B,$C76,'Sales Daily KPIs'!$A:$A,"&gt;="&amp;$A76,'Sales Daily KPIs'!$A:$A,"&lt;="&amp;$B76),""))</f>
        <v/>
      </c>
      <c r="L76" s="19" t="str">
        <f aca="false">IF(A76="","",SUMIFS('Sales Daily KPIs'!$I:$I,'Sales Daily KPIs'!$B:$B,$C76,'Sales Daily KPIs'!$A:$A,"&gt;="&amp;$A76,'Sales Daily KPIs'!$A:$A,"&lt;="&amp;$B76))</f>
        <v/>
      </c>
      <c r="M76" s="19" t="str">
        <f aca="false">IF(A76="","",Settings!$B$5)</f>
        <v/>
      </c>
      <c r="N76" s="14"/>
    </row>
    <row r="77" customFormat="false" ht="15" hidden="false" customHeight="false" outlineLevel="0" collapsed="false">
      <c r="A77" s="13"/>
      <c r="B77" s="18" t="str">
        <f aca="false">IF(A77="","",A77+6)</f>
        <v/>
      </c>
      <c r="C77" s="14"/>
      <c r="D77" s="19" t="str">
        <f aca="false">IF(A77="","",COUNTIFS('Sales Daily KPIs'!$B:$B,$C77,'Sales Daily KPIs'!$A:$A,"&gt;="&amp;$A77,'Sales Daily KPIs'!$A:$A,"&lt;="&amp;$B77,'Sales Daily KPIs'!$C:$C,"&lt;&gt;"))</f>
        <v/>
      </c>
      <c r="E77" s="19" t="str">
        <f aca="false">IF(A77="","",SUMIFS('Sales Daily KPIs'!$C:$C,'Sales Daily KPIs'!$B:$B,$C77,'Sales Daily KPIs'!$A:$A,"&gt;="&amp;$A77,'Sales Daily KPIs'!$A:$A,"&lt;="&amp;$B77))</f>
        <v/>
      </c>
      <c r="F77" s="19" t="str">
        <f aca="false">IF(A77="","",Settings!$B$2*Settings!$B$6)</f>
        <v/>
      </c>
      <c r="G77" s="19" t="str">
        <f aca="false">IF(A77="","",SUMIFS('Sales Daily KPIs'!$D:$D,'Sales Daily KPIs'!$B:$B,$C77,'Sales Daily KPIs'!$A:$A,"&gt;="&amp;$A77,'Sales Daily KPIs'!$A:$A,"&lt;="&amp;$B77))</f>
        <v/>
      </c>
      <c r="H77" s="19" t="str">
        <f aca="false">IF(A77="","",Settings!$B$3*Settings!$B$6)</f>
        <v/>
      </c>
      <c r="I77" s="19" t="str">
        <f aca="false">IF(A77="","",SUMIFS('Sales Daily KPIs'!$E:$E,'Sales Daily KPIs'!$B:$B,$C77,'Sales Daily KPIs'!$A:$A,"&gt;="&amp;$A77,'Sales Daily KPIs'!$A:$A,"&lt;="&amp;$B77))</f>
        <v/>
      </c>
      <c r="J77" s="19" t="str">
        <f aca="false">IF(A77="","",Settings!$B$4*Settings!$B$6)</f>
        <v/>
      </c>
      <c r="K77" s="16" t="str">
        <f aca="false">IF(A77="","",IFERROR(SUMIFS('Sales Daily KPIs'!$G:$G,'Sales Daily KPIs'!$B:$B,$C77,'Sales Daily KPIs'!$A:$A,"&gt;="&amp;$A77,'Sales Daily KPIs'!$A:$A,"&lt;="&amp;$B77)/SUMIFS('Sales Daily KPIs'!$F:$F,'Sales Daily KPIs'!$B:$B,$C77,'Sales Daily KPIs'!$A:$A,"&gt;="&amp;$A77,'Sales Daily KPIs'!$A:$A,"&lt;="&amp;$B77),""))</f>
        <v/>
      </c>
      <c r="L77" s="19" t="str">
        <f aca="false">IF(A77="","",SUMIFS('Sales Daily KPIs'!$I:$I,'Sales Daily KPIs'!$B:$B,$C77,'Sales Daily KPIs'!$A:$A,"&gt;="&amp;$A77,'Sales Daily KPIs'!$A:$A,"&lt;="&amp;$B77))</f>
        <v/>
      </c>
      <c r="M77" s="19" t="str">
        <f aca="false">IF(A77="","",Settings!$B$5)</f>
        <v/>
      </c>
      <c r="N77" s="14"/>
    </row>
    <row r="78" customFormat="false" ht="15" hidden="false" customHeight="false" outlineLevel="0" collapsed="false">
      <c r="A78" s="13"/>
      <c r="B78" s="18" t="str">
        <f aca="false">IF(A78="","",A78+6)</f>
        <v/>
      </c>
      <c r="C78" s="14"/>
      <c r="D78" s="19" t="str">
        <f aca="false">IF(A78="","",COUNTIFS('Sales Daily KPIs'!$B:$B,$C78,'Sales Daily KPIs'!$A:$A,"&gt;="&amp;$A78,'Sales Daily KPIs'!$A:$A,"&lt;="&amp;$B78,'Sales Daily KPIs'!$C:$C,"&lt;&gt;"))</f>
        <v/>
      </c>
      <c r="E78" s="19" t="str">
        <f aca="false">IF(A78="","",SUMIFS('Sales Daily KPIs'!$C:$C,'Sales Daily KPIs'!$B:$B,$C78,'Sales Daily KPIs'!$A:$A,"&gt;="&amp;$A78,'Sales Daily KPIs'!$A:$A,"&lt;="&amp;$B78))</f>
        <v/>
      </c>
      <c r="F78" s="19" t="str">
        <f aca="false">IF(A78="","",Settings!$B$2*Settings!$B$6)</f>
        <v/>
      </c>
      <c r="G78" s="19" t="str">
        <f aca="false">IF(A78="","",SUMIFS('Sales Daily KPIs'!$D:$D,'Sales Daily KPIs'!$B:$B,$C78,'Sales Daily KPIs'!$A:$A,"&gt;="&amp;$A78,'Sales Daily KPIs'!$A:$A,"&lt;="&amp;$B78))</f>
        <v/>
      </c>
      <c r="H78" s="19" t="str">
        <f aca="false">IF(A78="","",Settings!$B$3*Settings!$B$6)</f>
        <v/>
      </c>
      <c r="I78" s="19" t="str">
        <f aca="false">IF(A78="","",SUMIFS('Sales Daily KPIs'!$E:$E,'Sales Daily KPIs'!$B:$B,$C78,'Sales Daily KPIs'!$A:$A,"&gt;="&amp;$A78,'Sales Daily KPIs'!$A:$A,"&lt;="&amp;$B78))</f>
        <v/>
      </c>
      <c r="J78" s="19" t="str">
        <f aca="false">IF(A78="","",Settings!$B$4*Settings!$B$6)</f>
        <v/>
      </c>
      <c r="K78" s="16" t="str">
        <f aca="false">IF(A78="","",IFERROR(SUMIFS('Sales Daily KPIs'!$G:$G,'Sales Daily KPIs'!$B:$B,$C78,'Sales Daily KPIs'!$A:$A,"&gt;="&amp;$A78,'Sales Daily KPIs'!$A:$A,"&lt;="&amp;$B78)/SUMIFS('Sales Daily KPIs'!$F:$F,'Sales Daily KPIs'!$B:$B,$C78,'Sales Daily KPIs'!$A:$A,"&gt;="&amp;$A78,'Sales Daily KPIs'!$A:$A,"&lt;="&amp;$B78),""))</f>
        <v/>
      </c>
      <c r="L78" s="19" t="str">
        <f aca="false">IF(A78="","",SUMIFS('Sales Daily KPIs'!$I:$I,'Sales Daily KPIs'!$B:$B,$C78,'Sales Daily KPIs'!$A:$A,"&gt;="&amp;$A78,'Sales Daily KPIs'!$A:$A,"&lt;="&amp;$B78))</f>
        <v/>
      </c>
      <c r="M78" s="19" t="str">
        <f aca="false">IF(A78="","",Settings!$B$5)</f>
        <v/>
      </c>
      <c r="N78" s="14"/>
    </row>
    <row r="79" customFormat="false" ht="15" hidden="false" customHeight="false" outlineLevel="0" collapsed="false">
      <c r="A79" s="13"/>
      <c r="B79" s="18" t="str">
        <f aca="false">IF(A79="","",A79+6)</f>
        <v/>
      </c>
      <c r="C79" s="14"/>
      <c r="D79" s="19" t="str">
        <f aca="false">IF(A79="","",COUNTIFS('Sales Daily KPIs'!$B:$B,$C79,'Sales Daily KPIs'!$A:$A,"&gt;="&amp;$A79,'Sales Daily KPIs'!$A:$A,"&lt;="&amp;$B79,'Sales Daily KPIs'!$C:$C,"&lt;&gt;"))</f>
        <v/>
      </c>
      <c r="E79" s="19" t="str">
        <f aca="false">IF(A79="","",SUMIFS('Sales Daily KPIs'!$C:$C,'Sales Daily KPIs'!$B:$B,$C79,'Sales Daily KPIs'!$A:$A,"&gt;="&amp;$A79,'Sales Daily KPIs'!$A:$A,"&lt;="&amp;$B79))</f>
        <v/>
      </c>
      <c r="F79" s="19" t="str">
        <f aca="false">IF(A79="","",Settings!$B$2*Settings!$B$6)</f>
        <v/>
      </c>
      <c r="G79" s="19" t="str">
        <f aca="false">IF(A79="","",SUMIFS('Sales Daily KPIs'!$D:$D,'Sales Daily KPIs'!$B:$B,$C79,'Sales Daily KPIs'!$A:$A,"&gt;="&amp;$A79,'Sales Daily KPIs'!$A:$A,"&lt;="&amp;$B79))</f>
        <v/>
      </c>
      <c r="H79" s="19" t="str">
        <f aca="false">IF(A79="","",Settings!$B$3*Settings!$B$6)</f>
        <v/>
      </c>
      <c r="I79" s="19" t="str">
        <f aca="false">IF(A79="","",SUMIFS('Sales Daily KPIs'!$E:$E,'Sales Daily KPIs'!$B:$B,$C79,'Sales Daily KPIs'!$A:$A,"&gt;="&amp;$A79,'Sales Daily KPIs'!$A:$A,"&lt;="&amp;$B79))</f>
        <v/>
      </c>
      <c r="J79" s="19" t="str">
        <f aca="false">IF(A79="","",Settings!$B$4*Settings!$B$6)</f>
        <v/>
      </c>
      <c r="K79" s="16" t="str">
        <f aca="false">IF(A79="","",IFERROR(SUMIFS('Sales Daily KPIs'!$G:$G,'Sales Daily KPIs'!$B:$B,$C79,'Sales Daily KPIs'!$A:$A,"&gt;="&amp;$A79,'Sales Daily KPIs'!$A:$A,"&lt;="&amp;$B79)/SUMIFS('Sales Daily KPIs'!$F:$F,'Sales Daily KPIs'!$B:$B,$C79,'Sales Daily KPIs'!$A:$A,"&gt;="&amp;$A79,'Sales Daily KPIs'!$A:$A,"&lt;="&amp;$B79),""))</f>
        <v/>
      </c>
      <c r="L79" s="19" t="str">
        <f aca="false">IF(A79="","",SUMIFS('Sales Daily KPIs'!$I:$I,'Sales Daily KPIs'!$B:$B,$C79,'Sales Daily KPIs'!$A:$A,"&gt;="&amp;$A79,'Sales Daily KPIs'!$A:$A,"&lt;="&amp;$B79))</f>
        <v/>
      </c>
      <c r="M79" s="19" t="str">
        <f aca="false">IF(A79="","",Settings!$B$5)</f>
        <v/>
      </c>
      <c r="N79" s="14"/>
    </row>
    <row r="80" customFormat="false" ht="15" hidden="false" customHeight="false" outlineLevel="0" collapsed="false">
      <c r="A80" s="13"/>
      <c r="B80" s="18" t="str">
        <f aca="false">IF(A80="","",A80+6)</f>
        <v/>
      </c>
      <c r="C80" s="14"/>
      <c r="D80" s="19" t="str">
        <f aca="false">IF(A80="","",COUNTIFS('Sales Daily KPIs'!$B:$B,$C80,'Sales Daily KPIs'!$A:$A,"&gt;="&amp;$A80,'Sales Daily KPIs'!$A:$A,"&lt;="&amp;$B80,'Sales Daily KPIs'!$C:$C,"&lt;&gt;"))</f>
        <v/>
      </c>
      <c r="E80" s="19" t="str">
        <f aca="false">IF(A80="","",SUMIFS('Sales Daily KPIs'!$C:$C,'Sales Daily KPIs'!$B:$B,$C80,'Sales Daily KPIs'!$A:$A,"&gt;="&amp;$A80,'Sales Daily KPIs'!$A:$A,"&lt;="&amp;$B80))</f>
        <v/>
      </c>
      <c r="F80" s="19" t="str">
        <f aca="false">IF(A80="","",Settings!$B$2*Settings!$B$6)</f>
        <v/>
      </c>
      <c r="G80" s="19" t="str">
        <f aca="false">IF(A80="","",SUMIFS('Sales Daily KPIs'!$D:$D,'Sales Daily KPIs'!$B:$B,$C80,'Sales Daily KPIs'!$A:$A,"&gt;="&amp;$A80,'Sales Daily KPIs'!$A:$A,"&lt;="&amp;$B80))</f>
        <v/>
      </c>
      <c r="H80" s="19" t="str">
        <f aca="false">IF(A80="","",Settings!$B$3*Settings!$B$6)</f>
        <v/>
      </c>
      <c r="I80" s="19" t="str">
        <f aca="false">IF(A80="","",SUMIFS('Sales Daily KPIs'!$E:$E,'Sales Daily KPIs'!$B:$B,$C80,'Sales Daily KPIs'!$A:$A,"&gt;="&amp;$A80,'Sales Daily KPIs'!$A:$A,"&lt;="&amp;$B80))</f>
        <v/>
      </c>
      <c r="J80" s="19" t="str">
        <f aca="false">IF(A80="","",Settings!$B$4*Settings!$B$6)</f>
        <v/>
      </c>
      <c r="K80" s="16" t="str">
        <f aca="false">IF(A80="","",IFERROR(SUMIFS('Sales Daily KPIs'!$G:$G,'Sales Daily KPIs'!$B:$B,$C80,'Sales Daily KPIs'!$A:$A,"&gt;="&amp;$A80,'Sales Daily KPIs'!$A:$A,"&lt;="&amp;$B80)/SUMIFS('Sales Daily KPIs'!$F:$F,'Sales Daily KPIs'!$B:$B,$C80,'Sales Daily KPIs'!$A:$A,"&gt;="&amp;$A80,'Sales Daily KPIs'!$A:$A,"&lt;="&amp;$B80),""))</f>
        <v/>
      </c>
      <c r="L80" s="19" t="str">
        <f aca="false">IF(A80="","",SUMIFS('Sales Daily KPIs'!$I:$I,'Sales Daily KPIs'!$B:$B,$C80,'Sales Daily KPIs'!$A:$A,"&gt;="&amp;$A80,'Sales Daily KPIs'!$A:$A,"&lt;="&amp;$B80))</f>
        <v/>
      </c>
      <c r="M80" s="19" t="str">
        <f aca="false">IF(A80="","",Settings!$B$5)</f>
        <v/>
      </c>
      <c r="N80" s="14"/>
    </row>
    <row r="81" customFormat="false" ht="15" hidden="false" customHeight="false" outlineLevel="0" collapsed="false">
      <c r="A81" s="13"/>
      <c r="B81" s="18" t="str">
        <f aca="false">IF(A81="","",A81+6)</f>
        <v/>
      </c>
      <c r="C81" s="14"/>
      <c r="D81" s="19" t="str">
        <f aca="false">IF(A81="","",COUNTIFS('Sales Daily KPIs'!$B:$B,$C81,'Sales Daily KPIs'!$A:$A,"&gt;="&amp;$A81,'Sales Daily KPIs'!$A:$A,"&lt;="&amp;$B81,'Sales Daily KPIs'!$C:$C,"&lt;&gt;"))</f>
        <v/>
      </c>
      <c r="E81" s="19" t="str">
        <f aca="false">IF(A81="","",SUMIFS('Sales Daily KPIs'!$C:$C,'Sales Daily KPIs'!$B:$B,$C81,'Sales Daily KPIs'!$A:$A,"&gt;="&amp;$A81,'Sales Daily KPIs'!$A:$A,"&lt;="&amp;$B81))</f>
        <v/>
      </c>
      <c r="F81" s="19" t="str">
        <f aca="false">IF(A81="","",Settings!$B$2*Settings!$B$6)</f>
        <v/>
      </c>
      <c r="G81" s="19" t="str">
        <f aca="false">IF(A81="","",SUMIFS('Sales Daily KPIs'!$D:$D,'Sales Daily KPIs'!$B:$B,$C81,'Sales Daily KPIs'!$A:$A,"&gt;="&amp;$A81,'Sales Daily KPIs'!$A:$A,"&lt;="&amp;$B81))</f>
        <v/>
      </c>
      <c r="H81" s="19" t="str">
        <f aca="false">IF(A81="","",Settings!$B$3*Settings!$B$6)</f>
        <v/>
      </c>
      <c r="I81" s="19" t="str">
        <f aca="false">IF(A81="","",SUMIFS('Sales Daily KPIs'!$E:$E,'Sales Daily KPIs'!$B:$B,$C81,'Sales Daily KPIs'!$A:$A,"&gt;="&amp;$A81,'Sales Daily KPIs'!$A:$A,"&lt;="&amp;$B81))</f>
        <v/>
      </c>
      <c r="J81" s="19" t="str">
        <f aca="false">IF(A81="","",Settings!$B$4*Settings!$B$6)</f>
        <v/>
      </c>
      <c r="K81" s="16" t="str">
        <f aca="false">IF(A81="","",IFERROR(SUMIFS('Sales Daily KPIs'!$G:$G,'Sales Daily KPIs'!$B:$B,$C81,'Sales Daily KPIs'!$A:$A,"&gt;="&amp;$A81,'Sales Daily KPIs'!$A:$A,"&lt;="&amp;$B81)/SUMIFS('Sales Daily KPIs'!$F:$F,'Sales Daily KPIs'!$B:$B,$C81,'Sales Daily KPIs'!$A:$A,"&gt;="&amp;$A81,'Sales Daily KPIs'!$A:$A,"&lt;="&amp;$B81),""))</f>
        <v/>
      </c>
      <c r="L81" s="19" t="str">
        <f aca="false">IF(A81="","",SUMIFS('Sales Daily KPIs'!$I:$I,'Sales Daily KPIs'!$B:$B,$C81,'Sales Daily KPIs'!$A:$A,"&gt;="&amp;$A81,'Sales Daily KPIs'!$A:$A,"&lt;="&amp;$B81))</f>
        <v/>
      </c>
      <c r="M81" s="19" t="str">
        <f aca="false">IF(A81="","",Settings!$B$5)</f>
        <v/>
      </c>
      <c r="N81" s="14"/>
    </row>
    <row r="82" customFormat="false" ht="15" hidden="false" customHeight="false" outlineLevel="0" collapsed="false">
      <c r="A82" s="13"/>
      <c r="B82" s="18" t="str">
        <f aca="false">IF(A82="","",A82+6)</f>
        <v/>
      </c>
      <c r="C82" s="14"/>
      <c r="D82" s="19" t="str">
        <f aca="false">IF(A82="","",COUNTIFS('Sales Daily KPIs'!$B:$B,$C82,'Sales Daily KPIs'!$A:$A,"&gt;="&amp;$A82,'Sales Daily KPIs'!$A:$A,"&lt;="&amp;$B82,'Sales Daily KPIs'!$C:$C,"&lt;&gt;"))</f>
        <v/>
      </c>
      <c r="E82" s="19" t="str">
        <f aca="false">IF(A82="","",SUMIFS('Sales Daily KPIs'!$C:$C,'Sales Daily KPIs'!$B:$B,$C82,'Sales Daily KPIs'!$A:$A,"&gt;="&amp;$A82,'Sales Daily KPIs'!$A:$A,"&lt;="&amp;$B82))</f>
        <v/>
      </c>
      <c r="F82" s="19" t="str">
        <f aca="false">IF(A82="","",Settings!$B$2*Settings!$B$6)</f>
        <v/>
      </c>
      <c r="G82" s="19" t="str">
        <f aca="false">IF(A82="","",SUMIFS('Sales Daily KPIs'!$D:$D,'Sales Daily KPIs'!$B:$B,$C82,'Sales Daily KPIs'!$A:$A,"&gt;="&amp;$A82,'Sales Daily KPIs'!$A:$A,"&lt;="&amp;$B82))</f>
        <v/>
      </c>
      <c r="H82" s="19" t="str">
        <f aca="false">IF(A82="","",Settings!$B$3*Settings!$B$6)</f>
        <v/>
      </c>
      <c r="I82" s="19" t="str">
        <f aca="false">IF(A82="","",SUMIFS('Sales Daily KPIs'!$E:$E,'Sales Daily KPIs'!$B:$B,$C82,'Sales Daily KPIs'!$A:$A,"&gt;="&amp;$A82,'Sales Daily KPIs'!$A:$A,"&lt;="&amp;$B82))</f>
        <v/>
      </c>
      <c r="J82" s="19" t="str">
        <f aca="false">IF(A82="","",Settings!$B$4*Settings!$B$6)</f>
        <v/>
      </c>
      <c r="K82" s="16" t="str">
        <f aca="false">IF(A82="","",IFERROR(SUMIFS('Sales Daily KPIs'!$G:$G,'Sales Daily KPIs'!$B:$B,$C82,'Sales Daily KPIs'!$A:$A,"&gt;="&amp;$A82,'Sales Daily KPIs'!$A:$A,"&lt;="&amp;$B82)/SUMIFS('Sales Daily KPIs'!$F:$F,'Sales Daily KPIs'!$B:$B,$C82,'Sales Daily KPIs'!$A:$A,"&gt;="&amp;$A82,'Sales Daily KPIs'!$A:$A,"&lt;="&amp;$B82),""))</f>
        <v/>
      </c>
      <c r="L82" s="19" t="str">
        <f aca="false">IF(A82="","",SUMIFS('Sales Daily KPIs'!$I:$I,'Sales Daily KPIs'!$B:$B,$C82,'Sales Daily KPIs'!$A:$A,"&gt;="&amp;$A82,'Sales Daily KPIs'!$A:$A,"&lt;="&amp;$B82))</f>
        <v/>
      </c>
      <c r="M82" s="19" t="str">
        <f aca="false">IF(A82="","",Settings!$B$5)</f>
        <v/>
      </c>
      <c r="N82" s="14"/>
    </row>
    <row r="83" customFormat="false" ht="15" hidden="false" customHeight="false" outlineLevel="0" collapsed="false">
      <c r="A83" s="13"/>
      <c r="B83" s="18" t="str">
        <f aca="false">IF(A83="","",A83+6)</f>
        <v/>
      </c>
      <c r="C83" s="14"/>
      <c r="D83" s="19" t="str">
        <f aca="false">IF(A83="","",COUNTIFS('Sales Daily KPIs'!$B:$B,$C83,'Sales Daily KPIs'!$A:$A,"&gt;="&amp;$A83,'Sales Daily KPIs'!$A:$A,"&lt;="&amp;$B83,'Sales Daily KPIs'!$C:$C,"&lt;&gt;"))</f>
        <v/>
      </c>
      <c r="E83" s="19" t="str">
        <f aca="false">IF(A83="","",SUMIFS('Sales Daily KPIs'!$C:$C,'Sales Daily KPIs'!$B:$B,$C83,'Sales Daily KPIs'!$A:$A,"&gt;="&amp;$A83,'Sales Daily KPIs'!$A:$A,"&lt;="&amp;$B83))</f>
        <v/>
      </c>
      <c r="F83" s="19" t="str">
        <f aca="false">IF(A83="","",Settings!$B$2*Settings!$B$6)</f>
        <v/>
      </c>
      <c r="G83" s="19" t="str">
        <f aca="false">IF(A83="","",SUMIFS('Sales Daily KPIs'!$D:$D,'Sales Daily KPIs'!$B:$B,$C83,'Sales Daily KPIs'!$A:$A,"&gt;="&amp;$A83,'Sales Daily KPIs'!$A:$A,"&lt;="&amp;$B83))</f>
        <v/>
      </c>
      <c r="H83" s="19" t="str">
        <f aca="false">IF(A83="","",Settings!$B$3*Settings!$B$6)</f>
        <v/>
      </c>
      <c r="I83" s="19" t="str">
        <f aca="false">IF(A83="","",SUMIFS('Sales Daily KPIs'!$E:$E,'Sales Daily KPIs'!$B:$B,$C83,'Sales Daily KPIs'!$A:$A,"&gt;="&amp;$A83,'Sales Daily KPIs'!$A:$A,"&lt;="&amp;$B83))</f>
        <v/>
      </c>
      <c r="J83" s="19" t="str">
        <f aca="false">IF(A83="","",Settings!$B$4*Settings!$B$6)</f>
        <v/>
      </c>
      <c r="K83" s="16" t="str">
        <f aca="false">IF(A83="","",IFERROR(SUMIFS('Sales Daily KPIs'!$G:$G,'Sales Daily KPIs'!$B:$B,$C83,'Sales Daily KPIs'!$A:$A,"&gt;="&amp;$A83,'Sales Daily KPIs'!$A:$A,"&lt;="&amp;$B83)/SUMIFS('Sales Daily KPIs'!$F:$F,'Sales Daily KPIs'!$B:$B,$C83,'Sales Daily KPIs'!$A:$A,"&gt;="&amp;$A83,'Sales Daily KPIs'!$A:$A,"&lt;="&amp;$B83),""))</f>
        <v/>
      </c>
      <c r="L83" s="19" t="str">
        <f aca="false">IF(A83="","",SUMIFS('Sales Daily KPIs'!$I:$I,'Sales Daily KPIs'!$B:$B,$C83,'Sales Daily KPIs'!$A:$A,"&gt;="&amp;$A83,'Sales Daily KPIs'!$A:$A,"&lt;="&amp;$B83))</f>
        <v/>
      </c>
      <c r="M83" s="19" t="str">
        <f aca="false">IF(A83="","",Settings!$B$5)</f>
        <v/>
      </c>
      <c r="N83" s="14"/>
    </row>
    <row r="84" customFormat="false" ht="15" hidden="false" customHeight="false" outlineLevel="0" collapsed="false">
      <c r="A84" s="13"/>
      <c r="B84" s="18" t="str">
        <f aca="false">IF(A84="","",A84+6)</f>
        <v/>
      </c>
      <c r="C84" s="14"/>
      <c r="D84" s="19" t="str">
        <f aca="false">IF(A84="","",COUNTIFS('Sales Daily KPIs'!$B:$B,$C84,'Sales Daily KPIs'!$A:$A,"&gt;="&amp;$A84,'Sales Daily KPIs'!$A:$A,"&lt;="&amp;$B84,'Sales Daily KPIs'!$C:$C,"&lt;&gt;"))</f>
        <v/>
      </c>
      <c r="E84" s="19" t="str">
        <f aca="false">IF(A84="","",SUMIFS('Sales Daily KPIs'!$C:$C,'Sales Daily KPIs'!$B:$B,$C84,'Sales Daily KPIs'!$A:$A,"&gt;="&amp;$A84,'Sales Daily KPIs'!$A:$A,"&lt;="&amp;$B84))</f>
        <v/>
      </c>
      <c r="F84" s="19" t="str">
        <f aca="false">IF(A84="","",Settings!$B$2*Settings!$B$6)</f>
        <v/>
      </c>
      <c r="G84" s="19" t="str">
        <f aca="false">IF(A84="","",SUMIFS('Sales Daily KPIs'!$D:$D,'Sales Daily KPIs'!$B:$B,$C84,'Sales Daily KPIs'!$A:$A,"&gt;="&amp;$A84,'Sales Daily KPIs'!$A:$A,"&lt;="&amp;$B84))</f>
        <v/>
      </c>
      <c r="H84" s="19" t="str">
        <f aca="false">IF(A84="","",Settings!$B$3*Settings!$B$6)</f>
        <v/>
      </c>
      <c r="I84" s="19" t="str">
        <f aca="false">IF(A84="","",SUMIFS('Sales Daily KPIs'!$E:$E,'Sales Daily KPIs'!$B:$B,$C84,'Sales Daily KPIs'!$A:$A,"&gt;="&amp;$A84,'Sales Daily KPIs'!$A:$A,"&lt;="&amp;$B84))</f>
        <v/>
      </c>
      <c r="J84" s="19" t="str">
        <f aca="false">IF(A84="","",Settings!$B$4*Settings!$B$6)</f>
        <v/>
      </c>
      <c r="K84" s="16" t="str">
        <f aca="false">IF(A84="","",IFERROR(SUMIFS('Sales Daily KPIs'!$G:$G,'Sales Daily KPIs'!$B:$B,$C84,'Sales Daily KPIs'!$A:$A,"&gt;="&amp;$A84,'Sales Daily KPIs'!$A:$A,"&lt;="&amp;$B84)/SUMIFS('Sales Daily KPIs'!$F:$F,'Sales Daily KPIs'!$B:$B,$C84,'Sales Daily KPIs'!$A:$A,"&gt;="&amp;$A84,'Sales Daily KPIs'!$A:$A,"&lt;="&amp;$B84),""))</f>
        <v/>
      </c>
      <c r="L84" s="19" t="str">
        <f aca="false">IF(A84="","",SUMIFS('Sales Daily KPIs'!$I:$I,'Sales Daily KPIs'!$B:$B,$C84,'Sales Daily KPIs'!$A:$A,"&gt;="&amp;$A84,'Sales Daily KPIs'!$A:$A,"&lt;="&amp;$B84))</f>
        <v/>
      </c>
      <c r="M84" s="19" t="str">
        <f aca="false">IF(A84="","",Settings!$B$5)</f>
        <v/>
      </c>
      <c r="N84" s="14"/>
    </row>
    <row r="85" customFormat="false" ht="15" hidden="false" customHeight="false" outlineLevel="0" collapsed="false">
      <c r="A85" s="13"/>
      <c r="B85" s="18" t="str">
        <f aca="false">IF(A85="","",A85+6)</f>
        <v/>
      </c>
      <c r="C85" s="14"/>
      <c r="D85" s="19" t="str">
        <f aca="false">IF(A85="","",COUNTIFS('Sales Daily KPIs'!$B:$B,$C85,'Sales Daily KPIs'!$A:$A,"&gt;="&amp;$A85,'Sales Daily KPIs'!$A:$A,"&lt;="&amp;$B85,'Sales Daily KPIs'!$C:$C,"&lt;&gt;"))</f>
        <v/>
      </c>
      <c r="E85" s="19" t="str">
        <f aca="false">IF(A85="","",SUMIFS('Sales Daily KPIs'!$C:$C,'Sales Daily KPIs'!$B:$B,$C85,'Sales Daily KPIs'!$A:$A,"&gt;="&amp;$A85,'Sales Daily KPIs'!$A:$A,"&lt;="&amp;$B85))</f>
        <v/>
      </c>
      <c r="F85" s="19" t="str">
        <f aca="false">IF(A85="","",Settings!$B$2*Settings!$B$6)</f>
        <v/>
      </c>
      <c r="G85" s="19" t="str">
        <f aca="false">IF(A85="","",SUMIFS('Sales Daily KPIs'!$D:$D,'Sales Daily KPIs'!$B:$B,$C85,'Sales Daily KPIs'!$A:$A,"&gt;="&amp;$A85,'Sales Daily KPIs'!$A:$A,"&lt;="&amp;$B85))</f>
        <v/>
      </c>
      <c r="H85" s="19" t="str">
        <f aca="false">IF(A85="","",Settings!$B$3*Settings!$B$6)</f>
        <v/>
      </c>
      <c r="I85" s="19" t="str">
        <f aca="false">IF(A85="","",SUMIFS('Sales Daily KPIs'!$E:$E,'Sales Daily KPIs'!$B:$B,$C85,'Sales Daily KPIs'!$A:$A,"&gt;="&amp;$A85,'Sales Daily KPIs'!$A:$A,"&lt;="&amp;$B85))</f>
        <v/>
      </c>
      <c r="J85" s="19" t="str">
        <f aca="false">IF(A85="","",Settings!$B$4*Settings!$B$6)</f>
        <v/>
      </c>
      <c r="K85" s="16" t="str">
        <f aca="false">IF(A85="","",IFERROR(SUMIFS('Sales Daily KPIs'!$G:$G,'Sales Daily KPIs'!$B:$B,$C85,'Sales Daily KPIs'!$A:$A,"&gt;="&amp;$A85,'Sales Daily KPIs'!$A:$A,"&lt;="&amp;$B85)/SUMIFS('Sales Daily KPIs'!$F:$F,'Sales Daily KPIs'!$B:$B,$C85,'Sales Daily KPIs'!$A:$A,"&gt;="&amp;$A85,'Sales Daily KPIs'!$A:$A,"&lt;="&amp;$B85),""))</f>
        <v/>
      </c>
      <c r="L85" s="19" t="str">
        <f aca="false">IF(A85="","",SUMIFS('Sales Daily KPIs'!$I:$I,'Sales Daily KPIs'!$B:$B,$C85,'Sales Daily KPIs'!$A:$A,"&gt;="&amp;$A85,'Sales Daily KPIs'!$A:$A,"&lt;="&amp;$B85))</f>
        <v/>
      </c>
      <c r="M85" s="19" t="str">
        <f aca="false">IF(A85="","",Settings!$B$5)</f>
        <v/>
      </c>
      <c r="N85" s="14"/>
    </row>
    <row r="86" customFormat="false" ht="15" hidden="false" customHeight="false" outlineLevel="0" collapsed="false">
      <c r="A86" s="13"/>
      <c r="B86" s="18" t="str">
        <f aca="false">IF(A86="","",A86+6)</f>
        <v/>
      </c>
      <c r="C86" s="14"/>
      <c r="D86" s="19" t="str">
        <f aca="false">IF(A86="","",COUNTIFS('Sales Daily KPIs'!$B:$B,$C86,'Sales Daily KPIs'!$A:$A,"&gt;="&amp;$A86,'Sales Daily KPIs'!$A:$A,"&lt;="&amp;$B86,'Sales Daily KPIs'!$C:$C,"&lt;&gt;"))</f>
        <v/>
      </c>
      <c r="E86" s="19" t="str">
        <f aca="false">IF(A86="","",SUMIFS('Sales Daily KPIs'!$C:$C,'Sales Daily KPIs'!$B:$B,$C86,'Sales Daily KPIs'!$A:$A,"&gt;="&amp;$A86,'Sales Daily KPIs'!$A:$A,"&lt;="&amp;$B86))</f>
        <v/>
      </c>
      <c r="F86" s="19" t="str">
        <f aca="false">IF(A86="","",Settings!$B$2*Settings!$B$6)</f>
        <v/>
      </c>
      <c r="G86" s="19" t="str">
        <f aca="false">IF(A86="","",SUMIFS('Sales Daily KPIs'!$D:$D,'Sales Daily KPIs'!$B:$B,$C86,'Sales Daily KPIs'!$A:$A,"&gt;="&amp;$A86,'Sales Daily KPIs'!$A:$A,"&lt;="&amp;$B86))</f>
        <v/>
      </c>
      <c r="H86" s="19" t="str">
        <f aca="false">IF(A86="","",Settings!$B$3*Settings!$B$6)</f>
        <v/>
      </c>
      <c r="I86" s="19" t="str">
        <f aca="false">IF(A86="","",SUMIFS('Sales Daily KPIs'!$E:$E,'Sales Daily KPIs'!$B:$B,$C86,'Sales Daily KPIs'!$A:$A,"&gt;="&amp;$A86,'Sales Daily KPIs'!$A:$A,"&lt;="&amp;$B86))</f>
        <v/>
      </c>
      <c r="J86" s="19" t="str">
        <f aca="false">IF(A86="","",Settings!$B$4*Settings!$B$6)</f>
        <v/>
      </c>
      <c r="K86" s="16" t="str">
        <f aca="false">IF(A86="","",IFERROR(SUMIFS('Sales Daily KPIs'!$G:$G,'Sales Daily KPIs'!$B:$B,$C86,'Sales Daily KPIs'!$A:$A,"&gt;="&amp;$A86,'Sales Daily KPIs'!$A:$A,"&lt;="&amp;$B86)/SUMIFS('Sales Daily KPIs'!$F:$F,'Sales Daily KPIs'!$B:$B,$C86,'Sales Daily KPIs'!$A:$A,"&gt;="&amp;$A86,'Sales Daily KPIs'!$A:$A,"&lt;="&amp;$B86),""))</f>
        <v/>
      </c>
      <c r="L86" s="19" t="str">
        <f aca="false">IF(A86="","",SUMIFS('Sales Daily KPIs'!$I:$I,'Sales Daily KPIs'!$B:$B,$C86,'Sales Daily KPIs'!$A:$A,"&gt;="&amp;$A86,'Sales Daily KPIs'!$A:$A,"&lt;="&amp;$B86))</f>
        <v/>
      </c>
      <c r="M86" s="19" t="str">
        <f aca="false">IF(A86="","",Settings!$B$5)</f>
        <v/>
      </c>
      <c r="N86" s="14"/>
    </row>
    <row r="87" customFormat="false" ht="15" hidden="false" customHeight="false" outlineLevel="0" collapsed="false">
      <c r="A87" s="13"/>
      <c r="B87" s="18" t="str">
        <f aca="false">IF(A87="","",A87+6)</f>
        <v/>
      </c>
      <c r="C87" s="14"/>
      <c r="D87" s="19" t="str">
        <f aca="false">IF(A87="","",COUNTIFS('Sales Daily KPIs'!$B:$B,$C87,'Sales Daily KPIs'!$A:$A,"&gt;="&amp;$A87,'Sales Daily KPIs'!$A:$A,"&lt;="&amp;$B87,'Sales Daily KPIs'!$C:$C,"&lt;&gt;"))</f>
        <v/>
      </c>
      <c r="E87" s="19" t="str">
        <f aca="false">IF(A87="","",SUMIFS('Sales Daily KPIs'!$C:$C,'Sales Daily KPIs'!$B:$B,$C87,'Sales Daily KPIs'!$A:$A,"&gt;="&amp;$A87,'Sales Daily KPIs'!$A:$A,"&lt;="&amp;$B87))</f>
        <v/>
      </c>
      <c r="F87" s="19" t="str">
        <f aca="false">IF(A87="","",Settings!$B$2*Settings!$B$6)</f>
        <v/>
      </c>
      <c r="G87" s="19" t="str">
        <f aca="false">IF(A87="","",SUMIFS('Sales Daily KPIs'!$D:$D,'Sales Daily KPIs'!$B:$B,$C87,'Sales Daily KPIs'!$A:$A,"&gt;="&amp;$A87,'Sales Daily KPIs'!$A:$A,"&lt;="&amp;$B87))</f>
        <v/>
      </c>
      <c r="H87" s="19" t="str">
        <f aca="false">IF(A87="","",Settings!$B$3*Settings!$B$6)</f>
        <v/>
      </c>
      <c r="I87" s="19" t="str">
        <f aca="false">IF(A87="","",SUMIFS('Sales Daily KPIs'!$E:$E,'Sales Daily KPIs'!$B:$B,$C87,'Sales Daily KPIs'!$A:$A,"&gt;="&amp;$A87,'Sales Daily KPIs'!$A:$A,"&lt;="&amp;$B87))</f>
        <v/>
      </c>
      <c r="J87" s="19" t="str">
        <f aca="false">IF(A87="","",Settings!$B$4*Settings!$B$6)</f>
        <v/>
      </c>
      <c r="K87" s="16" t="str">
        <f aca="false">IF(A87="","",IFERROR(SUMIFS('Sales Daily KPIs'!$G:$G,'Sales Daily KPIs'!$B:$B,$C87,'Sales Daily KPIs'!$A:$A,"&gt;="&amp;$A87,'Sales Daily KPIs'!$A:$A,"&lt;="&amp;$B87)/SUMIFS('Sales Daily KPIs'!$F:$F,'Sales Daily KPIs'!$B:$B,$C87,'Sales Daily KPIs'!$A:$A,"&gt;="&amp;$A87,'Sales Daily KPIs'!$A:$A,"&lt;="&amp;$B87),""))</f>
        <v/>
      </c>
      <c r="L87" s="19" t="str">
        <f aca="false">IF(A87="","",SUMIFS('Sales Daily KPIs'!$I:$I,'Sales Daily KPIs'!$B:$B,$C87,'Sales Daily KPIs'!$A:$A,"&gt;="&amp;$A87,'Sales Daily KPIs'!$A:$A,"&lt;="&amp;$B87))</f>
        <v/>
      </c>
      <c r="M87" s="19" t="str">
        <f aca="false">IF(A87="","",Settings!$B$5)</f>
        <v/>
      </c>
      <c r="N87" s="14"/>
    </row>
    <row r="88" customFormat="false" ht="15" hidden="false" customHeight="false" outlineLevel="0" collapsed="false">
      <c r="A88" s="13"/>
      <c r="B88" s="18" t="str">
        <f aca="false">IF(A88="","",A88+6)</f>
        <v/>
      </c>
      <c r="C88" s="14"/>
      <c r="D88" s="19" t="str">
        <f aca="false">IF(A88="","",COUNTIFS('Sales Daily KPIs'!$B:$B,$C88,'Sales Daily KPIs'!$A:$A,"&gt;="&amp;$A88,'Sales Daily KPIs'!$A:$A,"&lt;="&amp;$B88,'Sales Daily KPIs'!$C:$C,"&lt;&gt;"))</f>
        <v/>
      </c>
      <c r="E88" s="19" t="str">
        <f aca="false">IF(A88="","",SUMIFS('Sales Daily KPIs'!$C:$C,'Sales Daily KPIs'!$B:$B,$C88,'Sales Daily KPIs'!$A:$A,"&gt;="&amp;$A88,'Sales Daily KPIs'!$A:$A,"&lt;="&amp;$B88))</f>
        <v/>
      </c>
      <c r="F88" s="19" t="str">
        <f aca="false">IF(A88="","",Settings!$B$2*Settings!$B$6)</f>
        <v/>
      </c>
      <c r="G88" s="19" t="str">
        <f aca="false">IF(A88="","",SUMIFS('Sales Daily KPIs'!$D:$D,'Sales Daily KPIs'!$B:$B,$C88,'Sales Daily KPIs'!$A:$A,"&gt;="&amp;$A88,'Sales Daily KPIs'!$A:$A,"&lt;="&amp;$B88))</f>
        <v/>
      </c>
      <c r="H88" s="19" t="str">
        <f aca="false">IF(A88="","",Settings!$B$3*Settings!$B$6)</f>
        <v/>
      </c>
      <c r="I88" s="19" t="str">
        <f aca="false">IF(A88="","",SUMIFS('Sales Daily KPIs'!$E:$E,'Sales Daily KPIs'!$B:$B,$C88,'Sales Daily KPIs'!$A:$A,"&gt;="&amp;$A88,'Sales Daily KPIs'!$A:$A,"&lt;="&amp;$B88))</f>
        <v/>
      </c>
      <c r="J88" s="19" t="str">
        <f aca="false">IF(A88="","",Settings!$B$4*Settings!$B$6)</f>
        <v/>
      </c>
      <c r="K88" s="16" t="str">
        <f aca="false">IF(A88="","",IFERROR(SUMIFS('Sales Daily KPIs'!$G:$G,'Sales Daily KPIs'!$B:$B,$C88,'Sales Daily KPIs'!$A:$A,"&gt;="&amp;$A88,'Sales Daily KPIs'!$A:$A,"&lt;="&amp;$B88)/SUMIFS('Sales Daily KPIs'!$F:$F,'Sales Daily KPIs'!$B:$B,$C88,'Sales Daily KPIs'!$A:$A,"&gt;="&amp;$A88,'Sales Daily KPIs'!$A:$A,"&lt;="&amp;$B88),""))</f>
        <v/>
      </c>
      <c r="L88" s="19" t="str">
        <f aca="false">IF(A88="","",SUMIFS('Sales Daily KPIs'!$I:$I,'Sales Daily KPIs'!$B:$B,$C88,'Sales Daily KPIs'!$A:$A,"&gt;="&amp;$A88,'Sales Daily KPIs'!$A:$A,"&lt;="&amp;$B88))</f>
        <v/>
      </c>
      <c r="M88" s="19" t="str">
        <f aca="false">IF(A88="","",Settings!$B$5)</f>
        <v/>
      </c>
      <c r="N88" s="14"/>
    </row>
    <row r="89" customFormat="false" ht="15" hidden="false" customHeight="false" outlineLevel="0" collapsed="false">
      <c r="A89" s="13"/>
      <c r="B89" s="18" t="str">
        <f aca="false">IF(A89="","",A89+6)</f>
        <v/>
      </c>
      <c r="C89" s="14"/>
      <c r="D89" s="19" t="str">
        <f aca="false">IF(A89="","",COUNTIFS('Sales Daily KPIs'!$B:$B,$C89,'Sales Daily KPIs'!$A:$A,"&gt;="&amp;$A89,'Sales Daily KPIs'!$A:$A,"&lt;="&amp;$B89,'Sales Daily KPIs'!$C:$C,"&lt;&gt;"))</f>
        <v/>
      </c>
      <c r="E89" s="19" t="str">
        <f aca="false">IF(A89="","",SUMIFS('Sales Daily KPIs'!$C:$C,'Sales Daily KPIs'!$B:$B,$C89,'Sales Daily KPIs'!$A:$A,"&gt;="&amp;$A89,'Sales Daily KPIs'!$A:$A,"&lt;="&amp;$B89))</f>
        <v/>
      </c>
      <c r="F89" s="19" t="str">
        <f aca="false">IF(A89="","",Settings!$B$2*Settings!$B$6)</f>
        <v/>
      </c>
      <c r="G89" s="19" t="str">
        <f aca="false">IF(A89="","",SUMIFS('Sales Daily KPIs'!$D:$D,'Sales Daily KPIs'!$B:$B,$C89,'Sales Daily KPIs'!$A:$A,"&gt;="&amp;$A89,'Sales Daily KPIs'!$A:$A,"&lt;="&amp;$B89))</f>
        <v/>
      </c>
      <c r="H89" s="19" t="str">
        <f aca="false">IF(A89="","",Settings!$B$3*Settings!$B$6)</f>
        <v/>
      </c>
      <c r="I89" s="19" t="str">
        <f aca="false">IF(A89="","",SUMIFS('Sales Daily KPIs'!$E:$E,'Sales Daily KPIs'!$B:$B,$C89,'Sales Daily KPIs'!$A:$A,"&gt;="&amp;$A89,'Sales Daily KPIs'!$A:$A,"&lt;="&amp;$B89))</f>
        <v/>
      </c>
      <c r="J89" s="19" t="str">
        <f aca="false">IF(A89="","",Settings!$B$4*Settings!$B$6)</f>
        <v/>
      </c>
      <c r="K89" s="16" t="str">
        <f aca="false">IF(A89="","",IFERROR(SUMIFS('Sales Daily KPIs'!$G:$G,'Sales Daily KPIs'!$B:$B,$C89,'Sales Daily KPIs'!$A:$A,"&gt;="&amp;$A89,'Sales Daily KPIs'!$A:$A,"&lt;="&amp;$B89)/SUMIFS('Sales Daily KPIs'!$F:$F,'Sales Daily KPIs'!$B:$B,$C89,'Sales Daily KPIs'!$A:$A,"&gt;="&amp;$A89,'Sales Daily KPIs'!$A:$A,"&lt;="&amp;$B89),""))</f>
        <v/>
      </c>
      <c r="L89" s="19" t="str">
        <f aca="false">IF(A89="","",SUMIFS('Sales Daily KPIs'!$I:$I,'Sales Daily KPIs'!$B:$B,$C89,'Sales Daily KPIs'!$A:$A,"&gt;="&amp;$A89,'Sales Daily KPIs'!$A:$A,"&lt;="&amp;$B89))</f>
        <v/>
      </c>
      <c r="M89" s="19" t="str">
        <f aca="false">IF(A89="","",Settings!$B$5)</f>
        <v/>
      </c>
      <c r="N89" s="14"/>
    </row>
    <row r="90" customFormat="false" ht="15" hidden="false" customHeight="false" outlineLevel="0" collapsed="false">
      <c r="A90" s="13"/>
      <c r="B90" s="18" t="str">
        <f aca="false">IF(A90="","",A90+6)</f>
        <v/>
      </c>
      <c r="C90" s="14"/>
      <c r="D90" s="19" t="str">
        <f aca="false">IF(A90="","",COUNTIFS('Sales Daily KPIs'!$B:$B,$C90,'Sales Daily KPIs'!$A:$A,"&gt;="&amp;$A90,'Sales Daily KPIs'!$A:$A,"&lt;="&amp;$B90,'Sales Daily KPIs'!$C:$C,"&lt;&gt;"))</f>
        <v/>
      </c>
      <c r="E90" s="19" t="str">
        <f aca="false">IF(A90="","",SUMIFS('Sales Daily KPIs'!$C:$C,'Sales Daily KPIs'!$B:$B,$C90,'Sales Daily KPIs'!$A:$A,"&gt;="&amp;$A90,'Sales Daily KPIs'!$A:$A,"&lt;="&amp;$B90))</f>
        <v/>
      </c>
      <c r="F90" s="19" t="str">
        <f aca="false">IF(A90="","",Settings!$B$2*Settings!$B$6)</f>
        <v/>
      </c>
      <c r="G90" s="19" t="str">
        <f aca="false">IF(A90="","",SUMIFS('Sales Daily KPIs'!$D:$D,'Sales Daily KPIs'!$B:$B,$C90,'Sales Daily KPIs'!$A:$A,"&gt;="&amp;$A90,'Sales Daily KPIs'!$A:$A,"&lt;="&amp;$B90))</f>
        <v/>
      </c>
      <c r="H90" s="19" t="str">
        <f aca="false">IF(A90="","",Settings!$B$3*Settings!$B$6)</f>
        <v/>
      </c>
      <c r="I90" s="19" t="str">
        <f aca="false">IF(A90="","",SUMIFS('Sales Daily KPIs'!$E:$E,'Sales Daily KPIs'!$B:$B,$C90,'Sales Daily KPIs'!$A:$A,"&gt;="&amp;$A90,'Sales Daily KPIs'!$A:$A,"&lt;="&amp;$B90))</f>
        <v/>
      </c>
      <c r="J90" s="19" t="str">
        <f aca="false">IF(A90="","",Settings!$B$4*Settings!$B$6)</f>
        <v/>
      </c>
      <c r="K90" s="16" t="str">
        <f aca="false">IF(A90="","",IFERROR(SUMIFS('Sales Daily KPIs'!$G:$G,'Sales Daily KPIs'!$B:$B,$C90,'Sales Daily KPIs'!$A:$A,"&gt;="&amp;$A90,'Sales Daily KPIs'!$A:$A,"&lt;="&amp;$B90)/SUMIFS('Sales Daily KPIs'!$F:$F,'Sales Daily KPIs'!$B:$B,$C90,'Sales Daily KPIs'!$A:$A,"&gt;="&amp;$A90,'Sales Daily KPIs'!$A:$A,"&lt;="&amp;$B90),""))</f>
        <v/>
      </c>
      <c r="L90" s="19" t="str">
        <f aca="false">IF(A90="","",SUMIFS('Sales Daily KPIs'!$I:$I,'Sales Daily KPIs'!$B:$B,$C90,'Sales Daily KPIs'!$A:$A,"&gt;="&amp;$A90,'Sales Daily KPIs'!$A:$A,"&lt;="&amp;$B90))</f>
        <v/>
      </c>
      <c r="M90" s="19" t="str">
        <f aca="false">IF(A90="","",Settings!$B$5)</f>
        <v/>
      </c>
      <c r="N90" s="14"/>
    </row>
    <row r="91" customFormat="false" ht="15" hidden="false" customHeight="false" outlineLevel="0" collapsed="false">
      <c r="A91" s="13"/>
      <c r="B91" s="18" t="str">
        <f aca="false">IF(A91="","",A91+6)</f>
        <v/>
      </c>
      <c r="C91" s="14"/>
      <c r="D91" s="19" t="str">
        <f aca="false">IF(A91="","",COUNTIFS('Sales Daily KPIs'!$B:$B,$C91,'Sales Daily KPIs'!$A:$A,"&gt;="&amp;$A91,'Sales Daily KPIs'!$A:$A,"&lt;="&amp;$B91,'Sales Daily KPIs'!$C:$C,"&lt;&gt;"))</f>
        <v/>
      </c>
      <c r="E91" s="19" t="str">
        <f aca="false">IF(A91="","",SUMIFS('Sales Daily KPIs'!$C:$C,'Sales Daily KPIs'!$B:$B,$C91,'Sales Daily KPIs'!$A:$A,"&gt;="&amp;$A91,'Sales Daily KPIs'!$A:$A,"&lt;="&amp;$B91))</f>
        <v/>
      </c>
      <c r="F91" s="19" t="str">
        <f aca="false">IF(A91="","",Settings!$B$2*Settings!$B$6)</f>
        <v/>
      </c>
      <c r="G91" s="19" t="str">
        <f aca="false">IF(A91="","",SUMIFS('Sales Daily KPIs'!$D:$D,'Sales Daily KPIs'!$B:$B,$C91,'Sales Daily KPIs'!$A:$A,"&gt;="&amp;$A91,'Sales Daily KPIs'!$A:$A,"&lt;="&amp;$B91))</f>
        <v/>
      </c>
      <c r="H91" s="19" t="str">
        <f aca="false">IF(A91="","",Settings!$B$3*Settings!$B$6)</f>
        <v/>
      </c>
      <c r="I91" s="19" t="str">
        <f aca="false">IF(A91="","",SUMIFS('Sales Daily KPIs'!$E:$E,'Sales Daily KPIs'!$B:$B,$C91,'Sales Daily KPIs'!$A:$A,"&gt;="&amp;$A91,'Sales Daily KPIs'!$A:$A,"&lt;="&amp;$B91))</f>
        <v/>
      </c>
      <c r="J91" s="19" t="str">
        <f aca="false">IF(A91="","",Settings!$B$4*Settings!$B$6)</f>
        <v/>
      </c>
      <c r="K91" s="16" t="str">
        <f aca="false">IF(A91="","",IFERROR(SUMIFS('Sales Daily KPIs'!$G:$G,'Sales Daily KPIs'!$B:$B,$C91,'Sales Daily KPIs'!$A:$A,"&gt;="&amp;$A91,'Sales Daily KPIs'!$A:$A,"&lt;="&amp;$B91)/SUMIFS('Sales Daily KPIs'!$F:$F,'Sales Daily KPIs'!$B:$B,$C91,'Sales Daily KPIs'!$A:$A,"&gt;="&amp;$A91,'Sales Daily KPIs'!$A:$A,"&lt;="&amp;$B91),""))</f>
        <v/>
      </c>
      <c r="L91" s="19" t="str">
        <f aca="false">IF(A91="","",SUMIFS('Sales Daily KPIs'!$I:$I,'Sales Daily KPIs'!$B:$B,$C91,'Sales Daily KPIs'!$A:$A,"&gt;="&amp;$A91,'Sales Daily KPIs'!$A:$A,"&lt;="&amp;$B91))</f>
        <v/>
      </c>
      <c r="M91" s="19" t="str">
        <f aca="false">IF(A91="","",Settings!$B$5)</f>
        <v/>
      </c>
      <c r="N91" s="14"/>
    </row>
    <row r="92" customFormat="false" ht="15" hidden="false" customHeight="false" outlineLevel="0" collapsed="false">
      <c r="A92" s="13"/>
      <c r="B92" s="18" t="str">
        <f aca="false">IF(A92="","",A92+6)</f>
        <v/>
      </c>
      <c r="C92" s="14"/>
      <c r="D92" s="19" t="str">
        <f aca="false">IF(A92="","",COUNTIFS('Sales Daily KPIs'!$B:$B,$C92,'Sales Daily KPIs'!$A:$A,"&gt;="&amp;$A92,'Sales Daily KPIs'!$A:$A,"&lt;="&amp;$B92,'Sales Daily KPIs'!$C:$C,"&lt;&gt;"))</f>
        <v/>
      </c>
      <c r="E92" s="19" t="str">
        <f aca="false">IF(A92="","",SUMIFS('Sales Daily KPIs'!$C:$C,'Sales Daily KPIs'!$B:$B,$C92,'Sales Daily KPIs'!$A:$A,"&gt;="&amp;$A92,'Sales Daily KPIs'!$A:$A,"&lt;="&amp;$B92))</f>
        <v/>
      </c>
      <c r="F92" s="19" t="str">
        <f aca="false">IF(A92="","",Settings!$B$2*Settings!$B$6)</f>
        <v/>
      </c>
      <c r="G92" s="19" t="str">
        <f aca="false">IF(A92="","",SUMIFS('Sales Daily KPIs'!$D:$D,'Sales Daily KPIs'!$B:$B,$C92,'Sales Daily KPIs'!$A:$A,"&gt;="&amp;$A92,'Sales Daily KPIs'!$A:$A,"&lt;="&amp;$B92))</f>
        <v/>
      </c>
      <c r="H92" s="19" t="str">
        <f aca="false">IF(A92="","",Settings!$B$3*Settings!$B$6)</f>
        <v/>
      </c>
      <c r="I92" s="19" t="str">
        <f aca="false">IF(A92="","",SUMIFS('Sales Daily KPIs'!$E:$E,'Sales Daily KPIs'!$B:$B,$C92,'Sales Daily KPIs'!$A:$A,"&gt;="&amp;$A92,'Sales Daily KPIs'!$A:$A,"&lt;="&amp;$B92))</f>
        <v/>
      </c>
      <c r="J92" s="19" t="str">
        <f aca="false">IF(A92="","",Settings!$B$4*Settings!$B$6)</f>
        <v/>
      </c>
      <c r="K92" s="16" t="str">
        <f aca="false">IF(A92="","",IFERROR(SUMIFS('Sales Daily KPIs'!$G:$G,'Sales Daily KPIs'!$B:$B,$C92,'Sales Daily KPIs'!$A:$A,"&gt;="&amp;$A92,'Sales Daily KPIs'!$A:$A,"&lt;="&amp;$B92)/SUMIFS('Sales Daily KPIs'!$F:$F,'Sales Daily KPIs'!$B:$B,$C92,'Sales Daily KPIs'!$A:$A,"&gt;="&amp;$A92,'Sales Daily KPIs'!$A:$A,"&lt;="&amp;$B92),""))</f>
        <v/>
      </c>
      <c r="L92" s="19" t="str">
        <f aca="false">IF(A92="","",SUMIFS('Sales Daily KPIs'!$I:$I,'Sales Daily KPIs'!$B:$B,$C92,'Sales Daily KPIs'!$A:$A,"&gt;="&amp;$A92,'Sales Daily KPIs'!$A:$A,"&lt;="&amp;$B92))</f>
        <v/>
      </c>
      <c r="M92" s="19" t="str">
        <f aca="false">IF(A92="","",Settings!$B$5)</f>
        <v/>
      </c>
      <c r="N92" s="14"/>
    </row>
    <row r="93" customFormat="false" ht="15" hidden="false" customHeight="false" outlineLevel="0" collapsed="false">
      <c r="A93" s="13"/>
      <c r="B93" s="18" t="str">
        <f aca="false">IF(A93="","",A93+6)</f>
        <v/>
      </c>
      <c r="C93" s="14"/>
      <c r="D93" s="19" t="str">
        <f aca="false">IF(A93="","",COUNTIFS('Sales Daily KPIs'!$B:$B,$C93,'Sales Daily KPIs'!$A:$A,"&gt;="&amp;$A93,'Sales Daily KPIs'!$A:$A,"&lt;="&amp;$B93,'Sales Daily KPIs'!$C:$C,"&lt;&gt;"))</f>
        <v/>
      </c>
      <c r="E93" s="19" t="str">
        <f aca="false">IF(A93="","",SUMIFS('Sales Daily KPIs'!$C:$C,'Sales Daily KPIs'!$B:$B,$C93,'Sales Daily KPIs'!$A:$A,"&gt;="&amp;$A93,'Sales Daily KPIs'!$A:$A,"&lt;="&amp;$B93))</f>
        <v/>
      </c>
      <c r="F93" s="19" t="str">
        <f aca="false">IF(A93="","",Settings!$B$2*Settings!$B$6)</f>
        <v/>
      </c>
      <c r="G93" s="19" t="str">
        <f aca="false">IF(A93="","",SUMIFS('Sales Daily KPIs'!$D:$D,'Sales Daily KPIs'!$B:$B,$C93,'Sales Daily KPIs'!$A:$A,"&gt;="&amp;$A93,'Sales Daily KPIs'!$A:$A,"&lt;="&amp;$B93))</f>
        <v/>
      </c>
      <c r="H93" s="19" t="str">
        <f aca="false">IF(A93="","",Settings!$B$3*Settings!$B$6)</f>
        <v/>
      </c>
      <c r="I93" s="19" t="str">
        <f aca="false">IF(A93="","",SUMIFS('Sales Daily KPIs'!$E:$E,'Sales Daily KPIs'!$B:$B,$C93,'Sales Daily KPIs'!$A:$A,"&gt;="&amp;$A93,'Sales Daily KPIs'!$A:$A,"&lt;="&amp;$B93))</f>
        <v/>
      </c>
      <c r="J93" s="19" t="str">
        <f aca="false">IF(A93="","",Settings!$B$4*Settings!$B$6)</f>
        <v/>
      </c>
      <c r="K93" s="16" t="str">
        <f aca="false">IF(A93="","",IFERROR(SUMIFS('Sales Daily KPIs'!$G:$G,'Sales Daily KPIs'!$B:$B,$C93,'Sales Daily KPIs'!$A:$A,"&gt;="&amp;$A93,'Sales Daily KPIs'!$A:$A,"&lt;="&amp;$B93)/SUMIFS('Sales Daily KPIs'!$F:$F,'Sales Daily KPIs'!$B:$B,$C93,'Sales Daily KPIs'!$A:$A,"&gt;="&amp;$A93,'Sales Daily KPIs'!$A:$A,"&lt;="&amp;$B93),""))</f>
        <v/>
      </c>
      <c r="L93" s="19" t="str">
        <f aca="false">IF(A93="","",SUMIFS('Sales Daily KPIs'!$I:$I,'Sales Daily KPIs'!$B:$B,$C93,'Sales Daily KPIs'!$A:$A,"&gt;="&amp;$A93,'Sales Daily KPIs'!$A:$A,"&lt;="&amp;$B93))</f>
        <v/>
      </c>
      <c r="M93" s="19" t="str">
        <f aca="false">IF(A93="","",Settings!$B$5)</f>
        <v/>
      </c>
      <c r="N93" s="14"/>
    </row>
    <row r="94" customFormat="false" ht="15" hidden="false" customHeight="false" outlineLevel="0" collapsed="false">
      <c r="A94" s="13"/>
      <c r="B94" s="18" t="str">
        <f aca="false">IF(A94="","",A94+6)</f>
        <v/>
      </c>
      <c r="C94" s="14"/>
      <c r="D94" s="19" t="str">
        <f aca="false">IF(A94="","",COUNTIFS('Sales Daily KPIs'!$B:$B,$C94,'Sales Daily KPIs'!$A:$A,"&gt;="&amp;$A94,'Sales Daily KPIs'!$A:$A,"&lt;="&amp;$B94,'Sales Daily KPIs'!$C:$C,"&lt;&gt;"))</f>
        <v/>
      </c>
      <c r="E94" s="19" t="str">
        <f aca="false">IF(A94="","",SUMIFS('Sales Daily KPIs'!$C:$C,'Sales Daily KPIs'!$B:$B,$C94,'Sales Daily KPIs'!$A:$A,"&gt;="&amp;$A94,'Sales Daily KPIs'!$A:$A,"&lt;="&amp;$B94))</f>
        <v/>
      </c>
      <c r="F94" s="19" t="str">
        <f aca="false">IF(A94="","",Settings!$B$2*Settings!$B$6)</f>
        <v/>
      </c>
      <c r="G94" s="19" t="str">
        <f aca="false">IF(A94="","",SUMIFS('Sales Daily KPIs'!$D:$D,'Sales Daily KPIs'!$B:$B,$C94,'Sales Daily KPIs'!$A:$A,"&gt;="&amp;$A94,'Sales Daily KPIs'!$A:$A,"&lt;="&amp;$B94))</f>
        <v/>
      </c>
      <c r="H94" s="19" t="str">
        <f aca="false">IF(A94="","",Settings!$B$3*Settings!$B$6)</f>
        <v/>
      </c>
      <c r="I94" s="19" t="str">
        <f aca="false">IF(A94="","",SUMIFS('Sales Daily KPIs'!$E:$E,'Sales Daily KPIs'!$B:$B,$C94,'Sales Daily KPIs'!$A:$A,"&gt;="&amp;$A94,'Sales Daily KPIs'!$A:$A,"&lt;="&amp;$B94))</f>
        <v/>
      </c>
      <c r="J94" s="19" t="str">
        <f aca="false">IF(A94="","",Settings!$B$4*Settings!$B$6)</f>
        <v/>
      </c>
      <c r="K94" s="16" t="str">
        <f aca="false">IF(A94="","",IFERROR(SUMIFS('Sales Daily KPIs'!$G:$G,'Sales Daily KPIs'!$B:$B,$C94,'Sales Daily KPIs'!$A:$A,"&gt;="&amp;$A94,'Sales Daily KPIs'!$A:$A,"&lt;="&amp;$B94)/SUMIFS('Sales Daily KPIs'!$F:$F,'Sales Daily KPIs'!$B:$B,$C94,'Sales Daily KPIs'!$A:$A,"&gt;="&amp;$A94,'Sales Daily KPIs'!$A:$A,"&lt;="&amp;$B94),""))</f>
        <v/>
      </c>
      <c r="L94" s="19" t="str">
        <f aca="false">IF(A94="","",SUMIFS('Sales Daily KPIs'!$I:$I,'Sales Daily KPIs'!$B:$B,$C94,'Sales Daily KPIs'!$A:$A,"&gt;="&amp;$A94,'Sales Daily KPIs'!$A:$A,"&lt;="&amp;$B94))</f>
        <v/>
      </c>
      <c r="M94" s="19" t="str">
        <f aca="false">IF(A94="","",Settings!$B$5)</f>
        <v/>
      </c>
      <c r="N94" s="14"/>
    </row>
    <row r="95" customFormat="false" ht="15" hidden="false" customHeight="false" outlineLevel="0" collapsed="false">
      <c r="A95" s="13"/>
      <c r="B95" s="18" t="str">
        <f aca="false">IF(A95="","",A95+6)</f>
        <v/>
      </c>
      <c r="C95" s="14"/>
      <c r="D95" s="19" t="str">
        <f aca="false">IF(A95="","",COUNTIFS('Sales Daily KPIs'!$B:$B,$C95,'Sales Daily KPIs'!$A:$A,"&gt;="&amp;$A95,'Sales Daily KPIs'!$A:$A,"&lt;="&amp;$B95,'Sales Daily KPIs'!$C:$C,"&lt;&gt;"))</f>
        <v/>
      </c>
      <c r="E95" s="19" t="str">
        <f aca="false">IF(A95="","",SUMIFS('Sales Daily KPIs'!$C:$C,'Sales Daily KPIs'!$B:$B,$C95,'Sales Daily KPIs'!$A:$A,"&gt;="&amp;$A95,'Sales Daily KPIs'!$A:$A,"&lt;="&amp;$B95))</f>
        <v/>
      </c>
      <c r="F95" s="19" t="str">
        <f aca="false">IF(A95="","",Settings!$B$2*Settings!$B$6)</f>
        <v/>
      </c>
      <c r="G95" s="19" t="str">
        <f aca="false">IF(A95="","",SUMIFS('Sales Daily KPIs'!$D:$D,'Sales Daily KPIs'!$B:$B,$C95,'Sales Daily KPIs'!$A:$A,"&gt;="&amp;$A95,'Sales Daily KPIs'!$A:$A,"&lt;="&amp;$B95))</f>
        <v/>
      </c>
      <c r="H95" s="19" t="str">
        <f aca="false">IF(A95="","",Settings!$B$3*Settings!$B$6)</f>
        <v/>
      </c>
      <c r="I95" s="19" t="str">
        <f aca="false">IF(A95="","",SUMIFS('Sales Daily KPIs'!$E:$E,'Sales Daily KPIs'!$B:$B,$C95,'Sales Daily KPIs'!$A:$A,"&gt;="&amp;$A95,'Sales Daily KPIs'!$A:$A,"&lt;="&amp;$B95))</f>
        <v/>
      </c>
      <c r="J95" s="19" t="str">
        <f aca="false">IF(A95="","",Settings!$B$4*Settings!$B$6)</f>
        <v/>
      </c>
      <c r="K95" s="16" t="str">
        <f aca="false">IF(A95="","",IFERROR(SUMIFS('Sales Daily KPIs'!$G:$G,'Sales Daily KPIs'!$B:$B,$C95,'Sales Daily KPIs'!$A:$A,"&gt;="&amp;$A95,'Sales Daily KPIs'!$A:$A,"&lt;="&amp;$B95)/SUMIFS('Sales Daily KPIs'!$F:$F,'Sales Daily KPIs'!$B:$B,$C95,'Sales Daily KPIs'!$A:$A,"&gt;="&amp;$A95,'Sales Daily KPIs'!$A:$A,"&lt;="&amp;$B95),""))</f>
        <v/>
      </c>
      <c r="L95" s="19" t="str">
        <f aca="false">IF(A95="","",SUMIFS('Sales Daily KPIs'!$I:$I,'Sales Daily KPIs'!$B:$B,$C95,'Sales Daily KPIs'!$A:$A,"&gt;="&amp;$A95,'Sales Daily KPIs'!$A:$A,"&lt;="&amp;$B95))</f>
        <v/>
      </c>
      <c r="M95" s="19" t="str">
        <f aca="false">IF(A95="","",Settings!$B$5)</f>
        <v/>
      </c>
      <c r="N95" s="14"/>
    </row>
    <row r="96" customFormat="false" ht="15" hidden="false" customHeight="false" outlineLevel="0" collapsed="false">
      <c r="A96" s="13"/>
      <c r="B96" s="18" t="str">
        <f aca="false">IF(A96="","",A96+6)</f>
        <v/>
      </c>
      <c r="C96" s="14"/>
      <c r="D96" s="19" t="str">
        <f aca="false">IF(A96="","",COUNTIFS('Sales Daily KPIs'!$B:$B,$C96,'Sales Daily KPIs'!$A:$A,"&gt;="&amp;$A96,'Sales Daily KPIs'!$A:$A,"&lt;="&amp;$B96,'Sales Daily KPIs'!$C:$C,"&lt;&gt;"))</f>
        <v/>
      </c>
      <c r="E96" s="19" t="str">
        <f aca="false">IF(A96="","",SUMIFS('Sales Daily KPIs'!$C:$C,'Sales Daily KPIs'!$B:$B,$C96,'Sales Daily KPIs'!$A:$A,"&gt;="&amp;$A96,'Sales Daily KPIs'!$A:$A,"&lt;="&amp;$B96))</f>
        <v/>
      </c>
      <c r="F96" s="19" t="str">
        <f aca="false">IF(A96="","",Settings!$B$2*Settings!$B$6)</f>
        <v/>
      </c>
      <c r="G96" s="19" t="str">
        <f aca="false">IF(A96="","",SUMIFS('Sales Daily KPIs'!$D:$D,'Sales Daily KPIs'!$B:$B,$C96,'Sales Daily KPIs'!$A:$A,"&gt;="&amp;$A96,'Sales Daily KPIs'!$A:$A,"&lt;="&amp;$B96))</f>
        <v/>
      </c>
      <c r="H96" s="19" t="str">
        <f aca="false">IF(A96="","",Settings!$B$3*Settings!$B$6)</f>
        <v/>
      </c>
      <c r="I96" s="19" t="str">
        <f aca="false">IF(A96="","",SUMIFS('Sales Daily KPIs'!$E:$E,'Sales Daily KPIs'!$B:$B,$C96,'Sales Daily KPIs'!$A:$A,"&gt;="&amp;$A96,'Sales Daily KPIs'!$A:$A,"&lt;="&amp;$B96))</f>
        <v/>
      </c>
      <c r="J96" s="19" t="str">
        <f aca="false">IF(A96="","",Settings!$B$4*Settings!$B$6)</f>
        <v/>
      </c>
      <c r="K96" s="16" t="str">
        <f aca="false">IF(A96="","",IFERROR(SUMIFS('Sales Daily KPIs'!$G:$G,'Sales Daily KPIs'!$B:$B,$C96,'Sales Daily KPIs'!$A:$A,"&gt;="&amp;$A96,'Sales Daily KPIs'!$A:$A,"&lt;="&amp;$B96)/SUMIFS('Sales Daily KPIs'!$F:$F,'Sales Daily KPIs'!$B:$B,$C96,'Sales Daily KPIs'!$A:$A,"&gt;="&amp;$A96,'Sales Daily KPIs'!$A:$A,"&lt;="&amp;$B96),""))</f>
        <v/>
      </c>
      <c r="L96" s="19" t="str">
        <f aca="false">IF(A96="","",SUMIFS('Sales Daily KPIs'!$I:$I,'Sales Daily KPIs'!$B:$B,$C96,'Sales Daily KPIs'!$A:$A,"&gt;="&amp;$A96,'Sales Daily KPIs'!$A:$A,"&lt;="&amp;$B96))</f>
        <v/>
      </c>
      <c r="M96" s="19" t="str">
        <f aca="false">IF(A96="","",Settings!$B$5)</f>
        <v/>
      </c>
      <c r="N96" s="14"/>
    </row>
    <row r="97" customFormat="false" ht="15" hidden="false" customHeight="false" outlineLevel="0" collapsed="false">
      <c r="A97" s="13"/>
      <c r="B97" s="18" t="str">
        <f aca="false">IF(A97="","",A97+6)</f>
        <v/>
      </c>
      <c r="C97" s="14"/>
      <c r="D97" s="19" t="str">
        <f aca="false">IF(A97="","",COUNTIFS('Sales Daily KPIs'!$B:$B,$C97,'Sales Daily KPIs'!$A:$A,"&gt;="&amp;$A97,'Sales Daily KPIs'!$A:$A,"&lt;="&amp;$B97,'Sales Daily KPIs'!$C:$C,"&lt;&gt;"))</f>
        <v/>
      </c>
      <c r="E97" s="19" t="str">
        <f aca="false">IF(A97="","",SUMIFS('Sales Daily KPIs'!$C:$C,'Sales Daily KPIs'!$B:$B,$C97,'Sales Daily KPIs'!$A:$A,"&gt;="&amp;$A97,'Sales Daily KPIs'!$A:$A,"&lt;="&amp;$B97))</f>
        <v/>
      </c>
      <c r="F97" s="19" t="str">
        <f aca="false">IF(A97="","",Settings!$B$2*Settings!$B$6)</f>
        <v/>
      </c>
      <c r="G97" s="19" t="str">
        <f aca="false">IF(A97="","",SUMIFS('Sales Daily KPIs'!$D:$D,'Sales Daily KPIs'!$B:$B,$C97,'Sales Daily KPIs'!$A:$A,"&gt;="&amp;$A97,'Sales Daily KPIs'!$A:$A,"&lt;="&amp;$B97))</f>
        <v/>
      </c>
      <c r="H97" s="19" t="str">
        <f aca="false">IF(A97="","",Settings!$B$3*Settings!$B$6)</f>
        <v/>
      </c>
      <c r="I97" s="19" t="str">
        <f aca="false">IF(A97="","",SUMIFS('Sales Daily KPIs'!$E:$E,'Sales Daily KPIs'!$B:$B,$C97,'Sales Daily KPIs'!$A:$A,"&gt;="&amp;$A97,'Sales Daily KPIs'!$A:$A,"&lt;="&amp;$B97))</f>
        <v/>
      </c>
      <c r="J97" s="19" t="str">
        <f aca="false">IF(A97="","",Settings!$B$4*Settings!$B$6)</f>
        <v/>
      </c>
      <c r="K97" s="16" t="str">
        <f aca="false">IF(A97="","",IFERROR(SUMIFS('Sales Daily KPIs'!$G:$G,'Sales Daily KPIs'!$B:$B,$C97,'Sales Daily KPIs'!$A:$A,"&gt;="&amp;$A97,'Sales Daily KPIs'!$A:$A,"&lt;="&amp;$B97)/SUMIFS('Sales Daily KPIs'!$F:$F,'Sales Daily KPIs'!$B:$B,$C97,'Sales Daily KPIs'!$A:$A,"&gt;="&amp;$A97,'Sales Daily KPIs'!$A:$A,"&lt;="&amp;$B97),""))</f>
        <v/>
      </c>
      <c r="L97" s="19" t="str">
        <f aca="false">IF(A97="","",SUMIFS('Sales Daily KPIs'!$I:$I,'Sales Daily KPIs'!$B:$B,$C97,'Sales Daily KPIs'!$A:$A,"&gt;="&amp;$A97,'Sales Daily KPIs'!$A:$A,"&lt;="&amp;$B97))</f>
        <v/>
      </c>
      <c r="M97" s="19" t="str">
        <f aca="false">IF(A97="","",Settings!$B$5)</f>
        <v/>
      </c>
      <c r="N97" s="14"/>
    </row>
    <row r="98" customFormat="false" ht="15" hidden="false" customHeight="false" outlineLevel="0" collapsed="false">
      <c r="A98" s="13"/>
      <c r="B98" s="18" t="str">
        <f aca="false">IF(A98="","",A98+6)</f>
        <v/>
      </c>
      <c r="C98" s="14"/>
      <c r="D98" s="19" t="str">
        <f aca="false">IF(A98="","",COUNTIFS('Sales Daily KPIs'!$B:$B,$C98,'Sales Daily KPIs'!$A:$A,"&gt;="&amp;$A98,'Sales Daily KPIs'!$A:$A,"&lt;="&amp;$B98,'Sales Daily KPIs'!$C:$C,"&lt;&gt;"))</f>
        <v/>
      </c>
      <c r="E98" s="19" t="str">
        <f aca="false">IF(A98="","",SUMIFS('Sales Daily KPIs'!$C:$C,'Sales Daily KPIs'!$B:$B,$C98,'Sales Daily KPIs'!$A:$A,"&gt;="&amp;$A98,'Sales Daily KPIs'!$A:$A,"&lt;="&amp;$B98))</f>
        <v/>
      </c>
      <c r="F98" s="19" t="str">
        <f aca="false">IF(A98="","",Settings!$B$2*Settings!$B$6)</f>
        <v/>
      </c>
      <c r="G98" s="19" t="str">
        <f aca="false">IF(A98="","",SUMIFS('Sales Daily KPIs'!$D:$D,'Sales Daily KPIs'!$B:$B,$C98,'Sales Daily KPIs'!$A:$A,"&gt;="&amp;$A98,'Sales Daily KPIs'!$A:$A,"&lt;="&amp;$B98))</f>
        <v/>
      </c>
      <c r="H98" s="19" t="str">
        <f aca="false">IF(A98="","",Settings!$B$3*Settings!$B$6)</f>
        <v/>
      </c>
      <c r="I98" s="19" t="str">
        <f aca="false">IF(A98="","",SUMIFS('Sales Daily KPIs'!$E:$E,'Sales Daily KPIs'!$B:$B,$C98,'Sales Daily KPIs'!$A:$A,"&gt;="&amp;$A98,'Sales Daily KPIs'!$A:$A,"&lt;="&amp;$B98))</f>
        <v/>
      </c>
      <c r="J98" s="19" t="str">
        <f aca="false">IF(A98="","",Settings!$B$4*Settings!$B$6)</f>
        <v/>
      </c>
      <c r="K98" s="16" t="str">
        <f aca="false">IF(A98="","",IFERROR(SUMIFS('Sales Daily KPIs'!$G:$G,'Sales Daily KPIs'!$B:$B,$C98,'Sales Daily KPIs'!$A:$A,"&gt;="&amp;$A98,'Sales Daily KPIs'!$A:$A,"&lt;="&amp;$B98)/SUMIFS('Sales Daily KPIs'!$F:$F,'Sales Daily KPIs'!$B:$B,$C98,'Sales Daily KPIs'!$A:$A,"&gt;="&amp;$A98,'Sales Daily KPIs'!$A:$A,"&lt;="&amp;$B98),""))</f>
        <v/>
      </c>
      <c r="L98" s="19" t="str">
        <f aca="false">IF(A98="","",SUMIFS('Sales Daily KPIs'!$I:$I,'Sales Daily KPIs'!$B:$B,$C98,'Sales Daily KPIs'!$A:$A,"&gt;="&amp;$A98,'Sales Daily KPIs'!$A:$A,"&lt;="&amp;$B98))</f>
        <v/>
      </c>
      <c r="M98" s="19" t="str">
        <f aca="false">IF(A98="","",Settings!$B$5)</f>
        <v/>
      </c>
      <c r="N98" s="14"/>
    </row>
    <row r="99" customFormat="false" ht="15" hidden="false" customHeight="false" outlineLevel="0" collapsed="false">
      <c r="A99" s="13"/>
      <c r="B99" s="18" t="str">
        <f aca="false">IF(A99="","",A99+6)</f>
        <v/>
      </c>
      <c r="C99" s="14"/>
      <c r="D99" s="19" t="str">
        <f aca="false">IF(A99="","",COUNTIFS('Sales Daily KPIs'!$B:$B,$C99,'Sales Daily KPIs'!$A:$A,"&gt;="&amp;$A99,'Sales Daily KPIs'!$A:$A,"&lt;="&amp;$B99,'Sales Daily KPIs'!$C:$C,"&lt;&gt;"))</f>
        <v/>
      </c>
      <c r="E99" s="19" t="str">
        <f aca="false">IF(A99="","",SUMIFS('Sales Daily KPIs'!$C:$C,'Sales Daily KPIs'!$B:$B,$C99,'Sales Daily KPIs'!$A:$A,"&gt;="&amp;$A99,'Sales Daily KPIs'!$A:$A,"&lt;="&amp;$B99))</f>
        <v/>
      </c>
      <c r="F99" s="19" t="str">
        <f aca="false">IF(A99="","",Settings!$B$2*Settings!$B$6)</f>
        <v/>
      </c>
      <c r="G99" s="19" t="str">
        <f aca="false">IF(A99="","",SUMIFS('Sales Daily KPIs'!$D:$D,'Sales Daily KPIs'!$B:$B,$C99,'Sales Daily KPIs'!$A:$A,"&gt;="&amp;$A99,'Sales Daily KPIs'!$A:$A,"&lt;="&amp;$B99))</f>
        <v/>
      </c>
      <c r="H99" s="19" t="str">
        <f aca="false">IF(A99="","",Settings!$B$3*Settings!$B$6)</f>
        <v/>
      </c>
      <c r="I99" s="19" t="str">
        <f aca="false">IF(A99="","",SUMIFS('Sales Daily KPIs'!$E:$E,'Sales Daily KPIs'!$B:$B,$C99,'Sales Daily KPIs'!$A:$A,"&gt;="&amp;$A99,'Sales Daily KPIs'!$A:$A,"&lt;="&amp;$B99))</f>
        <v/>
      </c>
      <c r="J99" s="19" t="str">
        <f aca="false">IF(A99="","",Settings!$B$4*Settings!$B$6)</f>
        <v/>
      </c>
      <c r="K99" s="16" t="str">
        <f aca="false">IF(A99="","",IFERROR(SUMIFS('Sales Daily KPIs'!$G:$G,'Sales Daily KPIs'!$B:$B,$C99,'Sales Daily KPIs'!$A:$A,"&gt;="&amp;$A99,'Sales Daily KPIs'!$A:$A,"&lt;="&amp;$B99)/SUMIFS('Sales Daily KPIs'!$F:$F,'Sales Daily KPIs'!$B:$B,$C99,'Sales Daily KPIs'!$A:$A,"&gt;="&amp;$A99,'Sales Daily KPIs'!$A:$A,"&lt;="&amp;$B99),""))</f>
        <v/>
      </c>
      <c r="L99" s="19" t="str">
        <f aca="false">IF(A99="","",SUMIFS('Sales Daily KPIs'!$I:$I,'Sales Daily KPIs'!$B:$B,$C99,'Sales Daily KPIs'!$A:$A,"&gt;="&amp;$A99,'Sales Daily KPIs'!$A:$A,"&lt;="&amp;$B99))</f>
        <v/>
      </c>
      <c r="M99" s="19" t="str">
        <f aca="false">IF(A99="","",Settings!$B$5)</f>
        <v/>
      </c>
      <c r="N99" s="14"/>
    </row>
    <row r="100" customFormat="false" ht="15" hidden="false" customHeight="false" outlineLevel="0" collapsed="false">
      <c r="A100" s="13"/>
      <c r="B100" s="18" t="str">
        <f aca="false">IF(A100="","",A100+6)</f>
        <v/>
      </c>
      <c r="C100" s="14"/>
      <c r="D100" s="19" t="str">
        <f aca="false">IF(A100="","",COUNTIFS('Sales Daily KPIs'!$B:$B,$C100,'Sales Daily KPIs'!$A:$A,"&gt;="&amp;$A100,'Sales Daily KPIs'!$A:$A,"&lt;="&amp;$B100,'Sales Daily KPIs'!$C:$C,"&lt;&gt;"))</f>
        <v/>
      </c>
      <c r="E100" s="19" t="str">
        <f aca="false">IF(A100="","",SUMIFS('Sales Daily KPIs'!$C:$C,'Sales Daily KPIs'!$B:$B,$C100,'Sales Daily KPIs'!$A:$A,"&gt;="&amp;$A100,'Sales Daily KPIs'!$A:$A,"&lt;="&amp;$B100))</f>
        <v/>
      </c>
      <c r="F100" s="19" t="str">
        <f aca="false">IF(A100="","",Settings!$B$2*Settings!$B$6)</f>
        <v/>
      </c>
      <c r="G100" s="19" t="str">
        <f aca="false">IF(A100="","",SUMIFS('Sales Daily KPIs'!$D:$D,'Sales Daily KPIs'!$B:$B,$C100,'Sales Daily KPIs'!$A:$A,"&gt;="&amp;$A100,'Sales Daily KPIs'!$A:$A,"&lt;="&amp;$B100))</f>
        <v/>
      </c>
      <c r="H100" s="19" t="str">
        <f aca="false">IF(A100="","",Settings!$B$3*Settings!$B$6)</f>
        <v/>
      </c>
      <c r="I100" s="19" t="str">
        <f aca="false">IF(A100="","",SUMIFS('Sales Daily KPIs'!$E:$E,'Sales Daily KPIs'!$B:$B,$C100,'Sales Daily KPIs'!$A:$A,"&gt;="&amp;$A100,'Sales Daily KPIs'!$A:$A,"&lt;="&amp;$B100))</f>
        <v/>
      </c>
      <c r="J100" s="19" t="str">
        <f aca="false">IF(A100="","",Settings!$B$4*Settings!$B$6)</f>
        <v/>
      </c>
      <c r="K100" s="16" t="str">
        <f aca="false">IF(A100="","",IFERROR(SUMIFS('Sales Daily KPIs'!$G:$G,'Sales Daily KPIs'!$B:$B,$C100,'Sales Daily KPIs'!$A:$A,"&gt;="&amp;$A100,'Sales Daily KPIs'!$A:$A,"&lt;="&amp;$B100)/SUMIFS('Sales Daily KPIs'!$F:$F,'Sales Daily KPIs'!$B:$B,$C100,'Sales Daily KPIs'!$A:$A,"&gt;="&amp;$A100,'Sales Daily KPIs'!$A:$A,"&lt;="&amp;$B100),""))</f>
        <v/>
      </c>
      <c r="L100" s="19" t="str">
        <f aca="false">IF(A100="","",SUMIFS('Sales Daily KPIs'!$I:$I,'Sales Daily KPIs'!$B:$B,$C100,'Sales Daily KPIs'!$A:$A,"&gt;="&amp;$A100,'Sales Daily KPIs'!$A:$A,"&lt;="&amp;$B100))</f>
        <v/>
      </c>
      <c r="M100" s="19" t="str">
        <f aca="false">IF(A100="","",Settings!$B$5)</f>
        <v/>
      </c>
      <c r="N100" s="14"/>
    </row>
    <row r="101" customFormat="false" ht="15" hidden="false" customHeight="false" outlineLevel="0" collapsed="false">
      <c r="A101" s="13"/>
      <c r="B101" s="18" t="str">
        <f aca="false">IF(A101="","",A101+6)</f>
        <v/>
      </c>
      <c r="C101" s="14"/>
      <c r="D101" s="19" t="str">
        <f aca="false">IF(A101="","",COUNTIFS('Sales Daily KPIs'!$B:$B,$C101,'Sales Daily KPIs'!$A:$A,"&gt;="&amp;$A101,'Sales Daily KPIs'!$A:$A,"&lt;="&amp;$B101,'Sales Daily KPIs'!$C:$C,"&lt;&gt;"))</f>
        <v/>
      </c>
      <c r="E101" s="19" t="str">
        <f aca="false">IF(A101="","",SUMIFS('Sales Daily KPIs'!$C:$C,'Sales Daily KPIs'!$B:$B,$C101,'Sales Daily KPIs'!$A:$A,"&gt;="&amp;$A101,'Sales Daily KPIs'!$A:$A,"&lt;="&amp;$B101))</f>
        <v/>
      </c>
      <c r="F101" s="19" t="str">
        <f aca="false">IF(A101="","",Settings!$B$2*Settings!$B$6)</f>
        <v/>
      </c>
      <c r="G101" s="19" t="str">
        <f aca="false">IF(A101="","",SUMIFS('Sales Daily KPIs'!$D:$D,'Sales Daily KPIs'!$B:$B,$C101,'Sales Daily KPIs'!$A:$A,"&gt;="&amp;$A101,'Sales Daily KPIs'!$A:$A,"&lt;="&amp;$B101))</f>
        <v/>
      </c>
      <c r="H101" s="19" t="str">
        <f aca="false">IF(A101="","",Settings!$B$3*Settings!$B$6)</f>
        <v/>
      </c>
      <c r="I101" s="19" t="str">
        <f aca="false">IF(A101="","",SUMIFS('Sales Daily KPIs'!$E:$E,'Sales Daily KPIs'!$B:$B,$C101,'Sales Daily KPIs'!$A:$A,"&gt;="&amp;$A101,'Sales Daily KPIs'!$A:$A,"&lt;="&amp;$B101))</f>
        <v/>
      </c>
      <c r="J101" s="19" t="str">
        <f aca="false">IF(A101="","",Settings!$B$4*Settings!$B$6)</f>
        <v/>
      </c>
      <c r="K101" s="16" t="str">
        <f aca="false">IF(A101="","",IFERROR(SUMIFS('Sales Daily KPIs'!$G:$G,'Sales Daily KPIs'!$B:$B,$C101,'Sales Daily KPIs'!$A:$A,"&gt;="&amp;$A101,'Sales Daily KPIs'!$A:$A,"&lt;="&amp;$B101)/SUMIFS('Sales Daily KPIs'!$F:$F,'Sales Daily KPIs'!$B:$B,$C101,'Sales Daily KPIs'!$A:$A,"&gt;="&amp;$A101,'Sales Daily KPIs'!$A:$A,"&lt;="&amp;$B101),""))</f>
        <v/>
      </c>
      <c r="L101" s="19" t="str">
        <f aca="false">IF(A101="","",SUMIFS('Sales Daily KPIs'!$I:$I,'Sales Daily KPIs'!$B:$B,$C101,'Sales Daily KPIs'!$A:$A,"&gt;="&amp;$A101,'Sales Daily KPIs'!$A:$A,"&lt;="&amp;$B101))</f>
        <v/>
      </c>
      <c r="M101" s="19" t="str">
        <f aca="false">IF(A101="","",Settings!$B$5)</f>
        <v/>
      </c>
      <c r="N101" s="14"/>
    </row>
    <row r="102" customFormat="false" ht="15" hidden="false" customHeight="false" outlineLevel="0" collapsed="false">
      <c r="A102" s="13"/>
      <c r="B102" s="18" t="str">
        <f aca="false">IF(A102="","",A102+6)</f>
        <v/>
      </c>
      <c r="C102" s="14"/>
      <c r="D102" s="19" t="str">
        <f aca="false">IF(A102="","",COUNTIFS('Sales Daily KPIs'!$B:$B,$C102,'Sales Daily KPIs'!$A:$A,"&gt;="&amp;$A102,'Sales Daily KPIs'!$A:$A,"&lt;="&amp;$B102,'Sales Daily KPIs'!$C:$C,"&lt;&gt;"))</f>
        <v/>
      </c>
      <c r="E102" s="19" t="str">
        <f aca="false">IF(A102="","",SUMIFS('Sales Daily KPIs'!$C:$C,'Sales Daily KPIs'!$B:$B,$C102,'Sales Daily KPIs'!$A:$A,"&gt;="&amp;$A102,'Sales Daily KPIs'!$A:$A,"&lt;="&amp;$B102))</f>
        <v/>
      </c>
      <c r="F102" s="19" t="str">
        <f aca="false">IF(A102="","",Settings!$B$2*Settings!$B$6)</f>
        <v/>
      </c>
      <c r="G102" s="19" t="str">
        <f aca="false">IF(A102="","",SUMIFS('Sales Daily KPIs'!$D:$D,'Sales Daily KPIs'!$B:$B,$C102,'Sales Daily KPIs'!$A:$A,"&gt;="&amp;$A102,'Sales Daily KPIs'!$A:$A,"&lt;="&amp;$B102))</f>
        <v/>
      </c>
      <c r="H102" s="19" t="str">
        <f aca="false">IF(A102="","",Settings!$B$3*Settings!$B$6)</f>
        <v/>
      </c>
      <c r="I102" s="19" t="str">
        <f aca="false">IF(A102="","",SUMIFS('Sales Daily KPIs'!$E:$E,'Sales Daily KPIs'!$B:$B,$C102,'Sales Daily KPIs'!$A:$A,"&gt;="&amp;$A102,'Sales Daily KPIs'!$A:$A,"&lt;="&amp;$B102))</f>
        <v/>
      </c>
      <c r="J102" s="19" t="str">
        <f aca="false">IF(A102="","",Settings!$B$4*Settings!$B$6)</f>
        <v/>
      </c>
      <c r="K102" s="16" t="str">
        <f aca="false">IF(A102="","",IFERROR(SUMIFS('Sales Daily KPIs'!$G:$G,'Sales Daily KPIs'!$B:$B,$C102,'Sales Daily KPIs'!$A:$A,"&gt;="&amp;$A102,'Sales Daily KPIs'!$A:$A,"&lt;="&amp;$B102)/SUMIFS('Sales Daily KPIs'!$F:$F,'Sales Daily KPIs'!$B:$B,$C102,'Sales Daily KPIs'!$A:$A,"&gt;="&amp;$A102,'Sales Daily KPIs'!$A:$A,"&lt;="&amp;$B102),""))</f>
        <v/>
      </c>
      <c r="L102" s="19" t="str">
        <f aca="false">IF(A102="","",SUMIFS('Sales Daily KPIs'!$I:$I,'Sales Daily KPIs'!$B:$B,$C102,'Sales Daily KPIs'!$A:$A,"&gt;="&amp;$A102,'Sales Daily KPIs'!$A:$A,"&lt;="&amp;$B102))</f>
        <v/>
      </c>
      <c r="M102" s="19" t="str">
        <f aca="false">IF(A102="","",Settings!$B$5)</f>
        <v/>
      </c>
      <c r="N102" s="14"/>
    </row>
    <row r="103" customFormat="false" ht="15" hidden="false" customHeight="false" outlineLevel="0" collapsed="false">
      <c r="A103" s="13"/>
      <c r="B103" s="18" t="str">
        <f aca="false">IF(A103="","",A103+6)</f>
        <v/>
      </c>
      <c r="C103" s="14"/>
      <c r="D103" s="19" t="str">
        <f aca="false">IF(A103="","",COUNTIFS('Sales Daily KPIs'!$B:$B,$C103,'Sales Daily KPIs'!$A:$A,"&gt;="&amp;$A103,'Sales Daily KPIs'!$A:$A,"&lt;="&amp;$B103,'Sales Daily KPIs'!$C:$C,"&lt;&gt;"))</f>
        <v/>
      </c>
      <c r="E103" s="19" t="str">
        <f aca="false">IF(A103="","",SUMIFS('Sales Daily KPIs'!$C:$C,'Sales Daily KPIs'!$B:$B,$C103,'Sales Daily KPIs'!$A:$A,"&gt;="&amp;$A103,'Sales Daily KPIs'!$A:$A,"&lt;="&amp;$B103))</f>
        <v/>
      </c>
      <c r="F103" s="19" t="str">
        <f aca="false">IF(A103="","",Settings!$B$2*Settings!$B$6)</f>
        <v/>
      </c>
      <c r="G103" s="19" t="str">
        <f aca="false">IF(A103="","",SUMIFS('Sales Daily KPIs'!$D:$D,'Sales Daily KPIs'!$B:$B,$C103,'Sales Daily KPIs'!$A:$A,"&gt;="&amp;$A103,'Sales Daily KPIs'!$A:$A,"&lt;="&amp;$B103))</f>
        <v/>
      </c>
      <c r="H103" s="19" t="str">
        <f aca="false">IF(A103="","",Settings!$B$3*Settings!$B$6)</f>
        <v/>
      </c>
      <c r="I103" s="19" t="str">
        <f aca="false">IF(A103="","",SUMIFS('Sales Daily KPIs'!$E:$E,'Sales Daily KPIs'!$B:$B,$C103,'Sales Daily KPIs'!$A:$A,"&gt;="&amp;$A103,'Sales Daily KPIs'!$A:$A,"&lt;="&amp;$B103))</f>
        <v/>
      </c>
      <c r="J103" s="19" t="str">
        <f aca="false">IF(A103="","",Settings!$B$4*Settings!$B$6)</f>
        <v/>
      </c>
      <c r="K103" s="16" t="str">
        <f aca="false">IF(A103="","",IFERROR(SUMIFS('Sales Daily KPIs'!$G:$G,'Sales Daily KPIs'!$B:$B,$C103,'Sales Daily KPIs'!$A:$A,"&gt;="&amp;$A103,'Sales Daily KPIs'!$A:$A,"&lt;="&amp;$B103)/SUMIFS('Sales Daily KPIs'!$F:$F,'Sales Daily KPIs'!$B:$B,$C103,'Sales Daily KPIs'!$A:$A,"&gt;="&amp;$A103,'Sales Daily KPIs'!$A:$A,"&lt;="&amp;$B103),""))</f>
        <v/>
      </c>
      <c r="L103" s="19" t="str">
        <f aca="false">IF(A103="","",SUMIFS('Sales Daily KPIs'!$I:$I,'Sales Daily KPIs'!$B:$B,$C103,'Sales Daily KPIs'!$A:$A,"&gt;="&amp;$A103,'Sales Daily KPIs'!$A:$A,"&lt;="&amp;$B103))</f>
        <v/>
      </c>
      <c r="M103" s="19" t="str">
        <f aca="false">IF(A103="","",Settings!$B$5)</f>
        <v/>
      </c>
      <c r="N103" s="14"/>
    </row>
    <row r="104" customFormat="false" ht="15" hidden="false" customHeight="false" outlineLevel="0" collapsed="false">
      <c r="A104" s="13"/>
      <c r="B104" s="18" t="str">
        <f aca="false">IF(A104="","",A104+6)</f>
        <v/>
      </c>
      <c r="C104" s="14"/>
      <c r="D104" s="19" t="str">
        <f aca="false">IF(A104="","",COUNTIFS('Sales Daily KPIs'!$B:$B,$C104,'Sales Daily KPIs'!$A:$A,"&gt;="&amp;$A104,'Sales Daily KPIs'!$A:$A,"&lt;="&amp;$B104,'Sales Daily KPIs'!$C:$C,"&lt;&gt;"))</f>
        <v/>
      </c>
      <c r="E104" s="19" t="str">
        <f aca="false">IF(A104="","",SUMIFS('Sales Daily KPIs'!$C:$C,'Sales Daily KPIs'!$B:$B,$C104,'Sales Daily KPIs'!$A:$A,"&gt;="&amp;$A104,'Sales Daily KPIs'!$A:$A,"&lt;="&amp;$B104))</f>
        <v/>
      </c>
      <c r="F104" s="19" t="str">
        <f aca="false">IF(A104="","",Settings!$B$2*Settings!$B$6)</f>
        <v/>
      </c>
      <c r="G104" s="19" t="str">
        <f aca="false">IF(A104="","",SUMIFS('Sales Daily KPIs'!$D:$D,'Sales Daily KPIs'!$B:$B,$C104,'Sales Daily KPIs'!$A:$A,"&gt;="&amp;$A104,'Sales Daily KPIs'!$A:$A,"&lt;="&amp;$B104))</f>
        <v/>
      </c>
      <c r="H104" s="19" t="str">
        <f aca="false">IF(A104="","",Settings!$B$3*Settings!$B$6)</f>
        <v/>
      </c>
      <c r="I104" s="19" t="str">
        <f aca="false">IF(A104="","",SUMIFS('Sales Daily KPIs'!$E:$E,'Sales Daily KPIs'!$B:$B,$C104,'Sales Daily KPIs'!$A:$A,"&gt;="&amp;$A104,'Sales Daily KPIs'!$A:$A,"&lt;="&amp;$B104))</f>
        <v/>
      </c>
      <c r="J104" s="19" t="str">
        <f aca="false">IF(A104="","",Settings!$B$4*Settings!$B$6)</f>
        <v/>
      </c>
      <c r="K104" s="16" t="str">
        <f aca="false">IF(A104="","",IFERROR(SUMIFS('Sales Daily KPIs'!$G:$G,'Sales Daily KPIs'!$B:$B,$C104,'Sales Daily KPIs'!$A:$A,"&gt;="&amp;$A104,'Sales Daily KPIs'!$A:$A,"&lt;="&amp;$B104)/SUMIFS('Sales Daily KPIs'!$F:$F,'Sales Daily KPIs'!$B:$B,$C104,'Sales Daily KPIs'!$A:$A,"&gt;="&amp;$A104,'Sales Daily KPIs'!$A:$A,"&lt;="&amp;$B104),""))</f>
        <v/>
      </c>
      <c r="L104" s="19" t="str">
        <f aca="false">IF(A104="","",SUMIFS('Sales Daily KPIs'!$I:$I,'Sales Daily KPIs'!$B:$B,$C104,'Sales Daily KPIs'!$A:$A,"&gt;="&amp;$A104,'Sales Daily KPIs'!$A:$A,"&lt;="&amp;$B104))</f>
        <v/>
      </c>
      <c r="M104" s="19" t="str">
        <f aca="false">IF(A104="","",Settings!$B$5)</f>
        <v/>
      </c>
      <c r="N104" s="14"/>
    </row>
    <row r="105" customFormat="false" ht="15" hidden="false" customHeight="false" outlineLevel="0" collapsed="false">
      <c r="A105" s="13"/>
      <c r="B105" s="18" t="str">
        <f aca="false">IF(A105="","",A105+6)</f>
        <v/>
      </c>
      <c r="C105" s="14"/>
      <c r="D105" s="19" t="str">
        <f aca="false">IF(A105="","",COUNTIFS('Sales Daily KPIs'!$B:$B,$C105,'Sales Daily KPIs'!$A:$A,"&gt;="&amp;$A105,'Sales Daily KPIs'!$A:$A,"&lt;="&amp;$B105,'Sales Daily KPIs'!$C:$C,"&lt;&gt;"))</f>
        <v/>
      </c>
      <c r="E105" s="19" t="str">
        <f aca="false">IF(A105="","",SUMIFS('Sales Daily KPIs'!$C:$C,'Sales Daily KPIs'!$B:$B,$C105,'Sales Daily KPIs'!$A:$A,"&gt;="&amp;$A105,'Sales Daily KPIs'!$A:$A,"&lt;="&amp;$B105))</f>
        <v/>
      </c>
      <c r="F105" s="19" t="str">
        <f aca="false">IF(A105="","",Settings!$B$2*Settings!$B$6)</f>
        <v/>
      </c>
      <c r="G105" s="19" t="str">
        <f aca="false">IF(A105="","",SUMIFS('Sales Daily KPIs'!$D:$D,'Sales Daily KPIs'!$B:$B,$C105,'Sales Daily KPIs'!$A:$A,"&gt;="&amp;$A105,'Sales Daily KPIs'!$A:$A,"&lt;="&amp;$B105))</f>
        <v/>
      </c>
      <c r="H105" s="19" t="str">
        <f aca="false">IF(A105="","",Settings!$B$3*Settings!$B$6)</f>
        <v/>
      </c>
      <c r="I105" s="19" t="str">
        <f aca="false">IF(A105="","",SUMIFS('Sales Daily KPIs'!$E:$E,'Sales Daily KPIs'!$B:$B,$C105,'Sales Daily KPIs'!$A:$A,"&gt;="&amp;$A105,'Sales Daily KPIs'!$A:$A,"&lt;="&amp;$B105))</f>
        <v/>
      </c>
      <c r="J105" s="19" t="str">
        <f aca="false">IF(A105="","",Settings!$B$4*Settings!$B$6)</f>
        <v/>
      </c>
      <c r="K105" s="16" t="str">
        <f aca="false">IF(A105="","",IFERROR(SUMIFS('Sales Daily KPIs'!$G:$G,'Sales Daily KPIs'!$B:$B,$C105,'Sales Daily KPIs'!$A:$A,"&gt;="&amp;$A105,'Sales Daily KPIs'!$A:$A,"&lt;="&amp;$B105)/SUMIFS('Sales Daily KPIs'!$F:$F,'Sales Daily KPIs'!$B:$B,$C105,'Sales Daily KPIs'!$A:$A,"&gt;="&amp;$A105,'Sales Daily KPIs'!$A:$A,"&lt;="&amp;$B105),""))</f>
        <v/>
      </c>
      <c r="L105" s="19" t="str">
        <f aca="false">IF(A105="","",SUMIFS('Sales Daily KPIs'!$I:$I,'Sales Daily KPIs'!$B:$B,$C105,'Sales Daily KPIs'!$A:$A,"&gt;="&amp;$A105,'Sales Daily KPIs'!$A:$A,"&lt;="&amp;$B105))</f>
        <v/>
      </c>
      <c r="M105" s="19" t="str">
        <f aca="false">IF(A105="","",Settings!$B$5)</f>
        <v/>
      </c>
      <c r="N105" s="14"/>
    </row>
    <row r="106" customFormat="false" ht="15" hidden="false" customHeight="false" outlineLevel="0" collapsed="false">
      <c r="A106" s="13"/>
      <c r="B106" s="18" t="str">
        <f aca="false">IF(A106="","",A106+6)</f>
        <v/>
      </c>
      <c r="C106" s="14"/>
      <c r="D106" s="19" t="str">
        <f aca="false">IF(A106="","",COUNTIFS('Sales Daily KPIs'!$B:$B,$C106,'Sales Daily KPIs'!$A:$A,"&gt;="&amp;$A106,'Sales Daily KPIs'!$A:$A,"&lt;="&amp;$B106,'Sales Daily KPIs'!$C:$C,"&lt;&gt;"))</f>
        <v/>
      </c>
      <c r="E106" s="19" t="str">
        <f aca="false">IF(A106="","",SUMIFS('Sales Daily KPIs'!$C:$C,'Sales Daily KPIs'!$B:$B,$C106,'Sales Daily KPIs'!$A:$A,"&gt;="&amp;$A106,'Sales Daily KPIs'!$A:$A,"&lt;="&amp;$B106))</f>
        <v/>
      </c>
      <c r="F106" s="19" t="str">
        <f aca="false">IF(A106="","",Settings!$B$2*Settings!$B$6)</f>
        <v/>
      </c>
      <c r="G106" s="19" t="str">
        <f aca="false">IF(A106="","",SUMIFS('Sales Daily KPIs'!$D:$D,'Sales Daily KPIs'!$B:$B,$C106,'Sales Daily KPIs'!$A:$A,"&gt;="&amp;$A106,'Sales Daily KPIs'!$A:$A,"&lt;="&amp;$B106))</f>
        <v/>
      </c>
      <c r="H106" s="19" t="str">
        <f aca="false">IF(A106="","",Settings!$B$3*Settings!$B$6)</f>
        <v/>
      </c>
      <c r="I106" s="19" t="str">
        <f aca="false">IF(A106="","",SUMIFS('Sales Daily KPIs'!$E:$E,'Sales Daily KPIs'!$B:$B,$C106,'Sales Daily KPIs'!$A:$A,"&gt;="&amp;$A106,'Sales Daily KPIs'!$A:$A,"&lt;="&amp;$B106))</f>
        <v/>
      </c>
      <c r="J106" s="19" t="str">
        <f aca="false">IF(A106="","",Settings!$B$4*Settings!$B$6)</f>
        <v/>
      </c>
      <c r="K106" s="16" t="str">
        <f aca="false">IF(A106="","",IFERROR(SUMIFS('Sales Daily KPIs'!$G:$G,'Sales Daily KPIs'!$B:$B,$C106,'Sales Daily KPIs'!$A:$A,"&gt;="&amp;$A106,'Sales Daily KPIs'!$A:$A,"&lt;="&amp;$B106)/SUMIFS('Sales Daily KPIs'!$F:$F,'Sales Daily KPIs'!$B:$B,$C106,'Sales Daily KPIs'!$A:$A,"&gt;="&amp;$A106,'Sales Daily KPIs'!$A:$A,"&lt;="&amp;$B106),""))</f>
        <v/>
      </c>
      <c r="L106" s="19" t="str">
        <f aca="false">IF(A106="","",SUMIFS('Sales Daily KPIs'!$I:$I,'Sales Daily KPIs'!$B:$B,$C106,'Sales Daily KPIs'!$A:$A,"&gt;="&amp;$A106,'Sales Daily KPIs'!$A:$A,"&lt;="&amp;$B106))</f>
        <v/>
      </c>
      <c r="M106" s="19" t="str">
        <f aca="false">IF(A106="","",Settings!$B$5)</f>
        <v/>
      </c>
      <c r="N106" s="14"/>
    </row>
    <row r="107" customFormat="false" ht="15" hidden="false" customHeight="false" outlineLevel="0" collapsed="false">
      <c r="A107" s="13"/>
      <c r="B107" s="18" t="str">
        <f aca="false">IF(A107="","",A107+6)</f>
        <v/>
      </c>
      <c r="C107" s="14"/>
      <c r="D107" s="19" t="str">
        <f aca="false">IF(A107="","",COUNTIFS('Sales Daily KPIs'!$B:$B,$C107,'Sales Daily KPIs'!$A:$A,"&gt;="&amp;$A107,'Sales Daily KPIs'!$A:$A,"&lt;="&amp;$B107,'Sales Daily KPIs'!$C:$C,"&lt;&gt;"))</f>
        <v/>
      </c>
      <c r="E107" s="19" t="str">
        <f aca="false">IF(A107="","",SUMIFS('Sales Daily KPIs'!$C:$C,'Sales Daily KPIs'!$B:$B,$C107,'Sales Daily KPIs'!$A:$A,"&gt;="&amp;$A107,'Sales Daily KPIs'!$A:$A,"&lt;="&amp;$B107))</f>
        <v/>
      </c>
      <c r="F107" s="19" t="str">
        <f aca="false">IF(A107="","",Settings!$B$2*Settings!$B$6)</f>
        <v/>
      </c>
      <c r="G107" s="19" t="str">
        <f aca="false">IF(A107="","",SUMIFS('Sales Daily KPIs'!$D:$D,'Sales Daily KPIs'!$B:$B,$C107,'Sales Daily KPIs'!$A:$A,"&gt;="&amp;$A107,'Sales Daily KPIs'!$A:$A,"&lt;="&amp;$B107))</f>
        <v/>
      </c>
      <c r="H107" s="19" t="str">
        <f aca="false">IF(A107="","",Settings!$B$3*Settings!$B$6)</f>
        <v/>
      </c>
      <c r="I107" s="19" t="str">
        <f aca="false">IF(A107="","",SUMIFS('Sales Daily KPIs'!$E:$E,'Sales Daily KPIs'!$B:$B,$C107,'Sales Daily KPIs'!$A:$A,"&gt;="&amp;$A107,'Sales Daily KPIs'!$A:$A,"&lt;="&amp;$B107))</f>
        <v/>
      </c>
      <c r="J107" s="19" t="str">
        <f aca="false">IF(A107="","",Settings!$B$4*Settings!$B$6)</f>
        <v/>
      </c>
      <c r="K107" s="16" t="str">
        <f aca="false">IF(A107="","",IFERROR(SUMIFS('Sales Daily KPIs'!$G:$G,'Sales Daily KPIs'!$B:$B,$C107,'Sales Daily KPIs'!$A:$A,"&gt;="&amp;$A107,'Sales Daily KPIs'!$A:$A,"&lt;="&amp;$B107)/SUMIFS('Sales Daily KPIs'!$F:$F,'Sales Daily KPIs'!$B:$B,$C107,'Sales Daily KPIs'!$A:$A,"&gt;="&amp;$A107,'Sales Daily KPIs'!$A:$A,"&lt;="&amp;$B107),""))</f>
        <v/>
      </c>
      <c r="L107" s="19" t="str">
        <f aca="false">IF(A107="","",SUMIFS('Sales Daily KPIs'!$I:$I,'Sales Daily KPIs'!$B:$B,$C107,'Sales Daily KPIs'!$A:$A,"&gt;="&amp;$A107,'Sales Daily KPIs'!$A:$A,"&lt;="&amp;$B107))</f>
        <v/>
      </c>
      <c r="M107" s="19" t="str">
        <f aca="false">IF(A107="","",Settings!$B$5)</f>
        <v/>
      </c>
      <c r="N107" s="14"/>
    </row>
    <row r="108" customFormat="false" ht="15" hidden="false" customHeight="false" outlineLevel="0" collapsed="false">
      <c r="A108" s="13"/>
      <c r="B108" s="18" t="str">
        <f aca="false">IF(A108="","",A108+6)</f>
        <v/>
      </c>
      <c r="C108" s="14"/>
      <c r="D108" s="19" t="str">
        <f aca="false">IF(A108="","",COUNTIFS('Sales Daily KPIs'!$B:$B,$C108,'Sales Daily KPIs'!$A:$A,"&gt;="&amp;$A108,'Sales Daily KPIs'!$A:$A,"&lt;="&amp;$B108,'Sales Daily KPIs'!$C:$C,"&lt;&gt;"))</f>
        <v/>
      </c>
      <c r="E108" s="19" t="str">
        <f aca="false">IF(A108="","",SUMIFS('Sales Daily KPIs'!$C:$C,'Sales Daily KPIs'!$B:$B,$C108,'Sales Daily KPIs'!$A:$A,"&gt;="&amp;$A108,'Sales Daily KPIs'!$A:$A,"&lt;="&amp;$B108))</f>
        <v/>
      </c>
      <c r="F108" s="19" t="str">
        <f aca="false">IF(A108="","",Settings!$B$2*Settings!$B$6)</f>
        <v/>
      </c>
      <c r="G108" s="19" t="str">
        <f aca="false">IF(A108="","",SUMIFS('Sales Daily KPIs'!$D:$D,'Sales Daily KPIs'!$B:$B,$C108,'Sales Daily KPIs'!$A:$A,"&gt;="&amp;$A108,'Sales Daily KPIs'!$A:$A,"&lt;="&amp;$B108))</f>
        <v/>
      </c>
      <c r="H108" s="19" t="str">
        <f aca="false">IF(A108="","",Settings!$B$3*Settings!$B$6)</f>
        <v/>
      </c>
      <c r="I108" s="19" t="str">
        <f aca="false">IF(A108="","",SUMIFS('Sales Daily KPIs'!$E:$E,'Sales Daily KPIs'!$B:$B,$C108,'Sales Daily KPIs'!$A:$A,"&gt;="&amp;$A108,'Sales Daily KPIs'!$A:$A,"&lt;="&amp;$B108))</f>
        <v/>
      </c>
      <c r="J108" s="19" t="str">
        <f aca="false">IF(A108="","",Settings!$B$4*Settings!$B$6)</f>
        <v/>
      </c>
      <c r="K108" s="16" t="str">
        <f aca="false">IF(A108="","",IFERROR(SUMIFS('Sales Daily KPIs'!$G:$G,'Sales Daily KPIs'!$B:$B,$C108,'Sales Daily KPIs'!$A:$A,"&gt;="&amp;$A108,'Sales Daily KPIs'!$A:$A,"&lt;="&amp;$B108)/SUMIFS('Sales Daily KPIs'!$F:$F,'Sales Daily KPIs'!$B:$B,$C108,'Sales Daily KPIs'!$A:$A,"&gt;="&amp;$A108,'Sales Daily KPIs'!$A:$A,"&lt;="&amp;$B108),""))</f>
        <v/>
      </c>
      <c r="L108" s="19" t="str">
        <f aca="false">IF(A108="","",SUMIFS('Sales Daily KPIs'!$I:$I,'Sales Daily KPIs'!$B:$B,$C108,'Sales Daily KPIs'!$A:$A,"&gt;="&amp;$A108,'Sales Daily KPIs'!$A:$A,"&lt;="&amp;$B108))</f>
        <v/>
      </c>
      <c r="M108" s="19" t="str">
        <f aca="false">IF(A108="","",Settings!$B$5)</f>
        <v/>
      </c>
      <c r="N108" s="14"/>
    </row>
    <row r="109" customFormat="false" ht="15" hidden="false" customHeight="false" outlineLevel="0" collapsed="false">
      <c r="A109" s="13"/>
      <c r="B109" s="18" t="str">
        <f aca="false">IF(A109="","",A109+6)</f>
        <v/>
      </c>
      <c r="C109" s="14"/>
      <c r="D109" s="19" t="str">
        <f aca="false">IF(A109="","",COUNTIFS('Sales Daily KPIs'!$B:$B,$C109,'Sales Daily KPIs'!$A:$A,"&gt;="&amp;$A109,'Sales Daily KPIs'!$A:$A,"&lt;="&amp;$B109,'Sales Daily KPIs'!$C:$C,"&lt;&gt;"))</f>
        <v/>
      </c>
      <c r="E109" s="19" t="str">
        <f aca="false">IF(A109="","",SUMIFS('Sales Daily KPIs'!$C:$C,'Sales Daily KPIs'!$B:$B,$C109,'Sales Daily KPIs'!$A:$A,"&gt;="&amp;$A109,'Sales Daily KPIs'!$A:$A,"&lt;="&amp;$B109))</f>
        <v/>
      </c>
      <c r="F109" s="19" t="str">
        <f aca="false">IF(A109="","",Settings!$B$2*Settings!$B$6)</f>
        <v/>
      </c>
      <c r="G109" s="19" t="str">
        <f aca="false">IF(A109="","",SUMIFS('Sales Daily KPIs'!$D:$D,'Sales Daily KPIs'!$B:$B,$C109,'Sales Daily KPIs'!$A:$A,"&gt;="&amp;$A109,'Sales Daily KPIs'!$A:$A,"&lt;="&amp;$B109))</f>
        <v/>
      </c>
      <c r="H109" s="19" t="str">
        <f aca="false">IF(A109="","",Settings!$B$3*Settings!$B$6)</f>
        <v/>
      </c>
      <c r="I109" s="19" t="str">
        <f aca="false">IF(A109="","",SUMIFS('Sales Daily KPIs'!$E:$E,'Sales Daily KPIs'!$B:$B,$C109,'Sales Daily KPIs'!$A:$A,"&gt;="&amp;$A109,'Sales Daily KPIs'!$A:$A,"&lt;="&amp;$B109))</f>
        <v/>
      </c>
      <c r="J109" s="19" t="str">
        <f aca="false">IF(A109="","",Settings!$B$4*Settings!$B$6)</f>
        <v/>
      </c>
      <c r="K109" s="16" t="str">
        <f aca="false">IF(A109="","",IFERROR(SUMIFS('Sales Daily KPIs'!$G:$G,'Sales Daily KPIs'!$B:$B,$C109,'Sales Daily KPIs'!$A:$A,"&gt;="&amp;$A109,'Sales Daily KPIs'!$A:$A,"&lt;="&amp;$B109)/SUMIFS('Sales Daily KPIs'!$F:$F,'Sales Daily KPIs'!$B:$B,$C109,'Sales Daily KPIs'!$A:$A,"&gt;="&amp;$A109,'Sales Daily KPIs'!$A:$A,"&lt;="&amp;$B109),""))</f>
        <v/>
      </c>
      <c r="L109" s="19" t="str">
        <f aca="false">IF(A109="","",SUMIFS('Sales Daily KPIs'!$I:$I,'Sales Daily KPIs'!$B:$B,$C109,'Sales Daily KPIs'!$A:$A,"&gt;="&amp;$A109,'Sales Daily KPIs'!$A:$A,"&lt;="&amp;$B109))</f>
        <v/>
      </c>
      <c r="M109" s="19" t="str">
        <f aca="false">IF(A109="","",Settings!$B$5)</f>
        <v/>
      </c>
      <c r="N109" s="14"/>
    </row>
    <row r="110" customFormat="false" ht="15" hidden="false" customHeight="false" outlineLevel="0" collapsed="false">
      <c r="A110" s="13"/>
      <c r="B110" s="18" t="str">
        <f aca="false">IF(A110="","",A110+6)</f>
        <v/>
      </c>
      <c r="C110" s="14"/>
      <c r="D110" s="19" t="str">
        <f aca="false">IF(A110="","",COUNTIFS('Sales Daily KPIs'!$B:$B,$C110,'Sales Daily KPIs'!$A:$A,"&gt;="&amp;$A110,'Sales Daily KPIs'!$A:$A,"&lt;="&amp;$B110,'Sales Daily KPIs'!$C:$C,"&lt;&gt;"))</f>
        <v/>
      </c>
      <c r="E110" s="19" t="str">
        <f aca="false">IF(A110="","",SUMIFS('Sales Daily KPIs'!$C:$C,'Sales Daily KPIs'!$B:$B,$C110,'Sales Daily KPIs'!$A:$A,"&gt;="&amp;$A110,'Sales Daily KPIs'!$A:$A,"&lt;="&amp;$B110))</f>
        <v/>
      </c>
      <c r="F110" s="19" t="str">
        <f aca="false">IF(A110="","",Settings!$B$2*Settings!$B$6)</f>
        <v/>
      </c>
      <c r="G110" s="19" t="str">
        <f aca="false">IF(A110="","",SUMIFS('Sales Daily KPIs'!$D:$D,'Sales Daily KPIs'!$B:$B,$C110,'Sales Daily KPIs'!$A:$A,"&gt;="&amp;$A110,'Sales Daily KPIs'!$A:$A,"&lt;="&amp;$B110))</f>
        <v/>
      </c>
      <c r="H110" s="19" t="str">
        <f aca="false">IF(A110="","",Settings!$B$3*Settings!$B$6)</f>
        <v/>
      </c>
      <c r="I110" s="19" t="str">
        <f aca="false">IF(A110="","",SUMIFS('Sales Daily KPIs'!$E:$E,'Sales Daily KPIs'!$B:$B,$C110,'Sales Daily KPIs'!$A:$A,"&gt;="&amp;$A110,'Sales Daily KPIs'!$A:$A,"&lt;="&amp;$B110))</f>
        <v/>
      </c>
      <c r="J110" s="19" t="str">
        <f aca="false">IF(A110="","",Settings!$B$4*Settings!$B$6)</f>
        <v/>
      </c>
      <c r="K110" s="16" t="str">
        <f aca="false">IF(A110="","",IFERROR(SUMIFS('Sales Daily KPIs'!$G:$G,'Sales Daily KPIs'!$B:$B,$C110,'Sales Daily KPIs'!$A:$A,"&gt;="&amp;$A110,'Sales Daily KPIs'!$A:$A,"&lt;="&amp;$B110)/SUMIFS('Sales Daily KPIs'!$F:$F,'Sales Daily KPIs'!$B:$B,$C110,'Sales Daily KPIs'!$A:$A,"&gt;="&amp;$A110,'Sales Daily KPIs'!$A:$A,"&lt;="&amp;$B110),""))</f>
        <v/>
      </c>
      <c r="L110" s="19" t="str">
        <f aca="false">IF(A110="","",SUMIFS('Sales Daily KPIs'!$I:$I,'Sales Daily KPIs'!$B:$B,$C110,'Sales Daily KPIs'!$A:$A,"&gt;="&amp;$A110,'Sales Daily KPIs'!$A:$A,"&lt;="&amp;$B110))</f>
        <v/>
      </c>
      <c r="M110" s="19" t="str">
        <f aca="false">IF(A110="","",Settings!$B$5)</f>
        <v/>
      </c>
      <c r="N110" s="14"/>
    </row>
    <row r="111" customFormat="false" ht="15" hidden="false" customHeight="false" outlineLevel="0" collapsed="false">
      <c r="A111" s="13"/>
      <c r="B111" s="18" t="str">
        <f aca="false">IF(A111="","",A111+6)</f>
        <v/>
      </c>
      <c r="C111" s="14"/>
      <c r="D111" s="19" t="str">
        <f aca="false">IF(A111="","",COUNTIFS('Sales Daily KPIs'!$B:$B,$C111,'Sales Daily KPIs'!$A:$A,"&gt;="&amp;$A111,'Sales Daily KPIs'!$A:$A,"&lt;="&amp;$B111,'Sales Daily KPIs'!$C:$C,"&lt;&gt;"))</f>
        <v/>
      </c>
      <c r="E111" s="19" t="str">
        <f aca="false">IF(A111="","",SUMIFS('Sales Daily KPIs'!$C:$C,'Sales Daily KPIs'!$B:$B,$C111,'Sales Daily KPIs'!$A:$A,"&gt;="&amp;$A111,'Sales Daily KPIs'!$A:$A,"&lt;="&amp;$B111))</f>
        <v/>
      </c>
      <c r="F111" s="19" t="str">
        <f aca="false">IF(A111="","",Settings!$B$2*Settings!$B$6)</f>
        <v/>
      </c>
      <c r="G111" s="19" t="str">
        <f aca="false">IF(A111="","",SUMIFS('Sales Daily KPIs'!$D:$D,'Sales Daily KPIs'!$B:$B,$C111,'Sales Daily KPIs'!$A:$A,"&gt;="&amp;$A111,'Sales Daily KPIs'!$A:$A,"&lt;="&amp;$B111))</f>
        <v/>
      </c>
      <c r="H111" s="19" t="str">
        <f aca="false">IF(A111="","",Settings!$B$3*Settings!$B$6)</f>
        <v/>
      </c>
      <c r="I111" s="19" t="str">
        <f aca="false">IF(A111="","",SUMIFS('Sales Daily KPIs'!$E:$E,'Sales Daily KPIs'!$B:$B,$C111,'Sales Daily KPIs'!$A:$A,"&gt;="&amp;$A111,'Sales Daily KPIs'!$A:$A,"&lt;="&amp;$B111))</f>
        <v/>
      </c>
      <c r="J111" s="19" t="str">
        <f aca="false">IF(A111="","",Settings!$B$4*Settings!$B$6)</f>
        <v/>
      </c>
      <c r="K111" s="16" t="str">
        <f aca="false">IF(A111="","",IFERROR(SUMIFS('Sales Daily KPIs'!$G:$G,'Sales Daily KPIs'!$B:$B,$C111,'Sales Daily KPIs'!$A:$A,"&gt;="&amp;$A111,'Sales Daily KPIs'!$A:$A,"&lt;="&amp;$B111)/SUMIFS('Sales Daily KPIs'!$F:$F,'Sales Daily KPIs'!$B:$B,$C111,'Sales Daily KPIs'!$A:$A,"&gt;="&amp;$A111,'Sales Daily KPIs'!$A:$A,"&lt;="&amp;$B111),""))</f>
        <v/>
      </c>
      <c r="L111" s="19" t="str">
        <f aca="false">IF(A111="","",SUMIFS('Sales Daily KPIs'!$I:$I,'Sales Daily KPIs'!$B:$B,$C111,'Sales Daily KPIs'!$A:$A,"&gt;="&amp;$A111,'Sales Daily KPIs'!$A:$A,"&lt;="&amp;$B111))</f>
        <v/>
      </c>
      <c r="M111" s="19" t="str">
        <f aca="false">IF(A111="","",Settings!$B$5)</f>
        <v/>
      </c>
      <c r="N111" s="14"/>
    </row>
    <row r="112" customFormat="false" ht="15" hidden="false" customHeight="false" outlineLevel="0" collapsed="false">
      <c r="A112" s="13"/>
      <c r="B112" s="18" t="str">
        <f aca="false">IF(A112="","",A112+6)</f>
        <v/>
      </c>
      <c r="C112" s="14"/>
      <c r="D112" s="19" t="str">
        <f aca="false">IF(A112="","",COUNTIFS('Sales Daily KPIs'!$B:$B,$C112,'Sales Daily KPIs'!$A:$A,"&gt;="&amp;$A112,'Sales Daily KPIs'!$A:$A,"&lt;="&amp;$B112,'Sales Daily KPIs'!$C:$C,"&lt;&gt;"))</f>
        <v/>
      </c>
      <c r="E112" s="19" t="str">
        <f aca="false">IF(A112="","",SUMIFS('Sales Daily KPIs'!$C:$C,'Sales Daily KPIs'!$B:$B,$C112,'Sales Daily KPIs'!$A:$A,"&gt;="&amp;$A112,'Sales Daily KPIs'!$A:$A,"&lt;="&amp;$B112))</f>
        <v/>
      </c>
      <c r="F112" s="19" t="str">
        <f aca="false">IF(A112="","",Settings!$B$2*Settings!$B$6)</f>
        <v/>
      </c>
      <c r="G112" s="19" t="str">
        <f aca="false">IF(A112="","",SUMIFS('Sales Daily KPIs'!$D:$D,'Sales Daily KPIs'!$B:$B,$C112,'Sales Daily KPIs'!$A:$A,"&gt;="&amp;$A112,'Sales Daily KPIs'!$A:$A,"&lt;="&amp;$B112))</f>
        <v/>
      </c>
      <c r="H112" s="19" t="str">
        <f aca="false">IF(A112="","",Settings!$B$3*Settings!$B$6)</f>
        <v/>
      </c>
      <c r="I112" s="19" t="str">
        <f aca="false">IF(A112="","",SUMIFS('Sales Daily KPIs'!$E:$E,'Sales Daily KPIs'!$B:$B,$C112,'Sales Daily KPIs'!$A:$A,"&gt;="&amp;$A112,'Sales Daily KPIs'!$A:$A,"&lt;="&amp;$B112))</f>
        <v/>
      </c>
      <c r="J112" s="19" t="str">
        <f aca="false">IF(A112="","",Settings!$B$4*Settings!$B$6)</f>
        <v/>
      </c>
      <c r="K112" s="16" t="str">
        <f aca="false">IF(A112="","",IFERROR(SUMIFS('Sales Daily KPIs'!$G:$G,'Sales Daily KPIs'!$B:$B,$C112,'Sales Daily KPIs'!$A:$A,"&gt;="&amp;$A112,'Sales Daily KPIs'!$A:$A,"&lt;="&amp;$B112)/SUMIFS('Sales Daily KPIs'!$F:$F,'Sales Daily KPIs'!$B:$B,$C112,'Sales Daily KPIs'!$A:$A,"&gt;="&amp;$A112,'Sales Daily KPIs'!$A:$A,"&lt;="&amp;$B112),""))</f>
        <v/>
      </c>
      <c r="L112" s="19" t="str">
        <f aca="false">IF(A112="","",SUMIFS('Sales Daily KPIs'!$I:$I,'Sales Daily KPIs'!$B:$B,$C112,'Sales Daily KPIs'!$A:$A,"&gt;="&amp;$A112,'Sales Daily KPIs'!$A:$A,"&lt;="&amp;$B112))</f>
        <v/>
      </c>
      <c r="M112" s="19" t="str">
        <f aca="false">IF(A112="","",Settings!$B$5)</f>
        <v/>
      </c>
      <c r="N112" s="14"/>
    </row>
    <row r="113" customFormat="false" ht="15" hidden="false" customHeight="false" outlineLevel="0" collapsed="false">
      <c r="A113" s="13"/>
      <c r="B113" s="18" t="str">
        <f aca="false">IF(A113="","",A113+6)</f>
        <v/>
      </c>
      <c r="C113" s="14"/>
      <c r="D113" s="19" t="str">
        <f aca="false">IF(A113="","",COUNTIFS('Sales Daily KPIs'!$B:$B,$C113,'Sales Daily KPIs'!$A:$A,"&gt;="&amp;$A113,'Sales Daily KPIs'!$A:$A,"&lt;="&amp;$B113,'Sales Daily KPIs'!$C:$C,"&lt;&gt;"))</f>
        <v/>
      </c>
      <c r="E113" s="19" t="str">
        <f aca="false">IF(A113="","",SUMIFS('Sales Daily KPIs'!$C:$C,'Sales Daily KPIs'!$B:$B,$C113,'Sales Daily KPIs'!$A:$A,"&gt;="&amp;$A113,'Sales Daily KPIs'!$A:$A,"&lt;="&amp;$B113))</f>
        <v/>
      </c>
      <c r="F113" s="19" t="str">
        <f aca="false">IF(A113="","",Settings!$B$2*Settings!$B$6)</f>
        <v/>
      </c>
      <c r="G113" s="19" t="str">
        <f aca="false">IF(A113="","",SUMIFS('Sales Daily KPIs'!$D:$D,'Sales Daily KPIs'!$B:$B,$C113,'Sales Daily KPIs'!$A:$A,"&gt;="&amp;$A113,'Sales Daily KPIs'!$A:$A,"&lt;="&amp;$B113))</f>
        <v/>
      </c>
      <c r="H113" s="19" t="str">
        <f aca="false">IF(A113="","",Settings!$B$3*Settings!$B$6)</f>
        <v/>
      </c>
      <c r="I113" s="19" t="str">
        <f aca="false">IF(A113="","",SUMIFS('Sales Daily KPIs'!$E:$E,'Sales Daily KPIs'!$B:$B,$C113,'Sales Daily KPIs'!$A:$A,"&gt;="&amp;$A113,'Sales Daily KPIs'!$A:$A,"&lt;="&amp;$B113))</f>
        <v/>
      </c>
      <c r="J113" s="19" t="str">
        <f aca="false">IF(A113="","",Settings!$B$4*Settings!$B$6)</f>
        <v/>
      </c>
      <c r="K113" s="16" t="str">
        <f aca="false">IF(A113="","",IFERROR(SUMIFS('Sales Daily KPIs'!$G:$G,'Sales Daily KPIs'!$B:$B,$C113,'Sales Daily KPIs'!$A:$A,"&gt;="&amp;$A113,'Sales Daily KPIs'!$A:$A,"&lt;="&amp;$B113)/SUMIFS('Sales Daily KPIs'!$F:$F,'Sales Daily KPIs'!$B:$B,$C113,'Sales Daily KPIs'!$A:$A,"&gt;="&amp;$A113,'Sales Daily KPIs'!$A:$A,"&lt;="&amp;$B113),""))</f>
        <v/>
      </c>
      <c r="L113" s="19" t="str">
        <f aca="false">IF(A113="","",SUMIFS('Sales Daily KPIs'!$I:$I,'Sales Daily KPIs'!$B:$B,$C113,'Sales Daily KPIs'!$A:$A,"&gt;="&amp;$A113,'Sales Daily KPIs'!$A:$A,"&lt;="&amp;$B113))</f>
        <v/>
      </c>
      <c r="M113" s="19" t="str">
        <f aca="false">IF(A113="","",Settings!$B$5)</f>
        <v/>
      </c>
      <c r="N113" s="14"/>
    </row>
    <row r="114" customFormat="false" ht="15" hidden="false" customHeight="false" outlineLevel="0" collapsed="false">
      <c r="A114" s="13"/>
      <c r="B114" s="18" t="str">
        <f aca="false">IF(A114="","",A114+6)</f>
        <v/>
      </c>
      <c r="C114" s="14"/>
      <c r="D114" s="19" t="str">
        <f aca="false">IF(A114="","",COUNTIFS('Sales Daily KPIs'!$B:$B,$C114,'Sales Daily KPIs'!$A:$A,"&gt;="&amp;$A114,'Sales Daily KPIs'!$A:$A,"&lt;="&amp;$B114,'Sales Daily KPIs'!$C:$C,"&lt;&gt;"))</f>
        <v/>
      </c>
      <c r="E114" s="19" t="str">
        <f aca="false">IF(A114="","",SUMIFS('Sales Daily KPIs'!$C:$C,'Sales Daily KPIs'!$B:$B,$C114,'Sales Daily KPIs'!$A:$A,"&gt;="&amp;$A114,'Sales Daily KPIs'!$A:$A,"&lt;="&amp;$B114))</f>
        <v/>
      </c>
      <c r="F114" s="19" t="str">
        <f aca="false">IF(A114="","",Settings!$B$2*Settings!$B$6)</f>
        <v/>
      </c>
      <c r="G114" s="19" t="str">
        <f aca="false">IF(A114="","",SUMIFS('Sales Daily KPIs'!$D:$D,'Sales Daily KPIs'!$B:$B,$C114,'Sales Daily KPIs'!$A:$A,"&gt;="&amp;$A114,'Sales Daily KPIs'!$A:$A,"&lt;="&amp;$B114))</f>
        <v/>
      </c>
      <c r="H114" s="19" t="str">
        <f aca="false">IF(A114="","",Settings!$B$3*Settings!$B$6)</f>
        <v/>
      </c>
      <c r="I114" s="19" t="str">
        <f aca="false">IF(A114="","",SUMIFS('Sales Daily KPIs'!$E:$E,'Sales Daily KPIs'!$B:$B,$C114,'Sales Daily KPIs'!$A:$A,"&gt;="&amp;$A114,'Sales Daily KPIs'!$A:$A,"&lt;="&amp;$B114))</f>
        <v/>
      </c>
      <c r="J114" s="19" t="str">
        <f aca="false">IF(A114="","",Settings!$B$4*Settings!$B$6)</f>
        <v/>
      </c>
      <c r="K114" s="16" t="str">
        <f aca="false">IF(A114="","",IFERROR(SUMIFS('Sales Daily KPIs'!$G:$G,'Sales Daily KPIs'!$B:$B,$C114,'Sales Daily KPIs'!$A:$A,"&gt;="&amp;$A114,'Sales Daily KPIs'!$A:$A,"&lt;="&amp;$B114)/SUMIFS('Sales Daily KPIs'!$F:$F,'Sales Daily KPIs'!$B:$B,$C114,'Sales Daily KPIs'!$A:$A,"&gt;="&amp;$A114,'Sales Daily KPIs'!$A:$A,"&lt;="&amp;$B114),""))</f>
        <v/>
      </c>
      <c r="L114" s="19" t="str">
        <f aca="false">IF(A114="","",SUMIFS('Sales Daily KPIs'!$I:$I,'Sales Daily KPIs'!$B:$B,$C114,'Sales Daily KPIs'!$A:$A,"&gt;="&amp;$A114,'Sales Daily KPIs'!$A:$A,"&lt;="&amp;$B114))</f>
        <v/>
      </c>
      <c r="M114" s="19" t="str">
        <f aca="false">IF(A114="","",Settings!$B$5)</f>
        <v/>
      </c>
      <c r="N114" s="14"/>
    </row>
    <row r="115" customFormat="false" ht="15" hidden="false" customHeight="false" outlineLevel="0" collapsed="false">
      <c r="A115" s="13"/>
      <c r="B115" s="18" t="str">
        <f aca="false">IF(A115="","",A115+6)</f>
        <v/>
      </c>
      <c r="C115" s="14"/>
      <c r="D115" s="19" t="str">
        <f aca="false">IF(A115="","",COUNTIFS('Sales Daily KPIs'!$B:$B,$C115,'Sales Daily KPIs'!$A:$A,"&gt;="&amp;$A115,'Sales Daily KPIs'!$A:$A,"&lt;="&amp;$B115,'Sales Daily KPIs'!$C:$C,"&lt;&gt;"))</f>
        <v/>
      </c>
      <c r="E115" s="19" t="str">
        <f aca="false">IF(A115="","",SUMIFS('Sales Daily KPIs'!$C:$C,'Sales Daily KPIs'!$B:$B,$C115,'Sales Daily KPIs'!$A:$A,"&gt;="&amp;$A115,'Sales Daily KPIs'!$A:$A,"&lt;="&amp;$B115))</f>
        <v/>
      </c>
      <c r="F115" s="19" t="str">
        <f aca="false">IF(A115="","",Settings!$B$2*Settings!$B$6)</f>
        <v/>
      </c>
      <c r="G115" s="19" t="str">
        <f aca="false">IF(A115="","",SUMIFS('Sales Daily KPIs'!$D:$D,'Sales Daily KPIs'!$B:$B,$C115,'Sales Daily KPIs'!$A:$A,"&gt;="&amp;$A115,'Sales Daily KPIs'!$A:$A,"&lt;="&amp;$B115))</f>
        <v/>
      </c>
      <c r="H115" s="19" t="str">
        <f aca="false">IF(A115="","",Settings!$B$3*Settings!$B$6)</f>
        <v/>
      </c>
      <c r="I115" s="19" t="str">
        <f aca="false">IF(A115="","",SUMIFS('Sales Daily KPIs'!$E:$E,'Sales Daily KPIs'!$B:$B,$C115,'Sales Daily KPIs'!$A:$A,"&gt;="&amp;$A115,'Sales Daily KPIs'!$A:$A,"&lt;="&amp;$B115))</f>
        <v/>
      </c>
      <c r="J115" s="19" t="str">
        <f aca="false">IF(A115="","",Settings!$B$4*Settings!$B$6)</f>
        <v/>
      </c>
      <c r="K115" s="16" t="str">
        <f aca="false">IF(A115="","",IFERROR(SUMIFS('Sales Daily KPIs'!$G:$G,'Sales Daily KPIs'!$B:$B,$C115,'Sales Daily KPIs'!$A:$A,"&gt;="&amp;$A115,'Sales Daily KPIs'!$A:$A,"&lt;="&amp;$B115)/SUMIFS('Sales Daily KPIs'!$F:$F,'Sales Daily KPIs'!$B:$B,$C115,'Sales Daily KPIs'!$A:$A,"&gt;="&amp;$A115,'Sales Daily KPIs'!$A:$A,"&lt;="&amp;$B115),""))</f>
        <v/>
      </c>
      <c r="L115" s="19" t="str">
        <f aca="false">IF(A115="","",SUMIFS('Sales Daily KPIs'!$I:$I,'Sales Daily KPIs'!$B:$B,$C115,'Sales Daily KPIs'!$A:$A,"&gt;="&amp;$A115,'Sales Daily KPIs'!$A:$A,"&lt;="&amp;$B115))</f>
        <v/>
      </c>
      <c r="M115" s="19" t="str">
        <f aca="false">IF(A115="","",Settings!$B$5)</f>
        <v/>
      </c>
      <c r="N115" s="14"/>
    </row>
    <row r="116" customFormat="false" ht="15" hidden="false" customHeight="false" outlineLevel="0" collapsed="false">
      <c r="A116" s="13"/>
      <c r="B116" s="18" t="str">
        <f aca="false">IF(A116="","",A116+6)</f>
        <v/>
      </c>
      <c r="C116" s="14"/>
      <c r="D116" s="19" t="str">
        <f aca="false">IF(A116="","",COUNTIFS('Sales Daily KPIs'!$B:$B,$C116,'Sales Daily KPIs'!$A:$A,"&gt;="&amp;$A116,'Sales Daily KPIs'!$A:$A,"&lt;="&amp;$B116,'Sales Daily KPIs'!$C:$C,"&lt;&gt;"))</f>
        <v/>
      </c>
      <c r="E116" s="19" t="str">
        <f aca="false">IF(A116="","",SUMIFS('Sales Daily KPIs'!$C:$C,'Sales Daily KPIs'!$B:$B,$C116,'Sales Daily KPIs'!$A:$A,"&gt;="&amp;$A116,'Sales Daily KPIs'!$A:$A,"&lt;="&amp;$B116))</f>
        <v/>
      </c>
      <c r="F116" s="19" t="str">
        <f aca="false">IF(A116="","",Settings!$B$2*Settings!$B$6)</f>
        <v/>
      </c>
      <c r="G116" s="19" t="str">
        <f aca="false">IF(A116="","",SUMIFS('Sales Daily KPIs'!$D:$D,'Sales Daily KPIs'!$B:$B,$C116,'Sales Daily KPIs'!$A:$A,"&gt;="&amp;$A116,'Sales Daily KPIs'!$A:$A,"&lt;="&amp;$B116))</f>
        <v/>
      </c>
      <c r="H116" s="19" t="str">
        <f aca="false">IF(A116="","",Settings!$B$3*Settings!$B$6)</f>
        <v/>
      </c>
      <c r="I116" s="19" t="str">
        <f aca="false">IF(A116="","",SUMIFS('Sales Daily KPIs'!$E:$E,'Sales Daily KPIs'!$B:$B,$C116,'Sales Daily KPIs'!$A:$A,"&gt;="&amp;$A116,'Sales Daily KPIs'!$A:$A,"&lt;="&amp;$B116))</f>
        <v/>
      </c>
      <c r="J116" s="19" t="str">
        <f aca="false">IF(A116="","",Settings!$B$4*Settings!$B$6)</f>
        <v/>
      </c>
      <c r="K116" s="16" t="str">
        <f aca="false">IF(A116="","",IFERROR(SUMIFS('Sales Daily KPIs'!$G:$G,'Sales Daily KPIs'!$B:$B,$C116,'Sales Daily KPIs'!$A:$A,"&gt;="&amp;$A116,'Sales Daily KPIs'!$A:$A,"&lt;="&amp;$B116)/SUMIFS('Sales Daily KPIs'!$F:$F,'Sales Daily KPIs'!$B:$B,$C116,'Sales Daily KPIs'!$A:$A,"&gt;="&amp;$A116,'Sales Daily KPIs'!$A:$A,"&lt;="&amp;$B116),""))</f>
        <v/>
      </c>
      <c r="L116" s="19" t="str">
        <f aca="false">IF(A116="","",SUMIFS('Sales Daily KPIs'!$I:$I,'Sales Daily KPIs'!$B:$B,$C116,'Sales Daily KPIs'!$A:$A,"&gt;="&amp;$A116,'Sales Daily KPIs'!$A:$A,"&lt;="&amp;$B116))</f>
        <v/>
      </c>
      <c r="M116" s="19" t="str">
        <f aca="false">IF(A116="","",Settings!$B$5)</f>
        <v/>
      </c>
      <c r="N116" s="14"/>
    </row>
    <row r="117" customFormat="false" ht="15" hidden="false" customHeight="false" outlineLevel="0" collapsed="false">
      <c r="A117" s="13"/>
      <c r="B117" s="18" t="str">
        <f aca="false">IF(A117="","",A117+6)</f>
        <v/>
      </c>
      <c r="C117" s="14"/>
      <c r="D117" s="19" t="str">
        <f aca="false">IF(A117="","",COUNTIFS('Sales Daily KPIs'!$B:$B,$C117,'Sales Daily KPIs'!$A:$A,"&gt;="&amp;$A117,'Sales Daily KPIs'!$A:$A,"&lt;="&amp;$B117,'Sales Daily KPIs'!$C:$C,"&lt;&gt;"))</f>
        <v/>
      </c>
      <c r="E117" s="19" t="str">
        <f aca="false">IF(A117="","",SUMIFS('Sales Daily KPIs'!$C:$C,'Sales Daily KPIs'!$B:$B,$C117,'Sales Daily KPIs'!$A:$A,"&gt;="&amp;$A117,'Sales Daily KPIs'!$A:$A,"&lt;="&amp;$B117))</f>
        <v/>
      </c>
      <c r="F117" s="19" t="str">
        <f aca="false">IF(A117="","",Settings!$B$2*Settings!$B$6)</f>
        <v/>
      </c>
      <c r="G117" s="19" t="str">
        <f aca="false">IF(A117="","",SUMIFS('Sales Daily KPIs'!$D:$D,'Sales Daily KPIs'!$B:$B,$C117,'Sales Daily KPIs'!$A:$A,"&gt;="&amp;$A117,'Sales Daily KPIs'!$A:$A,"&lt;="&amp;$B117))</f>
        <v/>
      </c>
      <c r="H117" s="19" t="str">
        <f aca="false">IF(A117="","",Settings!$B$3*Settings!$B$6)</f>
        <v/>
      </c>
      <c r="I117" s="19" t="str">
        <f aca="false">IF(A117="","",SUMIFS('Sales Daily KPIs'!$E:$E,'Sales Daily KPIs'!$B:$B,$C117,'Sales Daily KPIs'!$A:$A,"&gt;="&amp;$A117,'Sales Daily KPIs'!$A:$A,"&lt;="&amp;$B117))</f>
        <v/>
      </c>
      <c r="J117" s="19" t="str">
        <f aca="false">IF(A117="","",Settings!$B$4*Settings!$B$6)</f>
        <v/>
      </c>
      <c r="K117" s="16" t="str">
        <f aca="false">IF(A117="","",IFERROR(SUMIFS('Sales Daily KPIs'!$G:$G,'Sales Daily KPIs'!$B:$B,$C117,'Sales Daily KPIs'!$A:$A,"&gt;="&amp;$A117,'Sales Daily KPIs'!$A:$A,"&lt;="&amp;$B117)/SUMIFS('Sales Daily KPIs'!$F:$F,'Sales Daily KPIs'!$B:$B,$C117,'Sales Daily KPIs'!$A:$A,"&gt;="&amp;$A117,'Sales Daily KPIs'!$A:$A,"&lt;="&amp;$B117),""))</f>
        <v/>
      </c>
      <c r="L117" s="19" t="str">
        <f aca="false">IF(A117="","",SUMIFS('Sales Daily KPIs'!$I:$I,'Sales Daily KPIs'!$B:$B,$C117,'Sales Daily KPIs'!$A:$A,"&gt;="&amp;$A117,'Sales Daily KPIs'!$A:$A,"&lt;="&amp;$B117))</f>
        <v/>
      </c>
      <c r="M117" s="19" t="str">
        <f aca="false">IF(A117="","",Settings!$B$5)</f>
        <v/>
      </c>
      <c r="N117" s="14"/>
    </row>
    <row r="118" customFormat="false" ht="15" hidden="false" customHeight="false" outlineLevel="0" collapsed="false">
      <c r="A118" s="13"/>
      <c r="B118" s="18" t="str">
        <f aca="false">IF(A118="","",A118+6)</f>
        <v/>
      </c>
      <c r="C118" s="14"/>
      <c r="D118" s="19" t="str">
        <f aca="false">IF(A118="","",COUNTIFS('Sales Daily KPIs'!$B:$B,$C118,'Sales Daily KPIs'!$A:$A,"&gt;="&amp;$A118,'Sales Daily KPIs'!$A:$A,"&lt;="&amp;$B118,'Sales Daily KPIs'!$C:$C,"&lt;&gt;"))</f>
        <v/>
      </c>
      <c r="E118" s="19" t="str">
        <f aca="false">IF(A118="","",SUMIFS('Sales Daily KPIs'!$C:$C,'Sales Daily KPIs'!$B:$B,$C118,'Sales Daily KPIs'!$A:$A,"&gt;="&amp;$A118,'Sales Daily KPIs'!$A:$A,"&lt;="&amp;$B118))</f>
        <v/>
      </c>
      <c r="F118" s="19" t="str">
        <f aca="false">IF(A118="","",Settings!$B$2*Settings!$B$6)</f>
        <v/>
      </c>
      <c r="G118" s="19" t="str">
        <f aca="false">IF(A118="","",SUMIFS('Sales Daily KPIs'!$D:$D,'Sales Daily KPIs'!$B:$B,$C118,'Sales Daily KPIs'!$A:$A,"&gt;="&amp;$A118,'Sales Daily KPIs'!$A:$A,"&lt;="&amp;$B118))</f>
        <v/>
      </c>
      <c r="H118" s="19" t="str">
        <f aca="false">IF(A118="","",Settings!$B$3*Settings!$B$6)</f>
        <v/>
      </c>
      <c r="I118" s="19" t="str">
        <f aca="false">IF(A118="","",SUMIFS('Sales Daily KPIs'!$E:$E,'Sales Daily KPIs'!$B:$B,$C118,'Sales Daily KPIs'!$A:$A,"&gt;="&amp;$A118,'Sales Daily KPIs'!$A:$A,"&lt;="&amp;$B118))</f>
        <v/>
      </c>
      <c r="J118" s="19" t="str">
        <f aca="false">IF(A118="","",Settings!$B$4*Settings!$B$6)</f>
        <v/>
      </c>
      <c r="K118" s="16" t="str">
        <f aca="false">IF(A118="","",IFERROR(SUMIFS('Sales Daily KPIs'!$G:$G,'Sales Daily KPIs'!$B:$B,$C118,'Sales Daily KPIs'!$A:$A,"&gt;="&amp;$A118,'Sales Daily KPIs'!$A:$A,"&lt;="&amp;$B118)/SUMIFS('Sales Daily KPIs'!$F:$F,'Sales Daily KPIs'!$B:$B,$C118,'Sales Daily KPIs'!$A:$A,"&gt;="&amp;$A118,'Sales Daily KPIs'!$A:$A,"&lt;="&amp;$B118),""))</f>
        <v/>
      </c>
      <c r="L118" s="19" t="str">
        <f aca="false">IF(A118="","",SUMIFS('Sales Daily KPIs'!$I:$I,'Sales Daily KPIs'!$B:$B,$C118,'Sales Daily KPIs'!$A:$A,"&gt;="&amp;$A118,'Sales Daily KPIs'!$A:$A,"&lt;="&amp;$B118))</f>
        <v/>
      </c>
      <c r="M118" s="19" t="str">
        <f aca="false">IF(A118="","",Settings!$B$5)</f>
        <v/>
      </c>
      <c r="N118" s="14"/>
    </row>
    <row r="119" customFormat="false" ht="15" hidden="false" customHeight="false" outlineLevel="0" collapsed="false">
      <c r="A119" s="13"/>
      <c r="B119" s="18" t="str">
        <f aca="false">IF(A119="","",A119+6)</f>
        <v/>
      </c>
      <c r="C119" s="14"/>
      <c r="D119" s="19" t="str">
        <f aca="false">IF(A119="","",COUNTIFS('Sales Daily KPIs'!$B:$B,$C119,'Sales Daily KPIs'!$A:$A,"&gt;="&amp;$A119,'Sales Daily KPIs'!$A:$A,"&lt;="&amp;$B119,'Sales Daily KPIs'!$C:$C,"&lt;&gt;"))</f>
        <v/>
      </c>
      <c r="E119" s="19" t="str">
        <f aca="false">IF(A119="","",SUMIFS('Sales Daily KPIs'!$C:$C,'Sales Daily KPIs'!$B:$B,$C119,'Sales Daily KPIs'!$A:$A,"&gt;="&amp;$A119,'Sales Daily KPIs'!$A:$A,"&lt;="&amp;$B119))</f>
        <v/>
      </c>
      <c r="F119" s="19" t="str">
        <f aca="false">IF(A119="","",Settings!$B$2*Settings!$B$6)</f>
        <v/>
      </c>
      <c r="G119" s="19" t="str">
        <f aca="false">IF(A119="","",SUMIFS('Sales Daily KPIs'!$D:$D,'Sales Daily KPIs'!$B:$B,$C119,'Sales Daily KPIs'!$A:$A,"&gt;="&amp;$A119,'Sales Daily KPIs'!$A:$A,"&lt;="&amp;$B119))</f>
        <v/>
      </c>
      <c r="H119" s="19" t="str">
        <f aca="false">IF(A119="","",Settings!$B$3*Settings!$B$6)</f>
        <v/>
      </c>
      <c r="I119" s="19" t="str">
        <f aca="false">IF(A119="","",SUMIFS('Sales Daily KPIs'!$E:$E,'Sales Daily KPIs'!$B:$B,$C119,'Sales Daily KPIs'!$A:$A,"&gt;="&amp;$A119,'Sales Daily KPIs'!$A:$A,"&lt;="&amp;$B119))</f>
        <v/>
      </c>
      <c r="J119" s="19" t="str">
        <f aca="false">IF(A119="","",Settings!$B$4*Settings!$B$6)</f>
        <v/>
      </c>
      <c r="K119" s="16" t="str">
        <f aca="false">IF(A119="","",IFERROR(SUMIFS('Sales Daily KPIs'!$G:$G,'Sales Daily KPIs'!$B:$B,$C119,'Sales Daily KPIs'!$A:$A,"&gt;="&amp;$A119,'Sales Daily KPIs'!$A:$A,"&lt;="&amp;$B119)/SUMIFS('Sales Daily KPIs'!$F:$F,'Sales Daily KPIs'!$B:$B,$C119,'Sales Daily KPIs'!$A:$A,"&gt;="&amp;$A119,'Sales Daily KPIs'!$A:$A,"&lt;="&amp;$B119),""))</f>
        <v/>
      </c>
      <c r="L119" s="19" t="str">
        <f aca="false">IF(A119="","",SUMIFS('Sales Daily KPIs'!$I:$I,'Sales Daily KPIs'!$B:$B,$C119,'Sales Daily KPIs'!$A:$A,"&gt;="&amp;$A119,'Sales Daily KPIs'!$A:$A,"&lt;="&amp;$B119))</f>
        <v/>
      </c>
      <c r="M119" s="19" t="str">
        <f aca="false">IF(A119="","",Settings!$B$5)</f>
        <v/>
      </c>
      <c r="N119" s="14"/>
    </row>
    <row r="120" customFormat="false" ht="15" hidden="false" customHeight="false" outlineLevel="0" collapsed="false">
      <c r="A120" s="13"/>
      <c r="B120" s="18" t="str">
        <f aca="false">IF(A120="","",A120+6)</f>
        <v/>
      </c>
      <c r="C120" s="14"/>
      <c r="D120" s="19" t="str">
        <f aca="false">IF(A120="","",COUNTIFS('Sales Daily KPIs'!$B:$B,$C120,'Sales Daily KPIs'!$A:$A,"&gt;="&amp;$A120,'Sales Daily KPIs'!$A:$A,"&lt;="&amp;$B120,'Sales Daily KPIs'!$C:$C,"&lt;&gt;"))</f>
        <v/>
      </c>
      <c r="E120" s="19" t="str">
        <f aca="false">IF(A120="","",SUMIFS('Sales Daily KPIs'!$C:$C,'Sales Daily KPIs'!$B:$B,$C120,'Sales Daily KPIs'!$A:$A,"&gt;="&amp;$A120,'Sales Daily KPIs'!$A:$A,"&lt;="&amp;$B120))</f>
        <v/>
      </c>
      <c r="F120" s="19" t="str">
        <f aca="false">IF(A120="","",Settings!$B$2*Settings!$B$6)</f>
        <v/>
      </c>
      <c r="G120" s="19" t="str">
        <f aca="false">IF(A120="","",SUMIFS('Sales Daily KPIs'!$D:$D,'Sales Daily KPIs'!$B:$B,$C120,'Sales Daily KPIs'!$A:$A,"&gt;="&amp;$A120,'Sales Daily KPIs'!$A:$A,"&lt;="&amp;$B120))</f>
        <v/>
      </c>
      <c r="H120" s="19" t="str">
        <f aca="false">IF(A120="","",Settings!$B$3*Settings!$B$6)</f>
        <v/>
      </c>
      <c r="I120" s="19" t="str">
        <f aca="false">IF(A120="","",SUMIFS('Sales Daily KPIs'!$E:$E,'Sales Daily KPIs'!$B:$B,$C120,'Sales Daily KPIs'!$A:$A,"&gt;="&amp;$A120,'Sales Daily KPIs'!$A:$A,"&lt;="&amp;$B120))</f>
        <v/>
      </c>
      <c r="J120" s="19" t="str">
        <f aca="false">IF(A120="","",Settings!$B$4*Settings!$B$6)</f>
        <v/>
      </c>
      <c r="K120" s="16" t="str">
        <f aca="false">IF(A120="","",IFERROR(SUMIFS('Sales Daily KPIs'!$G:$G,'Sales Daily KPIs'!$B:$B,$C120,'Sales Daily KPIs'!$A:$A,"&gt;="&amp;$A120,'Sales Daily KPIs'!$A:$A,"&lt;="&amp;$B120)/SUMIFS('Sales Daily KPIs'!$F:$F,'Sales Daily KPIs'!$B:$B,$C120,'Sales Daily KPIs'!$A:$A,"&gt;="&amp;$A120,'Sales Daily KPIs'!$A:$A,"&lt;="&amp;$B120),""))</f>
        <v/>
      </c>
      <c r="L120" s="19" t="str">
        <f aca="false">IF(A120="","",SUMIFS('Sales Daily KPIs'!$I:$I,'Sales Daily KPIs'!$B:$B,$C120,'Sales Daily KPIs'!$A:$A,"&gt;="&amp;$A120,'Sales Daily KPIs'!$A:$A,"&lt;="&amp;$B120))</f>
        <v/>
      </c>
      <c r="M120" s="19" t="str">
        <f aca="false">IF(A120="","",Settings!$B$5)</f>
        <v/>
      </c>
      <c r="N120" s="14"/>
    </row>
    <row r="121" customFormat="false" ht="15" hidden="false" customHeight="false" outlineLevel="0" collapsed="false">
      <c r="A121" s="13"/>
      <c r="B121" s="18" t="str">
        <f aca="false">IF(A121="","",A121+6)</f>
        <v/>
      </c>
      <c r="C121" s="14"/>
      <c r="D121" s="19" t="str">
        <f aca="false">IF(A121="","",COUNTIFS('Sales Daily KPIs'!$B:$B,$C121,'Sales Daily KPIs'!$A:$A,"&gt;="&amp;$A121,'Sales Daily KPIs'!$A:$A,"&lt;="&amp;$B121,'Sales Daily KPIs'!$C:$C,"&lt;&gt;"))</f>
        <v/>
      </c>
      <c r="E121" s="19" t="str">
        <f aca="false">IF(A121="","",SUMIFS('Sales Daily KPIs'!$C:$C,'Sales Daily KPIs'!$B:$B,$C121,'Sales Daily KPIs'!$A:$A,"&gt;="&amp;$A121,'Sales Daily KPIs'!$A:$A,"&lt;="&amp;$B121))</f>
        <v/>
      </c>
      <c r="F121" s="19" t="str">
        <f aca="false">IF(A121="","",Settings!$B$2*Settings!$B$6)</f>
        <v/>
      </c>
      <c r="G121" s="19" t="str">
        <f aca="false">IF(A121="","",SUMIFS('Sales Daily KPIs'!$D:$D,'Sales Daily KPIs'!$B:$B,$C121,'Sales Daily KPIs'!$A:$A,"&gt;="&amp;$A121,'Sales Daily KPIs'!$A:$A,"&lt;="&amp;$B121))</f>
        <v/>
      </c>
      <c r="H121" s="19" t="str">
        <f aca="false">IF(A121="","",Settings!$B$3*Settings!$B$6)</f>
        <v/>
      </c>
      <c r="I121" s="19" t="str">
        <f aca="false">IF(A121="","",SUMIFS('Sales Daily KPIs'!$E:$E,'Sales Daily KPIs'!$B:$B,$C121,'Sales Daily KPIs'!$A:$A,"&gt;="&amp;$A121,'Sales Daily KPIs'!$A:$A,"&lt;="&amp;$B121))</f>
        <v/>
      </c>
      <c r="J121" s="19" t="str">
        <f aca="false">IF(A121="","",Settings!$B$4*Settings!$B$6)</f>
        <v/>
      </c>
      <c r="K121" s="16" t="str">
        <f aca="false">IF(A121="","",IFERROR(SUMIFS('Sales Daily KPIs'!$G:$G,'Sales Daily KPIs'!$B:$B,$C121,'Sales Daily KPIs'!$A:$A,"&gt;="&amp;$A121,'Sales Daily KPIs'!$A:$A,"&lt;="&amp;$B121)/SUMIFS('Sales Daily KPIs'!$F:$F,'Sales Daily KPIs'!$B:$B,$C121,'Sales Daily KPIs'!$A:$A,"&gt;="&amp;$A121,'Sales Daily KPIs'!$A:$A,"&lt;="&amp;$B121),""))</f>
        <v/>
      </c>
      <c r="L121" s="19" t="str">
        <f aca="false">IF(A121="","",SUMIFS('Sales Daily KPIs'!$I:$I,'Sales Daily KPIs'!$B:$B,$C121,'Sales Daily KPIs'!$A:$A,"&gt;="&amp;$A121,'Sales Daily KPIs'!$A:$A,"&lt;="&amp;$B121))</f>
        <v/>
      </c>
      <c r="M121" s="19" t="str">
        <f aca="false">IF(A121="","",Settings!$B$5)</f>
        <v/>
      </c>
      <c r="N121" s="14"/>
    </row>
  </sheetData>
  <autoFilter ref="A1:N121"/>
  <conditionalFormatting sqref="E2:E121">
    <cfRule type="expression" priority="2" aboveAverage="0" equalAverage="0" bottom="0" percent="0" rank="0" text="" dxfId="7">
      <formula>AND(E2&lt;&gt;"",E2&gt;=$F2)</formula>
    </cfRule>
    <cfRule type="expression" priority="3" aboveAverage="0" equalAverage="0" bottom="0" percent="0" rank="0" text="" dxfId="8">
      <formula>AND(E2&lt;&gt;"",E2&lt;$F2)</formula>
    </cfRule>
  </conditionalFormatting>
  <conditionalFormatting sqref="G2:G121">
    <cfRule type="expression" priority="4" aboveAverage="0" equalAverage="0" bottom="0" percent="0" rank="0" text="" dxfId="7">
      <formula>AND(G2&lt;&gt;"",G2&gt;=$H2)</formula>
    </cfRule>
    <cfRule type="expression" priority="5" aboveAverage="0" equalAverage="0" bottom="0" percent="0" rank="0" text="" dxfId="8">
      <formula>AND(G2&lt;&gt;"",G2&lt;$H2)</formula>
    </cfRule>
  </conditionalFormatting>
  <conditionalFormatting sqref="I2:I121">
    <cfRule type="expression" priority="6" aboveAverage="0" equalAverage="0" bottom="0" percent="0" rank="0" text="" dxfId="7">
      <formula>AND(I2&lt;&gt;"",I2&gt;=$J2)</formula>
    </cfRule>
    <cfRule type="expression" priority="7" aboveAverage="0" equalAverage="0" bottom="0" percent="0" rank="0" text="" dxfId="8">
      <formula>AND(I2&lt;&gt;"",I2&lt;$J2)</formula>
    </cfRule>
  </conditionalFormatting>
  <conditionalFormatting sqref="L2:L121">
    <cfRule type="expression" priority="8" aboveAverage="0" equalAverage="0" bottom="0" percent="0" rank="0" text="" dxfId="7">
      <formula>AND(L2&lt;&gt;"",L2&gt;=$M2)</formula>
    </cfRule>
    <cfRule type="expression" priority="9" aboveAverage="0" equalAverage="0" bottom="0" percent="0" rank="0" text="" dxfId="8">
      <formula>AND(L2&lt;&gt;"",L2&lt;$M2)</formula>
    </cfRule>
  </conditionalFormatting>
  <conditionalFormatting sqref="K2:K121">
    <cfRule type="expression" priority="10" aboveAverage="0" equalAverage="0" bottom="0" percent="0" rank="0" text="" dxfId="7">
      <formula>AND(K2&lt;&gt;"",K2&gt;=1)</formula>
    </cfRule>
    <cfRule type="expression" priority="11" aboveAverage="0" equalAverage="0" bottom="0" percent="0" rank="0" text="" dxfId="8">
      <formula>AND(K2&lt;&gt;"",K2&lt;1)</formula>
    </cfRule>
  </conditionalFormatting>
  <dataValidations count="1">
    <dataValidation allowBlank="true" errorStyle="stop" operator="between" showDropDown="false" showErrorMessage="false" showInputMessage="false" sqref="C2:C121" type="list">
      <formula1>Lists!$A$2:$A$10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24"/>
    <col collapsed="false" customWidth="true" hidden="false" outlineLevel="0" max="12" min="12" style="0" width="28"/>
  </cols>
  <sheetData>
    <row r="1" customFormat="false" ht="33.75" hidden="false" customHeight="true" outlineLevel="0" collapsed="false">
      <c r="A1" s="7" t="s">
        <v>16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37</v>
      </c>
    </row>
    <row r="2" customFormat="false" ht="15" hidden="false" customHeight="false" outlineLevel="0" collapsed="false">
      <c r="A2" s="8" t="n">
        <v>46344</v>
      </c>
      <c r="B2" s="9" t="s">
        <v>48</v>
      </c>
      <c r="C2" s="9" t="s">
        <v>49</v>
      </c>
      <c r="D2" s="9" t="s">
        <v>50</v>
      </c>
      <c r="E2" s="10" t="n">
        <v>200</v>
      </c>
      <c r="F2" s="9" t="s">
        <v>51</v>
      </c>
      <c r="G2" s="20" t="n">
        <f aca="false">IF(E2="","",IF(F2="Y",E2*Settings!$B$16,0))</f>
        <v>10</v>
      </c>
      <c r="H2" s="20" t="n">
        <f aca="false">IF(E2="","",E2+G2)</f>
        <v>210</v>
      </c>
      <c r="I2" s="9" t="s">
        <v>52</v>
      </c>
      <c r="J2" s="9" t="s">
        <v>53</v>
      </c>
      <c r="K2" s="9"/>
      <c r="L2" s="9" t="s">
        <v>54</v>
      </c>
    </row>
    <row r="3" customFormat="false" ht="15" hidden="false" customHeight="false" outlineLevel="0" collapsed="false">
      <c r="A3" s="13"/>
      <c r="B3" s="14"/>
      <c r="C3" s="14"/>
      <c r="D3" s="14"/>
      <c r="E3" s="15"/>
      <c r="F3" s="14"/>
      <c r="G3" s="19" t="str">
        <f aca="false">IF(E3="","",IF(F3="Y",E3*Settings!$B$16,0))</f>
        <v/>
      </c>
      <c r="H3" s="19" t="str">
        <f aca="false">IF(E3="","",E3+G3)</f>
        <v/>
      </c>
      <c r="I3" s="14"/>
      <c r="J3" s="14"/>
      <c r="K3" s="14"/>
      <c r="L3" s="14"/>
    </row>
    <row r="4" customFormat="false" ht="15" hidden="false" customHeight="false" outlineLevel="0" collapsed="false">
      <c r="A4" s="13"/>
      <c r="B4" s="14"/>
      <c r="C4" s="14"/>
      <c r="D4" s="14"/>
      <c r="E4" s="15"/>
      <c r="F4" s="14"/>
      <c r="G4" s="19" t="str">
        <f aca="false">IF(E4="","",IF(F4="Y",E4*Settings!$B$16,0))</f>
        <v/>
      </c>
      <c r="H4" s="19" t="str">
        <f aca="false">IF(E4="","",E4+G4)</f>
        <v/>
      </c>
      <c r="I4" s="14"/>
      <c r="J4" s="14"/>
      <c r="K4" s="14"/>
      <c r="L4" s="14"/>
    </row>
    <row r="5" customFormat="false" ht="15" hidden="false" customHeight="false" outlineLevel="0" collapsed="false">
      <c r="A5" s="13"/>
      <c r="B5" s="14"/>
      <c r="C5" s="14"/>
      <c r="D5" s="14"/>
      <c r="E5" s="15"/>
      <c r="F5" s="14"/>
      <c r="G5" s="19" t="str">
        <f aca="false">IF(E5="","",IF(F5="Y",E5*Settings!$B$16,0))</f>
        <v/>
      </c>
      <c r="H5" s="19" t="str">
        <f aca="false">IF(E5="","",E5+G5)</f>
        <v/>
      </c>
      <c r="I5" s="14"/>
      <c r="J5" s="14"/>
      <c r="K5" s="14"/>
      <c r="L5" s="14"/>
    </row>
    <row r="6" customFormat="false" ht="15" hidden="false" customHeight="false" outlineLevel="0" collapsed="false">
      <c r="A6" s="13"/>
      <c r="B6" s="14"/>
      <c r="C6" s="14"/>
      <c r="D6" s="14"/>
      <c r="E6" s="15"/>
      <c r="F6" s="14"/>
      <c r="G6" s="19" t="str">
        <f aca="false">IF(E6="","",IF(F6="Y",E6*Settings!$B$16,0))</f>
        <v/>
      </c>
      <c r="H6" s="19" t="str">
        <f aca="false">IF(E6="","",E6+G6)</f>
        <v/>
      </c>
      <c r="I6" s="14"/>
      <c r="J6" s="14"/>
      <c r="K6" s="14"/>
      <c r="L6" s="14"/>
    </row>
    <row r="7" customFormat="false" ht="15" hidden="false" customHeight="false" outlineLevel="0" collapsed="false">
      <c r="A7" s="13"/>
      <c r="B7" s="14"/>
      <c r="C7" s="14"/>
      <c r="D7" s="14"/>
      <c r="E7" s="15"/>
      <c r="F7" s="14"/>
      <c r="G7" s="19" t="str">
        <f aca="false">IF(E7="","",IF(F7="Y",E7*Settings!$B$16,0))</f>
        <v/>
      </c>
      <c r="H7" s="19" t="str">
        <f aca="false">IF(E7="","",E7+G7)</f>
        <v/>
      </c>
      <c r="I7" s="14"/>
      <c r="J7" s="14"/>
      <c r="K7" s="14"/>
      <c r="L7" s="14"/>
    </row>
    <row r="8" customFormat="false" ht="15" hidden="false" customHeight="false" outlineLevel="0" collapsed="false">
      <c r="A8" s="13"/>
      <c r="B8" s="14"/>
      <c r="C8" s="14"/>
      <c r="D8" s="14"/>
      <c r="E8" s="15"/>
      <c r="F8" s="14"/>
      <c r="G8" s="19" t="str">
        <f aca="false">IF(E8="","",IF(F8="Y",E8*Settings!$B$16,0))</f>
        <v/>
      </c>
      <c r="H8" s="19" t="str">
        <f aca="false">IF(E8="","",E8+G8)</f>
        <v/>
      </c>
      <c r="I8" s="14"/>
      <c r="J8" s="14"/>
      <c r="K8" s="14"/>
      <c r="L8" s="14"/>
    </row>
    <row r="9" customFormat="false" ht="15" hidden="false" customHeight="false" outlineLevel="0" collapsed="false">
      <c r="A9" s="13"/>
      <c r="B9" s="14"/>
      <c r="C9" s="14"/>
      <c r="D9" s="14"/>
      <c r="E9" s="15"/>
      <c r="F9" s="14"/>
      <c r="G9" s="19" t="str">
        <f aca="false">IF(E9="","",IF(F9="Y",E9*Settings!$B$16,0))</f>
        <v/>
      </c>
      <c r="H9" s="19" t="str">
        <f aca="false">IF(E9="","",E9+G9)</f>
        <v/>
      </c>
      <c r="I9" s="14"/>
      <c r="J9" s="14"/>
      <c r="K9" s="14"/>
      <c r="L9" s="14"/>
    </row>
    <row r="10" customFormat="false" ht="15" hidden="false" customHeight="false" outlineLevel="0" collapsed="false">
      <c r="A10" s="13"/>
      <c r="B10" s="14"/>
      <c r="C10" s="14"/>
      <c r="D10" s="14"/>
      <c r="E10" s="15"/>
      <c r="F10" s="14"/>
      <c r="G10" s="19" t="str">
        <f aca="false">IF(E10="","",IF(F10="Y",E10*Settings!$B$16,0))</f>
        <v/>
      </c>
      <c r="H10" s="19" t="str">
        <f aca="false">IF(E10="","",E10+G10)</f>
        <v/>
      </c>
      <c r="I10" s="14"/>
      <c r="J10" s="14"/>
      <c r="K10" s="14"/>
      <c r="L10" s="14"/>
    </row>
    <row r="11" customFormat="false" ht="15" hidden="false" customHeight="false" outlineLevel="0" collapsed="false">
      <c r="A11" s="13"/>
      <c r="B11" s="14"/>
      <c r="C11" s="14"/>
      <c r="D11" s="14"/>
      <c r="E11" s="15"/>
      <c r="F11" s="14"/>
      <c r="G11" s="19" t="str">
        <f aca="false">IF(E11="","",IF(F11="Y",E11*Settings!$B$16,0))</f>
        <v/>
      </c>
      <c r="H11" s="19" t="str">
        <f aca="false">IF(E11="","",E11+G11)</f>
        <v/>
      </c>
      <c r="I11" s="14"/>
      <c r="J11" s="14"/>
      <c r="K11" s="14"/>
      <c r="L11" s="14"/>
    </row>
    <row r="12" customFormat="false" ht="15" hidden="false" customHeight="false" outlineLevel="0" collapsed="false">
      <c r="A12" s="13"/>
      <c r="B12" s="14"/>
      <c r="C12" s="14"/>
      <c r="D12" s="14"/>
      <c r="E12" s="15"/>
      <c r="F12" s="14"/>
      <c r="G12" s="19" t="str">
        <f aca="false">IF(E12="","",IF(F12="Y",E12*Settings!$B$16,0))</f>
        <v/>
      </c>
      <c r="H12" s="19" t="str">
        <f aca="false">IF(E12="","",E12+G12)</f>
        <v/>
      </c>
      <c r="I12" s="14"/>
      <c r="J12" s="14"/>
      <c r="K12" s="14"/>
      <c r="L12" s="14"/>
    </row>
    <row r="13" customFormat="false" ht="15" hidden="false" customHeight="false" outlineLevel="0" collapsed="false">
      <c r="A13" s="13"/>
      <c r="B13" s="14"/>
      <c r="C13" s="14"/>
      <c r="D13" s="14"/>
      <c r="E13" s="15"/>
      <c r="F13" s="14"/>
      <c r="G13" s="19" t="str">
        <f aca="false">IF(E13="","",IF(F13="Y",E13*Settings!$B$16,0))</f>
        <v/>
      </c>
      <c r="H13" s="19" t="str">
        <f aca="false">IF(E13="","",E13+G13)</f>
        <v/>
      </c>
      <c r="I13" s="14"/>
      <c r="J13" s="14"/>
      <c r="K13" s="14"/>
      <c r="L13" s="14"/>
    </row>
    <row r="14" customFormat="false" ht="15" hidden="false" customHeight="false" outlineLevel="0" collapsed="false">
      <c r="A14" s="13"/>
      <c r="B14" s="14"/>
      <c r="C14" s="14"/>
      <c r="D14" s="14"/>
      <c r="E14" s="15"/>
      <c r="F14" s="14"/>
      <c r="G14" s="19" t="str">
        <f aca="false">IF(E14="","",IF(F14="Y",E14*Settings!$B$16,0))</f>
        <v/>
      </c>
      <c r="H14" s="19" t="str">
        <f aca="false">IF(E14="","",E14+G14)</f>
        <v/>
      </c>
      <c r="I14" s="14"/>
      <c r="J14" s="14"/>
      <c r="K14" s="14"/>
      <c r="L14" s="14"/>
    </row>
    <row r="15" customFormat="false" ht="15" hidden="false" customHeight="false" outlineLevel="0" collapsed="false">
      <c r="A15" s="13"/>
      <c r="B15" s="14"/>
      <c r="C15" s="14"/>
      <c r="D15" s="14"/>
      <c r="E15" s="15"/>
      <c r="F15" s="14"/>
      <c r="G15" s="19" t="str">
        <f aca="false">IF(E15="","",IF(F15="Y",E15*Settings!$B$16,0))</f>
        <v/>
      </c>
      <c r="H15" s="19" t="str">
        <f aca="false">IF(E15="","",E15+G15)</f>
        <v/>
      </c>
      <c r="I15" s="14"/>
      <c r="J15" s="14"/>
      <c r="K15" s="14"/>
      <c r="L15" s="14"/>
    </row>
    <row r="16" customFormat="false" ht="15" hidden="false" customHeight="false" outlineLevel="0" collapsed="false">
      <c r="A16" s="13"/>
      <c r="B16" s="14"/>
      <c r="C16" s="14"/>
      <c r="D16" s="14"/>
      <c r="E16" s="15"/>
      <c r="F16" s="14"/>
      <c r="G16" s="19" t="str">
        <f aca="false">IF(E16="","",IF(F16="Y",E16*Settings!$B$16,0))</f>
        <v/>
      </c>
      <c r="H16" s="19" t="str">
        <f aca="false">IF(E16="","",E16+G16)</f>
        <v/>
      </c>
      <c r="I16" s="14"/>
      <c r="J16" s="14"/>
      <c r="K16" s="14"/>
      <c r="L16" s="14"/>
    </row>
    <row r="17" customFormat="false" ht="15" hidden="false" customHeight="false" outlineLevel="0" collapsed="false">
      <c r="A17" s="13"/>
      <c r="B17" s="14"/>
      <c r="C17" s="14"/>
      <c r="D17" s="14"/>
      <c r="E17" s="15"/>
      <c r="F17" s="14"/>
      <c r="G17" s="19" t="str">
        <f aca="false">IF(E17="","",IF(F17="Y",E17*Settings!$B$16,0))</f>
        <v/>
      </c>
      <c r="H17" s="19" t="str">
        <f aca="false">IF(E17="","",E17+G17)</f>
        <v/>
      </c>
      <c r="I17" s="14"/>
      <c r="J17" s="14"/>
      <c r="K17" s="14"/>
      <c r="L17" s="14"/>
    </row>
    <row r="18" customFormat="false" ht="15" hidden="false" customHeight="false" outlineLevel="0" collapsed="false">
      <c r="A18" s="13"/>
      <c r="B18" s="14"/>
      <c r="C18" s="14"/>
      <c r="D18" s="14"/>
      <c r="E18" s="15"/>
      <c r="F18" s="14"/>
      <c r="G18" s="19" t="str">
        <f aca="false">IF(E18="","",IF(F18="Y",E18*Settings!$B$16,0))</f>
        <v/>
      </c>
      <c r="H18" s="19" t="str">
        <f aca="false">IF(E18="","",E18+G18)</f>
        <v/>
      </c>
      <c r="I18" s="14"/>
      <c r="J18" s="14"/>
      <c r="K18" s="14"/>
      <c r="L18" s="14"/>
    </row>
    <row r="19" customFormat="false" ht="15" hidden="false" customHeight="false" outlineLevel="0" collapsed="false">
      <c r="A19" s="13"/>
      <c r="B19" s="14"/>
      <c r="C19" s="14"/>
      <c r="D19" s="14"/>
      <c r="E19" s="15"/>
      <c r="F19" s="14"/>
      <c r="G19" s="19" t="str">
        <f aca="false">IF(E19="","",IF(F19="Y",E19*Settings!$B$16,0))</f>
        <v/>
      </c>
      <c r="H19" s="19" t="str">
        <f aca="false">IF(E19="","",E19+G19)</f>
        <v/>
      </c>
      <c r="I19" s="14"/>
      <c r="J19" s="14"/>
      <c r="K19" s="14"/>
      <c r="L19" s="14"/>
    </row>
    <row r="20" customFormat="false" ht="15" hidden="false" customHeight="false" outlineLevel="0" collapsed="false">
      <c r="A20" s="13"/>
      <c r="B20" s="14"/>
      <c r="C20" s="14"/>
      <c r="D20" s="14"/>
      <c r="E20" s="15"/>
      <c r="F20" s="14"/>
      <c r="G20" s="19" t="str">
        <f aca="false">IF(E20="","",IF(F20="Y",E20*Settings!$B$16,0))</f>
        <v/>
      </c>
      <c r="H20" s="19" t="str">
        <f aca="false">IF(E20="","",E20+G20)</f>
        <v/>
      </c>
      <c r="I20" s="14"/>
      <c r="J20" s="14"/>
      <c r="K20" s="14"/>
      <c r="L20" s="14"/>
    </row>
    <row r="21" customFormat="false" ht="15" hidden="false" customHeight="false" outlineLevel="0" collapsed="false">
      <c r="A21" s="13"/>
      <c r="B21" s="14"/>
      <c r="C21" s="14"/>
      <c r="D21" s="14"/>
      <c r="E21" s="15"/>
      <c r="F21" s="14"/>
      <c r="G21" s="19" t="str">
        <f aca="false">IF(E21="","",IF(F21="Y",E21*Settings!$B$16,0))</f>
        <v/>
      </c>
      <c r="H21" s="19" t="str">
        <f aca="false">IF(E21="","",E21+G21)</f>
        <v/>
      </c>
      <c r="I21" s="14"/>
      <c r="J21" s="14"/>
      <c r="K21" s="14"/>
      <c r="L21" s="14"/>
    </row>
    <row r="22" customFormat="false" ht="15" hidden="false" customHeight="false" outlineLevel="0" collapsed="false">
      <c r="A22" s="13"/>
      <c r="B22" s="14"/>
      <c r="C22" s="14"/>
      <c r="D22" s="14"/>
      <c r="E22" s="15"/>
      <c r="F22" s="14"/>
      <c r="G22" s="19" t="str">
        <f aca="false">IF(E22="","",IF(F22="Y",E22*Settings!$B$16,0))</f>
        <v/>
      </c>
      <c r="H22" s="19" t="str">
        <f aca="false">IF(E22="","",E22+G22)</f>
        <v/>
      </c>
      <c r="I22" s="14"/>
      <c r="J22" s="14"/>
      <c r="K22" s="14"/>
      <c r="L22" s="14"/>
    </row>
    <row r="23" customFormat="false" ht="15" hidden="false" customHeight="false" outlineLevel="0" collapsed="false">
      <c r="A23" s="13"/>
      <c r="B23" s="14"/>
      <c r="C23" s="14"/>
      <c r="D23" s="14"/>
      <c r="E23" s="15"/>
      <c r="F23" s="14"/>
      <c r="G23" s="19" t="str">
        <f aca="false">IF(E23="","",IF(F23="Y",E23*Settings!$B$16,0))</f>
        <v/>
      </c>
      <c r="H23" s="19" t="str">
        <f aca="false">IF(E23="","",E23+G23)</f>
        <v/>
      </c>
      <c r="I23" s="14"/>
      <c r="J23" s="14"/>
      <c r="K23" s="14"/>
      <c r="L23" s="14"/>
    </row>
    <row r="24" customFormat="false" ht="15" hidden="false" customHeight="false" outlineLevel="0" collapsed="false">
      <c r="A24" s="13"/>
      <c r="B24" s="14"/>
      <c r="C24" s="14"/>
      <c r="D24" s="14"/>
      <c r="E24" s="15"/>
      <c r="F24" s="14"/>
      <c r="G24" s="19" t="str">
        <f aca="false">IF(E24="","",IF(F24="Y",E24*Settings!$B$16,0))</f>
        <v/>
      </c>
      <c r="H24" s="19" t="str">
        <f aca="false">IF(E24="","",E24+G24)</f>
        <v/>
      </c>
      <c r="I24" s="14"/>
      <c r="J24" s="14"/>
      <c r="K24" s="14"/>
      <c r="L24" s="14"/>
    </row>
    <row r="25" customFormat="false" ht="15" hidden="false" customHeight="false" outlineLevel="0" collapsed="false">
      <c r="A25" s="13"/>
      <c r="B25" s="14"/>
      <c r="C25" s="14"/>
      <c r="D25" s="14"/>
      <c r="E25" s="15"/>
      <c r="F25" s="14"/>
      <c r="G25" s="19" t="str">
        <f aca="false">IF(E25="","",IF(F25="Y",E25*Settings!$B$16,0))</f>
        <v/>
      </c>
      <c r="H25" s="19" t="str">
        <f aca="false">IF(E25="","",E25+G25)</f>
        <v/>
      </c>
      <c r="I25" s="14"/>
      <c r="J25" s="14"/>
      <c r="K25" s="14"/>
      <c r="L25" s="14"/>
    </row>
    <row r="26" customFormat="false" ht="15" hidden="false" customHeight="false" outlineLevel="0" collapsed="false">
      <c r="A26" s="13"/>
      <c r="B26" s="14"/>
      <c r="C26" s="14"/>
      <c r="D26" s="14"/>
      <c r="E26" s="15"/>
      <c r="F26" s="14"/>
      <c r="G26" s="19" t="str">
        <f aca="false">IF(E26="","",IF(F26="Y",E26*Settings!$B$16,0))</f>
        <v/>
      </c>
      <c r="H26" s="19" t="str">
        <f aca="false">IF(E26="","",E26+G26)</f>
        <v/>
      </c>
      <c r="I26" s="14"/>
      <c r="J26" s="14"/>
      <c r="K26" s="14"/>
      <c r="L26" s="14"/>
    </row>
    <row r="27" customFormat="false" ht="15" hidden="false" customHeight="false" outlineLevel="0" collapsed="false">
      <c r="A27" s="13"/>
      <c r="B27" s="14"/>
      <c r="C27" s="14"/>
      <c r="D27" s="14"/>
      <c r="E27" s="15"/>
      <c r="F27" s="14"/>
      <c r="G27" s="19" t="str">
        <f aca="false">IF(E27="","",IF(F27="Y",E27*Settings!$B$16,0))</f>
        <v/>
      </c>
      <c r="H27" s="19" t="str">
        <f aca="false">IF(E27="","",E27+G27)</f>
        <v/>
      </c>
      <c r="I27" s="14"/>
      <c r="J27" s="14"/>
      <c r="K27" s="14"/>
      <c r="L27" s="14"/>
    </row>
    <row r="28" customFormat="false" ht="15" hidden="false" customHeight="false" outlineLevel="0" collapsed="false">
      <c r="A28" s="13"/>
      <c r="B28" s="14"/>
      <c r="C28" s="14"/>
      <c r="D28" s="14"/>
      <c r="E28" s="15"/>
      <c r="F28" s="14"/>
      <c r="G28" s="19" t="str">
        <f aca="false">IF(E28="","",IF(F28="Y",E28*Settings!$B$16,0))</f>
        <v/>
      </c>
      <c r="H28" s="19" t="str">
        <f aca="false">IF(E28="","",E28+G28)</f>
        <v/>
      </c>
      <c r="I28" s="14"/>
      <c r="J28" s="14"/>
      <c r="K28" s="14"/>
      <c r="L28" s="14"/>
    </row>
    <row r="29" customFormat="false" ht="15" hidden="false" customHeight="false" outlineLevel="0" collapsed="false">
      <c r="A29" s="13"/>
      <c r="B29" s="14"/>
      <c r="C29" s="14"/>
      <c r="D29" s="14"/>
      <c r="E29" s="15"/>
      <c r="F29" s="14"/>
      <c r="G29" s="19" t="str">
        <f aca="false">IF(E29="","",IF(F29="Y",E29*Settings!$B$16,0))</f>
        <v/>
      </c>
      <c r="H29" s="19" t="str">
        <f aca="false">IF(E29="","",E29+G29)</f>
        <v/>
      </c>
      <c r="I29" s="14"/>
      <c r="J29" s="14"/>
      <c r="K29" s="14"/>
      <c r="L29" s="14"/>
    </row>
    <row r="30" customFormat="false" ht="15" hidden="false" customHeight="false" outlineLevel="0" collapsed="false">
      <c r="A30" s="13"/>
      <c r="B30" s="14"/>
      <c r="C30" s="14"/>
      <c r="D30" s="14"/>
      <c r="E30" s="15"/>
      <c r="F30" s="14"/>
      <c r="G30" s="19" t="str">
        <f aca="false">IF(E30="","",IF(F30="Y",E30*Settings!$B$16,0))</f>
        <v/>
      </c>
      <c r="H30" s="19" t="str">
        <f aca="false">IF(E30="","",E30+G30)</f>
        <v/>
      </c>
      <c r="I30" s="14"/>
      <c r="J30" s="14"/>
      <c r="K30" s="14"/>
      <c r="L30" s="14"/>
    </row>
    <row r="31" customFormat="false" ht="15" hidden="false" customHeight="false" outlineLevel="0" collapsed="false">
      <c r="A31" s="13"/>
      <c r="B31" s="14"/>
      <c r="C31" s="14"/>
      <c r="D31" s="14"/>
      <c r="E31" s="15"/>
      <c r="F31" s="14"/>
      <c r="G31" s="19" t="str">
        <f aca="false">IF(E31="","",IF(F31="Y",E31*Settings!$B$16,0))</f>
        <v/>
      </c>
      <c r="H31" s="19" t="str">
        <f aca="false">IF(E31="","",E31+G31)</f>
        <v/>
      </c>
      <c r="I31" s="14"/>
      <c r="J31" s="14"/>
      <c r="K31" s="14"/>
      <c r="L31" s="14"/>
    </row>
    <row r="32" customFormat="false" ht="15" hidden="false" customHeight="false" outlineLevel="0" collapsed="false">
      <c r="A32" s="13"/>
      <c r="B32" s="14"/>
      <c r="C32" s="14"/>
      <c r="D32" s="14"/>
      <c r="E32" s="15"/>
      <c r="F32" s="14"/>
      <c r="G32" s="19" t="str">
        <f aca="false">IF(E32="","",IF(F32="Y",E32*Settings!$B$16,0))</f>
        <v/>
      </c>
      <c r="H32" s="19" t="str">
        <f aca="false">IF(E32="","",E32+G32)</f>
        <v/>
      </c>
      <c r="I32" s="14"/>
      <c r="J32" s="14"/>
      <c r="K32" s="14"/>
      <c r="L32" s="14"/>
    </row>
    <row r="33" customFormat="false" ht="15" hidden="false" customHeight="false" outlineLevel="0" collapsed="false">
      <c r="A33" s="13"/>
      <c r="B33" s="14"/>
      <c r="C33" s="14"/>
      <c r="D33" s="14"/>
      <c r="E33" s="15"/>
      <c r="F33" s="14"/>
      <c r="G33" s="19" t="str">
        <f aca="false">IF(E33="","",IF(F33="Y",E33*Settings!$B$16,0))</f>
        <v/>
      </c>
      <c r="H33" s="19" t="str">
        <f aca="false">IF(E33="","",E33+G33)</f>
        <v/>
      </c>
      <c r="I33" s="14"/>
      <c r="J33" s="14"/>
      <c r="K33" s="14"/>
      <c r="L33" s="14"/>
    </row>
    <row r="34" customFormat="false" ht="15" hidden="false" customHeight="false" outlineLevel="0" collapsed="false">
      <c r="A34" s="13"/>
      <c r="B34" s="14"/>
      <c r="C34" s="14"/>
      <c r="D34" s="14"/>
      <c r="E34" s="15"/>
      <c r="F34" s="14"/>
      <c r="G34" s="19" t="str">
        <f aca="false">IF(E34="","",IF(F34="Y",E34*Settings!$B$16,0))</f>
        <v/>
      </c>
      <c r="H34" s="19" t="str">
        <f aca="false">IF(E34="","",E34+G34)</f>
        <v/>
      </c>
      <c r="I34" s="14"/>
      <c r="J34" s="14"/>
      <c r="K34" s="14"/>
      <c r="L34" s="14"/>
    </row>
    <row r="35" customFormat="false" ht="15" hidden="false" customHeight="false" outlineLevel="0" collapsed="false">
      <c r="A35" s="13"/>
      <c r="B35" s="14"/>
      <c r="C35" s="14"/>
      <c r="D35" s="14"/>
      <c r="E35" s="15"/>
      <c r="F35" s="14"/>
      <c r="G35" s="19" t="str">
        <f aca="false">IF(E35="","",IF(F35="Y",E35*Settings!$B$16,0))</f>
        <v/>
      </c>
      <c r="H35" s="19" t="str">
        <f aca="false">IF(E35="","",E35+G35)</f>
        <v/>
      </c>
      <c r="I35" s="14"/>
      <c r="J35" s="14"/>
      <c r="K35" s="14"/>
      <c r="L35" s="14"/>
    </row>
    <row r="36" customFormat="false" ht="15" hidden="false" customHeight="false" outlineLevel="0" collapsed="false">
      <c r="A36" s="13"/>
      <c r="B36" s="14"/>
      <c r="C36" s="14"/>
      <c r="D36" s="14"/>
      <c r="E36" s="15"/>
      <c r="F36" s="14"/>
      <c r="G36" s="19" t="str">
        <f aca="false">IF(E36="","",IF(F36="Y",E36*Settings!$B$16,0))</f>
        <v/>
      </c>
      <c r="H36" s="19" t="str">
        <f aca="false">IF(E36="","",E36+G36)</f>
        <v/>
      </c>
      <c r="I36" s="14"/>
      <c r="J36" s="14"/>
      <c r="K36" s="14"/>
      <c r="L36" s="14"/>
    </row>
    <row r="37" customFormat="false" ht="15" hidden="false" customHeight="false" outlineLevel="0" collapsed="false">
      <c r="A37" s="13"/>
      <c r="B37" s="14"/>
      <c r="C37" s="14"/>
      <c r="D37" s="14"/>
      <c r="E37" s="15"/>
      <c r="F37" s="14"/>
      <c r="G37" s="19" t="str">
        <f aca="false">IF(E37="","",IF(F37="Y",E37*Settings!$B$16,0))</f>
        <v/>
      </c>
      <c r="H37" s="19" t="str">
        <f aca="false">IF(E37="","",E37+G37)</f>
        <v/>
      </c>
      <c r="I37" s="14"/>
      <c r="J37" s="14"/>
      <c r="K37" s="14"/>
      <c r="L37" s="14"/>
    </row>
    <row r="38" customFormat="false" ht="15" hidden="false" customHeight="false" outlineLevel="0" collapsed="false">
      <c r="A38" s="13"/>
      <c r="B38" s="14"/>
      <c r="C38" s="14"/>
      <c r="D38" s="14"/>
      <c r="E38" s="15"/>
      <c r="F38" s="14"/>
      <c r="G38" s="19" t="str">
        <f aca="false">IF(E38="","",IF(F38="Y",E38*Settings!$B$16,0))</f>
        <v/>
      </c>
      <c r="H38" s="19" t="str">
        <f aca="false">IF(E38="","",E38+G38)</f>
        <v/>
      </c>
      <c r="I38" s="14"/>
      <c r="J38" s="14"/>
      <c r="K38" s="14"/>
      <c r="L38" s="14"/>
    </row>
    <row r="39" customFormat="false" ht="15" hidden="false" customHeight="false" outlineLevel="0" collapsed="false">
      <c r="A39" s="13"/>
      <c r="B39" s="14"/>
      <c r="C39" s="14"/>
      <c r="D39" s="14"/>
      <c r="E39" s="15"/>
      <c r="F39" s="14"/>
      <c r="G39" s="19" t="str">
        <f aca="false">IF(E39="","",IF(F39="Y",E39*Settings!$B$16,0))</f>
        <v/>
      </c>
      <c r="H39" s="19" t="str">
        <f aca="false">IF(E39="","",E39+G39)</f>
        <v/>
      </c>
      <c r="I39" s="14"/>
      <c r="J39" s="14"/>
      <c r="K39" s="14"/>
      <c r="L39" s="14"/>
    </row>
    <row r="40" customFormat="false" ht="15" hidden="false" customHeight="false" outlineLevel="0" collapsed="false">
      <c r="A40" s="13"/>
      <c r="B40" s="14"/>
      <c r="C40" s="14"/>
      <c r="D40" s="14"/>
      <c r="E40" s="15"/>
      <c r="F40" s="14"/>
      <c r="G40" s="19" t="str">
        <f aca="false">IF(E40="","",IF(F40="Y",E40*Settings!$B$16,0))</f>
        <v/>
      </c>
      <c r="H40" s="19" t="str">
        <f aca="false">IF(E40="","",E40+G40)</f>
        <v/>
      </c>
      <c r="I40" s="14"/>
      <c r="J40" s="14"/>
      <c r="K40" s="14"/>
      <c r="L40" s="14"/>
    </row>
    <row r="41" customFormat="false" ht="15" hidden="false" customHeight="false" outlineLevel="0" collapsed="false">
      <c r="A41" s="13"/>
      <c r="B41" s="14"/>
      <c r="C41" s="14"/>
      <c r="D41" s="14"/>
      <c r="E41" s="15"/>
      <c r="F41" s="14"/>
      <c r="G41" s="19" t="str">
        <f aca="false">IF(E41="","",IF(F41="Y",E41*Settings!$B$16,0))</f>
        <v/>
      </c>
      <c r="H41" s="19" t="str">
        <f aca="false">IF(E41="","",E41+G41)</f>
        <v/>
      </c>
      <c r="I41" s="14"/>
      <c r="J41" s="14"/>
      <c r="K41" s="14"/>
      <c r="L41" s="14"/>
    </row>
    <row r="42" customFormat="false" ht="15" hidden="false" customHeight="false" outlineLevel="0" collapsed="false">
      <c r="A42" s="13"/>
      <c r="B42" s="14"/>
      <c r="C42" s="14"/>
      <c r="D42" s="14"/>
      <c r="E42" s="15"/>
      <c r="F42" s="14"/>
      <c r="G42" s="19" t="str">
        <f aca="false">IF(E42="","",IF(F42="Y",E42*Settings!$B$16,0))</f>
        <v/>
      </c>
      <c r="H42" s="19" t="str">
        <f aca="false">IF(E42="","",E42+G42)</f>
        <v/>
      </c>
      <c r="I42" s="14"/>
      <c r="J42" s="14"/>
      <c r="K42" s="14"/>
      <c r="L42" s="14"/>
    </row>
    <row r="43" customFormat="false" ht="15" hidden="false" customHeight="false" outlineLevel="0" collapsed="false">
      <c r="A43" s="13"/>
      <c r="B43" s="14"/>
      <c r="C43" s="14"/>
      <c r="D43" s="14"/>
      <c r="E43" s="15"/>
      <c r="F43" s="14"/>
      <c r="G43" s="19" t="str">
        <f aca="false">IF(E43="","",IF(F43="Y",E43*Settings!$B$16,0))</f>
        <v/>
      </c>
      <c r="H43" s="19" t="str">
        <f aca="false">IF(E43="","",E43+G43)</f>
        <v/>
      </c>
      <c r="I43" s="14"/>
      <c r="J43" s="14"/>
      <c r="K43" s="14"/>
      <c r="L43" s="14"/>
    </row>
    <row r="44" customFormat="false" ht="15" hidden="false" customHeight="false" outlineLevel="0" collapsed="false">
      <c r="A44" s="13"/>
      <c r="B44" s="14"/>
      <c r="C44" s="14"/>
      <c r="D44" s="14"/>
      <c r="E44" s="15"/>
      <c r="F44" s="14"/>
      <c r="G44" s="19" t="str">
        <f aca="false">IF(E44="","",IF(F44="Y",E44*Settings!$B$16,0))</f>
        <v/>
      </c>
      <c r="H44" s="19" t="str">
        <f aca="false">IF(E44="","",E44+G44)</f>
        <v/>
      </c>
      <c r="I44" s="14"/>
      <c r="J44" s="14"/>
      <c r="K44" s="14"/>
      <c r="L44" s="14"/>
    </row>
    <row r="45" customFormat="false" ht="15" hidden="false" customHeight="false" outlineLevel="0" collapsed="false">
      <c r="A45" s="13"/>
      <c r="B45" s="14"/>
      <c r="C45" s="14"/>
      <c r="D45" s="14"/>
      <c r="E45" s="15"/>
      <c r="F45" s="14"/>
      <c r="G45" s="19" t="str">
        <f aca="false">IF(E45="","",IF(F45="Y",E45*Settings!$B$16,0))</f>
        <v/>
      </c>
      <c r="H45" s="19" t="str">
        <f aca="false">IF(E45="","",E45+G45)</f>
        <v/>
      </c>
      <c r="I45" s="14"/>
      <c r="J45" s="14"/>
      <c r="K45" s="14"/>
      <c r="L45" s="14"/>
    </row>
    <row r="46" customFormat="false" ht="15" hidden="false" customHeight="false" outlineLevel="0" collapsed="false">
      <c r="A46" s="13"/>
      <c r="B46" s="14"/>
      <c r="C46" s="14"/>
      <c r="D46" s="14"/>
      <c r="E46" s="15"/>
      <c r="F46" s="14"/>
      <c r="G46" s="19" t="str">
        <f aca="false">IF(E46="","",IF(F46="Y",E46*Settings!$B$16,0))</f>
        <v/>
      </c>
      <c r="H46" s="19" t="str">
        <f aca="false">IF(E46="","",E46+G46)</f>
        <v/>
      </c>
      <c r="I46" s="14"/>
      <c r="J46" s="14"/>
      <c r="K46" s="14"/>
      <c r="L46" s="14"/>
    </row>
    <row r="47" customFormat="false" ht="15" hidden="false" customHeight="false" outlineLevel="0" collapsed="false">
      <c r="A47" s="13"/>
      <c r="B47" s="14"/>
      <c r="C47" s="14"/>
      <c r="D47" s="14"/>
      <c r="E47" s="15"/>
      <c r="F47" s="14"/>
      <c r="G47" s="19" t="str">
        <f aca="false">IF(E47="","",IF(F47="Y",E47*Settings!$B$16,0))</f>
        <v/>
      </c>
      <c r="H47" s="19" t="str">
        <f aca="false">IF(E47="","",E47+G47)</f>
        <v/>
      </c>
      <c r="I47" s="14"/>
      <c r="J47" s="14"/>
      <c r="K47" s="14"/>
      <c r="L47" s="14"/>
    </row>
    <row r="48" customFormat="false" ht="15" hidden="false" customHeight="false" outlineLevel="0" collapsed="false">
      <c r="A48" s="13"/>
      <c r="B48" s="14"/>
      <c r="C48" s="14"/>
      <c r="D48" s="14"/>
      <c r="E48" s="15"/>
      <c r="F48" s="14"/>
      <c r="G48" s="19" t="str">
        <f aca="false">IF(E48="","",IF(F48="Y",E48*Settings!$B$16,0))</f>
        <v/>
      </c>
      <c r="H48" s="19" t="str">
        <f aca="false">IF(E48="","",E48+G48)</f>
        <v/>
      </c>
      <c r="I48" s="14"/>
      <c r="J48" s="14"/>
      <c r="K48" s="14"/>
      <c r="L48" s="14"/>
    </row>
    <row r="49" customFormat="false" ht="15" hidden="false" customHeight="false" outlineLevel="0" collapsed="false">
      <c r="A49" s="13"/>
      <c r="B49" s="14"/>
      <c r="C49" s="14"/>
      <c r="D49" s="14"/>
      <c r="E49" s="15"/>
      <c r="F49" s="14"/>
      <c r="G49" s="19" t="str">
        <f aca="false">IF(E49="","",IF(F49="Y",E49*Settings!$B$16,0))</f>
        <v/>
      </c>
      <c r="H49" s="19" t="str">
        <f aca="false">IF(E49="","",E49+G49)</f>
        <v/>
      </c>
      <c r="I49" s="14"/>
      <c r="J49" s="14"/>
      <c r="K49" s="14"/>
      <c r="L49" s="14"/>
    </row>
    <row r="50" customFormat="false" ht="15" hidden="false" customHeight="false" outlineLevel="0" collapsed="false">
      <c r="A50" s="13"/>
      <c r="B50" s="14"/>
      <c r="C50" s="14"/>
      <c r="D50" s="14"/>
      <c r="E50" s="15"/>
      <c r="F50" s="14"/>
      <c r="G50" s="19" t="str">
        <f aca="false">IF(E50="","",IF(F50="Y",E50*Settings!$B$16,0))</f>
        <v/>
      </c>
      <c r="H50" s="19" t="str">
        <f aca="false">IF(E50="","",E50+G50)</f>
        <v/>
      </c>
      <c r="I50" s="14"/>
      <c r="J50" s="14"/>
      <c r="K50" s="14"/>
      <c r="L50" s="14"/>
    </row>
    <row r="51" customFormat="false" ht="15" hidden="false" customHeight="false" outlineLevel="0" collapsed="false">
      <c r="A51" s="13"/>
      <c r="B51" s="14"/>
      <c r="C51" s="14"/>
      <c r="D51" s="14"/>
      <c r="E51" s="15"/>
      <c r="F51" s="14"/>
      <c r="G51" s="19" t="str">
        <f aca="false">IF(E51="","",IF(F51="Y",E51*Settings!$B$16,0))</f>
        <v/>
      </c>
      <c r="H51" s="19" t="str">
        <f aca="false">IF(E51="","",E51+G51)</f>
        <v/>
      </c>
      <c r="I51" s="14"/>
      <c r="J51" s="14"/>
      <c r="K51" s="14"/>
      <c r="L51" s="14"/>
    </row>
    <row r="52" customFormat="false" ht="15" hidden="false" customHeight="false" outlineLevel="0" collapsed="false">
      <c r="A52" s="13"/>
      <c r="B52" s="14"/>
      <c r="C52" s="14"/>
      <c r="D52" s="14"/>
      <c r="E52" s="15"/>
      <c r="F52" s="14"/>
      <c r="G52" s="19" t="str">
        <f aca="false">IF(E52="","",IF(F52="Y",E52*Settings!$B$16,0))</f>
        <v/>
      </c>
      <c r="H52" s="19" t="str">
        <f aca="false">IF(E52="","",E52+G52)</f>
        <v/>
      </c>
      <c r="I52" s="14"/>
      <c r="J52" s="14"/>
      <c r="K52" s="14"/>
      <c r="L52" s="14"/>
    </row>
    <row r="53" customFormat="false" ht="15" hidden="false" customHeight="false" outlineLevel="0" collapsed="false">
      <c r="A53" s="13"/>
      <c r="B53" s="14"/>
      <c r="C53" s="14"/>
      <c r="D53" s="14"/>
      <c r="E53" s="15"/>
      <c r="F53" s="14"/>
      <c r="G53" s="19" t="str">
        <f aca="false">IF(E53="","",IF(F53="Y",E53*Settings!$B$16,0))</f>
        <v/>
      </c>
      <c r="H53" s="19" t="str">
        <f aca="false">IF(E53="","",E53+G53)</f>
        <v/>
      </c>
      <c r="I53" s="14"/>
      <c r="J53" s="14"/>
      <c r="K53" s="14"/>
      <c r="L53" s="14"/>
    </row>
    <row r="54" customFormat="false" ht="15" hidden="false" customHeight="false" outlineLevel="0" collapsed="false">
      <c r="A54" s="13"/>
      <c r="B54" s="14"/>
      <c r="C54" s="14"/>
      <c r="D54" s="14"/>
      <c r="E54" s="15"/>
      <c r="F54" s="14"/>
      <c r="G54" s="19" t="str">
        <f aca="false">IF(E54="","",IF(F54="Y",E54*Settings!$B$16,0))</f>
        <v/>
      </c>
      <c r="H54" s="19" t="str">
        <f aca="false">IF(E54="","",E54+G54)</f>
        <v/>
      </c>
      <c r="I54" s="14"/>
      <c r="J54" s="14"/>
      <c r="K54" s="14"/>
      <c r="L54" s="14"/>
    </row>
    <row r="55" customFormat="false" ht="15" hidden="false" customHeight="false" outlineLevel="0" collapsed="false">
      <c r="A55" s="13"/>
      <c r="B55" s="14"/>
      <c r="C55" s="14"/>
      <c r="D55" s="14"/>
      <c r="E55" s="15"/>
      <c r="F55" s="14"/>
      <c r="G55" s="19" t="str">
        <f aca="false">IF(E55="","",IF(F55="Y",E55*Settings!$B$16,0))</f>
        <v/>
      </c>
      <c r="H55" s="19" t="str">
        <f aca="false">IF(E55="","",E55+G55)</f>
        <v/>
      </c>
      <c r="I55" s="14"/>
      <c r="J55" s="14"/>
      <c r="K55" s="14"/>
      <c r="L55" s="14"/>
    </row>
    <row r="56" customFormat="false" ht="15" hidden="false" customHeight="false" outlineLevel="0" collapsed="false">
      <c r="A56" s="13"/>
      <c r="B56" s="14"/>
      <c r="C56" s="14"/>
      <c r="D56" s="14"/>
      <c r="E56" s="15"/>
      <c r="F56" s="14"/>
      <c r="G56" s="19" t="str">
        <f aca="false">IF(E56="","",IF(F56="Y",E56*Settings!$B$16,0))</f>
        <v/>
      </c>
      <c r="H56" s="19" t="str">
        <f aca="false">IF(E56="","",E56+G56)</f>
        <v/>
      </c>
      <c r="I56" s="14"/>
      <c r="J56" s="14"/>
      <c r="K56" s="14"/>
      <c r="L56" s="14"/>
    </row>
    <row r="57" customFormat="false" ht="15" hidden="false" customHeight="false" outlineLevel="0" collapsed="false">
      <c r="A57" s="13"/>
      <c r="B57" s="14"/>
      <c r="C57" s="14"/>
      <c r="D57" s="14"/>
      <c r="E57" s="15"/>
      <c r="F57" s="14"/>
      <c r="G57" s="19" t="str">
        <f aca="false">IF(E57="","",IF(F57="Y",E57*Settings!$B$16,0))</f>
        <v/>
      </c>
      <c r="H57" s="19" t="str">
        <f aca="false">IF(E57="","",E57+G57)</f>
        <v/>
      </c>
      <c r="I57" s="14"/>
      <c r="J57" s="14"/>
      <c r="K57" s="14"/>
      <c r="L57" s="14"/>
    </row>
    <row r="58" customFormat="false" ht="15" hidden="false" customHeight="false" outlineLevel="0" collapsed="false">
      <c r="A58" s="13"/>
      <c r="B58" s="14"/>
      <c r="C58" s="14"/>
      <c r="D58" s="14"/>
      <c r="E58" s="15"/>
      <c r="F58" s="14"/>
      <c r="G58" s="19" t="str">
        <f aca="false">IF(E58="","",IF(F58="Y",E58*Settings!$B$16,0))</f>
        <v/>
      </c>
      <c r="H58" s="19" t="str">
        <f aca="false">IF(E58="","",E58+G58)</f>
        <v/>
      </c>
      <c r="I58" s="14"/>
      <c r="J58" s="14"/>
      <c r="K58" s="14"/>
      <c r="L58" s="14"/>
    </row>
    <row r="59" customFormat="false" ht="15" hidden="false" customHeight="false" outlineLevel="0" collapsed="false">
      <c r="A59" s="13"/>
      <c r="B59" s="14"/>
      <c r="C59" s="14"/>
      <c r="D59" s="14"/>
      <c r="E59" s="15"/>
      <c r="F59" s="14"/>
      <c r="G59" s="19" t="str">
        <f aca="false">IF(E59="","",IF(F59="Y",E59*Settings!$B$16,0))</f>
        <v/>
      </c>
      <c r="H59" s="19" t="str">
        <f aca="false">IF(E59="","",E59+G59)</f>
        <v/>
      </c>
      <c r="I59" s="14"/>
      <c r="J59" s="14"/>
      <c r="K59" s="14"/>
      <c r="L59" s="14"/>
    </row>
    <row r="60" customFormat="false" ht="15" hidden="false" customHeight="false" outlineLevel="0" collapsed="false">
      <c r="A60" s="13"/>
      <c r="B60" s="14"/>
      <c r="C60" s="14"/>
      <c r="D60" s="14"/>
      <c r="E60" s="15"/>
      <c r="F60" s="14"/>
      <c r="G60" s="19" t="str">
        <f aca="false">IF(E60="","",IF(F60="Y",E60*Settings!$B$16,0))</f>
        <v/>
      </c>
      <c r="H60" s="19" t="str">
        <f aca="false">IF(E60="","",E60+G60)</f>
        <v/>
      </c>
      <c r="I60" s="14"/>
      <c r="J60" s="14"/>
      <c r="K60" s="14"/>
      <c r="L60" s="14"/>
    </row>
    <row r="61" customFormat="false" ht="15" hidden="false" customHeight="false" outlineLevel="0" collapsed="false">
      <c r="A61" s="13"/>
      <c r="B61" s="14"/>
      <c r="C61" s="14"/>
      <c r="D61" s="14"/>
      <c r="E61" s="15"/>
      <c r="F61" s="14"/>
      <c r="G61" s="19" t="str">
        <f aca="false">IF(E61="","",IF(F61="Y",E61*Settings!$B$16,0))</f>
        <v/>
      </c>
      <c r="H61" s="19" t="str">
        <f aca="false">IF(E61="","",E61+G61)</f>
        <v/>
      </c>
      <c r="I61" s="14"/>
      <c r="J61" s="14"/>
      <c r="K61" s="14"/>
      <c r="L61" s="14"/>
    </row>
    <row r="62" customFormat="false" ht="15" hidden="false" customHeight="false" outlineLevel="0" collapsed="false">
      <c r="A62" s="13"/>
      <c r="B62" s="14"/>
      <c r="C62" s="14"/>
      <c r="D62" s="14"/>
      <c r="E62" s="15"/>
      <c r="F62" s="14"/>
      <c r="G62" s="19" t="str">
        <f aca="false">IF(E62="","",IF(F62="Y",E62*Settings!$B$16,0))</f>
        <v/>
      </c>
      <c r="H62" s="19" t="str">
        <f aca="false">IF(E62="","",E62+G62)</f>
        <v/>
      </c>
      <c r="I62" s="14"/>
      <c r="J62" s="14"/>
      <c r="K62" s="14"/>
      <c r="L62" s="14"/>
    </row>
    <row r="63" customFormat="false" ht="15" hidden="false" customHeight="false" outlineLevel="0" collapsed="false">
      <c r="A63" s="13"/>
      <c r="B63" s="14"/>
      <c r="C63" s="14"/>
      <c r="D63" s="14"/>
      <c r="E63" s="15"/>
      <c r="F63" s="14"/>
      <c r="G63" s="19" t="str">
        <f aca="false">IF(E63="","",IF(F63="Y",E63*Settings!$B$16,0))</f>
        <v/>
      </c>
      <c r="H63" s="19" t="str">
        <f aca="false">IF(E63="","",E63+G63)</f>
        <v/>
      </c>
      <c r="I63" s="14"/>
      <c r="J63" s="14"/>
      <c r="K63" s="14"/>
      <c r="L63" s="14"/>
    </row>
    <row r="64" customFormat="false" ht="15" hidden="false" customHeight="false" outlineLevel="0" collapsed="false">
      <c r="A64" s="13"/>
      <c r="B64" s="14"/>
      <c r="C64" s="14"/>
      <c r="D64" s="14"/>
      <c r="E64" s="15"/>
      <c r="F64" s="14"/>
      <c r="G64" s="19" t="str">
        <f aca="false">IF(E64="","",IF(F64="Y",E64*Settings!$B$16,0))</f>
        <v/>
      </c>
      <c r="H64" s="19" t="str">
        <f aca="false">IF(E64="","",E64+G64)</f>
        <v/>
      </c>
      <c r="I64" s="14"/>
      <c r="J64" s="14"/>
      <c r="K64" s="14"/>
      <c r="L64" s="14"/>
    </row>
    <row r="65" customFormat="false" ht="15" hidden="false" customHeight="false" outlineLevel="0" collapsed="false">
      <c r="A65" s="13"/>
      <c r="B65" s="14"/>
      <c r="C65" s="14"/>
      <c r="D65" s="14"/>
      <c r="E65" s="15"/>
      <c r="F65" s="14"/>
      <c r="G65" s="19" t="str">
        <f aca="false">IF(E65="","",IF(F65="Y",E65*Settings!$B$16,0))</f>
        <v/>
      </c>
      <c r="H65" s="19" t="str">
        <f aca="false">IF(E65="","",E65+G65)</f>
        <v/>
      </c>
      <c r="I65" s="14"/>
      <c r="J65" s="14"/>
      <c r="K65" s="14"/>
      <c r="L65" s="14"/>
    </row>
    <row r="66" customFormat="false" ht="15" hidden="false" customHeight="false" outlineLevel="0" collapsed="false">
      <c r="A66" s="13"/>
      <c r="B66" s="14"/>
      <c r="C66" s="14"/>
      <c r="D66" s="14"/>
      <c r="E66" s="15"/>
      <c r="F66" s="14"/>
      <c r="G66" s="19" t="str">
        <f aca="false">IF(E66="","",IF(F66="Y",E66*Settings!$B$16,0))</f>
        <v/>
      </c>
      <c r="H66" s="19" t="str">
        <f aca="false">IF(E66="","",E66+G66)</f>
        <v/>
      </c>
      <c r="I66" s="14"/>
      <c r="J66" s="14"/>
      <c r="K66" s="14"/>
      <c r="L66" s="14"/>
    </row>
    <row r="67" customFormat="false" ht="15" hidden="false" customHeight="false" outlineLevel="0" collapsed="false">
      <c r="A67" s="13"/>
      <c r="B67" s="14"/>
      <c r="C67" s="14"/>
      <c r="D67" s="14"/>
      <c r="E67" s="15"/>
      <c r="F67" s="14"/>
      <c r="G67" s="19" t="str">
        <f aca="false">IF(E67="","",IF(F67="Y",E67*Settings!$B$16,0))</f>
        <v/>
      </c>
      <c r="H67" s="19" t="str">
        <f aca="false">IF(E67="","",E67+G67)</f>
        <v/>
      </c>
      <c r="I67" s="14"/>
      <c r="J67" s="14"/>
      <c r="K67" s="14"/>
      <c r="L67" s="14"/>
    </row>
    <row r="68" customFormat="false" ht="15" hidden="false" customHeight="false" outlineLevel="0" collapsed="false">
      <c r="A68" s="13"/>
      <c r="B68" s="14"/>
      <c r="C68" s="14"/>
      <c r="D68" s="14"/>
      <c r="E68" s="15"/>
      <c r="F68" s="14"/>
      <c r="G68" s="19" t="str">
        <f aca="false">IF(E68="","",IF(F68="Y",E68*Settings!$B$16,0))</f>
        <v/>
      </c>
      <c r="H68" s="19" t="str">
        <f aca="false">IF(E68="","",E68+G68)</f>
        <v/>
      </c>
      <c r="I68" s="14"/>
      <c r="J68" s="14"/>
      <c r="K68" s="14"/>
      <c r="L68" s="14"/>
    </row>
    <row r="69" customFormat="false" ht="15" hidden="false" customHeight="false" outlineLevel="0" collapsed="false">
      <c r="A69" s="13"/>
      <c r="B69" s="14"/>
      <c r="C69" s="14"/>
      <c r="D69" s="14"/>
      <c r="E69" s="15"/>
      <c r="F69" s="14"/>
      <c r="G69" s="19" t="str">
        <f aca="false">IF(E69="","",IF(F69="Y",E69*Settings!$B$16,0))</f>
        <v/>
      </c>
      <c r="H69" s="19" t="str">
        <f aca="false">IF(E69="","",E69+G69)</f>
        <v/>
      </c>
      <c r="I69" s="14"/>
      <c r="J69" s="14"/>
      <c r="K69" s="14"/>
      <c r="L69" s="14"/>
    </row>
    <row r="70" customFormat="false" ht="15" hidden="false" customHeight="false" outlineLevel="0" collapsed="false">
      <c r="A70" s="13"/>
      <c r="B70" s="14"/>
      <c r="C70" s="14"/>
      <c r="D70" s="14"/>
      <c r="E70" s="15"/>
      <c r="F70" s="14"/>
      <c r="G70" s="19" t="str">
        <f aca="false">IF(E70="","",IF(F70="Y",E70*Settings!$B$16,0))</f>
        <v/>
      </c>
      <c r="H70" s="19" t="str">
        <f aca="false">IF(E70="","",E70+G70)</f>
        <v/>
      </c>
      <c r="I70" s="14"/>
      <c r="J70" s="14"/>
      <c r="K70" s="14"/>
      <c r="L70" s="14"/>
    </row>
    <row r="71" customFormat="false" ht="15" hidden="false" customHeight="false" outlineLevel="0" collapsed="false">
      <c r="A71" s="13"/>
      <c r="B71" s="14"/>
      <c r="C71" s="14"/>
      <c r="D71" s="14"/>
      <c r="E71" s="15"/>
      <c r="F71" s="14"/>
      <c r="G71" s="19" t="str">
        <f aca="false">IF(E71="","",IF(F71="Y",E71*Settings!$B$16,0))</f>
        <v/>
      </c>
      <c r="H71" s="19" t="str">
        <f aca="false">IF(E71="","",E71+G71)</f>
        <v/>
      </c>
      <c r="I71" s="14"/>
      <c r="J71" s="14"/>
      <c r="K71" s="14"/>
      <c r="L71" s="14"/>
    </row>
    <row r="72" customFormat="false" ht="15" hidden="false" customHeight="false" outlineLevel="0" collapsed="false">
      <c r="A72" s="13"/>
      <c r="B72" s="14"/>
      <c r="C72" s="14"/>
      <c r="D72" s="14"/>
      <c r="E72" s="15"/>
      <c r="F72" s="14"/>
      <c r="G72" s="19" t="str">
        <f aca="false">IF(E72="","",IF(F72="Y",E72*Settings!$B$16,0))</f>
        <v/>
      </c>
      <c r="H72" s="19" t="str">
        <f aca="false">IF(E72="","",E72+G72)</f>
        <v/>
      </c>
      <c r="I72" s="14"/>
      <c r="J72" s="14"/>
      <c r="K72" s="14"/>
      <c r="L72" s="14"/>
    </row>
    <row r="73" customFormat="false" ht="15" hidden="false" customHeight="false" outlineLevel="0" collapsed="false">
      <c r="A73" s="13"/>
      <c r="B73" s="14"/>
      <c r="C73" s="14"/>
      <c r="D73" s="14"/>
      <c r="E73" s="15"/>
      <c r="F73" s="14"/>
      <c r="G73" s="19" t="str">
        <f aca="false">IF(E73="","",IF(F73="Y",E73*Settings!$B$16,0))</f>
        <v/>
      </c>
      <c r="H73" s="19" t="str">
        <f aca="false">IF(E73="","",E73+G73)</f>
        <v/>
      </c>
      <c r="I73" s="14"/>
      <c r="J73" s="14"/>
      <c r="K73" s="14"/>
      <c r="L73" s="14"/>
    </row>
    <row r="74" customFormat="false" ht="15" hidden="false" customHeight="false" outlineLevel="0" collapsed="false">
      <c r="A74" s="13"/>
      <c r="B74" s="14"/>
      <c r="C74" s="14"/>
      <c r="D74" s="14"/>
      <c r="E74" s="15"/>
      <c r="F74" s="14"/>
      <c r="G74" s="19" t="str">
        <f aca="false">IF(E74="","",IF(F74="Y",E74*Settings!$B$16,0))</f>
        <v/>
      </c>
      <c r="H74" s="19" t="str">
        <f aca="false">IF(E74="","",E74+G74)</f>
        <v/>
      </c>
      <c r="I74" s="14"/>
      <c r="J74" s="14"/>
      <c r="K74" s="14"/>
      <c r="L74" s="14"/>
    </row>
    <row r="75" customFormat="false" ht="15" hidden="false" customHeight="false" outlineLevel="0" collapsed="false">
      <c r="A75" s="13"/>
      <c r="B75" s="14"/>
      <c r="C75" s="14"/>
      <c r="D75" s="14"/>
      <c r="E75" s="15"/>
      <c r="F75" s="14"/>
      <c r="G75" s="19" t="str">
        <f aca="false">IF(E75="","",IF(F75="Y",E75*Settings!$B$16,0))</f>
        <v/>
      </c>
      <c r="H75" s="19" t="str">
        <f aca="false">IF(E75="","",E75+G75)</f>
        <v/>
      </c>
      <c r="I75" s="14"/>
      <c r="J75" s="14"/>
      <c r="K75" s="14"/>
      <c r="L75" s="14"/>
    </row>
    <row r="76" customFormat="false" ht="15" hidden="false" customHeight="false" outlineLevel="0" collapsed="false">
      <c r="A76" s="13"/>
      <c r="B76" s="14"/>
      <c r="C76" s="14"/>
      <c r="D76" s="14"/>
      <c r="E76" s="15"/>
      <c r="F76" s="14"/>
      <c r="G76" s="19" t="str">
        <f aca="false">IF(E76="","",IF(F76="Y",E76*Settings!$B$16,0))</f>
        <v/>
      </c>
      <c r="H76" s="19" t="str">
        <f aca="false">IF(E76="","",E76+G76)</f>
        <v/>
      </c>
      <c r="I76" s="14"/>
      <c r="J76" s="14"/>
      <c r="K76" s="14"/>
      <c r="L76" s="14"/>
    </row>
    <row r="77" customFormat="false" ht="15" hidden="false" customHeight="false" outlineLevel="0" collapsed="false">
      <c r="A77" s="13"/>
      <c r="B77" s="14"/>
      <c r="C77" s="14"/>
      <c r="D77" s="14"/>
      <c r="E77" s="15"/>
      <c r="F77" s="14"/>
      <c r="G77" s="19" t="str">
        <f aca="false">IF(E77="","",IF(F77="Y",E77*Settings!$B$16,0))</f>
        <v/>
      </c>
      <c r="H77" s="19" t="str">
        <f aca="false">IF(E77="","",E77+G77)</f>
        <v/>
      </c>
      <c r="I77" s="14"/>
      <c r="J77" s="14"/>
      <c r="K77" s="14"/>
      <c r="L77" s="14"/>
    </row>
    <row r="78" customFormat="false" ht="15" hidden="false" customHeight="false" outlineLevel="0" collapsed="false">
      <c r="A78" s="13"/>
      <c r="B78" s="14"/>
      <c r="C78" s="14"/>
      <c r="D78" s="14"/>
      <c r="E78" s="15"/>
      <c r="F78" s="14"/>
      <c r="G78" s="19" t="str">
        <f aca="false">IF(E78="","",IF(F78="Y",E78*Settings!$B$16,0))</f>
        <v/>
      </c>
      <c r="H78" s="19" t="str">
        <f aca="false">IF(E78="","",E78+G78)</f>
        <v/>
      </c>
      <c r="I78" s="14"/>
      <c r="J78" s="14"/>
      <c r="K78" s="14"/>
      <c r="L78" s="14"/>
    </row>
    <row r="79" customFormat="false" ht="15" hidden="false" customHeight="false" outlineLevel="0" collapsed="false">
      <c r="A79" s="13"/>
      <c r="B79" s="14"/>
      <c r="C79" s="14"/>
      <c r="D79" s="14"/>
      <c r="E79" s="15"/>
      <c r="F79" s="14"/>
      <c r="G79" s="19" t="str">
        <f aca="false">IF(E79="","",IF(F79="Y",E79*Settings!$B$16,0))</f>
        <v/>
      </c>
      <c r="H79" s="19" t="str">
        <f aca="false">IF(E79="","",E79+G79)</f>
        <v/>
      </c>
      <c r="I79" s="14"/>
      <c r="J79" s="14"/>
      <c r="K79" s="14"/>
      <c r="L79" s="14"/>
    </row>
    <row r="80" customFormat="false" ht="15" hidden="false" customHeight="false" outlineLevel="0" collapsed="false">
      <c r="A80" s="13"/>
      <c r="B80" s="14"/>
      <c r="C80" s="14"/>
      <c r="D80" s="14"/>
      <c r="E80" s="15"/>
      <c r="F80" s="14"/>
      <c r="G80" s="19" t="str">
        <f aca="false">IF(E80="","",IF(F80="Y",E80*Settings!$B$16,0))</f>
        <v/>
      </c>
      <c r="H80" s="19" t="str">
        <f aca="false">IF(E80="","",E80+G80)</f>
        <v/>
      </c>
      <c r="I80" s="14"/>
      <c r="J80" s="14"/>
      <c r="K80" s="14"/>
      <c r="L80" s="14"/>
    </row>
    <row r="81" customFormat="false" ht="15" hidden="false" customHeight="false" outlineLevel="0" collapsed="false">
      <c r="A81" s="13"/>
      <c r="B81" s="14"/>
      <c r="C81" s="14"/>
      <c r="D81" s="14"/>
      <c r="E81" s="15"/>
      <c r="F81" s="14"/>
      <c r="G81" s="19" t="str">
        <f aca="false">IF(E81="","",IF(F81="Y",E81*Settings!$B$16,0))</f>
        <v/>
      </c>
      <c r="H81" s="19" t="str">
        <f aca="false">IF(E81="","",E81+G81)</f>
        <v/>
      </c>
      <c r="I81" s="14"/>
      <c r="J81" s="14"/>
      <c r="K81" s="14"/>
      <c r="L81" s="14"/>
    </row>
    <row r="82" customFormat="false" ht="15" hidden="false" customHeight="false" outlineLevel="0" collapsed="false">
      <c r="A82" s="13"/>
      <c r="B82" s="14"/>
      <c r="C82" s="14"/>
      <c r="D82" s="14"/>
      <c r="E82" s="15"/>
      <c r="F82" s="14"/>
      <c r="G82" s="19" t="str">
        <f aca="false">IF(E82="","",IF(F82="Y",E82*Settings!$B$16,0))</f>
        <v/>
      </c>
      <c r="H82" s="19" t="str">
        <f aca="false">IF(E82="","",E82+G82)</f>
        <v/>
      </c>
      <c r="I82" s="14"/>
      <c r="J82" s="14"/>
      <c r="K82" s="14"/>
      <c r="L82" s="14"/>
    </row>
    <row r="83" customFormat="false" ht="15" hidden="false" customHeight="false" outlineLevel="0" collapsed="false">
      <c r="A83" s="13"/>
      <c r="B83" s="14"/>
      <c r="C83" s="14"/>
      <c r="D83" s="14"/>
      <c r="E83" s="15"/>
      <c r="F83" s="14"/>
      <c r="G83" s="19" t="str">
        <f aca="false">IF(E83="","",IF(F83="Y",E83*Settings!$B$16,0))</f>
        <v/>
      </c>
      <c r="H83" s="19" t="str">
        <f aca="false">IF(E83="","",E83+G83)</f>
        <v/>
      </c>
      <c r="I83" s="14"/>
      <c r="J83" s="14"/>
      <c r="K83" s="14"/>
      <c r="L83" s="14"/>
    </row>
    <row r="84" customFormat="false" ht="15" hidden="false" customHeight="false" outlineLevel="0" collapsed="false">
      <c r="A84" s="13"/>
      <c r="B84" s="14"/>
      <c r="C84" s="14"/>
      <c r="D84" s="14"/>
      <c r="E84" s="15"/>
      <c r="F84" s="14"/>
      <c r="G84" s="19" t="str">
        <f aca="false">IF(E84="","",IF(F84="Y",E84*Settings!$B$16,0))</f>
        <v/>
      </c>
      <c r="H84" s="19" t="str">
        <f aca="false">IF(E84="","",E84+G84)</f>
        <v/>
      </c>
      <c r="I84" s="14"/>
      <c r="J84" s="14"/>
      <c r="K84" s="14"/>
      <c r="L84" s="14"/>
    </row>
    <row r="85" customFormat="false" ht="15" hidden="false" customHeight="false" outlineLevel="0" collapsed="false">
      <c r="A85" s="13"/>
      <c r="B85" s="14"/>
      <c r="C85" s="14"/>
      <c r="D85" s="14"/>
      <c r="E85" s="15"/>
      <c r="F85" s="14"/>
      <c r="G85" s="19" t="str">
        <f aca="false">IF(E85="","",IF(F85="Y",E85*Settings!$B$16,0))</f>
        <v/>
      </c>
      <c r="H85" s="19" t="str">
        <f aca="false">IF(E85="","",E85+G85)</f>
        <v/>
      </c>
      <c r="I85" s="14"/>
      <c r="J85" s="14"/>
      <c r="K85" s="14"/>
      <c r="L85" s="14"/>
    </row>
    <row r="86" customFormat="false" ht="15" hidden="false" customHeight="false" outlineLevel="0" collapsed="false">
      <c r="A86" s="13"/>
      <c r="B86" s="14"/>
      <c r="C86" s="14"/>
      <c r="D86" s="14"/>
      <c r="E86" s="15"/>
      <c r="F86" s="14"/>
      <c r="G86" s="19" t="str">
        <f aca="false">IF(E86="","",IF(F86="Y",E86*Settings!$B$16,0))</f>
        <v/>
      </c>
      <c r="H86" s="19" t="str">
        <f aca="false">IF(E86="","",E86+G86)</f>
        <v/>
      </c>
      <c r="I86" s="14"/>
      <c r="J86" s="14"/>
      <c r="K86" s="14"/>
      <c r="L86" s="14"/>
    </row>
    <row r="87" customFormat="false" ht="15" hidden="false" customHeight="false" outlineLevel="0" collapsed="false">
      <c r="A87" s="13"/>
      <c r="B87" s="14"/>
      <c r="C87" s="14"/>
      <c r="D87" s="14"/>
      <c r="E87" s="15"/>
      <c r="F87" s="14"/>
      <c r="G87" s="19" t="str">
        <f aca="false">IF(E87="","",IF(F87="Y",E87*Settings!$B$16,0))</f>
        <v/>
      </c>
      <c r="H87" s="19" t="str">
        <f aca="false">IF(E87="","",E87+G87)</f>
        <v/>
      </c>
      <c r="I87" s="14"/>
      <c r="J87" s="14"/>
      <c r="K87" s="14"/>
      <c r="L87" s="14"/>
    </row>
    <row r="88" customFormat="false" ht="15" hidden="false" customHeight="false" outlineLevel="0" collapsed="false">
      <c r="A88" s="13"/>
      <c r="B88" s="14"/>
      <c r="C88" s="14"/>
      <c r="D88" s="14"/>
      <c r="E88" s="15"/>
      <c r="F88" s="14"/>
      <c r="G88" s="19" t="str">
        <f aca="false">IF(E88="","",IF(F88="Y",E88*Settings!$B$16,0))</f>
        <v/>
      </c>
      <c r="H88" s="19" t="str">
        <f aca="false">IF(E88="","",E88+G88)</f>
        <v/>
      </c>
      <c r="I88" s="14"/>
      <c r="J88" s="14"/>
      <c r="K88" s="14"/>
      <c r="L88" s="14"/>
    </row>
    <row r="89" customFormat="false" ht="15" hidden="false" customHeight="false" outlineLevel="0" collapsed="false">
      <c r="A89" s="13"/>
      <c r="B89" s="14"/>
      <c r="C89" s="14"/>
      <c r="D89" s="14"/>
      <c r="E89" s="15"/>
      <c r="F89" s="14"/>
      <c r="G89" s="19" t="str">
        <f aca="false">IF(E89="","",IF(F89="Y",E89*Settings!$B$16,0))</f>
        <v/>
      </c>
      <c r="H89" s="19" t="str">
        <f aca="false">IF(E89="","",E89+G89)</f>
        <v/>
      </c>
      <c r="I89" s="14"/>
      <c r="J89" s="14"/>
      <c r="K89" s="14"/>
      <c r="L89" s="14"/>
    </row>
    <row r="90" customFormat="false" ht="15" hidden="false" customHeight="false" outlineLevel="0" collapsed="false">
      <c r="A90" s="13"/>
      <c r="B90" s="14"/>
      <c r="C90" s="14"/>
      <c r="D90" s="14"/>
      <c r="E90" s="15"/>
      <c r="F90" s="14"/>
      <c r="G90" s="19" t="str">
        <f aca="false">IF(E90="","",IF(F90="Y",E90*Settings!$B$16,0))</f>
        <v/>
      </c>
      <c r="H90" s="19" t="str">
        <f aca="false">IF(E90="","",E90+G90)</f>
        <v/>
      </c>
      <c r="I90" s="14"/>
      <c r="J90" s="14"/>
      <c r="K90" s="14"/>
      <c r="L90" s="14"/>
    </row>
    <row r="91" customFormat="false" ht="15" hidden="false" customHeight="false" outlineLevel="0" collapsed="false">
      <c r="A91" s="13"/>
      <c r="B91" s="14"/>
      <c r="C91" s="14"/>
      <c r="D91" s="14"/>
      <c r="E91" s="15"/>
      <c r="F91" s="14"/>
      <c r="G91" s="19" t="str">
        <f aca="false">IF(E91="","",IF(F91="Y",E91*Settings!$B$16,0))</f>
        <v/>
      </c>
      <c r="H91" s="19" t="str">
        <f aca="false">IF(E91="","",E91+G91)</f>
        <v/>
      </c>
      <c r="I91" s="14"/>
      <c r="J91" s="14"/>
      <c r="K91" s="14"/>
      <c r="L91" s="14"/>
    </row>
    <row r="92" customFormat="false" ht="15" hidden="false" customHeight="false" outlineLevel="0" collapsed="false">
      <c r="A92" s="13"/>
      <c r="B92" s="14"/>
      <c r="C92" s="14"/>
      <c r="D92" s="14"/>
      <c r="E92" s="15"/>
      <c r="F92" s="14"/>
      <c r="G92" s="19" t="str">
        <f aca="false">IF(E92="","",IF(F92="Y",E92*Settings!$B$16,0))</f>
        <v/>
      </c>
      <c r="H92" s="19" t="str">
        <f aca="false">IF(E92="","",E92+G92)</f>
        <v/>
      </c>
      <c r="I92" s="14"/>
      <c r="J92" s="14"/>
      <c r="K92" s="14"/>
      <c r="L92" s="14"/>
    </row>
    <row r="93" customFormat="false" ht="15" hidden="false" customHeight="false" outlineLevel="0" collapsed="false">
      <c r="A93" s="13"/>
      <c r="B93" s="14"/>
      <c r="C93" s="14"/>
      <c r="D93" s="14"/>
      <c r="E93" s="15"/>
      <c r="F93" s="14"/>
      <c r="G93" s="19" t="str">
        <f aca="false">IF(E93="","",IF(F93="Y",E93*Settings!$B$16,0))</f>
        <v/>
      </c>
      <c r="H93" s="19" t="str">
        <f aca="false">IF(E93="","",E93+G93)</f>
        <v/>
      </c>
      <c r="I93" s="14"/>
      <c r="J93" s="14"/>
      <c r="K93" s="14"/>
      <c r="L93" s="14"/>
    </row>
    <row r="94" customFormat="false" ht="15" hidden="false" customHeight="false" outlineLevel="0" collapsed="false">
      <c r="A94" s="13"/>
      <c r="B94" s="14"/>
      <c r="C94" s="14"/>
      <c r="D94" s="14"/>
      <c r="E94" s="15"/>
      <c r="F94" s="14"/>
      <c r="G94" s="19" t="str">
        <f aca="false">IF(E94="","",IF(F94="Y",E94*Settings!$B$16,0))</f>
        <v/>
      </c>
      <c r="H94" s="19" t="str">
        <f aca="false">IF(E94="","",E94+G94)</f>
        <v/>
      </c>
      <c r="I94" s="14"/>
      <c r="J94" s="14"/>
      <c r="K94" s="14"/>
      <c r="L94" s="14"/>
    </row>
    <row r="95" customFormat="false" ht="15" hidden="false" customHeight="false" outlineLevel="0" collapsed="false">
      <c r="A95" s="13"/>
      <c r="B95" s="14"/>
      <c r="C95" s="14"/>
      <c r="D95" s="14"/>
      <c r="E95" s="15"/>
      <c r="F95" s="14"/>
      <c r="G95" s="19" t="str">
        <f aca="false">IF(E95="","",IF(F95="Y",E95*Settings!$B$16,0))</f>
        <v/>
      </c>
      <c r="H95" s="19" t="str">
        <f aca="false">IF(E95="","",E95+G95)</f>
        <v/>
      </c>
      <c r="I95" s="14"/>
      <c r="J95" s="14"/>
      <c r="K95" s="14"/>
      <c r="L95" s="14"/>
    </row>
    <row r="96" customFormat="false" ht="15" hidden="false" customHeight="false" outlineLevel="0" collapsed="false">
      <c r="A96" s="13"/>
      <c r="B96" s="14"/>
      <c r="C96" s="14"/>
      <c r="D96" s="14"/>
      <c r="E96" s="15"/>
      <c r="F96" s="14"/>
      <c r="G96" s="19" t="str">
        <f aca="false">IF(E96="","",IF(F96="Y",E96*Settings!$B$16,0))</f>
        <v/>
      </c>
      <c r="H96" s="19" t="str">
        <f aca="false">IF(E96="","",E96+G96)</f>
        <v/>
      </c>
      <c r="I96" s="14"/>
      <c r="J96" s="14"/>
      <c r="K96" s="14"/>
      <c r="L96" s="14"/>
    </row>
    <row r="97" customFormat="false" ht="15" hidden="false" customHeight="false" outlineLevel="0" collapsed="false">
      <c r="A97" s="13"/>
      <c r="B97" s="14"/>
      <c r="C97" s="14"/>
      <c r="D97" s="14"/>
      <c r="E97" s="15"/>
      <c r="F97" s="14"/>
      <c r="G97" s="19" t="str">
        <f aca="false">IF(E97="","",IF(F97="Y",E97*Settings!$B$16,0))</f>
        <v/>
      </c>
      <c r="H97" s="19" t="str">
        <f aca="false">IF(E97="","",E97+G97)</f>
        <v/>
      </c>
      <c r="I97" s="14"/>
      <c r="J97" s="14"/>
      <c r="K97" s="14"/>
      <c r="L97" s="14"/>
    </row>
    <row r="98" customFormat="false" ht="15" hidden="false" customHeight="false" outlineLevel="0" collapsed="false">
      <c r="A98" s="13"/>
      <c r="B98" s="14"/>
      <c r="C98" s="14"/>
      <c r="D98" s="14"/>
      <c r="E98" s="15"/>
      <c r="F98" s="14"/>
      <c r="G98" s="19" t="str">
        <f aca="false">IF(E98="","",IF(F98="Y",E98*Settings!$B$16,0))</f>
        <v/>
      </c>
      <c r="H98" s="19" t="str">
        <f aca="false">IF(E98="","",E98+G98)</f>
        <v/>
      </c>
      <c r="I98" s="14"/>
      <c r="J98" s="14"/>
      <c r="K98" s="14"/>
      <c r="L98" s="14"/>
    </row>
    <row r="99" customFormat="false" ht="15" hidden="false" customHeight="false" outlineLevel="0" collapsed="false">
      <c r="A99" s="13"/>
      <c r="B99" s="14"/>
      <c r="C99" s="14"/>
      <c r="D99" s="14"/>
      <c r="E99" s="15"/>
      <c r="F99" s="14"/>
      <c r="G99" s="19" t="str">
        <f aca="false">IF(E99="","",IF(F99="Y",E99*Settings!$B$16,0))</f>
        <v/>
      </c>
      <c r="H99" s="19" t="str">
        <f aca="false">IF(E99="","",E99+G99)</f>
        <v/>
      </c>
      <c r="I99" s="14"/>
      <c r="J99" s="14"/>
      <c r="K99" s="14"/>
      <c r="L99" s="14"/>
    </row>
    <row r="100" customFormat="false" ht="15" hidden="false" customHeight="false" outlineLevel="0" collapsed="false">
      <c r="A100" s="13"/>
      <c r="B100" s="14"/>
      <c r="C100" s="14"/>
      <c r="D100" s="14"/>
      <c r="E100" s="15"/>
      <c r="F100" s="14"/>
      <c r="G100" s="19" t="str">
        <f aca="false">IF(E100="","",IF(F100="Y",E100*Settings!$B$16,0))</f>
        <v/>
      </c>
      <c r="H100" s="19" t="str">
        <f aca="false">IF(E100="","",E100+G100)</f>
        <v/>
      </c>
      <c r="I100" s="14"/>
      <c r="J100" s="14"/>
      <c r="K100" s="14"/>
      <c r="L100" s="14"/>
    </row>
    <row r="101" customFormat="false" ht="15" hidden="false" customHeight="false" outlineLevel="0" collapsed="false">
      <c r="A101" s="13"/>
      <c r="B101" s="14"/>
      <c r="C101" s="14"/>
      <c r="D101" s="14"/>
      <c r="E101" s="15"/>
      <c r="F101" s="14"/>
      <c r="G101" s="19" t="str">
        <f aca="false">IF(E101="","",IF(F101="Y",E101*Settings!$B$16,0))</f>
        <v/>
      </c>
      <c r="H101" s="19" t="str">
        <f aca="false">IF(E101="","",E101+G101)</f>
        <v/>
      </c>
      <c r="I101" s="14"/>
      <c r="J101" s="14"/>
      <c r="K101" s="14"/>
      <c r="L101" s="14"/>
    </row>
    <row r="102" customFormat="false" ht="15" hidden="false" customHeight="false" outlineLevel="0" collapsed="false">
      <c r="A102" s="13"/>
      <c r="B102" s="14"/>
      <c r="C102" s="14"/>
      <c r="D102" s="14"/>
      <c r="E102" s="15"/>
      <c r="F102" s="14"/>
      <c r="G102" s="19" t="str">
        <f aca="false">IF(E102="","",IF(F102="Y",E102*Settings!$B$16,0))</f>
        <v/>
      </c>
      <c r="H102" s="19" t="str">
        <f aca="false">IF(E102="","",E102+G102)</f>
        <v/>
      </c>
      <c r="I102" s="14"/>
      <c r="J102" s="14"/>
      <c r="K102" s="14"/>
      <c r="L102" s="14"/>
    </row>
    <row r="103" customFormat="false" ht="15" hidden="false" customHeight="false" outlineLevel="0" collapsed="false">
      <c r="A103" s="13"/>
      <c r="B103" s="14"/>
      <c r="C103" s="14"/>
      <c r="D103" s="14"/>
      <c r="E103" s="15"/>
      <c r="F103" s="14"/>
      <c r="G103" s="19" t="str">
        <f aca="false">IF(E103="","",IF(F103="Y",E103*Settings!$B$16,0))</f>
        <v/>
      </c>
      <c r="H103" s="19" t="str">
        <f aca="false">IF(E103="","",E103+G103)</f>
        <v/>
      </c>
      <c r="I103" s="14"/>
      <c r="J103" s="14"/>
      <c r="K103" s="14"/>
      <c r="L103" s="14"/>
    </row>
    <row r="104" customFormat="false" ht="15" hidden="false" customHeight="false" outlineLevel="0" collapsed="false">
      <c r="A104" s="13"/>
      <c r="B104" s="14"/>
      <c r="C104" s="14"/>
      <c r="D104" s="14"/>
      <c r="E104" s="15"/>
      <c r="F104" s="14"/>
      <c r="G104" s="19" t="str">
        <f aca="false">IF(E104="","",IF(F104="Y",E104*Settings!$B$16,0))</f>
        <v/>
      </c>
      <c r="H104" s="19" t="str">
        <f aca="false">IF(E104="","",E104+G104)</f>
        <v/>
      </c>
      <c r="I104" s="14"/>
      <c r="J104" s="14"/>
      <c r="K104" s="14"/>
      <c r="L104" s="14"/>
    </row>
    <row r="105" customFormat="false" ht="15" hidden="false" customHeight="false" outlineLevel="0" collapsed="false">
      <c r="A105" s="13"/>
      <c r="B105" s="14"/>
      <c r="C105" s="14"/>
      <c r="D105" s="14"/>
      <c r="E105" s="15"/>
      <c r="F105" s="14"/>
      <c r="G105" s="19" t="str">
        <f aca="false">IF(E105="","",IF(F105="Y",E105*Settings!$B$16,0))</f>
        <v/>
      </c>
      <c r="H105" s="19" t="str">
        <f aca="false">IF(E105="","",E105+G105)</f>
        <v/>
      </c>
      <c r="I105" s="14"/>
      <c r="J105" s="14"/>
      <c r="K105" s="14"/>
      <c r="L105" s="14"/>
    </row>
    <row r="106" customFormat="false" ht="15" hidden="false" customHeight="false" outlineLevel="0" collapsed="false">
      <c r="A106" s="13"/>
      <c r="B106" s="14"/>
      <c r="C106" s="14"/>
      <c r="D106" s="14"/>
      <c r="E106" s="15"/>
      <c r="F106" s="14"/>
      <c r="G106" s="19" t="str">
        <f aca="false">IF(E106="","",IF(F106="Y",E106*Settings!$B$16,0))</f>
        <v/>
      </c>
      <c r="H106" s="19" t="str">
        <f aca="false">IF(E106="","",E106+G106)</f>
        <v/>
      </c>
      <c r="I106" s="14"/>
      <c r="J106" s="14"/>
      <c r="K106" s="14"/>
      <c r="L106" s="14"/>
    </row>
    <row r="107" customFormat="false" ht="15" hidden="false" customHeight="false" outlineLevel="0" collapsed="false">
      <c r="A107" s="13"/>
      <c r="B107" s="14"/>
      <c r="C107" s="14"/>
      <c r="D107" s="14"/>
      <c r="E107" s="15"/>
      <c r="F107" s="14"/>
      <c r="G107" s="19" t="str">
        <f aca="false">IF(E107="","",IF(F107="Y",E107*Settings!$B$16,0))</f>
        <v/>
      </c>
      <c r="H107" s="19" t="str">
        <f aca="false">IF(E107="","",E107+G107)</f>
        <v/>
      </c>
      <c r="I107" s="14"/>
      <c r="J107" s="14"/>
      <c r="K107" s="14"/>
      <c r="L107" s="14"/>
    </row>
    <row r="108" customFormat="false" ht="15" hidden="false" customHeight="false" outlineLevel="0" collapsed="false">
      <c r="A108" s="13"/>
      <c r="B108" s="14"/>
      <c r="C108" s="14"/>
      <c r="D108" s="14"/>
      <c r="E108" s="15"/>
      <c r="F108" s="14"/>
      <c r="G108" s="19" t="str">
        <f aca="false">IF(E108="","",IF(F108="Y",E108*Settings!$B$16,0))</f>
        <v/>
      </c>
      <c r="H108" s="19" t="str">
        <f aca="false">IF(E108="","",E108+G108)</f>
        <v/>
      </c>
      <c r="I108" s="14"/>
      <c r="J108" s="14"/>
      <c r="K108" s="14"/>
      <c r="L108" s="14"/>
    </row>
    <row r="109" customFormat="false" ht="15" hidden="false" customHeight="false" outlineLevel="0" collapsed="false">
      <c r="A109" s="13"/>
      <c r="B109" s="14"/>
      <c r="C109" s="14"/>
      <c r="D109" s="14"/>
      <c r="E109" s="15"/>
      <c r="F109" s="14"/>
      <c r="G109" s="19" t="str">
        <f aca="false">IF(E109="","",IF(F109="Y",E109*Settings!$B$16,0))</f>
        <v/>
      </c>
      <c r="H109" s="19" t="str">
        <f aca="false">IF(E109="","",E109+G109)</f>
        <v/>
      </c>
      <c r="I109" s="14"/>
      <c r="J109" s="14"/>
      <c r="K109" s="14"/>
      <c r="L109" s="14"/>
    </row>
    <row r="110" customFormat="false" ht="15" hidden="false" customHeight="false" outlineLevel="0" collapsed="false">
      <c r="A110" s="13"/>
      <c r="B110" s="14"/>
      <c r="C110" s="14"/>
      <c r="D110" s="14"/>
      <c r="E110" s="15"/>
      <c r="F110" s="14"/>
      <c r="G110" s="19" t="str">
        <f aca="false">IF(E110="","",IF(F110="Y",E110*Settings!$B$16,0))</f>
        <v/>
      </c>
      <c r="H110" s="19" t="str">
        <f aca="false">IF(E110="","",E110+G110)</f>
        <v/>
      </c>
      <c r="I110" s="14"/>
      <c r="J110" s="14"/>
      <c r="K110" s="14"/>
      <c r="L110" s="14"/>
    </row>
    <row r="111" customFormat="false" ht="15" hidden="false" customHeight="false" outlineLevel="0" collapsed="false">
      <c r="A111" s="13"/>
      <c r="B111" s="14"/>
      <c r="C111" s="14"/>
      <c r="D111" s="14"/>
      <c r="E111" s="15"/>
      <c r="F111" s="14"/>
      <c r="G111" s="19" t="str">
        <f aca="false">IF(E111="","",IF(F111="Y",E111*Settings!$B$16,0))</f>
        <v/>
      </c>
      <c r="H111" s="19" t="str">
        <f aca="false">IF(E111="","",E111+G111)</f>
        <v/>
      </c>
      <c r="I111" s="14"/>
      <c r="J111" s="14"/>
      <c r="K111" s="14"/>
      <c r="L111" s="14"/>
    </row>
    <row r="112" customFormat="false" ht="15" hidden="false" customHeight="false" outlineLevel="0" collapsed="false">
      <c r="A112" s="13"/>
      <c r="B112" s="14"/>
      <c r="C112" s="14"/>
      <c r="D112" s="14"/>
      <c r="E112" s="15"/>
      <c r="F112" s="14"/>
      <c r="G112" s="19" t="str">
        <f aca="false">IF(E112="","",IF(F112="Y",E112*Settings!$B$16,0))</f>
        <v/>
      </c>
      <c r="H112" s="19" t="str">
        <f aca="false">IF(E112="","",E112+G112)</f>
        <v/>
      </c>
      <c r="I112" s="14"/>
      <c r="J112" s="14"/>
      <c r="K112" s="14"/>
      <c r="L112" s="14"/>
    </row>
    <row r="113" customFormat="false" ht="15" hidden="false" customHeight="false" outlineLevel="0" collapsed="false">
      <c r="A113" s="13"/>
      <c r="B113" s="14"/>
      <c r="C113" s="14"/>
      <c r="D113" s="14"/>
      <c r="E113" s="15"/>
      <c r="F113" s="14"/>
      <c r="G113" s="19" t="str">
        <f aca="false">IF(E113="","",IF(F113="Y",E113*Settings!$B$16,0))</f>
        <v/>
      </c>
      <c r="H113" s="19" t="str">
        <f aca="false">IF(E113="","",E113+G113)</f>
        <v/>
      </c>
      <c r="I113" s="14"/>
      <c r="J113" s="14"/>
      <c r="K113" s="14"/>
      <c r="L113" s="14"/>
    </row>
    <row r="114" customFormat="false" ht="15" hidden="false" customHeight="false" outlineLevel="0" collapsed="false">
      <c r="A114" s="13"/>
      <c r="B114" s="14"/>
      <c r="C114" s="14"/>
      <c r="D114" s="14"/>
      <c r="E114" s="15"/>
      <c r="F114" s="14"/>
      <c r="G114" s="19" t="str">
        <f aca="false">IF(E114="","",IF(F114="Y",E114*Settings!$B$16,0))</f>
        <v/>
      </c>
      <c r="H114" s="19" t="str">
        <f aca="false">IF(E114="","",E114+G114)</f>
        <v/>
      </c>
      <c r="I114" s="14"/>
      <c r="J114" s="14"/>
      <c r="K114" s="14"/>
      <c r="L114" s="14"/>
    </row>
    <row r="115" customFormat="false" ht="15" hidden="false" customHeight="false" outlineLevel="0" collapsed="false">
      <c r="A115" s="13"/>
      <c r="B115" s="14"/>
      <c r="C115" s="14"/>
      <c r="D115" s="14"/>
      <c r="E115" s="15"/>
      <c r="F115" s="14"/>
      <c r="G115" s="19" t="str">
        <f aca="false">IF(E115="","",IF(F115="Y",E115*Settings!$B$16,0))</f>
        <v/>
      </c>
      <c r="H115" s="19" t="str">
        <f aca="false">IF(E115="","",E115+G115)</f>
        <v/>
      </c>
      <c r="I115" s="14"/>
      <c r="J115" s="14"/>
      <c r="K115" s="14"/>
      <c r="L115" s="14"/>
    </row>
    <row r="116" customFormat="false" ht="15" hidden="false" customHeight="false" outlineLevel="0" collapsed="false">
      <c r="A116" s="13"/>
      <c r="B116" s="14"/>
      <c r="C116" s="14"/>
      <c r="D116" s="14"/>
      <c r="E116" s="15"/>
      <c r="F116" s="14"/>
      <c r="G116" s="19" t="str">
        <f aca="false">IF(E116="","",IF(F116="Y",E116*Settings!$B$16,0))</f>
        <v/>
      </c>
      <c r="H116" s="19" t="str">
        <f aca="false">IF(E116="","",E116+G116)</f>
        <v/>
      </c>
      <c r="I116" s="14"/>
      <c r="J116" s="14"/>
      <c r="K116" s="14"/>
      <c r="L116" s="14"/>
    </row>
    <row r="117" customFormat="false" ht="15" hidden="false" customHeight="false" outlineLevel="0" collapsed="false">
      <c r="A117" s="13"/>
      <c r="B117" s="14"/>
      <c r="C117" s="14"/>
      <c r="D117" s="14"/>
      <c r="E117" s="15"/>
      <c r="F117" s="14"/>
      <c r="G117" s="19" t="str">
        <f aca="false">IF(E117="","",IF(F117="Y",E117*Settings!$B$16,0))</f>
        <v/>
      </c>
      <c r="H117" s="19" t="str">
        <f aca="false">IF(E117="","",E117+G117)</f>
        <v/>
      </c>
      <c r="I117" s="14"/>
      <c r="J117" s="14"/>
      <c r="K117" s="14"/>
      <c r="L117" s="14"/>
    </row>
    <row r="118" customFormat="false" ht="15" hidden="false" customHeight="false" outlineLevel="0" collapsed="false">
      <c r="A118" s="13"/>
      <c r="B118" s="14"/>
      <c r="C118" s="14"/>
      <c r="D118" s="14"/>
      <c r="E118" s="15"/>
      <c r="F118" s="14"/>
      <c r="G118" s="19" t="str">
        <f aca="false">IF(E118="","",IF(F118="Y",E118*Settings!$B$16,0))</f>
        <v/>
      </c>
      <c r="H118" s="19" t="str">
        <f aca="false">IF(E118="","",E118+G118)</f>
        <v/>
      </c>
      <c r="I118" s="14"/>
      <c r="J118" s="14"/>
      <c r="K118" s="14"/>
      <c r="L118" s="14"/>
    </row>
    <row r="119" customFormat="false" ht="15" hidden="false" customHeight="false" outlineLevel="0" collapsed="false">
      <c r="A119" s="13"/>
      <c r="B119" s="14"/>
      <c r="C119" s="14"/>
      <c r="D119" s="14"/>
      <c r="E119" s="15"/>
      <c r="F119" s="14"/>
      <c r="G119" s="19" t="str">
        <f aca="false">IF(E119="","",IF(F119="Y",E119*Settings!$B$16,0))</f>
        <v/>
      </c>
      <c r="H119" s="19" t="str">
        <f aca="false">IF(E119="","",E119+G119)</f>
        <v/>
      </c>
      <c r="I119" s="14"/>
      <c r="J119" s="14"/>
      <c r="K119" s="14"/>
      <c r="L119" s="14"/>
    </row>
    <row r="120" customFormat="false" ht="15" hidden="false" customHeight="false" outlineLevel="0" collapsed="false">
      <c r="A120" s="13"/>
      <c r="B120" s="14"/>
      <c r="C120" s="14"/>
      <c r="D120" s="14"/>
      <c r="E120" s="15"/>
      <c r="F120" s="14"/>
      <c r="G120" s="19" t="str">
        <f aca="false">IF(E120="","",IF(F120="Y",E120*Settings!$B$16,0))</f>
        <v/>
      </c>
      <c r="H120" s="19" t="str">
        <f aca="false">IF(E120="","",E120+G120)</f>
        <v/>
      </c>
      <c r="I120" s="14"/>
      <c r="J120" s="14"/>
      <c r="K120" s="14"/>
      <c r="L120" s="14"/>
    </row>
    <row r="121" customFormat="false" ht="15" hidden="false" customHeight="false" outlineLevel="0" collapsed="false">
      <c r="A121" s="13"/>
      <c r="B121" s="14"/>
      <c r="C121" s="14"/>
      <c r="D121" s="14"/>
      <c r="E121" s="15"/>
      <c r="F121" s="14"/>
      <c r="G121" s="19" t="str">
        <f aca="false">IF(E121="","",IF(F121="Y",E121*Settings!$B$16,0))</f>
        <v/>
      </c>
      <c r="H121" s="19" t="str">
        <f aca="false">IF(E121="","",E121+G121)</f>
        <v/>
      </c>
      <c r="I121" s="14"/>
      <c r="J121" s="14"/>
      <c r="K121" s="14"/>
      <c r="L121" s="14"/>
    </row>
    <row r="122" customFormat="false" ht="15" hidden="false" customHeight="false" outlineLevel="0" collapsed="false">
      <c r="A122" s="13"/>
      <c r="B122" s="14"/>
      <c r="C122" s="14"/>
      <c r="D122" s="14"/>
      <c r="E122" s="15"/>
      <c r="F122" s="14"/>
      <c r="G122" s="19" t="str">
        <f aca="false">IF(E122="","",IF(F122="Y",E122*Settings!$B$16,0))</f>
        <v/>
      </c>
      <c r="H122" s="19" t="str">
        <f aca="false">IF(E122="","",E122+G122)</f>
        <v/>
      </c>
      <c r="I122" s="14"/>
      <c r="J122" s="14"/>
      <c r="K122" s="14"/>
      <c r="L122" s="14"/>
    </row>
    <row r="123" customFormat="false" ht="15" hidden="false" customHeight="false" outlineLevel="0" collapsed="false">
      <c r="A123" s="13"/>
      <c r="B123" s="14"/>
      <c r="C123" s="14"/>
      <c r="D123" s="14"/>
      <c r="E123" s="15"/>
      <c r="F123" s="14"/>
      <c r="G123" s="19" t="str">
        <f aca="false">IF(E123="","",IF(F123="Y",E123*Settings!$B$16,0))</f>
        <v/>
      </c>
      <c r="H123" s="19" t="str">
        <f aca="false">IF(E123="","",E123+G123)</f>
        <v/>
      </c>
      <c r="I123" s="14"/>
      <c r="J123" s="14"/>
      <c r="K123" s="14"/>
      <c r="L123" s="14"/>
    </row>
    <row r="124" customFormat="false" ht="15" hidden="false" customHeight="false" outlineLevel="0" collapsed="false">
      <c r="A124" s="13"/>
      <c r="B124" s="14"/>
      <c r="C124" s="14"/>
      <c r="D124" s="14"/>
      <c r="E124" s="15"/>
      <c r="F124" s="14"/>
      <c r="G124" s="19" t="str">
        <f aca="false">IF(E124="","",IF(F124="Y",E124*Settings!$B$16,0))</f>
        <v/>
      </c>
      <c r="H124" s="19" t="str">
        <f aca="false">IF(E124="","",E124+G124)</f>
        <v/>
      </c>
      <c r="I124" s="14"/>
      <c r="J124" s="14"/>
      <c r="K124" s="14"/>
      <c r="L124" s="14"/>
    </row>
    <row r="125" customFormat="false" ht="15" hidden="false" customHeight="false" outlineLevel="0" collapsed="false">
      <c r="A125" s="13"/>
      <c r="B125" s="14"/>
      <c r="C125" s="14"/>
      <c r="D125" s="14"/>
      <c r="E125" s="15"/>
      <c r="F125" s="14"/>
      <c r="G125" s="19" t="str">
        <f aca="false">IF(E125="","",IF(F125="Y",E125*Settings!$B$16,0))</f>
        <v/>
      </c>
      <c r="H125" s="19" t="str">
        <f aca="false">IF(E125="","",E125+G125)</f>
        <v/>
      </c>
      <c r="I125" s="14"/>
      <c r="J125" s="14"/>
      <c r="K125" s="14"/>
      <c r="L125" s="14"/>
    </row>
    <row r="126" customFormat="false" ht="15" hidden="false" customHeight="false" outlineLevel="0" collapsed="false">
      <c r="A126" s="13"/>
      <c r="B126" s="14"/>
      <c r="C126" s="14"/>
      <c r="D126" s="14"/>
      <c r="E126" s="15"/>
      <c r="F126" s="14"/>
      <c r="G126" s="19" t="str">
        <f aca="false">IF(E126="","",IF(F126="Y",E126*Settings!$B$16,0))</f>
        <v/>
      </c>
      <c r="H126" s="19" t="str">
        <f aca="false">IF(E126="","",E126+G126)</f>
        <v/>
      </c>
      <c r="I126" s="14"/>
      <c r="J126" s="14"/>
      <c r="K126" s="14"/>
      <c r="L126" s="14"/>
    </row>
    <row r="127" customFormat="false" ht="15" hidden="false" customHeight="false" outlineLevel="0" collapsed="false">
      <c r="A127" s="13"/>
      <c r="B127" s="14"/>
      <c r="C127" s="14"/>
      <c r="D127" s="14"/>
      <c r="E127" s="15"/>
      <c r="F127" s="14"/>
      <c r="G127" s="19" t="str">
        <f aca="false">IF(E127="","",IF(F127="Y",E127*Settings!$B$16,0))</f>
        <v/>
      </c>
      <c r="H127" s="19" t="str">
        <f aca="false">IF(E127="","",E127+G127)</f>
        <v/>
      </c>
      <c r="I127" s="14"/>
      <c r="J127" s="14"/>
      <c r="K127" s="14"/>
      <c r="L127" s="14"/>
    </row>
    <row r="128" customFormat="false" ht="15" hidden="false" customHeight="false" outlineLevel="0" collapsed="false">
      <c r="A128" s="13"/>
      <c r="B128" s="14"/>
      <c r="C128" s="14"/>
      <c r="D128" s="14"/>
      <c r="E128" s="15"/>
      <c r="F128" s="14"/>
      <c r="G128" s="19" t="str">
        <f aca="false">IF(E128="","",IF(F128="Y",E128*Settings!$B$16,0))</f>
        <v/>
      </c>
      <c r="H128" s="19" t="str">
        <f aca="false">IF(E128="","",E128+G128)</f>
        <v/>
      </c>
      <c r="I128" s="14"/>
      <c r="J128" s="14"/>
      <c r="K128" s="14"/>
      <c r="L128" s="14"/>
    </row>
    <row r="129" customFormat="false" ht="15" hidden="false" customHeight="false" outlineLevel="0" collapsed="false">
      <c r="A129" s="13"/>
      <c r="B129" s="14"/>
      <c r="C129" s="14"/>
      <c r="D129" s="14"/>
      <c r="E129" s="15"/>
      <c r="F129" s="14"/>
      <c r="G129" s="19" t="str">
        <f aca="false">IF(E129="","",IF(F129="Y",E129*Settings!$B$16,0))</f>
        <v/>
      </c>
      <c r="H129" s="19" t="str">
        <f aca="false">IF(E129="","",E129+G129)</f>
        <v/>
      </c>
      <c r="I129" s="14"/>
      <c r="J129" s="14"/>
      <c r="K129" s="14"/>
      <c r="L129" s="14"/>
    </row>
    <row r="130" customFormat="false" ht="15" hidden="false" customHeight="false" outlineLevel="0" collapsed="false">
      <c r="A130" s="13"/>
      <c r="B130" s="14"/>
      <c r="C130" s="14"/>
      <c r="D130" s="14"/>
      <c r="E130" s="15"/>
      <c r="F130" s="14"/>
      <c r="G130" s="19" t="str">
        <f aca="false">IF(E130="","",IF(F130="Y",E130*Settings!$B$16,0))</f>
        <v/>
      </c>
      <c r="H130" s="19" t="str">
        <f aca="false">IF(E130="","",E130+G130)</f>
        <v/>
      </c>
      <c r="I130" s="14"/>
      <c r="J130" s="14"/>
      <c r="K130" s="14"/>
      <c r="L130" s="14"/>
    </row>
    <row r="131" customFormat="false" ht="15" hidden="false" customHeight="false" outlineLevel="0" collapsed="false">
      <c r="A131" s="13"/>
      <c r="B131" s="14"/>
      <c r="C131" s="14"/>
      <c r="D131" s="14"/>
      <c r="E131" s="15"/>
      <c r="F131" s="14"/>
      <c r="G131" s="19" t="str">
        <f aca="false">IF(E131="","",IF(F131="Y",E131*Settings!$B$16,0))</f>
        <v/>
      </c>
      <c r="H131" s="19" t="str">
        <f aca="false">IF(E131="","",E131+G131)</f>
        <v/>
      </c>
      <c r="I131" s="14"/>
      <c r="J131" s="14"/>
      <c r="K131" s="14"/>
      <c r="L131" s="14"/>
    </row>
    <row r="132" customFormat="false" ht="15" hidden="false" customHeight="false" outlineLevel="0" collapsed="false">
      <c r="A132" s="13"/>
      <c r="B132" s="14"/>
      <c r="C132" s="14"/>
      <c r="D132" s="14"/>
      <c r="E132" s="15"/>
      <c r="F132" s="14"/>
      <c r="G132" s="19" t="str">
        <f aca="false">IF(E132="","",IF(F132="Y",E132*Settings!$B$16,0))</f>
        <v/>
      </c>
      <c r="H132" s="19" t="str">
        <f aca="false">IF(E132="","",E132+G132)</f>
        <v/>
      </c>
      <c r="I132" s="14"/>
      <c r="J132" s="14"/>
      <c r="K132" s="14"/>
      <c r="L132" s="14"/>
    </row>
    <row r="133" customFormat="false" ht="15" hidden="false" customHeight="false" outlineLevel="0" collapsed="false">
      <c r="A133" s="13"/>
      <c r="B133" s="14"/>
      <c r="C133" s="14"/>
      <c r="D133" s="14"/>
      <c r="E133" s="15"/>
      <c r="F133" s="14"/>
      <c r="G133" s="19" t="str">
        <f aca="false">IF(E133="","",IF(F133="Y",E133*Settings!$B$16,0))</f>
        <v/>
      </c>
      <c r="H133" s="19" t="str">
        <f aca="false">IF(E133="","",E133+G133)</f>
        <v/>
      </c>
      <c r="I133" s="14"/>
      <c r="J133" s="14"/>
      <c r="K133" s="14"/>
      <c r="L133" s="14"/>
    </row>
    <row r="134" customFormat="false" ht="15" hidden="false" customHeight="false" outlineLevel="0" collapsed="false">
      <c r="A134" s="13"/>
      <c r="B134" s="14"/>
      <c r="C134" s="14"/>
      <c r="D134" s="14"/>
      <c r="E134" s="15"/>
      <c r="F134" s="14"/>
      <c r="G134" s="19" t="str">
        <f aca="false">IF(E134="","",IF(F134="Y",E134*Settings!$B$16,0))</f>
        <v/>
      </c>
      <c r="H134" s="19" t="str">
        <f aca="false">IF(E134="","",E134+G134)</f>
        <v/>
      </c>
      <c r="I134" s="14"/>
      <c r="J134" s="14"/>
      <c r="K134" s="14"/>
      <c r="L134" s="14"/>
    </row>
    <row r="135" customFormat="false" ht="15" hidden="false" customHeight="false" outlineLevel="0" collapsed="false">
      <c r="A135" s="13"/>
      <c r="B135" s="14"/>
      <c r="C135" s="14"/>
      <c r="D135" s="14"/>
      <c r="E135" s="15"/>
      <c r="F135" s="14"/>
      <c r="G135" s="19" t="str">
        <f aca="false">IF(E135="","",IF(F135="Y",E135*Settings!$B$16,0))</f>
        <v/>
      </c>
      <c r="H135" s="19" t="str">
        <f aca="false">IF(E135="","",E135+G135)</f>
        <v/>
      </c>
      <c r="I135" s="14"/>
      <c r="J135" s="14"/>
      <c r="K135" s="14"/>
      <c r="L135" s="14"/>
    </row>
    <row r="136" customFormat="false" ht="15" hidden="false" customHeight="false" outlineLevel="0" collapsed="false">
      <c r="A136" s="13"/>
      <c r="B136" s="14"/>
      <c r="C136" s="14"/>
      <c r="D136" s="14"/>
      <c r="E136" s="15"/>
      <c r="F136" s="14"/>
      <c r="G136" s="19" t="str">
        <f aca="false">IF(E136="","",IF(F136="Y",E136*Settings!$B$16,0))</f>
        <v/>
      </c>
      <c r="H136" s="19" t="str">
        <f aca="false">IF(E136="","",E136+G136)</f>
        <v/>
      </c>
      <c r="I136" s="14"/>
      <c r="J136" s="14"/>
      <c r="K136" s="14"/>
      <c r="L136" s="14"/>
    </row>
    <row r="137" customFormat="false" ht="15" hidden="false" customHeight="false" outlineLevel="0" collapsed="false">
      <c r="A137" s="13"/>
      <c r="B137" s="14"/>
      <c r="C137" s="14"/>
      <c r="D137" s="14"/>
      <c r="E137" s="15"/>
      <c r="F137" s="14"/>
      <c r="G137" s="19" t="str">
        <f aca="false">IF(E137="","",IF(F137="Y",E137*Settings!$B$16,0))</f>
        <v/>
      </c>
      <c r="H137" s="19" t="str">
        <f aca="false">IF(E137="","",E137+G137)</f>
        <v/>
      </c>
      <c r="I137" s="14"/>
      <c r="J137" s="14"/>
      <c r="K137" s="14"/>
      <c r="L137" s="14"/>
    </row>
    <row r="138" customFormat="false" ht="15" hidden="false" customHeight="false" outlineLevel="0" collapsed="false">
      <c r="A138" s="13"/>
      <c r="B138" s="14"/>
      <c r="C138" s="14"/>
      <c r="D138" s="14"/>
      <c r="E138" s="15"/>
      <c r="F138" s="14"/>
      <c r="G138" s="19" t="str">
        <f aca="false">IF(E138="","",IF(F138="Y",E138*Settings!$B$16,0))</f>
        <v/>
      </c>
      <c r="H138" s="19" t="str">
        <f aca="false">IF(E138="","",E138+G138)</f>
        <v/>
      </c>
      <c r="I138" s="14"/>
      <c r="J138" s="14"/>
      <c r="K138" s="14"/>
      <c r="L138" s="14"/>
    </row>
    <row r="139" customFormat="false" ht="15" hidden="false" customHeight="false" outlineLevel="0" collapsed="false">
      <c r="A139" s="13"/>
      <c r="B139" s="14"/>
      <c r="C139" s="14"/>
      <c r="D139" s="14"/>
      <c r="E139" s="15"/>
      <c r="F139" s="14"/>
      <c r="G139" s="19" t="str">
        <f aca="false">IF(E139="","",IF(F139="Y",E139*Settings!$B$16,0))</f>
        <v/>
      </c>
      <c r="H139" s="19" t="str">
        <f aca="false">IF(E139="","",E139+G139)</f>
        <v/>
      </c>
      <c r="I139" s="14"/>
      <c r="J139" s="14"/>
      <c r="K139" s="14"/>
      <c r="L139" s="14"/>
    </row>
    <row r="140" customFormat="false" ht="15" hidden="false" customHeight="false" outlineLevel="0" collapsed="false">
      <c r="A140" s="13"/>
      <c r="B140" s="14"/>
      <c r="C140" s="14"/>
      <c r="D140" s="14"/>
      <c r="E140" s="15"/>
      <c r="F140" s="14"/>
      <c r="G140" s="19" t="str">
        <f aca="false">IF(E140="","",IF(F140="Y",E140*Settings!$B$16,0))</f>
        <v/>
      </c>
      <c r="H140" s="19" t="str">
        <f aca="false">IF(E140="","",E140+G140)</f>
        <v/>
      </c>
      <c r="I140" s="14"/>
      <c r="J140" s="14"/>
      <c r="K140" s="14"/>
      <c r="L140" s="14"/>
    </row>
    <row r="141" customFormat="false" ht="15" hidden="false" customHeight="false" outlineLevel="0" collapsed="false">
      <c r="A141" s="13"/>
      <c r="B141" s="14"/>
      <c r="C141" s="14"/>
      <c r="D141" s="14"/>
      <c r="E141" s="15"/>
      <c r="F141" s="14"/>
      <c r="G141" s="19" t="str">
        <f aca="false">IF(E141="","",IF(F141="Y",E141*Settings!$B$16,0))</f>
        <v/>
      </c>
      <c r="H141" s="19" t="str">
        <f aca="false">IF(E141="","",E141+G141)</f>
        <v/>
      </c>
      <c r="I141" s="14"/>
      <c r="J141" s="14"/>
      <c r="K141" s="14"/>
      <c r="L141" s="14"/>
    </row>
    <row r="142" customFormat="false" ht="15" hidden="false" customHeight="false" outlineLevel="0" collapsed="false">
      <c r="A142" s="13"/>
      <c r="B142" s="14"/>
      <c r="C142" s="14"/>
      <c r="D142" s="14"/>
      <c r="E142" s="15"/>
      <c r="F142" s="14"/>
      <c r="G142" s="19" t="str">
        <f aca="false">IF(E142="","",IF(F142="Y",E142*Settings!$B$16,0))</f>
        <v/>
      </c>
      <c r="H142" s="19" t="str">
        <f aca="false">IF(E142="","",E142+G142)</f>
        <v/>
      </c>
      <c r="I142" s="14"/>
      <c r="J142" s="14"/>
      <c r="K142" s="14"/>
      <c r="L142" s="14"/>
    </row>
    <row r="143" customFormat="false" ht="15" hidden="false" customHeight="false" outlineLevel="0" collapsed="false">
      <c r="A143" s="13"/>
      <c r="B143" s="14"/>
      <c r="C143" s="14"/>
      <c r="D143" s="14"/>
      <c r="E143" s="15"/>
      <c r="F143" s="14"/>
      <c r="G143" s="19" t="str">
        <f aca="false">IF(E143="","",IF(F143="Y",E143*Settings!$B$16,0))</f>
        <v/>
      </c>
      <c r="H143" s="19" t="str">
        <f aca="false">IF(E143="","",E143+G143)</f>
        <v/>
      </c>
      <c r="I143" s="14"/>
      <c r="J143" s="14"/>
      <c r="K143" s="14"/>
      <c r="L143" s="14"/>
    </row>
    <row r="144" customFormat="false" ht="15" hidden="false" customHeight="false" outlineLevel="0" collapsed="false">
      <c r="A144" s="13"/>
      <c r="B144" s="14"/>
      <c r="C144" s="14"/>
      <c r="D144" s="14"/>
      <c r="E144" s="15"/>
      <c r="F144" s="14"/>
      <c r="G144" s="19" t="str">
        <f aca="false">IF(E144="","",IF(F144="Y",E144*Settings!$B$16,0))</f>
        <v/>
      </c>
      <c r="H144" s="19" t="str">
        <f aca="false">IF(E144="","",E144+G144)</f>
        <v/>
      </c>
      <c r="I144" s="14"/>
      <c r="J144" s="14"/>
      <c r="K144" s="14"/>
      <c r="L144" s="14"/>
    </row>
    <row r="145" customFormat="false" ht="15" hidden="false" customHeight="false" outlineLevel="0" collapsed="false">
      <c r="A145" s="13"/>
      <c r="B145" s="14"/>
      <c r="C145" s="14"/>
      <c r="D145" s="14"/>
      <c r="E145" s="15"/>
      <c r="F145" s="14"/>
      <c r="G145" s="19" t="str">
        <f aca="false">IF(E145="","",IF(F145="Y",E145*Settings!$B$16,0))</f>
        <v/>
      </c>
      <c r="H145" s="19" t="str">
        <f aca="false">IF(E145="","",E145+G145)</f>
        <v/>
      </c>
      <c r="I145" s="14"/>
      <c r="J145" s="14"/>
      <c r="K145" s="14"/>
      <c r="L145" s="14"/>
    </row>
    <row r="146" customFormat="false" ht="15" hidden="false" customHeight="false" outlineLevel="0" collapsed="false">
      <c r="A146" s="13"/>
      <c r="B146" s="14"/>
      <c r="C146" s="14"/>
      <c r="D146" s="14"/>
      <c r="E146" s="15"/>
      <c r="F146" s="14"/>
      <c r="G146" s="19" t="str">
        <f aca="false">IF(E146="","",IF(F146="Y",E146*Settings!$B$16,0))</f>
        <v/>
      </c>
      <c r="H146" s="19" t="str">
        <f aca="false">IF(E146="","",E146+G146)</f>
        <v/>
      </c>
      <c r="I146" s="14"/>
      <c r="J146" s="14"/>
      <c r="K146" s="14"/>
      <c r="L146" s="14"/>
    </row>
    <row r="147" customFormat="false" ht="15" hidden="false" customHeight="false" outlineLevel="0" collapsed="false">
      <c r="A147" s="13"/>
      <c r="B147" s="14"/>
      <c r="C147" s="14"/>
      <c r="D147" s="14"/>
      <c r="E147" s="15"/>
      <c r="F147" s="14"/>
      <c r="G147" s="19" t="str">
        <f aca="false">IF(E147="","",IF(F147="Y",E147*Settings!$B$16,0))</f>
        <v/>
      </c>
      <c r="H147" s="19" t="str">
        <f aca="false">IF(E147="","",E147+G147)</f>
        <v/>
      </c>
      <c r="I147" s="14"/>
      <c r="J147" s="14"/>
      <c r="K147" s="14"/>
      <c r="L147" s="14"/>
    </row>
    <row r="148" customFormat="false" ht="15" hidden="false" customHeight="false" outlineLevel="0" collapsed="false">
      <c r="A148" s="13"/>
      <c r="B148" s="14"/>
      <c r="C148" s="14"/>
      <c r="D148" s="14"/>
      <c r="E148" s="15"/>
      <c r="F148" s="14"/>
      <c r="G148" s="19" t="str">
        <f aca="false">IF(E148="","",IF(F148="Y",E148*Settings!$B$16,0))</f>
        <v/>
      </c>
      <c r="H148" s="19" t="str">
        <f aca="false">IF(E148="","",E148+G148)</f>
        <v/>
      </c>
      <c r="I148" s="14"/>
      <c r="J148" s="14"/>
      <c r="K148" s="14"/>
      <c r="L148" s="14"/>
    </row>
    <row r="149" customFormat="false" ht="15" hidden="false" customHeight="false" outlineLevel="0" collapsed="false">
      <c r="A149" s="13"/>
      <c r="B149" s="14"/>
      <c r="C149" s="14"/>
      <c r="D149" s="14"/>
      <c r="E149" s="15"/>
      <c r="F149" s="14"/>
      <c r="G149" s="19" t="str">
        <f aca="false">IF(E149="","",IF(F149="Y",E149*Settings!$B$16,0))</f>
        <v/>
      </c>
      <c r="H149" s="19" t="str">
        <f aca="false">IF(E149="","",E149+G149)</f>
        <v/>
      </c>
      <c r="I149" s="14"/>
      <c r="J149" s="14"/>
      <c r="K149" s="14"/>
      <c r="L149" s="14"/>
    </row>
    <row r="150" customFormat="false" ht="15" hidden="false" customHeight="false" outlineLevel="0" collapsed="false">
      <c r="A150" s="13"/>
      <c r="B150" s="14"/>
      <c r="C150" s="14"/>
      <c r="D150" s="14"/>
      <c r="E150" s="15"/>
      <c r="F150" s="14"/>
      <c r="G150" s="19" t="str">
        <f aca="false">IF(E150="","",IF(F150="Y",E150*Settings!$B$16,0))</f>
        <v/>
      </c>
      <c r="H150" s="19" t="str">
        <f aca="false">IF(E150="","",E150+G150)</f>
        <v/>
      </c>
      <c r="I150" s="14"/>
      <c r="J150" s="14"/>
      <c r="K150" s="14"/>
      <c r="L150" s="14"/>
    </row>
    <row r="151" customFormat="false" ht="15" hidden="false" customHeight="false" outlineLevel="0" collapsed="false">
      <c r="A151" s="13"/>
      <c r="B151" s="14"/>
      <c r="C151" s="14"/>
      <c r="D151" s="14"/>
      <c r="E151" s="15"/>
      <c r="F151" s="14"/>
      <c r="G151" s="19" t="str">
        <f aca="false">IF(E151="","",IF(F151="Y",E151*Settings!$B$16,0))</f>
        <v/>
      </c>
      <c r="H151" s="19" t="str">
        <f aca="false">IF(E151="","",E151+G151)</f>
        <v/>
      </c>
      <c r="I151" s="14"/>
      <c r="J151" s="14"/>
      <c r="K151" s="14"/>
      <c r="L151" s="14"/>
    </row>
    <row r="152" customFormat="false" ht="15" hidden="false" customHeight="false" outlineLevel="0" collapsed="false">
      <c r="A152" s="13"/>
      <c r="B152" s="14"/>
      <c r="C152" s="14"/>
      <c r="D152" s="14"/>
      <c r="E152" s="15"/>
      <c r="F152" s="14"/>
      <c r="G152" s="19" t="str">
        <f aca="false">IF(E152="","",IF(F152="Y",E152*Settings!$B$16,0))</f>
        <v/>
      </c>
      <c r="H152" s="19" t="str">
        <f aca="false">IF(E152="","",E152+G152)</f>
        <v/>
      </c>
      <c r="I152" s="14"/>
      <c r="J152" s="14"/>
      <c r="K152" s="14"/>
      <c r="L152" s="14"/>
    </row>
    <row r="153" customFormat="false" ht="15" hidden="false" customHeight="false" outlineLevel="0" collapsed="false">
      <c r="A153" s="13"/>
      <c r="B153" s="14"/>
      <c r="C153" s="14"/>
      <c r="D153" s="14"/>
      <c r="E153" s="15"/>
      <c r="F153" s="14"/>
      <c r="G153" s="19" t="str">
        <f aca="false">IF(E153="","",IF(F153="Y",E153*Settings!$B$16,0))</f>
        <v/>
      </c>
      <c r="H153" s="19" t="str">
        <f aca="false">IF(E153="","",E153+G153)</f>
        <v/>
      </c>
      <c r="I153" s="14"/>
      <c r="J153" s="14"/>
      <c r="K153" s="14"/>
      <c r="L153" s="14"/>
    </row>
    <row r="154" customFormat="false" ht="15" hidden="false" customHeight="false" outlineLevel="0" collapsed="false">
      <c r="A154" s="13"/>
      <c r="B154" s="14"/>
      <c r="C154" s="14"/>
      <c r="D154" s="14"/>
      <c r="E154" s="15"/>
      <c r="F154" s="14"/>
      <c r="G154" s="19" t="str">
        <f aca="false">IF(E154="","",IF(F154="Y",E154*Settings!$B$16,0))</f>
        <v/>
      </c>
      <c r="H154" s="19" t="str">
        <f aca="false">IF(E154="","",E154+G154)</f>
        <v/>
      </c>
      <c r="I154" s="14"/>
      <c r="J154" s="14"/>
      <c r="K154" s="14"/>
      <c r="L154" s="14"/>
    </row>
    <row r="155" customFormat="false" ht="15" hidden="false" customHeight="false" outlineLevel="0" collapsed="false">
      <c r="A155" s="13"/>
      <c r="B155" s="14"/>
      <c r="C155" s="14"/>
      <c r="D155" s="14"/>
      <c r="E155" s="15"/>
      <c r="F155" s="14"/>
      <c r="G155" s="19" t="str">
        <f aca="false">IF(E155="","",IF(F155="Y",E155*Settings!$B$16,0))</f>
        <v/>
      </c>
      <c r="H155" s="19" t="str">
        <f aca="false">IF(E155="","",E155+G155)</f>
        <v/>
      </c>
      <c r="I155" s="14"/>
      <c r="J155" s="14"/>
      <c r="K155" s="14"/>
      <c r="L155" s="14"/>
    </row>
    <row r="156" customFormat="false" ht="15" hidden="false" customHeight="false" outlineLevel="0" collapsed="false">
      <c r="A156" s="13"/>
      <c r="B156" s="14"/>
      <c r="C156" s="14"/>
      <c r="D156" s="14"/>
      <c r="E156" s="15"/>
      <c r="F156" s="14"/>
      <c r="G156" s="19" t="str">
        <f aca="false">IF(E156="","",IF(F156="Y",E156*Settings!$B$16,0))</f>
        <v/>
      </c>
      <c r="H156" s="19" t="str">
        <f aca="false">IF(E156="","",E156+G156)</f>
        <v/>
      </c>
      <c r="I156" s="14"/>
      <c r="J156" s="14"/>
      <c r="K156" s="14"/>
      <c r="L156" s="14"/>
    </row>
    <row r="157" customFormat="false" ht="15" hidden="false" customHeight="false" outlineLevel="0" collapsed="false">
      <c r="A157" s="13"/>
      <c r="B157" s="14"/>
      <c r="C157" s="14"/>
      <c r="D157" s="14"/>
      <c r="E157" s="15"/>
      <c r="F157" s="14"/>
      <c r="G157" s="19" t="str">
        <f aca="false">IF(E157="","",IF(F157="Y",E157*Settings!$B$16,0))</f>
        <v/>
      </c>
      <c r="H157" s="19" t="str">
        <f aca="false">IF(E157="","",E157+G157)</f>
        <v/>
      </c>
      <c r="I157" s="14"/>
      <c r="J157" s="14"/>
      <c r="K157" s="14"/>
      <c r="L157" s="14"/>
    </row>
    <row r="158" customFormat="false" ht="15" hidden="false" customHeight="false" outlineLevel="0" collapsed="false">
      <c r="A158" s="13"/>
      <c r="B158" s="14"/>
      <c r="C158" s="14"/>
      <c r="D158" s="14"/>
      <c r="E158" s="15"/>
      <c r="F158" s="14"/>
      <c r="G158" s="19" t="str">
        <f aca="false">IF(E158="","",IF(F158="Y",E158*Settings!$B$16,0))</f>
        <v/>
      </c>
      <c r="H158" s="19" t="str">
        <f aca="false">IF(E158="","",E158+G158)</f>
        <v/>
      </c>
      <c r="I158" s="14"/>
      <c r="J158" s="14"/>
      <c r="K158" s="14"/>
      <c r="L158" s="14"/>
    </row>
    <row r="159" customFormat="false" ht="15" hidden="false" customHeight="false" outlineLevel="0" collapsed="false">
      <c r="A159" s="13"/>
      <c r="B159" s="14"/>
      <c r="C159" s="14"/>
      <c r="D159" s="14"/>
      <c r="E159" s="15"/>
      <c r="F159" s="14"/>
      <c r="G159" s="19" t="str">
        <f aca="false">IF(E159="","",IF(F159="Y",E159*Settings!$B$16,0))</f>
        <v/>
      </c>
      <c r="H159" s="19" t="str">
        <f aca="false">IF(E159="","",E159+G159)</f>
        <v/>
      </c>
      <c r="I159" s="14"/>
      <c r="J159" s="14"/>
      <c r="K159" s="14"/>
      <c r="L159" s="14"/>
    </row>
    <row r="160" customFormat="false" ht="15" hidden="false" customHeight="false" outlineLevel="0" collapsed="false">
      <c r="A160" s="13"/>
      <c r="B160" s="14"/>
      <c r="C160" s="14"/>
      <c r="D160" s="14"/>
      <c r="E160" s="15"/>
      <c r="F160" s="14"/>
      <c r="G160" s="19" t="str">
        <f aca="false">IF(E160="","",IF(F160="Y",E160*Settings!$B$16,0))</f>
        <v/>
      </c>
      <c r="H160" s="19" t="str">
        <f aca="false">IF(E160="","",E160+G160)</f>
        <v/>
      </c>
      <c r="I160" s="14"/>
      <c r="J160" s="14"/>
      <c r="K160" s="14"/>
      <c r="L160" s="14"/>
    </row>
    <row r="161" customFormat="false" ht="15" hidden="false" customHeight="false" outlineLevel="0" collapsed="false">
      <c r="A161" s="13"/>
      <c r="B161" s="14"/>
      <c r="C161" s="14"/>
      <c r="D161" s="14"/>
      <c r="E161" s="15"/>
      <c r="F161" s="14"/>
      <c r="G161" s="19" t="str">
        <f aca="false">IF(E161="","",IF(F161="Y",E161*Settings!$B$16,0))</f>
        <v/>
      </c>
      <c r="H161" s="19" t="str">
        <f aca="false">IF(E161="","",E161+G161)</f>
        <v/>
      </c>
      <c r="I161" s="14"/>
      <c r="J161" s="14"/>
      <c r="K161" s="14"/>
      <c r="L161" s="14"/>
    </row>
    <row r="162" customFormat="false" ht="15" hidden="false" customHeight="false" outlineLevel="0" collapsed="false">
      <c r="A162" s="13"/>
      <c r="B162" s="14"/>
      <c r="C162" s="14"/>
      <c r="D162" s="14"/>
      <c r="E162" s="15"/>
      <c r="F162" s="14"/>
      <c r="G162" s="19" t="str">
        <f aca="false">IF(E162="","",IF(F162="Y",E162*Settings!$B$16,0))</f>
        <v/>
      </c>
      <c r="H162" s="19" t="str">
        <f aca="false">IF(E162="","",E162+G162)</f>
        <v/>
      </c>
      <c r="I162" s="14"/>
      <c r="J162" s="14"/>
      <c r="K162" s="14"/>
      <c r="L162" s="14"/>
    </row>
    <row r="163" customFormat="false" ht="15" hidden="false" customHeight="false" outlineLevel="0" collapsed="false">
      <c r="A163" s="13"/>
      <c r="B163" s="14"/>
      <c r="C163" s="14"/>
      <c r="D163" s="14"/>
      <c r="E163" s="15"/>
      <c r="F163" s="14"/>
      <c r="G163" s="19" t="str">
        <f aca="false">IF(E163="","",IF(F163="Y",E163*Settings!$B$16,0))</f>
        <v/>
      </c>
      <c r="H163" s="19" t="str">
        <f aca="false">IF(E163="","",E163+G163)</f>
        <v/>
      </c>
      <c r="I163" s="14"/>
      <c r="J163" s="14"/>
      <c r="K163" s="14"/>
      <c r="L163" s="14"/>
    </row>
    <row r="164" customFormat="false" ht="15" hidden="false" customHeight="false" outlineLevel="0" collapsed="false">
      <c r="A164" s="13"/>
      <c r="B164" s="14"/>
      <c r="C164" s="14"/>
      <c r="D164" s="14"/>
      <c r="E164" s="15"/>
      <c r="F164" s="14"/>
      <c r="G164" s="19" t="str">
        <f aca="false">IF(E164="","",IF(F164="Y",E164*Settings!$B$16,0))</f>
        <v/>
      </c>
      <c r="H164" s="19" t="str">
        <f aca="false">IF(E164="","",E164+G164)</f>
        <v/>
      </c>
      <c r="I164" s="14"/>
      <c r="J164" s="14"/>
      <c r="K164" s="14"/>
      <c r="L164" s="14"/>
    </row>
    <row r="165" customFormat="false" ht="15" hidden="false" customHeight="false" outlineLevel="0" collapsed="false">
      <c r="A165" s="13"/>
      <c r="B165" s="14"/>
      <c r="C165" s="14"/>
      <c r="D165" s="14"/>
      <c r="E165" s="15"/>
      <c r="F165" s="14"/>
      <c r="G165" s="19" t="str">
        <f aca="false">IF(E165="","",IF(F165="Y",E165*Settings!$B$16,0))</f>
        <v/>
      </c>
      <c r="H165" s="19" t="str">
        <f aca="false">IF(E165="","",E165+G165)</f>
        <v/>
      </c>
      <c r="I165" s="14"/>
      <c r="J165" s="14"/>
      <c r="K165" s="14"/>
      <c r="L165" s="14"/>
    </row>
    <row r="166" customFormat="false" ht="15" hidden="false" customHeight="false" outlineLevel="0" collapsed="false">
      <c r="A166" s="13"/>
      <c r="B166" s="14"/>
      <c r="C166" s="14"/>
      <c r="D166" s="14"/>
      <c r="E166" s="15"/>
      <c r="F166" s="14"/>
      <c r="G166" s="19" t="str">
        <f aca="false">IF(E166="","",IF(F166="Y",E166*Settings!$B$16,0))</f>
        <v/>
      </c>
      <c r="H166" s="19" t="str">
        <f aca="false">IF(E166="","",E166+G166)</f>
        <v/>
      </c>
      <c r="I166" s="14"/>
      <c r="J166" s="14"/>
      <c r="K166" s="14"/>
      <c r="L166" s="14"/>
    </row>
    <row r="167" customFormat="false" ht="15" hidden="false" customHeight="false" outlineLevel="0" collapsed="false">
      <c r="A167" s="13"/>
      <c r="B167" s="14"/>
      <c r="C167" s="14"/>
      <c r="D167" s="14"/>
      <c r="E167" s="15"/>
      <c r="F167" s="14"/>
      <c r="G167" s="19" t="str">
        <f aca="false">IF(E167="","",IF(F167="Y",E167*Settings!$B$16,0))</f>
        <v/>
      </c>
      <c r="H167" s="19" t="str">
        <f aca="false">IF(E167="","",E167+G167)</f>
        <v/>
      </c>
      <c r="I167" s="14"/>
      <c r="J167" s="14"/>
      <c r="K167" s="14"/>
      <c r="L167" s="14"/>
    </row>
    <row r="168" customFormat="false" ht="15" hidden="false" customHeight="false" outlineLevel="0" collapsed="false">
      <c r="A168" s="13"/>
      <c r="B168" s="14"/>
      <c r="C168" s="14"/>
      <c r="D168" s="14"/>
      <c r="E168" s="15"/>
      <c r="F168" s="14"/>
      <c r="G168" s="19" t="str">
        <f aca="false">IF(E168="","",IF(F168="Y",E168*Settings!$B$16,0))</f>
        <v/>
      </c>
      <c r="H168" s="19" t="str">
        <f aca="false">IF(E168="","",E168+G168)</f>
        <v/>
      </c>
      <c r="I168" s="14"/>
      <c r="J168" s="14"/>
      <c r="K168" s="14"/>
      <c r="L168" s="14"/>
    </row>
    <row r="169" customFormat="false" ht="15" hidden="false" customHeight="false" outlineLevel="0" collapsed="false">
      <c r="A169" s="13"/>
      <c r="B169" s="14"/>
      <c r="C169" s="14"/>
      <c r="D169" s="14"/>
      <c r="E169" s="15"/>
      <c r="F169" s="14"/>
      <c r="G169" s="19" t="str">
        <f aca="false">IF(E169="","",IF(F169="Y",E169*Settings!$B$16,0))</f>
        <v/>
      </c>
      <c r="H169" s="19" t="str">
        <f aca="false">IF(E169="","",E169+G169)</f>
        <v/>
      </c>
      <c r="I169" s="14"/>
      <c r="J169" s="14"/>
      <c r="K169" s="14"/>
      <c r="L169" s="14"/>
    </row>
    <row r="170" customFormat="false" ht="15" hidden="false" customHeight="false" outlineLevel="0" collapsed="false">
      <c r="A170" s="13"/>
      <c r="B170" s="14"/>
      <c r="C170" s="14"/>
      <c r="D170" s="14"/>
      <c r="E170" s="15"/>
      <c r="F170" s="14"/>
      <c r="G170" s="19" t="str">
        <f aca="false">IF(E170="","",IF(F170="Y",E170*Settings!$B$16,0))</f>
        <v/>
      </c>
      <c r="H170" s="19" t="str">
        <f aca="false">IF(E170="","",E170+G170)</f>
        <v/>
      </c>
      <c r="I170" s="14"/>
      <c r="J170" s="14"/>
      <c r="K170" s="14"/>
      <c r="L170" s="14"/>
    </row>
    <row r="171" customFormat="false" ht="15" hidden="false" customHeight="false" outlineLevel="0" collapsed="false">
      <c r="A171" s="13"/>
      <c r="B171" s="14"/>
      <c r="C171" s="14"/>
      <c r="D171" s="14"/>
      <c r="E171" s="15"/>
      <c r="F171" s="14"/>
      <c r="G171" s="19" t="str">
        <f aca="false">IF(E171="","",IF(F171="Y",E171*Settings!$B$16,0))</f>
        <v/>
      </c>
      <c r="H171" s="19" t="str">
        <f aca="false">IF(E171="","",E171+G171)</f>
        <v/>
      </c>
      <c r="I171" s="14"/>
      <c r="J171" s="14"/>
      <c r="K171" s="14"/>
      <c r="L171" s="14"/>
    </row>
    <row r="172" customFormat="false" ht="15" hidden="false" customHeight="false" outlineLevel="0" collapsed="false">
      <c r="A172" s="13"/>
      <c r="B172" s="14"/>
      <c r="C172" s="14"/>
      <c r="D172" s="14"/>
      <c r="E172" s="15"/>
      <c r="F172" s="14"/>
      <c r="G172" s="19" t="str">
        <f aca="false">IF(E172="","",IF(F172="Y",E172*Settings!$B$16,0))</f>
        <v/>
      </c>
      <c r="H172" s="19" t="str">
        <f aca="false">IF(E172="","",E172+G172)</f>
        <v/>
      </c>
      <c r="I172" s="14"/>
      <c r="J172" s="14"/>
      <c r="K172" s="14"/>
      <c r="L172" s="14"/>
    </row>
    <row r="173" customFormat="false" ht="15" hidden="false" customHeight="false" outlineLevel="0" collapsed="false">
      <c r="A173" s="13"/>
      <c r="B173" s="14"/>
      <c r="C173" s="14"/>
      <c r="D173" s="14"/>
      <c r="E173" s="15"/>
      <c r="F173" s="14"/>
      <c r="G173" s="19" t="str">
        <f aca="false">IF(E173="","",IF(F173="Y",E173*Settings!$B$16,0))</f>
        <v/>
      </c>
      <c r="H173" s="19" t="str">
        <f aca="false">IF(E173="","",E173+G173)</f>
        <v/>
      </c>
      <c r="I173" s="14"/>
      <c r="J173" s="14"/>
      <c r="K173" s="14"/>
      <c r="L173" s="14"/>
    </row>
    <row r="174" customFormat="false" ht="15" hidden="false" customHeight="false" outlineLevel="0" collapsed="false">
      <c r="A174" s="13"/>
      <c r="B174" s="14"/>
      <c r="C174" s="14"/>
      <c r="D174" s="14"/>
      <c r="E174" s="15"/>
      <c r="F174" s="14"/>
      <c r="G174" s="19" t="str">
        <f aca="false">IF(E174="","",IF(F174="Y",E174*Settings!$B$16,0))</f>
        <v/>
      </c>
      <c r="H174" s="19" t="str">
        <f aca="false">IF(E174="","",E174+G174)</f>
        <v/>
      </c>
      <c r="I174" s="14"/>
      <c r="J174" s="14"/>
      <c r="K174" s="14"/>
      <c r="L174" s="14"/>
    </row>
    <row r="175" customFormat="false" ht="15" hidden="false" customHeight="false" outlineLevel="0" collapsed="false">
      <c r="A175" s="13"/>
      <c r="B175" s="14"/>
      <c r="C175" s="14"/>
      <c r="D175" s="14"/>
      <c r="E175" s="15"/>
      <c r="F175" s="14"/>
      <c r="G175" s="19" t="str">
        <f aca="false">IF(E175="","",IF(F175="Y",E175*Settings!$B$16,0))</f>
        <v/>
      </c>
      <c r="H175" s="19" t="str">
        <f aca="false">IF(E175="","",E175+G175)</f>
        <v/>
      </c>
      <c r="I175" s="14"/>
      <c r="J175" s="14"/>
      <c r="K175" s="14"/>
      <c r="L175" s="14"/>
    </row>
    <row r="176" customFormat="false" ht="15" hidden="false" customHeight="false" outlineLevel="0" collapsed="false">
      <c r="A176" s="13"/>
      <c r="B176" s="14"/>
      <c r="C176" s="14"/>
      <c r="D176" s="14"/>
      <c r="E176" s="15"/>
      <c r="F176" s="14"/>
      <c r="G176" s="19" t="str">
        <f aca="false">IF(E176="","",IF(F176="Y",E176*Settings!$B$16,0))</f>
        <v/>
      </c>
      <c r="H176" s="19" t="str">
        <f aca="false">IF(E176="","",E176+G176)</f>
        <v/>
      </c>
      <c r="I176" s="14"/>
      <c r="J176" s="14"/>
      <c r="K176" s="14"/>
      <c r="L176" s="14"/>
    </row>
    <row r="177" customFormat="false" ht="15" hidden="false" customHeight="false" outlineLevel="0" collapsed="false">
      <c r="A177" s="13"/>
      <c r="B177" s="14"/>
      <c r="C177" s="14"/>
      <c r="D177" s="14"/>
      <c r="E177" s="15"/>
      <c r="F177" s="14"/>
      <c r="G177" s="19" t="str">
        <f aca="false">IF(E177="","",IF(F177="Y",E177*Settings!$B$16,0))</f>
        <v/>
      </c>
      <c r="H177" s="19" t="str">
        <f aca="false">IF(E177="","",E177+G177)</f>
        <v/>
      </c>
      <c r="I177" s="14"/>
      <c r="J177" s="14"/>
      <c r="K177" s="14"/>
      <c r="L177" s="14"/>
    </row>
    <row r="178" customFormat="false" ht="15" hidden="false" customHeight="false" outlineLevel="0" collapsed="false">
      <c r="A178" s="13"/>
      <c r="B178" s="14"/>
      <c r="C178" s="14"/>
      <c r="D178" s="14"/>
      <c r="E178" s="15"/>
      <c r="F178" s="14"/>
      <c r="G178" s="19" t="str">
        <f aca="false">IF(E178="","",IF(F178="Y",E178*Settings!$B$16,0))</f>
        <v/>
      </c>
      <c r="H178" s="19" t="str">
        <f aca="false">IF(E178="","",E178+G178)</f>
        <v/>
      </c>
      <c r="I178" s="14"/>
      <c r="J178" s="14"/>
      <c r="K178" s="14"/>
      <c r="L178" s="14"/>
    </row>
    <row r="179" customFormat="false" ht="15" hidden="false" customHeight="false" outlineLevel="0" collapsed="false">
      <c r="A179" s="13"/>
      <c r="B179" s="14"/>
      <c r="C179" s="14"/>
      <c r="D179" s="14"/>
      <c r="E179" s="15"/>
      <c r="F179" s="14"/>
      <c r="G179" s="19" t="str">
        <f aca="false">IF(E179="","",IF(F179="Y",E179*Settings!$B$16,0))</f>
        <v/>
      </c>
      <c r="H179" s="19" t="str">
        <f aca="false">IF(E179="","",E179+G179)</f>
        <v/>
      </c>
      <c r="I179" s="14"/>
      <c r="J179" s="14"/>
      <c r="K179" s="14"/>
      <c r="L179" s="14"/>
    </row>
    <row r="180" customFormat="false" ht="15" hidden="false" customHeight="false" outlineLevel="0" collapsed="false">
      <c r="A180" s="13"/>
      <c r="B180" s="14"/>
      <c r="C180" s="14"/>
      <c r="D180" s="14"/>
      <c r="E180" s="15"/>
      <c r="F180" s="14"/>
      <c r="G180" s="19" t="str">
        <f aca="false">IF(E180="","",IF(F180="Y",E180*Settings!$B$16,0))</f>
        <v/>
      </c>
      <c r="H180" s="19" t="str">
        <f aca="false">IF(E180="","",E180+G180)</f>
        <v/>
      </c>
      <c r="I180" s="14"/>
      <c r="J180" s="14"/>
      <c r="K180" s="14"/>
      <c r="L180" s="14"/>
    </row>
    <row r="181" customFormat="false" ht="15" hidden="false" customHeight="false" outlineLevel="0" collapsed="false">
      <c r="A181" s="13"/>
      <c r="B181" s="14"/>
      <c r="C181" s="14"/>
      <c r="D181" s="14"/>
      <c r="E181" s="15"/>
      <c r="F181" s="14"/>
      <c r="G181" s="19" t="str">
        <f aca="false">IF(E181="","",IF(F181="Y",E181*Settings!$B$16,0))</f>
        <v/>
      </c>
      <c r="H181" s="19" t="str">
        <f aca="false">IF(E181="","",E181+G181)</f>
        <v/>
      </c>
      <c r="I181" s="14"/>
      <c r="J181" s="14"/>
      <c r="K181" s="14"/>
      <c r="L181" s="14"/>
    </row>
    <row r="182" customFormat="false" ht="15" hidden="false" customHeight="false" outlineLevel="0" collapsed="false">
      <c r="A182" s="13"/>
      <c r="B182" s="14"/>
      <c r="C182" s="14"/>
      <c r="D182" s="14"/>
      <c r="E182" s="15"/>
      <c r="F182" s="14"/>
      <c r="G182" s="19" t="str">
        <f aca="false">IF(E182="","",IF(F182="Y",E182*Settings!$B$16,0))</f>
        <v/>
      </c>
      <c r="H182" s="19" t="str">
        <f aca="false">IF(E182="","",E182+G182)</f>
        <v/>
      </c>
      <c r="I182" s="14"/>
      <c r="J182" s="14"/>
      <c r="K182" s="14"/>
      <c r="L182" s="14"/>
    </row>
    <row r="183" customFormat="false" ht="15" hidden="false" customHeight="false" outlineLevel="0" collapsed="false">
      <c r="A183" s="13"/>
      <c r="B183" s="14"/>
      <c r="C183" s="14"/>
      <c r="D183" s="14"/>
      <c r="E183" s="15"/>
      <c r="F183" s="14"/>
      <c r="G183" s="19" t="str">
        <f aca="false">IF(E183="","",IF(F183="Y",E183*Settings!$B$16,0))</f>
        <v/>
      </c>
      <c r="H183" s="19" t="str">
        <f aca="false">IF(E183="","",E183+G183)</f>
        <v/>
      </c>
      <c r="I183" s="14"/>
      <c r="J183" s="14"/>
      <c r="K183" s="14"/>
      <c r="L183" s="14"/>
    </row>
    <row r="184" customFormat="false" ht="15" hidden="false" customHeight="false" outlineLevel="0" collapsed="false">
      <c r="A184" s="13"/>
      <c r="B184" s="14"/>
      <c r="C184" s="14"/>
      <c r="D184" s="14"/>
      <c r="E184" s="15"/>
      <c r="F184" s="14"/>
      <c r="G184" s="19" t="str">
        <f aca="false">IF(E184="","",IF(F184="Y",E184*Settings!$B$16,0))</f>
        <v/>
      </c>
      <c r="H184" s="19" t="str">
        <f aca="false">IF(E184="","",E184+G184)</f>
        <v/>
      </c>
      <c r="I184" s="14"/>
      <c r="J184" s="14"/>
      <c r="K184" s="14"/>
      <c r="L184" s="14"/>
    </row>
    <row r="185" customFormat="false" ht="15" hidden="false" customHeight="false" outlineLevel="0" collapsed="false">
      <c r="A185" s="13"/>
      <c r="B185" s="14"/>
      <c r="C185" s="14"/>
      <c r="D185" s="14"/>
      <c r="E185" s="15"/>
      <c r="F185" s="14"/>
      <c r="G185" s="19" t="str">
        <f aca="false">IF(E185="","",IF(F185="Y",E185*Settings!$B$16,0))</f>
        <v/>
      </c>
      <c r="H185" s="19" t="str">
        <f aca="false">IF(E185="","",E185+G185)</f>
        <v/>
      </c>
      <c r="I185" s="14"/>
      <c r="J185" s="14"/>
      <c r="K185" s="14"/>
      <c r="L185" s="14"/>
    </row>
    <row r="186" customFormat="false" ht="15" hidden="false" customHeight="false" outlineLevel="0" collapsed="false">
      <c r="A186" s="13"/>
      <c r="B186" s="14"/>
      <c r="C186" s="14"/>
      <c r="D186" s="14"/>
      <c r="E186" s="15"/>
      <c r="F186" s="14"/>
      <c r="G186" s="19" t="str">
        <f aca="false">IF(E186="","",IF(F186="Y",E186*Settings!$B$16,0))</f>
        <v/>
      </c>
      <c r="H186" s="19" t="str">
        <f aca="false">IF(E186="","",E186+G186)</f>
        <v/>
      </c>
      <c r="I186" s="14"/>
      <c r="J186" s="14"/>
      <c r="K186" s="14"/>
      <c r="L186" s="14"/>
    </row>
    <row r="187" customFormat="false" ht="15" hidden="false" customHeight="false" outlineLevel="0" collapsed="false">
      <c r="A187" s="13"/>
      <c r="B187" s="14"/>
      <c r="C187" s="14"/>
      <c r="D187" s="14"/>
      <c r="E187" s="15"/>
      <c r="F187" s="14"/>
      <c r="G187" s="19" t="str">
        <f aca="false">IF(E187="","",IF(F187="Y",E187*Settings!$B$16,0))</f>
        <v/>
      </c>
      <c r="H187" s="19" t="str">
        <f aca="false">IF(E187="","",E187+G187)</f>
        <v/>
      </c>
      <c r="I187" s="14"/>
      <c r="J187" s="14"/>
      <c r="K187" s="14"/>
      <c r="L187" s="14"/>
    </row>
    <row r="188" customFormat="false" ht="15" hidden="false" customHeight="false" outlineLevel="0" collapsed="false">
      <c r="A188" s="13"/>
      <c r="B188" s="14"/>
      <c r="C188" s="14"/>
      <c r="D188" s="14"/>
      <c r="E188" s="15"/>
      <c r="F188" s="14"/>
      <c r="G188" s="19" t="str">
        <f aca="false">IF(E188="","",IF(F188="Y",E188*Settings!$B$16,0))</f>
        <v/>
      </c>
      <c r="H188" s="19" t="str">
        <f aca="false">IF(E188="","",E188+G188)</f>
        <v/>
      </c>
      <c r="I188" s="14"/>
      <c r="J188" s="14"/>
      <c r="K188" s="14"/>
      <c r="L188" s="14"/>
    </row>
    <row r="189" customFormat="false" ht="15" hidden="false" customHeight="false" outlineLevel="0" collapsed="false">
      <c r="A189" s="13"/>
      <c r="B189" s="14"/>
      <c r="C189" s="14"/>
      <c r="D189" s="14"/>
      <c r="E189" s="15"/>
      <c r="F189" s="14"/>
      <c r="G189" s="19" t="str">
        <f aca="false">IF(E189="","",IF(F189="Y",E189*Settings!$B$16,0))</f>
        <v/>
      </c>
      <c r="H189" s="19" t="str">
        <f aca="false">IF(E189="","",E189+G189)</f>
        <v/>
      </c>
      <c r="I189" s="14"/>
      <c r="J189" s="14"/>
      <c r="K189" s="14"/>
      <c r="L189" s="14"/>
    </row>
    <row r="190" customFormat="false" ht="15" hidden="false" customHeight="false" outlineLevel="0" collapsed="false">
      <c r="A190" s="13"/>
      <c r="B190" s="14"/>
      <c r="C190" s="14"/>
      <c r="D190" s="14"/>
      <c r="E190" s="15"/>
      <c r="F190" s="14"/>
      <c r="G190" s="19" t="str">
        <f aca="false">IF(E190="","",IF(F190="Y",E190*Settings!$B$16,0))</f>
        <v/>
      </c>
      <c r="H190" s="19" t="str">
        <f aca="false">IF(E190="","",E190+G190)</f>
        <v/>
      </c>
      <c r="I190" s="14"/>
      <c r="J190" s="14"/>
      <c r="K190" s="14"/>
      <c r="L190" s="14"/>
    </row>
    <row r="191" customFormat="false" ht="15" hidden="false" customHeight="false" outlineLevel="0" collapsed="false">
      <c r="A191" s="13"/>
      <c r="B191" s="14"/>
      <c r="C191" s="14"/>
      <c r="D191" s="14"/>
      <c r="E191" s="15"/>
      <c r="F191" s="14"/>
      <c r="G191" s="19" t="str">
        <f aca="false">IF(E191="","",IF(F191="Y",E191*Settings!$B$16,0))</f>
        <v/>
      </c>
      <c r="H191" s="19" t="str">
        <f aca="false">IF(E191="","",E191+G191)</f>
        <v/>
      </c>
      <c r="I191" s="14"/>
      <c r="J191" s="14"/>
      <c r="K191" s="14"/>
      <c r="L191" s="14"/>
    </row>
    <row r="192" customFormat="false" ht="15" hidden="false" customHeight="false" outlineLevel="0" collapsed="false">
      <c r="A192" s="13"/>
      <c r="B192" s="14"/>
      <c r="C192" s="14"/>
      <c r="D192" s="14"/>
      <c r="E192" s="15"/>
      <c r="F192" s="14"/>
      <c r="G192" s="19" t="str">
        <f aca="false">IF(E192="","",IF(F192="Y",E192*Settings!$B$16,0))</f>
        <v/>
      </c>
      <c r="H192" s="19" t="str">
        <f aca="false">IF(E192="","",E192+G192)</f>
        <v/>
      </c>
      <c r="I192" s="14"/>
      <c r="J192" s="14"/>
      <c r="K192" s="14"/>
      <c r="L192" s="14"/>
    </row>
    <row r="193" customFormat="false" ht="15" hidden="false" customHeight="false" outlineLevel="0" collapsed="false">
      <c r="A193" s="13"/>
      <c r="B193" s="14"/>
      <c r="C193" s="14"/>
      <c r="D193" s="14"/>
      <c r="E193" s="15"/>
      <c r="F193" s="14"/>
      <c r="G193" s="19" t="str">
        <f aca="false">IF(E193="","",IF(F193="Y",E193*Settings!$B$16,0))</f>
        <v/>
      </c>
      <c r="H193" s="19" t="str">
        <f aca="false">IF(E193="","",E193+G193)</f>
        <v/>
      </c>
      <c r="I193" s="14"/>
      <c r="J193" s="14"/>
      <c r="K193" s="14"/>
      <c r="L193" s="14"/>
    </row>
    <row r="194" customFormat="false" ht="15" hidden="false" customHeight="false" outlineLevel="0" collapsed="false">
      <c r="A194" s="13"/>
      <c r="B194" s="14"/>
      <c r="C194" s="14"/>
      <c r="D194" s="14"/>
      <c r="E194" s="15"/>
      <c r="F194" s="14"/>
      <c r="G194" s="19" t="str">
        <f aca="false">IF(E194="","",IF(F194="Y",E194*Settings!$B$16,0))</f>
        <v/>
      </c>
      <c r="H194" s="19" t="str">
        <f aca="false">IF(E194="","",E194+G194)</f>
        <v/>
      </c>
      <c r="I194" s="14"/>
      <c r="J194" s="14"/>
      <c r="K194" s="14"/>
      <c r="L194" s="14"/>
    </row>
    <row r="195" customFormat="false" ht="15" hidden="false" customHeight="false" outlineLevel="0" collapsed="false">
      <c r="A195" s="13"/>
      <c r="B195" s="14"/>
      <c r="C195" s="14"/>
      <c r="D195" s="14"/>
      <c r="E195" s="15"/>
      <c r="F195" s="14"/>
      <c r="G195" s="19" t="str">
        <f aca="false">IF(E195="","",IF(F195="Y",E195*Settings!$B$16,0))</f>
        <v/>
      </c>
      <c r="H195" s="19" t="str">
        <f aca="false">IF(E195="","",E195+G195)</f>
        <v/>
      </c>
      <c r="I195" s="14"/>
      <c r="J195" s="14"/>
      <c r="K195" s="14"/>
      <c r="L195" s="14"/>
    </row>
    <row r="196" customFormat="false" ht="15" hidden="false" customHeight="false" outlineLevel="0" collapsed="false">
      <c r="A196" s="13"/>
      <c r="B196" s="14"/>
      <c r="C196" s="14"/>
      <c r="D196" s="14"/>
      <c r="E196" s="15"/>
      <c r="F196" s="14"/>
      <c r="G196" s="19" t="str">
        <f aca="false">IF(E196="","",IF(F196="Y",E196*Settings!$B$16,0))</f>
        <v/>
      </c>
      <c r="H196" s="19" t="str">
        <f aca="false">IF(E196="","",E196+G196)</f>
        <v/>
      </c>
      <c r="I196" s="14"/>
      <c r="J196" s="14"/>
      <c r="K196" s="14"/>
      <c r="L196" s="14"/>
    </row>
    <row r="197" customFormat="false" ht="15" hidden="false" customHeight="false" outlineLevel="0" collapsed="false">
      <c r="A197" s="13"/>
      <c r="B197" s="14"/>
      <c r="C197" s="14"/>
      <c r="D197" s="14"/>
      <c r="E197" s="15"/>
      <c r="F197" s="14"/>
      <c r="G197" s="19" t="str">
        <f aca="false">IF(E197="","",IF(F197="Y",E197*Settings!$B$16,0))</f>
        <v/>
      </c>
      <c r="H197" s="19" t="str">
        <f aca="false">IF(E197="","",E197+G197)</f>
        <v/>
      </c>
      <c r="I197" s="14"/>
      <c r="J197" s="14"/>
      <c r="K197" s="14"/>
      <c r="L197" s="14"/>
    </row>
    <row r="198" customFormat="false" ht="15" hidden="false" customHeight="false" outlineLevel="0" collapsed="false">
      <c r="A198" s="13"/>
      <c r="B198" s="14"/>
      <c r="C198" s="14"/>
      <c r="D198" s="14"/>
      <c r="E198" s="15"/>
      <c r="F198" s="14"/>
      <c r="G198" s="19" t="str">
        <f aca="false">IF(E198="","",IF(F198="Y",E198*Settings!$B$16,0))</f>
        <v/>
      </c>
      <c r="H198" s="19" t="str">
        <f aca="false">IF(E198="","",E198+G198)</f>
        <v/>
      </c>
      <c r="I198" s="14"/>
      <c r="J198" s="14"/>
      <c r="K198" s="14"/>
      <c r="L198" s="14"/>
    </row>
    <row r="199" customFormat="false" ht="15" hidden="false" customHeight="false" outlineLevel="0" collapsed="false">
      <c r="A199" s="13"/>
      <c r="B199" s="14"/>
      <c r="C199" s="14"/>
      <c r="D199" s="14"/>
      <c r="E199" s="15"/>
      <c r="F199" s="14"/>
      <c r="G199" s="19" t="str">
        <f aca="false">IF(E199="","",IF(F199="Y",E199*Settings!$B$16,0))</f>
        <v/>
      </c>
      <c r="H199" s="19" t="str">
        <f aca="false">IF(E199="","",E199+G199)</f>
        <v/>
      </c>
      <c r="I199" s="14"/>
      <c r="J199" s="14"/>
      <c r="K199" s="14"/>
      <c r="L199" s="14"/>
    </row>
    <row r="200" customFormat="false" ht="15" hidden="false" customHeight="false" outlineLevel="0" collapsed="false">
      <c r="A200" s="13"/>
      <c r="B200" s="14"/>
      <c r="C200" s="14"/>
      <c r="D200" s="14"/>
      <c r="E200" s="15"/>
      <c r="F200" s="14"/>
      <c r="G200" s="19" t="str">
        <f aca="false">IF(E200="","",IF(F200="Y",E200*Settings!$B$16,0))</f>
        <v/>
      </c>
      <c r="H200" s="19" t="str">
        <f aca="false">IF(E200="","",E200+G200)</f>
        <v/>
      </c>
      <c r="I200" s="14"/>
      <c r="J200" s="14"/>
      <c r="K200" s="14"/>
      <c r="L200" s="14"/>
    </row>
    <row r="201" customFormat="false" ht="15" hidden="false" customHeight="false" outlineLevel="0" collapsed="false">
      <c r="A201" s="13"/>
      <c r="B201" s="14"/>
      <c r="C201" s="14"/>
      <c r="D201" s="14"/>
      <c r="E201" s="15"/>
      <c r="F201" s="14"/>
      <c r="G201" s="19" t="str">
        <f aca="false">IF(E201="","",IF(F201="Y",E201*Settings!$B$16,0))</f>
        <v/>
      </c>
      <c r="H201" s="19" t="str">
        <f aca="false">IF(E201="","",E201+G201)</f>
        <v/>
      </c>
      <c r="I201" s="14"/>
      <c r="J201" s="14"/>
      <c r="K201" s="14"/>
      <c r="L201" s="14"/>
    </row>
    <row r="202" customFormat="false" ht="15" hidden="false" customHeight="false" outlineLevel="0" collapsed="false">
      <c r="A202" s="13"/>
      <c r="B202" s="14"/>
      <c r="C202" s="14"/>
      <c r="D202" s="14"/>
      <c r="E202" s="15"/>
      <c r="F202" s="14"/>
      <c r="G202" s="19" t="str">
        <f aca="false">IF(E202="","",IF(F202="Y",E202*Settings!$B$16,0))</f>
        <v/>
      </c>
      <c r="H202" s="19" t="str">
        <f aca="false">IF(E202="","",E202+G202)</f>
        <v/>
      </c>
      <c r="I202" s="14"/>
      <c r="J202" s="14"/>
      <c r="K202" s="14"/>
      <c r="L202" s="14"/>
    </row>
    <row r="203" customFormat="false" ht="15" hidden="false" customHeight="false" outlineLevel="0" collapsed="false">
      <c r="A203" s="13"/>
      <c r="B203" s="14"/>
      <c r="C203" s="14"/>
      <c r="D203" s="14"/>
      <c r="E203" s="15"/>
      <c r="F203" s="14"/>
      <c r="G203" s="19" t="str">
        <f aca="false">IF(E203="","",IF(F203="Y",E203*Settings!$B$16,0))</f>
        <v/>
      </c>
      <c r="H203" s="19" t="str">
        <f aca="false">IF(E203="","",E203+G203)</f>
        <v/>
      </c>
      <c r="I203" s="14"/>
      <c r="J203" s="14"/>
      <c r="K203" s="14"/>
      <c r="L203" s="14"/>
    </row>
    <row r="204" customFormat="false" ht="15" hidden="false" customHeight="false" outlineLevel="0" collapsed="false">
      <c r="A204" s="13"/>
      <c r="B204" s="14"/>
      <c r="C204" s="14"/>
      <c r="D204" s="14"/>
      <c r="E204" s="15"/>
      <c r="F204" s="14"/>
      <c r="G204" s="19" t="str">
        <f aca="false">IF(E204="","",IF(F204="Y",E204*Settings!$B$16,0))</f>
        <v/>
      </c>
      <c r="H204" s="19" t="str">
        <f aca="false">IF(E204="","",E204+G204)</f>
        <v/>
      </c>
      <c r="I204" s="14"/>
      <c r="J204" s="14"/>
      <c r="K204" s="14"/>
      <c r="L204" s="14"/>
    </row>
    <row r="205" customFormat="false" ht="15" hidden="false" customHeight="false" outlineLevel="0" collapsed="false">
      <c r="A205" s="13"/>
      <c r="B205" s="14"/>
      <c r="C205" s="14"/>
      <c r="D205" s="14"/>
      <c r="E205" s="15"/>
      <c r="F205" s="14"/>
      <c r="G205" s="19" t="str">
        <f aca="false">IF(E205="","",IF(F205="Y",E205*Settings!$B$16,0))</f>
        <v/>
      </c>
      <c r="H205" s="19" t="str">
        <f aca="false">IF(E205="","",E205+G205)</f>
        <v/>
      </c>
      <c r="I205" s="14"/>
      <c r="J205" s="14"/>
      <c r="K205" s="14"/>
      <c r="L205" s="14"/>
    </row>
    <row r="206" customFormat="false" ht="15" hidden="false" customHeight="false" outlineLevel="0" collapsed="false">
      <c r="A206" s="13"/>
      <c r="B206" s="14"/>
      <c r="C206" s="14"/>
      <c r="D206" s="14"/>
      <c r="E206" s="15"/>
      <c r="F206" s="14"/>
      <c r="G206" s="19" t="str">
        <f aca="false">IF(E206="","",IF(F206="Y",E206*Settings!$B$16,0))</f>
        <v/>
      </c>
      <c r="H206" s="19" t="str">
        <f aca="false">IF(E206="","",E206+G206)</f>
        <v/>
      </c>
      <c r="I206" s="14"/>
      <c r="J206" s="14"/>
      <c r="K206" s="14"/>
      <c r="L206" s="14"/>
    </row>
    <row r="207" customFormat="false" ht="15" hidden="false" customHeight="false" outlineLevel="0" collapsed="false">
      <c r="A207" s="13"/>
      <c r="B207" s="14"/>
      <c r="C207" s="14"/>
      <c r="D207" s="14"/>
      <c r="E207" s="15"/>
      <c r="F207" s="14"/>
      <c r="G207" s="19" t="str">
        <f aca="false">IF(E207="","",IF(F207="Y",E207*Settings!$B$16,0))</f>
        <v/>
      </c>
      <c r="H207" s="19" t="str">
        <f aca="false">IF(E207="","",E207+G207)</f>
        <v/>
      </c>
      <c r="I207" s="14"/>
      <c r="J207" s="14"/>
      <c r="K207" s="14"/>
      <c r="L207" s="14"/>
    </row>
    <row r="208" customFormat="false" ht="15" hidden="false" customHeight="false" outlineLevel="0" collapsed="false">
      <c r="A208" s="13"/>
      <c r="B208" s="14"/>
      <c r="C208" s="14"/>
      <c r="D208" s="14"/>
      <c r="E208" s="15"/>
      <c r="F208" s="14"/>
      <c r="G208" s="19" t="str">
        <f aca="false">IF(E208="","",IF(F208="Y",E208*Settings!$B$16,0))</f>
        <v/>
      </c>
      <c r="H208" s="19" t="str">
        <f aca="false">IF(E208="","",E208+G208)</f>
        <v/>
      </c>
      <c r="I208" s="14"/>
      <c r="J208" s="14"/>
      <c r="K208" s="14"/>
      <c r="L208" s="14"/>
    </row>
    <row r="209" customFormat="false" ht="15" hidden="false" customHeight="false" outlineLevel="0" collapsed="false">
      <c r="A209" s="13"/>
      <c r="B209" s="14"/>
      <c r="C209" s="14"/>
      <c r="D209" s="14"/>
      <c r="E209" s="15"/>
      <c r="F209" s="14"/>
      <c r="G209" s="19" t="str">
        <f aca="false">IF(E209="","",IF(F209="Y",E209*Settings!$B$16,0))</f>
        <v/>
      </c>
      <c r="H209" s="19" t="str">
        <f aca="false">IF(E209="","",E209+G209)</f>
        <v/>
      </c>
      <c r="I209" s="14"/>
      <c r="J209" s="14"/>
      <c r="K209" s="14"/>
      <c r="L209" s="14"/>
    </row>
    <row r="210" customFormat="false" ht="15" hidden="false" customHeight="false" outlineLevel="0" collapsed="false">
      <c r="A210" s="13"/>
      <c r="B210" s="14"/>
      <c r="C210" s="14"/>
      <c r="D210" s="14"/>
      <c r="E210" s="15"/>
      <c r="F210" s="14"/>
      <c r="G210" s="19" t="str">
        <f aca="false">IF(E210="","",IF(F210="Y",E210*Settings!$B$16,0))</f>
        <v/>
      </c>
      <c r="H210" s="19" t="str">
        <f aca="false">IF(E210="","",E210+G210)</f>
        <v/>
      </c>
      <c r="I210" s="14"/>
      <c r="J210" s="14"/>
      <c r="K210" s="14"/>
      <c r="L210" s="14"/>
    </row>
    <row r="211" customFormat="false" ht="15" hidden="false" customHeight="false" outlineLevel="0" collapsed="false">
      <c r="A211" s="13"/>
      <c r="B211" s="14"/>
      <c r="C211" s="14"/>
      <c r="D211" s="14"/>
      <c r="E211" s="15"/>
      <c r="F211" s="14"/>
      <c r="G211" s="19" t="str">
        <f aca="false">IF(E211="","",IF(F211="Y",E211*Settings!$B$16,0))</f>
        <v/>
      </c>
      <c r="H211" s="19" t="str">
        <f aca="false">IF(E211="","",E211+G211)</f>
        <v/>
      </c>
      <c r="I211" s="14"/>
      <c r="J211" s="14"/>
      <c r="K211" s="14"/>
      <c r="L211" s="14"/>
    </row>
    <row r="212" customFormat="false" ht="15" hidden="false" customHeight="false" outlineLevel="0" collapsed="false">
      <c r="A212" s="13"/>
      <c r="B212" s="14"/>
      <c r="C212" s="14"/>
      <c r="D212" s="14"/>
      <c r="E212" s="15"/>
      <c r="F212" s="14"/>
      <c r="G212" s="19" t="str">
        <f aca="false">IF(E212="","",IF(F212="Y",E212*Settings!$B$16,0))</f>
        <v/>
      </c>
      <c r="H212" s="19" t="str">
        <f aca="false">IF(E212="","",E212+G212)</f>
        <v/>
      </c>
      <c r="I212" s="14"/>
      <c r="J212" s="14"/>
      <c r="K212" s="14"/>
      <c r="L212" s="14"/>
    </row>
    <row r="213" customFormat="false" ht="15" hidden="false" customHeight="false" outlineLevel="0" collapsed="false">
      <c r="A213" s="13"/>
      <c r="B213" s="14"/>
      <c r="C213" s="14"/>
      <c r="D213" s="14"/>
      <c r="E213" s="15"/>
      <c r="F213" s="14"/>
      <c r="G213" s="19" t="str">
        <f aca="false">IF(E213="","",IF(F213="Y",E213*Settings!$B$16,0))</f>
        <v/>
      </c>
      <c r="H213" s="19" t="str">
        <f aca="false">IF(E213="","",E213+G213)</f>
        <v/>
      </c>
      <c r="I213" s="14"/>
      <c r="J213" s="14"/>
      <c r="K213" s="14"/>
      <c r="L213" s="14"/>
    </row>
    <row r="214" customFormat="false" ht="15" hidden="false" customHeight="false" outlineLevel="0" collapsed="false">
      <c r="A214" s="13"/>
      <c r="B214" s="14"/>
      <c r="C214" s="14"/>
      <c r="D214" s="14"/>
      <c r="E214" s="15"/>
      <c r="F214" s="14"/>
      <c r="G214" s="19" t="str">
        <f aca="false">IF(E214="","",IF(F214="Y",E214*Settings!$B$16,0))</f>
        <v/>
      </c>
      <c r="H214" s="19" t="str">
        <f aca="false">IF(E214="","",E214+G214)</f>
        <v/>
      </c>
      <c r="I214" s="14"/>
      <c r="J214" s="14"/>
      <c r="K214" s="14"/>
      <c r="L214" s="14"/>
    </row>
    <row r="215" customFormat="false" ht="15" hidden="false" customHeight="false" outlineLevel="0" collapsed="false">
      <c r="A215" s="13"/>
      <c r="B215" s="14"/>
      <c r="C215" s="14"/>
      <c r="D215" s="14"/>
      <c r="E215" s="15"/>
      <c r="F215" s="14"/>
      <c r="G215" s="19" t="str">
        <f aca="false">IF(E215="","",IF(F215="Y",E215*Settings!$B$16,0))</f>
        <v/>
      </c>
      <c r="H215" s="19" t="str">
        <f aca="false">IF(E215="","",E215+G215)</f>
        <v/>
      </c>
      <c r="I215" s="14"/>
      <c r="J215" s="14"/>
      <c r="K215" s="14"/>
      <c r="L215" s="14"/>
    </row>
    <row r="216" customFormat="false" ht="15" hidden="false" customHeight="false" outlineLevel="0" collapsed="false">
      <c r="A216" s="13"/>
      <c r="B216" s="14"/>
      <c r="C216" s="14"/>
      <c r="D216" s="14"/>
      <c r="E216" s="15"/>
      <c r="F216" s="14"/>
      <c r="G216" s="19" t="str">
        <f aca="false">IF(E216="","",IF(F216="Y",E216*Settings!$B$16,0))</f>
        <v/>
      </c>
      <c r="H216" s="19" t="str">
        <f aca="false">IF(E216="","",E216+G216)</f>
        <v/>
      </c>
      <c r="I216" s="14"/>
      <c r="J216" s="14"/>
      <c r="K216" s="14"/>
      <c r="L216" s="14"/>
    </row>
    <row r="217" customFormat="false" ht="15" hidden="false" customHeight="false" outlineLevel="0" collapsed="false">
      <c r="A217" s="13"/>
      <c r="B217" s="14"/>
      <c r="C217" s="14"/>
      <c r="D217" s="14"/>
      <c r="E217" s="15"/>
      <c r="F217" s="14"/>
      <c r="G217" s="19" t="str">
        <f aca="false">IF(E217="","",IF(F217="Y",E217*Settings!$B$16,0))</f>
        <v/>
      </c>
      <c r="H217" s="19" t="str">
        <f aca="false">IF(E217="","",E217+G217)</f>
        <v/>
      </c>
      <c r="I217" s="14"/>
      <c r="J217" s="14"/>
      <c r="K217" s="14"/>
      <c r="L217" s="14"/>
    </row>
    <row r="218" customFormat="false" ht="15" hidden="false" customHeight="false" outlineLevel="0" collapsed="false">
      <c r="A218" s="13"/>
      <c r="B218" s="14"/>
      <c r="C218" s="14"/>
      <c r="D218" s="14"/>
      <c r="E218" s="15"/>
      <c r="F218" s="14"/>
      <c r="G218" s="19" t="str">
        <f aca="false">IF(E218="","",IF(F218="Y",E218*Settings!$B$16,0))</f>
        <v/>
      </c>
      <c r="H218" s="19" t="str">
        <f aca="false">IF(E218="","",E218+G218)</f>
        <v/>
      </c>
      <c r="I218" s="14"/>
      <c r="J218" s="14"/>
      <c r="K218" s="14"/>
      <c r="L218" s="14"/>
    </row>
    <row r="219" customFormat="false" ht="15" hidden="false" customHeight="false" outlineLevel="0" collapsed="false">
      <c r="A219" s="13"/>
      <c r="B219" s="14"/>
      <c r="C219" s="14"/>
      <c r="D219" s="14"/>
      <c r="E219" s="15"/>
      <c r="F219" s="14"/>
      <c r="G219" s="19" t="str">
        <f aca="false">IF(E219="","",IF(F219="Y",E219*Settings!$B$16,0))</f>
        <v/>
      </c>
      <c r="H219" s="19" t="str">
        <f aca="false">IF(E219="","",E219+G219)</f>
        <v/>
      </c>
      <c r="I219" s="14"/>
      <c r="J219" s="14"/>
      <c r="K219" s="14"/>
      <c r="L219" s="14"/>
    </row>
    <row r="220" customFormat="false" ht="15" hidden="false" customHeight="false" outlineLevel="0" collapsed="false">
      <c r="A220" s="13"/>
      <c r="B220" s="14"/>
      <c r="C220" s="14"/>
      <c r="D220" s="14"/>
      <c r="E220" s="15"/>
      <c r="F220" s="14"/>
      <c r="G220" s="19" t="str">
        <f aca="false">IF(E220="","",IF(F220="Y",E220*Settings!$B$16,0))</f>
        <v/>
      </c>
      <c r="H220" s="19" t="str">
        <f aca="false">IF(E220="","",E220+G220)</f>
        <v/>
      </c>
      <c r="I220" s="14"/>
      <c r="J220" s="14"/>
      <c r="K220" s="14"/>
      <c r="L220" s="14"/>
    </row>
    <row r="221" customFormat="false" ht="15" hidden="false" customHeight="false" outlineLevel="0" collapsed="false">
      <c r="A221" s="13"/>
      <c r="B221" s="14"/>
      <c r="C221" s="14"/>
      <c r="D221" s="14"/>
      <c r="E221" s="15"/>
      <c r="F221" s="14"/>
      <c r="G221" s="19" t="str">
        <f aca="false">IF(E221="","",IF(F221="Y",E221*Settings!$B$16,0))</f>
        <v/>
      </c>
      <c r="H221" s="19" t="str">
        <f aca="false">IF(E221="","",E221+G221)</f>
        <v/>
      </c>
      <c r="I221" s="14"/>
      <c r="J221" s="14"/>
      <c r="K221" s="14"/>
      <c r="L221" s="14"/>
    </row>
    <row r="222" customFormat="false" ht="15" hidden="false" customHeight="false" outlineLevel="0" collapsed="false">
      <c r="A222" s="13"/>
      <c r="B222" s="14"/>
      <c r="C222" s="14"/>
      <c r="D222" s="14"/>
      <c r="E222" s="15"/>
      <c r="F222" s="14"/>
      <c r="G222" s="19" t="str">
        <f aca="false">IF(E222="","",IF(F222="Y",E222*Settings!$B$16,0))</f>
        <v/>
      </c>
      <c r="H222" s="19" t="str">
        <f aca="false">IF(E222="","",E222+G222)</f>
        <v/>
      </c>
      <c r="I222" s="14"/>
      <c r="J222" s="14"/>
      <c r="K222" s="14"/>
      <c r="L222" s="14"/>
    </row>
    <row r="223" customFormat="false" ht="15" hidden="false" customHeight="false" outlineLevel="0" collapsed="false">
      <c r="A223" s="13"/>
      <c r="B223" s="14"/>
      <c r="C223" s="14"/>
      <c r="D223" s="14"/>
      <c r="E223" s="15"/>
      <c r="F223" s="14"/>
      <c r="G223" s="19" t="str">
        <f aca="false">IF(E223="","",IF(F223="Y",E223*Settings!$B$16,0))</f>
        <v/>
      </c>
      <c r="H223" s="19" t="str">
        <f aca="false">IF(E223="","",E223+G223)</f>
        <v/>
      </c>
      <c r="I223" s="14"/>
      <c r="J223" s="14"/>
      <c r="K223" s="14"/>
      <c r="L223" s="14"/>
    </row>
    <row r="224" customFormat="false" ht="15" hidden="false" customHeight="false" outlineLevel="0" collapsed="false">
      <c r="A224" s="13"/>
      <c r="B224" s="14"/>
      <c r="C224" s="14"/>
      <c r="D224" s="14"/>
      <c r="E224" s="15"/>
      <c r="F224" s="14"/>
      <c r="G224" s="19" t="str">
        <f aca="false">IF(E224="","",IF(F224="Y",E224*Settings!$B$16,0))</f>
        <v/>
      </c>
      <c r="H224" s="19" t="str">
        <f aca="false">IF(E224="","",E224+G224)</f>
        <v/>
      </c>
      <c r="I224" s="14"/>
      <c r="J224" s="14"/>
      <c r="K224" s="14"/>
      <c r="L224" s="14"/>
    </row>
    <row r="225" customFormat="false" ht="15" hidden="false" customHeight="false" outlineLevel="0" collapsed="false">
      <c r="A225" s="13"/>
      <c r="B225" s="14"/>
      <c r="C225" s="14"/>
      <c r="D225" s="14"/>
      <c r="E225" s="15"/>
      <c r="F225" s="14"/>
      <c r="G225" s="19" t="str">
        <f aca="false">IF(E225="","",IF(F225="Y",E225*Settings!$B$16,0))</f>
        <v/>
      </c>
      <c r="H225" s="19" t="str">
        <f aca="false">IF(E225="","",E225+G225)</f>
        <v/>
      </c>
      <c r="I225" s="14"/>
      <c r="J225" s="14"/>
      <c r="K225" s="14"/>
      <c r="L225" s="14"/>
    </row>
    <row r="226" customFormat="false" ht="15" hidden="false" customHeight="false" outlineLevel="0" collapsed="false">
      <c r="A226" s="13"/>
      <c r="B226" s="14"/>
      <c r="C226" s="14"/>
      <c r="D226" s="14"/>
      <c r="E226" s="15"/>
      <c r="F226" s="14"/>
      <c r="G226" s="19" t="str">
        <f aca="false">IF(E226="","",IF(F226="Y",E226*Settings!$B$16,0))</f>
        <v/>
      </c>
      <c r="H226" s="19" t="str">
        <f aca="false">IF(E226="","",E226+G226)</f>
        <v/>
      </c>
      <c r="I226" s="14"/>
      <c r="J226" s="14"/>
      <c r="K226" s="14"/>
      <c r="L226" s="14"/>
    </row>
    <row r="227" customFormat="false" ht="15" hidden="false" customHeight="false" outlineLevel="0" collapsed="false">
      <c r="A227" s="13"/>
      <c r="B227" s="14"/>
      <c r="C227" s="14"/>
      <c r="D227" s="14"/>
      <c r="E227" s="15"/>
      <c r="F227" s="14"/>
      <c r="G227" s="19" t="str">
        <f aca="false">IF(E227="","",IF(F227="Y",E227*Settings!$B$16,0))</f>
        <v/>
      </c>
      <c r="H227" s="19" t="str">
        <f aca="false">IF(E227="","",E227+G227)</f>
        <v/>
      </c>
      <c r="I227" s="14"/>
      <c r="J227" s="14"/>
      <c r="K227" s="14"/>
      <c r="L227" s="14"/>
    </row>
    <row r="228" customFormat="false" ht="15" hidden="false" customHeight="false" outlineLevel="0" collapsed="false">
      <c r="A228" s="13"/>
      <c r="B228" s="14"/>
      <c r="C228" s="14"/>
      <c r="D228" s="14"/>
      <c r="E228" s="15"/>
      <c r="F228" s="14"/>
      <c r="G228" s="19" t="str">
        <f aca="false">IF(E228="","",IF(F228="Y",E228*Settings!$B$16,0))</f>
        <v/>
      </c>
      <c r="H228" s="19" t="str">
        <f aca="false">IF(E228="","",E228+G228)</f>
        <v/>
      </c>
      <c r="I228" s="14"/>
      <c r="J228" s="14"/>
      <c r="K228" s="14"/>
      <c r="L228" s="14"/>
    </row>
    <row r="229" customFormat="false" ht="15" hidden="false" customHeight="false" outlineLevel="0" collapsed="false">
      <c r="A229" s="13"/>
      <c r="B229" s="14"/>
      <c r="C229" s="14"/>
      <c r="D229" s="14"/>
      <c r="E229" s="15"/>
      <c r="F229" s="14"/>
      <c r="G229" s="19" t="str">
        <f aca="false">IF(E229="","",IF(F229="Y",E229*Settings!$B$16,0))</f>
        <v/>
      </c>
      <c r="H229" s="19" t="str">
        <f aca="false">IF(E229="","",E229+G229)</f>
        <v/>
      </c>
      <c r="I229" s="14"/>
      <c r="J229" s="14"/>
      <c r="K229" s="14"/>
      <c r="L229" s="14"/>
    </row>
    <row r="230" customFormat="false" ht="15" hidden="false" customHeight="false" outlineLevel="0" collapsed="false">
      <c r="A230" s="13"/>
      <c r="B230" s="14"/>
      <c r="C230" s="14"/>
      <c r="D230" s="14"/>
      <c r="E230" s="15"/>
      <c r="F230" s="14"/>
      <c r="G230" s="19" t="str">
        <f aca="false">IF(E230="","",IF(F230="Y",E230*Settings!$B$16,0))</f>
        <v/>
      </c>
      <c r="H230" s="19" t="str">
        <f aca="false">IF(E230="","",E230+G230)</f>
        <v/>
      </c>
      <c r="I230" s="14"/>
      <c r="J230" s="14"/>
      <c r="K230" s="14"/>
      <c r="L230" s="14"/>
    </row>
    <row r="231" customFormat="false" ht="15" hidden="false" customHeight="false" outlineLevel="0" collapsed="false">
      <c r="A231" s="13"/>
      <c r="B231" s="14"/>
      <c r="C231" s="14"/>
      <c r="D231" s="14"/>
      <c r="E231" s="15"/>
      <c r="F231" s="14"/>
      <c r="G231" s="19" t="str">
        <f aca="false">IF(E231="","",IF(F231="Y",E231*Settings!$B$16,0))</f>
        <v/>
      </c>
      <c r="H231" s="19" t="str">
        <f aca="false">IF(E231="","",E231+G231)</f>
        <v/>
      </c>
      <c r="I231" s="14"/>
      <c r="J231" s="14"/>
      <c r="K231" s="14"/>
      <c r="L231" s="14"/>
    </row>
    <row r="232" customFormat="false" ht="15" hidden="false" customHeight="false" outlineLevel="0" collapsed="false">
      <c r="A232" s="13"/>
      <c r="B232" s="14"/>
      <c r="C232" s="14"/>
      <c r="D232" s="14"/>
      <c r="E232" s="15"/>
      <c r="F232" s="14"/>
      <c r="G232" s="19" t="str">
        <f aca="false">IF(E232="","",IF(F232="Y",E232*Settings!$B$16,0))</f>
        <v/>
      </c>
      <c r="H232" s="19" t="str">
        <f aca="false">IF(E232="","",E232+G232)</f>
        <v/>
      </c>
      <c r="I232" s="14"/>
      <c r="J232" s="14"/>
      <c r="K232" s="14"/>
      <c r="L232" s="14"/>
    </row>
    <row r="233" customFormat="false" ht="15" hidden="false" customHeight="false" outlineLevel="0" collapsed="false">
      <c r="A233" s="13"/>
      <c r="B233" s="14"/>
      <c r="C233" s="14"/>
      <c r="D233" s="14"/>
      <c r="E233" s="15"/>
      <c r="F233" s="14"/>
      <c r="G233" s="19" t="str">
        <f aca="false">IF(E233="","",IF(F233="Y",E233*Settings!$B$16,0))</f>
        <v/>
      </c>
      <c r="H233" s="19" t="str">
        <f aca="false">IF(E233="","",E233+G233)</f>
        <v/>
      </c>
      <c r="I233" s="14"/>
      <c r="J233" s="14"/>
      <c r="K233" s="14"/>
      <c r="L233" s="14"/>
    </row>
    <row r="234" customFormat="false" ht="15" hidden="false" customHeight="false" outlineLevel="0" collapsed="false">
      <c r="A234" s="13"/>
      <c r="B234" s="14"/>
      <c r="C234" s="14"/>
      <c r="D234" s="14"/>
      <c r="E234" s="15"/>
      <c r="F234" s="14"/>
      <c r="G234" s="19" t="str">
        <f aca="false">IF(E234="","",IF(F234="Y",E234*Settings!$B$16,0))</f>
        <v/>
      </c>
      <c r="H234" s="19" t="str">
        <f aca="false">IF(E234="","",E234+G234)</f>
        <v/>
      </c>
      <c r="I234" s="14"/>
      <c r="J234" s="14"/>
      <c r="K234" s="14"/>
      <c r="L234" s="14"/>
    </row>
    <row r="235" customFormat="false" ht="15" hidden="false" customHeight="false" outlineLevel="0" collapsed="false">
      <c r="A235" s="13"/>
      <c r="B235" s="14"/>
      <c r="C235" s="14"/>
      <c r="D235" s="14"/>
      <c r="E235" s="15"/>
      <c r="F235" s="14"/>
      <c r="G235" s="19" t="str">
        <f aca="false">IF(E235="","",IF(F235="Y",E235*Settings!$B$16,0))</f>
        <v/>
      </c>
      <c r="H235" s="19" t="str">
        <f aca="false">IF(E235="","",E235+G235)</f>
        <v/>
      </c>
      <c r="I235" s="14"/>
      <c r="J235" s="14"/>
      <c r="K235" s="14"/>
      <c r="L235" s="14"/>
    </row>
    <row r="236" customFormat="false" ht="15" hidden="false" customHeight="false" outlineLevel="0" collapsed="false">
      <c r="A236" s="13"/>
      <c r="B236" s="14"/>
      <c r="C236" s="14"/>
      <c r="D236" s="14"/>
      <c r="E236" s="15"/>
      <c r="F236" s="14"/>
      <c r="G236" s="19" t="str">
        <f aca="false">IF(E236="","",IF(F236="Y",E236*Settings!$B$16,0))</f>
        <v/>
      </c>
      <c r="H236" s="19" t="str">
        <f aca="false">IF(E236="","",E236+G236)</f>
        <v/>
      </c>
      <c r="I236" s="14"/>
      <c r="J236" s="14"/>
      <c r="K236" s="14"/>
      <c r="L236" s="14"/>
    </row>
    <row r="237" customFormat="false" ht="15" hidden="false" customHeight="false" outlineLevel="0" collapsed="false">
      <c r="A237" s="13"/>
      <c r="B237" s="14"/>
      <c r="C237" s="14"/>
      <c r="D237" s="14"/>
      <c r="E237" s="15"/>
      <c r="F237" s="14"/>
      <c r="G237" s="19" t="str">
        <f aca="false">IF(E237="","",IF(F237="Y",E237*Settings!$B$16,0))</f>
        <v/>
      </c>
      <c r="H237" s="19" t="str">
        <f aca="false">IF(E237="","",E237+G237)</f>
        <v/>
      </c>
      <c r="I237" s="14"/>
      <c r="J237" s="14"/>
      <c r="K237" s="14"/>
      <c r="L237" s="14"/>
    </row>
    <row r="238" customFormat="false" ht="15" hidden="false" customHeight="false" outlineLevel="0" collapsed="false">
      <c r="A238" s="13"/>
      <c r="B238" s="14"/>
      <c r="C238" s="14"/>
      <c r="D238" s="14"/>
      <c r="E238" s="15"/>
      <c r="F238" s="14"/>
      <c r="G238" s="19" t="str">
        <f aca="false">IF(E238="","",IF(F238="Y",E238*Settings!$B$16,0))</f>
        <v/>
      </c>
      <c r="H238" s="19" t="str">
        <f aca="false">IF(E238="","",E238+G238)</f>
        <v/>
      </c>
      <c r="I238" s="14"/>
      <c r="J238" s="14"/>
      <c r="K238" s="14"/>
      <c r="L238" s="14"/>
    </row>
    <row r="239" customFormat="false" ht="15" hidden="false" customHeight="false" outlineLevel="0" collapsed="false">
      <c r="A239" s="13"/>
      <c r="B239" s="14"/>
      <c r="C239" s="14"/>
      <c r="D239" s="14"/>
      <c r="E239" s="15"/>
      <c r="F239" s="14"/>
      <c r="G239" s="19" t="str">
        <f aca="false">IF(E239="","",IF(F239="Y",E239*Settings!$B$16,0))</f>
        <v/>
      </c>
      <c r="H239" s="19" t="str">
        <f aca="false">IF(E239="","",E239+G239)</f>
        <v/>
      </c>
      <c r="I239" s="14"/>
      <c r="J239" s="14"/>
      <c r="K239" s="14"/>
      <c r="L239" s="14"/>
    </row>
    <row r="240" customFormat="false" ht="15" hidden="false" customHeight="false" outlineLevel="0" collapsed="false">
      <c r="A240" s="13"/>
      <c r="B240" s="14"/>
      <c r="C240" s="14"/>
      <c r="D240" s="14"/>
      <c r="E240" s="15"/>
      <c r="F240" s="14"/>
      <c r="G240" s="19" t="str">
        <f aca="false">IF(E240="","",IF(F240="Y",E240*Settings!$B$16,0))</f>
        <v/>
      </c>
      <c r="H240" s="19" t="str">
        <f aca="false">IF(E240="","",E240+G240)</f>
        <v/>
      </c>
      <c r="I240" s="14"/>
      <c r="J240" s="14"/>
      <c r="K240" s="14"/>
      <c r="L240" s="14"/>
    </row>
    <row r="241" customFormat="false" ht="15" hidden="false" customHeight="false" outlineLevel="0" collapsed="false">
      <c r="A241" s="13"/>
      <c r="B241" s="14"/>
      <c r="C241" s="14"/>
      <c r="D241" s="14"/>
      <c r="E241" s="15"/>
      <c r="F241" s="14"/>
      <c r="G241" s="19" t="str">
        <f aca="false">IF(E241="","",IF(F241="Y",E241*Settings!$B$16,0))</f>
        <v/>
      </c>
      <c r="H241" s="19" t="str">
        <f aca="false">IF(E241="","",E241+G241)</f>
        <v/>
      </c>
      <c r="I241" s="14"/>
      <c r="J241" s="14"/>
      <c r="K241" s="14"/>
      <c r="L241" s="14"/>
    </row>
    <row r="242" customFormat="false" ht="15" hidden="false" customHeight="false" outlineLevel="0" collapsed="false">
      <c r="A242" s="13"/>
      <c r="B242" s="14"/>
      <c r="C242" s="14"/>
      <c r="D242" s="14"/>
      <c r="E242" s="15"/>
      <c r="F242" s="14"/>
      <c r="G242" s="19" t="str">
        <f aca="false">IF(E242="","",IF(F242="Y",E242*Settings!$B$16,0))</f>
        <v/>
      </c>
      <c r="H242" s="19" t="str">
        <f aca="false">IF(E242="","",E242+G242)</f>
        <v/>
      </c>
      <c r="I242" s="14"/>
      <c r="J242" s="14"/>
      <c r="K242" s="14"/>
      <c r="L242" s="14"/>
    </row>
    <row r="243" customFormat="false" ht="15" hidden="false" customHeight="false" outlineLevel="0" collapsed="false">
      <c r="A243" s="13"/>
      <c r="B243" s="14"/>
      <c r="C243" s="14"/>
      <c r="D243" s="14"/>
      <c r="E243" s="15"/>
      <c r="F243" s="14"/>
      <c r="G243" s="19" t="str">
        <f aca="false">IF(E243="","",IF(F243="Y",E243*Settings!$B$16,0))</f>
        <v/>
      </c>
      <c r="H243" s="19" t="str">
        <f aca="false">IF(E243="","",E243+G243)</f>
        <v/>
      </c>
      <c r="I243" s="14"/>
      <c r="J243" s="14"/>
      <c r="K243" s="14"/>
      <c r="L243" s="14"/>
    </row>
    <row r="244" customFormat="false" ht="15" hidden="false" customHeight="false" outlineLevel="0" collapsed="false">
      <c r="A244" s="13"/>
      <c r="B244" s="14"/>
      <c r="C244" s="14"/>
      <c r="D244" s="14"/>
      <c r="E244" s="15"/>
      <c r="F244" s="14"/>
      <c r="G244" s="19" t="str">
        <f aca="false">IF(E244="","",IF(F244="Y",E244*Settings!$B$16,0))</f>
        <v/>
      </c>
      <c r="H244" s="19" t="str">
        <f aca="false">IF(E244="","",E244+G244)</f>
        <v/>
      </c>
      <c r="I244" s="14"/>
      <c r="J244" s="14"/>
      <c r="K244" s="14"/>
      <c r="L244" s="14"/>
    </row>
    <row r="245" customFormat="false" ht="15" hidden="false" customHeight="false" outlineLevel="0" collapsed="false">
      <c r="A245" s="13"/>
      <c r="B245" s="14"/>
      <c r="C245" s="14"/>
      <c r="D245" s="14"/>
      <c r="E245" s="15"/>
      <c r="F245" s="14"/>
      <c r="G245" s="19" t="str">
        <f aca="false">IF(E245="","",IF(F245="Y",E245*Settings!$B$16,0))</f>
        <v/>
      </c>
      <c r="H245" s="19" t="str">
        <f aca="false">IF(E245="","",E245+G245)</f>
        <v/>
      </c>
      <c r="I245" s="14"/>
      <c r="J245" s="14"/>
      <c r="K245" s="14"/>
      <c r="L245" s="14"/>
    </row>
    <row r="246" customFormat="false" ht="15" hidden="false" customHeight="false" outlineLevel="0" collapsed="false">
      <c r="A246" s="13"/>
      <c r="B246" s="14"/>
      <c r="C246" s="14"/>
      <c r="D246" s="14"/>
      <c r="E246" s="15"/>
      <c r="F246" s="14"/>
      <c r="G246" s="19" t="str">
        <f aca="false">IF(E246="","",IF(F246="Y",E246*Settings!$B$16,0))</f>
        <v/>
      </c>
      <c r="H246" s="19" t="str">
        <f aca="false">IF(E246="","",E246+G246)</f>
        <v/>
      </c>
      <c r="I246" s="14"/>
      <c r="J246" s="14"/>
      <c r="K246" s="14"/>
      <c r="L246" s="14"/>
    </row>
    <row r="247" customFormat="false" ht="15" hidden="false" customHeight="false" outlineLevel="0" collapsed="false">
      <c r="A247" s="13"/>
      <c r="B247" s="14"/>
      <c r="C247" s="14"/>
      <c r="D247" s="14"/>
      <c r="E247" s="15"/>
      <c r="F247" s="14"/>
      <c r="G247" s="19" t="str">
        <f aca="false">IF(E247="","",IF(F247="Y",E247*Settings!$B$16,0))</f>
        <v/>
      </c>
      <c r="H247" s="19" t="str">
        <f aca="false">IF(E247="","",E247+G247)</f>
        <v/>
      </c>
      <c r="I247" s="14"/>
      <c r="J247" s="14"/>
      <c r="K247" s="14"/>
      <c r="L247" s="14"/>
    </row>
    <row r="248" customFormat="false" ht="15" hidden="false" customHeight="false" outlineLevel="0" collapsed="false">
      <c r="A248" s="13"/>
      <c r="B248" s="14"/>
      <c r="C248" s="14"/>
      <c r="D248" s="14"/>
      <c r="E248" s="15"/>
      <c r="F248" s="14"/>
      <c r="G248" s="19" t="str">
        <f aca="false">IF(E248="","",IF(F248="Y",E248*Settings!$B$16,0))</f>
        <v/>
      </c>
      <c r="H248" s="19" t="str">
        <f aca="false">IF(E248="","",E248+G248)</f>
        <v/>
      </c>
      <c r="I248" s="14"/>
      <c r="J248" s="14"/>
      <c r="K248" s="14"/>
      <c r="L248" s="14"/>
    </row>
    <row r="249" customFormat="false" ht="15" hidden="false" customHeight="false" outlineLevel="0" collapsed="false">
      <c r="A249" s="13"/>
      <c r="B249" s="14"/>
      <c r="C249" s="14"/>
      <c r="D249" s="14"/>
      <c r="E249" s="15"/>
      <c r="F249" s="14"/>
      <c r="G249" s="19" t="str">
        <f aca="false">IF(E249="","",IF(F249="Y",E249*Settings!$B$16,0))</f>
        <v/>
      </c>
      <c r="H249" s="19" t="str">
        <f aca="false">IF(E249="","",E249+G249)</f>
        <v/>
      </c>
      <c r="I249" s="14"/>
      <c r="J249" s="14"/>
      <c r="K249" s="14"/>
      <c r="L249" s="14"/>
    </row>
    <row r="250" customFormat="false" ht="15" hidden="false" customHeight="false" outlineLevel="0" collapsed="false">
      <c r="A250" s="13"/>
      <c r="B250" s="14"/>
      <c r="C250" s="14"/>
      <c r="D250" s="14"/>
      <c r="E250" s="15"/>
      <c r="F250" s="14"/>
      <c r="G250" s="19" t="str">
        <f aca="false">IF(E250="","",IF(F250="Y",E250*Settings!$B$16,0))</f>
        <v/>
      </c>
      <c r="H250" s="19" t="str">
        <f aca="false">IF(E250="","",E250+G250)</f>
        <v/>
      </c>
      <c r="I250" s="14"/>
      <c r="J250" s="14"/>
      <c r="K250" s="14"/>
      <c r="L250" s="14"/>
    </row>
    <row r="251" customFormat="false" ht="15" hidden="false" customHeight="false" outlineLevel="0" collapsed="false">
      <c r="A251" s="13"/>
      <c r="B251" s="14"/>
      <c r="C251" s="14"/>
      <c r="D251" s="14"/>
      <c r="E251" s="15"/>
      <c r="F251" s="14"/>
      <c r="G251" s="19" t="str">
        <f aca="false">IF(E251="","",IF(F251="Y",E251*Settings!$B$16,0))</f>
        <v/>
      </c>
      <c r="H251" s="19" t="str">
        <f aca="false">IF(E251="","",E251+G251)</f>
        <v/>
      </c>
      <c r="I251" s="14"/>
      <c r="J251" s="14"/>
      <c r="K251" s="14"/>
      <c r="L251" s="14"/>
    </row>
    <row r="252" customFormat="false" ht="15" hidden="false" customHeight="false" outlineLevel="0" collapsed="false">
      <c r="A252" s="13"/>
      <c r="B252" s="14"/>
      <c r="C252" s="14"/>
      <c r="D252" s="14"/>
      <c r="E252" s="15"/>
      <c r="F252" s="14"/>
      <c r="G252" s="19" t="str">
        <f aca="false">IF(E252="","",IF(F252="Y",E252*Settings!$B$16,0))</f>
        <v/>
      </c>
      <c r="H252" s="19" t="str">
        <f aca="false">IF(E252="","",E252+G252)</f>
        <v/>
      </c>
      <c r="I252" s="14"/>
      <c r="J252" s="14"/>
      <c r="K252" s="14"/>
      <c r="L252" s="14"/>
    </row>
    <row r="253" customFormat="false" ht="15" hidden="false" customHeight="false" outlineLevel="0" collapsed="false">
      <c r="A253" s="13"/>
      <c r="B253" s="14"/>
      <c r="C253" s="14"/>
      <c r="D253" s="14"/>
      <c r="E253" s="15"/>
      <c r="F253" s="14"/>
      <c r="G253" s="19" t="str">
        <f aca="false">IF(E253="","",IF(F253="Y",E253*Settings!$B$16,0))</f>
        <v/>
      </c>
      <c r="H253" s="19" t="str">
        <f aca="false">IF(E253="","",E253+G253)</f>
        <v/>
      </c>
      <c r="I253" s="14"/>
      <c r="J253" s="14"/>
      <c r="K253" s="14"/>
      <c r="L253" s="14"/>
    </row>
    <row r="254" customFormat="false" ht="15" hidden="false" customHeight="false" outlineLevel="0" collapsed="false">
      <c r="A254" s="13"/>
      <c r="B254" s="14"/>
      <c r="C254" s="14"/>
      <c r="D254" s="14"/>
      <c r="E254" s="15"/>
      <c r="F254" s="14"/>
      <c r="G254" s="19" t="str">
        <f aca="false">IF(E254="","",IF(F254="Y",E254*Settings!$B$16,0))</f>
        <v/>
      </c>
      <c r="H254" s="19" t="str">
        <f aca="false">IF(E254="","",E254+G254)</f>
        <v/>
      </c>
      <c r="I254" s="14"/>
      <c r="J254" s="14"/>
      <c r="K254" s="14"/>
      <c r="L254" s="14"/>
    </row>
    <row r="255" customFormat="false" ht="15" hidden="false" customHeight="false" outlineLevel="0" collapsed="false">
      <c r="A255" s="13"/>
      <c r="B255" s="14"/>
      <c r="C255" s="14"/>
      <c r="D255" s="14"/>
      <c r="E255" s="15"/>
      <c r="F255" s="14"/>
      <c r="G255" s="19" t="str">
        <f aca="false">IF(E255="","",IF(F255="Y",E255*Settings!$B$16,0))</f>
        <v/>
      </c>
      <c r="H255" s="19" t="str">
        <f aca="false">IF(E255="","",E255+G255)</f>
        <v/>
      </c>
      <c r="I255" s="14"/>
      <c r="J255" s="14"/>
      <c r="K255" s="14"/>
      <c r="L255" s="14"/>
    </row>
    <row r="256" customFormat="false" ht="15" hidden="false" customHeight="false" outlineLevel="0" collapsed="false">
      <c r="A256" s="13"/>
      <c r="B256" s="14"/>
      <c r="C256" s="14"/>
      <c r="D256" s="14"/>
      <c r="E256" s="15"/>
      <c r="F256" s="14"/>
      <c r="G256" s="19" t="str">
        <f aca="false">IF(E256="","",IF(F256="Y",E256*Settings!$B$16,0))</f>
        <v/>
      </c>
      <c r="H256" s="19" t="str">
        <f aca="false">IF(E256="","",E256+G256)</f>
        <v/>
      </c>
      <c r="I256" s="14"/>
      <c r="J256" s="14"/>
      <c r="K256" s="14"/>
      <c r="L256" s="14"/>
    </row>
    <row r="257" customFormat="false" ht="15" hidden="false" customHeight="false" outlineLevel="0" collapsed="false">
      <c r="A257" s="13"/>
      <c r="B257" s="14"/>
      <c r="C257" s="14"/>
      <c r="D257" s="14"/>
      <c r="E257" s="15"/>
      <c r="F257" s="14"/>
      <c r="G257" s="19" t="str">
        <f aca="false">IF(E257="","",IF(F257="Y",E257*Settings!$B$16,0))</f>
        <v/>
      </c>
      <c r="H257" s="19" t="str">
        <f aca="false">IF(E257="","",E257+G257)</f>
        <v/>
      </c>
      <c r="I257" s="14"/>
      <c r="J257" s="14"/>
      <c r="K257" s="14"/>
      <c r="L257" s="14"/>
    </row>
    <row r="258" customFormat="false" ht="15" hidden="false" customHeight="false" outlineLevel="0" collapsed="false">
      <c r="A258" s="13"/>
      <c r="B258" s="14"/>
      <c r="C258" s="14"/>
      <c r="D258" s="14"/>
      <c r="E258" s="15"/>
      <c r="F258" s="14"/>
      <c r="G258" s="19" t="str">
        <f aca="false">IF(E258="","",IF(F258="Y",E258*Settings!$B$16,0))</f>
        <v/>
      </c>
      <c r="H258" s="19" t="str">
        <f aca="false">IF(E258="","",E258+G258)</f>
        <v/>
      </c>
      <c r="I258" s="14"/>
      <c r="J258" s="14"/>
      <c r="K258" s="14"/>
      <c r="L258" s="14"/>
    </row>
    <row r="259" customFormat="false" ht="15" hidden="false" customHeight="false" outlineLevel="0" collapsed="false">
      <c r="A259" s="13"/>
      <c r="B259" s="14"/>
      <c r="C259" s="14"/>
      <c r="D259" s="14"/>
      <c r="E259" s="15"/>
      <c r="F259" s="14"/>
      <c r="G259" s="19" t="str">
        <f aca="false">IF(E259="","",IF(F259="Y",E259*Settings!$B$16,0))</f>
        <v/>
      </c>
      <c r="H259" s="19" t="str">
        <f aca="false">IF(E259="","",E259+G259)</f>
        <v/>
      </c>
      <c r="I259" s="14"/>
      <c r="J259" s="14"/>
      <c r="K259" s="14"/>
      <c r="L259" s="14"/>
    </row>
    <row r="260" customFormat="false" ht="15" hidden="false" customHeight="false" outlineLevel="0" collapsed="false">
      <c r="A260" s="13"/>
      <c r="B260" s="14"/>
      <c r="C260" s="14"/>
      <c r="D260" s="14"/>
      <c r="E260" s="15"/>
      <c r="F260" s="14"/>
      <c r="G260" s="19" t="str">
        <f aca="false">IF(E260="","",IF(F260="Y",E260*Settings!$B$16,0))</f>
        <v/>
      </c>
      <c r="H260" s="19" t="str">
        <f aca="false">IF(E260="","",E260+G260)</f>
        <v/>
      </c>
      <c r="I260" s="14"/>
      <c r="J260" s="14"/>
      <c r="K260" s="14"/>
      <c r="L260" s="14"/>
    </row>
    <row r="261" customFormat="false" ht="15" hidden="false" customHeight="false" outlineLevel="0" collapsed="false">
      <c r="A261" s="13"/>
      <c r="B261" s="14"/>
      <c r="C261" s="14"/>
      <c r="D261" s="14"/>
      <c r="E261" s="15"/>
      <c r="F261" s="14"/>
      <c r="G261" s="19" t="str">
        <f aca="false">IF(E261="","",IF(F261="Y",E261*Settings!$B$16,0))</f>
        <v/>
      </c>
      <c r="H261" s="19" t="str">
        <f aca="false">IF(E261="","",E261+G261)</f>
        <v/>
      </c>
      <c r="I261" s="14"/>
      <c r="J261" s="14"/>
      <c r="K261" s="14"/>
      <c r="L261" s="14"/>
    </row>
    <row r="262" customFormat="false" ht="15" hidden="false" customHeight="false" outlineLevel="0" collapsed="false">
      <c r="A262" s="13"/>
      <c r="B262" s="14"/>
      <c r="C262" s="14"/>
      <c r="D262" s="14"/>
      <c r="E262" s="15"/>
      <c r="F262" s="14"/>
      <c r="G262" s="19" t="str">
        <f aca="false">IF(E262="","",IF(F262="Y",E262*Settings!$B$16,0))</f>
        <v/>
      </c>
      <c r="H262" s="19" t="str">
        <f aca="false">IF(E262="","",E262+G262)</f>
        <v/>
      </c>
      <c r="I262" s="14"/>
      <c r="J262" s="14"/>
      <c r="K262" s="14"/>
      <c r="L262" s="14"/>
    </row>
    <row r="263" customFormat="false" ht="15" hidden="false" customHeight="false" outlineLevel="0" collapsed="false">
      <c r="A263" s="13"/>
      <c r="B263" s="14"/>
      <c r="C263" s="14"/>
      <c r="D263" s="14"/>
      <c r="E263" s="15"/>
      <c r="F263" s="14"/>
      <c r="G263" s="19" t="str">
        <f aca="false">IF(E263="","",IF(F263="Y",E263*Settings!$B$16,0))</f>
        <v/>
      </c>
      <c r="H263" s="19" t="str">
        <f aca="false">IF(E263="","",E263+G263)</f>
        <v/>
      </c>
      <c r="I263" s="14"/>
      <c r="J263" s="14"/>
      <c r="K263" s="14"/>
      <c r="L263" s="14"/>
    </row>
    <row r="264" customFormat="false" ht="15" hidden="false" customHeight="false" outlineLevel="0" collapsed="false">
      <c r="A264" s="13"/>
      <c r="B264" s="14"/>
      <c r="C264" s="14"/>
      <c r="D264" s="14"/>
      <c r="E264" s="15"/>
      <c r="F264" s="14"/>
      <c r="G264" s="19" t="str">
        <f aca="false">IF(E264="","",IF(F264="Y",E264*Settings!$B$16,0))</f>
        <v/>
      </c>
      <c r="H264" s="19" t="str">
        <f aca="false">IF(E264="","",E264+G264)</f>
        <v/>
      </c>
      <c r="I264" s="14"/>
      <c r="J264" s="14"/>
      <c r="K264" s="14"/>
      <c r="L264" s="14"/>
    </row>
    <row r="265" customFormat="false" ht="15" hidden="false" customHeight="false" outlineLevel="0" collapsed="false">
      <c r="A265" s="13"/>
      <c r="B265" s="14"/>
      <c r="C265" s="14"/>
      <c r="D265" s="14"/>
      <c r="E265" s="15"/>
      <c r="F265" s="14"/>
      <c r="G265" s="19" t="str">
        <f aca="false">IF(E265="","",IF(F265="Y",E265*Settings!$B$16,0))</f>
        <v/>
      </c>
      <c r="H265" s="19" t="str">
        <f aca="false">IF(E265="","",E265+G265)</f>
        <v/>
      </c>
      <c r="I265" s="14"/>
      <c r="J265" s="14"/>
      <c r="K265" s="14"/>
      <c r="L265" s="14"/>
    </row>
    <row r="266" customFormat="false" ht="15" hidden="false" customHeight="false" outlineLevel="0" collapsed="false">
      <c r="A266" s="13"/>
      <c r="B266" s="14"/>
      <c r="C266" s="14"/>
      <c r="D266" s="14"/>
      <c r="E266" s="15"/>
      <c r="F266" s="14"/>
      <c r="G266" s="19" t="str">
        <f aca="false">IF(E266="","",IF(F266="Y",E266*Settings!$B$16,0))</f>
        <v/>
      </c>
      <c r="H266" s="19" t="str">
        <f aca="false">IF(E266="","",E266+G266)</f>
        <v/>
      </c>
      <c r="I266" s="14"/>
      <c r="J266" s="14"/>
      <c r="K266" s="14"/>
      <c r="L266" s="14"/>
    </row>
    <row r="267" customFormat="false" ht="15" hidden="false" customHeight="false" outlineLevel="0" collapsed="false">
      <c r="A267" s="13"/>
      <c r="B267" s="14"/>
      <c r="C267" s="14"/>
      <c r="D267" s="14"/>
      <c r="E267" s="15"/>
      <c r="F267" s="14"/>
      <c r="G267" s="19" t="str">
        <f aca="false">IF(E267="","",IF(F267="Y",E267*Settings!$B$16,0))</f>
        <v/>
      </c>
      <c r="H267" s="19" t="str">
        <f aca="false">IF(E267="","",E267+G267)</f>
        <v/>
      </c>
      <c r="I267" s="14"/>
      <c r="J267" s="14"/>
      <c r="K267" s="14"/>
      <c r="L267" s="14"/>
    </row>
    <row r="268" customFormat="false" ht="15" hidden="false" customHeight="false" outlineLevel="0" collapsed="false">
      <c r="A268" s="13"/>
      <c r="B268" s="14"/>
      <c r="C268" s="14"/>
      <c r="D268" s="14"/>
      <c r="E268" s="15"/>
      <c r="F268" s="14"/>
      <c r="G268" s="19" t="str">
        <f aca="false">IF(E268="","",IF(F268="Y",E268*Settings!$B$16,0))</f>
        <v/>
      </c>
      <c r="H268" s="19" t="str">
        <f aca="false">IF(E268="","",E268+G268)</f>
        <v/>
      </c>
      <c r="I268" s="14"/>
      <c r="J268" s="14"/>
      <c r="K268" s="14"/>
      <c r="L268" s="14"/>
    </row>
    <row r="269" customFormat="false" ht="15" hidden="false" customHeight="false" outlineLevel="0" collapsed="false">
      <c r="A269" s="13"/>
      <c r="B269" s="14"/>
      <c r="C269" s="14"/>
      <c r="D269" s="14"/>
      <c r="E269" s="15"/>
      <c r="F269" s="14"/>
      <c r="G269" s="19" t="str">
        <f aca="false">IF(E269="","",IF(F269="Y",E269*Settings!$B$16,0))</f>
        <v/>
      </c>
      <c r="H269" s="19" t="str">
        <f aca="false">IF(E269="","",E269+G269)</f>
        <v/>
      </c>
      <c r="I269" s="14"/>
      <c r="J269" s="14"/>
      <c r="K269" s="14"/>
      <c r="L269" s="14"/>
    </row>
    <row r="270" customFormat="false" ht="15" hidden="false" customHeight="false" outlineLevel="0" collapsed="false">
      <c r="A270" s="13"/>
      <c r="B270" s="14"/>
      <c r="C270" s="14"/>
      <c r="D270" s="14"/>
      <c r="E270" s="15"/>
      <c r="F270" s="14"/>
      <c r="G270" s="19" t="str">
        <f aca="false">IF(E270="","",IF(F270="Y",E270*Settings!$B$16,0))</f>
        <v/>
      </c>
      <c r="H270" s="19" t="str">
        <f aca="false">IF(E270="","",E270+G270)</f>
        <v/>
      </c>
      <c r="I270" s="14"/>
      <c r="J270" s="14"/>
      <c r="K270" s="14"/>
      <c r="L270" s="14"/>
    </row>
    <row r="271" customFormat="false" ht="15" hidden="false" customHeight="false" outlineLevel="0" collapsed="false">
      <c r="A271" s="13"/>
      <c r="B271" s="14"/>
      <c r="C271" s="14"/>
      <c r="D271" s="14"/>
      <c r="E271" s="15"/>
      <c r="F271" s="14"/>
      <c r="G271" s="19" t="str">
        <f aca="false">IF(E271="","",IF(F271="Y",E271*Settings!$B$16,0))</f>
        <v/>
      </c>
      <c r="H271" s="19" t="str">
        <f aca="false">IF(E271="","",E271+G271)</f>
        <v/>
      </c>
      <c r="I271" s="14"/>
      <c r="J271" s="14"/>
      <c r="K271" s="14"/>
      <c r="L271" s="14"/>
    </row>
    <row r="272" customFormat="false" ht="15" hidden="false" customHeight="false" outlineLevel="0" collapsed="false">
      <c r="A272" s="13"/>
      <c r="B272" s="14"/>
      <c r="C272" s="14"/>
      <c r="D272" s="14"/>
      <c r="E272" s="15"/>
      <c r="F272" s="14"/>
      <c r="G272" s="19" t="str">
        <f aca="false">IF(E272="","",IF(F272="Y",E272*Settings!$B$16,0))</f>
        <v/>
      </c>
      <c r="H272" s="19" t="str">
        <f aca="false">IF(E272="","",E272+G272)</f>
        <v/>
      </c>
      <c r="I272" s="14"/>
      <c r="J272" s="14"/>
      <c r="K272" s="14"/>
      <c r="L272" s="14"/>
    </row>
    <row r="273" customFormat="false" ht="15" hidden="false" customHeight="false" outlineLevel="0" collapsed="false">
      <c r="A273" s="13"/>
      <c r="B273" s="14"/>
      <c r="C273" s="14"/>
      <c r="D273" s="14"/>
      <c r="E273" s="15"/>
      <c r="F273" s="14"/>
      <c r="G273" s="19" t="str">
        <f aca="false">IF(E273="","",IF(F273="Y",E273*Settings!$B$16,0))</f>
        <v/>
      </c>
      <c r="H273" s="19" t="str">
        <f aca="false">IF(E273="","",E273+G273)</f>
        <v/>
      </c>
      <c r="I273" s="14"/>
      <c r="J273" s="14"/>
      <c r="K273" s="14"/>
      <c r="L273" s="14"/>
    </row>
    <row r="274" customFormat="false" ht="15" hidden="false" customHeight="false" outlineLevel="0" collapsed="false">
      <c r="A274" s="13"/>
      <c r="B274" s="14"/>
      <c r="C274" s="14"/>
      <c r="D274" s="14"/>
      <c r="E274" s="15"/>
      <c r="F274" s="14"/>
      <c r="G274" s="19" t="str">
        <f aca="false">IF(E274="","",IF(F274="Y",E274*Settings!$B$16,0))</f>
        <v/>
      </c>
      <c r="H274" s="19" t="str">
        <f aca="false">IF(E274="","",E274+G274)</f>
        <v/>
      </c>
      <c r="I274" s="14"/>
      <c r="J274" s="14"/>
      <c r="K274" s="14"/>
      <c r="L274" s="14"/>
    </row>
    <row r="275" customFormat="false" ht="15" hidden="false" customHeight="false" outlineLevel="0" collapsed="false">
      <c r="A275" s="13"/>
      <c r="B275" s="14"/>
      <c r="C275" s="14"/>
      <c r="D275" s="14"/>
      <c r="E275" s="15"/>
      <c r="F275" s="14"/>
      <c r="G275" s="19" t="str">
        <f aca="false">IF(E275="","",IF(F275="Y",E275*Settings!$B$16,0))</f>
        <v/>
      </c>
      <c r="H275" s="19" t="str">
        <f aca="false">IF(E275="","",E275+G275)</f>
        <v/>
      </c>
      <c r="I275" s="14"/>
      <c r="J275" s="14"/>
      <c r="K275" s="14"/>
      <c r="L275" s="14"/>
    </row>
    <row r="276" customFormat="false" ht="15" hidden="false" customHeight="false" outlineLevel="0" collapsed="false">
      <c r="A276" s="13"/>
      <c r="B276" s="14"/>
      <c r="C276" s="14"/>
      <c r="D276" s="14"/>
      <c r="E276" s="15"/>
      <c r="F276" s="14"/>
      <c r="G276" s="19" t="str">
        <f aca="false">IF(E276="","",IF(F276="Y",E276*Settings!$B$16,0))</f>
        <v/>
      </c>
      <c r="H276" s="19" t="str">
        <f aca="false">IF(E276="","",E276+G276)</f>
        <v/>
      </c>
      <c r="I276" s="14"/>
      <c r="J276" s="14"/>
      <c r="K276" s="14"/>
      <c r="L276" s="14"/>
    </row>
    <row r="277" customFormat="false" ht="15" hidden="false" customHeight="false" outlineLevel="0" collapsed="false">
      <c r="A277" s="13"/>
      <c r="B277" s="14"/>
      <c r="C277" s="14"/>
      <c r="D277" s="14"/>
      <c r="E277" s="15"/>
      <c r="F277" s="14"/>
      <c r="G277" s="19" t="str">
        <f aca="false">IF(E277="","",IF(F277="Y",E277*Settings!$B$16,0))</f>
        <v/>
      </c>
      <c r="H277" s="19" t="str">
        <f aca="false">IF(E277="","",E277+G277)</f>
        <v/>
      </c>
      <c r="I277" s="14"/>
      <c r="J277" s="14"/>
      <c r="K277" s="14"/>
      <c r="L277" s="14"/>
    </row>
    <row r="278" customFormat="false" ht="15" hidden="false" customHeight="false" outlineLevel="0" collapsed="false">
      <c r="A278" s="13"/>
      <c r="B278" s="14"/>
      <c r="C278" s="14"/>
      <c r="D278" s="14"/>
      <c r="E278" s="15"/>
      <c r="F278" s="14"/>
      <c r="G278" s="19" t="str">
        <f aca="false">IF(E278="","",IF(F278="Y",E278*Settings!$B$16,0))</f>
        <v/>
      </c>
      <c r="H278" s="19" t="str">
        <f aca="false">IF(E278="","",E278+G278)</f>
        <v/>
      </c>
      <c r="I278" s="14"/>
      <c r="J278" s="14"/>
      <c r="K278" s="14"/>
      <c r="L278" s="14"/>
    </row>
    <row r="279" customFormat="false" ht="15" hidden="false" customHeight="false" outlineLevel="0" collapsed="false">
      <c r="A279" s="13"/>
      <c r="B279" s="14"/>
      <c r="C279" s="14"/>
      <c r="D279" s="14"/>
      <c r="E279" s="15"/>
      <c r="F279" s="14"/>
      <c r="G279" s="19" t="str">
        <f aca="false">IF(E279="","",IF(F279="Y",E279*Settings!$B$16,0))</f>
        <v/>
      </c>
      <c r="H279" s="19" t="str">
        <f aca="false">IF(E279="","",E279+G279)</f>
        <v/>
      </c>
      <c r="I279" s="14"/>
      <c r="J279" s="14"/>
      <c r="K279" s="14"/>
      <c r="L279" s="14"/>
    </row>
    <row r="280" customFormat="false" ht="15" hidden="false" customHeight="false" outlineLevel="0" collapsed="false">
      <c r="A280" s="13"/>
      <c r="B280" s="14"/>
      <c r="C280" s="14"/>
      <c r="D280" s="14"/>
      <c r="E280" s="15"/>
      <c r="F280" s="14"/>
      <c r="G280" s="19" t="str">
        <f aca="false">IF(E280="","",IF(F280="Y",E280*Settings!$B$16,0))</f>
        <v/>
      </c>
      <c r="H280" s="19" t="str">
        <f aca="false">IF(E280="","",E280+G280)</f>
        <v/>
      </c>
      <c r="I280" s="14"/>
      <c r="J280" s="14"/>
      <c r="K280" s="14"/>
      <c r="L280" s="14"/>
    </row>
    <row r="281" customFormat="false" ht="15" hidden="false" customHeight="false" outlineLevel="0" collapsed="false">
      <c r="A281" s="13"/>
      <c r="B281" s="14"/>
      <c r="C281" s="14"/>
      <c r="D281" s="14"/>
      <c r="E281" s="15"/>
      <c r="F281" s="14"/>
      <c r="G281" s="19" t="str">
        <f aca="false">IF(E281="","",IF(F281="Y",E281*Settings!$B$16,0))</f>
        <v/>
      </c>
      <c r="H281" s="19" t="str">
        <f aca="false">IF(E281="","",E281+G281)</f>
        <v/>
      </c>
      <c r="I281" s="14"/>
      <c r="J281" s="14"/>
      <c r="K281" s="14"/>
      <c r="L281" s="14"/>
    </row>
    <row r="282" customFormat="false" ht="15" hidden="false" customHeight="false" outlineLevel="0" collapsed="false">
      <c r="A282" s="13"/>
      <c r="B282" s="14"/>
      <c r="C282" s="14"/>
      <c r="D282" s="14"/>
      <c r="E282" s="15"/>
      <c r="F282" s="14"/>
      <c r="G282" s="19" t="str">
        <f aca="false">IF(E282="","",IF(F282="Y",E282*Settings!$B$16,0))</f>
        <v/>
      </c>
      <c r="H282" s="19" t="str">
        <f aca="false">IF(E282="","",E282+G282)</f>
        <v/>
      </c>
      <c r="I282" s="14"/>
      <c r="J282" s="14"/>
      <c r="K282" s="14"/>
      <c r="L282" s="14"/>
    </row>
    <row r="283" customFormat="false" ht="15" hidden="false" customHeight="false" outlineLevel="0" collapsed="false">
      <c r="A283" s="13"/>
      <c r="B283" s="14"/>
      <c r="C283" s="14"/>
      <c r="D283" s="14"/>
      <c r="E283" s="15"/>
      <c r="F283" s="14"/>
      <c r="G283" s="19" t="str">
        <f aca="false">IF(E283="","",IF(F283="Y",E283*Settings!$B$16,0))</f>
        <v/>
      </c>
      <c r="H283" s="19" t="str">
        <f aca="false">IF(E283="","",E283+G283)</f>
        <v/>
      </c>
      <c r="I283" s="14"/>
      <c r="J283" s="14"/>
      <c r="K283" s="14"/>
      <c r="L283" s="14"/>
    </row>
    <row r="284" customFormat="false" ht="15" hidden="false" customHeight="false" outlineLevel="0" collapsed="false">
      <c r="A284" s="13"/>
      <c r="B284" s="14"/>
      <c r="C284" s="14"/>
      <c r="D284" s="14"/>
      <c r="E284" s="15"/>
      <c r="F284" s="14"/>
      <c r="G284" s="19" t="str">
        <f aca="false">IF(E284="","",IF(F284="Y",E284*Settings!$B$16,0))</f>
        <v/>
      </c>
      <c r="H284" s="19" t="str">
        <f aca="false">IF(E284="","",E284+G284)</f>
        <v/>
      </c>
      <c r="I284" s="14"/>
      <c r="J284" s="14"/>
      <c r="K284" s="14"/>
      <c r="L284" s="14"/>
    </row>
    <row r="285" customFormat="false" ht="15" hidden="false" customHeight="false" outlineLevel="0" collapsed="false">
      <c r="A285" s="13"/>
      <c r="B285" s="14"/>
      <c r="C285" s="14"/>
      <c r="D285" s="14"/>
      <c r="E285" s="15"/>
      <c r="F285" s="14"/>
      <c r="G285" s="19" t="str">
        <f aca="false">IF(E285="","",IF(F285="Y",E285*Settings!$B$16,0))</f>
        <v/>
      </c>
      <c r="H285" s="19" t="str">
        <f aca="false">IF(E285="","",E285+G285)</f>
        <v/>
      </c>
      <c r="I285" s="14"/>
      <c r="J285" s="14"/>
      <c r="K285" s="14"/>
      <c r="L285" s="14"/>
    </row>
    <row r="286" customFormat="false" ht="15" hidden="false" customHeight="false" outlineLevel="0" collapsed="false">
      <c r="A286" s="13"/>
      <c r="B286" s="14"/>
      <c r="C286" s="14"/>
      <c r="D286" s="14"/>
      <c r="E286" s="15"/>
      <c r="F286" s="14"/>
      <c r="G286" s="19" t="str">
        <f aca="false">IF(E286="","",IF(F286="Y",E286*Settings!$B$16,0))</f>
        <v/>
      </c>
      <c r="H286" s="19" t="str">
        <f aca="false">IF(E286="","",E286+G286)</f>
        <v/>
      </c>
      <c r="I286" s="14"/>
      <c r="J286" s="14"/>
      <c r="K286" s="14"/>
      <c r="L286" s="14"/>
    </row>
    <row r="287" customFormat="false" ht="15" hidden="false" customHeight="false" outlineLevel="0" collapsed="false">
      <c r="A287" s="13"/>
      <c r="B287" s="14"/>
      <c r="C287" s="14"/>
      <c r="D287" s="14"/>
      <c r="E287" s="15"/>
      <c r="F287" s="14"/>
      <c r="G287" s="19" t="str">
        <f aca="false">IF(E287="","",IF(F287="Y",E287*Settings!$B$16,0))</f>
        <v/>
      </c>
      <c r="H287" s="19" t="str">
        <f aca="false">IF(E287="","",E287+G287)</f>
        <v/>
      </c>
      <c r="I287" s="14"/>
      <c r="J287" s="14"/>
      <c r="K287" s="14"/>
      <c r="L287" s="14"/>
    </row>
    <row r="288" customFormat="false" ht="15" hidden="false" customHeight="false" outlineLevel="0" collapsed="false">
      <c r="A288" s="13"/>
      <c r="B288" s="14"/>
      <c r="C288" s="14"/>
      <c r="D288" s="14"/>
      <c r="E288" s="15"/>
      <c r="F288" s="14"/>
      <c r="G288" s="19" t="str">
        <f aca="false">IF(E288="","",IF(F288="Y",E288*Settings!$B$16,0))</f>
        <v/>
      </c>
      <c r="H288" s="19" t="str">
        <f aca="false">IF(E288="","",E288+G288)</f>
        <v/>
      </c>
      <c r="I288" s="14"/>
      <c r="J288" s="14"/>
      <c r="K288" s="14"/>
      <c r="L288" s="14"/>
    </row>
    <row r="289" customFormat="false" ht="15" hidden="false" customHeight="false" outlineLevel="0" collapsed="false">
      <c r="A289" s="13"/>
      <c r="B289" s="14"/>
      <c r="C289" s="14"/>
      <c r="D289" s="14"/>
      <c r="E289" s="15"/>
      <c r="F289" s="14"/>
      <c r="G289" s="19" t="str">
        <f aca="false">IF(E289="","",IF(F289="Y",E289*Settings!$B$16,0))</f>
        <v/>
      </c>
      <c r="H289" s="19" t="str">
        <f aca="false">IF(E289="","",E289+G289)</f>
        <v/>
      </c>
      <c r="I289" s="14"/>
      <c r="J289" s="14"/>
      <c r="K289" s="14"/>
      <c r="L289" s="14"/>
    </row>
    <row r="290" customFormat="false" ht="15" hidden="false" customHeight="false" outlineLevel="0" collapsed="false">
      <c r="A290" s="13"/>
      <c r="B290" s="14"/>
      <c r="C290" s="14"/>
      <c r="D290" s="14"/>
      <c r="E290" s="15"/>
      <c r="F290" s="14"/>
      <c r="G290" s="19" t="str">
        <f aca="false">IF(E290="","",IF(F290="Y",E290*Settings!$B$16,0))</f>
        <v/>
      </c>
      <c r="H290" s="19" t="str">
        <f aca="false">IF(E290="","",E290+G290)</f>
        <v/>
      </c>
      <c r="I290" s="14"/>
      <c r="J290" s="14"/>
      <c r="K290" s="14"/>
      <c r="L290" s="14"/>
    </row>
    <row r="291" customFormat="false" ht="15" hidden="false" customHeight="false" outlineLevel="0" collapsed="false">
      <c r="A291" s="13"/>
      <c r="B291" s="14"/>
      <c r="C291" s="14"/>
      <c r="D291" s="14"/>
      <c r="E291" s="15"/>
      <c r="F291" s="14"/>
      <c r="G291" s="19" t="str">
        <f aca="false">IF(E291="","",IF(F291="Y",E291*Settings!$B$16,0))</f>
        <v/>
      </c>
      <c r="H291" s="19" t="str">
        <f aca="false">IF(E291="","",E291+G291)</f>
        <v/>
      </c>
      <c r="I291" s="14"/>
      <c r="J291" s="14"/>
      <c r="K291" s="14"/>
      <c r="L291" s="14"/>
    </row>
    <row r="292" customFormat="false" ht="15" hidden="false" customHeight="false" outlineLevel="0" collapsed="false">
      <c r="A292" s="13"/>
      <c r="B292" s="14"/>
      <c r="C292" s="14"/>
      <c r="D292" s="14"/>
      <c r="E292" s="15"/>
      <c r="F292" s="14"/>
      <c r="G292" s="19" t="str">
        <f aca="false">IF(E292="","",IF(F292="Y",E292*Settings!$B$16,0))</f>
        <v/>
      </c>
      <c r="H292" s="19" t="str">
        <f aca="false">IF(E292="","",E292+G292)</f>
        <v/>
      </c>
      <c r="I292" s="14"/>
      <c r="J292" s="14"/>
      <c r="K292" s="14"/>
      <c r="L292" s="14"/>
    </row>
    <row r="293" customFormat="false" ht="15" hidden="false" customHeight="false" outlineLevel="0" collapsed="false">
      <c r="A293" s="13"/>
      <c r="B293" s="14"/>
      <c r="C293" s="14"/>
      <c r="D293" s="14"/>
      <c r="E293" s="15"/>
      <c r="F293" s="14"/>
      <c r="G293" s="19" t="str">
        <f aca="false">IF(E293="","",IF(F293="Y",E293*Settings!$B$16,0))</f>
        <v/>
      </c>
      <c r="H293" s="19" t="str">
        <f aca="false">IF(E293="","",E293+G293)</f>
        <v/>
      </c>
      <c r="I293" s="14"/>
      <c r="J293" s="14"/>
      <c r="K293" s="14"/>
      <c r="L293" s="14"/>
    </row>
    <row r="294" customFormat="false" ht="15" hidden="false" customHeight="false" outlineLevel="0" collapsed="false">
      <c r="A294" s="13"/>
      <c r="B294" s="14"/>
      <c r="C294" s="14"/>
      <c r="D294" s="14"/>
      <c r="E294" s="15"/>
      <c r="F294" s="14"/>
      <c r="G294" s="19" t="str">
        <f aca="false">IF(E294="","",IF(F294="Y",E294*Settings!$B$16,0))</f>
        <v/>
      </c>
      <c r="H294" s="19" t="str">
        <f aca="false">IF(E294="","",E294+G294)</f>
        <v/>
      </c>
      <c r="I294" s="14"/>
      <c r="J294" s="14"/>
      <c r="K294" s="14"/>
      <c r="L294" s="14"/>
    </row>
    <row r="295" customFormat="false" ht="15" hidden="false" customHeight="false" outlineLevel="0" collapsed="false">
      <c r="A295" s="13"/>
      <c r="B295" s="14"/>
      <c r="C295" s="14"/>
      <c r="D295" s="14"/>
      <c r="E295" s="15"/>
      <c r="F295" s="14"/>
      <c r="G295" s="19" t="str">
        <f aca="false">IF(E295="","",IF(F295="Y",E295*Settings!$B$16,0))</f>
        <v/>
      </c>
      <c r="H295" s="19" t="str">
        <f aca="false">IF(E295="","",E295+G295)</f>
        <v/>
      </c>
      <c r="I295" s="14"/>
      <c r="J295" s="14"/>
      <c r="K295" s="14"/>
      <c r="L295" s="14"/>
    </row>
    <row r="296" customFormat="false" ht="15" hidden="false" customHeight="false" outlineLevel="0" collapsed="false">
      <c r="A296" s="13"/>
      <c r="B296" s="14"/>
      <c r="C296" s="14"/>
      <c r="D296" s="14"/>
      <c r="E296" s="15"/>
      <c r="F296" s="14"/>
      <c r="G296" s="19" t="str">
        <f aca="false">IF(E296="","",IF(F296="Y",E296*Settings!$B$16,0))</f>
        <v/>
      </c>
      <c r="H296" s="19" t="str">
        <f aca="false">IF(E296="","",E296+G296)</f>
        <v/>
      </c>
      <c r="I296" s="14"/>
      <c r="J296" s="14"/>
      <c r="K296" s="14"/>
      <c r="L296" s="14"/>
    </row>
    <row r="297" customFormat="false" ht="15" hidden="false" customHeight="false" outlineLevel="0" collapsed="false">
      <c r="A297" s="13"/>
      <c r="B297" s="14"/>
      <c r="C297" s="14"/>
      <c r="D297" s="14"/>
      <c r="E297" s="15"/>
      <c r="F297" s="14"/>
      <c r="G297" s="19" t="str">
        <f aca="false">IF(E297="","",IF(F297="Y",E297*Settings!$B$16,0))</f>
        <v/>
      </c>
      <c r="H297" s="19" t="str">
        <f aca="false">IF(E297="","",E297+G297)</f>
        <v/>
      </c>
      <c r="I297" s="14"/>
      <c r="J297" s="14"/>
      <c r="K297" s="14"/>
      <c r="L297" s="14"/>
    </row>
    <row r="298" customFormat="false" ht="15" hidden="false" customHeight="false" outlineLevel="0" collapsed="false">
      <c r="A298" s="13"/>
      <c r="B298" s="14"/>
      <c r="C298" s="14"/>
      <c r="D298" s="14"/>
      <c r="E298" s="15"/>
      <c r="F298" s="14"/>
      <c r="G298" s="19" t="str">
        <f aca="false">IF(E298="","",IF(F298="Y",E298*Settings!$B$16,0))</f>
        <v/>
      </c>
      <c r="H298" s="19" t="str">
        <f aca="false">IF(E298="","",E298+G298)</f>
        <v/>
      </c>
      <c r="I298" s="14"/>
      <c r="J298" s="14"/>
      <c r="K298" s="14"/>
      <c r="L298" s="14"/>
    </row>
    <row r="299" customFormat="false" ht="15" hidden="false" customHeight="false" outlineLevel="0" collapsed="false">
      <c r="A299" s="13"/>
      <c r="B299" s="14"/>
      <c r="C299" s="14"/>
      <c r="D299" s="14"/>
      <c r="E299" s="15"/>
      <c r="F299" s="14"/>
      <c r="G299" s="19" t="str">
        <f aca="false">IF(E299="","",IF(F299="Y",E299*Settings!$B$16,0))</f>
        <v/>
      </c>
      <c r="H299" s="19" t="str">
        <f aca="false">IF(E299="","",E299+G299)</f>
        <v/>
      </c>
      <c r="I299" s="14"/>
      <c r="J299" s="14"/>
      <c r="K299" s="14"/>
      <c r="L299" s="14"/>
    </row>
    <row r="300" customFormat="false" ht="15" hidden="false" customHeight="false" outlineLevel="0" collapsed="false">
      <c r="A300" s="13"/>
      <c r="B300" s="14"/>
      <c r="C300" s="14"/>
      <c r="D300" s="14"/>
      <c r="E300" s="15"/>
      <c r="F300" s="14"/>
      <c r="G300" s="19" t="str">
        <f aca="false">IF(E300="","",IF(F300="Y",E300*Settings!$B$16,0))</f>
        <v/>
      </c>
      <c r="H300" s="19" t="str">
        <f aca="false">IF(E300="","",E300+G300)</f>
        <v/>
      </c>
      <c r="I300" s="14"/>
      <c r="J300" s="14"/>
      <c r="K300" s="14"/>
      <c r="L300" s="14"/>
    </row>
    <row r="301" customFormat="false" ht="15" hidden="false" customHeight="false" outlineLevel="0" collapsed="false">
      <c r="A301" s="13"/>
      <c r="B301" s="14"/>
      <c r="C301" s="14"/>
      <c r="D301" s="14"/>
      <c r="E301" s="15"/>
      <c r="F301" s="14"/>
      <c r="G301" s="19" t="str">
        <f aca="false">IF(E301="","",IF(F301="Y",E301*Settings!$B$16,0))</f>
        <v/>
      </c>
      <c r="H301" s="19" t="str">
        <f aca="false">IF(E301="","",E301+G301)</f>
        <v/>
      </c>
      <c r="I301" s="14"/>
      <c r="J301" s="14"/>
      <c r="K301" s="14"/>
      <c r="L301" s="14"/>
    </row>
    <row r="302" customFormat="false" ht="15" hidden="false" customHeight="false" outlineLevel="0" collapsed="false">
      <c r="A302" s="13"/>
      <c r="B302" s="14"/>
      <c r="C302" s="14"/>
      <c r="D302" s="14"/>
      <c r="E302" s="15"/>
      <c r="F302" s="14"/>
      <c r="G302" s="19" t="str">
        <f aca="false">IF(E302="","",IF(F302="Y",E302*Settings!$B$16,0))</f>
        <v/>
      </c>
      <c r="H302" s="19" t="str">
        <f aca="false">IF(E302="","",E302+G302)</f>
        <v/>
      </c>
      <c r="I302" s="14"/>
      <c r="J302" s="14"/>
      <c r="K302" s="14"/>
      <c r="L302" s="14"/>
    </row>
    <row r="303" customFormat="false" ht="15" hidden="false" customHeight="false" outlineLevel="0" collapsed="false">
      <c r="A303" s="13"/>
      <c r="B303" s="14"/>
      <c r="C303" s="14"/>
      <c r="D303" s="14"/>
      <c r="E303" s="15"/>
      <c r="F303" s="14"/>
      <c r="G303" s="19" t="str">
        <f aca="false">IF(E303="","",IF(F303="Y",E303*Settings!$B$16,0))</f>
        <v/>
      </c>
      <c r="H303" s="19" t="str">
        <f aca="false">IF(E303="","",E303+G303)</f>
        <v/>
      </c>
      <c r="I303" s="14"/>
      <c r="J303" s="14"/>
      <c r="K303" s="14"/>
      <c r="L303" s="14"/>
    </row>
    <row r="304" customFormat="false" ht="15" hidden="false" customHeight="false" outlineLevel="0" collapsed="false">
      <c r="A304" s="13"/>
      <c r="B304" s="14"/>
      <c r="C304" s="14"/>
      <c r="D304" s="14"/>
      <c r="E304" s="15"/>
      <c r="F304" s="14"/>
      <c r="G304" s="19" t="str">
        <f aca="false">IF(E304="","",IF(F304="Y",E304*Settings!$B$16,0))</f>
        <v/>
      </c>
      <c r="H304" s="19" t="str">
        <f aca="false">IF(E304="","",E304+G304)</f>
        <v/>
      </c>
      <c r="I304" s="14"/>
      <c r="J304" s="14"/>
      <c r="K304" s="14"/>
      <c r="L304" s="14"/>
    </row>
    <row r="305" customFormat="false" ht="15" hidden="false" customHeight="false" outlineLevel="0" collapsed="false">
      <c r="A305" s="13"/>
      <c r="B305" s="14"/>
      <c r="C305" s="14"/>
      <c r="D305" s="14"/>
      <c r="E305" s="15"/>
      <c r="F305" s="14"/>
      <c r="G305" s="19" t="str">
        <f aca="false">IF(E305="","",IF(F305="Y",E305*Settings!$B$16,0))</f>
        <v/>
      </c>
      <c r="H305" s="19" t="str">
        <f aca="false">IF(E305="","",E305+G305)</f>
        <v/>
      </c>
      <c r="I305" s="14"/>
      <c r="J305" s="14"/>
      <c r="K305" s="14"/>
      <c r="L305" s="14"/>
    </row>
    <row r="306" customFormat="false" ht="15" hidden="false" customHeight="false" outlineLevel="0" collapsed="false">
      <c r="A306" s="13"/>
      <c r="B306" s="14"/>
      <c r="C306" s="14"/>
      <c r="D306" s="14"/>
      <c r="E306" s="15"/>
      <c r="F306" s="14"/>
      <c r="G306" s="19" t="str">
        <f aca="false">IF(E306="","",IF(F306="Y",E306*Settings!$B$16,0))</f>
        <v/>
      </c>
      <c r="H306" s="19" t="str">
        <f aca="false">IF(E306="","",E306+G306)</f>
        <v/>
      </c>
      <c r="I306" s="14"/>
      <c r="J306" s="14"/>
      <c r="K306" s="14"/>
      <c r="L306" s="14"/>
    </row>
    <row r="307" customFormat="false" ht="15" hidden="false" customHeight="false" outlineLevel="0" collapsed="false">
      <c r="A307" s="13"/>
      <c r="B307" s="14"/>
      <c r="C307" s="14"/>
      <c r="D307" s="14"/>
      <c r="E307" s="15"/>
      <c r="F307" s="14"/>
      <c r="G307" s="19" t="str">
        <f aca="false">IF(E307="","",IF(F307="Y",E307*Settings!$B$16,0))</f>
        <v/>
      </c>
      <c r="H307" s="19" t="str">
        <f aca="false">IF(E307="","",E307+G307)</f>
        <v/>
      </c>
      <c r="I307" s="14"/>
      <c r="J307" s="14"/>
      <c r="K307" s="14"/>
      <c r="L307" s="14"/>
    </row>
    <row r="308" customFormat="false" ht="15" hidden="false" customHeight="false" outlineLevel="0" collapsed="false">
      <c r="A308" s="13"/>
      <c r="B308" s="14"/>
      <c r="C308" s="14"/>
      <c r="D308" s="14"/>
      <c r="E308" s="15"/>
      <c r="F308" s="14"/>
      <c r="G308" s="19" t="str">
        <f aca="false">IF(E308="","",IF(F308="Y",E308*Settings!$B$16,0))</f>
        <v/>
      </c>
      <c r="H308" s="19" t="str">
        <f aca="false">IF(E308="","",E308+G308)</f>
        <v/>
      </c>
      <c r="I308" s="14"/>
      <c r="J308" s="14"/>
      <c r="K308" s="14"/>
      <c r="L308" s="14"/>
    </row>
    <row r="309" customFormat="false" ht="15" hidden="false" customHeight="false" outlineLevel="0" collapsed="false">
      <c r="A309" s="13"/>
      <c r="B309" s="14"/>
      <c r="C309" s="14"/>
      <c r="D309" s="14"/>
      <c r="E309" s="15"/>
      <c r="F309" s="14"/>
      <c r="G309" s="19" t="str">
        <f aca="false">IF(E309="","",IF(F309="Y",E309*Settings!$B$16,0))</f>
        <v/>
      </c>
      <c r="H309" s="19" t="str">
        <f aca="false">IF(E309="","",E309+G309)</f>
        <v/>
      </c>
      <c r="I309" s="14"/>
      <c r="J309" s="14"/>
      <c r="K309" s="14"/>
      <c r="L309" s="14"/>
    </row>
    <row r="310" customFormat="false" ht="15" hidden="false" customHeight="false" outlineLevel="0" collapsed="false">
      <c r="A310" s="13"/>
      <c r="B310" s="14"/>
      <c r="C310" s="14"/>
      <c r="D310" s="14"/>
      <c r="E310" s="15"/>
      <c r="F310" s="14"/>
      <c r="G310" s="19" t="str">
        <f aca="false">IF(E310="","",IF(F310="Y",E310*Settings!$B$16,0))</f>
        <v/>
      </c>
      <c r="H310" s="19" t="str">
        <f aca="false">IF(E310="","",E310+G310)</f>
        <v/>
      </c>
      <c r="I310" s="14"/>
      <c r="J310" s="14"/>
      <c r="K310" s="14"/>
      <c r="L310" s="14"/>
    </row>
    <row r="311" customFormat="false" ht="15" hidden="false" customHeight="false" outlineLevel="0" collapsed="false">
      <c r="A311" s="13"/>
      <c r="B311" s="14"/>
      <c r="C311" s="14"/>
      <c r="D311" s="14"/>
      <c r="E311" s="15"/>
      <c r="F311" s="14"/>
      <c r="G311" s="19" t="str">
        <f aca="false">IF(E311="","",IF(F311="Y",E311*Settings!$B$16,0))</f>
        <v/>
      </c>
      <c r="H311" s="19" t="str">
        <f aca="false">IF(E311="","",E311+G311)</f>
        <v/>
      </c>
      <c r="I311" s="14"/>
      <c r="J311" s="14"/>
      <c r="K311" s="14"/>
      <c r="L311" s="14"/>
    </row>
    <row r="312" customFormat="false" ht="15" hidden="false" customHeight="false" outlineLevel="0" collapsed="false">
      <c r="A312" s="13"/>
      <c r="B312" s="14"/>
      <c r="C312" s="14"/>
      <c r="D312" s="14"/>
      <c r="E312" s="15"/>
      <c r="F312" s="14"/>
      <c r="G312" s="19" t="str">
        <f aca="false">IF(E312="","",IF(F312="Y",E312*Settings!$B$16,0))</f>
        <v/>
      </c>
      <c r="H312" s="19" t="str">
        <f aca="false">IF(E312="","",E312+G312)</f>
        <v/>
      </c>
      <c r="I312" s="14"/>
      <c r="J312" s="14"/>
      <c r="K312" s="14"/>
      <c r="L312" s="14"/>
    </row>
    <row r="313" customFormat="false" ht="15" hidden="false" customHeight="false" outlineLevel="0" collapsed="false">
      <c r="A313" s="13"/>
      <c r="B313" s="14"/>
      <c r="C313" s="14"/>
      <c r="D313" s="14"/>
      <c r="E313" s="15"/>
      <c r="F313" s="14"/>
      <c r="G313" s="19" t="str">
        <f aca="false">IF(E313="","",IF(F313="Y",E313*Settings!$B$16,0))</f>
        <v/>
      </c>
      <c r="H313" s="19" t="str">
        <f aca="false">IF(E313="","",E313+G313)</f>
        <v/>
      </c>
      <c r="I313" s="14"/>
      <c r="J313" s="14"/>
      <c r="K313" s="14"/>
      <c r="L313" s="14"/>
    </row>
    <row r="314" customFormat="false" ht="15" hidden="false" customHeight="false" outlineLevel="0" collapsed="false">
      <c r="A314" s="13"/>
      <c r="B314" s="14"/>
      <c r="C314" s="14"/>
      <c r="D314" s="14"/>
      <c r="E314" s="15"/>
      <c r="F314" s="14"/>
      <c r="G314" s="19" t="str">
        <f aca="false">IF(E314="","",IF(F314="Y",E314*Settings!$B$16,0))</f>
        <v/>
      </c>
      <c r="H314" s="19" t="str">
        <f aca="false">IF(E314="","",E314+G314)</f>
        <v/>
      </c>
      <c r="I314" s="14"/>
      <c r="J314" s="14"/>
      <c r="K314" s="14"/>
      <c r="L314" s="14"/>
    </row>
    <row r="315" customFormat="false" ht="15" hidden="false" customHeight="false" outlineLevel="0" collapsed="false">
      <c r="A315" s="13"/>
      <c r="B315" s="14"/>
      <c r="C315" s="14"/>
      <c r="D315" s="14"/>
      <c r="E315" s="15"/>
      <c r="F315" s="14"/>
      <c r="G315" s="19" t="str">
        <f aca="false">IF(E315="","",IF(F315="Y",E315*Settings!$B$16,0))</f>
        <v/>
      </c>
      <c r="H315" s="19" t="str">
        <f aca="false">IF(E315="","",E315+G315)</f>
        <v/>
      </c>
      <c r="I315" s="14"/>
      <c r="J315" s="14"/>
      <c r="K315" s="14"/>
      <c r="L315" s="14"/>
    </row>
    <row r="316" customFormat="false" ht="15" hidden="false" customHeight="false" outlineLevel="0" collapsed="false">
      <c r="A316" s="13"/>
      <c r="B316" s="14"/>
      <c r="C316" s="14"/>
      <c r="D316" s="14"/>
      <c r="E316" s="15"/>
      <c r="F316" s="14"/>
      <c r="G316" s="19" t="str">
        <f aca="false">IF(E316="","",IF(F316="Y",E316*Settings!$B$16,0))</f>
        <v/>
      </c>
      <c r="H316" s="19" t="str">
        <f aca="false">IF(E316="","",E316+G316)</f>
        <v/>
      </c>
      <c r="I316" s="14"/>
      <c r="J316" s="14"/>
      <c r="K316" s="14"/>
      <c r="L316" s="14"/>
    </row>
    <row r="317" customFormat="false" ht="15" hidden="false" customHeight="false" outlineLevel="0" collapsed="false">
      <c r="A317" s="13"/>
      <c r="B317" s="14"/>
      <c r="C317" s="14"/>
      <c r="D317" s="14"/>
      <c r="E317" s="15"/>
      <c r="F317" s="14"/>
      <c r="G317" s="19" t="str">
        <f aca="false">IF(E317="","",IF(F317="Y",E317*Settings!$B$16,0))</f>
        <v/>
      </c>
      <c r="H317" s="19" t="str">
        <f aca="false">IF(E317="","",E317+G317)</f>
        <v/>
      </c>
      <c r="I317" s="14"/>
      <c r="J317" s="14"/>
      <c r="K317" s="14"/>
      <c r="L317" s="14"/>
    </row>
    <row r="318" customFormat="false" ht="15" hidden="false" customHeight="false" outlineLevel="0" collapsed="false">
      <c r="A318" s="13"/>
      <c r="B318" s="14"/>
      <c r="C318" s="14"/>
      <c r="D318" s="14"/>
      <c r="E318" s="15"/>
      <c r="F318" s="14"/>
      <c r="G318" s="19" t="str">
        <f aca="false">IF(E318="","",IF(F318="Y",E318*Settings!$B$16,0))</f>
        <v/>
      </c>
      <c r="H318" s="19" t="str">
        <f aca="false">IF(E318="","",E318+G318)</f>
        <v/>
      </c>
      <c r="I318" s="14"/>
      <c r="J318" s="14"/>
      <c r="K318" s="14"/>
      <c r="L318" s="14"/>
    </row>
    <row r="319" customFormat="false" ht="15" hidden="false" customHeight="false" outlineLevel="0" collapsed="false">
      <c r="A319" s="13"/>
      <c r="B319" s="14"/>
      <c r="C319" s="14"/>
      <c r="D319" s="14"/>
      <c r="E319" s="15"/>
      <c r="F319" s="14"/>
      <c r="G319" s="19" t="str">
        <f aca="false">IF(E319="","",IF(F319="Y",E319*Settings!$B$16,0))</f>
        <v/>
      </c>
      <c r="H319" s="19" t="str">
        <f aca="false">IF(E319="","",E319+G319)</f>
        <v/>
      </c>
      <c r="I319" s="14"/>
      <c r="J319" s="14"/>
      <c r="K319" s="14"/>
      <c r="L319" s="14"/>
    </row>
    <row r="320" customFormat="false" ht="15" hidden="false" customHeight="false" outlineLevel="0" collapsed="false">
      <c r="A320" s="13"/>
      <c r="B320" s="14"/>
      <c r="C320" s="14"/>
      <c r="D320" s="14"/>
      <c r="E320" s="15"/>
      <c r="F320" s="14"/>
      <c r="G320" s="19" t="str">
        <f aca="false">IF(E320="","",IF(F320="Y",E320*Settings!$B$16,0))</f>
        <v/>
      </c>
      <c r="H320" s="19" t="str">
        <f aca="false">IF(E320="","",E320+G320)</f>
        <v/>
      </c>
      <c r="I320" s="14"/>
      <c r="J320" s="14"/>
      <c r="K320" s="14"/>
      <c r="L320" s="14"/>
    </row>
    <row r="321" customFormat="false" ht="15" hidden="false" customHeight="false" outlineLevel="0" collapsed="false">
      <c r="A321" s="13"/>
      <c r="B321" s="14"/>
      <c r="C321" s="14"/>
      <c r="D321" s="14"/>
      <c r="E321" s="15"/>
      <c r="F321" s="14"/>
      <c r="G321" s="19" t="str">
        <f aca="false">IF(E321="","",IF(F321="Y",E321*Settings!$B$16,0))</f>
        <v/>
      </c>
      <c r="H321" s="19" t="str">
        <f aca="false">IF(E321="","",E321+G321)</f>
        <v/>
      </c>
      <c r="I321" s="14"/>
      <c r="J321" s="14"/>
      <c r="K321" s="14"/>
      <c r="L321" s="14"/>
    </row>
    <row r="322" customFormat="false" ht="15" hidden="false" customHeight="false" outlineLevel="0" collapsed="false">
      <c r="A322" s="13"/>
      <c r="B322" s="14"/>
      <c r="C322" s="14"/>
      <c r="D322" s="14"/>
      <c r="E322" s="15"/>
      <c r="F322" s="14"/>
      <c r="G322" s="19" t="str">
        <f aca="false">IF(E322="","",IF(F322="Y",E322*Settings!$B$16,0))</f>
        <v/>
      </c>
      <c r="H322" s="19" t="str">
        <f aca="false">IF(E322="","",E322+G322)</f>
        <v/>
      </c>
      <c r="I322" s="14"/>
      <c r="J322" s="14"/>
      <c r="K322" s="14"/>
      <c r="L322" s="14"/>
    </row>
    <row r="323" customFormat="false" ht="15" hidden="false" customHeight="false" outlineLevel="0" collapsed="false">
      <c r="A323" s="13"/>
      <c r="B323" s="14"/>
      <c r="C323" s="14"/>
      <c r="D323" s="14"/>
      <c r="E323" s="15"/>
      <c r="F323" s="14"/>
      <c r="G323" s="19" t="str">
        <f aca="false">IF(E323="","",IF(F323="Y",E323*Settings!$B$16,0))</f>
        <v/>
      </c>
      <c r="H323" s="19" t="str">
        <f aca="false">IF(E323="","",E323+G323)</f>
        <v/>
      </c>
      <c r="I323" s="14"/>
      <c r="J323" s="14"/>
      <c r="K323" s="14"/>
      <c r="L323" s="14"/>
    </row>
    <row r="324" customFormat="false" ht="15" hidden="false" customHeight="false" outlineLevel="0" collapsed="false">
      <c r="A324" s="13"/>
      <c r="B324" s="14"/>
      <c r="C324" s="14"/>
      <c r="D324" s="14"/>
      <c r="E324" s="15"/>
      <c r="F324" s="14"/>
      <c r="G324" s="19" t="str">
        <f aca="false">IF(E324="","",IF(F324="Y",E324*Settings!$B$16,0))</f>
        <v/>
      </c>
      <c r="H324" s="19" t="str">
        <f aca="false">IF(E324="","",E324+G324)</f>
        <v/>
      </c>
      <c r="I324" s="14"/>
      <c r="J324" s="14"/>
      <c r="K324" s="14"/>
      <c r="L324" s="14"/>
    </row>
    <row r="325" customFormat="false" ht="15" hidden="false" customHeight="false" outlineLevel="0" collapsed="false">
      <c r="A325" s="13"/>
      <c r="B325" s="14"/>
      <c r="C325" s="14"/>
      <c r="D325" s="14"/>
      <c r="E325" s="15"/>
      <c r="F325" s="14"/>
      <c r="G325" s="19" t="str">
        <f aca="false">IF(E325="","",IF(F325="Y",E325*Settings!$B$16,0))</f>
        <v/>
      </c>
      <c r="H325" s="19" t="str">
        <f aca="false">IF(E325="","",E325+G325)</f>
        <v/>
      </c>
      <c r="I325" s="14"/>
      <c r="J325" s="14"/>
      <c r="K325" s="14"/>
      <c r="L325" s="14"/>
    </row>
    <row r="326" customFormat="false" ht="15" hidden="false" customHeight="false" outlineLevel="0" collapsed="false">
      <c r="A326" s="13"/>
      <c r="B326" s="14"/>
      <c r="C326" s="14"/>
      <c r="D326" s="14"/>
      <c r="E326" s="15"/>
      <c r="F326" s="14"/>
      <c r="G326" s="19" t="str">
        <f aca="false">IF(E326="","",IF(F326="Y",E326*Settings!$B$16,0))</f>
        <v/>
      </c>
      <c r="H326" s="19" t="str">
        <f aca="false">IF(E326="","",E326+G326)</f>
        <v/>
      </c>
      <c r="I326" s="14"/>
      <c r="J326" s="14"/>
      <c r="K326" s="14"/>
      <c r="L326" s="14"/>
    </row>
    <row r="327" customFormat="false" ht="15" hidden="false" customHeight="false" outlineLevel="0" collapsed="false">
      <c r="A327" s="13"/>
      <c r="B327" s="14"/>
      <c r="C327" s="14"/>
      <c r="D327" s="14"/>
      <c r="E327" s="15"/>
      <c r="F327" s="14"/>
      <c r="G327" s="19" t="str">
        <f aca="false">IF(E327="","",IF(F327="Y",E327*Settings!$B$16,0))</f>
        <v/>
      </c>
      <c r="H327" s="19" t="str">
        <f aca="false">IF(E327="","",E327+G327)</f>
        <v/>
      </c>
      <c r="I327" s="14"/>
      <c r="J327" s="14"/>
      <c r="K327" s="14"/>
      <c r="L327" s="14"/>
    </row>
    <row r="328" customFormat="false" ht="15" hidden="false" customHeight="false" outlineLevel="0" collapsed="false">
      <c r="A328" s="13"/>
      <c r="B328" s="14"/>
      <c r="C328" s="14"/>
      <c r="D328" s="14"/>
      <c r="E328" s="15"/>
      <c r="F328" s="14"/>
      <c r="G328" s="19" t="str">
        <f aca="false">IF(E328="","",IF(F328="Y",E328*Settings!$B$16,0))</f>
        <v/>
      </c>
      <c r="H328" s="19" t="str">
        <f aca="false">IF(E328="","",E328+G328)</f>
        <v/>
      </c>
      <c r="I328" s="14"/>
      <c r="J328" s="14"/>
      <c r="K328" s="14"/>
      <c r="L328" s="14"/>
    </row>
    <row r="329" customFormat="false" ht="15" hidden="false" customHeight="false" outlineLevel="0" collapsed="false">
      <c r="A329" s="13"/>
      <c r="B329" s="14"/>
      <c r="C329" s="14"/>
      <c r="D329" s="14"/>
      <c r="E329" s="15"/>
      <c r="F329" s="14"/>
      <c r="G329" s="19" t="str">
        <f aca="false">IF(E329="","",IF(F329="Y",E329*Settings!$B$16,0))</f>
        <v/>
      </c>
      <c r="H329" s="19" t="str">
        <f aca="false">IF(E329="","",E329+G329)</f>
        <v/>
      </c>
      <c r="I329" s="14"/>
      <c r="J329" s="14"/>
      <c r="K329" s="14"/>
      <c r="L329" s="14"/>
    </row>
    <row r="330" customFormat="false" ht="15" hidden="false" customHeight="false" outlineLevel="0" collapsed="false">
      <c r="A330" s="13"/>
      <c r="B330" s="14"/>
      <c r="C330" s="14"/>
      <c r="D330" s="14"/>
      <c r="E330" s="15"/>
      <c r="F330" s="14"/>
      <c r="G330" s="19" t="str">
        <f aca="false">IF(E330="","",IF(F330="Y",E330*Settings!$B$16,0))</f>
        <v/>
      </c>
      <c r="H330" s="19" t="str">
        <f aca="false">IF(E330="","",E330+G330)</f>
        <v/>
      </c>
      <c r="I330" s="14"/>
      <c r="J330" s="14"/>
      <c r="K330" s="14"/>
      <c r="L330" s="14"/>
    </row>
    <row r="331" customFormat="false" ht="15" hidden="false" customHeight="false" outlineLevel="0" collapsed="false">
      <c r="A331" s="13"/>
      <c r="B331" s="14"/>
      <c r="C331" s="14"/>
      <c r="D331" s="14"/>
      <c r="E331" s="15"/>
      <c r="F331" s="14"/>
      <c r="G331" s="19" t="str">
        <f aca="false">IF(E331="","",IF(F331="Y",E331*Settings!$B$16,0))</f>
        <v/>
      </c>
      <c r="H331" s="19" t="str">
        <f aca="false">IF(E331="","",E331+G331)</f>
        <v/>
      </c>
      <c r="I331" s="14"/>
      <c r="J331" s="14"/>
      <c r="K331" s="14"/>
      <c r="L331" s="14"/>
    </row>
    <row r="332" customFormat="false" ht="15" hidden="false" customHeight="false" outlineLevel="0" collapsed="false">
      <c r="A332" s="13"/>
      <c r="B332" s="14"/>
      <c r="C332" s="14"/>
      <c r="D332" s="14"/>
      <c r="E332" s="15"/>
      <c r="F332" s="14"/>
      <c r="G332" s="19" t="str">
        <f aca="false">IF(E332="","",IF(F332="Y",E332*Settings!$B$16,0))</f>
        <v/>
      </c>
      <c r="H332" s="19" t="str">
        <f aca="false">IF(E332="","",E332+G332)</f>
        <v/>
      </c>
      <c r="I332" s="14"/>
      <c r="J332" s="14"/>
      <c r="K332" s="14"/>
      <c r="L332" s="14"/>
    </row>
    <row r="333" customFormat="false" ht="15" hidden="false" customHeight="false" outlineLevel="0" collapsed="false">
      <c r="A333" s="13"/>
      <c r="B333" s="14"/>
      <c r="C333" s="14"/>
      <c r="D333" s="14"/>
      <c r="E333" s="15"/>
      <c r="F333" s="14"/>
      <c r="G333" s="19" t="str">
        <f aca="false">IF(E333="","",IF(F333="Y",E333*Settings!$B$16,0))</f>
        <v/>
      </c>
      <c r="H333" s="19" t="str">
        <f aca="false">IF(E333="","",E333+G333)</f>
        <v/>
      </c>
      <c r="I333" s="14"/>
      <c r="J333" s="14"/>
      <c r="K333" s="14"/>
      <c r="L333" s="14"/>
    </row>
    <row r="334" customFormat="false" ht="15" hidden="false" customHeight="false" outlineLevel="0" collapsed="false">
      <c r="A334" s="13"/>
      <c r="B334" s="14"/>
      <c r="C334" s="14"/>
      <c r="D334" s="14"/>
      <c r="E334" s="15"/>
      <c r="F334" s="14"/>
      <c r="G334" s="19" t="str">
        <f aca="false">IF(E334="","",IF(F334="Y",E334*Settings!$B$16,0))</f>
        <v/>
      </c>
      <c r="H334" s="19" t="str">
        <f aca="false">IF(E334="","",E334+G334)</f>
        <v/>
      </c>
      <c r="I334" s="14"/>
      <c r="J334" s="14"/>
      <c r="K334" s="14"/>
      <c r="L334" s="14"/>
    </row>
    <row r="335" customFormat="false" ht="15" hidden="false" customHeight="false" outlineLevel="0" collapsed="false">
      <c r="A335" s="13"/>
      <c r="B335" s="14"/>
      <c r="C335" s="14"/>
      <c r="D335" s="14"/>
      <c r="E335" s="15"/>
      <c r="F335" s="14"/>
      <c r="G335" s="19" t="str">
        <f aca="false">IF(E335="","",IF(F335="Y",E335*Settings!$B$16,0))</f>
        <v/>
      </c>
      <c r="H335" s="19" t="str">
        <f aca="false">IF(E335="","",E335+G335)</f>
        <v/>
      </c>
      <c r="I335" s="14"/>
      <c r="J335" s="14"/>
      <c r="K335" s="14"/>
      <c r="L335" s="14"/>
    </row>
    <row r="336" customFormat="false" ht="15" hidden="false" customHeight="false" outlineLevel="0" collapsed="false">
      <c r="A336" s="13"/>
      <c r="B336" s="14"/>
      <c r="C336" s="14"/>
      <c r="D336" s="14"/>
      <c r="E336" s="15"/>
      <c r="F336" s="14"/>
      <c r="G336" s="19" t="str">
        <f aca="false">IF(E336="","",IF(F336="Y",E336*Settings!$B$16,0))</f>
        <v/>
      </c>
      <c r="H336" s="19" t="str">
        <f aca="false">IF(E336="","",E336+G336)</f>
        <v/>
      </c>
      <c r="I336" s="14"/>
      <c r="J336" s="14"/>
      <c r="K336" s="14"/>
      <c r="L336" s="14"/>
    </row>
    <row r="337" customFormat="false" ht="15" hidden="false" customHeight="false" outlineLevel="0" collapsed="false">
      <c r="A337" s="13"/>
      <c r="B337" s="14"/>
      <c r="C337" s="14"/>
      <c r="D337" s="14"/>
      <c r="E337" s="15"/>
      <c r="F337" s="14"/>
      <c r="G337" s="19" t="str">
        <f aca="false">IF(E337="","",IF(F337="Y",E337*Settings!$B$16,0))</f>
        <v/>
      </c>
      <c r="H337" s="19" t="str">
        <f aca="false">IF(E337="","",E337+G337)</f>
        <v/>
      </c>
      <c r="I337" s="14"/>
      <c r="J337" s="14"/>
      <c r="K337" s="14"/>
      <c r="L337" s="14"/>
    </row>
    <row r="338" customFormat="false" ht="15" hidden="false" customHeight="false" outlineLevel="0" collapsed="false">
      <c r="A338" s="13"/>
      <c r="B338" s="14"/>
      <c r="C338" s="14"/>
      <c r="D338" s="14"/>
      <c r="E338" s="15"/>
      <c r="F338" s="14"/>
      <c r="G338" s="19" t="str">
        <f aca="false">IF(E338="","",IF(F338="Y",E338*Settings!$B$16,0))</f>
        <v/>
      </c>
      <c r="H338" s="19" t="str">
        <f aca="false">IF(E338="","",E338+G338)</f>
        <v/>
      </c>
      <c r="I338" s="14"/>
      <c r="J338" s="14"/>
      <c r="K338" s="14"/>
      <c r="L338" s="14"/>
    </row>
    <row r="339" customFormat="false" ht="15" hidden="false" customHeight="false" outlineLevel="0" collapsed="false">
      <c r="A339" s="13"/>
      <c r="B339" s="14"/>
      <c r="C339" s="14"/>
      <c r="D339" s="14"/>
      <c r="E339" s="15"/>
      <c r="F339" s="14"/>
      <c r="G339" s="19" t="str">
        <f aca="false">IF(E339="","",IF(F339="Y",E339*Settings!$B$16,0))</f>
        <v/>
      </c>
      <c r="H339" s="19" t="str">
        <f aca="false">IF(E339="","",E339+G339)</f>
        <v/>
      </c>
      <c r="I339" s="14"/>
      <c r="J339" s="14"/>
      <c r="K339" s="14"/>
      <c r="L339" s="14"/>
    </row>
    <row r="340" customFormat="false" ht="15" hidden="false" customHeight="false" outlineLevel="0" collapsed="false">
      <c r="A340" s="13"/>
      <c r="B340" s="14"/>
      <c r="C340" s="14"/>
      <c r="D340" s="14"/>
      <c r="E340" s="15"/>
      <c r="F340" s="14"/>
      <c r="G340" s="19" t="str">
        <f aca="false">IF(E340="","",IF(F340="Y",E340*Settings!$B$16,0))</f>
        <v/>
      </c>
      <c r="H340" s="19" t="str">
        <f aca="false">IF(E340="","",E340+G340)</f>
        <v/>
      </c>
      <c r="I340" s="14"/>
      <c r="J340" s="14"/>
      <c r="K340" s="14"/>
      <c r="L340" s="14"/>
    </row>
    <row r="341" customFormat="false" ht="15" hidden="false" customHeight="false" outlineLevel="0" collapsed="false">
      <c r="A341" s="13"/>
      <c r="B341" s="14"/>
      <c r="C341" s="14"/>
      <c r="D341" s="14"/>
      <c r="E341" s="15"/>
      <c r="F341" s="14"/>
      <c r="G341" s="19" t="str">
        <f aca="false">IF(E341="","",IF(F341="Y",E341*Settings!$B$16,0))</f>
        <v/>
      </c>
      <c r="H341" s="19" t="str">
        <f aca="false">IF(E341="","",E341+G341)</f>
        <v/>
      </c>
      <c r="I341" s="14"/>
      <c r="J341" s="14"/>
      <c r="K341" s="14"/>
      <c r="L341" s="14"/>
    </row>
    <row r="342" customFormat="false" ht="15" hidden="false" customHeight="false" outlineLevel="0" collapsed="false">
      <c r="A342" s="13"/>
      <c r="B342" s="14"/>
      <c r="C342" s="14"/>
      <c r="D342" s="14"/>
      <c r="E342" s="15"/>
      <c r="F342" s="14"/>
      <c r="G342" s="19" t="str">
        <f aca="false">IF(E342="","",IF(F342="Y",E342*Settings!$B$16,0))</f>
        <v/>
      </c>
      <c r="H342" s="19" t="str">
        <f aca="false">IF(E342="","",E342+G342)</f>
        <v/>
      </c>
      <c r="I342" s="14"/>
      <c r="J342" s="14"/>
      <c r="K342" s="14"/>
      <c r="L342" s="14"/>
    </row>
    <row r="343" customFormat="false" ht="15" hidden="false" customHeight="false" outlineLevel="0" collapsed="false">
      <c r="A343" s="13"/>
      <c r="B343" s="14"/>
      <c r="C343" s="14"/>
      <c r="D343" s="14"/>
      <c r="E343" s="15"/>
      <c r="F343" s="14"/>
      <c r="G343" s="19" t="str">
        <f aca="false">IF(E343="","",IF(F343="Y",E343*Settings!$B$16,0))</f>
        <v/>
      </c>
      <c r="H343" s="19" t="str">
        <f aca="false">IF(E343="","",E343+G343)</f>
        <v/>
      </c>
      <c r="I343" s="14"/>
      <c r="J343" s="14"/>
      <c r="K343" s="14"/>
      <c r="L343" s="14"/>
    </row>
    <row r="344" customFormat="false" ht="15" hidden="false" customHeight="false" outlineLevel="0" collapsed="false">
      <c r="A344" s="13"/>
      <c r="B344" s="14"/>
      <c r="C344" s="14"/>
      <c r="D344" s="14"/>
      <c r="E344" s="15"/>
      <c r="F344" s="14"/>
      <c r="G344" s="19" t="str">
        <f aca="false">IF(E344="","",IF(F344="Y",E344*Settings!$B$16,0))</f>
        <v/>
      </c>
      <c r="H344" s="19" t="str">
        <f aca="false">IF(E344="","",E344+G344)</f>
        <v/>
      </c>
      <c r="I344" s="14"/>
      <c r="J344" s="14"/>
      <c r="K344" s="14"/>
      <c r="L344" s="14"/>
    </row>
    <row r="345" customFormat="false" ht="15" hidden="false" customHeight="false" outlineLevel="0" collapsed="false">
      <c r="A345" s="13"/>
      <c r="B345" s="14"/>
      <c r="C345" s="14"/>
      <c r="D345" s="14"/>
      <c r="E345" s="15"/>
      <c r="F345" s="14"/>
      <c r="G345" s="19" t="str">
        <f aca="false">IF(E345="","",IF(F345="Y",E345*Settings!$B$16,0))</f>
        <v/>
      </c>
      <c r="H345" s="19" t="str">
        <f aca="false">IF(E345="","",E345+G345)</f>
        <v/>
      </c>
      <c r="I345" s="14"/>
      <c r="J345" s="14"/>
      <c r="K345" s="14"/>
      <c r="L345" s="14"/>
    </row>
    <row r="346" customFormat="false" ht="15" hidden="false" customHeight="false" outlineLevel="0" collapsed="false">
      <c r="A346" s="13"/>
      <c r="B346" s="14"/>
      <c r="C346" s="14"/>
      <c r="D346" s="14"/>
      <c r="E346" s="15"/>
      <c r="F346" s="14"/>
      <c r="G346" s="19" t="str">
        <f aca="false">IF(E346="","",IF(F346="Y",E346*Settings!$B$16,0))</f>
        <v/>
      </c>
      <c r="H346" s="19" t="str">
        <f aca="false">IF(E346="","",E346+G346)</f>
        <v/>
      </c>
      <c r="I346" s="14"/>
      <c r="J346" s="14"/>
      <c r="K346" s="14"/>
      <c r="L346" s="14"/>
    </row>
    <row r="347" customFormat="false" ht="15" hidden="false" customHeight="false" outlineLevel="0" collapsed="false">
      <c r="A347" s="13"/>
      <c r="B347" s="14"/>
      <c r="C347" s="14"/>
      <c r="D347" s="14"/>
      <c r="E347" s="15"/>
      <c r="F347" s="14"/>
      <c r="G347" s="19" t="str">
        <f aca="false">IF(E347="","",IF(F347="Y",E347*Settings!$B$16,0))</f>
        <v/>
      </c>
      <c r="H347" s="19" t="str">
        <f aca="false">IF(E347="","",E347+G347)</f>
        <v/>
      </c>
      <c r="I347" s="14"/>
      <c r="J347" s="14"/>
      <c r="K347" s="14"/>
      <c r="L347" s="14"/>
    </row>
    <row r="348" customFormat="false" ht="15" hidden="false" customHeight="false" outlineLevel="0" collapsed="false">
      <c r="A348" s="13"/>
      <c r="B348" s="14"/>
      <c r="C348" s="14"/>
      <c r="D348" s="14"/>
      <c r="E348" s="15"/>
      <c r="F348" s="14"/>
      <c r="G348" s="19" t="str">
        <f aca="false">IF(E348="","",IF(F348="Y",E348*Settings!$B$16,0))</f>
        <v/>
      </c>
      <c r="H348" s="19" t="str">
        <f aca="false">IF(E348="","",E348+G348)</f>
        <v/>
      </c>
      <c r="I348" s="14"/>
      <c r="J348" s="14"/>
      <c r="K348" s="14"/>
      <c r="L348" s="14"/>
    </row>
    <row r="349" customFormat="false" ht="15" hidden="false" customHeight="false" outlineLevel="0" collapsed="false">
      <c r="A349" s="13"/>
      <c r="B349" s="14"/>
      <c r="C349" s="14"/>
      <c r="D349" s="14"/>
      <c r="E349" s="15"/>
      <c r="F349" s="14"/>
      <c r="G349" s="19" t="str">
        <f aca="false">IF(E349="","",IF(F349="Y",E349*Settings!$B$16,0))</f>
        <v/>
      </c>
      <c r="H349" s="19" t="str">
        <f aca="false">IF(E349="","",E349+G349)</f>
        <v/>
      </c>
      <c r="I349" s="14"/>
      <c r="J349" s="14"/>
      <c r="K349" s="14"/>
      <c r="L349" s="14"/>
    </row>
    <row r="350" customFormat="false" ht="15" hidden="false" customHeight="false" outlineLevel="0" collapsed="false">
      <c r="A350" s="13"/>
      <c r="B350" s="14"/>
      <c r="C350" s="14"/>
      <c r="D350" s="14"/>
      <c r="E350" s="15"/>
      <c r="F350" s="14"/>
      <c r="G350" s="19" t="str">
        <f aca="false">IF(E350="","",IF(F350="Y",E350*Settings!$B$16,0))</f>
        <v/>
      </c>
      <c r="H350" s="19" t="str">
        <f aca="false">IF(E350="","",E350+G350)</f>
        <v/>
      </c>
      <c r="I350" s="14"/>
      <c r="J350" s="14"/>
      <c r="K350" s="14"/>
      <c r="L350" s="14"/>
    </row>
    <row r="351" customFormat="false" ht="15" hidden="false" customHeight="false" outlineLevel="0" collapsed="false">
      <c r="A351" s="13"/>
      <c r="B351" s="14"/>
      <c r="C351" s="14"/>
      <c r="D351" s="14"/>
      <c r="E351" s="15"/>
      <c r="F351" s="14"/>
      <c r="G351" s="19" t="str">
        <f aca="false">IF(E351="","",IF(F351="Y",E351*Settings!$B$16,0))</f>
        <v/>
      </c>
      <c r="H351" s="19" t="str">
        <f aca="false">IF(E351="","",E351+G351)</f>
        <v/>
      </c>
      <c r="I351" s="14"/>
      <c r="J351" s="14"/>
      <c r="K351" s="14"/>
      <c r="L351" s="14"/>
    </row>
    <row r="352" customFormat="false" ht="15" hidden="false" customHeight="false" outlineLevel="0" collapsed="false">
      <c r="A352" s="13"/>
      <c r="B352" s="14"/>
      <c r="C352" s="14"/>
      <c r="D352" s="14"/>
      <c r="E352" s="15"/>
      <c r="F352" s="14"/>
      <c r="G352" s="19" t="str">
        <f aca="false">IF(E352="","",IF(F352="Y",E352*Settings!$B$16,0))</f>
        <v/>
      </c>
      <c r="H352" s="19" t="str">
        <f aca="false">IF(E352="","",E352+G352)</f>
        <v/>
      </c>
      <c r="I352" s="14"/>
      <c r="J352" s="14"/>
      <c r="K352" s="14"/>
      <c r="L352" s="14"/>
    </row>
    <row r="353" customFormat="false" ht="15" hidden="false" customHeight="false" outlineLevel="0" collapsed="false">
      <c r="A353" s="13"/>
      <c r="B353" s="14"/>
      <c r="C353" s="14"/>
      <c r="D353" s="14"/>
      <c r="E353" s="15"/>
      <c r="F353" s="14"/>
      <c r="G353" s="19" t="str">
        <f aca="false">IF(E353="","",IF(F353="Y",E353*Settings!$B$16,0))</f>
        <v/>
      </c>
      <c r="H353" s="19" t="str">
        <f aca="false">IF(E353="","",E353+G353)</f>
        <v/>
      </c>
      <c r="I353" s="14"/>
      <c r="J353" s="14"/>
      <c r="K353" s="14"/>
      <c r="L353" s="14"/>
    </row>
    <row r="354" customFormat="false" ht="15" hidden="false" customHeight="false" outlineLevel="0" collapsed="false">
      <c r="A354" s="13"/>
      <c r="B354" s="14"/>
      <c r="C354" s="14"/>
      <c r="D354" s="14"/>
      <c r="E354" s="15"/>
      <c r="F354" s="14"/>
      <c r="G354" s="19" t="str">
        <f aca="false">IF(E354="","",IF(F354="Y",E354*Settings!$B$16,0))</f>
        <v/>
      </c>
      <c r="H354" s="19" t="str">
        <f aca="false">IF(E354="","",E354+G354)</f>
        <v/>
      </c>
      <c r="I354" s="14"/>
      <c r="J354" s="14"/>
      <c r="K354" s="14"/>
      <c r="L354" s="14"/>
    </row>
    <row r="355" customFormat="false" ht="15" hidden="false" customHeight="false" outlineLevel="0" collapsed="false">
      <c r="A355" s="13"/>
      <c r="B355" s="14"/>
      <c r="C355" s="14"/>
      <c r="D355" s="14"/>
      <c r="E355" s="15"/>
      <c r="F355" s="14"/>
      <c r="G355" s="19" t="str">
        <f aca="false">IF(E355="","",IF(F355="Y",E355*Settings!$B$16,0))</f>
        <v/>
      </c>
      <c r="H355" s="19" t="str">
        <f aca="false">IF(E355="","",E355+G355)</f>
        <v/>
      </c>
      <c r="I355" s="14"/>
      <c r="J355" s="14"/>
      <c r="K355" s="14"/>
      <c r="L355" s="14"/>
    </row>
    <row r="356" customFormat="false" ht="15" hidden="false" customHeight="false" outlineLevel="0" collapsed="false">
      <c r="A356" s="13"/>
      <c r="B356" s="14"/>
      <c r="C356" s="14"/>
      <c r="D356" s="14"/>
      <c r="E356" s="15"/>
      <c r="F356" s="14"/>
      <c r="G356" s="19" t="str">
        <f aca="false">IF(E356="","",IF(F356="Y",E356*Settings!$B$16,0))</f>
        <v/>
      </c>
      <c r="H356" s="19" t="str">
        <f aca="false">IF(E356="","",E356+G356)</f>
        <v/>
      </c>
      <c r="I356" s="14"/>
      <c r="J356" s="14"/>
      <c r="K356" s="14"/>
      <c r="L356" s="14"/>
    </row>
    <row r="357" customFormat="false" ht="15" hidden="false" customHeight="false" outlineLevel="0" collapsed="false">
      <c r="A357" s="13"/>
      <c r="B357" s="14"/>
      <c r="C357" s="14"/>
      <c r="D357" s="14"/>
      <c r="E357" s="15"/>
      <c r="F357" s="14"/>
      <c r="G357" s="19" t="str">
        <f aca="false">IF(E357="","",IF(F357="Y",E357*Settings!$B$16,0))</f>
        <v/>
      </c>
      <c r="H357" s="19" t="str">
        <f aca="false">IF(E357="","",E357+G357)</f>
        <v/>
      </c>
      <c r="I357" s="14"/>
      <c r="J357" s="14"/>
      <c r="K357" s="14"/>
      <c r="L357" s="14"/>
    </row>
    <row r="358" customFormat="false" ht="15" hidden="false" customHeight="false" outlineLevel="0" collapsed="false">
      <c r="A358" s="13"/>
      <c r="B358" s="14"/>
      <c r="C358" s="14"/>
      <c r="D358" s="14"/>
      <c r="E358" s="15"/>
      <c r="F358" s="14"/>
      <c r="G358" s="19" t="str">
        <f aca="false">IF(E358="","",IF(F358="Y",E358*Settings!$B$16,0))</f>
        <v/>
      </c>
      <c r="H358" s="19" t="str">
        <f aca="false">IF(E358="","",E358+G358)</f>
        <v/>
      </c>
      <c r="I358" s="14"/>
      <c r="J358" s="14"/>
      <c r="K358" s="14"/>
      <c r="L358" s="14"/>
    </row>
    <row r="359" customFormat="false" ht="15" hidden="false" customHeight="false" outlineLevel="0" collapsed="false">
      <c r="A359" s="13"/>
      <c r="B359" s="14"/>
      <c r="C359" s="14"/>
      <c r="D359" s="14"/>
      <c r="E359" s="15"/>
      <c r="F359" s="14"/>
      <c r="G359" s="19" t="str">
        <f aca="false">IF(E359="","",IF(F359="Y",E359*Settings!$B$16,0))</f>
        <v/>
      </c>
      <c r="H359" s="19" t="str">
        <f aca="false">IF(E359="","",E359+G359)</f>
        <v/>
      </c>
      <c r="I359" s="14"/>
      <c r="J359" s="14"/>
      <c r="K359" s="14"/>
      <c r="L359" s="14"/>
    </row>
    <row r="360" customFormat="false" ht="15" hidden="false" customHeight="false" outlineLevel="0" collapsed="false">
      <c r="A360" s="13"/>
      <c r="B360" s="14"/>
      <c r="C360" s="14"/>
      <c r="D360" s="14"/>
      <c r="E360" s="15"/>
      <c r="F360" s="14"/>
      <c r="G360" s="19" t="str">
        <f aca="false">IF(E360="","",IF(F360="Y",E360*Settings!$B$16,0))</f>
        <v/>
      </c>
      <c r="H360" s="19" t="str">
        <f aca="false">IF(E360="","",E360+G360)</f>
        <v/>
      </c>
      <c r="I360" s="14"/>
      <c r="J360" s="14"/>
      <c r="K360" s="14"/>
      <c r="L360" s="14"/>
    </row>
    <row r="361" customFormat="false" ht="15" hidden="false" customHeight="false" outlineLevel="0" collapsed="false">
      <c r="A361" s="13"/>
      <c r="B361" s="14"/>
      <c r="C361" s="14"/>
      <c r="D361" s="14"/>
      <c r="E361" s="15"/>
      <c r="F361" s="14"/>
      <c r="G361" s="19" t="str">
        <f aca="false">IF(E361="","",IF(F361="Y",E361*Settings!$B$16,0))</f>
        <v/>
      </c>
      <c r="H361" s="19" t="str">
        <f aca="false">IF(E361="","",E361+G361)</f>
        <v/>
      </c>
      <c r="I361" s="14"/>
      <c r="J361" s="14"/>
      <c r="K361" s="14"/>
      <c r="L361" s="14"/>
    </row>
    <row r="362" customFormat="false" ht="15" hidden="false" customHeight="false" outlineLevel="0" collapsed="false">
      <c r="A362" s="13"/>
      <c r="B362" s="14"/>
      <c r="C362" s="14"/>
      <c r="D362" s="14"/>
      <c r="E362" s="15"/>
      <c r="F362" s="14"/>
      <c r="G362" s="19" t="str">
        <f aca="false">IF(E362="","",IF(F362="Y",E362*Settings!$B$16,0))</f>
        <v/>
      </c>
      <c r="H362" s="19" t="str">
        <f aca="false">IF(E362="","",E362+G362)</f>
        <v/>
      </c>
      <c r="I362" s="14"/>
      <c r="J362" s="14"/>
      <c r="K362" s="14"/>
      <c r="L362" s="14"/>
    </row>
    <row r="363" customFormat="false" ht="15" hidden="false" customHeight="false" outlineLevel="0" collapsed="false">
      <c r="A363" s="13"/>
      <c r="B363" s="14"/>
      <c r="C363" s="14"/>
      <c r="D363" s="14"/>
      <c r="E363" s="15"/>
      <c r="F363" s="14"/>
      <c r="G363" s="19" t="str">
        <f aca="false">IF(E363="","",IF(F363="Y",E363*Settings!$B$16,0))</f>
        <v/>
      </c>
      <c r="H363" s="19" t="str">
        <f aca="false">IF(E363="","",E363+G363)</f>
        <v/>
      </c>
      <c r="I363" s="14"/>
      <c r="J363" s="14"/>
      <c r="K363" s="14"/>
      <c r="L363" s="14"/>
    </row>
    <row r="364" customFormat="false" ht="15" hidden="false" customHeight="false" outlineLevel="0" collapsed="false">
      <c r="A364" s="13"/>
      <c r="B364" s="14"/>
      <c r="C364" s="14"/>
      <c r="D364" s="14"/>
      <c r="E364" s="15"/>
      <c r="F364" s="14"/>
      <c r="G364" s="19" t="str">
        <f aca="false">IF(E364="","",IF(F364="Y",E364*Settings!$B$16,0))</f>
        <v/>
      </c>
      <c r="H364" s="19" t="str">
        <f aca="false">IF(E364="","",E364+G364)</f>
        <v/>
      </c>
      <c r="I364" s="14"/>
      <c r="J364" s="14"/>
      <c r="K364" s="14"/>
      <c r="L364" s="14"/>
    </row>
    <row r="365" customFormat="false" ht="15" hidden="false" customHeight="false" outlineLevel="0" collapsed="false">
      <c r="A365" s="13"/>
      <c r="B365" s="14"/>
      <c r="C365" s="14"/>
      <c r="D365" s="14"/>
      <c r="E365" s="15"/>
      <c r="F365" s="14"/>
      <c r="G365" s="19" t="str">
        <f aca="false">IF(E365="","",IF(F365="Y",E365*Settings!$B$16,0))</f>
        <v/>
      </c>
      <c r="H365" s="19" t="str">
        <f aca="false">IF(E365="","",E365+G365)</f>
        <v/>
      </c>
      <c r="I365" s="14"/>
      <c r="J365" s="14"/>
      <c r="K365" s="14"/>
      <c r="L365" s="14"/>
    </row>
    <row r="366" customFormat="false" ht="15" hidden="false" customHeight="false" outlineLevel="0" collapsed="false">
      <c r="A366" s="13"/>
      <c r="B366" s="14"/>
      <c r="C366" s="14"/>
      <c r="D366" s="14"/>
      <c r="E366" s="15"/>
      <c r="F366" s="14"/>
      <c r="G366" s="19" t="str">
        <f aca="false">IF(E366="","",IF(F366="Y",E366*Settings!$B$16,0))</f>
        <v/>
      </c>
      <c r="H366" s="19" t="str">
        <f aca="false">IF(E366="","",E366+G366)</f>
        <v/>
      </c>
      <c r="I366" s="14"/>
      <c r="J366" s="14"/>
      <c r="K366" s="14"/>
      <c r="L366" s="14"/>
    </row>
    <row r="367" customFormat="false" ht="15" hidden="false" customHeight="false" outlineLevel="0" collapsed="false">
      <c r="A367" s="13"/>
      <c r="B367" s="14"/>
      <c r="C367" s="14"/>
      <c r="D367" s="14"/>
      <c r="E367" s="15"/>
      <c r="F367" s="14"/>
      <c r="G367" s="19" t="str">
        <f aca="false">IF(E367="","",IF(F367="Y",E367*Settings!$B$16,0))</f>
        <v/>
      </c>
      <c r="H367" s="19" t="str">
        <f aca="false">IF(E367="","",E367+G367)</f>
        <v/>
      </c>
      <c r="I367" s="14"/>
      <c r="J367" s="14"/>
      <c r="K367" s="14"/>
      <c r="L367" s="14"/>
    </row>
    <row r="368" customFormat="false" ht="15" hidden="false" customHeight="false" outlineLevel="0" collapsed="false">
      <c r="A368" s="13"/>
      <c r="B368" s="14"/>
      <c r="C368" s="14"/>
      <c r="D368" s="14"/>
      <c r="E368" s="15"/>
      <c r="F368" s="14"/>
      <c r="G368" s="19" t="str">
        <f aca="false">IF(E368="","",IF(F368="Y",E368*Settings!$B$16,0))</f>
        <v/>
      </c>
      <c r="H368" s="19" t="str">
        <f aca="false">IF(E368="","",E368+G368)</f>
        <v/>
      </c>
      <c r="I368" s="14"/>
      <c r="J368" s="14"/>
      <c r="K368" s="14"/>
      <c r="L368" s="14"/>
    </row>
    <row r="369" customFormat="false" ht="15" hidden="false" customHeight="false" outlineLevel="0" collapsed="false">
      <c r="A369" s="13"/>
      <c r="B369" s="14"/>
      <c r="C369" s="14"/>
      <c r="D369" s="14"/>
      <c r="E369" s="15"/>
      <c r="F369" s="14"/>
      <c r="G369" s="19" t="str">
        <f aca="false">IF(E369="","",IF(F369="Y",E369*Settings!$B$16,0))</f>
        <v/>
      </c>
      <c r="H369" s="19" t="str">
        <f aca="false">IF(E369="","",E369+G369)</f>
        <v/>
      </c>
      <c r="I369" s="14"/>
      <c r="J369" s="14"/>
      <c r="K369" s="14"/>
      <c r="L369" s="14"/>
    </row>
    <row r="370" customFormat="false" ht="15" hidden="false" customHeight="false" outlineLevel="0" collapsed="false">
      <c r="A370" s="13"/>
      <c r="B370" s="14"/>
      <c r="C370" s="14"/>
      <c r="D370" s="14"/>
      <c r="E370" s="15"/>
      <c r="F370" s="14"/>
      <c r="G370" s="19" t="str">
        <f aca="false">IF(E370="","",IF(F370="Y",E370*Settings!$B$16,0))</f>
        <v/>
      </c>
      <c r="H370" s="19" t="str">
        <f aca="false">IF(E370="","",E370+G370)</f>
        <v/>
      </c>
      <c r="I370" s="14"/>
      <c r="J370" s="14"/>
      <c r="K370" s="14"/>
      <c r="L370" s="14"/>
    </row>
    <row r="371" customFormat="false" ht="15" hidden="false" customHeight="false" outlineLevel="0" collapsed="false">
      <c r="A371" s="13"/>
      <c r="B371" s="14"/>
      <c r="C371" s="14"/>
      <c r="D371" s="14"/>
      <c r="E371" s="15"/>
      <c r="F371" s="14"/>
      <c r="G371" s="19" t="str">
        <f aca="false">IF(E371="","",IF(F371="Y",E371*Settings!$B$16,0))</f>
        <v/>
      </c>
      <c r="H371" s="19" t="str">
        <f aca="false">IF(E371="","",E371+G371)</f>
        <v/>
      </c>
      <c r="I371" s="14"/>
      <c r="J371" s="14"/>
      <c r="K371" s="14"/>
      <c r="L371" s="14"/>
    </row>
    <row r="372" customFormat="false" ht="15" hidden="false" customHeight="false" outlineLevel="0" collapsed="false">
      <c r="A372" s="13"/>
      <c r="B372" s="14"/>
      <c r="C372" s="14"/>
      <c r="D372" s="14"/>
      <c r="E372" s="15"/>
      <c r="F372" s="14"/>
      <c r="G372" s="19" t="str">
        <f aca="false">IF(E372="","",IF(F372="Y",E372*Settings!$B$16,0))</f>
        <v/>
      </c>
      <c r="H372" s="19" t="str">
        <f aca="false">IF(E372="","",E372+G372)</f>
        <v/>
      </c>
      <c r="I372" s="14"/>
      <c r="J372" s="14"/>
      <c r="K372" s="14"/>
      <c r="L372" s="14"/>
    </row>
    <row r="373" customFormat="false" ht="15" hidden="false" customHeight="false" outlineLevel="0" collapsed="false">
      <c r="A373" s="13"/>
      <c r="B373" s="14"/>
      <c r="C373" s="14"/>
      <c r="D373" s="14"/>
      <c r="E373" s="15"/>
      <c r="F373" s="14"/>
      <c r="G373" s="19" t="str">
        <f aca="false">IF(E373="","",IF(F373="Y",E373*Settings!$B$16,0))</f>
        <v/>
      </c>
      <c r="H373" s="19" t="str">
        <f aca="false">IF(E373="","",E373+G373)</f>
        <v/>
      </c>
      <c r="I373" s="14"/>
      <c r="J373" s="14"/>
      <c r="K373" s="14"/>
      <c r="L373" s="14"/>
    </row>
    <row r="374" customFormat="false" ht="15" hidden="false" customHeight="false" outlineLevel="0" collapsed="false">
      <c r="A374" s="13"/>
      <c r="B374" s="14"/>
      <c r="C374" s="14"/>
      <c r="D374" s="14"/>
      <c r="E374" s="15"/>
      <c r="F374" s="14"/>
      <c r="G374" s="19" t="str">
        <f aca="false">IF(E374="","",IF(F374="Y",E374*Settings!$B$16,0))</f>
        <v/>
      </c>
      <c r="H374" s="19" t="str">
        <f aca="false">IF(E374="","",E374+G374)</f>
        <v/>
      </c>
      <c r="I374" s="14"/>
      <c r="J374" s="14"/>
      <c r="K374" s="14"/>
      <c r="L374" s="14"/>
    </row>
    <row r="375" customFormat="false" ht="15" hidden="false" customHeight="false" outlineLevel="0" collapsed="false">
      <c r="A375" s="13"/>
      <c r="B375" s="14"/>
      <c r="C375" s="14"/>
      <c r="D375" s="14"/>
      <c r="E375" s="15"/>
      <c r="F375" s="14"/>
      <c r="G375" s="19" t="str">
        <f aca="false">IF(E375="","",IF(F375="Y",E375*Settings!$B$16,0))</f>
        <v/>
      </c>
      <c r="H375" s="19" t="str">
        <f aca="false">IF(E375="","",E375+G375)</f>
        <v/>
      </c>
      <c r="I375" s="14"/>
      <c r="J375" s="14"/>
      <c r="K375" s="14"/>
      <c r="L375" s="14"/>
    </row>
    <row r="376" customFormat="false" ht="15" hidden="false" customHeight="false" outlineLevel="0" collapsed="false">
      <c r="A376" s="13"/>
      <c r="B376" s="14"/>
      <c r="C376" s="14"/>
      <c r="D376" s="14"/>
      <c r="E376" s="15"/>
      <c r="F376" s="14"/>
      <c r="G376" s="19" t="str">
        <f aca="false">IF(E376="","",IF(F376="Y",E376*Settings!$B$16,0))</f>
        <v/>
      </c>
      <c r="H376" s="19" t="str">
        <f aca="false">IF(E376="","",E376+G376)</f>
        <v/>
      </c>
      <c r="I376" s="14"/>
      <c r="J376" s="14"/>
      <c r="K376" s="14"/>
      <c r="L376" s="14"/>
    </row>
    <row r="377" customFormat="false" ht="15" hidden="false" customHeight="false" outlineLevel="0" collapsed="false">
      <c r="A377" s="13"/>
      <c r="B377" s="14"/>
      <c r="C377" s="14"/>
      <c r="D377" s="14"/>
      <c r="E377" s="15"/>
      <c r="F377" s="14"/>
      <c r="G377" s="19" t="str">
        <f aca="false">IF(E377="","",IF(F377="Y",E377*Settings!$B$16,0))</f>
        <v/>
      </c>
      <c r="H377" s="19" t="str">
        <f aca="false">IF(E377="","",E377+G377)</f>
        <v/>
      </c>
      <c r="I377" s="14"/>
      <c r="J377" s="14"/>
      <c r="K377" s="14"/>
      <c r="L377" s="14"/>
    </row>
    <row r="378" customFormat="false" ht="15" hidden="false" customHeight="false" outlineLevel="0" collapsed="false">
      <c r="A378" s="13"/>
      <c r="B378" s="14"/>
      <c r="C378" s="14"/>
      <c r="D378" s="14"/>
      <c r="E378" s="15"/>
      <c r="F378" s="14"/>
      <c r="G378" s="19" t="str">
        <f aca="false">IF(E378="","",IF(F378="Y",E378*Settings!$B$16,0))</f>
        <v/>
      </c>
      <c r="H378" s="19" t="str">
        <f aca="false">IF(E378="","",E378+G378)</f>
        <v/>
      </c>
      <c r="I378" s="14"/>
      <c r="J378" s="14"/>
      <c r="K378" s="14"/>
      <c r="L378" s="14"/>
    </row>
    <row r="379" customFormat="false" ht="15" hidden="false" customHeight="false" outlineLevel="0" collapsed="false">
      <c r="A379" s="13"/>
      <c r="B379" s="14"/>
      <c r="C379" s="14"/>
      <c r="D379" s="14"/>
      <c r="E379" s="15"/>
      <c r="F379" s="14"/>
      <c r="G379" s="19" t="str">
        <f aca="false">IF(E379="","",IF(F379="Y",E379*Settings!$B$16,0))</f>
        <v/>
      </c>
      <c r="H379" s="19" t="str">
        <f aca="false">IF(E379="","",E379+G379)</f>
        <v/>
      </c>
      <c r="I379" s="14"/>
      <c r="J379" s="14"/>
      <c r="K379" s="14"/>
      <c r="L379" s="14"/>
    </row>
    <row r="380" customFormat="false" ht="15" hidden="false" customHeight="false" outlineLevel="0" collapsed="false">
      <c r="A380" s="13"/>
      <c r="B380" s="14"/>
      <c r="C380" s="14"/>
      <c r="D380" s="14"/>
      <c r="E380" s="15"/>
      <c r="F380" s="14"/>
      <c r="G380" s="19" t="str">
        <f aca="false">IF(E380="","",IF(F380="Y",E380*Settings!$B$16,0))</f>
        <v/>
      </c>
      <c r="H380" s="19" t="str">
        <f aca="false">IF(E380="","",E380+G380)</f>
        <v/>
      </c>
      <c r="I380" s="14"/>
      <c r="J380" s="14"/>
      <c r="K380" s="14"/>
      <c r="L380" s="14"/>
    </row>
    <row r="381" customFormat="false" ht="15" hidden="false" customHeight="false" outlineLevel="0" collapsed="false">
      <c r="A381" s="13"/>
      <c r="B381" s="14"/>
      <c r="C381" s="14"/>
      <c r="D381" s="14"/>
      <c r="E381" s="15"/>
      <c r="F381" s="14"/>
      <c r="G381" s="19" t="str">
        <f aca="false">IF(E381="","",IF(F381="Y",E381*Settings!$B$16,0))</f>
        <v/>
      </c>
      <c r="H381" s="19" t="str">
        <f aca="false">IF(E381="","",E381+G381)</f>
        <v/>
      </c>
      <c r="I381" s="14"/>
      <c r="J381" s="14"/>
      <c r="K381" s="14"/>
      <c r="L381" s="14"/>
    </row>
    <row r="382" customFormat="false" ht="15" hidden="false" customHeight="false" outlineLevel="0" collapsed="false">
      <c r="A382" s="13"/>
      <c r="B382" s="14"/>
      <c r="C382" s="14"/>
      <c r="D382" s="14"/>
      <c r="E382" s="15"/>
      <c r="F382" s="14"/>
      <c r="G382" s="19" t="str">
        <f aca="false">IF(E382="","",IF(F382="Y",E382*Settings!$B$16,0))</f>
        <v/>
      </c>
      <c r="H382" s="19" t="str">
        <f aca="false">IF(E382="","",E382+G382)</f>
        <v/>
      </c>
      <c r="I382" s="14"/>
      <c r="J382" s="14"/>
      <c r="K382" s="14"/>
      <c r="L382" s="14"/>
    </row>
    <row r="383" customFormat="false" ht="15" hidden="false" customHeight="false" outlineLevel="0" collapsed="false">
      <c r="A383" s="13"/>
      <c r="B383" s="14"/>
      <c r="C383" s="14"/>
      <c r="D383" s="14"/>
      <c r="E383" s="15"/>
      <c r="F383" s="14"/>
      <c r="G383" s="19" t="str">
        <f aca="false">IF(E383="","",IF(F383="Y",E383*Settings!$B$16,0))</f>
        <v/>
      </c>
      <c r="H383" s="19" t="str">
        <f aca="false">IF(E383="","",E383+G383)</f>
        <v/>
      </c>
      <c r="I383" s="14"/>
      <c r="J383" s="14"/>
      <c r="K383" s="14"/>
      <c r="L383" s="14"/>
    </row>
    <row r="384" customFormat="false" ht="15" hidden="false" customHeight="false" outlineLevel="0" collapsed="false">
      <c r="A384" s="13"/>
      <c r="B384" s="14"/>
      <c r="C384" s="14"/>
      <c r="D384" s="14"/>
      <c r="E384" s="15"/>
      <c r="F384" s="14"/>
      <c r="G384" s="19" t="str">
        <f aca="false">IF(E384="","",IF(F384="Y",E384*Settings!$B$16,0))</f>
        <v/>
      </c>
      <c r="H384" s="19" t="str">
        <f aca="false">IF(E384="","",E384+G384)</f>
        <v/>
      </c>
      <c r="I384" s="14"/>
      <c r="J384" s="14"/>
      <c r="K384" s="14"/>
      <c r="L384" s="14"/>
    </row>
    <row r="385" customFormat="false" ht="15" hidden="false" customHeight="false" outlineLevel="0" collapsed="false">
      <c r="A385" s="13"/>
      <c r="B385" s="14"/>
      <c r="C385" s="14"/>
      <c r="D385" s="14"/>
      <c r="E385" s="15"/>
      <c r="F385" s="14"/>
      <c r="G385" s="19" t="str">
        <f aca="false">IF(E385="","",IF(F385="Y",E385*Settings!$B$16,0))</f>
        <v/>
      </c>
      <c r="H385" s="19" t="str">
        <f aca="false">IF(E385="","",E385+G385)</f>
        <v/>
      </c>
      <c r="I385" s="14"/>
      <c r="J385" s="14"/>
      <c r="K385" s="14"/>
      <c r="L385" s="14"/>
    </row>
    <row r="386" customFormat="false" ht="15" hidden="false" customHeight="false" outlineLevel="0" collapsed="false">
      <c r="A386" s="13"/>
      <c r="B386" s="14"/>
      <c r="C386" s="14"/>
      <c r="D386" s="14"/>
      <c r="E386" s="15"/>
      <c r="F386" s="14"/>
      <c r="G386" s="19" t="str">
        <f aca="false">IF(E386="","",IF(F386="Y",E386*Settings!$B$16,0))</f>
        <v/>
      </c>
      <c r="H386" s="19" t="str">
        <f aca="false">IF(E386="","",E386+G386)</f>
        <v/>
      </c>
      <c r="I386" s="14"/>
      <c r="J386" s="14"/>
      <c r="K386" s="14"/>
      <c r="L386" s="14"/>
    </row>
    <row r="387" customFormat="false" ht="15" hidden="false" customHeight="false" outlineLevel="0" collapsed="false">
      <c r="A387" s="13"/>
      <c r="B387" s="14"/>
      <c r="C387" s="14"/>
      <c r="D387" s="14"/>
      <c r="E387" s="15"/>
      <c r="F387" s="14"/>
      <c r="G387" s="19" t="str">
        <f aca="false">IF(E387="","",IF(F387="Y",E387*Settings!$B$16,0))</f>
        <v/>
      </c>
      <c r="H387" s="19" t="str">
        <f aca="false">IF(E387="","",E387+G387)</f>
        <v/>
      </c>
      <c r="I387" s="14"/>
      <c r="J387" s="14"/>
      <c r="K387" s="14"/>
      <c r="L387" s="14"/>
    </row>
    <row r="388" customFormat="false" ht="15" hidden="false" customHeight="false" outlineLevel="0" collapsed="false">
      <c r="A388" s="13"/>
      <c r="B388" s="14"/>
      <c r="C388" s="14"/>
      <c r="D388" s="14"/>
      <c r="E388" s="15"/>
      <c r="F388" s="14"/>
      <c r="G388" s="19" t="str">
        <f aca="false">IF(E388="","",IF(F388="Y",E388*Settings!$B$16,0))</f>
        <v/>
      </c>
      <c r="H388" s="19" t="str">
        <f aca="false">IF(E388="","",E388+G388)</f>
        <v/>
      </c>
      <c r="I388" s="14"/>
      <c r="J388" s="14"/>
      <c r="K388" s="14"/>
      <c r="L388" s="14"/>
    </row>
    <row r="389" customFormat="false" ht="15" hidden="false" customHeight="false" outlineLevel="0" collapsed="false">
      <c r="A389" s="13"/>
      <c r="B389" s="14"/>
      <c r="C389" s="14"/>
      <c r="D389" s="14"/>
      <c r="E389" s="15"/>
      <c r="F389" s="14"/>
      <c r="G389" s="19" t="str">
        <f aca="false">IF(E389="","",IF(F389="Y",E389*Settings!$B$16,0))</f>
        <v/>
      </c>
      <c r="H389" s="19" t="str">
        <f aca="false">IF(E389="","",E389+G389)</f>
        <v/>
      </c>
      <c r="I389" s="14"/>
      <c r="J389" s="14"/>
      <c r="K389" s="14"/>
      <c r="L389" s="14"/>
    </row>
    <row r="390" customFormat="false" ht="15" hidden="false" customHeight="false" outlineLevel="0" collapsed="false">
      <c r="A390" s="13"/>
      <c r="B390" s="14"/>
      <c r="C390" s="14"/>
      <c r="D390" s="14"/>
      <c r="E390" s="15"/>
      <c r="F390" s="14"/>
      <c r="G390" s="19" t="str">
        <f aca="false">IF(E390="","",IF(F390="Y",E390*Settings!$B$16,0))</f>
        <v/>
      </c>
      <c r="H390" s="19" t="str">
        <f aca="false">IF(E390="","",E390+G390)</f>
        <v/>
      </c>
      <c r="I390" s="14"/>
      <c r="J390" s="14"/>
      <c r="K390" s="14"/>
      <c r="L390" s="14"/>
    </row>
    <row r="391" customFormat="false" ht="15" hidden="false" customHeight="false" outlineLevel="0" collapsed="false">
      <c r="A391" s="13"/>
      <c r="B391" s="14"/>
      <c r="C391" s="14"/>
      <c r="D391" s="14"/>
      <c r="E391" s="15"/>
      <c r="F391" s="14"/>
      <c r="G391" s="19" t="str">
        <f aca="false">IF(E391="","",IF(F391="Y",E391*Settings!$B$16,0))</f>
        <v/>
      </c>
      <c r="H391" s="19" t="str">
        <f aca="false">IF(E391="","",E391+G391)</f>
        <v/>
      </c>
      <c r="I391" s="14"/>
      <c r="J391" s="14"/>
      <c r="K391" s="14"/>
      <c r="L391" s="14"/>
    </row>
    <row r="392" customFormat="false" ht="15" hidden="false" customHeight="false" outlineLevel="0" collapsed="false">
      <c r="A392" s="13"/>
      <c r="B392" s="14"/>
      <c r="C392" s="14"/>
      <c r="D392" s="14"/>
      <c r="E392" s="15"/>
      <c r="F392" s="14"/>
      <c r="G392" s="19" t="str">
        <f aca="false">IF(E392="","",IF(F392="Y",E392*Settings!$B$16,0))</f>
        <v/>
      </c>
      <c r="H392" s="19" t="str">
        <f aca="false">IF(E392="","",E392+G392)</f>
        <v/>
      </c>
      <c r="I392" s="14"/>
      <c r="J392" s="14"/>
      <c r="K392" s="14"/>
      <c r="L392" s="14"/>
    </row>
    <row r="393" customFormat="false" ht="15" hidden="false" customHeight="false" outlineLevel="0" collapsed="false">
      <c r="A393" s="13"/>
      <c r="B393" s="14"/>
      <c r="C393" s="14"/>
      <c r="D393" s="14"/>
      <c r="E393" s="15"/>
      <c r="F393" s="14"/>
      <c r="G393" s="19" t="str">
        <f aca="false">IF(E393="","",IF(F393="Y",E393*Settings!$B$16,0))</f>
        <v/>
      </c>
      <c r="H393" s="19" t="str">
        <f aca="false">IF(E393="","",E393+G393)</f>
        <v/>
      </c>
      <c r="I393" s="14"/>
      <c r="J393" s="14"/>
      <c r="K393" s="14"/>
      <c r="L393" s="14"/>
    </row>
    <row r="394" customFormat="false" ht="15" hidden="false" customHeight="false" outlineLevel="0" collapsed="false">
      <c r="A394" s="13"/>
      <c r="B394" s="14"/>
      <c r="C394" s="14"/>
      <c r="D394" s="14"/>
      <c r="E394" s="15"/>
      <c r="F394" s="14"/>
      <c r="G394" s="19" t="str">
        <f aca="false">IF(E394="","",IF(F394="Y",E394*Settings!$B$16,0))</f>
        <v/>
      </c>
      <c r="H394" s="19" t="str">
        <f aca="false">IF(E394="","",E394+G394)</f>
        <v/>
      </c>
      <c r="I394" s="14"/>
      <c r="J394" s="14"/>
      <c r="K394" s="14"/>
      <c r="L394" s="14"/>
    </row>
    <row r="395" customFormat="false" ht="15" hidden="false" customHeight="false" outlineLevel="0" collapsed="false">
      <c r="A395" s="13"/>
      <c r="B395" s="14"/>
      <c r="C395" s="14"/>
      <c r="D395" s="14"/>
      <c r="E395" s="15"/>
      <c r="F395" s="14"/>
      <c r="G395" s="19" t="str">
        <f aca="false">IF(E395="","",IF(F395="Y",E395*Settings!$B$16,0))</f>
        <v/>
      </c>
      <c r="H395" s="19" t="str">
        <f aca="false">IF(E395="","",E395+G395)</f>
        <v/>
      </c>
      <c r="I395" s="14"/>
      <c r="J395" s="14"/>
      <c r="K395" s="14"/>
      <c r="L395" s="14"/>
    </row>
    <row r="396" customFormat="false" ht="15" hidden="false" customHeight="false" outlineLevel="0" collapsed="false">
      <c r="A396" s="13"/>
      <c r="B396" s="14"/>
      <c r="C396" s="14"/>
      <c r="D396" s="14"/>
      <c r="E396" s="15"/>
      <c r="F396" s="14"/>
      <c r="G396" s="19" t="str">
        <f aca="false">IF(E396="","",IF(F396="Y",E396*Settings!$B$16,0))</f>
        <v/>
      </c>
      <c r="H396" s="19" t="str">
        <f aca="false">IF(E396="","",E396+G396)</f>
        <v/>
      </c>
      <c r="I396" s="14"/>
      <c r="J396" s="14"/>
      <c r="K396" s="14"/>
      <c r="L396" s="14"/>
    </row>
    <row r="397" customFormat="false" ht="15" hidden="false" customHeight="false" outlineLevel="0" collapsed="false">
      <c r="A397" s="13"/>
      <c r="B397" s="14"/>
      <c r="C397" s="14"/>
      <c r="D397" s="14"/>
      <c r="E397" s="15"/>
      <c r="F397" s="14"/>
      <c r="G397" s="19" t="str">
        <f aca="false">IF(E397="","",IF(F397="Y",E397*Settings!$B$16,0))</f>
        <v/>
      </c>
      <c r="H397" s="19" t="str">
        <f aca="false">IF(E397="","",E397+G397)</f>
        <v/>
      </c>
      <c r="I397" s="14"/>
      <c r="J397" s="14"/>
      <c r="K397" s="14"/>
      <c r="L397" s="14"/>
    </row>
    <row r="398" customFormat="false" ht="15" hidden="false" customHeight="false" outlineLevel="0" collapsed="false">
      <c r="A398" s="13"/>
      <c r="B398" s="14"/>
      <c r="C398" s="14"/>
      <c r="D398" s="14"/>
      <c r="E398" s="15"/>
      <c r="F398" s="14"/>
      <c r="G398" s="19" t="str">
        <f aca="false">IF(E398="","",IF(F398="Y",E398*Settings!$B$16,0))</f>
        <v/>
      </c>
      <c r="H398" s="19" t="str">
        <f aca="false">IF(E398="","",E398+G398)</f>
        <v/>
      </c>
      <c r="I398" s="14"/>
      <c r="J398" s="14"/>
      <c r="K398" s="14"/>
      <c r="L398" s="14"/>
    </row>
    <row r="399" customFormat="false" ht="15" hidden="false" customHeight="false" outlineLevel="0" collapsed="false">
      <c r="A399" s="13"/>
      <c r="B399" s="14"/>
      <c r="C399" s="14"/>
      <c r="D399" s="14"/>
      <c r="E399" s="15"/>
      <c r="F399" s="14"/>
      <c r="G399" s="19" t="str">
        <f aca="false">IF(E399="","",IF(F399="Y",E399*Settings!$B$16,0))</f>
        <v/>
      </c>
      <c r="H399" s="19" t="str">
        <f aca="false">IF(E399="","",E399+G399)</f>
        <v/>
      </c>
      <c r="I399" s="14"/>
      <c r="J399" s="14"/>
      <c r="K399" s="14"/>
      <c r="L399" s="14"/>
    </row>
    <row r="400" customFormat="false" ht="15" hidden="false" customHeight="false" outlineLevel="0" collapsed="false">
      <c r="A400" s="13"/>
      <c r="B400" s="14"/>
      <c r="C400" s="14"/>
      <c r="D400" s="14"/>
      <c r="E400" s="15"/>
      <c r="F400" s="14"/>
      <c r="G400" s="19" t="str">
        <f aca="false">IF(E400="","",IF(F400="Y",E400*Settings!$B$16,0))</f>
        <v/>
      </c>
      <c r="H400" s="19" t="str">
        <f aca="false">IF(E400="","",E400+G400)</f>
        <v/>
      </c>
      <c r="I400" s="14"/>
      <c r="J400" s="14"/>
      <c r="K400" s="14"/>
      <c r="L400" s="14"/>
    </row>
    <row r="401" customFormat="false" ht="15" hidden="false" customHeight="false" outlineLevel="0" collapsed="false">
      <c r="A401" s="13"/>
      <c r="B401" s="14"/>
      <c r="C401" s="14"/>
      <c r="D401" s="14"/>
      <c r="E401" s="15"/>
      <c r="F401" s="14"/>
      <c r="G401" s="19" t="str">
        <f aca="false">IF(E401="","",IF(F401="Y",E401*Settings!$B$16,0))</f>
        <v/>
      </c>
      <c r="H401" s="19" t="str">
        <f aca="false">IF(E401="","",E401+G401)</f>
        <v/>
      </c>
      <c r="I401" s="14"/>
      <c r="J401" s="14"/>
      <c r="K401" s="14"/>
      <c r="L401" s="14"/>
    </row>
    <row r="402" customFormat="false" ht="15" hidden="false" customHeight="false" outlineLevel="0" collapsed="false">
      <c r="A402" s="13"/>
      <c r="B402" s="14"/>
      <c r="C402" s="14"/>
      <c r="D402" s="14"/>
      <c r="E402" s="15"/>
      <c r="F402" s="14"/>
      <c r="G402" s="19" t="str">
        <f aca="false">IF(E402="","",IF(F402="Y",E402*Settings!$B$16,0))</f>
        <v/>
      </c>
      <c r="H402" s="19" t="str">
        <f aca="false">IF(E402="","",E402+G402)</f>
        <v/>
      </c>
      <c r="I402" s="14"/>
      <c r="J402" s="14"/>
      <c r="K402" s="14"/>
      <c r="L402" s="14"/>
    </row>
    <row r="403" customFormat="false" ht="15" hidden="false" customHeight="false" outlineLevel="0" collapsed="false">
      <c r="A403" s="13"/>
      <c r="B403" s="14"/>
      <c r="C403" s="14"/>
      <c r="D403" s="14"/>
      <c r="E403" s="15"/>
      <c r="F403" s="14"/>
      <c r="G403" s="19" t="str">
        <f aca="false">IF(E403="","",IF(F403="Y",E403*Settings!$B$16,0))</f>
        <v/>
      </c>
      <c r="H403" s="19" t="str">
        <f aca="false">IF(E403="","",E403+G403)</f>
        <v/>
      </c>
      <c r="I403" s="14"/>
      <c r="J403" s="14"/>
      <c r="K403" s="14"/>
      <c r="L403" s="14"/>
    </row>
    <row r="404" customFormat="false" ht="15" hidden="false" customHeight="false" outlineLevel="0" collapsed="false">
      <c r="A404" s="13"/>
      <c r="B404" s="14"/>
      <c r="C404" s="14"/>
      <c r="D404" s="14"/>
      <c r="E404" s="15"/>
      <c r="F404" s="14"/>
      <c r="G404" s="19" t="str">
        <f aca="false">IF(E404="","",IF(F404="Y",E404*Settings!$B$16,0))</f>
        <v/>
      </c>
      <c r="H404" s="19" t="str">
        <f aca="false">IF(E404="","",E404+G404)</f>
        <v/>
      </c>
      <c r="I404" s="14"/>
      <c r="J404" s="14"/>
      <c r="K404" s="14"/>
      <c r="L404" s="14"/>
    </row>
    <row r="405" customFormat="false" ht="15" hidden="false" customHeight="false" outlineLevel="0" collapsed="false">
      <c r="A405" s="13"/>
      <c r="B405" s="14"/>
      <c r="C405" s="14"/>
      <c r="D405" s="14"/>
      <c r="E405" s="15"/>
      <c r="F405" s="14"/>
      <c r="G405" s="19" t="str">
        <f aca="false">IF(E405="","",IF(F405="Y",E405*Settings!$B$16,0))</f>
        <v/>
      </c>
      <c r="H405" s="19" t="str">
        <f aca="false">IF(E405="","",E405+G405)</f>
        <v/>
      </c>
      <c r="I405" s="14"/>
      <c r="J405" s="14"/>
      <c r="K405" s="14"/>
      <c r="L405" s="14"/>
    </row>
    <row r="406" customFormat="false" ht="15" hidden="false" customHeight="false" outlineLevel="0" collapsed="false">
      <c r="A406" s="13"/>
      <c r="B406" s="14"/>
      <c r="C406" s="14"/>
      <c r="D406" s="14"/>
      <c r="E406" s="15"/>
      <c r="F406" s="14"/>
      <c r="G406" s="19" t="str">
        <f aca="false">IF(E406="","",IF(F406="Y",E406*Settings!$B$16,0))</f>
        <v/>
      </c>
      <c r="H406" s="19" t="str">
        <f aca="false">IF(E406="","",E406+G406)</f>
        <v/>
      </c>
      <c r="I406" s="14"/>
      <c r="J406" s="14"/>
      <c r="K406" s="14"/>
      <c r="L406" s="14"/>
    </row>
    <row r="407" customFormat="false" ht="15" hidden="false" customHeight="false" outlineLevel="0" collapsed="false">
      <c r="A407" s="13"/>
      <c r="B407" s="14"/>
      <c r="C407" s="14"/>
      <c r="D407" s="14"/>
      <c r="E407" s="15"/>
      <c r="F407" s="14"/>
      <c r="G407" s="19" t="str">
        <f aca="false">IF(E407="","",IF(F407="Y",E407*Settings!$B$16,0))</f>
        <v/>
      </c>
      <c r="H407" s="19" t="str">
        <f aca="false">IF(E407="","",E407+G407)</f>
        <v/>
      </c>
      <c r="I407" s="14"/>
      <c r="J407" s="14"/>
      <c r="K407" s="14"/>
      <c r="L407" s="14"/>
    </row>
    <row r="408" customFormat="false" ht="15" hidden="false" customHeight="false" outlineLevel="0" collapsed="false">
      <c r="A408" s="13"/>
      <c r="B408" s="14"/>
      <c r="C408" s="14"/>
      <c r="D408" s="14"/>
      <c r="E408" s="15"/>
      <c r="F408" s="14"/>
      <c r="G408" s="19" t="str">
        <f aca="false">IF(E408="","",IF(F408="Y",E408*Settings!$B$16,0))</f>
        <v/>
      </c>
      <c r="H408" s="19" t="str">
        <f aca="false">IF(E408="","",E408+G408)</f>
        <v/>
      </c>
      <c r="I408" s="14"/>
      <c r="J408" s="14"/>
      <c r="K408" s="14"/>
      <c r="L408" s="14"/>
    </row>
    <row r="409" customFormat="false" ht="15" hidden="false" customHeight="false" outlineLevel="0" collapsed="false">
      <c r="A409" s="13"/>
      <c r="B409" s="14"/>
      <c r="C409" s="14"/>
      <c r="D409" s="14"/>
      <c r="E409" s="15"/>
      <c r="F409" s="14"/>
      <c r="G409" s="19" t="str">
        <f aca="false">IF(E409="","",IF(F409="Y",E409*Settings!$B$16,0))</f>
        <v/>
      </c>
      <c r="H409" s="19" t="str">
        <f aca="false">IF(E409="","",E409+G409)</f>
        <v/>
      </c>
      <c r="I409" s="14"/>
      <c r="J409" s="14"/>
      <c r="K409" s="14"/>
      <c r="L409" s="14"/>
    </row>
    <row r="410" customFormat="false" ht="15" hidden="false" customHeight="false" outlineLevel="0" collapsed="false">
      <c r="A410" s="13"/>
      <c r="B410" s="14"/>
      <c r="C410" s="14"/>
      <c r="D410" s="14"/>
      <c r="E410" s="15"/>
      <c r="F410" s="14"/>
      <c r="G410" s="19" t="str">
        <f aca="false">IF(E410="","",IF(F410="Y",E410*Settings!$B$16,0))</f>
        <v/>
      </c>
      <c r="H410" s="19" t="str">
        <f aca="false">IF(E410="","",E410+G410)</f>
        <v/>
      </c>
      <c r="I410" s="14"/>
      <c r="J410" s="14"/>
      <c r="K410" s="14"/>
      <c r="L410" s="14"/>
    </row>
    <row r="411" customFormat="false" ht="15" hidden="false" customHeight="false" outlineLevel="0" collapsed="false">
      <c r="A411" s="13"/>
      <c r="B411" s="14"/>
      <c r="C411" s="14"/>
      <c r="D411" s="14"/>
      <c r="E411" s="15"/>
      <c r="F411" s="14"/>
      <c r="G411" s="19" t="str">
        <f aca="false">IF(E411="","",IF(F411="Y",E411*Settings!$B$16,0))</f>
        <v/>
      </c>
      <c r="H411" s="19" t="str">
        <f aca="false">IF(E411="","",E411+G411)</f>
        <v/>
      </c>
      <c r="I411" s="14"/>
      <c r="J411" s="14"/>
      <c r="K411" s="14"/>
      <c r="L411" s="14"/>
    </row>
    <row r="412" customFormat="false" ht="15" hidden="false" customHeight="false" outlineLevel="0" collapsed="false">
      <c r="A412" s="13"/>
      <c r="B412" s="14"/>
      <c r="C412" s="14"/>
      <c r="D412" s="14"/>
      <c r="E412" s="15"/>
      <c r="F412" s="14"/>
      <c r="G412" s="19" t="str">
        <f aca="false">IF(E412="","",IF(F412="Y",E412*Settings!$B$16,0))</f>
        <v/>
      </c>
      <c r="H412" s="19" t="str">
        <f aca="false">IF(E412="","",E412+G412)</f>
        <v/>
      </c>
      <c r="I412" s="14"/>
      <c r="J412" s="14"/>
      <c r="K412" s="14"/>
      <c r="L412" s="14"/>
    </row>
    <row r="413" customFormat="false" ht="15" hidden="false" customHeight="false" outlineLevel="0" collapsed="false">
      <c r="A413" s="13"/>
      <c r="B413" s="14"/>
      <c r="C413" s="14"/>
      <c r="D413" s="14"/>
      <c r="E413" s="15"/>
      <c r="F413" s="14"/>
      <c r="G413" s="19" t="str">
        <f aca="false">IF(E413="","",IF(F413="Y",E413*Settings!$B$16,0))</f>
        <v/>
      </c>
      <c r="H413" s="19" t="str">
        <f aca="false">IF(E413="","",E413+G413)</f>
        <v/>
      </c>
      <c r="I413" s="14"/>
      <c r="J413" s="14"/>
      <c r="K413" s="14"/>
      <c r="L413" s="14"/>
    </row>
    <row r="414" customFormat="false" ht="15" hidden="false" customHeight="false" outlineLevel="0" collapsed="false">
      <c r="A414" s="13"/>
      <c r="B414" s="14"/>
      <c r="C414" s="14"/>
      <c r="D414" s="14"/>
      <c r="E414" s="15"/>
      <c r="F414" s="14"/>
      <c r="G414" s="19" t="str">
        <f aca="false">IF(E414="","",IF(F414="Y",E414*Settings!$B$16,0))</f>
        <v/>
      </c>
      <c r="H414" s="19" t="str">
        <f aca="false">IF(E414="","",E414+G414)</f>
        <v/>
      </c>
      <c r="I414" s="14"/>
      <c r="J414" s="14"/>
      <c r="K414" s="14"/>
      <c r="L414" s="14"/>
    </row>
    <row r="415" customFormat="false" ht="15" hidden="false" customHeight="false" outlineLevel="0" collapsed="false">
      <c r="A415" s="13"/>
      <c r="B415" s="14"/>
      <c r="C415" s="14"/>
      <c r="D415" s="14"/>
      <c r="E415" s="15"/>
      <c r="F415" s="14"/>
      <c r="G415" s="19" t="str">
        <f aca="false">IF(E415="","",IF(F415="Y",E415*Settings!$B$16,0))</f>
        <v/>
      </c>
      <c r="H415" s="19" t="str">
        <f aca="false">IF(E415="","",E415+G415)</f>
        <v/>
      </c>
      <c r="I415" s="14"/>
      <c r="J415" s="14"/>
      <c r="K415" s="14"/>
      <c r="L415" s="14"/>
    </row>
    <row r="416" customFormat="false" ht="15" hidden="false" customHeight="false" outlineLevel="0" collapsed="false">
      <c r="A416" s="13"/>
      <c r="B416" s="14"/>
      <c r="C416" s="14"/>
      <c r="D416" s="14"/>
      <c r="E416" s="15"/>
      <c r="F416" s="14"/>
      <c r="G416" s="19" t="str">
        <f aca="false">IF(E416="","",IF(F416="Y",E416*Settings!$B$16,0))</f>
        <v/>
      </c>
      <c r="H416" s="19" t="str">
        <f aca="false">IF(E416="","",E416+G416)</f>
        <v/>
      </c>
      <c r="I416" s="14"/>
      <c r="J416" s="14"/>
      <c r="K416" s="14"/>
      <c r="L416" s="14"/>
    </row>
    <row r="417" customFormat="false" ht="15" hidden="false" customHeight="false" outlineLevel="0" collapsed="false">
      <c r="A417" s="13"/>
      <c r="B417" s="14"/>
      <c r="C417" s="14"/>
      <c r="D417" s="14"/>
      <c r="E417" s="15"/>
      <c r="F417" s="14"/>
      <c r="G417" s="19" t="str">
        <f aca="false">IF(E417="","",IF(F417="Y",E417*Settings!$B$16,0))</f>
        <v/>
      </c>
      <c r="H417" s="19" t="str">
        <f aca="false">IF(E417="","",E417+G417)</f>
        <v/>
      </c>
      <c r="I417" s="14"/>
      <c r="J417" s="14"/>
      <c r="K417" s="14"/>
      <c r="L417" s="14"/>
    </row>
    <row r="418" customFormat="false" ht="15" hidden="false" customHeight="false" outlineLevel="0" collapsed="false">
      <c r="A418" s="13"/>
      <c r="B418" s="14"/>
      <c r="C418" s="14"/>
      <c r="D418" s="14"/>
      <c r="E418" s="15"/>
      <c r="F418" s="14"/>
      <c r="G418" s="19" t="str">
        <f aca="false">IF(E418="","",IF(F418="Y",E418*Settings!$B$16,0))</f>
        <v/>
      </c>
      <c r="H418" s="19" t="str">
        <f aca="false">IF(E418="","",E418+G418)</f>
        <v/>
      </c>
      <c r="I418" s="14"/>
      <c r="J418" s="14"/>
      <c r="K418" s="14"/>
      <c r="L418" s="14"/>
    </row>
    <row r="419" customFormat="false" ht="15" hidden="false" customHeight="false" outlineLevel="0" collapsed="false">
      <c r="A419" s="13"/>
      <c r="B419" s="14"/>
      <c r="C419" s="14"/>
      <c r="D419" s="14"/>
      <c r="E419" s="15"/>
      <c r="F419" s="14"/>
      <c r="G419" s="19" t="str">
        <f aca="false">IF(E419="","",IF(F419="Y",E419*Settings!$B$16,0))</f>
        <v/>
      </c>
      <c r="H419" s="19" t="str">
        <f aca="false">IF(E419="","",E419+G419)</f>
        <v/>
      </c>
      <c r="I419" s="14"/>
      <c r="J419" s="14"/>
      <c r="K419" s="14"/>
      <c r="L419" s="14"/>
    </row>
    <row r="420" customFormat="false" ht="15" hidden="false" customHeight="false" outlineLevel="0" collapsed="false">
      <c r="A420" s="13"/>
      <c r="B420" s="14"/>
      <c r="C420" s="14"/>
      <c r="D420" s="14"/>
      <c r="E420" s="15"/>
      <c r="F420" s="14"/>
      <c r="G420" s="19" t="str">
        <f aca="false">IF(E420="","",IF(F420="Y",E420*Settings!$B$16,0))</f>
        <v/>
      </c>
      <c r="H420" s="19" t="str">
        <f aca="false">IF(E420="","",E420+G420)</f>
        <v/>
      </c>
      <c r="I420" s="14"/>
      <c r="J420" s="14"/>
      <c r="K420" s="14"/>
      <c r="L420" s="14"/>
    </row>
    <row r="421" customFormat="false" ht="15" hidden="false" customHeight="false" outlineLevel="0" collapsed="false">
      <c r="A421" s="13"/>
      <c r="B421" s="14"/>
      <c r="C421" s="14"/>
      <c r="D421" s="14"/>
      <c r="E421" s="15"/>
      <c r="F421" s="14"/>
      <c r="G421" s="19" t="str">
        <f aca="false">IF(E421="","",IF(F421="Y",E421*Settings!$B$16,0))</f>
        <v/>
      </c>
      <c r="H421" s="19" t="str">
        <f aca="false">IF(E421="","",E421+G421)</f>
        <v/>
      </c>
      <c r="I421" s="14"/>
      <c r="J421" s="14"/>
      <c r="K421" s="14"/>
      <c r="L421" s="14"/>
    </row>
    <row r="422" customFormat="false" ht="15" hidden="false" customHeight="false" outlineLevel="0" collapsed="false">
      <c r="A422" s="13"/>
      <c r="B422" s="14"/>
      <c r="C422" s="14"/>
      <c r="D422" s="14"/>
      <c r="E422" s="15"/>
      <c r="F422" s="14"/>
      <c r="G422" s="19" t="str">
        <f aca="false">IF(E422="","",IF(F422="Y",E422*Settings!$B$16,0))</f>
        <v/>
      </c>
      <c r="H422" s="19" t="str">
        <f aca="false">IF(E422="","",E422+G422)</f>
        <v/>
      </c>
      <c r="I422" s="14"/>
      <c r="J422" s="14"/>
      <c r="K422" s="14"/>
      <c r="L422" s="14"/>
    </row>
    <row r="423" customFormat="false" ht="15" hidden="false" customHeight="false" outlineLevel="0" collapsed="false">
      <c r="A423" s="13"/>
      <c r="B423" s="14"/>
      <c r="C423" s="14"/>
      <c r="D423" s="14"/>
      <c r="E423" s="15"/>
      <c r="F423" s="14"/>
      <c r="G423" s="19" t="str">
        <f aca="false">IF(E423="","",IF(F423="Y",E423*Settings!$B$16,0))</f>
        <v/>
      </c>
      <c r="H423" s="19" t="str">
        <f aca="false">IF(E423="","",E423+G423)</f>
        <v/>
      </c>
      <c r="I423" s="14"/>
      <c r="J423" s="14"/>
      <c r="K423" s="14"/>
      <c r="L423" s="14"/>
    </row>
    <row r="424" customFormat="false" ht="15" hidden="false" customHeight="false" outlineLevel="0" collapsed="false">
      <c r="A424" s="13"/>
      <c r="B424" s="14"/>
      <c r="C424" s="14"/>
      <c r="D424" s="14"/>
      <c r="E424" s="15"/>
      <c r="F424" s="14"/>
      <c r="G424" s="19" t="str">
        <f aca="false">IF(E424="","",IF(F424="Y",E424*Settings!$B$16,0))</f>
        <v/>
      </c>
      <c r="H424" s="19" t="str">
        <f aca="false">IF(E424="","",E424+G424)</f>
        <v/>
      </c>
      <c r="I424" s="14"/>
      <c r="J424" s="14"/>
      <c r="K424" s="14"/>
      <c r="L424" s="14"/>
    </row>
    <row r="425" customFormat="false" ht="15" hidden="false" customHeight="false" outlineLevel="0" collapsed="false">
      <c r="A425" s="13"/>
      <c r="B425" s="14"/>
      <c r="C425" s="14"/>
      <c r="D425" s="14"/>
      <c r="E425" s="15"/>
      <c r="F425" s="14"/>
      <c r="G425" s="19" t="str">
        <f aca="false">IF(E425="","",IF(F425="Y",E425*Settings!$B$16,0))</f>
        <v/>
      </c>
      <c r="H425" s="19" t="str">
        <f aca="false">IF(E425="","",E425+G425)</f>
        <v/>
      </c>
      <c r="I425" s="14"/>
      <c r="J425" s="14"/>
      <c r="K425" s="14"/>
      <c r="L425" s="14"/>
    </row>
    <row r="426" customFormat="false" ht="15" hidden="false" customHeight="false" outlineLevel="0" collapsed="false">
      <c r="A426" s="13"/>
      <c r="B426" s="14"/>
      <c r="C426" s="14"/>
      <c r="D426" s="14"/>
      <c r="E426" s="15"/>
      <c r="F426" s="14"/>
      <c r="G426" s="19" t="str">
        <f aca="false">IF(E426="","",IF(F426="Y",E426*Settings!$B$16,0))</f>
        <v/>
      </c>
      <c r="H426" s="19" t="str">
        <f aca="false">IF(E426="","",E426+G426)</f>
        <v/>
      </c>
      <c r="I426" s="14"/>
      <c r="J426" s="14"/>
      <c r="K426" s="14"/>
      <c r="L426" s="14"/>
    </row>
    <row r="427" customFormat="false" ht="15" hidden="false" customHeight="false" outlineLevel="0" collapsed="false">
      <c r="A427" s="13"/>
      <c r="B427" s="14"/>
      <c r="C427" s="14"/>
      <c r="D427" s="14"/>
      <c r="E427" s="15"/>
      <c r="F427" s="14"/>
      <c r="G427" s="19" t="str">
        <f aca="false">IF(E427="","",IF(F427="Y",E427*Settings!$B$16,0))</f>
        <v/>
      </c>
      <c r="H427" s="19" t="str">
        <f aca="false">IF(E427="","",E427+G427)</f>
        <v/>
      </c>
      <c r="I427" s="14"/>
      <c r="J427" s="14"/>
      <c r="K427" s="14"/>
      <c r="L427" s="14"/>
    </row>
    <row r="428" customFormat="false" ht="15" hidden="false" customHeight="false" outlineLevel="0" collapsed="false">
      <c r="A428" s="13"/>
      <c r="B428" s="14"/>
      <c r="C428" s="14"/>
      <c r="D428" s="14"/>
      <c r="E428" s="15"/>
      <c r="F428" s="14"/>
      <c r="G428" s="19" t="str">
        <f aca="false">IF(E428="","",IF(F428="Y",E428*Settings!$B$16,0))</f>
        <v/>
      </c>
      <c r="H428" s="19" t="str">
        <f aca="false">IF(E428="","",E428+G428)</f>
        <v/>
      </c>
      <c r="I428" s="14"/>
      <c r="J428" s="14"/>
      <c r="K428" s="14"/>
      <c r="L428" s="14"/>
    </row>
    <row r="429" customFormat="false" ht="15" hidden="false" customHeight="false" outlineLevel="0" collapsed="false">
      <c r="A429" s="13"/>
      <c r="B429" s="14"/>
      <c r="C429" s="14"/>
      <c r="D429" s="14"/>
      <c r="E429" s="15"/>
      <c r="F429" s="14"/>
      <c r="G429" s="19" t="str">
        <f aca="false">IF(E429="","",IF(F429="Y",E429*Settings!$B$16,0))</f>
        <v/>
      </c>
      <c r="H429" s="19" t="str">
        <f aca="false">IF(E429="","",E429+G429)</f>
        <v/>
      </c>
      <c r="I429" s="14"/>
      <c r="J429" s="14"/>
      <c r="K429" s="14"/>
      <c r="L429" s="14"/>
    </row>
    <row r="430" customFormat="false" ht="15" hidden="false" customHeight="false" outlineLevel="0" collapsed="false">
      <c r="A430" s="13"/>
      <c r="B430" s="14"/>
      <c r="C430" s="14"/>
      <c r="D430" s="14"/>
      <c r="E430" s="15"/>
      <c r="F430" s="14"/>
      <c r="G430" s="19" t="str">
        <f aca="false">IF(E430="","",IF(F430="Y",E430*Settings!$B$16,0))</f>
        <v/>
      </c>
      <c r="H430" s="19" t="str">
        <f aca="false">IF(E430="","",E430+G430)</f>
        <v/>
      </c>
      <c r="I430" s="14"/>
      <c r="J430" s="14"/>
      <c r="K430" s="14"/>
      <c r="L430" s="14"/>
    </row>
    <row r="431" customFormat="false" ht="15" hidden="false" customHeight="false" outlineLevel="0" collapsed="false">
      <c r="A431" s="13"/>
      <c r="B431" s="14"/>
      <c r="C431" s="14"/>
      <c r="D431" s="14"/>
      <c r="E431" s="15"/>
      <c r="F431" s="14"/>
      <c r="G431" s="19" t="str">
        <f aca="false">IF(E431="","",IF(F431="Y",E431*Settings!$B$16,0))</f>
        <v/>
      </c>
      <c r="H431" s="19" t="str">
        <f aca="false">IF(E431="","",E431+G431)</f>
        <v/>
      </c>
      <c r="I431" s="14"/>
      <c r="J431" s="14"/>
      <c r="K431" s="14"/>
      <c r="L431" s="14"/>
    </row>
    <row r="432" customFormat="false" ht="15" hidden="false" customHeight="false" outlineLevel="0" collapsed="false">
      <c r="A432" s="13"/>
      <c r="B432" s="14"/>
      <c r="C432" s="14"/>
      <c r="D432" s="14"/>
      <c r="E432" s="15"/>
      <c r="F432" s="14"/>
      <c r="G432" s="19" t="str">
        <f aca="false">IF(E432="","",IF(F432="Y",E432*Settings!$B$16,0))</f>
        <v/>
      </c>
      <c r="H432" s="19" t="str">
        <f aca="false">IF(E432="","",E432+G432)</f>
        <v/>
      </c>
      <c r="I432" s="14"/>
      <c r="J432" s="14"/>
      <c r="K432" s="14"/>
      <c r="L432" s="14"/>
    </row>
    <row r="433" customFormat="false" ht="15" hidden="false" customHeight="false" outlineLevel="0" collapsed="false">
      <c r="A433" s="13"/>
      <c r="B433" s="14"/>
      <c r="C433" s="14"/>
      <c r="D433" s="14"/>
      <c r="E433" s="15"/>
      <c r="F433" s="14"/>
      <c r="G433" s="19" t="str">
        <f aca="false">IF(E433="","",IF(F433="Y",E433*Settings!$B$16,0))</f>
        <v/>
      </c>
      <c r="H433" s="19" t="str">
        <f aca="false">IF(E433="","",E433+G433)</f>
        <v/>
      </c>
      <c r="I433" s="14"/>
      <c r="J433" s="14"/>
      <c r="K433" s="14"/>
      <c r="L433" s="14"/>
    </row>
    <row r="434" customFormat="false" ht="15" hidden="false" customHeight="false" outlineLevel="0" collapsed="false">
      <c r="A434" s="13"/>
      <c r="B434" s="14"/>
      <c r="C434" s="14"/>
      <c r="D434" s="14"/>
      <c r="E434" s="15"/>
      <c r="F434" s="14"/>
      <c r="G434" s="19" t="str">
        <f aca="false">IF(E434="","",IF(F434="Y",E434*Settings!$B$16,0))</f>
        <v/>
      </c>
      <c r="H434" s="19" t="str">
        <f aca="false">IF(E434="","",E434+G434)</f>
        <v/>
      </c>
      <c r="I434" s="14"/>
      <c r="J434" s="14"/>
      <c r="K434" s="14"/>
      <c r="L434" s="14"/>
    </row>
    <row r="435" customFormat="false" ht="15" hidden="false" customHeight="false" outlineLevel="0" collapsed="false">
      <c r="A435" s="13"/>
      <c r="B435" s="14"/>
      <c r="C435" s="14"/>
      <c r="D435" s="14"/>
      <c r="E435" s="15"/>
      <c r="F435" s="14"/>
      <c r="G435" s="19" t="str">
        <f aca="false">IF(E435="","",IF(F435="Y",E435*Settings!$B$16,0))</f>
        <v/>
      </c>
      <c r="H435" s="19" t="str">
        <f aca="false">IF(E435="","",E435+G435)</f>
        <v/>
      </c>
      <c r="I435" s="14"/>
      <c r="J435" s="14"/>
      <c r="K435" s="14"/>
      <c r="L435" s="14"/>
    </row>
    <row r="436" customFormat="false" ht="15" hidden="false" customHeight="false" outlineLevel="0" collapsed="false">
      <c r="A436" s="13"/>
      <c r="B436" s="14"/>
      <c r="C436" s="14"/>
      <c r="D436" s="14"/>
      <c r="E436" s="15"/>
      <c r="F436" s="14"/>
      <c r="G436" s="19" t="str">
        <f aca="false">IF(E436="","",IF(F436="Y",E436*Settings!$B$16,0))</f>
        <v/>
      </c>
      <c r="H436" s="19" t="str">
        <f aca="false">IF(E436="","",E436+G436)</f>
        <v/>
      </c>
      <c r="I436" s="14"/>
      <c r="J436" s="14"/>
      <c r="K436" s="14"/>
      <c r="L436" s="14"/>
    </row>
    <row r="437" customFormat="false" ht="15" hidden="false" customHeight="false" outlineLevel="0" collapsed="false">
      <c r="A437" s="13"/>
      <c r="B437" s="14"/>
      <c r="C437" s="14"/>
      <c r="D437" s="14"/>
      <c r="E437" s="15"/>
      <c r="F437" s="14"/>
      <c r="G437" s="19" t="str">
        <f aca="false">IF(E437="","",IF(F437="Y",E437*Settings!$B$16,0))</f>
        <v/>
      </c>
      <c r="H437" s="19" t="str">
        <f aca="false">IF(E437="","",E437+G437)</f>
        <v/>
      </c>
      <c r="I437" s="14"/>
      <c r="J437" s="14"/>
      <c r="K437" s="14"/>
      <c r="L437" s="14"/>
    </row>
    <row r="438" customFormat="false" ht="15" hidden="false" customHeight="false" outlineLevel="0" collapsed="false">
      <c r="A438" s="13"/>
      <c r="B438" s="14"/>
      <c r="C438" s="14"/>
      <c r="D438" s="14"/>
      <c r="E438" s="15"/>
      <c r="F438" s="14"/>
      <c r="G438" s="19" t="str">
        <f aca="false">IF(E438="","",IF(F438="Y",E438*Settings!$B$16,0))</f>
        <v/>
      </c>
      <c r="H438" s="19" t="str">
        <f aca="false">IF(E438="","",E438+G438)</f>
        <v/>
      </c>
      <c r="I438" s="14"/>
      <c r="J438" s="14"/>
      <c r="K438" s="14"/>
      <c r="L438" s="14"/>
    </row>
    <row r="439" customFormat="false" ht="15" hidden="false" customHeight="false" outlineLevel="0" collapsed="false">
      <c r="A439" s="13"/>
      <c r="B439" s="14"/>
      <c r="C439" s="14"/>
      <c r="D439" s="14"/>
      <c r="E439" s="15"/>
      <c r="F439" s="14"/>
      <c r="G439" s="19" t="str">
        <f aca="false">IF(E439="","",IF(F439="Y",E439*Settings!$B$16,0))</f>
        <v/>
      </c>
      <c r="H439" s="19" t="str">
        <f aca="false">IF(E439="","",E439+G439)</f>
        <v/>
      </c>
      <c r="I439" s="14"/>
      <c r="J439" s="14"/>
      <c r="K439" s="14"/>
      <c r="L439" s="14"/>
    </row>
    <row r="440" customFormat="false" ht="15" hidden="false" customHeight="false" outlineLevel="0" collapsed="false">
      <c r="A440" s="13"/>
      <c r="B440" s="14"/>
      <c r="C440" s="14"/>
      <c r="D440" s="14"/>
      <c r="E440" s="15"/>
      <c r="F440" s="14"/>
      <c r="G440" s="19" t="str">
        <f aca="false">IF(E440="","",IF(F440="Y",E440*Settings!$B$16,0))</f>
        <v/>
      </c>
      <c r="H440" s="19" t="str">
        <f aca="false">IF(E440="","",E440+G440)</f>
        <v/>
      </c>
      <c r="I440" s="14"/>
      <c r="J440" s="14"/>
      <c r="K440" s="14"/>
      <c r="L440" s="14"/>
    </row>
    <row r="441" customFormat="false" ht="15" hidden="false" customHeight="false" outlineLevel="0" collapsed="false">
      <c r="A441" s="13"/>
      <c r="B441" s="14"/>
      <c r="C441" s="14"/>
      <c r="D441" s="14"/>
      <c r="E441" s="15"/>
      <c r="F441" s="14"/>
      <c r="G441" s="19" t="str">
        <f aca="false">IF(E441="","",IF(F441="Y",E441*Settings!$B$16,0))</f>
        <v/>
      </c>
      <c r="H441" s="19" t="str">
        <f aca="false">IF(E441="","",E441+G441)</f>
        <v/>
      </c>
      <c r="I441" s="14"/>
      <c r="J441" s="14"/>
      <c r="K441" s="14"/>
      <c r="L441" s="14"/>
    </row>
    <row r="442" customFormat="false" ht="15" hidden="false" customHeight="false" outlineLevel="0" collapsed="false">
      <c r="A442" s="13"/>
      <c r="B442" s="14"/>
      <c r="C442" s="14"/>
      <c r="D442" s="14"/>
      <c r="E442" s="15"/>
      <c r="F442" s="14"/>
      <c r="G442" s="19" t="str">
        <f aca="false">IF(E442="","",IF(F442="Y",E442*Settings!$B$16,0))</f>
        <v/>
      </c>
      <c r="H442" s="19" t="str">
        <f aca="false">IF(E442="","",E442+G442)</f>
        <v/>
      </c>
      <c r="I442" s="14"/>
      <c r="J442" s="14"/>
      <c r="K442" s="14"/>
      <c r="L442" s="14"/>
    </row>
    <row r="443" customFormat="false" ht="15" hidden="false" customHeight="false" outlineLevel="0" collapsed="false">
      <c r="A443" s="13"/>
      <c r="B443" s="14"/>
      <c r="C443" s="14"/>
      <c r="D443" s="14"/>
      <c r="E443" s="15"/>
      <c r="F443" s="14"/>
      <c r="G443" s="19" t="str">
        <f aca="false">IF(E443="","",IF(F443="Y",E443*Settings!$B$16,0))</f>
        <v/>
      </c>
      <c r="H443" s="19" t="str">
        <f aca="false">IF(E443="","",E443+G443)</f>
        <v/>
      </c>
      <c r="I443" s="14"/>
      <c r="J443" s="14"/>
      <c r="K443" s="14"/>
      <c r="L443" s="14"/>
    </row>
    <row r="444" customFormat="false" ht="15" hidden="false" customHeight="false" outlineLevel="0" collapsed="false">
      <c r="A444" s="13"/>
      <c r="B444" s="14"/>
      <c r="C444" s="14"/>
      <c r="D444" s="14"/>
      <c r="E444" s="15"/>
      <c r="F444" s="14"/>
      <c r="G444" s="19" t="str">
        <f aca="false">IF(E444="","",IF(F444="Y",E444*Settings!$B$16,0))</f>
        <v/>
      </c>
      <c r="H444" s="19" t="str">
        <f aca="false">IF(E444="","",E444+G444)</f>
        <v/>
      </c>
      <c r="I444" s="14"/>
      <c r="J444" s="14"/>
      <c r="K444" s="14"/>
      <c r="L444" s="14"/>
    </row>
    <row r="445" customFormat="false" ht="15" hidden="false" customHeight="false" outlineLevel="0" collapsed="false">
      <c r="A445" s="13"/>
      <c r="B445" s="14"/>
      <c r="C445" s="14"/>
      <c r="D445" s="14"/>
      <c r="E445" s="15"/>
      <c r="F445" s="14"/>
      <c r="G445" s="19" t="str">
        <f aca="false">IF(E445="","",IF(F445="Y",E445*Settings!$B$16,0))</f>
        <v/>
      </c>
      <c r="H445" s="19" t="str">
        <f aca="false">IF(E445="","",E445+G445)</f>
        <v/>
      </c>
      <c r="I445" s="14"/>
      <c r="J445" s="14"/>
      <c r="K445" s="14"/>
      <c r="L445" s="14"/>
    </row>
    <row r="446" customFormat="false" ht="15" hidden="false" customHeight="false" outlineLevel="0" collapsed="false">
      <c r="A446" s="13"/>
      <c r="B446" s="14"/>
      <c r="C446" s="14"/>
      <c r="D446" s="14"/>
      <c r="E446" s="15"/>
      <c r="F446" s="14"/>
      <c r="G446" s="19" t="str">
        <f aca="false">IF(E446="","",IF(F446="Y",E446*Settings!$B$16,0))</f>
        <v/>
      </c>
      <c r="H446" s="19" t="str">
        <f aca="false">IF(E446="","",E446+G446)</f>
        <v/>
      </c>
      <c r="I446" s="14"/>
      <c r="J446" s="14"/>
      <c r="K446" s="14"/>
      <c r="L446" s="14"/>
    </row>
    <row r="447" customFormat="false" ht="15" hidden="false" customHeight="false" outlineLevel="0" collapsed="false">
      <c r="A447" s="13"/>
      <c r="B447" s="14"/>
      <c r="C447" s="14"/>
      <c r="D447" s="14"/>
      <c r="E447" s="15"/>
      <c r="F447" s="14"/>
      <c r="G447" s="19" t="str">
        <f aca="false">IF(E447="","",IF(F447="Y",E447*Settings!$B$16,0))</f>
        <v/>
      </c>
      <c r="H447" s="19" t="str">
        <f aca="false">IF(E447="","",E447+G447)</f>
        <v/>
      </c>
      <c r="I447" s="14"/>
      <c r="J447" s="14"/>
      <c r="K447" s="14"/>
      <c r="L447" s="14"/>
    </row>
    <row r="448" customFormat="false" ht="15" hidden="false" customHeight="false" outlineLevel="0" collapsed="false">
      <c r="A448" s="13"/>
      <c r="B448" s="14"/>
      <c r="C448" s="14"/>
      <c r="D448" s="14"/>
      <c r="E448" s="15"/>
      <c r="F448" s="14"/>
      <c r="G448" s="19" t="str">
        <f aca="false">IF(E448="","",IF(F448="Y",E448*Settings!$B$16,0))</f>
        <v/>
      </c>
      <c r="H448" s="19" t="str">
        <f aca="false">IF(E448="","",E448+G448)</f>
        <v/>
      </c>
      <c r="I448" s="14"/>
      <c r="J448" s="14"/>
      <c r="K448" s="14"/>
      <c r="L448" s="14"/>
    </row>
    <row r="449" customFormat="false" ht="15" hidden="false" customHeight="false" outlineLevel="0" collapsed="false">
      <c r="A449" s="13"/>
      <c r="B449" s="14"/>
      <c r="C449" s="14"/>
      <c r="D449" s="14"/>
      <c r="E449" s="15"/>
      <c r="F449" s="14"/>
      <c r="G449" s="19" t="str">
        <f aca="false">IF(E449="","",IF(F449="Y",E449*Settings!$B$16,0))</f>
        <v/>
      </c>
      <c r="H449" s="19" t="str">
        <f aca="false">IF(E449="","",E449+G449)</f>
        <v/>
      </c>
      <c r="I449" s="14"/>
      <c r="J449" s="14"/>
      <c r="K449" s="14"/>
      <c r="L449" s="14"/>
    </row>
    <row r="450" customFormat="false" ht="15" hidden="false" customHeight="false" outlineLevel="0" collapsed="false">
      <c r="A450" s="13"/>
      <c r="B450" s="14"/>
      <c r="C450" s="14"/>
      <c r="D450" s="14"/>
      <c r="E450" s="15"/>
      <c r="F450" s="14"/>
      <c r="G450" s="19" t="str">
        <f aca="false">IF(E450="","",IF(F450="Y",E450*Settings!$B$16,0))</f>
        <v/>
      </c>
      <c r="H450" s="19" t="str">
        <f aca="false">IF(E450="","",E450+G450)</f>
        <v/>
      </c>
      <c r="I450" s="14"/>
      <c r="J450" s="14"/>
      <c r="K450" s="14"/>
      <c r="L450" s="14"/>
    </row>
    <row r="451" customFormat="false" ht="15" hidden="false" customHeight="false" outlineLevel="0" collapsed="false">
      <c r="A451" s="13"/>
      <c r="B451" s="14"/>
      <c r="C451" s="14"/>
      <c r="D451" s="14"/>
      <c r="E451" s="15"/>
      <c r="F451" s="14"/>
      <c r="G451" s="19" t="str">
        <f aca="false">IF(E451="","",IF(F451="Y",E451*Settings!$B$16,0))</f>
        <v/>
      </c>
      <c r="H451" s="19" t="str">
        <f aca="false">IF(E451="","",E451+G451)</f>
        <v/>
      </c>
      <c r="I451" s="14"/>
      <c r="J451" s="14"/>
      <c r="K451" s="14"/>
      <c r="L451" s="14"/>
    </row>
    <row r="452" customFormat="false" ht="15" hidden="false" customHeight="false" outlineLevel="0" collapsed="false">
      <c r="A452" s="13"/>
      <c r="B452" s="14"/>
      <c r="C452" s="14"/>
      <c r="D452" s="14"/>
      <c r="E452" s="15"/>
      <c r="F452" s="14"/>
      <c r="G452" s="19" t="str">
        <f aca="false">IF(E452="","",IF(F452="Y",E452*Settings!$B$16,0))</f>
        <v/>
      </c>
      <c r="H452" s="19" t="str">
        <f aca="false">IF(E452="","",E452+G452)</f>
        <v/>
      </c>
      <c r="I452" s="14"/>
      <c r="J452" s="14"/>
      <c r="K452" s="14"/>
      <c r="L452" s="14"/>
    </row>
    <row r="453" customFormat="false" ht="15" hidden="false" customHeight="false" outlineLevel="0" collapsed="false">
      <c r="A453" s="13"/>
      <c r="B453" s="14"/>
      <c r="C453" s="14"/>
      <c r="D453" s="14"/>
      <c r="E453" s="15"/>
      <c r="F453" s="14"/>
      <c r="G453" s="19" t="str">
        <f aca="false">IF(E453="","",IF(F453="Y",E453*Settings!$B$16,0))</f>
        <v/>
      </c>
      <c r="H453" s="19" t="str">
        <f aca="false">IF(E453="","",E453+G453)</f>
        <v/>
      </c>
      <c r="I453" s="14"/>
      <c r="J453" s="14"/>
      <c r="K453" s="14"/>
      <c r="L453" s="14"/>
    </row>
    <row r="454" customFormat="false" ht="15" hidden="false" customHeight="false" outlineLevel="0" collapsed="false">
      <c r="A454" s="13"/>
      <c r="B454" s="14"/>
      <c r="C454" s="14"/>
      <c r="D454" s="14"/>
      <c r="E454" s="15"/>
      <c r="F454" s="14"/>
      <c r="G454" s="19" t="str">
        <f aca="false">IF(E454="","",IF(F454="Y",E454*Settings!$B$16,0))</f>
        <v/>
      </c>
      <c r="H454" s="19" t="str">
        <f aca="false">IF(E454="","",E454+G454)</f>
        <v/>
      </c>
      <c r="I454" s="14"/>
      <c r="J454" s="14"/>
      <c r="K454" s="14"/>
      <c r="L454" s="14"/>
    </row>
    <row r="455" customFormat="false" ht="15" hidden="false" customHeight="false" outlineLevel="0" collapsed="false">
      <c r="A455" s="13"/>
      <c r="B455" s="14"/>
      <c r="C455" s="14"/>
      <c r="D455" s="14"/>
      <c r="E455" s="15"/>
      <c r="F455" s="14"/>
      <c r="G455" s="19" t="str">
        <f aca="false">IF(E455="","",IF(F455="Y",E455*Settings!$B$16,0))</f>
        <v/>
      </c>
      <c r="H455" s="19" t="str">
        <f aca="false">IF(E455="","",E455+G455)</f>
        <v/>
      </c>
      <c r="I455" s="14"/>
      <c r="J455" s="14"/>
      <c r="K455" s="14"/>
      <c r="L455" s="14"/>
    </row>
    <row r="456" customFormat="false" ht="15" hidden="false" customHeight="false" outlineLevel="0" collapsed="false">
      <c r="A456" s="13"/>
      <c r="B456" s="14"/>
      <c r="C456" s="14"/>
      <c r="D456" s="14"/>
      <c r="E456" s="15"/>
      <c r="F456" s="14"/>
      <c r="G456" s="19" t="str">
        <f aca="false">IF(E456="","",IF(F456="Y",E456*Settings!$B$16,0))</f>
        <v/>
      </c>
      <c r="H456" s="19" t="str">
        <f aca="false">IF(E456="","",E456+G456)</f>
        <v/>
      </c>
      <c r="I456" s="14"/>
      <c r="J456" s="14"/>
      <c r="K456" s="14"/>
      <c r="L456" s="14"/>
    </row>
    <row r="457" customFormat="false" ht="15" hidden="false" customHeight="false" outlineLevel="0" collapsed="false">
      <c r="A457" s="13"/>
      <c r="B457" s="14"/>
      <c r="C457" s="14"/>
      <c r="D457" s="14"/>
      <c r="E457" s="15"/>
      <c r="F457" s="14"/>
      <c r="G457" s="19" t="str">
        <f aca="false">IF(E457="","",IF(F457="Y",E457*Settings!$B$16,0))</f>
        <v/>
      </c>
      <c r="H457" s="19" t="str">
        <f aca="false">IF(E457="","",E457+G457)</f>
        <v/>
      </c>
      <c r="I457" s="14"/>
      <c r="J457" s="14"/>
      <c r="K457" s="14"/>
      <c r="L457" s="14"/>
    </row>
    <row r="458" customFormat="false" ht="15" hidden="false" customHeight="false" outlineLevel="0" collapsed="false">
      <c r="A458" s="13"/>
      <c r="B458" s="14"/>
      <c r="C458" s="14"/>
      <c r="D458" s="14"/>
      <c r="E458" s="15"/>
      <c r="F458" s="14"/>
      <c r="G458" s="19" t="str">
        <f aca="false">IF(E458="","",IF(F458="Y",E458*Settings!$B$16,0))</f>
        <v/>
      </c>
      <c r="H458" s="19" t="str">
        <f aca="false">IF(E458="","",E458+G458)</f>
        <v/>
      </c>
      <c r="I458" s="14"/>
      <c r="J458" s="14"/>
      <c r="K458" s="14"/>
      <c r="L458" s="14"/>
    </row>
    <row r="459" customFormat="false" ht="15" hidden="false" customHeight="false" outlineLevel="0" collapsed="false">
      <c r="A459" s="13"/>
      <c r="B459" s="14"/>
      <c r="C459" s="14"/>
      <c r="D459" s="14"/>
      <c r="E459" s="15"/>
      <c r="F459" s="14"/>
      <c r="G459" s="19" t="str">
        <f aca="false">IF(E459="","",IF(F459="Y",E459*Settings!$B$16,0))</f>
        <v/>
      </c>
      <c r="H459" s="19" t="str">
        <f aca="false">IF(E459="","",E459+G459)</f>
        <v/>
      </c>
      <c r="I459" s="14"/>
      <c r="J459" s="14"/>
      <c r="K459" s="14"/>
      <c r="L459" s="14"/>
    </row>
    <row r="460" customFormat="false" ht="15" hidden="false" customHeight="false" outlineLevel="0" collapsed="false">
      <c r="A460" s="13"/>
      <c r="B460" s="14"/>
      <c r="C460" s="14"/>
      <c r="D460" s="14"/>
      <c r="E460" s="15"/>
      <c r="F460" s="14"/>
      <c r="G460" s="19" t="str">
        <f aca="false">IF(E460="","",IF(F460="Y",E460*Settings!$B$16,0))</f>
        <v/>
      </c>
      <c r="H460" s="19" t="str">
        <f aca="false">IF(E460="","",E460+G460)</f>
        <v/>
      </c>
      <c r="I460" s="14"/>
      <c r="J460" s="14"/>
      <c r="K460" s="14"/>
      <c r="L460" s="14"/>
    </row>
    <row r="461" customFormat="false" ht="15" hidden="false" customHeight="false" outlineLevel="0" collapsed="false">
      <c r="A461" s="13"/>
      <c r="B461" s="14"/>
      <c r="C461" s="14"/>
      <c r="D461" s="14"/>
      <c r="E461" s="15"/>
      <c r="F461" s="14"/>
      <c r="G461" s="19" t="str">
        <f aca="false">IF(E461="","",IF(F461="Y",E461*Settings!$B$16,0))</f>
        <v/>
      </c>
      <c r="H461" s="19" t="str">
        <f aca="false">IF(E461="","",E461+G461)</f>
        <v/>
      </c>
      <c r="I461" s="14"/>
      <c r="J461" s="14"/>
      <c r="K461" s="14"/>
      <c r="L461" s="14"/>
    </row>
    <row r="462" customFormat="false" ht="15" hidden="false" customHeight="false" outlineLevel="0" collapsed="false">
      <c r="A462" s="13"/>
      <c r="B462" s="14"/>
      <c r="C462" s="14"/>
      <c r="D462" s="14"/>
      <c r="E462" s="15"/>
      <c r="F462" s="14"/>
      <c r="G462" s="19" t="str">
        <f aca="false">IF(E462="","",IF(F462="Y",E462*Settings!$B$16,0))</f>
        <v/>
      </c>
      <c r="H462" s="19" t="str">
        <f aca="false">IF(E462="","",E462+G462)</f>
        <v/>
      </c>
      <c r="I462" s="14"/>
      <c r="J462" s="14"/>
      <c r="K462" s="14"/>
      <c r="L462" s="14"/>
    </row>
    <row r="463" customFormat="false" ht="15" hidden="false" customHeight="false" outlineLevel="0" collapsed="false">
      <c r="A463" s="13"/>
      <c r="B463" s="14"/>
      <c r="C463" s="14"/>
      <c r="D463" s="14"/>
      <c r="E463" s="15"/>
      <c r="F463" s="14"/>
      <c r="G463" s="19" t="str">
        <f aca="false">IF(E463="","",IF(F463="Y",E463*Settings!$B$16,0))</f>
        <v/>
      </c>
      <c r="H463" s="19" t="str">
        <f aca="false">IF(E463="","",E463+G463)</f>
        <v/>
      </c>
      <c r="I463" s="14"/>
      <c r="J463" s="14"/>
      <c r="K463" s="14"/>
      <c r="L463" s="14"/>
    </row>
    <row r="464" customFormat="false" ht="15" hidden="false" customHeight="false" outlineLevel="0" collapsed="false">
      <c r="A464" s="13"/>
      <c r="B464" s="14"/>
      <c r="C464" s="14"/>
      <c r="D464" s="14"/>
      <c r="E464" s="15"/>
      <c r="F464" s="14"/>
      <c r="G464" s="19" t="str">
        <f aca="false">IF(E464="","",IF(F464="Y",E464*Settings!$B$16,0))</f>
        <v/>
      </c>
      <c r="H464" s="19" t="str">
        <f aca="false">IF(E464="","",E464+G464)</f>
        <v/>
      </c>
      <c r="I464" s="14"/>
      <c r="J464" s="14"/>
      <c r="K464" s="14"/>
      <c r="L464" s="14"/>
    </row>
    <row r="465" customFormat="false" ht="15" hidden="false" customHeight="false" outlineLevel="0" collapsed="false">
      <c r="A465" s="13"/>
      <c r="B465" s="14"/>
      <c r="C465" s="14"/>
      <c r="D465" s="14"/>
      <c r="E465" s="15"/>
      <c r="F465" s="14"/>
      <c r="G465" s="19" t="str">
        <f aca="false">IF(E465="","",IF(F465="Y",E465*Settings!$B$16,0))</f>
        <v/>
      </c>
      <c r="H465" s="19" t="str">
        <f aca="false">IF(E465="","",E465+G465)</f>
        <v/>
      </c>
      <c r="I465" s="14"/>
      <c r="J465" s="14"/>
      <c r="K465" s="14"/>
      <c r="L465" s="14"/>
    </row>
    <row r="466" customFormat="false" ht="15" hidden="false" customHeight="false" outlineLevel="0" collapsed="false">
      <c r="A466" s="13"/>
      <c r="B466" s="14"/>
      <c r="C466" s="14"/>
      <c r="D466" s="14"/>
      <c r="E466" s="15"/>
      <c r="F466" s="14"/>
      <c r="G466" s="19" t="str">
        <f aca="false">IF(E466="","",IF(F466="Y",E466*Settings!$B$16,0))</f>
        <v/>
      </c>
      <c r="H466" s="19" t="str">
        <f aca="false">IF(E466="","",E466+G466)</f>
        <v/>
      </c>
      <c r="I466" s="14"/>
      <c r="J466" s="14"/>
      <c r="K466" s="14"/>
      <c r="L466" s="14"/>
    </row>
    <row r="467" customFormat="false" ht="15" hidden="false" customHeight="false" outlineLevel="0" collapsed="false">
      <c r="A467" s="13"/>
      <c r="B467" s="14"/>
      <c r="C467" s="14"/>
      <c r="D467" s="14"/>
      <c r="E467" s="15"/>
      <c r="F467" s="14"/>
      <c r="G467" s="19" t="str">
        <f aca="false">IF(E467="","",IF(F467="Y",E467*Settings!$B$16,0))</f>
        <v/>
      </c>
      <c r="H467" s="19" t="str">
        <f aca="false">IF(E467="","",E467+G467)</f>
        <v/>
      </c>
      <c r="I467" s="14"/>
      <c r="J467" s="14"/>
      <c r="K467" s="14"/>
      <c r="L467" s="14"/>
    </row>
    <row r="468" customFormat="false" ht="15" hidden="false" customHeight="false" outlineLevel="0" collapsed="false">
      <c r="A468" s="13"/>
      <c r="B468" s="14"/>
      <c r="C468" s="14"/>
      <c r="D468" s="14"/>
      <c r="E468" s="15"/>
      <c r="F468" s="14"/>
      <c r="G468" s="19" t="str">
        <f aca="false">IF(E468="","",IF(F468="Y",E468*Settings!$B$16,0))</f>
        <v/>
      </c>
      <c r="H468" s="19" t="str">
        <f aca="false">IF(E468="","",E468+G468)</f>
        <v/>
      </c>
      <c r="I468" s="14"/>
      <c r="J468" s="14"/>
      <c r="K468" s="14"/>
      <c r="L468" s="14"/>
    </row>
    <row r="469" customFormat="false" ht="15" hidden="false" customHeight="false" outlineLevel="0" collapsed="false">
      <c r="A469" s="13"/>
      <c r="B469" s="14"/>
      <c r="C469" s="14"/>
      <c r="D469" s="14"/>
      <c r="E469" s="15"/>
      <c r="F469" s="14"/>
      <c r="G469" s="19" t="str">
        <f aca="false">IF(E469="","",IF(F469="Y",E469*Settings!$B$16,0))</f>
        <v/>
      </c>
      <c r="H469" s="19" t="str">
        <f aca="false">IF(E469="","",E469+G469)</f>
        <v/>
      </c>
      <c r="I469" s="14"/>
      <c r="J469" s="14"/>
      <c r="K469" s="14"/>
      <c r="L469" s="14"/>
    </row>
    <row r="470" customFormat="false" ht="15" hidden="false" customHeight="false" outlineLevel="0" collapsed="false">
      <c r="A470" s="13"/>
      <c r="B470" s="14"/>
      <c r="C470" s="14"/>
      <c r="D470" s="14"/>
      <c r="E470" s="15"/>
      <c r="F470" s="14"/>
      <c r="G470" s="19" t="str">
        <f aca="false">IF(E470="","",IF(F470="Y",E470*Settings!$B$16,0))</f>
        <v/>
      </c>
      <c r="H470" s="19" t="str">
        <f aca="false">IF(E470="","",E470+G470)</f>
        <v/>
      </c>
      <c r="I470" s="14"/>
      <c r="J470" s="14"/>
      <c r="K470" s="14"/>
      <c r="L470" s="14"/>
    </row>
    <row r="471" customFormat="false" ht="15" hidden="false" customHeight="false" outlineLevel="0" collapsed="false">
      <c r="A471" s="13"/>
      <c r="B471" s="14"/>
      <c r="C471" s="14"/>
      <c r="D471" s="14"/>
      <c r="E471" s="15"/>
      <c r="F471" s="14"/>
      <c r="G471" s="19" t="str">
        <f aca="false">IF(E471="","",IF(F471="Y",E471*Settings!$B$16,0))</f>
        <v/>
      </c>
      <c r="H471" s="19" t="str">
        <f aca="false">IF(E471="","",E471+G471)</f>
        <v/>
      </c>
      <c r="I471" s="14"/>
      <c r="J471" s="14"/>
      <c r="K471" s="14"/>
      <c r="L471" s="14"/>
    </row>
    <row r="472" customFormat="false" ht="15" hidden="false" customHeight="false" outlineLevel="0" collapsed="false">
      <c r="A472" s="13"/>
      <c r="B472" s="14"/>
      <c r="C472" s="14"/>
      <c r="D472" s="14"/>
      <c r="E472" s="15"/>
      <c r="F472" s="14"/>
      <c r="G472" s="19" t="str">
        <f aca="false">IF(E472="","",IF(F472="Y",E472*Settings!$B$16,0))</f>
        <v/>
      </c>
      <c r="H472" s="19" t="str">
        <f aca="false">IF(E472="","",E472+G472)</f>
        <v/>
      </c>
      <c r="I472" s="14"/>
      <c r="J472" s="14"/>
      <c r="K472" s="14"/>
      <c r="L472" s="14"/>
    </row>
    <row r="473" customFormat="false" ht="15" hidden="false" customHeight="false" outlineLevel="0" collapsed="false">
      <c r="A473" s="13"/>
      <c r="B473" s="14"/>
      <c r="C473" s="14"/>
      <c r="D473" s="14"/>
      <c r="E473" s="15"/>
      <c r="F473" s="14"/>
      <c r="G473" s="19" t="str">
        <f aca="false">IF(E473="","",IF(F473="Y",E473*Settings!$B$16,0))</f>
        <v/>
      </c>
      <c r="H473" s="19" t="str">
        <f aca="false">IF(E473="","",E473+G473)</f>
        <v/>
      </c>
      <c r="I473" s="14"/>
      <c r="J473" s="14"/>
      <c r="K473" s="14"/>
      <c r="L473" s="14"/>
    </row>
    <row r="474" customFormat="false" ht="15" hidden="false" customHeight="false" outlineLevel="0" collapsed="false">
      <c r="A474" s="13"/>
      <c r="B474" s="14"/>
      <c r="C474" s="14"/>
      <c r="D474" s="14"/>
      <c r="E474" s="15"/>
      <c r="F474" s="14"/>
      <c r="G474" s="19" t="str">
        <f aca="false">IF(E474="","",IF(F474="Y",E474*Settings!$B$16,0))</f>
        <v/>
      </c>
      <c r="H474" s="19" t="str">
        <f aca="false">IF(E474="","",E474+G474)</f>
        <v/>
      </c>
      <c r="I474" s="14"/>
      <c r="J474" s="14"/>
      <c r="K474" s="14"/>
      <c r="L474" s="14"/>
    </row>
    <row r="475" customFormat="false" ht="15" hidden="false" customHeight="false" outlineLevel="0" collapsed="false">
      <c r="A475" s="13"/>
      <c r="B475" s="14"/>
      <c r="C475" s="14"/>
      <c r="D475" s="14"/>
      <c r="E475" s="15"/>
      <c r="F475" s="14"/>
      <c r="G475" s="19" t="str">
        <f aca="false">IF(E475="","",IF(F475="Y",E475*Settings!$B$16,0))</f>
        <v/>
      </c>
      <c r="H475" s="19" t="str">
        <f aca="false">IF(E475="","",E475+G475)</f>
        <v/>
      </c>
      <c r="I475" s="14"/>
      <c r="J475" s="14"/>
      <c r="K475" s="14"/>
      <c r="L475" s="14"/>
    </row>
    <row r="476" customFormat="false" ht="15" hidden="false" customHeight="false" outlineLevel="0" collapsed="false">
      <c r="A476" s="13"/>
      <c r="B476" s="14"/>
      <c r="C476" s="14"/>
      <c r="D476" s="14"/>
      <c r="E476" s="15"/>
      <c r="F476" s="14"/>
      <c r="G476" s="19" t="str">
        <f aca="false">IF(E476="","",IF(F476="Y",E476*Settings!$B$16,0))</f>
        <v/>
      </c>
      <c r="H476" s="19" t="str">
        <f aca="false">IF(E476="","",E476+G476)</f>
        <v/>
      </c>
      <c r="I476" s="14"/>
      <c r="J476" s="14"/>
      <c r="K476" s="14"/>
      <c r="L476" s="14"/>
    </row>
    <row r="477" customFormat="false" ht="15" hidden="false" customHeight="false" outlineLevel="0" collapsed="false">
      <c r="A477" s="13"/>
      <c r="B477" s="14"/>
      <c r="C477" s="14"/>
      <c r="D477" s="14"/>
      <c r="E477" s="15"/>
      <c r="F477" s="14"/>
      <c r="G477" s="19" t="str">
        <f aca="false">IF(E477="","",IF(F477="Y",E477*Settings!$B$16,0))</f>
        <v/>
      </c>
      <c r="H477" s="19" t="str">
        <f aca="false">IF(E477="","",E477+G477)</f>
        <v/>
      </c>
      <c r="I477" s="14"/>
      <c r="J477" s="14"/>
      <c r="K477" s="14"/>
      <c r="L477" s="14"/>
    </row>
    <row r="478" customFormat="false" ht="15" hidden="false" customHeight="false" outlineLevel="0" collapsed="false">
      <c r="A478" s="13"/>
      <c r="B478" s="14"/>
      <c r="C478" s="14"/>
      <c r="D478" s="14"/>
      <c r="E478" s="15"/>
      <c r="F478" s="14"/>
      <c r="G478" s="19" t="str">
        <f aca="false">IF(E478="","",IF(F478="Y",E478*Settings!$B$16,0))</f>
        <v/>
      </c>
      <c r="H478" s="19" t="str">
        <f aca="false">IF(E478="","",E478+G478)</f>
        <v/>
      </c>
      <c r="I478" s="14"/>
      <c r="J478" s="14"/>
      <c r="K478" s="14"/>
      <c r="L478" s="14"/>
    </row>
    <row r="479" customFormat="false" ht="15" hidden="false" customHeight="false" outlineLevel="0" collapsed="false">
      <c r="A479" s="13"/>
      <c r="B479" s="14"/>
      <c r="C479" s="14"/>
      <c r="D479" s="14"/>
      <c r="E479" s="15"/>
      <c r="F479" s="14"/>
      <c r="G479" s="19" t="str">
        <f aca="false">IF(E479="","",IF(F479="Y",E479*Settings!$B$16,0))</f>
        <v/>
      </c>
      <c r="H479" s="19" t="str">
        <f aca="false">IF(E479="","",E479+G479)</f>
        <v/>
      </c>
      <c r="I479" s="14"/>
      <c r="J479" s="14"/>
      <c r="K479" s="14"/>
      <c r="L479" s="14"/>
    </row>
    <row r="480" customFormat="false" ht="15" hidden="false" customHeight="false" outlineLevel="0" collapsed="false">
      <c r="A480" s="13"/>
      <c r="B480" s="14"/>
      <c r="C480" s="14"/>
      <c r="D480" s="14"/>
      <c r="E480" s="15"/>
      <c r="F480" s="14"/>
      <c r="G480" s="19" t="str">
        <f aca="false">IF(E480="","",IF(F480="Y",E480*Settings!$B$16,0))</f>
        <v/>
      </c>
      <c r="H480" s="19" t="str">
        <f aca="false">IF(E480="","",E480+G480)</f>
        <v/>
      </c>
      <c r="I480" s="14"/>
      <c r="J480" s="14"/>
      <c r="K480" s="14"/>
      <c r="L480" s="14"/>
    </row>
    <row r="481" customFormat="false" ht="15" hidden="false" customHeight="false" outlineLevel="0" collapsed="false">
      <c r="A481" s="13"/>
      <c r="B481" s="14"/>
      <c r="C481" s="14"/>
      <c r="D481" s="14"/>
      <c r="E481" s="15"/>
      <c r="F481" s="14"/>
      <c r="G481" s="19" t="str">
        <f aca="false">IF(E481="","",IF(F481="Y",E481*Settings!$B$16,0))</f>
        <v/>
      </c>
      <c r="H481" s="19" t="str">
        <f aca="false">IF(E481="","",E481+G481)</f>
        <v/>
      </c>
      <c r="I481" s="14"/>
      <c r="J481" s="14"/>
      <c r="K481" s="14"/>
      <c r="L481" s="14"/>
    </row>
    <row r="482" customFormat="false" ht="15" hidden="false" customHeight="false" outlineLevel="0" collapsed="false">
      <c r="A482" s="13"/>
      <c r="B482" s="14"/>
      <c r="C482" s="14"/>
      <c r="D482" s="14"/>
      <c r="E482" s="15"/>
      <c r="F482" s="14"/>
      <c r="G482" s="19" t="str">
        <f aca="false">IF(E482="","",IF(F482="Y",E482*Settings!$B$16,0))</f>
        <v/>
      </c>
      <c r="H482" s="19" t="str">
        <f aca="false">IF(E482="","",E482+G482)</f>
        <v/>
      </c>
      <c r="I482" s="14"/>
      <c r="J482" s="14"/>
      <c r="K482" s="14"/>
      <c r="L482" s="14"/>
    </row>
    <row r="483" customFormat="false" ht="15" hidden="false" customHeight="false" outlineLevel="0" collapsed="false">
      <c r="A483" s="13"/>
      <c r="B483" s="14"/>
      <c r="C483" s="14"/>
      <c r="D483" s="14"/>
      <c r="E483" s="15"/>
      <c r="F483" s="14"/>
      <c r="G483" s="19" t="str">
        <f aca="false">IF(E483="","",IF(F483="Y",E483*Settings!$B$16,0))</f>
        <v/>
      </c>
      <c r="H483" s="19" t="str">
        <f aca="false">IF(E483="","",E483+G483)</f>
        <v/>
      </c>
      <c r="I483" s="14"/>
      <c r="J483" s="14"/>
      <c r="K483" s="14"/>
      <c r="L483" s="14"/>
    </row>
    <row r="484" customFormat="false" ht="15" hidden="false" customHeight="false" outlineLevel="0" collapsed="false">
      <c r="A484" s="13"/>
      <c r="B484" s="14"/>
      <c r="C484" s="14"/>
      <c r="D484" s="14"/>
      <c r="E484" s="15"/>
      <c r="F484" s="14"/>
      <c r="G484" s="19" t="str">
        <f aca="false">IF(E484="","",IF(F484="Y",E484*Settings!$B$16,0))</f>
        <v/>
      </c>
      <c r="H484" s="19" t="str">
        <f aca="false">IF(E484="","",E484+G484)</f>
        <v/>
      </c>
      <c r="I484" s="14"/>
      <c r="J484" s="14"/>
      <c r="K484" s="14"/>
      <c r="L484" s="14"/>
    </row>
    <row r="485" customFormat="false" ht="15" hidden="false" customHeight="false" outlineLevel="0" collapsed="false">
      <c r="A485" s="13"/>
      <c r="B485" s="14"/>
      <c r="C485" s="14"/>
      <c r="D485" s="14"/>
      <c r="E485" s="15"/>
      <c r="F485" s="14"/>
      <c r="G485" s="19" t="str">
        <f aca="false">IF(E485="","",IF(F485="Y",E485*Settings!$B$16,0))</f>
        <v/>
      </c>
      <c r="H485" s="19" t="str">
        <f aca="false">IF(E485="","",E485+G485)</f>
        <v/>
      </c>
      <c r="I485" s="14"/>
      <c r="J485" s="14"/>
      <c r="K485" s="14"/>
      <c r="L485" s="14"/>
    </row>
    <row r="486" customFormat="false" ht="15" hidden="false" customHeight="false" outlineLevel="0" collapsed="false">
      <c r="A486" s="13"/>
      <c r="B486" s="14"/>
      <c r="C486" s="14"/>
      <c r="D486" s="14"/>
      <c r="E486" s="15"/>
      <c r="F486" s="14"/>
      <c r="G486" s="19" t="str">
        <f aca="false">IF(E486="","",IF(F486="Y",E486*Settings!$B$16,0))</f>
        <v/>
      </c>
      <c r="H486" s="19" t="str">
        <f aca="false">IF(E486="","",E486+G486)</f>
        <v/>
      </c>
      <c r="I486" s="14"/>
      <c r="J486" s="14"/>
      <c r="K486" s="14"/>
      <c r="L486" s="14"/>
    </row>
    <row r="487" customFormat="false" ht="15" hidden="false" customHeight="false" outlineLevel="0" collapsed="false">
      <c r="A487" s="13"/>
      <c r="B487" s="14"/>
      <c r="C487" s="14"/>
      <c r="D487" s="14"/>
      <c r="E487" s="15"/>
      <c r="F487" s="14"/>
      <c r="G487" s="19" t="str">
        <f aca="false">IF(E487="","",IF(F487="Y",E487*Settings!$B$16,0))</f>
        <v/>
      </c>
      <c r="H487" s="19" t="str">
        <f aca="false">IF(E487="","",E487+G487)</f>
        <v/>
      </c>
      <c r="I487" s="14"/>
      <c r="J487" s="14"/>
      <c r="K487" s="14"/>
      <c r="L487" s="14"/>
    </row>
    <row r="488" customFormat="false" ht="15" hidden="false" customHeight="false" outlineLevel="0" collapsed="false">
      <c r="A488" s="13"/>
      <c r="B488" s="14"/>
      <c r="C488" s="14"/>
      <c r="D488" s="14"/>
      <c r="E488" s="15"/>
      <c r="F488" s="14"/>
      <c r="G488" s="19" t="str">
        <f aca="false">IF(E488="","",IF(F488="Y",E488*Settings!$B$16,0))</f>
        <v/>
      </c>
      <c r="H488" s="19" t="str">
        <f aca="false">IF(E488="","",E488+G488)</f>
        <v/>
      </c>
      <c r="I488" s="14"/>
      <c r="J488" s="14"/>
      <c r="K488" s="14"/>
      <c r="L488" s="14"/>
    </row>
    <row r="489" customFormat="false" ht="15" hidden="false" customHeight="false" outlineLevel="0" collapsed="false">
      <c r="A489" s="13"/>
      <c r="B489" s="14"/>
      <c r="C489" s="14"/>
      <c r="D489" s="14"/>
      <c r="E489" s="15"/>
      <c r="F489" s="14"/>
      <c r="G489" s="19" t="str">
        <f aca="false">IF(E489="","",IF(F489="Y",E489*Settings!$B$16,0))</f>
        <v/>
      </c>
      <c r="H489" s="19" t="str">
        <f aca="false">IF(E489="","",E489+G489)</f>
        <v/>
      </c>
      <c r="I489" s="14"/>
      <c r="J489" s="14"/>
      <c r="K489" s="14"/>
      <c r="L489" s="14"/>
    </row>
    <row r="490" customFormat="false" ht="15" hidden="false" customHeight="false" outlineLevel="0" collapsed="false">
      <c r="A490" s="13"/>
      <c r="B490" s="14"/>
      <c r="C490" s="14"/>
      <c r="D490" s="14"/>
      <c r="E490" s="15"/>
      <c r="F490" s="14"/>
      <c r="G490" s="19" t="str">
        <f aca="false">IF(E490="","",IF(F490="Y",E490*Settings!$B$16,0))</f>
        <v/>
      </c>
      <c r="H490" s="19" t="str">
        <f aca="false">IF(E490="","",E490+G490)</f>
        <v/>
      </c>
      <c r="I490" s="14"/>
      <c r="J490" s="14"/>
      <c r="K490" s="14"/>
      <c r="L490" s="14"/>
    </row>
    <row r="491" customFormat="false" ht="15" hidden="false" customHeight="false" outlineLevel="0" collapsed="false">
      <c r="A491" s="13"/>
      <c r="B491" s="14"/>
      <c r="C491" s="14"/>
      <c r="D491" s="14"/>
      <c r="E491" s="15"/>
      <c r="F491" s="14"/>
      <c r="G491" s="19" t="str">
        <f aca="false">IF(E491="","",IF(F491="Y",E491*Settings!$B$16,0))</f>
        <v/>
      </c>
      <c r="H491" s="19" t="str">
        <f aca="false">IF(E491="","",E491+G491)</f>
        <v/>
      </c>
      <c r="I491" s="14"/>
      <c r="J491" s="14"/>
      <c r="K491" s="14"/>
      <c r="L491" s="14"/>
    </row>
    <row r="492" customFormat="false" ht="15" hidden="false" customHeight="false" outlineLevel="0" collapsed="false">
      <c r="A492" s="13"/>
      <c r="B492" s="14"/>
      <c r="C492" s="14"/>
      <c r="D492" s="14"/>
      <c r="E492" s="15"/>
      <c r="F492" s="14"/>
      <c r="G492" s="19" t="str">
        <f aca="false">IF(E492="","",IF(F492="Y",E492*Settings!$B$16,0))</f>
        <v/>
      </c>
      <c r="H492" s="19" t="str">
        <f aca="false">IF(E492="","",E492+G492)</f>
        <v/>
      </c>
      <c r="I492" s="14"/>
      <c r="J492" s="14"/>
      <c r="K492" s="14"/>
      <c r="L492" s="14"/>
    </row>
    <row r="493" customFormat="false" ht="15" hidden="false" customHeight="false" outlineLevel="0" collapsed="false">
      <c r="A493" s="13"/>
      <c r="B493" s="14"/>
      <c r="C493" s="14"/>
      <c r="D493" s="14"/>
      <c r="E493" s="15"/>
      <c r="F493" s="14"/>
      <c r="G493" s="19" t="str">
        <f aca="false">IF(E493="","",IF(F493="Y",E493*Settings!$B$16,0))</f>
        <v/>
      </c>
      <c r="H493" s="19" t="str">
        <f aca="false">IF(E493="","",E493+G493)</f>
        <v/>
      </c>
      <c r="I493" s="14"/>
      <c r="J493" s="14"/>
      <c r="K493" s="14"/>
      <c r="L493" s="14"/>
    </row>
    <row r="494" customFormat="false" ht="15" hidden="false" customHeight="false" outlineLevel="0" collapsed="false">
      <c r="A494" s="13"/>
      <c r="B494" s="14"/>
      <c r="C494" s="14"/>
      <c r="D494" s="14"/>
      <c r="E494" s="15"/>
      <c r="F494" s="14"/>
      <c r="G494" s="19" t="str">
        <f aca="false">IF(E494="","",IF(F494="Y",E494*Settings!$B$16,0))</f>
        <v/>
      </c>
      <c r="H494" s="19" t="str">
        <f aca="false">IF(E494="","",E494+G494)</f>
        <v/>
      </c>
      <c r="I494" s="14"/>
      <c r="J494" s="14"/>
      <c r="K494" s="14"/>
      <c r="L494" s="14"/>
    </row>
    <row r="495" customFormat="false" ht="15" hidden="false" customHeight="false" outlineLevel="0" collapsed="false">
      <c r="A495" s="13"/>
      <c r="B495" s="14"/>
      <c r="C495" s="14"/>
      <c r="D495" s="14"/>
      <c r="E495" s="15"/>
      <c r="F495" s="14"/>
      <c r="G495" s="19" t="str">
        <f aca="false">IF(E495="","",IF(F495="Y",E495*Settings!$B$16,0))</f>
        <v/>
      </c>
      <c r="H495" s="19" t="str">
        <f aca="false">IF(E495="","",E495+G495)</f>
        <v/>
      </c>
      <c r="I495" s="14"/>
      <c r="J495" s="14"/>
      <c r="K495" s="14"/>
      <c r="L495" s="14"/>
    </row>
    <row r="496" customFormat="false" ht="15" hidden="false" customHeight="false" outlineLevel="0" collapsed="false">
      <c r="A496" s="13"/>
      <c r="B496" s="14"/>
      <c r="C496" s="14"/>
      <c r="D496" s="14"/>
      <c r="E496" s="15"/>
      <c r="F496" s="14"/>
      <c r="G496" s="19" t="str">
        <f aca="false">IF(E496="","",IF(F496="Y",E496*Settings!$B$16,0))</f>
        <v/>
      </c>
      <c r="H496" s="19" t="str">
        <f aca="false">IF(E496="","",E496+G496)</f>
        <v/>
      </c>
      <c r="I496" s="14"/>
      <c r="J496" s="14"/>
      <c r="K496" s="14"/>
      <c r="L496" s="14"/>
    </row>
    <row r="497" customFormat="false" ht="15" hidden="false" customHeight="false" outlineLevel="0" collapsed="false">
      <c r="A497" s="13"/>
      <c r="B497" s="14"/>
      <c r="C497" s="14"/>
      <c r="D497" s="14"/>
      <c r="E497" s="15"/>
      <c r="F497" s="14"/>
      <c r="G497" s="19" t="str">
        <f aca="false">IF(E497="","",IF(F497="Y",E497*Settings!$B$16,0))</f>
        <v/>
      </c>
      <c r="H497" s="19" t="str">
        <f aca="false">IF(E497="","",E497+G497)</f>
        <v/>
      </c>
      <c r="I497" s="14"/>
      <c r="J497" s="14"/>
      <c r="K497" s="14"/>
      <c r="L497" s="14"/>
    </row>
    <row r="498" customFormat="false" ht="15" hidden="false" customHeight="false" outlineLevel="0" collapsed="false">
      <c r="A498" s="13"/>
      <c r="B498" s="14"/>
      <c r="C498" s="14"/>
      <c r="D498" s="14"/>
      <c r="E498" s="15"/>
      <c r="F498" s="14"/>
      <c r="G498" s="19" t="str">
        <f aca="false">IF(E498="","",IF(F498="Y",E498*Settings!$B$16,0))</f>
        <v/>
      </c>
      <c r="H498" s="19" t="str">
        <f aca="false">IF(E498="","",E498+G498)</f>
        <v/>
      </c>
      <c r="I498" s="14"/>
      <c r="J498" s="14"/>
      <c r="K498" s="14"/>
      <c r="L498" s="14"/>
    </row>
    <row r="499" customFormat="false" ht="15" hidden="false" customHeight="false" outlineLevel="0" collapsed="false">
      <c r="A499" s="13"/>
      <c r="B499" s="14"/>
      <c r="C499" s="14"/>
      <c r="D499" s="14"/>
      <c r="E499" s="15"/>
      <c r="F499" s="14"/>
      <c r="G499" s="19" t="str">
        <f aca="false">IF(E499="","",IF(F499="Y",E499*Settings!$B$16,0))</f>
        <v/>
      </c>
      <c r="H499" s="19" t="str">
        <f aca="false">IF(E499="","",E499+G499)</f>
        <v/>
      </c>
      <c r="I499" s="14"/>
      <c r="J499" s="14"/>
      <c r="K499" s="14"/>
      <c r="L499" s="14"/>
    </row>
    <row r="500" customFormat="false" ht="15" hidden="false" customHeight="false" outlineLevel="0" collapsed="false">
      <c r="A500" s="13"/>
      <c r="B500" s="14"/>
      <c r="C500" s="14"/>
      <c r="D500" s="14"/>
      <c r="E500" s="15"/>
      <c r="F500" s="14"/>
      <c r="G500" s="19" t="str">
        <f aca="false">IF(E500="","",IF(F500="Y",E500*Settings!$B$16,0))</f>
        <v/>
      </c>
      <c r="H500" s="19" t="str">
        <f aca="false">IF(E500="","",E500+G500)</f>
        <v/>
      </c>
      <c r="I500" s="14"/>
      <c r="J500" s="14"/>
      <c r="K500" s="14"/>
      <c r="L500" s="14"/>
    </row>
    <row r="501" customFormat="false" ht="15" hidden="false" customHeight="false" outlineLevel="0" collapsed="false">
      <c r="A501" s="13"/>
      <c r="B501" s="14"/>
      <c r="C501" s="14"/>
      <c r="D501" s="14"/>
      <c r="E501" s="15"/>
      <c r="F501" s="14"/>
      <c r="G501" s="19" t="str">
        <f aca="false">IF(E501="","",IF(F501="Y",E501*Settings!$B$16,0))</f>
        <v/>
      </c>
      <c r="H501" s="19" t="str">
        <f aca="false">IF(E501="","",E501+G501)</f>
        <v/>
      </c>
      <c r="I501" s="14"/>
      <c r="J501" s="14"/>
      <c r="K501" s="14"/>
      <c r="L501" s="14"/>
    </row>
    <row r="502" customFormat="false" ht="15" hidden="false" customHeight="false" outlineLevel="0" collapsed="false">
      <c r="A502" s="13"/>
      <c r="B502" s="14"/>
      <c r="C502" s="14"/>
      <c r="D502" s="14"/>
      <c r="E502" s="15"/>
      <c r="F502" s="14"/>
      <c r="G502" s="19" t="str">
        <f aca="false">IF(E502="","",IF(F502="Y",E502*Settings!$B$16,0))</f>
        <v/>
      </c>
      <c r="H502" s="19" t="str">
        <f aca="false">IF(E502="","",E502+G502)</f>
        <v/>
      </c>
      <c r="I502" s="14"/>
      <c r="J502" s="14"/>
      <c r="K502" s="14"/>
      <c r="L502" s="14"/>
    </row>
    <row r="503" customFormat="false" ht="15" hidden="false" customHeight="false" outlineLevel="0" collapsed="false">
      <c r="A503" s="13"/>
      <c r="B503" s="14"/>
      <c r="C503" s="14"/>
      <c r="D503" s="14"/>
      <c r="E503" s="15"/>
      <c r="F503" s="14"/>
      <c r="G503" s="19" t="str">
        <f aca="false">IF(E503="","",IF(F503="Y",E503*Settings!$B$16,0))</f>
        <v/>
      </c>
      <c r="H503" s="19" t="str">
        <f aca="false">IF(E503="","",E503+G503)</f>
        <v/>
      </c>
      <c r="I503" s="14"/>
      <c r="J503" s="14"/>
      <c r="K503" s="14"/>
      <c r="L503" s="14"/>
    </row>
    <row r="504" customFormat="false" ht="15" hidden="false" customHeight="false" outlineLevel="0" collapsed="false">
      <c r="A504" s="13"/>
      <c r="B504" s="14"/>
      <c r="C504" s="14"/>
      <c r="D504" s="14"/>
      <c r="E504" s="15"/>
      <c r="F504" s="14"/>
      <c r="G504" s="19" t="str">
        <f aca="false">IF(E504="","",IF(F504="Y",E504*Settings!$B$16,0))</f>
        <v/>
      </c>
      <c r="H504" s="19" t="str">
        <f aca="false">IF(E504="","",E504+G504)</f>
        <v/>
      </c>
      <c r="I504" s="14"/>
      <c r="J504" s="14"/>
      <c r="K504" s="14"/>
      <c r="L504" s="14"/>
    </row>
    <row r="505" customFormat="false" ht="15" hidden="false" customHeight="false" outlineLevel="0" collapsed="false">
      <c r="A505" s="13"/>
      <c r="B505" s="14"/>
      <c r="C505" s="14"/>
      <c r="D505" s="14"/>
      <c r="E505" s="15"/>
      <c r="F505" s="14"/>
      <c r="G505" s="19" t="str">
        <f aca="false">IF(E505="","",IF(F505="Y",E505*Settings!$B$16,0))</f>
        <v/>
      </c>
      <c r="H505" s="19" t="str">
        <f aca="false">IF(E505="","",E505+G505)</f>
        <v/>
      </c>
      <c r="I505" s="14"/>
      <c r="J505" s="14"/>
      <c r="K505" s="14"/>
      <c r="L505" s="14"/>
    </row>
    <row r="506" customFormat="false" ht="15" hidden="false" customHeight="false" outlineLevel="0" collapsed="false">
      <c r="A506" s="13"/>
      <c r="B506" s="14"/>
      <c r="C506" s="14"/>
      <c r="D506" s="14"/>
      <c r="E506" s="15"/>
      <c r="F506" s="14"/>
      <c r="G506" s="19" t="str">
        <f aca="false">IF(E506="","",IF(F506="Y",E506*Settings!$B$16,0))</f>
        <v/>
      </c>
      <c r="H506" s="19" t="str">
        <f aca="false">IF(E506="","",E506+G506)</f>
        <v/>
      </c>
      <c r="I506" s="14"/>
      <c r="J506" s="14"/>
      <c r="K506" s="14"/>
      <c r="L506" s="14"/>
    </row>
    <row r="507" customFormat="false" ht="15" hidden="false" customHeight="false" outlineLevel="0" collapsed="false">
      <c r="A507" s="13"/>
      <c r="B507" s="14"/>
      <c r="C507" s="14"/>
      <c r="D507" s="14"/>
      <c r="E507" s="15"/>
      <c r="F507" s="14"/>
      <c r="G507" s="19" t="str">
        <f aca="false">IF(E507="","",IF(F507="Y",E507*Settings!$B$16,0))</f>
        <v/>
      </c>
      <c r="H507" s="19" t="str">
        <f aca="false">IF(E507="","",E507+G507)</f>
        <v/>
      </c>
      <c r="I507" s="14"/>
      <c r="J507" s="14"/>
      <c r="K507" s="14"/>
      <c r="L507" s="14"/>
    </row>
    <row r="508" customFormat="false" ht="15" hidden="false" customHeight="false" outlineLevel="0" collapsed="false">
      <c r="A508" s="13"/>
      <c r="B508" s="14"/>
      <c r="C508" s="14"/>
      <c r="D508" s="14"/>
      <c r="E508" s="15"/>
      <c r="F508" s="14"/>
      <c r="G508" s="19" t="str">
        <f aca="false">IF(E508="","",IF(F508="Y",E508*Settings!$B$16,0))</f>
        <v/>
      </c>
      <c r="H508" s="19" t="str">
        <f aca="false">IF(E508="","",E508+G508)</f>
        <v/>
      </c>
      <c r="I508" s="14"/>
      <c r="J508" s="14"/>
      <c r="K508" s="14"/>
      <c r="L508" s="14"/>
    </row>
    <row r="509" customFormat="false" ht="15" hidden="false" customHeight="false" outlineLevel="0" collapsed="false">
      <c r="A509" s="13"/>
      <c r="B509" s="14"/>
      <c r="C509" s="14"/>
      <c r="D509" s="14"/>
      <c r="E509" s="15"/>
      <c r="F509" s="14"/>
      <c r="G509" s="19" t="str">
        <f aca="false">IF(E509="","",IF(F509="Y",E509*Settings!$B$16,0))</f>
        <v/>
      </c>
      <c r="H509" s="19" t="str">
        <f aca="false">IF(E509="","",E509+G509)</f>
        <v/>
      </c>
      <c r="I509" s="14"/>
      <c r="J509" s="14"/>
      <c r="K509" s="14"/>
      <c r="L509" s="14"/>
    </row>
    <row r="510" customFormat="false" ht="15" hidden="false" customHeight="false" outlineLevel="0" collapsed="false">
      <c r="A510" s="13"/>
      <c r="B510" s="14"/>
      <c r="C510" s="14"/>
      <c r="D510" s="14"/>
      <c r="E510" s="15"/>
      <c r="F510" s="14"/>
      <c r="G510" s="19" t="str">
        <f aca="false">IF(E510="","",IF(F510="Y",E510*Settings!$B$16,0))</f>
        <v/>
      </c>
      <c r="H510" s="19" t="str">
        <f aca="false">IF(E510="","",E510+G510)</f>
        <v/>
      </c>
      <c r="I510" s="14"/>
      <c r="J510" s="14"/>
      <c r="K510" s="14"/>
      <c r="L510" s="14"/>
    </row>
    <row r="511" customFormat="false" ht="15" hidden="false" customHeight="false" outlineLevel="0" collapsed="false">
      <c r="A511" s="13"/>
      <c r="B511" s="14"/>
      <c r="C511" s="14"/>
      <c r="D511" s="14"/>
      <c r="E511" s="15"/>
      <c r="F511" s="14"/>
      <c r="G511" s="19" t="str">
        <f aca="false">IF(E511="","",IF(F511="Y",E511*Settings!$B$16,0))</f>
        <v/>
      </c>
      <c r="H511" s="19" t="str">
        <f aca="false">IF(E511="","",E511+G511)</f>
        <v/>
      </c>
      <c r="I511" s="14"/>
      <c r="J511" s="14"/>
      <c r="K511" s="14"/>
      <c r="L511" s="14"/>
    </row>
    <row r="512" customFormat="false" ht="15" hidden="false" customHeight="false" outlineLevel="0" collapsed="false">
      <c r="A512" s="13"/>
      <c r="B512" s="14"/>
      <c r="C512" s="14"/>
      <c r="D512" s="14"/>
      <c r="E512" s="15"/>
      <c r="F512" s="14"/>
      <c r="G512" s="19" t="str">
        <f aca="false">IF(E512="","",IF(F512="Y",E512*Settings!$B$16,0))</f>
        <v/>
      </c>
      <c r="H512" s="19" t="str">
        <f aca="false">IF(E512="","",E512+G512)</f>
        <v/>
      </c>
      <c r="I512" s="14"/>
      <c r="J512" s="14"/>
      <c r="K512" s="14"/>
      <c r="L512" s="14"/>
    </row>
    <row r="513" customFormat="false" ht="15" hidden="false" customHeight="false" outlineLevel="0" collapsed="false">
      <c r="A513" s="13"/>
      <c r="B513" s="14"/>
      <c r="C513" s="14"/>
      <c r="D513" s="14"/>
      <c r="E513" s="15"/>
      <c r="F513" s="14"/>
      <c r="G513" s="19" t="str">
        <f aca="false">IF(E513="","",IF(F513="Y",E513*Settings!$B$16,0))</f>
        <v/>
      </c>
      <c r="H513" s="19" t="str">
        <f aca="false">IF(E513="","",E513+G513)</f>
        <v/>
      </c>
      <c r="I513" s="14"/>
      <c r="J513" s="14"/>
      <c r="K513" s="14"/>
      <c r="L513" s="14"/>
    </row>
    <row r="514" customFormat="false" ht="15" hidden="false" customHeight="false" outlineLevel="0" collapsed="false">
      <c r="A514" s="13"/>
      <c r="B514" s="14"/>
      <c r="C514" s="14"/>
      <c r="D514" s="14"/>
      <c r="E514" s="15"/>
      <c r="F514" s="14"/>
      <c r="G514" s="19" t="str">
        <f aca="false">IF(E514="","",IF(F514="Y",E514*Settings!$B$16,0))</f>
        <v/>
      </c>
      <c r="H514" s="19" t="str">
        <f aca="false">IF(E514="","",E514+G514)</f>
        <v/>
      </c>
      <c r="I514" s="14"/>
      <c r="J514" s="14"/>
      <c r="K514" s="14"/>
      <c r="L514" s="14"/>
    </row>
    <row r="515" customFormat="false" ht="15" hidden="false" customHeight="false" outlineLevel="0" collapsed="false">
      <c r="A515" s="13"/>
      <c r="B515" s="14"/>
      <c r="C515" s="14"/>
      <c r="D515" s="14"/>
      <c r="E515" s="15"/>
      <c r="F515" s="14"/>
      <c r="G515" s="19" t="str">
        <f aca="false">IF(E515="","",IF(F515="Y",E515*Settings!$B$16,0))</f>
        <v/>
      </c>
      <c r="H515" s="19" t="str">
        <f aca="false">IF(E515="","",E515+G515)</f>
        <v/>
      </c>
      <c r="I515" s="14"/>
      <c r="J515" s="14"/>
      <c r="K515" s="14"/>
      <c r="L515" s="14"/>
    </row>
    <row r="516" customFormat="false" ht="15" hidden="false" customHeight="false" outlineLevel="0" collapsed="false">
      <c r="A516" s="13"/>
      <c r="B516" s="14"/>
      <c r="C516" s="14"/>
      <c r="D516" s="14"/>
      <c r="E516" s="15"/>
      <c r="F516" s="14"/>
      <c r="G516" s="19" t="str">
        <f aca="false">IF(E516="","",IF(F516="Y",E516*Settings!$B$16,0))</f>
        <v/>
      </c>
      <c r="H516" s="19" t="str">
        <f aca="false">IF(E516="","",E516+G516)</f>
        <v/>
      </c>
      <c r="I516" s="14"/>
      <c r="J516" s="14"/>
      <c r="K516" s="14"/>
      <c r="L516" s="14"/>
    </row>
    <row r="517" customFormat="false" ht="15" hidden="false" customHeight="false" outlineLevel="0" collapsed="false">
      <c r="A517" s="13"/>
      <c r="B517" s="14"/>
      <c r="C517" s="14"/>
      <c r="D517" s="14"/>
      <c r="E517" s="15"/>
      <c r="F517" s="14"/>
      <c r="G517" s="19" t="str">
        <f aca="false">IF(E517="","",IF(F517="Y",E517*Settings!$B$16,0))</f>
        <v/>
      </c>
      <c r="H517" s="19" t="str">
        <f aca="false">IF(E517="","",E517+G517)</f>
        <v/>
      </c>
      <c r="I517" s="14"/>
      <c r="J517" s="14"/>
      <c r="K517" s="14"/>
      <c r="L517" s="14"/>
    </row>
    <row r="518" customFormat="false" ht="15" hidden="false" customHeight="false" outlineLevel="0" collapsed="false">
      <c r="A518" s="13"/>
      <c r="B518" s="14"/>
      <c r="C518" s="14"/>
      <c r="D518" s="14"/>
      <c r="E518" s="15"/>
      <c r="F518" s="14"/>
      <c r="G518" s="19" t="str">
        <f aca="false">IF(E518="","",IF(F518="Y",E518*Settings!$B$16,0))</f>
        <v/>
      </c>
      <c r="H518" s="19" t="str">
        <f aca="false">IF(E518="","",E518+G518)</f>
        <v/>
      </c>
      <c r="I518" s="14"/>
      <c r="J518" s="14"/>
      <c r="K518" s="14"/>
      <c r="L518" s="14"/>
    </row>
    <row r="519" customFormat="false" ht="15" hidden="false" customHeight="false" outlineLevel="0" collapsed="false">
      <c r="A519" s="13"/>
      <c r="B519" s="14"/>
      <c r="C519" s="14"/>
      <c r="D519" s="14"/>
      <c r="E519" s="15"/>
      <c r="F519" s="14"/>
      <c r="G519" s="19" t="str">
        <f aca="false">IF(E519="","",IF(F519="Y",E519*Settings!$B$16,0))</f>
        <v/>
      </c>
      <c r="H519" s="19" t="str">
        <f aca="false">IF(E519="","",E519+G519)</f>
        <v/>
      </c>
      <c r="I519" s="14"/>
      <c r="J519" s="14"/>
      <c r="K519" s="14"/>
      <c r="L519" s="14"/>
    </row>
    <row r="520" customFormat="false" ht="15" hidden="false" customHeight="false" outlineLevel="0" collapsed="false">
      <c r="A520" s="13"/>
      <c r="B520" s="14"/>
      <c r="C520" s="14"/>
      <c r="D520" s="14"/>
      <c r="E520" s="15"/>
      <c r="F520" s="14"/>
      <c r="G520" s="19" t="str">
        <f aca="false">IF(E520="","",IF(F520="Y",E520*Settings!$B$16,0))</f>
        <v/>
      </c>
      <c r="H520" s="19" t="str">
        <f aca="false">IF(E520="","",E520+G520)</f>
        <v/>
      </c>
      <c r="I520" s="14"/>
      <c r="J520" s="14"/>
      <c r="K520" s="14"/>
      <c r="L520" s="14"/>
    </row>
    <row r="521" customFormat="false" ht="15" hidden="false" customHeight="false" outlineLevel="0" collapsed="false">
      <c r="A521" s="13"/>
      <c r="B521" s="14"/>
      <c r="C521" s="14"/>
      <c r="D521" s="14"/>
      <c r="E521" s="15"/>
      <c r="F521" s="14"/>
      <c r="G521" s="19" t="str">
        <f aca="false">IF(E521="","",IF(F521="Y",E521*Settings!$B$16,0))</f>
        <v/>
      </c>
      <c r="H521" s="19" t="str">
        <f aca="false">IF(E521="","",E521+G521)</f>
        <v/>
      </c>
      <c r="I521" s="14"/>
      <c r="J521" s="14"/>
      <c r="K521" s="14"/>
      <c r="L521" s="14"/>
    </row>
    <row r="522" customFormat="false" ht="15" hidden="false" customHeight="false" outlineLevel="0" collapsed="false">
      <c r="A522" s="13"/>
      <c r="B522" s="14"/>
      <c r="C522" s="14"/>
      <c r="D522" s="14"/>
      <c r="E522" s="15"/>
      <c r="F522" s="14"/>
      <c r="G522" s="19" t="str">
        <f aca="false">IF(E522="","",IF(F522="Y",E522*Settings!$B$16,0))</f>
        <v/>
      </c>
      <c r="H522" s="19" t="str">
        <f aca="false">IF(E522="","",E522+G522)</f>
        <v/>
      </c>
      <c r="I522" s="14"/>
      <c r="J522" s="14"/>
      <c r="K522" s="14"/>
      <c r="L522" s="14"/>
    </row>
    <row r="523" customFormat="false" ht="15" hidden="false" customHeight="false" outlineLevel="0" collapsed="false">
      <c r="A523" s="13"/>
      <c r="B523" s="14"/>
      <c r="C523" s="14"/>
      <c r="D523" s="14"/>
      <c r="E523" s="15"/>
      <c r="F523" s="14"/>
      <c r="G523" s="19" t="str">
        <f aca="false">IF(E523="","",IF(F523="Y",E523*Settings!$B$16,0))</f>
        <v/>
      </c>
      <c r="H523" s="19" t="str">
        <f aca="false">IF(E523="","",E523+G523)</f>
        <v/>
      </c>
      <c r="I523" s="14"/>
      <c r="J523" s="14"/>
      <c r="K523" s="14"/>
      <c r="L523" s="14"/>
    </row>
    <row r="524" customFormat="false" ht="15" hidden="false" customHeight="false" outlineLevel="0" collapsed="false">
      <c r="A524" s="13"/>
      <c r="B524" s="14"/>
      <c r="C524" s="14"/>
      <c r="D524" s="14"/>
      <c r="E524" s="15"/>
      <c r="F524" s="14"/>
      <c r="G524" s="19" t="str">
        <f aca="false">IF(E524="","",IF(F524="Y",E524*Settings!$B$16,0))</f>
        <v/>
      </c>
      <c r="H524" s="19" t="str">
        <f aca="false">IF(E524="","",E524+G524)</f>
        <v/>
      </c>
      <c r="I524" s="14"/>
      <c r="J524" s="14"/>
      <c r="K524" s="14"/>
      <c r="L524" s="14"/>
    </row>
    <row r="525" customFormat="false" ht="15" hidden="false" customHeight="false" outlineLevel="0" collapsed="false">
      <c r="A525" s="13"/>
      <c r="B525" s="14"/>
      <c r="C525" s="14"/>
      <c r="D525" s="14"/>
      <c r="E525" s="15"/>
      <c r="F525" s="14"/>
      <c r="G525" s="19" t="str">
        <f aca="false">IF(E525="","",IF(F525="Y",E525*Settings!$B$16,0))</f>
        <v/>
      </c>
      <c r="H525" s="19" t="str">
        <f aca="false">IF(E525="","",E525+G525)</f>
        <v/>
      </c>
      <c r="I525" s="14"/>
      <c r="J525" s="14"/>
      <c r="K525" s="14"/>
      <c r="L525" s="14"/>
    </row>
    <row r="526" customFormat="false" ht="15" hidden="false" customHeight="false" outlineLevel="0" collapsed="false">
      <c r="A526" s="13"/>
      <c r="B526" s="14"/>
      <c r="C526" s="14"/>
      <c r="D526" s="14"/>
      <c r="E526" s="15"/>
      <c r="F526" s="14"/>
      <c r="G526" s="19" t="str">
        <f aca="false">IF(E526="","",IF(F526="Y",E526*Settings!$B$16,0))</f>
        <v/>
      </c>
      <c r="H526" s="19" t="str">
        <f aca="false">IF(E526="","",E526+G526)</f>
        <v/>
      </c>
      <c r="I526" s="14"/>
      <c r="J526" s="14"/>
      <c r="K526" s="14"/>
      <c r="L526" s="14"/>
    </row>
    <row r="527" customFormat="false" ht="15" hidden="false" customHeight="false" outlineLevel="0" collapsed="false">
      <c r="A527" s="13"/>
      <c r="B527" s="14"/>
      <c r="C527" s="14"/>
      <c r="D527" s="14"/>
      <c r="E527" s="15"/>
      <c r="F527" s="14"/>
      <c r="G527" s="19" t="str">
        <f aca="false">IF(E527="","",IF(F527="Y",E527*Settings!$B$16,0))</f>
        <v/>
      </c>
      <c r="H527" s="19" t="str">
        <f aca="false">IF(E527="","",E527+G527)</f>
        <v/>
      </c>
      <c r="I527" s="14"/>
      <c r="J527" s="14"/>
      <c r="K527" s="14"/>
      <c r="L527" s="14"/>
    </row>
    <row r="528" customFormat="false" ht="15" hidden="false" customHeight="false" outlineLevel="0" collapsed="false">
      <c r="A528" s="13"/>
      <c r="B528" s="14"/>
      <c r="C528" s="14"/>
      <c r="D528" s="14"/>
      <c r="E528" s="15"/>
      <c r="F528" s="14"/>
      <c r="G528" s="19" t="str">
        <f aca="false">IF(E528="","",IF(F528="Y",E528*Settings!$B$16,0))</f>
        <v/>
      </c>
      <c r="H528" s="19" t="str">
        <f aca="false">IF(E528="","",E528+G528)</f>
        <v/>
      </c>
      <c r="I528" s="14"/>
      <c r="J528" s="14"/>
      <c r="K528" s="14"/>
      <c r="L528" s="14"/>
    </row>
    <row r="529" customFormat="false" ht="15" hidden="false" customHeight="false" outlineLevel="0" collapsed="false">
      <c r="A529" s="13"/>
      <c r="B529" s="14"/>
      <c r="C529" s="14"/>
      <c r="D529" s="14"/>
      <c r="E529" s="15"/>
      <c r="F529" s="14"/>
      <c r="G529" s="19" t="str">
        <f aca="false">IF(E529="","",IF(F529="Y",E529*Settings!$B$16,0))</f>
        <v/>
      </c>
      <c r="H529" s="19" t="str">
        <f aca="false">IF(E529="","",E529+G529)</f>
        <v/>
      </c>
      <c r="I529" s="14"/>
      <c r="J529" s="14"/>
      <c r="K529" s="14"/>
      <c r="L529" s="14"/>
    </row>
    <row r="530" customFormat="false" ht="15" hidden="false" customHeight="false" outlineLevel="0" collapsed="false">
      <c r="A530" s="13"/>
      <c r="B530" s="14"/>
      <c r="C530" s="14"/>
      <c r="D530" s="14"/>
      <c r="E530" s="15"/>
      <c r="F530" s="14"/>
      <c r="G530" s="19" t="str">
        <f aca="false">IF(E530="","",IF(F530="Y",E530*Settings!$B$16,0))</f>
        <v/>
      </c>
      <c r="H530" s="19" t="str">
        <f aca="false">IF(E530="","",E530+G530)</f>
        <v/>
      </c>
      <c r="I530" s="14"/>
      <c r="J530" s="14"/>
      <c r="K530" s="14"/>
      <c r="L530" s="14"/>
    </row>
    <row r="531" customFormat="false" ht="15" hidden="false" customHeight="false" outlineLevel="0" collapsed="false">
      <c r="A531" s="13"/>
      <c r="B531" s="14"/>
      <c r="C531" s="14"/>
      <c r="D531" s="14"/>
      <c r="E531" s="15"/>
      <c r="F531" s="14"/>
      <c r="G531" s="19" t="str">
        <f aca="false">IF(E531="","",IF(F531="Y",E531*Settings!$B$16,0))</f>
        <v/>
      </c>
      <c r="H531" s="19" t="str">
        <f aca="false">IF(E531="","",E531+G531)</f>
        <v/>
      </c>
      <c r="I531" s="14"/>
      <c r="J531" s="14"/>
      <c r="K531" s="14"/>
      <c r="L531" s="14"/>
    </row>
    <row r="532" customFormat="false" ht="15" hidden="false" customHeight="false" outlineLevel="0" collapsed="false">
      <c r="A532" s="13"/>
      <c r="B532" s="14"/>
      <c r="C532" s="14"/>
      <c r="D532" s="14"/>
      <c r="E532" s="15"/>
      <c r="F532" s="14"/>
      <c r="G532" s="19" t="str">
        <f aca="false">IF(E532="","",IF(F532="Y",E532*Settings!$B$16,0))</f>
        <v/>
      </c>
      <c r="H532" s="19" t="str">
        <f aca="false">IF(E532="","",E532+G532)</f>
        <v/>
      </c>
      <c r="I532" s="14"/>
      <c r="J532" s="14"/>
      <c r="K532" s="14"/>
      <c r="L532" s="14"/>
    </row>
    <row r="533" customFormat="false" ht="15" hidden="false" customHeight="false" outlineLevel="0" collapsed="false">
      <c r="A533" s="13"/>
      <c r="B533" s="14"/>
      <c r="C533" s="14"/>
      <c r="D533" s="14"/>
      <c r="E533" s="15"/>
      <c r="F533" s="14"/>
      <c r="G533" s="19" t="str">
        <f aca="false">IF(E533="","",IF(F533="Y",E533*Settings!$B$16,0))</f>
        <v/>
      </c>
      <c r="H533" s="19" t="str">
        <f aca="false">IF(E533="","",E533+G533)</f>
        <v/>
      </c>
      <c r="I533" s="14"/>
      <c r="J533" s="14"/>
      <c r="K533" s="14"/>
      <c r="L533" s="14"/>
    </row>
    <row r="534" customFormat="false" ht="15" hidden="false" customHeight="false" outlineLevel="0" collapsed="false">
      <c r="A534" s="13"/>
      <c r="B534" s="14"/>
      <c r="C534" s="14"/>
      <c r="D534" s="14"/>
      <c r="E534" s="15"/>
      <c r="F534" s="14"/>
      <c r="G534" s="19" t="str">
        <f aca="false">IF(E534="","",IF(F534="Y",E534*Settings!$B$16,0))</f>
        <v/>
      </c>
      <c r="H534" s="19" t="str">
        <f aca="false">IF(E534="","",E534+G534)</f>
        <v/>
      </c>
      <c r="I534" s="14"/>
      <c r="J534" s="14"/>
      <c r="K534" s="14"/>
      <c r="L534" s="14"/>
    </row>
    <row r="535" customFormat="false" ht="15" hidden="false" customHeight="false" outlineLevel="0" collapsed="false">
      <c r="A535" s="13"/>
      <c r="B535" s="14"/>
      <c r="C535" s="14"/>
      <c r="D535" s="14"/>
      <c r="E535" s="15"/>
      <c r="F535" s="14"/>
      <c r="G535" s="19" t="str">
        <f aca="false">IF(E535="","",IF(F535="Y",E535*Settings!$B$16,0))</f>
        <v/>
      </c>
      <c r="H535" s="19" t="str">
        <f aca="false">IF(E535="","",E535+G535)</f>
        <v/>
      </c>
      <c r="I535" s="14"/>
      <c r="J535" s="14"/>
      <c r="K535" s="14"/>
      <c r="L535" s="14"/>
    </row>
    <row r="536" customFormat="false" ht="15" hidden="false" customHeight="false" outlineLevel="0" collapsed="false">
      <c r="A536" s="13"/>
      <c r="B536" s="14"/>
      <c r="C536" s="14"/>
      <c r="D536" s="14"/>
      <c r="E536" s="15"/>
      <c r="F536" s="14"/>
      <c r="G536" s="19" t="str">
        <f aca="false">IF(E536="","",IF(F536="Y",E536*Settings!$B$16,0))</f>
        <v/>
      </c>
      <c r="H536" s="19" t="str">
        <f aca="false">IF(E536="","",E536+G536)</f>
        <v/>
      </c>
      <c r="I536" s="14"/>
      <c r="J536" s="14"/>
      <c r="K536" s="14"/>
      <c r="L536" s="14"/>
    </row>
    <row r="537" customFormat="false" ht="15" hidden="false" customHeight="false" outlineLevel="0" collapsed="false">
      <c r="A537" s="13"/>
      <c r="B537" s="14"/>
      <c r="C537" s="14"/>
      <c r="D537" s="14"/>
      <c r="E537" s="15"/>
      <c r="F537" s="14"/>
      <c r="G537" s="19" t="str">
        <f aca="false">IF(E537="","",IF(F537="Y",E537*Settings!$B$16,0))</f>
        <v/>
      </c>
      <c r="H537" s="19" t="str">
        <f aca="false">IF(E537="","",E537+G537)</f>
        <v/>
      </c>
      <c r="I537" s="14"/>
      <c r="J537" s="14"/>
      <c r="K537" s="14"/>
      <c r="L537" s="14"/>
    </row>
    <row r="538" customFormat="false" ht="15" hidden="false" customHeight="false" outlineLevel="0" collapsed="false">
      <c r="A538" s="13"/>
      <c r="B538" s="14"/>
      <c r="C538" s="14"/>
      <c r="D538" s="14"/>
      <c r="E538" s="15"/>
      <c r="F538" s="14"/>
      <c r="G538" s="19" t="str">
        <f aca="false">IF(E538="","",IF(F538="Y",E538*Settings!$B$16,0))</f>
        <v/>
      </c>
      <c r="H538" s="19" t="str">
        <f aca="false">IF(E538="","",E538+G538)</f>
        <v/>
      </c>
      <c r="I538" s="14"/>
      <c r="J538" s="14"/>
      <c r="K538" s="14"/>
      <c r="L538" s="14"/>
    </row>
    <row r="539" customFormat="false" ht="15" hidden="false" customHeight="false" outlineLevel="0" collapsed="false">
      <c r="A539" s="13"/>
      <c r="B539" s="14"/>
      <c r="C539" s="14"/>
      <c r="D539" s="14"/>
      <c r="E539" s="15"/>
      <c r="F539" s="14"/>
      <c r="G539" s="19" t="str">
        <f aca="false">IF(E539="","",IF(F539="Y",E539*Settings!$B$16,0))</f>
        <v/>
      </c>
      <c r="H539" s="19" t="str">
        <f aca="false">IF(E539="","",E539+G539)</f>
        <v/>
      </c>
      <c r="I539" s="14"/>
      <c r="J539" s="14"/>
      <c r="K539" s="14"/>
      <c r="L539" s="14"/>
    </row>
    <row r="540" customFormat="false" ht="15" hidden="false" customHeight="false" outlineLevel="0" collapsed="false">
      <c r="A540" s="13"/>
      <c r="B540" s="14"/>
      <c r="C540" s="14"/>
      <c r="D540" s="14"/>
      <c r="E540" s="15"/>
      <c r="F540" s="14"/>
      <c r="G540" s="19" t="str">
        <f aca="false">IF(E540="","",IF(F540="Y",E540*Settings!$B$16,0))</f>
        <v/>
      </c>
      <c r="H540" s="19" t="str">
        <f aca="false">IF(E540="","",E540+G540)</f>
        <v/>
      </c>
      <c r="I540" s="14"/>
      <c r="J540" s="14"/>
      <c r="K540" s="14"/>
      <c r="L540" s="14"/>
    </row>
    <row r="541" customFormat="false" ht="15" hidden="false" customHeight="false" outlineLevel="0" collapsed="false">
      <c r="A541" s="13"/>
      <c r="B541" s="14"/>
      <c r="C541" s="14"/>
      <c r="D541" s="14"/>
      <c r="E541" s="15"/>
      <c r="F541" s="14"/>
      <c r="G541" s="19" t="str">
        <f aca="false">IF(E541="","",IF(F541="Y",E541*Settings!$B$16,0))</f>
        <v/>
      </c>
      <c r="H541" s="19" t="str">
        <f aca="false">IF(E541="","",E541+G541)</f>
        <v/>
      </c>
      <c r="I541" s="14"/>
      <c r="J541" s="14"/>
      <c r="K541" s="14"/>
      <c r="L541" s="14"/>
    </row>
    <row r="542" customFormat="false" ht="15" hidden="false" customHeight="false" outlineLevel="0" collapsed="false">
      <c r="A542" s="13"/>
      <c r="B542" s="14"/>
      <c r="C542" s="14"/>
      <c r="D542" s="14"/>
      <c r="E542" s="15"/>
      <c r="F542" s="14"/>
      <c r="G542" s="19" t="str">
        <f aca="false">IF(E542="","",IF(F542="Y",E542*Settings!$B$16,0))</f>
        <v/>
      </c>
      <c r="H542" s="19" t="str">
        <f aca="false">IF(E542="","",E542+G542)</f>
        <v/>
      </c>
      <c r="I542" s="14"/>
      <c r="J542" s="14"/>
      <c r="K542" s="14"/>
      <c r="L542" s="14"/>
    </row>
    <row r="543" customFormat="false" ht="15" hidden="false" customHeight="false" outlineLevel="0" collapsed="false">
      <c r="A543" s="13"/>
      <c r="B543" s="14"/>
      <c r="C543" s="14"/>
      <c r="D543" s="14"/>
      <c r="E543" s="15"/>
      <c r="F543" s="14"/>
      <c r="G543" s="19" t="str">
        <f aca="false">IF(E543="","",IF(F543="Y",E543*Settings!$B$16,0))</f>
        <v/>
      </c>
      <c r="H543" s="19" t="str">
        <f aca="false">IF(E543="","",E543+G543)</f>
        <v/>
      </c>
      <c r="I543" s="14"/>
      <c r="J543" s="14"/>
      <c r="K543" s="14"/>
      <c r="L543" s="14"/>
    </row>
    <row r="544" customFormat="false" ht="15" hidden="false" customHeight="false" outlineLevel="0" collapsed="false">
      <c r="A544" s="13"/>
      <c r="B544" s="14"/>
      <c r="C544" s="14"/>
      <c r="D544" s="14"/>
      <c r="E544" s="15"/>
      <c r="F544" s="14"/>
      <c r="G544" s="19" t="str">
        <f aca="false">IF(E544="","",IF(F544="Y",E544*Settings!$B$16,0))</f>
        <v/>
      </c>
      <c r="H544" s="19" t="str">
        <f aca="false">IF(E544="","",E544+G544)</f>
        <v/>
      </c>
      <c r="I544" s="14"/>
      <c r="J544" s="14"/>
      <c r="K544" s="14"/>
      <c r="L544" s="14"/>
    </row>
    <row r="545" customFormat="false" ht="15" hidden="false" customHeight="false" outlineLevel="0" collapsed="false">
      <c r="A545" s="13"/>
      <c r="B545" s="14"/>
      <c r="C545" s="14"/>
      <c r="D545" s="14"/>
      <c r="E545" s="15"/>
      <c r="F545" s="14"/>
      <c r="G545" s="19" t="str">
        <f aca="false">IF(E545="","",IF(F545="Y",E545*Settings!$B$16,0))</f>
        <v/>
      </c>
      <c r="H545" s="19" t="str">
        <f aca="false">IF(E545="","",E545+G545)</f>
        <v/>
      </c>
      <c r="I545" s="14"/>
      <c r="J545" s="14"/>
      <c r="K545" s="14"/>
      <c r="L545" s="14"/>
    </row>
    <row r="546" customFormat="false" ht="15" hidden="false" customHeight="false" outlineLevel="0" collapsed="false">
      <c r="A546" s="13"/>
      <c r="B546" s="14"/>
      <c r="C546" s="14"/>
      <c r="D546" s="14"/>
      <c r="E546" s="15"/>
      <c r="F546" s="14"/>
      <c r="G546" s="19" t="str">
        <f aca="false">IF(E546="","",IF(F546="Y",E546*Settings!$B$16,0))</f>
        <v/>
      </c>
      <c r="H546" s="19" t="str">
        <f aca="false">IF(E546="","",E546+G546)</f>
        <v/>
      </c>
      <c r="I546" s="14"/>
      <c r="J546" s="14"/>
      <c r="K546" s="14"/>
      <c r="L546" s="14"/>
    </row>
    <row r="547" customFormat="false" ht="15" hidden="false" customHeight="false" outlineLevel="0" collapsed="false">
      <c r="A547" s="13"/>
      <c r="B547" s="14"/>
      <c r="C547" s="14"/>
      <c r="D547" s="14"/>
      <c r="E547" s="15"/>
      <c r="F547" s="14"/>
      <c r="G547" s="19" t="str">
        <f aca="false">IF(E547="","",IF(F547="Y",E547*Settings!$B$16,0))</f>
        <v/>
      </c>
      <c r="H547" s="19" t="str">
        <f aca="false">IF(E547="","",E547+G547)</f>
        <v/>
      </c>
      <c r="I547" s="14"/>
      <c r="J547" s="14"/>
      <c r="K547" s="14"/>
      <c r="L547" s="14"/>
    </row>
    <row r="548" customFormat="false" ht="15" hidden="false" customHeight="false" outlineLevel="0" collapsed="false">
      <c r="A548" s="13"/>
      <c r="B548" s="14"/>
      <c r="C548" s="14"/>
      <c r="D548" s="14"/>
      <c r="E548" s="15"/>
      <c r="F548" s="14"/>
      <c r="G548" s="19" t="str">
        <f aca="false">IF(E548="","",IF(F548="Y",E548*Settings!$B$16,0))</f>
        <v/>
      </c>
      <c r="H548" s="19" t="str">
        <f aca="false">IF(E548="","",E548+G548)</f>
        <v/>
      </c>
      <c r="I548" s="14"/>
      <c r="J548" s="14"/>
      <c r="K548" s="14"/>
      <c r="L548" s="14"/>
    </row>
    <row r="549" customFormat="false" ht="15" hidden="false" customHeight="false" outlineLevel="0" collapsed="false">
      <c r="A549" s="13"/>
      <c r="B549" s="14"/>
      <c r="C549" s="14"/>
      <c r="D549" s="14"/>
      <c r="E549" s="15"/>
      <c r="F549" s="14"/>
      <c r="G549" s="19" t="str">
        <f aca="false">IF(E549="","",IF(F549="Y",E549*Settings!$B$16,0))</f>
        <v/>
      </c>
      <c r="H549" s="19" t="str">
        <f aca="false">IF(E549="","",E549+G549)</f>
        <v/>
      </c>
      <c r="I549" s="14"/>
      <c r="J549" s="14"/>
      <c r="K549" s="14"/>
      <c r="L549" s="14"/>
    </row>
    <row r="550" customFormat="false" ht="15" hidden="false" customHeight="false" outlineLevel="0" collapsed="false">
      <c r="A550" s="13"/>
      <c r="B550" s="14"/>
      <c r="C550" s="14"/>
      <c r="D550" s="14"/>
      <c r="E550" s="15"/>
      <c r="F550" s="14"/>
      <c r="G550" s="19" t="str">
        <f aca="false">IF(E550="","",IF(F550="Y",E550*Settings!$B$16,0))</f>
        <v/>
      </c>
      <c r="H550" s="19" t="str">
        <f aca="false">IF(E550="","",E550+G550)</f>
        <v/>
      </c>
      <c r="I550" s="14"/>
      <c r="J550" s="14"/>
      <c r="K550" s="14"/>
      <c r="L550" s="14"/>
    </row>
    <row r="551" customFormat="false" ht="15" hidden="false" customHeight="false" outlineLevel="0" collapsed="false">
      <c r="A551" s="13"/>
      <c r="B551" s="14"/>
      <c r="C551" s="14"/>
      <c r="D551" s="14"/>
      <c r="E551" s="15"/>
      <c r="F551" s="14"/>
      <c r="G551" s="19" t="str">
        <f aca="false">IF(E551="","",IF(F551="Y",E551*Settings!$B$16,0))</f>
        <v/>
      </c>
      <c r="H551" s="19" t="str">
        <f aca="false">IF(E551="","",E551+G551)</f>
        <v/>
      </c>
      <c r="I551" s="14"/>
      <c r="J551" s="14"/>
      <c r="K551" s="14"/>
      <c r="L551" s="14"/>
    </row>
    <row r="552" customFormat="false" ht="15" hidden="false" customHeight="false" outlineLevel="0" collapsed="false">
      <c r="A552" s="13"/>
      <c r="B552" s="14"/>
      <c r="C552" s="14"/>
      <c r="D552" s="14"/>
      <c r="E552" s="15"/>
      <c r="F552" s="14"/>
      <c r="G552" s="19" t="str">
        <f aca="false">IF(E552="","",IF(F552="Y",E552*Settings!$B$16,0))</f>
        <v/>
      </c>
      <c r="H552" s="19" t="str">
        <f aca="false">IF(E552="","",E552+G552)</f>
        <v/>
      </c>
      <c r="I552" s="14"/>
      <c r="J552" s="14"/>
      <c r="K552" s="14"/>
      <c r="L552" s="14"/>
    </row>
    <row r="553" customFormat="false" ht="15" hidden="false" customHeight="false" outlineLevel="0" collapsed="false">
      <c r="A553" s="13"/>
      <c r="B553" s="14"/>
      <c r="C553" s="14"/>
      <c r="D553" s="14"/>
      <c r="E553" s="15"/>
      <c r="F553" s="14"/>
      <c r="G553" s="19" t="str">
        <f aca="false">IF(E553="","",IF(F553="Y",E553*Settings!$B$16,0))</f>
        <v/>
      </c>
      <c r="H553" s="19" t="str">
        <f aca="false">IF(E553="","",E553+G553)</f>
        <v/>
      </c>
      <c r="I553" s="14"/>
      <c r="J553" s="14"/>
      <c r="K553" s="14"/>
      <c r="L553" s="14"/>
    </row>
    <row r="554" customFormat="false" ht="15" hidden="false" customHeight="false" outlineLevel="0" collapsed="false">
      <c r="A554" s="13"/>
      <c r="B554" s="14"/>
      <c r="C554" s="14"/>
      <c r="D554" s="14"/>
      <c r="E554" s="15"/>
      <c r="F554" s="14"/>
      <c r="G554" s="19" t="str">
        <f aca="false">IF(E554="","",IF(F554="Y",E554*Settings!$B$16,0))</f>
        <v/>
      </c>
      <c r="H554" s="19" t="str">
        <f aca="false">IF(E554="","",E554+G554)</f>
        <v/>
      </c>
      <c r="I554" s="14"/>
      <c r="J554" s="14"/>
      <c r="K554" s="14"/>
      <c r="L554" s="14"/>
    </row>
    <row r="555" customFormat="false" ht="15" hidden="false" customHeight="false" outlineLevel="0" collapsed="false">
      <c r="A555" s="13"/>
      <c r="B555" s="14"/>
      <c r="C555" s="14"/>
      <c r="D555" s="14"/>
      <c r="E555" s="15"/>
      <c r="F555" s="14"/>
      <c r="G555" s="19" t="str">
        <f aca="false">IF(E555="","",IF(F555="Y",E555*Settings!$B$16,0))</f>
        <v/>
      </c>
      <c r="H555" s="19" t="str">
        <f aca="false">IF(E555="","",E555+G555)</f>
        <v/>
      </c>
      <c r="I555" s="14"/>
      <c r="J555" s="14"/>
      <c r="K555" s="14"/>
      <c r="L555" s="14"/>
    </row>
    <row r="556" customFormat="false" ht="15" hidden="false" customHeight="false" outlineLevel="0" collapsed="false">
      <c r="A556" s="13"/>
      <c r="B556" s="14"/>
      <c r="C556" s="14"/>
      <c r="D556" s="14"/>
      <c r="E556" s="15"/>
      <c r="F556" s="14"/>
      <c r="G556" s="19" t="str">
        <f aca="false">IF(E556="","",IF(F556="Y",E556*Settings!$B$16,0))</f>
        <v/>
      </c>
      <c r="H556" s="19" t="str">
        <f aca="false">IF(E556="","",E556+G556)</f>
        <v/>
      </c>
      <c r="I556" s="14"/>
      <c r="J556" s="14"/>
      <c r="K556" s="14"/>
      <c r="L556" s="14"/>
    </row>
    <row r="557" customFormat="false" ht="15" hidden="false" customHeight="false" outlineLevel="0" collapsed="false">
      <c r="A557" s="13"/>
      <c r="B557" s="14"/>
      <c r="C557" s="14"/>
      <c r="D557" s="14"/>
      <c r="E557" s="15"/>
      <c r="F557" s="14"/>
      <c r="G557" s="19" t="str">
        <f aca="false">IF(E557="","",IF(F557="Y",E557*Settings!$B$16,0))</f>
        <v/>
      </c>
      <c r="H557" s="19" t="str">
        <f aca="false">IF(E557="","",E557+G557)</f>
        <v/>
      </c>
      <c r="I557" s="14"/>
      <c r="J557" s="14"/>
      <c r="K557" s="14"/>
      <c r="L557" s="14"/>
    </row>
    <row r="558" customFormat="false" ht="15" hidden="false" customHeight="false" outlineLevel="0" collapsed="false">
      <c r="A558" s="13"/>
      <c r="B558" s="14"/>
      <c r="C558" s="14"/>
      <c r="D558" s="14"/>
      <c r="E558" s="15"/>
      <c r="F558" s="14"/>
      <c r="G558" s="19" t="str">
        <f aca="false">IF(E558="","",IF(F558="Y",E558*Settings!$B$16,0))</f>
        <v/>
      </c>
      <c r="H558" s="19" t="str">
        <f aca="false">IF(E558="","",E558+G558)</f>
        <v/>
      </c>
      <c r="I558" s="14"/>
      <c r="J558" s="14"/>
      <c r="K558" s="14"/>
      <c r="L558" s="14"/>
    </row>
    <row r="559" customFormat="false" ht="15" hidden="false" customHeight="false" outlineLevel="0" collapsed="false">
      <c r="A559" s="13"/>
      <c r="B559" s="14"/>
      <c r="C559" s="14"/>
      <c r="D559" s="14"/>
      <c r="E559" s="15"/>
      <c r="F559" s="14"/>
      <c r="G559" s="19" t="str">
        <f aca="false">IF(E559="","",IF(F559="Y",E559*Settings!$B$16,0))</f>
        <v/>
      </c>
      <c r="H559" s="19" t="str">
        <f aca="false">IF(E559="","",E559+G559)</f>
        <v/>
      </c>
      <c r="I559" s="14"/>
      <c r="J559" s="14"/>
      <c r="K559" s="14"/>
      <c r="L559" s="14"/>
    </row>
    <row r="560" customFormat="false" ht="15" hidden="false" customHeight="false" outlineLevel="0" collapsed="false">
      <c r="A560" s="13"/>
      <c r="B560" s="14"/>
      <c r="C560" s="14"/>
      <c r="D560" s="14"/>
      <c r="E560" s="15"/>
      <c r="F560" s="14"/>
      <c r="G560" s="19" t="str">
        <f aca="false">IF(E560="","",IF(F560="Y",E560*Settings!$B$16,0))</f>
        <v/>
      </c>
      <c r="H560" s="19" t="str">
        <f aca="false">IF(E560="","",E560+G560)</f>
        <v/>
      </c>
      <c r="I560" s="14"/>
      <c r="J560" s="14"/>
      <c r="K560" s="14"/>
      <c r="L560" s="14"/>
    </row>
    <row r="561" customFormat="false" ht="15" hidden="false" customHeight="false" outlineLevel="0" collapsed="false">
      <c r="A561" s="13"/>
      <c r="B561" s="14"/>
      <c r="C561" s="14"/>
      <c r="D561" s="14"/>
      <c r="E561" s="15"/>
      <c r="F561" s="14"/>
      <c r="G561" s="19" t="str">
        <f aca="false">IF(E561="","",IF(F561="Y",E561*Settings!$B$16,0))</f>
        <v/>
      </c>
      <c r="H561" s="19" t="str">
        <f aca="false">IF(E561="","",E561+G561)</f>
        <v/>
      </c>
      <c r="I561" s="14"/>
      <c r="J561" s="14"/>
      <c r="K561" s="14"/>
      <c r="L561" s="14"/>
    </row>
    <row r="562" customFormat="false" ht="15" hidden="false" customHeight="false" outlineLevel="0" collapsed="false">
      <c r="A562" s="13"/>
      <c r="B562" s="14"/>
      <c r="C562" s="14"/>
      <c r="D562" s="14"/>
      <c r="E562" s="15"/>
      <c r="F562" s="14"/>
      <c r="G562" s="19" t="str">
        <f aca="false">IF(E562="","",IF(F562="Y",E562*Settings!$B$16,0))</f>
        <v/>
      </c>
      <c r="H562" s="19" t="str">
        <f aca="false">IF(E562="","",E562+G562)</f>
        <v/>
      </c>
      <c r="I562" s="14"/>
      <c r="J562" s="14"/>
      <c r="K562" s="14"/>
      <c r="L562" s="14"/>
    </row>
    <row r="563" customFormat="false" ht="15" hidden="false" customHeight="false" outlineLevel="0" collapsed="false">
      <c r="A563" s="13"/>
      <c r="B563" s="14"/>
      <c r="C563" s="14"/>
      <c r="D563" s="14"/>
      <c r="E563" s="15"/>
      <c r="F563" s="14"/>
      <c r="G563" s="19" t="str">
        <f aca="false">IF(E563="","",IF(F563="Y",E563*Settings!$B$16,0))</f>
        <v/>
      </c>
      <c r="H563" s="19" t="str">
        <f aca="false">IF(E563="","",E563+G563)</f>
        <v/>
      </c>
      <c r="I563" s="14"/>
      <c r="J563" s="14"/>
      <c r="K563" s="14"/>
      <c r="L563" s="14"/>
    </row>
    <row r="564" customFormat="false" ht="15" hidden="false" customHeight="false" outlineLevel="0" collapsed="false">
      <c r="A564" s="13"/>
      <c r="B564" s="14"/>
      <c r="C564" s="14"/>
      <c r="D564" s="14"/>
      <c r="E564" s="15"/>
      <c r="F564" s="14"/>
      <c r="G564" s="19" t="str">
        <f aca="false">IF(E564="","",IF(F564="Y",E564*Settings!$B$16,0))</f>
        <v/>
      </c>
      <c r="H564" s="19" t="str">
        <f aca="false">IF(E564="","",E564+G564)</f>
        <v/>
      </c>
      <c r="I564" s="14"/>
      <c r="J564" s="14"/>
      <c r="K564" s="14"/>
      <c r="L564" s="14"/>
    </row>
    <row r="565" customFormat="false" ht="15" hidden="false" customHeight="false" outlineLevel="0" collapsed="false">
      <c r="A565" s="13"/>
      <c r="B565" s="14"/>
      <c r="C565" s="14"/>
      <c r="D565" s="14"/>
      <c r="E565" s="15"/>
      <c r="F565" s="14"/>
      <c r="G565" s="19" t="str">
        <f aca="false">IF(E565="","",IF(F565="Y",E565*Settings!$B$16,0))</f>
        <v/>
      </c>
      <c r="H565" s="19" t="str">
        <f aca="false">IF(E565="","",E565+G565)</f>
        <v/>
      </c>
      <c r="I565" s="14"/>
      <c r="J565" s="14"/>
      <c r="K565" s="14"/>
      <c r="L565" s="14"/>
    </row>
    <row r="566" customFormat="false" ht="15" hidden="false" customHeight="false" outlineLevel="0" collapsed="false">
      <c r="A566" s="13"/>
      <c r="B566" s="14"/>
      <c r="C566" s="14"/>
      <c r="D566" s="14"/>
      <c r="E566" s="15"/>
      <c r="F566" s="14"/>
      <c r="G566" s="19" t="str">
        <f aca="false">IF(E566="","",IF(F566="Y",E566*Settings!$B$16,0))</f>
        <v/>
      </c>
      <c r="H566" s="19" t="str">
        <f aca="false">IF(E566="","",E566+G566)</f>
        <v/>
      </c>
      <c r="I566" s="14"/>
      <c r="J566" s="14"/>
      <c r="K566" s="14"/>
      <c r="L566" s="14"/>
    </row>
    <row r="567" customFormat="false" ht="15" hidden="false" customHeight="false" outlineLevel="0" collapsed="false">
      <c r="A567" s="13"/>
      <c r="B567" s="14"/>
      <c r="C567" s="14"/>
      <c r="D567" s="14"/>
      <c r="E567" s="15"/>
      <c r="F567" s="14"/>
      <c r="G567" s="19" t="str">
        <f aca="false">IF(E567="","",IF(F567="Y",E567*Settings!$B$16,0))</f>
        <v/>
      </c>
      <c r="H567" s="19" t="str">
        <f aca="false">IF(E567="","",E567+G567)</f>
        <v/>
      </c>
      <c r="I567" s="14"/>
      <c r="J567" s="14"/>
      <c r="K567" s="14"/>
      <c r="L567" s="14"/>
    </row>
    <row r="568" customFormat="false" ht="15" hidden="false" customHeight="false" outlineLevel="0" collapsed="false">
      <c r="A568" s="13"/>
      <c r="B568" s="14"/>
      <c r="C568" s="14"/>
      <c r="D568" s="14"/>
      <c r="E568" s="15"/>
      <c r="F568" s="14"/>
      <c r="G568" s="19" t="str">
        <f aca="false">IF(E568="","",IF(F568="Y",E568*Settings!$B$16,0))</f>
        <v/>
      </c>
      <c r="H568" s="19" t="str">
        <f aca="false">IF(E568="","",E568+G568)</f>
        <v/>
      </c>
      <c r="I568" s="14"/>
      <c r="J568" s="14"/>
      <c r="K568" s="14"/>
      <c r="L568" s="14"/>
    </row>
    <row r="569" customFormat="false" ht="15" hidden="false" customHeight="false" outlineLevel="0" collapsed="false">
      <c r="A569" s="13"/>
      <c r="B569" s="14"/>
      <c r="C569" s="14"/>
      <c r="D569" s="14"/>
      <c r="E569" s="15"/>
      <c r="F569" s="14"/>
      <c r="G569" s="19" t="str">
        <f aca="false">IF(E569="","",IF(F569="Y",E569*Settings!$B$16,0))</f>
        <v/>
      </c>
      <c r="H569" s="19" t="str">
        <f aca="false">IF(E569="","",E569+G569)</f>
        <v/>
      </c>
      <c r="I569" s="14"/>
      <c r="J569" s="14"/>
      <c r="K569" s="14"/>
      <c r="L569" s="14"/>
    </row>
    <row r="570" customFormat="false" ht="15" hidden="false" customHeight="false" outlineLevel="0" collapsed="false">
      <c r="A570" s="13"/>
      <c r="B570" s="14"/>
      <c r="C570" s="14"/>
      <c r="D570" s="14"/>
      <c r="E570" s="15"/>
      <c r="F570" s="14"/>
      <c r="G570" s="19" t="str">
        <f aca="false">IF(E570="","",IF(F570="Y",E570*Settings!$B$16,0))</f>
        <v/>
      </c>
      <c r="H570" s="19" t="str">
        <f aca="false">IF(E570="","",E570+G570)</f>
        <v/>
      </c>
      <c r="I570" s="14"/>
      <c r="J570" s="14"/>
      <c r="K570" s="14"/>
      <c r="L570" s="14"/>
    </row>
    <row r="571" customFormat="false" ht="15" hidden="false" customHeight="false" outlineLevel="0" collapsed="false">
      <c r="A571" s="13"/>
      <c r="B571" s="14"/>
      <c r="C571" s="14"/>
      <c r="D571" s="14"/>
      <c r="E571" s="15"/>
      <c r="F571" s="14"/>
      <c r="G571" s="19" t="str">
        <f aca="false">IF(E571="","",IF(F571="Y",E571*Settings!$B$16,0))</f>
        <v/>
      </c>
      <c r="H571" s="19" t="str">
        <f aca="false">IF(E571="","",E571+G571)</f>
        <v/>
      </c>
      <c r="I571" s="14"/>
      <c r="J571" s="14"/>
      <c r="K571" s="14"/>
      <c r="L571" s="14"/>
    </row>
    <row r="572" customFormat="false" ht="15" hidden="false" customHeight="false" outlineLevel="0" collapsed="false">
      <c r="A572" s="13"/>
      <c r="B572" s="14"/>
      <c r="C572" s="14"/>
      <c r="D572" s="14"/>
      <c r="E572" s="15"/>
      <c r="F572" s="14"/>
      <c r="G572" s="19" t="str">
        <f aca="false">IF(E572="","",IF(F572="Y",E572*Settings!$B$16,0))</f>
        <v/>
      </c>
      <c r="H572" s="19" t="str">
        <f aca="false">IF(E572="","",E572+G572)</f>
        <v/>
      </c>
      <c r="I572" s="14"/>
      <c r="J572" s="14"/>
      <c r="K572" s="14"/>
      <c r="L572" s="14"/>
    </row>
    <row r="573" customFormat="false" ht="15" hidden="false" customHeight="false" outlineLevel="0" collapsed="false">
      <c r="A573" s="13"/>
      <c r="B573" s="14"/>
      <c r="C573" s="14"/>
      <c r="D573" s="14"/>
      <c r="E573" s="15"/>
      <c r="F573" s="14"/>
      <c r="G573" s="19" t="str">
        <f aca="false">IF(E573="","",IF(F573="Y",E573*Settings!$B$16,0))</f>
        <v/>
      </c>
      <c r="H573" s="19" t="str">
        <f aca="false">IF(E573="","",E573+G573)</f>
        <v/>
      </c>
      <c r="I573" s="14"/>
      <c r="J573" s="14"/>
      <c r="K573" s="14"/>
      <c r="L573" s="14"/>
    </row>
    <row r="574" customFormat="false" ht="15" hidden="false" customHeight="false" outlineLevel="0" collapsed="false">
      <c r="A574" s="13"/>
      <c r="B574" s="14"/>
      <c r="C574" s="14"/>
      <c r="D574" s="14"/>
      <c r="E574" s="15"/>
      <c r="F574" s="14"/>
      <c r="G574" s="19" t="str">
        <f aca="false">IF(E574="","",IF(F574="Y",E574*Settings!$B$16,0))</f>
        <v/>
      </c>
      <c r="H574" s="19" t="str">
        <f aca="false">IF(E574="","",E574+G574)</f>
        <v/>
      </c>
      <c r="I574" s="14"/>
      <c r="J574" s="14"/>
      <c r="K574" s="14"/>
      <c r="L574" s="14"/>
    </row>
    <row r="575" customFormat="false" ht="15" hidden="false" customHeight="false" outlineLevel="0" collapsed="false">
      <c r="A575" s="13"/>
      <c r="B575" s="14"/>
      <c r="C575" s="14"/>
      <c r="D575" s="14"/>
      <c r="E575" s="15"/>
      <c r="F575" s="14"/>
      <c r="G575" s="19" t="str">
        <f aca="false">IF(E575="","",IF(F575="Y",E575*Settings!$B$16,0))</f>
        <v/>
      </c>
      <c r="H575" s="19" t="str">
        <f aca="false">IF(E575="","",E575+G575)</f>
        <v/>
      </c>
      <c r="I575" s="14"/>
      <c r="J575" s="14"/>
      <c r="K575" s="14"/>
      <c r="L575" s="14"/>
    </row>
    <row r="576" customFormat="false" ht="15" hidden="false" customHeight="false" outlineLevel="0" collapsed="false">
      <c r="A576" s="13"/>
      <c r="B576" s="14"/>
      <c r="C576" s="14"/>
      <c r="D576" s="14"/>
      <c r="E576" s="15"/>
      <c r="F576" s="14"/>
      <c r="G576" s="19" t="str">
        <f aca="false">IF(E576="","",IF(F576="Y",E576*Settings!$B$16,0))</f>
        <v/>
      </c>
      <c r="H576" s="19" t="str">
        <f aca="false">IF(E576="","",E576+G576)</f>
        <v/>
      </c>
      <c r="I576" s="14"/>
      <c r="J576" s="14"/>
      <c r="K576" s="14"/>
      <c r="L576" s="14"/>
    </row>
    <row r="577" customFormat="false" ht="15" hidden="false" customHeight="false" outlineLevel="0" collapsed="false">
      <c r="A577" s="13"/>
      <c r="B577" s="14"/>
      <c r="C577" s="14"/>
      <c r="D577" s="14"/>
      <c r="E577" s="15"/>
      <c r="F577" s="14"/>
      <c r="G577" s="19" t="str">
        <f aca="false">IF(E577="","",IF(F577="Y",E577*Settings!$B$16,0))</f>
        <v/>
      </c>
      <c r="H577" s="19" t="str">
        <f aca="false">IF(E577="","",E577+G577)</f>
        <v/>
      </c>
      <c r="I577" s="14"/>
      <c r="J577" s="14"/>
      <c r="K577" s="14"/>
      <c r="L577" s="14"/>
    </row>
    <row r="578" customFormat="false" ht="15" hidden="false" customHeight="false" outlineLevel="0" collapsed="false">
      <c r="A578" s="13"/>
      <c r="B578" s="14"/>
      <c r="C578" s="14"/>
      <c r="D578" s="14"/>
      <c r="E578" s="15"/>
      <c r="F578" s="14"/>
      <c r="G578" s="19" t="str">
        <f aca="false">IF(E578="","",IF(F578="Y",E578*Settings!$B$16,0))</f>
        <v/>
      </c>
      <c r="H578" s="19" t="str">
        <f aca="false">IF(E578="","",E578+G578)</f>
        <v/>
      </c>
      <c r="I578" s="14"/>
      <c r="J578" s="14"/>
      <c r="K578" s="14"/>
      <c r="L578" s="14"/>
    </row>
    <row r="579" customFormat="false" ht="15" hidden="false" customHeight="false" outlineLevel="0" collapsed="false">
      <c r="A579" s="13"/>
      <c r="B579" s="14"/>
      <c r="C579" s="14"/>
      <c r="D579" s="14"/>
      <c r="E579" s="15"/>
      <c r="F579" s="14"/>
      <c r="G579" s="19" t="str">
        <f aca="false">IF(E579="","",IF(F579="Y",E579*Settings!$B$16,0))</f>
        <v/>
      </c>
      <c r="H579" s="19" t="str">
        <f aca="false">IF(E579="","",E579+G579)</f>
        <v/>
      </c>
      <c r="I579" s="14"/>
      <c r="J579" s="14"/>
      <c r="K579" s="14"/>
      <c r="L579" s="14"/>
    </row>
    <row r="580" customFormat="false" ht="15" hidden="false" customHeight="false" outlineLevel="0" collapsed="false">
      <c r="A580" s="13"/>
      <c r="B580" s="14"/>
      <c r="C580" s="14"/>
      <c r="D580" s="14"/>
      <c r="E580" s="15"/>
      <c r="F580" s="14"/>
      <c r="G580" s="19" t="str">
        <f aca="false">IF(E580="","",IF(F580="Y",E580*Settings!$B$16,0))</f>
        <v/>
      </c>
      <c r="H580" s="19" t="str">
        <f aca="false">IF(E580="","",E580+G580)</f>
        <v/>
      </c>
      <c r="I580" s="14"/>
      <c r="J580" s="14"/>
      <c r="K580" s="14"/>
      <c r="L580" s="14"/>
    </row>
    <row r="581" customFormat="false" ht="15" hidden="false" customHeight="false" outlineLevel="0" collapsed="false">
      <c r="A581" s="13"/>
      <c r="B581" s="14"/>
      <c r="C581" s="14"/>
      <c r="D581" s="14"/>
      <c r="E581" s="15"/>
      <c r="F581" s="14"/>
      <c r="G581" s="19" t="str">
        <f aca="false">IF(E581="","",IF(F581="Y",E581*Settings!$B$16,0))</f>
        <v/>
      </c>
      <c r="H581" s="19" t="str">
        <f aca="false">IF(E581="","",E581+G581)</f>
        <v/>
      </c>
      <c r="I581" s="14"/>
      <c r="J581" s="14"/>
      <c r="K581" s="14"/>
      <c r="L581" s="14"/>
    </row>
    <row r="582" customFormat="false" ht="15" hidden="false" customHeight="false" outlineLevel="0" collapsed="false">
      <c r="A582" s="13"/>
      <c r="B582" s="14"/>
      <c r="C582" s="14"/>
      <c r="D582" s="14"/>
      <c r="E582" s="15"/>
      <c r="F582" s="14"/>
      <c r="G582" s="19" t="str">
        <f aca="false">IF(E582="","",IF(F582="Y",E582*Settings!$B$16,0))</f>
        <v/>
      </c>
      <c r="H582" s="19" t="str">
        <f aca="false">IF(E582="","",E582+G582)</f>
        <v/>
      </c>
      <c r="I582" s="14"/>
      <c r="J582" s="14"/>
      <c r="K582" s="14"/>
      <c r="L582" s="14"/>
    </row>
    <row r="583" customFormat="false" ht="15" hidden="false" customHeight="false" outlineLevel="0" collapsed="false">
      <c r="A583" s="13"/>
      <c r="B583" s="14"/>
      <c r="C583" s="14"/>
      <c r="D583" s="14"/>
      <c r="E583" s="15"/>
      <c r="F583" s="14"/>
      <c r="G583" s="19" t="str">
        <f aca="false">IF(E583="","",IF(F583="Y",E583*Settings!$B$16,0))</f>
        <v/>
      </c>
      <c r="H583" s="19" t="str">
        <f aca="false">IF(E583="","",E583+G583)</f>
        <v/>
      </c>
      <c r="I583" s="14"/>
      <c r="J583" s="14"/>
      <c r="K583" s="14"/>
      <c r="L583" s="14"/>
    </row>
    <row r="584" customFormat="false" ht="15" hidden="false" customHeight="false" outlineLevel="0" collapsed="false">
      <c r="A584" s="13"/>
      <c r="B584" s="14"/>
      <c r="C584" s="14"/>
      <c r="D584" s="14"/>
      <c r="E584" s="15"/>
      <c r="F584" s="14"/>
      <c r="G584" s="19" t="str">
        <f aca="false">IF(E584="","",IF(F584="Y",E584*Settings!$B$16,0))</f>
        <v/>
      </c>
      <c r="H584" s="19" t="str">
        <f aca="false">IF(E584="","",E584+G584)</f>
        <v/>
      </c>
      <c r="I584" s="14"/>
      <c r="J584" s="14"/>
      <c r="K584" s="14"/>
      <c r="L584" s="14"/>
    </row>
    <row r="585" customFormat="false" ht="15" hidden="false" customHeight="false" outlineLevel="0" collapsed="false">
      <c r="A585" s="13"/>
      <c r="B585" s="14"/>
      <c r="C585" s="14"/>
      <c r="D585" s="14"/>
      <c r="E585" s="15"/>
      <c r="F585" s="14"/>
      <c r="G585" s="19" t="str">
        <f aca="false">IF(E585="","",IF(F585="Y",E585*Settings!$B$16,0))</f>
        <v/>
      </c>
      <c r="H585" s="19" t="str">
        <f aca="false">IF(E585="","",E585+G585)</f>
        <v/>
      </c>
      <c r="I585" s="14"/>
      <c r="J585" s="14"/>
      <c r="K585" s="14"/>
      <c r="L585" s="14"/>
    </row>
    <row r="586" customFormat="false" ht="15" hidden="false" customHeight="false" outlineLevel="0" collapsed="false">
      <c r="A586" s="13"/>
      <c r="B586" s="14"/>
      <c r="C586" s="14"/>
      <c r="D586" s="14"/>
      <c r="E586" s="15"/>
      <c r="F586" s="14"/>
      <c r="G586" s="19" t="str">
        <f aca="false">IF(E586="","",IF(F586="Y",E586*Settings!$B$16,0))</f>
        <v/>
      </c>
      <c r="H586" s="19" t="str">
        <f aca="false">IF(E586="","",E586+G586)</f>
        <v/>
      </c>
      <c r="I586" s="14"/>
      <c r="J586" s="14"/>
      <c r="K586" s="14"/>
      <c r="L586" s="14"/>
    </row>
    <row r="587" customFormat="false" ht="15" hidden="false" customHeight="false" outlineLevel="0" collapsed="false">
      <c r="A587" s="13"/>
      <c r="B587" s="14"/>
      <c r="C587" s="14"/>
      <c r="D587" s="14"/>
      <c r="E587" s="15"/>
      <c r="F587" s="14"/>
      <c r="G587" s="19" t="str">
        <f aca="false">IF(E587="","",IF(F587="Y",E587*Settings!$B$16,0))</f>
        <v/>
      </c>
      <c r="H587" s="19" t="str">
        <f aca="false">IF(E587="","",E587+G587)</f>
        <v/>
      </c>
      <c r="I587" s="14"/>
      <c r="J587" s="14"/>
      <c r="K587" s="14"/>
      <c r="L587" s="14"/>
    </row>
    <row r="588" customFormat="false" ht="15" hidden="false" customHeight="false" outlineLevel="0" collapsed="false">
      <c r="A588" s="13"/>
      <c r="B588" s="14"/>
      <c r="C588" s="14"/>
      <c r="D588" s="14"/>
      <c r="E588" s="15"/>
      <c r="F588" s="14"/>
      <c r="G588" s="19" t="str">
        <f aca="false">IF(E588="","",IF(F588="Y",E588*Settings!$B$16,0))</f>
        <v/>
      </c>
      <c r="H588" s="19" t="str">
        <f aca="false">IF(E588="","",E588+G588)</f>
        <v/>
      </c>
      <c r="I588" s="14"/>
      <c r="J588" s="14"/>
      <c r="K588" s="14"/>
      <c r="L588" s="14"/>
    </row>
    <row r="589" customFormat="false" ht="15" hidden="false" customHeight="false" outlineLevel="0" collapsed="false">
      <c r="A589" s="13"/>
      <c r="B589" s="14"/>
      <c r="C589" s="14"/>
      <c r="D589" s="14"/>
      <c r="E589" s="15"/>
      <c r="F589" s="14"/>
      <c r="G589" s="19" t="str">
        <f aca="false">IF(E589="","",IF(F589="Y",E589*Settings!$B$16,0))</f>
        <v/>
      </c>
      <c r="H589" s="19" t="str">
        <f aca="false">IF(E589="","",E589+G589)</f>
        <v/>
      </c>
      <c r="I589" s="14"/>
      <c r="J589" s="14"/>
      <c r="K589" s="14"/>
      <c r="L589" s="14"/>
    </row>
    <row r="590" customFormat="false" ht="15" hidden="false" customHeight="false" outlineLevel="0" collapsed="false">
      <c r="A590" s="13"/>
      <c r="B590" s="14"/>
      <c r="C590" s="14"/>
      <c r="D590" s="14"/>
      <c r="E590" s="15"/>
      <c r="F590" s="14"/>
      <c r="G590" s="19" t="str">
        <f aca="false">IF(E590="","",IF(F590="Y",E590*Settings!$B$16,0))</f>
        <v/>
      </c>
      <c r="H590" s="19" t="str">
        <f aca="false">IF(E590="","",E590+G590)</f>
        <v/>
      </c>
      <c r="I590" s="14"/>
      <c r="J590" s="14"/>
      <c r="K590" s="14"/>
      <c r="L590" s="14"/>
    </row>
    <row r="591" customFormat="false" ht="15" hidden="false" customHeight="false" outlineLevel="0" collapsed="false">
      <c r="A591" s="13"/>
      <c r="B591" s="14"/>
      <c r="C591" s="14"/>
      <c r="D591" s="14"/>
      <c r="E591" s="15"/>
      <c r="F591" s="14"/>
      <c r="G591" s="19" t="str">
        <f aca="false">IF(E591="","",IF(F591="Y",E591*Settings!$B$16,0))</f>
        <v/>
      </c>
      <c r="H591" s="19" t="str">
        <f aca="false">IF(E591="","",E591+G591)</f>
        <v/>
      </c>
      <c r="I591" s="14"/>
      <c r="J591" s="14"/>
      <c r="K591" s="14"/>
      <c r="L591" s="14"/>
    </row>
    <row r="592" customFormat="false" ht="15" hidden="false" customHeight="false" outlineLevel="0" collapsed="false">
      <c r="A592" s="13"/>
      <c r="B592" s="14"/>
      <c r="C592" s="14"/>
      <c r="D592" s="14"/>
      <c r="E592" s="15"/>
      <c r="F592" s="14"/>
      <c r="G592" s="19" t="str">
        <f aca="false">IF(E592="","",IF(F592="Y",E592*Settings!$B$16,0))</f>
        <v/>
      </c>
      <c r="H592" s="19" t="str">
        <f aca="false">IF(E592="","",E592+G592)</f>
        <v/>
      </c>
      <c r="I592" s="14"/>
      <c r="J592" s="14"/>
      <c r="K592" s="14"/>
      <c r="L592" s="14"/>
    </row>
    <row r="593" customFormat="false" ht="15" hidden="false" customHeight="false" outlineLevel="0" collapsed="false">
      <c r="A593" s="13"/>
      <c r="B593" s="14"/>
      <c r="C593" s="14"/>
      <c r="D593" s="14"/>
      <c r="E593" s="15"/>
      <c r="F593" s="14"/>
      <c r="G593" s="19" t="str">
        <f aca="false">IF(E593="","",IF(F593="Y",E593*Settings!$B$16,0))</f>
        <v/>
      </c>
      <c r="H593" s="19" t="str">
        <f aca="false">IF(E593="","",E593+G593)</f>
        <v/>
      </c>
      <c r="I593" s="14"/>
      <c r="J593" s="14"/>
      <c r="K593" s="14"/>
      <c r="L593" s="14"/>
    </row>
    <row r="594" customFormat="false" ht="15" hidden="false" customHeight="false" outlineLevel="0" collapsed="false">
      <c r="A594" s="13"/>
      <c r="B594" s="14"/>
      <c r="C594" s="14"/>
      <c r="D594" s="14"/>
      <c r="E594" s="15"/>
      <c r="F594" s="14"/>
      <c r="G594" s="19" t="str">
        <f aca="false">IF(E594="","",IF(F594="Y",E594*Settings!$B$16,0))</f>
        <v/>
      </c>
      <c r="H594" s="19" t="str">
        <f aca="false">IF(E594="","",E594+G594)</f>
        <v/>
      </c>
      <c r="I594" s="14"/>
      <c r="J594" s="14"/>
      <c r="K594" s="14"/>
      <c r="L594" s="14"/>
    </row>
    <row r="595" customFormat="false" ht="15" hidden="false" customHeight="false" outlineLevel="0" collapsed="false">
      <c r="A595" s="13"/>
      <c r="B595" s="14"/>
      <c r="C595" s="14"/>
      <c r="D595" s="14"/>
      <c r="E595" s="15"/>
      <c r="F595" s="14"/>
      <c r="G595" s="19" t="str">
        <f aca="false">IF(E595="","",IF(F595="Y",E595*Settings!$B$16,0))</f>
        <v/>
      </c>
      <c r="H595" s="19" t="str">
        <f aca="false">IF(E595="","",E595+G595)</f>
        <v/>
      </c>
      <c r="I595" s="14"/>
      <c r="J595" s="14"/>
      <c r="K595" s="14"/>
      <c r="L595" s="14"/>
    </row>
    <row r="596" customFormat="false" ht="15" hidden="false" customHeight="false" outlineLevel="0" collapsed="false">
      <c r="A596" s="13"/>
      <c r="B596" s="14"/>
      <c r="C596" s="14"/>
      <c r="D596" s="14"/>
      <c r="E596" s="15"/>
      <c r="F596" s="14"/>
      <c r="G596" s="19" t="str">
        <f aca="false">IF(E596="","",IF(F596="Y",E596*Settings!$B$16,0))</f>
        <v/>
      </c>
      <c r="H596" s="19" t="str">
        <f aca="false">IF(E596="","",E596+G596)</f>
        <v/>
      </c>
      <c r="I596" s="14"/>
      <c r="J596" s="14"/>
      <c r="K596" s="14"/>
      <c r="L596" s="14"/>
    </row>
    <row r="597" customFormat="false" ht="15" hidden="false" customHeight="false" outlineLevel="0" collapsed="false">
      <c r="A597" s="13"/>
      <c r="B597" s="14"/>
      <c r="C597" s="14"/>
      <c r="D597" s="14"/>
      <c r="E597" s="15"/>
      <c r="F597" s="14"/>
      <c r="G597" s="19" t="str">
        <f aca="false">IF(E597="","",IF(F597="Y",E597*Settings!$B$16,0))</f>
        <v/>
      </c>
      <c r="H597" s="19" t="str">
        <f aca="false">IF(E597="","",E597+G597)</f>
        <v/>
      </c>
      <c r="I597" s="14"/>
      <c r="J597" s="14"/>
      <c r="K597" s="14"/>
      <c r="L597" s="14"/>
    </row>
    <row r="598" customFormat="false" ht="15" hidden="false" customHeight="false" outlineLevel="0" collapsed="false">
      <c r="A598" s="13"/>
      <c r="B598" s="14"/>
      <c r="C598" s="14"/>
      <c r="D598" s="14"/>
      <c r="E598" s="15"/>
      <c r="F598" s="14"/>
      <c r="G598" s="19" t="str">
        <f aca="false">IF(E598="","",IF(F598="Y",E598*Settings!$B$16,0))</f>
        <v/>
      </c>
      <c r="H598" s="19" t="str">
        <f aca="false">IF(E598="","",E598+G598)</f>
        <v/>
      </c>
      <c r="I598" s="14"/>
      <c r="J598" s="14"/>
      <c r="K598" s="14"/>
      <c r="L598" s="14"/>
    </row>
    <row r="599" customFormat="false" ht="15" hidden="false" customHeight="false" outlineLevel="0" collapsed="false">
      <c r="A599" s="13"/>
      <c r="B599" s="14"/>
      <c r="C599" s="14"/>
      <c r="D599" s="14"/>
      <c r="E599" s="15"/>
      <c r="F599" s="14"/>
      <c r="G599" s="19" t="str">
        <f aca="false">IF(E599="","",IF(F599="Y",E599*Settings!$B$16,0))</f>
        <v/>
      </c>
      <c r="H599" s="19" t="str">
        <f aca="false">IF(E599="","",E599+G599)</f>
        <v/>
      </c>
      <c r="I599" s="14"/>
      <c r="J599" s="14"/>
      <c r="K599" s="14"/>
      <c r="L599" s="14"/>
    </row>
    <row r="600" customFormat="false" ht="15" hidden="false" customHeight="false" outlineLevel="0" collapsed="false">
      <c r="A600" s="13"/>
      <c r="B600" s="14"/>
      <c r="C600" s="14"/>
      <c r="D600" s="14"/>
      <c r="E600" s="15"/>
      <c r="F600" s="14"/>
      <c r="G600" s="19" t="str">
        <f aca="false">IF(E600="","",IF(F600="Y",E600*Settings!$B$16,0))</f>
        <v/>
      </c>
      <c r="H600" s="19" t="str">
        <f aca="false">IF(E600="","",E600+G600)</f>
        <v/>
      </c>
      <c r="I600" s="14"/>
      <c r="J600" s="14"/>
      <c r="K600" s="14"/>
      <c r="L600" s="14"/>
    </row>
    <row r="601" customFormat="false" ht="15" hidden="false" customHeight="false" outlineLevel="0" collapsed="false">
      <c r="A601" s="13"/>
      <c r="B601" s="14"/>
      <c r="C601" s="14"/>
      <c r="D601" s="14"/>
      <c r="E601" s="15"/>
      <c r="F601" s="14"/>
      <c r="G601" s="19" t="str">
        <f aca="false">IF(E601="","",IF(F601="Y",E601*Settings!$B$16,0))</f>
        <v/>
      </c>
      <c r="H601" s="19" t="str">
        <f aca="false">IF(E601="","",E601+G601)</f>
        <v/>
      </c>
      <c r="I601" s="14"/>
      <c r="J601" s="14"/>
      <c r="K601" s="14"/>
      <c r="L601" s="14"/>
    </row>
    <row r="602" customFormat="false" ht="15" hidden="false" customHeight="false" outlineLevel="0" collapsed="false">
      <c r="A602" s="13"/>
      <c r="B602" s="14"/>
      <c r="C602" s="14"/>
      <c r="D602" s="14"/>
      <c r="E602" s="15"/>
      <c r="F602" s="14"/>
      <c r="G602" s="19" t="str">
        <f aca="false">IF(E602="","",IF(F602="Y",E602*Settings!$B$16,0))</f>
        <v/>
      </c>
      <c r="H602" s="19" t="str">
        <f aca="false">IF(E602="","",E602+G602)</f>
        <v/>
      </c>
      <c r="I602" s="14"/>
      <c r="J602" s="14"/>
      <c r="K602" s="14"/>
      <c r="L602" s="14"/>
    </row>
    <row r="603" customFormat="false" ht="15" hidden="false" customHeight="false" outlineLevel="0" collapsed="false">
      <c r="A603" s="13"/>
      <c r="B603" s="14"/>
      <c r="C603" s="14"/>
      <c r="D603" s="14"/>
      <c r="E603" s="15"/>
      <c r="F603" s="14"/>
      <c r="G603" s="19" t="str">
        <f aca="false">IF(E603="","",IF(F603="Y",E603*Settings!$B$16,0))</f>
        <v/>
      </c>
      <c r="H603" s="19" t="str">
        <f aca="false">IF(E603="","",E603+G603)</f>
        <v/>
      </c>
      <c r="I603" s="14"/>
      <c r="J603" s="14"/>
      <c r="K603" s="14"/>
      <c r="L603" s="14"/>
    </row>
    <row r="604" customFormat="false" ht="15" hidden="false" customHeight="false" outlineLevel="0" collapsed="false">
      <c r="A604" s="13"/>
      <c r="B604" s="14"/>
      <c r="C604" s="14"/>
      <c r="D604" s="14"/>
      <c r="E604" s="15"/>
      <c r="F604" s="14"/>
      <c r="G604" s="19" t="str">
        <f aca="false">IF(E604="","",IF(F604="Y",E604*Settings!$B$16,0))</f>
        <v/>
      </c>
      <c r="H604" s="19" t="str">
        <f aca="false">IF(E604="","",E604+G604)</f>
        <v/>
      </c>
      <c r="I604" s="14"/>
      <c r="J604" s="14"/>
      <c r="K604" s="14"/>
      <c r="L604" s="14"/>
    </row>
    <row r="605" customFormat="false" ht="15" hidden="false" customHeight="false" outlineLevel="0" collapsed="false">
      <c r="A605" s="13"/>
      <c r="B605" s="14"/>
      <c r="C605" s="14"/>
      <c r="D605" s="14"/>
      <c r="E605" s="15"/>
      <c r="F605" s="14"/>
      <c r="G605" s="19" t="str">
        <f aca="false">IF(E605="","",IF(F605="Y",E605*Settings!$B$16,0))</f>
        <v/>
      </c>
      <c r="H605" s="19" t="str">
        <f aca="false">IF(E605="","",E605+G605)</f>
        <v/>
      </c>
      <c r="I605" s="14"/>
      <c r="J605" s="14"/>
      <c r="K605" s="14"/>
      <c r="L605" s="14"/>
    </row>
    <row r="606" customFormat="false" ht="15" hidden="false" customHeight="false" outlineLevel="0" collapsed="false">
      <c r="A606" s="13"/>
      <c r="B606" s="14"/>
      <c r="C606" s="14"/>
      <c r="D606" s="14"/>
      <c r="E606" s="15"/>
      <c r="F606" s="14"/>
      <c r="G606" s="19" t="str">
        <f aca="false">IF(E606="","",IF(F606="Y",E606*Settings!$B$16,0))</f>
        <v/>
      </c>
      <c r="H606" s="19" t="str">
        <f aca="false">IF(E606="","",E606+G606)</f>
        <v/>
      </c>
      <c r="I606" s="14"/>
      <c r="J606" s="14"/>
      <c r="K606" s="14"/>
      <c r="L606" s="14"/>
    </row>
    <row r="607" customFormat="false" ht="15" hidden="false" customHeight="false" outlineLevel="0" collapsed="false">
      <c r="A607" s="13"/>
      <c r="B607" s="14"/>
      <c r="C607" s="14"/>
      <c r="D607" s="14"/>
      <c r="E607" s="15"/>
      <c r="F607" s="14"/>
      <c r="G607" s="19" t="str">
        <f aca="false">IF(E607="","",IF(F607="Y",E607*Settings!$B$16,0))</f>
        <v/>
      </c>
      <c r="H607" s="19" t="str">
        <f aca="false">IF(E607="","",E607+G607)</f>
        <v/>
      </c>
      <c r="I607" s="14"/>
      <c r="J607" s="14"/>
      <c r="K607" s="14"/>
      <c r="L607" s="14"/>
    </row>
    <row r="608" customFormat="false" ht="15" hidden="false" customHeight="false" outlineLevel="0" collapsed="false">
      <c r="A608" s="13"/>
      <c r="B608" s="14"/>
      <c r="C608" s="14"/>
      <c r="D608" s="14"/>
      <c r="E608" s="15"/>
      <c r="F608" s="14"/>
      <c r="G608" s="19" t="str">
        <f aca="false">IF(E608="","",IF(F608="Y",E608*Settings!$B$16,0))</f>
        <v/>
      </c>
      <c r="H608" s="19" t="str">
        <f aca="false">IF(E608="","",E608+G608)</f>
        <v/>
      </c>
      <c r="I608" s="14"/>
      <c r="J608" s="14"/>
      <c r="K608" s="14"/>
      <c r="L608" s="14"/>
    </row>
    <row r="609" customFormat="false" ht="15" hidden="false" customHeight="false" outlineLevel="0" collapsed="false">
      <c r="A609" s="13"/>
      <c r="B609" s="14"/>
      <c r="C609" s="14"/>
      <c r="D609" s="14"/>
      <c r="E609" s="15"/>
      <c r="F609" s="14"/>
      <c r="G609" s="19" t="str">
        <f aca="false">IF(E609="","",IF(F609="Y",E609*Settings!$B$16,0))</f>
        <v/>
      </c>
      <c r="H609" s="19" t="str">
        <f aca="false">IF(E609="","",E609+G609)</f>
        <v/>
      </c>
      <c r="I609" s="14"/>
      <c r="J609" s="14"/>
      <c r="K609" s="14"/>
      <c r="L609" s="14"/>
    </row>
    <row r="610" customFormat="false" ht="15" hidden="false" customHeight="false" outlineLevel="0" collapsed="false">
      <c r="A610" s="13"/>
      <c r="B610" s="14"/>
      <c r="C610" s="14"/>
      <c r="D610" s="14"/>
      <c r="E610" s="15"/>
      <c r="F610" s="14"/>
      <c r="G610" s="19" t="str">
        <f aca="false">IF(E610="","",IF(F610="Y",E610*Settings!$B$16,0))</f>
        <v/>
      </c>
      <c r="H610" s="19" t="str">
        <f aca="false">IF(E610="","",E610+G610)</f>
        <v/>
      </c>
      <c r="I610" s="14"/>
      <c r="J610" s="14"/>
      <c r="K610" s="14"/>
      <c r="L610" s="14"/>
    </row>
    <row r="611" customFormat="false" ht="15" hidden="false" customHeight="false" outlineLevel="0" collapsed="false">
      <c r="A611" s="13"/>
      <c r="B611" s="14"/>
      <c r="C611" s="14"/>
      <c r="D611" s="14"/>
      <c r="E611" s="15"/>
      <c r="F611" s="14"/>
      <c r="G611" s="19" t="str">
        <f aca="false">IF(E611="","",IF(F611="Y",E611*Settings!$B$16,0))</f>
        <v/>
      </c>
      <c r="H611" s="19" t="str">
        <f aca="false">IF(E611="","",E611+G611)</f>
        <v/>
      </c>
      <c r="I611" s="14"/>
      <c r="J611" s="14"/>
      <c r="K611" s="14"/>
      <c r="L611" s="14"/>
    </row>
    <row r="612" customFormat="false" ht="15" hidden="false" customHeight="false" outlineLevel="0" collapsed="false">
      <c r="A612" s="13"/>
      <c r="B612" s="14"/>
      <c r="C612" s="14"/>
      <c r="D612" s="14"/>
      <c r="E612" s="15"/>
      <c r="F612" s="14"/>
      <c r="G612" s="19" t="str">
        <f aca="false">IF(E612="","",IF(F612="Y",E612*Settings!$B$16,0))</f>
        <v/>
      </c>
      <c r="H612" s="19" t="str">
        <f aca="false">IF(E612="","",E612+G612)</f>
        <v/>
      </c>
      <c r="I612" s="14"/>
      <c r="J612" s="14"/>
      <c r="K612" s="14"/>
      <c r="L612" s="14"/>
    </row>
    <row r="613" customFormat="false" ht="15" hidden="false" customHeight="false" outlineLevel="0" collapsed="false">
      <c r="A613" s="13"/>
      <c r="B613" s="14"/>
      <c r="C613" s="14"/>
      <c r="D613" s="14"/>
      <c r="E613" s="15"/>
      <c r="F613" s="14"/>
      <c r="G613" s="19" t="str">
        <f aca="false">IF(E613="","",IF(F613="Y",E613*Settings!$B$16,0))</f>
        <v/>
      </c>
      <c r="H613" s="19" t="str">
        <f aca="false">IF(E613="","",E613+G613)</f>
        <v/>
      </c>
      <c r="I613" s="14"/>
      <c r="J613" s="14"/>
      <c r="K613" s="14"/>
      <c r="L613" s="14"/>
    </row>
    <row r="614" customFormat="false" ht="15" hidden="false" customHeight="false" outlineLevel="0" collapsed="false">
      <c r="A614" s="13"/>
      <c r="B614" s="14"/>
      <c r="C614" s="14"/>
      <c r="D614" s="14"/>
      <c r="E614" s="15"/>
      <c r="F614" s="14"/>
      <c r="G614" s="19" t="str">
        <f aca="false">IF(E614="","",IF(F614="Y",E614*Settings!$B$16,0))</f>
        <v/>
      </c>
      <c r="H614" s="19" t="str">
        <f aca="false">IF(E614="","",E614+G614)</f>
        <v/>
      </c>
      <c r="I614" s="14"/>
      <c r="J614" s="14"/>
      <c r="K614" s="14"/>
      <c r="L614" s="14"/>
    </row>
    <row r="615" customFormat="false" ht="15" hidden="false" customHeight="false" outlineLevel="0" collapsed="false">
      <c r="A615" s="13"/>
      <c r="B615" s="14"/>
      <c r="C615" s="14"/>
      <c r="D615" s="14"/>
      <c r="E615" s="15"/>
      <c r="F615" s="14"/>
      <c r="G615" s="19" t="str">
        <f aca="false">IF(E615="","",IF(F615="Y",E615*Settings!$B$16,0))</f>
        <v/>
      </c>
      <c r="H615" s="19" t="str">
        <f aca="false">IF(E615="","",E615+G615)</f>
        <v/>
      </c>
      <c r="I615" s="14"/>
      <c r="J615" s="14"/>
      <c r="K615" s="14"/>
      <c r="L615" s="14"/>
    </row>
    <row r="616" customFormat="false" ht="15" hidden="false" customHeight="false" outlineLevel="0" collapsed="false">
      <c r="A616" s="13"/>
      <c r="B616" s="14"/>
      <c r="C616" s="14"/>
      <c r="D616" s="14"/>
      <c r="E616" s="15"/>
      <c r="F616" s="14"/>
      <c r="G616" s="19" t="str">
        <f aca="false">IF(E616="","",IF(F616="Y",E616*Settings!$B$16,0))</f>
        <v/>
      </c>
      <c r="H616" s="19" t="str">
        <f aca="false">IF(E616="","",E616+G616)</f>
        <v/>
      </c>
      <c r="I616" s="14"/>
      <c r="J616" s="14"/>
      <c r="K616" s="14"/>
      <c r="L616" s="14"/>
    </row>
    <row r="617" customFormat="false" ht="15" hidden="false" customHeight="false" outlineLevel="0" collapsed="false">
      <c r="A617" s="13"/>
      <c r="B617" s="14"/>
      <c r="C617" s="14"/>
      <c r="D617" s="14"/>
      <c r="E617" s="15"/>
      <c r="F617" s="14"/>
      <c r="G617" s="19" t="str">
        <f aca="false">IF(E617="","",IF(F617="Y",E617*Settings!$B$16,0))</f>
        <v/>
      </c>
      <c r="H617" s="19" t="str">
        <f aca="false">IF(E617="","",E617+G617)</f>
        <v/>
      </c>
      <c r="I617" s="14"/>
      <c r="J617" s="14"/>
      <c r="K617" s="14"/>
      <c r="L617" s="14"/>
    </row>
    <row r="618" customFormat="false" ht="15" hidden="false" customHeight="false" outlineLevel="0" collapsed="false">
      <c r="A618" s="13"/>
      <c r="B618" s="14"/>
      <c r="C618" s="14"/>
      <c r="D618" s="14"/>
      <c r="E618" s="15"/>
      <c r="F618" s="14"/>
      <c r="G618" s="19" t="str">
        <f aca="false">IF(E618="","",IF(F618="Y",E618*Settings!$B$16,0))</f>
        <v/>
      </c>
      <c r="H618" s="19" t="str">
        <f aca="false">IF(E618="","",E618+G618)</f>
        <v/>
      </c>
      <c r="I618" s="14"/>
      <c r="J618" s="14"/>
      <c r="K618" s="14"/>
      <c r="L618" s="14"/>
    </row>
    <row r="619" customFormat="false" ht="15" hidden="false" customHeight="false" outlineLevel="0" collapsed="false">
      <c r="A619" s="13"/>
      <c r="B619" s="14"/>
      <c r="C619" s="14"/>
      <c r="D619" s="14"/>
      <c r="E619" s="15"/>
      <c r="F619" s="14"/>
      <c r="G619" s="19" t="str">
        <f aca="false">IF(E619="","",IF(F619="Y",E619*Settings!$B$16,0))</f>
        <v/>
      </c>
      <c r="H619" s="19" t="str">
        <f aca="false">IF(E619="","",E619+G619)</f>
        <v/>
      </c>
      <c r="I619" s="14"/>
      <c r="J619" s="14"/>
      <c r="K619" s="14"/>
      <c r="L619" s="14"/>
    </row>
    <row r="620" customFormat="false" ht="15" hidden="false" customHeight="false" outlineLevel="0" collapsed="false">
      <c r="A620" s="13"/>
      <c r="B620" s="14"/>
      <c r="C620" s="14"/>
      <c r="D620" s="14"/>
      <c r="E620" s="15"/>
      <c r="F620" s="14"/>
      <c r="G620" s="19" t="str">
        <f aca="false">IF(E620="","",IF(F620="Y",E620*Settings!$B$16,0))</f>
        <v/>
      </c>
      <c r="H620" s="19" t="str">
        <f aca="false">IF(E620="","",E620+G620)</f>
        <v/>
      </c>
      <c r="I620" s="14"/>
      <c r="J620" s="14"/>
      <c r="K620" s="14"/>
      <c r="L620" s="14"/>
    </row>
    <row r="621" customFormat="false" ht="15" hidden="false" customHeight="false" outlineLevel="0" collapsed="false">
      <c r="A621" s="13"/>
      <c r="B621" s="14"/>
      <c r="C621" s="14"/>
      <c r="D621" s="14"/>
      <c r="E621" s="15"/>
      <c r="F621" s="14"/>
      <c r="G621" s="19" t="str">
        <f aca="false">IF(E621="","",IF(F621="Y",E621*Settings!$B$16,0))</f>
        <v/>
      </c>
      <c r="H621" s="19" t="str">
        <f aca="false">IF(E621="","",E621+G621)</f>
        <v/>
      </c>
      <c r="I621" s="14"/>
      <c r="J621" s="14"/>
      <c r="K621" s="14"/>
      <c r="L621" s="14"/>
    </row>
    <row r="622" customFormat="false" ht="15" hidden="false" customHeight="false" outlineLevel="0" collapsed="false">
      <c r="A622" s="13"/>
      <c r="B622" s="14"/>
      <c r="C622" s="14"/>
      <c r="D622" s="14"/>
      <c r="E622" s="15"/>
      <c r="F622" s="14"/>
      <c r="G622" s="19" t="str">
        <f aca="false">IF(E622="","",IF(F622="Y",E622*Settings!$B$16,0))</f>
        <v/>
      </c>
      <c r="H622" s="19" t="str">
        <f aca="false">IF(E622="","",E622+G622)</f>
        <v/>
      </c>
      <c r="I622" s="14"/>
      <c r="J622" s="14"/>
      <c r="K622" s="14"/>
      <c r="L622" s="14"/>
    </row>
    <row r="623" customFormat="false" ht="15" hidden="false" customHeight="false" outlineLevel="0" collapsed="false">
      <c r="A623" s="13"/>
      <c r="B623" s="14"/>
      <c r="C623" s="14"/>
      <c r="D623" s="14"/>
      <c r="E623" s="15"/>
      <c r="F623" s="14"/>
      <c r="G623" s="19" t="str">
        <f aca="false">IF(E623="","",IF(F623="Y",E623*Settings!$B$16,0))</f>
        <v/>
      </c>
      <c r="H623" s="19" t="str">
        <f aca="false">IF(E623="","",E623+G623)</f>
        <v/>
      </c>
      <c r="I623" s="14"/>
      <c r="J623" s="14"/>
      <c r="K623" s="14"/>
      <c r="L623" s="14"/>
    </row>
    <row r="624" customFormat="false" ht="15" hidden="false" customHeight="false" outlineLevel="0" collapsed="false">
      <c r="A624" s="13"/>
      <c r="B624" s="14"/>
      <c r="C624" s="14"/>
      <c r="D624" s="14"/>
      <c r="E624" s="15"/>
      <c r="F624" s="14"/>
      <c r="G624" s="19" t="str">
        <f aca="false">IF(E624="","",IF(F624="Y",E624*Settings!$B$16,0))</f>
        <v/>
      </c>
      <c r="H624" s="19" t="str">
        <f aca="false">IF(E624="","",E624+G624)</f>
        <v/>
      </c>
      <c r="I624" s="14"/>
      <c r="J624" s="14"/>
      <c r="K624" s="14"/>
      <c r="L624" s="14"/>
    </row>
    <row r="625" customFormat="false" ht="15" hidden="false" customHeight="false" outlineLevel="0" collapsed="false">
      <c r="A625" s="13"/>
      <c r="B625" s="14"/>
      <c r="C625" s="14"/>
      <c r="D625" s="14"/>
      <c r="E625" s="15"/>
      <c r="F625" s="14"/>
      <c r="G625" s="19" t="str">
        <f aca="false">IF(E625="","",IF(F625="Y",E625*Settings!$B$16,0))</f>
        <v/>
      </c>
      <c r="H625" s="19" t="str">
        <f aca="false">IF(E625="","",E625+G625)</f>
        <v/>
      </c>
      <c r="I625" s="14"/>
      <c r="J625" s="14"/>
      <c r="K625" s="14"/>
      <c r="L625" s="14"/>
    </row>
    <row r="626" customFormat="false" ht="15" hidden="false" customHeight="false" outlineLevel="0" collapsed="false">
      <c r="A626" s="13"/>
      <c r="B626" s="14"/>
      <c r="C626" s="14"/>
      <c r="D626" s="14"/>
      <c r="E626" s="15"/>
      <c r="F626" s="14"/>
      <c r="G626" s="19" t="str">
        <f aca="false">IF(E626="","",IF(F626="Y",E626*Settings!$B$16,0))</f>
        <v/>
      </c>
      <c r="H626" s="19" t="str">
        <f aca="false">IF(E626="","",E626+G626)</f>
        <v/>
      </c>
      <c r="I626" s="14"/>
      <c r="J626" s="14"/>
      <c r="K626" s="14"/>
      <c r="L626" s="14"/>
    </row>
    <row r="627" customFormat="false" ht="15" hidden="false" customHeight="false" outlineLevel="0" collapsed="false">
      <c r="A627" s="13"/>
      <c r="B627" s="14"/>
      <c r="C627" s="14"/>
      <c r="D627" s="14"/>
      <c r="E627" s="15"/>
      <c r="F627" s="14"/>
      <c r="G627" s="19" t="str">
        <f aca="false">IF(E627="","",IF(F627="Y",E627*Settings!$B$16,0))</f>
        <v/>
      </c>
      <c r="H627" s="19" t="str">
        <f aca="false">IF(E627="","",E627+G627)</f>
        <v/>
      </c>
      <c r="I627" s="14"/>
      <c r="J627" s="14"/>
      <c r="K627" s="14"/>
      <c r="L627" s="14"/>
    </row>
    <row r="628" customFormat="false" ht="15" hidden="false" customHeight="false" outlineLevel="0" collapsed="false">
      <c r="A628" s="13"/>
      <c r="B628" s="14"/>
      <c r="C628" s="14"/>
      <c r="D628" s="14"/>
      <c r="E628" s="15"/>
      <c r="F628" s="14"/>
      <c r="G628" s="19" t="str">
        <f aca="false">IF(E628="","",IF(F628="Y",E628*Settings!$B$16,0))</f>
        <v/>
      </c>
      <c r="H628" s="19" t="str">
        <f aca="false">IF(E628="","",E628+G628)</f>
        <v/>
      </c>
      <c r="I628" s="14"/>
      <c r="J628" s="14"/>
      <c r="K628" s="14"/>
      <c r="L628" s="14"/>
    </row>
    <row r="629" customFormat="false" ht="15" hidden="false" customHeight="false" outlineLevel="0" collapsed="false">
      <c r="A629" s="13"/>
      <c r="B629" s="14"/>
      <c r="C629" s="14"/>
      <c r="D629" s="14"/>
      <c r="E629" s="15"/>
      <c r="F629" s="14"/>
      <c r="G629" s="19" t="str">
        <f aca="false">IF(E629="","",IF(F629="Y",E629*Settings!$B$16,0))</f>
        <v/>
      </c>
      <c r="H629" s="19" t="str">
        <f aca="false">IF(E629="","",E629+G629)</f>
        <v/>
      </c>
      <c r="I629" s="14"/>
      <c r="J629" s="14"/>
      <c r="K629" s="14"/>
      <c r="L629" s="14"/>
    </row>
    <row r="630" customFormat="false" ht="15" hidden="false" customHeight="false" outlineLevel="0" collapsed="false">
      <c r="A630" s="13"/>
      <c r="B630" s="14"/>
      <c r="C630" s="14"/>
      <c r="D630" s="14"/>
      <c r="E630" s="15"/>
      <c r="F630" s="14"/>
      <c r="G630" s="19" t="str">
        <f aca="false">IF(E630="","",IF(F630="Y",E630*Settings!$B$16,0))</f>
        <v/>
      </c>
      <c r="H630" s="19" t="str">
        <f aca="false">IF(E630="","",E630+G630)</f>
        <v/>
      </c>
      <c r="I630" s="14"/>
      <c r="J630" s="14"/>
      <c r="K630" s="14"/>
      <c r="L630" s="14"/>
    </row>
    <row r="631" customFormat="false" ht="15" hidden="false" customHeight="false" outlineLevel="0" collapsed="false">
      <c r="A631" s="13"/>
      <c r="B631" s="14"/>
      <c r="C631" s="14"/>
      <c r="D631" s="14"/>
      <c r="E631" s="15"/>
      <c r="F631" s="14"/>
      <c r="G631" s="19" t="str">
        <f aca="false">IF(E631="","",IF(F631="Y",E631*Settings!$B$16,0))</f>
        <v/>
      </c>
      <c r="H631" s="19" t="str">
        <f aca="false">IF(E631="","",E631+G631)</f>
        <v/>
      </c>
      <c r="I631" s="14"/>
      <c r="J631" s="14"/>
      <c r="K631" s="14"/>
      <c r="L631" s="14"/>
    </row>
    <row r="632" customFormat="false" ht="15" hidden="false" customHeight="false" outlineLevel="0" collapsed="false">
      <c r="A632" s="13"/>
      <c r="B632" s="14"/>
      <c r="C632" s="14"/>
      <c r="D632" s="14"/>
      <c r="E632" s="15"/>
      <c r="F632" s="14"/>
      <c r="G632" s="19" t="str">
        <f aca="false">IF(E632="","",IF(F632="Y",E632*Settings!$B$16,0))</f>
        <v/>
      </c>
      <c r="H632" s="19" t="str">
        <f aca="false">IF(E632="","",E632+G632)</f>
        <v/>
      </c>
      <c r="I632" s="14"/>
      <c r="J632" s="14"/>
      <c r="K632" s="14"/>
      <c r="L632" s="14"/>
    </row>
    <row r="633" customFormat="false" ht="15" hidden="false" customHeight="false" outlineLevel="0" collapsed="false">
      <c r="A633" s="13"/>
      <c r="B633" s="14"/>
      <c r="C633" s="14"/>
      <c r="D633" s="14"/>
      <c r="E633" s="15"/>
      <c r="F633" s="14"/>
      <c r="G633" s="19" t="str">
        <f aca="false">IF(E633="","",IF(F633="Y",E633*Settings!$B$16,0))</f>
        <v/>
      </c>
      <c r="H633" s="19" t="str">
        <f aca="false">IF(E633="","",E633+G633)</f>
        <v/>
      </c>
      <c r="I633" s="14"/>
      <c r="J633" s="14"/>
      <c r="K633" s="14"/>
      <c r="L633" s="14"/>
    </row>
    <row r="634" customFormat="false" ht="15" hidden="false" customHeight="false" outlineLevel="0" collapsed="false">
      <c r="A634" s="13"/>
      <c r="B634" s="14"/>
      <c r="C634" s="14"/>
      <c r="D634" s="14"/>
      <c r="E634" s="15"/>
      <c r="F634" s="14"/>
      <c r="G634" s="19" t="str">
        <f aca="false">IF(E634="","",IF(F634="Y",E634*Settings!$B$16,0))</f>
        <v/>
      </c>
      <c r="H634" s="19" t="str">
        <f aca="false">IF(E634="","",E634+G634)</f>
        <v/>
      </c>
      <c r="I634" s="14"/>
      <c r="J634" s="14"/>
      <c r="K634" s="14"/>
      <c r="L634" s="14"/>
    </row>
    <row r="635" customFormat="false" ht="15" hidden="false" customHeight="false" outlineLevel="0" collapsed="false">
      <c r="A635" s="13"/>
      <c r="B635" s="14"/>
      <c r="C635" s="14"/>
      <c r="D635" s="14"/>
      <c r="E635" s="15"/>
      <c r="F635" s="14"/>
      <c r="G635" s="19" t="str">
        <f aca="false">IF(E635="","",IF(F635="Y",E635*Settings!$B$16,0))</f>
        <v/>
      </c>
      <c r="H635" s="19" t="str">
        <f aca="false">IF(E635="","",E635+G635)</f>
        <v/>
      </c>
      <c r="I635" s="14"/>
      <c r="J635" s="14"/>
      <c r="K635" s="14"/>
      <c r="L635" s="14"/>
    </row>
    <row r="636" customFormat="false" ht="15" hidden="false" customHeight="false" outlineLevel="0" collapsed="false">
      <c r="A636" s="13"/>
      <c r="B636" s="14"/>
      <c r="C636" s="14"/>
      <c r="D636" s="14"/>
      <c r="E636" s="15"/>
      <c r="F636" s="14"/>
      <c r="G636" s="19" t="str">
        <f aca="false">IF(E636="","",IF(F636="Y",E636*Settings!$B$16,0))</f>
        <v/>
      </c>
      <c r="H636" s="19" t="str">
        <f aca="false">IF(E636="","",E636+G636)</f>
        <v/>
      </c>
      <c r="I636" s="14"/>
      <c r="J636" s="14"/>
      <c r="K636" s="14"/>
      <c r="L636" s="14"/>
    </row>
    <row r="637" customFormat="false" ht="15" hidden="false" customHeight="false" outlineLevel="0" collapsed="false">
      <c r="A637" s="13"/>
      <c r="B637" s="14"/>
      <c r="C637" s="14"/>
      <c r="D637" s="14"/>
      <c r="E637" s="15"/>
      <c r="F637" s="14"/>
      <c r="G637" s="19" t="str">
        <f aca="false">IF(E637="","",IF(F637="Y",E637*Settings!$B$16,0))</f>
        <v/>
      </c>
      <c r="H637" s="19" t="str">
        <f aca="false">IF(E637="","",E637+G637)</f>
        <v/>
      </c>
      <c r="I637" s="14"/>
      <c r="J637" s="14"/>
      <c r="K637" s="14"/>
      <c r="L637" s="14"/>
    </row>
    <row r="638" customFormat="false" ht="15" hidden="false" customHeight="false" outlineLevel="0" collapsed="false">
      <c r="A638" s="13"/>
      <c r="B638" s="14"/>
      <c r="C638" s="14"/>
      <c r="D638" s="14"/>
      <c r="E638" s="15"/>
      <c r="F638" s="14"/>
      <c r="G638" s="19" t="str">
        <f aca="false">IF(E638="","",IF(F638="Y",E638*Settings!$B$16,0))</f>
        <v/>
      </c>
      <c r="H638" s="19" t="str">
        <f aca="false">IF(E638="","",E638+G638)</f>
        <v/>
      </c>
      <c r="I638" s="14"/>
      <c r="J638" s="14"/>
      <c r="K638" s="14"/>
      <c r="L638" s="14"/>
    </row>
    <row r="639" customFormat="false" ht="15" hidden="false" customHeight="false" outlineLevel="0" collapsed="false">
      <c r="A639" s="13"/>
      <c r="B639" s="14"/>
      <c r="C639" s="14"/>
      <c r="D639" s="14"/>
      <c r="E639" s="15"/>
      <c r="F639" s="14"/>
      <c r="G639" s="19" t="str">
        <f aca="false">IF(E639="","",IF(F639="Y",E639*Settings!$B$16,0))</f>
        <v/>
      </c>
      <c r="H639" s="19" t="str">
        <f aca="false">IF(E639="","",E639+G639)</f>
        <v/>
      </c>
      <c r="I639" s="14"/>
      <c r="J639" s="14"/>
      <c r="K639" s="14"/>
      <c r="L639" s="14"/>
    </row>
    <row r="640" customFormat="false" ht="15" hidden="false" customHeight="false" outlineLevel="0" collapsed="false">
      <c r="A640" s="13"/>
      <c r="B640" s="14"/>
      <c r="C640" s="14"/>
      <c r="D640" s="14"/>
      <c r="E640" s="15"/>
      <c r="F640" s="14"/>
      <c r="G640" s="19" t="str">
        <f aca="false">IF(E640="","",IF(F640="Y",E640*Settings!$B$16,0))</f>
        <v/>
      </c>
      <c r="H640" s="19" t="str">
        <f aca="false">IF(E640="","",E640+G640)</f>
        <v/>
      </c>
      <c r="I640" s="14"/>
      <c r="J640" s="14"/>
      <c r="K640" s="14"/>
      <c r="L640" s="14"/>
    </row>
    <row r="641" customFormat="false" ht="15" hidden="false" customHeight="false" outlineLevel="0" collapsed="false">
      <c r="A641" s="13"/>
      <c r="B641" s="14"/>
      <c r="C641" s="14"/>
      <c r="D641" s="14"/>
      <c r="E641" s="15"/>
      <c r="F641" s="14"/>
      <c r="G641" s="19" t="str">
        <f aca="false">IF(E641="","",IF(F641="Y",E641*Settings!$B$16,0))</f>
        <v/>
      </c>
      <c r="H641" s="19" t="str">
        <f aca="false">IF(E641="","",E641+G641)</f>
        <v/>
      </c>
      <c r="I641" s="14"/>
      <c r="J641" s="14"/>
      <c r="K641" s="14"/>
      <c r="L641" s="14"/>
    </row>
    <row r="642" customFormat="false" ht="15" hidden="false" customHeight="false" outlineLevel="0" collapsed="false">
      <c r="A642" s="13"/>
      <c r="B642" s="14"/>
      <c r="C642" s="14"/>
      <c r="D642" s="14"/>
      <c r="E642" s="15"/>
      <c r="F642" s="14"/>
      <c r="G642" s="19" t="str">
        <f aca="false">IF(E642="","",IF(F642="Y",E642*Settings!$B$16,0))</f>
        <v/>
      </c>
      <c r="H642" s="19" t="str">
        <f aca="false">IF(E642="","",E642+G642)</f>
        <v/>
      </c>
      <c r="I642" s="14"/>
      <c r="J642" s="14"/>
      <c r="K642" s="14"/>
      <c r="L642" s="14"/>
    </row>
    <row r="643" customFormat="false" ht="15" hidden="false" customHeight="false" outlineLevel="0" collapsed="false">
      <c r="A643" s="13"/>
      <c r="B643" s="14"/>
      <c r="C643" s="14"/>
      <c r="D643" s="14"/>
      <c r="E643" s="15"/>
      <c r="F643" s="14"/>
      <c r="G643" s="19" t="str">
        <f aca="false">IF(E643="","",IF(F643="Y",E643*Settings!$B$16,0))</f>
        <v/>
      </c>
      <c r="H643" s="19" t="str">
        <f aca="false">IF(E643="","",E643+G643)</f>
        <v/>
      </c>
      <c r="I643" s="14"/>
      <c r="J643" s="14"/>
      <c r="K643" s="14"/>
      <c r="L643" s="14"/>
    </row>
    <row r="644" customFormat="false" ht="15" hidden="false" customHeight="false" outlineLevel="0" collapsed="false">
      <c r="A644" s="13"/>
      <c r="B644" s="14"/>
      <c r="C644" s="14"/>
      <c r="D644" s="14"/>
      <c r="E644" s="15"/>
      <c r="F644" s="14"/>
      <c r="G644" s="19" t="str">
        <f aca="false">IF(E644="","",IF(F644="Y",E644*Settings!$B$16,0))</f>
        <v/>
      </c>
      <c r="H644" s="19" t="str">
        <f aca="false">IF(E644="","",E644+G644)</f>
        <v/>
      </c>
      <c r="I644" s="14"/>
      <c r="J644" s="14"/>
      <c r="K644" s="14"/>
      <c r="L644" s="14"/>
    </row>
    <row r="645" customFormat="false" ht="15" hidden="false" customHeight="false" outlineLevel="0" collapsed="false">
      <c r="A645" s="13"/>
      <c r="B645" s="14"/>
      <c r="C645" s="14"/>
      <c r="D645" s="14"/>
      <c r="E645" s="15"/>
      <c r="F645" s="14"/>
      <c r="G645" s="19" t="str">
        <f aca="false">IF(E645="","",IF(F645="Y",E645*Settings!$B$16,0))</f>
        <v/>
      </c>
      <c r="H645" s="19" t="str">
        <f aca="false">IF(E645="","",E645+G645)</f>
        <v/>
      </c>
      <c r="I645" s="14"/>
      <c r="J645" s="14"/>
      <c r="K645" s="14"/>
      <c r="L645" s="14"/>
    </row>
    <row r="646" customFormat="false" ht="15" hidden="false" customHeight="false" outlineLevel="0" collapsed="false">
      <c r="A646" s="13"/>
      <c r="B646" s="14"/>
      <c r="C646" s="14"/>
      <c r="D646" s="14"/>
      <c r="E646" s="15"/>
      <c r="F646" s="14"/>
      <c r="G646" s="19" t="str">
        <f aca="false">IF(E646="","",IF(F646="Y",E646*Settings!$B$16,0))</f>
        <v/>
      </c>
      <c r="H646" s="19" t="str">
        <f aca="false">IF(E646="","",E646+G646)</f>
        <v/>
      </c>
      <c r="I646" s="14"/>
      <c r="J646" s="14"/>
      <c r="K646" s="14"/>
      <c r="L646" s="14"/>
    </row>
    <row r="647" customFormat="false" ht="15" hidden="false" customHeight="false" outlineLevel="0" collapsed="false">
      <c r="A647" s="13"/>
      <c r="B647" s="14"/>
      <c r="C647" s="14"/>
      <c r="D647" s="14"/>
      <c r="E647" s="15"/>
      <c r="F647" s="14"/>
      <c r="G647" s="19" t="str">
        <f aca="false">IF(E647="","",IF(F647="Y",E647*Settings!$B$16,0))</f>
        <v/>
      </c>
      <c r="H647" s="19" t="str">
        <f aca="false">IF(E647="","",E647+G647)</f>
        <v/>
      </c>
      <c r="I647" s="14"/>
      <c r="J647" s="14"/>
      <c r="K647" s="14"/>
      <c r="L647" s="14"/>
    </row>
    <row r="648" customFormat="false" ht="15" hidden="false" customHeight="false" outlineLevel="0" collapsed="false">
      <c r="A648" s="13"/>
      <c r="B648" s="14"/>
      <c r="C648" s="14"/>
      <c r="D648" s="14"/>
      <c r="E648" s="15"/>
      <c r="F648" s="14"/>
      <c r="G648" s="19" t="str">
        <f aca="false">IF(E648="","",IF(F648="Y",E648*Settings!$B$16,0))</f>
        <v/>
      </c>
      <c r="H648" s="19" t="str">
        <f aca="false">IF(E648="","",E648+G648)</f>
        <v/>
      </c>
      <c r="I648" s="14"/>
      <c r="J648" s="14"/>
      <c r="K648" s="14"/>
      <c r="L648" s="14"/>
    </row>
    <row r="649" customFormat="false" ht="15" hidden="false" customHeight="false" outlineLevel="0" collapsed="false">
      <c r="A649" s="13"/>
      <c r="B649" s="14"/>
      <c r="C649" s="14"/>
      <c r="D649" s="14"/>
      <c r="E649" s="15"/>
      <c r="F649" s="14"/>
      <c r="G649" s="19" t="str">
        <f aca="false">IF(E649="","",IF(F649="Y",E649*Settings!$B$16,0))</f>
        <v/>
      </c>
      <c r="H649" s="19" t="str">
        <f aca="false">IF(E649="","",E649+G649)</f>
        <v/>
      </c>
      <c r="I649" s="14"/>
      <c r="J649" s="14"/>
      <c r="K649" s="14"/>
      <c r="L649" s="14"/>
    </row>
    <row r="650" customFormat="false" ht="15" hidden="false" customHeight="false" outlineLevel="0" collapsed="false">
      <c r="A650" s="13"/>
      <c r="B650" s="14"/>
      <c r="C650" s="14"/>
      <c r="D650" s="14"/>
      <c r="E650" s="15"/>
      <c r="F650" s="14"/>
      <c r="G650" s="19" t="str">
        <f aca="false">IF(E650="","",IF(F650="Y",E650*Settings!$B$16,0))</f>
        <v/>
      </c>
      <c r="H650" s="19" t="str">
        <f aca="false">IF(E650="","",E650+G650)</f>
        <v/>
      </c>
      <c r="I650" s="14"/>
      <c r="J650" s="14"/>
      <c r="K650" s="14"/>
      <c r="L650" s="14"/>
    </row>
    <row r="651" customFormat="false" ht="15" hidden="false" customHeight="false" outlineLevel="0" collapsed="false">
      <c r="A651" s="13"/>
      <c r="B651" s="14"/>
      <c r="C651" s="14"/>
      <c r="D651" s="14"/>
      <c r="E651" s="15"/>
      <c r="F651" s="14"/>
      <c r="G651" s="19" t="str">
        <f aca="false">IF(E651="","",IF(F651="Y",E651*Settings!$B$16,0))</f>
        <v/>
      </c>
      <c r="H651" s="19" t="str">
        <f aca="false">IF(E651="","",E651+G651)</f>
        <v/>
      </c>
      <c r="I651" s="14"/>
      <c r="J651" s="14"/>
      <c r="K651" s="14"/>
      <c r="L651" s="14"/>
    </row>
    <row r="652" customFormat="false" ht="15" hidden="false" customHeight="false" outlineLevel="0" collapsed="false">
      <c r="A652" s="13"/>
      <c r="B652" s="14"/>
      <c r="C652" s="14"/>
      <c r="D652" s="14"/>
      <c r="E652" s="15"/>
      <c r="F652" s="14"/>
      <c r="G652" s="19" t="str">
        <f aca="false">IF(E652="","",IF(F652="Y",E652*Settings!$B$16,0))</f>
        <v/>
      </c>
      <c r="H652" s="19" t="str">
        <f aca="false">IF(E652="","",E652+G652)</f>
        <v/>
      </c>
      <c r="I652" s="14"/>
      <c r="J652" s="14"/>
      <c r="K652" s="14"/>
      <c r="L652" s="14"/>
    </row>
    <row r="653" customFormat="false" ht="15" hidden="false" customHeight="false" outlineLevel="0" collapsed="false">
      <c r="A653" s="13"/>
      <c r="B653" s="14"/>
      <c r="C653" s="14"/>
      <c r="D653" s="14"/>
      <c r="E653" s="15"/>
      <c r="F653" s="14"/>
      <c r="G653" s="19" t="str">
        <f aca="false">IF(E653="","",IF(F653="Y",E653*Settings!$B$16,0))</f>
        <v/>
      </c>
      <c r="H653" s="19" t="str">
        <f aca="false">IF(E653="","",E653+G653)</f>
        <v/>
      </c>
      <c r="I653" s="14"/>
      <c r="J653" s="14"/>
      <c r="K653" s="14"/>
      <c r="L653" s="14"/>
    </row>
    <row r="654" customFormat="false" ht="15" hidden="false" customHeight="false" outlineLevel="0" collapsed="false">
      <c r="A654" s="13"/>
      <c r="B654" s="14"/>
      <c r="C654" s="14"/>
      <c r="D654" s="14"/>
      <c r="E654" s="15"/>
      <c r="F654" s="14"/>
      <c r="G654" s="19" t="str">
        <f aca="false">IF(E654="","",IF(F654="Y",E654*Settings!$B$16,0))</f>
        <v/>
      </c>
      <c r="H654" s="19" t="str">
        <f aca="false">IF(E654="","",E654+G654)</f>
        <v/>
      </c>
      <c r="I654" s="14"/>
      <c r="J654" s="14"/>
      <c r="K654" s="14"/>
      <c r="L654" s="14"/>
    </row>
    <row r="655" customFormat="false" ht="15" hidden="false" customHeight="false" outlineLevel="0" collapsed="false">
      <c r="A655" s="13"/>
      <c r="B655" s="14"/>
      <c r="C655" s="14"/>
      <c r="D655" s="14"/>
      <c r="E655" s="15"/>
      <c r="F655" s="14"/>
      <c r="G655" s="19" t="str">
        <f aca="false">IF(E655="","",IF(F655="Y",E655*Settings!$B$16,0))</f>
        <v/>
      </c>
      <c r="H655" s="19" t="str">
        <f aca="false">IF(E655="","",E655+G655)</f>
        <v/>
      </c>
      <c r="I655" s="14"/>
      <c r="J655" s="14"/>
      <c r="K655" s="14"/>
      <c r="L655" s="14"/>
    </row>
    <row r="656" customFormat="false" ht="15" hidden="false" customHeight="false" outlineLevel="0" collapsed="false">
      <c r="A656" s="13"/>
      <c r="B656" s="14"/>
      <c r="C656" s="14"/>
      <c r="D656" s="14"/>
      <c r="E656" s="15"/>
      <c r="F656" s="14"/>
      <c r="G656" s="19" t="str">
        <f aca="false">IF(E656="","",IF(F656="Y",E656*Settings!$B$16,0))</f>
        <v/>
      </c>
      <c r="H656" s="19" t="str">
        <f aca="false">IF(E656="","",E656+G656)</f>
        <v/>
      </c>
      <c r="I656" s="14"/>
      <c r="J656" s="14"/>
      <c r="K656" s="14"/>
      <c r="L656" s="14"/>
    </row>
    <row r="657" customFormat="false" ht="15" hidden="false" customHeight="false" outlineLevel="0" collapsed="false">
      <c r="A657" s="13"/>
      <c r="B657" s="14"/>
      <c r="C657" s="14"/>
      <c r="D657" s="14"/>
      <c r="E657" s="15"/>
      <c r="F657" s="14"/>
      <c r="G657" s="19" t="str">
        <f aca="false">IF(E657="","",IF(F657="Y",E657*Settings!$B$16,0))</f>
        <v/>
      </c>
      <c r="H657" s="19" t="str">
        <f aca="false">IF(E657="","",E657+G657)</f>
        <v/>
      </c>
      <c r="I657" s="14"/>
      <c r="J657" s="14"/>
      <c r="K657" s="14"/>
      <c r="L657" s="14"/>
    </row>
    <row r="658" customFormat="false" ht="15" hidden="false" customHeight="false" outlineLevel="0" collapsed="false">
      <c r="A658" s="13"/>
      <c r="B658" s="14"/>
      <c r="C658" s="14"/>
      <c r="D658" s="14"/>
      <c r="E658" s="15"/>
      <c r="F658" s="14"/>
      <c r="G658" s="19" t="str">
        <f aca="false">IF(E658="","",IF(F658="Y",E658*Settings!$B$16,0))</f>
        <v/>
      </c>
      <c r="H658" s="19" t="str">
        <f aca="false">IF(E658="","",E658+G658)</f>
        <v/>
      </c>
      <c r="I658" s="14"/>
      <c r="J658" s="14"/>
      <c r="K658" s="14"/>
      <c r="L658" s="14"/>
    </row>
    <row r="659" customFormat="false" ht="15" hidden="false" customHeight="false" outlineLevel="0" collapsed="false">
      <c r="A659" s="13"/>
      <c r="B659" s="14"/>
      <c r="C659" s="14"/>
      <c r="D659" s="14"/>
      <c r="E659" s="15"/>
      <c r="F659" s="14"/>
      <c r="G659" s="19" t="str">
        <f aca="false">IF(E659="","",IF(F659="Y",E659*Settings!$B$16,0))</f>
        <v/>
      </c>
      <c r="H659" s="19" t="str">
        <f aca="false">IF(E659="","",E659+G659)</f>
        <v/>
      </c>
      <c r="I659" s="14"/>
      <c r="J659" s="14"/>
      <c r="K659" s="14"/>
      <c r="L659" s="14"/>
    </row>
    <row r="660" customFormat="false" ht="15" hidden="false" customHeight="false" outlineLevel="0" collapsed="false">
      <c r="A660" s="13"/>
      <c r="B660" s="14"/>
      <c r="C660" s="14"/>
      <c r="D660" s="14"/>
      <c r="E660" s="15"/>
      <c r="F660" s="14"/>
      <c r="G660" s="19" t="str">
        <f aca="false">IF(E660="","",IF(F660="Y",E660*Settings!$B$16,0))</f>
        <v/>
      </c>
      <c r="H660" s="19" t="str">
        <f aca="false">IF(E660="","",E660+G660)</f>
        <v/>
      </c>
      <c r="I660" s="14"/>
      <c r="J660" s="14"/>
      <c r="K660" s="14"/>
      <c r="L660" s="14"/>
    </row>
    <row r="661" customFormat="false" ht="15" hidden="false" customHeight="false" outlineLevel="0" collapsed="false">
      <c r="A661" s="13"/>
      <c r="B661" s="14"/>
      <c r="C661" s="14"/>
      <c r="D661" s="14"/>
      <c r="E661" s="15"/>
      <c r="F661" s="14"/>
      <c r="G661" s="19" t="str">
        <f aca="false">IF(E661="","",IF(F661="Y",E661*Settings!$B$16,0))</f>
        <v/>
      </c>
      <c r="H661" s="19" t="str">
        <f aca="false">IF(E661="","",E661+G661)</f>
        <v/>
      </c>
      <c r="I661" s="14"/>
      <c r="J661" s="14"/>
      <c r="K661" s="14"/>
      <c r="L661" s="14"/>
    </row>
    <row r="662" customFormat="false" ht="15" hidden="false" customHeight="false" outlineLevel="0" collapsed="false">
      <c r="A662" s="13"/>
      <c r="B662" s="14"/>
      <c r="C662" s="14"/>
      <c r="D662" s="14"/>
      <c r="E662" s="15"/>
      <c r="F662" s="14"/>
      <c r="G662" s="19" t="str">
        <f aca="false">IF(E662="","",IF(F662="Y",E662*Settings!$B$16,0))</f>
        <v/>
      </c>
      <c r="H662" s="19" t="str">
        <f aca="false">IF(E662="","",E662+G662)</f>
        <v/>
      </c>
      <c r="I662" s="14"/>
      <c r="J662" s="14"/>
      <c r="K662" s="14"/>
      <c r="L662" s="14"/>
    </row>
    <row r="663" customFormat="false" ht="15" hidden="false" customHeight="false" outlineLevel="0" collapsed="false">
      <c r="A663" s="13"/>
      <c r="B663" s="14"/>
      <c r="C663" s="14"/>
      <c r="D663" s="14"/>
      <c r="E663" s="15"/>
      <c r="F663" s="14"/>
      <c r="G663" s="19" t="str">
        <f aca="false">IF(E663="","",IF(F663="Y",E663*Settings!$B$16,0))</f>
        <v/>
      </c>
      <c r="H663" s="19" t="str">
        <f aca="false">IF(E663="","",E663+G663)</f>
        <v/>
      </c>
      <c r="I663" s="14"/>
      <c r="J663" s="14"/>
      <c r="K663" s="14"/>
      <c r="L663" s="14"/>
    </row>
    <row r="664" customFormat="false" ht="15" hidden="false" customHeight="false" outlineLevel="0" collapsed="false">
      <c r="A664" s="13"/>
      <c r="B664" s="14"/>
      <c r="C664" s="14"/>
      <c r="D664" s="14"/>
      <c r="E664" s="15"/>
      <c r="F664" s="14"/>
      <c r="G664" s="19" t="str">
        <f aca="false">IF(E664="","",IF(F664="Y",E664*Settings!$B$16,0))</f>
        <v/>
      </c>
      <c r="H664" s="19" t="str">
        <f aca="false">IF(E664="","",E664+G664)</f>
        <v/>
      </c>
      <c r="I664" s="14"/>
      <c r="J664" s="14"/>
      <c r="K664" s="14"/>
      <c r="L664" s="14"/>
    </row>
    <row r="665" customFormat="false" ht="15" hidden="false" customHeight="false" outlineLevel="0" collapsed="false">
      <c r="A665" s="13"/>
      <c r="B665" s="14"/>
      <c r="C665" s="14"/>
      <c r="D665" s="14"/>
      <c r="E665" s="15"/>
      <c r="F665" s="14"/>
      <c r="G665" s="19" t="str">
        <f aca="false">IF(E665="","",IF(F665="Y",E665*Settings!$B$16,0))</f>
        <v/>
      </c>
      <c r="H665" s="19" t="str">
        <f aca="false">IF(E665="","",E665+G665)</f>
        <v/>
      </c>
      <c r="I665" s="14"/>
      <c r="J665" s="14"/>
      <c r="K665" s="14"/>
      <c r="L665" s="14"/>
    </row>
    <row r="666" customFormat="false" ht="15" hidden="false" customHeight="false" outlineLevel="0" collapsed="false">
      <c r="A666" s="13"/>
      <c r="B666" s="14"/>
      <c r="C666" s="14"/>
      <c r="D666" s="14"/>
      <c r="E666" s="15"/>
      <c r="F666" s="14"/>
      <c r="G666" s="19" t="str">
        <f aca="false">IF(E666="","",IF(F666="Y",E666*Settings!$B$16,0))</f>
        <v/>
      </c>
      <c r="H666" s="19" t="str">
        <f aca="false">IF(E666="","",E666+G666)</f>
        <v/>
      </c>
      <c r="I666" s="14"/>
      <c r="J666" s="14"/>
      <c r="K666" s="14"/>
      <c r="L666" s="14"/>
    </row>
    <row r="667" customFormat="false" ht="15" hidden="false" customHeight="false" outlineLevel="0" collapsed="false">
      <c r="A667" s="13"/>
      <c r="B667" s="14"/>
      <c r="C667" s="14"/>
      <c r="D667" s="14"/>
      <c r="E667" s="15"/>
      <c r="F667" s="14"/>
      <c r="G667" s="19" t="str">
        <f aca="false">IF(E667="","",IF(F667="Y",E667*Settings!$B$16,0))</f>
        <v/>
      </c>
      <c r="H667" s="19" t="str">
        <f aca="false">IF(E667="","",E667+G667)</f>
        <v/>
      </c>
      <c r="I667" s="14"/>
      <c r="J667" s="14"/>
      <c r="K667" s="14"/>
      <c r="L667" s="14"/>
    </row>
    <row r="668" customFormat="false" ht="15" hidden="false" customHeight="false" outlineLevel="0" collapsed="false">
      <c r="A668" s="13"/>
      <c r="B668" s="14"/>
      <c r="C668" s="14"/>
      <c r="D668" s="14"/>
      <c r="E668" s="15"/>
      <c r="F668" s="14"/>
      <c r="G668" s="19" t="str">
        <f aca="false">IF(E668="","",IF(F668="Y",E668*Settings!$B$16,0))</f>
        <v/>
      </c>
      <c r="H668" s="19" t="str">
        <f aca="false">IF(E668="","",E668+G668)</f>
        <v/>
      </c>
      <c r="I668" s="14"/>
      <c r="J668" s="14"/>
      <c r="K668" s="14"/>
      <c r="L668" s="14"/>
    </row>
    <row r="669" customFormat="false" ht="15" hidden="false" customHeight="false" outlineLevel="0" collapsed="false">
      <c r="A669" s="13"/>
      <c r="B669" s="14"/>
      <c r="C669" s="14"/>
      <c r="D669" s="14"/>
      <c r="E669" s="15"/>
      <c r="F669" s="14"/>
      <c r="G669" s="19" t="str">
        <f aca="false">IF(E669="","",IF(F669="Y",E669*Settings!$B$16,0))</f>
        <v/>
      </c>
      <c r="H669" s="19" t="str">
        <f aca="false">IF(E669="","",E669+G669)</f>
        <v/>
      </c>
      <c r="I669" s="14"/>
      <c r="J669" s="14"/>
      <c r="K669" s="14"/>
      <c r="L669" s="14"/>
    </row>
    <row r="670" customFormat="false" ht="15" hidden="false" customHeight="false" outlineLevel="0" collapsed="false">
      <c r="A670" s="13"/>
      <c r="B670" s="14"/>
      <c r="C670" s="14"/>
      <c r="D670" s="14"/>
      <c r="E670" s="15"/>
      <c r="F670" s="14"/>
      <c r="G670" s="19" t="str">
        <f aca="false">IF(E670="","",IF(F670="Y",E670*Settings!$B$16,0))</f>
        <v/>
      </c>
      <c r="H670" s="19" t="str">
        <f aca="false">IF(E670="","",E670+G670)</f>
        <v/>
      </c>
      <c r="I670" s="14"/>
      <c r="J670" s="14"/>
      <c r="K670" s="14"/>
      <c r="L670" s="14"/>
    </row>
    <row r="671" customFormat="false" ht="15" hidden="false" customHeight="false" outlineLevel="0" collapsed="false">
      <c r="A671" s="13"/>
      <c r="B671" s="14"/>
      <c r="C671" s="14"/>
      <c r="D671" s="14"/>
      <c r="E671" s="15"/>
      <c r="F671" s="14"/>
      <c r="G671" s="19" t="str">
        <f aca="false">IF(E671="","",IF(F671="Y",E671*Settings!$B$16,0))</f>
        <v/>
      </c>
      <c r="H671" s="19" t="str">
        <f aca="false">IF(E671="","",E671+G671)</f>
        <v/>
      </c>
      <c r="I671" s="14"/>
      <c r="J671" s="14"/>
      <c r="K671" s="14"/>
      <c r="L671" s="14"/>
    </row>
    <row r="672" customFormat="false" ht="15" hidden="false" customHeight="false" outlineLevel="0" collapsed="false">
      <c r="A672" s="13"/>
      <c r="B672" s="14"/>
      <c r="C672" s="14"/>
      <c r="D672" s="14"/>
      <c r="E672" s="15"/>
      <c r="F672" s="14"/>
      <c r="G672" s="19" t="str">
        <f aca="false">IF(E672="","",IF(F672="Y",E672*Settings!$B$16,0))</f>
        <v/>
      </c>
      <c r="H672" s="19" t="str">
        <f aca="false">IF(E672="","",E672+G672)</f>
        <v/>
      </c>
      <c r="I672" s="14"/>
      <c r="J672" s="14"/>
      <c r="K672" s="14"/>
      <c r="L672" s="14"/>
    </row>
    <row r="673" customFormat="false" ht="15" hidden="false" customHeight="false" outlineLevel="0" collapsed="false">
      <c r="A673" s="13"/>
      <c r="B673" s="14"/>
      <c r="C673" s="14"/>
      <c r="D673" s="14"/>
      <c r="E673" s="15"/>
      <c r="F673" s="14"/>
      <c r="G673" s="19" t="str">
        <f aca="false">IF(E673="","",IF(F673="Y",E673*Settings!$B$16,0))</f>
        <v/>
      </c>
      <c r="H673" s="19" t="str">
        <f aca="false">IF(E673="","",E673+G673)</f>
        <v/>
      </c>
      <c r="I673" s="14"/>
      <c r="J673" s="14"/>
      <c r="K673" s="14"/>
      <c r="L673" s="14"/>
    </row>
    <row r="674" customFormat="false" ht="15" hidden="false" customHeight="false" outlineLevel="0" collapsed="false">
      <c r="A674" s="13"/>
      <c r="B674" s="14"/>
      <c r="C674" s="14"/>
      <c r="D674" s="14"/>
      <c r="E674" s="15"/>
      <c r="F674" s="14"/>
      <c r="G674" s="19" t="str">
        <f aca="false">IF(E674="","",IF(F674="Y",E674*Settings!$B$16,0))</f>
        <v/>
      </c>
      <c r="H674" s="19" t="str">
        <f aca="false">IF(E674="","",E674+G674)</f>
        <v/>
      </c>
      <c r="I674" s="14"/>
      <c r="J674" s="14"/>
      <c r="K674" s="14"/>
      <c r="L674" s="14"/>
    </row>
    <row r="675" customFormat="false" ht="15" hidden="false" customHeight="false" outlineLevel="0" collapsed="false">
      <c r="A675" s="13"/>
      <c r="B675" s="14"/>
      <c r="C675" s="14"/>
      <c r="D675" s="14"/>
      <c r="E675" s="15"/>
      <c r="F675" s="14"/>
      <c r="G675" s="19" t="str">
        <f aca="false">IF(E675="","",IF(F675="Y",E675*Settings!$B$16,0))</f>
        <v/>
      </c>
      <c r="H675" s="19" t="str">
        <f aca="false">IF(E675="","",E675+G675)</f>
        <v/>
      </c>
      <c r="I675" s="14"/>
      <c r="J675" s="14"/>
      <c r="K675" s="14"/>
      <c r="L675" s="14"/>
    </row>
    <row r="676" customFormat="false" ht="15" hidden="false" customHeight="false" outlineLevel="0" collapsed="false">
      <c r="A676" s="13"/>
      <c r="B676" s="14"/>
      <c r="C676" s="14"/>
      <c r="D676" s="14"/>
      <c r="E676" s="15"/>
      <c r="F676" s="14"/>
      <c r="G676" s="19" t="str">
        <f aca="false">IF(E676="","",IF(F676="Y",E676*Settings!$B$16,0))</f>
        <v/>
      </c>
      <c r="H676" s="19" t="str">
        <f aca="false">IF(E676="","",E676+G676)</f>
        <v/>
      </c>
      <c r="I676" s="14"/>
      <c r="J676" s="14"/>
      <c r="K676" s="14"/>
      <c r="L676" s="14"/>
    </row>
    <row r="677" customFormat="false" ht="15" hidden="false" customHeight="false" outlineLevel="0" collapsed="false">
      <c r="A677" s="13"/>
      <c r="B677" s="14"/>
      <c r="C677" s="14"/>
      <c r="D677" s="14"/>
      <c r="E677" s="15"/>
      <c r="F677" s="14"/>
      <c r="G677" s="19" t="str">
        <f aca="false">IF(E677="","",IF(F677="Y",E677*Settings!$B$16,0))</f>
        <v/>
      </c>
      <c r="H677" s="19" t="str">
        <f aca="false">IF(E677="","",E677+G677)</f>
        <v/>
      </c>
      <c r="I677" s="14"/>
      <c r="J677" s="14"/>
      <c r="K677" s="14"/>
      <c r="L677" s="14"/>
    </row>
    <row r="678" customFormat="false" ht="15" hidden="false" customHeight="false" outlineLevel="0" collapsed="false">
      <c r="A678" s="13"/>
      <c r="B678" s="14"/>
      <c r="C678" s="14"/>
      <c r="D678" s="14"/>
      <c r="E678" s="15"/>
      <c r="F678" s="14"/>
      <c r="G678" s="19" t="str">
        <f aca="false">IF(E678="","",IF(F678="Y",E678*Settings!$B$16,0))</f>
        <v/>
      </c>
      <c r="H678" s="19" t="str">
        <f aca="false">IF(E678="","",E678+G678)</f>
        <v/>
      </c>
      <c r="I678" s="14"/>
      <c r="J678" s="14"/>
      <c r="K678" s="14"/>
      <c r="L678" s="14"/>
    </row>
    <row r="679" customFormat="false" ht="15" hidden="false" customHeight="false" outlineLevel="0" collapsed="false">
      <c r="A679" s="13"/>
      <c r="B679" s="14"/>
      <c r="C679" s="14"/>
      <c r="D679" s="14"/>
      <c r="E679" s="15"/>
      <c r="F679" s="14"/>
      <c r="G679" s="19" t="str">
        <f aca="false">IF(E679="","",IF(F679="Y",E679*Settings!$B$16,0))</f>
        <v/>
      </c>
      <c r="H679" s="19" t="str">
        <f aca="false">IF(E679="","",E679+G679)</f>
        <v/>
      </c>
      <c r="I679" s="14"/>
      <c r="J679" s="14"/>
      <c r="K679" s="14"/>
      <c r="L679" s="14"/>
    </row>
    <row r="680" customFormat="false" ht="15" hidden="false" customHeight="false" outlineLevel="0" collapsed="false">
      <c r="A680" s="13"/>
      <c r="B680" s="14"/>
      <c r="C680" s="14"/>
      <c r="D680" s="14"/>
      <c r="E680" s="15"/>
      <c r="F680" s="14"/>
      <c r="G680" s="19" t="str">
        <f aca="false">IF(E680="","",IF(F680="Y",E680*Settings!$B$16,0))</f>
        <v/>
      </c>
      <c r="H680" s="19" t="str">
        <f aca="false">IF(E680="","",E680+G680)</f>
        <v/>
      </c>
      <c r="I680" s="14"/>
      <c r="J680" s="14"/>
      <c r="K680" s="14"/>
      <c r="L680" s="14"/>
    </row>
    <row r="681" customFormat="false" ht="15" hidden="false" customHeight="false" outlineLevel="0" collapsed="false">
      <c r="A681" s="13"/>
      <c r="B681" s="14"/>
      <c r="C681" s="14"/>
      <c r="D681" s="14"/>
      <c r="E681" s="15"/>
      <c r="F681" s="14"/>
      <c r="G681" s="19" t="str">
        <f aca="false">IF(E681="","",IF(F681="Y",E681*Settings!$B$16,0))</f>
        <v/>
      </c>
      <c r="H681" s="19" t="str">
        <f aca="false">IF(E681="","",E681+G681)</f>
        <v/>
      </c>
      <c r="I681" s="14"/>
      <c r="J681" s="14"/>
      <c r="K681" s="14"/>
      <c r="L681" s="14"/>
    </row>
    <row r="682" customFormat="false" ht="15" hidden="false" customHeight="false" outlineLevel="0" collapsed="false">
      <c r="A682" s="13"/>
      <c r="B682" s="14"/>
      <c r="C682" s="14"/>
      <c r="D682" s="14"/>
      <c r="E682" s="15"/>
      <c r="F682" s="14"/>
      <c r="G682" s="19" t="str">
        <f aca="false">IF(E682="","",IF(F682="Y",E682*Settings!$B$16,0))</f>
        <v/>
      </c>
      <c r="H682" s="19" t="str">
        <f aca="false">IF(E682="","",E682+G682)</f>
        <v/>
      </c>
      <c r="I682" s="14"/>
      <c r="J682" s="14"/>
      <c r="K682" s="14"/>
      <c r="L682" s="14"/>
    </row>
    <row r="683" customFormat="false" ht="15" hidden="false" customHeight="false" outlineLevel="0" collapsed="false">
      <c r="A683" s="13"/>
      <c r="B683" s="14"/>
      <c r="C683" s="14"/>
      <c r="D683" s="14"/>
      <c r="E683" s="15"/>
      <c r="F683" s="14"/>
      <c r="G683" s="19" t="str">
        <f aca="false">IF(E683="","",IF(F683="Y",E683*Settings!$B$16,0))</f>
        <v/>
      </c>
      <c r="H683" s="19" t="str">
        <f aca="false">IF(E683="","",E683+G683)</f>
        <v/>
      </c>
      <c r="I683" s="14"/>
      <c r="J683" s="14"/>
      <c r="K683" s="14"/>
      <c r="L683" s="14"/>
    </row>
    <row r="684" customFormat="false" ht="15" hidden="false" customHeight="false" outlineLevel="0" collapsed="false">
      <c r="A684" s="13"/>
      <c r="B684" s="14"/>
      <c r="C684" s="14"/>
      <c r="D684" s="14"/>
      <c r="E684" s="15"/>
      <c r="F684" s="14"/>
      <c r="G684" s="19" t="str">
        <f aca="false">IF(E684="","",IF(F684="Y",E684*Settings!$B$16,0))</f>
        <v/>
      </c>
      <c r="H684" s="19" t="str">
        <f aca="false">IF(E684="","",E684+G684)</f>
        <v/>
      </c>
      <c r="I684" s="14"/>
      <c r="J684" s="14"/>
      <c r="K684" s="14"/>
      <c r="L684" s="14"/>
    </row>
    <row r="685" customFormat="false" ht="15" hidden="false" customHeight="false" outlineLevel="0" collapsed="false">
      <c r="A685" s="13"/>
      <c r="B685" s="14"/>
      <c r="C685" s="14"/>
      <c r="D685" s="14"/>
      <c r="E685" s="15"/>
      <c r="F685" s="14"/>
      <c r="G685" s="19" t="str">
        <f aca="false">IF(E685="","",IF(F685="Y",E685*Settings!$B$16,0))</f>
        <v/>
      </c>
      <c r="H685" s="19" t="str">
        <f aca="false">IF(E685="","",E685+G685)</f>
        <v/>
      </c>
      <c r="I685" s="14"/>
      <c r="J685" s="14"/>
      <c r="K685" s="14"/>
      <c r="L685" s="14"/>
    </row>
    <row r="686" customFormat="false" ht="15" hidden="false" customHeight="false" outlineLevel="0" collapsed="false">
      <c r="A686" s="13"/>
      <c r="B686" s="14"/>
      <c r="C686" s="14"/>
      <c r="D686" s="14"/>
      <c r="E686" s="15"/>
      <c r="F686" s="14"/>
      <c r="G686" s="19" t="str">
        <f aca="false">IF(E686="","",IF(F686="Y",E686*Settings!$B$16,0))</f>
        <v/>
      </c>
      <c r="H686" s="19" t="str">
        <f aca="false">IF(E686="","",E686+G686)</f>
        <v/>
      </c>
      <c r="I686" s="14"/>
      <c r="J686" s="14"/>
      <c r="K686" s="14"/>
      <c r="L686" s="14"/>
    </row>
    <row r="687" customFormat="false" ht="15" hidden="false" customHeight="false" outlineLevel="0" collapsed="false">
      <c r="A687" s="13"/>
      <c r="B687" s="14"/>
      <c r="C687" s="14"/>
      <c r="D687" s="14"/>
      <c r="E687" s="15"/>
      <c r="F687" s="14"/>
      <c r="G687" s="19" t="str">
        <f aca="false">IF(E687="","",IF(F687="Y",E687*Settings!$B$16,0))</f>
        <v/>
      </c>
      <c r="H687" s="19" t="str">
        <f aca="false">IF(E687="","",E687+G687)</f>
        <v/>
      </c>
      <c r="I687" s="14"/>
      <c r="J687" s="14"/>
      <c r="K687" s="14"/>
      <c r="L687" s="14"/>
    </row>
    <row r="688" customFormat="false" ht="15" hidden="false" customHeight="false" outlineLevel="0" collapsed="false">
      <c r="A688" s="13"/>
      <c r="B688" s="14"/>
      <c r="C688" s="14"/>
      <c r="D688" s="14"/>
      <c r="E688" s="15"/>
      <c r="F688" s="14"/>
      <c r="G688" s="19" t="str">
        <f aca="false">IF(E688="","",IF(F688="Y",E688*Settings!$B$16,0))</f>
        <v/>
      </c>
      <c r="H688" s="19" t="str">
        <f aca="false">IF(E688="","",E688+G688)</f>
        <v/>
      </c>
      <c r="I688" s="14"/>
      <c r="J688" s="14"/>
      <c r="K688" s="14"/>
      <c r="L688" s="14"/>
    </row>
    <row r="689" customFormat="false" ht="15" hidden="false" customHeight="false" outlineLevel="0" collapsed="false">
      <c r="A689" s="13"/>
      <c r="B689" s="14"/>
      <c r="C689" s="14"/>
      <c r="D689" s="14"/>
      <c r="E689" s="15"/>
      <c r="F689" s="14"/>
      <c r="G689" s="19" t="str">
        <f aca="false">IF(E689="","",IF(F689="Y",E689*Settings!$B$16,0))</f>
        <v/>
      </c>
      <c r="H689" s="19" t="str">
        <f aca="false">IF(E689="","",E689+G689)</f>
        <v/>
      </c>
      <c r="I689" s="14"/>
      <c r="J689" s="14"/>
      <c r="K689" s="14"/>
      <c r="L689" s="14"/>
    </row>
    <row r="690" customFormat="false" ht="15" hidden="false" customHeight="false" outlineLevel="0" collapsed="false">
      <c r="A690" s="13"/>
      <c r="B690" s="14"/>
      <c r="C690" s="14"/>
      <c r="D690" s="14"/>
      <c r="E690" s="15"/>
      <c r="F690" s="14"/>
      <c r="G690" s="19" t="str">
        <f aca="false">IF(E690="","",IF(F690="Y",E690*Settings!$B$16,0))</f>
        <v/>
      </c>
      <c r="H690" s="19" t="str">
        <f aca="false">IF(E690="","",E690+G690)</f>
        <v/>
      </c>
      <c r="I690" s="14"/>
      <c r="J690" s="14"/>
      <c r="K690" s="14"/>
      <c r="L690" s="14"/>
    </row>
    <row r="691" customFormat="false" ht="15" hidden="false" customHeight="false" outlineLevel="0" collapsed="false">
      <c r="A691" s="13"/>
      <c r="B691" s="14"/>
      <c r="C691" s="14"/>
      <c r="D691" s="14"/>
      <c r="E691" s="15"/>
      <c r="F691" s="14"/>
      <c r="G691" s="19" t="str">
        <f aca="false">IF(E691="","",IF(F691="Y",E691*Settings!$B$16,0))</f>
        <v/>
      </c>
      <c r="H691" s="19" t="str">
        <f aca="false">IF(E691="","",E691+G691)</f>
        <v/>
      </c>
      <c r="I691" s="14"/>
      <c r="J691" s="14"/>
      <c r="K691" s="14"/>
      <c r="L691" s="14"/>
    </row>
    <row r="692" customFormat="false" ht="15" hidden="false" customHeight="false" outlineLevel="0" collapsed="false">
      <c r="A692" s="13"/>
      <c r="B692" s="14"/>
      <c r="C692" s="14"/>
      <c r="D692" s="14"/>
      <c r="E692" s="15"/>
      <c r="F692" s="14"/>
      <c r="G692" s="19" t="str">
        <f aca="false">IF(E692="","",IF(F692="Y",E692*Settings!$B$16,0))</f>
        <v/>
      </c>
      <c r="H692" s="19" t="str">
        <f aca="false">IF(E692="","",E692+G692)</f>
        <v/>
      </c>
      <c r="I692" s="14"/>
      <c r="J692" s="14"/>
      <c r="K692" s="14"/>
      <c r="L692" s="14"/>
    </row>
    <row r="693" customFormat="false" ht="15" hidden="false" customHeight="false" outlineLevel="0" collapsed="false">
      <c r="A693" s="13"/>
      <c r="B693" s="14"/>
      <c r="C693" s="14"/>
      <c r="D693" s="14"/>
      <c r="E693" s="15"/>
      <c r="F693" s="14"/>
      <c r="G693" s="19" t="str">
        <f aca="false">IF(E693="","",IF(F693="Y",E693*Settings!$B$16,0))</f>
        <v/>
      </c>
      <c r="H693" s="19" t="str">
        <f aca="false">IF(E693="","",E693+G693)</f>
        <v/>
      </c>
      <c r="I693" s="14"/>
      <c r="J693" s="14"/>
      <c r="K693" s="14"/>
      <c r="L693" s="14"/>
    </row>
    <row r="694" customFormat="false" ht="15" hidden="false" customHeight="false" outlineLevel="0" collapsed="false">
      <c r="A694" s="13"/>
      <c r="B694" s="14"/>
      <c r="C694" s="14"/>
      <c r="D694" s="14"/>
      <c r="E694" s="15"/>
      <c r="F694" s="14"/>
      <c r="G694" s="19" t="str">
        <f aca="false">IF(E694="","",IF(F694="Y",E694*Settings!$B$16,0))</f>
        <v/>
      </c>
      <c r="H694" s="19" t="str">
        <f aca="false">IF(E694="","",E694+G694)</f>
        <v/>
      </c>
      <c r="I694" s="14"/>
      <c r="J694" s="14"/>
      <c r="K694" s="14"/>
      <c r="L694" s="14"/>
    </row>
    <row r="695" customFormat="false" ht="15" hidden="false" customHeight="false" outlineLevel="0" collapsed="false">
      <c r="A695" s="13"/>
      <c r="B695" s="14"/>
      <c r="C695" s="14"/>
      <c r="D695" s="14"/>
      <c r="E695" s="15"/>
      <c r="F695" s="14"/>
      <c r="G695" s="19" t="str">
        <f aca="false">IF(E695="","",IF(F695="Y",E695*Settings!$B$16,0))</f>
        <v/>
      </c>
      <c r="H695" s="19" t="str">
        <f aca="false">IF(E695="","",E695+G695)</f>
        <v/>
      </c>
      <c r="I695" s="14"/>
      <c r="J695" s="14"/>
      <c r="K695" s="14"/>
      <c r="L695" s="14"/>
    </row>
    <row r="696" customFormat="false" ht="15" hidden="false" customHeight="false" outlineLevel="0" collapsed="false">
      <c r="A696" s="13"/>
      <c r="B696" s="14"/>
      <c r="C696" s="14"/>
      <c r="D696" s="14"/>
      <c r="E696" s="15"/>
      <c r="F696" s="14"/>
      <c r="G696" s="19" t="str">
        <f aca="false">IF(E696="","",IF(F696="Y",E696*Settings!$B$16,0))</f>
        <v/>
      </c>
      <c r="H696" s="19" t="str">
        <f aca="false">IF(E696="","",E696+G696)</f>
        <v/>
      </c>
      <c r="I696" s="14"/>
      <c r="J696" s="14"/>
      <c r="K696" s="14"/>
      <c r="L696" s="14"/>
    </row>
    <row r="697" customFormat="false" ht="15" hidden="false" customHeight="false" outlineLevel="0" collapsed="false">
      <c r="A697" s="13"/>
      <c r="B697" s="14"/>
      <c r="C697" s="14"/>
      <c r="D697" s="14"/>
      <c r="E697" s="15"/>
      <c r="F697" s="14"/>
      <c r="G697" s="19" t="str">
        <f aca="false">IF(E697="","",IF(F697="Y",E697*Settings!$B$16,0))</f>
        <v/>
      </c>
      <c r="H697" s="19" t="str">
        <f aca="false">IF(E697="","",E697+G697)</f>
        <v/>
      </c>
      <c r="I697" s="14"/>
      <c r="J697" s="14"/>
      <c r="K697" s="14"/>
      <c r="L697" s="14"/>
    </row>
    <row r="698" customFormat="false" ht="15" hidden="false" customHeight="false" outlineLevel="0" collapsed="false">
      <c r="A698" s="13"/>
      <c r="B698" s="14"/>
      <c r="C698" s="14"/>
      <c r="D698" s="14"/>
      <c r="E698" s="15"/>
      <c r="F698" s="14"/>
      <c r="G698" s="19" t="str">
        <f aca="false">IF(E698="","",IF(F698="Y",E698*Settings!$B$16,0))</f>
        <v/>
      </c>
      <c r="H698" s="19" t="str">
        <f aca="false">IF(E698="","",E698+G698)</f>
        <v/>
      </c>
      <c r="I698" s="14"/>
      <c r="J698" s="14"/>
      <c r="K698" s="14"/>
      <c r="L698" s="14"/>
    </row>
    <row r="699" customFormat="false" ht="15" hidden="false" customHeight="false" outlineLevel="0" collapsed="false">
      <c r="A699" s="13"/>
      <c r="B699" s="14"/>
      <c r="C699" s="14"/>
      <c r="D699" s="14"/>
      <c r="E699" s="15"/>
      <c r="F699" s="14"/>
      <c r="G699" s="19" t="str">
        <f aca="false">IF(E699="","",IF(F699="Y",E699*Settings!$B$16,0))</f>
        <v/>
      </c>
      <c r="H699" s="19" t="str">
        <f aca="false">IF(E699="","",E699+G699)</f>
        <v/>
      </c>
      <c r="I699" s="14"/>
      <c r="J699" s="14"/>
      <c r="K699" s="14"/>
      <c r="L699" s="14"/>
    </row>
    <row r="700" customFormat="false" ht="15" hidden="false" customHeight="false" outlineLevel="0" collapsed="false">
      <c r="A700" s="13"/>
      <c r="B700" s="14"/>
      <c r="C700" s="14"/>
      <c r="D700" s="14"/>
      <c r="E700" s="15"/>
      <c r="F700" s="14"/>
      <c r="G700" s="19" t="str">
        <f aca="false">IF(E700="","",IF(F700="Y",E700*Settings!$B$16,0))</f>
        <v/>
      </c>
      <c r="H700" s="19" t="str">
        <f aca="false">IF(E700="","",E700+G700)</f>
        <v/>
      </c>
      <c r="I700" s="14"/>
      <c r="J700" s="14"/>
      <c r="K700" s="14"/>
      <c r="L700" s="14"/>
    </row>
    <row r="701" customFormat="false" ht="15" hidden="false" customHeight="false" outlineLevel="0" collapsed="false">
      <c r="A701" s="13"/>
      <c r="B701" s="14"/>
      <c r="C701" s="14"/>
      <c r="D701" s="14"/>
      <c r="E701" s="15"/>
      <c r="F701" s="14"/>
      <c r="G701" s="19" t="str">
        <f aca="false">IF(E701="","",IF(F701="Y",E701*Settings!$B$16,0))</f>
        <v/>
      </c>
      <c r="H701" s="19" t="str">
        <f aca="false">IF(E701="","",E701+G701)</f>
        <v/>
      </c>
      <c r="I701" s="14"/>
      <c r="J701" s="14"/>
      <c r="K701" s="14"/>
      <c r="L701" s="14"/>
    </row>
    <row r="702" customFormat="false" ht="15" hidden="false" customHeight="false" outlineLevel="0" collapsed="false">
      <c r="A702" s="13"/>
      <c r="B702" s="14"/>
      <c r="C702" s="14"/>
      <c r="D702" s="14"/>
      <c r="E702" s="15"/>
      <c r="F702" s="14"/>
      <c r="G702" s="19" t="str">
        <f aca="false">IF(E702="","",IF(F702="Y",E702*Settings!$B$16,0))</f>
        <v/>
      </c>
      <c r="H702" s="19" t="str">
        <f aca="false">IF(E702="","",E702+G702)</f>
        <v/>
      </c>
      <c r="I702" s="14"/>
      <c r="J702" s="14"/>
      <c r="K702" s="14"/>
      <c r="L702" s="14"/>
    </row>
    <row r="703" customFormat="false" ht="15" hidden="false" customHeight="false" outlineLevel="0" collapsed="false">
      <c r="A703" s="13"/>
      <c r="B703" s="14"/>
      <c r="C703" s="14"/>
      <c r="D703" s="14"/>
      <c r="E703" s="15"/>
      <c r="F703" s="14"/>
      <c r="G703" s="19" t="str">
        <f aca="false">IF(E703="","",IF(F703="Y",E703*Settings!$B$16,0))</f>
        <v/>
      </c>
      <c r="H703" s="19" t="str">
        <f aca="false">IF(E703="","",E703+G703)</f>
        <v/>
      </c>
      <c r="I703" s="14"/>
      <c r="J703" s="14"/>
      <c r="K703" s="14"/>
      <c r="L703" s="14"/>
    </row>
    <row r="704" customFormat="false" ht="15" hidden="false" customHeight="false" outlineLevel="0" collapsed="false">
      <c r="A704" s="13"/>
      <c r="B704" s="14"/>
      <c r="C704" s="14"/>
      <c r="D704" s="14"/>
      <c r="E704" s="15"/>
      <c r="F704" s="14"/>
      <c r="G704" s="19" t="str">
        <f aca="false">IF(E704="","",IF(F704="Y",E704*Settings!$B$16,0))</f>
        <v/>
      </c>
      <c r="H704" s="19" t="str">
        <f aca="false">IF(E704="","",E704+G704)</f>
        <v/>
      </c>
      <c r="I704" s="14"/>
      <c r="J704" s="14"/>
      <c r="K704" s="14"/>
      <c r="L704" s="14"/>
    </row>
    <row r="705" customFormat="false" ht="15" hidden="false" customHeight="false" outlineLevel="0" collapsed="false">
      <c r="A705" s="13"/>
      <c r="B705" s="14"/>
      <c r="C705" s="14"/>
      <c r="D705" s="14"/>
      <c r="E705" s="15"/>
      <c r="F705" s="14"/>
      <c r="G705" s="19" t="str">
        <f aca="false">IF(E705="","",IF(F705="Y",E705*Settings!$B$16,0))</f>
        <v/>
      </c>
      <c r="H705" s="19" t="str">
        <f aca="false">IF(E705="","",E705+G705)</f>
        <v/>
      </c>
      <c r="I705" s="14"/>
      <c r="J705" s="14"/>
      <c r="K705" s="14"/>
      <c r="L705" s="14"/>
    </row>
    <row r="706" customFormat="false" ht="15" hidden="false" customHeight="false" outlineLevel="0" collapsed="false">
      <c r="A706" s="13"/>
      <c r="B706" s="14"/>
      <c r="C706" s="14"/>
      <c r="D706" s="14"/>
      <c r="E706" s="15"/>
      <c r="F706" s="14"/>
      <c r="G706" s="19" t="str">
        <f aca="false">IF(E706="","",IF(F706="Y",E706*Settings!$B$16,0))</f>
        <v/>
      </c>
      <c r="H706" s="19" t="str">
        <f aca="false">IF(E706="","",E706+G706)</f>
        <v/>
      </c>
      <c r="I706" s="14"/>
      <c r="J706" s="14"/>
      <c r="K706" s="14"/>
      <c r="L706" s="14"/>
    </row>
    <row r="707" customFormat="false" ht="15" hidden="false" customHeight="false" outlineLevel="0" collapsed="false">
      <c r="A707" s="13"/>
      <c r="B707" s="14"/>
      <c r="C707" s="14"/>
      <c r="D707" s="14"/>
      <c r="E707" s="15"/>
      <c r="F707" s="14"/>
      <c r="G707" s="19" t="str">
        <f aca="false">IF(E707="","",IF(F707="Y",E707*Settings!$B$16,0))</f>
        <v/>
      </c>
      <c r="H707" s="19" t="str">
        <f aca="false">IF(E707="","",E707+G707)</f>
        <v/>
      </c>
      <c r="I707" s="14"/>
      <c r="J707" s="14"/>
      <c r="K707" s="14"/>
      <c r="L707" s="14"/>
    </row>
    <row r="708" customFormat="false" ht="15" hidden="false" customHeight="false" outlineLevel="0" collapsed="false">
      <c r="A708" s="13"/>
      <c r="B708" s="14"/>
      <c r="C708" s="14"/>
      <c r="D708" s="14"/>
      <c r="E708" s="15"/>
      <c r="F708" s="14"/>
      <c r="G708" s="19" t="str">
        <f aca="false">IF(E708="","",IF(F708="Y",E708*Settings!$B$16,0))</f>
        <v/>
      </c>
      <c r="H708" s="19" t="str">
        <f aca="false">IF(E708="","",E708+G708)</f>
        <v/>
      </c>
      <c r="I708" s="14"/>
      <c r="J708" s="14"/>
      <c r="K708" s="14"/>
      <c r="L708" s="14"/>
    </row>
    <row r="709" customFormat="false" ht="15" hidden="false" customHeight="false" outlineLevel="0" collapsed="false">
      <c r="A709" s="13"/>
      <c r="B709" s="14"/>
      <c r="C709" s="14"/>
      <c r="D709" s="14"/>
      <c r="E709" s="15"/>
      <c r="F709" s="14"/>
      <c r="G709" s="19" t="str">
        <f aca="false">IF(E709="","",IF(F709="Y",E709*Settings!$B$16,0))</f>
        <v/>
      </c>
      <c r="H709" s="19" t="str">
        <f aca="false">IF(E709="","",E709+G709)</f>
        <v/>
      </c>
      <c r="I709" s="14"/>
      <c r="J709" s="14"/>
      <c r="K709" s="14"/>
      <c r="L709" s="14"/>
    </row>
    <row r="710" customFormat="false" ht="15" hidden="false" customHeight="false" outlineLevel="0" collapsed="false">
      <c r="A710" s="13"/>
      <c r="B710" s="14"/>
      <c r="C710" s="14"/>
      <c r="D710" s="14"/>
      <c r="E710" s="15"/>
      <c r="F710" s="14"/>
      <c r="G710" s="19" t="str">
        <f aca="false">IF(E710="","",IF(F710="Y",E710*Settings!$B$16,0))</f>
        <v/>
      </c>
      <c r="H710" s="19" t="str">
        <f aca="false">IF(E710="","",E710+G710)</f>
        <v/>
      </c>
      <c r="I710" s="14"/>
      <c r="J710" s="14"/>
      <c r="K710" s="14"/>
      <c r="L710" s="14"/>
    </row>
    <row r="711" customFormat="false" ht="15" hidden="false" customHeight="false" outlineLevel="0" collapsed="false">
      <c r="A711" s="13"/>
      <c r="B711" s="14"/>
      <c r="C711" s="14"/>
      <c r="D711" s="14"/>
      <c r="E711" s="15"/>
      <c r="F711" s="14"/>
      <c r="G711" s="19" t="str">
        <f aca="false">IF(E711="","",IF(F711="Y",E711*Settings!$B$16,0))</f>
        <v/>
      </c>
      <c r="H711" s="19" t="str">
        <f aca="false">IF(E711="","",E711+G711)</f>
        <v/>
      </c>
      <c r="I711" s="14"/>
      <c r="J711" s="14"/>
      <c r="K711" s="14"/>
      <c r="L711" s="14"/>
    </row>
    <row r="712" customFormat="false" ht="15" hidden="false" customHeight="false" outlineLevel="0" collapsed="false">
      <c r="A712" s="13"/>
      <c r="B712" s="14"/>
      <c r="C712" s="14"/>
      <c r="D712" s="14"/>
      <c r="E712" s="15"/>
      <c r="F712" s="14"/>
      <c r="G712" s="19" t="str">
        <f aca="false">IF(E712="","",IF(F712="Y",E712*Settings!$B$16,0))</f>
        <v/>
      </c>
      <c r="H712" s="19" t="str">
        <f aca="false">IF(E712="","",E712+G712)</f>
        <v/>
      </c>
      <c r="I712" s="14"/>
      <c r="J712" s="14"/>
      <c r="K712" s="14"/>
      <c r="L712" s="14"/>
    </row>
    <row r="713" customFormat="false" ht="15" hidden="false" customHeight="false" outlineLevel="0" collapsed="false">
      <c r="A713" s="13"/>
      <c r="B713" s="14"/>
      <c r="C713" s="14"/>
      <c r="D713" s="14"/>
      <c r="E713" s="15"/>
      <c r="F713" s="14"/>
      <c r="G713" s="19" t="str">
        <f aca="false">IF(E713="","",IF(F713="Y",E713*Settings!$B$16,0))</f>
        <v/>
      </c>
      <c r="H713" s="19" t="str">
        <f aca="false">IF(E713="","",E713+G713)</f>
        <v/>
      </c>
      <c r="I713" s="14"/>
      <c r="J713" s="14"/>
      <c r="K713" s="14"/>
      <c r="L713" s="14"/>
    </row>
    <row r="714" customFormat="false" ht="15" hidden="false" customHeight="false" outlineLevel="0" collapsed="false">
      <c r="A714" s="13"/>
      <c r="B714" s="14"/>
      <c r="C714" s="14"/>
      <c r="D714" s="14"/>
      <c r="E714" s="15"/>
      <c r="F714" s="14"/>
      <c r="G714" s="19" t="str">
        <f aca="false">IF(E714="","",IF(F714="Y",E714*Settings!$B$16,0))</f>
        <v/>
      </c>
      <c r="H714" s="19" t="str">
        <f aca="false">IF(E714="","",E714+G714)</f>
        <v/>
      </c>
      <c r="I714" s="14"/>
      <c r="J714" s="14"/>
      <c r="K714" s="14"/>
      <c r="L714" s="14"/>
    </row>
    <row r="715" customFormat="false" ht="15" hidden="false" customHeight="false" outlineLevel="0" collapsed="false">
      <c r="A715" s="13"/>
      <c r="B715" s="14"/>
      <c r="C715" s="14"/>
      <c r="D715" s="14"/>
      <c r="E715" s="15"/>
      <c r="F715" s="14"/>
      <c r="G715" s="19" t="str">
        <f aca="false">IF(E715="","",IF(F715="Y",E715*Settings!$B$16,0))</f>
        <v/>
      </c>
      <c r="H715" s="19" t="str">
        <f aca="false">IF(E715="","",E715+G715)</f>
        <v/>
      </c>
      <c r="I715" s="14"/>
      <c r="J715" s="14"/>
      <c r="K715" s="14"/>
      <c r="L715" s="14"/>
    </row>
    <row r="716" customFormat="false" ht="15" hidden="false" customHeight="false" outlineLevel="0" collapsed="false">
      <c r="A716" s="13"/>
      <c r="B716" s="14"/>
      <c r="C716" s="14"/>
      <c r="D716" s="14"/>
      <c r="E716" s="15"/>
      <c r="F716" s="14"/>
      <c r="G716" s="19" t="str">
        <f aca="false">IF(E716="","",IF(F716="Y",E716*Settings!$B$16,0))</f>
        <v/>
      </c>
      <c r="H716" s="19" t="str">
        <f aca="false">IF(E716="","",E716+G716)</f>
        <v/>
      </c>
      <c r="I716" s="14"/>
      <c r="J716" s="14"/>
      <c r="K716" s="14"/>
      <c r="L716" s="14"/>
    </row>
    <row r="717" customFormat="false" ht="15" hidden="false" customHeight="false" outlineLevel="0" collapsed="false">
      <c r="A717" s="13"/>
      <c r="B717" s="14"/>
      <c r="C717" s="14"/>
      <c r="D717" s="14"/>
      <c r="E717" s="15"/>
      <c r="F717" s="14"/>
      <c r="G717" s="19" t="str">
        <f aca="false">IF(E717="","",IF(F717="Y",E717*Settings!$B$16,0))</f>
        <v/>
      </c>
      <c r="H717" s="19" t="str">
        <f aca="false">IF(E717="","",E717+G717)</f>
        <v/>
      </c>
      <c r="I717" s="14"/>
      <c r="J717" s="14"/>
      <c r="K717" s="14"/>
      <c r="L717" s="14"/>
    </row>
    <row r="718" customFormat="false" ht="15" hidden="false" customHeight="false" outlineLevel="0" collapsed="false">
      <c r="A718" s="13"/>
      <c r="B718" s="14"/>
      <c r="C718" s="14"/>
      <c r="D718" s="14"/>
      <c r="E718" s="15"/>
      <c r="F718" s="14"/>
      <c r="G718" s="19" t="str">
        <f aca="false">IF(E718="","",IF(F718="Y",E718*Settings!$B$16,0))</f>
        <v/>
      </c>
      <c r="H718" s="19" t="str">
        <f aca="false">IF(E718="","",E718+G718)</f>
        <v/>
      </c>
      <c r="I718" s="14"/>
      <c r="J718" s="14"/>
      <c r="K718" s="14"/>
      <c r="L718" s="14"/>
    </row>
    <row r="719" customFormat="false" ht="15" hidden="false" customHeight="false" outlineLevel="0" collapsed="false">
      <c r="A719" s="13"/>
      <c r="B719" s="14"/>
      <c r="C719" s="14"/>
      <c r="D719" s="14"/>
      <c r="E719" s="15"/>
      <c r="F719" s="14"/>
      <c r="G719" s="19" t="str">
        <f aca="false">IF(E719="","",IF(F719="Y",E719*Settings!$B$16,0))</f>
        <v/>
      </c>
      <c r="H719" s="19" t="str">
        <f aca="false">IF(E719="","",E719+G719)</f>
        <v/>
      </c>
      <c r="I719" s="14"/>
      <c r="J719" s="14"/>
      <c r="K719" s="14"/>
      <c r="L719" s="14"/>
    </row>
    <row r="720" customFormat="false" ht="15" hidden="false" customHeight="false" outlineLevel="0" collapsed="false">
      <c r="A720" s="13"/>
      <c r="B720" s="14"/>
      <c r="C720" s="14"/>
      <c r="D720" s="14"/>
      <c r="E720" s="15"/>
      <c r="F720" s="14"/>
      <c r="G720" s="19" t="str">
        <f aca="false">IF(E720="","",IF(F720="Y",E720*Settings!$B$16,0))</f>
        <v/>
      </c>
      <c r="H720" s="19" t="str">
        <f aca="false">IF(E720="","",E720+G720)</f>
        <v/>
      </c>
      <c r="I720" s="14"/>
      <c r="J720" s="14"/>
      <c r="K720" s="14"/>
      <c r="L720" s="14"/>
    </row>
    <row r="721" customFormat="false" ht="15" hidden="false" customHeight="false" outlineLevel="0" collapsed="false">
      <c r="A721" s="13"/>
      <c r="B721" s="14"/>
      <c r="C721" s="14"/>
      <c r="D721" s="14"/>
      <c r="E721" s="15"/>
      <c r="F721" s="14"/>
      <c r="G721" s="19" t="str">
        <f aca="false">IF(E721="","",IF(F721="Y",E721*Settings!$B$16,0))</f>
        <v/>
      </c>
      <c r="H721" s="19" t="str">
        <f aca="false">IF(E721="","",E721+G721)</f>
        <v/>
      </c>
      <c r="I721" s="14"/>
      <c r="J721" s="14"/>
      <c r="K721" s="14"/>
      <c r="L721" s="14"/>
    </row>
    <row r="722" customFormat="false" ht="15" hidden="false" customHeight="false" outlineLevel="0" collapsed="false">
      <c r="A722" s="13"/>
      <c r="B722" s="14"/>
      <c r="C722" s="14"/>
      <c r="D722" s="14"/>
      <c r="E722" s="15"/>
      <c r="F722" s="14"/>
      <c r="G722" s="19" t="str">
        <f aca="false">IF(E722="","",IF(F722="Y",E722*Settings!$B$16,0))</f>
        <v/>
      </c>
      <c r="H722" s="19" t="str">
        <f aca="false">IF(E722="","",E722+G722)</f>
        <v/>
      </c>
      <c r="I722" s="14"/>
      <c r="J722" s="14"/>
      <c r="K722" s="14"/>
      <c r="L722" s="14"/>
    </row>
    <row r="723" customFormat="false" ht="15" hidden="false" customHeight="false" outlineLevel="0" collapsed="false">
      <c r="A723" s="13"/>
      <c r="B723" s="14"/>
      <c r="C723" s="14"/>
      <c r="D723" s="14"/>
      <c r="E723" s="15"/>
      <c r="F723" s="14"/>
      <c r="G723" s="19" t="str">
        <f aca="false">IF(E723="","",IF(F723="Y",E723*Settings!$B$16,0))</f>
        <v/>
      </c>
      <c r="H723" s="19" t="str">
        <f aca="false">IF(E723="","",E723+G723)</f>
        <v/>
      </c>
      <c r="I723" s="14"/>
      <c r="J723" s="14"/>
      <c r="K723" s="14"/>
      <c r="L723" s="14"/>
    </row>
    <row r="724" customFormat="false" ht="15" hidden="false" customHeight="false" outlineLevel="0" collapsed="false">
      <c r="A724" s="13"/>
      <c r="B724" s="14"/>
      <c r="C724" s="14"/>
      <c r="D724" s="14"/>
      <c r="E724" s="15"/>
      <c r="F724" s="14"/>
      <c r="G724" s="19" t="str">
        <f aca="false">IF(E724="","",IF(F724="Y",E724*Settings!$B$16,0))</f>
        <v/>
      </c>
      <c r="H724" s="19" t="str">
        <f aca="false">IF(E724="","",E724+G724)</f>
        <v/>
      </c>
      <c r="I724" s="14"/>
      <c r="J724" s="14"/>
      <c r="K724" s="14"/>
      <c r="L724" s="14"/>
    </row>
    <row r="725" customFormat="false" ht="15" hidden="false" customHeight="false" outlineLevel="0" collapsed="false">
      <c r="A725" s="13"/>
      <c r="B725" s="14"/>
      <c r="C725" s="14"/>
      <c r="D725" s="14"/>
      <c r="E725" s="15"/>
      <c r="F725" s="14"/>
      <c r="G725" s="19" t="str">
        <f aca="false">IF(E725="","",IF(F725="Y",E725*Settings!$B$16,0))</f>
        <v/>
      </c>
      <c r="H725" s="19" t="str">
        <f aca="false">IF(E725="","",E725+G725)</f>
        <v/>
      </c>
      <c r="I725" s="14"/>
      <c r="J725" s="14"/>
      <c r="K725" s="14"/>
      <c r="L725" s="14"/>
    </row>
    <row r="726" customFormat="false" ht="15" hidden="false" customHeight="false" outlineLevel="0" collapsed="false">
      <c r="A726" s="13"/>
      <c r="B726" s="14"/>
      <c r="C726" s="14"/>
      <c r="D726" s="14"/>
      <c r="E726" s="15"/>
      <c r="F726" s="14"/>
      <c r="G726" s="19" t="str">
        <f aca="false">IF(E726="","",IF(F726="Y",E726*Settings!$B$16,0))</f>
        <v/>
      </c>
      <c r="H726" s="19" t="str">
        <f aca="false">IF(E726="","",E726+G726)</f>
        <v/>
      </c>
      <c r="I726" s="14"/>
      <c r="J726" s="14"/>
      <c r="K726" s="14"/>
      <c r="L726" s="14"/>
    </row>
    <row r="727" customFormat="false" ht="15" hidden="false" customHeight="false" outlineLevel="0" collapsed="false">
      <c r="A727" s="13"/>
      <c r="B727" s="14"/>
      <c r="C727" s="14"/>
      <c r="D727" s="14"/>
      <c r="E727" s="15"/>
      <c r="F727" s="14"/>
      <c r="G727" s="19" t="str">
        <f aca="false">IF(E727="","",IF(F727="Y",E727*Settings!$B$16,0))</f>
        <v/>
      </c>
      <c r="H727" s="19" t="str">
        <f aca="false">IF(E727="","",E727+G727)</f>
        <v/>
      </c>
      <c r="I727" s="14"/>
      <c r="J727" s="14"/>
      <c r="K727" s="14"/>
      <c r="L727" s="14"/>
    </row>
    <row r="728" customFormat="false" ht="15" hidden="false" customHeight="false" outlineLevel="0" collapsed="false">
      <c r="A728" s="13"/>
      <c r="B728" s="14"/>
      <c r="C728" s="14"/>
      <c r="D728" s="14"/>
      <c r="E728" s="15"/>
      <c r="F728" s="14"/>
      <c r="G728" s="19" t="str">
        <f aca="false">IF(E728="","",IF(F728="Y",E728*Settings!$B$16,0))</f>
        <v/>
      </c>
      <c r="H728" s="19" t="str">
        <f aca="false">IF(E728="","",E728+G728)</f>
        <v/>
      </c>
      <c r="I728" s="14"/>
      <c r="J728" s="14"/>
      <c r="K728" s="14"/>
      <c r="L728" s="14"/>
    </row>
    <row r="729" customFormat="false" ht="15" hidden="false" customHeight="false" outlineLevel="0" collapsed="false">
      <c r="A729" s="13"/>
      <c r="B729" s="14"/>
      <c r="C729" s="14"/>
      <c r="D729" s="14"/>
      <c r="E729" s="15"/>
      <c r="F729" s="14"/>
      <c r="G729" s="19" t="str">
        <f aca="false">IF(E729="","",IF(F729="Y",E729*Settings!$B$16,0))</f>
        <v/>
      </c>
      <c r="H729" s="19" t="str">
        <f aca="false">IF(E729="","",E729+G729)</f>
        <v/>
      </c>
      <c r="I729" s="14"/>
      <c r="J729" s="14"/>
      <c r="K729" s="14"/>
      <c r="L729" s="14"/>
    </row>
    <row r="730" customFormat="false" ht="15" hidden="false" customHeight="false" outlineLevel="0" collapsed="false">
      <c r="A730" s="13"/>
      <c r="B730" s="14"/>
      <c r="C730" s="14"/>
      <c r="D730" s="14"/>
      <c r="E730" s="15"/>
      <c r="F730" s="14"/>
      <c r="G730" s="19" t="str">
        <f aca="false">IF(E730="","",IF(F730="Y",E730*Settings!$B$16,0))</f>
        <v/>
      </c>
      <c r="H730" s="19" t="str">
        <f aca="false">IF(E730="","",E730+G730)</f>
        <v/>
      </c>
      <c r="I730" s="14"/>
      <c r="J730" s="14"/>
      <c r="K730" s="14"/>
      <c r="L730" s="14"/>
    </row>
    <row r="731" customFormat="false" ht="15" hidden="false" customHeight="false" outlineLevel="0" collapsed="false">
      <c r="A731" s="13"/>
      <c r="B731" s="14"/>
      <c r="C731" s="14"/>
      <c r="D731" s="14"/>
      <c r="E731" s="15"/>
      <c r="F731" s="14"/>
      <c r="G731" s="19" t="str">
        <f aca="false">IF(E731="","",IF(F731="Y",E731*Settings!$B$16,0))</f>
        <v/>
      </c>
      <c r="H731" s="19" t="str">
        <f aca="false">IF(E731="","",E731+G731)</f>
        <v/>
      </c>
      <c r="I731" s="14"/>
      <c r="J731" s="14"/>
      <c r="K731" s="14"/>
      <c r="L731" s="14"/>
    </row>
    <row r="732" customFormat="false" ht="15" hidden="false" customHeight="false" outlineLevel="0" collapsed="false">
      <c r="A732" s="13"/>
      <c r="B732" s="14"/>
      <c r="C732" s="14"/>
      <c r="D732" s="14"/>
      <c r="E732" s="15"/>
      <c r="F732" s="14"/>
      <c r="G732" s="19" t="str">
        <f aca="false">IF(E732="","",IF(F732="Y",E732*Settings!$B$16,0))</f>
        <v/>
      </c>
      <c r="H732" s="19" t="str">
        <f aca="false">IF(E732="","",E732+G732)</f>
        <v/>
      </c>
      <c r="I732" s="14"/>
      <c r="J732" s="14"/>
      <c r="K732" s="14"/>
      <c r="L732" s="14"/>
    </row>
    <row r="733" customFormat="false" ht="15" hidden="false" customHeight="false" outlineLevel="0" collapsed="false">
      <c r="A733" s="13"/>
      <c r="B733" s="14"/>
      <c r="C733" s="14"/>
      <c r="D733" s="14"/>
      <c r="E733" s="15"/>
      <c r="F733" s="14"/>
      <c r="G733" s="19" t="str">
        <f aca="false">IF(E733="","",IF(F733="Y",E733*Settings!$B$16,0))</f>
        <v/>
      </c>
      <c r="H733" s="19" t="str">
        <f aca="false">IF(E733="","",E733+G733)</f>
        <v/>
      </c>
      <c r="I733" s="14"/>
      <c r="J733" s="14"/>
      <c r="K733" s="14"/>
      <c r="L733" s="14"/>
    </row>
    <row r="734" customFormat="false" ht="15" hidden="false" customHeight="false" outlineLevel="0" collapsed="false">
      <c r="A734" s="13"/>
      <c r="B734" s="14"/>
      <c r="C734" s="14"/>
      <c r="D734" s="14"/>
      <c r="E734" s="15"/>
      <c r="F734" s="14"/>
      <c r="G734" s="19" t="str">
        <f aca="false">IF(E734="","",IF(F734="Y",E734*Settings!$B$16,0))</f>
        <v/>
      </c>
      <c r="H734" s="19" t="str">
        <f aca="false">IF(E734="","",E734+G734)</f>
        <v/>
      </c>
      <c r="I734" s="14"/>
      <c r="J734" s="14"/>
      <c r="K734" s="14"/>
      <c r="L734" s="14"/>
    </row>
    <row r="735" customFormat="false" ht="15" hidden="false" customHeight="false" outlineLevel="0" collapsed="false">
      <c r="A735" s="13"/>
      <c r="B735" s="14"/>
      <c r="C735" s="14"/>
      <c r="D735" s="14"/>
      <c r="E735" s="15"/>
      <c r="F735" s="14"/>
      <c r="G735" s="19" t="str">
        <f aca="false">IF(E735="","",IF(F735="Y",E735*Settings!$B$16,0))</f>
        <v/>
      </c>
      <c r="H735" s="19" t="str">
        <f aca="false">IF(E735="","",E735+G735)</f>
        <v/>
      </c>
      <c r="I735" s="14"/>
      <c r="J735" s="14"/>
      <c r="K735" s="14"/>
      <c r="L735" s="14"/>
    </row>
    <row r="736" customFormat="false" ht="15" hidden="false" customHeight="false" outlineLevel="0" collapsed="false">
      <c r="A736" s="13"/>
      <c r="B736" s="14"/>
      <c r="C736" s="14"/>
      <c r="D736" s="14"/>
      <c r="E736" s="15"/>
      <c r="F736" s="14"/>
      <c r="G736" s="19" t="str">
        <f aca="false">IF(E736="","",IF(F736="Y",E736*Settings!$B$16,0))</f>
        <v/>
      </c>
      <c r="H736" s="19" t="str">
        <f aca="false">IF(E736="","",E736+G736)</f>
        <v/>
      </c>
      <c r="I736" s="14"/>
      <c r="J736" s="14"/>
      <c r="K736" s="14"/>
      <c r="L736" s="14"/>
    </row>
    <row r="737" customFormat="false" ht="15" hidden="false" customHeight="false" outlineLevel="0" collapsed="false">
      <c r="A737" s="13"/>
      <c r="B737" s="14"/>
      <c r="C737" s="14"/>
      <c r="D737" s="14"/>
      <c r="E737" s="15"/>
      <c r="F737" s="14"/>
      <c r="G737" s="19" t="str">
        <f aca="false">IF(E737="","",IF(F737="Y",E737*Settings!$B$16,0))</f>
        <v/>
      </c>
      <c r="H737" s="19" t="str">
        <f aca="false">IF(E737="","",E737+G737)</f>
        <v/>
      </c>
      <c r="I737" s="14"/>
      <c r="J737" s="14"/>
      <c r="K737" s="14"/>
      <c r="L737" s="14"/>
    </row>
    <row r="738" customFormat="false" ht="15" hidden="false" customHeight="false" outlineLevel="0" collapsed="false">
      <c r="A738" s="13"/>
      <c r="B738" s="14"/>
      <c r="C738" s="14"/>
      <c r="D738" s="14"/>
      <c r="E738" s="15"/>
      <c r="F738" s="14"/>
      <c r="G738" s="19" t="str">
        <f aca="false">IF(E738="","",IF(F738="Y",E738*Settings!$B$16,0))</f>
        <v/>
      </c>
      <c r="H738" s="19" t="str">
        <f aca="false">IF(E738="","",E738+G738)</f>
        <v/>
      </c>
      <c r="I738" s="14"/>
      <c r="J738" s="14"/>
      <c r="K738" s="14"/>
      <c r="L738" s="14"/>
    </row>
    <row r="739" customFormat="false" ht="15" hidden="false" customHeight="false" outlineLevel="0" collapsed="false">
      <c r="A739" s="13"/>
      <c r="B739" s="14"/>
      <c r="C739" s="14"/>
      <c r="D739" s="14"/>
      <c r="E739" s="15"/>
      <c r="F739" s="14"/>
      <c r="G739" s="19" t="str">
        <f aca="false">IF(E739="","",IF(F739="Y",E739*Settings!$B$16,0))</f>
        <v/>
      </c>
      <c r="H739" s="19" t="str">
        <f aca="false">IF(E739="","",E739+G739)</f>
        <v/>
      </c>
      <c r="I739" s="14"/>
      <c r="J739" s="14"/>
      <c r="K739" s="14"/>
      <c r="L739" s="14"/>
    </row>
    <row r="740" customFormat="false" ht="15" hidden="false" customHeight="false" outlineLevel="0" collapsed="false">
      <c r="A740" s="13"/>
      <c r="B740" s="14"/>
      <c r="C740" s="14"/>
      <c r="D740" s="14"/>
      <c r="E740" s="15"/>
      <c r="F740" s="14"/>
      <c r="G740" s="19" t="str">
        <f aca="false">IF(E740="","",IF(F740="Y",E740*Settings!$B$16,0))</f>
        <v/>
      </c>
      <c r="H740" s="19" t="str">
        <f aca="false">IF(E740="","",E740+G740)</f>
        <v/>
      </c>
      <c r="I740" s="14"/>
      <c r="J740" s="14"/>
      <c r="K740" s="14"/>
      <c r="L740" s="14"/>
    </row>
    <row r="741" customFormat="false" ht="15" hidden="false" customHeight="false" outlineLevel="0" collapsed="false">
      <c r="A741" s="13"/>
      <c r="B741" s="14"/>
      <c r="C741" s="14"/>
      <c r="D741" s="14"/>
      <c r="E741" s="15"/>
      <c r="F741" s="14"/>
      <c r="G741" s="19" t="str">
        <f aca="false">IF(E741="","",IF(F741="Y",E741*Settings!$B$16,0))</f>
        <v/>
      </c>
      <c r="H741" s="19" t="str">
        <f aca="false">IF(E741="","",E741+G741)</f>
        <v/>
      </c>
      <c r="I741" s="14"/>
      <c r="J741" s="14"/>
      <c r="K741" s="14"/>
      <c r="L741" s="14"/>
    </row>
    <row r="742" customFormat="false" ht="15" hidden="false" customHeight="false" outlineLevel="0" collapsed="false">
      <c r="A742" s="13"/>
      <c r="B742" s="14"/>
      <c r="C742" s="14"/>
      <c r="D742" s="14"/>
      <c r="E742" s="15"/>
      <c r="F742" s="14"/>
      <c r="G742" s="19" t="str">
        <f aca="false">IF(E742="","",IF(F742="Y",E742*Settings!$B$16,0))</f>
        <v/>
      </c>
      <c r="H742" s="19" t="str">
        <f aca="false">IF(E742="","",E742+G742)</f>
        <v/>
      </c>
      <c r="I742" s="14"/>
      <c r="J742" s="14"/>
      <c r="K742" s="14"/>
      <c r="L742" s="14"/>
    </row>
    <row r="743" customFormat="false" ht="15" hidden="false" customHeight="false" outlineLevel="0" collapsed="false">
      <c r="A743" s="13"/>
      <c r="B743" s="14"/>
      <c r="C743" s="14"/>
      <c r="D743" s="14"/>
      <c r="E743" s="15"/>
      <c r="F743" s="14"/>
      <c r="G743" s="19" t="str">
        <f aca="false">IF(E743="","",IF(F743="Y",E743*Settings!$B$16,0))</f>
        <v/>
      </c>
      <c r="H743" s="19" t="str">
        <f aca="false">IF(E743="","",E743+G743)</f>
        <v/>
      </c>
      <c r="I743" s="14"/>
      <c r="J743" s="14"/>
      <c r="K743" s="14"/>
      <c r="L743" s="14"/>
    </row>
    <row r="744" customFormat="false" ht="15" hidden="false" customHeight="false" outlineLevel="0" collapsed="false">
      <c r="A744" s="13"/>
      <c r="B744" s="14"/>
      <c r="C744" s="14"/>
      <c r="D744" s="14"/>
      <c r="E744" s="15"/>
      <c r="F744" s="14"/>
      <c r="G744" s="19" t="str">
        <f aca="false">IF(E744="","",IF(F744="Y",E744*Settings!$B$16,0))</f>
        <v/>
      </c>
      <c r="H744" s="19" t="str">
        <f aca="false">IF(E744="","",E744+G744)</f>
        <v/>
      </c>
      <c r="I744" s="14"/>
      <c r="J744" s="14"/>
      <c r="K744" s="14"/>
      <c r="L744" s="14"/>
    </row>
    <row r="745" customFormat="false" ht="15" hidden="false" customHeight="false" outlineLevel="0" collapsed="false">
      <c r="A745" s="13"/>
      <c r="B745" s="14"/>
      <c r="C745" s="14"/>
      <c r="D745" s="14"/>
      <c r="E745" s="15"/>
      <c r="F745" s="14"/>
      <c r="G745" s="19" t="str">
        <f aca="false">IF(E745="","",IF(F745="Y",E745*Settings!$B$16,0))</f>
        <v/>
      </c>
      <c r="H745" s="19" t="str">
        <f aca="false">IF(E745="","",E745+G745)</f>
        <v/>
      </c>
      <c r="I745" s="14"/>
      <c r="J745" s="14"/>
      <c r="K745" s="14"/>
      <c r="L745" s="14"/>
    </row>
    <row r="746" customFormat="false" ht="15" hidden="false" customHeight="false" outlineLevel="0" collapsed="false">
      <c r="A746" s="13"/>
      <c r="B746" s="14"/>
      <c r="C746" s="14"/>
      <c r="D746" s="14"/>
      <c r="E746" s="15"/>
      <c r="F746" s="14"/>
      <c r="G746" s="19" t="str">
        <f aca="false">IF(E746="","",IF(F746="Y",E746*Settings!$B$16,0))</f>
        <v/>
      </c>
      <c r="H746" s="19" t="str">
        <f aca="false">IF(E746="","",E746+G746)</f>
        <v/>
      </c>
      <c r="I746" s="14"/>
      <c r="J746" s="14"/>
      <c r="K746" s="14"/>
      <c r="L746" s="14"/>
    </row>
    <row r="747" customFormat="false" ht="15" hidden="false" customHeight="false" outlineLevel="0" collapsed="false">
      <c r="A747" s="13"/>
      <c r="B747" s="14"/>
      <c r="C747" s="14"/>
      <c r="D747" s="14"/>
      <c r="E747" s="15"/>
      <c r="F747" s="14"/>
      <c r="G747" s="19" t="str">
        <f aca="false">IF(E747="","",IF(F747="Y",E747*Settings!$B$16,0))</f>
        <v/>
      </c>
      <c r="H747" s="19" t="str">
        <f aca="false">IF(E747="","",E747+G747)</f>
        <v/>
      </c>
      <c r="I747" s="14"/>
      <c r="J747" s="14"/>
      <c r="K747" s="14"/>
      <c r="L747" s="14"/>
    </row>
    <row r="748" customFormat="false" ht="15" hidden="false" customHeight="false" outlineLevel="0" collapsed="false">
      <c r="A748" s="13"/>
      <c r="B748" s="14"/>
      <c r="C748" s="14"/>
      <c r="D748" s="14"/>
      <c r="E748" s="15"/>
      <c r="F748" s="14"/>
      <c r="G748" s="19" t="str">
        <f aca="false">IF(E748="","",IF(F748="Y",E748*Settings!$B$16,0))</f>
        <v/>
      </c>
      <c r="H748" s="19" t="str">
        <f aca="false">IF(E748="","",E748+G748)</f>
        <v/>
      </c>
      <c r="I748" s="14"/>
      <c r="J748" s="14"/>
      <c r="K748" s="14"/>
      <c r="L748" s="14"/>
    </row>
    <row r="749" customFormat="false" ht="15" hidden="false" customHeight="false" outlineLevel="0" collapsed="false">
      <c r="A749" s="13"/>
      <c r="B749" s="14"/>
      <c r="C749" s="14"/>
      <c r="D749" s="14"/>
      <c r="E749" s="15"/>
      <c r="F749" s="14"/>
      <c r="G749" s="19" t="str">
        <f aca="false">IF(E749="","",IF(F749="Y",E749*Settings!$B$16,0))</f>
        <v/>
      </c>
      <c r="H749" s="19" t="str">
        <f aca="false">IF(E749="","",E749+G749)</f>
        <v/>
      </c>
      <c r="I749" s="14"/>
      <c r="J749" s="14"/>
      <c r="K749" s="14"/>
      <c r="L749" s="14"/>
    </row>
    <row r="750" customFormat="false" ht="15" hidden="false" customHeight="false" outlineLevel="0" collapsed="false">
      <c r="A750" s="13"/>
      <c r="B750" s="14"/>
      <c r="C750" s="14"/>
      <c r="D750" s="14"/>
      <c r="E750" s="15"/>
      <c r="F750" s="14"/>
      <c r="G750" s="19" t="str">
        <f aca="false">IF(E750="","",IF(F750="Y",E750*Settings!$B$16,0))</f>
        <v/>
      </c>
      <c r="H750" s="19" t="str">
        <f aca="false">IF(E750="","",E750+G750)</f>
        <v/>
      </c>
      <c r="I750" s="14"/>
      <c r="J750" s="14"/>
      <c r="K750" s="14"/>
      <c r="L750" s="14"/>
    </row>
    <row r="751" customFormat="false" ht="15" hidden="false" customHeight="false" outlineLevel="0" collapsed="false">
      <c r="A751" s="13"/>
      <c r="B751" s="14"/>
      <c r="C751" s="14"/>
      <c r="D751" s="14"/>
      <c r="E751" s="15"/>
      <c r="F751" s="14"/>
      <c r="G751" s="19" t="str">
        <f aca="false">IF(E751="","",IF(F751="Y",E751*Settings!$B$16,0))</f>
        <v/>
      </c>
      <c r="H751" s="19" t="str">
        <f aca="false">IF(E751="","",E751+G751)</f>
        <v/>
      </c>
      <c r="I751" s="14"/>
      <c r="J751" s="14"/>
      <c r="K751" s="14"/>
      <c r="L751" s="14"/>
    </row>
    <row r="752" customFormat="false" ht="15" hidden="false" customHeight="false" outlineLevel="0" collapsed="false">
      <c r="A752" s="13"/>
      <c r="B752" s="14"/>
      <c r="C752" s="14"/>
      <c r="D752" s="14"/>
      <c r="E752" s="15"/>
      <c r="F752" s="14"/>
      <c r="G752" s="19" t="str">
        <f aca="false">IF(E752="","",IF(F752="Y",E752*Settings!$B$16,0))</f>
        <v/>
      </c>
      <c r="H752" s="19" t="str">
        <f aca="false">IF(E752="","",E752+G752)</f>
        <v/>
      </c>
      <c r="I752" s="14"/>
      <c r="J752" s="14"/>
      <c r="K752" s="14"/>
      <c r="L752" s="14"/>
    </row>
    <row r="753" customFormat="false" ht="15" hidden="false" customHeight="false" outlineLevel="0" collapsed="false">
      <c r="A753" s="13"/>
      <c r="B753" s="14"/>
      <c r="C753" s="14"/>
      <c r="D753" s="14"/>
      <c r="E753" s="15"/>
      <c r="F753" s="14"/>
      <c r="G753" s="19" t="str">
        <f aca="false">IF(E753="","",IF(F753="Y",E753*Settings!$B$16,0))</f>
        <v/>
      </c>
      <c r="H753" s="19" t="str">
        <f aca="false">IF(E753="","",E753+G753)</f>
        <v/>
      </c>
      <c r="I753" s="14"/>
      <c r="J753" s="14"/>
      <c r="K753" s="14"/>
      <c r="L753" s="14"/>
    </row>
    <row r="754" customFormat="false" ht="15" hidden="false" customHeight="false" outlineLevel="0" collapsed="false">
      <c r="A754" s="13"/>
      <c r="B754" s="14"/>
      <c r="C754" s="14"/>
      <c r="D754" s="14"/>
      <c r="E754" s="15"/>
      <c r="F754" s="14"/>
      <c r="G754" s="19" t="str">
        <f aca="false">IF(E754="","",IF(F754="Y",E754*Settings!$B$16,0))</f>
        <v/>
      </c>
      <c r="H754" s="19" t="str">
        <f aca="false">IF(E754="","",E754+G754)</f>
        <v/>
      </c>
      <c r="I754" s="14"/>
      <c r="J754" s="14"/>
      <c r="K754" s="14"/>
      <c r="L754" s="14"/>
    </row>
    <row r="755" customFormat="false" ht="15" hidden="false" customHeight="false" outlineLevel="0" collapsed="false">
      <c r="A755" s="13"/>
      <c r="B755" s="14"/>
      <c r="C755" s="14"/>
      <c r="D755" s="14"/>
      <c r="E755" s="15"/>
      <c r="F755" s="14"/>
      <c r="G755" s="19" t="str">
        <f aca="false">IF(E755="","",IF(F755="Y",E755*Settings!$B$16,0))</f>
        <v/>
      </c>
      <c r="H755" s="19" t="str">
        <f aca="false">IF(E755="","",E755+G755)</f>
        <v/>
      </c>
      <c r="I755" s="14"/>
      <c r="J755" s="14"/>
      <c r="K755" s="14"/>
      <c r="L755" s="14"/>
    </row>
    <row r="756" customFormat="false" ht="15" hidden="false" customHeight="false" outlineLevel="0" collapsed="false">
      <c r="A756" s="13"/>
      <c r="B756" s="14"/>
      <c r="C756" s="14"/>
      <c r="D756" s="14"/>
      <c r="E756" s="15"/>
      <c r="F756" s="14"/>
      <c r="G756" s="19" t="str">
        <f aca="false">IF(E756="","",IF(F756="Y",E756*Settings!$B$16,0))</f>
        <v/>
      </c>
      <c r="H756" s="19" t="str">
        <f aca="false">IF(E756="","",E756+G756)</f>
        <v/>
      </c>
      <c r="I756" s="14"/>
      <c r="J756" s="14"/>
      <c r="K756" s="14"/>
      <c r="L756" s="14"/>
    </row>
    <row r="757" customFormat="false" ht="15" hidden="false" customHeight="false" outlineLevel="0" collapsed="false">
      <c r="A757" s="13"/>
      <c r="B757" s="14"/>
      <c r="C757" s="14"/>
      <c r="D757" s="14"/>
      <c r="E757" s="15"/>
      <c r="F757" s="14"/>
      <c r="G757" s="19" t="str">
        <f aca="false">IF(E757="","",IF(F757="Y",E757*Settings!$B$16,0))</f>
        <v/>
      </c>
      <c r="H757" s="19" t="str">
        <f aca="false">IF(E757="","",E757+G757)</f>
        <v/>
      </c>
      <c r="I757" s="14"/>
      <c r="J757" s="14"/>
      <c r="K757" s="14"/>
      <c r="L757" s="14"/>
    </row>
    <row r="758" customFormat="false" ht="15" hidden="false" customHeight="false" outlineLevel="0" collapsed="false">
      <c r="A758" s="13"/>
      <c r="B758" s="14"/>
      <c r="C758" s="14"/>
      <c r="D758" s="14"/>
      <c r="E758" s="15"/>
      <c r="F758" s="14"/>
      <c r="G758" s="19" t="str">
        <f aca="false">IF(E758="","",IF(F758="Y",E758*Settings!$B$16,0))</f>
        <v/>
      </c>
      <c r="H758" s="19" t="str">
        <f aca="false">IF(E758="","",E758+G758)</f>
        <v/>
      </c>
      <c r="I758" s="14"/>
      <c r="J758" s="14"/>
      <c r="K758" s="14"/>
      <c r="L758" s="14"/>
    </row>
    <row r="759" customFormat="false" ht="15" hidden="false" customHeight="false" outlineLevel="0" collapsed="false">
      <c r="A759" s="13"/>
      <c r="B759" s="14"/>
      <c r="C759" s="14"/>
      <c r="D759" s="14"/>
      <c r="E759" s="15"/>
      <c r="F759" s="14"/>
      <c r="G759" s="19" t="str">
        <f aca="false">IF(E759="","",IF(F759="Y",E759*Settings!$B$16,0))</f>
        <v/>
      </c>
      <c r="H759" s="19" t="str">
        <f aca="false">IF(E759="","",E759+G759)</f>
        <v/>
      </c>
      <c r="I759" s="14"/>
      <c r="J759" s="14"/>
      <c r="K759" s="14"/>
      <c r="L759" s="14"/>
    </row>
    <row r="760" customFormat="false" ht="15" hidden="false" customHeight="false" outlineLevel="0" collapsed="false">
      <c r="A760" s="13"/>
      <c r="B760" s="14"/>
      <c r="C760" s="14"/>
      <c r="D760" s="14"/>
      <c r="E760" s="15"/>
      <c r="F760" s="14"/>
      <c r="G760" s="19" t="str">
        <f aca="false">IF(E760="","",IF(F760="Y",E760*Settings!$B$16,0))</f>
        <v/>
      </c>
      <c r="H760" s="19" t="str">
        <f aca="false">IF(E760="","",E760+G760)</f>
        <v/>
      </c>
      <c r="I760" s="14"/>
      <c r="J760" s="14"/>
      <c r="K760" s="14"/>
      <c r="L760" s="14"/>
    </row>
    <row r="761" customFormat="false" ht="15" hidden="false" customHeight="false" outlineLevel="0" collapsed="false">
      <c r="A761" s="13"/>
      <c r="B761" s="14"/>
      <c r="C761" s="14"/>
      <c r="D761" s="14"/>
      <c r="E761" s="15"/>
      <c r="F761" s="14"/>
      <c r="G761" s="19" t="str">
        <f aca="false">IF(E761="","",IF(F761="Y",E761*Settings!$B$16,0))</f>
        <v/>
      </c>
      <c r="H761" s="19" t="str">
        <f aca="false">IF(E761="","",E761+G761)</f>
        <v/>
      </c>
      <c r="I761" s="14"/>
      <c r="J761" s="14"/>
      <c r="K761" s="14"/>
      <c r="L761" s="14"/>
    </row>
    <row r="762" customFormat="false" ht="15" hidden="false" customHeight="false" outlineLevel="0" collapsed="false">
      <c r="A762" s="13"/>
      <c r="B762" s="14"/>
      <c r="C762" s="14"/>
      <c r="D762" s="14"/>
      <c r="E762" s="15"/>
      <c r="F762" s="14"/>
      <c r="G762" s="19" t="str">
        <f aca="false">IF(E762="","",IF(F762="Y",E762*Settings!$B$16,0))</f>
        <v/>
      </c>
      <c r="H762" s="19" t="str">
        <f aca="false">IF(E762="","",E762+G762)</f>
        <v/>
      </c>
      <c r="I762" s="14"/>
      <c r="J762" s="14"/>
      <c r="K762" s="14"/>
      <c r="L762" s="14"/>
    </row>
    <row r="763" customFormat="false" ht="15" hidden="false" customHeight="false" outlineLevel="0" collapsed="false">
      <c r="A763" s="13"/>
      <c r="B763" s="14"/>
      <c r="C763" s="14"/>
      <c r="D763" s="14"/>
      <c r="E763" s="15"/>
      <c r="F763" s="14"/>
      <c r="G763" s="19" t="str">
        <f aca="false">IF(E763="","",IF(F763="Y",E763*Settings!$B$16,0))</f>
        <v/>
      </c>
      <c r="H763" s="19" t="str">
        <f aca="false">IF(E763="","",E763+G763)</f>
        <v/>
      </c>
      <c r="I763" s="14"/>
      <c r="J763" s="14"/>
      <c r="K763" s="14"/>
      <c r="L763" s="14"/>
    </row>
    <row r="764" customFormat="false" ht="15" hidden="false" customHeight="false" outlineLevel="0" collapsed="false">
      <c r="A764" s="13"/>
      <c r="B764" s="14"/>
      <c r="C764" s="14"/>
      <c r="D764" s="14"/>
      <c r="E764" s="15"/>
      <c r="F764" s="14"/>
      <c r="G764" s="19" t="str">
        <f aca="false">IF(E764="","",IF(F764="Y",E764*Settings!$B$16,0))</f>
        <v/>
      </c>
      <c r="H764" s="19" t="str">
        <f aca="false">IF(E764="","",E764+G764)</f>
        <v/>
      </c>
      <c r="I764" s="14"/>
      <c r="J764" s="14"/>
      <c r="K764" s="14"/>
      <c r="L764" s="14"/>
    </row>
    <row r="765" customFormat="false" ht="15" hidden="false" customHeight="false" outlineLevel="0" collapsed="false">
      <c r="A765" s="13"/>
      <c r="B765" s="14"/>
      <c r="C765" s="14"/>
      <c r="D765" s="14"/>
      <c r="E765" s="15"/>
      <c r="F765" s="14"/>
      <c r="G765" s="19" t="str">
        <f aca="false">IF(E765="","",IF(F765="Y",E765*Settings!$B$16,0))</f>
        <v/>
      </c>
      <c r="H765" s="19" t="str">
        <f aca="false">IF(E765="","",E765+G765)</f>
        <v/>
      </c>
      <c r="I765" s="14"/>
      <c r="J765" s="14"/>
      <c r="K765" s="14"/>
      <c r="L765" s="14"/>
    </row>
    <row r="766" customFormat="false" ht="15" hidden="false" customHeight="false" outlineLevel="0" collapsed="false">
      <c r="A766" s="13"/>
      <c r="B766" s="14"/>
      <c r="C766" s="14"/>
      <c r="D766" s="14"/>
      <c r="E766" s="15"/>
      <c r="F766" s="14"/>
      <c r="G766" s="19" t="str">
        <f aca="false">IF(E766="","",IF(F766="Y",E766*Settings!$B$16,0))</f>
        <v/>
      </c>
      <c r="H766" s="19" t="str">
        <f aca="false">IF(E766="","",E766+G766)</f>
        <v/>
      </c>
      <c r="I766" s="14"/>
      <c r="J766" s="14"/>
      <c r="K766" s="14"/>
      <c r="L766" s="14"/>
    </row>
    <row r="767" customFormat="false" ht="15" hidden="false" customHeight="false" outlineLevel="0" collapsed="false">
      <c r="A767" s="13"/>
      <c r="B767" s="14"/>
      <c r="C767" s="14"/>
      <c r="D767" s="14"/>
      <c r="E767" s="15"/>
      <c r="F767" s="14"/>
      <c r="G767" s="19" t="str">
        <f aca="false">IF(E767="","",IF(F767="Y",E767*Settings!$B$16,0))</f>
        <v/>
      </c>
      <c r="H767" s="19" t="str">
        <f aca="false">IF(E767="","",E767+G767)</f>
        <v/>
      </c>
      <c r="I767" s="14"/>
      <c r="J767" s="14"/>
      <c r="K767" s="14"/>
      <c r="L767" s="14"/>
    </row>
    <row r="768" customFormat="false" ht="15" hidden="false" customHeight="false" outlineLevel="0" collapsed="false">
      <c r="A768" s="13"/>
      <c r="B768" s="14"/>
      <c r="C768" s="14"/>
      <c r="D768" s="14"/>
      <c r="E768" s="15"/>
      <c r="F768" s="14"/>
      <c r="G768" s="19" t="str">
        <f aca="false">IF(E768="","",IF(F768="Y",E768*Settings!$B$16,0))</f>
        <v/>
      </c>
      <c r="H768" s="19" t="str">
        <f aca="false">IF(E768="","",E768+G768)</f>
        <v/>
      </c>
      <c r="I768" s="14"/>
      <c r="J768" s="14"/>
      <c r="K768" s="14"/>
      <c r="L768" s="14"/>
    </row>
    <row r="769" customFormat="false" ht="15" hidden="false" customHeight="false" outlineLevel="0" collapsed="false">
      <c r="A769" s="13"/>
      <c r="B769" s="14"/>
      <c r="C769" s="14"/>
      <c r="D769" s="14"/>
      <c r="E769" s="15"/>
      <c r="F769" s="14"/>
      <c r="G769" s="19" t="str">
        <f aca="false">IF(E769="","",IF(F769="Y",E769*Settings!$B$16,0))</f>
        <v/>
      </c>
      <c r="H769" s="19" t="str">
        <f aca="false">IF(E769="","",E769+G769)</f>
        <v/>
      </c>
      <c r="I769" s="14"/>
      <c r="J769" s="14"/>
      <c r="K769" s="14"/>
      <c r="L769" s="14"/>
    </row>
    <row r="770" customFormat="false" ht="15" hidden="false" customHeight="false" outlineLevel="0" collapsed="false">
      <c r="A770" s="13"/>
      <c r="B770" s="14"/>
      <c r="C770" s="14"/>
      <c r="D770" s="14"/>
      <c r="E770" s="15"/>
      <c r="F770" s="14"/>
      <c r="G770" s="19" t="str">
        <f aca="false">IF(E770="","",IF(F770="Y",E770*Settings!$B$16,0))</f>
        <v/>
      </c>
      <c r="H770" s="19" t="str">
        <f aca="false">IF(E770="","",E770+G770)</f>
        <v/>
      </c>
      <c r="I770" s="14"/>
      <c r="J770" s="14"/>
      <c r="K770" s="14"/>
      <c r="L770" s="14"/>
    </row>
    <row r="771" customFormat="false" ht="15" hidden="false" customHeight="false" outlineLevel="0" collapsed="false">
      <c r="A771" s="13"/>
      <c r="B771" s="14"/>
      <c r="C771" s="14"/>
      <c r="D771" s="14"/>
      <c r="E771" s="15"/>
      <c r="F771" s="14"/>
      <c r="G771" s="19" t="str">
        <f aca="false">IF(E771="","",IF(F771="Y",E771*Settings!$B$16,0))</f>
        <v/>
      </c>
      <c r="H771" s="19" t="str">
        <f aca="false">IF(E771="","",E771+G771)</f>
        <v/>
      </c>
      <c r="I771" s="14"/>
      <c r="J771" s="14"/>
      <c r="K771" s="14"/>
      <c r="L771" s="14"/>
    </row>
    <row r="772" customFormat="false" ht="15" hidden="false" customHeight="false" outlineLevel="0" collapsed="false">
      <c r="A772" s="13"/>
      <c r="B772" s="14"/>
      <c r="C772" s="14"/>
      <c r="D772" s="14"/>
      <c r="E772" s="15"/>
      <c r="F772" s="14"/>
      <c r="G772" s="19" t="str">
        <f aca="false">IF(E772="","",IF(F772="Y",E772*Settings!$B$16,0))</f>
        <v/>
      </c>
      <c r="H772" s="19" t="str">
        <f aca="false">IF(E772="","",E772+G772)</f>
        <v/>
      </c>
      <c r="I772" s="14"/>
      <c r="J772" s="14"/>
      <c r="K772" s="14"/>
      <c r="L772" s="14"/>
    </row>
    <row r="773" customFormat="false" ht="15" hidden="false" customHeight="false" outlineLevel="0" collapsed="false">
      <c r="A773" s="13"/>
      <c r="B773" s="14"/>
      <c r="C773" s="14"/>
      <c r="D773" s="14"/>
      <c r="E773" s="15"/>
      <c r="F773" s="14"/>
      <c r="G773" s="19" t="str">
        <f aca="false">IF(E773="","",IF(F773="Y",E773*Settings!$B$16,0))</f>
        <v/>
      </c>
      <c r="H773" s="19" t="str">
        <f aca="false">IF(E773="","",E773+G773)</f>
        <v/>
      </c>
      <c r="I773" s="14"/>
      <c r="J773" s="14"/>
      <c r="K773" s="14"/>
      <c r="L773" s="14"/>
    </row>
    <row r="774" customFormat="false" ht="15" hidden="false" customHeight="false" outlineLevel="0" collapsed="false">
      <c r="A774" s="13"/>
      <c r="B774" s="14"/>
      <c r="C774" s="14"/>
      <c r="D774" s="14"/>
      <c r="E774" s="15"/>
      <c r="F774" s="14"/>
      <c r="G774" s="19" t="str">
        <f aca="false">IF(E774="","",IF(F774="Y",E774*Settings!$B$16,0))</f>
        <v/>
      </c>
      <c r="H774" s="19" t="str">
        <f aca="false">IF(E774="","",E774+G774)</f>
        <v/>
      </c>
      <c r="I774" s="14"/>
      <c r="J774" s="14"/>
      <c r="K774" s="14"/>
      <c r="L774" s="14"/>
    </row>
    <row r="775" customFormat="false" ht="15" hidden="false" customHeight="false" outlineLevel="0" collapsed="false">
      <c r="A775" s="13"/>
      <c r="B775" s="14"/>
      <c r="C775" s="14"/>
      <c r="D775" s="14"/>
      <c r="E775" s="15"/>
      <c r="F775" s="14"/>
      <c r="G775" s="19" t="str">
        <f aca="false">IF(E775="","",IF(F775="Y",E775*Settings!$B$16,0))</f>
        <v/>
      </c>
      <c r="H775" s="19" t="str">
        <f aca="false">IF(E775="","",E775+G775)</f>
        <v/>
      </c>
      <c r="I775" s="14"/>
      <c r="J775" s="14"/>
      <c r="K775" s="14"/>
      <c r="L775" s="14"/>
    </row>
    <row r="776" customFormat="false" ht="15" hidden="false" customHeight="false" outlineLevel="0" collapsed="false">
      <c r="A776" s="13"/>
      <c r="B776" s="14"/>
      <c r="C776" s="14"/>
      <c r="D776" s="14"/>
      <c r="E776" s="15"/>
      <c r="F776" s="14"/>
      <c r="G776" s="19" t="str">
        <f aca="false">IF(E776="","",IF(F776="Y",E776*Settings!$B$16,0))</f>
        <v/>
      </c>
      <c r="H776" s="19" t="str">
        <f aca="false">IF(E776="","",E776+G776)</f>
        <v/>
      </c>
      <c r="I776" s="14"/>
      <c r="J776" s="14"/>
      <c r="K776" s="14"/>
      <c r="L776" s="14"/>
    </row>
    <row r="777" customFormat="false" ht="15" hidden="false" customHeight="false" outlineLevel="0" collapsed="false">
      <c r="A777" s="13"/>
      <c r="B777" s="14"/>
      <c r="C777" s="14"/>
      <c r="D777" s="14"/>
      <c r="E777" s="15"/>
      <c r="F777" s="14"/>
      <c r="G777" s="19" t="str">
        <f aca="false">IF(E777="","",IF(F777="Y",E777*Settings!$B$16,0))</f>
        <v/>
      </c>
      <c r="H777" s="19" t="str">
        <f aca="false">IF(E777="","",E777+G777)</f>
        <v/>
      </c>
      <c r="I777" s="14"/>
      <c r="J777" s="14"/>
      <c r="K777" s="14"/>
      <c r="L777" s="14"/>
    </row>
    <row r="778" customFormat="false" ht="15" hidden="false" customHeight="false" outlineLevel="0" collapsed="false">
      <c r="A778" s="13"/>
      <c r="B778" s="14"/>
      <c r="C778" s="14"/>
      <c r="D778" s="14"/>
      <c r="E778" s="15"/>
      <c r="F778" s="14"/>
      <c r="G778" s="19" t="str">
        <f aca="false">IF(E778="","",IF(F778="Y",E778*Settings!$B$16,0))</f>
        <v/>
      </c>
      <c r="H778" s="19" t="str">
        <f aca="false">IF(E778="","",E778+G778)</f>
        <v/>
      </c>
      <c r="I778" s="14"/>
      <c r="J778" s="14"/>
      <c r="K778" s="14"/>
      <c r="L778" s="14"/>
    </row>
    <row r="779" customFormat="false" ht="15" hidden="false" customHeight="false" outlineLevel="0" collapsed="false">
      <c r="A779" s="13"/>
      <c r="B779" s="14"/>
      <c r="C779" s="14"/>
      <c r="D779" s="14"/>
      <c r="E779" s="15"/>
      <c r="F779" s="14"/>
      <c r="G779" s="19" t="str">
        <f aca="false">IF(E779="","",IF(F779="Y",E779*Settings!$B$16,0))</f>
        <v/>
      </c>
      <c r="H779" s="19" t="str">
        <f aca="false">IF(E779="","",E779+G779)</f>
        <v/>
      </c>
      <c r="I779" s="14"/>
      <c r="J779" s="14"/>
      <c r="K779" s="14"/>
      <c r="L779" s="14"/>
    </row>
    <row r="780" customFormat="false" ht="15" hidden="false" customHeight="false" outlineLevel="0" collapsed="false">
      <c r="A780" s="13"/>
      <c r="B780" s="14"/>
      <c r="C780" s="14"/>
      <c r="D780" s="14"/>
      <c r="E780" s="15"/>
      <c r="F780" s="14"/>
      <c r="G780" s="19" t="str">
        <f aca="false">IF(E780="","",IF(F780="Y",E780*Settings!$B$16,0))</f>
        <v/>
      </c>
      <c r="H780" s="19" t="str">
        <f aca="false">IF(E780="","",E780+G780)</f>
        <v/>
      </c>
      <c r="I780" s="14"/>
      <c r="J780" s="14"/>
      <c r="K780" s="14"/>
      <c r="L780" s="14"/>
    </row>
    <row r="781" customFormat="false" ht="15" hidden="false" customHeight="false" outlineLevel="0" collapsed="false">
      <c r="A781" s="13"/>
      <c r="B781" s="14"/>
      <c r="C781" s="14"/>
      <c r="D781" s="14"/>
      <c r="E781" s="15"/>
      <c r="F781" s="14"/>
      <c r="G781" s="19" t="str">
        <f aca="false">IF(E781="","",IF(F781="Y",E781*Settings!$B$16,0))</f>
        <v/>
      </c>
      <c r="H781" s="19" t="str">
        <f aca="false">IF(E781="","",E781+G781)</f>
        <v/>
      </c>
      <c r="I781" s="14"/>
      <c r="J781" s="14"/>
      <c r="K781" s="14"/>
      <c r="L781" s="14"/>
    </row>
    <row r="782" customFormat="false" ht="15" hidden="false" customHeight="false" outlineLevel="0" collapsed="false">
      <c r="A782" s="13"/>
      <c r="B782" s="14"/>
      <c r="C782" s="14"/>
      <c r="D782" s="14"/>
      <c r="E782" s="15"/>
      <c r="F782" s="14"/>
      <c r="G782" s="19" t="str">
        <f aca="false">IF(E782="","",IF(F782="Y",E782*Settings!$B$16,0))</f>
        <v/>
      </c>
      <c r="H782" s="19" t="str">
        <f aca="false">IF(E782="","",E782+G782)</f>
        <v/>
      </c>
      <c r="I782" s="14"/>
      <c r="J782" s="14"/>
      <c r="K782" s="14"/>
      <c r="L782" s="14"/>
    </row>
    <row r="783" customFormat="false" ht="15" hidden="false" customHeight="false" outlineLevel="0" collapsed="false">
      <c r="A783" s="13"/>
      <c r="B783" s="14"/>
      <c r="C783" s="14"/>
      <c r="D783" s="14"/>
      <c r="E783" s="15"/>
      <c r="F783" s="14"/>
      <c r="G783" s="19" t="str">
        <f aca="false">IF(E783="","",IF(F783="Y",E783*Settings!$B$16,0))</f>
        <v/>
      </c>
      <c r="H783" s="19" t="str">
        <f aca="false">IF(E783="","",E783+G783)</f>
        <v/>
      </c>
      <c r="I783" s="14"/>
      <c r="J783" s="14"/>
      <c r="K783" s="14"/>
      <c r="L783" s="14"/>
    </row>
    <row r="784" customFormat="false" ht="15" hidden="false" customHeight="false" outlineLevel="0" collapsed="false">
      <c r="A784" s="13"/>
      <c r="B784" s="14"/>
      <c r="C784" s="14"/>
      <c r="D784" s="14"/>
      <c r="E784" s="15"/>
      <c r="F784" s="14"/>
      <c r="G784" s="19" t="str">
        <f aca="false">IF(E784="","",IF(F784="Y",E784*Settings!$B$16,0))</f>
        <v/>
      </c>
      <c r="H784" s="19" t="str">
        <f aca="false">IF(E784="","",E784+G784)</f>
        <v/>
      </c>
      <c r="I784" s="14"/>
      <c r="J784" s="14"/>
      <c r="K784" s="14"/>
      <c r="L784" s="14"/>
    </row>
    <row r="785" customFormat="false" ht="15" hidden="false" customHeight="false" outlineLevel="0" collapsed="false">
      <c r="A785" s="13"/>
      <c r="B785" s="14"/>
      <c r="C785" s="14"/>
      <c r="D785" s="14"/>
      <c r="E785" s="15"/>
      <c r="F785" s="14"/>
      <c r="G785" s="19" t="str">
        <f aca="false">IF(E785="","",IF(F785="Y",E785*Settings!$B$16,0))</f>
        <v/>
      </c>
      <c r="H785" s="19" t="str">
        <f aca="false">IF(E785="","",E785+G785)</f>
        <v/>
      </c>
      <c r="I785" s="14"/>
      <c r="J785" s="14"/>
      <c r="K785" s="14"/>
      <c r="L785" s="14"/>
    </row>
    <row r="786" customFormat="false" ht="15" hidden="false" customHeight="false" outlineLevel="0" collapsed="false">
      <c r="A786" s="13"/>
      <c r="B786" s="14"/>
      <c r="C786" s="14"/>
      <c r="D786" s="14"/>
      <c r="E786" s="15"/>
      <c r="F786" s="14"/>
      <c r="G786" s="19" t="str">
        <f aca="false">IF(E786="","",IF(F786="Y",E786*Settings!$B$16,0))</f>
        <v/>
      </c>
      <c r="H786" s="19" t="str">
        <f aca="false">IF(E786="","",E786+G786)</f>
        <v/>
      </c>
      <c r="I786" s="14"/>
      <c r="J786" s="14"/>
      <c r="K786" s="14"/>
      <c r="L786" s="14"/>
    </row>
    <row r="787" customFormat="false" ht="15" hidden="false" customHeight="false" outlineLevel="0" collapsed="false">
      <c r="A787" s="13"/>
      <c r="B787" s="14"/>
      <c r="C787" s="14"/>
      <c r="D787" s="14"/>
      <c r="E787" s="15"/>
      <c r="F787" s="14"/>
      <c r="G787" s="19" t="str">
        <f aca="false">IF(E787="","",IF(F787="Y",E787*Settings!$B$16,0))</f>
        <v/>
      </c>
      <c r="H787" s="19" t="str">
        <f aca="false">IF(E787="","",E787+G787)</f>
        <v/>
      </c>
      <c r="I787" s="14"/>
      <c r="J787" s="14"/>
      <c r="K787" s="14"/>
      <c r="L787" s="14"/>
    </row>
    <row r="788" customFormat="false" ht="15" hidden="false" customHeight="false" outlineLevel="0" collapsed="false">
      <c r="A788" s="13"/>
      <c r="B788" s="14"/>
      <c r="C788" s="14"/>
      <c r="D788" s="14"/>
      <c r="E788" s="15"/>
      <c r="F788" s="14"/>
      <c r="G788" s="19" t="str">
        <f aca="false">IF(E788="","",IF(F788="Y",E788*Settings!$B$16,0))</f>
        <v/>
      </c>
      <c r="H788" s="19" t="str">
        <f aca="false">IF(E788="","",E788+G788)</f>
        <v/>
      </c>
      <c r="I788" s="14"/>
      <c r="J788" s="14"/>
      <c r="K788" s="14"/>
      <c r="L788" s="14"/>
    </row>
    <row r="789" customFormat="false" ht="15" hidden="false" customHeight="false" outlineLevel="0" collapsed="false">
      <c r="A789" s="13"/>
      <c r="B789" s="14"/>
      <c r="C789" s="14"/>
      <c r="D789" s="14"/>
      <c r="E789" s="15"/>
      <c r="F789" s="14"/>
      <c r="G789" s="19" t="str">
        <f aca="false">IF(E789="","",IF(F789="Y",E789*Settings!$B$16,0))</f>
        <v/>
      </c>
      <c r="H789" s="19" t="str">
        <f aca="false">IF(E789="","",E789+G789)</f>
        <v/>
      </c>
      <c r="I789" s="14"/>
      <c r="J789" s="14"/>
      <c r="K789" s="14"/>
      <c r="L789" s="14"/>
    </row>
    <row r="790" customFormat="false" ht="15" hidden="false" customHeight="false" outlineLevel="0" collapsed="false">
      <c r="A790" s="13"/>
      <c r="B790" s="14"/>
      <c r="C790" s="14"/>
      <c r="D790" s="14"/>
      <c r="E790" s="15"/>
      <c r="F790" s="14"/>
      <c r="G790" s="19" t="str">
        <f aca="false">IF(E790="","",IF(F790="Y",E790*Settings!$B$16,0))</f>
        <v/>
      </c>
      <c r="H790" s="19" t="str">
        <f aca="false">IF(E790="","",E790+G790)</f>
        <v/>
      </c>
      <c r="I790" s="14"/>
      <c r="J790" s="14"/>
      <c r="K790" s="14"/>
      <c r="L790" s="14"/>
    </row>
    <row r="791" customFormat="false" ht="15" hidden="false" customHeight="false" outlineLevel="0" collapsed="false">
      <c r="A791" s="13"/>
      <c r="B791" s="14"/>
      <c r="C791" s="14"/>
      <c r="D791" s="14"/>
      <c r="E791" s="15"/>
      <c r="F791" s="14"/>
      <c r="G791" s="19" t="str">
        <f aca="false">IF(E791="","",IF(F791="Y",E791*Settings!$B$16,0))</f>
        <v/>
      </c>
      <c r="H791" s="19" t="str">
        <f aca="false">IF(E791="","",E791+G791)</f>
        <v/>
      </c>
      <c r="I791" s="14"/>
      <c r="J791" s="14"/>
      <c r="K791" s="14"/>
      <c r="L791" s="14"/>
    </row>
    <row r="792" customFormat="false" ht="15" hidden="false" customHeight="false" outlineLevel="0" collapsed="false">
      <c r="A792" s="13"/>
      <c r="B792" s="14"/>
      <c r="C792" s="14"/>
      <c r="D792" s="14"/>
      <c r="E792" s="15"/>
      <c r="F792" s="14"/>
      <c r="G792" s="19" t="str">
        <f aca="false">IF(E792="","",IF(F792="Y",E792*Settings!$B$16,0))</f>
        <v/>
      </c>
      <c r="H792" s="19" t="str">
        <f aca="false">IF(E792="","",E792+G792)</f>
        <v/>
      </c>
      <c r="I792" s="14"/>
      <c r="J792" s="14"/>
      <c r="K792" s="14"/>
      <c r="L792" s="14"/>
    </row>
    <row r="793" customFormat="false" ht="15" hidden="false" customHeight="false" outlineLevel="0" collapsed="false">
      <c r="A793" s="13"/>
      <c r="B793" s="14"/>
      <c r="C793" s="14"/>
      <c r="D793" s="14"/>
      <c r="E793" s="15"/>
      <c r="F793" s="14"/>
      <c r="G793" s="19" t="str">
        <f aca="false">IF(E793="","",IF(F793="Y",E793*Settings!$B$16,0))</f>
        <v/>
      </c>
      <c r="H793" s="19" t="str">
        <f aca="false">IF(E793="","",E793+G793)</f>
        <v/>
      </c>
      <c r="I793" s="14"/>
      <c r="J793" s="14"/>
      <c r="K793" s="14"/>
      <c r="L793" s="14"/>
    </row>
    <row r="794" customFormat="false" ht="15" hidden="false" customHeight="false" outlineLevel="0" collapsed="false">
      <c r="A794" s="13"/>
      <c r="B794" s="14"/>
      <c r="C794" s="14"/>
      <c r="D794" s="14"/>
      <c r="E794" s="15"/>
      <c r="F794" s="14"/>
      <c r="G794" s="19" t="str">
        <f aca="false">IF(E794="","",IF(F794="Y",E794*Settings!$B$16,0))</f>
        <v/>
      </c>
      <c r="H794" s="19" t="str">
        <f aca="false">IF(E794="","",E794+G794)</f>
        <v/>
      </c>
      <c r="I794" s="14"/>
      <c r="J794" s="14"/>
      <c r="K794" s="14"/>
      <c r="L794" s="14"/>
    </row>
    <row r="795" customFormat="false" ht="15" hidden="false" customHeight="false" outlineLevel="0" collapsed="false">
      <c r="A795" s="13"/>
      <c r="B795" s="14"/>
      <c r="C795" s="14"/>
      <c r="D795" s="14"/>
      <c r="E795" s="15"/>
      <c r="F795" s="14"/>
      <c r="G795" s="19" t="str">
        <f aca="false">IF(E795="","",IF(F795="Y",E795*Settings!$B$16,0))</f>
        <v/>
      </c>
      <c r="H795" s="19" t="str">
        <f aca="false">IF(E795="","",E795+G795)</f>
        <v/>
      </c>
      <c r="I795" s="14"/>
      <c r="J795" s="14"/>
      <c r="K795" s="14"/>
      <c r="L795" s="14"/>
    </row>
    <row r="796" customFormat="false" ht="15" hidden="false" customHeight="false" outlineLevel="0" collapsed="false">
      <c r="A796" s="13"/>
      <c r="B796" s="14"/>
      <c r="C796" s="14"/>
      <c r="D796" s="14"/>
      <c r="E796" s="15"/>
      <c r="F796" s="14"/>
      <c r="G796" s="19" t="str">
        <f aca="false">IF(E796="","",IF(F796="Y",E796*Settings!$B$16,0))</f>
        <v/>
      </c>
      <c r="H796" s="19" t="str">
        <f aca="false">IF(E796="","",E796+G796)</f>
        <v/>
      </c>
      <c r="I796" s="14"/>
      <c r="J796" s="14"/>
      <c r="K796" s="14"/>
      <c r="L796" s="14"/>
    </row>
    <row r="797" customFormat="false" ht="15" hidden="false" customHeight="false" outlineLevel="0" collapsed="false">
      <c r="A797" s="13"/>
      <c r="B797" s="14"/>
      <c r="C797" s="14"/>
      <c r="D797" s="14"/>
      <c r="E797" s="15"/>
      <c r="F797" s="14"/>
      <c r="G797" s="19" t="str">
        <f aca="false">IF(E797="","",IF(F797="Y",E797*Settings!$B$16,0))</f>
        <v/>
      </c>
      <c r="H797" s="19" t="str">
        <f aca="false">IF(E797="","",E797+G797)</f>
        <v/>
      </c>
      <c r="I797" s="14"/>
      <c r="J797" s="14"/>
      <c r="K797" s="14"/>
      <c r="L797" s="14"/>
    </row>
    <row r="798" customFormat="false" ht="15" hidden="false" customHeight="false" outlineLevel="0" collapsed="false">
      <c r="A798" s="13"/>
      <c r="B798" s="14"/>
      <c r="C798" s="14"/>
      <c r="D798" s="14"/>
      <c r="E798" s="15"/>
      <c r="F798" s="14"/>
      <c r="G798" s="19" t="str">
        <f aca="false">IF(E798="","",IF(F798="Y",E798*Settings!$B$16,0))</f>
        <v/>
      </c>
      <c r="H798" s="19" t="str">
        <f aca="false">IF(E798="","",E798+G798)</f>
        <v/>
      </c>
      <c r="I798" s="14"/>
      <c r="J798" s="14"/>
      <c r="K798" s="14"/>
      <c r="L798" s="14"/>
    </row>
    <row r="799" customFormat="false" ht="15" hidden="false" customHeight="false" outlineLevel="0" collapsed="false">
      <c r="A799" s="13"/>
      <c r="B799" s="14"/>
      <c r="C799" s="14"/>
      <c r="D799" s="14"/>
      <c r="E799" s="15"/>
      <c r="F799" s="14"/>
      <c r="G799" s="19" t="str">
        <f aca="false">IF(E799="","",IF(F799="Y",E799*Settings!$B$16,0))</f>
        <v/>
      </c>
      <c r="H799" s="19" t="str">
        <f aca="false">IF(E799="","",E799+G799)</f>
        <v/>
      </c>
      <c r="I799" s="14"/>
      <c r="J799" s="14"/>
      <c r="K799" s="14"/>
      <c r="L799" s="14"/>
    </row>
    <row r="800" customFormat="false" ht="15" hidden="false" customHeight="false" outlineLevel="0" collapsed="false">
      <c r="A800" s="13"/>
      <c r="B800" s="14"/>
      <c r="C800" s="14"/>
      <c r="D800" s="14"/>
      <c r="E800" s="15"/>
      <c r="F800" s="14"/>
      <c r="G800" s="19" t="str">
        <f aca="false">IF(E800="","",IF(F800="Y",E800*Settings!$B$16,0))</f>
        <v/>
      </c>
      <c r="H800" s="19" t="str">
        <f aca="false">IF(E800="","",E800+G800)</f>
        <v/>
      </c>
      <c r="I800" s="14"/>
      <c r="J800" s="14"/>
      <c r="K800" s="14"/>
      <c r="L800" s="14"/>
    </row>
    <row r="801" customFormat="false" ht="15" hidden="false" customHeight="false" outlineLevel="0" collapsed="false">
      <c r="A801" s="13"/>
      <c r="B801" s="14"/>
      <c r="C801" s="14"/>
      <c r="D801" s="14"/>
      <c r="E801" s="15"/>
      <c r="F801" s="14"/>
      <c r="G801" s="19" t="str">
        <f aca="false">IF(E801="","",IF(F801="Y",E801*Settings!$B$16,0))</f>
        <v/>
      </c>
      <c r="H801" s="19" t="str">
        <f aca="false">IF(E801="","",E801+G801)</f>
        <v/>
      </c>
      <c r="I801" s="14"/>
      <c r="J801" s="14"/>
      <c r="K801" s="14"/>
      <c r="L801" s="14"/>
    </row>
    <row r="802" customFormat="false" ht="15" hidden="false" customHeight="false" outlineLevel="0" collapsed="false">
      <c r="A802" s="13"/>
      <c r="B802" s="14"/>
      <c r="C802" s="14"/>
      <c r="D802" s="14"/>
      <c r="E802" s="15"/>
      <c r="F802" s="14"/>
      <c r="G802" s="19" t="str">
        <f aca="false">IF(E802="","",IF(F802="Y",E802*Settings!$B$16,0))</f>
        <v/>
      </c>
      <c r="H802" s="19" t="str">
        <f aca="false">IF(E802="","",E802+G802)</f>
        <v/>
      </c>
      <c r="I802" s="14"/>
      <c r="J802" s="14"/>
      <c r="K802" s="14"/>
      <c r="L802" s="14"/>
    </row>
    <row r="803" customFormat="false" ht="15" hidden="false" customHeight="false" outlineLevel="0" collapsed="false">
      <c r="A803" s="13"/>
      <c r="B803" s="14"/>
      <c r="C803" s="14"/>
      <c r="D803" s="14"/>
      <c r="E803" s="15"/>
      <c r="F803" s="14"/>
      <c r="G803" s="19" t="str">
        <f aca="false">IF(E803="","",IF(F803="Y",E803*Settings!$B$16,0))</f>
        <v/>
      </c>
      <c r="H803" s="19" t="str">
        <f aca="false">IF(E803="","",E803+G803)</f>
        <v/>
      </c>
      <c r="I803" s="14"/>
      <c r="J803" s="14"/>
      <c r="K803" s="14"/>
      <c r="L803" s="14"/>
    </row>
    <row r="804" customFormat="false" ht="15" hidden="false" customHeight="false" outlineLevel="0" collapsed="false">
      <c r="A804" s="13"/>
      <c r="B804" s="14"/>
      <c r="C804" s="14"/>
      <c r="D804" s="14"/>
      <c r="E804" s="15"/>
      <c r="F804" s="14"/>
      <c r="G804" s="19" t="str">
        <f aca="false">IF(E804="","",IF(F804="Y",E804*Settings!$B$16,0))</f>
        <v/>
      </c>
      <c r="H804" s="19" t="str">
        <f aca="false">IF(E804="","",E804+G804)</f>
        <v/>
      </c>
      <c r="I804" s="14"/>
      <c r="J804" s="14"/>
      <c r="K804" s="14"/>
      <c r="L804" s="14"/>
    </row>
    <row r="805" customFormat="false" ht="15" hidden="false" customHeight="false" outlineLevel="0" collapsed="false">
      <c r="A805" s="13"/>
      <c r="B805" s="14"/>
      <c r="C805" s="14"/>
      <c r="D805" s="14"/>
      <c r="E805" s="15"/>
      <c r="F805" s="14"/>
      <c r="G805" s="19" t="str">
        <f aca="false">IF(E805="","",IF(F805="Y",E805*Settings!$B$16,0))</f>
        <v/>
      </c>
      <c r="H805" s="19" t="str">
        <f aca="false">IF(E805="","",E805+G805)</f>
        <v/>
      </c>
      <c r="I805" s="14"/>
      <c r="J805" s="14"/>
      <c r="K805" s="14"/>
      <c r="L805" s="14"/>
    </row>
    <row r="806" customFormat="false" ht="15" hidden="false" customHeight="false" outlineLevel="0" collapsed="false">
      <c r="A806" s="13"/>
      <c r="B806" s="14"/>
      <c r="C806" s="14"/>
      <c r="D806" s="14"/>
      <c r="E806" s="15"/>
      <c r="F806" s="14"/>
      <c r="G806" s="19" t="str">
        <f aca="false">IF(E806="","",IF(F806="Y",E806*Settings!$B$16,0))</f>
        <v/>
      </c>
      <c r="H806" s="19" t="str">
        <f aca="false">IF(E806="","",E806+G806)</f>
        <v/>
      </c>
      <c r="I806" s="14"/>
      <c r="J806" s="14"/>
      <c r="K806" s="14"/>
      <c r="L806" s="14"/>
    </row>
    <row r="807" customFormat="false" ht="15" hidden="false" customHeight="false" outlineLevel="0" collapsed="false">
      <c r="A807" s="13"/>
      <c r="B807" s="14"/>
      <c r="C807" s="14"/>
      <c r="D807" s="14"/>
      <c r="E807" s="15"/>
      <c r="F807" s="14"/>
      <c r="G807" s="19" t="str">
        <f aca="false">IF(E807="","",IF(F807="Y",E807*Settings!$B$16,0))</f>
        <v/>
      </c>
      <c r="H807" s="19" t="str">
        <f aca="false">IF(E807="","",E807+G807)</f>
        <v/>
      </c>
      <c r="I807" s="14"/>
      <c r="J807" s="14"/>
      <c r="K807" s="14"/>
      <c r="L807" s="14"/>
    </row>
    <row r="808" customFormat="false" ht="15" hidden="false" customHeight="false" outlineLevel="0" collapsed="false">
      <c r="A808" s="13"/>
      <c r="B808" s="14"/>
      <c r="C808" s="14"/>
      <c r="D808" s="14"/>
      <c r="E808" s="15"/>
      <c r="F808" s="14"/>
      <c r="G808" s="19" t="str">
        <f aca="false">IF(E808="","",IF(F808="Y",E808*Settings!$B$16,0))</f>
        <v/>
      </c>
      <c r="H808" s="19" t="str">
        <f aca="false">IF(E808="","",E808+G808)</f>
        <v/>
      </c>
      <c r="I808" s="14"/>
      <c r="J808" s="14"/>
      <c r="K808" s="14"/>
      <c r="L808" s="14"/>
    </row>
    <row r="809" customFormat="false" ht="15" hidden="false" customHeight="false" outlineLevel="0" collapsed="false">
      <c r="A809" s="13"/>
      <c r="B809" s="14"/>
      <c r="C809" s="14"/>
      <c r="D809" s="14"/>
      <c r="E809" s="15"/>
      <c r="F809" s="14"/>
      <c r="G809" s="19" t="str">
        <f aca="false">IF(E809="","",IF(F809="Y",E809*Settings!$B$16,0))</f>
        <v/>
      </c>
      <c r="H809" s="19" t="str">
        <f aca="false">IF(E809="","",E809+G809)</f>
        <v/>
      </c>
      <c r="I809" s="14"/>
      <c r="J809" s="14"/>
      <c r="K809" s="14"/>
      <c r="L809" s="14"/>
    </row>
    <row r="810" customFormat="false" ht="15" hidden="false" customHeight="false" outlineLevel="0" collapsed="false">
      <c r="A810" s="13"/>
      <c r="B810" s="14"/>
      <c r="C810" s="14"/>
      <c r="D810" s="14"/>
      <c r="E810" s="15"/>
      <c r="F810" s="14"/>
      <c r="G810" s="19" t="str">
        <f aca="false">IF(E810="","",IF(F810="Y",E810*Settings!$B$16,0))</f>
        <v/>
      </c>
      <c r="H810" s="19" t="str">
        <f aca="false">IF(E810="","",E810+G810)</f>
        <v/>
      </c>
      <c r="I810" s="14"/>
      <c r="J810" s="14"/>
      <c r="K810" s="14"/>
      <c r="L810" s="14"/>
    </row>
    <row r="811" customFormat="false" ht="15" hidden="false" customHeight="false" outlineLevel="0" collapsed="false">
      <c r="A811" s="13"/>
      <c r="B811" s="14"/>
      <c r="C811" s="14"/>
      <c r="D811" s="14"/>
      <c r="E811" s="15"/>
      <c r="F811" s="14"/>
      <c r="G811" s="19" t="str">
        <f aca="false">IF(E811="","",IF(F811="Y",E811*Settings!$B$16,0))</f>
        <v/>
      </c>
      <c r="H811" s="19" t="str">
        <f aca="false">IF(E811="","",E811+G811)</f>
        <v/>
      </c>
      <c r="I811" s="14"/>
      <c r="J811" s="14"/>
      <c r="K811" s="14"/>
      <c r="L811" s="14"/>
    </row>
    <row r="812" customFormat="false" ht="15" hidden="false" customHeight="false" outlineLevel="0" collapsed="false">
      <c r="A812" s="13"/>
      <c r="B812" s="14"/>
      <c r="C812" s="14"/>
      <c r="D812" s="14"/>
      <c r="E812" s="15"/>
      <c r="F812" s="14"/>
      <c r="G812" s="19" t="str">
        <f aca="false">IF(E812="","",IF(F812="Y",E812*Settings!$B$16,0))</f>
        <v/>
      </c>
      <c r="H812" s="19" t="str">
        <f aca="false">IF(E812="","",E812+G812)</f>
        <v/>
      </c>
      <c r="I812" s="14"/>
      <c r="J812" s="14"/>
      <c r="K812" s="14"/>
      <c r="L812" s="14"/>
    </row>
    <row r="813" customFormat="false" ht="15" hidden="false" customHeight="false" outlineLevel="0" collapsed="false">
      <c r="A813" s="13"/>
      <c r="B813" s="14"/>
      <c r="C813" s="14"/>
      <c r="D813" s="14"/>
      <c r="E813" s="15"/>
      <c r="F813" s="14"/>
      <c r="G813" s="19" t="str">
        <f aca="false">IF(E813="","",IF(F813="Y",E813*Settings!$B$16,0))</f>
        <v/>
      </c>
      <c r="H813" s="19" t="str">
        <f aca="false">IF(E813="","",E813+G813)</f>
        <v/>
      </c>
      <c r="I813" s="14"/>
      <c r="J813" s="14"/>
      <c r="K813" s="14"/>
      <c r="L813" s="14"/>
    </row>
    <row r="814" customFormat="false" ht="15" hidden="false" customHeight="false" outlineLevel="0" collapsed="false">
      <c r="A814" s="13"/>
      <c r="B814" s="14"/>
      <c r="C814" s="14"/>
      <c r="D814" s="14"/>
      <c r="E814" s="15"/>
      <c r="F814" s="14"/>
      <c r="G814" s="19" t="str">
        <f aca="false">IF(E814="","",IF(F814="Y",E814*Settings!$B$16,0))</f>
        <v/>
      </c>
      <c r="H814" s="19" t="str">
        <f aca="false">IF(E814="","",E814+G814)</f>
        <v/>
      </c>
      <c r="I814" s="14"/>
      <c r="J814" s="14"/>
      <c r="K814" s="14"/>
      <c r="L814" s="14"/>
    </row>
    <row r="815" customFormat="false" ht="15" hidden="false" customHeight="false" outlineLevel="0" collapsed="false">
      <c r="A815" s="13"/>
      <c r="B815" s="14"/>
      <c r="C815" s="14"/>
      <c r="D815" s="14"/>
      <c r="E815" s="15"/>
      <c r="F815" s="14"/>
      <c r="G815" s="19" t="str">
        <f aca="false">IF(E815="","",IF(F815="Y",E815*Settings!$B$16,0))</f>
        <v/>
      </c>
      <c r="H815" s="19" t="str">
        <f aca="false">IF(E815="","",E815+G815)</f>
        <v/>
      </c>
      <c r="I815" s="14"/>
      <c r="J815" s="14"/>
      <c r="K815" s="14"/>
      <c r="L815" s="14"/>
    </row>
    <row r="816" customFormat="false" ht="15" hidden="false" customHeight="false" outlineLevel="0" collapsed="false">
      <c r="A816" s="13"/>
      <c r="B816" s="14"/>
      <c r="C816" s="14"/>
      <c r="D816" s="14"/>
      <c r="E816" s="15"/>
      <c r="F816" s="14"/>
      <c r="G816" s="19" t="str">
        <f aca="false">IF(E816="","",IF(F816="Y",E816*Settings!$B$16,0))</f>
        <v/>
      </c>
      <c r="H816" s="19" t="str">
        <f aca="false">IF(E816="","",E816+G816)</f>
        <v/>
      </c>
      <c r="I816" s="14"/>
      <c r="J816" s="14"/>
      <c r="K816" s="14"/>
      <c r="L816" s="14"/>
    </row>
    <row r="817" customFormat="false" ht="15" hidden="false" customHeight="false" outlineLevel="0" collapsed="false">
      <c r="A817" s="13"/>
      <c r="B817" s="14"/>
      <c r="C817" s="14"/>
      <c r="D817" s="14"/>
      <c r="E817" s="15"/>
      <c r="F817" s="14"/>
      <c r="G817" s="19" t="str">
        <f aca="false">IF(E817="","",IF(F817="Y",E817*Settings!$B$16,0))</f>
        <v/>
      </c>
      <c r="H817" s="19" t="str">
        <f aca="false">IF(E817="","",E817+G817)</f>
        <v/>
      </c>
      <c r="I817" s="14"/>
      <c r="J817" s="14"/>
      <c r="K817" s="14"/>
      <c r="L817" s="14"/>
    </row>
    <row r="818" customFormat="false" ht="15" hidden="false" customHeight="false" outlineLevel="0" collapsed="false">
      <c r="A818" s="13"/>
      <c r="B818" s="14"/>
      <c r="C818" s="14"/>
      <c r="D818" s="14"/>
      <c r="E818" s="15"/>
      <c r="F818" s="14"/>
      <c r="G818" s="19" t="str">
        <f aca="false">IF(E818="","",IF(F818="Y",E818*Settings!$B$16,0))</f>
        <v/>
      </c>
      <c r="H818" s="19" t="str">
        <f aca="false">IF(E818="","",E818+G818)</f>
        <v/>
      </c>
      <c r="I818" s="14"/>
      <c r="J818" s="14"/>
      <c r="K818" s="14"/>
      <c r="L818" s="14"/>
    </row>
    <row r="819" customFormat="false" ht="15" hidden="false" customHeight="false" outlineLevel="0" collapsed="false">
      <c r="A819" s="13"/>
      <c r="B819" s="14"/>
      <c r="C819" s="14"/>
      <c r="D819" s="14"/>
      <c r="E819" s="15"/>
      <c r="F819" s="14"/>
      <c r="G819" s="19" t="str">
        <f aca="false">IF(E819="","",IF(F819="Y",E819*Settings!$B$16,0))</f>
        <v/>
      </c>
      <c r="H819" s="19" t="str">
        <f aca="false">IF(E819="","",E819+G819)</f>
        <v/>
      </c>
      <c r="I819" s="14"/>
      <c r="J819" s="14"/>
      <c r="K819" s="14"/>
      <c r="L819" s="14"/>
    </row>
    <row r="820" customFormat="false" ht="15" hidden="false" customHeight="false" outlineLevel="0" collapsed="false">
      <c r="A820" s="13"/>
      <c r="B820" s="14"/>
      <c r="C820" s="14"/>
      <c r="D820" s="14"/>
      <c r="E820" s="15"/>
      <c r="F820" s="14"/>
      <c r="G820" s="19" t="str">
        <f aca="false">IF(E820="","",IF(F820="Y",E820*Settings!$B$16,0))</f>
        <v/>
      </c>
      <c r="H820" s="19" t="str">
        <f aca="false">IF(E820="","",E820+G820)</f>
        <v/>
      </c>
      <c r="I820" s="14"/>
      <c r="J820" s="14"/>
      <c r="K820" s="14"/>
      <c r="L820" s="14"/>
    </row>
    <row r="821" customFormat="false" ht="15" hidden="false" customHeight="false" outlineLevel="0" collapsed="false">
      <c r="A821" s="13"/>
      <c r="B821" s="14"/>
      <c r="C821" s="14"/>
      <c r="D821" s="14"/>
      <c r="E821" s="15"/>
      <c r="F821" s="14"/>
      <c r="G821" s="19" t="str">
        <f aca="false">IF(E821="","",IF(F821="Y",E821*Settings!$B$16,0))</f>
        <v/>
      </c>
      <c r="H821" s="19" t="str">
        <f aca="false">IF(E821="","",E821+G821)</f>
        <v/>
      </c>
      <c r="I821" s="14"/>
      <c r="J821" s="14"/>
      <c r="K821" s="14"/>
      <c r="L821" s="14"/>
    </row>
    <row r="822" customFormat="false" ht="15" hidden="false" customHeight="false" outlineLevel="0" collapsed="false">
      <c r="A822" s="13"/>
      <c r="B822" s="14"/>
      <c r="C822" s="14"/>
      <c r="D822" s="14"/>
      <c r="E822" s="15"/>
      <c r="F822" s="14"/>
      <c r="G822" s="19" t="str">
        <f aca="false">IF(E822="","",IF(F822="Y",E822*Settings!$B$16,0))</f>
        <v/>
      </c>
      <c r="H822" s="19" t="str">
        <f aca="false">IF(E822="","",E822+G822)</f>
        <v/>
      </c>
      <c r="I822" s="14"/>
      <c r="J822" s="14"/>
      <c r="K822" s="14"/>
      <c r="L822" s="14"/>
    </row>
    <row r="823" customFormat="false" ht="15" hidden="false" customHeight="false" outlineLevel="0" collapsed="false">
      <c r="A823" s="13"/>
      <c r="B823" s="14"/>
      <c r="C823" s="14"/>
      <c r="D823" s="14"/>
      <c r="E823" s="15"/>
      <c r="F823" s="14"/>
      <c r="G823" s="19" t="str">
        <f aca="false">IF(E823="","",IF(F823="Y",E823*Settings!$B$16,0))</f>
        <v/>
      </c>
      <c r="H823" s="19" t="str">
        <f aca="false">IF(E823="","",E823+G823)</f>
        <v/>
      </c>
      <c r="I823" s="14"/>
      <c r="J823" s="14"/>
      <c r="K823" s="14"/>
      <c r="L823" s="14"/>
    </row>
    <row r="824" customFormat="false" ht="15" hidden="false" customHeight="false" outlineLevel="0" collapsed="false">
      <c r="A824" s="13"/>
      <c r="B824" s="14"/>
      <c r="C824" s="14"/>
      <c r="D824" s="14"/>
      <c r="E824" s="15"/>
      <c r="F824" s="14"/>
      <c r="G824" s="19" t="str">
        <f aca="false">IF(E824="","",IF(F824="Y",E824*Settings!$B$16,0))</f>
        <v/>
      </c>
      <c r="H824" s="19" t="str">
        <f aca="false">IF(E824="","",E824+G824)</f>
        <v/>
      </c>
      <c r="I824" s="14"/>
      <c r="J824" s="14"/>
      <c r="K824" s="14"/>
      <c r="L824" s="14"/>
    </row>
    <row r="825" customFormat="false" ht="15" hidden="false" customHeight="false" outlineLevel="0" collapsed="false">
      <c r="A825" s="13"/>
      <c r="B825" s="14"/>
      <c r="C825" s="14"/>
      <c r="D825" s="14"/>
      <c r="E825" s="15"/>
      <c r="F825" s="14"/>
      <c r="G825" s="19" t="str">
        <f aca="false">IF(E825="","",IF(F825="Y",E825*Settings!$B$16,0))</f>
        <v/>
      </c>
      <c r="H825" s="19" t="str">
        <f aca="false">IF(E825="","",E825+G825)</f>
        <v/>
      </c>
      <c r="I825" s="14"/>
      <c r="J825" s="14"/>
      <c r="K825" s="14"/>
      <c r="L825" s="14"/>
    </row>
    <row r="826" customFormat="false" ht="15" hidden="false" customHeight="false" outlineLevel="0" collapsed="false">
      <c r="A826" s="13"/>
      <c r="B826" s="14"/>
      <c r="C826" s="14"/>
      <c r="D826" s="14"/>
      <c r="E826" s="15"/>
      <c r="F826" s="14"/>
      <c r="G826" s="19" t="str">
        <f aca="false">IF(E826="","",IF(F826="Y",E826*Settings!$B$16,0))</f>
        <v/>
      </c>
      <c r="H826" s="19" t="str">
        <f aca="false">IF(E826="","",E826+G826)</f>
        <v/>
      </c>
      <c r="I826" s="14"/>
      <c r="J826" s="14"/>
      <c r="K826" s="14"/>
      <c r="L826" s="14"/>
    </row>
    <row r="827" customFormat="false" ht="15" hidden="false" customHeight="false" outlineLevel="0" collapsed="false">
      <c r="A827" s="13"/>
      <c r="B827" s="14"/>
      <c r="C827" s="14"/>
      <c r="D827" s="14"/>
      <c r="E827" s="15"/>
      <c r="F827" s="14"/>
      <c r="G827" s="19" t="str">
        <f aca="false">IF(E827="","",IF(F827="Y",E827*Settings!$B$16,0))</f>
        <v/>
      </c>
      <c r="H827" s="19" t="str">
        <f aca="false">IF(E827="","",E827+G827)</f>
        <v/>
      </c>
      <c r="I827" s="14"/>
      <c r="J827" s="14"/>
      <c r="K827" s="14"/>
      <c r="L827" s="14"/>
    </row>
    <row r="828" customFormat="false" ht="15" hidden="false" customHeight="false" outlineLevel="0" collapsed="false">
      <c r="A828" s="13"/>
      <c r="B828" s="14"/>
      <c r="C828" s="14"/>
      <c r="D828" s="14"/>
      <c r="E828" s="15"/>
      <c r="F828" s="14"/>
      <c r="G828" s="19" t="str">
        <f aca="false">IF(E828="","",IF(F828="Y",E828*Settings!$B$16,0))</f>
        <v/>
      </c>
      <c r="H828" s="19" t="str">
        <f aca="false">IF(E828="","",E828+G828)</f>
        <v/>
      </c>
      <c r="I828" s="14"/>
      <c r="J828" s="14"/>
      <c r="K828" s="14"/>
      <c r="L828" s="14"/>
    </row>
    <row r="829" customFormat="false" ht="15" hidden="false" customHeight="false" outlineLevel="0" collapsed="false">
      <c r="A829" s="13"/>
      <c r="B829" s="14"/>
      <c r="C829" s="14"/>
      <c r="D829" s="14"/>
      <c r="E829" s="15"/>
      <c r="F829" s="14"/>
      <c r="G829" s="19" t="str">
        <f aca="false">IF(E829="","",IF(F829="Y",E829*Settings!$B$16,0))</f>
        <v/>
      </c>
      <c r="H829" s="19" t="str">
        <f aca="false">IF(E829="","",E829+G829)</f>
        <v/>
      </c>
      <c r="I829" s="14"/>
      <c r="J829" s="14"/>
      <c r="K829" s="14"/>
      <c r="L829" s="14"/>
    </row>
    <row r="830" customFormat="false" ht="15" hidden="false" customHeight="false" outlineLevel="0" collapsed="false">
      <c r="A830" s="13"/>
      <c r="B830" s="14"/>
      <c r="C830" s="14"/>
      <c r="D830" s="14"/>
      <c r="E830" s="15"/>
      <c r="F830" s="14"/>
      <c r="G830" s="19" t="str">
        <f aca="false">IF(E830="","",IF(F830="Y",E830*Settings!$B$16,0))</f>
        <v/>
      </c>
      <c r="H830" s="19" t="str">
        <f aca="false">IF(E830="","",E830+G830)</f>
        <v/>
      </c>
      <c r="I830" s="14"/>
      <c r="J830" s="14"/>
      <c r="K830" s="14"/>
      <c r="L830" s="14"/>
    </row>
    <row r="831" customFormat="false" ht="15" hidden="false" customHeight="false" outlineLevel="0" collapsed="false">
      <c r="A831" s="13"/>
      <c r="B831" s="14"/>
      <c r="C831" s="14"/>
      <c r="D831" s="14"/>
      <c r="E831" s="15"/>
      <c r="F831" s="14"/>
      <c r="G831" s="19" t="str">
        <f aca="false">IF(E831="","",IF(F831="Y",E831*Settings!$B$16,0))</f>
        <v/>
      </c>
      <c r="H831" s="19" t="str">
        <f aca="false">IF(E831="","",E831+G831)</f>
        <v/>
      </c>
      <c r="I831" s="14"/>
      <c r="J831" s="14"/>
      <c r="K831" s="14"/>
      <c r="L831" s="14"/>
    </row>
    <row r="832" customFormat="false" ht="15" hidden="false" customHeight="false" outlineLevel="0" collapsed="false">
      <c r="A832" s="13"/>
      <c r="B832" s="14"/>
      <c r="C832" s="14"/>
      <c r="D832" s="14"/>
      <c r="E832" s="15"/>
      <c r="F832" s="14"/>
      <c r="G832" s="19" t="str">
        <f aca="false">IF(E832="","",IF(F832="Y",E832*Settings!$B$16,0))</f>
        <v/>
      </c>
      <c r="H832" s="19" t="str">
        <f aca="false">IF(E832="","",E832+G832)</f>
        <v/>
      </c>
      <c r="I832" s="14"/>
      <c r="J832" s="14"/>
      <c r="K832" s="14"/>
      <c r="L832" s="14"/>
    </row>
    <row r="833" customFormat="false" ht="15" hidden="false" customHeight="false" outlineLevel="0" collapsed="false">
      <c r="A833" s="13"/>
      <c r="B833" s="14"/>
      <c r="C833" s="14"/>
      <c r="D833" s="14"/>
      <c r="E833" s="15"/>
      <c r="F833" s="14"/>
      <c r="G833" s="19" t="str">
        <f aca="false">IF(E833="","",IF(F833="Y",E833*Settings!$B$16,0))</f>
        <v/>
      </c>
      <c r="H833" s="19" t="str">
        <f aca="false">IF(E833="","",E833+G833)</f>
        <v/>
      </c>
      <c r="I833" s="14"/>
      <c r="J833" s="14"/>
      <c r="K833" s="14"/>
      <c r="L833" s="14"/>
    </row>
    <row r="834" customFormat="false" ht="15" hidden="false" customHeight="false" outlineLevel="0" collapsed="false">
      <c r="A834" s="13"/>
      <c r="B834" s="14"/>
      <c r="C834" s="14"/>
      <c r="D834" s="14"/>
      <c r="E834" s="15"/>
      <c r="F834" s="14"/>
      <c r="G834" s="19" t="str">
        <f aca="false">IF(E834="","",IF(F834="Y",E834*Settings!$B$16,0))</f>
        <v/>
      </c>
      <c r="H834" s="19" t="str">
        <f aca="false">IF(E834="","",E834+G834)</f>
        <v/>
      </c>
      <c r="I834" s="14"/>
      <c r="J834" s="14"/>
      <c r="K834" s="14"/>
      <c r="L834" s="14"/>
    </row>
    <row r="835" customFormat="false" ht="15" hidden="false" customHeight="false" outlineLevel="0" collapsed="false">
      <c r="A835" s="13"/>
      <c r="B835" s="14"/>
      <c r="C835" s="14"/>
      <c r="D835" s="14"/>
      <c r="E835" s="15"/>
      <c r="F835" s="14"/>
      <c r="G835" s="19" t="str">
        <f aca="false">IF(E835="","",IF(F835="Y",E835*Settings!$B$16,0))</f>
        <v/>
      </c>
      <c r="H835" s="19" t="str">
        <f aca="false">IF(E835="","",E835+G835)</f>
        <v/>
      </c>
      <c r="I835" s="14"/>
      <c r="J835" s="14"/>
      <c r="K835" s="14"/>
      <c r="L835" s="14"/>
    </row>
    <row r="836" customFormat="false" ht="15" hidden="false" customHeight="false" outlineLevel="0" collapsed="false">
      <c r="A836" s="13"/>
      <c r="B836" s="14"/>
      <c r="C836" s="14"/>
      <c r="D836" s="14"/>
      <c r="E836" s="15"/>
      <c r="F836" s="14"/>
      <c r="G836" s="19" t="str">
        <f aca="false">IF(E836="","",IF(F836="Y",E836*Settings!$B$16,0))</f>
        <v/>
      </c>
      <c r="H836" s="19" t="str">
        <f aca="false">IF(E836="","",E836+G836)</f>
        <v/>
      </c>
      <c r="I836" s="14"/>
      <c r="J836" s="14"/>
      <c r="K836" s="14"/>
      <c r="L836" s="14"/>
    </row>
    <row r="837" customFormat="false" ht="15" hidden="false" customHeight="false" outlineLevel="0" collapsed="false">
      <c r="A837" s="13"/>
      <c r="B837" s="14"/>
      <c r="C837" s="14"/>
      <c r="D837" s="14"/>
      <c r="E837" s="15"/>
      <c r="F837" s="14"/>
      <c r="G837" s="19" t="str">
        <f aca="false">IF(E837="","",IF(F837="Y",E837*Settings!$B$16,0))</f>
        <v/>
      </c>
      <c r="H837" s="19" t="str">
        <f aca="false">IF(E837="","",E837+G837)</f>
        <v/>
      </c>
      <c r="I837" s="14"/>
      <c r="J837" s="14"/>
      <c r="K837" s="14"/>
      <c r="L837" s="14"/>
    </row>
    <row r="838" customFormat="false" ht="15" hidden="false" customHeight="false" outlineLevel="0" collapsed="false">
      <c r="A838" s="13"/>
      <c r="B838" s="14"/>
      <c r="C838" s="14"/>
      <c r="D838" s="14"/>
      <c r="E838" s="15"/>
      <c r="F838" s="14"/>
      <c r="G838" s="19" t="str">
        <f aca="false">IF(E838="","",IF(F838="Y",E838*Settings!$B$16,0))</f>
        <v/>
      </c>
      <c r="H838" s="19" t="str">
        <f aca="false">IF(E838="","",E838+G838)</f>
        <v/>
      </c>
      <c r="I838" s="14"/>
      <c r="J838" s="14"/>
      <c r="K838" s="14"/>
      <c r="L838" s="14"/>
    </row>
    <row r="839" customFormat="false" ht="15" hidden="false" customHeight="false" outlineLevel="0" collapsed="false">
      <c r="A839" s="13"/>
      <c r="B839" s="14"/>
      <c r="C839" s="14"/>
      <c r="D839" s="14"/>
      <c r="E839" s="15"/>
      <c r="F839" s="14"/>
      <c r="G839" s="19" t="str">
        <f aca="false">IF(E839="","",IF(F839="Y",E839*Settings!$B$16,0))</f>
        <v/>
      </c>
      <c r="H839" s="19" t="str">
        <f aca="false">IF(E839="","",E839+G839)</f>
        <v/>
      </c>
      <c r="I839" s="14"/>
      <c r="J839" s="14"/>
      <c r="K839" s="14"/>
      <c r="L839" s="14"/>
    </row>
    <row r="840" customFormat="false" ht="15" hidden="false" customHeight="false" outlineLevel="0" collapsed="false">
      <c r="A840" s="13"/>
      <c r="B840" s="14"/>
      <c r="C840" s="14"/>
      <c r="D840" s="14"/>
      <c r="E840" s="15"/>
      <c r="F840" s="14"/>
      <c r="G840" s="19" t="str">
        <f aca="false">IF(E840="","",IF(F840="Y",E840*Settings!$B$16,0))</f>
        <v/>
      </c>
      <c r="H840" s="19" t="str">
        <f aca="false">IF(E840="","",E840+G840)</f>
        <v/>
      </c>
      <c r="I840" s="14"/>
      <c r="J840" s="14"/>
      <c r="K840" s="14"/>
      <c r="L840" s="14"/>
    </row>
    <row r="841" customFormat="false" ht="15" hidden="false" customHeight="false" outlineLevel="0" collapsed="false">
      <c r="A841" s="13"/>
      <c r="B841" s="14"/>
      <c r="C841" s="14"/>
      <c r="D841" s="14"/>
      <c r="E841" s="15"/>
      <c r="F841" s="14"/>
      <c r="G841" s="19" t="str">
        <f aca="false">IF(E841="","",IF(F841="Y",E841*Settings!$B$16,0))</f>
        <v/>
      </c>
      <c r="H841" s="19" t="str">
        <f aca="false">IF(E841="","",E841+G841)</f>
        <v/>
      </c>
      <c r="I841" s="14"/>
      <c r="J841" s="14"/>
      <c r="K841" s="14"/>
      <c r="L841" s="14"/>
    </row>
    <row r="842" customFormat="false" ht="15" hidden="false" customHeight="false" outlineLevel="0" collapsed="false">
      <c r="A842" s="13"/>
      <c r="B842" s="14"/>
      <c r="C842" s="14"/>
      <c r="D842" s="14"/>
      <c r="E842" s="15"/>
      <c r="F842" s="14"/>
      <c r="G842" s="19" t="str">
        <f aca="false">IF(E842="","",IF(F842="Y",E842*Settings!$B$16,0))</f>
        <v/>
      </c>
      <c r="H842" s="19" t="str">
        <f aca="false">IF(E842="","",E842+G842)</f>
        <v/>
      </c>
      <c r="I842" s="14"/>
      <c r="J842" s="14"/>
      <c r="K842" s="14"/>
      <c r="L842" s="14"/>
    </row>
    <row r="843" customFormat="false" ht="15" hidden="false" customHeight="false" outlineLevel="0" collapsed="false">
      <c r="A843" s="13"/>
      <c r="B843" s="14"/>
      <c r="C843" s="14"/>
      <c r="D843" s="14"/>
      <c r="E843" s="15"/>
      <c r="F843" s="14"/>
      <c r="G843" s="19" t="str">
        <f aca="false">IF(E843="","",IF(F843="Y",E843*Settings!$B$16,0))</f>
        <v/>
      </c>
      <c r="H843" s="19" t="str">
        <f aca="false">IF(E843="","",E843+G843)</f>
        <v/>
      </c>
      <c r="I843" s="14"/>
      <c r="J843" s="14"/>
      <c r="K843" s="14"/>
      <c r="L843" s="14"/>
    </row>
    <row r="844" customFormat="false" ht="15" hidden="false" customHeight="false" outlineLevel="0" collapsed="false">
      <c r="A844" s="13"/>
      <c r="B844" s="14"/>
      <c r="C844" s="14"/>
      <c r="D844" s="14"/>
      <c r="E844" s="15"/>
      <c r="F844" s="14"/>
      <c r="G844" s="19" t="str">
        <f aca="false">IF(E844="","",IF(F844="Y",E844*Settings!$B$16,0))</f>
        <v/>
      </c>
      <c r="H844" s="19" t="str">
        <f aca="false">IF(E844="","",E844+G844)</f>
        <v/>
      </c>
      <c r="I844" s="14"/>
      <c r="J844" s="14"/>
      <c r="K844" s="14"/>
      <c r="L844" s="14"/>
    </row>
    <row r="845" customFormat="false" ht="15" hidden="false" customHeight="false" outlineLevel="0" collapsed="false">
      <c r="A845" s="13"/>
      <c r="B845" s="14"/>
      <c r="C845" s="14"/>
      <c r="D845" s="14"/>
      <c r="E845" s="15"/>
      <c r="F845" s="14"/>
      <c r="G845" s="19" t="str">
        <f aca="false">IF(E845="","",IF(F845="Y",E845*Settings!$B$16,0))</f>
        <v/>
      </c>
      <c r="H845" s="19" t="str">
        <f aca="false">IF(E845="","",E845+G845)</f>
        <v/>
      </c>
      <c r="I845" s="14"/>
      <c r="J845" s="14"/>
      <c r="K845" s="14"/>
      <c r="L845" s="14"/>
    </row>
    <row r="846" customFormat="false" ht="15" hidden="false" customHeight="false" outlineLevel="0" collapsed="false">
      <c r="A846" s="13"/>
      <c r="B846" s="14"/>
      <c r="C846" s="14"/>
      <c r="D846" s="14"/>
      <c r="E846" s="15"/>
      <c r="F846" s="14"/>
      <c r="G846" s="19" t="str">
        <f aca="false">IF(E846="","",IF(F846="Y",E846*Settings!$B$16,0))</f>
        <v/>
      </c>
      <c r="H846" s="19" t="str">
        <f aca="false">IF(E846="","",E846+G846)</f>
        <v/>
      </c>
      <c r="I846" s="14"/>
      <c r="J846" s="14"/>
      <c r="K846" s="14"/>
      <c r="L846" s="14"/>
    </row>
    <row r="847" customFormat="false" ht="15" hidden="false" customHeight="false" outlineLevel="0" collapsed="false">
      <c r="A847" s="13"/>
      <c r="B847" s="14"/>
      <c r="C847" s="14"/>
      <c r="D847" s="14"/>
      <c r="E847" s="15"/>
      <c r="F847" s="14"/>
      <c r="G847" s="19" t="str">
        <f aca="false">IF(E847="","",IF(F847="Y",E847*Settings!$B$16,0))</f>
        <v/>
      </c>
      <c r="H847" s="19" t="str">
        <f aca="false">IF(E847="","",E847+G847)</f>
        <v/>
      </c>
      <c r="I847" s="14"/>
      <c r="J847" s="14"/>
      <c r="K847" s="14"/>
      <c r="L847" s="14"/>
    </row>
    <row r="848" customFormat="false" ht="15" hidden="false" customHeight="false" outlineLevel="0" collapsed="false">
      <c r="A848" s="13"/>
      <c r="B848" s="14"/>
      <c r="C848" s="14"/>
      <c r="D848" s="14"/>
      <c r="E848" s="15"/>
      <c r="F848" s="14"/>
      <c r="G848" s="19" t="str">
        <f aca="false">IF(E848="","",IF(F848="Y",E848*Settings!$B$16,0))</f>
        <v/>
      </c>
      <c r="H848" s="19" t="str">
        <f aca="false">IF(E848="","",E848+G848)</f>
        <v/>
      </c>
      <c r="I848" s="14"/>
      <c r="J848" s="14"/>
      <c r="K848" s="14"/>
      <c r="L848" s="14"/>
    </row>
    <row r="849" customFormat="false" ht="15" hidden="false" customHeight="false" outlineLevel="0" collapsed="false">
      <c r="A849" s="13"/>
      <c r="B849" s="14"/>
      <c r="C849" s="14"/>
      <c r="D849" s="14"/>
      <c r="E849" s="15"/>
      <c r="F849" s="14"/>
      <c r="G849" s="19" t="str">
        <f aca="false">IF(E849="","",IF(F849="Y",E849*Settings!$B$16,0))</f>
        <v/>
      </c>
      <c r="H849" s="19" t="str">
        <f aca="false">IF(E849="","",E849+G849)</f>
        <v/>
      </c>
      <c r="I849" s="14"/>
      <c r="J849" s="14"/>
      <c r="K849" s="14"/>
      <c r="L849" s="14"/>
    </row>
    <row r="850" customFormat="false" ht="15" hidden="false" customHeight="false" outlineLevel="0" collapsed="false">
      <c r="A850" s="13"/>
      <c r="B850" s="14"/>
      <c r="C850" s="14"/>
      <c r="D850" s="14"/>
      <c r="E850" s="15"/>
      <c r="F850" s="14"/>
      <c r="G850" s="19" t="str">
        <f aca="false">IF(E850="","",IF(F850="Y",E850*Settings!$B$16,0))</f>
        <v/>
      </c>
      <c r="H850" s="19" t="str">
        <f aca="false">IF(E850="","",E850+G850)</f>
        <v/>
      </c>
      <c r="I850" s="14"/>
      <c r="J850" s="14"/>
      <c r="K850" s="14"/>
      <c r="L850" s="14"/>
    </row>
    <row r="851" customFormat="false" ht="15" hidden="false" customHeight="false" outlineLevel="0" collapsed="false">
      <c r="A851" s="13"/>
      <c r="B851" s="14"/>
      <c r="C851" s="14"/>
      <c r="D851" s="14"/>
      <c r="E851" s="15"/>
      <c r="F851" s="14"/>
      <c r="G851" s="19" t="str">
        <f aca="false">IF(E851="","",IF(F851="Y",E851*Settings!$B$16,0))</f>
        <v/>
      </c>
      <c r="H851" s="19" t="str">
        <f aca="false">IF(E851="","",E851+G851)</f>
        <v/>
      </c>
      <c r="I851" s="14"/>
      <c r="J851" s="14"/>
      <c r="K851" s="14"/>
      <c r="L851" s="14"/>
    </row>
    <row r="852" customFormat="false" ht="15" hidden="false" customHeight="false" outlineLevel="0" collapsed="false">
      <c r="A852" s="13"/>
      <c r="B852" s="14"/>
      <c r="C852" s="14"/>
      <c r="D852" s="14"/>
      <c r="E852" s="15"/>
      <c r="F852" s="14"/>
      <c r="G852" s="19" t="str">
        <f aca="false">IF(E852="","",IF(F852="Y",E852*Settings!$B$16,0))</f>
        <v/>
      </c>
      <c r="H852" s="19" t="str">
        <f aca="false">IF(E852="","",E852+G852)</f>
        <v/>
      </c>
      <c r="I852" s="14"/>
      <c r="J852" s="14"/>
      <c r="K852" s="14"/>
      <c r="L852" s="14"/>
    </row>
    <row r="853" customFormat="false" ht="15" hidden="false" customHeight="false" outlineLevel="0" collapsed="false">
      <c r="A853" s="13"/>
      <c r="B853" s="14"/>
      <c r="C853" s="14"/>
      <c r="D853" s="14"/>
      <c r="E853" s="15"/>
      <c r="F853" s="14"/>
      <c r="G853" s="19" t="str">
        <f aca="false">IF(E853="","",IF(F853="Y",E853*Settings!$B$16,0))</f>
        <v/>
      </c>
      <c r="H853" s="19" t="str">
        <f aca="false">IF(E853="","",E853+G853)</f>
        <v/>
      </c>
      <c r="I853" s="14"/>
      <c r="J853" s="14"/>
      <c r="K853" s="14"/>
      <c r="L853" s="14"/>
    </row>
    <row r="854" customFormat="false" ht="15" hidden="false" customHeight="false" outlineLevel="0" collapsed="false">
      <c r="A854" s="13"/>
      <c r="B854" s="14"/>
      <c r="C854" s="14"/>
      <c r="D854" s="14"/>
      <c r="E854" s="15"/>
      <c r="F854" s="14"/>
      <c r="G854" s="19" t="str">
        <f aca="false">IF(E854="","",IF(F854="Y",E854*Settings!$B$16,0))</f>
        <v/>
      </c>
      <c r="H854" s="19" t="str">
        <f aca="false">IF(E854="","",E854+G854)</f>
        <v/>
      </c>
      <c r="I854" s="14"/>
      <c r="J854" s="14"/>
      <c r="K854" s="14"/>
      <c r="L854" s="14"/>
    </row>
    <row r="855" customFormat="false" ht="15" hidden="false" customHeight="false" outlineLevel="0" collapsed="false">
      <c r="A855" s="13"/>
      <c r="B855" s="14"/>
      <c r="C855" s="14"/>
      <c r="D855" s="14"/>
      <c r="E855" s="15"/>
      <c r="F855" s="14"/>
      <c r="G855" s="19" t="str">
        <f aca="false">IF(E855="","",IF(F855="Y",E855*Settings!$B$16,0))</f>
        <v/>
      </c>
      <c r="H855" s="19" t="str">
        <f aca="false">IF(E855="","",E855+G855)</f>
        <v/>
      </c>
      <c r="I855" s="14"/>
      <c r="J855" s="14"/>
      <c r="K855" s="14"/>
      <c r="L855" s="14"/>
    </row>
    <row r="856" customFormat="false" ht="15" hidden="false" customHeight="false" outlineLevel="0" collapsed="false">
      <c r="A856" s="13"/>
      <c r="B856" s="14"/>
      <c r="C856" s="14"/>
      <c r="D856" s="14"/>
      <c r="E856" s="15"/>
      <c r="F856" s="14"/>
      <c r="G856" s="19" t="str">
        <f aca="false">IF(E856="","",IF(F856="Y",E856*Settings!$B$16,0))</f>
        <v/>
      </c>
      <c r="H856" s="19" t="str">
        <f aca="false">IF(E856="","",E856+G856)</f>
        <v/>
      </c>
      <c r="I856" s="14"/>
      <c r="J856" s="14"/>
      <c r="K856" s="14"/>
      <c r="L856" s="14"/>
    </row>
    <row r="857" customFormat="false" ht="15" hidden="false" customHeight="false" outlineLevel="0" collapsed="false">
      <c r="A857" s="13"/>
      <c r="B857" s="14"/>
      <c r="C857" s="14"/>
      <c r="D857" s="14"/>
      <c r="E857" s="15"/>
      <c r="F857" s="14"/>
      <c r="G857" s="19" t="str">
        <f aca="false">IF(E857="","",IF(F857="Y",E857*Settings!$B$16,0))</f>
        <v/>
      </c>
      <c r="H857" s="19" t="str">
        <f aca="false">IF(E857="","",E857+G857)</f>
        <v/>
      </c>
      <c r="I857" s="14"/>
      <c r="J857" s="14"/>
      <c r="K857" s="14"/>
      <c r="L857" s="14"/>
    </row>
    <row r="858" customFormat="false" ht="15" hidden="false" customHeight="false" outlineLevel="0" collapsed="false">
      <c r="A858" s="13"/>
      <c r="B858" s="14"/>
      <c r="C858" s="14"/>
      <c r="D858" s="14"/>
      <c r="E858" s="15"/>
      <c r="F858" s="14"/>
      <c r="G858" s="19" t="str">
        <f aca="false">IF(E858="","",IF(F858="Y",E858*Settings!$B$16,0))</f>
        <v/>
      </c>
      <c r="H858" s="19" t="str">
        <f aca="false">IF(E858="","",E858+G858)</f>
        <v/>
      </c>
      <c r="I858" s="14"/>
      <c r="J858" s="14"/>
      <c r="K858" s="14"/>
      <c r="L858" s="14"/>
    </row>
    <row r="859" customFormat="false" ht="15" hidden="false" customHeight="false" outlineLevel="0" collapsed="false">
      <c r="A859" s="13"/>
      <c r="B859" s="14"/>
      <c r="C859" s="14"/>
      <c r="D859" s="14"/>
      <c r="E859" s="15"/>
      <c r="F859" s="14"/>
      <c r="G859" s="19" t="str">
        <f aca="false">IF(E859="","",IF(F859="Y",E859*Settings!$B$16,0))</f>
        <v/>
      </c>
      <c r="H859" s="19" t="str">
        <f aca="false">IF(E859="","",E859+G859)</f>
        <v/>
      </c>
      <c r="I859" s="14"/>
      <c r="J859" s="14"/>
      <c r="K859" s="14"/>
      <c r="L859" s="14"/>
    </row>
    <row r="860" customFormat="false" ht="15" hidden="false" customHeight="false" outlineLevel="0" collapsed="false">
      <c r="A860" s="13"/>
      <c r="B860" s="14"/>
      <c r="C860" s="14"/>
      <c r="D860" s="14"/>
      <c r="E860" s="15"/>
      <c r="F860" s="14"/>
      <c r="G860" s="19" t="str">
        <f aca="false">IF(E860="","",IF(F860="Y",E860*Settings!$B$16,0))</f>
        <v/>
      </c>
      <c r="H860" s="19" t="str">
        <f aca="false">IF(E860="","",E860+G860)</f>
        <v/>
      </c>
      <c r="I860" s="14"/>
      <c r="J860" s="14"/>
      <c r="K860" s="14"/>
      <c r="L860" s="14"/>
    </row>
    <row r="861" customFormat="false" ht="15" hidden="false" customHeight="false" outlineLevel="0" collapsed="false">
      <c r="A861" s="13"/>
      <c r="B861" s="14"/>
      <c r="C861" s="14"/>
      <c r="D861" s="14"/>
      <c r="E861" s="15"/>
      <c r="F861" s="14"/>
      <c r="G861" s="19" t="str">
        <f aca="false">IF(E861="","",IF(F861="Y",E861*Settings!$B$16,0))</f>
        <v/>
      </c>
      <c r="H861" s="19" t="str">
        <f aca="false">IF(E861="","",E861+G861)</f>
        <v/>
      </c>
      <c r="I861" s="14"/>
      <c r="J861" s="14"/>
      <c r="K861" s="14"/>
      <c r="L861" s="14"/>
    </row>
    <row r="862" customFormat="false" ht="15" hidden="false" customHeight="false" outlineLevel="0" collapsed="false">
      <c r="A862" s="13"/>
      <c r="B862" s="14"/>
      <c r="C862" s="14"/>
      <c r="D862" s="14"/>
      <c r="E862" s="15"/>
      <c r="F862" s="14"/>
      <c r="G862" s="19" t="str">
        <f aca="false">IF(E862="","",IF(F862="Y",E862*Settings!$B$16,0))</f>
        <v/>
      </c>
      <c r="H862" s="19" t="str">
        <f aca="false">IF(E862="","",E862+G862)</f>
        <v/>
      </c>
      <c r="I862" s="14"/>
      <c r="J862" s="14"/>
      <c r="K862" s="14"/>
      <c r="L862" s="14"/>
    </row>
    <row r="863" customFormat="false" ht="15" hidden="false" customHeight="false" outlineLevel="0" collapsed="false">
      <c r="A863" s="13"/>
      <c r="B863" s="14"/>
      <c r="C863" s="14"/>
      <c r="D863" s="14"/>
      <c r="E863" s="15"/>
      <c r="F863" s="14"/>
      <c r="G863" s="19" t="str">
        <f aca="false">IF(E863="","",IF(F863="Y",E863*Settings!$B$16,0))</f>
        <v/>
      </c>
      <c r="H863" s="19" t="str">
        <f aca="false">IF(E863="","",E863+G863)</f>
        <v/>
      </c>
      <c r="I863" s="14"/>
      <c r="J863" s="14"/>
      <c r="K863" s="14"/>
      <c r="L863" s="14"/>
    </row>
    <row r="864" customFormat="false" ht="15" hidden="false" customHeight="false" outlineLevel="0" collapsed="false">
      <c r="A864" s="13"/>
      <c r="B864" s="14"/>
      <c r="C864" s="14"/>
      <c r="D864" s="14"/>
      <c r="E864" s="15"/>
      <c r="F864" s="14"/>
      <c r="G864" s="19" t="str">
        <f aca="false">IF(E864="","",IF(F864="Y",E864*Settings!$B$16,0))</f>
        <v/>
      </c>
      <c r="H864" s="19" t="str">
        <f aca="false">IF(E864="","",E864+G864)</f>
        <v/>
      </c>
      <c r="I864" s="14"/>
      <c r="J864" s="14"/>
      <c r="K864" s="14"/>
      <c r="L864" s="14"/>
    </row>
    <row r="865" customFormat="false" ht="15" hidden="false" customHeight="false" outlineLevel="0" collapsed="false">
      <c r="A865" s="13"/>
      <c r="B865" s="14"/>
      <c r="C865" s="14"/>
      <c r="D865" s="14"/>
      <c r="E865" s="15"/>
      <c r="F865" s="14"/>
      <c r="G865" s="19" t="str">
        <f aca="false">IF(E865="","",IF(F865="Y",E865*Settings!$B$16,0))</f>
        <v/>
      </c>
      <c r="H865" s="19" t="str">
        <f aca="false">IF(E865="","",E865+G865)</f>
        <v/>
      </c>
      <c r="I865" s="14"/>
      <c r="J865" s="14"/>
      <c r="K865" s="14"/>
      <c r="L865" s="14"/>
    </row>
    <row r="866" customFormat="false" ht="15" hidden="false" customHeight="false" outlineLevel="0" collapsed="false">
      <c r="A866" s="13"/>
      <c r="B866" s="14"/>
      <c r="C866" s="14"/>
      <c r="D866" s="14"/>
      <c r="E866" s="15"/>
      <c r="F866" s="14"/>
      <c r="G866" s="19" t="str">
        <f aca="false">IF(E866="","",IF(F866="Y",E866*Settings!$B$16,0))</f>
        <v/>
      </c>
      <c r="H866" s="19" t="str">
        <f aca="false">IF(E866="","",E866+G866)</f>
        <v/>
      </c>
      <c r="I866" s="14"/>
      <c r="J866" s="14"/>
      <c r="K866" s="14"/>
      <c r="L866" s="14"/>
    </row>
    <row r="867" customFormat="false" ht="15" hidden="false" customHeight="false" outlineLevel="0" collapsed="false">
      <c r="A867" s="13"/>
      <c r="B867" s="14"/>
      <c r="C867" s="14"/>
      <c r="D867" s="14"/>
      <c r="E867" s="15"/>
      <c r="F867" s="14"/>
      <c r="G867" s="19" t="str">
        <f aca="false">IF(E867="","",IF(F867="Y",E867*Settings!$B$16,0))</f>
        <v/>
      </c>
      <c r="H867" s="19" t="str">
        <f aca="false">IF(E867="","",E867+G867)</f>
        <v/>
      </c>
      <c r="I867" s="14"/>
      <c r="J867" s="14"/>
      <c r="K867" s="14"/>
      <c r="L867" s="14"/>
    </row>
    <row r="868" customFormat="false" ht="15" hidden="false" customHeight="false" outlineLevel="0" collapsed="false">
      <c r="A868" s="13"/>
      <c r="B868" s="14"/>
      <c r="C868" s="14"/>
      <c r="D868" s="14"/>
      <c r="E868" s="15"/>
      <c r="F868" s="14"/>
      <c r="G868" s="19" t="str">
        <f aca="false">IF(E868="","",IF(F868="Y",E868*Settings!$B$16,0))</f>
        <v/>
      </c>
      <c r="H868" s="19" t="str">
        <f aca="false">IF(E868="","",E868+G868)</f>
        <v/>
      </c>
      <c r="I868" s="14"/>
      <c r="J868" s="14"/>
      <c r="K868" s="14"/>
      <c r="L868" s="14"/>
    </row>
    <row r="869" customFormat="false" ht="15" hidden="false" customHeight="false" outlineLevel="0" collapsed="false">
      <c r="A869" s="13"/>
      <c r="B869" s="14"/>
      <c r="C869" s="14"/>
      <c r="D869" s="14"/>
      <c r="E869" s="15"/>
      <c r="F869" s="14"/>
      <c r="G869" s="19" t="str">
        <f aca="false">IF(E869="","",IF(F869="Y",E869*Settings!$B$16,0))</f>
        <v/>
      </c>
      <c r="H869" s="19" t="str">
        <f aca="false">IF(E869="","",E869+G869)</f>
        <v/>
      </c>
      <c r="I869" s="14"/>
      <c r="J869" s="14"/>
      <c r="K869" s="14"/>
      <c r="L869" s="14"/>
    </row>
    <row r="870" customFormat="false" ht="15" hidden="false" customHeight="false" outlineLevel="0" collapsed="false">
      <c r="A870" s="13"/>
      <c r="B870" s="14"/>
      <c r="C870" s="14"/>
      <c r="D870" s="14"/>
      <c r="E870" s="15"/>
      <c r="F870" s="14"/>
      <c r="G870" s="19" t="str">
        <f aca="false">IF(E870="","",IF(F870="Y",E870*Settings!$B$16,0))</f>
        <v/>
      </c>
      <c r="H870" s="19" t="str">
        <f aca="false">IF(E870="","",E870+G870)</f>
        <v/>
      </c>
      <c r="I870" s="14"/>
      <c r="J870" s="14"/>
      <c r="K870" s="14"/>
      <c r="L870" s="14"/>
    </row>
    <row r="871" customFormat="false" ht="15" hidden="false" customHeight="false" outlineLevel="0" collapsed="false">
      <c r="A871" s="13"/>
      <c r="B871" s="14"/>
      <c r="C871" s="14"/>
      <c r="D871" s="14"/>
      <c r="E871" s="15"/>
      <c r="F871" s="14"/>
      <c r="G871" s="19" t="str">
        <f aca="false">IF(E871="","",IF(F871="Y",E871*Settings!$B$16,0))</f>
        <v/>
      </c>
      <c r="H871" s="19" t="str">
        <f aca="false">IF(E871="","",E871+G871)</f>
        <v/>
      </c>
      <c r="I871" s="14"/>
      <c r="J871" s="14"/>
      <c r="K871" s="14"/>
      <c r="L871" s="14"/>
    </row>
    <row r="872" customFormat="false" ht="15" hidden="false" customHeight="false" outlineLevel="0" collapsed="false">
      <c r="A872" s="13"/>
      <c r="B872" s="14"/>
      <c r="C872" s="14"/>
      <c r="D872" s="14"/>
      <c r="E872" s="15"/>
      <c r="F872" s="14"/>
      <c r="G872" s="19" t="str">
        <f aca="false">IF(E872="","",IF(F872="Y",E872*Settings!$B$16,0))</f>
        <v/>
      </c>
      <c r="H872" s="19" t="str">
        <f aca="false">IF(E872="","",E872+G872)</f>
        <v/>
      </c>
      <c r="I872" s="14"/>
      <c r="J872" s="14"/>
      <c r="K872" s="14"/>
      <c r="L872" s="14"/>
    </row>
    <row r="873" customFormat="false" ht="15" hidden="false" customHeight="false" outlineLevel="0" collapsed="false">
      <c r="A873" s="13"/>
      <c r="B873" s="14"/>
      <c r="C873" s="14"/>
      <c r="D873" s="14"/>
      <c r="E873" s="15"/>
      <c r="F873" s="14"/>
      <c r="G873" s="19" t="str">
        <f aca="false">IF(E873="","",IF(F873="Y",E873*Settings!$B$16,0))</f>
        <v/>
      </c>
      <c r="H873" s="19" t="str">
        <f aca="false">IF(E873="","",E873+G873)</f>
        <v/>
      </c>
      <c r="I873" s="14"/>
      <c r="J873" s="14"/>
      <c r="K873" s="14"/>
      <c r="L873" s="14"/>
    </row>
    <row r="874" customFormat="false" ht="15" hidden="false" customHeight="false" outlineLevel="0" collapsed="false">
      <c r="A874" s="13"/>
      <c r="B874" s="14"/>
      <c r="C874" s="14"/>
      <c r="D874" s="14"/>
      <c r="E874" s="15"/>
      <c r="F874" s="14"/>
      <c r="G874" s="19" t="str">
        <f aca="false">IF(E874="","",IF(F874="Y",E874*Settings!$B$16,0))</f>
        <v/>
      </c>
      <c r="H874" s="19" t="str">
        <f aca="false">IF(E874="","",E874+G874)</f>
        <v/>
      </c>
      <c r="I874" s="14"/>
      <c r="J874" s="14"/>
      <c r="K874" s="14"/>
      <c r="L874" s="14"/>
    </row>
    <row r="875" customFormat="false" ht="15" hidden="false" customHeight="false" outlineLevel="0" collapsed="false">
      <c r="A875" s="13"/>
      <c r="B875" s="14"/>
      <c r="C875" s="14"/>
      <c r="D875" s="14"/>
      <c r="E875" s="15"/>
      <c r="F875" s="14"/>
      <c r="G875" s="19" t="str">
        <f aca="false">IF(E875="","",IF(F875="Y",E875*Settings!$B$16,0))</f>
        <v/>
      </c>
      <c r="H875" s="19" t="str">
        <f aca="false">IF(E875="","",E875+G875)</f>
        <v/>
      </c>
      <c r="I875" s="14"/>
      <c r="J875" s="14"/>
      <c r="K875" s="14"/>
      <c r="L875" s="14"/>
    </row>
    <row r="876" customFormat="false" ht="15" hidden="false" customHeight="false" outlineLevel="0" collapsed="false">
      <c r="A876" s="13"/>
      <c r="B876" s="14"/>
      <c r="C876" s="14"/>
      <c r="D876" s="14"/>
      <c r="E876" s="15"/>
      <c r="F876" s="14"/>
      <c r="G876" s="19" t="str">
        <f aca="false">IF(E876="","",IF(F876="Y",E876*Settings!$B$16,0))</f>
        <v/>
      </c>
      <c r="H876" s="19" t="str">
        <f aca="false">IF(E876="","",E876+G876)</f>
        <v/>
      </c>
      <c r="I876" s="14"/>
      <c r="J876" s="14"/>
      <c r="K876" s="14"/>
      <c r="L876" s="14"/>
    </row>
    <row r="877" customFormat="false" ht="15" hidden="false" customHeight="false" outlineLevel="0" collapsed="false">
      <c r="A877" s="13"/>
      <c r="B877" s="14"/>
      <c r="C877" s="14"/>
      <c r="D877" s="14"/>
      <c r="E877" s="15"/>
      <c r="F877" s="14"/>
      <c r="G877" s="19" t="str">
        <f aca="false">IF(E877="","",IF(F877="Y",E877*Settings!$B$16,0))</f>
        <v/>
      </c>
      <c r="H877" s="19" t="str">
        <f aca="false">IF(E877="","",E877+G877)</f>
        <v/>
      </c>
      <c r="I877" s="14"/>
      <c r="J877" s="14"/>
      <c r="K877" s="14"/>
      <c r="L877" s="14"/>
    </row>
    <row r="878" customFormat="false" ht="15" hidden="false" customHeight="false" outlineLevel="0" collapsed="false">
      <c r="A878" s="13"/>
      <c r="B878" s="14"/>
      <c r="C878" s="14"/>
      <c r="D878" s="14"/>
      <c r="E878" s="15"/>
      <c r="F878" s="14"/>
      <c r="G878" s="19" t="str">
        <f aca="false">IF(E878="","",IF(F878="Y",E878*Settings!$B$16,0))</f>
        <v/>
      </c>
      <c r="H878" s="19" t="str">
        <f aca="false">IF(E878="","",E878+G878)</f>
        <v/>
      </c>
      <c r="I878" s="14"/>
      <c r="J878" s="14"/>
      <c r="K878" s="14"/>
      <c r="L878" s="14"/>
    </row>
    <row r="879" customFormat="false" ht="15" hidden="false" customHeight="false" outlineLevel="0" collapsed="false">
      <c r="A879" s="13"/>
      <c r="B879" s="14"/>
      <c r="C879" s="14"/>
      <c r="D879" s="14"/>
      <c r="E879" s="15"/>
      <c r="F879" s="14"/>
      <c r="G879" s="19" t="str">
        <f aca="false">IF(E879="","",IF(F879="Y",E879*Settings!$B$16,0))</f>
        <v/>
      </c>
      <c r="H879" s="19" t="str">
        <f aca="false">IF(E879="","",E879+G879)</f>
        <v/>
      </c>
      <c r="I879" s="14"/>
      <c r="J879" s="14"/>
      <c r="K879" s="14"/>
      <c r="L879" s="14"/>
    </row>
    <row r="880" customFormat="false" ht="15" hidden="false" customHeight="false" outlineLevel="0" collapsed="false">
      <c r="A880" s="13"/>
      <c r="B880" s="14"/>
      <c r="C880" s="14"/>
      <c r="D880" s="14"/>
      <c r="E880" s="15"/>
      <c r="F880" s="14"/>
      <c r="G880" s="19" t="str">
        <f aca="false">IF(E880="","",IF(F880="Y",E880*Settings!$B$16,0))</f>
        <v/>
      </c>
      <c r="H880" s="19" t="str">
        <f aca="false">IF(E880="","",E880+G880)</f>
        <v/>
      </c>
      <c r="I880" s="14"/>
      <c r="J880" s="14"/>
      <c r="K880" s="14"/>
      <c r="L880" s="14"/>
    </row>
    <row r="881" customFormat="false" ht="15" hidden="false" customHeight="false" outlineLevel="0" collapsed="false">
      <c r="A881" s="13"/>
      <c r="B881" s="14"/>
      <c r="C881" s="14"/>
      <c r="D881" s="14"/>
      <c r="E881" s="15"/>
      <c r="F881" s="14"/>
      <c r="G881" s="19" t="str">
        <f aca="false">IF(E881="","",IF(F881="Y",E881*Settings!$B$16,0))</f>
        <v/>
      </c>
      <c r="H881" s="19" t="str">
        <f aca="false">IF(E881="","",E881+G881)</f>
        <v/>
      </c>
      <c r="I881" s="14"/>
      <c r="J881" s="14"/>
      <c r="K881" s="14"/>
      <c r="L881" s="14"/>
    </row>
    <row r="882" customFormat="false" ht="15" hidden="false" customHeight="false" outlineLevel="0" collapsed="false">
      <c r="A882" s="13"/>
      <c r="B882" s="14"/>
      <c r="C882" s="14"/>
      <c r="D882" s="14"/>
      <c r="E882" s="15"/>
      <c r="F882" s="14"/>
      <c r="G882" s="19" t="str">
        <f aca="false">IF(E882="","",IF(F882="Y",E882*Settings!$B$16,0))</f>
        <v/>
      </c>
      <c r="H882" s="19" t="str">
        <f aca="false">IF(E882="","",E882+G882)</f>
        <v/>
      </c>
      <c r="I882" s="14"/>
      <c r="J882" s="14"/>
      <c r="K882" s="14"/>
      <c r="L882" s="14"/>
    </row>
    <row r="883" customFormat="false" ht="15" hidden="false" customHeight="false" outlineLevel="0" collapsed="false">
      <c r="A883" s="13"/>
      <c r="B883" s="14"/>
      <c r="C883" s="14"/>
      <c r="D883" s="14"/>
      <c r="E883" s="15"/>
      <c r="F883" s="14"/>
      <c r="G883" s="19" t="str">
        <f aca="false">IF(E883="","",IF(F883="Y",E883*Settings!$B$16,0))</f>
        <v/>
      </c>
      <c r="H883" s="19" t="str">
        <f aca="false">IF(E883="","",E883+G883)</f>
        <v/>
      </c>
      <c r="I883" s="14"/>
      <c r="J883" s="14"/>
      <c r="K883" s="14"/>
      <c r="L883" s="14"/>
    </row>
    <row r="884" customFormat="false" ht="15" hidden="false" customHeight="false" outlineLevel="0" collapsed="false">
      <c r="A884" s="13"/>
      <c r="B884" s="14"/>
      <c r="C884" s="14"/>
      <c r="D884" s="14"/>
      <c r="E884" s="15"/>
      <c r="F884" s="14"/>
      <c r="G884" s="19" t="str">
        <f aca="false">IF(E884="","",IF(F884="Y",E884*Settings!$B$16,0))</f>
        <v/>
      </c>
      <c r="H884" s="19" t="str">
        <f aca="false">IF(E884="","",E884+G884)</f>
        <v/>
      </c>
      <c r="I884" s="14"/>
      <c r="J884" s="14"/>
      <c r="K884" s="14"/>
      <c r="L884" s="14"/>
    </row>
    <row r="885" customFormat="false" ht="15" hidden="false" customHeight="false" outlineLevel="0" collapsed="false">
      <c r="A885" s="13"/>
      <c r="B885" s="14"/>
      <c r="C885" s="14"/>
      <c r="D885" s="14"/>
      <c r="E885" s="15"/>
      <c r="F885" s="14"/>
      <c r="G885" s="19" t="str">
        <f aca="false">IF(E885="","",IF(F885="Y",E885*Settings!$B$16,0))</f>
        <v/>
      </c>
      <c r="H885" s="19" t="str">
        <f aca="false">IF(E885="","",E885+G885)</f>
        <v/>
      </c>
      <c r="I885" s="14"/>
      <c r="J885" s="14"/>
      <c r="K885" s="14"/>
      <c r="L885" s="14"/>
    </row>
    <row r="886" customFormat="false" ht="15" hidden="false" customHeight="false" outlineLevel="0" collapsed="false">
      <c r="A886" s="13"/>
      <c r="B886" s="14"/>
      <c r="C886" s="14"/>
      <c r="D886" s="14"/>
      <c r="E886" s="15"/>
      <c r="F886" s="14"/>
      <c r="G886" s="19" t="str">
        <f aca="false">IF(E886="","",IF(F886="Y",E886*Settings!$B$16,0))</f>
        <v/>
      </c>
      <c r="H886" s="19" t="str">
        <f aca="false">IF(E886="","",E886+G886)</f>
        <v/>
      </c>
      <c r="I886" s="14"/>
      <c r="J886" s="14"/>
      <c r="K886" s="14"/>
      <c r="L886" s="14"/>
    </row>
    <row r="887" customFormat="false" ht="15" hidden="false" customHeight="false" outlineLevel="0" collapsed="false">
      <c r="A887" s="13"/>
      <c r="B887" s="14"/>
      <c r="C887" s="14"/>
      <c r="D887" s="14"/>
      <c r="E887" s="15"/>
      <c r="F887" s="14"/>
      <c r="G887" s="19" t="str">
        <f aca="false">IF(E887="","",IF(F887="Y",E887*Settings!$B$16,0))</f>
        <v/>
      </c>
      <c r="H887" s="19" t="str">
        <f aca="false">IF(E887="","",E887+G887)</f>
        <v/>
      </c>
      <c r="I887" s="14"/>
      <c r="J887" s="14"/>
      <c r="K887" s="14"/>
      <c r="L887" s="14"/>
    </row>
    <row r="888" customFormat="false" ht="15" hidden="false" customHeight="false" outlineLevel="0" collapsed="false">
      <c r="A888" s="13"/>
      <c r="B888" s="14"/>
      <c r="C888" s="14"/>
      <c r="D888" s="14"/>
      <c r="E888" s="15"/>
      <c r="F888" s="14"/>
      <c r="G888" s="19" t="str">
        <f aca="false">IF(E888="","",IF(F888="Y",E888*Settings!$B$16,0))</f>
        <v/>
      </c>
      <c r="H888" s="19" t="str">
        <f aca="false">IF(E888="","",E888+G888)</f>
        <v/>
      </c>
      <c r="I888" s="14"/>
      <c r="J888" s="14"/>
      <c r="K888" s="14"/>
      <c r="L888" s="14"/>
    </row>
    <row r="889" customFormat="false" ht="15" hidden="false" customHeight="false" outlineLevel="0" collapsed="false">
      <c r="A889" s="13"/>
      <c r="B889" s="14"/>
      <c r="C889" s="14"/>
      <c r="D889" s="14"/>
      <c r="E889" s="15"/>
      <c r="F889" s="14"/>
      <c r="G889" s="19" t="str">
        <f aca="false">IF(E889="","",IF(F889="Y",E889*Settings!$B$16,0))</f>
        <v/>
      </c>
      <c r="H889" s="19" t="str">
        <f aca="false">IF(E889="","",E889+G889)</f>
        <v/>
      </c>
      <c r="I889" s="14"/>
      <c r="J889" s="14"/>
      <c r="K889" s="14"/>
      <c r="L889" s="14"/>
    </row>
    <row r="890" customFormat="false" ht="15" hidden="false" customHeight="false" outlineLevel="0" collapsed="false">
      <c r="A890" s="13"/>
      <c r="B890" s="14"/>
      <c r="C890" s="14"/>
      <c r="D890" s="14"/>
      <c r="E890" s="15"/>
      <c r="F890" s="14"/>
      <c r="G890" s="19" t="str">
        <f aca="false">IF(E890="","",IF(F890="Y",E890*Settings!$B$16,0))</f>
        <v/>
      </c>
      <c r="H890" s="19" t="str">
        <f aca="false">IF(E890="","",E890+G890)</f>
        <v/>
      </c>
      <c r="I890" s="14"/>
      <c r="J890" s="14"/>
      <c r="K890" s="14"/>
      <c r="L890" s="14"/>
    </row>
    <row r="891" customFormat="false" ht="15" hidden="false" customHeight="false" outlineLevel="0" collapsed="false">
      <c r="A891" s="13"/>
      <c r="B891" s="14"/>
      <c r="C891" s="14"/>
      <c r="D891" s="14"/>
      <c r="E891" s="15"/>
      <c r="F891" s="14"/>
      <c r="G891" s="19" t="str">
        <f aca="false">IF(E891="","",IF(F891="Y",E891*Settings!$B$16,0))</f>
        <v/>
      </c>
      <c r="H891" s="19" t="str">
        <f aca="false">IF(E891="","",E891+G891)</f>
        <v/>
      </c>
      <c r="I891" s="14"/>
      <c r="J891" s="14"/>
      <c r="K891" s="14"/>
      <c r="L891" s="14"/>
    </row>
    <row r="892" customFormat="false" ht="15" hidden="false" customHeight="false" outlineLevel="0" collapsed="false">
      <c r="A892" s="13"/>
      <c r="B892" s="14"/>
      <c r="C892" s="14"/>
      <c r="D892" s="14"/>
      <c r="E892" s="15"/>
      <c r="F892" s="14"/>
      <c r="G892" s="19" t="str">
        <f aca="false">IF(E892="","",IF(F892="Y",E892*Settings!$B$16,0))</f>
        <v/>
      </c>
      <c r="H892" s="19" t="str">
        <f aca="false">IF(E892="","",E892+G892)</f>
        <v/>
      </c>
      <c r="I892" s="14"/>
      <c r="J892" s="14"/>
      <c r="K892" s="14"/>
      <c r="L892" s="14"/>
    </row>
    <row r="893" customFormat="false" ht="15" hidden="false" customHeight="false" outlineLevel="0" collapsed="false">
      <c r="A893" s="13"/>
      <c r="B893" s="14"/>
      <c r="C893" s="14"/>
      <c r="D893" s="14"/>
      <c r="E893" s="15"/>
      <c r="F893" s="14"/>
      <c r="G893" s="19" t="str">
        <f aca="false">IF(E893="","",IF(F893="Y",E893*Settings!$B$16,0))</f>
        <v/>
      </c>
      <c r="H893" s="19" t="str">
        <f aca="false">IF(E893="","",E893+G893)</f>
        <v/>
      </c>
      <c r="I893" s="14"/>
      <c r="J893" s="14"/>
      <c r="K893" s="14"/>
      <c r="L893" s="14"/>
    </row>
    <row r="894" customFormat="false" ht="15" hidden="false" customHeight="false" outlineLevel="0" collapsed="false">
      <c r="A894" s="13"/>
      <c r="B894" s="14"/>
      <c r="C894" s="14"/>
      <c r="D894" s="14"/>
      <c r="E894" s="15"/>
      <c r="F894" s="14"/>
      <c r="G894" s="19" t="str">
        <f aca="false">IF(E894="","",IF(F894="Y",E894*Settings!$B$16,0))</f>
        <v/>
      </c>
      <c r="H894" s="19" t="str">
        <f aca="false">IF(E894="","",E894+G894)</f>
        <v/>
      </c>
      <c r="I894" s="14"/>
      <c r="J894" s="14"/>
      <c r="K894" s="14"/>
      <c r="L894" s="14"/>
    </row>
    <row r="895" customFormat="false" ht="15" hidden="false" customHeight="false" outlineLevel="0" collapsed="false">
      <c r="A895" s="13"/>
      <c r="B895" s="14"/>
      <c r="C895" s="14"/>
      <c r="D895" s="14"/>
      <c r="E895" s="15"/>
      <c r="F895" s="14"/>
      <c r="G895" s="19" t="str">
        <f aca="false">IF(E895="","",IF(F895="Y",E895*Settings!$B$16,0))</f>
        <v/>
      </c>
      <c r="H895" s="19" t="str">
        <f aca="false">IF(E895="","",E895+G895)</f>
        <v/>
      </c>
      <c r="I895" s="14"/>
      <c r="J895" s="14"/>
      <c r="K895" s="14"/>
      <c r="L895" s="14"/>
    </row>
    <row r="896" customFormat="false" ht="15" hidden="false" customHeight="false" outlineLevel="0" collapsed="false">
      <c r="A896" s="13"/>
      <c r="B896" s="14"/>
      <c r="C896" s="14"/>
      <c r="D896" s="14"/>
      <c r="E896" s="15"/>
      <c r="F896" s="14"/>
      <c r="G896" s="19" t="str">
        <f aca="false">IF(E896="","",IF(F896="Y",E896*Settings!$B$16,0))</f>
        <v/>
      </c>
      <c r="H896" s="19" t="str">
        <f aca="false">IF(E896="","",E896+G896)</f>
        <v/>
      </c>
      <c r="I896" s="14"/>
      <c r="J896" s="14"/>
      <c r="K896" s="14"/>
      <c r="L896" s="14"/>
    </row>
    <row r="897" customFormat="false" ht="15" hidden="false" customHeight="false" outlineLevel="0" collapsed="false">
      <c r="A897" s="13"/>
      <c r="B897" s="14"/>
      <c r="C897" s="14"/>
      <c r="D897" s="14"/>
      <c r="E897" s="15"/>
      <c r="F897" s="14"/>
      <c r="G897" s="19" t="str">
        <f aca="false">IF(E897="","",IF(F897="Y",E897*Settings!$B$16,0))</f>
        <v/>
      </c>
      <c r="H897" s="19" t="str">
        <f aca="false">IF(E897="","",E897+G897)</f>
        <v/>
      </c>
      <c r="I897" s="14"/>
      <c r="J897" s="14"/>
      <c r="K897" s="14"/>
      <c r="L897" s="14"/>
    </row>
    <row r="898" customFormat="false" ht="15" hidden="false" customHeight="false" outlineLevel="0" collapsed="false">
      <c r="A898" s="13"/>
      <c r="B898" s="14"/>
      <c r="C898" s="14"/>
      <c r="D898" s="14"/>
      <c r="E898" s="15"/>
      <c r="F898" s="14"/>
      <c r="G898" s="19" t="str">
        <f aca="false">IF(E898="","",IF(F898="Y",E898*Settings!$B$16,0))</f>
        <v/>
      </c>
      <c r="H898" s="19" t="str">
        <f aca="false">IF(E898="","",E898+G898)</f>
        <v/>
      </c>
      <c r="I898" s="14"/>
      <c r="J898" s="14"/>
      <c r="K898" s="14"/>
      <c r="L898" s="14"/>
    </row>
    <row r="899" customFormat="false" ht="15" hidden="false" customHeight="false" outlineLevel="0" collapsed="false">
      <c r="A899" s="13"/>
      <c r="B899" s="14"/>
      <c r="C899" s="14"/>
      <c r="D899" s="14"/>
      <c r="E899" s="15"/>
      <c r="F899" s="14"/>
      <c r="G899" s="19" t="str">
        <f aca="false">IF(E899="","",IF(F899="Y",E899*Settings!$B$16,0))</f>
        <v/>
      </c>
      <c r="H899" s="19" t="str">
        <f aca="false">IF(E899="","",E899+G899)</f>
        <v/>
      </c>
      <c r="I899" s="14"/>
      <c r="J899" s="14"/>
      <c r="K899" s="14"/>
      <c r="L899" s="14"/>
    </row>
    <row r="900" customFormat="false" ht="15" hidden="false" customHeight="false" outlineLevel="0" collapsed="false">
      <c r="A900" s="13"/>
      <c r="B900" s="14"/>
      <c r="C900" s="14"/>
      <c r="D900" s="14"/>
      <c r="E900" s="15"/>
      <c r="F900" s="14"/>
      <c r="G900" s="19" t="str">
        <f aca="false">IF(E900="","",IF(F900="Y",E900*Settings!$B$16,0))</f>
        <v/>
      </c>
      <c r="H900" s="19" t="str">
        <f aca="false">IF(E900="","",E900+G900)</f>
        <v/>
      </c>
      <c r="I900" s="14"/>
      <c r="J900" s="14"/>
      <c r="K900" s="14"/>
      <c r="L900" s="14"/>
    </row>
    <row r="901" customFormat="false" ht="15" hidden="false" customHeight="false" outlineLevel="0" collapsed="false">
      <c r="A901" s="13"/>
      <c r="B901" s="14"/>
      <c r="C901" s="14"/>
      <c r="D901" s="14"/>
      <c r="E901" s="15"/>
      <c r="F901" s="14"/>
      <c r="G901" s="19" t="str">
        <f aca="false">IF(E901="","",IF(F901="Y",E901*Settings!$B$16,0))</f>
        <v/>
      </c>
      <c r="H901" s="19" t="str">
        <f aca="false">IF(E901="","",E901+G901)</f>
        <v/>
      </c>
      <c r="I901" s="14"/>
      <c r="J901" s="14"/>
      <c r="K901" s="14"/>
      <c r="L901" s="14"/>
    </row>
    <row r="902" customFormat="false" ht="15" hidden="false" customHeight="false" outlineLevel="0" collapsed="false">
      <c r="A902" s="13"/>
      <c r="B902" s="14"/>
      <c r="C902" s="14"/>
      <c r="D902" s="14"/>
      <c r="E902" s="15"/>
      <c r="F902" s="14"/>
      <c r="G902" s="19" t="str">
        <f aca="false">IF(E902="","",IF(F902="Y",E902*Settings!$B$16,0))</f>
        <v/>
      </c>
      <c r="H902" s="19" t="str">
        <f aca="false">IF(E902="","",E902+G902)</f>
        <v/>
      </c>
      <c r="I902" s="14"/>
      <c r="J902" s="14"/>
      <c r="K902" s="14"/>
      <c r="L902" s="14"/>
    </row>
    <row r="903" customFormat="false" ht="15" hidden="false" customHeight="false" outlineLevel="0" collapsed="false">
      <c r="A903" s="13"/>
      <c r="B903" s="14"/>
      <c r="C903" s="14"/>
      <c r="D903" s="14"/>
      <c r="E903" s="15"/>
      <c r="F903" s="14"/>
      <c r="G903" s="19" t="str">
        <f aca="false">IF(E903="","",IF(F903="Y",E903*Settings!$B$16,0))</f>
        <v/>
      </c>
      <c r="H903" s="19" t="str">
        <f aca="false">IF(E903="","",E903+G903)</f>
        <v/>
      </c>
      <c r="I903" s="14"/>
      <c r="J903" s="14"/>
      <c r="K903" s="14"/>
      <c r="L903" s="14"/>
    </row>
    <row r="904" customFormat="false" ht="15" hidden="false" customHeight="false" outlineLevel="0" collapsed="false">
      <c r="A904" s="13"/>
      <c r="B904" s="14"/>
      <c r="C904" s="14"/>
      <c r="D904" s="14"/>
      <c r="E904" s="15"/>
      <c r="F904" s="14"/>
      <c r="G904" s="19" t="str">
        <f aca="false">IF(E904="","",IF(F904="Y",E904*Settings!$B$16,0))</f>
        <v/>
      </c>
      <c r="H904" s="19" t="str">
        <f aca="false">IF(E904="","",E904+G904)</f>
        <v/>
      </c>
      <c r="I904" s="14"/>
      <c r="J904" s="14"/>
      <c r="K904" s="14"/>
      <c r="L904" s="14"/>
    </row>
    <row r="905" customFormat="false" ht="15" hidden="false" customHeight="false" outlineLevel="0" collapsed="false">
      <c r="A905" s="13"/>
      <c r="B905" s="14"/>
      <c r="C905" s="14"/>
      <c r="D905" s="14"/>
      <c r="E905" s="15"/>
      <c r="F905" s="14"/>
      <c r="G905" s="19" t="str">
        <f aca="false">IF(E905="","",IF(F905="Y",E905*Settings!$B$16,0))</f>
        <v/>
      </c>
      <c r="H905" s="19" t="str">
        <f aca="false">IF(E905="","",E905+G905)</f>
        <v/>
      </c>
      <c r="I905" s="14"/>
      <c r="J905" s="14"/>
      <c r="K905" s="14"/>
      <c r="L905" s="14"/>
    </row>
    <row r="906" customFormat="false" ht="15" hidden="false" customHeight="false" outlineLevel="0" collapsed="false">
      <c r="A906" s="13"/>
      <c r="B906" s="14"/>
      <c r="C906" s="14"/>
      <c r="D906" s="14"/>
      <c r="E906" s="15"/>
      <c r="F906" s="14"/>
      <c r="G906" s="19" t="str">
        <f aca="false">IF(E906="","",IF(F906="Y",E906*Settings!$B$16,0))</f>
        <v/>
      </c>
      <c r="H906" s="19" t="str">
        <f aca="false">IF(E906="","",E906+G906)</f>
        <v/>
      </c>
      <c r="I906" s="14"/>
      <c r="J906" s="14"/>
      <c r="K906" s="14"/>
      <c r="L906" s="14"/>
    </row>
    <row r="907" customFormat="false" ht="15" hidden="false" customHeight="false" outlineLevel="0" collapsed="false">
      <c r="A907" s="13"/>
      <c r="B907" s="14"/>
      <c r="C907" s="14"/>
      <c r="D907" s="14"/>
      <c r="E907" s="15"/>
      <c r="F907" s="14"/>
      <c r="G907" s="19" t="str">
        <f aca="false">IF(E907="","",IF(F907="Y",E907*Settings!$B$16,0))</f>
        <v/>
      </c>
      <c r="H907" s="19" t="str">
        <f aca="false">IF(E907="","",E907+G907)</f>
        <v/>
      </c>
      <c r="I907" s="14"/>
      <c r="J907" s="14"/>
      <c r="K907" s="14"/>
      <c r="L907" s="14"/>
    </row>
    <row r="908" customFormat="false" ht="15" hidden="false" customHeight="false" outlineLevel="0" collapsed="false">
      <c r="A908" s="13"/>
      <c r="B908" s="14"/>
      <c r="C908" s="14"/>
      <c r="D908" s="14"/>
      <c r="E908" s="15"/>
      <c r="F908" s="14"/>
      <c r="G908" s="19" t="str">
        <f aca="false">IF(E908="","",IF(F908="Y",E908*Settings!$B$16,0))</f>
        <v/>
      </c>
      <c r="H908" s="19" t="str">
        <f aca="false">IF(E908="","",E908+G908)</f>
        <v/>
      </c>
      <c r="I908" s="14"/>
      <c r="J908" s="14"/>
      <c r="K908" s="14"/>
      <c r="L908" s="14"/>
    </row>
    <row r="909" customFormat="false" ht="15" hidden="false" customHeight="false" outlineLevel="0" collapsed="false">
      <c r="A909" s="13"/>
      <c r="B909" s="14"/>
      <c r="C909" s="14"/>
      <c r="D909" s="14"/>
      <c r="E909" s="15"/>
      <c r="F909" s="14"/>
      <c r="G909" s="19" t="str">
        <f aca="false">IF(E909="","",IF(F909="Y",E909*Settings!$B$16,0))</f>
        <v/>
      </c>
      <c r="H909" s="19" t="str">
        <f aca="false">IF(E909="","",E909+G909)</f>
        <v/>
      </c>
      <c r="I909" s="14"/>
      <c r="J909" s="14"/>
      <c r="K909" s="14"/>
      <c r="L909" s="14"/>
    </row>
    <row r="910" customFormat="false" ht="15" hidden="false" customHeight="false" outlineLevel="0" collapsed="false">
      <c r="A910" s="13"/>
      <c r="B910" s="14"/>
      <c r="C910" s="14"/>
      <c r="D910" s="14"/>
      <c r="E910" s="15"/>
      <c r="F910" s="14"/>
      <c r="G910" s="19" t="str">
        <f aca="false">IF(E910="","",IF(F910="Y",E910*Settings!$B$16,0))</f>
        <v/>
      </c>
      <c r="H910" s="19" t="str">
        <f aca="false">IF(E910="","",E910+G910)</f>
        <v/>
      </c>
      <c r="I910" s="14"/>
      <c r="J910" s="14"/>
      <c r="K910" s="14"/>
      <c r="L910" s="14"/>
    </row>
    <row r="911" customFormat="false" ht="15" hidden="false" customHeight="false" outlineLevel="0" collapsed="false">
      <c r="A911" s="13"/>
      <c r="B911" s="14"/>
      <c r="C911" s="14"/>
      <c r="D911" s="14"/>
      <c r="E911" s="15"/>
      <c r="F911" s="14"/>
      <c r="G911" s="19" t="str">
        <f aca="false">IF(E911="","",IF(F911="Y",E911*Settings!$B$16,0))</f>
        <v/>
      </c>
      <c r="H911" s="19" t="str">
        <f aca="false">IF(E911="","",E911+G911)</f>
        <v/>
      </c>
      <c r="I911" s="14"/>
      <c r="J911" s="14"/>
      <c r="K911" s="14"/>
      <c r="L911" s="14"/>
    </row>
    <row r="912" customFormat="false" ht="15" hidden="false" customHeight="false" outlineLevel="0" collapsed="false">
      <c r="A912" s="13"/>
      <c r="B912" s="14"/>
      <c r="C912" s="14"/>
      <c r="D912" s="14"/>
      <c r="E912" s="15"/>
      <c r="F912" s="14"/>
      <c r="G912" s="19" t="str">
        <f aca="false">IF(E912="","",IF(F912="Y",E912*Settings!$B$16,0))</f>
        <v/>
      </c>
      <c r="H912" s="19" t="str">
        <f aca="false">IF(E912="","",E912+G912)</f>
        <v/>
      </c>
      <c r="I912" s="14"/>
      <c r="J912" s="14"/>
      <c r="K912" s="14"/>
      <c r="L912" s="14"/>
    </row>
    <row r="913" customFormat="false" ht="15" hidden="false" customHeight="false" outlineLevel="0" collapsed="false">
      <c r="A913" s="13"/>
      <c r="B913" s="14"/>
      <c r="C913" s="14"/>
      <c r="D913" s="14"/>
      <c r="E913" s="15"/>
      <c r="F913" s="14"/>
      <c r="G913" s="19" t="str">
        <f aca="false">IF(E913="","",IF(F913="Y",E913*Settings!$B$16,0))</f>
        <v/>
      </c>
      <c r="H913" s="19" t="str">
        <f aca="false">IF(E913="","",E913+G913)</f>
        <v/>
      </c>
      <c r="I913" s="14"/>
      <c r="J913" s="14"/>
      <c r="K913" s="14"/>
      <c r="L913" s="14"/>
    </row>
    <row r="914" customFormat="false" ht="15" hidden="false" customHeight="false" outlineLevel="0" collapsed="false">
      <c r="A914" s="13"/>
      <c r="B914" s="14"/>
      <c r="C914" s="14"/>
      <c r="D914" s="14"/>
      <c r="E914" s="15"/>
      <c r="F914" s="14"/>
      <c r="G914" s="19" t="str">
        <f aca="false">IF(E914="","",IF(F914="Y",E914*Settings!$B$16,0))</f>
        <v/>
      </c>
      <c r="H914" s="19" t="str">
        <f aca="false">IF(E914="","",E914+G914)</f>
        <v/>
      </c>
      <c r="I914" s="14"/>
      <c r="J914" s="14"/>
      <c r="K914" s="14"/>
      <c r="L914" s="14"/>
    </row>
    <row r="915" customFormat="false" ht="15" hidden="false" customHeight="false" outlineLevel="0" collapsed="false">
      <c r="A915" s="13"/>
      <c r="B915" s="14"/>
      <c r="C915" s="14"/>
      <c r="D915" s="14"/>
      <c r="E915" s="15"/>
      <c r="F915" s="14"/>
      <c r="G915" s="19" t="str">
        <f aca="false">IF(E915="","",IF(F915="Y",E915*Settings!$B$16,0))</f>
        <v/>
      </c>
      <c r="H915" s="19" t="str">
        <f aca="false">IF(E915="","",E915+G915)</f>
        <v/>
      </c>
      <c r="I915" s="14"/>
      <c r="J915" s="14"/>
      <c r="K915" s="14"/>
      <c r="L915" s="14"/>
    </row>
    <row r="916" customFormat="false" ht="15" hidden="false" customHeight="false" outlineLevel="0" collapsed="false">
      <c r="A916" s="13"/>
      <c r="B916" s="14"/>
      <c r="C916" s="14"/>
      <c r="D916" s="14"/>
      <c r="E916" s="15"/>
      <c r="F916" s="14"/>
      <c r="G916" s="19" t="str">
        <f aca="false">IF(E916="","",IF(F916="Y",E916*Settings!$B$16,0))</f>
        <v/>
      </c>
      <c r="H916" s="19" t="str">
        <f aca="false">IF(E916="","",E916+G916)</f>
        <v/>
      </c>
      <c r="I916" s="14"/>
      <c r="J916" s="14"/>
      <c r="K916" s="14"/>
      <c r="L916" s="14"/>
    </row>
    <row r="917" customFormat="false" ht="15" hidden="false" customHeight="false" outlineLevel="0" collapsed="false">
      <c r="A917" s="13"/>
      <c r="B917" s="14"/>
      <c r="C917" s="14"/>
      <c r="D917" s="14"/>
      <c r="E917" s="15"/>
      <c r="F917" s="14"/>
      <c r="G917" s="19" t="str">
        <f aca="false">IF(E917="","",IF(F917="Y",E917*Settings!$B$16,0))</f>
        <v/>
      </c>
      <c r="H917" s="19" t="str">
        <f aca="false">IF(E917="","",E917+G917)</f>
        <v/>
      </c>
      <c r="I917" s="14"/>
      <c r="J917" s="14"/>
      <c r="K917" s="14"/>
      <c r="L917" s="14"/>
    </row>
    <row r="918" customFormat="false" ht="15" hidden="false" customHeight="false" outlineLevel="0" collapsed="false">
      <c r="A918" s="13"/>
      <c r="B918" s="14"/>
      <c r="C918" s="14"/>
      <c r="D918" s="14"/>
      <c r="E918" s="15"/>
      <c r="F918" s="14"/>
      <c r="G918" s="19" t="str">
        <f aca="false">IF(E918="","",IF(F918="Y",E918*Settings!$B$16,0))</f>
        <v/>
      </c>
      <c r="H918" s="19" t="str">
        <f aca="false">IF(E918="","",E918+G918)</f>
        <v/>
      </c>
      <c r="I918" s="14"/>
      <c r="J918" s="14"/>
      <c r="K918" s="14"/>
      <c r="L918" s="14"/>
    </row>
    <row r="919" customFormat="false" ht="15" hidden="false" customHeight="false" outlineLevel="0" collapsed="false">
      <c r="A919" s="13"/>
      <c r="B919" s="14"/>
      <c r="C919" s="14"/>
      <c r="D919" s="14"/>
      <c r="E919" s="15"/>
      <c r="F919" s="14"/>
      <c r="G919" s="19" t="str">
        <f aca="false">IF(E919="","",IF(F919="Y",E919*Settings!$B$16,0))</f>
        <v/>
      </c>
      <c r="H919" s="19" t="str">
        <f aca="false">IF(E919="","",E919+G919)</f>
        <v/>
      </c>
      <c r="I919" s="14"/>
      <c r="J919" s="14"/>
      <c r="K919" s="14"/>
      <c r="L919" s="14"/>
    </row>
    <row r="920" customFormat="false" ht="15" hidden="false" customHeight="false" outlineLevel="0" collapsed="false">
      <c r="A920" s="13"/>
      <c r="B920" s="14"/>
      <c r="C920" s="14"/>
      <c r="D920" s="14"/>
      <c r="E920" s="15"/>
      <c r="F920" s="14"/>
      <c r="G920" s="19" t="str">
        <f aca="false">IF(E920="","",IF(F920="Y",E920*Settings!$B$16,0))</f>
        <v/>
      </c>
      <c r="H920" s="19" t="str">
        <f aca="false">IF(E920="","",E920+G920)</f>
        <v/>
      </c>
      <c r="I920" s="14"/>
      <c r="J920" s="14"/>
      <c r="K920" s="14"/>
      <c r="L920" s="14"/>
    </row>
    <row r="921" customFormat="false" ht="15" hidden="false" customHeight="false" outlineLevel="0" collapsed="false">
      <c r="A921" s="13"/>
      <c r="B921" s="14"/>
      <c r="C921" s="14"/>
      <c r="D921" s="14"/>
      <c r="E921" s="15"/>
      <c r="F921" s="14"/>
      <c r="G921" s="19" t="str">
        <f aca="false">IF(E921="","",IF(F921="Y",E921*Settings!$B$16,0))</f>
        <v/>
      </c>
      <c r="H921" s="19" t="str">
        <f aca="false">IF(E921="","",E921+G921)</f>
        <v/>
      </c>
      <c r="I921" s="14"/>
      <c r="J921" s="14"/>
      <c r="K921" s="14"/>
      <c r="L921" s="14"/>
    </row>
    <row r="922" customFormat="false" ht="15" hidden="false" customHeight="false" outlineLevel="0" collapsed="false">
      <c r="A922" s="13"/>
      <c r="B922" s="14"/>
      <c r="C922" s="14"/>
      <c r="D922" s="14"/>
      <c r="E922" s="15"/>
      <c r="F922" s="14"/>
      <c r="G922" s="19" t="str">
        <f aca="false">IF(E922="","",IF(F922="Y",E922*Settings!$B$16,0))</f>
        <v/>
      </c>
      <c r="H922" s="19" t="str">
        <f aca="false">IF(E922="","",E922+G922)</f>
        <v/>
      </c>
      <c r="I922" s="14"/>
      <c r="J922" s="14"/>
      <c r="K922" s="14"/>
      <c r="L922" s="14"/>
    </row>
    <row r="923" customFormat="false" ht="15" hidden="false" customHeight="false" outlineLevel="0" collapsed="false">
      <c r="A923" s="13"/>
      <c r="B923" s="14"/>
      <c r="C923" s="14"/>
      <c r="D923" s="14"/>
      <c r="E923" s="15"/>
      <c r="F923" s="14"/>
      <c r="G923" s="19" t="str">
        <f aca="false">IF(E923="","",IF(F923="Y",E923*Settings!$B$16,0))</f>
        <v/>
      </c>
      <c r="H923" s="19" t="str">
        <f aca="false">IF(E923="","",E923+G923)</f>
        <v/>
      </c>
      <c r="I923" s="14"/>
      <c r="J923" s="14"/>
      <c r="K923" s="14"/>
      <c r="L923" s="14"/>
    </row>
    <row r="924" customFormat="false" ht="15" hidden="false" customHeight="false" outlineLevel="0" collapsed="false">
      <c r="A924" s="13"/>
      <c r="B924" s="14"/>
      <c r="C924" s="14"/>
      <c r="D924" s="14"/>
      <c r="E924" s="15"/>
      <c r="F924" s="14"/>
      <c r="G924" s="19" t="str">
        <f aca="false">IF(E924="","",IF(F924="Y",E924*Settings!$B$16,0))</f>
        <v/>
      </c>
      <c r="H924" s="19" t="str">
        <f aca="false">IF(E924="","",E924+G924)</f>
        <v/>
      </c>
      <c r="I924" s="14"/>
      <c r="J924" s="14"/>
      <c r="K924" s="14"/>
      <c r="L924" s="14"/>
    </row>
    <row r="925" customFormat="false" ht="15" hidden="false" customHeight="false" outlineLevel="0" collapsed="false">
      <c r="A925" s="13"/>
      <c r="B925" s="14"/>
      <c r="C925" s="14"/>
      <c r="D925" s="14"/>
      <c r="E925" s="15"/>
      <c r="F925" s="14"/>
      <c r="G925" s="19" t="str">
        <f aca="false">IF(E925="","",IF(F925="Y",E925*Settings!$B$16,0))</f>
        <v/>
      </c>
      <c r="H925" s="19" t="str">
        <f aca="false">IF(E925="","",E925+G925)</f>
        <v/>
      </c>
      <c r="I925" s="14"/>
      <c r="J925" s="14"/>
      <c r="K925" s="14"/>
      <c r="L925" s="14"/>
    </row>
    <row r="926" customFormat="false" ht="15" hidden="false" customHeight="false" outlineLevel="0" collapsed="false">
      <c r="A926" s="13"/>
      <c r="B926" s="14"/>
      <c r="C926" s="14"/>
      <c r="D926" s="14"/>
      <c r="E926" s="15"/>
      <c r="F926" s="14"/>
      <c r="G926" s="19" t="str">
        <f aca="false">IF(E926="","",IF(F926="Y",E926*Settings!$B$16,0))</f>
        <v/>
      </c>
      <c r="H926" s="19" t="str">
        <f aca="false">IF(E926="","",E926+G926)</f>
        <v/>
      </c>
      <c r="I926" s="14"/>
      <c r="J926" s="14"/>
      <c r="K926" s="14"/>
      <c r="L926" s="14"/>
    </row>
    <row r="927" customFormat="false" ht="15" hidden="false" customHeight="false" outlineLevel="0" collapsed="false">
      <c r="A927" s="13"/>
      <c r="B927" s="14"/>
      <c r="C927" s="14"/>
      <c r="D927" s="14"/>
      <c r="E927" s="15"/>
      <c r="F927" s="14"/>
      <c r="G927" s="19" t="str">
        <f aca="false">IF(E927="","",IF(F927="Y",E927*Settings!$B$16,0))</f>
        <v/>
      </c>
      <c r="H927" s="19" t="str">
        <f aca="false">IF(E927="","",E927+G927)</f>
        <v/>
      </c>
      <c r="I927" s="14"/>
      <c r="J927" s="14"/>
      <c r="K927" s="14"/>
      <c r="L927" s="14"/>
    </row>
    <row r="928" customFormat="false" ht="15" hidden="false" customHeight="false" outlineLevel="0" collapsed="false">
      <c r="A928" s="13"/>
      <c r="B928" s="14"/>
      <c r="C928" s="14"/>
      <c r="D928" s="14"/>
      <c r="E928" s="15"/>
      <c r="F928" s="14"/>
      <c r="G928" s="19" t="str">
        <f aca="false">IF(E928="","",IF(F928="Y",E928*Settings!$B$16,0))</f>
        <v/>
      </c>
      <c r="H928" s="19" t="str">
        <f aca="false">IF(E928="","",E928+G928)</f>
        <v/>
      </c>
      <c r="I928" s="14"/>
      <c r="J928" s="14"/>
      <c r="K928" s="14"/>
      <c r="L928" s="14"/>
    </row>
    <row r="929" customFormat="false" ht="15" hidden="false" customHeight="false" outlineLevel="0" collapsed="false">
      <c r="A929" s="13"/>
      <c r="B929" s="14"/>
      <c r="C929" s="14"/>
      <c r="D929" s="14"/>
      <c r="E929" s="15"/>
      <c r="F929" s="14"/>
      <c r="G929" s="19" t="str">
        <f aca="false">IF(E929="","",IF(F929="Y",E929*Settings!$B$16,0))</f>
        <v/>
      </c>
      <c r="H929" s="19" t="str">
        <f aca="false">IF(E929="","",E929+G929)</f>
        <v/>
      </c>
      <c r="I929" s="14"/>
      <c r="J929" s="14"/>
      <c r="K929" s="14"/>
      <c r="L929" s="14"/>
    </row>
    <row r="930" customFormat="false" ht="15" hidden="false" customHeight="false" outlineLevel="0" collapsed="false">
      <c r="A930" s="13"/>
      <c r="B930" s="14"/>
      <c r="C930" s="14"/>
      <c r="D930" s="14"/>
      <c r="E930" s="15"/>
      <c r="F930" s="14"/>
      <c r="G930" s="19" t="str">
        <f aca="false">IF(E930="","",IF(F930="Y",E930*Settings!$B$16,0))</f>
        <v/>
      </c>
      <c r="H930" s="19" t="str">
        <f aca="false">IF(E930="","",E930+G930)</f>
        <v/>
      </c>
      <c r="I930" s="14"/>
      <c r="J930" s="14"/>
      <c r="K930" s="14"/>
      <c r="L930" s="14"/>
    </row>
    <row r="931" customFormat="false" ht="15" hidden="false" customHeight="false" outlineLevel="0" collapsed="false">
      <c r="A931" s="13"/>
      <c r="B931" s="14"/>
      <c r="C931" s="14"/>
      <c r="D931" s="14"/>
      <c r="E931" s="15"/>
      <c r="F931" s="14"/>
      <c r="G931" s="19" t="str">
        <f aca="false">IF(E931="","",IF(F931="Y",E931*Settings!$B$16,0))</f>
        <v/>
      </c>
      <c r="H931" s="19" t="str">
        <f aca="false">IF(E931="","",E931+G931)</f>
        <v/>
      </c>
      <c r="I931" s="14"/>
      <c r="J931" s="14"/>
      <c r="K931" s="14"/>
      <c r="L931" s="14"/>
    </row>
    <row r="932" customFormat="false" ht="15" hidden="false" customHeight="false" outlineLevel="0" collapsed="false">
      <c r="A932" s="13"/>
      <c r="B932" s="14"/>
      <c r="C932" s="14"/>
      <c r="D932" s="14"/>
      <c r="E932" s="15"/>
      <c r="F932" s="14"/>
      <c r="G932" s="19" t="str">
        <f aca="false">IF(E932="","",IF(F932="Y",E932*Settings!$B$16,0))</f>
        <v/>
      </c>
      <c r="H932" s="19" t="str">
        <f aca="false">IF(E932="","",E932+G932)</f>
        <v/>
      </c>
      <c r="I932" s="14"/>
      <c r="J932" s="14"/>
      <c r="K932" s="14"/>
      <c r="L932" s="14"/>
    </row>
    <row r="933" customFormat="false" ht="15" hidden="false" customHeight="false" outlineLevel="0" collapsed="false">
      <c r="A933" s="13"/>
      <c r="B933" s="14"/>
      <c r="C933" s="14"/>
      <c r="D933" s="14"/>
      <c r="E933" s="15"/>
      <c r="F933" s="14"/>
      <c r="G933" s="19" t="str">
        <f aca="false">IF(E933="","",IF(F933="Y",E933*Settings!$B$16,0))</f>
        <v/>
      </c>
      <c r="H933" s="19" t="str">
        <f aca="false">IF(E933="","",E933+G933)</f>
        <v/>
      </c>
      <c r="I933" s="14"/>
      <c r="J933" s="14"/>
      <c r="K933" s="14"/>
      <c r="L933" s="14"/>
    </row>
    <row r="934" customFormat="false" ht="15" hidden="false" customHeight="false" outlineLevel="0" collapsed="false">
      <c r="A934" s="13"/>
      <c r="B934" s="14"/>
      <c r="C934" s="14"/>
      <c r="D934" s="14"/>
      <c r="E934" s="15"/>
      <c r="F934" s="14"/>
      <c r="G934" s="19" t="str">
        <f aca="false">IF(E934="","",IF(F934="Y",E934*Settings!$B$16,0))</f>
        <v/>
      </c>
      <c r="H934" s="19" t="str">
        <f aca="false">IF(E934="","",E934+G934)</f>
        <v/>
      </c>
      <c r="I934" s="14"/>
      <c r="J934" s="14"/>
      <c r="K934" s="14"/>
      <c r="L934" s="14"/>
    </row>
    <row r="935" customFormat="false" ht="15" hidden="false" customHeight="false" outlineLevel="0" collapsed="false">
      <c r="A935" s="13"/>
      <c r="B935" s="14"/>
      <c r="C935" s="14"/>
      <c r="D935" s="14"/>
      <c r="E935" s="15"/>
      <c r="F935" s="14"/>
      <c r="G935" s="19" t="str">
        <f aca="false">IF(E935="","",IF(F935="Y",E935*Settings!$B$16,0))</f>
        <v/>
      </c>
      <c r="H935" s="19" t="str">
        <f aca="false">IF(E935="","",E935+G935)</f>
        <v/>
      </c>
      <c r="I935" s="14"/>
      <c r="J935" s="14"/>
      <c r="K935" s="14"/>
      <c r="L935" s="14"/>
    </row>
    <row r="936" customFormat="false" ht="15" hidden="false" customHeight="false" outlineLevel="0" collapsed="false">
      <c r="A936" s="13"/>
      <c r="B936" s="14"/>
      <c r="C936" s="14"/>
      <c r="D936" s="14"/>
      <c r="E936" s="15"/>
      <c r="F936" s="14"/>
      <c r="G936" s="19" t="str">
        <f aca="false">IF(E936="","",IF(F936="Y",E936*Settings!$B$16,0))</f>
        <v/>
      </c>
      <c r="H936" s="19" t="str">
        <f aca="false">IF(E936="","",E936+G936)</f>
        <v/>
      </c>
      <c r="I936" s="14"/>
      <c r="J936" s="14"/>
      <c r="K936" s="14"/>
      <c r="L936" s="14"/>
    </row>
    <row r="937" customFormat="false" ht="15" hidden="false" customHeight="false" outlineLevel="0" collapsed="false">
      <c r="A937" s="13"/>
      <c r="B937" s="14"/>
      <c r="C937" s="14"/>
      <c r="D937" s="14"/>
      <c r="E937" s="15"/>
      <c r="F937" s="14"/>
      <c r="G937" s="19" t="str">
        <f aca="false">IF(E937="","",IF(F937="Y",E937*Settings!$B$16,0))</f>
        <v/>
      </c>
      <c r="H937" s="19" t="str">
        <f aca="false">IF(E937="","",E937+G937)</f>
        <v/>
      </c>
      <c r="I937" s="14"/>
      <c r="J937" s="14"/>
      <c r="K937" s="14"/>
      <c r="L937" s="14"/>
    </row>
    <row r="938" customFormat="false" ht="15" hidden="false" customHeight="false" outlineLevel="0" collapsed="false">
      <c r="A938" s="13"/>
      <c r="B938" s="14"/>
      <c r="C938" s="14"/>
      <c r="D938" s="14"/>
      <c r="E938" s="15"/>
      <c r="F938" s="14"/>
      <c r="G938" s="19" t="str">
        <f aca="false">IF(E938="","",IF(F938="Y",E938*Settings!$B$16,0))</f>
        <v/>
      </c>
      <c r="H938" s="19" t="str">
        <f aca="false">IF(E938="","",E938+G938)</f>
        <v/>
      </c>
      <c r="I938" s="14"/>
      <c r="J938" s="14"/>
      <c r="K938" s="14"/>
      <c r="L938" s="14"/>
    </row>
    <row r="939" customFormat="false" ht="15" hidden="false" customHeight="false" outlineLevel="0" collapsed="false">
      <c r="A939" s="13"/>
      <c r="B939" s="14"/>
      <c r="C939" s="14"/>
      <c r="D939" s="14"/>
      <c r="E939" s="15"/>
      <c r="F939" s="14"/>
      <c r="G939" s="19" t="str">
        <f aca="false">IF(E939="","",IF(F939="Y",E939*Settings!$B$16,0))</f>
        <v/>
      </c>
      <c r="H939" s="19" t="str">
        <f aca="false">IF(E939="","",E939+G939)</f>
        <v/>
      </c>
      <c r="I939" s="14"/>
      <c r="J939" s="14"/>
      <c r="K939" s="14"/>
      <c r="L939" s="14"/>
    </row>
    <row r="940" customFormat="false" ht="15" hidden="false" customHeight="false" outlineLevel="0" collapsed="false">
      <c r="A940" s="13"/>
      <c r="B940" s="14"/>
      <c r="C940" s="14"/>
      <c r="D940" s="14"/>
      <c r="E940" s="15"/>
      <c r="F940" s="14"/>
      <c r="G940" s="19" t="str">
        <f aca="false">IF(E940="","",IF(F940="Y",E940*Settings!$B$16,0))</f>
        <v/>
      </c>
      <c r="H940" s="19" t="str">
        <f aca="false">IF(E940="","",E940+G940)</f>
        <v/>
      </c>
      <c r="I940" s="14"/>
      <c r="J940" s="14"/>
      <c r="K940" s="14"/>
      <c r="L940" s="14"/>
    </row>
    <row r="941" customFormat="false" ht="15" hidden="false" customHeight="false" outlineLevel="0" collapsed="false">
      <c r="A941" s="13"/>
      <c r="B941" s="14"/>
      <c r="C941" s="14"/>
      <c r="D941" s="14"/>
      <c r="E941" s="15"/>
      <c r="F941" s="14"/>
      <c r="G941" s="19" t="str">
        <f aca="false">IF(E941="","",IF(F941="Y",E941*Settings!$B$16,0))</f>
        <v/>
      </c>
      <c r="H941" s="19" t="str">
        <f aca="false">IF(E941="","",E941+G941)</f>
        <v/>
      </c>
      <c r="I941" s="14"/>
      <c r="J941" s="14"/>
      <c r="K941" s="14"/>
      <c r="L941" s="14"/>
    </row>
    <row r="942" customFormat="false" ht="15" hidden="false" customHeight="false" outlineLevel="0" collapsed="false">
      <c r="A942" s="13"/>
      <c r="B942" s="14"/>
      <c r="C942" s="14"/>
      <c r="D942" s="14"/>
      <c r="E942" s="15"/>
      <c r="F942" s="14"/>
      <c r="G942" s="19" t="str">
        <f aca="false">IF(E942="","",IF(F942="Y",E942*Settings!$B$16,0))</f>
        <v/>
      </c>
      <c r="H942" s="19" t="str">
        <f aca="false">IF(E942="","",E942+G942)</f>
        <v/>
      </c>
      <c r="I942" s="14"/>
      <c r="J942" s="14"/>
      <c r="K942" s="14"/>
      <c r="L942" s="14"/>
    </row>
    <row r="943" customFormat="false" ht="15" hidden="false" customHeight="false" outlineLevel="0" collapsed="false">
      <c r="A943" s="13"/>
      <c r="B943" s="14"/>
      <c r="C943" s="14"/>
      <c r="D943" s="14"/>
      <c r="E943" s="15"/>
      <c r="F943" s="14"/>
      <c r="G943" s="19" t="str">
        <f aca="false">IF(E943="","",IF(F943="Y",E943*Settings!$B$16,0))</f>
        <v/>
      </c>
      <c r="H943" s="19" t="str">
        <f aca="false">IF(E943="","",E943+G943)</f>
        <v/>
      </c>
      <c r="I943" s="14"/>
      <c r="J943" s="14"/>
      <c r="K943" s="14"/>
      <c r="L943" s="14"/>
    </row>
    <row r="944" customFormat="false" ht="15" hidden="false" customHeight="false" outlineLevel="0" collapsed="false">
      <c r="A944" s="13"/>
      <c r="B944" s="14"/>
      <c r="C944" s="14"/>
      <c r="D944" s="14"/>
      <c r="E944" s="15"/>
      <c r="F944" s="14"/>
      <c r="G944" s="19" t="str">
        <f aca="false">IF(E944="","",IF(F944="Y",E944*Settings!$B$16,0))</f>
        <v/>
      </c>
      <c r="H944" s="19" t="str">
        <f aca="false">IF(E944="","",E944+G944)</f>
        <v/>
      </c>
      <c r="I944" s="14"/>
      <c r="J944" s="14"/>
      <c r="K944" s="14"/>
      <c r="L944" s="14"/>
    </row>
    <row r="945" customFormat="false" ht="15" hidden="false" customHeight="false" outlineLevel="0" collapsed="false">
      <c r="A945" s="13"/>
      <c r="B945" s="14"/>
      <c r="C945" s="14"/>
      <c r="D945" s="14"/>
      <c r="E945" s="15"/>
      <c r="F945" s="14"/>
      <c r="G945" s="19" t="str">
        <f aca="false">IF(E945="","",IF(F945="Y",E945*Settings!$B$16,0))</f>
        <v/>
      </c>
      <c r="H945" s="19" t="str">
        <f aca="false">IF(E945="","",E945+G945)</f>
        <v/>
      </c>
      <c r="I945" s="14"/>
      <c r="J945" s="14"/>
      <c r="K945" s="14"/>
      <c r="L945" s="14"/>
    </row>
    <row r="946" customFormat="false" ht="15" hidden="false" customHeight="false" outlineLevel="0" collapsed="false">
      <c r="A946" s="13"/>
      <c r="B946" s="14"/>
      <c r="C946" s="14"/>
      <c r="D946" s="14"/>
      <c r="E946" s="15"/>
      <c r="F946" s="14"/>
      <c r="G946" s="19" t="str">
        <f aca="false">IF(E946="","",IF(F946="Y",E946*Settings!$B$16,0))</f>
        <v/>
      </c>
      <c r="H946" s="19" t="str">
        <f aca="false">IF(E946="","",E946+G946)</f>
        <v/>
      </c>
      <c r="I946" s="14"/>
      <c r="J946" s="14"/>
      <c r="K946" s="14"/>
      <c r="L946" s="14"/>
    </row>
    <row r="947" customFormat="false" ht="15" hidden="false" customHeight="false" outlineLevel="0" collapsed="false">
      <c r="A947" s="13"/>
      <c r="B947" s="14"/>
      <c r="C947" s="14"/>
      <c r="D947" s="14"/>
      <c r="E947" s="15"/>
      <c r="F947" s="14"/>
      <c r="G947" s="19" t="str">
        <f aca="false">IF(E947="","",IF(F947="Y",E947*Settings!$B$16,0))</f>
        <v/>
      </c>
      <c r="H947" s="19" t="str">
        <f aca="false">IF(E947="","",E947+G947)</f>
        <v/>
      </c>
      <c r="I947" s="14"/>
      <c r="J947" s="14"/>
      <c r="K947" s="14"/>
      <c r="L947" s="14"/>
    </row>
    <row r="948" customFormat="false" ht="15" hidden="false" customHeight="false" outlineLevel="0" collapsed="false">
      <c r="A948" s="13"/>
      <c r="B948" s="14"/>
      <c r="C948" s="14"/>
      <c r="D948" s="14"/>
      <c r="E948" s="15"/>
      <c r="F948" s="14"/>
      <c r="G948" s="19" t="str">
        <f aca="false">IF(E948="","",IF(F948="Y",E948*Settings!$B$16,0))</f>
        <v/>
      </c>
      <c r="H948" s="19" t="str">
        <f aca="false">IF(E948="","",E948+G948)</f>
        <v/>
      </c>
      <c r="I948" s="14"/>
      <c r="J948" s="14"/>
      <c r="K948" s="14"/>
      <c r="L948" s="14"/>
    </row>
    <row r="949" customFormat="false" ht="15" hidden="false" customHeight="false" outlineLevel="0" collapsed="false">
      <c r="A949" s="13"/>
      <c r="B949" s="14"/>
      <c r="C949" s="14"/>
      <c r="D949" s="14"/>
      <c r="E949" s="15"/>
      <c r="F949" s="14"/>
      <c r="G949" s="19" t="str">
        <f aca="false">IF(E949="","",IF(F949="Y",E949*Settings!$B$16,0))</f>
        <v/>
      </c>
      <c r="H949" s="19" t="str">
        <f aca="false">IF(E949="","",E949+G949)</f>
        <v/>
      </c>
      <c r="I949" s="14"/>
      <c r="J949" s="14"/>
      <c r="K949" s="14"/>
      <c r="L949" s="14"/>
    </row>
    <row r="950" customFormat="false" ht="15" hidden="false" customHeight="false" outlineLevel="0" collapsed="false">
      <c r="A950" s="13"/>
      <c r="B950" s="14"/>
      <c r="C950" s="14"/>
      <c r="D950" s="14"/>
      <c r="E950" s="15"/>
      <c r="F950" s="14"/>
      <c r="G950" s="19" t="str">
        <f aca="false">IF(E950="","",IF(F950="Y",E950*Settings!$B$16,0))</f>
        <v/>
      </c>
      <c r="H950" s="19" t="str">
        <f aca="false">IF(E950="","",E950+G950)</f>
        <v/>
      </c>
      <c r="I950" s="14"/>
      <c r="J950" s="14"/>
      <c r="K950" s="14"/>
      <c r="L950" s="14"/>
    </row>
    <row r="951" customFormat="false" ht="15" hidden="false" customHeight="false" outlineLevel="0" collapsed="false">
      <c r="A951" s="13"/>
      <c r="B951" s="14"/>
      <c r="C951" s="14"/>
      <c r="D951" s="14"/>
      <c r="E951" s="15"/>
      <c r="F951" s="14"/>
      <c r="G951" s="19" t="str">
        <f aca="false">IF(E951="","",IF(F951="Y",E951*Settings!$B$16,0))</f>
        <v/>
      </c>
      <c r="H951" s="19" t="str">
        <f aca="false">IF(E951="","",E951+G951)</f>
        <v/>
      </c>
      <c r="I951" s="14"/>
      <c r="J951" s="14"/>
      <c r="K951" s="14"/>
      <c r="L951" s="14"/>
    </row>
    <row r="952" customFormat="false" ht="15" hidden="false" customHeight="false" outlineLevel="0" collapsed="false">
      <c r="A952" s="13"/>
      <c r="B952" s="14"/>
      <c r="C952" s="14"/>
      <c r="D952" s="14"/>
      <c r="E952" s="15"/>
      <c r="F952" s="14"/>
      <c r="G952" s="19" t="str">
        <f aca="false">IF(E952="","",IF(F952="Y",E952*Settings!$B$16,0))</f>
        <v/>
      </c>
      <c r="H952" s="19" t="str">
        <f aca="false">IF(E952="","",E952+G952)</f>
        <v/>
      </c>
      <c r="I952" s="14"/>
      <c r="J952" s="14"/>
      <c r="K952" s="14"/>
      <c r="L952" s="14"/>
    </row>
    <row r="953" customFormat="false" ht="15" hidden="false" customHeight="false" outlineLevel="0" collapsed="false">
      <c r="A953" s="13"/>
      <c r="B953" s="14"/>
      <c r="C953" s="14"/>
      <c r="D953" s="14"/>
      <c r="E953" s="15"/>
      <c r="F953" s="14"/>
      <c r="G953" s="19" t="str">
        <f aca="false">IF(E953="","",IF(F953="Y",E953*Settings!$B$16,0))</f>
        <v/>
      </c>
      <c r="H953" s="19" t="str">
        <f aca="false">IF(E953="","",E953+G953)</f>
        <v/>
      </c>
      <c r="I953" s="14"/>
      <c r="J953" s="14"/>
      <c r="K953" s="14"/>
      <c r="L953" s="14"/>
    </row>
    <row r="954" customFormat="false" ht="15" hidden="false" customHeight="false" outlineLevel="0" collapsed="false">
      <c r="A954" s="13"/>
      <c r="B954" s="14"/>
      <c r="C954" s="14"/>
      <c r="D954" s="14"/>
      <c r="E954" s="15"/>
      <c r="F954" s="14"/>
      <c r="G954" s="19" t="str">
        <f aca="false">IF(E954="","",IF(F954="Y",E954*Settings!$B$16,0))</f>
        <v/>
      </c>
      <c r="H954" s="19" t="str">
        <f aca="false">IF(E954="","",E954+G954)</f>
        <v/>
      </c>
      <c r="I954" s="14"/>
      <c r="J954" s="14"/>
      <c r="K954" s="14"/>
      <c r="L954" s="14"/>
    </row>
    <row r="955" customFormat="false" ht="15" hidden="false" customHeight="false" outlineLevel="0" collapsed="false">
      <c r="A955" s="13"/>
      <c r="B955" s="14"/>
      <c r="C955" s="14"/>
      <c r="D955" s="14"/>
      <c r="E955" s="15"/>
      <c r="F955" s="14"/>
      <c r="G955" s="19" t="str">
        <f aca="false">IF(E955="","",IF(F955="Y",E955*Settings!$B$16,0))</f>
        <v/>
      </c>
      <c r="H955" s="19" t="str">
        <f aca="false">IF(E955="","",E955+G955)</f>
        <v/>
      </c>
      <c r="I955" s="14"/>
      <c r="J955" s="14"/>
      <c r="K955" s="14"/>
      <c r="L955" s="14"/>
    </row>
    <row r="956" customFormat="false" ht="15" hidden="false" customHeight="false" outlineLevel="0" collapsed="false">
      <c r="A956" s="13"/>
      <c r="B956" s="14"/>
      <c r="C956" s="14"/>
      <c r="D956" s="14"/>
      <c r="E956" s="15"/>
      <c r="F956" s="14"/>
      <c r="G956" s="19" t="str">
        <f aca="false">IF(E956="","",IF(F956="Y",E956*Settings!$B$16,0))</f>
        <v/>
      </c>
      <c r="H956" s="19" t="str">
        <f aca="false">IF(E956="","",E956+G956)</f>
        <v/>
      </c>
      <c r="I956" s="14"/>
      <c r="J956" s="14"/>
      <c r="K956" s="14"/>
      <c r="L956" s="14"/>
    </row>
    <row r="957" customFormat="false" ht="15" hidden="false" customHeight="false" outlineLevel="0" collapsed="false">
      <c r="A957" s="13"/>
      <c r="B957" s="14"/>
      <c r="C957" s="14"/>
      <c r="D957" s="14"/>
      <c r="E957" s="15"/>
      <c r="F957" s="14"/>
      <c r="G957" s="19" t="str">
        <f aca="false">IF(E957="","",IF(F957="Y",E957*Settings!$B$16,0))</f>
        <v/>
      </c>
      <c r="H957" s="19" t="str">
        <f aca="false">IF(E957="","",E957+G957)</f>
        <v/>
      </c>
      <c r="I957" s="14"/>
      <c r="J957" s="14"/>
      <c r="K957" s="14"/>
      <c r="L957" s="14"/>
    </row>
    <row r="958" customFormat="false" ht="15" hidden="false" customHeight="false" outlineLevel="0" collapsed="false">
      <c r="A958" s="13"/>
      <c r="B958" s="14"/>
      <c r="C958" s="14"/>
      <c r="D958" s="14"/>
      <c r="E958" s="15"/>
      <c r="F958" s="14"/>
      <c r="G958" s="19" t="str">
        <f aca="false">IF(E958="","",IF(F958="Y",E958*Settings!$B$16,0))</f>
        <v/>
      </c>
      <c r="H958" s="19" t="str">
        <f aca="false">IF(E958="","",E958+G958)</f>
        <v/>
      </c>
      <c r="I958" s="14"/>
      <c r="J958" s="14"/>
      <c r="K958" s="14"/>
      <c r="L958" s="14"/>
    </row>
    <row r="959" customFormat="false" ht="15" hidden="false" customHeight="false" outlineLevel="0" collapsed="false">
      <c r="A959" s="13"/>
      <c r="B959" s="14"/>
      <c r="C959" s="14"/>
      <c r="D959" s="14"/>
      <c r="E959" s="15"/>
      <c r="F959" s="14"/>
      <c r="G959" s="19" t="str">
        <f aca="false">IF(E959="","",IF(F959="Y",E959*Settings!$B$16,0))</f>
        <v/>
      </c>
      <c r="H959" s="19" t="str">
        <f aca="false">IF(E959="","",E959+G959)</f>
        <v/>
      </c>
      <c r="I959" s="14"/>
      <c r="J959" s="14"/>
      <c r="K959" s="14"/>
      <c r="L959" s="14"/>
    </row>
    <row r="960" customFormat="false" ht="15" hidden="false" customHeight="false" outlineLevel="0" collapsed="false">
      <c r="A960" s="13"/>
      <c r="B960" s="14"/>
      <c r="C960" s="14"/>
      <c r="D960" s="14"/>
      <c r="E960" s="15"/>
      <c r="F960" s="14"/>
      <c r="G960" s="19" t="str">
        <f aca="false">IF(E960="","",IF(F960="Y",E960*Settings!$B$16,0))</f>
        <v/>
      </c>
      <c r="H960" s="19" t="str">
        <f aca="false">IF(E960="","",E960+G960)</f>
        <v/>
      </c>
      <c r="I960" s="14"/>
      <c r="J960" s="14"/>
      <c r="K960" s="14"/>
      <c r="L960" s="14"/>
    </row>
    <row r="961" customFormat="false" ht="15" hidden="false" customHeight="false" outlineLevel="0" collapsed="false">
      <c r="A961" s="13"/>
      <c r="B961" s="14"/>
      <c r="C961" s="14"/>
      <c r="D961" s="14"/>
      <c r="E961" s="15"/>
      <c r="F961" s="14"/>
      <c r="G961" s="19" t="str">
        <f aca="false">IF(E961="","",IF(F961="Y",E961*Settings!$B$16,0))</f>
        <v/>
      </c>
      <c r="H961" s="19" t="str">
        <f aca="false">IF(E961="","",E961+G961)</f>
        <v/>
      </c>
      <c r="I961" s="14"/>
      <c r="J961" s="14"/>
      <c r="K961" s="14"/>
      <c r="L961" s="14"/>
    </row>
    <row r="962" customFormat="false" ht="15" hidden="false" customHeight="false" outlineLevel="0" collapsed="false">
      <c r="A962" s="13"/>
      <c r="B962" s="14"/>
      <c r="C962" s="14"/>
      <c r="D962" s="14"/>
      <c r="E962" s="15"/>
      <c r="F962" s="14"/>
      <c r="G962" s="19" t="str">
        <f aca="false">IF(E962="","",IF(F962="Y",E962*Settings!$B$16,0))</f>
        <v/>
      </c>
      <c r="H962" s="19" t="str">
        <f aca="false">IF(E962="","",E962+G962)</f>
        <v/>
      </c>
      <c r="I962" s="14"/>
      <c r="J962" s="14"/>
      <c r="K962" s="14"/>
      <c r="L962" s="14"/>
    </row>
    <row r="963" customFormat="false" ht="15" hidden="false" customHeight="false" outlineLevel="0" collapsed="false">
      <c r="A963" s="13"/>
      <c r="B963" s="14"/>
      <c r="C963" s="14"/>
      <c r="D963" s="14"/>
      <c r="E963" s="15"/>
      <c r="F963" s="14"/>
      <c r="G963" s="19" t="str">
        <f aca="false">IF(E963="","",IF(F963="Y",E963*Settings!$B$16,0))</f>
        <v/>
      </c>
      <c r="H963" s="19" t="str">
        <f aca="false">IF(E963="","",E963+G963)</f>
        <v/>
      </c>
      <c r="I963" s="14"/>
      <c r="J963" s="14"/>
      <c r="K963" s="14"/>
      <c r="L963" s="14"/>
    </row>
    <row r="964" customFormat="false" ht="15" hidden="false" customHeight="false" outlineLevel="0" collapsed="false">
      <c r="A964" s="13"/>
      <c r="B964" s="14"/>
      <c r="C964" s="14"/>
      <c r="D964" s="14"/>
      <c r="E964" s="15"/>
      <c r="F964" s="14"/>
      <c r="G964" s="19" t="str">
        <f aca="false">IF(E964="","",IF(F964="Y",E964*Settings!$B$16,0))</f>
        <v/>
      </c>
      <c r="H964" s="19" t="str">
        <f aca="false">IF(E964="","",E964+G964)</f>
        <v/>
      </c>
      <c r="I964" s="14"/>
      <c r="J964" s="14"/>
      <c r="K964" s="14"/>
      <c r="L964" s="14"/>
    </row>
    <row r="965" customFormat="false" ht="15" hidden="false" customHeight="false" outlineLevel="0" collapsed="false">
      <c r="A965" s="13"/>
      <c r="B965" s="14"/>
      <c r="C965" s="14"/>
      <c r="D965" s="14"/>
      <c r="E965" s="15"/>
      <c r="F965" s="14"/>
      <c r="G965" s="19" t="str">
        <f aca="false">IF(E965="","",IF(F965="Y",E965*Settings!$B$16,0))</f>
        <v/>
      </c>
      <c r="H965" s="19" t="str">
        <f aca="false">IF(E965="","",E965+G965)</f>
        <v/>
      </c>
      <c r="I965" s="14"/>
      <c r="J965" s="14"/>
      <c r="K965" s="14"/>
      <c r="L965" s="14"/>
    </row>
    <row r="966" customFormat="false" ht="15" hidden="false" customHeight="false" outlineLevel="0" collapsed="false">
      <c r="A966" s="13"/>
      <c r="B966" s="14"/>
      <c r="C966" s="14"/>
      <c r="D966" s="14"/>
      <c r="E966" s="15"/>
      <c r="F966" s="14"/>
      <c r="G966" s="19" t="str">
        <f aca="false">IF(E966="","",IF(F966="Y",E966*Settings!$B$16,0))</f>
        <v/>
      </c>
      <c r="H966" s="19" t="str">
        <f aca="false">IF(E966="","",E966+G966)</f>
        <v/>
      </c>
      <c r="I966" s="14"/>
      <c r="J966" s="14"/>
      <c r="K966" s="14"/>
      <c r="L966" s="14"/>
    </row>
    <row r="967" customFormat="false" ht="15" hidden="false" customHeight="false" outlineLevel="0" collapsed="false">
      <c r="A967" s="13"/>
      <c r="B967" s="14"/>
      <c r="C967" s="14"/>
      <c r="D967" s="14"/>
      <c r="E967" s="15"/>
      <c r="F967" s="14"/>
      <c r="G967" s="19" t="str">
        <f aca="false">IF(E967="","",IF(F967="Y",E967*Settings!$B$16,0))</f>
        <v/>
      </c>
      <c r="H967" s="19" t="str">
        <f aca="false">IF(E967="","",E967+G967)</f>
        <v/>
      </c>
      <c r="I967" s="14"/>
      <c r="J967" s="14"/>
      <c r="K967" s="14"/>
      <c r="L967" s="14"/>
    </row>
    <row r="968" customFormat="false" ht="15" hidden="false" customHeight="false" outlineLevel="0" collapsed="false">
      <c r="A968" s="13"/>
      <c r="B968" s="14"/>
      <c r="C968" s="14"/>
      <c r="D968" s="14"/>
      <c r="E968" s="15"/>
      <c r="F968" s="14"/>
      <c r="G968" s="19" t="str">
        <f aca="false">IF(E968="","",IF(F968="Y",E968*Settings!$B$16,0))</f>
        <v/>
      </c>
      <c r="H968" s="19" t="str">
        <f aca="false">IF(E968="","",E968+G968)</f>
        <v/>
      </c>
      <c r="I968" s="14"/>
      <c r="J968" s="14"/>
      <c r="K968" s="14"/>
      <c r="L968" s="14"/>
    </row>
    <row r="969" customFormat="false" ht="15" hidden="false" customHeight="false" outlineLevel="0" collapsed="false">
      <c r="A969" s="13"/>
      <c r="B969" s="14"/>
      <c r="C969" s="14"/>
      <c r="D969" s="14"/>
      <c r="E969" s="15"/>
      <c r="F969" s="14"/>
      <c r="G969" s="19" t="str">
        <f aca="false">IF(E969="","",IF(F969="Y",E969*Settings!$B$16,0))</f>
        <v/>
      </c>
      <c r="H969" s="19" t="str">
        <f aca="false">IF(E969="","",E969+G969)</f>
        <v/>
      </c>
      <c r="I969" s="14"/>
      <c r="J969" s="14"/>
      <c r="K969" s="14"/>
      <c r="L969" s="14"/>
    </row>
    <row r="970" customFormat="false" ht="15" hidden="false" customHeight="false" outlineLevel="0" collapsed="false">
      <c r="A970" s="13"/>
      <c r="B970" s="14"/>
      <c r="C970" s="14"/>
      <c r="D970" s="14"/>
      <c r="E970" s="15"/>
      <c r="F970" s="14"/>
      <c r="G970" s="19" t="str">
        <f aca="false">IF(E970="","",IF(F970="Y",E970*Settings!$B$16,0))</f>
        <v/>
      </c>
      <c r="H970" s="19" t="str">
        <f aca="false">IF(E970="","",E970+G970)</f>
        <v/>
      </c>
      <c r="I970" s="14"/>
      <c r="J970" s="14"/>
      <c r="K970" s="14"/>
      <c r="L970" s="14"/>
    </row>
    <row r="971" customFormat="false" ht="15" hidden="false" customHeight="false" outlineLevel="0" collapsed="false">
      <c r="A971" s="13"/>
      <c r="B971" s="14"/>
      <c r="C971" s="14"/>
      <c r="D971" s="14"/>
      <c r="E971" s="15"/>
      <c r="F971" s="14"/>
      <c r="G971" s="19" t="str">
        <f aca="false">IF(E971="","",IF(F971="Y",E971*Settings!$B$16,0))</f>
        <v/>
      </c>
      <c r="H971" s="19" t="str">
        <f aca="false">IF(E971="","",E971+G971)</f>
        <v/>
      </c>
      <c r="I971" s="14"/>
      <c r="J971" s="14"/>
      <c r="K971" s="14"/>
      <c r="L971" s="14"/>
    </row>
    <row r="972" customFormat="false" ht="15" hidden="false" customHeight="false" outlineLevel="0" collapsed="false">
      <c r="A972" s="13"/>
      <c r="B972" s="14"/>
      <c r="C972" s="14"/>
      <c r="D972" s="14"/>
      <c r="E972" s="15"/>
      <c r="F972" s="14"/>
      <c r="G972" s="19" t="str">
        <f aca="false">IF(E972="","",IF(F972="Y",E972*Settings!$B$16,0))</f>
        <v/>
      </c>
      <c r="H972" s="19" t="str">
        <f aca="false">IF(E972="","",E972+G972)</f>
        <v/>
      </c>
      <c r="I972" s="14"/>
      <c r="J972" s="14"/>
      <c r="K972" s="14"/>
      <c r="L972" s="14"/>
    </row>
    <row r="973" customFormat="false" ht="15" hidden="false" customHeight="false" outlineLevel="0" collapsed="false">
      <c r="A973" s="13"/>
      <c r="B973" s="14"/>
      <c r="C973" s="14"/>
      <c r="D973" s="14"/>
      <c r="E973" s="15"/>
      <c r="F973" s="14"/>
      <c r="G973" s="19" t="str">
        <f aca="false">IF(E973="","",IF(F973="Y",E973*Settings!$B$16,0))</f>
        <v/>
      </c>
      <c r="H973" s="19" t="str">
        <f aca="false">IF(E973="","",E973+G973)</f>
        <v/>
      </c>
      <c r="I973" s="14"/>
      <c r="J973" s="14"/>
      <c r="K973" s="14"/>
      <c r="L973" s="14"/>
    </row>
    <row r="974" customFormat="false" ht="15" hidden="false" customHeight="false" outlineLevel="0" collapsed="false">
      <c r="A974" s="13"/>
      <c r="B974" s="14"/>
      <c r="C974" s="14"/>
      <c r="D974" s="14"/>
      <c r="E974" s="15"/>
      <c r="F974" s="14"/>
      <c r="G974" s="19" t="str">
        <f aca="false">IF(E974="","",IF(F974="Y",E974*Settings!$B$16,0))</f>
        <v/>
      </c>
      <c r="H974" s="19" t="str">
        <f aca="false">IF(E974="","",E974+G974)</f>
        <v/>
      </c>
      <c r="I974" s="14"/>
      <c r="J974" s="14"/>
      <c r="K974" s="14"/>
      <c r="L974" s="14"/>
    </row>
    <row r="975" customFormat="false" ht="15" hidden="false" customHeight="false" outlineLevel="0" collapsed="false">
      <c r="A975" s="13"/>
      <c r="B975" s="14"/>
      <c r="C975" s="14"/>
      <c r="D975" s="14"/>
      <c r="E975" s="15"/>
      <c r="F975" s="14"/>
      <c r="G975" s="19" t="str">
        <f aca="false">IF(E975="","",IF(F975="Y",E975*Settings!$B$16,0))</f>
        <v/>
      </c>
      <c r="H975" s="19" t="str">
        <f aca="false">IF(E975="","",E975+G975)</f>
        <v/>
      </c>
      <c r="I975" s="14"/>
      <c r="J975" s="14"/>
      <c r="K975" s="14"/>
      <c r="L975" s="14"/>
    </row>
    <row r="976" customFormat="false" ht="15" hidden="false" customHeight="false" outlineLevel="0" collapsed="false">
      <c r="A976" s="13"/>
      <c r="B976" s="14"/>
      <c r="C976" s="14"/>
      <c r="D976" s="14"/>
      <c r="E976" s="15"/>
      <c r="F976" s="14"/>
      <c r="G976" s="19" t="str">
        <f aca="false">IF(E976="","",IF(F976="Y",E976*Settings!$B$16,0))</f>
        <v/>
      </c>
      <c r="H976" s="19" t="str">
        <f aca="false">IF(E976="","",E976+G976)</f>
        <v/>
      </c>
      <c r="I976" s="14"/>
      <c r="J976" s="14"/>
      <c r="K976" s="14"/>
      <c r="L976" s="14"/>
    </row>
    <row r="977" customFormat="false" ht="15" hidden="false" customHeight="false" outlineLevel="0" collapsed="false">
      <c r="A977" s="13"/>
      <c r="B977" s="14"/>
      <c r="C977" s="14"/>
      <c r="D977" s="14"/>
      <c r="E977" s="15"/>
      <c r="F977" s="14"/>
      <c r="G977" s="19" t="str">
        <f aca="false">IF(E977="","",IF(F977="Y",E977*Settings!$B$16,0))</f>
        <v/>
      </c>
      <c r="H977" s="19" t="str">
        <f aca="false">IF(E977="","",E977+G977)</f>
        <v/>
      </c>
      <c r="I977" s="14"/>
      <c r="J977" s="14"/>
      <c r="K977" s="14"/>
      <c r="L977" s="14"/>
    </row>
    <row r="978" customFormat="false" ht="15" hidden="false" customHeight="false" outlineLevel="0" collapsed="false">
      <c r="A978" s="13"/>
      <c r="B978" s="14"/>
      <c r="C978" s="14"/>
      <c r="D978" s="14"/>
      <c r="E978" s="15"/>
      <c r="F978" s="14"/>
      <c r="G978" s="19" t="str">
        <f aca="false">IF(E978="","",IF(F978="Y",E978*Settings!$B$16,0))</f>
        <v/>
      </c>
      <c r="H978" s="19" t="str">
        <f aca="false">IF(E978="","",E978+G978)</f>
        <v/>
      </c>
      <c r="I978" s="14"/>
      <c r="J978" s="14"/>
      <c r="K978" s="14"/>
      <c r="L978" s="14"/>
    </row>
    <row r="979" customFormat="false" ht="15" hidden="false" customHeight="false" outlineLevel="0" collapsed="false">
      <c r="A979" s="13"/>
      <c r="B979" s="14"/>
      <c r="C979" s="14"/>
      <c r="D979" s="14"/>
      <c r="E979" s="15"/>
      <c r="F979" s="14"/>
      <c r="G979" s="19" t="str">
        <f aca="false">IF(E979="","",IF(F979="Y",E979*Settings!$B$16,0))</f>
        <v/>
      </c>
      <c r="H979" s="19" t="str">
        <f aca="false">IF(E979="","",E979+G979)</f>
        <v/>
      </c>
      <c r="I979" s="14"/>
      <c r="J979" s="14"/>
      <c r="K979" s="14"/>
      <c r="L979" s="14"/>
    </row>
    <row r="980" customFormat="false" ht="15" hidden="false" customHeight="false" outlineLevel="0" collapsed="false">
      <c r="A980" s="13"/>
      <c r="B980" s="14"/>
      <c r="C980" s="14"/>
      <c r="D980" s="14"/>
      <c r="E980" s="15"/>
      <c r="F980" s="14"/>
      <c r="G980" s="19" t="str">
        <f aca="false">IF(E980="","",IF(F980="Y",E980*Settings!$B$16,0))</f>
        <v/>
      </c>
      <c r="H980" s="19" t="str">
        <f aca="false">IF(E980="","",E980+G980)</f>
        <v/>
      </c>
      <c r="I980" s="14"/>
      <c r="J980" s="14"/>
      <c r="K980" s="14"/>
      <c r="L980" s="14"/>
    </row>
    <row r="981" customFormat="false" ht="15" hidden="false" customHeight="false" outlineLevel="0" collapsed="false">
      <c r="A981" s="13"/>
      <c r="B981" s="14"/>
      <c r="C981" s="14"/>
      <c r="D981" s="14"/>
      <c r="E981" s="15"/>
      <c r="F981" s="14"/>
      <c r="G981" s="19" t="str">
        <f aca="false">IF(E981="","",IF(F981="Y",E981*Settings!$B$16,0))</f>
        <v/>
      </c>
      <c r="H981" s="19" t="str">
        <f aca="false">IF(E981="","",E981+G981)</f>
        <v/>
      </c>
      <c r="I981" s="14"/>
      <c r="J981" s="14"/>
      <c r="K981" s="14"/>
      <c r="L981" s="14"/>
    </row>
    <row r="982" customFormat="false" ht="15" hidden="false" customHeight="false" outlineLevel="0" collapsed="false">
      <c r="A982" s="13"/>
      <c r="B982" s="14"/>
      <c r="C982" s="14"/>
      <c r="D982" s="14"/>
      <c r="E982" s="15"/>
      <c r="F982" s="14"/>
      <c r="G982" s="19" t="str">
        <f aca="false">IF(E982="","",IF(F982="Y",E982*Settings!$B$16,0))</f>
        <v/>
      </c>
      <c r="H982" s="19" t="str">
        <f aca="false">IF(E982="","",E982+G982)</f>
        <v/>
      </c>
      <c r="I982" s="14"/>
      <c r="J982" s="14"/>
      <c r="K982" s="14"/>
      <c r="L982" s="14"/>
    </row>
    <row r="983" customFormat="false" ht="15" hidden="false" customHeight="false" outlineLevel="0" collapsed="false">
      <c r="A983" s="13"/>
      <c r="B983" s="14"/>
      <c r="C983" s="14"/>
      <c r="D983" s="14"/>
      <c r="E983" s="15"/>
      <c r="F983" s="14"/>
      <c r="G983" s="19" t="str">
        <f aca="false">IF(E983="","",IF(F983="Y",E983*Settings!$B$16,0))</f>
        <v/>
      </c>
      <c r="H983" s="19" t="str">
        <f aca="false">IF(E983="","",E983+G983)</f>
        <v/>
      </c>
      <c r="I983" s="14"/>
      <c r="J983" s="14"/>
      <c r="K983" s="14"/>
      <c r="L983" s="14"/>
    </row>
    <row r="984" customFormat="false" ht="15" hidden="false" customHeight="false" outlineLevel="0" collapsed="false">
      <c r="A984" s="13"/>
      <c r="B984" s="14"/>
      <c r="C984" s="14"/>
      <c r="D984" s="14"/>
      <c r="E984" s="15"/>
      <c r="F984" s="14"/>
      <c r="G984" s="19" t="str">
        <f aca="false">IF(E984="","",IF(F984="Y",E984*Settings!$B$16,0))</f>
        <v/>
      </c>
      <c r="H984" s="19" t="str">
        <f aca="false">IF(E984="","",E984+G984)</f>
        <v/>
      </c>
      <c r="I984" s="14"/>
      <c r="J984" s="14"/>
      <c r="K984" s="14"/>
      <c r="L984" s="14"/>
    </row>
    <row r="985" customFormat="false" ht="15" hidden="false" customHeight="false" outlineLevel="0" collapsed="false">
      <c r="A985" s="13"/>
      <c r="B985" s="14"/>
      <c r="C985" s="14"/>
      <c r="D985" s="14"/>
      <c r="E985" s="15"/>
      <c r="F985" s="14"/>
      <c r="G985" s="19" t="str">
        <f aca="false">IF(E985="","",IF(F985="Y",E985*Settings!$B$16,0))</f>
        <v/>
      </c>
      <c r="H985" s="19" t="str">
        <f aca="false">IF(E985="","",E985+G985)</f>
        <v/>
      </c>
      <c r="I985" s="14"/>
      <c r="J985" s="14"/>
      <c r="K985" s="14"/>
      <c r="L985" s="14"/>
    </row>
    <row r="986" customFormat="false" ht="15" hidden="false" customHeight="false" outlineLevel="0" collapsed="false">
      <c r="A986" s="13"/>
      <c r="B986" s="14"/>
      <c r="C986" s="14"/>
      <c r="D986" s="14"/>
      <c r="E986" s="15"/>
      <c r="F986" s="14"/>
      <c r="G986" s="19" t="str">
        <f aca="false">IF(E986="","",IF(F986="Y",E986*Settings!$B$16,0))</f>
        <v/>
      </c>
      <c r="H986" s="19" t="str">
        <f aca="false">IF(E986="","",E986+G986)</f>
        <v/>
      </c>
      <c r="I986" s="14"/>
      <c r="J986" s="14"/>
      <c r="K986" s="14"/>
      <c r="L986" s="14"/>
    </row>
    <row r="987" customFormat="false" ht="15" hidden="false" customHeight="false" outlineLevel="0" collapsed="false">
      <c r="A987" s="13"/>
      <c r="B987" s="14"/>
      <c r="C987" s="14"/>
      <c r="D987" s="14"/>
      <c r="E987" s="15"/>
      <c r="F987" s="14"/>
      <c r="G987" s="19" t="str">
        <f aca="false">IF(E987="","",IF(F987="Y",E987*Settings!$B$16,0))</f>
        <v/>
      </c>
      <c r="H987" s="19" t="str">
        <f aca="false">IF(E987="","",E987+G987)</f>
        <v/>
      </c>
      <c r="I987" s="14"/>
      <c r="J987" s="14"/>
      <c r="K987" s="14"/>
      <c r="L987" s="14"/>
    </row>
    <row r="988" customFormat="false" ht="15" hidden="false" customHeight="false" outlineLevel="0" collapsed="false">
      <c r="A988" s="13"/>
      <c r="B988" s="14"/>
      <c r="C988" s="14"/>
      <c r="D988" s="14"/>
      <c r="E988" s="15"/>
      <c r="F988" s="14"/>
      <c r="G988" s="19" t="str">
        <f aca="false">IF(E988="","",IF(F988="Y",E988*Settings!$B$16,0))</f>
        <v/>
      </c>
      <c r="H988" s="19" t="str">
        <f aca="false">IF(E988="","",E988+G988)</f>
        <v/>
      </c>
      <c r="I988" s="14"/>
      <c r="J988" s="14"/>
      <c r="K988" s="14"/>
      <c r="L988" s="14"/>
    </row>
    <row r="989" customFormat="false" ht="15" hidden="false" customHeight="false" outlineLevel="0" collapsed="false">
      <c r="A989" s="13"/>
      <c r="B989" s="14"/>
      <c r="C989" s="14"/>
      <c r="D989" s="14"/>
      <c r="E989" s="15"/>
      <c r="F989" s="14"/>
      <c r="G989" s="19" t="str">
        <f aca="false">IF(E989="","",IF(F989="Y",E989*Settings!$B$16,0))</f>
        <v/>
      </c>
      <c r="H989" s="19" t="str">
        <f aca="false">IF(E989="","",E989+G989)</f>
        <v/>
      </c>
      <c r="I989" s="14"/>
      <c r="J989" s="14"/>
      <c r="K989" s="14"/>
      <c r="L989" s="14"/>
    </row>
    <row r="990" customFormat="false" ht="15" hidden="false" customHeight="false" outlineLevel="0" collapsed="false">
      <c r="A990" s="13"/>
      <c r="B990" s="14"/>
      <c r="C990" s="14"/>
      <c r="D990" s="14"/>
      <c r="E990" s="15"/>
      <c r="F990" s="14"/>
      <c r="G990" s="19" t="str">
        <f aca="false">IF(E990="","",IF(F990="Y",E990*Settings!$B$16,0))</f>
        <v/>
      </c>
      <c r="H990" s="19" t="str">
        <f aca="false">IF(E990="","",E990+G990)</f>
        <v/>
      </c>
      <c r="I990" s="14"/>
      <c r="J990" s="14"/>
      <c r="K990" s="14"/>
      <c r="L990" s="14"/>
    </row>
    <row r="991" customFormat="false" ht="15" hidden="false" customHeight="false" outlineLevel="0" collapsed="false">
      <c r="A991" s="13"/>
      <c r="B991" s="14"/>
      <c r="C991" s="14"/>
      <c r="D991" s="14"/>
      <c r="E991" s="15"/>
      <c r="F991" s="14"/>
      <c r="G991" s="19" t="str">
        <f aca="false">IF(E991="","",IF(F991="Y",E991*Settings!$B$16,0))</f>
        <v/>
      </c>
      <c r="H991" s="19" t="str">
        <f aca="false">IF(E991="","",E991+G991)</f>
        <v/>
      </c>
      <c r="I991" s="14"/>
      <c r="J991" s="14"/>
      <c r="K991" s="14"/>
      <c r="L991" s="14"/>
    </row>
    <row r="992" customFormat="false" ht="15" hidden="false" customHeight="false" outlineLevel="0" collapsed="false">
      <c r="A992" s="13"/>
      <c r="B992" s="14"/>
      <c r="C992" s="14"/>
      <c r="D992" s="14"/>
      <c r="E992" s="15"/>
      <c r="F992" s="14"/>
      <c r="G992" s="19" t="str">
        <f aca="false">IF(E992="","",IF(F992="Y",E992*Settings!$B$16,0))</f>
        <v/>
      </c>
      <c r="H992" s="19" t="str">
        <f aca="false">IF(E992="","",E992+G992)</f>
        <v/>
      </c>
      <c r="I992" s="14"/>
      <c r="J992" s="14"/>
      <c r="K992" s="14"/>
      <c r="L992" s="14"/>
    </row>
    <row r="993" customFormat="false" ht="15" hidden="false" customHeight="false" outlineLevel="0" collapsed="false">
      <c r="A993" s="13"/>
      <c r="B993" s="14"/>
      <c r="C993" s="14"/>
      <c r="D993" s="14"/>
      <c r="E993" s="15"/>
      <c r="F993" s="14"/>
      <c r="G993" s="19" t="str">
        <f aca="false">IF(E993="","",IF(F993="Y",E993*Settings!$B$16,0))</f>
        <v/>
      </c>
      <c r="H993" s="19" t="str">
        <f aca="false">IF(E993="","",E993+G993)</f>
        <v/>
      </c>
      <c r="I993" s="14"/>
      <c r="J993" s="14"/>
      <c r="K993" s="14"/>
      <c r="L993" s="14"/>
    </row>
    <row r="994" customFormat="false" ht="15" hidden="false" customHeight="false" outlineLevel="0" collapsed="false">
      <c r="A994" s="13"/>
      <c r="B994" s="14"/>
      <c r="C994" s="14"/>
      <c r="D994" s="14"/>
      <c r="E994" s="15"/>
      <c r="F994" s="14"/>
      <c r="G994" s="19" t="str">
        <f aca="false">IF(E994="","",IF(F994="Y",E994*Settings!$B$16,0))</f>
        <v/>
      </c>
      <c r="H994" s="19" t="str">
        <f aca="false">IF(E994="","",E994+G994)</f>
        <v/>
      </c>
      <c r="I994" s="14"/>
      <c r="J994" s="14"/>
      <c r="K994" s="14"/>
      <c r="L994" s="14"/>
    </row>
    <row r="995" customFormat="false" ht="15" hidden="false" customHeight="false" outlineLevel="0" collapsed="false">
      <c r="A995" s="13"/>
      <c r="B995" s="14"/>
      <c r="C995" s="14"/>
      <c r="D995" s="14"/>
      <c r="E995" s="15"/>
      <c r="F995" s="14"/>
      <c r="G995" s="19" t="str">
        <f aca="false">IF(E995="","",IF(F995="Y",E995*Settings!$B$16,0))</f>
        <v/>
      </c>
      <c r="H995" s="19" t="str">
        <f aca="false">IF(E995="","",E995+G995)</f>
        <v/>
      </c>
      <c r="I995" s="14"/>
      <c r="J995" s="14"/>
      <c r="K995" s="14"/>
      <c r="L995" s="14"/>
    </row>
    <row r="996" customFormat="false" ht="15" hidden="false" customHeight="false" outlineLevel="0" collapsed="false">
      <c r="A996" s="13"/>
      <c r="B996" s="14"/>
      <c r="C996" s="14"/>
      <c r="D996" s="14"/>
      <c r="E996" s="15"/>
      <c r="F996" s="14"/>
      <c r="G996" s="19" t="str">
        <f aca="false">IF(E996="","",IF(F996="Y",E996*Settings!$B$16,0))</f>
        <v/>
      </c>
      <c r="H996" s="19" t="str">
        <f aca="false">IF(E996="","",E996+G996)</f>
        <v/>
      </c>
      <c r="I996" s="14"/>
      <c r="J996" s="14"/>
      <c r="K996" s="14"/>
      <c r="L996" s="14"/>
    </row>
    <row r="997" customFormat="false" ht="15" hidden="false" customHeight="false" outlineLevel="0" collapsed="false">
      <c r="A997" s="13"/>
      <c r="B997" s="14"/>
      <c r="C997" s="14"/>
      <c r="D997" s="14"/>
      <c r="E997" s="15"/>
      <c r="F997" s="14"/>
      <c r="G997" s="19" t="str">
        <f aca="false">IF(E997="","",IF(F997="Y",E997*Settings!$B$16,0))</f>
        <v/>
      </c>
      <c r="H997" s="19" t="str">
        <f aca="false">IF(E997="","",E997+G997)</f>
        <v/>
      </c>
      <c r="I997" s="14"/>
      <c r="J997" s="14"/>
      <c r="K997" s="14"/>
      <c r="L997" s="14"/>
    </row>
    <row r="998" customFormat="false" ht="15" hidden="false" customHeight="false" outlineLevel="0" collapsed="false">
      <c r="A998" s="13"/>
      <c r="B998" s="14"/>
      <c r="C998" s="14"/>
      <c r="D998" s="14"/>
      <c r="E998" s="15"/>
      <c r="F998" s="14"/>
      <c r="G998" s="19" t="str">
        <f aca="false">IF(E998="","",IF(F998="Y",E998*Settings!$B$16,0))</f>
        <v/>
      </c>
      <c r="H998" s="19" t="str">
        <f aca="false">IF(E998="","",E998+G998)</f>
        <v/>
      </c>
      <c r="I998" s="14"/>
      <c r="J998" s="14"/>
      <c r="K998" s="14"/>
      <c r="L998" s="14"/>
    </row>
    <row r="999" customFormat="false" ht="15" hidden="false" customHeight="false" outlineLevel="0" collapsed="false">
      <c r="A999" s="13"/>
      <c r="B999" s="14"/>
      <c r="C999" s="14"/>
      <c r="D999" s="14"/>
      <c r="E999" s="15"/>
      <c r="F999" s="14"/>
      <c r="G999" s="19" t="str">
        <f aca="false">IF(E999="","",IF(F999="Y",E999*Settings!$B$16,0))</f>
        <v/>
      </c>
      <c r="H999" s="19" t="str">
        <f aca="false">IF(E999="","",E999+G999)</f>
        <v/>
      </c>
      <c r="I999" s="14"/>
      <c r="J999" s="14"/>
      <c r="K999" s="14"/>
      <c r="L999" s="14"/>
    </row>
    <row r="1000" customFormat="false" ht="15" hidden="false" customHeight="false" outlineLevel="0" collapsed="false">
      <c r="A1000" s="13"/>
      <c r="B1000" s="14"/>
      <c r="C1000" s="14"/>
      <c r="D1000" s="14"/>
      <c r="E1000" s="15"/>
      <c r="F1000" s="14"/>
      <c r="G1000" s="19" t="str">
        <f aca="false">IF(E1000="","",IF(F1000="Y",E1000*Settings!$B$16,0))</f>
        <v/>
      </c>
      <c r="H1000" s="19" t="str">
        <f aca="false">IF(E1000="","",E1000+G1000)</f>
        <v/>
      </c>
      <c r="I1000" s="14"/>
      <c r="J1000" s="14"/>
      <c r="K1000" s="14"/>
      <c r="L1000" s="14"/>
    </row>
    <row r="1001" customFormat="false" ht="15" hidden="false" customHeight="false" outlineLevel="0" collapsed="false">
      <c r="A1001" s="13"/>
      <c r="B1001" s="14"/>
      <c r="C1001" s="14"/>
      <c r="D1001" s="14"/>
      <c r="E1001" s="15"/>
      <c r="F1001" s="14"/>
      <c r="G1001" s="19" t="str">
        <f aca="false">IF(E1001="","",IF(F1001="Y",E1001*Settings!$B$16,0))</f>
        <v/>
      </c>
      <c r="H1001" s="19" t="str">
        <f aca="false">IF(E1001="","",E1001+G1001)</f>
        <v/>
      </c>
      <c r="I1001" s="14"/>
      <c r="J1001" s="14"/>
      <c r="K1001" s="14"/>
      <c r="L1001" s="14"/>
    </row>
  </sheetData>
  <autoFilter ref="A1:L1001"/>
  <dataValidations count="4">
    <dataValidation allowBlank="true" errorStyle="stop" operator="between" showDropDown="false" showErrorMessage="false" showInputMessage="false" sqref="B2:B1001" type="list">
      <formula1>Lists!$B$2:$B$20</formula1>
      <formula2>0</formula2>
    </dataValidation>
    <dataValidation allowBlank="true" errorStyle="stop" operator="between" showDropDown="false" showErrorMessage="false" showInputMessage="false" sqref="F2:F1001" type="list">
      <formula1>Lists!$D$2:$D$3</formula1>
      <formula2>0</formula2>
    </dataValidation>
    <dataValidation allowBlank="true" errorStyle="stop" operator="between" showDropDown="false" showErrorMessage="false" showInputMessage="false" sqref="I2:I1001" type="list">
      <formula1>Lists!$E$2:$E$5</formula1>
      <formula2>0</formula2>
    </dataValidation>
    <dataValidation allowBlank="true" errorStyle="stop" operator="between" showDropDown="false" showErrorMessage="false" showInputMessage="false" sqref="J2:J1001" type="list">
      <formula1>Lists!$F$2:$F$3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12" min="9" style="0" width="12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28"/>
  </cols>
  <sheetData>
    <row r="1" customFormat="false" ht="33.75" hidden="false" customHeight="true" outlineLevel="0" collapsed="false">
      <c r="A1" s="7" t="s">
        <v>55</v>
      </c>
      <c r="B1" s="7" t="s">
        <v>56</v>
      </c>
      <c r="C1" s="7" t="s">
        <v>57</v>
      </c>
      <c r="D1" s="7" t="s">
        <v>58</v>
      </c>
      <c r="E1" s="7" t="s">
        <v>39</v>
      </c>
      <c r="F1" s="7" t="s">
        <v>41</v>
      </c>
      <c r="G1" s="7" t="s">
        <v>42</v>
      </c>
      <c r="H1" s="7" t="s">
        <v>43</v>
      </c>
      <c r="I1" s="7" t="s">
        <v>59</v>
      </c>
      <c r="J1" s="7" t="s">
        <v>60</v>
      </c>
      <c r="K1" s="7" t="s">
        <v>61</v>
      </c>
      <c r="L1" s="7" t="s">
        <v>62</v>
      </c>
      <c r="M1" s="7" t="s">
        <v>63</v>
      </c>
      <c r="N1" s="7" t="s">
        <v>64</v>
      </c>
      <c r="O1" s="7" t="s">
        <v>37</v>
      </c>
    </row>
    <row r="2" customFormat="false" ht="15" hidden="false" customHeight="false" outlineLevel="0" collapsed="false">
      <c r="A2" s="9" t="s">
        <v>65</v>
      </c>
      <c r="B2" s="8" t="n">
        <v>46344</v>
      </c>
      <c r="C2" s="9" t="s">
        <v>66</v>
      </c>
      <c r="D2" s="9" t="s">
        <v>67</v>
      </c>
      <c r="E2" s="9" t="s">
        <v>68</v>
      </c>
      <c r="F2" s="10" t="n">
        <v>7500</v>
      </c>
      <c r="G2" s="9" t="s">
        <v>69</v>
      </c>
      <c r="H2" s="20" t="n">
        <f aca="false">IF(F2="","",IF(G2="Y",F2*Settings!$B$16,0))</f>
        <v>0</v>
      </c>
      <c r="I2" s="20" t="n">
        <f aca="false">IF(F2="","",F2+H2)</f>
        <v>7500</v>
      </c>
      <c r="J2" s="21" t="n">
        <f aca="false">IF(B2="","",B2+Settings!$B$17)</f>
        <v>46349</v>
      </c>
      <c r="K2" s="8" t="n">
        <v>46344</v>
      </c>
      <c r="L2" s="10" t="n">
        <v>7500</v>
      </c>
      <c r="M2" s="12" t="str">
        <f aca="true">IF(F2="","",IF(AND(L2&lt;&gt;"",L2&gt;=I2),"Paid",IF(AND(L2&lt;&gt;"",L2&gt;0),"Part paid",IF(TODAY()&gt;J2,"Overdue","Due"))))</f>
        <v>Paid</v>
      </c>
      <c r="N2" s="20" t="str">
        <f aca="true">IF(M2="Overdue",TODAY()-J2,"")</f>
        <v/>
      </c>
      <c r="O2" s="9" t="s">
        <v>54</v>
      </c>
    </row>
    <row r="3" customFormat="false" ht="15" hidden="false" customHeight="false" outlineLevel="0" collapsed="false">
      <c r="A3" s="14"/>
      <c r="B3" s="13"/>
      <c r="C3" s="14"/>
      <c r="D3" s="14"/>
      <c r="E3" s="14"/>
      <c r="F3" s="15"/>
      <c r="G3" s="14"/>
      <c r="H3" s="19" t="str">
        <f aca="false">IF(F3="","",IF(G3="Y",F3*Settings!$B$16,0))</f>
        <v/>
      </c>
      <c r="I3" s="19" t="str">
        <f aca="false">IF(F3="","",F3+H3)</f>
        <v/>
      </c>
      <c r="J3" s="18" t="str">
        <f aca="false">IF(B3="","",B3+Settings!$B$17)</f>
        <v/>
      </c>
      <c r="K3" s="13"/>
      <c r="L3" s="15"/>
      <c r="M3" s="17" t="str">
        <f aca="true">IF(F3="","",IF(AND(L3&lt;&gt;"",L3&gt;=I3),"Paid",IF(AND(L3&lt;&gt;"",L3&gt;0),"Part paid",IF(TODAY()&gt;J3,"Overdue","Due"))))</f>
        <v/>
      </c>
      <c r="N3" s="19" t="str">
        <f aca="true">IF(M3="Overdue",TODAY()-J3,"")</f>
        <v/>
      </c>
      <c r="O3" s="14"/>
    </row>
    <row r="4" customFormat="false" ht="15" hidden="false" customHeight="false" outlineLevel="0" collapsed="false">
      <c r="A4" s="14"/>
      <c r="B4" s="13"/>
      <c r="C4" s="14"/>
      <c r="D4" s="14"/>
      <c r="E4" s="14"/>
      <c r="F4" s="15"/>
      <c r="G4" s="14"/>
      <c r="H4" s="19" t="str">
        <f aca="false">IF(F4="","",IF(G4="Y",F4*Settings!$B$16,0))</f>
        <v/>
      </c>
      <c r="I4" s="19" t="str">
        <f aca="false">IF(F4="","",F4+H4)</f>
        <v/>
      </c>
      <c r="J4" s="18" t="str">
        <f aca="false">IF(B4="","",B4+Settings!$B$17)</f>
        <v/>
      </c>
      <c r="K4" s="13"/>
      <c r="L4" s="15"/>
      <c r="M4" s="17" t="str">
        <f aca="true">IF(F4="","",IF(AND(L4&lt;&gt;"",L4&gt;=I4),"Paid",IF(AND(L4&lt;&gt;"",L4&gt;0),"Part paid",IF(TODAY()&gt;J4,"Overdue","Due"))))</f>
        <v/>
      </c>
      <c r="N4" s="19" t="str">
        <f aca="true">IF(M4="Overdue",TODAY()-J4,"")</f>
        <v/>
      </c>
      <c r="O4" s="14"/>
    </row>
    <row r="5" customFormat="false" ht="15" hidden="false" customHeight="false" outlineLevel="0" collapsed="false">
      <c r="A5" s="14"/>
      <c r="B5" s="13"/>
      <c r="C5" s="14"/>
      <c r="D5" s="14"/>
      <c r="E5" s="14"/>
      <c r="F5" s="15"/>
      <c r="G5" s="14"/>
      <c r="H5" s="19" t="str">
        <f aca="false">IF(F5="","",IF(G5="Y",F5*Settings!$B$16,0))</f>
        <v/>
      </c>
      <c r="I5" s="19" t="str">
        <f aca="false">IF(F5="","",F5+H5)</f>
        <v/>
      </c>
      <c r="J5" s="18" t="str">
        <f aca="false">IF(B5="","",B5+Settings!$B$17)</f>
        <v/>
      </c>
      <c r="K5" s="13"/>
      <c r="L5" s="15"/>
      <c r="M5" s="17" t="str">
        <f aca="true">IF(F5="","",IF(AND(L5&lt;&gt;"",L5&gt;=I5),"Paid",IF(AND(L5&lt;&gt;"",L5&gt;0),"Part paid",IF(TODAY()&gt;J5,"Overdue","Due"))))</f>
        <v/>
      </c>
      <c r="N5" s="19" t="str">
        <f aca="true">IF(M5="Overdue",TODAY()-J5,"")</f>
        <v/>
      </c>
      <c r="O5" s="14"/>
    </row>
    <row r="6" customFormat="false" ht="15" hidden="false" customHeight="false" outlineLevel="0" collapsed="false">
      <c r="A6" s="14"/>
      <c r="B6" s="13"/>
      <c r="C6" s="14"/>
      <c r="D6" s="14"/>
      <c r="E6" s="14"/>
      <c r="F6" s="15"/>
      <c r="G6" s="14"/>
      <c r="H6" s="19" t="str">
        <f aca="false">IF(F6="","",IF(G6="Y",F6*Settings!$B$16,0))</f>
        <v/>
      </c>
      <c r="I6" s="19" t="str">
        <f aca="false">IF(F6="","",F6+H6)</f>
        <v/>
      </c>
      <c r="J6" s="18" t="str">
        <f aca="false">IF(B6="","",B6+Settings!$B$17)</f>
        <v/>
      </c>
      <c r="K6" s="13"/>
      <c r="L6" s="15"/>
      <c r="M6" s="17" t="str">
        <f aca="true">IF(F6="","",IF(AND(L6&lt;&gt;"",L6&gt;=I6),"Paid",IF(AND(L6&lt;&gt;"",L6&gt;0),"Part paid",IF(TODAY()&gt;J6,"Overdue","Due"))))</f>
        <v/>
      </c>
      <c r="N6" s="19" t="str">
        <f aca="true">IF(M6="Overdue",TODAY()-J6,"")</f>
        <v/>
      </c>
      <c r="O6" s="14"/>
    </row>
    <row r="7" customFormat="false" ht="15" hidden="false" customHeight="false" outlineLevel="0" collapsed="false">
      <c r="A7" s="14"/>
      <c r="B7" s="13"/>
      <c r="C7" s="14"/>
      <c r="D7" s="14"/>
      <c r="E7" s="14"/>
      <c r="F7" s="15"/>
      <c r="G7" s="14"/>
      <c r="H7" s="19" t="str">
        <f aca="false">IF(F7="","",IF(G7="Y",F7*Settings!$B$16,0))</f>
        <v/>
      </c>
      <c r="I7" s="19" t="str">
        <f aca="false">IF(F7="","",F7+H7)</f>
        <v/>
      </c>
      <c r="J7" s="18" t="str">
        <f aca="false">IF(B7="","",B7+Settings!$B$17)</f>
        <v/>
      </c>
      <c r="K7" s="13"/>
      <c r="L7" s="15"/>
      <c r="M7" s="17" t="str">
        <f aca="true">IF(F7="","",IF(AND(L7&lt;&gt;"",L7&gt;=I7),"Paid",IF(AND(L7&lt;&gt;"",L7&gt;0),"Part paid",IF(TODAY()&gt;J7,"Overdue","Due"))))</f>
        <v/>
      </c>
      <c r="N7" s="19" t="str">
        <f aca="true">IF(M7="Overdue",TODAY()-J7,"")</f>
        <v/>
      </c>
      <c r="O7" s="14"/>
    </row>
    <row r="8" customFormat="false" ht="15" hidden="false" customHeight="false" outlineLevel="0" collapsed="false">
      <c r="A8" s="14"/>
      <c r="B8" s="13"/>
      <c r="C8" s="14"/>
      <c r="D8" s="14"/>
      <c r="E8" s="14"/>
      <c r="F8" s="15"/>
      <c r="G8" s="14"/>
      <c r="H8" s="19" t="str">
        <f aca="false">IF(F8="","",IF(G8="Y",F8*Settings!$B$16,0))</f>
        <v/>
      </c>
      <c r="I8" s="19" t="str">
        <f aca="false">IF(F8="","",F8+H8)</f>
        <v/>
      </c>
      <c r="J8" s="18" t="str">
        <f aca="false">IF(B8="","",B8+Settings!$B$17)</f>
        <v/>
      </c>
      <c r="K8" s="13"/>
      <c r="L8" s="15"/>
      <c r="M8" s="17" t="str">
        <f aca="true">IF(F8="","",IF(AND(L8&lt;&gt;"",L8&gt;=I8),"Paid",IF(AND(L8&lt;&gt;"",L8&gt;0),"Part paid",IF(TODAY()&gt;J8,"Overdue","Due"))))</f>
        <v/>
      </c>
      <c r="N8" s="19" t="str">
        <f aca="true">IF(M8="Overdue",TODAY()-J8,"")</f>
        <v/>
      </c>
      <c r="O8" s="14"/>
    </row>
    <row r="9" customFormat="false" ht="15" hidden="false" customHeight="false" outlineLevel="0" collapsed="false">
      <c r="A9" s="14"/>
      <c r="B9" s="13"/>
      <c r="C9" s="14"/>
      <c r="D9" s="14"/>
      <c r="E9" s="14"/>
      <c r="F9" s="15"/>
      <c r="G9" s="14"/>
      <c r="H9" s="19" t="str">
        <f aca="false">IF(F9="","",IF(G9="Y",F9*Settings!$B$16,0))</f>
        <v/>
      </c>
      <c r="I9" s="19" t="str">
        <f aca="false">IF(F9="","",F9+H9)</f>
        <v/>
      </c>
      <c r="J9" s="18" t="str">
        <f aca="false">IF(B9="","",B9+Settings!$B$17)</f>
        <v/>
      </c>
      <c r="K9" s="13"/>
      <c r="L9" s="15"/>
      <c r="M9" s="17" t="str">
        <f aca="true">IF(F9="","",IF(AND(L9&lt;&gt;"",L9&gt;=I9),"Paid",IF(AND(L9&lt;&gt;"",L9&gt;0),"Part paid",IF(TODAY()&gt;J9,"Overdue","Due"))))</f>
        <v/>
      </c>
      <c r="N9" s="19" t="str">
        <f aca="true">IF(M9="Overdue",TODAY()-J9,"")</f>
        <v/>
      </c>
      <c r="O9" s="14"/>
    </row>
    <row r="10" customFormat="false" ht="15" hidden="false" customHeight="false" outlineLevel="0" collapsed="false">
      <c r="A10" s="14"/>
      <c r="B10" s="13"/>
      <c r="C10" s="14"/>
      <c r="D10" s="14"/>
      <c r="E10" s="14"/>
      <c r="F10" s="15"/>
      <c r="G10" s="14"/>
      <c r="H10" s="19" t="str">
        <f aca="false">IF(F10="","",IF(G10="Y",F10*Settings!$B$16,0))</f>
        <v/>
      </c>
      <c r="I10" s="19" t="str">
        <f aca="false">IF(F10="","",F10+H10)</f>
        <v/>
      </c>
      <c r="J10" s="18" t="str">
        <f aca="false">IF(B10="","",B10+Settings!$B$17)</f>
        <v/>
      </c>
      <c r="K10" s="13"/>
      <c r="L10" s="15"/>
      <c r="M10" s="17" t="str">
        <f aca="true">IF(F10="","",IF(AND(L10&lt;&gt;"",L10&gt;=I10),"Paid",IF(AND(L10&lt;&gt;"",L10&gt;0),"Part paid",IF(TODAY()&gt;J10,"Overdue","Due"))))</f>
        <v/>
      </c>
      <c r="N10" s="19" t="str">
        <f aca="true">IF(M10="Overdue",TODAY()-J10,"")</f>
        <v/>
      </c>
      <c r="O10" s="14"/>
    </row>
    <row r="11" customFormat="false" ht="15" hidden="false" customHeight="false" outlineLevel="0" collapsed="false">
      <c r="A11" s="14"/>
      <c r="B11" s="13"/>
      <c r="C11" s="14"/>
      <c r="D11" s="14"/>
      <c r="E11" s="14"/>
      <c r="F11" s="15"/>
      <c r="G11" s="14"/>
      <c r="H11" s="19" t="str">
        <f aca="false">IF(F11="","",IF(G11="Y",F11*Settings!$B$16,0))</f>
        <v/>
      </c>
      <c r="I11" s="19" t="str">
        <f aca="false">IF(F11="","",F11+H11)</f>
        <v/>
      </c>
      <c r="J11" s="18" t="str">
        <f aca="false">IF(B11="","",B11+Settings!$B$17)</f>
        <v/>
      </c>
      <c r="K11" s="13"/>
      <c r="L11" s="15"/>
      <c r="M11" s="17" t="str">
        <f aca="true">IF(F11="","",IF(AND(L11&lt;&gt;"",L11&gt;=I11),"Paid",IF(AND(L11&lt;&gt;"",L11&gt;0),"Part paid",IF(TODAY()&gt;J11,"Overdue","Due"))))</f>
        <v/>
      </c>
      <c r="N11" s="19" t="str">
        <f aca="true">IF(M11="Overdue",TODAY()-J11,"")</f>
        <v/>
      </c>
      <c r="O11" s="14"/>
    </row>
    <row r="12" customFormat="false" ht="15" hidden="false" customHeight="false" outlineLevel="0" collapsed="false">
      <c r="A12" s="14"/>
      <c r="B12" s="13"/>
      <c r="C12" s="14"/>
      <c r="D12" s="14"/>
      <c r="E12" s="14"/>
      <c r="F12" s="15"/>
      <c r="G12" s="14"/>
      <c r="H12" s="19" t="str">
        <f aca="false">IF(F12="","",IF(G12="Y",F12*Settings!$B$16,0))</f>
        <v/>
      </c>
      <c r="I12" s="19" t="str">
        <f aca="false">IF(F12="","",F12+H12)</f>
        <v/>
      </c>
      <c r="J12" s="18" t="str">
        <f aca="false">IF(B12="","",B12+Settings!$B$17)</f>
        <v/>
      </c>
      <c r="K12" s="13"/>
      <c r="L12" s="15"/>
      <c r="M12" s="17" t="str">
        <f aca="true">IF(F12="","",IF(AND(L12&lt;&gt;"",L12&gt;=I12),"Paid",IF(AND(L12&lt;&gt;"",L12&gt;0),"Part paid",IF(TODAY()&gt;J12,"Overdue","Due"))))</f>
        <v/>
      </c>
      <c r="N12" s="19" t="str">
        <f aca="true">IF(M12="Overdue",TODAY()-J12,"")</f>
        <v/>
      </c>
      <c r="O12" s="14"/>
    </row>
    <row r="13" customFormat="false" ht="15" hidden="false" customHeight="false" outlineLevel="0" collapsed="false">
      <c r="A13" s="14"/>
      <c r="B13" s="13"/>
      <c r="C13" s="14"/>
      <c r="D13" s="14"/>
      <c r="E13" s="14"/>
      <c r="F13" s="15"/>
      <c r="G13" s="14"/>
      <c r="H13" s="19" t="str">
        <f aca="false">IF(F13="","",IF(G13="Y",F13*Settings!$B$16,0))</f>
        <v/>
      </c>
      <c r="I13" s="19" t="str">
        <f aca="false">IF(F13="","",F13+H13)</f>
        <v/>
      </c>
      <c r="J13" s="18" t="str">
        <f aca="false">IF(B13="","",B13+Settings!$B$17)</f>
        <v/>
      </c>
      <c r="K13" s="13"/>
      <c r="L13" s="15"/>
      <c r="M13" s="17" t="str">
        <f aca="true">IF(F13="","",IF(AND(L13&lt;&gt;"",L13&gt;=I13),"Paid",IF(AND(L13&lt;&gt;"",L13&gt;0),"Part paid",IF(TODAY()&gt;J13,"Overdue","Due"))))</f>
        <v/>
      </c>
      <c r="N13" s="19" t="str">
        <f aca="true">IF(M13="Overdue",TODAY()-J13,"")</f>
        <v/>
      </c>
      <c r="O13" s="14"/>
    </row>
    <row r="14" customFormat="false" ht="15" hidden="false" customHeight="false" outlineLevel="0" collapsed="false">
      <c r="A14" s="14"/>
      <c r="B14" s="13"/>
      <c r="C14" s="14"/>
      <c r="D14" s="14"/>
      <c r="E14" s="14"/>
      <c r="F14" s="15"/>
      <c r="G14" s="14"/>
      <c r="H14" s="19" t="str">
        <f aca="false">IF(F14="","",IF(G14="Y",F14*Settings!$B$16,0))</f>
        <v/>
      </c>
      <c r="I14" s="19" t="str">
        <f aca="false">IF(F14="","",F14+H14)</f>
        <v/>
      </c>
      <c r="J14" s="18" t="str">
        <f aca="false">IF(B14="","",B14+Settings!$B$17)</f>
        <v/>
      </c>
      <c r="K14" s="13"/>
      <c r="L14" s="15"/>
      <c r="M14" s="17" t="str">
        <f aca="true">IF(F14="","",IF(AND(L14&lt;&gt;"",L14&gt;=I14),"Paid",IF(AND(L14&lt;&gt;"",L14&gt;0),"Part paid",IF(TODAY()&gt;J14,"Overdue","Due"))))</f>
        <v/>
      </c>
      <c r="N14" s="19" t="str">
        <f aca="true">IF(M14="Overdue",TODAY()-J14,"")</f>
        <v/>
      </c>
      <c r="O14" s="14"/>
    </row>
    <row r="15" customFormat="false" ht="15" hidden="false" customHeight="false" outlineLevel="0" collapsed="false">
      <c r="A15" s="14"/>
      <c r="B15" s="13"/>
      <c r="C15" s="14"/>
      <c r="D15" s="14"/>
      <c r="E15" s="14"/>
      <c r="F15" s="15"/>
      <c r="G15" s="14"/>
      <c r="H15" s="19" t="str">
        <f aca="false">IF(F15="","",IF(G15="Y",F15*Settings!$B$16,0))</f>
        <v/>
      </c>
      <c r="I15" s="19" t="str">
        <f aca="false">IF(F15="","",F15+H15)</f>
        <v/>
      </c>
      <c r="J15" s="18" t="str">
        <f aca="false">IF(B15="","",B15+Settings!$B$17)</f>
        <v/>
      </c>
      <c r="K15" s="13"/>
      <c r="L15" s="15"/>
      <c r="M15" s="17" t="str">
        <f aca="true">IF(F15="","",IF(AND(L15&lt;&gt;"",L15&gt;=I15),"Paid",IF(AND(L15&lt;&gt;"",L15&gt;0),"Part paid",IF(TODAY()&gt;J15,"Overdue","Due"))))</f>
        <v/>
      </c>
      <c r="N15" s="19" t="str">
        <f aca="true">IF(M15="Overdue",TODAY()-J15,"")</f>
        <v/>
      </c>
      <c r="O15" s="14"/>
    </row>
    <row r="16" customFormat="false" ht="15" hidden="false" customHeight="false" outlineLevel="0" collapsed="false">
      <c r="A16" s="14"/>
      <c r="B16" s="13"/>
      <c r="C16" s="14"/>
      <c r="D16" s="14"/>
      <c r="E16" s="14"/>
      <c r="F16" s="15"/>
      <c r="G16" s="14"/>
      <c r="H16" s="19" t="str">
        <f aca="false">IF(F16="","",IF(G16="Y",F16*Settings!$B$16,0))</f>
        <v/>
      </c>
      <c r="I16" s="19" t="str">
        <f aca="false">IF(F16="","",F16+H16)</f>
        <v/>
      </c>
      <c r="J16" s="18" t="str">
        <f aca="false">IF(B16="","",B16+Settings!$B$17)</f>
        <v/>
      </c>
      <c r="K16" s="13"/>
      <c r="L16" s="15"/>
      <c r="M16" s="17" t="str">
        <f aca="true">IF(F16="","",IF(AND(L16&lt;&gt;"",L16&gt;=I16),"Paid",IF(AND(L16&lt;&gt;"",L16&gt;0),"Part paid",IF(TODAY()&gt;J16,"Overdue","Due"))))</f>
        <v/>
      </c>
      <c r="N16" s="19" t="str">
        <f aca="true">IF(M16="Overdue",TODAY()-J16,"")</f>
        <v/>
      </c>
      <c r="O16" s="14"/>
    </row>
    <row r="17" customFormat="false" ht="15" hidden="false" customHeight="false" outlineLevel="0" collapsed="false">
      <c r="A17" s="14"/>
      <c r="B17" s="13"/>
      <c r="C17" s="14"/>
      <c r="D17" s="14"/>
      <c r="E17" s="14"/>
      <c r="F17" s="15"/>
      <c r="G17" s="14"/>
      <c r="H17" s="19" t="str">
        <f aca="false">IF(F17="","",IF(G17="Y",F17*Settings!$B$16,0))</f>
        <v/>
      </c>
      <c r="I17" s="19" t="str">
        <f aca="false">IF(F17="","",F17+H17)</f>
        <v/>
      </c>
      <c r="J17" s="18" t="str">
        <f aca="false">IF(B17="","",B17+Settings!$B$17)</f>
        <v/>
      </c>
      <c r="K17" s="13"/>
      <c r="L17" s="15"/>
      <c r="M17" s="17" t="str">
        <f aca="true">IF(F17="","",IF(AND(L17&lt;&gt;"",L17&gt;=I17),"Paid",IF(AND(L17&lt;&gt;"",L17&gt;0),"Part paid",IF(TODAY()&gt;J17,"Overdue","Due"))))</f>
        <v/>
      </c>
      <c r="N17" s="19" t="str">
        <f aca="true">IF(M17="Overdue",TODAY()-J17,"")</f>
        <v/>
      </c>
      <c r="O17" s="14"/>
    </row>
    <row r="18" customFormat="false" ht="15" hidden="false" customHeight="false" outlineLevel="0" collapsed="false">
      <c r="A18" s="14"/>
      <c r="B18" s="13"/>
      <c r="C18" s="14"/>
      <c r="D18" s="14"/>
      <c r="E18" s="14"/>
      <c r="F18" s="15"/>
      <c r="G18" s="14"/>
      <c r="H18" s="19" t="str">
        <f aca="false">IF(F18="","",IF(G18="Y",F18*Settings!$B$16,0))</f>
        <v/>
      </c>
      <c r="I18" s="19" t="str">
        <f aca="false">IF(F18="","",F18+H18)</f>
        <v/>
      </c>
      <c r="J18" s="18" t="str">
        <f aca="false">IF(B18="","",B18+Settings!$B$17)</f>
        <v/>
      </c>
      <c r="K18" s="13"/>
      <c r="L18" s="15"/>
      <c r="M18" s="17" t="str">
        <f aca="true">IF(F18="","",IF(AND(L18&lt;&gt;"",L18&gt;=I18),"Paid",IF(AND(L18&lt;&gt;"",L18&gt;0),"Part paid",IF(TODAY()&gt;J18,"Overdue","Due"))))</f>
        <v/>
      </c>
      <c r="N18" s="19" t="str">
        <f aca="true">IF(M18="Overdue",TODAY()-J18,"")</f>
        <v/>
      </c>
      <c r="O18" s="14"/>
    </row>
    <row r="19" customFormat="false" ht="15" hidden="false" customHeight="false" outlineLevel="0" collapsed="false">
      <c r="A19" s="14"/>
      <c r="B19" s="13"/>
      <c r="C19" s="14"/>
      <c r="D19" s="14"/>
      <c r="E19" s="14"/>
      <c r="F19" s="15"/>
      <c r="G19" s="14"/>
      <c r="H19" s="19" t="str">
        <f aca="false">IF(F19="","",IF(G19="Y",F19*Settings!$B$16,0))</f>
        <v/>
      </c>
      <c r="I19" s="19" t="str">
        <f aca="false">IF(F19="","",F19+H19)</f>
        <v/>
      </c>
      <c r="J19" s="18" t="str">
        <f aca="false">IF(B19="","",B19+Settings!$B$17)</f>
        <v/>
      </c>
      <c r="K19" s="13"/>
      <c r="L19" s="15"/>
      <c r="M19" s="17" t="str">
        <f aca="true">IF(F19="","",IF(AND(L19&lt;&gt;"",L19&gt;=I19),"Paid",IF(AND(L19&lt;&gt;"",L19&gt;0),"Part paid",IF(TODAY()&gt;J19,"Overdue","Due"))))</f>
        <v/>
      </c>
      <c r="N19" s="19" t="str">
        <f aca="true">IF(M19="Overdue",TODAY()-J19,"")</f>
        <v/>
      </c>
      <c r="O19" s="14"/>
    </row>
    <row r="20" customFormat="false" ht="15" hidden="false" customHeight="false" outlineLevel="0" collapsed="false">
      <c r="A20" s="14"/>
      <c r="B20" s="13"/>
      <c r="C20" s="14"/>
      <c r="D20" s="14"/>
      <c r="E20" s="14"/>
      <c r="F20" s="15"/>
      <c r="G20" s="14"/>
      <c r="H20" s="19" t="str">
        <f aca="false">IF(F20="","",IF(G20="Y",F20*Settings!$B$16,0))</f>
        <v/>
      </c>
      <c r="I20" s="19" t="str">
        <f aca="false">IF(F20="","",F20+H20)</f>
        <v/>
      </c>
      <c r="J20" s="18" t="str">
        <f aca="false">IF(B20="","",B20+Settings!$B$17)</f>
        <v/>
      </c>
      <c r="K20" s="13"/>
      <c r="L20" s="15"/>
      <c r="M20" s="17" t="str">
        <f aca="true">IF(F20="","",IF(AND(L20&lt;&gt;"",L20&gt;=I20),"Paid",IF(AND(L20&lt;&gt;"",L20&gt;0),"Part paid",IF(TODAY()&gt;J20,"Overdue","Due"))))</f>
        <v/>
      </c>
      <c r="N20" s="19" t="str">
        <f aca="true">IF(M20="Overdue",TODAY()-J20,"")</f>
        <v/>
      </c>
      <c r="O20" s="14"/>
    </row>
    <row r="21" customFormat="false" ht="15" hidden="false" customHeight="false" outlineLevel="0" collapsed="false">
      <c r="A21" s="14"/>
      <c r="B21" s="13"/>
      <c r="C21" s="14"/>
      <c r="D21" s="14"/>
      <c r="E21" s="14"/>
      <c r="F21" s="15"/>
      <c r="G21" s="14"/>
      <c r="H21" s="19" t="str">
        <f aca="false">IF(F21="","",IF(G21="Y",F21*Settings!$B$16,0))</f>
        <v/>
      </c>
      <c r="I21" s="19" t="str">
        <f aca="false">IF(F21="","",F21+H21)</f>
        <v/>
      </c>
      <c r="J21" s="18" t="str">
        <f aca="false">IF(B21="","",B21+Settings!$B$17)</f>
        <v/>
      </c>
      <c r="K21" s="13"/>
      <c r="L21" s="15"/>
      <c r="M21" s="17" t="str">
        <f aca="true">IF(F21="","",IF(AND(L21&lt;&gt;"",L21&gt;=I21),"Paid",IF(AND(L21&lt;&gt;"",L21&gt;0),"Part paid",IF(TODAY()&gt;J21,"Overdue","Due"))))</f>
        <v/>
      </c>
      <c r="N21" s="19" t="str">
        <f aca="true">IF(M21="Overdue",TODAY()-J21,"")</f>
        <v/>
      </c>
      <c r="O21" s="14"/>
    </row>
    <row r="22" customFormat="false" ht="15" hidden="false" customHeight="false" outlineLevel="0" collapsed="false">
      <c r="A22" s="14"/>
      <c r="B22" s="13"/>
      <c r="C22" s="14"/>
      <c r="D22" s="14"/>
      <c r="E22" s="14"/>
      <c r="F22" s="15"/>
      <c r="G22" s="14"/>
      <c r="H22" s="19" t="str">
        <f aca="false">IF(F22="","",IF(G22="Y",F22*Settings!$B$16,0))</f>
        <v/>
      </c>
      <c r="I22" s="19" t="str">
        <f aca="false">IF(F22="","",F22+H22)</f>
        <v/>
      </c>
      <c r="J22" s="18" t="str">
        <f aca="false">IF(B22="","",B22+Settings!$B$17)</f>
        <v/>
      </c>
      <c r="K22" s="13"/>
      <c r="L22" s="15"/>
      <c r="M22" s="17" t="str">
        <f aca="true">IF(F22="","",IF(AND(L22&lt;&gt;"",L22&gt;=I22),"Paid",IF(AND(L22&lt;&gt;"",L22&gt;0),"Part paid",IF(TODAY()&gt;J22,"Overdue","Due"))))</f>
        <v/>
      </c>
      <c r="N22" s="19" t="str">
        <f aca="true">IF(M22="Overdue",TODAY()-J22,"")</f>
        <v/>
      </c>
      <c r="O22" s="14"/>
    </row>
    <row r="23" customFormat="false" ht="15" hidden="false" customHeight="false" outlineLevel="0" collapsed="false">
      <c r="A23" s="14"/>
      <c r="B23" s="13"/>
      <c r="C23" s="14"/>
      <c r="D23" s="14"/>
      <c r="E23" s="14"/>
      <c r="F23" s="15"/>
      <c r="G23" s="14"/>
      <c r="H23" s="19" t="str">
        <f aca="false">IF(F23="","",IF(G23="Y",F23*Settings!$B$16,0))</f>
        <v/>
      </c>
      <c r="I23" s="19" t="str">
        <f aca="false">IF(F23="","",F23+H23)</f>
        <v/>
      </c>
      <c r="J23" s="18" t="str">
        <f aca="false">IF(B23="","",B23+Settings!$B$17)</f>
        <v/>
      </c>
      <c r="K23" s="13"/>
      <c r="L23" s="15"/>
      <c r="M23" s="17" t="str">
        <f aca="true">IF(F23="","",IF(AND(L23&lt;&gt;"",L23&gt;=I23),"Paid",IF(AND(L23&lt;&gt;"",L23&gt;0),"Part paid",IF(TODAY()&gt;J23,"Overdue","Due"))))</f>
        <v/>
      </c>
      <c r="N23" s="19" t="str">
        <f aca="true">IF(M23="Overdue",TODAY()-J23,"")</f>
        <v/>
      </c>
      <c r="O23" s="14"/>
    </row>
    <row r="24" customFormat="false" ht="15" hidden="false" customHeight="false" outlineLevel="0" collapsed="false">
      <c r="A24" s="14"/>
      <c r="B24" s="13"/>
      <c r="C24" s="14"/>
      <c r="D24" s="14"/>
      <c r="E24" s="14"/>
      <c r="F24" s="15"/>
      <c r="G24" s="14"/>
      <c r="H24" s="19" t="str">
        <f aca="false">IF(F24="","",IF(G24="Y",F24*Settings!$B$16,0))</f>
        <v/>
      </c>
      <c r="I24" s="19" t="str">
        <f aca="false">IF(F24="","",F24+H24)</f>
        <v/>
      </c>
      <c r="J24" s="18" t="str">
        <f aca="false">IF(B24="","",B24+Settings!$B$17)</f>
        <v/>
      </c>
      <c r="K24" s="13"/>
      <c r="L24" s="15"/>
      <c r="M24" s="17" t="str">
        <f aca="true">IF(F24="","",IF(AND(L24&lt;&gt;"",L24&gt;=I24),"Paid",IF(AND(L24&lt;&gt;"",L24&gt;0),"Part paid",IF(TODAY()&gt;J24,"Overdue","Due"))))</f>
        <v/>
      </c>
      <c r="N24" s="19" t="str">
        <f aca="true">IF(M24="Overdue",TODAY()-J24,"")</f>
        <v/>
      </c>
      <c r="O24" s="14"/>
    </row>
    <row r="25" customFormat="false" ht="15" hidden="false" customHeight="false" outlineLevel="0" collapsed="false">
      <c r="A25" s="14"/>
      <c r="B25" s="13"/>
      <c r="C25" s="14"/>
      <c r="D25" s="14"/>
      <c r="E25" s="14"/>
      <c r="F25" s="15"/>
      <c r="G25" s="14"/>
      <c r="H25" s="19" t="str">
        <f aca="false">IF(F25="","",IF(G25="Y",F25*Settings!$B$16,0))</f>
        <v/>
      </c>
      <c r="I25" s="19" t="str">
        <f aca="false">IF(F25="","",F25+H25)</f>
        <v/>
      </c>
      <c r="J25" s="18" t="str">
        <f aca="false">IF(B25="","",B25+Settings!$B$17)</f>
        <v/>
      </c>
      <c r="K25" s="13"/>
      <c r="L25" s="15"/>
      <c r="M25" s="17" t="str">
        <f aca="true">IF(F25="","",IF(AND(L25&lt;&gt;"",L25&gt;=I25),"Paid",IF(AND(L25&lt;&gt;"",L25&gt;0),"Part paid",IF(TODAY()&gt;J25,"Overdue","Due"))))</f>
        <v/>
      </c>
      <c r="N25" s="19" t="str">
        <f aca="true">IF(M25="Overdue",TODAY()-J25,"")</f>
        <v/>
      </c>
      <c r="O25" s="14"/>
    </row>
    <row r="26" customFormat="false" ht="15" hidden="false" customHeight="false" outlineLevel="0" collapsed="false">
      <c r="A26" s="14"/>
      <c r="B26" s="13"/>
      <c r="C26" s="14"/>
      <c r="D26" s="14"/>
      <c r="E26" s="14"/>
      <c r="F26" s="15"/>
      <c r="G26" s="14"/>
      <c r="H26" s="19" t="str">
        <f aca="false">IF(F26="","",IF(G26="Y",F26*Settings!$B$16,0))</f>
        <v/>
      </c>
      <c r="I26" s="19" t="str">
        <f aca="false">IF(F26="","",F26+H26)</f>
        <v/>
      </c>
      <c r="J26" s="18" t="str">
        <f aca="false">IF(B26="","",B26+Settings!$B$17)</f>
        <v/>
      </c>
      <c r="K26" s="13"/>
      <c r="L26" s="15"/>
      <c r="M26" s="17" t="str">
        <f aca="true">IF(F26="","",IF(AND(L26&lt;&gt;"",L26&gt;=I26),"Paid",IF(AND(L26&lt;&gt;"",L26&gt;0),"Part paid",IF(TODAY()&gt;J26,"Overdue","Due"))))</f>
        <v/>
      </c>
      <c r="N26" s="19" t="str">
        <f aca="true">IF(M26="Overdue",TODAY()-J26,"")</f>
        <v/>
      </c>
      <c r="O26" s="14"/>
    </row>
    <row r="27" customFormat="false" ht="15" hidden="false" customHeight="false" outlineLevel="0" collapsed="false">
      <c r="A27" s="14"/>
      <c r="B27" s="13"/>
      <c r="C27" s="14"/>
      <c r="D27" s="14"/>
      <c r="E27" s="14"/>
      <c r="F27" s="15"/>
      <c r="G27" s="14"/>
      <c r="H27" s="19" t="str">
        <f aca="false">IF(F27="","",IF(G27="Y",F27*Settings!$B$16,0))</f>
        <v/>
      </c>
      <c r="I27" s="19" t="str">
        <f aca="false">IF(F27="","",F27+H27)</f>
        <v/>
      </c>
      <c r="J27" s="18" t="str">
        <f aca="false">IF(B27="","",B27+Settings!$B$17)</f>
        <v/>
      </c>
      <c r="K27" s="13"/>
      <c r="L27" s="15"/>
      <c r="M27" s="17" t="str">
        <f aca="true">IF(F27="","",IF(AND(L27&lt;&gt;"",L27&gt;=I27),"Paid",IF(AND(L27&lt;&gt;"",L27&gt;0),"Part paid",IF(TODAY()&gt;J27,"Overdue","Due"))))</f>
        <v/>
      </c>
      <c r="N27" s="19" t="str">
        <f aca="true">IF(M27="Overdue",TODAY()-J27,"")</f>
        <v/>
      </c>
      <c r="O27" s="14"/>
    </row>
    <row r="28" customFormat="false" ht="15" hidden="false" customHeight="false" outlineLevel="0" collapsed="false">
      <c r="A28" s="14"/>
      <c r="B28" s="13"/>
      <c r="C28" s="14"/>
      <c r="D28" s="14"/>
      <c r="E28" s="14"/>
      <c r="F28" s="15"/>
      <c r="G28" s="14"/>
      <c r="H28" s="19" t="str">
        <f aca="false">IF(F28="","",IF(G28="Y",F28*Settings!$B$16,0))</f>
        <v/>
      </c>
      <c r="I28" s="19" t="str">
        <f aca="false">IF(F28="","",F28+H28)</f>
        <v/>
      </c>
      <c r="J28" s="18" t="str">
        <f aca="false">IF(B28="","",B28+Settings!$B$17)</f>
        <v/>
      </c>
      <c r="K28" s="13"/>
      <c r="L28" s="15"/>
      <c r="M28" s="17" t="str">
        <f aca="true">IF(F28="","",IF(AND(L28&lt;&gt;"",L28&gt;=I28),"Paid",IF(AND(L28&lt;&gt;"",L28&gt;0),"Part paid",IF(TODAY()&gt;J28,"Overdue","Due"))))</f>
        <v/>
      </c>
      <c r="N28" s="19" t="str">
        <f aca="true">IF(M28="Overdue",TODAY()-J28,"")</f>
        <v/>
      </c>
      <c r="O28" s="14"/>
    </row>
    <row r="29" customFormat="false" ht="15" hidden="false" customHeight="false" outlineLevel="0" collapsed="false">
      <c r="A29" s="14"/>
      <c r="B29" s="13"/>
      <c r="C29" s="14"/>
      <c r="D29" s="14"/>
      <c r="E29" s="14"/>
      <c r="F29" s="15"/>
      <c r="G29" s="14"/>
      <c r="H29" s="19" t="str">
        <f aca="false">IF(F29="","",IF(G29="Y",F29*Settings!$B$16,0))</f>
        <v/>
      </c>
      <c r="I29" s="19" t="str">
        <f aca="false">IF(F29="","",F29+H29)</f>
        <v/>
      </c>
      <c r="J29" s="18" t="str">
        <f aca="false">IF(B29="","",B29+Settings!$B$17)</f>
        <v/>
      </c>
      <c r="K29" s="13"/>
      <c r="L29" s="15"/>
      <c r="M29" s="17" t="str">
        <f aca="true">IF(F29="","",IF(AND(L29&lt;&gt;"",L29&gt;=I29),"Paid",IF(AND(L29&lt;&gt;"",L29&gt;0),"Part paid",IF(TODAY()&gt;J29,"Overdue","Due"))))</f>
        <v/>
      </c>
      <c r="N29" s="19" t="str">
        <f aca="true">IF(M29="Overdue",TODAY()-J29,"")</f>
        <v/>
      </c>
      <c r="O29" s="14"/>
    </row>
    <row r="30" customFormat="false" ht="15" hidden="false" customHeight="false" outlineLevel="0" collapsed="false">
      <c r="A30" s="14"/>
      <c r="B30" s="13"/>
      <c r="C30" s="14"/>
      <c r="D30" s="14"/>
      <c r="E30" s="14"/>
      <c r="F30" s="15"/>
      <c r="G30" s="14"/>
      <c r="H30" s="19" t="str">
        <f aca="false">IF(F30="","",IF(G30="Y",F30*Settings!$B$16,0))</f>
        <v/>
      </c>
      <c r="I30" s="19" t="str">
        <f aca="false">IF(F30="","",F30+H30)</f>
        <v/>
      </c>
      <c r="J30" s="18" t="str">
        <f aca="false">IF(B30="","",B30+Settings!$B$17)</f>
        <v/>
      </c>
      <c r="K30" s="13"/>
      <c r="L30" s="15"/>
      <c r="M30" s="17" t="str">
        <f aca="true">IF(F30="","",IF(AND(L30&lt;&gt;"",L30&gt;=I30),"Paid",IF(AND(L30&lt;&gt;"",L30&gt;0),"Part paid",IF(TODAY()&gt;J30,"Overdue","Due"))))</f>
        <v/>
      </c>
      <c r="N30" s="19" t="str">
        <f aca="true">IF(M30="Overdue",TODAY()-J30,"")</f>
        <v/>
      </c>
      <c r="O30" s="14"/>
    </row>
    <row r="31" customFormat="false" ht="15" hidden="false" customHeight="false" outlineLevel="0" collapsed="false">
      <c r="A31" s="14"/>
      <c r="B31" s="13"/>
      <c r="C31" s="14"/>
      <c r="D31" s="14"/>
      <c r="E31" s="14"/>
      <c r="F31" s="15"/>
      <c r="G31" s="14"/>
      <c r="H31" s="19" t="str">
        <f aca="false">IF(F31="","",IF(G31="Y",F31*Settings!$B$16,0))</f>
        <v/>
      </c>
      <c r="I31" s="19" t="str">
        <f aca="false">IF(F31="","",F31+H31)</f>
        <v/>
      </c>
      <c r="J31" s="18" t="str">
        <f aca="false">IF(B31="","",B31+Settings!$B$17)</f>
        <v/>
      </c>
      <c r="K31" s="13"/>
      <c r="L31" s="15"/>
      <c r="M31" s="17" t="str">
        <f aca="true">IF(F31="","",IF(AND(L31&lt;&gt;"",L31&gt;=I31),"Paid",IF(AND(L31&lt;&gt;"",L31&gt;0),"Part paid",IF(TODAY()&gt;J31,"Overdue","Due"))))</f>
        <v/>
      </c>
      <c r="N31" s="19" t="str">
        <f aca="true">IF(M31="Overdue",TODAY()-J31,"")</f>
        <v/>
      </c>
      <c r="O31" s="14"/>
    </row>
    <row r="32" customFormat="false" ht="15" hidden="false" customHeight="false" outlineLevel="0" collapsed="false">
      <c r="A32" s="14"/>
      <c r="B32" s="13"/>
      <c r="C32" s="14"/>
      <c r="D32" s="14"/>
      <c r="E32" s="14"/>
      <c r="F32" s="15"/>
      <c r="G32" s="14"/>
      <c r="H32" s="19" t="str">
        <f aca="false">IF(F32="","",IF(G32="Y",F32*Settings!$B$16,0))</f>
        <v/>
      </c>
      <c r="I32" s="19" t="str">
        <f aca="false">IF(F32="","",F32+H32)</f>
        <v/>
      </c>
      <c r="J32" s="18" t="str">
        <f aca="false">IF(B32="","",B32+Settings!$B$17)</f>
        <v/>
      </c>
      <c r="K32" s="13"/>
      <c r="L32" s="15"/>
      <c r="M32" s="17" t="str">
        <f aca="true">IF(F32="","",IF(AND(L32&lt;&gt;"",L32&gt;=I32),"Paid",IF(AND(L32&lt;&gt;"",L32&gt;0),"Part paid",IF(TODAY()&gt;J32,"Overdue","Due"))))</f>
        <v/>
      </c>
      <c r="N32" s="19" t="str">
        <f aca="true">IF(M32="Overdue",TODAY()-J32,"")</f>
        <v/>
      </c>
      <c r="O32" s="14"/>
    </row>
    <row r="33" customFormat="false" ht="15" hidden="false" customHeight="false" outlineLevel="0" collapsed="false">
      <c r="A33" s="14"/>
      <c r="B33" s="13"/>
      <c r="C33" s="14"/>
      <c r="D33" s="14"/>
      <c r="E33" s="14"/>
      <c r="F33" s="15"/>
      <c r="G33" s="14"/>
      <c r="H33" s="19" t="str">
        <f aca="false">IF(F33="","",IF(G33="Y",F33*Settings!$B$16,0))</f>
        <v/>
      </c>
      <c r="I33" s="19" t="str">
        <f aca="false">IF(F33="","",F33+H33)</f>
        <v/>
      </c>
      <c r="J33" s="18" t="str">
        <f aca="false">IF(B33="","",B33+Settings!$B$17)</f>
        <v/>
      </c>
      <c r="K33" s="13"/>
      <c r="L33" s="15"/>
      <c r="M33" s="17" t="str">
        <f aca="true">IF(F33="","",IF(AND(L33&lt;&gt;"",L33&gt;=I33),"Paid",IF(AND(L33&lt;&gt;"",L33&gt;0),"Part paid",IF(TODAY()&gt;J33,"Overdue","Due"))))</f>
        <v/>
      </c>
      <c r="N33" s="19" t="str">
        <f aca="true">IF(M33="Overdue",TODAY()-J33,"")</f>
        <v/>
      </c>
      <c r="O33" s="14"/>
    </row>
    <row r="34" customFormat="false" ht="15" hidden="false" customHeight="false" outlineLevel="0" collapsed="false">
      <c r="A34" s="14"/>
      <c r="B34" s="13"/>
      <c r="C34" s="14"/>
      <c r="D34" s="14"/>
      <c r="E34" s="14"/>
      <c r="F34" s="15"/>
      <c r="G34" s="14"/>
      <c r="H34" s="19" t="str">
        <f aca="false">IF(F34="","",IF(G34="Y",F34*Settings!$B$16,0))</f>
        <v/>
      </c>
      <c r="I34" s="19" t="str">
        <f aca="false">IF(F34="","",F34+H34)</f>
        <v/>
      </c>
      <c r="J34" s="18" t="str">
        <f aca="false">IF(B34="","",B34+Settings!$B$17)</f>
        <v/>
      </c>
      <c r="K34" s="13"/>
      <c r="L34" s="15"/>
      <c r="M34" s="17" t="str">
        <f aca="true">IF(F34="","",IF(AND(L34&lt;&gt;"",L34&gt;=I34),"Paid",IF(AND(L34&lt;&gt;"",L34&gt;0),"Part paid",IF(TODAY()&gt;J34,"Overdue","Due"))))</f>
        <v/>
      </c>
      <c r="N34" s="19" t="str">
        <f aca="true">IF(M34="Overdue",TODAY()-J34,"")</f>
        <v/>
      </c>
      <c r="O34" s="14"/>
    </row>
    <row r="35" customFormat="false" ht="15" hidden="false" customHeight="false" outlineLevel="0" collapsed="false">
      <c r="A35" s="14"/>
      <c r="B35" s="13"/>
      <c r="C35" s="14"/>
      <c r="D35" s="14"/>
      <c r="E35" s="14"/>
      <c r="F35" s="15"/>
      <c r="G35" s="14"/>
      <c r="H35" s="19" t="str">
        <f aca="false">IF(F35="","",IF(G35="Y",F35*Settings!$B$16,0))</f>
        <v/>
      </c>
      <c r="I35" s="19" t="str">
        <f aca="false">IF(F35="","",F35+H35)</f>
        <v/>
      </c>
      <c r="J35" s="18" t="str">
        <f aca="false">IF(B35="","",B35+Settings!$B$17)</f>
        <v/>
      </c>
      <c r="K35" s="13"/>
      <c r="L35" s="15"/>
      <c r="M35" s="17" t="str">
        <f aca="true">IF(F35="","",IF(AND(L35&lt;&gt;"",L35&gt;=I35),"Paid",IF(AND(L35&lt;&gt;"",L35&gt;0),"Part paid",IF(TODAY()&gt;J35,"Overdue","Due"))))</f>
        <v/>
      </c>
      <c r="N35" s="19" t="str">
        <f aca="true">IF(M35="Overdue",TODAY()-J35,"")</f>
        <v/>
      </c>
      <c r="O35" s="14"/>
    </row>
    <row r="36" customFormat="false" ht="15" hidden="false" customHeight="false" outlineLevel="0" collapsed="false">
      <c r="A36" s="14"/>
      <c r="B36" s="13"/>
      <c r="C36" s="14"/>
      <c r="D36" s="14"/>
      <c r="E36" s="14"/>
      <c r="F36" s="15"/>
      <c r="G36" s="14"/>
      <c r="H36" s="19" t="str">
        <f aca="false">IF(F36="","",IF(G36="Y",F36*Settings!$B$16,0))</f>
        <v/>
      </c>
      <c r="I36" s="19" t="str">
        <f aca="false">IF(F36="","",F36+H36)</f>
        <v/>
      </c>
      <c r="J36" s="18" t="str">
        <f aca="false">IF(B36="","",B36+Settings!$B$17)</f>
        <v/>
      </c>
      <c r="K36" s="13"/>
      <c r="L36" s="15"/>
      <c r="M36" s="17" t="str">
        <f aca="true">IF(F36="","",IF(AND(L36&lt;&gt;"",L36&gt;=I36),"Paid",IF(AND(L36&lt;&gt;"",L36&gt;0),"Part paid",IF(TODAY()&gt;J36,"Overdue","Due"))))</f>
        <v/>
      </c>
      <c r="N36" s="19" t="str">
        <f aca="true">IF(M36="Overdue",TODAY()-J36,"")</f>
        <v/>
      </c>
      <c r="O36" s="14"/>
    </row>
    <row r="37" customFormat="false" ht="15" hidden="false" customHeight="false" outlineLevel="0" collapsed="false">
      <c r="A37" s="14"/>
      <c r="B37" s="13"/>
      <c r="C37" s="14"/>
      <c r="D37" s="14"/>
      <c r="E37" s="14"/>
      <c r="F37" s="15"/>
      <c r="G37" s="14"/>
      <c r="H37" s="19" t="str">
        <f aca="false">IF(F37="","",IF(G37="Y",F37*Settings!$B$16,0))</f>
        <v/>
      </c>
      <c r="I37" s="19" t="str">
        <f aca="false">IF(F37="","",F37+H37)</f>
        <v/>
      </c>
      <c r="J37" s="18" t="str">
        <f aca="false">IF(B37="","",B37+Settings!$B$17)</f>
        <v/>
      </c>
      <c r="K37" s="13"/>
      <c r="L37" s="15"/>
      <c r="M37" s="17" t="str">
        <f aca="true">IF(F37="","",IF(AND(L37&lt;&gt;"",L37&gt;=I37),"Paid",IF(AND(L37&lt;&gt;"",L37&gt;0),"Part paid",IF(TODAY()&gt;J37,"Overdue","Due"))))</f>
        <v/>
      </c>
      <c r="N37" s="19" t="str">
        <f aca="true">IF(M37="Overdue",TODAY()-J37,"")</f>
        <v/>
      </c>
      <c r="O37" s="14"/>
    </row>
    <row r="38" customFormat="false" ht="15" hidden="false" customHeight="false" outlineLevel="0" collapsed="false">
      <c r="A38" s="14"/>
      <c r="B38" s="13"/>
      <c r="C38" s="14"/>
      <c r="D38" s="14"/>
      <c r="E38" s="14"/>
      <c r="F38" s="15"/>
      <c r="G38" s="14"/>
      <c r="H38" s="19" t="str">
        <f aca="false">IF(F38="","",IF(G38="Y",F38*Settings!$B$16,0))</f>
        <v/>
      </c>
      <c r="I38" s="19" t="str">
        <f aca="false">IF(F38="","",F38+H38)</f>
        <v/>
      </c>
      <c r="J38" s="18" t="str">
        <f aca="false">IF(B38="","",B38+Settings!$B$17)</f>
        <v/>
      </c>
      <c r="K38" s="13"/>
      <c r="L38" s="15"/>
      <c r="M38" s="17" t="str">
        <f aca="true">IF(F38="","",IF(AND(L38&lt;&gt;"",L38&gt;=I38),"Paid",IF(AND(L38&lt;&gt;"",L38&gt;0),"Part paid",IF(TODAY()&gt;J38,"Overdue","Due"))))</f>
        <v/>
      </c>
      <c r="N38" s="19" t="str">
        <f aca="true">IF(M38="Overdue",TODAY()-J38,"")</f>
        <v/>
      </c>
      <c r="O38" s="14"/>
    </row>
    <row r="39" customFormat="false" ht="15" hidden="false" customHeight="false" outlineLevel="0" collapsed="false">
      <c r="A39" s="14"/>
      <c r="B39" s="13"/>
      <c r="C39" s="14"/>
      <c r="D39" s="14"/>
      <c r="E39" s="14"/>
      <c r="F39" s="15"/>
      <c r="G39" s="14"/>
      <c r="H39" s="19" t="str">
        <f aca="false">IF(F39="","",IF(G39="Y",F39*Settings!$B$16,0))</f>
        <v/>
      </c>
      <c r="I39" s="19" t="str">
        <f aca="false">IF(F39="","",F39+H39)</f>
        <v/>
      </c>
      <c r="J39" s="18" t="str">
        <f aca="false">IF(B39="","",B39+Settings!$B$17)</f>
        <v/>
      </c>
      <c r="K39" s="13"/>
      <c r="L39" s="15"/>
      <c r="M39" s="17" t="str">
        <f aca="true">IF(F39="","",IF(AND(L39&lt;&gt;"",L39&gt;=I39),"Paid",IF(AND(L39&lt;&gt;"",L39&gt;0),"Part paid",IF(TODAY()&gt;J39,"Overdue","Due"))))</f>
        <v/>
      </c>
      <c r="N39" s="19" t="str">
        <f aca="true">IF(M39="Overdue",TODAY()-J39,"")</f>
        <v/>
      </c>
      <c r="O39" s="14"/>
    </row>
    <row r="40" customFormat="false" ht="15" hidden="false" customHeight="false" outlineLevel="0" collapsed="false">
      <c r="A40" s="14"/>
      <c r="B40" s="13"/>
      <c r="C40" s="14"/>
      <c r="D40" s="14"/>
      <c r="E40" s="14"/>
      <c r="F40" s="15"/>
      <c r="G40" s="14"/>
      <c r="H40" s="19" t="str">
        <f aca="false">IF(F40="","",IF(G40="Y",F40*Settings!$B$16,0))</f>
        <v/>
      </c>
      <c r="I40" s="19" t="str">
        <f aca="false">IF(F40="","",F40+H40)</f>
        <v/>
      </c>
      <c r="J40" s="18" t="str">
        <f aca="false">IF(B40="","",B40+Settings!$B$17)</f>
        <v/>
      </c>
      <c r="K40" s="13"/>
      <c r="L40" s="15"/>
      <c r="M40" s="17" t="str">
        <f aca="true">IF(F40="","",IF(AND(L40&lt;&gt;"",L40&gt;=I40),"Paid",IF(AND(L40&lt;&gt;"",L40&gt;0),"Part paid",IF(TODAY()&gt;J40,"Overdue","Due"))))</f>
        <v/>
      </c>
      <c r="N40" s="19" t="str">
        <f aca="true">IF(M40="Overdue",TODAY()-J40,"")</f>
        <v/>
      </c>
      <c r="O40" s="14"/>
    </row>
    <row r="41" customFormat="false" ht="15" hidden="false" customHeight="false" outlineLevel="0" collapsed="false">
      <c r="A41" s="14"/>
      <c r="B41" s="13"/>
      <c r="C41" s="14"/>
      <c r="D41" s="14"/>
      <c r="E41" s="14"/>
      <c r="F41" s="15"/>
      <c r="G41" s="14"/>
      <c r="H41" s="19" t="str">
        <f aca="false">IF(F41="","",IF(G41="Y",F41*Settings!$B$16,0))</f>
        <v/>
      </c>
      <c r="I41" s="19" t="str">
        <f aca="false">IF(F41="","",F41+H41)</f>
        <v/>
      </c>
      <c r="J41" s="18" t="str">
        <f aca="false">IF(B41="","",B41+Settings!$B$17)</f>
        <v/>
      </c>
      <c r="K41" s="13"/>
      <c r="L41" s="15"/>
      <c r="M41" s="17" t="str">
        <f aca="true">IF(F41="","",IF(AND(L41&lt;&gt;"",L41&gt;=I41),"Paid",IF(AND(L41&lt;&gt;"",L41&gt;0),"Part paid",IF(TODAY()&gt;J41,"Overdue","Due"))))</f>
        <v/>
      </c>
      <c r="N41" s="19" t="str">
        <f aca="true">IF(M41="Overdue",TODAY()-J41,"")</f>
        <v/>
      </c>
      <c r="O41" s="14"/>
    </row>
    <row r="42" customFormat="false" ht="15" hidden="false" customHeight="false" outlineLevel="0" collapsed="false">
      <c r="A42" s="14"/>
      <c r="B42" s="13"/>
      <c r="C42" s="14"/>
      <c r="D42" s="14"/>
      <c r="E42" s="14"/>
      <c r="F42" s="15"/>
      <c r="G42" s="14"/>
      <c r="H42" s="19" t="str">
        <f aca="false">IF(F42="","",IF(G42="Y",F42*Settings!$B$16,0))</f>
        <v/>
      </c>
      <c r="I42" s="19" t="str">
        <f aca="false">IF(F42="","",F42+H42)</f>
        <v/>
      </c>
      <c r="J42" s="18" t="str">
        <f aca="false">IF(B42="","",B42+Settings!$B$17)</f>
        <v/>
      </c>
      <c r="K42" s="13"/>
      <c r="L42" s="15"/>
      <c r="M42" s="17" t="str">
        <f aca="true">IF(F42="","",IF(AND(L42&lt;&gt;"",L42&gt;=I42),"Paid",IF(AND(L42&lt;&gt;"",L42&gt;0),"Part paid",IF(TODAY()&gt;J42,"Overdue","Due"))))</f>
        <v/>
      </c>
      <c r="N42" s="19" t="str">
        <f aca="true">IF(M42="Overdue",TODAY()-J42,"")</f>
        <v/>
      </c>
      <c r="O42" s="14"/>
    </row>
    <row r="43" customFormat="false" ht="15" hidden="false" customHeight="false" outlineLevel="0" collapsed="false">
      <c r="A43" s="14"/>
      <c r="B43" s="13"/>
      <c r="C43" s="14"/>
      <c r="D43" s="14"/>
      <c r="E43" s="14"/>
      <c r="F43" s="15"/>
      <c r="G43" s="14"/>
      <c r="H43" s="19" t="str">
        <f aca="false">IF(F43="","",IF(G43="Y",F43*Settings!$B$16,0))</f>
        <v/>
      </c>
      <c r="I43" s="19" t="str">
        <f aca="false">IF(F43="","",F43+H43)</f>
        <v/>
      </c>
      <c r="J43" s="18" t="str">
        <f aca="false">IF(B43="","",B43+Settings!$B$17)</f>
        <v/>
      </c>
      <c r="K43" s="13"/>
      <c r="L43" s="15"/>
      <c r="M43" s="17" t="str">
        <f aca="true">IF(F43="","",IF(AND(L43&lt;&gt;"",L43&gt;=I43),"Paid",IF(AND(L43&lt;&gt;"",L43&gt;0),"Part paid",IF(TODAY()&gt;J43,"Overdue","Due"))))</f>
        <v/>
      </c>
      <c r="N43" s="19" t="str">
        <f aca="true">IF(M43="Overdue",TODAY()-J43,"")</f>
        <v/>
      </c>
      <c r="O43" s="14"/>
    </row>
    <row r="44" customFormat="false" ht="15" hidden="false" customHeight="false" outlineLevel="0" collapsed="false">
      <c r="A44" s="14"/>
      <c r="B44" s="13"/>
      <c r="C44" s="14"/>
      <c r="D44" s="14"/>
      <c r="E44" s="14"/>
      <c r="F44" s="15"/>
      <c r="G44" s="14"/>
      <c r="H44" s="19" t="str">
        <f aca="false">IF(F44="","",IF(G44="Y",F44*Settings!$B$16,0))</f>
        <v/>
      </c>
      <c r="I44" s="19" t="str">
        <f aca="false">IF(F44="","",F44+H44)</f>
        <v/>
      </c>
      <c r="J44" s="18" t="str">
        <f aca="false">IF(B44="","",B44+Settings!$B$17)</f>
        <v/>
      </c>
      <c r="K44" s="13"/>
      <c r="L44" s="15"/>
      <c r="M44" s="17" t="str">
        <f aca="true">IF(F44="","",IF(AND(L44&lt;&gt;"",L44&gt;=I44),"Paid",IF(AND(L44&lt;&gt;"",L44&gt;0),"Part paid",IF(TODAY()&gt;J44,"Overdue","Due"))))</f>
        <v/>
      </c>
      <c r="N44" s="19" t="str">
        <f aca="true">IF(M44="Overdue",TODAY()-J44,"")</f>
        <v/>
      </c>
      <c r="O44" s="14"/>
    </row>
    <row r="45" customFormat="false" ht="15" hidden="false" customHeight="false" outlineLevel="0" collapsed="false">
      <c r="A45" s="14"/>
      <c r="B45" s="13"/>
      <c r="C45" s="14"/>
      <c r="D45" s="14"/>
      <c r="E45" s="14"/>
      <c r="F45" s="15"/>
      <c r="G45" s="14"/>
      <c r="H45" s="19" t="str">
        <f aca="false">IF(F45="","",IF(G45="Y",F45*Settings!$B$16,0))</f>
        <v/>
      </c>
      <c r="I45" s="19" t="str">
        <f aca="false">IF(F45="","",F45+H45)</f>
        <v/>
      </c>
      <c r="J45" s="18" t="str">
        <f aca="false">IF(B45="","",B45+Settings!$B$17)</f>
        <v/>
      </c>
      <c r="K45" s="13"/>
      <c r="L45" s="15"/>
      <c r="M45" s="17" t="str">
        <f aca="true">IF(F45="","",IF(AND(L45&lt;&gt;"",L45&gt;=I45),"Paid",IF(AND(L45&lt;&gt;"",L45&gt;0),"Part paid",IF(TODAY()&gt;J45,"Overdue","Due"))))</f>
        <v/>
      </c>
      <c r="N45" s="19" t="str">
        <f aca="true">IF(M45="Overdue",TODAY()-J45,"")</f>
        <v/>
      </c>
      <c r="O45" s="14"/>
    </row>
    <row r="46" customFormat="false" ht="15" hidden="false" customHeight="false" outlineLevel="0" collapsed="false">
      <c r="A46" s="14"/>
      <c r="B46" s="13"/>
      <c r="C46" s="14"/>
      <c r="D46" s="14"/>
      <c r="E46" s="14"/>
      <c r="F46" s="15"/>
      <c r="G46" s="14"/>
      <c r="H46" s="19" t="str">
        <f aca="false">IF(F46="","",IF(G46="Y",F46*Settings!$B$16,0))</f>
        <v/>
      </c>
      <c r="I46" s="19" t="str">
        <f aca="false">IF(F46="","",F46+H46)</f>
        <v/>
      </c>
      <c r="J46" s="18" t="str">
        <f aca="false">IF(B46="","",B46+Settings!$B$17)</f>
        <v/>
      </c>
      <c r="K46" s="13"/>
      <c r="L46" s="15"/>
      <c r="M46" s="17" t="str">
        <f aca="true">IF(F46="","",IF(AND(L46&lt;&gt;"",L46&gt;=I46),"Paid",IF(AND(L46&lt;&gt;"",L46&gt;0),"Part paid",IF(TODAY()&gt;J46,"Overdue","Due"))))</f>
        <v/>
      </c>
      <c r="N46" s="19" t="str">
        <f aca="true">IF(M46="Overdue",TODAY()-J46,"")</f>
        <v/>
      </c>
      <c r="O46" s="14"/>
    </row>
    <row r="47" customFormat="false" ht="15" hidden="false" customHeight="false" outlineLevel="0" collapsed="false">
      <c r="A47" s="14"/>
      <c r="B47" s="13"/>
      <c r="C47" s="14"/>
      <c r="D47" s="14"/>
      <c r="E47" s="14"/>
      <c r="F47" s="15"/>
      <c r="G47" s="14"/>
      <c r="H47" s="19" t="str">
        <f aca="false">IF(F47="","",IF(G47="Y",F47*Settings!$B$16,0))</f>
        <v/>
      </c>
      <c r="I47" s="19" t="str">
        <f aca="false">IF(F47="","",F47+H47)</f>
        <v/>
      </c>
      <c r="J47" s="18" t="str">
        <f aca="false">IF(B47="","",B47+Settings!$B$17)</f>
        <v/>
      </c>
      <c r="K47" s="13"/>
      <c r="L47" s="15"/>
      <c r="M47" s="17" t="str">
        <f aca="true">IF(F47="","",IF(AND(L47&lt;&gt;"",L47&gt;=I47),"Paid",IF(AND(L47&lt;&gt;"",L47&gt;0),"Part paid",IF(TODAY()&gt;J47,"Overdue","Due"))))</f>
        <v/>
      </c>
      <c r="N47" s="19" t="str">
        <f aca="true">IF(M47="Overdue",TODAY()-J47,"")</f>
        <v/>
      </c>
      <c r="O47" s="14"/>
    </row>
    <row r="48" customFormat="false" ht="15" hidden="false" customHeight="false" outlineLevel="0" collapsed="false">
      <c r="A48" s="14"/>
      <c r="B48" s="13"/>
      <c r="C48" s="14"/>
      <c r="D48" s="14"/>
      <c r="E48" s="14"/>
      <c r="F48" s="15"/>
      <c r="G48" s="14"/>
      <c r="H48" s="19" t="str">
        <f aca="false">IF(F48="","",IF(G48="Y",F48*Settings!$B$16,0))</f>
        <v/>
      </c>
      <c r="I48" s="19" t="str">
        <f aca="false">IF(F48="","",F48+H48)</f>
        <v/>
      </c>
      <c r="J48" s="18" t="str">
        <f aca="false">IF(B48="","",B48+Settings!$B$17)</f>
        <v/>
      </c>
      <c r="K48" s="13"/>
      <c r="L48" s="15"/>
      <c r="M48" s="17" t="str">
        <f aca="true">IF(F48="","",IF(AND(L48&lt;&gt;"",L48&gt;=I48),"Paid",IF(AND(L48&lt;&gt;"",L48&gt;0),"Part paid",IF(TODAY()&gt;J48,"Overdue","Due"))))</f>
        <v/>
      </c>
      <c r="N48" s="19" t="str">
        <f aca="true">IF(M48="Overdue",TODAY()-J48,"")</f>
        <v/>
      </c>
      <c r="O48" s="14"/>
    </row>
    <row r="49" customFormat="false" ht="15" hidden="false" customHeight="false" outlineLevel="0" collapsed="false">
      <c r="A49" s="14"/>
      <c r="B49" s="13"/>
      <c r="C49" s="14"/>
      <c r="D49" s="14"/>
      <c r="E49" s="14"/>
      <c r="F49" s="15"/>
      <c r="G49" s="14"/>
      <c r="H49" s="19" t="str">
        <f aca="false">IF(F49="","",IF(G49="Y",F49*Settings!$B$16,0))</f>
        <v/>
      </c>
      <c r="I49" s="19" t="str">
        <f aca="false">IF(F49="","",F49+H49)</f>
        <v/>
      </c>
      <c r="J49" s="18" t="str">
        <f aca="false">IF(B49="","",B49+Settings!$B$17)</f>
        <v/>
      </c>
      <c r="K49" s="13"/>
      <c r="L49" s="15"/>
      <c r="M49" s="17" t="str">
        <f aca="true">IF(F49="","",IF(AND(L49&lt;&gt;"",L49&gt;=I49),"Paid",IF(AND(L49&lt;&gt;"",L49&gt;0),"Part paid",IF(TODAY()&gt;J49,"Overdue","Due"))))</f>
        <v/>
      </c>
      <c r="N49" s="19" t="str">
        <f aca="true">IF(M49="Overdue",TODAY()-J49,"")</f>
        <v/>
      </c>
      <c r="O49" s="14"/>
    </row>
    <row r="50" customFormat="false" ht="15" hidden="false" customHeight="false" outlineLevel="0" collapsed="false">
      <c r="A50" s="14"/>
      <c r="B50" s="13"/>
      <c r="C50" s="14"/>
      <c r="D50" s="14"/>
      <c r="E50" s="14"/>
      <c r="F50" s="15"/>
      <c r="G50" s="14"/>
      <c r="H50" s="19" t="str">
        <f aca="false">IF(F50="","",IF(G50="Y",F50*Settings!$B$16,0))</f>
        <v/>
      </c>
      <c r="I50" s="19" t="str">
        <f aca="false">IF(F50="","",F50+H50)</f>
        <v/>
      </c>
      <c r="J50" s="18" t="str">
        <f aca="false">IF(B50="","",B50+Settings!$B$17)</f>
        <v/>
      </c>
      <c r="K50" s="13"/>
      <c r="L50" s="15"/>
      <c r="M50" s="17" t="str">
        <f aca="true">IF(F50="","",IF(AND(L50&lt;&gt;"",L50&gt;=I50),"Paid",IF(AND(L50&lt;&gt;"",L50&gt;0),"Part paid",IF(TODAY()&gt;J50,"Overdue","Due"))))</f>
        <v/>
      </c>
      <c r="N50" s="19" t="str">
        <f aca="true">IF(M50="Overdue",TODAY()-J50,"")</f>
        <v/>
      </c>
      <c r="O50" s="14"/>
    </row>
    <row r="51" customFormat="false" ht="15" hidden="false" customHeight="false" outlineLevel="0" collapsed="false">
      <c r="A51" s="14"/>
      <c r="B51" s="13"/>
      <c r="C51" s="14"/>
      <c r="D51" s="14"/>
      <c r="E51" s="14"/>
      <c r="F51" s="15"/>
      <c r="G51" s="14"/>
      <c r="H51" s="19" t="str">
        <f aca="false">IF(F51="","",IF(G51="Y",F51*Settings!$B$16,0))</f>
        <v/>
      </c>
      <c r="I51" s="19" t="str">
        <f aca="false">IF(F51="","",F51+H51)</f>
        <v/>
      </c>
      <c r="J51" s="18" t="str">
        <f aca="false">IF(B51="","",B51+Settings!$B$17)</f>
        <v/>
      </c>
      <c r="K51" s="13"/>
      <c r="L51" s="15"/>
      <c r="M51" s="17" t="str">
        <f aca="true">IF(F51="","",IF(AND(L51&lt;&gt;"",L51&gt;=I51),"Paid",IF(AND(L51&lt;&gt;"",L51&gt;0),"Part paid",IF(TODAY()&gt;J51,"Overdue","Due"))))</f>
        <v/>
      </c>
      <c r="N51" s="19" t="str">
        <f aca="true">IF(M51="Overdue",TODAY()-J51,"")</f>
        <v/>
      </c>
      <c r="O51" s="14"/>
    </row>
    <row r="52" customFormat="false" ht="15" hidden="false" customHeight="false" outlineLevel="0" collapsed="false">
      <c r="A52" s="14"/>
      <c r="B52" s="13"/>
      <c r="C52" s="14"/>
      <c r="D52" s="14"/>
      <c r="E52" s="14"/>
      <c r="F52" s="15"/>
      <c r="G52" s="14"/>
      <c r="H52" s="19" t="str">
        <f aca="false">IF(F52="","",IF(G52="Y",F52*Settings!$B$16,0))</f>
        <v/>
      </c>
      <c r="I52" s="19" t="str">
        <f aca="false">IF(F52="","",F52+H52)</f>
        <v/>
      </c>
      <c r="J52" s="18" t="str">
        <f aca="false">IF(B52="","",B52+Settings!$B$17)</f>
        <v/>
      </c>
      <c r="K52" s="13"/>
      <c r="L52" s="15"/>
      <c r="M52" s="17" t="str">
        <f aca="true">IF(F52="","",IF(AND(L52&lt;&gt;"",L52&gt;=I52),"Paid",IF(AND(L52&lt;&gt;"",L52&gt;0),"Part paid",IF(TODAY()&gt;J52,"Overdue","Due"))))</f>
        <v/>
      </c>
      <c r="N52" s="19" t="str">
        <f aca="true">IF(M52="Overdue",TODAY()-J52,"")</f>
        <v/>
      </c>
      <c r="O52" s="14"/>
    </row>
    <row r="53" customFormat="false" ht="15" hidden="false" customHeight="false" outlineLevel="0" collapsed="false">
      <c r="A53" s="14"/>
      <c r="B53" s="13"/>
      <c r="C53" s="14"/>
      <c r="D53" s="14"/>
      <c r="E53" s="14"/>
      <c r="F53" s="15"/>
      <c r="G53" s="14"/>
      <c r="H53" s="19" t="str">
        <f aca="false">IF(F53="","",IF(G53="Y",F53*Settings!$B$16,0))</f>
        <v/>
      </c>
      <c r="I53" s="19" t="str">
        <f aca="false">IF(F53="","",F53+H53)</f>
        <v/>
      </c>
      <c r="J53" s="18" t="str">
        <f aca="false">IF(B53="","",B53+Settings!$B$17)</f>
        <v/>
      </c>
      <c r="K53" s="13"/>
      <c r="L53" s="15"/>
      <c r="M53" s="17" t="str">
        <f aca="true">IF(F53="","",IF(AND(L53&lt;&gt;"",L53&gt;=I53),"Paid",IF(AND(L53&lt;&gt;"",L53&gt;0),"Part paid",IF(TODAY()&gt;J53,"Overdue","Due"))))</f>
        <v/>
      </c>
      <c r="N53" s="19" t="str">
        <f aca="true">IF(M53="Overdue",TODAY()-J53,"")</f>
        <v/>
      </c>
      <c r="O53" s="14"/>
    </row>
    <row r="54" customFormat="false" ht="15" hidden="false" customHeight="false" outlineLevel="0" collapsed="false">
      <c r="A54" s="14"/>
      <c r="B54" s="13"/>
      <c r="C54" s="14"/>
      <c r="D54" s="14"/>
      <c r="E54" s="14"/>
      <c r="F54" s="15"/>
      <c r="G54" s="14"/>
      <c r="H54" s="19" t="str">
        <f aca="false">IF(F54="","",IF(G54="Y",F54*Settings!$B$16,0))</f>
        <v/>
      </c>
      <c r="I54" s="19" t="str">
        <f aca="false">IF(F54="","",F54+H54)</f>
        <v/>
      </c>
      <c r="J54" s="18" t="str">
        <f aca="false">IF(B54="","",B54+Settings!$B$17)</f>
        <v/>
      </c>
      <c r="K54" s="13"/>
      <c r="L54" s="15"/>
      <c r="M54" s="17" t="str">
        <f aca="true">IF(F54="","",IF(AND(L54&lt;&gt;"",L54&gt;=I54),"Paid",IF(AND(L54&lt;&gt;"",L54&gt;0),"Part paid",IF(TODAY()&gt;J54,"Overdue","Due"))))</f>
        <v/>
      </c>
      <c r="N54" s="19" t="str">
        <f aca="true">IF(M54="Overdue",TODAY()-J54,"")</f>
        <v/>
      </c>
      <c r="O54" s="14"/>
    </row>
    <row r="55" customFormat="false" ht="15" hidden="false" customHeight="false" outlineLevel="0" collapsed="false">
      <c r="A55" s="14"/>
      <c r="B55" s="13"/>
      <c r="C55" s="14"/>
      <c r="D55" s="14"/>
      <c r="E55" s="14"/>
      <c r="F55" s="15"/>
      <c r="G55" s="14"/>
      <c r="H55" s="19" t="str">
        <f aca="false">IF(F55="","",IF(G55="Y",F55*Settings!$B$16,0))</f>
        <v/>
      </c>
      <c r="I55" s="19" t="str">
        <f aca="false">IF(F55="","",F55+H55)</f>
        <v/>
      </c>
      <c r="J55" s="18" t="str">
        <f aca="false">IF(B55="","",B55+Settings!$B$17)</f>
        <v/>
      </c>
      <c r="K55" s="13"/>
      <c r="L55" s="15"/>
      <c r="M55" s="17" t="str">
        <f aca="true">IF(F55="","",IF(AND(L55&lt;&gt;"",L55&gt;=I55),"Paid",IF(AND(L55&lt;&gt;"",L55&gt;0),"Part paid",IF(TODAY()&gt;J55,"Overdue","Due"))))</f>
        <v/>
      </c>
      <c r="N55" s="19" t="str">
        <f aca="true">IF(M55="Overdue",TODAY()-J55,"")</f>
        <v/>
      </c>
      <c r="O55" s="14"/>
    </row>
    <row r="56" customFormat="false" ht="15" hidden="false" customHeight="false" outlineLevel="0" collapsed="false">
      <c r="A56" s="14"/>
      <c r="B56" s="13"/>
      <c r="C56" s="14"/>
      <c r="D56" s="14"/>
      <c r="E56" s="14"/>
      <c r="F56" s="15"/>
      <c r="G56" s="14"/>
      <c r="H56" s="19" t="str">
        <f aca="false">IF(F56="","",IF(G56="Y",F56*Settings!$B$16,0))</f>
        <v/>
      </c>
      <c r="I56" s="19" t="str">
        <f aca="false">IF(F56="","",F56+H56)</f>
        <v/>
      </c>
      <c r="J56" s="18" t="str">
        <f aca="false">IF(B56="","",B56+Settings!$B$17)</f>
        <v/>
      </c>
      <c r="K56" s="13"/>
      <c r="L56" s="15"/>
      <c r="M56" s="17" t="str">
        <f aca="true">IF(F56="","",IF(AND(L56&lt;&gt;"",L56&gt;=I56),"Paid",IF(AND(L56&lt;&gt;"",L56&gt;0),"Part paid",IF(TODAY()&gt;J56,"Overdue","Due"))))</f>
        <v/>
      </c>
      <c r="N56" s="19" t="str">
        <f aca="true">IF(M56="Overdue",TODAY()-J56,"")</f>
        <v/>
      </c>
      <c r="O56" s="14"/>
    </row>
    <row r="57" customFormat="false" ht="15" hidden="false" customHeight="false" outlineLevel="0" collapsed="false">
      <c r="A57" s="14"/>
      <c r="B57" s="13"/>
      <c r="C57" s="14"/>
      <c r="D57" s="14"/>
      <c r="E57" s="14"/>
      <c r="F57" s="15"/>
      <c r="G57" s="14"/>
      <c r="H57" s="19" t="str">
        <f aca="false">IF(F57="","",IF(G57="Y",F57*Settings!$B$16,0))</f>
        <v/>
      </c>
      <c r="I57" s="19" t="str">
        <f aca="false">IF(F57="","",F57+H57)</f>
        <v/>
      </c>
      <c r="J57" s="18" t="str">
        <f aca="false">IF(B57="","",B57+Settings!$B$17)</f>
        <v/>
      </c>
      <c r="K57" s="13"/>
      <c r="L57" s="15"/>
      <c r="M57" s="17" t="str">
        <f aca="true">IF(F57="","",IF(AND(L57&lt;&gt;"",L57&gt;=I57),"Paid",IF(AND(L57&lt;&gt;"",L57&gt;0),"Part paid",IF(TODAY()&gt;J57,"Overdue","Due"))))</f>
        <v/>
      </c>
      <c r="N57" s="19" t="str">
        <f aca="true">IF(M57="Overdue",TODAY()-J57,"")</f>
        <v/>
      </c>
      <c r="O57" s="14"/>
    </row>
    <row r="58" customFormat="false" ht="15" hidden="false" customHeight="false" outlineLevel="0" collapsed="false">
      <c r="A58" s="14"/>
      <c r="B58" s="13"/>
      <c r="C58" s="14"/>
      <c r="D58" s="14"/>
      <c r="E58" s="14"/>
      <c r="F58" s="15"/>
      <c r="G58" s="14"/>
      <c r="H58" s="19" t="str">
        <f aca="false">IF(F58="","",IF(G58="Y",F58*Settings!$B$16,0))</f>
        <v/>
      </c>
      <c r="I58" s="19" t="str">
        <f aca="false">IF(F58="","",F58+H58)</f>
        <v/>
      </c>
      <c r="J58" s="18" t="str">
        <f aca="false">IF(B58="","",B58+Settings!$B$17)</f>
        <v/>
      </c>
      <c r="K58" s="13"/>
      <c r="L58" s="15"/>
      <c r="M58" s="17" t="str">
        <f aca="true">IF(F58="","",IF(AND(L58&lt;&gt;"",L58&gt;=I58),"Paid",IF(AND(L58&lt;&gt;"",L58&gt;0),"Part paid",IF(TODAY()&gt;J58,"Overdue","Due"))))</f>
        <v/>
      </c>
      <c r="N58" s="19" t="str">
        <f aca="true">IF(M58="Overdue",TODAY()-J58,"")</f>
        <v/>
      </c>
      <c r="O58" s="14"/>
    </row>
    <row r="59" customFormat="false" ht="15" hidden="false" customHeight="false" outlineLevel="0" collapsed="false">
      <c r="A59" s="14"/>
      <c r="B59" s="13"/>
      <c r="C59" s="14"/>
      <c r="D59" s="14"/>
      <c r="E59" s="14"/>
      <c r="F59" s="15"/>
      <c r="G59" s="14"/>
      <c r="H59" s="19" t="str">
        <f aca="false">IF(F59="","",IF(G59="Y",F59*Settings!$B$16,0))</f>
        <v/>
      </c>
      <c r="I59" s="19" t="str">
        <f aca="false">IF(F59="","",F59+H59)</f>
        <v/>
      </c>
      <c r="J59" s="18" t="str">
        <f aca="false">IF(B59="","",B59+Settings!$B$17)</f>
        <v/>
      </c>
      <c r="K59" s="13"/>
      <c r="L59" s="15"/>
      <c r="M59" s="17" t="str">
        <f aca="true">IF(F59="","",IF(AND(L59&lt;&gt;"",L59&gt;=I59),"Paid",IF(AND(L59&lt;&gt;"",L59&gt;0),"Part paid",IF(TODAY()&gt;J59,"Overdue","Due"))))</f>
        <v/>
      </c>
      <c r="N59" s="19" t="str">
        <f aca="true">IF(M59="Overdue",TODAY()-J59,"")</f>
        <v/>
      </c>
      <c r="O59" s="14"/>
    </row>
    <row r="60" customFormat="false" ht="15" hidden="false" customHeight="false" outlineLevel="0" collapsed="false">
      <c r="A60" s="14"/>
      <c r="B60" s="13"/>
      <c r="C60" s="14"/>
      <c r="D60" s="14"/>
      <c r="E60" s="14"/>
      <c r="F60" s="15"/>
      <c r="G60" s="14"/>
      <c r="H60" s="19" t="str">
        <f aca="false">IF(F60="","",IF(G60="Y",F60*Settings!$B$16,0))</f>
        <v/>
      </c>
      <c r="I60" s="19" t="str">
        <f aca="false">IF(F60="","",F60+H60)</f>
        <v/>
      </c>
      <c r="J60" s="18" t="str">
        <f aca="false">IF(B60="","",B60+Settings!$B$17)</f>
        <v/>
      </c>
      <c r="K60" s="13"/>
      <c r="L60" s="15"/>
      <c r="M60" s="17" t="str">
        <f aca="true">IF(F60="","",IF(AND(L60&lt;&gt;"",L60&gt;=I60),"Paid",IF(AND(L60&lt;&gt;"",L60&gt;0),"Part paid",IF(TODAY()&gt;J60,"Overdue","Due"))))</f>
        <v/>
      </c>
      <c r="N60" s="19" t="str">
        <f aca="true">IF(M60="Overdue",TODAY()-J60,"")</f>
        <v/>
      </c>
      <c r="O60" s="14"/>
    </row>
    <row r="61" customFormat="false" ht="15" hidden="false" customHeight="false" outlineLevel="0" collapsed="false">
      <c r="A61" s="14"/>
      <c r="B61" s="13"/>
      <c r="C61" s="14"/>
      <c r="D61" s="14"/>
      <c r="E61" s="14"/>
      <c r="F61" s="15"/>
      <c r="G61" s="14"/>
      <c r="H61" s="19" t="str">
        <f aca="false">IF(F61="","",IF(G61="Y",F61*Settings!$B$16,0))</f>
        <v/>
      </c>
      <c r="I61" s="19" t="str">
        <f aca="false">IF(F61="","",F61+H61)</f>
        <v/>
      </c>
      <c r="J61" s="18" t="str">
        <f aca="false">IF(B61="","",B61+Settings!$B$17)</f>
        <v/>
      </c>
      <c r="K61" s="13"/>
      <c r="L61" s="15"/>
      <c r="M61" s="17" t="str">
        <f aca="true">IF(F61="","",IF(AND(L61&lt;&gt;"",L61&gt;=I61),"Paid",IF(AND(L61&lt;&gt;"",L61&gt;0),"Part paid",IF(TODAY()&gt;J61,"Overdue","Due"))))</f>
        <v/>
      </c>
      <c r="N61" s="19" t="str">
        <f aca="true">IF(M61="Overdue",TODAY()-J61,"")</f>
        <v/>
      </c>
      <c r="O61" s="14"/>
    </row>
    <row r="62" customFormat="false" ht="15" hidden="false" customHeight="false" outlineLevel="0" collapsed="false">
      <c r="A62" s="14"/>
      <c r="B62" s="13"/>
      <c r="C62" s="14"/>
      <c r="D62" s="14"/>
      <c r="E62" s="14"/>
      <c r="F62" s="15"/>
      <c r="G62" s="14"/>
      <c r="H62" s="19" t="str">
        <f aca="false">IF(F62="","",IF(G62="Y",F62*Settings!$B$16,0))</f>
        <v/>
      </c>
      <c r="I62" s="19" t="str">
        <f aca="false">IF(F62="","",F62+H62)</f>
        <v/>
      </c>
      <c r="J62" s="18" t="str">
        <f aca="false">IF(B62="","",B62+Settings!$B$17)</f>
        <v/>
      </c>
      <c r="K62" s="13"/>
      <c r="L62" s="15"/>
      <c r="M62" s="17" t="str">
        <f aca="true">IF(F62="","",IF(AND(L62&lt;&gt;"",L62&gt;=I62),"Paid",IF(AND(L62&lt;&gt;"",L62&gt;0),"Part paid",IF(TODAY()&gt;J62,"Overdue","Due"))))</f>
        <v/>
      </c>
      <c r="N62" s="19" t="str">
        <f aca="true">IF(M62="Overdue",TODAY()-J62,"")</f>
        <v/>
      </c>
      <c r="O62" s="14"/>
    </row>
    <row r="63" customFormat="false" ht="15" hidden="false" customHeight="false" outlineLevel="0" collapsed="false">
      <c r="A63" s="14"/>
      <c r="B63" s="13"/>
      <c r="C63" s="14"/>
      <c r="D63" s="14"/>
      <c r="E63" s="14"/>
      <c r="F63" s="15"/>
      <c r="G63" s="14"/>
      <c r="H63" s="19" t="str">
        <f aca="false">IF(F63="","",IF(G63="Y",F63*Settings!$B$16,0))</f>
        <v/>
      </c>
      <c r="I63" s="19" t="str">
        <f aca="false">IF(F63="","",F63+H63)</f>
        <v/>
      </c>
      <c r="J63" s="18" t="str">
        <f aca="false">IF(B63="","",B63+Settings!$B$17)</f>
        <v/>
      </c>
      <c r="K63" s="13"/>
      <c r="L63" s="15"/>
      <c r="M63" s="17" t="str">
        <f aca="true">IF(F63="","",IF(AND(L63&lt;&gt;"",L63&gt;=I63),"Paid",IF(AND(L63&lt;&gt;"",L63&gt;0),"Part paid",IF(TODAY()&gt;J63,"Overdue","Due"))))</f>
        <v/>
      </c>
      <c r="N63" s="19" t="str">
        <f aca="true">IF(M63="Overdue",TODAY()-J63,"")</f>
        <v/>
      </c>
      <c r="O63" s="14"/>
    </row>
    <row r="64" customFormat="false" ht="15" hidden="false" customHeight="false" outlineLevel="0" collapsed="false">
      <c r="A64" s="14"/>
      <c r="B64" s="13"/>
      <c r="C64" s="14"/>
      <c r="D64" s="14"/>
      <c r="E64" s="14"/>
      <c r="F64" s="15"/>
      <c r="G64" s="14"/>
      <c r="H64" s="19" t="str">
        <f aca="false">IF(F64="","",IF(G64="Y",F64*Settings!$B$16,0))</f>
        <v/>
      </c>
      <c r="I64" s="19" t="str">
        <f aca="false">IF(F64="","",F64+H64)</f>
        <v/>
      </c>
      <c r="J64" s="18" t="str">
        <f aca="false">IF(B64="","",B64+Settings!$B$17)</f>
        <v/>
      </c>
      <c r="K64" s="13"/>
      <c r="L64" s="15"/>
      <c r="M64" s="17" t="str">
        <f aca="true">IF(F64="","",IF(AND(L64&lt;&gt;"",L64&gt;=I64),"Paid",IF(AND(L64&lt;&gt;"",L64&gt;0),"Part paid",IF(TODAY()&gt;J64,"Overdue","Due"))))</f>
        <v/>
      </c>
      <c r="N64" s="19" t="str">
        <f aca="true">IF(M64="Overdue",TODAY()-J64,"")</f>
        <v/>
      </c>
      <c r="O64" s="14"/>
    </row>
    <row r="65" customFormat="false" ht="15" hidden="false" customHeight="false" outlineLevel="0" collapsed="false">
      <c r="A65" s="14"/>
      <c r="B65" s="13"/>
      <c r="C65" s="14"/>
      <c r="D65" s="14"/>
      <c r="E65" s="14"/>
      <c r="F65" s="15"/>
      <c r="G65" s="14"/>
      <c r="H65" s="19" t="str">
        <f aca="false">IF(F65="","",IF(G65="Y",F65*Settings!$B$16,0))</f>
        <v/>
      </c>
      <c r="I65" s="19" t="str">
        <f aca="false">IF(F65="","",F65+H65)</f>
        <v/>
      </c>
      <c r="J65" s="18" t="str">
        <f aca="false">IF(B65="","",B65+Settings!$B$17)</f>
        <v/>
      </c>
      <c r="K65" s="13"/>
      <c r="L65" s="15"/>
      <c r="M65" s="17" t="str">
        <f aca="true">IF(F65="","",IF(AND(L65&lt;&gt;"",L65&gt;=I65),"Paid",IF(AND(L65&lt;&gt;"",L65&gt;0),"Part paid",IF(TODAY()&gt;J65,"Overdue","Due"))))</f>
        <v/>
      </c>
      <c r="N65" s="19" t="str">
        <f aca="true">IF(M65="Overdue",TODAY()-J65,"")</f>
        <v/>
      </c>
      <c r="O65" s="14"/>
    </row>
    <row r="66" customFormat="false" ht="15" hidden="false" customHeight="false" outlineLevel="0" collapsed="false">
      <c r="A66" s="14"/>
      <c r="B66" s="13"/>
      <c r="C66" s="14"/>
      <c r="D66" s="14"/>
      <c r="E66" s="14"/>
      <c r="F66" s="15"/>
      <c r="G66" s="14"/>
      <c r="H66" s="19" t="str">
        <f aca="false">IF(F66="","",IF(G66="Y",F66*Settings!$B$16,0))</f>
        <v/>
      </c>
      <c r="I66" s="19" t="str">
        <f aca="false">IF(F66="","",F66+H66)</f>
        <v/>
      </c>
      <c r="J66" s="18" t="str">
        <f aca="false">IF(B66="","",B66+Settings!$B$17)</f>
        <v/>
      </c>
      <c r="K66" s="13"/>
      <c r="L66" s="15"/>
      <c r="M66" s="17" t="str">
        <f aca="true">IF(F66="","",IF(AND(L66&lt;&gt;"",L66&gt;=I66),"Paid",IF(AND(L66&lt;&gt;"",L66&gt;0),"Part paid",IF(TODAY()&gt;J66,"Overdue","Due"))))</f>
        <v/>
      </c>
      <c r="N66" s="19" t="str">
        <f aca="true">IF(M66="Overdue",TODAY()-J66,"")</f>
        <v/>
      </c>
      <c r="O66" s="14"/>
    </row>
    <row r="67" customFormat="false" ht="15" hidden="false" customHeight="false" outlineLevel="0" collapsed="false">
      <c r="A67" s="14"/>
      <c r="B67" s="13"/>
      <c r="C67" s="14"/>
      <c r="D67" s="14"/>
      <c r="E67" s="14"/>
      <c r="F67" s="15"/>
      <c r="G67" s="14"/>
      <c r="H67" s="19" t="str">
        <f aca="false">IF(F67="","",IF(G67="Y",F67*Settings!$B$16,0))</f>
        <v/>
      </c>
      <c r="I67" s="19" t="str">
        <f aca="false">IF(F67="","",F67+H67)</f>
        <v/>
      </c>
      <c r="J67" s="18" t="str">
        <f aca="false">IF(B67="","",B67+Settings!$B$17)</f>
        <v/>
      </c>
      <c r="K67" s="13"/>
      <c r="L67" s="15"/>
      <c r="M67" s="17" t="str">
        <f aca="true">IF(F67="","",IF(AND(L67&lt;&gt;"",L67&gt;=I67),"Paid",IF(AND(L67&lt;&gt;"",L67&gt;0),"Part paid",IF(TODAY()&gt;J67,"Overdue","Due"))))</f>
        <v/>
      </c>
      <c r="N67" s="19" t="str">
        <f aca="true">IF(M67="Overdue",TODAY()-J67,"")</f>
        <v/>
      </c>
      <c r="O67" s="14"/>
    </row>
    <row r="68" customFormat="false" ht="15" hidden="false" customHeight="false" outlineLevel="0" collapsed="false">
      <c r="A68" s="14"/>
      <c r="B68" s="13"/>
      <c r="C68" s="14"/>
      <c r="D68" s="14"/>
      <c r="E68" s="14"/>
      <c r="F68" s="15"/>
      <c r="G68" s="14"/>
      <c r="H68" s="19" t="str">
        <f aca="false">IF(F68="","",IF(G68="Y",F68*Settings!$B$16,0))</f>
        <v/>
      </c>
      <c r="I68" s="19" t="str">
        <f aca="false">IF(F68="","",F68+H68)</f>
        <v/>
      </c>
      <c r="J68" s="18" t="str">
        <f aca="false">IF(B68="","",B68+Settings!$B$17)</f>
        <v/>
      </c>
      <c r="K68" s="13"/>
      <c r="L68" s="15"/>
      <c r="M68" s="17" t="str">
        <f aca="true">IF(F68="","",IF(AND(L68&lt;&gt;"",L68&gt;=I68),"Paid",IF(AND(L68&lt;&gt;"",L68&gt;0),"Part paid",IF(TODAY()&gt;J68,"Overdue","Due"))))</f>
        <v/>
      </c>
      <c r="N68" s="19" t="str">
        <f aca="true">IF(M68="Overdue",TODAY()-J68,"")</f>
        <v/>
      </c>
      <c r="O68" s="14"/>
    </row>
    <row r="69" customFormat="false" ht="15" hidden="false" customHeight="false" outlineLevel="0" collapsed="false">
      <c r="A69" s="14"/>
      <c r="B69" s="13"/>
      <c r="C69" s="14"/>
      <c r="D69" s="14"/>
      <c r="E69" s="14"/>
      <c r="F69" s="15"/>
      <c r="G69" s="14"/>
      <c r="H69" s="19" t="str">
        <f aca="false">IF(F69="","",IF(G69="Y",F69*Settings!$B$16,0))</f>
        <v/>
      </c>
      <c r="I69" s="19" t="str">
        <f aca="false">IF(F69="","",F69+H69)</f>
        <v/>
      </c>
      <c r="J69" s="18" t="str">
        <f aca="false">IF(B69="","",B69+Settings!$B$17)</f>
        <v/>
      </c>
      <c r="K69" s="13"/>
      <c r="L69" s="15"/>
      <c r="M69" s="17" t="str">
        <f aca="true">IF(F69="","",IF(AND(L69&lt;&gt;"",L69&gt;=I69),"Paid",IF(AND(L69&lt;&gt;"",L69&gt;0),"Part paid",IF(TODAY()&gt;J69,"Overdue","Due"))))</f>
        <v/>
      </c>
      <c r="N69" s="19" t="str">
        <f aca="true">IF(M69="Overdue",TODAY()-J69,"")</f>
        <v/>
      </c>
      <c r="O69" s="14"/>
    </row>
    <row r="70" customFormat="false" ht="15" hidden="false" customHeight="false" outlineLevel="0" collapsed="false">
      <c r="A70" s="14"/>
      <c r="B70" s="13"/>
      <c r="C70" s="14"/>
      <c r="D70" s="14"/>
      <c r="E70" s="14"/>
      <c r="F70" s="15"/>
      <c r="G70" s="14"/>
      <c r="H70" s="19" t="str">
        <f aca="false">IF(F70="","",IF(G70="Y",F70*Settings!$B$16,0))</f>
        <v/>
      </c>
      <c r="I70" s="19" t="str">
        <f aca="false">IF(F70="","",F70+H70)</f>
        <v/>
      </c>
      <c r="J70" s="18" t="str">
        <f aca="false">IF(B70="","",B70+Settings!$B$17)</f>
        <v/>
      </c>
      <c r="K70" s="13"/>
      <c r="L70" s="15"/>
      <c r="M70" s="17" t="str">
        <f aca="true">IF(F70="","",IF(AND(L70&lt;&gt;"",L70&gt;=I70),"Paid",IF(AND(L70&lt;&gt;"",L70&gt;0),"Part paid",IF(TODAY()&gt;J70,"Overdue","Due"))))</f>
        <v/>
      </c>
      <c r="N70" s="19" t="str">
        <f aca="true">IF(M70="Overdue",TODAY()-J70,"")</f>
        <v/>
      </c>
      <c r="O70" s="14"/>
    </row>
    <row r="71" customFormat="false" ht="15" hidden="false" customHeight="false" outlineLevel="0" collapsed="false">
      <c r="A71" s="14"/>
      <c r="B71" s="13"/>
      <c r="C71" s="14"/>
      <c r="D71" s="14"/>
      <c r="E71" s="14"/>
      <c r="F71" s="15"/>
      <c r="G71" s="14"/>
      <c r="H71" s="19" t="str">
        <f aca="false">IF(F71="","",IF(G71="Y",F71*Settings!$B$16,0))</f>
        <v/>
      </c>
      <c r="I71" s="19" t="str">
        <f aca="false">IF(F71="","",F71+H71)</f>
        <v/>
      </c>
      <c r="J71" s="18" t="str">
        <f aca="false">IF(B71="","",B71+Settings!$B$17)</f>
        <v/>
      </c>
      <c r="K71" s="13"/>
      <c r="L71" s="15"/>
      <c r="M71" s="17" t="str">
        <f aca="true">IF(F71="","",IF(AND(L71&lt;&gt;"",L71&gt;=I71),"Paid",IF(AND(L71&lt;&gt;"",L71&gt;0),"Part paid",IF(TODAY()&gt;J71,"Overdue","Due"))))</f>
        <v/>
      </c>
      <c r="N71" s="19" t="str">
        <f aca="true">IF(M71="Overdue",TODAY()-J71,"")</f>
        <v/>
      </c>
      <c r="O71" s="14"/>
    </row>
    <row r="72" customFormat="false" ht="15" hidden="false" customHeight="false" outlineLevel="0" collapsed="false">
      <c r="A72" s="14"/>
      <c r="B72" s="13"/>
      <c r="C72" s="14"/>
      <c r="D72" s="14"/>
      <c r="E72" s="14"/>
      <c r="F72" s="15"/>
      <c r="G72" s="14"/>
      <c r="H72" s="19" t="str">
        <f aca="false">IF(F72="","",IF(G72="Y",F72*Settings!$B$16,0))</f>
        <v/>
      </c>
      <c r="I72" s="19" t="str">
        <f aca="false">IF(F72="","",F72+H72)</f>
        <v/>
      </c>
      <c r="J72" s="18" t="str">
        <f aca="false">IF(B72="","",B72+Settings!$B$17)</f>
        <v/>
      </c>
      <c r="K72" s="13"/>
      <c r="L72" s="15"/>
      <c r="M72" s="17" t="str">
        <f aca="true">IF(F72="","",IF(AND(L72&lt;&gt;"",L72&gt;=I72),"Paid",IF(AND(L72&lt;&gt;"",L72&gt;0),"Part paid",IF(TODAY()&gt;J72,"Overdue","Due"))))</f>
        <v/>
      </c>
      <c r="N72" s="19" t="str">
        <f aca="true">IF(M72="Overdue",TODAY()-J72,"")</f>
        <v/>
      </c>
      <c r="O72" s="14"/>
    </row>
    <row r="73" customFormat="false" ht="15" hidden="false" customHeight="false" outlineLevel="0" collapsed="false">
      <c r="A73" s="14"/>
      <c r="B73" s="13"/>
      <c r="C73" s="14"/>
      <c r="D73" s="14"/>
      <c r="E73" s="14"/>
      <c r="F73" s="15"/>
      <c r="G73" s="14"/>
      <c r="H73" s="19" t="str">
        <f aca="false">IF(F73="","",IF(G73="Y",F73*Settings!$B$16,0))</f>
        <v/>
      </c>
      <c r="I73" s="19" t="str">
        <f aca="false">IF(F73="","",F73+H73)</f>
        <v/>
      </c>
      <c r="J73" s="18" t="str">
        <f aca="false">IF(B73="","",B73+Settings!$B$17)</f>
        <v/>
      </c>
      <c r="K73" s="13"/>
      <c r="L73" s="15"/>
      <c r="M73" s="17" t="str">
        <f aca="true">IF(F73="","",IF(AND(L73&lt;&gt;"",L73&gt;=I73),"Paid",IF(AND(L73&lt;&gt;"",L73&gt;0),"Part paid",IF(TODAY()&gt;J73,"Overdue","Due"))))</f>
        <v/>
      </c>
      <c r="N73" s="19" t="str">
        <f aca="true">IF(M73="Overdue",TODAY()-J73,"")</f>
        <v/>
      </c>
      <c r="O73" s="14"/>
    </row>
    <row r="74" customFormat="false" ht="15" hidden="false" customHeight="false" outlineLevel="0" collapsed="false">
      <c r="A74" s="14"/>
      <c r="B74" s="13"/>
      <c r="C74" s="14"/>
      <c r="D74" s="14"/>
      <c r="E74" s="14"/>
      <c r="F74" s="15"/>
      <c r="G74" s="14"/>
      <c r="H74" s="19" t="str">
        <f aca="false">IF(F74="","",IF(G74="Y",F74*Settings!$B$16,0))</f>
        <v/>
      </c>
      <c r="I74" s="19" t="str">
        <f aca="false">IF(F74="","",F74+H74)</f>
        <v/>
      </c>
      <c r="J74" s="18" t="str">
        <f aca="false">IF(B74="","",B74+Settings!$B$17)</f>
        <v/>
      </c>
      <c r="K74" s="13"/>
      <c r="L74" s="15"/>
      <c r="M74" s="17" t="str">
        <f aca="true">IF(F74="","",IF(AND(L74&lt;&gt;"",L74&gt;=I74),"Paid",IF(AND(L74&lt;&gt;"",L74&gt;0),"Part paid",IF(TODAY()&gt;J74,"Overdue","Due"))))</f>
        <v/>
      </c>
      <c r="N74" s="19" t="str">
        <f aca="true">IF(M74="Overdue",TODAY()-J74,"")</f>
        <v/>
      </c>
      <c r="O74" s="14"/>
    </row>
    <row r="75" customFormat="false" ht="15" hidden="false" customHeight="false" outlineLevel="0" collapsed="false">
      <c r="A75" s="14"/>
      <c r="B75" s="13"/>
      <c r="C75" s="14"/>
      <c r="D75" s="14"/>
      <c r="E75" s="14"/>
      <c r="F75" s="15"/>
      <c r="G75" s="14"/>
      <c r="H75" s="19" t="str">
        <f aca="false">IF(F75="","",IF(G75="Y",F75*Settings!$B$16,0))</f>
        <v/>
      </c>
      <c r="I75" s="19" t="str">
        <f aca="false">IF(F75="","",F75+H75)</f>
        <v/>
      </c>
      <c r="J75" s="18" t="str">
        <f aca="false">IF(B75="","",B75+Settings!$B$17)</f>
        <v/>
      </c>
      <c r="K75" s="13"/>
      <c r="L75" s="15"/>
      <c r="M75" s="17" t="str">
        <f aca="true">IF(F75="","",IF(AND(L75&lt;&gt;"",L75&gt;=I75),"Paid",IF(AND(L75&lt;&gt;"",L75&gt;0),"Part paid",IF(TODAY()&gt;J75,"Overdue","Due"))))</f>
        <v/>
      </c>
      <c r="N75" s="19" t="str">
        <f aca="true">IF(M75="Overdue",TODAY()-J75,"")</f>
        <v/>
      </c>
      <c r="O75" s="14"/>
    </row>
    <row r="76" customFormat="false" ht="15" hidden="false" customHeight="false" outlineLevel="0" collapsed="false">
      <c r="A76" s="14"/>
      <c r="B76" s="13"/>
      <c r="C76" s="14"/>
      <c r="D76" s="14"/>
      <c r="E76" s="14"/>
      <c r="F76" s="15"/>
      <c r="G76" s="14"/>
      <c r="H76" s="19" t="str">
        <f aca="false">IF(F76="","",IF(G76="Y",F76*Settings!$B$16,0))</f>
        <v/>
      </c>
      <c r="I76" s="19" t="str">
        <f aca="false">IF(F76="","",F76+H76)</f>
        <v/>
      </c>
      <c r="J76" s="18" t="str">
        <f aca="false">IF(B76="","",B76+Settings!$B$17)</f>
        <v/>
      </c>
      <c r="K76" s="13"/>
      <c r="L76" s="15"/>
      <c r="M76" s="17" t="str">
        <f aca="true">IF(F76="","",IF(AND(L76&lt;&gt;"",L76&gt;=I76),"Paid",IF(AND(L76&lt;&gt;"",L76&gt;0),"Part paid",IF(TODAY()&gt;J76,"Overdue","Due"))))</f>
        <v/>
      </c>
      <c r="N76" s="19" t="str">
        <f aca="true">IF(M76="Overdue",TODAY()-J76,"")</f>
        <v/>
      </c>
      <c r="O76" s="14"/>
    </row>
    <row r="77" customFormat="false" ht="15" hidden="false" customHeight="false" outlineLevel="0" collapsed="false">
      <c r="A77" s="14"/>
      <c r="B77" s="13"/>
      <c r="C77" s="14"/>
      <c r="D77" s="14"/>
      <c r="E77" s="14"/>
      <c r="F77" s="15"/>
      <c r="G77" s="14"/>
      <c r="H77" s="19" t="str">
        <f aca="false">IF(F77="","",IF(G77="Y",F77*Settings!$B$16,0))</f>
        <v/>
      </c>
      <c r="I77" s="19" t="str">
        <f aca="false">IF(F77="","",F77+H77)</f>
        <v/>
      </c>
      <c r="J77" s="18" t="str">
        <f aca="false">IF(B77="","",B77+Settings!$B$17)</f>
        <v/>
      </c>
      <c r="K77" s="13"/>
      <c r="L77" s="15"/>
      <c r="M77" s="17" t="str">
        <f aca="true">IF(F77="","",IF(AND(L77&lt;&gt;"",L77&gt;=I77),"Paid",IF(AND(L77&lt;&gt;"",L77&gt;0),"Part paid",IF(TODAY()&gt;J77,"Overdue","Due"))))</f>
        <v/>
      </c>
      <c r="N77" s="19" t="str">
        <f aca="true">IF(M77="Overdue",TODAY()-J77,"")</f>
        <v/>
      </c>
      <c r="O77" s="14"/>
    </row>
    <row r="78" customFormat="false" ht="15" hidden="false" customHeight="false" outlineLevel="0" collapsed="false">
      <c r="A78" s="14"/>
      <c r="B78" s="13"/>
      <c r="C78" s="14"/>
      <c r="D78" s="14"/>
      <c r="E78" s="14"/>
      <c r="F78" s="15"/>
      <c r="G78" s="14"/>
      <c r="H78" s="19" t="str">
        <f aca="false">IF(F78="","",IF(G78="Y",F78*Settings!$B$16,0))</f>
        <v/>
      </c>
      <c r="I78" s="19" t="str">
        <f aca="false">IF(F78="","",F78+H78)</f>
        <v/>
      </c>
      <c r="J78" s="18" t="str">
        <f aca="false">IF(B78="","",B78+Settings!$B$17)</f>
        <v/>
      </c>
      <c r="K78" s="13"/>
      <c r="L78" s="15"/>
      <c r="M78" s="17" t="str">
        <f aca="true">IF(F78="","",IF(AND(L78&lt;&gt;"",L78&gt;=I78),"Paid",IF(AND(L78&lt;&gt;"",L78&gt;0),"Part paid",IF(TODAY()&gt;J78,"Overdue","Due"))))</f>
        <v/>
      </c>
      <c r="N78" s="19" t="str">
        <f aca="true">IF(M78="Overdue",TODAY()-J78,"")</f>
        <v/>
      </c>
      <c r="O78" s="14"/>
    </row>
    <row r="79" customFormat="false" ht="15" hidden="false" customHeight="false" outlineLevel="0" collapsed="false">
      <c r="A79" s="14"/>
      <c r="B79" s="13"/>
      <c r="C79" s="14"/>
      <c r="D79" s="14"/>
      <c r="E79" s="14"/>
      <c r="F79" s="15"/>
      <c r="G79" s="14"/>
      <c r="H79" s="19" t="str">
        <f aca="false">IF(F79="","",IF(G79="Y",F79*Settings!$B$16,0))</f>
        <v/>
      </c>
      <c r="I79" s="19" t="str">
        <f aca="false">IF(F79="","",F79+H79)</f>
        <v/>
      </c>
      <c r="J79" s="18" t="str">
        <f aca="false">IF(B79="","",B79+Settings!$B$17)</f>
        <v/>
      </c>
      <c r="K79" s="13"/>
      <c r="L79" s="15"/>
      <c r="M79" s="17" t="str">
        <f aca="true">IF(F79="","",IF(AND(L79&lt;&gt;"",L79&gt;=I79),"Paid",IF(AND(L79&lt;&gt;"",L79&gt;0),"Part paid",IF(TODAY()&gt;J79,"Overdue","Due"))))</f>
        <v/>
      </c>
      <c r="N79" s="19" t="str">
        <f aca="true">IF(M79="Overdue",TODAY()-J79,"")</f>
        <v/>
      </c>
      <c r="O79" s="14"/>
    </row>
    <row r="80" customFormat="false" ht="15" hidden="false" customHeight="false" outlineLevel="0" collapsed="false">
      <c r="A80" s="14"/>
      <c r="B80" s="13"/>
      <c r="C80" s="14"/>
      <c r="D80" s="14"/>
      <c r="E80" s="14"/>
      <c r="F80" s="15"/>
      <c r="G80" s="14"/>
      <c r="H80" s="19" t="str">
        <f aca="false">IF(F80="","",IF(G80="Y",F80*Settings!$B$16,0))</f>
        <v/>
      </c>
      <c r="I80" s="19" t="str">
        <f aca="false">IF(F80="","",F80+H80)</f>
        <v/>
      </c>
      <c r="J80" s="18" t="str">
        <f aca="false">IF(B80="","",B80+Settings!$B$17)</f>
        <v/>
      </c>
      <c r="K80" s="13"/>
      <c r="L80" s="15"/>
      <c r="M80" s="17" t="str">
        <f aca="true">IF(F80="","",IF(AND(L80&lt;&gt;"",L80&gt;=I80),"Paid",IF(AND(L80&lt;&gt;"",L80&gt;0),"Part paid",IF(TODAY()&gt;J80,"Overdue","Due"))))</f>
        <v/>
      </c>
      <c r="N80" s="19" t="str">
        <f aca="true">IF(M80="Overdue",TODAY()-J80,"")</f>
        <v/>
      </c>
      <c r="O80" s="14"/>
    </row>
    <row r="81" customFormat="false" ht="15" hidden="false" customHeight="false" outlineLevel="0" collapsed="false">
      <c r="A81" s="14"/>
      <c r="B81" s="13"/>
      <c r="C81" s="14"/>
      <c r="D81" s="14"/>
      <c r="E81" s="14"/>
      <c r="F81" s="15"/>
      <c r="G81" s="14"/>
      <c r="H81" s="19" t="str">
        <f aca="false">IF(F81="","",IF(G81="Y",F81*Settings!$B$16,0))</f>
        <v/>
      </c>
      <c r="I81" s="19" t="str">
        <f aca="false">IF(F81="","",F81+H81)</f>
        <v/>
      </c>
      <c r="J81" s="18" t="str">
        <f aca="false">IF(B81="","",B81+Settings!$B$17)</f>
        <v/>
      </c>
      <c r="K81" s="13"/>
      <c r="L81" s="15"/>
      <c r="M81" s="17" t="str">
        <f aca="true">IF(F81="","",IF(AND(L81&lt;&gt;"",L81&gt;=I81),"Paid",IF(AND(L81&lt;&gt;"",L81&gt;0),"Part paid",IF(TODAY()&gt;J81,"Overdue","Due"))))</f>
        <v/>
      </c>
      <c r="N81" s="19" t="str">
        <f aca="true">IF(M81="Overdue",TODAY()-J81,"")</f>
        <v/>
      </c>
      <c r="O81" s="14"/>
    </row>
    <row r="82" customFormat="false" ht="15" hidden="false" customHeight="false" outlineLevel="0" collapsed="false">
      <c r="A82" s="14"/>
      <c r="B82" s="13"/>
      <c r="C82" s="14"/>
      <c r="D82" s="14"/>
      <c r="E82" s="14"/>
      <c r="F82" s="15"/>
      <c r="G82" s="14"/>
      <c r="H82" s="19" t="str">
        <f aca="false">IF(F82="","",IF(G82="Y",F82*Settings!$B$16,0))</f>
        <v/>
      </c>
      <c r="I82" s="19" t="str">
        <f aca="false">IF(F82="","",F82+H82)</f>
        <v/>
      </c>
      <c r="J82" s="18" t="str">
        <f aca="false">IF(B82="","",B82+Settings!$B$17)</f>
        <v/>
      </c>
      <c r="K82" s="13"/>
      <c r="L82" s="15"/>
      <c r="M82" s="17" t="str">
        <f aca="true">IF(F82="","",IF(AND(L82&lt;&gt;"",L82&gt;=I82),"Paid",IF(AND(L82&lt;&gt;"",L82&gt;0),"Part paid",IF(TODAY()&gt;J82,"Overdue","Due"))))</f>
        <v/>
      </c>
      <c r="N82" s="19" t="str">
        <f aca="true">IF(M82="Overdue",TODAY()-J82,"")</f>
        <v/>
      </c>
      <c r="O82" s="14"/>
    </row>
    <row r="83" customFormat="false" ht="15" hidden="false" customHeight="false" outlineLevel="0" collapsed="false">
      <c r="A83" s="14"/>
      <c r="B83" s="13"/>
      <c r="C83" s="14"/>
      <c r="D83" s="14"/>
      <c r="E83" s="14"/>
      <c r="F83" s="15"/>
      <c r="G83" s="14"/>
      <c r="H83" s="19" t="str">
        <f aca="false">IF(F83="","",IF(G83="Y",F83*Settings!$B$16,0))</f>
        <v/>
      </c>
      <c r="I83" s="19" t="str">
        <f aca="false">IF(F83="","",F83+H83)</f>
        <v/>
      </c>
      <c r="J83" s="18" t="str">
        <f aca="false">IF(B83="","",B83+Settings!$B$17)</f>
        <v/>
      </c>
      <c r="K83" s="13"/>
      <c r="L83" s="15"/>
      <c r="M83" s="17" t="str">
        <f aca="true">IF(F83="","",IF(AND(L83&lt;&gt;"",L83&gt;=I83),"Paid",IF(AND(L83&lt;&gt;"",L83&gt;0),"Part paid",IF(TODAY()&gt;J83,"Overdue","Due"))))</f>
        <v/>
      </c>
      <c r="N83" s="19" t="str">
        <f aca="true">IF(M83="Overdue",TODAY()-J83,"")</f>
        <v/>
      </c>
      <c r="O83" s="14"/>
    </row>
    <row r="84" customFormat="false" ht="15" hidden="false" customHeight="false" outlineLevel="0" collapsed="false">
      <c r="A84" s="14"/>
      <c r="B84" s="13"/>
      <c r="C84" s="14"/>
      <c r="D84" s="14"/>
      <c r="E84" s="14"/>
      <c r="F84" s="15"/>
      <c r="G84" s="14"/>
      <c r="H84" s="19" t="str">
        <f aca="false">IF(F84="","",IF(G84="Y",F84*Settings!$B$16,0))</f>
        <v/>
      </c>
      <c r="I84" s="19" t="str">
        <f aca="false">IF(F84="","",F84+H84)</f>
        <v/>
      </c>
      <c r="J84" s="18" t="str">
        <f aca="false">IF(B84="","",B84+Settings!$B$17)</f>
        <v/>
      </c>
      <c r="K84" s="13"/>
      <c r="L84" s="15"/>
      <c r="M84" s="17" t="str">
        <f aca="true">IF(F84="","",IF(AND(L84&lt;&gt;"",L84&gt;=I84),"Paid",IF(AND(L84&lt;&gt;"",L84&gt;0),"Part paid",IF(TODAY()&gt;J84,"Overdue","Due"))))</f>
        <v/>
      </c>
      <c r="N84" s="19" t="str">
        <f aca="true">IF(M84="Overdue",TODAY()-J84,"")</f>
        <v/>
      </c>
      <c r="O84" s="14"/>
    </row>
    <row r="85" customFormat="false" ht="15" hidden="false" customHeight="false" outlineLevel="0" collapsed="false">
      <c r="A85" s="14"/>
      <c r="B85" s="13"/>
      <c r="C85" s="14"/>
      <c r="D85" s="14"/>
      <c r="E85" s="14"/>
      <c r="F85" s="15"/>
      <c r="G85" s="14"/>
      <c r="H85" s="19" t="str">
        <f aca="false">IF(F85="","",IF(G85="Y",F85*Settings!$B$16,0))</f>
        <v/>
      </c>
      <c r="I85" s="19" t="str">
        <f aca="false">IF(F85="","",F85+H85)</f>
        <v/>
      </c>
      <c r="J85" s="18" t="str">
        <f aca="false">IF(B85="","",B85+Settings!$B$17)</f>
        <v/>
      </c>
      <c r="K85" s="13"/>
      <c r="L85" s="15"/>
      <c r="M85" s="17" t="str">
        <f aca="true">IF(F85="","",IF(AND(L85&lt;&gt;"",L85&gt;=I85),"Paid",IF(AND(L85&lt;&gt;"",L85&gt;0),"Part paid",IF(TODAY()&gt;J85,"Overdue","Due"))))</f>
        <v/>
      </c>
      <c r="N85" s="19" t="str">
        <f aca="true">IF(M85="Overdue",TODAY()-J85,"")</f>
        <v/>
      </c>
      <c r="O85" s="14"/>
    </row>
    <row r="86" customFormat="false" ht="15" hidden="false" customHeight="false" outlineLevel="0" collapsed="false">
      <c r="A86" s="14"/>
      <c r="B86" s="13"/>
      <c r="C86" s="14"/>
      <c r="D86" s="14"/>
      <c r="E86" s="14"/>
      <c r="F86" s="15"/>
      <c r="G86" s="14"/>
      <c r="H86" s="19" t="str">
        <f aca="false">IF(F86="","",IF(G86="Y",F86*Settings!$B$16,0))</f>
        <v/>
      </c>
      <c r="I86" s="19" t="str">
        <f aca="false">IF(F86="","",F86+H86)</f>
        <v/>
      </c>
      <c r="J86" s="18" t="str">
        <f aca="false">IF(B86="","",B86+Settings!$B$17)</f>
        <v/>
      </c>
      <c r="K86" s="13"/>
      <c r="L86" s="15"/>
      <c r="M86" s="17" t="str">
        <f aca="true">IF(F86="","",IF(AND(L86&lt;&gt;"",L86&gt;=I86),"Paid",IF(AND(L86&lt;&gt;"",L86&gt;0),"Part paid",IF(TODAY()&gt;J86,"Overdue","Due"))))</f>
        <v/>
      </c>
      <c r="N86" s="19" t="str">
        <f aca="true">IF(M86="Overdue",TODAY()-J86,"")</f>
        <v/>
      </c>
      <c r="O86" s="14"/>
    </row>
    <row r="87" customFormat="false" ht="15" hidden="false" customHeight="false" outlineLevel="0" collapsed="false">
      <c r="A87" s="14"/>
      <c r="B87" s="13"/>
      <c r="C87" s="14"/>
      <c r="D87" s="14"/>
      <c r="E87" s="14"/>
      <c r="F87" s="15"/>
      <c r="G87" s="14"/>
      <c r="H87" s="19" t="str">
        <f aca="false">IF(F87="","",IF(G87="Y",F87*Settings!$B$16,0))</f>
        <v/>
      </c>
      <c r="I87" s="19" t="str">
        <f aca="false">IF(F87="","",F87+H87)</f>
        <v/>
      </c>
      <c r="J87" s="18" t="str">
        <f aca="false">IF(B87="","",B87+Settings!$B$17)</f>
        <v/>
      </c>
      <c r="K87" s="13"/>
      <c r="L87" s="15"/>
      <c r="M87" s="17" t="str">
        <f aca="true">IF(F87="","",IF(AND(L87&lt;&gt;"",L87&gt;=I87),"Paid",IF(AND(L87&lt;&gt;"",L87&gt;0),"Part paid",IF(TODAY()&gt;J87,"Overdue","Due"))))</f>
        <v/>
      </c>
      <c r="N87" s="19" t="str">
        <f aca="true">IF(M87="Overdue",TODAY()-J87,"")</f>
        <v/>
      </c>
      <c r="O87" s="14"/>
    </row>
    <row r="88" customFormat="false" ht="15" hidden="false" customHeight="false" outlineLevel="0" collapsed="false">
      <c r="A88" s="14"/>
      <c r="B88" s="13"/>
      <c r="C88" s="14"/>
      <c r="D88" s="14"/>
      <c r="E88" s="14"/>
      <c r="F88" s="15"/>
      <c r="G88" s="14"/>
      <c r="H88" s="19" t="str">
        <f aca="false">IF(F88="","",IF(G88="Y",F88*Settings!$B$16,0))</f>
        <v/>
      </c>
      <c r="I88" s="19" t="str">
        <f aca="false">IF(F88="","",F88+H88)</f>
        <v/>
      </c>
      <c r="J88" s="18" t="str">
        <f aca="false">IF(B88="","",B88+Settings!$B$17)</f>
        <v/>
      </c>
      <c r="K88" s="13"/>
      <c r="L88" s="15"/>
      <c r="M88" s="17" t="str">
        <f aca="true">IF(F88="","",IF(AND(L88&lt;&gt;"",L88&gt;=I88),"Paid",IF(AND(L88&lt;&gt;"",L88&gt;0),"Part paid",IF(TODAY()&gt;J88,"Overdue","Due"))))</f>
        <v/>
      </c>
      <c r="N88" s="19" t="str">
        <f aca="true">IF(M88="Overdue",TODAY()-J88,"")</f>
        <v/>
      </c>
      <c r="O88" s="14"/>
    </row>
    <row r="89" customFormat="false" ht="15" hidden="false" customHeight="false" outlineLevel="0" collapsed="false">
      <c r="A89" s="14"/>
      <c r="B89" s="13"/>
      <c r="C89" s="14"/>
      <c r="D89" s="14"/>
      <c r="E89" s="14"/>
      <c r="F89" s="15"/>
      <c r="G89" s="14"/>
      <c r="H89" s="19" t="str">
        <f aca="false">IF(F89="","",IF(G89="Y",F89*Settings!$B$16,0))</f>
        <v/>
      </c>
      <c r="I89" s="19" t="str">
        <f aca="false">IF(F89="","",F89+H89)</f>
        <v/>
      </c>
      <c r="J89" s="18" t="str">
        <f aca="false">IF(B89="","",B89+Settings!$B$17)</f>
        <v/>
      </c>
      <c r="K89" s="13"/>
      <c r="L89" s="15"/>
      <c r="M89" s="17" t="str">
        <f aca="true">IF(F89="","",IF(AND(L89&lt;&gt;"",L89&gt;=I89),"Paid",IF(AND(L89&lt;&gt;"",L89&gt;0),"Part paid",IF(TODAY()&gt;J89,"Overdue","Due"))))</f>
        <v/>
      </c>
      <c r="N89" s="19" t="str">
        <f aca="true">IF(M89="Overdue",TODAY()-J89,"")</f>
        <v/>
      </c>
      <c r="O89" s="14"/>
    </row>
    <row r="90" customFormat="false" ht="15" hidden="false" customHeight="false" outlineLevel="0" collapsed="false">
      <c r="A90" s="14"/>
      <c r="B90" s="13"/>
      <c r="C90" s="14"/>
      <c r="D90" s="14"/>
      <c r="E90" s="14"/>
      <c r="F90" s="15"/>
      <c r="G90" s="14"/>
      <c r="H90" s="19" t="str">
        <f aca="false">IF(F90="","",IF(G90="Y",F90*Settings!$B$16,0))</f>
        <v/>
      </c>
      <c r="I90" s="19" t="str">
        <f aca="false">IF(F90="","",F90+H90)</f>
        <v/>
      </c>
      <c r="J90" s="18" t="str">
        <f aca="false">IF(B90="","",B90+Settings!$B$17)</f>
        <v/>
      </c>
      <c r="K90" s="13"/>
      <c r="L90" s="15"/>
      <c r="M90" s="17" t="str">
        <f aca="true">IF(F90="","",IF(AND(L90&lt;&gt;"",L90&gt;=I90),"Paid",IF(AND(L90&lt;&gt;"",L90&gt;0),"Part paid",IF(TODAY()&gt;J90,"Overdue","Due"))))</f>
        <v/>
      </c>
      <c r="N90" s="19" t="str">
        <f aca="true">IF(M90="Overdue",TODAY()-J90,"")</f>
        <v/>
      </c>
      <c r="O90" s="14"/>
    </row>
    <row r="91" customFormat="false" ht="15" hidden="false" customHeight="false" outlineLevel="0" collapsed="false">
      <c r="A91" s="14"/>
      <c r="B91" s="13"/>
      <c r="C91" s="14"/>
      <c r="D91" s="14"/>
      <c r="E91" s="14"/>
      <c r="F91" s="15"/>
      <c r="G91" s="14"/>
      <c r="H91" s="19" t="str">
        <f aca="false">IF(F91="","",IF(G91="Y",F91*Settings!$B$16,0))</f>
        <v/>
      </c>
      <c r="I91" s="19" t="str">
        <f aca="false">IF(F91="","",F91+H91)</f>
        <v/>
      </c>
      <c r="J91" s="18" t="str">
        <f aca="false">IF(B91="","",B91+Settings!$B$17)</f>
        <v/>
      </c>
      <c r="K91" s="13"/>
      <c r="L91" s="15"/>
      <c r="M91" s="17" t="str">
        <f aca="true">IF(F91="","",IF(AND(L91&lt;&gt;"",L91&gt;=I91),"Paid",IF(AND(L91&lt;&gt;"",L91&gt;0),"Part paid",IF(TODAY()&gt;J91,"Overdue","Due"))))</f>
        <v/>
      </c>
      <c r="N91" s="19" t="str">
        <f aca="true">IF(M91="Overdue",TODAY()-J91,"")</f>
        <v/>
      </c>
      <c r="O91" s="14"/>
    </row>
    <row r="92" customFormat="false" ht="15" hidden="false" customHeight="false" outlineLevel="0" collapsed="false">
      <c r="A92" s="14"/>
      <c r="B92" s="13"/>
      <c r="C92" s="14"/>
      <c r="D92" s="14"/>
      <c r="E92" s="14"/>
      <c r="F92" s="15"/>
      <c r="G92" s="14"/>
      <c r="H92" s="19" t="str">
        <f aca="false">IF(F92="","",IF(G92="Y",F92*Settings!$B$16,0))</f>
        <v/>
      </c>
      <c r="I92" s="19" t="str">
        <f aca="false">IF(F92="","",F92+H92)</f>
        <v/>
      </c>
      <c r="J92" s="18" t="str">
        <f aca="false">IF(B92="","",B92+Settings!$B$17)</f>
        <v/>
      </c>
      <c r="K92" s="13"/>
      <c r="L92" s="15"/>
      <c r="M92" s="17" t="str">
        <f aca="true">IF(F92="","",IF(AND(L92&lt;&gt;"",L92&gt;=I92),"Paid",IF(AND(L92&lt;&gt;"",L92&gt;0),"Part paid",IF(TODAY()&gt;J92,"Overdue","Due"))))</f>
        <v/>
      </c>
      <c r="N92" s="19" t="str">
        <f aca="true">IF(M92="Overdue",TODAY()-J92,"")</f>
        <v/>
      </c>
      <c r="O92" s="14"/>
    </row>
    <row r="93" customFormat="false" ht="15" hidden="false" customHeight="false" outlineLevel="0" collapsed="false">
      <c r="A93" s="14"/>
      <c r="B93" s="13"/>
      <c r="C93" s="14"/>
      <c r="D93" s="14"/>
      <c r="E93" s="14"/>
      <c r="F93" s="15"/>
      <c r="G93" s="14"/>
      <c r="H93" s="19" t="str">
        <f aca="false">IF(F93="","",IF(G93="Y",F93*Settings!$B$16,0))</f>
        <v/>
      </c>
      <c r="I93" s="19" t="str">
        <f aca="false">IF(F93="","",F93+H93)</f>
        <v/>
      </c>
      <c r="J93" s="18" t="str">
        <f aca="false">IF(B93="","",B93+Settings!$B$17)</f>
        <v/>
      </c>
      <c r="K93" s="13"/>
      <c r="L93" s="15"/>
      <c r="M93" s="17" t="str">
        <f aca="true">IF(F93="","",IF(AND(L93&lt;&gt;"",L93&gt;=I93),"Paid",IF(AND(L93&lt;&gt;"",L93&gt;0),"Part paid",IF(TODAY()&gt;J93,"Overdue","Due"))))</f>
        <v/>
      </c>
      <c r="N93" s="19" t="str">
        <f aca="true">IF(M93="Overdue",TODAY()-J93,"")</f>
        <v/>
      </c>
      <c r="O93" s="14"/>
    </row>
    <row r="94" customFormat="false" ht="15" hidden="false" customHeight="false" outlineLevel="0" collapsed="false">
      <c r="A94" s="14"/>
      <c r="B94" s="13"/>
      <c r="C94" s="14"/>
      <c r="D94" s="14"/>
      <c r="E94" s="14"/>
      <c r="F94" s="15"/>
      <c r="G94" s="14"/>
      <c r="H94" s="19" t="str">
        <f aca="false">IF(F94="","",IF(G94="Y",F94*Settings!$B$16,0))</f>
        <v/>
      </c>
      <c r="I94" s="19" t="str">
        <f aca="false">IF(F94="","",F94+H94)</f>
        <v/>
      </c>
      <c r="J94" s="18" t="str">
        <f aca="false">IF(B94="","",B94+Settings!$B$17)</f>
        <v/>
      </c>
      <c r="K94" s="13"/>
      <c r="L94" s="15"/>
      <c r="M94" s="17" t="str">
        <f aca="true">IF(F94="","",IF(AND(L94&lt;&gt;"",L94&gt;=I94),"Paid",IF(AND(L94&lt;&gt;"",L94&gt;0),"Part paid",IF(TODAY()&gt;J94,"Overdue","Due"))))</f>
        <v/>
      </c>
      <c r="N94" s="19" t="str">
        <f aca="true">IF(M94="Overdue",TODAY()-J94,"")</f>
        <v/>
      </c>
      <c r="O94" s="14"/>
    </row>
    <row r="95" customFormat="false" ht="15" hidden="false" customHeight="false" outlineLevel="0" collapsed="false">
      <c r="A95" s="14"/>
      <c r="B95" s="13"/>
      <c r="C95" s="14"/>
      <c r="D95" s="14"/>
      <c r="E95" s="14"/>
      <c r="F95" s="15"/>
      <c r="G95" s="14"/>
      <c r="H95" s="19" t="str">
        <f aca="false">IF(F95="","",IF(G95="Y",F95*Settings!$B$16,0))</f>
        <v/>
      </c>
      <c r="I95" s="19" t="str">
        <f aca="false">IF(F95="","",F95+H95)</f>
        <v/>
      </c>
      <c r="J95" s="18" t="str">
        <f aca="false">IF(B95="","",B95+Settings!$B$17)</f>
        <v/>
      </c>
      <c r="K95" s="13"/>
      <c r="L95" s="15"/>
      <c r="M95" s="17" t="str">
        <f aca="true">IF(F95="","",IF(AND(L95&lt;&gt;"",L95&gt;=I95),"Paid",IF(AND(L95&lt;&gt;"",L95&gt;0),"Part paid",IF(TODAY()&gt;J95,"Overdue","Due"))))</f>
        <v/>
      </c>
      <c r="N95" s="19" t="str">
        <f aca="true">IF(M95="Overdue",TODAY()-J95,"")</f>
        <v/>
      </c>
      <c r="O95" s="14"/>
    </row>
    <row r="96" customFormat="false" ht="15" hidden="false" customHeight="false" outlineLevel="0" collapsed="false">
      <c r="A96" s="14"/>
      <c r="B96" s="13"/>
      <c r="C96" s="14"/>
      <c r="D96" s="14"/>
      <c r="E96" s="14"/>
      <c r="F96" s="15"/>
      <c r="G96" s="14"/>
      <c r="H96" s="19" t="str">
        <f aca="false">IF(F96="","",IF(G96="Y",F96*Settings!$B$16,0))</f>
        <v/>
      </c>
      <c r="I96" s="19" t="str">
        <f aca="false">IF(F96="","",F96+H96)</f>
        <v/>
      </c>
      <c r="J96" s="18" t="str">
        <f aca="false">IF(B96="","",B96+Settings!$B$17)</f>
        <v/>
      </c>
      <c r="K96" s="13"/>
      <c r="L96" s="15"/>
      <c r="M96" s="17" t="str">
        <f aca="true">IF(F96="","",IF(AND(L96&lt;&gt;"",L96&gt;=I96),"Paid",IF(AND(L96&lt;&gt;"",L96&gt;0),"Part paid",IF(TODAY()&gt;J96,"Overdue","Due"))))</f>
        <v/>
      </c>
      <c r="N96" s="19" t="str">
        <f aca="true">IF(M96="Overdue",TODAY()-J96,"")</f>
        <v/>
      </c>
      <c r="O96" s="14"/>
    </row>
    <row r="97" customFormat="false" ht="15" hidden="false" customHeight="false" outlineLevel="0" collapsed="false">
      <c r="A97" s="14"/>
      <c r="B97" s="13"/>
      <c r="C97" s="14"/>
      <c r="D97" s="14"/>
      <c r="E97" s="14"/>
      <c r="F97" s="15"/>
      <c r="G97" s="14"/>
      <c r="H97" s="19" t="str">
        <f aca="false">IF(F97="","",IF(G97="Y",F97*Settings!$B$16,0))</f>
        <v/>
      </c>
      <c r="I97" s="19" t="str">
        <f aca="false">IF(F97="","",F97+H97)</f>
        <v/>
      </c>
      <c r="J97" s="18" t="str">
        <f aca="false">IF(B97="","",B97+Settings!$B$17)</f>
        <v/>
      </c>
      <c r="K97" s="13"/>
      <c r="L97" s="15"/>
      <c r="M97" s="17" t="str">
        <f aca="true">IF(F97="","",IF(AND(L97&lt;&gt;"",L97&gt;=I97),"Paid",IF(AND(L97&lt;&gt;"",L97&gt;0),"Part paid",IF(TODAY()&gt;J97,"Overdue","Due"))))</f>
        <v/>
      </c>
      <c r="N97" s="19" t="str">
        <f aca="true">IF(M97="Overdue",TODAY()-J97,"")</f>
        <v/>
      </c>
      <c r="O97" s="14"/>
    </row>
    <row r="98" customFormat="false" ht="15" hidden="false" customHeight="false" outlineLevel="0" collapsed="false">
      <c r="A98" s="14"/>
      <c r="B98" s="13"/>
      <c r="C98" s="14"/>
      <c r="D98" s="14"/>
      <c r="E98" s="14"/>
      <c r="F98" s="15"/>
      <c r="G98" s="14"/>
      <c r="H98" s="19" t="str">
        <f aca="false">IF(F98="","",IF(G98="Y",F98*Settings!$B$16,0))</f>
        <v/>
      </c>
      <c r="I98" s="19" t="str">
        <f aca="false">IF(F98="","",F98+H98)</f>
        <v/>
      </c>
      <c r="J98" s="18" t="str">
        <f aca="false">IF(B98="","",B98+Settings!$B$17)</f>
        <v/>
      </c>
      <c r="K98" s="13"/>
      <c r="L98" s="15"/>
      <c r="M98" s="17" t="str">
        <f aca="true">IF(F98="","",IF(AND(L98&lt;&gt;"",L98&gt;=I98),"Paid",IF(AND(L98&lt;&gt;"",L98&gt;0),"Part paid",IF(TODAY()&gt;J98,"Overdue","Due"))))</f>
        <v/>
      </c>
      <c r="N98" s="19" t="str">
        <f aca="true">IF(M98="Overdue",TODAY()-J98,"")</f>
        <v/>
      </c>
      <c r="O98" s="14"/>
    </row>
    <row r="99" customFormat="false" ht="15" hidden="false" customHeight="false" outlineLevel="0" collapsed="false">
      <c r="A99" s="14"/>
      <c r="B99" s="13"/>
      <c r="C99" s="14"/>
      <c r="D99" s="14"/>
      <c r="E99" s="14"/>
      <c r="F99" s="15"/>
      <c r="G99" s="14"/>
      <c r="H99" s="19" t="str">
        <f aca="false">IF(F99="","",IF(G99="Y",F99*Settings!$B$16,0))</f>
        <v/>
      </c>
      <c r="I99" s="19" t="str">
        <f aca="false">IF(F99="","",F99+H99)</f>
        <v/>
      </c>
      <c r="J99" s="18" t="str">
        <f aca="false">IF(B99="","",B99+Settings!$B$17)</f>
        <v/>
      </c>
      <c r="K99" s="13"/>
      <c r="L99" s="15"/>
      <c r="M99" s="17" t="str">
        <f aca="true">IF(F99="","",IF(AND(L99&lt;&gt;"",L99&gt;=I99),"Paid",IF(AND(L99&lt;&gt;"",L99&gt;0),"Part paid",IF(TODAY()&gt;J99,"Overdue","Due"))))</f>
        <v/>
      </c>
      <c r="N99" s="19" t="str">
        <f aca="true">IF(M99="Overdue",TODAY()-J99,"")</f>
        <v/>
      </c>
      <c r="O99" s="14"/>
    </row>
    <row r="100" customFormat="false" ht="15" hidden="false" customHeight="false" outlineLevel="0" collapsed="false">
      <c r="A100" s="14"/>
      <c r="B100" s="13"/>
      <c r="C100" s="14"/>
      <c r="D100" s="14"/>
      <c r="E100" s="14"/>
      <c r="F100" s="15"/>
      <c r="G100" s="14"/>
      <c r="H100" s="19" t="str">
        <f aca="false">IF(F100="","",IF(G100="Y",F100*Settings!$B$16,0))</f>
        <v/>
      </c>
      <c r="I100" s="19" t="str">
        <f aca="false">IF(F100="","",F100+H100)</f>
        <v/>
      </c>
      <c r="J100" s="18" t="str">
        <f aca="false">IF(B100="","",B100+Settings!$B$17)</f>
        <v/>
      </c>
      <c r="K100" s="13"/>
      <c r="L100" s="15"/>
      <c r="M100" s="17" t="str">
        <f aca="true">IF(F100="","",IF(AND(L100&lt;&gt;"",L100&gt;=I100),"Paid",IF(AND(L100&lt;&gt;"",L100&gt;0),"Part paid",IF(TODAY()&gt;J100,"Overdue","Due"))))</f>
        <v/>
      </c>
      <c r="N100" s="19" t="str">
        <f aca="true">IF(M100="Overdue",TODAY()-J100,"")</f>
        <v/>
      </c>
      <c r="O100" s="14"/>
    </row>
    <row r="101" customFormat="false" ht="15" hidden="false" customHeight="false" outlineLevel="0" collapsed="false">
      <c r="A101" s="14"/>
      <c r="B101" s="13"/>
      <c r="C101" s="14"/>
      <c r="D101" s="14"/>
      <c r="E101" s="14"/>
      <c r="F101" s="15"/>
      <c r="G101" s="14"/>
      <c r="H101" s="19" t="str">
        <f aca="false">IF(F101="","",IF(G101="Y",F101*Settings!$B$16,0))</f>
        <v/>
      </c>
      <c r="I101" s="19" t="str">
        <f aca="false">IF(F101="","",F101+H101)</f>
        <v/>
      </c>
      <c r="J101" s="18" t="str">
        <f aca="false">IF(B101="","",B101+Settings!$B$17)</f>
        <v/>
      </c>
      <c r="K101" s="13"/>
      <c r="L101" s="15"/>
      <c r="M101" s="17" t="str">
        <f aca="true">IF(F101="","",IF(AND(L101&lt;&gt;"",L101&gt;=I101),"Paid",IF(AND(L101&lt;&gt;"",L101&gt;0),"Part paid",IF(TODAY()&gt;J101,"Overdue","Due"))))</f>
        <v/>
      </c>
      <c r="N101" s="19" t="str">
        <f aca="true">IF(M101="Overdue",TODAY()-J101,"")</f>
        <v/>
      </c>
      <c r="O101" s="14"/>
    </row>
    <row r="102" customFormat="false" ht="15" hidden="false" customHeight="false" outlineLevel="0" collapsed="false">
      <c r="A102" s="14"/>
      <c r="B102" s="13"/>
      <c r="C102" s="14"/>
      <c r="D102" s="14"/>
      <c r="E102" s="14"/>
      <c r="F102" s="15"/>
      <c r="G102" s="14"/>
      <c r="H102" s="19" t="str">
        <f aca="false">IF(F102="","",IF(G102="Y",F102*Settings!$B$16,0))</f>
        <v/>
      </c>
      <c r="I102" s="19" t="str">
        <f aca="false">IF(F102="","",F102+H102)</f>
        <v/>
      </c>
      <c r="J102" s="18" t="str">
        <f aca="false">IF(B102="","",B102+Settings!$B$17)</f>
        <v/>
      </c>
      <c r="K102" s="13"/>
      <c r="L102" s="15"/>
      <c r="M102" s="17" t="str">
        <f aca="true">IF(F102="","",IF(AND(L102&lt;&gt;"",L102&gt;=I102),"Paid",IF(AND(L102&lt;&gt;"",L102&gt;0),"Part paid",IF(TODAY()&gt;J102,"Overdue","Due"))))</f>
        <v/>
      </c>
      <c r="N102" s="19" t="str">
        <f aca="true">IF(M102="Overdue",TODAY()-J102,"")</f>
        <v/>
      </c>
      <c r="O102" s="14"/>
    </row>
    <row r="103" customFormat="false" ht="15" hidden="false" customHeight="false" outlineLevel="0" collapsed="false">
      <c r="A103" s="14"/>
      <c r="B103" s="13"/>
      <c r="C103" s="14"/>
      <c r="D103" s="14"/>
      <c r="E103" s="14"/>
      <c r="F103" s="15"/>
      <c r="G103" s="14"/>
      <c r="H103" s="19" t="str">
        <f aca="false">IF(F103="","",IF(G103="Y",F103*Settings!$B$16,0))</f>
        <v/>
      </c>
      <c r="I103" s="19" t="str">
        <f aca="false">IF(F103="","",F103+H103)</f>
        <v/>
      </c>
      <c r="J103" s="18" t="str">
        <f aca="false">IF(B103="","",B103+Settings!$B$17)</f>
        <v/>
      </c>
      <c r="K103" s="13"/>
      <c r="L103" s="15"/>
      <c r="M103" s="17" t="str">
        <f aca="true">IF(F103="","",IF(AND(L103&lt;&gt;"",L103&gt;=I103),"Paid",IF(AND(L103&lt;&gt;"",L103&gt;0),"Part paid",IF(TODAY()&gt;J103,"Overdue","Due"))))</f>
        <v/>
      </c>
      <c r="N103" s="19" t="str">
        <f aca="true">IF(M103="Overdue",TODAY()-J103,"")</f>
        <v/>
      </c>
      <c r="O103" s="14"/>
    </row>
    <row r="104" customFormat="false" ht="15" hidden="false" customHeight="false" outlineLevel="0" collapsed="false">
      <c r="A104" s="14"/>
      <c r="B104" s="13"/>
      <c r="C104" s="14"/>
      <c r="D104" s="14"/>
      <c r="E104" s="14"/>
      <c r="F104" s="15"/>
      <c r="G104" s="14"/>
      <c r="H104" s="19" t="str">
        <f aca="false">IF(F104="","",IF(G104="Y",F104*Settings!$B$16,0))</f>
        <v/>
      </c>
      <c r="I104" s="19" t="str">
        <f aca="false">IF(F104="","",F104+H104)</f>
        <v/>
      </c>
      <c r="J104" s="18" t="str">
        <f aca="false">IF(B104="","",B104+Settings!$B$17)</f>
        <v/>
      </c>
      <c r="K104" s="13"/>
      <c r="L104" s="15"/>
      <c r="M104" s="17" t="str">
        <f aca="true">IF(F104="","",IF(AND(L104&lt;&gt;"",L104&gt;=I104),"Paid",IF(AND(L104&lt;&gt;"",L104&gt;0),"Part paid",IF(TODAY()&gt;J104,"Overdue","Due"))))</f>
        <v/>
      </c>
      <c r="N104" s="19" t="str">
        <f aca="true">IF(M104="Overdue",TODAY()-J104,"")</f>
        <v/>
      </c>
      <c r="O104" s="14"/>
    </row>
    <row r="105" customFormat="false" ht="15" hidden="false" customHeight="false" outlineLevel="0" collapsed="false">
      <c r="A105" s="14"/>
      <c r="B105" s="13"/>
      <c r="C105" s="14"/>
      <c r="D105" s="14"/>
      <c r="E105" s="14"/>
      <c r="F105" s="15"/>
      <c r="G105" s="14"/>
      <c r="H105" s="19" t="str">
        <f aca="false">IF(F105="","",IF(G105="Y",F105*Settings!$B$16,0))</f>
        <v/>
      </c>
      <c r="I105" s="19" t="str">
        <f aca="false">IF(F105="","",F105+H105)</f>
        <v/>
      </c>
      <c r="J105" s="18" t="str">
        <f aca="false">IF(B105="","",B105+Settings!$B$17)</f>
        <v/>
      </c>
      <c r="K105" s="13"/>
      <c r="L105" s="15"/>
      <c r="M105" s="17" t="str">
        <f aca="true">IF(F105="","",IF(AND(L105&lt;&gt;"",L105&gt;=I105),"Paid",IF(AND(L105&lt;&gt;"",L105&gt;0),"Part paid",IF(TODAY()&gt;J105,"Overdue","Due"))))</f>
        <v/>
      </c>
      <c r="N105" s="19" t="str">
        <f aca="true">IF(M105="Overdue",TODAY()-J105,"")</f>
        <v/>
      </c>
      <c r="O105" s="14"/>
    </row>
    <row r="106" customFormat="false" ht="15" hidden="false" customHeight="false" outlineLevel="0" collapsed="false">
      <c r="A106" s="14"/>
      <c r="B106" s="13"/>
      <c r="C106" s="14"/>
      <c r="D106" s="14"/>
      <c r="E106" s="14"/>
      <c r="F106" s="15"/>
      <c r="G106" s="14"/>
      <c r="H106" s="19" t="str">
        <f aca="false">IF(F106="","",IF(G106="Y",F106*Settings!$B$16,0))</f>
        <v/>
      </c>
      <c r="I106" s="19" t="str">
        <f aca="false">IF(F106="","",F106+H106)</f>
        <v/>
      </c>
      <c r="J106" s="18" t="str">
        <f aca="false">IF(B106="","",B106+Settings!$B$17)</f>
        <v/>
      </c>
      <c r="K106" s="13"/>
      <c r="L106" s="15"/>
      <c r="M106" s="17" t="str">
        <f aca="true">IF(F106="","",IF(AND(L106&lt;&gt;"",L106&gt;=I106),"Paid",IF(AND(L106&lt;&gt;"",L106&gt;0),"Part paid",IF(TODAY()&gt;J106,"Overdue","Due"))))</f>
        <v/>
      </c>
      <c r="N106" s="19" t="str">
        <f aca="true">IF(M106="Overdue",TODAY()-J106,"")</f>
        <v/>
      </c>
      <c r="O106" s="14"/>
    </row>
    <row r="107" customFormat="false" ht="15" hidden="false" customHeight="false" outlineLevel="0" collapsed="false">
      <c r="A107" s="14"/>
      <c r="B107" s="13"/>
      <c r="C107" s="14"/>
      <c r="D107" s="14"/>
      <c r="E107" s="14"/>
      <c r="F107" s="15"/>
      <c r="G107" s="14"/>
      <c r="H107" s="19" t="str">
        <f aca="false">IF(F107="","",IF(G107="Y",F107*Settings!$B$16,0))</f>
        <v/>
      </c>
      <c r="I107" s="19" t="str">
        <f aca="false">IF(F107="","",F107+H107)</f>
        <v/>
      </c>
      <c r="J107" s="18" t="str">
        <f aca="false">IF(B107="","",B107+Settings!$B$17)</f>
        <v/>
      </c>
      <c r="K107" s="13"/>
      <c r="L107" s="15"/>
      <c r="M107" s="17" t="str">
        <f aca="true">IF(F107="","",IF(AND(L107&lt;&gt;"",L107&gt;=I107),"Paid",IF(AND(L107&lt;&gt;"",L107&gt;0),"Part paid",IF(TODAY()&gt;J107,"Overdue","Due"))))</f>
        <v/>
      </c>
      <c r="N107" s="19" t="str">
        <f aca="true">IF(M107="Overdue",TODAY()-J107,"")</f>
        <v/>
      </c>
      <c r="O107" s="14"/>
    </row>
    <row r="108" customFormat="false" ht="15" hidden="false" customHeight="false" outlineLevel="0" collapsed="false">
      <c r="A108" s="14"/>
      <c r="B108" s="13"/>
      <c r="C108" s="14"/>
      <c r="D108" s="14"/>
      <c r="E108" s="14"/>
      <c r="F108" s="15"/>
      <c r="G108" s="14"/>
      <c r="H108" s="19" t="str">
        <f aca="false">IF(F108="","",IF(G108="Y",F108*Settings!$B$16,0))</f>
        <v/>
      </c>
      <c r="I108" s="19" t="str">
        <f aca="false">IF(F108="","",F108+H108)</f>
        <v/>
      </c>
      <c r="J108" s="18" t="str">
        <f aca="false">IF(B108="","",B108+Settings!$B$17)</f>
        <v/>
      </c>
      <c r="K108" s="13"/>
      <c r="L108" s="15"/>
      <c r="M108" s="17" t="str">
        <f aca="true">IF(F108="","",IF(AND(L108&lt;&gt;"",L108&gt;=I108),"Paid",IF(AND(L108&lt;&gt;"",L108&gt;0),"Part paid",IF(TODAY()&gt;J108,"Overdue","Due"))))</f>
        <v/>
      </c>
      <c r="N108" s="19" t="str">
        <f aca="true">IF(M108="Overdue",TODAY()-J108,"")</f>
        <v/>
      </c>
      <c r="O108" s="14"/>
    </row>
    <row r="109" customFormat="false" ht="15" hidden="false" customHeight="false" outlineLevel="0" collapsed="false">
      <c r="A109" s="14"/>
      <c r="B109" s="13"/>
      <c r="C109" s="14"/>
      <c r="D109" s="14"/>
      <c r="E109" s="14"/>
      <c r="F109" s="15"/>
      <c r="G109" s="14"/>
      <c r="H109" s="19" t="str">
        <f aca="false">IF(F109="","",IF(G109="Y",F109*Settings!$B$16,0))</f>
        <v/>
      </c>
      <c r="I109" s="19" t="str">
        <f aca="false">IF(F109="","",F109+H109)</f>
        <v/>
      </c>
      <c r="J109" s="18" t="str">
        <f aca="false">IF(B109="","",B109+Settings!$B$17)</f>
        <v/>
      </c>
      <c r="K109" s="13"/>
      <c r="L109" s="15"/>
      <c r="M109" s="17" t="str">
        <f aca="true">IF(F109="","",IF(AND(L109&lt;&gt;"",L109&gt;=I109),"Paid",IF(AND(L109&lt;&gt;"",L109&gt;0),"Part paid",IF(TODAY()&gt;J109,"Overdue","Due"))))</f>
        <v/>
      </c>
      <c r="N109" s="19" t="str">
        <f aca="true">IF(M109="Overdue",TODAY()-J109,"")</f>
        <v/>
      </c>
      <c r="O109" s="14"/>
    </row>
    <row r="110" customFormat="false" ht="15" hidden="false" customHeight="false" outlineLevel="0" collapsed="false">
      <c r="A110" s="14"/>
      <c r="B110" s="13"/>
      <c r="C110" s="14"/>
      <c r="D110" s="14"/>
      <c r="E110" s="14"/>
      <c r="F110" s="15"/>
      <c r="G110" s="14"/>
      <c r="H110" s="19" t="str">
        <f aca="false">IF(F110="","",IF(G110="Y",F110*Settings!$B$16,0))</f>
        <v/>
      </c>
      <c r="I110" s="19" t="str">
        <f aca="false">IF(F110="","",F110+H110)</f>
        <v/>
      </c>
      <c r="J110" s="18" t="str">
        <f aca="false">IF(B110="","",B110+Settings!$B$17)</f>
        <v/>
      </c>
      <c r="K110" s="13"/>
      <c r="L110" s="15"/>
      <c r="M110" s="17" t="str">
        <f aca="true">IF(F110="","",IF(AND(L110&lt;&gt;"",L110&gt;=I110),"Paid",IF(AND(L110&lt;&gt;"",L110&gt;0),"Part paid",IF(TODAY()&gt;J110,"Overdue","Due"))))</f>
        <v/>
      </c>
      <c r="N110" s="19" t="str">
        <f aca="true">IF(M110="Overdue",TODAY()-J110,"")</f>
        <v/>
      </c>
      <c r="O110" s="14"/>
    </row>
    <row r="111" customFormat="false" ht="15" hidden="false" customHeight="false" outlineLevel="0" collapsed="false">
      <c r="A111" s="14"/>
      <c r="B111" s="13"/>
      <c r="C111" s="14"/>
      <c r="D111" s="14"/>
      <c r="E111" s="14"/>
      <c r="F111" s="15"/>
      <c r="G111" s="14"/>
      <c r="H111" s="19" t="str">
        <f aca="false">IF(F111="","",IF(G111="Y",F111*Settings!$B$16,0))</f>
        <v/>
      </c>
      <c r="I111" s="19" t="str">
        <f aca="false">IF(F111="","",F111+H111)</f>
        <v/>
      </c>
      <c r="J111" s="18" t="str">
        <f aca="false">IF(B111="","",B111+Settings!$B$17)</f>
        <v/>
      </c>
      <c r="K111" s="13"/>
      <c r="L111" s="15"/>
      <c r="M111" s="17" t="str">
        <f aca="true">IF(F111="","",IF(AND(L111&lt;&gt;"",L111&gt;=I111),"Paid",IF(AND(L111&lt;&gt;"",L111&gt;0),"Part paid",IF(TODAY()&gt;J111,"Overdue","Due"))))</f>
        <v/>
      </c>
      <c r="N111" s="19" t="str">
        <f aca="true">IF(M111="Overdue",TODAY()-J111,"")</f>
        <v/>
      </c>
      <c r="O111" s="14"/>
    </row>
    <row r="112" customFormat="false" ht="15" hidden="false" customHeight="false" outlineLevel="0" collapsed="false">
      <c r="A112" s="14"/>
      <c r="B112" s="13"/>
      <c r="C112" s="14"/>
      <c r="D112" s="14"/>
      <c r="E112" s="14"/>
      <c r="F112" s="15"/>
      <c r="G112" s="14"/>
      <c r="H112" s="19" t="str">
        <f aca="false">IF(F112="","",IF(G112="Y",F112*Settings!$B$16,0))</f>
        <v/>
      </c>
      <c r="I112" s="19" t="str">
        <f aca="false">IF(F112="","",F112+H112)</f>
        <v/>
      </c>
      <c r="J112" s="18" t="str">
        <f aca="false">IF(B112="","",B112+Settings!$B$17)</f>
        <v/>
      </c>
      <c r="K112" s="13"/>
      <c r="L112" s="15"/>
      <c r="M112" s="17" t="str">
        <f aca="true">IF(F112="","",IF(AND(L112&lt;&gt;"",L112&gt;=I112),"Paid",IF(AND(L112&lt;&gt;"",L112&gt;0),"Part paid",IF(TODAY()&gt;J112,"Overdue","Due"))))</f>
        <v/>
      </c>
      <c r="N112" s="19" t="str">
        <f aca="true">IF(M112="Overdue",TODAY()-J112,"")</f>
        <v/>
      </c>
      <c r="O112" s="14"/>
    </row>
    <row r="113" customFormat="false" ht="15" hidden="false" customHeight="false" outlineLevel="0" collapsed="false">
      <c r="A113" s="14"/>
      <c r="B113" s="13"/>
      <c r="C113" s="14"/>
      <c r="D113" s="14"/>
      <c r="E113" s="14"/>
      <c r="F113" s="15"/>
      <c r="G113" s="14"/>
      <c r="H113" s="19" t="str">
        <f aca="false">IF(F113="","",IF(G113="Y",F113*Settings!$B$16,0))</f>
        <v/>
      </c>
      <c r="I113" s="19" t="str">
        <f aca="false">IF(F113="","",F113+H113)</f>
        <v/>
      </c>
      <c r="J113" s="18" t="str">
        <f aca="false">IF(B113="","",B113+Settings!$B$17)</f>
        <v/>
      </c>
      <c r="K113" s="13"/>
      <c r="L113" s="15"/>
      <c r="M113" s="17" t="str">
        <f aca="true">IF(F113="","",IF(AND(L113&lt;&gt;"",L113&gt;=I113),"Paid",IF(AND(L113&lt;&gt;"",L113&gt;0),"Part paid",IF(TODAY()&gt;J113,"Overdue","Due"))))</f>
        <v/>
      </c>
      <c r="N113" s="19" t="str">
        <f aca="true">IF(M113="Overdue",TODAY()-J113,"")</f>
        <v/>
      </c>
      <c r="O113" s="14"/>
    </row>
    <row r="114" customFormat="false" ht="15" hidden="false" customHeight="false" outlineLevel="0" collapsed="false">
      <c r="A114" s="14"/>
      <c r="B114" s="13"/>
      <c r="C114" s="14"/>
      <c r="D114" s="14"/>
      <c r="E114" s="14"/>
      <c r="F114" s="15"/>
      <c r="G114" s="14"/>
      <c r="H114" s="19" t="str">
        <f aca="false">IF(F114="","",IF(G114="Y",F114*Settings!$B$16,0))</f>
        <v/>
      </c>
      <c r="I114" s="19" t="str">
        <f aca="false">IF(F114="","",F114+H114)</f>
        <v/>
      </c>
      <c r="J114" s="18" t="str">
        <f aca="false">IF(B114="","",B114+Settings!$B$17)</f>
        <v/>
      </c>
      <c r="K114" s="13"/>
      <c r="L114" s="15"/>
      <c r="M114" s="17" t="str">
        <f aca="true">IF(F114="","",IF(AND(L114&lt;&gt;"",L114&gt;=I114),"Paid",IF(AND(L114&lt;&gt;"",L114&gt;0),"Part paid",IF(TODAY()&gt;J114,"Overdue","Due"))))</f>
        <v/>
      </c>
      <c r="N114" s="19" t="str">
        <f aca="true">IF(M114="Overdue",TODAY()-J114,"")</f>
        <v/>
      </c>
      <c r="O114" s="14"/>
    </row>
    <row r="115" customFormat="false" ht="15" hidden="false" customHeight="false" outlineLevel="0" collapsed="false">
      <c r="A115" s="14"/>
      <c r="B115" s="13"/>
      <c r="C115" s="14"/>
      <c r="D115" s="14"/>
      <c r="E115" s="14"/>
      <c r="F115" s="15"/>
      <c r="G115" s="14"/>
      <c r="H115" s="19" t="str">
        <f aca="false">IF(F115="","",IF(G115="Y",F115*Settings!$B$16,0))</f>
        <v/>
      </c>
      <c r="I115" s="19" t="str">
        <f aca="false">IF(F115="","",F115+H115)</f>
        <v/>
      </c>
      <c r="J115" s="18" t="str">
        <f aca="false">IF(B115="","",B115+Settings!$B$17)</f>
        <v/>
      </c>
      <c r="K115" s="13"/>
      <c r="L115" s="15"/>
      <c r="M115" s="17" t="str">
        <f aca="true">IF(F115="","",IF(AND(L115&lt;&gt;"",L115&gt;=I115),"Paid",IF(AND(L115&lt;&gt;"",L115&gt;0),"Part paid",IF(TODAY()&gt;J115,"Overdue","Due"))))</f>
        <v/>
      </c>
      <c r="N115" s="19" t="str">
        <f aca="true">IF(M115="Overdue",TODAY()-J115,"")</f>
        <v/>
      </c>
      <c r="O115" s="14"/>
    </row>
    <row r="116" customFormat="false" ht="15" hidden="false" customHeight="false" outlineLevel="0" collapsed="false">
      <c r="A116" s="14"/>
      <c r="B116" s="13"/>
      <c r="C116" s="14"/>
      <c r="D116" s="14"/>
      <c r="E116" s="14"/>
      <c r="F116" s="15"/>
      <c r="G116" s="14"/>
      <c r="H116" s="19" t="str">
        <f aca="false">IF(F116="","",IF(G116="Y",F116*Settings!$B$16,0))</f>
        <v/>
      </c>
      <c r="I116" s="19" t="str">
        <f aca="false">IF(F116="","",F116+H116)</f>
        <v/>
      </c>
      <c r="J116" s="18" t="str">
        <f aca="false">IF(B116="","",B116+Settings!$B$17)</f>
        <v/>
      </c>
      <c r="K116" s="13"/>
      <c r="L116" s="15"/>
      <c r="M116" s="17" t="str">
        <f aca="true">IF(F116="","",IF(AND(L116&lt;&gt;"",L116&gt;=I116),"Paid",IF(AND(L116&lt;&gt;"",L116&gt;0),"Part paid",IF(TODAY()&gt;J116,"Overdue","Due"))))</f>
        <v/>
      </c>
      <c r="N116" s="19" t="str">
        <f aca="true">IF(M116="Overdue",TODAY()-J116,"")</f>
        <v/>
      </c>
      <c r="O116" s="14"/>
    </row>
    <row r="117" customFormat="false" ht="15" hidden="false" customHeight="false" outlineLevel="0" collapsed="false">
      <c r="A117" s="14"/>
      <c r="B117" s="13"/>
      <c r="C117" s="14"/>
      <c r="D117" s="14"/>
      <c r="E117" s="14"/>
      <c r="F117" s="15"/>
      <c r="G117" s="14"/>
      <c r="H117" s="19" t="str">
        <f aca="false">IF(F117="","",IF(G117="Y",F117*Settings!$B$16,0))</f>
        <v/>
      </c>
      <c r="I117" s="19" t="str">
        <f aca="false">IF(F117="","",F117+H117)</f>
        <v/>
      </c>
      <c r="J117" s="18" t="str">
        <f aca="false">IF(B117="","",B117+Settings!$B$17)</f>
        <v/>
      </c>
      <c r="K117" s="13"/>
      <c r="L117" s="15"/>
      <c r="M117" s="17" t="str">
        <f aca="true">IF(F117="","",IF(AND(L117&lt;&gt;"",L117&gt;=I117),"Paid",IF(AND(L117&lt;&gt;"",L117&gt;0),"Part paid",IF(TODAY()&gt;J117,"Overdue","Due"))))</f>
        <v/>
      </c>
      <c r="N117" s="19" t="str">
        <f aca="true">IF(M117="Overdue",TODAY()-J117,"")</f>
        <v/>
      </c>
      <c r="O117" s="14"/>
    </row>
    <row r="118" customFormat="false" ht="15" hidden="false" customHeight="false" outlineLevel="0" collapsed="false">
      <c r="A118" s="14"/>
      <c r="B118" s="13"/>
      <c r="C118" s="14"/>
      <c r="D118" s="14"/>
      <c r="E118" s="14"/>
      <c r="F118" s="15"/>
      <c r="G118" s="14"/>
      <c r="H118" s="19" t="str">
        <f aca="false">IF(F118="","",IF(G118="Y",F118*Settings!$B$16,0))</f>
        <v/>
      </c>
      <c r="I118" s="19" t="str">
        <f aca="false">IF(F118="","",F118+H118)</f>
        <v/>
      </c>
      <c r="J118" s="18" t="str">
        <f aca="false">IF(B118="","",B118+Settings!$B$17)</f>
        <v/>
      </c>
      <c r="K118" s="13"/>
      <c r="L118" s="15"/>
      <c r="M118" s="17" t="str">
        <f aca="true">IF(F118="","",IF(AND(L118&lt;&gt;"",L118&gt;=I118),"Paid",IF(AND(L118&lt;&gt;"",L118&gt;0),"Part paid",IF(TODAY()&gt;J118,"Overdue","Due"))))</f>
        <v/>
      </c>
      <c r="N118" s="19" t="str">
        <f aca="true">IF(M118="Overdue",TODAY()-J118,"")</f>
        <v/>
      </c>
      <c r="O118" s="14"/>
    </row>
    <row r="119" customFormat="false" ht="15" hidden="false" customHeight="false" outlineLevel="0" collapsed="false">
      <c r="A119" s="14"/>
      <c r="B119" s="13"/>
      <c r="C119" s="14"/>
      <c r="D119" s="14"/>
      <c r="E119" s="14"/>
      <c r="F119" s="15"/>
      <c r="G119" s="14"/>
      <c r="H119" s="19" t="str">
        <f aca="false">IF(F119="","",IF(G119="Y",F119*Settings!$B$16,0))</f>
        <v/>
      </c>
      <c r="I119" s="19" t="str">
        <f aca="false">IF(F119="","",F119+H119)</f>
        <v/>
      </c>
      <c r="J119" s="18" t="str">
        <f aca="false">IF(B119="","",B119+Settings!$B$17)</f>
        <v/>
      </c>
      <c r="K119" s="13"/>
      <c r="L119" s="15"/>
      <c r="M119" s="17" t="str">
        <f aca="true">IF(F119="","",IF(AND(L119&lt;&gt;"",L119&gt;=I119),"Paid",IF(AND(L119&lt;&gt;"",L119&gt;0),"Part paid",IF(TODAY()&gt;J119,"Overdue","Due"))))</f>
        <v/>
      </c>
      <c r="N119" s="19" t="str">
        <f aca="true">IF(M119="Overdue",TODAY()-J119,"")</f>
        <v/>
      </c>
      <c r="O119" s="14"/>
    </row>
    <row r="120" customFormat="false" ht="15" hidden="false" customHeight="false" outlineLevel="0" collapsed="false">
      <c r="A120" s="14"/>
      <c r="B120" s="13"/>
      <c r="C120" s="14"/>
      <c r="D120" s="14"/>
      <c r="E120" s="14"/>
      <c r="F120" s="15"/>
      <c r="G120" s="14"/>
      <c r="H120" s="19" t="str">
        <f aca="false">IF(F120="","",IF(G120="Y",F120*Settings!$B$16,0))</f>
        <v/>
      </c>
      <c r="I120" s="19" t="str">
        <f aca="false">IF(F120="","",F120+H120)</f>
        <v/>
      </c>
      <c r="J120" s="18" t="str">
        <f aca="false">IF(B120="","",B120+Settings!$B$17)</f>
        <v/>
      </c>
      <c r="K120" s="13"/>
      <c r="L120" s="15"/>
      <c r="M120" s="17" t="str">
        <f aca="true">IF(F120="","",IF(AND(L120&lt;&gt;"",L120&gt;=I120),"Paid",IF(AND(L120&lt;&gt;"",L120&gt;0),"Part paid",IF(TODAY()&gt;J120,"Overdue","Due"))))</f>
        <v/>
      </c>
      <c r="N120" s="19" t="str">
        <f aca="true">IF(M120="Overdue",TODAY()-J120,"")</f>
        <v/>
      </c>
      <c r="O120" s="14"/>
    </row>
    <row r="121" customFormat="false" ht="15" hidden="false" customHeight="false" outlineLevel="0" collapsed="false">
      <c r="A121" s="14"/>
      <c r="B121" s="13"/>
      <c r="C121" s="14"/>
      <c r="D121" s="14"/>
      <c r="E121" s="14"/>
      <c r="F121" s="15"/>
      <c r="G121" s="14"/>
      <c r="H121" s="19" t="str">
        <f aca="false">IF(F121="","",IF(G121="Y",F121*Settings!$B$16,0))</f>
        <v/>
      </c>
      <c r="I121" s="19" t="str">
        <f aca="false">IF(F121="","",F121+H121)</f>
        <v/>
      </c>
      <c r="J121" s="18" t="str">
        <f aca="false">IF(B121="","",B121+Settings!$B$17)</f>
        <v/>
      </c>
      <c r="K121" s="13"/>
      <c r="L121" s="15"/>
      <c r="M121" s="17" t="str">
        <f aca="true">IF(F121="","",IF(AND(L121&lt;&gt;"",L121&gt;=I121),"Paid",IF(AND(L121&lt;&gt;"",L121&gt;0),"Part paid",IF(TODAY()&gt;J121,"Overdue","Due"))))</f>
        <v/>
      </c>
      <c r="N121" s="19" t="str">
        <f aca="true">IF(M121="Overdue",TODAY()-J121,"")</f>
        <v/>
      </c>
      <c r="O121" s="14"/>
    </row>
    <row r="122" customFormat="false" ht="15" hidden="false" customHeight="false" outlineLevel="0" collapsed="false">
      <c r="A122" s="14"/>
      <c r="B122" s="13"/>
      <c r="C122" s="14"/>
      <c r="D122" s="14"/>
      <c r="E122" s="14"/>
      <c r="F122" s="15"/>
      <c r="G122" s="14"/>
      <c r="H122" s="19" t="str">
        <f aca="false">IF(F122="","",IF(G122="Y",F122*Settings!$B$16,0))</f>
        <v/>
      </c>
      <c r="I122" s="19" t="str">
        <f aca="false">IF(F122="","",F122+H122)</f>
        <v/>
      </c>
      <c r="J122" s="18" t="str">
        <f aca="false">IF(B122="","",B122+Settings!$B$17)</f>
        <v/>
      </c>
      <c r="K122" s="13"/>
      <c r="L122" s="15"/>
      <c r="M122" s="17" t="str">
        <f aca="true">IF(F122="","",IF(AND(L122&lt;&gt;"",L122&gt;=I122),"Paid",IF(AND(L122&lt;&gt;"",L122&gt;0),"Part paid",IF(TODAY()&gt;J122,"Overdue","Due"))))</f>
        <v/>
      </c>
      <c r="N122" s="19" t="str">
        <f aca="true">IF(M122="Overdue",TODAY()-J122,"")</f>
        <v/>
      </c>
      <c r="O122" s="14"/>
    </row>
    <row r="123" customFormat="false" ht="15" hidden="false" customHeight="false" outlineLevel="0" collapsed="false">
      <c r="A123" s="14"/>
      <c r="B123" s="13"/>
      <c r="C123" s="14"/>
      <c r="D123" s="14"/>
      <c r="E123" s="14"/>
      <c r="F123" s="15"/>
      <c r="G123" s="14"/>
      <c r="H123" s="19" t="str">
        <f aca="false">IF(F123="","",IF(G123="Y",F123*Settings!$B$16,0))</f>
        <v/>
      </c>
      <c r="I123" s="19" t="str">
        <f aca="false">IF(F123="","",F123+H123)</f>
        <v/>
      </c>
      <c r="J123" s="18" t="str">
        <f aca="false">IF(B123="","",B123+Settings!$B$17)</f>
        <v/>
      </c>
      <c r="K123" s="13"/>
      <c r="L123" s="15"/>
      <c r="M123" s="17" t="str">
        <f aca="true">IF(F123="","",IF(AND(L123&lt;&gt;"",L123&gt;=I123),"Paid",IF(AND(L123&lt;&gt;"",L123&gt;0),"Part paid",IF(TODAY()&gt;J123,"Overdue","Due"))))</f>
        <v/>
      </c>
      <c r="N123" s="19" t="str">
        <f aca="true">IF(M123="Overdue",TODAY()-J123,"")</f>
        <v/>
      </c>
      <c r="O123" s="14"/>
    </row>
    <row r="124" customFormat="false" ht="15" hidden="false" customHeight="false" outlineLevel="0" collapsed="false">
      <c r="A124" s="14"/>
      <c r="B124" s="13"/>
      <c r="C124" s="14"/>
      <c r="D124" s="14"/>
      <c r="E124" s="14"/>
      <c r="F124" s="15"/>
      <c r="G124" s="14"/>
      <c r="H124" s="19" t="str">
        <f aca="false">IF(F124="","",IF(G124="Y",F124*Settings!$B$16,0))</f>
        <v/>
      </c>
      <c r="I124" s="19" t="str">
        <f aca="false">IF(F124="","",F124+H124)</f>
        <v/>
      </c>
      <c r="J124" s="18" t="str">
        <f aca="false">IF(B124="","",B124+Settings!$B$17)</f>
        <v/>
      </c>
      <c r="K124" s="13"/>
      <c r="L124" s="15"/>
      <c r="M124" s="17" t="str">
        <f aca="true">IF(F124="","",IF(AND(L124&lt;&gt;"",L124&gt;=I124),"Paid",IF(AND(L124&lt;&gt;"",L124&gt;0),"Part paid",IF(TODAY()&gt;J124,"Overdue","Due"))))</f>
        <v/>
      </c>
      <c r="N124" s="19" t="str">
        <f aca="true">IF(M124="Overdue",TODAY()-J124,"")</f>
        <v/>
      </c>
      <c r="O124" s="14"/>
    </row>
    <row r="125" customFormat="false" ht="15" hidden="false" customHeight="false" outlineLevel="0" collapsed="false">
      <c r="A125" s="14"/>
      <c r="B125" s="13"/>
      <c r="C125" s="14"/>
      <c r="D125" s="14"/>
      <c r="E125" s="14"/>
      <c r="F125" s="15"/>
      <c r="G125" s="14"/>
      <c r="H125" s="19" t="str">
        <f aca="false">IF(F125="","",IF(G125="Y",F125*Settings!$B$16,0))</f>
        <v/>
      </c>
      <c r="I125" s="19" t="str">
        <f aca="false">IF(F125="","",F125+H125)</f>
        <v/>
      </c>
      <c r="J125" s="18" t="str">
        <f aca="false">IF(B125="","",B125+Settings!$B$17)</f>
        <v/>
      </c>
      <c r="K125" s="13"/>
      <c r="L125" s="15"/>
      <c r="M125" s="17" t="str">
        <f aca="true">IF(F125="","",IF(AND(L125&lt;&gt;"",L125&gt;=I125),"Paid",IF(AND(L125&lt;&gt;"",L125&gt;0),"Part paid",IF(TODAY()&gt;J125,"Overdue","Due"))))</f>
        <v/>
      </c>
      <c r="N125" s="19" t="str">
        <f aca="true">IF(M125="Overdue",TODAY()-J125,"")</f>
        <v/>
      </c>
      <c r="O125" s="14"/>
    </row>
    <row r="126" customFormat="false" ht="15" hidden="false" customHeight="false" outlineLevel="0" collapsed="false">
      <c r="A126" s="14"/>
      <c r="B126" s="13"/>
      <c r="C126" s="14"/>
      <c r="D126" s="14"/>
      <c r="E126" s="14"/>
      <c r="F126" s="15"/>
      <c r="G126" s="14"/>
      <c r="H126" s="19" t="str">
        <f aca="false">IF(F126="","",IF(G126="Y",F126*Settings!$B$16,0))</f>
        <v/>
      </c>
      <c r="I126" s="19" t="str">
        <f aca="false">IF(F126="","",F126+H126)</f>
        <v/>
      </c>
      <c r="J126" s="18" t="str">
        <f aca="false">IF(B126="","",B126+Settings!$B$17)</f>
        <v/>
      </c>
      <c r="K126" s="13"/>
      <c r="L126" s="15"/>
      <c r="M126" s="17" t="str">
        <f aca="true">IF(F126="","",IF(AND(L126&lt;&gt;"",L126&gt;=I126),"Paid",IF(AND(L126&lt;&gt;"",L126&gt;0),"Part paid",IF(TODAY()&gt;J126,"Overdue","Due"))))</f>
        <v/>
      </c>
      <c r="N126" s="19" t="str">
        <f aca="true">IF(M126="Overdue",TODAY()-J126,"")</f>
        <v/>
      </c>
      <c r="O126" s="14"/>
    </row>
    <row r="127" customFormat="false" ht="15" hidden="false" customHeight="false" outlineLevel="0" collapsed="false">
      <c r="A127" s="14"/>
      <c r="B127" s="13"/>
      <c r="C127" s="14"/>
      <c r="D127" s="14"/>
      <c r="E127" s="14"/>
      <c r="F127" s="15"/>
      <c r="G127" s="14"/>
      <c r="H127" s="19" t="str">
        <f aca="false">IF(F127="","",IF(G127="Y",F127*Settings!$B$16,0))</f>
        <v/>
      </c>
      <c r="I127" s="19" t="str">
        <f aca="false">IF(F127="","",F127+H127)</f>
        <v/>
      </c>
      <c r="J127" s="18" t="str">
        <f aca="false">IF(B127="","",B127+Settings!$B$17)</f>
        <v/>
      </c>
      <c r="K127" s="13"/>
      <c r="L127" s="15"/>
      <c r="M127" s="17" t="str">
        <f aca="true">IF(F127="","",IF(AND(L127&lt;&gt;"",L127&gt;=I127),"Paid",IF(AND(L127&lt;&gt;"",L127&gt;0),"Part paid",IF(TODAY()&gt;J127,"Overdue","Due"))))</f>
        <v/>
      </c>
      <c r="N127" s="19" t="str">
        <f aca="true">IF(M127="Overdue",TODAY()-J127,"")</f>
        <v/>
      </c>
      <c r="O127" s="14"/>
    </row>
    <row r="128" customFormat="false" ht="15" hidden="false" customHeight="false" outlineLevel="0" collapsed="false">
      <c r="A128" s="14"/>
      <c r="B128" s="13"/>
      <c r="C128" s="14"/>
      <c r="D128" s="14"/>
      <c r="E128" s="14"/>
      <c r="F128" s="15"/>
      <c r="G128" s="14"/>
      <c r="H128" s="19" t="str">
        <f aca="false">IF(F128="","",IF(G128="Y",F128*Settings!$B$16,0))</f>
        <v/>
      </c>
      <c r="I128" s="19" t="str">
        <f aca="false">IF(F128="","",F128+H128)</f>
        <v/>
      </c>
      <c r="J128" s="18" t="str">
        <f aca="false">IF(B128="","",B128+Settings!$B$17)</f>
        <v/>
      </c>
      <c r="K128" s="13"/>
      <c r="L128" s="15"/>
      <c r="M128" s="17" t="str">
        <f aca="true">IF(F128="","",IF(AND(L128&lt;&gt;"",L128&gt;=I128),"Paid",IF(AND(L128&lt;&gt;"",L128&gt;0),"Part paid",IF(TODAY()&gt;J128,"Overdue","Due"))))</f>
        <v/>
      </c>
      <c r="N128" s="19" t="str">
        <f aca="true">IF(M128="Overdue",TODAY()-J128,"")</f>
        <v/>
      </c>
      <c r="O128" s="14"/>
    </row>
    <row r="129" customFormat="false" ht="15" hidden="false" customHeight="false" outlineLevel="0" collapsed="false">
      <c r="A129" s="14"/>
      <c r="B129" s="13"/>
      <c r="C129" s="14"/>
      <c r="D129" s="14"/>
      <c r="E129" s="14"/>
      <c r="F129" s="15"/>
      <c r="G129" s="14"/>
      <c r="H129" s="19" t="str">
        <f aca="false">IF(F129="","",IF(G129="Y",F129*Settings!$B$16,0))</f>
        <v/>
      </c>
      <c r="I129" s="19" t="str">
        <f aca="false">IF(F129="","",F129+H129)</f>
        <v/>
      </c>
      <c r="J129" s="18" t="str">
        <f aca="false">IF(B129="","",B129+Settings!$B$17)</f>
        <v/>
      </c>
      <c r="K129" s="13"/>
      <c r="L129" s="15"/>
      <c r="M129" s="17" t="str">
        <f aca="true">IF(F129="","",IF(AND(L129&lt;&gt;"",L129&gt;=I129),"Paid",IF(AND(L129&lt;&gt;"",L129&gt;0),"Part paid",IF(TODAY()&gt;J129,"Overdue","Due"))))</f>
        <v/>
      </c>
      <c r="N129" s="19" t="str">
        <f aca="true">IF(M129="Overdue",TODAY()-J129,"")</f>
        <v/>
      </c>
      <c r="O129" s="14"/>
    </row>
    <row r="130" customFormat="false" ht="15" hidden="false" customHeight="false" outlineLevel="0" collapsed="false">
      <c r="A130" s="14"/>
      <c r="B130" s="13"/>
      <c r="C130" s="14"/>
      <c r="D130" s="14"/>
      <c r="E130" s="14"/>
      <c r="F130" s="15"/>
      <c r="G130" s="14"/>
      <c r="H130" s="19" t="str">
        <f aca="false">IF(F130="","",IF(G130="Y",F130*Settings!$B$16,0))</f>
        <v/>
      </c>
      <c r="I130" s="19" t="str">
        <f aca="false">IF(F130="","",F130+H130)</f>
        <v/>
      </c>
      <c r="J130" s="18" t="str">
        <f aca="false">IF(B130="","",B130+Settings!$B$17)</f>
        <v/>
      </c>
      <c r="K130" s="13"/>
      <c r="L130" s="15"/>
      <c r="M130" s="17" t="str">
        <f aca="true">IF(F130="","",IF(AND(L130&lt;&gt;"",L130&gt;=I130),"Paid",IF(AND(L130&lt;&gt;"",L130&gt;0),"Part paid",IF(TODAY()&gt;J130,"Overdue","Due"))))</f>
        <v/>
      </c>
      <c r="N130" s="19" t="str">
        <f aca="true">IF(M130="Overdue",TODAY()-J130,"")</f>
        <v/>
      </c>
      <c r="O130" s="14"/>
    </row>
    <row r="131" customFormat="false" ht="15" hidden="false" customHeight="false" outlineLevel="0" collapsed="false">
      <c r="A131" s="14"/>
      <c r="B131" s="13"/>
      <c r="C131" s="14"/>
      <c r="D131" s="14"/>
      <c r="E131" s="14"/>
      <c r="F131" s="15"/>
      <c r="G131" s="14"/>
      <c r="H131" s="19" t="str">
        <f aca="false">IF(F131="","",IF(G131="Y",F131*Settings!$B$16,0))</f>
        <v/>
      </c>
      <c r="I131" s="19" t="str">
        <f aca="false">IF(F131="","",F131+H131)</f>
        <v/>
      </c>
      <c r="J131" s="18" t="str">
        <f aca="false">IF(B131="","",B131+Settings!$B$17)</f>
        <v/>
      </c>
      <c r="K131" s="13"/>
      <c r="L131" s="15"/>
      <c r="M131" s="17" t="str">
        <f aca="true">IF(F131="","",IF(AND(L131&lt;&gt;"",L131&gt;=I131),"Paid",IF(AND(L131&lt;&gt;"",L131&gt;0),"Part paid",IF(TODAY()&gt;J131,"Overdue","Due"))))</f>
        <v/>
      </c>
      <c r="N131" s="19" t="str">
        <f aca="true">IF(M131="Overdue",TODAY()-J131,"")</f>
        <v/>
      </c>
      <c r="O131" s="14"/>
    </row>
    <row r="132" customFormat="false" ht="15" hidden="false" customHeight="false" outlineLevel="0" collapsed="false">
      <c r="A132" s="14"/>
      <c r="B132" s="13"/>
      <c r="C132" s="14"/>
      <c r="D132" s="14"/>
      <c r="E132" s="14"/>
      <c r="F132" s="15"/>
      <c r="G132" s="14"/>
      <c r="H132" s="19" t="str">
        <f aca="false">IF(F132="","",IF(G132="Y",F132*Settings!$B$16,0))</f>
        <v/>
      </c>
      <c r="I132" s="19" t="str">
        <f aca="false">IF(F132="","",F132+H132)</f>
        <v/>
      </c>
      <c r="J132" s="18" t="str">
        <f aca="false">IF(B132="","",B132+Settings!$B$17)</f>
        <v/>
      </c>
      <c r="K132" s="13"/>
      <c r="L132" s="15"/>
      <c r="M132" s="17" t="str">
        <f aca="true">IF(F132="","",IF(AND(L132&lt;&gt;"",L132&gt;=I132),"Paid",IF(AND(L132&lt;&gt;"",L132&gt;0),"Part paid",IF(TODAY()&gt;J132,"Overdue","Due"))))</f>
        <v/>
      </c>
      <c r="N132" s="19" t="str">
        <f aca="true">IF(M132="Overdue",TODAY()-J132,"")</f>
        <v/>
      </c>
      <c r="O132" s="14"/>
    </row>
    <row r="133" customFormat="false" ht="15" hidden="false" customHeight="false" outlineLevel="0" collapsed="false">
      <c r="A133" s="14"/>
      <c r="B133" s="13"/>
      <c r="C133" s="14"/>
      <c r="D133" s="14"/>
      <c r="E133" s="14"/>
      <c r="F133" s="15"/>
      <c r="G133" s="14"/>
      <c r="H133" s="19" t="str">
        <f aca="false">IF(F133="","",IF(G133="Y",F133*Settings!$B$16,0))</f>
        <v/>
      </c>
      <c r="I133" s="19" t="str">
        <f aca="false">IF(F133="","",F133+H133)</f>
        <v/>
      </c>
      <c r="J133" s="18" t="str">
        <f aca="false">IF(B133="","",B133+Settings!$B$17)</f>
        <v/>
      </c>
      <c r="K133" s="13"/>
      <c r="L133" s="15"/>
      <c r="M133" s="17" t="str">
        <f aca="true">IF(F133="","",IF(AND(L133&lt;&gt;"",L133&gt;=I133),"Paid",IF(AND(L133&lt;&gt;"",L133&gt;0),"Part paid",IF(TODAY()&gt;J133,"Overdue","Due"))))</f>
        <v/>
      </c>
      <c r="N133" s="19" t="str">
        <f aca="true">IF(M133="Overdue",TODAY()-J133,"")</f>
        <v/>
      </c>
      <c r="O133" s="14"/>
    </row>
    <row r="134" customFormat="false" ht="15" hidden="false" customHeight="false" outlineLevel="0" collapsed="false">
      <c r="A134" s="14"/>
      <c r="B134" s="13"/>
      <c r="C134" s="14"/>
      <c r="D134" s="14"/>
      <c r="E134" s="14"/>
      <c r="F134" s="15"/>
      <c r="G134" s="14"/>
      <c r="H134" s="19" t="str">
        <f aca="false">IF(F134="","",IF(G134="Y",F134*Settings!$B$16,0))</f>
        <v/>
      </c>
      <c r="I134" s="19" t="str">
        <f aca="false">IF(F134="","",F134+H134)</f>
        <v/>
      </c>
      <c r="J134" s="18" t="str">
        <f aca="false">IF(B134="","",B134+Settings!$B$17)</f>
        <v/>
      </c>
      <c r="K134" s="13"/>
      <c r="L134" s="15"/>
      <c r="M134" s="17" t="str">
        <f aca="true">IF(F134="","",IF(AND(L134&lt;&gt;"",L134&gt;=I134),"Paid",IF(AND(L134&lt;&gt;"",L134&gt;0),"Part paid",IF(TODAY()&gt;J134,"Overdue","Due"))))</f>
        <v/>
      </c>
      <c r="N134" s="19" t="str">
        <f aca="true">IF(M134="Overdue",TODAY()-J134,"")</f>
        <v/>
      </c>
      <c r="O134" s="14"/>
    </row>
    <row r="135" customFormat="false" ht="15" hidden="false" customHeight="false" outlineLevel="0" collapsed="false">
      <c r="A135" s="14"/>
      <c r="B135" s="13"/>
      <c r="C135" s="14"/>
      <c r="D135" s="14"/>
      <c r="E135" s="14"/>
      <c r="F135" s="15"/>
      <c r="G135" s="14"/>
      <c r="H135" s="19" t="str">
        <f aca="false">IF(F135="","",IF(G135="Y",F135*Settings!$B$16,0))</f>
        <v/>
      </c>
      <c r="I135" s="19" t="str">
        <f aca="false">IF(F135="","",F135+H135)</f>
        <v/>
      </c>
      <c r="J135" s="18" t="str">
        <f aca="false">IF(B135="","",B135+Settings!$B$17)</f>
        <v/>
      </c>
      <c r="K135" s="13"/>
      <c r="L135" s="15"/>
      <c r="M135" s="17" t="str">
        <f aca="true">IF(F135="","",IF(AND(L135&lt;&gt;"",L135&gt;=I135),"Paid",IF(AND(L135&lt;&gt;"",L135&gt;0),"Part paid",IF(TODAY()&gt;J135,"Overdue","Due"))))</f>
        <v/>
      </c>
      <c r="N135" s="19" t="str">
        <f aca="true">IF(M135="Overdue",TODAY()-J135,"")</f>
        <v/>
      </c>
      <c r="O135" s="14"/>
    </row>
    <row r="136" customFormat="false" ht="15" hidden="false" customHeight="false" outlineLevel="0" collapsed="false">
      <c r="A136" s="14"/>
      <c r="B136" s="13"/>
      <c r="C136" s="14"/>
      <c r="D136" s="14"/>
      <c r="E136" s="14"/>
      <c r="F136" s="15"/>
      <c r="G136" s="14"/>
      <c r="H136" s="19" t="str">
        <f aca="false">IF(F136="","",IF(G136="Y",F136*Settings!$B$16,0))</f>
        <v/>
      </c>
      <c r="I136" s="19" t="str">
        <f aca="false">IF(F136="","",F136+H136)</f>
        <v/>
      </c>
      <c r="J136" s="18" t="str">
        <f aca="false">IF(B136="","",B136+Settings!$B$17)</f>
        <v/>
      </c>
      <c r="K136" s="13"/>
      <c r="L136" s="15"/>
      <c r="M136" s="17" t="str">
        <f aca="true">IF(F136="","",IF(AND(L136&lt;&gt;"",L136&gt;=I136),"Paid",IF(AND(L136&lt;&gt;"",L136&gt;0),"Part paid",IF(TODAY()&gt;J136,"Overdue","Due"))))</f>
        <v/>
      </c>
      <c r="N136" s="19" t="str">
        <f aca="true">IF(M136="Overdue",TODAY()-J136,"")</f>
        <v/>
      </c>
      <c r="O136" s="14"/>
    </row>
    <row r="137" customFormat="false" ht="15" hidden="false" customHeight="false" outlineLevel="0" collapsed="false">
      <c r="A137" s="14"/>
      <c r="B137" s="13"/>
      <c r="C137" s="14"/>
      <c r="D137" s="14"/>
      <c r="E137" s="14"/>
      <c r="F137" s="15"/>
      <c r="G137" s="14"/>
      <c r="H137" s="19" t="str">
        <f aca="false">IF(F137="","",IF(G137="Y",F137*Settings!$B$16,0))</f>
        <v/>
      </c>
      <c r="I137" s="19" t="str">
        <f aca="false">IF(F137="","",F137+H137)</f>
        <v/>
      </c>
      <c r="J137" s="18" t="str">
        <f aca="false">IF(B137="","",B137+Settings!$B$17)</f>
        <v/>
      </c>
      <c r="K137" s="13"/>
      <c r="L137" s="15"/>
      <c r="M137" s="17" t="str">
        <f aca="true">IF(F137="","",IF(AND(L137&lt;&gt;"",L137&gt;=I137),"Paid",IF(AND(L137&lt;&gt;"",L137&gt;0),"Part paid",IF(TODAY()&gt;J137,"Overdue","Due"))))</f>
        <v/>
      </c>
      <c r="N137" s="19" t="str">
        <f aca="true">IF(M137="Overdue",TODAY()-J137,"")</f>
        <v/>
      </c>
      <c r="O137" s="14"/>
    </row>
    <row r="138" customFormat="false" ht="15" hidden="false" customHeight="false" outlineLevel="0" collapsed="false">
      <c r="A138" s="14"/>
      <c r="B138" s="13"/>
      <c r="C138" s="14"/>
      <c r="D138" s="14"/>
      <c r="E138" s="14"/>
      <c r="F138" s="15"/>
      <c r="G138" s="14"/>
      <c r="H138" s="19" t="str">
        <f aca="false">IF(F138="","",IF(G138="Y",F138*Settings!$B$16,0))</f>
        <v/>
      </c>
      <c r="I138" s="19" t="str">
        <f aca="false">IF(F138="","",F138+H138)</f>
        <v/>
      </c>
      <c r="J138" s="18" t="str">
        <f aca="false">IF(B138="","",B138+Settings!$B$17)</f>
        <v/>
      </c>
      <c r="K138" s="13"/>
      <c r="L138" s="15"/>
      <c r="M138" s="17" t="str">
        <f aca="true">IF(F138="","",IF(AND(L138&lt;&gt;"",L138&gt;=I138),"Paid",IF(AND(L138&lt;&gt;"",L138&gt;0),"Part paid",IF(TODAY()&gt;J138,"Overdue","Due"))))</f>
        <v/>
      </c>
      <c r="N138" s="19" t="str">
        <f aca="true">IF(M138="Overdue",TODAY()-J138,"")</f>
        <v/>
      </c>
      <c r="O138" s="14"/>
    </row>
    <row r="139" customFormat="false" ht="15" hidden="false" customHeight="false" outlineLevel="0" collapsed="false">
      <c r="A139" s="14"/>
      <c r="B139" s="13"/>
      <c r="C139" s="14"/>
      <c r="D139" s="14"/>
      <c r="E139" s="14"/>
      <c r="F139" s="15"/>
      <c r="G139" s="14"/>
      <c r="H139" s="19" t="str">
        <f aca="false">IF(F139="","",IF(G139="Y",F139*Settings!$B$16,0))</f>
        <v/>
      </c>
      <c r="I139" s="19" t="str">
        <f aca="false">IF(F139="","",F139+H139)</f>
        <v/>
      </c>
      <c r="J139" s="18" t="str">
        <f aca="false">IF(B139="","",B139+Settings!$B$17)</f>
        <v/>
      </c>
      <c r="K139" s="13"/>
      <c r="L139" s="15"/>
      <c r="M139" s="17" t="str">
        <f aca="true">IF(F139="","",IF(AND(L139&lt;&gt;"",L139&gt;=I139),"Paid",IF(AND(L139&lt;&gt;"",L139&gt;0),"Part paid",IF(TODAY()&gt;J139,"Overdue","Due"))))</f>
        <v/>
      </c>
      <c r="N139" s="19" t="str">
        <f aca="true">IF(M139="Overdue",TODAY()-J139,"")</f>
        <v/>
      </c>
      <c r="O139" s="14"/>
    </row>
    <row r="140" customFormat="false" ht="15" hidden="false" customHeight="false" outlineLevel="0" collapsed="false">
      <c r="A140" s="14"/>
      <c r="B140" s="13"/>
      <c r="C140" s="14"/>
      <c r="D140" s="14"/>
      <c r="E140" s="14"/>
      <c r="F140" s="15"/>
      <c r="G140" s="14"/>
      <c r="H140" s="19" t="str">
        <f aca="false">IF(F140="","",IF(G140="Y",F140*Settings!$B$16,0))</f>
        <v/>
      </c>
      <c r="I140" s="19" t="str">
        <f aca="false">IF(F140="","",F140+H140)</f>
        <v/>
      </c>
      <c r="J140" s="18" t="str">
        <f aca="false">IF(B140="","",B140+Settings!$B$17)</f>
        <v/>
      </c>
      <c r="K140" s="13"/>
      <c r="L140" s="15"/>
      <c r="M140" s="17" t="str">
        <f aca="true">IF(F140="","",IF(AND(L140&lt;&gt;"",L140&gt;=I140),"Paid",IF(AND(L140&lt;&gt;"",L140&gt;0),"Part paid",IF(TODAY()&gt;J140,"Overdue","Due"))))</f>
        <v/>
      </c>
      <c r="N140" s="19" t="str">
        <f aca="true">IF(M140="Overdue",TODAY()-J140,"")</f>
        <v/>
      </c>
      <c r="O140" s="14"/>
    </row>
    <row r="141" customFormat="false" ht="15" hidden="false" customHeight="false" outlineLevel="0" collapsed="false">
      <c r="A141" s="14"/>
      <c r="B141" s="13"/>
      <c r="C141" s="14"/>
      <c r="D141" s="14"/>
      <c r="E141" s="14"/>
      <c r="F141" s="15"/>
      <c r="G141" s="14"/>
      <c r="H141" s="19" t="str">
        <f aca="false">IF(F141="","",IF(G141="Y",F141*Settings!$B$16,0))</f>
        <v/>
      </c>
      <c r="I141" s="19" t="str">
        <f aca="false">IF(F141="","",F141+H141)</f>
        <v/>
      </c>
      <c r="J141" s="18" t="str">
        <f aca="false">IF(B141="","",B141+Settings!$B$17)</f>
        <v/>
      </c>
      <c r="K141" s="13"/>
      <c r="L141" s="15"/>
      <c r="M141" s="17" t="str">
        <f aca="true">IF(F141="","",IF(AND(L141&lt;&gt;"",L141&gt;=I141),"Paid",IF(AND(L141&lt;&gt;"",L141&gt;0),"Part paid",IF(TODAY()&gt;J141,"Overdue","Due"))))</f>
        <v/>
      </c>
      <c r="N141" s="19" t="str">
        <f aca="true">IF(M141="Overdue",TODAY()-J141,"")</f>
        <v/>
      </c>
      <c r="O141" s="14"/>
    </row>
    <row r="142" customFormat="false" ht="15" hidden="false" customHeight="false" outlineLevel="0" collapsed="false">
      <c r="A142" s="14"/>
      <c r="B142" s="13"/>
      <c r="C142" s="14"/>
      <c r="D142" s="14"/>
      <c r="E142" s="14"/>
      <c r="F142" s="15"/>
      <c r="G142" s="14"/>
      <c r="H142" s="19" t="str">
        <f aca="false">IF(F142="","",IF(G142="Y",F142*Settings!$B$16,0))</f>
        <v/>
      </c>
      <c r="I142" s="19" t="str">
        <f aca="false">IF(F142="","",F142+H142)</f>
        <v/>
      </c>
      <c r="J142" s="18" t="str">
        <f aca="false">IF(B142="","",B142+Settings!$B$17)</f>
        <v/>
      </c>
      <c r="K142" s="13"/>
      <c r="L142" s="15"/>
      <c r="M142" s="17" t="str">
        <f aca="true">IF(F142="","",IF(AND(L142&lt;&gt;"",L142&gt;=I142),"Paid",IF(AND(L142&lt;&gt;"",L142&gt;0),"Part paid",IF(TODAY()&gt;J142,"Overdue","Due"))))</f>
        <v/>
      </c>
      <c r="N142" s="19" t="str">
        <f aca="true">IF(M142="Overdue",TODAY()-J142,"")</f>
        <v/>
      </c>
      <c r="O142" s="14"/>
    </row>
    <row r="143" customFormat="false" ht="15" hidden="false" customHeight="false" outlineLevel="0" collapsed="false">
      <c r="A143" s="14"/>
      <c r="B143" s="13"/>
      <c r="C143" s="14"/>
      <c r="D143" s="14"/>
      <c r="E143" s="14"/>
      <c r="F143" s="15"/>
      <c r="G143" s="14"/>
      <c r="H143" s="19" t="str">
        <f aca="false">IF(F143="","",IF(G143="Y",F143*Settings!$B$16,0))</f>
        <v/>
      </c>
      <c r="I143" s="19" t="str">
        <f aca="false">IF(F143="","",F143+H143)</f>
        <v/>
      </c>
      <c r="J143" s="18" t="str">
        <f aca="false">IF(B143="","",B143+Settings!$B$17)</f>
        <v/>
      </c>
      <c r="K143" s="13"/>
      <c r="L143" s="15"/>
      <c r="M143" s="17" t="str">
        <f aca="true">IF(F143="","",IF(AND(L143&lt;&gt;"",L143&gt;=I143),"Paid",IF(AND(L143&lt;&gt;"",L143&gt;0),"Part paid",IF(TODAY()&gt;J143,"Overdue","Due"))))</f>
        <v/>
      </c>
      <c r="N143" s="19" t="str">
        <f aca="true">IF(M143="Overdue",TODAY()-J143,"")</f>
        <v/>
      </c>
      <c r="O143" s="14"/>
    </row>
    <row r="144" customFormat="false" ht="15" hidden="false" customHeight="false" outlineLevel="0" collapsed="false">
      <c r="A144" s="14"/>
      <c r="B144" s="13"/>
      <c r="C144" s="14"/>
      <c r="D144" s="14"/>
      <c r="E144" s="14"/>
      <c r="F144" s="15"/>
      <c r="G144" s="14"/>
      <c r="H144" s="19" t="str">
        <f aca="false">IF(F144="","",IF(G144="Y",F144*Settings!$B$16,0))</f>
        <v/>
      </c>
      <c r="I144" s="19" t="str">
        <f aca="false">IF(F144="","",F144+H144)</f>
        <v/>
      </c>
      <c r="J144" s="18" t="str">
        <f aca="false">IF(B144="","",B144+Settings!$B$17)</f>
        <v/>
      </c>
      <c r="K144" s="13"/>
      <c r="L144" s="15"/>
      <c r="M144" s="17" t="str">
        <f aca="true">IF(F144="","",IF(AND(L144&lt;&gt;"",L144&gt;=I144),"Paid",IF(AND(L144&lt;&gt;"",L144&gt;0),"Part paid",IF(TODAY()&gt;J144,"Overdue","Due"))))</f>
        <v/>
      </c>
      <c r="N144" s="19" t="str">
        <f aca="true">IF(M144="Overdue",TODAY()-J144,"")</f>
        <v/>
      </c>
      <c r="O144" s="14"/>
    </row>
    <row r="145" customFormat="false" ht="15" hidden="false" customHeight="false" outlineLevel="0" collapsed="false">
      <c r="A145" s="14"/>
      <c r="B145" s="13"/>
      <c r="C145" s="14"/>
      <c r="D145" s="14"/>
      <c r="E145" s="14"/>
      <c r="F145" s="15"/>
      <c r="G145" s="14"/>
      <c r="H145" s="19" t="str">
        <f aca="false">IF(F145="","",IF(G145="Y",F145*Settings!$B$16,0))</f>
        <v/>
      </c>
      <c r="I145" s="19" t="str">
        <f aca="false">IF(F145="","",F145+H145)</f>
        <v/>
      </c>
      <c r="J145" s="18" t="str">
        <f aca="false">IF(B145="","",B145+Settings!$B$17)</f>
        <v/>
      </c>
      <c r="K145" s="13"/>
      <c r="L145" s="15"/>
      <c r="M145" s="17" t="str">
        <f aca="true">IF(F145="","",IF(AND(L145&lt;&gt;"",L145&gt;=I145),"Paid",IF(AND(L145&lt;&gt;"",L145&gt;0),"Part paid",IF(TODAY()&gt;J145,"Overdue","Due"))))</f>
        <v/>
      </c>
      <c r="N145" s="19" t="str">
        <f aca="true">IF(M145="Overdue",TODAY()-J145,"")</f>
        <v/>
      </c>
      <c r="O145" s="14"/>
    </row>
    <row r="146" customFormat="false" ht="15" hidden="false" customHeight="false" outlineLevel="0" collapsed="false">
      <c r="A146" s="14"/>
      <c r="B146" s="13"/>
      <c r="C146" s="14"/>
      <c r="D146" s="14"/>
      <c r="E146" s="14"/>
      <c r="F146" s="15"/>
      <c r="G146" s="14"/>
      <c r="H146" s="19" t="str">
        <f aca="false">IF(F146="","",IF(G146="Y",F146*Settings!$B$16,0))</f>
        <v/>
      </c>
      <c r="I146" s="19" t="str">
        <f aca="false">IF(F146="","",F146+H146)</f>
        <v/>
      </c>
      <c r="J146" s="18" t="str">
        <f aca="false">IF(B146="","",B146+Settings!$B$17)</f>
        <v/>
      </c>
      <c r="K146" s="13"/>
      <c r="L146" s="15"/>
      <c r="M146" s="17" t="str">
        <f aca="true">IF(F146="","",IF(AND(L146&lt;&gt;"",L146&gt;=I146),"Paid",IF(AND(L146&lt;&gt;"",L146&gt;0),"Part paid",IF(TODAY()&gt;J146,"Overdue","Due"))))</f>
        <v/>
      </c>
      <c r="N146" s="19" t="str">
        <f aca="true">IF(M146="Overdue",TODAY()-J146,"")</f>
        <v/>
      </c>
      <c r="O146" s="14"/>
    </row>
    <row r="147" customFormat="false" ht="15" hidden="false" customHeight="false" outlineLevel="0" collapsed="false">
      <c r="A147" s="14"/>
      <c r="B147" s="13"/>
      <c r="C147" s="14"/>
      <c r="D147" s="14"/>
      <c r="E147" s="14"/>
      <c r="F147" s="15"/>
      <c r="G147" s="14"/>
      <c r="H147" s="19" t="str">
        <f aca="false">IF(F147="","",IF(G147="Y",F147*Settings!$B$16,0))</f>
        <v/>
      </c>
      <c r="I147" s="19" t="str">
        <f aca="false">IF(F147="","",F147+H147)</f>
        <v/>
      </c>
      <c r="J147" s="18" t="str">
        <f aca="false">IF(B147="","",B147+Settings!$B$17)</f>
        <v/>
      </c>
      <c r="K147" s="13"/>
      <c r="L147" s="15"/>
      <c r="M147" s="17" t="str">
        <f aca="true">IF(F147="","",IF(AND(L147&lt;&gt;"",L147&gt;=I147),"Paid",IF(AND(L147&lt;&gt;"",L147&gt;0),"Part paid",IF(TODAY()&gt;J147,"Overdue","Due"))))</f>
        <v/>
      </c>
      <c r="N147" s="19" t="str">
        <f aca="true">IF(M147="Overdue",TODAY()-J147,"")</f>
        <v/>
      </c>
      <c r="O147" s="14"/>
    </row>
    <row r="148" customFormat="false" ht="15" hidden="false" customHeight="false" outlineLevel="0" collapsed="false">
      <c r="A148" s="14"/>
      <c r="B148" s="13"/>
      <c r="C148" s="14"/>
      <c r="D148" s="14"/>
      <c r="E148" s="14"/>
      <c r="F148" s="15"/>
      <c r="G148" s="14"/>
      <c r="H148" s="19" t="str">
        <f aca="false">IF(F148="","",IF(G148="Y",F148*Settings!$B$16,0))</f>
        <v/>
      </c>
      <c r="I148" s="19" t="str">
        <f aca="false">IF(F148="","",F148+H148)</f>
        <v/>
      </c>
      <c r="J148" s="18" t="str">
        <f aca="false">IF(B148="","",B148+Settings!$B$17)</f>
        <v/>
      </c>
      <c r="K148" s="13"/>
      <c r="L148" s="15"/>
      <c r="M148" s="17" t="str">
        <f aca="true">IF(F148="","",IF(AND(L148&lt;&gt;"",L148&gt;=I148),"Paid",IF(AND(L148&lt;&gt;"",L148&gt;0),"Part paid",IF(TODAY()&gt;J148,"Overdue","Due"))))</f>
        <v/>
      </c>
      <c r="N148" s="19" t="str">
        <f aca="true">IF(M148="Overdue",TODAY()-J148,"")</f>
        <v/>
      </c>
      <c r="O148" s="14"/>
    </row>
    <row r="149" customFormat="false" ht="15" hidden="false" customHeight="false" outlineLevel="0" collapsed="false">
      <c r="A149" s="14"/>
      <c r="B149" s="13"/>
      <c r="C149" s="14"/>
      <c r="D149" s="14"/>
      <c r="E149" s="14"/>
      <c r="F149" s="15"/>
      <c r="G149" s="14"/>
      <c r="H149" s="19" t="str">
        <f aca="false">IF(F149="","",IF(G149="Y",F149*Settings!$B$16,0))</f>
        <v/>
      </c>
      <c r="I149" s="19" t="str">
        <f aca="false">IF(F149="","",F149+H149)</f>
        <v/>
      </c>
      <c r="J149" s="18" t="str">
        <f aca="false">IF(B149="","",B149+Settings!$B$17)</f>
        <v/>
      </c>
      <c r="K149" s="13"/>
      <c r="L149" s="15"/>
      <c r="M149" s="17" t="str">
        <f aca="true">IF(F149="","",IF(AND(L149&lt;&gt;"",L149&gt;=I149),"Paid",IF(AND(L149&lt;&gt;"",L149&gt;0),"Part paid",IF(TODAY()&gt;J149,"Overdue","Due"))))</f>
        <v/>
      </c>
      <c r="N149" s="19" t="str">
        <f aca="true">IF(M149="Overdue",TODAY()-J149,"")</f>
        <v/>
      </c>
      <c r="O149" s="14"/>
    </row>
    <row r="150" customFormat="false" ht="15" hidden="false" customHeight="false" outlineLevel="0" collapsed="false">
      <c r="A150" s="14"/>
      <c r="B150" s="13"/>
      <c r="C150" s="14"/>
      <c r="D150" s="14"/>
      <c r="E150" s="14"/>
      <c r="F150" s="15"/>
      <c r="G150" s="14"/>
      <c r="H150" s="19" t="str">
        <f aca="false">IF(F150="","",IF(G150="Y",F150*Settings!$B$16,0))</f>
        <v/>
      </c>
      <c r="I150" s="19" t="str">
        <f aca="false">IF(F150="","",F150+H150)</f>
        <v/>
      </c>
      <c r="J150" s="18" t="str">
        <f aca="false">IF(B150="","",B150+Settings!$B$17)</f>
        <v/>
      </c>
      <c r="K150" s="13"/>
      <c r="L150" s="15"/>
      <c r="M150" s="17" t="str">
        <f aca="true">IF(F150="","",IF(AND(L150&lt;&gt;"",L150&gt;=I150),"Paid",IF(AND(L150&lt;&gt;"",L150&gt;0),"Part paid",IF(TODAY()&gt;J150,"Overdue","Due"))))</f>
        <v/>
      </c>
      <c r="N150" s="19" t="str">
        <f aca="true">IF(M150="Overdue",TODAY()-J150,"")</f>
        <v/>
      </c>
      <c r="O150" s="14"/>
    </row>
    <row r="151" customFormat="false" ht="15" hidden="false" customHeight="false" outlineLevel="0" collapsed="false">
      <c r="A151" s="14"/>
      <c r="B151" s="13"/>
      <c r="C151" s="14"/>
      <c r="D151" s="14"/>
      <c r="E151" s="14"/>
      <c r="F151" s="15"/>
      <c r="G151" s="14"/>
      <c r="H151" s="19" t="str">
        <f aca="false">IF(F151="","",IF(G151="Y",F151*Settings!$B$16,0))</f>
        <v/>
      </c>
      <c r="I151" s="19" t="str">
        <f aca="false">IF(F151="","",F151+H151)</f>
        <v/>
      </c>
      <c r="J151" s="18" t="str">
        <f aca="false">IF(B151="","",B151+Settings!$B$17)</f>
        <v/>
      </c>
      <c r="K151" s="13"/>
      <c r="L151" s="15"/>
      <c r="M151" s="17" t="str">
        <f aca="true">IF(F151="","",IF(AND(L151&lt;&gt;"",L151&gt;=I151),"Paid",IF(AND(L151&lt;&gt;"",L151&gt;0),"Part paid",IF(TODAY()&gt;J151,"Overdue","Due"))))</f>
        <v/>
      </c>
      <c r="N151" s="19" t="str">
        <f aca="true">IF(M151="Overdue",TODAY()-J151,"")</f>
        <v/>
      </c>
      <c r="O151" s="14"/>
    </row>
    <row r="152" customFormat="false" ht="15" hidden="false" customHeight="false" outlineLevel="0" collapsed="false">
      <c r="A152" s="14"/>
      <c r="B152" s="13"/>
      <c r="C152" s="14"/>
      <c r="D152" s="14"/>
      <c r="E152" s="14"/>
      <c r="F152" s="15"/>
      <c r="G152" s="14"/>
      <c r="H152" s="19" t="str">
        <f aca="false">IF(F152="","",IF(G152="Y",F152*Settings!$B$16,0))</f>
        <v/>
      </c>
      <c r="I152" s="19" t="str">
        <f aca="false">IF(F152="","",F152+H152)</f>
        <v/>
      </c>
      <c r="J152" s="18" t="str">
        <f aca="false">IF(B152="","",B152+Settings!$B$17)</f>
        <v/>
      </c>
      <c r="K152" s="13"/>
      <c r="L152" s="15"/>
      <c r="M152" s="17" t="str">
        <f aca="true">IF(F152="","",IF(AND(L152&lt;&gt;"",L152&gt;=I152),"Paid",IF(AND(L152&lt;&gt;"",L152&gt;0),"Part paid",IF(TODAY()&gt;J152,"Overdue","Due"))))</f>
        <v/>
      </c>
      <c r="N152" s="19" t="str">
        <f aca="true">IF(M152="Overdue",TODAY()-J152,"")</f>
        <v/>
      </c>
      <c r="O152" s="14"/>
    </row>
    <row r="153" customFormat="false" ht="15" hidden="false" customHeight="false" outlineLevel="0" collapsed="false">
      <c r="A153" s="14"/>
      <c r="B153" s="13"/>
      <c r="C153" s="14"/>
      <c r="D153" s="14"/>
      <c r="E153" s="14"/>
      <c r="F153" s="15"/>
      <c r="G153" s="14"/>
      <c r="H153" s="19" t="str">
        <f aca="false">IF(F153="","",IF(G153="Y",F153*Settings!$B$16,0))</f>
        <v/>
      </c>
      <c r="I153" s="19" t="str">
        <f aca="false">IF(F153="","",F153+H153)</f>
        <v/>
      </c>
      <c r="J153" s="18" t="str">
        <f aca="false">IF(B153="","",B153+Settings!$B$17)</f>
        <v/>
      </c>
      <c r="K153" s="13"/>
      <c r="L153" s="15"/>
      <c r="M153" s="17" t="str">
        <f aca="true">IF(F153="","",IF(AND(L153&lt;&gt;"",L153&gt;=I153),"Paid",IF(AND(L153&lt;&gt;"",L153&gt;0),"Part paid",IF(TODAY()&gt;J153,"Overdue","Due"))))</f>
        <v/>
      </c>
      <c r="N153" s="19" t="str">
        <f aca="true">IF(M153="Overdue",TODAY()-J153,"")</f>
        <v/>
      </c>
      <c r="O153" s="14"/>
    </row>
    <row r="154" customFormat="false" ht="15" hidden="false" customHeight="false" outlineLevel="0" collapsed="false">
      <c r="A154" s="14"/>
      <c r="B154" s="13"/>
      <c r="C154" s="14"/>
      <c r="D154" s="14"/>
      <c r="E154" s="14"/>
      <c r="F154" s="15"/>
      <c r="G154" s="14"/>
      <c r="H154" s="19" t="str">
        <f aca="false">IF(F154="","",IF(G154="Y",F154*Settings!$B$16,0))</f>
        <v/>
      </c>
      <c r="I154" s="19" t="str">
        <f aca="false">IF(F154="","",F154+H154)</f>
        <v/>
      </c>
      <c r="J154" s="18" t="str">
        <f aca="false">IF(B154="","",B154+Settings!$B$17)</f>
        <v/>
      </c>
      <c r="K154" s="13"/>
      <c r="L154" s="15"/>
      <c r="M154" s="17" t="str">
        <f aca="true">IF(F154="","",IF(AND(L154&lt;&gt;"",L154&gt;=I154),"Paid",IF(AND(L154&lt;&gt;"",L154&gt;0),"Part paid",IF(TODAY()&gt;J154,"Overdue","Due"))))</f>
        <v/>
      </c>
      <c r="N154" s="19" t="str">
        <f aca="true">IF(M154="Overdue",TODAY()-J154,"")</f>
        <v/>
      </c>
      <c r="O154" s="14"/>
    </row>
    <row r="155" customFormat="false" ht="15" hidden="false" customHeight="false" outlineLevel="0" collapsed="false">
      <c r="A155" s="14"/>
      <c r="B155" s="13"/>
      <c r="C155" s="14"/>
      <c r="D155" s="14"/>
      <c r="E155" s="14"/>
      <c r="F155" s="15"/>
      <c r="G155" s="14"/>
      <c r="H155" s="19" t="str">
        <f aca="false">IF(F155="","",IF(G155="Y",F155*Settings!$B$16,0))</f>
        <v/>
      </c>
      <c r="I155" s="19" t="str">
        <f aca="false">IF(F155="","",F155+H155)</f>
        <v/>
      </c>
      <c r="J155" s="18" t="str">
        <f aca="false">IF(B155="","",B155+Settings!$B$17)</f>
        <v/>
      </c>
      <c r="K155" s="13"/>
      <c r="L155" s="15"/>
      <c r="M155" s="17" t="str">
        <f aca="true">IF(F155="","",IF(AND(L155&lt;&gt;"",L155&gt;=I155),"Paid",IF(AND(L155&lt;&gt;"",L155&gt;0),"Part paid",IF(TODAY()&gt;J155,"Overdue","Due"))))</f>
        <v/>
      </c>
      <c r="N155" s="19" t="str">
        <f aca="true">IF(M155="Overdue",TODAY()-J155,"")</f>
        <v/>
      </c>
      <c r="O155" s="14"/>
    </row>
    <row r="156" customFormat="false" ht="15" hidden="false" customHeight="false" outlineLevel="0" collapsed="false">
      <c r="A156" s="14"/>
      <c r="B156" s="13"/>
      <c r="C156" s="14"/>
      <c r="D156" s="14"/>
      <c r="E156" s="14"/>
      <c r="F156" s="15"/>
      <c r="G156" s="14"/>
      <c r="H156" s="19" t="str">
        <f aca="false">IF(F156="","",IF(G156="Y",F156*Settings!$B$16,0))</f>
        <v/>
      </c>
      <c r="I156" s="19" t="str">
        <f aca="false">IF(F156="","",F156+H156)</f>
        <v/>
      </c>
      <c r="J156" s="18" t="str">
        <f aca="false">IF(B156="","",B156+Settings!$B$17)</f>
        <v/>
      </c>
      <c r="K156" s="13"/>
      <c r="L156" s="15"/>
      <c r="M156" s="17" t="str">
        <f aca="true">IF(F156="","",IF(AND(L156&lt;&gt;"",L156&gt;=I156),"Paid",IF(AND(L156&lt;&gt;"",L156&gt;0),"Part paid",IF(TODAY()&gt;J156,"Overdue","Due"))))</f>
        <v/>
      </c>
      <c r="N156" s="19" t="str">
        <f aca="true">IF(M156="Overdue",TODAY()-J156,"")</f>
        <v/>
      </c>
      <c r="O156" s="14"/>
    </row>
    <row r="157" customFormat="false" ht="15" hidden="false" customHeight="false" outlineLevel="0" collapsed="false">
      <c r="A157" s="14"/>
      <c r="B157" s="13"/>
      <c r="C157" s="14"/>
      <c r="D157" s="14"/>
      <c r="E157" s="14"/>
      <c r="F157" s="15"/>
      <c r="G157" s="14"/>
      <c r="H157" s="19" t="str">
        <f aca="false">IF(F157="","",IF(G157="Y",F157*Settings!$B$16,0))</f>
        <v/>
      </c>
      <c r="I157" s="19" t="str">
        <f aca="false">IF(F157="","",F157+H157)</f>
        <v/>
      </c>
      <c r="J157" s="18" t="str">
        <f aca="false">IF(B157="","",B157+Settings!$B$17)</f>
        <v/>
      </c>
      <c r="K157" s="13"/>
      <c r="L157" s="15"/>
      <c r="M157" s="17" t="str">
        <f aca="true">IF(F157="","",IF(AND(L157&lt;&gt;"",L157&gt;=I157),"Paid",IF(AND(L157&lt;&gt;"",L157&gt;0),"Part paid",IF(TODAY()&gt;J157,"Overdue","Due"))))</f>
        <v/>
      </c>
      <c r="N157" s="19" t="str">
        <f aca="true">IF(M157="Overdue",TODAY()-J157,"")</f>
        <v/>
      </c>
      <c r="O157" s="14"/>
    </row>
    <row r="158" customFormat="false" ht="15" hidden="false" customHeight="false" outlineLevel="0" collapsed="false">
      <c r="A158" s="14"/>
      <c r="B158" s="13"/>
      <c r="C158" s="14"/>
      <c r="D158" s="14"/>
      <c r="E158" s="14"/>
      <c r="F158" s="15"/>
      <c r="G158" s="14"/>
      <c r="H158" s="19" t="str">
        <f aca="false">IF(F158="","",IF(G158="Y",F158*Settings!$B$16,0))</f>
        <v/>
      </c>
      <c r="I158" s="19" t="str">
        <f aca="false">IF(F158="","",F158+H158)</f>
        <v/>
      </c>
      <c r="J158" s="18" t="str">
        <f aca="false">IF(B158="","",B158+Settings!$B$17)</f>
        <v/>
      </c>
      <c r="K158" s="13"/>
      <c r="L158" s="15"/>
      <c r="M158" s="17" t="str">
        <f aca="true">IF(F158="","",IF(AND(L158&lt;&gt;"",L158&gt;=I158),"Paid",IF(AND(L158&lt;&gt;"",L158&gt;0),"Part paid",IF(TODAY()&gt;J158,"Overdue","Due"))))</f>
        <v/>
      </c>
      <c r="N158" s="19" t="str">
        <f aca="true">IF(M158="Overdue",TODAY()-J158,"")</f>
        <v/>
      </c>
      <c r="O158" s="14"/>
    </row>
    <row r="159" customFormat="false" ht="15" hidden="false" customHeight="false" outlineLevel="0" collapsed="false">
      <c r="A159" s="14"/>
      <c r="B159" s="13"/>
      <c r="C159" s="14"/>
      <c r="D159" s="14"/>
      <c r="E159" s="14"/>
      <c r="F159" s="15"/>
      <c r="G159" s="14"/>
      <c r="H159" s="19" t="str">
        <f aca="false">IF(F159="","",IF(G159="Y",F159*Settings!$B$16,0))</f>
        <v/>
      </c>
      <c r="I159" s="19" t="str">
        <f aca="false">IF(F159="","",F159+H159)</f>
        <v/>
      </c>
      <c r="J159" s="18" t="str">
        <f aca="false">IF(B159="","",B159+Settings!$B$17)</f>
        <v/>
      </c>
      <c r="K159" s="13"/>
      <c r="L159" s="15"/>
      <c r="M159" s="17" t="str">
        <f aca="true">IF(F159="","",IF(AND(L159&lt;&gt;"",L159&gt;=I159),"Paid",IF(AND(L159&lt;&gt;"",L159&gt;0),"Part paid",IF(TODAY()&gt;J159,"Overdue","Due"))))</f>
        <v/>
      </c>
      <c r="N159" s="19" t="str">
        <f aca="true">IF(M159="Overdue",TODAY()-J159,"")</f>
        <v/>
      </c>
      <c r="O159" s="14"/>
    </row>
    <row r="160" customFormat="false" ht="15" hidden="false" customHeight="false" outlineLevel="0" collapsed="false">
      <c r="A160" s="14"/>
      <c r="B160" s="13"/>
      <c r="C160" s="14"/>
      <c r="D160" s="14"/>
      <c r="E160" s="14"/>
      <c r="F160" s="15"/>
      <c r="G160" s="14"/>
      <c r="H160" s="19" t="str">
        <f aca="false">IF(F160="","",IF(G160="Y",F160*Settings!$B$16,0))</f>
        <v/>
      </c>
      <c r="I160" s="19" t="str">
        <f aca="false">IF(F160="","",F160+H160)</f>
        <v/>
      </c>
      <c r="J160" s="18" t="str">
        <f aca="false">IF(B160="","",B160+Settings!$B$17)</f>
        <v/>
      </c>
      <c r="K160" s="13"/>
      <c r="L160" s="15"/>
      <c r="M160" s="17" t="str">
        <f aca="true">IF(F160="","",IF(AND(L160&lt;&gt;"",L160&gt;=I160),"Paid",IF(AND(L160&lt;&gt;"",L160&gt;0),"Part paid",IF(TODAY()&gt;J160,"Overdue","Due"))))</f>
        <v/>
      </c>
      <c r="N160" s="19" t="str">
        <f aca="true">IF(M160="Overdue",TODAY()-J160,"")</f>
        <v/>
      </c>
      <c r="O160" s="14"/>
    </row>
    <row r="161" customFormat="false" ht="15" hidden="false" customHeight="false" outlineLevel="0" collapsed="false">
      <c r="A161" s="14"/>
      <c r="B161" s="13"/>
      <c r="C161" s="14"/>
      <c r="D161" s="14"/>
      <c r="E161" s="14"/>
      <c r="F161" s="15"/>
      <c r="G161" s="14"/>
      <c r="H161" s="19" t="str">
        <f aca="false">IF(F161="","",IF(G161="Y",F161*Settings!$B$16,0))</f>
        <v/>
      </c>
      <c r="I161" s="19" t="str">
        <f aca="false">IF(F161="","",F161+H161)</f>
        <v/>
      </c>
      <c r="J161" s="18" t="str">
        <f aca="false">IF(B161="","",B161+Settings!$B$17)</f>
        <v/>
      </c>
      <c r="K161" s="13"/>
      <c r="L161" s="15"/>
      <c r="M161" s="17" t="str">
        <f aca="true">IF(F161="","",IF(AND(L161&lt;&gt;"",L161&gt;=I161),"Paid",IF(AND(L161&lt;&gt;"",L161&gt;0),"Part paid",IF(TODAY()&gt;J161,"Overdue","Due"))))</f>
        <v/>
      </c>
      <c r="N161" s="19" t="str">
        <f aca="true">IF(M161="Overdue",TODAY()-J161,"")</f>
        <v/>
      </c>
      <c r="O161" s="14"/>
    </row>
    <row r="162" customFormat="false" ht="15" hidden="false" customHeight="false" outlineLevel="0" collapsed="false">
      <c r="A162" s="14"/>
      <c r="B162" s="13"/>
      <c r="C162" s="14"/>
      <c r="D162" s="14"/>
      <c r="E162" s="14"/>
      <c r="F162" s="15"/>
      <c r="G162" s="14"/>
      <c r="H162" s="19" t="str">
        <f aca="false">IF(F162="","",IF(G162="Y",F162*Settings!$B$16,0))</f>
        <v/>
      </c>
      <c r="I162" s="19" t="str">
        <f aca="false">IF(F162="","",F162+H162)</f>
        <v/>
      </c>
      <c r="J162" s="18" t="str">
        <f aca="false">IF(B162="","",B162+Settings!$B$17)</f>
        <v/>
      </c>
      <c r="K162" s="13"/>
      <c r="L162" s="15"/>
      <c r="M162" s="17" t="str">
        <f aca="true">IF(F162="","",IF(AND(L162&lt;&gt;"",L162&gt;=I162),"Paid",IF(AND(L162&lt;&gt;"",L162&gt;0),"Part paid",IF(TODAY()&gt;J162,"Overdue","Due"))))</f>
        <v/>
      </c>
      <c r="N162" s="19" t="str">
        <f aca="true">IF(M162="Overdue",TODAY()-J162,"")</f>
        <v/>
      </c>
      <c r="O162" s="14"/>
    </row>
    <row r="163" customFormat="false" ht="15" hidden="false" customHeight="false" outlineLevel="0" collapsed="false">
      <c r="A163" s="14"/>
      <c r="B163" s="13"/>
      <c r="C163" s="14"/>
      <c r="D163" s="14"/>
      <c r="E163" s="14"/>
      <c r="F163" s="15"/>
      <c r="G163" s="14"/>
      <c r="H163" s="19" t="str">
        <f aca="false">IF(F163="","",IF(G163="Y",F163*Settings!$B$16,0))</f>
        <v/>
      </c>
      <c r="I163" s="19" t="str">
        <f aca="false">IF(F163="","",F163+H163)</f>
        <v/>
      </c>
      <c r="J163" s="18" t="str">
        <f aca="false">IF(B163="","",B163+Settings!$B$17)</f>
        <v/>
      </c>
      <c r="K163" s="13"/>
      <c r="L163" s="15"/>
      <c r="M163" s="17" t="str">
        <f aca="true">IF(F163="","",IF(AND(L163&lt;&gt;"",L163&gt;=I163),"Paid",IF(AND(L163&lt;&gt;"",L163&gt;0),"Part paid",IF(TODAY()&gt;J163,"Overdue","Due"))))</f>
        <v/>
      </c>
      <c r="N163" s="19" t="str">
        <f aca="true">IF(M163="Overdue",TODAY()-J163,"")</f>
        <v/>
      </c>
      <c r="O163" s="14"/>
    </row>
    <row r="164" customFormat="false" ht="15" hidden="false" customHeight="false" outlineLevel="0" collapsed="false">
      <c r="A164" s="14"/>
      <c r="B164" s="13"/>
      <c r="C164" s="14"/>
      <c r="D164" s="14"/>
      <c r="E164" s="14"/>
      <c r="F164" s="15"/>
      <c r="G164" s="14"/>
      <c r="H164" s="19" t="str">
        <f aca="false">IF(F164="","",IF(G164="Y",F164*Settings!$B$16,0))</f>
        <v/>
      </c>
      <c r="I164" s="19" t="str">
        <f aca="false">IF(F164="","",F164+H164)</f>
        <v/>
      </c>
      <c r="J164" s="18" t="str">
        <f aca="false">IF(B164="","",B164+Settings!$B$17)</f>
        <v/>
      </c>
      <c r="K164" s="13"/>
      <c r="L164" s="15"/>
      <c r="M164" s="17" t="str">
        <f aca="true">IF(F164="","",IF(AND(L164&lt;&gt;"",L164&gt;=I164),"Paid",IF(AND(L164&lt;&gt;"",L164&gt;0),"Part paid",IF(TODAY()&gt;J164,"Overdue","Due"))))</f>
        <v/>
      </c>
      <c r="N164" s="19" t="str">
        <f aca="true">IF(M164="Overdue",TODAY()-J164,"")</f>
        <v/>
      </c>
      <c r="O164" s="14"/>
    </row>
    <row r="165" customFormat="false" ht="15" hidden="false" customHeight="false" outlineLevel="0" collapsed="false">
      <c r="A165" s="14"/>
      <c r="B165" s="13"/>
      <c r="C165" s="14"/>
      <c r="D165" s="14"/>
      <c r="E165" s="14"/>
      <c r="F165" s="15"/>
      <c r="G165" s="14"/>
      <c r="H165" s="19" t="str">
        <f aca="false">IF(F165="","",IF(G165="Y",F165*Settings!$B$16,0))</f>
        <v/>
      </c>
      <c r="I165" s="19" t="str">
        <f aca="false">IF(F165="","",F165+H165)</f>
        <v/>
      </c>
      <c r="J165" s="18" t="str">
        <f aca="false">IF(B165="","",B165+Settings!$B$17)</f>
        <v/>
      </c>
      <c r="K165" s="13"/>
      <c r="L165" s="15"/>
      <c r="M165" s="17" t="str">
        <f aca="true">IF(F165="","",IF(AND(L165&lt;&gt;"",L165&gt;=I165),"Paid",IF(AND(L165&lt;&gt;"",L165&gt;0),"Part paid",IF(TODAY()&gt;J165,"Overdue","Due"))))</f>
        <v/>
      </c>
      <c r="N165" s="19" t="str">
        <f aca="true">IF(M165="Overdue",TODAY()-J165,"")</f>
        <v/>
      </c>
      <c r="O165" s="14"/>
    </row>
    <row r="166" customFormat="false" ht="15" hidden="false" customHeight="false" outlineLevel="0" collapsed="false">
      <c r="A166" s="14"/>
      <c r="B166" s="13"/>
      <c r="C166" s="14"/>
      <c r="D166" s="14"/>
      <c r="E166" s="14"/>
      <c r="F166" s="15"/>
      <c r="G166" s="14"/>
      <c r="H166" s="19" t="str">
        <f aca="false">IF(F166="","",IF(G166="Y",F166*Settings!$B$16,0))</f>
        <v/>
      </c>
      <c r="I166" s="19" t="str">
        <f aca="false">IF(F166="","",F166+H166)</f>
        <v/>
      </c>
      <c r="J166" s="18" t="str">
        <f aca="false">IF(B166="","",B166+Settings!$B$17)</f>
        <v/>
      </c>
      <c r="K166" s="13"/>
      <c r="L166" s="15"/>
      <c r="M166" s="17" t="str">
        <f aca="true">IF(F166="","",IF(AND(L166&lt;&gt;"",L166&gt;=I166),"Paid",IF(AND(L166&lt;&gt;"",L166&gt;0),"Part paid",IF(TODAY()&gt;J166,"Overdue","Due"))))</f>
        <v/>
      </c>
      <c r="N166" s="19" t="str">
        <f aca="true">IF(M166="Overdue",TODAY()-J166,"")</f>
        <v/>
      </c>
      <c r="O166" s="14"/>
    </row>
    <row r="167" customFormat="false" ht="15" hidden="false" customHeight="false" outlineLevel="0" collapsed="false">
      <c r="A167" s="14"/>
      <c r="B167" s="13"/>
      <c r="C167" s="14"/>
      <c r="D167" s="14"/>
      <c r="E167" s="14"/>
      <c r="F167" s="15"/>
      <c r="G167" s="14"/>
      <c r="H167" s="19" t="str">
        <f aca="false">IF(F167="","",IF(G167="Y",F167*Settings!$B$16,0))</f>
        <v/>
      </c>
      <c r="I167" s="19" t="str">
        <f aca="false">IF(F167="","",F167+H167)</f>
        <v/>
      </c>
      <c r="J167" s="18" t="str">
        <f aca="false">IF(B167="","",B167+Settings!$B$17)</f>
        <v/>
      </c>
      <c r="K167" s="13"/>
      <c r="L167" s="15"/>
      <c r="M167" s="17" t="str">
        <f aca="true">IF(F167="","",IF(AND(L167&lt;&gt;"",L167&gt;=I167),"Paid",IF(AND(L167&lt;&gt;"",L167&gt;0),"Part paid",IF(TODAY()&gt;J167,"Overdue","Due"))))</f>
        <v/>
      </c>
      <c r="N167" s="19" t="str">
        <f aca="true">IF(M167="Overdue",TODAY()-J167,"")</f>
        <v/>
      </c>
      <c r="O167" s="14"/>
    </row>
    <row r="168" customFormat="false" ht="15" hidden="false" customHeight="false" outlineLevel="0" collapsed="false">
      <c r="A168" s="14"/>
      <c r="B168" s="13"/>
      <c r="C168" s="14"/>
      <c r="D168" s="14"/>
      <c r="E168" s="14"/>
      <c r="F168" s="15"/>
      <c r="G168" s="14"/>
      <c r="H168" s="19" t="str">
        <f aca="false">IF(F168="","",IF(G168="Y",F168*Settings!$B$16,0))</f>
        <v/>
      </c>
      <c r="I168" s="19" t="str">
        <f aca="false">IF(F168="","",F168+H168)</f>
        <v/>
      </c>
      <c r="J168" s="18" t="str">
        <f aca="false">IF(B168="","",B168+Settings!$B$17)</f>
        <v/>
      </c>
      <c r="K168" s="13"/>
      <c r="L168" s="15"/>
      <c r="M168" s="17" t="str">
        <f aca="true">IF(F168="","",IF(AND(L168&lt;&gt;"",L168&gt;=I168),"Paid",IF(AND(L168&lt;&gt;"",L168&gt;0),"Part paid",IF(TODAY()&gt;J168,"Overdue","Due"))))</f>
        <v/>
      </c>
      <c r="N168" s="19" t="str">
        <f aca="true">IF(M168="Overdue",TODAY()-J168,"")</f>
        <v/>
      </c>
      <c r="O168" s="14"/>
    </row>
    <row r="169" customFormat="false" ht="15" hidden="false" customHeight="false" outlineLevel="0" collapsed="false">
      <c r="A169" s="14"/>
      <c r="B169" s="13"/>
      <c r="C169" s="14"/>
      <c r="D169" s="14"/>
      <c r="E169" s="14"/>
      <c r="F169" s="15"/>
      <c r="G169" s="14"/>
      <c r="H169" s="19" t="str">
        <f aca="false">IF(F169="","",IF(G169="Y",F169*Settings!$B$16,0))</f>
        <v/>
      </c>
      <c r="I169" s="19" t="str">
        <f aca="false">IF(F169="","",F169+H169)</f>
        <v/>
      </c>
      <c r="J169" s="18" t="str">
        <f aca="false">IF(B169="","",B169+Settings!$B$17)</f>
        <v/>
      </c>
      <c r="K169" s="13"/>
      <c r="L169" s="15"/>
      <c r="M169" s="17" t="str">
        <f aca="true">IF(F169="","",IF(AND(L169&lt;&gt;"",L169&gt;=I169),"Paid",IF(AND(L169&lt;&gt;"",L169&gt;0),"Part paid",IF(TODAY()&gt;J169,"Overdue","Due"))))</f>
        <v/>
      </c>
      <c r="N169" s="19" t="str">
        <f aca="true">IF(M169="Overdue",TODAY()-J169,"")</f>
        <v/>
      </c>
      <c r="O169" s="14"/>
    </row>
    <row r="170" customFormat="false" ht="15" hidden="false" customHeight="false" outlineLevel="0" collapsed="false">
      <c r="A170" s="14"/>
      <c r="B170" s="13"/>
      <c r="C170" s="14"/>
      <c r="D170" s="14"/>
      <c r="E170" s="14"/>
      <c r="F170" s="15"/>
      <c r="G170" s="14"/>
      <c r="H170" s="19" t="str">
        <f aca="false">IF(F170="","",IF(G170="Y",F170*Settings!$B$16,0))</f>
        <v/>
      </c>
      <c r="I170" s="19" t="str">
        <f aca="false">IF(F170="","",F170+H170)</f>
        <v/>
      </c>
      <c r="J170" s="18" t="str">
        <f aca="false">IF(B170="","",B170+Settings!$B$17)</f>
        <v/>
      </c>
      <c r="K170" s="13"/>
      <c r="L170" s="15"/>
      <c r="M170" s="17" t="str">
        <f aca="true">IF(F170="","",IF(AND(L170&lt;&gt;"",L170&gt;=I170),"Paid",IF(AND(L170&lt;&gt;"",L170&gt;0),"Part paid",IF(TODAY()&gt;J170,"Overdue","Due"))))</f>
        <v/>
      </c>
      <c r="N170" s="19" t="str">
        <f aca="true">IF(M170="Overdue",TODAY()-J170,"")</f>
        <v/>
      </c>
      <c r="O170" s="14"/>
    </row>
    <row r="171" customFormat="false" ht="15" hidden="false" customHeight="false" outlineLevel="0" collapsed="false">
      <c r="A171" s="14"/>
      <c r="B171" s="13"/>
      <c r="C171" s="14"/>
      <c r="D171" s="14"/>
      <c r="E171" s="14"/>
      <c r="F171" s="15"/>
      <c r="G171" s="14"/>
      <c r="H171" s="19" t="str">
        <f aca="false">IF(F171="","",IF(G171="Y",F171*Settings!$B$16,0))</f>
        <v/>
      </c>
      <c r="I171" s="19" t="str">
        <f aca="false">IF(F171="","",F171+H171)</f>
        <v/>
      </c>
      <c r="J171" s="18" t="str">
        <f aca="false">IF(B171="","",B171+Settings!$B$17)</f>
        <v/>
      </c>
      <c r="K171" s="13"/>
      <c r="L171" s="15"/>
      <c r="M171" s="17" t="str">
        <f aca="true">IF(F171="","",IF(AND(L171&lt;&gt;"",L171&gt;=I171),"Paid",IF(AND(L171&lt;&gt;"",L171&gt;0),"Part paid",IF(TODAY()&gt;J171,"Overdue","Due"))))</f>
        <v/>
      </c>
      <c r="N171" s="19" t="str">
        <f aca="true">IF(M171="Overdue",TODAY()-J171,"")</f>
        <v/>
      </c>
      <c r="O171" s="14"/>
    </row>
    <row r="172" customFormat="false" ht="15" hidden="false" customHeight="false" outlineLevel="0" collapsed="false">
      <c r="A172" s="14"/>
      <c r="B172" s="13"/>
      <c r="C172" s="14"/>
      <c r="D172" s="14"/>
      <c r="E172" s="14"/>
      <c r="F172" s="15"/>
      <c r="G172" s="14"/>
      <c r="H172" s="19" t="str">
        <f aca="false">IF(F172="","",IF(G172="Y",F172*Settings!$B$16,0))</f>
        <v/>
      </c>
      <c r="I172" s="19" t="str">
        <f aca="false">IF(F172="","",F172+H172)</f>
        <v/>
      </c>
      <c r="J172" s="18" t="str">
        <f aca="false">IF(B172="","",B172+Settings!$B$17)</f>
        <v/>
      </c>
      <c r="K172" s="13"/>
      <c r="L172" s="15"/>
      <c r="M172" s="17" t="str">
        <f aca="true">IF(F172="","",IF(AND(L172&lt;&gt;"",L172&gt;=I172),"Paid",IF(AND(L172&lt;&gt;"",L172&gt;0),"Part paid",IF(TODAY()&gt;J172,"Overdue","Due"))))</f>
        <v/>
      </c>
      <c r="N172" s="19" t="str">
        <f aca="true">IF(M172="Overdue",TODAY()-J172,"")</f>
        <v/>
      </c>
      <c r="O172" s="14"/>
    </row>
    <row r="173" customFormat="false" ht="15" hidden="false" customHeight="false" outlineLevel="0" collapsed="false">
      <c r="A173" s="14"/>
      <c r="B173" s="13"/>
      <c r="C173" s="14"/>
      <c r="D173" s="14"/>
      <c r="E173" s="14"/>
      <c r="F173" s="15"/>
      <c r="G173" s="14"/>
      <c r="H173" s="19" t="str">
        <f aca="false">IF(F173="","",IF(G173="Y",F173*Settings!$B$16,0))</f>
        <v/>
      </c>
      <c r="I173" s="19" t="str">
        <f aca="false">IF(F173="","",F173+H173)</f>
        <v/>
      </c>
      <c r="J173" s="18" t="str">
        <f aca="false">IF(B173="","",B173+Settings!$B$17)</f>
        <v/>
      </c>
      <c r="K173" s="13"/>
      <c r="L173" s="15"/>
      <c r="M173" s="17" t="str">
        <f aca="true">IF(F173="","",IF(AND(L173&lt;&gt;"",L173&gt;=I173),"Paid",IF(AND(L173&lt;&gt;"",L173&gt;0),"Part paid",IF(TODAY()&gt;J173,"Overdue","Due"))))</f>
        <v/>
      </c>
      <c r="N173" s="19" t="str">
        <f aca="true">IF(M173="Overdue",TODAY()-J173,"")</f>
        <v/>
      </c>
      <c r="O173" s="14"/>
    </row>
    <row r="174" customFormat="false" ht="15" hidden="false" customHeight="false" outlineLevel="0" collapsed="false">
      <c r="A174" s="14"/>
      <c r="B174" s="13"/>
      <c r="C174" s="14"/>
      <c r="D174" s="14"/>
      <c r="E174" s="14"/>
      <c r="F174" s="15"/>
      <c r="G174" s="14"/>
      <c r="H174" s="19" t="str">
        <f aca="false">IF(F174="","",IF(G174="Y",F174*Settings!$B$16,0))</f>
        <v/>
      </c>
      <c r="I174" s="19" t="str">
        <f aca="false">IF(F174="","",F174+H174)</f>
        <v/>
      </c>
      <c r="J174" s="18" t="str">
        <f aca="false">IF(B174="","",B174+Settings!$B$17)</f>
        <v/>
      </c>
      <c r="K174" s="13"/>
      <c r="L174" s="15"/>
      <c r="M174" s="17" t="str">
        <f aca="true">IF(F174="","",IF(AND(L174&lt;&gt;"",L174&gt;=I174),"Paid",IF(AND(L174&lt;&gt;"",L174&gt;0),"Part paid",IF(TODAY()&gt;J174,"Overdue","Due"))))</f>
        <v/>
      </c>
      <c r="N174" s="19" t="str">
        <f aca="true">IF(M174="Overdue",TODAY()-J174,"")</f>
        <v/>
      </c>
      <c r="O174" s="14"/>
    </row>
    <row r="175" customFormat="false" ht="15" hidden="false" customHeight="false" outlineLevel="0" collapsed="false">
      <c r="A175" s="14"/>
      <c r="B175" s="13"/>
      <c r="C175" s="14"/>
      <c r="D175" s="14"/>
      <c r="E175" s="14"/>
      <c r="F175" s="15"/>
      <c r="G175" s="14"/>
      <c r="H175" s="19" t="str">
        <f aca="false">IF(F175="","",IF(G175="Y",F175*Settings!$B$16,0))</f>
        <v/>
      </c>
      <c r="I175" s="19" t="str">
        <f aca="false">IF(F175="","",F175+H175)</f>
        <v/>
      </c>
      <c r="J175" s="18" t="str">
        <f aca="false">IF(B175="","",B175+Settings!$B$17)</f>
        <v/>
      </c>
      <c r="K175" s="13"/>
      <c r="L175" s="15"/>
      <c r="M175" s="17" t="str">
        <f aca="true">IF(F175="","",IF(AND(L175&lt;&gt;"",L175&gt;=I175),"Paid",IF(AND(L175&lt;&gt;"",L175&gt;0),"Part paid",IF(TODAY()&gt;J175,"Overdue","Due"))))</f>
        <v/>
      </c>
      <c r="N175" s="19" t="str">
        <f aca="true">IF(M175="Overdue",TODAY()-J175,"")</f>
        <v/>
      </c>
      <c r="O175" s="14"/>
    </row>
    <row r="176" customFormat="false" ht="15" hidden="false" customHeight="false" outlineLevel="0" collapsed="false">
      <c r="A176" s="14"/>
      <c r="B176" s="13"/>
      <c r="C176" s="14"/>
      <c r="D176" s="14"/>
      <c r="E176" s="14"/>
      <c r="F176" s="15"/>
      <c r="G176" s="14"/>
      <c r="H176" s="19" t="str">
        <f aca="false">IF(F176="","",IF(G176="Y",F176*Settings!$B$16,0))</f>
        <v/>
      </c>
      <c r="I176" s="19" t="str">
        <f aca="false">IF(F176="","",F176+H176)</f>
        <v/>
      </c>
      <c r="J176" s="18" t="str">
        <f aca="false">IF(B176="","",B176+Settings!$B$17)</f>
        <v/>
      </c>
      <c r="K176" s="13"/>
      <c r="L176" s="15"/>
      <c r="M176" s="17" t="str">
        <f aca="true">IF(F176="","",IF(AND(L176&lt;&gt;"",L176&gt;=I176),"Paid",IF(AND(L176&lt;&gt;"",L176&gt;0),"Part paid",IF(TODAY()&gt;J176,"Overdue","Due"))))</f>
        <v/>
      </c>
      <c r="N176" s="19" t="str">
        <f aca="true">IF(M176="Overdue",TODAY()-J176,"")</f>
        <v/>
      </c>
      <c r="O176" s="14"/>
    </row>
    <row r="177" customFormat="false" ht="15" hidden="false" customHeight="false" outlineLevel="0" collapsed="false">
      <c r="A177" s="14"/>
      <c r="B177" s="13"/>
      <c r="C177" s="14"/>
      <c r="D177" s="14"/>
      <c r="E177" s="14"/>
      <c r="F177" s="15"/>
      <c r="G177" s="14"/>
      <c r="H177" s="19" t="str">
        <f aca="false">IF(F177="","",IF(G177="Y",F177*Settings!$B$16,0))</f>
        <v/>
      </c>
      <c r="I177" s="19" t="str">
        <f aca="false">IF(F177="","",F177+H177)</f>
        <v/>
      </c>
      <c r="J177" s="18" t="str">
        <f aca="false">IF(B177="","",B177+Settings!$B$17)</f>
        <v/>
      </c>
      <c r="K177" s="13"/>
      <c r="L177" s="15"/>
      <c r="M177" s="17" t="str">
        <f aca="true">IF(F177="","",IF(AND(L177&lt;&gt;"",L177&gt;=I177),"Paid",IF(AND(L177&lt;&gt;"",L177&gt;0),"Part paid",IF(TODAY()&gt;J177,"Overdue","Due"))))</f>
        <v/>
      </c>
      <c r="N177" s="19" t="str">
        <f aca="true">IF(M177="Overdue",TODAY()-J177,"")</f>
        <v/>
      </c>
      <c r="O177" s="14"/>
    </row>
    <row r="178" customFormat="false" ht="15" hidden="false" customHeight="false" outlineLevel="0" collapsed="false">
      <c r="A178" s="14"/>
      <c r="B178" s="13"/>
      <c r="C178" s="14"/>
      <c r="D178" s="14"/>
      <c r="E178" s="14"/>
      <c r="F178" s="15"/>
      <c r="G178" s="14"/>
      <c r="H178" s="19" t="str">
        <f aca="false">IF(F178="","",IF(G178="Y",F178*Settings!$B$16,0))</f>
        <v/>
      </c>
      <c r="I178" s="19" t="str">
        <f aca="false">IF(F178="","",F178+H178)</f>
        <v/>
      </c>
      <c r="J178" s="18" t="str">
        <f aca="false">IF(B178="","",B178+Settings!$B$17)</f>
        <v/>
      </c>
      <c r="K178" s="13"/>
      <c r="L178" s="15"/>
      <c r="M178" s="17" t="str">
        <f aca="true">IF(F178="","",IF(AND(L178&lt;&gt;"",L178&gt;=I178),"Paid",IF(AND(L178&lt;&gt;"",L178&gt;0),"Part paid",IF(TODAY()&gt;J178,"Overdue","Due"))))</f>
        <v/>
      </c>
      <c r="N178" s="19" t="str">
        <f aca="true">IF(M178="Overdue",TODAY()-J178,"")</f>
        <v/>
      </c>
      <c r="O178" s="14"/>
    </row>
    <row r="179" customFormat="false" ht="15" hidden="false" customHeight="false" outlineLevel="0" collapsed="false">
      <c r="A179" s="14"/>
      <c r="B179" s="13"/>
      <c r="C179" s="14"/>
      <c r="D179" s="14"/>
      <c r="E179" s="14"/>
      <c r="F179" s="15"/>
      <c r="G179" s="14"/>
      <c r="H179" s="19" t="str">
        <f aca="false">IF(F179="","",IF(G179="Y",F179*Settings!$B$16,0))</f>
        <v/>
      </c>
      <c r="I179" s="19" t="str">
        <f aca="false">IF(F179="","",F179+H179)</f>
        <v/>
      </c>
      <c r="J179" s="18" t="str">
        <f aca="false">IF(B179="","",B179+Settings!$B$17)</f>
        <v/>
      </c>
      <c r="K179" s="13"/>
      <c r="L179" s="15"/>
      <c r="M179" s="17" t="str">
        <f aca="true">IF(F179="","",IF(AND(L179&lt;&gt;"",L179&gt;=I179),"Paid",IF(AND(L179&lt;&gt;"",L179&gt;0),"Part paid",IF(TODAY()&gt;J179,"Overdue","Due"))))</f>
        <v/>
      </c>
      <c r="N179" s="19" t="str">
        <f aca="true">IF(M179="Overdue",TODAY()-J179,"")</f>
        <v/>
      </c>
      <c r="O179" s="14"/>
    </row>
    <row r="180" customFormat="false" ht="15" hidden="false" customHeight="false" outlineLevel="0" collapsed="false">
      <c r="A180" s="14"/>
      <c r="B180" s="13"/>
      <c r="C180" s="14"/>
      <c r="D180" s="14"/>
      <c r="E180" s="14"/>
      <c r="F180" s="15"/>
      <c r="G180" s="14"/>
      <c r="H180" s="19" t="str">
        <f aca="false">IF(F180="","",IF(G180="Y",F180*Settings!$B$16,0))</f>
        <v/>
      </c>
      <c r="I180" s="19" t="str">
        <f aca="false">IF(F180="","",F180+H180)</f>
        <v/>
      </c>
      <c r="J180" s="18" t="str">
        <f aca="false">IF(B180="","",B180+Settings!$B$17)</f>
        <v/>
      </c>
      <c r="K180" s="13"/>
      <c r="L180" s="15"/>
      <c r="M180" s="17" t="str">
        <f aca="true">IF(F180="","",IF(AND(L180&lt;&gt;"",L180&gt;=I180),"Paid",IF(AND(L180&lt;&gt;"",L180&gt;0),"Part paid",IF(TODAY()&gt;J180,"Overdue","Due"))))</f>
        <v/>
      </c>
      <c r="N180" s="19" t="str">
        <f aca="true">IF(M180="Overdue",TODAY()-J180,"")</f>
        <v/>
      </c>
      <c r="O180" s="14"/>
    </row>
    <row r="181" customFormat="false" ht="15" hidden="false" customHeight="false" outlineLevel="0" collapsed="false">
      <c r="A181" s="14"/>
      <c r="B181" s="13"/>
      <c r="C181" s="14"/>
      <c r="D181" s="14"/>
      <c r="E181" s="14"/>
      <c r="F181" s="15"/>
      <c r="G181" s="14"/>
      <c r="H181" s="19" t="str">
        <f aca="false">IF(F181="","",IF(G181="Y",F181*Settings!$B$16,0))</f>
        <v/>
      </c>
      <c r="I181" s="19" t="str">
        <f aca="false">IF(F181="","",F181+H181)</f>
        <v/>
      </c>
      <c r="J181" s="18" t="str">
        <f aca="false">IF(B181="","",B181+Settings!$B$17)</f>
        <v/>
      </c>
      <c r="K181" s="13"/>
      <c r="L181" s="15"/>
      <c r="M181" s="17" t="str">
        <f aca="true">IF(F181="","",IF(AND(L181&lt;&gt;"",L181&gt;=I181),"Paid",IF(AND(L181&lt;&gt;"",L181&gt;0),"Part paid",IF(TODAY()&gt;J181,"Overdue","Due"))))</f>
        <v/>
      </c>
      <c r="N181" s="19" t="str">
        <f aca="true">IF(M181="Overdue",TODAY()-J181,"")</f>
        <v/>
      </c>
      <c r="O181" s="14"/>
    </row>
    <row r="182" customFormat="false" ht="15" hidden="false" customHeight="false" outlineLevel="0" collapsed="false">
      <c r="A182" s="14"/>
      <c r="B182" s="13"/>
      <c r="C182" s="14"/>
      <c r="D182" s="14"/>
      <c r="E182" s="14"/>
      <c r="F182" s="15"/>
      <c r="G182" s="14"/>
      <c r="H182" s="19" t="str">
        <f aca="false">IF(F182="","",IF(G182="Y",F182*Settings!$B$16,0))</f>
        <v/>
      </c>
      <c r="I182" s="19" t="str">
        <f aca="false">IF(F182="","",F182+H182)</f>
        <v/>
      </c>
      <c r="J182" s="18" t="str">
        <f aca="false">IF(B182="","",B182+Settings!$B$17)</f>
        <v/>
      </c>
      <c r="K182" s="13"/>
      <c r="L182" s="15"/>
      <c r="M182" s="17" t="str">
        <f aca="true">IF(F182="","",IF(AND(L182&lt;&gt;"",L182&gt;=I182),"Paid",IF(AND(L182&lt;&gt;"",L182&gt;0),"Part paid",IF(TODAY()&gt;J182,"Overdue","Due"))))</f>
        <v/>
      </c>
      <c r="N182" s="19" t="str">
        <f aca="true">IF(M182="Overdue",TODAY()-J182,"")</f>
        <v/>
      </c>
      <c r="O182" s="14"/>
    </row>
    <row r="183" customFormat="false" ht="15" hidden="false" customHeight="false" outlineLevel="0" collapsed="false">
      <c r="A183" s="14"/>
      <c r="B183" s="13"/>
      <c r="C183" s="14"/>
      <c r="D183" s="14"/>
      <c r="E183" s="14"/>
      <c r="F183" s="15"/>
      <c r="G183" s="14"/>
      <c r="H183" s="19" t="str">
        <f aca="false">IF(F183="","",IF(G183="Y",F183*Settings!$B$16,0))</f>
        <v/>
      </c>
      <c r="I183" s="19" t="str">
        <f aca="false">IF(F183="","",F183+H183)</f>
        <v/>
      </c>
      <c r="J183" s="18" t="str">
        <f aca="false">IF(B183="","",B183+Settings!$B$17)</f>
        <v/>
      </c>
      <c r="K183" s="13"/>
      <c r="L183" s="15"/>
      <c r="M183" s="17" t="str">
        <f aca="true">IF(F183="","",IF(AND(L183&lt;&gt;"",L183&gt;=I183),"Paid",IF(AND(L183&lt;&gt;"",L183&gt;0),"Part paid",IF(TODAY()&gt;J183,"Overdue","Due"))))</f>
        <v/>
      </c>
      <c r="N183" s="19" t="str">
        <f aca="true">IF(M183="Overdue",TODAY()-J183,"")</f>
        <v/>
      </c>
      <c r="O183" s="14"/>
    </row>
    <row r="184" customFormat="false" ht="15" hidden="false" customHeight="false" outlineLevel="0" collapsed="false">
      <c r="A184" s="14"/>
      <c r="B184" s="13"/>
      <c r="C184" s="14"/>
      <c r="D184" s="14"/>
      <c r="E184" s="14"/>
      <c r="F184" s="15"/>
      <c r="G184" s="14"/>
      <c r="H184" s="19" t="str">
        <f aca="false">IF(F184="","",IF(G184="Y",F184*Settings!$B$16,0))</f>
        <v/>
      </c>
      <c r="I184" s="19" t="str">
        <f aca="false">IF(F184="","",F184+H184)</f>
        <v/>
      </c>
      <c r="J184" s="18" t="str">
        <f aca="false">IF(B184="","",B184+Settings!$B$17)</f>
        <v/>
      </c>
      <c r="K184" s="13"/>
      <c r="L184" s="15"/>
      <c r="M184" s="17" t="str">
        <f aca="true">IF(F184="","",IF(AND(L184&lt;&gt;"",L184&gt;=I184),"Paid",IF(AND(L184&lt;&gt;"",L184&gt;0),"Part paid",IF(TODAY()&gt;J184,"Overdue","Due"))))</f>
        <v/>
      </c>
      <c r="N184" s="19" t="str">
        <f aca="true">IF(M184="Overdue",TODAY()-J184,"")</f>
        <v/>
      </c>
      <c r="O184" s="14"/>
    </row>
    <row r="185" customFormat="false" ht="15" hidden="false" customHeight="false" outlineLevel="0" collapsed="false">
      <c r="A185" s="14"/>
      <c r="B185" s="13"/>
      <c r="C185" s="14"/>
      <c r="D185" s="14"/>
      <c r="E185" s="14"/>
      <c r="F185" s="15"/>
      <c r="G185" s="14"/>
      <c r="H185" s="19" t="str">
        <f aca="false">IF(F185="","",IF(G185="Y",F185*Settings!$B$16,0))</f>
        <v/>
      </c>
      <c r="I185" s="19" t="str">
        <f aca="false">IF(F185="","",F185+H185)</f>
        <v/>
      </c>
      <c r="J185" s="18" t="str">
        <f aca="false">IF(B185="","",B185+Settings!$B$17)</f>
        <v/>
      </c>
      <c r="K185" s="13"/>
      <c r="L185" s="15"/>
      <c r="M185" s="17" t="str">
        <f aca="true">IF(F185="","",IF(AND(L185&lt;&gt;"",L185&gt;=I185),"Paid",IF(AND(L185&lt;&gt;"",L185&gt;0),"Part paid",IF(TODAY()&gt;J185,"Overdue","Due"))))</f>
        <v/>
      </c>
      <c r="N185" s="19" t="str">
        <f aca="true">IF(M185="Overdue",TODAY()-J185,"")</f>
        <v/>
      </c>
      <c r="O185" s="14"/>
    </row>
    <row r="186" customFormat="false" ht="15" hidden="false" customHeight="false" outlineLevel="0" collapsed="false">
      <c r="A186" s="14"/>
      <c r="B186" s="13"/>
      <c r="C186" s="14"/>
      <c r="D186" s="14"/>
      <c r="E186" s="14"/>
      <c r="F186" s="15"/>
      <c r="G186" s="14"/>
      <c r="H186" s="19" t="str">
        <f aca="false">IF(F186="","",IF(G186="Y",F186*Settings!$B$16,0))</f>
        <v/>
      </c>
      <c r="I186" s="19" t="str">
        <f aca="false">IF(F186="","",F186+H186)</f>
        <v/>
      </c>
      <c r="J186" s="18" t="str">
        <f aca="false">IF(B186="","",B186+Settings!$B$17)</f>
        <v/>
      </c>
      <c r="K186" s="13"/>
      <c r="L186" s="15"/>
      <c r="M186" s="17" t="str">
        <f aca="true">IF(F186="","",IF(AND(L186&lt;&gt;"",L186&gt;=I186),"Paid",IF(AND(L186&lt;&gt;"",L186&gt;0),"Part paid",IF(TODAY()&gt;J186,"Overdue","Due"))))</f>
        <v/>
      </c>
      <c r="N186" s="19" t="str">
        <f aca="true">IF(M186="Overdue",TODAY()-J186,"")</f>
        <v/>
      </c>
      <c r="O186" s="14"/>
    </row>
    <row r="187" customFormat="false" ht="15" hidden="false" customHeight="false" outlineLevel="0" collapsed="false">
      <c r="A187" s="14"/>
      <c r="B187" s="13"/>
      <c r="C187" s="14"/>
      <c r="D187" s="14"/>
      <c r="E187" s="14"/>
      <c r="F187" s="15"/>
      <c r="G187" s="14"/>
      <c r="H187" s="19" t="str">
        <f aca="false">IF(F187="","",IF(G187="Y",F187*Settings!$B$16,0))</f>
        <v/>
      </c>
      <c r="I187" s="19" t="str">
        <f aca="false">IF(F187="","",F187+H187)</f>
        <v/>
      </c>
      <c r="J187" s="18" t="str">
        <f aca="false">IF(B187="","",B187+Settings!$B$17)</f>
        <v/>
      </c>
      <c r="K187" s="13"/>
      <c r="L187" s="15"/>
      <c r="M187" s="17" t="str">
        <f aca="true">IF(F187="","",IF(AND(L187&lt;&gt;"",L187&gt;=I187),"Paid",IF(AND(L187&lt;&gt;"",L187&gt;0),"Part paid",IF(TODAY()&gt;J187,"Overdue","Due"))))</f>
        <v/>
      </c>
      <c r="N187" s="19" t="str">
        <f aca="true">IF(M187="Overdue",TODAY()-J187,"")</f>
        <v/>
      </c>
      <c r="O187" s="14"/>
    </row>
    <row r="188" customFormat="false" ht="15" hidden="false" customHeight="false" outlineLevel="0" collapsed="false">
      <c r="A188" s="14"/>
      <c r="B188" s="13"/>
      <c r="C188" s="14"/>
      <c r="D188" s="14"/>
      <c r="E188" s="14"/>
      <c r="F188" s="15"/>
      <c r="G188" s="14"/>
      <c r="H188" s="19" t="str">
        <f aca="false">IF(F188="","",IF(G188="Y",F188*Settings!$B$16,0))</f>
        <v/>
      </c>
      <c r="I188" s="19" t="str">
        <f aca="false">IF(F188="","",F188+H188)</f>
        <v/>
      </c>
      <c r="J188" s="18" t="str">
        <f aca="false">IF(B188="","",B188+Settings!$B$17)</f>
        <v/>
      </c>
      <c r="K188" s="13"/>
      <c r="L188" s="15"/>
      <c r="M188" s="17" t="str">
        <f aca="true">IF(F188="","",IF(AND(L188&lt;&gt;"",L188&gt;=I188),"Paid",IF(AND(L188&lt;&gt;"",L188&gt;0),"Part paid",IF(TODAY()&gt;J188,"Overdue","Due"))))</f>
        <v/>
      </c>
      <c r="N188" s="19" t="str">
        <f aca="true">IF(M188="Overdue",TODAY()-J188,"")</f>
        <v/>
      </c>
      <c r="O188" s="14"/>
    </row>
    <row r="189" customFormat="false" ht="15" hidden="false" customHeight="false" outlineLevel="0" collapsed="false">
      <c r="A189" s="14"/>
      <c r="B189" s="13"/>
      <c r="C189" s="14"/>
      <c r="D189" s="14"/>
      <c r="E189" s="14"/>
      <c r="F189" s="15"/>
      <c r="G189" s="14"/>
      <c r="H189" s="19" t="str">
        <f aca="false">IF(F189="","",IF(G189="Y",F189*Settings!$B$16,0))</f>
        <v/>
      </c>
      <c r="I189" s="19" t="str">
        <f aca="false">IF(F189="","",F189+H189)</f>
        <v/>
      </c>
      <c r="J189" s="18" t="str">
        <f aca="false">IF(B189="","",B189+Settings!$B$17)</f>
        <v/>
      </c>
      <c r="K189" s="13"/>
      <c r="L189" s="15"/>
      <c r="M189" s="17" t="str">
        <f aca="true">IF(F189="","",IF(AND(L189&lt;&gt;"",L189&gt;=I189),"Paid",IF(AND(L189&lt;&gt;"",L189&gt;0),"Part paid",IF(TODAY()&gt;J189,"Overdue","Due"))))</f>
        <v/>
      </c>
      <c r="N189" s="19" t="str">
        <f aca="true">IF(M189="Overdue",TODAY()-J189,"")</f>
        <v/>
      </c>
      <c r="O189" s="14"/>
    </row>
    <row r="190" customFormat="false" ht="15" hidden="false" customHeight="false" outlineLevel="0" collapsed="false">
      <c r="A190" s="14"/>
      <c r="B190" s="13"/>
      <c r="C190" s="14"/>
      <c r="D190" s="14"/>
      <c r="E190" s="14"/>
      <c r="F190" s="15"/>
      <c r="G190" s="14"/>
      <c r="H190" s="19" t="str">
        <f aca="false">IF(F190="","",IF(G190="Y",F190*Settings!$B$16,0))</f>
        <v/>
      </c>
      <c r="I190" s="19" t="str">
        <f aca="false">IF(F190="","",F190+H190)</f>
        <v/>
      </c>
      <c r="J190" s="18" t="str">
        <f aca="false">IF(B190="","",B190+Settings!$B$17)</f>
        <v/>
      </c>
      <c r="K190" s="13"/>
      <c r="L190" s="15"/>
      <c r="M190" s="17" t="str">
        <f aca="true">IF(F190="","",IF(AND(L190&lt;&gt;"",L190&gt;=I190),"Paid",IF(AND(L190&lt;&gt;"",L190&gt;0),"Part paid",IF(TODAY()&gt;J190,"Overdue","Due"))))</f>
        <v/>
      </c>
      <c r="N190" s="19" t="str">
        <f aca="true">IF(M190="Overdue",TODAY()-J190,"")</f>
        <v/>
      </c>
      <c r="O190" s="14"/>
    </row>
    <row r="191" customFormat="false" ht="15" hidden="false" customHeight="false" outlineLevel="0" collapsed="false">
      <c r="A191" s="14"/>
      <c r="B191" s="13"/>
      <c r="C191" s="14"/>
      <c r="D191" s="14"/>
      <c r="E191" s="14"/>
      <c r="F191" s="15"/>
      <c r="G191" s="14"/>
      <c r="H191" s="19" t="str">
        <f aca="false">IF(F191="","",IF(G191="Y",F191*Settings!$B$16,0))</f>
        <v/>
      </c>
      <c r="I191" s="19" t="str">
        <f aca="false">IF(F191="","",F191+H191)</f>
        <v/>
      </c>
      <c r="J191" s="18" t="str">
        <f aca="false">IF(B191="","",B191+Settings!$B$17)</f>
        <v/>
      </c>
      <c r="K191" s="13"/>
      <c r="L191" s="15"/>
      <c r="M191" s="17" t="str">
        <f aca="true">IF(F191="","",IF(AND(L191&lt;&gt;"",L191&gt;=I191),"Paid",IF(AND(L191&lt;&gt;"",L191&gt;0),"Part paid",IF(TODAY()&gt;J191,"Overdue","Due"))))</f>
        <v/>
      </c>
      <c r="N191" s="19" t="str">
        <f aca="true">IF(M191="Overdue",TODAY()-J191,"")</f>
        <v/>
      </c>
      <c r="O191" s="14"/>
    </row>
    <row r="192" customFormat="false" ht="15" hidden="false" customHeight="false" outlineLevel="0" collapsed="false">
      <c r="A192" s="14"/>
      <c r="B192" s="13"/>
      <c r="C192" s="14"/>
      <c r="D192" s="14"/>
      <c r="E192" s="14"/>
      <c r="F192" s="15"/>
      <c r="G192" s="14"/>
      <c r="H192" s="19" t="str">
        <f aca="false">IF(F192="","",IF(G192="Y",F192*Settings!$B$16,0))</f>
        <v/>
      </c>
      <c r="I192" s="19" t="str">
        <f aca="false">IF(F192="","",F192+H192)</f>
        <v/>
      </c>
      <c r="J192" s="18" t="str">
        <f aca="false">IF(B192="","",B192+Settings!$B$17)</f>
        <v/>
      </c>
      <c r="K192" s="13"/>
      <c r="L192" s="15"/>
      <c r="M192" s="17" t="str">
        <f aca="true">IF(F192="","",IF(AND(L192&lt;&gt;"",L192&gt;=I192),"Paid",IF(AND(L192&lt;&gt;"",L192&gt;0),"Part paid",IF(TODAY()&gt;J192,"Overdue","Due"))))</f>
        <v/>
      </c>
      <c r="N192" s="19" t="str">
        <f aca="true">IF(M192="Overdue",TODAY()-J192,"")</f>
        <v/>
      </c>
      <c r="O192" s="14"/>
    </row>
    <row r="193" customFormat="false" ht="15" hidden="false" customHeight="false" outlineLevel="0" collapsed="false">
      <c r="A193" s="14"/>
      <c r="B193" s="13"/>
      <c r="C193" s="14"/>
      <c r="D193" s="14"/>
      <c r="E193" s="14"/>
      <c r="F193" s="15"/>
      <c r="G193" s="14"/>
      <c r="H193" s="19" t="str">
        <f aca="false">IF(F193="","",IF(G193="Y",F193*Settings!$B$16,0))</f>
        <v/>
      </c>
      <c r="I193" s="19" t="str">
        <f aca="false">IF(F193="","",F193+H193)</f>
        <v/>
      </c>
      <c r="J193" s="18" t="str">
        <f aca="false">IF(B193="","",B193+Settings!$B$17)</f>
        <v/>
      </c>
      <c r="K193" s="13"/>
      <c r="L193" s="15"/>
      <c r="M193" s="17" t="str">
        <f aca="true">IF(F193="","",IF(AND(L193&lt;&gt;"",L193&gt;=I193),"Paid",IF(AND(L193&lt;&gt;"",L193&gt;0),"Part paid",IF(TODAY()&gt;J193,"Overdue","Due"))))</f>
        <v/>
      </c>
      <c r="N193" s="19" t="str">
        <f aca="true">IF(M193="Overdue",TODAY()-J193,"")</f>
        <v/>
      </c>
      <c r="O193" s="14"/>
    </row>
    <row r="194" customFormat="false" ht="15" hidden="false" customHeight="false" outlineLevel="0" collapsed="false">
      <c r="A194" s="14"/>
      <c r="B194" s="13"/>
      <c r="C194" s="14"/>
      <c r="D194" s="14"/>
      <c r="E194" s="14"/>
      <c r="F194" s="15"/>
      <c r="G194" s="14"/>
      <c r="H194" s="19" t="str">
        <f aca="false">IF(F194="","",IF(G194="Y",F194*Settings!$B$16,0))</f>
        <v/>
      </c>
      <c r="I194" s="19" t="str">
        <f aca="false">IF(F194="","",F194+H194)</f>
        <v/>
      </c>
      <c r="J194" s="18" t="str">
        <f aca="false">IF(B194="","",B194+Settings!$B$17)</f>
        <v/>
      </c>
      <c r="K194" s="13"/>
      <c r="L194" s="15"/>
      <c r="M194" s="17" t="str">
        <f aca="true">IF(F194="","",IF(AND(L194&lt;&gt;"",L194&gt;=I194),"Paid",IF(AND(L194&lt;&gt;"",L194&gt;0),"Part paid",IF(TODAY()&gt;J194,"Overdue","Due"))))</f>
        <v/>
      </c>
      <c r="N194" s="19" t="str">
        <f aca="true">IF(M194="Overdue",TODAY()-J194,"")</f>
        <v/>
      </c>
      <c r="O194" s="14"/>
    </row>
    <row r="195" customFormat="false" ht="15" hidden="false" customHeight="false" outlineLevel="0" collapsed="false">
      <c r="A195" s="14"/>
      <c r="B195" s="13"/>
      <c r="C195" s="14"/>
      <c r="D195" s="14"/>
      <c r="E195" s="14"/>
      <c r="F195" s="15"/>
      <c r="G195" s="14"/>
      <c r="H195" s="19" t="str">
        <f aca="false">IF(F195="","",IF(G195="Y",F195*Settings!$B$16,0))</f>
        <v/>
      </c>
      <c r="I195" s="19" t="str">
        <f aca="false">IF(F195="","",F195+H195)</f>
        <v/>
      </c>
      <c r="J195" s="18" t="str">
        <f aca="false">IF(B195="","",B195+Settings!$B$17)</f>
        <v/>
      </c>
      <c r="K195" s="13"/>
      <c r="L195" s="15"/>
      <c r="M195" s="17" t="str">
        <f aca="true">IF(F195="","",IF(AND(L195&lt;&gt;"",L195&gt;=I195),"Paid",IF(AND(L195&lt;&gt;"",L195&gt;0),"Part paid",IF(TODAY()&gt;J195,"Overdue","Due"))))</f>
        <v/>
      </c>
      <c r="N195" s="19" t="str">
        <f aca="true">IF(M195="Overdue",TODAY()-J195,"")</f>
        <v/>
      </c>
      <c r="O195" s="14"/>
    </row>
    <row r="196" customFormat="false" ht="15" hidden="false" customHeight="false" outlineLevel="0" collapsed="false">
      <c r="A196" s="14"/>
      <c r="B196" s="13"/>
      <c r="C196" s="14"/>
      <c r="D196" s="14"/>
      <c r="E196" s="14"/>
      <c r="F196" s="15"/>
      <c r="G196" s="14"/>
      <c r="H196" s="19" t="str">
        <f aca="false">IF(F196="","",IF(G196="Y",F196*Settings!$B$16,0))</f>
        <v/>
      </c>
      <c r="I196" s="19" t="str">
        <f aca="false">IF(F196="","",F196+H196)</f>
        <v/>
      </c>
      <c r="J196" s="18" t="str">
        <f aca="false">IF(B196="","",B196+Settings!$B$17)</f>
        <v/>
      </c>
      <c r="K196" s="13"/>
      <c r="L196" s="15"/>
      <c r="M196" s="17" t="str">
        <f aca="true">IF(F196="","",IF(AND(L196&lt;&gt;"",L196&gt;=I196),"Paid",IF(AND(L196&lt;&gt;"",L196&gt;0),"Part paid",IF(TODAY()&gt;J196,"Overdue","Due"))))</f>
        <v/>
      </c>
      <c r="N196" s="19" t="str">
        <f aca="true">IF(M196="Overdue",TODAY()-J196,"")</f>
        <v/>
      </c>
      <c r="O196" s="14"/>
    </row>
    <row r="197" customFormat="false" ht="15" hidden="false" customHeight="false" outlineLevel="0" collapsed="false">
      <c r="A197" s="14"/>
      <c r="B197" s="13"/>
      <c r="C197" s="14"/>
      <c r="D197" s="14"/>
      <c r="E197" s="14"/>
      <c r="F197" s="15"/>
      <c r="G197" s="14"/>
      <c r="H197" s="19" t="str">
        <f aca="false">IF(F197="","",IF(G197="Y",F197*Settings!$B$16,0))</f>
        <v/>
      </c>
      <c r="I197" s="19" t="str">
        <f aca="false">IF(F197="","",F197+H197)</f>
        <v/>
      </c>
      <c r="J197" s="18" t="str">
        <f aca="false">IF(B197="","",B197+Settings!$B$17)</f>
        <v/>
      </c>
      <c r="K197" s="13"/>
      <c r="L197" s="15"/>
      <c r="M197" s="17" t="str">
        <f aca="true">IF(F197="","",IF(AND(L197&lt;&gt;"",L197&gt;=I197),"Paid",IF(AND(L197&lt;&gt;"",L197&gt;0),"Part paid",IF(TODAY()&gt;J197,"Overdue","Due"))))</f>
        <v/>
      </c>
      <c r="N197" s="19" t="str">
        <f aca="true">IF(M197="Overdue",TODAY()-J197,"")</f>
        <v/>
      </c>
      <c r="O197" s="14"/>
    </row>
    <row r="198" customFormat="false" ht="15" hidden="false" customHeight="false" outlineLevel="0" collapsed="false">
      <c r="A198" s="14"/>
      <c r="B198" s="13"/>
      <c r="C198" s="14"/>
      <c r="D198" s="14"/>
      <c r="E198" s="14"/>
      <c r="F198" s="15"/>
      <c r="G198" s="14"/>
      <c r="H198" s="19" t="str">
        <f aca="false">IF(F198="","",IF(G198="Y",F198*Settings!$B$16,0))</f>
        <v/>
      </c>
      <c r="I198" s="19" t="str">
        <f aca="false">IF(F198="","",F198+H198)</f>
        <v/>
      </c>
      <c r="J198" s="18" t="str">
        <f aca="false">IF(B198="","",B198+Settings!$B$17)</f>
        <v/>
      </c>
      <c r="K198" s="13"/>
      <c r="L198" s="15"/>
      <c r="M198" s="17" t="str">
        <f aca="true">IF(F198="","",IF(AND(L198&lt;&gt;"",L198&gt;=I198),"Paid",IF(AND(L198&lt;&gt;"",L198&gt;0),"Part paid",IF(TODAY()&gt;J198,"Overdue","Due"))))</f>
        <v/>
      </c>
      <c r="N198" s="19" t="str">
        <f aca="true">IF(M198="Overdue",TODAY()-J198,"")</f>
        <v/>
      </c>
      <c r="O198" s="14"/>
    </row>
    <row r="199" customFormat="false" ht="15" hidden="false" customHeight="false" outlineLevel="0" collapsed="false">
      <c r="A199" s="14"/>
      <c r="B199" s="13"/>
      <c r="C199" s="14"/>
      <c r="D199" s="14"/>
      <c r="E199" s="14"/>
      <c r="F199" s="15"/>
      <c r="G199" s="14"/>
      <c r="H199" s="19" t="str">
        <f aca="false">IF(F199="","",IF(G199="Y",F199*Settings!$B$16,0))</f>
        <v/>
      </c>
      <c r="I199" s="19" t="str">
        <f aca="false">IF(F199="","",F199+H199)</f>
        <v/>
      </c>
      <c r="J199" s="18" t="str">
        <f aca="false">IF(B199="","",B199+Settings!$B$17)</f>
        <v/>
      </c>
      <c r="K199" s="13"/>
      <c r="L199" s="15"/>
      <c r="M199" s="17" t="str">
        <f aca="true">IF(F199="","",IF(AND(L199&lt;&gt;"",L199&gt;=I199),"Paid",IF(AND(L199&lt;&gt;"",L199&gt;0),"Part paid",IF(TODAY()&gt;J199,"Overdue","Due"))))</f>
        <v/>
      </c>
      <c r="N199" s="19" t="str">
        <f aca="true">IF(M199="Overdue",TODAY()-J199,"")</f>
        <v/>
      </c>
      <c r="O199" s="14"/>
    </row>
    <row r="200" customFormat="false" ht="15" hidden="false" customHeight="false" outlineLevel="0" collapsed="false">
      <c r="A200" s="14"/>
      <c r="B200" s="13"/>
      <c r="C200" s="14"/>
      <c r="D200" s="14"/>
      <c r="E200" s="14"/>
      <c r="F200" s="15"/>
      <c r="G200" s="14"/>
      <c r="H200" s="19" t="str">
        <f aca="false">IF(F200="","",IF(G200="Y",F200*Settings!$B$16,0))</f>
        <v/>
      </c>
      <c r="I200" s="19" t="str">
        <f aca="false">IF(F200="","",F200+H200)</f>
        <v/>
      </c>
      <c r="J200" s="18" t="str">
        <f aca="false">IF(B200="","",B200+Settings!$B$17)</f>
        <v/>
      </c>
      <c r="K200" s="13"/>
      <c r="L200" s="15"/>
      <c r="M200" s="17" t="str">
        <f aca="true">IF(F200="","",IF(AND(L200&lt;&gt;"",L200&gt;=I200),"Paid",IF(AND(L200&lt;&gt;"",L200&gt;0),"Part paid",IF(TODAY()&gt;J200,"Overdue","Due"))))</f>
        <v/>
      </c>
      <c r="N200" s="19" t="str">
        <f aca="true">IF(M200="Overdue",TODAY()-J200,"")</f>
        <v/>
      </c>
      <c r="O200" s="14"/>
    </row>
    <row r="201" customFormat="false" ht="15" hidden="false" customHeight="false" outlineLevel="0" collapsed="false">
      <c r="A201" s="14"/>
      <c r="B201" s="13"/>
      <c r="C201" s="14"/>
      <c r="D201" s="14"/>
      <c r="E201" s="14"/>
      <c r="F201" s="15"/>
      <c r="G201" s="14"/>
      <c r="H201" s="19" t="str">
        <f aca="false">IF(F201="","",IF(G201="Y",F201*Settings!$B$16,0))</f>
        <v/>
      </c>
      <c r="I201" s="19" t="str">
        <f aca="false">IF(F201="","",F201+H201)</f>
        <v/>
      </c>
      <c r="J201" s="18" t="str">
        <f aca="false">IF(B201="","",B201+Settings!$B$17)</f>
        <v/>
      </c>
      <c r="K201" s="13"/>
      <c r="L201" s="15"/>
      <c r="M201" s="17" t="str">
        <f aca="true">IF(F201="","",IF(AND(L201&lt;&gt;"",L201&gt;=I201),"Paid",IF(AND(L201&lt;&gt;"",L201&gt;0),"Part paid",IF(TODAY()&gt;J201,"Overdue","Due"))))</f>
        <v/>
      </c>
      <c r="N201" s="19" t="str">
        <f aca="true">IF(M201="Overdue",TODAY()-J201,"")</f>
        <v/>
      </c>
      <c r="O201" s="14"/>
    </row>
    <row r="202" customFormat="false" ht="15" hidden="false" customHeight="false" outlineLevel="0" collapsed="false">
      <c r="A202" s="14"/>
      <c r="B202" s="13"/>
      <c r="C202" s="14"/>
      <c r="D202" s="14"/>
      <c r="E202" s="14"/>
      <c r="F202" s="15"/>
      <c r="G202" s="14"/>
      <c r="H202" s="19" t="str">
        <f aca="false">IF(F202="","",IF(G202="Y",F202*Settings!$B$16,0))</f>
        <v/>
      </c>
      <c r="I202" s="19" t="str">
        <f aca="false">IF(F202="","",F202+H202)</f>
        <v/>
      </c>
      <c r="J202" s="18" t="str">
        <f aca="false">IF(B202="","",B202+Settings!$B$17)</f>
        <v/>
      </c>
      <c r="K202" s="13"/>
      <c r="L202" s="15"/>
      <c r="M202" s="17" t="str">
        <f aca="true">IF(F202="","",IF(AND(L202&lt;&gt;"",L202&gt;=I202),"Paid",IF(AND(L202&lt;&gt;"",L202&gt;0),"Part paid",IF(TODAY()&gt;J202,"Overdue","Due"))))</f>
        <v/>
      </c>
      <c r="N202" s="19" t="str">
        <f aca="true">IF(M202="Overdue",TODAY()-J202,"")</f>
        <v/>
      </c>
      <c r="O202" s="14"/>
    </row>
    <row r="203" customFormat="false" ht="15" hidden="false" customHeight="false" outlineLevel="0" collapsed="false">
      <c r="A203" s="14"/>
      <c r="B203" s="13"/>
      <c r="C203" s="14"/>
      <c r="D203" s="14"/>
      <c r="E203" s="14"/>
      <c r="F203" s="15"/>
      <c r="G203" s="14"/>
      <c r="H203" s="19" t="str">
        <f aca="false">IF(F203="","",IF(G203="Y",F203*Settings!$B$16,0))</f>
        <v/>
      </c>
      <c r="I203" s="19" t="str">
        <f aca="false">IF(F203="","",F203+H203)</f>
        <v/>
      </c>
      <c r="J203" s="18" t="str">
        <f aca="false">IF(B203="","",B203+Settings!$B$17)</f>
        <v/>
      </c>
      <c r="K203" s="13"/>
      <c r="L203" s="15"/>
      <c r="M203" s="17" t="str">
        <f aca="true">IF(F203="","",IF(AND(L203&lt;&gt;"",L203&gt;=I203),"Paid",IF(AND(L203&lt;&gt;"",L203&gt;0),"Part paid",IF(TODAY()&gt;J203,"Overdue","Due"))))</f>
        <v/>
      </c>
      <c r="N203" s="19" t="str">
        <f aca="true">IF(M203="Overdue",TODAY()-J203,"")</f>
        <v/>
      </c>
      <c r="O203" s="14"/>
    </row>
    <row r="204" customFormat="false" ht="15" hidden="false" customHeight="false" outlineLevel="0" collapsed="false">
      <c r="A204" s="14"/>
      <c r="B204" s="13"/>
      <c r="C204" s="14"/>
      <c r="D204" s="14"/>
      <c r="E204" s="14"/>
      <c r="F204" s="15"/>
      <c r="G204" s="14"/>
      <c r="H204" s="19" t="str">
        <f aca="false">IF(F204="","",IF(G204="Y",F204*Settings!$B$16,0))</f>
        <v/>
      </c>
      <c r="I204" s="19" t="str">
        <f aca="false">IF(F204="","",F204+H204)</f>
        <v/>
      </c>
      <c r="J204" s="18" t="str">
        <f aca="false">IF(B204="","",B204+Settings!$B$17)</f>
        <v/>
      </c>
      <c r="K204" s="13"/>
      <c r="L204" s="15"/>
      <c r="M204" s="17" t="str">
        <f aca="true">IF(F204="","",IF(AND(L204&lt;&gt;"",L204&gt;=I204),"Paid",IF(AND(L204&lt;&gt;"",L204&gt;0),"Part paid",IF(TODAY()&gt;J204,"Overdue","Due"))))</f>
        <v/>
      </c>
      <c r="N204" s="19" t="str">
        <f aca="true">IF(M204="Overdue",TODAY()-J204,"")</f>
        <v/>
      </c>
      <c r="O204" s="14"/>
    </row>
    <row r="205" customFormat="false" ht="15" hidden="false" customHeight="false" outlineLevel="0" collapsed="false">
      <c r="A205" s="14"/>
      <c r="B205" s="13"/>
      <c r="C205" s="14"/>
      <c r="D205" s="14"/>
      <c r="E205" s="14"/>
      <c r="F205" s="15"/>
      <c r="G205" s="14"/>
      <c r="H205" s="19" t="str">
        <f aca="false">IF(F205="","",IF(G205="Y",F205*Settings!$B$16,0))</f>
        <v/>
      </c>
      <c r="I205" s="19" t="str">
        <f aca="false">IF(F205="","",F205+H205)</f>
        <v/>
      </c>
      <c r="J205" s="18" t="str">
        <f aca="false">IF(B205="","",B205+Settings!$B$17)</f>
        <v/>
      </c>
      <c r="K205" s="13"/>
      <c r="L205" s="15"/>
      <c r="M205" s="17" t="str">
        <f aca="true">IF(F205="","",IF(AND(L205&lt;&gt;"",L205&gt;=I205),"Paid",IF(AND(L205&lt;&gt;"",L205&gt;0),"Part paid",IF(TODAY()&gt;J205,"Overdue","Due"))))</f>
        <v/>
      </c>
      <c r="N205" s="19" t="str">
        <f aca="true">IF(M205="Overdue",TODAY()-J205,"")</f>
        <v/>
      </c>
      <c r="O205" s="14"/>
    </row>
    <row r="206" customFormat="false" ht="15" hidden="false" customHeight="false" outlineLevel="0" collapsed="false">
      <c r="A206" s="14"/>
      <c r="B206" s="13"/>
      <c r="C206" s="14"/>
      <c r="D206" s="14"/>
      <c r="E206" s="14"/>
      <c r="F206" s="15"/>
      <c r="G206" s="14"/>
      <c r="H206" s="19" t="str">
        <f aca="false">IF(F206="","",IF(G206="Y",F206*Settings!$B$16,0))</f>
        <v/>
      </c>
      <c r="I206" s="19" t="str">
        <f aca="false">IF(F206="","",F206+H206)</f>
        <v/>
      </c>
      <c r="J206" s="18" t="str">
        <f aca="false">IF(B206="","",B206+Settings!$B$17)</f>
        <v/>
      </c>
      <c r="K206" s="13"/>
      <c r="L206" s="15"/>
      <c r="M206" s="17" t="str">
        <f aca="true">IF(F206="","",IF(AND(L206&lt;&gt;"",L206&gt;=I206),"Paid",IF(AND(L206&lt;&gt;"",L206&gt;0),"Part paid",IF(TODAY()&gt;J206,"Overdue","Due"))))</f>
        <v/>
      </c>
      <c r="N206" s="19" t="str">
        <f aca="true">IF(M206="Overdue",TODAY()-J206,"")</f>
        <v/>
      </c>
      <c r="O206" s="14"/>
    </row>
    <row r="207" customFormat="false" ht="15" hidden="false" customHeight="false" outlineLevel="0" collapsed="false">
      <c r="A207" s="14"/>
      <c r="B207" s="13"/>
      <c r="C207" s="14"/>
      <c r="D207" s="14"/>
      <c r="E207" s="14"/>
      <c r="F207" s="15"/>
      <c r="G207" s="14"/>
      <c r="H207" s="19" t="str">
        <f aca="false">IF(F207="","",IF(G207="Y",F207*Settings!$B$16,0))</f>
        <v/>
      </c>
      <c r="I207" s="19" t="str">
        <f aca="false">IF(F207="","",F207+H207)</f>
        <v/>
      </c>
      <c r="J207" s="18" t="str">
        <f aca="false">IF(B207="","",B207+Settings!$B$17)</f>
        <v/>
      </c>
      <c r="K207" s="13"/>
      <c r="L207" s="15"/>
      <c r="M207" s="17" t="str">
        <f aca="true">IF(F207="","",IF(AND(L207&lt;&gt;"",L207&gt;=I207),"Paid",IF(AND(L207&lt;&gt;"",L207&gt;0),"Part paid",IF(TODAY()&gt;J207,"Overdue","Due"))))</f>
        <v/>
      </c>
      <c r="N207" s="19" t="str">
        <f aca="true">IF(M207="Overdue",TODAY()-J207,"")</f>
        <v/>
      </c>
      <c r="O207" s="14"/>
    </row>
    <row r="208" customFormat="false" ht="15" hidden="false" customHeight="false" outlineLevel="0" collapsed="false">
      <c r="A208" s="14"/>
      <c r="B208" s="13"/>
      <c r="C208" s="14"/>
      <c r="D208" s="14"/>
      <c r="E208" s="14"/>
      <c r="F208" s="15"/>
      <c r="G208" s="14"/>
      <c r="H208" s="19" t="str">
        <f aca="false">IF(F208="","",IF(G208="Y",F208*Settings!$B$16,0))</f>
        <v/>
      </c>
      <c r="I208" s="19" t="str">
        <f aca="false">IF(F208="","",F208+H208)</f>
        <v/>
      </c>
      <c r="J208" s="18" t="str">
        <f aca="false">IF(B208="","",B208+Settings!$B$17)</f>
        <v/>
      </c>
      <c r="K208" s="13"/>
      <c r="L208" s="15"/>
      <c r="M208" s="17" t="str">
        <f aca="true">IF(F208="","",IF(AND(L208&lt;&gt;"",L208&gt;=I208),"Paid",IF(AND(L208&lt;&gt;"",L208&gt;0),"Part paid",IF(TODAY()&gt;J208,"Overdue","Due"))))</f>
        <v/>
      </c>
      <c r="N208" s="19" t="str">
        <f aca="true">IF(M208="Overdue",TODAY()-J208,"")</f>
        <v/>
      </c>
      <c r="O208" s="14"/>
    </row>
    <row r="209" customFormat="false" ht="15" hidden="false" customHeight="false" outlineLevel="0" collapsed="false">
      <c r="A209" s="14"/>
      <c r="B209" s="13"/>
      <c r="C209" s="14"/>
      <c r="D209" s="14"/>
      <c r="E209" s="14"/>
      <c r="F209" s="15"/>
      <c r="G209" s="14"/>
      <c r="H209" s="19" t="str">
        <f aca="false">IF(F209="","",IF(G209="Y",F209*Settings!$B$16,0))</f>
        <v/>
      </c>
      <c r="I209" s="19" t="str">
        <f aca="false">IF(F209="","",F209+H209)</f>
        <v/>
      </c>
      <c r="J209" s="18" t="str">
        <f aca="false">IF(B209="","",B209+Settings!$B$17)</f>
        <v/>
      </c>
      <c r="K209" s="13"/>
      <c r="L209" s="15"/>
      <c r="M209" s="17" t="str">
        <f aca="true">IF(F209="","",IF(AND(L209&lt;&gt;"",L209&gt;=I209),"Paid",IF(AND(L209&lt;&gt;"",L209&gt;0),"Part paid",IF(TODAY()&gt;J209,"Overdue","Due"))))</f>
        <v/>
      </c>
      <c r="N209" s="19" t="str">
        <f aca="true">IF(M209="Overdue",TODAY()-J209,"")</f>
        <v/>
      </c>
      <c r="O209" s="14"/>
    </row>
    <row r="210" customFormat="false" ht="15" hidden="false" customHeight="false" outlineLevel="0" collapsed="false">
      <c r="A210" s="14"/>
      <c r="B210" s="13"/>
      <c r="C210" s="14"/>
      <c r="D210" s="14"/>
      <c r="E210" s="14"/>
      <c r="F210" s="15"/>
      <c r="G210" s="14"/>
      <c r="H210" s="19" t="str">
        <f aca="false">IF(F210="","",IF(G210="Y",F210*Settings!$B$16,0))</f>
        <v/>
      </c>
      <c r="I210" s="19" t="str">
        <f aca="false">IF(F210="","",F210+H210)</f>
        <v/>
      </c>
      <c r="J210" s="18" t="str">
        <f aca="false">IF(B210="","",B210+Settings!$B$17)</f>
        <v/>
      </c>
      <c r="K210" s="13"/>
      <c r="L210" s="15"/>
      <c r="M210" s="17" t="str">
        <f aca="true">IF(F210="","",IF(AND(L210&lt;&gt;"",L210&gt;=I210),"Paid",IF(AND(L210&lt;&gt;"",L210&gt;0),"Part paid",IF(TODAY()&gt;J210,"Overdue","Due"))))</f>
        <v/>
      </c>
      <c r="N210" s="19" t="str">
        <f aca="true">IF(M210="Overdue",TODAY()-J210,"")</f>
        <v/>
      </c>
      <c r="O210" s="14"/>
    </row>
    <row r="211" customFormat="false" ht="15" hidden="false" customHeight="false" outlineLevel="0" collapsed="false">
      <c r="A211" s="14"/>
      <c r="B211" s="13"/>
      <c r="C211" s="14"/>
      <c r="D211" s="14"/>
      <c r="E211" s="14"/>
      <c r="F211" s="15"/>
      <c r="G211" s="14"/>
      <c r="H211" s="19" t="str">
        <f aca="false">IF(F211="","",IF(G211="Y",F211*Settings!$B$16,0))</f>
        <v/>
      </c>
      <c r="I211" s="19" t="str">
        <f aca="false">IF(F211="","",F211+H211)</f>
        <v/>
      </c>
      <c r="J211" s="18" t="str">
        <f aca="false">IF(B211="","",B211+Settings!$B$17)</f>
        <v/>
      </c>
      <c r="K211" s="13"/>
      <c r="L211" s="15"/>
      <c r="M211" s="17" t="str">
        <f aca="true">IF(F211="","",IF(AND(L211&lt;&gt;"",L211&gt;=I211),"Paid",IF(AND(L211&lt;&gt;"",L211&gt;0),"Part paid",IF(TODAY()&gt;J211,"Overdue","Due"))))</f>
        <v/>
      </c>
      <c r="N211" s="19" t="str">
        <f aca="true">IF(M211="Overdue",TODAY()-J211,"")</f>
        <v/>
      </c>
      <c r="O211" s="14"/>
    </row>
    <row r="212" customFormat="false" ht="15" hidden="false" customHeight="false" outlineLevel="0" collapsed="false">
      <c r="A212" s="14"/>
      <c r="B212" s="13"/>
      <c r="C212" s="14"/>
      <c r="D212" s="14"/>
      <c r="E212" s="14"/>
      <c r="F212" s="15"/>
      <c r="G212" s="14"/>
      <c r="H212" s="19" t="str">
        <f aca="false">IF(F212="","",IF(G212="Y",F212*Settings!$B$16,0))</f>
        <v/>
      </c>
      <c r="I212" s="19" t="str">
        <f aca="false">IF(F212="","",F212+H212)</f>
        <v/>
      </c>
      <c r="J212" s="18" t="str">
        <f aca="false">IF(B212="","",B212+Settings!$B$17)</f>
        <v/>
      </c>
      <c r="K212" s="13"/>
      <c r="L212" s="15"/>
      <c r="M212" s="17" t="str">
        <f aca="true">IF(F212="","",IF(AND(L212&lt;&gt;"",L212&gt;=I212),"Paid",IF(AND(L212&lt;&gt;"",L212&gt;0),"Part paid",IF(TODAY()&gt;J212,"Overdue","Due"))))</f>
        <v/>
      </c>
      <c r="N212" s="19" t="str">
        <f aca="true">IF(M212="Overdue",TODAY()-J212,"")</f>
        <v/>
      </c>
      <c r="O212" s="14"/>
    </row>
    <row r="213" customFormat="false" ht="15" hidden="false" customHeight="false" outlineLevel="0" collapsed="false">
      <c r="A213" s="14"/>
      <c r="B213" s="13"/>
      <c r="C213" s="14"/>
      <c r="D213" s="14"/>
      <c r="E213" s="14"/>
      <c r="F213" s="15"/>
      <c r="G213" s="14"/>
      <c r="H213" s="19" t="str">
        <f aca="false">IF(F213="","",IF(G213="Y",F213*Settings!$B$16,0))</f>
        <v/>
      </c>
      <c r="I213" s="19" t="str">
        <f aca="false">IF(F213="","",F213+H213)</f>
        <v/>
      </c>
      <c r="J213" s="18" t="str">
        <f aca="false">IF(B213="","",B213+Settings!$B$17)</f>
        <v/>
      </c>
      <c r="K213" s="13"/>
      <c r="L213" s="15"/>
      <c r="M213" s="17" t="str">
        <f aca="true">IF(F213="","",IF(AND(L213&lt;&gt;"",L213&gt;=I213),"Paid",IF(AND(L213&lt;&gt;"",L213&gt;0),"Part paid",IF(TODAY()&gt;J213,"Overdue","Due"))))</f>
        <v/>
      </c>
      <c r="N213" s="19" t="str">
        <f aca="true">IF(M213="Overdue",TODAY()-J213,"")</f>
        <v/>
      </c>
      <c r="O213" s="14"/>
    </row>
    <row r="214" customFormat="false" ht="15" hidden="false" customHeight="false" outlineLevel="0" collapsed="false">
      <c r="A214" s="14"/>
      <c r="B214" s="13"/>
      <c r="C214" s="14"/>
      <c r="D214" s="14"/>
      <c r="E214" s="14"/>
      <c r="F214" s="15"/>
      <c r="G214" s="14"/>
      <c r="H214" s="19" t="str">
        <f aca="false">IF(F214="","",IF(G214="Y",F214*Settings!$B$16,0))</f>
        <v/>
      </c>
      <c r="I214" s="19" t="str">
        <f aca="false">IF(F214="","",F214+H214)</f>
        <v/>
      </c>
      <c r="J214" s="18" t="str">
        <f aca="false">IF(B214="","",B214+Settings!$B$17)</f>
        <v/>
      </c>
      <c r="K214" s="13"/>
      <c r="L214" s="15"/>
      <c r="M214" s="17" t="str">
        <f aca="true">IF(F214="","",IF(AND(L214&lt;&gt;"",L214&gt;=I214),"Paid",IF(AND(L214&lt;&gt;"",L214&gt;0),"Part paid",IF(TODAY()&gt;J214,"Overdue","Due"))))</f>
        <v/>
      </c>
      <c r="N214" s="19" t="str">
        <f aca="true">IF(M214="Overdue",TODAY()-J214,"")</f>
        <v/>
      </c>
      <c r="O214" s="14"/>
    </row>
    <row r="215" customFormat="false" ht="15" hidden="false" customHeight="false" outlineLevel="0" collapsed="false">
      <c r="A215" s="14"/>
      <c r="B215" s="13"/>
      <c r="C215" s="14"/>
      <c r="D215" s="14"/>
      <c r="E215" s="14"/>
      <c r="F215" s="15"/>
      <c r="G215" s="14"/>
      <c r="H215" s="19" t="str">
        <f aca="false">IF(F215="","",IF(G215="Y",F215*Settings!$B$16,0))</f>
        <v/>
      </c>
      <c r="I215" s="19" t="str">
        <f aca="false">IF(F215="","",F215+H215)</f>
        <v/>
      </c>
      <c r="J215" s="18" t="str">
        <f aca="false">IF(B215="","",B215+Settings!$B$17)</f>
        <v/>
      </c>
      <c r="K215" s="13"/>
      <c r="L215" s="15"/>
      <c r="M215" s="17" t="str">
        <f aca="true">IF(F215="","",IF(AND(L215&lt;&gt;"",L215&gt;=I215),"Paid",IF(AND(L215&lt;&gt;"",L215&gt;0),"Part paid",IF(TODAY()&gt;J215,"Overdue","Due"))))</f>
        <v/>
      </c>
      <c r="N215" s="19" t="str">
        <f aca="true">IF(M215="Overdue",TODAY()-J215,"")</f>
        <v/>
      </c>
      <c r="O215" s="14"/>
    </row>
    <row r="216" customFormat="false" ht="15" hidden="false" customHeight="false" outlineLevel="0" collapsed="false">
      <c r="A216" s="14"/>
      <c r="B216" s="13"/>
      <c r="C216" s="14"/>
      <c r="D216" s="14"/>
      <c r="E216" s="14"/>
      <c r="F216" s="15"/>
      <c r="G216" s="14"/>
      <c r="H216" s="19" t="str">
        <f aca="false">IF(F216="","",IF(G216="Y",F216*Settings!$B$16,0))</f>
        <v/>
      </c>
      <c r="I216" s="19" t="str">
        <f aca="false">IF(F216="","",F216+H216)</f>
        <v/>
      </c>
      <c r="J216" s="18" t="str">
        <f aca="false">IF(B216="","",B216+Settings!$B$17)</f>
        <v/>
      </c>
      <c r="K216" s="13"/>
      <c r="L216" s="15"/>
      <c r="M216" s="17" t="str">
        <f aca="true">IF(F216="","",IF(AND(L216&lt;&gt;"",L216&gt;=I216),"Paid",IF(AND(L216&lt;&gt;"",L216&gt;0),"Part paid",IF(TODAY()&gt;J216,"Overdue","Due"))))</f>
        <v/>
      </c>
      <c r="N216" s="19" t="str">
        <f aca="true">IF(M216="Overdue",TODAY()-J216,"")</f>
        <v/>
      </c>
      <c r="O216" s="14"/>
    </row>
    <row r="217" customFormat="false" ht="15" hidden="false" customHeight="false" outlineLevel="0" collapsed="false">
      <c r="A217" s="14"/>
      <c r="B217" s="13"/>
      <c r="C217" s="14"/>
      <c r="D217" s="14"/>
      <c r="E217" s="14"/>
      <c r="F217" s="15"/>
      <c r="G217" s="14"/>
      <c r="H217" s="19" t="str">
        <f aca="false">IF(F217="","",IF(G217="Y",F217*Settings!$B$16,0))</f>
        <v/>
      </c>
      <c r="I217" s="19" t="str">
        <f aca="false">IF(F217="","",F217+H217)</f>
        <v/>
      </c>
      <c r="J217" s="18" t="str">
        <f aca="false">IF(B217="","",B217+Settings!$B$17)</f>
        <v/>
      </c>
      <c r="K217" s="13"/>
      <c r="L217" s="15"/>
      <c r="M217" s="17" t="str">
        <f aca="true">IF(F217="","",IF(AND(L217&lt;&gt;"",L217&gt;=I217),"Paid",IF(AND(L217&lt;&gt;"",L217&gt;0),"Part paid",IF(TODAY()&gt;J217,"Overdue","Due"))))</f>
        <v/>
      </c>
      <c r="N217" s="19" t="str">
        <f aca="true">IF(M217="Overdue",TODAY()-J217,"")</f>
        <v/>
      </c>
      <c r="O217" s="14"/>
    </row>
    <row r="218" customFormat="false" ht="15" hidden="false" customHeight="false" outlineLevel="0" collapsed="false">
      <c r="A218" s="14"/>
      <c r="B218" s="13"/>
      <c r="C218" s="14"/>
      <c r="D218" s="14"/>
      <c r="E218" s="14"/>
      <c r="F218" s="15"/>
      <c r="G218" s="14"/>
      <c r="H218" s="19" t="str">
        <f aca="false">IF(F218="","",IF(G218="Y",F218*Settings!$B$16,0))</f>
        <v/>
      </c>
      <c r="I218" s="19" t="str">
        <f aca="false">IF(F218="","",F218+H218)</f>
        <v/>
      </c>
      <c r="J218" s="18" t="str">
        <f aca="false">IF(B218="","",B218+Settings!$B$17)</f>
        <v/>
      </c>
      <c r="K218" s="13"/>
      <c r="L218" s="15"/>
      <c r="M218" s="17" t="str">
        <f aca="true">IF(F218="","",IF(AND(L218&lt;&gt;"",L218&gt;=I218),"Paid",IF(AND(L218&lt;&gt;"",L218&gt;0),"Part paid",IF(TODAY()&gt;J218,"Overdue","Due"))))</f>
        <v/>
      </c>
      <c r="N218" s="19" t="str">
        <f aca="true">IF(M218="Overdue",TODAY()-J218,"")</f>
        <v/>
      </c>
      <c r="O218" s="14"/>
    </row>
    <row r="219" customFormat="false" ht="15" hidden="false" customHeight="false" outlineLevel="0" collapsed="false">
      <c r="A219" s="14"/>
      <c r="B219" s="13"/>
      <c r="C219" s="14"/>
      <c r="D219" s="14"/>
      <c r="E219" s="14"/>
      <c r="F219" s="15"/>
      <c r="G219" s="14"/>
      <c r="H219" s="19" t="str">
        <f aca="false">IF(F219="","",IF(G219="Y",F219*Settings!$B$16,0))</f>
        <v/>
      </c>
      <c r="I219" s="19" t="str">
        <f aca="false">IF(F219="","",F219+H219)</f>
        <v/>
      </c>
      <c r="J219" s="18" t="str">
        <f aca="false">IF(B219="","",B219+Settings!$B$17)</f>
        <v/>
      </c>
      <c r="K219" s="13"/>
      <c r="L219" s="15"/>
      <c r="M219" s="17" t="str">
        <f aca="true">IF(F219="","",IF(AND(L219&lt;&gt;"",L219&gt;=I219),"Paid",IF(AND(L219&lt;&gt;"",L219&gt;0),"Part paid",IF(TODAY()&gt;J219,"Overdue","Due"))))</f>
        <v/>
      </c>
      <c r="N219" s="19" t="str">
        <f aca="true">IF(M219="Overdue",TODAY()-J219,"")</f>
        <v/>
      </c>
      <c r="O219" s="14"/>
    </row>
    <row r="220" customFormat="false" ht="15" hidden="false" customHeight="false" outlineLevel="0" collapsed="false">
      <c r="A220" s="14"/>
      <c r="B220" s="13"/>
      <c r="C220" s="14"/>
      <c r="D220" s="14"/>
      <c r="E220" s="14"/>
      <c r="F220" s="15"/>
      <c r="G220" s="14"/>
      <c r="H220" s="19" t="str">
        <f aca="false">IF(F220="","",IF(G220="Y",F220*Settings!$B$16,0))</f>
        <v/>
      </c>
      <c r="I220" s="19" t="str">
        <f aca="false">IF(F220="","",F220+H220)</f>
        <v/>
      </c>
      <c r="J220" s="18" t="str">
        <f aca="false">IF(B220="","",B220+Settings!$B$17)</f>
        <v/>
      </c>
      <c r="K220" s="13"/>
      <c r="L220" s="15"/>
      <c r="M220" s="17" t="str">
        <f aca="true">IF(F220="","",IF(AND(L220&lt;&gt;"",L220&gt;=I220),"Paid",IF(AND(L220&lt;&gt;"",L220&gt;0),"Part paid",IF(TODAY()&gt;J220,"Overdue","Due"))))</f>
        <v/>
      </c>
      <c r="N220" s="19" t="str">
        <f aca="true">IF(M220="Overdue",TODAY()-J220,"")</f>
        <v/>
      </c>
      <c r="O220" s="14"/>
    </row>
    <row r="221" customFormat="false" ht="15" hidden="false" customHeight="false" outlineLevel="0" collapsed="false">
      <c r="A221" s="14"/>
      <c r="B221" s="13"/>
      <c r="C221" s="14"/>
      <c r="D221" s="14"/>
      <c r="E221" s="14"/>
      <c r="F221" s="15"/>
      <c r="G221" s="14"/>
      <c r="H221" s="19" t="str">
        <f aca="false">IF(F221="","",IF(G221="Y",F221*Settings!$B$16,0))</f>
        <v/>
      </c>
      <c r="I221" s="19" t="str">
        <f aca="false">IF(F221="","",F221+H221)</f>
        <v/>
      </c>
      <c r="J221" s="18" t="str">
        <f aca="false">IF(B221="","",B221+Settings!$B$17)</f>
        <v/>
      </c>
      <c r="K221" s="13"/>
      <c r="L221" s="15"/>
      <c r="M221" s="17" t="str">
        <f aca="true">IF(F221="","",IF(AND(L221&lt;&gt;"",L221&gt;=I221),"Paid",IF(AND(L221&lt;&gt;"",L221&gt;0),"Part paid",IF(TODAY()&gt;J221,"Overdue","Due"))))</f>
        <v/>
      </c>
      <c r="N221" s="19" t="str">
        <f aca="true">IF(M221="Overdue",TODAY()-J221,"")</f>
        <v/>
      </c>
      <c r="O221" s="14"/>
    </row>
    <row r="222" customFormat="false" ht="15" hidden="false" customHeight="false" outlineLevel="0" collapsed="false">
      <c r="A222" s="14"/>
      <c r="B222" s="13"/>
      <c r="C222" s="14"/>
      <c r="D222" s="14"/>
      <c r="E222" s="14"/>
      <c r="F222" s="15"/>
      <c r="G222" s="14"/>
      <c r="H222" s="19" t="str">
        <f aca="false">IF(F222="","",IF(G222="Y",F222*Settings!$B$16,0))</f>
        <v/>
      </c>
      <c r="I222" s="19" t="str">
        <f aca="false">IF(F222="","",F222+H222)</f>
        <v/>
      </c>
      <c r="J222" s="18" t="str">
        <f aca="false">IF(B222="","",B222+Settings!$B$17)</f>
        <v/>
      </c>
      <c r="K222" s="13"/>
      <c r="L222" s="15"/>
      <c r="M222" s="17" t="str">
        <f aca="true">IF(F222="","",IF(AND(L222&lt;&gt;"",L222&gt;=I222),"Paid",IF(AND(L222&lt;&gt;"",L222&gt;0),"Part paid",IF(TODAY()&gt;J222,"Overdue","Due"))))</f>
        <v/>
      </c>
      <c r="N222" s="19" t="str">
        <f aca="true">IF(M222="Overdue",TODAY()-J222,"")</f>
        <v/>
      </c>
      <c r="O222" s="14"/>
    </row>
    <row r="223" customFormat="false" ht="15" hidden="false" customHeight="false" outlineLevel="0" collapsed="false">
      <c r="A223" s="14"/>
      <c r="B223" s="13"/>
      <c r="C223" s="14"/>
      <c r="D223" s="14"/>
      <c r="E223" s="14"/>
      <c r="F223" s="15"/>
      <c r="G223" s="14"/>
      <c r="H223" s="19" t="str">
        <f aca="false">IF(F223="","",IF(G223="Y",F223*Settings!$B$16,0))</f>
        <v/>
      </c>
      <c r="I223" s="19" t="str">
        <f aca="false">IF(F223="","",F223+H223)</f>
        <v/>
      </c>
      <c r="J223" s="18" t="str">
        <f aca="false">IF(B223="","",B223+Settings!$B$17)</f>
        <v/>
      </c>
      <c r="K223" s="13"/>
      <c r="L223" s="15"/>
      <c r="M223" s="17" t="str">
        <f aca="true">IF(F223="","",IF(AND(L223&lt;&gt;"",L223&gt;=I223),"Paid",IF(AND(L223&lt;&gt;"",L223&gt;0),"Part paid",IF(TODAY()&gt;J223,"Overdue","Due"))))</f>
        <v/>
      </c>
      <c r="N223" s="19" t="str">
        <f aca="true">IF(M223="Overdue",TODAY()-J223,"")</f>
        <v/>
      </c>
      <c r="O223" s="14"/>
    </row>
    <row r="224" customFormat="false" ht="15" hidden="false" customHeight="false" outlineLevel="0" collapsed="false">
      <c r="A224" s="14"/>
      <c r="B224" s="13"/>
      <c r="C224" s="14"/>
      <c r="D224" s="14"/>
      <c r="E224" s="14"/>
      <c r="F224" s="15"/>
      <c r="G224" s="14"/>
      <c r="H224" s="19" t="str">
        <f aca="false">IF(F224="","",IF(G224="Y",F224*Settings!$B$16,0))</f>
        <v/>
      </c>
      <c r="I224" s="19" t="str">
        <f aca="false">IF(F224="","",F224+H224)</f>
        <v/>
      </c>
      <c r="J224" s="18" t="str">
        <f aca="false">IF(B224="","",B224+Settings!$B$17)</f>
        <v/>
      </c>
      <c r="K224" s="13"/>
      <c r="L224" s="15"/>
      <c r="M224" s="17" t="str">
        <f aca="true">IF(F224="","",IF(AND(L224&lt;&gt;"",L224&gt;=I224),"Paid",IF(AND(L224&lt;&gt;"",L224&gt;0),"Part paid",IF(TODAY()&gt;J224,"Overdue","Due"))))</f>
        <v/>
      </c>
      <c r="N224" s="19" t="str">
        <f aca="true">IF(M224="Overdue",TODAY()-J224,"")</f>
        <v/>
      </c>
      <c r="O224" s="14"/>
    </row>
    <row r="225" customFormat="false" ht="15" hidden="false" customHeight="false" outlineLevel="0" collapsed="false">
      <c r="A225" s="14"/>
      <c r="B225" s="13"/>
      <c r="C225" s="14"/>
      <c r="D225" s="14"/>
      <c r="E225" s="14"/>
      <c r="F225" s="15"/>
      <c r="G225" s="14"/>
      <c r="H225" s="19" t="str">
        <f aca="false">IF(F225="","",IF(G225="Y",F225*Settings!$B$16,0))</f>
        <v/>
      </c>
      <c r="I225" s="19" t="str">
        <f aca="false">IF(F225="","",F225+H225)</f>
        <v/>
      </c>
      <c r="J225" s="18" t="str">
        <f aca="false">IF(B225="","",B225+Settings!$B$17)</f>
        <v/>
      </c>
      <c r="K225" s="13"/>
      <c r="L225" s="15"/>
      <c r="M225" s="17" t="str">
        <f aca="true">IF(F225="","",IF(AND(L225&lt;&gt;"",L225&gt;=I225),"Paid",IF(AND(L225&lt;&gt;"",L225&gt;0),"Part paid",IF(TODAY()&gt;J225,"Overdue","Due"))))</f>
        <v/>
      </c>
      <c r="N225" s="19" t="str">
        <f aca="true">IF(M225="Overdue",TODAY()-J225,"")</f>
        <v/>
      </c>
      <c r="O225" s="14"/>
    </row>
    <row r="226" customFormat="false" ht="15" hidden="false" customHeight="false" outlineLevel="0" collapsed="false">
      <c r="A226" s="14"/>
      <c r="B226" s="13"/>
      <c r="C226" s="14"/>
      <c r="D226" s="14"/>
      <c r="E226" s="14"/>
      <c r="F226" s="15"/>
      <c r="G226" s="14"/>
      <c r="H226" s="19" t="str">
        <f aca="false">IF(F226="","",IF(G226="Y",F226*Settings!$B$16,0))</f>
        <v/>
      </c>
      <c r="I226" s="19" t="str">
        <f aca="false">IF(F226="","",F226+H226)</f>
        <v/>
      </c>
      <c r="J226" s="18" t="str">
        <f aca="false">IF(B226="","",B226+Settings!$B$17)</f>
        <v/>
      </c>
      <c r="K226" s="13"/>
      <c r="L226" s="15"/>
      <c r="M226" s="17" t="str">
        <f aca="true">IF(F226="","",IF(AND(L226&lt;&gt;"",L226&gt;=I226),"Paid",IF(AND(L226&lt;&gt;"",L226&gt;0),"Part paid",IF(TODAY()&gt;J226,"Overdue","Due"))))</f>
        <v/>
      </c>
      <c r="N226" s="19" t="str">
        <f aca="true">IF(M226="Overdue",TODAY()-J226,"")</f>
        <v/>
      </c>
      <c r="O226" s="14"/>
    </row>
    <row r="227" customFormat="false" ht="15" hidden="false" customHeight="false" outlineLevel="0" collapsed="false">
      <c r="A227" s="14"/>
      <c r="B227" s="13"/>
      <c r="C227" s="14"/>
      <c r="D227" s="14"/>
      <c r="E227" s="14"/>
      <c r="F227" s="15"/>
      <c r="G227" s="14"/>
      <c r="H227" s="19" t="str">
        <f aca="false">IF(F227="","",IF(G227="Y",F227*Settings!$B$16,0))</f>
        <v/>
      </c>
      <c r="I227" s="19" t="str">
        <f aca="false">IF(F227="","",F227+H227)</f>
        <v/>
      </c>
      <c r="J227" s="18" t="str">
        <f aca="false">IF(B227="","",B227+Settings!$B$17)</f>
        <v/>
      </c>
      <c r="K227" s="13"/>
      <c r="L227" s="15"/>
      <c r="M227" s="17" t="str">
        <f aca="true">IF(F227="","",IF(AND(L227&lt;&gt;"",L227&gt;=I227),"Paid",IF(AND(L227&lt;&gt;"",L227&gt;0),"Part paid",IF(TODAY()&gt;J227,"Overdue","Due"))))</f>
        <v/>
      </c>
      <c r="N227" s="19" t="str">
        <f aca="true">IF(M227="Overdue",TODAY()-J227,"")</f>
        <v/>
      </c>
      <c r="O227" s="14"/>
    </row>
    <row r="228" customFormat="false" ht="15" hidden="false" customHeight="false" outlineLevel="0" collapsed="false">
      <c r="A228" s="14"/>
      <c r="B228" s="13"/>
      <c r="C228" s="14"/>
      <c r="D228" s="14"/>
      <c r="E228" s="14"/>
      <c r="F228" s="15"/>
      <c r="G228" s="14"/>
      <c r="H228" s="19" t="str">
        <f aca="false">IF(F228="","",IF(G228="Y",F228*Settings!$B$16,0))</f>
        <v/>
      </c>
      <c r="I228" s="19" t="str">
        <f aca="false">IF(F228="","",F228+H228)</f>
        <v/>
      </c>
      <c r="J228" s="18" t="str">
        <f aca="false">IF(B228="","",B228+Settings!$B$17)</f>
        <v/>
      </c>
      <c r="K228" s="13"/>
      <c r="L228" s="15"/>
      <c r="M228" s="17" t="str">
        <f aca="true">IF(F228="","",IF(AND(L228&lt;&gt;"",L228&gt;=I228),"Paid",IF(AND(L228&lt;&gt;"",L228&gt;0),"Part paid",IF(TODAY()&gt;J228,"Overdue","Due"))))</f>
        <v/>
      </c>
      <c r="N228" s="19" t="str">
        <f aca="true">IF(M228="Overdue",TODAY()-J228,"")</f>
        <v/>
      </c>
      <c r="O228" s="14"/>
    </row>
    <row r="229" customFormat="false" ht="15" hidden="false" customHeight="false" outlineLevel="0" collapsed="false">
      <c r="A229" s="14"/>
      <c r="B229" s="13"/>
      <c r="C229" s="14"/>
      <c r="D229" s="14"/>
      <c r="E229" s="14"/>
      <c r="F229" s="15"/>
      <c r="G229" s="14"/>
      <c r="H229" s="19" t="str">
        <f aca="false">IF(F229="","",IF(G229="Y",F229*Settings!$B$16,0))</f>
        <v/>
      </c>
      <c r="I229" s="19" t="str">
        <f aca="false">IF(F229="","",F229+H229)</f>
        <v/>
      </c>
      <c r="J229" s="18" t="str">
        <f aca="false">IF(B229="","",B229+Settings!$B$17)</f>
        <v/>
      </c>
      <c r="K229" s="13"/>
      <c r="L229" s="15"/>
      <c r="M229" s="17" t="str">
        <f aca="true">IF(F229="","",IF(AND(L229&lt;&gt;"",L229&gt;=I229),"Paid",IF(AND(L229&lt;&gt;"",L229&gt;0),"Part paid",IF(TODAY()&gt;J229,"Overdue","Due"))))</f>
        <v/>
      </c>
      <c r="N229" s="19" t="str">
        <f aca="true">IF(M229="Overdue",TODAY()-J229,"")</f>
        <v/>
      </c>
      <c r="O229" s="14"/>
    </row>
    <row r="230" customFormat="false" ht="15" hidden="false" customHeight="false" outlineLevel="0" collapsed="false">
      <c r="A230" s="14"/>
      <c r="B230" s="13"/>
      <c r="C230" s="14"/>
      <c r="D230" s="14"/>
      <c r="E230" s="14"/>
      <c r="F230" s="15"/>
      <c r="G230" s="14"/>
      <c r="H230" s="19" t="str">
        <f aca="false">IF(F230="","",IF(G230="Y",F230*Settings!$B$16,0))</f>
        <v/>
      </c>
      <c r="I230" s="19" t="str">
        <f aca="false">IF(F230="","",F230+H230)</f>
        <v/>
      </c>
      <c r="J230" s="18" t="str">
        <f aca="false">IF(B230="","",B230+Settings!$B$17)</f>
        <v/>
      </c>
      <c r="K230" s="13"/>
      <c r="L230" s="15"/>
      <c r="M230" s="17" t="str">
        <f aca="true">IF(F230="","",IF(AND(L230&lt;&gt;"",L230&gt;=I230),"Paid",IF(AND(L230&lt;&gt;"",L230&gt;0),"Part paid",IF(TODAY()&gt;J230,"Overdue","Due"))))</f>
        <v/>
      </c>
      <c r="N230" s="19" t="str">
        <f aca="true">IF(M230="Overdue",TODAY()-J230,"")</f>
        <v/>
      </c>
      <c r="O230" s="14"/>
    </row>
    <row r="231" customFormat="false" ht="15" hidden="false" customHeight="false" outlineLevel="0" collapsed="false">
      <c r="A231" s="14"/>
      <c r="B231" s="13"/>
      <c r="C231" s="14"/>
      <c r="D231" s="14"/>
      <c r="E231" s="14"/>
      <c r="F231" s="15"/>
      <c r="G231" s="14"/>
      <c r="H231" s="19" t="str">
        <f aca="false">IF(F231="","",IF(G231="Y",F231*Settings!$B$16,0))</f>
        <v/>
      </c>
      <c r="I231" s="19" t="str">
        <f aca="false">IF(F231="","",F231+H231)</f>
        <v/>
      </c>
      <c r="J231" s="18" t="str">
        <f aca="false">IF(B231="","",B231+Settings!$B$17)</f>
        <v/>
      </c>
      <c r="K231" s="13"/>
      <c r="L231" s="15"/>
      <c r="M231" s="17" t="str">
        <f aca="true">IF(F231="","",IF(AND(L231&lt;&gt;"",L231&gt;=I231),"Paid",IF(AND(L231&lt;&gt;"",L231&gt;0),"Part paid",IF(TODAY()&gt;J231,"Overdue","Due"))))</f>
        <v/>
      </c>
      <c r="N231" s="19" t="str">
        <f aca="true">IF(M231="Overdue",TODAY()-J231,"")</f>
        <v/>
      </c>
      <c r="O231" s="14"/>
    </row>
    <row r="232" customFormat="false" ht="15" hidden="false" customHeight="false" outlineLevel="0" collapsed="false">
      <c r="A232" s="14"/>
      <c r="B232" s="13"/>
      <c r="C232" s="14"/>
      <c r="D232" s="14"/>
      <c r="E232" s="14"/>
      <c r="F232" s="15"/>
      <c r="G232" s="14"/>
      <c r="H232" s="19" t="str">
        <f aca="false">IF(F232="","",IF(G232="Y",F232*Settings!$B$16,0))</f>
        <v/>
      </c>
      <c r="I232" s="19" t="str">
        <f aca="false">IF(F232="","",F232+H232)</f>
        <v/>
      </c>
      <c r="J232" s="18" t="str">
        <f aca="false">IF(B232="","",B232+Settings!$B$17)</f>
        <v/>
      </c>
      <c r="K232" s="13"/>
      <c r="L232" s="15"/>
      <c r="M232" s="17" t="str">
        <f aca="true">IF(F232="","",IF(AND(L232&lt;&gt;"",L232&gt;=I232),"Paid",IF(AND(L232&lt;&gt;"",L232&gt;0),"Part paid",IF(TODAY()&gt;J232,"Overdue","Due"))))</f>
        <v/>
      </c>
      <c r="N232" s="19" t="str">
        <f aca="true">IF(M232="Overdue",TODAY()-J232,"")</f>
        <v/>
      </c>
      <c r="O232" s="14"/>
    </row>
    <row r="233" customFormat="false" ht="15" hidden="false" customHeight="false" outlineLevel="0" collapsed="false">
      <c r="A233" s="14"/>
      <c r="B233" s="13"/>
      <c r="C233" s="14"/>
      <c r="D233" s="14"/>
      <c r="E233" s="14"/>
      <c r="F233" s="15"/>
      <c r="G233" s="14"/>
      <c r="H233" s="19" t="str">
        <f aca="false">IF(F233="","",IF(G233="Y",F233*Settings!$B$16,0))</f>
        <v/>
      </c>
      <c r="I233" s="19" t="str">
        <f aca="false">IF(F233="","",F233+H233)</f>
        <v/>
      </c>
      <c r="J233" s="18" t="str">
        <f aca="false">IF(B233="","",B233+Settings!$B$17)</f>
        <v/>
      </c>
      <c r="K233" s="13"/>
      <c r="L233" s="15"/>
      <c r="M233" s="17" t="str">
        <f aca="true">IF(F233="","",IF(AND(L233&lt;&gt;"",L233&gt;=I233),"Paid",IF(AND(L233&lt;&gt;"",L233&gt;0),"Part paid",IF(TODAY()&gt;J233,"Overdue","Due"))))</f>
        <v/>
      </c>
      <c r="N233" s="19" t="str">
        <f aca="true">IF(M233="Overdue",TODAY()-J233,"")</f>
        <v/>
      </c>
      <c r="O233" s="14"/>
    </row>
    <row r="234" customFormat="false" ht="15" hidden="false" customHeight="false" outlineLevel="0" collapsed="false">
      <c r="A234" s="14"/>
      <c r="B234" s="13"/>
      <c r="C234" s="14"/>
      <c r="D234" s="14"/>
      <c r="E234" s="14"/>
      <c r="F234" s="15"/>
      <c r="G234" s="14"/>
      <c r="H234" s="19" t="str">
        <f aca="false">IF(F234="","",IF(G234="Y",F234*Settings!$B$16,0))</f>
        <v/>
      </c>
      <c r="I234" s="19" t="str">
        <f aca="false">IF(F234="","",F234+H234)</f>
        <v/>
      </c>
      <c r="J234" s="18" t="str">
        <f aca="false">IF(B234="","",B234+Settings!$B$17)</f>
        <v/>
      </c>
      <c r="K234" s="13"/>
      <c r="L234" s="15"/>
      <c r="M234" s="17" t="str">
        <f aca="true">IF(F234="","",IF(AND(L234&lt;&gt;"",L234&gt;=I234),"Paid",IF(AND(L234&lt;&gt;"",L234&gt;0),"Part paid",IF(TODAY()&gt;J234,"Overdue","Due"))))</f>
        <v/>
      </c>
      <c r="N234" s="19" t="str">
        <f aca="true">IF(M234="Overdue",TODAY()-J234,"")</f>
        <v/>
      </c>
      <c r="O234" s="14"/>
    </row>
    <row r="235" customFormat="false" ht="15" hidden="false" customHeight="false" outlineLevel="0" collapsed="false">
      <c r="A235" s="14"/>
      <c r="B235" s="13"/>
      <c r="C235" s="14"/>
      <c r="D235" s="14"/>
      <c r="E235" s="14"/>
      <c r="F235" s="15"/>
      <c r="G235" s="14"/>
      <c r="H235" s="19" t="str">
        <f aca="false">IF(F235="","",IF(G235="Y",F235*Settings!$B$16,0))</f>
        <v/>
      </c>
      <c r="I235" s="19" t="str">
        <f aca="false">IF(F235="","",F235+H235)</f>
        <v/>
      </c>
      <c r="J235" s="18" t="str">
        <f aca="false">IF(B235="","",B235+Settings!$B$17)</f>
        <v/>
      </c>
      <c r="K235" s="13"/>
      <c r="L235" s="15"/>
      <c r="M235" s="17" t="str">
        <f aca="true">IF(F235="","",IF(AND(L235&lt;&gt;"",L235&gt;=I235),"Paid",IF(AND(L235&lt;&gt;"",L235&gt;0),"Part paid",IF(TODAY()&gt;J235,"Overdue","Due"))))</f>
        <v/>
      </c>
      <c r="N235" s="19" t="str">
        <f aca="true">IF(M235="Overdue",TODAY()-J235,"")</f>
        <v/>
      </c>
      <c r="O235" s="14"/>
    </row>
    <row r="236" customFormat="false" ht="15" hidden="false" customHeight="false" outlineLevel="0" collapsed="false">
      <c r="A236" s="14"/>
      <c r="B236" s="13"/>
      <c r="C236" s="14"/>
      <c r="D236" s="14"/>
      <c r="E236" s="14"/>
      <c r="F236" s="15"/>
      <c r="G236" s="14"/>
      <c r="H236" s="19" t="str">
        <f aca="false">IF(F236="","",IF(G236="Y",F236*Settings!$B$16,0))</f>
        <v/>
      </c>
      <c r="I236" s="19" t="str">
        <f aca="false">IF(F236="","",F236+H236)</f>
        <v/>
      </c>
      <c r="J236" s="18" t="str">
        <f aca="false">IF(B236="","",B236+Settings!$B$17)</f>
        <v/>
      </c>
      <c r="K236" s="13"/>
      <c r="L236" s="15"/>
      <c r="M236" s="17" t="str">
        <f aca="true">IF(F236="","",IF(AND(L236&lt;&gt;"",L236&gt;=I236),"Paid",IF(AND(L236&lt;&gt;"",L236&gt;0),"Part paid",IF(TODAY()&gt;J236,"Overdue","Due"))))</f>
        <v/>
      </c>
      <c r="N236" s="19" t="str">
        <f aca="true">IF(M236="Overdue",TODAY()-J236,"")</f>
        <v/>
      </c>
      <c r="O236" s="14"/>
    </row>
    <row r="237" customFormat="false" ht="15" hidden="false" customHeight="false" outlineLevel="0" collapsed="false">
      <c r="A237" s="14"/>
      <c r="B237" s="13"/>
      <c r="C237" s="14"/>
      <c r="D237" s="14"/>
      <c r="E237" s="14"/>
      <c r="F237" s="15"/>
      <c r="G237" s="14"/>
      <c r="H237" s="19" t="str">
        <f aca="false">IF(F237="","",IF(G237="Y",F237*Settings!$B$16,0))</f>
        <v/>
      </c>
      <c r="I237" s="19" t="str">
        <f aca="false">IF(F237="","",F237+H237)</f>
        <v/>
      </c>
      <c r="J237" s="18" t="str">
        <f aca="false">IF(B237="","",B237+Settings!$B$17)</f>
        <v/>
      </c>
      <c r="K237" s="13"/>
      <c r="L237" s="15"/>
      <c r="M237" s="17" t="str">
        <f aca="true">IF(F237="","",IF(AND(L237&lt;&gt;"",L237&gt;=I237),"Paid",IF(AND(L237&lt;&gt;"",L237&gt;0),"Part paid",IF(TODAY()&gt;J237,"Overdue","Due"))))</f>
        <v/>
      </c>
      <c r="N237" s="19" t="str">
        <f aca="true">IF(M237="Overdue",TODAY()-J237,"")</f>
        <v/>
      </c>
      <c r="O237" s="14"/>
    </row>
    <row r="238" customFormat="false" ht="15" hidden="false" customHeight="false" outlineLevel="0" collapsed="false">
      <c r="A238" s="14"/>
      <c r="B238" s="13"/>
      <c r="C238" s="14"/>
      <c r="D238" s="14"/>
      <c r="E238" s="14"/>
      <c r="F238" s="15"/>
      <c r="G238" s="14"/>
      <c r="H238" s="19" t="str">
        <f aca="false">IF(F238="","",IF(G238="Y",F238*Settings!$B$16,0))</f>
        <v/>
      </c>
      <c r="I238" s="19" t="str">
        <f aca="false">IF(F238="","",F238+H238)</f>
        <v/>
      </c>
      <c r="J238" s="18" t="str">
        <f aca="false">IF(B238="","",B238+Settings!$B$17)</f>
        <v/>
      </c>
      <c r="K238" s="13"/>
      <c r="L238" s="15"/>
      <c r="M238" s="17" t="str">
        <f aca="true">IF(F238="","",IF(AND(L238&lt;&gt;"",L238&gt;=I238),"Paid",IF(AND(L238&lt;&gt;"",L238&gt;0),"Part paid",IF(TODAY()&gt;J238,"Overdue","Due"))))</f>
        <v/>
      </c>
      <c r="N238" s="19" t="str">
        <f aca="true">IF(M238="Overdue",TODAY()-J238,"")</f>
        <v/>
      </c>
      <c r="O238" s="14"/>
    </row>
    <row r="239" customFormat="false" ht="15" hidden="false" customHeight="false" outlineLevel="0" collapsed="false">
      <c r="A239" s="14"/>
      <c r="B239" s="13"/>
      <c r="C239" s="14"/>
      <c r="D239" s="14"/>
      <c r="E239" s="14"/>
      <c r="F239" s="15"/>
      <c r="G239" s="14"/>
      <c r="H239" s="19" t="str">
        <f aca="false">IF(F239="","",IF(G239="Y",F239*Settings!$B$16,0))</f>
        <v/>
      </c>
      <c r="I239" s="19" t="str">
        <f aca="false">IF(F239="","",F239+H239)</f>
        <v/>
      </c>
      <c r="J239" s="18" t="str">
        <f aca="false">IF(B239="","",B239+Settings!$B$17)</f>
        <v/>
      </c>
      <c r="K239" s="13"/>
      <c r="L239" s="15"/>
      <c r="M239" s="17" t="str">
        <f aca="true">IF(F239="","",IF(AND(L239&lt;&gt;"",L239&gt;=I239),"Paid",IF(AND(L239&lt;&gt;"",L239&gt;0),"Part paid",IF(TODAY()&gt;J239,"Overdue","Due"))))</f>
        <v/>
      </c>
      <c r="N239" s="19" t="str">
        <f aca="true">IF(M239="Overdue",TODAY()-J239,"")</f>
        <v/>
      </c>
      <c r="O239" s="14"/>
    </row>
    <row r="240" customFormat="false" ht="15" hidden="false" customHeight="false" outlineLevel="0" collapsed="false">
      <c r="A240" s="14"/>
      <c r="B240" s="13"/>
      <c r="C240" s="14"/>
      <c r="D240" s="14"/>
      <c r="E240" s="14"/>
      <c r="F240" s="15"/>
      <c r="G240" s="14"/>
      <c r="H240" s="19" t="str">
        <f aca="false">IF(F240="","",IF(G240="Y",F240*Settings!$B$16,0))</f>
        <v/>
      </c>
      <c r="I240" s="19" t="str">
        <f aca="false">IF(F240="","",F240+H240)</f>
        <v/>
      </c>
      <c r="J240" s="18" t="str">
        <f aca="false">IF(B240="","",B240+Settings!$B$17)</f>
        <v/>
      </c>
      <c r="K240" s="13"/>
      <c r="L240" s="15"/>
      <c r="M240" s="17" t="str">
        <f aca="true">IF(F240="","",IF(AND(L240&lt;&gt;"",L240&gt;=I240),"Paid",IF(AND(L240&lt;&gt;"",L240&gt;0),"Part paid",IF(TODAY()&gt;J240,"Overdue","Due"))))</f>
        <v/>
      </c>
      <c r="N240" s="19" t="str">
        <f aca="true">IF(M240="Overdue",TODAY()-J240,"")</f>
        <v/>
      </c>
      <c r="O240" s="14"/>
    </row>
    <row r="241" customFormat="false" ht="15" hidden="false" customHeight="false" outlineLevel="0" collapsed="false">
      <c r="A241" s="14"/>
      <c r="B241" s="13"/>
      <c r="C241" s="14"/>
      <c r="D241" s="14"/>
      <c r="E241" s="14"/>
      <c r="F241" s="15"/>
      <c r="G241" s="14"/>
      <c r="H241" s="19" t="str">
        <f aca="false">IF(F241="","",IF(G241="Y",F241*Settings!$B$16,0))</f>
        <v/>
      </c>
      <c r="I241" s="19" t="str">
        <f aca="false">IF(F241="","",F241+H241)</f>
        <v/>
      </c>
      <c r="J241" s="18" t="str">
        <f aca="false">IF(B241="","",B241+Settings!$B$17)</f>
        <v/>
      </c>
      <c r="K241" s="13"/>
      <c r="L241" s="15"/>
      <c r="M241" s="17" t="str">
        <f aca="true">IF(F241="","",IF(AND(L241&lt;&gt;"",L241&gt;=I241),"Paid",IF(AND(L241&lt;&gt;"",L241&gt;0),"Part paid",IF(TODAY()&gt;J241,"Overdue","Due"))))</f>
        <v/>
      </c>
      <c r="N241" s="19" t="str">
        <f aca="true">IF(M241="Overdue",TODAY()-J241,"")</f>
        <v/>
      </c>
      <c r="O241" s="14"/>
    </row>
    <row r="242" customFormat="false" ht="15" hidden="false" customHeight="false" outlineLevel="0" collapsed="false">
      <c r="A242" s="14"/>
      <c r="B242" s="13"/>
      <c r="C242" s="14"/>
      <c r="D242" s="14"/>
      <c r="E242" s="14"/>
      <c r="F242" s="15"/>
      <c r="G242" s="14"/>
      <c r="H242" s="19" t="str">
        <f aca="false">IF(F242="","",IF(G242="Y",F242*Settings!$B$16,0))</f>
        <v/>
      </c>
      <c r="I242" s="19" t="str">
        <f aca="false">IF(F242="","",F242+H242)</f>
        <v/>
      </c>
      <c r="J242" s="18" t="str">
        <f aca="false">IF(B242="","",B242+Settings!$B$17)</f>
        <v/>
      </c>
      <c r="K242" s="13"/>
      <c r="L242" s="15"/>
      <c r="M242" s="17" t="str">
        <f aca="true">IF(F242="","",IF(AND(L242&lt;&gt;"",L242&gt;=I242),"Paid",IF(AND(L242&lt;&gt;"",L242&gt;0),"Part paid",IF(TODAY()&gt;J242,"Overdue","Due"))))</f>
        <v/>
      </c>
      <c r="N242" s="19" t="str">
        <f aca="true">IF(M242="Overdue",TODAY()-J242,"")</f>
        <v/>
      </c>
      <c r="O242" s="14"/>
    </row>
    <row r="243" customFormat="false" ht="15" hidden="false" customHeight="false" outlineLevel="0" collapsed="false">
      <c r="A243" s="14"/>
      <c r="B243" s="13"/>
      <c r="C243" s="14"/>
      <c r="D243" s="14"/>
      <c r="E243" s="14"/>
      <c r="F243" s="15"/>
      <c r="G243" s="14"/>
      <c r="H243" s="19" t="str">
        <f aca="false">IF(F243="","",IF(G243="Y",F243*Settings!$B$16,0))</f>
        <v/>
      </c>
      <c r="I243" s="19" t="str">
        <f aca="false">IF(F243="","",F243+H243)</f>
        <v/>
      </c>
      <c r="J243" s="18" t="str">
        <f aca="false">IF(B243="","",B243+Settings!$B$17)</f>
        <v/>
      </c>
      <c r="K243" s="13"/>
      <c r="L243" s="15"/>
      <c r="M243" s="17" t="str">
        <f aca="true">IF(F243="","",IF(AND(L243&lt;&gt;"",L243&gt;=I243),"Paid",IF(AND(L243&lt;&gt;"",L243&gt;0),"Part paid",IF(TODAY()&gt;J243,"Overdue","Due"))))</f>
        <v/>
      </c>
      <c r="N243" s="19" t="str">
        <f aca="true">IF(M243="Overdue",TODAY()-J243,"")</f>
        <v/>
      </c>
      <c r="O243" s="14"/>
    </row>
    <row r="244" customFormat="false" ht="15" hidden="false" customHeight="false" outlineLevel="0" collapsed="false">
      <c r="A244" s="14"/>
      <c r="B244" s="13"/>
      <c r="C244" s="14"/>
      <c r="D244" s="14"/>
      <c r="E244" s="14"/>
      <c r="F244" s="15"/>
      <c r="G244" s="14"/>
      <c r="H244" s="19" t="str">
        <f aca="false">IF(F244="","",IF(G244="Y",F244*Settings!$B$16,0))</f>
        <v/>
      </c>
      <c r="I244" s="19" t="str">
        <f aca="false">IF(F244="","",F244+H244)</f>
        <v/>
      </c>
      <c r="J244" s="18" t="str">
        <f aca="false">IF(B244="","",B244+Settings!$B$17)</f>
        <v/>
      </c>
      <c r="K244" s="13"/>
      <c r="L244" s="15"/>
      <c r="M244" s="17" t="str">
        <f aca="true">IF(F244="","",IF(AND(L244&lt;&gt;"",L244&gt;=I244),"Paid",IF(AND(L244&lt;&gt;"",L244&gt;0),"Part paid",IF(TODAY()&gt;J244,"Overdue","Due"))))</f>
        <v/>
      </c>
      <c r="N244" s="19" t="str">
        <f aca="true">IF(M244="Overdue",TODAY()-J244,"")</f>
        <v/>
      </c>
      <c r="O244" s="14"/>
    </row>
    <row r="245" customFormat="false" ht="15" hidden="false" customHeight="false" outlineLevel="0" collapsed="false">
      <c r="A245" s="14"/>
      <c r="B245" s="13"/>
      <c r="C245" s="14"/>
      <c r="D245" s="14"/>
      <c r="E245" s="14"/>
      <c r="F245" s="15"/>
      <c r="G245" s="14"/>
      <c r="H245" s="19" t="str">
        <f aca="false">IF(F245="","",IF(G245="Y",F245*Settings!$B$16,0))</f>
        <v/>
      </c>
      <c r="I245" s="19" t="str">
        <f aca="false">IF(F245="","",F245+H245)</f>
        <v/>
      </c>
      <c r="J245" s="18" t="str">
        <f aca="false">IF(B245="","",B245+Settings!$B$17)</f>
        <v/>
      </c>
      <c r="K245" s="13"/>
      <c r="L245" s="15"/>
      <c r="M245" s="17" t="str">
        <f aca="true">IF(F245="","",IF(AND(L245&lt;&gt;"",L245&gt;=I245),"Paid",IF(AND(L245&lt;&gt;"",L245&gt;0),"Part paid",IF(TODAY()&gt;J245,"Overdue","Due"))))</f>
        <v/>
      </c>
      <c r="N245" s="19" t="str">
        <f aca="true">IF(M245="Overdue",TODAY()-J245,"")</f>
        <v/>
      </c>
      <c r="O245" s="14"/>
    </row>
    <row r="246" customFormat="false" ht="15" hidden="false" customHeight="false" outlineLevel="0" collapsed="false">
      <c r="A246" s="14"/>
      <c r="B246" s="13"/>
      <c r="C246" s="14"/>
      <c r="D246" s="14"/>
      <c r="E246" s="14"/>
      <c r="F246" s="15"/>
      <c r="G246" s="14"/>
      <c r="H246" s="19" t="str">
        <f aca="false">IF(F246="","",IF(G246="Y",F246*Settings!$B$16,0))</f>
        <v/>
      </c>
      <c r="I246" s="19" t="str">
        <f aca="false">IF(F246="","",F246+H246)</f>
        <v/>
      </c>
      <c r="J246" s="18" t="str">
        <f aca="false">IF(B246="","",B246+Settings!$B$17)</f>
        <v/>
      </c>
      <c r="K246" s="13"/>
      <c r="L246" s="15"/>
      <c r="M246" s="17" t="str">
        <f aca="true">IF(F246="","",IF(AND(L246&lt;&gt;"",L246&gt;=I246),"Paid",IF(AND(L246&lt;&gt;"",L246&gt;0),"Part paid",IF(TODAY()&gt;J246,"Overdue","Due"))))</f>
        <v/>
      </c>
      <c r="N246" s="19" t="str">
        <f aca="true">IF(M246="Overdue",TODAY()-J246,"")</f>
        <v/>
      </c>
      <c r="O246" s="14"/>
    </row>
    <row r="247" customFormat="false" ht="15" hidden="false" customHeight="false" outlineLevel="0" collapsed="false">
      <c r="A247" s="14"/>
      <c r="B247" s="13"/>
      <c r="C247" s="14"/>
      <c r="D247" s="14"/>
      <c r="E247" s="14"/>
      <c r="F247" s="15"/>
      <c r="G247" s="14"/>
      <c r="H247" s="19" t="str">
        <f aca="false">IF(F247="","",IF(G247="Y",F247*Settings!$B$16,0))</f>
        <v/>
      </c>
      <c r="I247" s="19" t="str">
        <f aca="false">IF(F247="","",F247+H247)</f>
        <v/>
      </c>
      <c r="J247" s="18" t="str">
        <f aca="false">IF(B247="","",B247+Settings!$B$17)</f>
        <v/>
      </c>
      <c r="K247" s="13"/>
      <c r="L247" s="15"/>
      <c r="M247" s="17" t="str">
        <f aca="true">IF(F247="","",IF(AND(L247&lt;&gt;"",L247&gt;=I247),"Paid",IF(AND(L247&lt;&gt;"",L247&gt;0),"Part paid",IF(TODAY()&gt;J247,"Overdue","Due"))))</f>
        <v/>
      </c>
      <c r="N247" s="19" t="str">
        <f aca="true">IF(M247="Overdue",TODAY()-J247,"")</f>
        <v/>
      </c>
      <c r="O247" s="14"/>
    </row>
    <row r="248" customFormat="false" ht="15" hidden="false" customHeight="false" outlineLevel="0" collapsed="false">
      <c r="A248" s="14"/>
      <c r="B248" s="13"/>
      <c r="C248" s="14"/>
      <c r="D248" s="14"/>
      <c r="E248" s="14"/>
      <c r="F248" s="15"/>
      <c r="G248" s="14"/>
      <c r="H248" s="19" t="str">
        <f aca="false">IF(F248="","",IF(G248="Y",F248*Settings!$B$16,0))</f>
        <v/>
      </c>
      <c r="I248" s="19" t="str">
        <f aca="false">IF(F248="","",F248+H248)</f>
        <v/>
      </c>
      <c r="J248" s="18" t="str">
        <f aca="false">IF(B248="","",B248+Settings!$B$17)</f>
        <v/>
      </c>
      <c r="K248" s="13"/>
      <c r="L248" s="15"/>
      <c r="M248" s="17" t="str">
        <f aca="true">IF(F248="","",IF(AND(L248&lt;&gt;"",L248&gt;=I248),"Paid",IF(AND(L248&lt;&gt;"",L248&gt;0),"Part paid",IF(TODAY()&gt;J248,"Overdue","Due"))))</f>
        <v/>
      </c>
      <c r="N248" s="19" t="str">
        <f aca="true">IF(M248="Overdue",TODAY()-J248,"")</f>
        <v/>
      </c>
      <c r="O248" s="14"/>
    </row>
    <row r="249" customFormat="false" ht="15" hidden="false" customHeight="false" outlineLevel="0" collapsed="false">
      <c r="A249" s="14"/>
      <c r="B249" s="13"/>
      <c r="C249" s="14"/>
      <c r="D249" s="14"/>
      <c r="E249" s="14"/>
      <c r="F249" s="15"/>
      <c r="G249" s="14"/>
      <c r="H249" s="19" t="str">
        <f aca="false">IF(F249="","",IF(G249="Y",F249*Settings!$B$16,0))</f>
        <v/>
      </c>
      <c r="I249" s="19" t="str">
        <f aca="false">IF(F249="","",F249+H249)</f>
        <v/>
      </c>
      <c r="J249" s="18" t="str">
        <f aca="false">IF(B249="","",B249+Settings!$B$17)</f>
        <v/>
      </c>
      <c r="K249" s="13"/>
      <c r="L249" s="15"/>
      <c r="M249" s="17" t="str">
        <f aca="true">IF(F249="","",IF(AND(L249&lt;&gt;"",L249&gt;=I249),"Paid",IF(AND(L249&lt;&gt;"",L249&gt;0),"Part paid",IF(TODAY()&gt;J249,"Overdue","Due"))))</f>
        <v/>
      </c>
      <c r="N249" s="19" t="str">
        <f aca="true">IF(M249="Overdue",TODAY()-J249,"")</f>
        <v/>
      </c>
      <c r="O249" s="14"/>
    </row>
    <row r="250" customFormat="false" ht="15" hidden="false" customHeight="false" outlineLevel="0" collapsed="false">
      <c r="A250" s="14"/>
      <c r="B250" s="13"/>
      <c r="C250" s="14"/>
      <c r="D250" s="14"/>
      <c r="E250" s="14"/>
      <c r="F250" s="15"/>
      <c r="G250" s="14"/>
      <c r="H250" s="19" t="str">
        <f aca="false">IF(F250="","",IF(G250="Y",F250*Settings!$B$16,0))</f>
        <v/>
      </c>
      <c r="I250" s="19" t="str">
        <f aca="false">IF(F250="","",F250+H250)</f>
        <v/>
      </c>
      <c r="J250" s="18" t="str">
        <f aca="false">IF(B250="","",B250+Settings!$B$17)</f>
        <v/>
      </c>
      <c r="K250" s="13"/>
      <c r="L250" s="15"/>
      <c r="M250" s="17" t="str">
        <f aca="true">IF(F250="","",IF(AND(L250&lt;&gt;"",L250&gt;=I250),"Paid",IF(AND(L250&lt;&gt;"",L250&gt;0),"Part paid",IF(TODAY()&gt;J250,"Overdue","Due"))))</f>
        <v/>
      </c>
      <c r="N250" s="19" t="str">
        <f aca="true">IF(M250="Overdue",TODAY()-J250,"")</f>
        <v/>
      </c>
      <c r="O250" s="14"/>
    </row>
    <row r="251" customFormat="false" ht="15" hidden="false" customHeight="false" outlineLevel="0" collapsed="false">
      <c r="A251" s="14"/>
      <c r="B251" s="13"/>
      <c r="C251" s="14"/>
      <c r="D251" s="14"/>
      <c r="E251" s="14"/>
      <c r="F251" s="15"/>
      <c r="G251" s="14"/>
      <c r="H251" s="19" t="str">
        <f aca="false">IF(F251="","",IF(G251="Y",F251*Settings!$B$16,0))</f>
        <v/>
      </c>
      <c r="I251" s="19" t="str">
        <f aca="false">IF(F251="","",F251+H251)</f>
        <v/>
      </c>
      <c r="J251" s="18" t="str">
        <f aca="false">IF(B251="","",B251+Settings!$B$17)</f>
        <v/>
      </c>
      <c r="K251" s="13"/>
      <c r="L251" s="15"/>
      <c r="M251" s="17" t="str">
        <f aca="true">IF(F251="","",IF(AND(L251&lt;&gt;"",L251&gt;=I251),"Paid",IF(AND(L251&lt;&gt;"",L251&gt;0),"Part paid",IF(TODAY()&gt;J251,"Overdue","Due"))))</f>
        <v/>
      </c>
      <c r="N251" s="19" t="str">
        <f aca="true">IF(M251="Overdue",TODAY()-J251,"")</f>
        <v/>
      </c>
      <c r="O251" s="14"/>
    </row>
    <row r="252" customFormat="false" ht="15" hidden="false" customHeight="false" outlineLevel="0" collapsed="false">
      <c r="A252" s="14"/>
      <c r="B252" s="13"/>
      <c r="C252" s="14"/>
      <c r="D252" s="14"/>
      <c r="E252" s="14"/>
      <c r="F252" s="15"/>
      <c r="G252" s="14"/>
      <c r="H252" s="19" t="str">
        <f aca="false">IF(F252="","",IF(G252="Y",F252*Settings!$B$16,0))</f>
        <v/>
      </c>
      <c r="I252" s="19" t="str">
        <f aca="false">IF(F252="","",F252+H252)</f>
        <v/>
      </c>
      <c r="J252" s="18" t="str">
        <f aca="false">IF(B252="","",B252+Settings!$B$17)</f>
        <v/>
      </c>
      <c r="K252" s="13"/>
      <c r="L252" s="15"/>
      <c r="M252" s="17" t="str">
        <f aca="true">IF(F252="","",IF(AND(L252&lt;&gt;"",L252&gt;=I252),"Paid",IF(AND(L252&lt;&gt;"",L252&gt;0),"Part paid",IF(TODAY()&gt;J252,"Overdue","Due"))))</f>
        <v/>
      </c>
      <c r="N252" s="19" t="str">
        <f aca="true">IF(M252="Overdue",TODAY()-J252,"")</f>
        <v/>
      </c>
      <c r="O252" s="14"/>
    </row>
    <row r="253" customFormat="false" ht="15" hidden="false" customHeight="false" outlineLevel="0" collapsed="false">
      <c r="A253" s="14"/>
      <c r="B253" s="13"/>
      <c r="C253" s="14"/>
      <c r="D253" s="14"/>
      <c r="E253" s="14"/>
      <c r="F253" s="15"/>
      <c r="G253" s="14"/>
      <c r="H253" s="19" t="str">
        <f aca="false">IF(F253="","",IF(G253="Y",F253*Settings!$B$16,0))</f>
        <v/>
      </c>
      <c r="I253" s="19" t="str">
        <f aca="false">IF(F253="","",F253+H253)</f>
        <v/>
      </c>
      <c r="J253" s="18" t="str">
        <f aca="false">IF(B253="","",B253+Settings!$B$17)</f>
        <v/>
      </c>
      <c r="K253" s="13"/>
      <c r="L253" s="15"/>
      <c r="M253" s="17" t="str">
        <f aca="true">IF(F253="","",IF(AND(L253&lt;&gt;"",L253&gt;=I253),"Paid",IF(AND(L253&lt;&gt;"",L253&gt;0),"Part paid",IF(TODAY()&gt;J253,"Overdue","Due"))))</f>
        <v/>
      </c>
      <c r="N253" s="19" t="str">
        <f aca="true">IF(M253="Overdue",TODAY()-J253,"")</f>
        <v/>
      </c>
      <c r="O253" s="14"/>
    </row>
    <row r="254" customFormat="false" ht="15" hidden="false" customHeight="false" outlineLevel="0" collapsed="false">
      <c r="A254" s="14"/>
      <c r="B254" s="13"/>
      <c r="C254" s="14"/>
      <c r="D254" s="14"/>
      <c r="E254" s="14"/>
      <c r="F254" s="15"/>
      <c r="G254" s="14"/>
      <c r="H254" s="19" t="str">
        <f aca="false">IF(F254="","",IF(G254="Y",F254*Settings!$B$16,0))</f>
        <v/>
      </c>
      <c r="I254" s="19" t="str">
        <f aca="false">IF(F254="","",F254+H254)</f>
        <v/>
      </c>
      <c r="J254" s="18" t="str">
        <f aca="false">IF(B254="","",B254+Settings!$B$17)</f>
        <v/>
      </c>
      <c r="K254" s="13"/>
      <c r="L254" s="15"/>
      <c r="M254" s="17" t="str">
        <f aca="true">IF(F254="","",IF(AND(L254&lt;&gt;"",L254&gt;=I254),"Paid",IF(AND(L254&lt;&gt;"",L254&gt;0),"Part paid",IF(TODAY()&gt;J254,"Overdue","Due"))))</f>
        <v/>
      </c>
      <c r="N254" s="19" t="str">
        <f aca="true">IF(M254="Overdue",TODAY()-J254,"")</f>
        <v/>
      </c>
      <c r="O254" s="14"/>
    </row>
    <row r="255" customFormat="false" ht="15" hidden="false" customHeight="false" outlineLevel="0" collapsed="false">
      <c r="A255" s="14"/>
      <c r="B255" s="13"/>
      <c r="C255" s="14"/>
      <c r="D255" s="14"/>
      <c r="E255" s="14"/>
      <c r="F255" s="15"/>
      <c r="G255" s="14"/>
      <c r="H255" s="19" t="str">
        <f aca="false">IF(F255="","",IF(G255="Y",F255*Settings!$B$16,0))</f>
        <v/>
      </c>
      <c r="I255" s="19" t="str">
        <f aca="false">IF(F255="","",F255+H255)</f>
        <v/>
      </c>
      <c r="J255" s="18" t="str">
        <f aca="false">IF(B255="","",B255+Settings!$B$17)</f>
        <v/>
      </c>
      <c r="K255" s="13"/>
      <c r="L255" s="15"/>
      <c r="M255" s="17" t="str">
        <f aca="true">IF(F255="","",IF(AND(L255&lt;&gt;"",L255&gt;=I255),"Paid",IF(AND(L255&lt;&gt;"",L255&gt;0),"Part paid",IF(TODAY()&gt;J255,"Overdue","Due"))))</f>
        <v/>
      </c>
      <c r="N255" s="19" t="str">
        <f aca="true">IF(M255="Overdue",TODAY()-J255,"")</f>
        <v/>
      </c>
      <c r="O255" s="14"/>
    </row>
    <row r="256" customFormat="false" ht="15" hidden="false" customHeight="false" outlineLevel="0" collapsed="false">
      <c r="A256" s="14"/>
      <c r="B256" s="13"/>
      <c r="C256" s="14"/>
      <c r="D256" s="14"/>
      <c r="E256" s="14"/>
      <c r="F256" s="15"/>
      <c r="G256" s="14"/>
      <c r="H256" s="19" t="str">
        <f aca="false">IF(F256="","",IF(G256="Y",F256*Settings!$B$16,0))</f>
        <v/>
      </c>
      <c r="I256" s="19" t="str">
        <f aca="false">IF(F256="","",F256+H256)</f>
        <v/>
      </c>
      <c r="J256" s="18" t="str">
        <f aca="false">IF(B256="","",B256+Settings!$B$17)</f>
        <v/>
      </c>
      <c r="K256" s="13"/>
      <c r="L256" s="15"/>
      <c r="M256" s="17" t="str">
        <f aca="true">IF(F256="","",IF(AND(L256&lt;&gt;"",L256&gt;=I256),"Paid",IF(AND(L256&lt;&gt;"",L256&gt;0),"Part paid",IF(TODAY()&gt;J256,"Overdue","Due"))))</f>
        <v/>
      </c>
      <c r="N256" s="19" t="str">
        <f aca="true">IF(M256="Overdue",TODAY()-J256,"")</f>
        <v/>
      </c>
      <c r="O256" s="14"/>
    </row>
    <row r="257" customFormat="false" ht="15" hidden="false" customHeight="false" outlineLevel="0" collapsed="false">
      <c r="A257" s="14"/>
      <c r="B257" s="13"/>
      <c r="C257" s="14"/>
      <c r="D257" s="14"/>
      <c r="E257" s="14"/>
      <c r="F257" s="15"/>
      <c r="G257" s="14"/>
      <c r="H257" s="19" t="str">
        <f aca="false">IF(F257="","",IF(G257="Y",F257*Settings!$B$16,0))</f>
        <v/>
      </c>
      <c r="I257" s="19" t="str">
        <f aca="false">IF(F257="","",F257+H257)</f>
        <v/>
      </c>
      <c r="J257" s="18" t="str">
        <f aca="false">IF(B257="","",B257+Settings!$B$17)</f>
        <v/>
      </c>
      <c r="K257" s="13"/>
      <c r="L257" s="15"/>
      <c r="M257" s="17" t="str">
        <f aca="true">IF(F257="","",IF(AND(L257&lt;&gt;"",L257&gt;=I257),"Paid",IF(AND(L257&lt;&gt;"",L257&gt;0),"Part paid",IF(TODAY()&gt;J257,"Overdue","Due"))))</f>
        <v/>
      </c>
      <c r="N257" s="19" t="str">
        <f aca="true">IF(M257="Overdue",TODAY()-J257,"")</f>
        <v/>
      </c>
      <c r="O257" s="14"/>
    </row>
    <row r="258" customFormat="false" ht="15" hidden="false" customHeight="false" outlineLevel="0" collapsed="false">
      <c r="A258" s="14"/>
      <c r="B258" s="13"/>
      <c r="C258" s="14"/>
      <c r="D258" s="14"/>
      <c r="E258" s="14"/>
      <c r="F258" s="15"/>
      <c r="G258" s="14"/>
      <c r="H258" s="19" t="str">
        <f aca="false">IF(F258="","",IF(G258="Y",F258*Settings!$B$16,0))</f>
        <v/>
      </c>
      <c r="I258" s="19" t="str">
        <f aca="false">IF(F258="","",F258+H258)</f>
        <v/>
      </c>
      <c r="J258" s="18" t="str">
        <f aca="false">IF(B258="","",B258+Settings!$B$17)</f>
        <v/>
      </c>
      <c r="K258" s="13"/>
      <c r="L258" s="15"/>
      <c r="M258" s="17" t="str">
        <f aca="true">IF(F258="","",IF(AND(L258&lt;&gt;"",L258&gt;=I258),"Paid",IF(AND(L258&lt;&gt;"",L258&gt;0),"Part paid",IF(TODAY()&gt;J258,"Overdue","Due"))))</f>
        <v/>
      </c>
      <c r="N258" s="19" t="str">
        <f aca="true">IF(M258="Overdue",TODAY()-J258,"")</f>
        <v/>
      </c>
      <c r="O258" s="14"/>
    </row>
    <row r="259" customFormat="false" ht="15" hidden="false" customHeight="false" outlineLevel="0" collapsed="false">
      <c r="A259" s="14"/>
      <c r="B259" s="13"/>
      <c r="C259" s="14"/>
      <c r="D259" s="14"/>
      <c r="E259" s="14"/>
      <c r="F259" s="15"/>
      <c r="G259" s="14"/>
      <c r="H259" s="19" t="str">
        <f aca="false">IF(F259="","",IF(G259="Y",F259*Settings!$B$16,0))</f>
        <v/>
      </c>
      <c r="I259" s="19" t="str">
        <f aca="false">IF(F259="","",F259+H259)</f>
        <v/>
      </c>
      <c r="J259" s="18" t="str">
        <f aca="false">IF(B259="","",B259+Settings!$B$17)</f>
        <v/>
      </c>
      <c r="K259" s="13"/>
      <c r="L259" s="15"/>
      <c r="M259" s="17" t="str">
        <f aca="true">IF(F259="","",IF(AND(L259&lt;&gt;"",L259&gt;=I259),"Paid",IF(AND(L259&lt;&gt;"",L259&gt;0),"Part paid",IF(TODAY()&gt;J259,"Overdue","Due"))))</f>
        <v/>
      </c>
      <c r="N259" s="19" t="str">
        <f aca="true">IF(M259="Overdue",TODAY()-J259,"")</f>
        <v/>
      </c>
      <c r="O259" s="14"/>
    </row>
    <row r="260" customFormat="false" ht="15" hidden="false" customHeight="false" outlineLevel="0" collapsed="false">
      <c r="A260" s="14"/>
      <c r="B260" s="13"/>
      <c r="C260" s="14"/>
      <c r="D260" s="14"/>
      <c r="E260" s="14"/>
      <c r="F260" s="15"/>
      <c r="G260" s="14"/>
      <c r="H260" s="19" t="str">
        <f aca="false">IF(F260="","",IF(G260="Y",F260*Settings!$B$16,0))</f>
        <v/>
      </c>
      <c r="I260" s="19" t="str">
        <f aca="false">IF(F260="","",F260+H260)</f>
        <v/>
      </c>
      <c r="J260" s="18" t="str">
        <f aca="false">IF(B260="","",B260+Settings!$B$17)</f>
        <v/>
      </c>
      <c r="K260" s="13"/>
      <c r="L260" s="15"/>
      <c r="M260" s="17" t="str">
        <f aca="true">IF(F260="","",IF(AND(L260&lt;&gt;"",L260&gt;=I260),"Paid",IF(AND(L260&lt;&gt;"",L260&gt;0),"Part paid",IF(TODAY()&gt;J260,"Overdue","Due"))))</f>
        <v/>
      </c>
      <c r="N260" s="19" t="str">
        <f aca="true">IF(M260="Overdue",TODAY()-J260,"")</f>
        <v/>
      </c>
      <c r="O260" s="14"/>
    </row>
    <row r="261" customFormat="false" ht="15" hidden="false" customHeight="false" outlineLevel="0" collapsed="false">
      <c r="A261" s="14"/>
      <c r="B261" s="13"/>
      <c r="C261" s="14"/>
      <c r="D261" s="14"/>
      <c r="E261" s="14"/>
      <c r="F261" s="15"/>
      <c r="G261" s="14"/>
      <c r="H261" s="19" t="str">
        <f aca="false">IF(F261="","",IF(G261="Y",F261*Settings!$B$16,0))</f>
        <v/>
      </c>
      <c r="I261" s="19" t="str">
        <f aca="false">IF(F261="","",F261+H261)</f>
        <v/>
      </c>
      <c r="J261" s="18" t="str">
        <f aca="false">IF(B261="","",B261+Settings!$B$17)</f>
        <v/>
      </c>
      <c r="K261" s="13"/>
      <c r="L261" s="15"/>
      <c r="M261" s="17" t="str">
        <f aca="true">IF(F261="","",IF(AND(L261&lt;&gt;"",L261&gt;=I261),"Paid",IF(AND(L261&lt;&gt;"",L261&gt;0),"Part paid",IF(TODAY()&gt;J261,"Overdue","Due"))))</f>
        <v/>
      </c>
      <c r="N261" s="19" t="str">
        <f aca="true">IF(M261="Overdue",TODAY()-J261,"")</f>
        <v/>
      </c>
      <c r="O261" s="14"/>
    </row>
    <row r="262" customFormat="false" ht="15" hidden="false" customHeight="false" outlineLevel="0" collapsed="false">
      <c r="A262" s="14"/>
      <c r="B262" s="13"/>
      <c r="C262" s="14"/>
      <c r="D262" s="14"/>
      <c r="E262" s="14"/>
      <c r="F262" s="15"/>
      <c r="G262" s="14"/>
      <c r="H262" s="19" t="str">
        <f aca="false">IF(F262="","",IF(G262="Y",F262*Settings!$B$16,0))</f>
        <v/>
      </c>
      <c r="I262" s="19" t="str">
        <f aca="false">IF(F262="","",F262+H262)</f>
        <v/>
      </c>
      <c r="J262" s="18" t="str">
        <f aca="false">IF(B262="","",B262+Settings!$B$17)</f>
        <v/>
      </c>
      <c r="K262" s="13"/>
      <c r="L262" s="15"/>
      <c r="M262" s="17" t="str">
        <f aca="true">IF(F262="","",IF(AND(L262&lt;&gt;"",L262&gt;=I262),"Paid",IF(AND(L262&lt;&gt;"",L262&gt;0),"Part paid",IF(TODAY()&gt;J262,"Overdue","Due"))))</f>
        <v/>
      </c>
      <c r="N262" s="19" t="str">
        <f aca="true">IF(M262="Overdue",TODAY()-J262,"")</f>
        <v/>
      </c>
      <c r="O262" s="14"/>
    </row>
    <row r="263" customFormat="false" ht="15" hidden="false" customHeight="false" outlineLevel="0" collapsed="false">
      <c r="A263" s="14"/>
      <c r="B263" s="13"/>
      <c r="C263" s="14"/>
      <c r="D263" s="14"/>
      <c r="E263" s="14"/>
      <c r="F263" s="15"/>
      <c r="G263" s="14"/>
      <c r="H263" s="19" t="str">
        <f aca="false">IF(F263="","",IF(G263="Y",F263*Settings!$B$16,0))</f>
        <v/>
      </c>
      <c r="I263" s="19" t="str">
        <f aca="false">IF(F263="","",F263+H263)</f>
        <v/>
      </c>
      <c r="J263" s="18" t="str">
        <f aca="false">IF(B263="","",B263+Settings!$B$17)</f>
        <v/>
      </c>
      <c r="K263" s="13"/>
      <c r="L263" s="15"/>
      <c r="M263" s="17" t="str">
        <f aca="true">IF(F263="","",IF(AND(L263&lt;&gt;"",L263&gt;=I263),"Paid",IF(AND(L263&lt;&gt;"",L263&gt;0),"Part paid",IF(TODAY()&gt;J263,"Overdue","Due"))))</f>
        <v/>
      </c>
      <c r="N263" s="19" t="str">
        <f aca="true">IF(M263="Overdue",TODAY()-J263,"")</f>
        <v/>
      </c>
      <c r="O263" s="14"/>
    </row>
    <row r="264" customFormat="false" ht="15" hidden="false" customHeight="false" outlineLevel="0" collapsed="false">
      <c r="A264" s="14"/>
      <c r="B264" s="13"/>
      <c r="C264" s="14"/>
      <c r="D264" s="14"/>
      <c r="E264" s="14"/>
      <c r="F264" s="15"/>
      <c r="G264" s="14"/>
      <c r="H264" s="19" t="str">
        <f aca="false">IF(F264="","",IF(G264="Y",F264*Settings!$B$16,0))</f>
        <v/>
      </c>
      <c r="I264" s="19" t="str">
        <f aca="false">IF(F264="","",F264+H264)</f>
        <v/>
      </c>
      <c r="J264" s="18" t="str">
        <f aca="false">IF(B264="","",B264+Settings!$B$17)</f>
        <v/>
      </c>
      <c r="K264" s="13"/>
      <c r="L264" s="15"/>
      <c r="M264" s="17" t="str">
        <f aca="true">IF(F264="","",IF(AND(L264&lt;&gt;"",L264&gt;=I264),"Paid",IF(AND(L264&lt;&gt;"",L264&gt;0),"Part paid",IF(TODAY()&gt;J264,"Overdue","Due"))))</f>
        <v/>
      </c>
      <c r="N264" s="19" t="str">
        <f aca="true">IF(M264="Overdue",TODAY()-J264,"")</f>
        <v/>
      </c>
      <c r="O264" s="14"/>
    </row>
    <row r="265" customFormat="false" ht="15" hidden="false" customHeight="false" outlineLevel="0" collapsed="false">
      <c r="A265" s="14"/>
      <c r="B265" s="13"/>
      <c r="C265" s="14"/>
      <c r="D265" s="14"/>
      <c r="E265" s="14"/>
      <c r="F265" s="15"/>
      <c r="G265" s="14"/>
      <c r="H265" s="19" t="str">
        <f aca="false">IF(F265="","",IF(G265="Y",F265*Settings!$B$16,0))</f>
        <v/>
      </c>
      <c r="I265" s="19" t="str">
        <f aca="false">IF(F265="","",F265+H265)</f>
        <v/>
      </c>
      <c r="J265" s="18" t="str">
        <f aca="false">IF(B265="","",B265+Settings!$B$17)</f>
        <v/>
      </c>
      <c r="K265" s="13"/>
      <c r="L265" s="15"/>
      <c r="M265" s="17" t="str">
        <f aca="true">IF(F265="","",IF(AND(L265&lt;&gt;"",L265&gt;=I265),"Paid",IF(AND(L265&lt;&gt;"",L265&gt;0),"Part paid",IF(TODAY()&gt;J265,"Overdue","Due"))))</f>
        <v/>
      </c>
      <c r="N265" s="19" t="str">
        <f aca="true">IF(M265="Overdue",TODAY()-J265,"")</f>
        <v/>
      </c>
      <c r="O265" s="14"/>
    </row>
    <row r="266" customFormat="false" ht="15" hidden="false" customHeight="false" outlineLevel="0" collapsed="false">
      <c r="A266" s="14"/>
      <c r="B266" s="13"/>
      <c r="C266" s="14"/>
      <c r="D266" s="14"/>
      <c r="E266" s="14"/>
      <c r="F266" s="15"/>
      <c r="G266" s="14"/>
      <c r="H266" s="19" t="str">
        <f aca="false">IF(F266="","",IF(G266="Y",F266*Settings!$B$16,0))</f>
        <v/>
      </c>
      <c r="I266" s="19" t="str">
        <f aca="false">IF(F266="","",F266+H266)</f>
        <v/>
      </c>
      <c r="J266" s="18" t="str">
        <f aca="false">IF(B266="","",B266+Settings!$B$17)</f>
        <v/>
      </c>
      <c r="K266" s="13"/>
      <c r="L266" s="15"/>
      <c r="M266" s="17" t="str">
        <f aca="true">IF(F266="","",IF(AND(L266&lt;&gt;"",L266&gt;=I266),"Paid",IF(AND(L266&lt;&gt;"",L266&gt;0),"Part paid",IF(TODAY()&gt;J266,"Overdue","Due"))))</f>
        <v/>
      </c>
      <c r="N266" s="19" t="str">
        <f aca="true">IF(M266="Overdue",TODAY()-J266,"")</f>
        <v/>
      </c>
      <c r="O266" s="14"/>
    </row>
    <row r="267" customFormat="false" ht="15" hidden="false" customHeight="false" outlineLevel="0" collapsed="false">
      <c r="A267" s="14"/>
      <c r="B267" s="13"/>
      <c r="C267" s="14"/>
      <c r="D267" s="14"/>
      <c r="E267" s="14"/>
      <c r="F267" s="15"/>
      <c r="G267" s="14"/>
      <c r="H267" s="19" t="str">
        <f aca="false">IF(F267="","",IF(G267="Y",F267*Settings!$B$16,0))</f>
        <v/>
      </c>
      <c r="I267" s="19" t="str">
        <f aca="false">IF(F267="","",F267+H267)</f>
        <v/>
      </c>
      <c r="J267" s="18" t="str">
        <f aca="false">IF(B267="","",B267+Settings!$B$17)</f>
        <v/>
      </c>
      <c r="K267" s="13"/>
      <c r="L267" s="15"/>
      <c r="M267" s="17" t="str">
        <f aca="true">IF(F267="","",IF(AND(L267&lt;&gt;"",L267&gt;=I267),"Paid",IF(AND(L267&lt;&gt;"",L267&gt;0),"Part paid",IF(TODAY()&gt;J267,"Overdue","Due"))))</f>
        <v/>
      </c>
      <c r="N267" s="19" t="str">
        <f aca="true">IF(M267="Overdue",TODAY()-J267,"")</f>
        <v/>
      </c>
      <c r="O267" s="14"/>
    </row>
    <row r="268" customFormat="false" ht="15" hidden="false" customHeight="false" outlineLevel="0" collapsed="false">
      <c r="A268" s="14"/>
      <c r="B268" s="13"/>
      <c r="C268" s="14"/>
      <c r="D268" s="14"/>
      <c r="E268" s="14"/>
      <c r="F268" s="15"/>
      <c r="G268" s="14"/>
      <c r="H268" s="19" t="str">
        <f aca="false">IF(F268="","",IF(G268="Y",F268*Settings!$B$16,0))</f>
        <v/>
      </c>
      <c r="I268" s="19" t="str">
        <f aca="false">IF(F268="","",F268+H268)</f>
        <v/>
      </c>
      <c r="J268" s="18" t="str">
        <f aca="false">IF(B268="","",B268+Settings!$B$17)</f>
        <v/>
      </c>
      <c r="K268" s="13"/>
      <c r="L268" s="15"/>
      <c r="M268" s="17" t="str">
        <f aca="true">IF(F268="","",IF(AND(L268&lt;&gt;"",L268&gt;=I268),"Paid",IF(AND(L268&lt;&gt;"",L268&gt;0),"Part paid",IF(TODAY()&gt;J268,"Overdue","Due"))))</f>
        <v/>
      </c>
      <c r="N268" s="19" t="str">
        <f aca="true">IF(M268="Overdue",TODAY()-J268,"")</f>
        <v/>
      </c>
      <c r="O268" s="14"/>
    </row>
    <row r="269" customFormat="false" ht="15" hidden="false" customHeight="false" outlineLevel="0" collapsed="false">
      <c r="A269" s="14"/>
      <c r="B269" s="13"/>
      <c r="C269" s="14"/>
      <c r="D269" s="14"/>
      <c r="E269" s="14"/>
      <c r="F269" s="15"/>
      <c r="G269" s="14"/>
      <c r="H269" s="19" t="str">
        <f aca="false">IF(F269="","",IF(G269="Y",F269*Settings!$B$16,0))</f>
        <v/>
      </c>
      <c r="I269" s="19" t="str">
        <f aca="false">IF(F269="","",F269+H269)</f>
        <v/>
      </c>
      <c r="J269" s="18" t="str">
        <f aca="false">IF(B269="","",B269+Settings!$B$17)</f>
        <v/>
      </c>
      <c r="K269" s="13"/>
      <c r="L269" s="15"/>
      <c r="M269" s="17" t="str">
        <f aca="true">IF(F269="","",IF(AND(L269&lt;&gt;"",L269&gt;=I269),"Paid",IF(AND(L269&lt;&gt;"",L269&gt;0),"Part paid",IF(TODAY()&gt;J269,"Overdue","Due"))))</f>
        <v/>
      </c>
      <c r="N269" s="19" t="str">
        <f aca="true">IF(M269="Overdue",TODAY()-J269,"")</f>
        <v/>
      </c>
      <c r="O269" s="14"/>
    </row>
    <row r="270" customFormat="false" ht="15" hidden="false" customHeight="false" outlineLevel="0" collapsed="false">
      <c r="A270" s="14"/>
      <c r="B270" s="13"/>
      <c r="C270" s="14"/>
      <c r="D270" s="14"/>
      <c r="E270" s="14"/>
      <c r="F270" s="15"/>
      <c r="G270" s="14"/>
      <c r="H270" s="19" t="str">
        <f aca="false">IF(F270="","",IF(G270="Y",F270*Settings!$B$16,0))</f>
        <v/>
      </c>
      <c r="I270" s="19" t="str">
        <f aca="false">IF(F270="","",F270+H270)</f>
        <v/>
      </c>
      <c r="J270" s="18" t="str">
        <f aca="false">IF(B270="","",B270+Settings!$B$17)</f>
        <v/>
      </c>
      <c r="K270" s="13"/>
      <c r="L270" s="15"/>
      <c r="M270" s="17" t="str">
        <f aca="true">IF(F270="","",IF(AND(L270&lt;&gt;"",L270&gt;=I270),"Paid",IF(AND(L270&lt;&gt;"",L270&gt;0),"Part paid",IF(TODAY()&gt;J270,"Overdue","Due"))))</f>
        <v/>
      </c>
      <c r="N270" s="19" t="str">
        <f aca="true">IF(M270="Overdue",TODAY()-J270,"")</f>
        <v/>
      </c>
      <c r="O270" s="14"/>
    </row>
    <row r="271" customFormat="false" ht="15" hidden="false" customHeight="false" outlineLevel="0" collapsed="false">
      <c r="A271" s="14"/>
      <c r="B271" s="13"/>
      <c r="C271" s="14"/>
      <c r="D271" s="14"/>
      <c r="E271" s="14"/>
      <c r="F271" s="15"/>
      <c r="G271" s="14"/>
      <c r="H271" s="19" t="str">
        <f aca="false">IF(F271="","",IF(G271="Y",F271*Settings!$B$16,0))</f>
        <v/>
      </c>
      <c r="I271" s="19" t="str">
        <f aca="false">IF(F271="","",F271+H271)</f>
        <v/>
      </c>
      <c r="J271" s="18" t="str">
        <f aca="false">IF(B271="","",B271+Settings!$B$17)</f>
        <v/>
      </c>
      <c r="K271" s="13"/>
      <c r="L271" s="15"/>
      <c r="M271" s="17" t="str">
        <f aca="true">IF(F271="","",IF(AND(L271&lt;&gt;"",L271&gt;=I271),"Paid",IF(AND(L271&lt;&gt;"",L271&gt;0),"Part paid",IF(TODAY()&gt;J271,"Overdue","Due"))))</f>
        <v/>
      </c>
      <c r="N271" s="19" t="str">
        <f aca="true">IF(M271="Overdue",TODAY()-J271,"")</f>
        <v/>
      </c>
      <c r="O271" s="14"/>
    </row>
    <row r="272" customFormat="false" ht="15" hidden="false" customHeight="false" outlineLevel="0" collapsed="false">
      <c r="A272" s="14"/>
      <c r="B272" s="13"/>
      <c r="C272" s="14"/>
      <c r="D272" s="14"/>
      <c r="E272" s="14"/>
      <c r="F272" s="15"/>
      <c r="G272" s="14"/>
      <c r="H272" s="19" t="str">
        <f aca="false">IF(F272="","",IF(G272="Y",F272*Settings!$B$16,0))</f>
        <v/>
      </c>
      <c r="I272" s="19" t="str">
        <f aca="false">IF(F272="","",F272+H272)</f>
        <v/>
      </c>
      <c r="J272" s="18" t="str">
        <f aca="false">IF(B272="","",B272+Settings!$B$17)</f>
        <v/>
      </c>
      <c r="K272" s="13"/>
      <c r="L272" s="15"/>
      <c r="M272" s="17" t="str">
        <f aca="true">IF(F272="","",IF(AND(L272&lt;&gt;"",L272&gt;=I272),"Paid",IF(AND(L272&lt;&gt;"",L272&gt;0),"Part paid",IF(TODAY()&gt;J272,"Overdue","Due"))))</f>
        <v/>
      </c>
      <c r="N272" s="19" t="str">
        <f aca="true">IF(M272="Overdue",TODAY()-J272,"")</f>
        <v/>
      </c>
      <c r="O272" s="14"/>
    </row>
    <row r="273" customFormat="false" ht="15" hidden="false" customHeight="false" outlineLevel="0" collapsed="false">
      <c r="A273" s="14"/>
      <c r="B273" s="13"/>
      <c r="C273" s="14"/>
      <c r="D273" s="14"/>
      <c r="E273" s="14"/>
      <c r="F273" s="15"/>
      <c r="G273" s="14"/>
      <c r="H273" s="19" t="str">
        <f aca="false">IF(F273="","",IF(G273="Y",F273*Settings!$B$16,0))</f>
        <v/>
      </c>
      <c r="I273" s="19" t="str">
        <f aca="false">IF(F273="","",F273+H273)</f>
        <v/>
      </c>
      <c r="J273" s="18" t="str">
        <f aca="false">IF(B273="","",B273+Settings!$B$17)</f>
        <v/>
      </c>
      <c r="K273" s="13"/>
      <c r="L273" s="15"/>
      <c r="M273" s="17" t="str">
        <f aca="true">IF(F273="","",IF(AND(L273&lt;&gt;"",L273&gt;=I273),"Paid",IF(AND(L273&lt;&gt;"",L273&gt;0),"Part paid",IF(TODAY()&gt;J273,"Overdue","Due"))))</f>
        <v/>
      </c>
      <c r="N273" s="19" t="str">
        <f aca="true">IF(M273="Overdue",TODAY()-J273,"")</f>
        <v/>
      </c>
      <c r="O273" s="14"/>
    </row>
    <row r="274" customFormat="false" ht="15" hidden="false" customHeight="false" outlineLevel="0" collapsed="false">
      <c r="A274" s="14"/>
      <c r="B274" s="13"/>
      <c r="C274" s="14"/>
      <c r="D274" s="14"/>
      <c r="E274" s="14"/>
      <c r="F274" s="15"/>
      <c r="G274" s="14"/>
      <c r="H274" s="19" t="str">
        <f aca="false">IF(F274="","",IF(G274="Y",F274*Settings!$B$16,0))</f>
        <v/>
      </c>
      <c r="I274" s="19" t="str">
        <f aca="false">IF(F274="","",F274+H274)</f>
        <v/>
      </c>
      <c r="J274" s="18" t="str">
        <f aca="false">IF(B274="","",B274+Settings!$B$17)</f>
        <v/>
      </c>
      <c r="K274" s="13"/>
      <c r="L274" s="15"/>
      <c r="M274" s="17" t="str">
        <f aca="true">IF(F274="","",IF(AND(L274&lt;&gt;"",L274&gt;=I274),"Paid",IF(AND(L274&lt;&gt;"",L274&gt;0),"Part paid",IF(TODAY()&gt;J274,"Overdue","Due"))))</f>
        <v/>
      </c>
      <c r="N274" s="19" t="str">
        <f aca="true">IF(M274="Overdue",TODAY()-J274,"")</f>
        <v/>
      </c>
      <c r="O274" s="14"/>
    </row>
    <row r="275" customFormat="false" ht="15" hidden="false" customHeight="false" outlineLevel="0" collapsed="false">
      <c r="A275" s="14"/>
      <c r="B275" s="13"/>
      <c r="C275" s="14"/>
      <c r="D275" s="14"/>
      <c r="E275" s="14"/>
      <c r="F275" s="15"/>
      <c r="G275" s="14"/>
      <c r="H275" s="19" t="str">
        <f aca="false">IF(F275="","",IF(G275="Y",F275*Settings!$B$16,0))</f>
        <v/>
      </c>
      <c r="I275" s="19" t="str">
        <f aca="false">IF(F275="","",F275+H275)</f>
        <v/>
      </c>
      <c r="J275" s="18" t="str">
        <f aca="false">IF(B275="","",B275+Settings!$B$17)</f>
        <v/>
      </c>
      <c r="K275" s="13"/>
      <c r="L275" s="15"/>
      <c r="M275" s="17" t="str">
        <f aca="true">IF(F275="","",IF(AND(L275&lt;&gt;"",L275&gt;=I275),"Paid",IF(AND(L275&lt;&gt;"",L275&gt;0),"Part paid",IF(TODAY()&gt;J275,"Overdue","Due"))))</f>
        <v/>
      </c>
      <c r="N275" s="19" t="str">
        <f aca="true">IF(M275="Overdue",TODAY()-J275,"")</f>
        <v/>
      </c>
      <c r="O275" s="14"/>
    </row>
    <row r="276" customFormat="false" ht="15" hidden="false" customHeight="false" outlineLevel="0" collapsed="false">
      <c r="A276" s="14"/>
      <c r="B276" s="13"/>
      <c r="C276" s="14"/>
      <c r="D276" s="14"/>
      <c r="E276" s="14"/>
      <c r="F276" s="15"/>
      <c r="G276" s="14"/>
      <c r="H276" s="19" t="str">
        <f aca="false">IF(F276="","",IF(G276="Y",F276*Settings!$B$16,0))</f>
        <v/>
      </c>
      <c r="I276" s="19" t="str">
        <f aca="false">IF(F276="","",F276+H276)</f>
        <v/>
      </c>
      <c r="J276" s="18" t="str">
        <f aca="false">IF(B276="","",B276+Settings!$B$17)</f>
        <v/>
      </c>
      <c r="K276" s="13"/>
      <c r="L276" s="15"/>
      <c r="M276" s="17" t="str">
        <f aca="true">IF(F276="","",IF(AND(L276&lt;&gt;"",L276&gt;=I276),"Paid",IF(AND(L276&lt;&gt;"",L276&gt;0),"Part paid",IF(TODAY()&gt;J276,"Overdue","Due"))))</f>
        <v/>
      </c>
      <c r="N276" s="19" t="str">
        <f aca="true">IF(M276="Overdue",TODAY()-J276,"")</f>
        <v/>
      </c>
      <c r="O276" s="14"/>
    </row>
    <row r="277" customFormat="false" ht="15" hidden="false" customHeight="false" outlineLevel="0" collapsed="false">
      <c r="A277" s="14"/>
      <c r="B277" s="13"/>
      <c r="C277" s="14"/>
      <c r="D277" s="14"/>
      <c r="E277" s="14"/>
      <c r="F277" s="15"/>
      <c r="G277" s="14"/>
      <c r="H277" s="19" t="str">
        <f aca="false">IF(F277="","",IF(G277="Y",F277*Settings!$B$16,0))</f>
        <v/>
      </c>
      <c r="I277" s="19" t="str">
        <f aca="false">IF(F277="","",F277+H277)</f>
        <v/>
      </c>
      <c r="J277" s="18" t="str">
        <f aca="false">IF(B277="","",B277+Settings!$B$17)</f>
        <v/>
      </c>
      <c r="K277" s="13"/>
      <c r="L277" s="15"/>
      <c r="M277" s="17" t="str">
        <f aca="true">IF(F277="","",IF(AND(L277&lt;&gt;"",L277&gt;=I277),"Paid",IF(AND(L277&lt;&gt;"",L277&gt;0),"Part paid",IF(TODAY()&gt;J277,"Overdue","Due"))))</f>
        <v/>
      </c>
      <c r="N277" s="19" t="str">
        <f aca="true">IF(M277="Overdue",TODAY()-J277,"")</f>
        <v/>
      </c>
      <c r="O277" s="14"/>
    </row>
    <row r="278" customFormat="false" ht="15" hidden="false" customHeight="false" outlineLevel="0" collapsed="false">
      <c r="A278" s="14"/>
      <c r="B278" s="13"/>
      <c r="C278" s="14"/>
      <c r="D278" s="14"/>
      <c r="E278" s="14"/>
      <c r="F278" s="15"/>
      <c r="G278" s="14"/>
      <c r="H278" s="19" t="str">
        <f aca="false">IF(F278="","",IF(G278="Y",F278*Settings!$B$16,0))</f>
        <v/>
      </c>
      <c r="I278" s="19" t="str">
        <f aca="false">IF(F278="","",F278+H278)</f>
        <v/>
      </c>
      <c r="J278" s="18" t="str">
        <f aca="false">IF(B278="","",B278+Settings!$B$17)</f>
        <v/>
      </c>
      <c r="K278" s="13"/>
      <c r="L278" s="15"/>
      <c r="M278" s="17" t="str">
        <f aca="true">IF(F278="","",IF(AND(L278&lt;&gt;"",L278&gt;=I278),"Paid",IF(AND(L278&lt;&gt;"",L278&gt;0),"Part paid",IF(TODAY()&gt;J278,"Overdue","Due"))))</f>
        <v/>
      </c>
      <c r="N278" s="19" t="str">
        <f aca="true">IF(M278="Overdue",TODAY()-J278,"")</f>
        <v/>
      </c>
      <c r="O278" s="14"/>
    </row>
    <row r="279" customFormat="false" ht="15" hidden="false" customHeight="false" outlineLevel="0" collapsed="false">
      <c r="A279" s="14"/>
      <c r="B279" s="13"/>
      <c r="C279" s="14"/>
      <c r="D279" s="14"/>
      <c r="E279" s="14"/>
      <c r="F279" s="15"/>
      <c r="G279" s="14"/>
      <c r="H279" s="19" t="str">
        <f aca="false">IF(F279="","",IF(G279="Y",F279*Settings!$B$16,0))</f>
        <v/>
      </c>
      <c r="I279" s="19" t="str">
        <f aca="false">IF(F279="","",F279+H279)</f>
        <v/>
      </c>
      <c r="J279" s="18" t="str">
        <f aca="false">IF(B279="","",B279+Settings!$B$17)</f>
        <v/>
      </c>
      <c r="K279" s="13"/>
      <c r="L279" s="15"/>
      <c r="M279" s="17" t="str">
        <f aca="true">IF(F279="","",IF(AND(L279&lt;&gt;"",L279&gt;=I279),"Paid",IF(AND(L279&lt;&gt;"",L279&gt;0),"Part paid",IF(TODAY()&gt;J279,"Overdue","Due"))))</f>
        <v/>
      </c>
      <c r="N279" s="19" t="str">
        <f aca="true">IF(M279="Overdue",TODAY()-J279,"")</f>
        <v/>
      </c>
      <c r="O279" s="14"/>
    </row>
    <row r="280" customFormat="false" ht="15" hidden="false" customHeight="false" outlineLevel="0" collapsed="false">
      <c r="A280" s="14"/>
      <c r="B280" s="13"/>
      <c r="C280" s="14"/>
      <c r="D280" s="14"/>
      <c r="E280" s="14"/>
      <c r="F280" s="15"/>
      <c r="G280" s="14"/>
      <c r="H280" s="19" t="str">
        <f aca="false">IF(F280="","",IF(G280="Y",F280*Settings!$B$16,0))</f>
        <v/>
      </c>
      <c r="I280" s="19" t="str">
        <f aca="false">IF(F280="","",F280+H280)</f>
        <v/>
      </c>
      <c r="J280" s="18" t="str">
        <f aca="false">IF(B280="","",B280+Settings!$B$17)</f>
        <v/>
      </c>
      <c r="K280" s="13"/>
      <c r="L280" s="15"/>
      <c r="M280" s="17" t="str">
        <f aca="true">IF(F280="","",IF(AND(L280&lt;&gt;"",L280&gt;=I280),"Paid",IF(AND(L280&lt;&gt;"",L280&gt;0),"Part paid",IF(TODAY()&gt;J280,"Overdue","Due"))))</f>
        <v/>
      </c>
      <c r="N280" s="19" t="str">
        <f aca="true">IF(M280="Overdue",TODAY()-J280,"")</f>
        <v/>
      </c>
      <c r="O280" s="14"/>
    </row>
    <row r="281" customFormat="false" ht="15" hidden="false" customHeight="false" outlineLevel="0" collapsed="false">
      <c r="A281" s="14"/>
      <c r="B281" s="13"/>
      <c r="C281" s="14"/>
      <c r="D281" s="14"/>
      <c r="E281" s="14"/>
      <c r="F281" s="15"/>
      <c r="G281" s="14"/>
      <c r="H281" s="19" t="str">
        <f aca="false">IF(F281="","",IF(G281="Y",F281*Settings!$B$16,0))</f>
        <v/>
      </c>
      <c r="I281" s="19" t="str">
        <f aca="false">IF(F281="","",F281+H281)</f>
        <v/>
      </c>
      <c r="J281" s="18" t="str">
        <f aca="false">IF(B281="","",B281+Settings!$B$17)</f>
        <v/>
      </c>
      <c r="K281" s="13"/>
      <c r="L281" s="15"/>
      <c r="M281" s="17" t="str">
        <f aca="true">IF(F281="","",IF(AND(L281&lt;&gt;"",L281&gt;=I281),"Paid",IF(AND(L281&lt;&gt;"",L281&gt;0),"Part paid",IF(TODAY()&gt;J281,"Overdue","Due"))))</f>
        <v/>
      </c>
      <c r="N281" s="19" t="str">
        <f aca="true">IF(M281="Overdue",TODAY()-J281,"")</f>
        <v/>
      </c>
      <c r="O281" s="14"/>
    </row>
    <row r="282" customFormat="false" ht="15" hidden="false" customHeight="false" outlineLevel="0" collapsed="false">
      <c r="A282" s="14"/>
      <c r="B282" s="13"/>
      <c r="C282" s="14"/>
      <c r="D282" s="14"/>
      <c r="E282" s="14"/>
      <c r="F282" s="15"/>
      <c r="G282" s="14"/>
      <c r="H282" s="19" t="str">
        <f aca="false">IF(F282="","",IF(G282="Y",F282*Settings!$B$16,0))</f>
        <v/>
      </c>
      <c r="I282" s="19" t="str">
        <f aca="false">IF(F282="","",F282+H282)</f>
        <v/>
      </c>
      <c r="J282" s="18" t="str">
        <f aca="false">IF(B282="","",B282+Settings!$B$17)</f>
        <v/>
      </c>
      <c r="K282" s="13"/>
      <c r="L282" s="15"/>
      <c r="M282" s="17" t="str">
        <f aca="true">IF(F282="","",IF(AND(L282&lt;&gt;"",L282&gt;=I282),"Paid",IF(AND(L282&lt;&gt;"",L282&gt;0),"Part paid",IF(TODAY()&gt;J282,"Overdue","Due"))))</f>
        <v/>
      </c>
      <c r="N282" s="19" t="str">
        <f aca="true">IF(M282="Overdue",TODAY()-J282,"")</f>
        <v/>
      </c>
      <c r="O282" s="14"/>
    </row>
    <row r="283" customFormat="false" ht="15" hidden="false" customHeight="false" outlineLevel="0" collapsed="false">
      <c r="A283" s="14"/>
      <c r="B283" s="13"/>
      <c r="C283" s="14"/>
      <c r="D283" s="14"/>
      <c r="E283" s="14"/>
      <c r="F283" s="15"/>
      <c r="G283" s="14"/>
      <c r="H283" s="19" t="str">
        <f aca="false">IF(F283="","",IF(G283="Y",F283*Settings!$B$16,0))</f>
        <v/>
      </c>
      <c r="I283" s="19" t="str">
        <f aca="false">IF(F283="","",F283+H283)</f>
        <v/>
      </c>
      <c r="J283" s="18" t="str">
        <f aca="false">IF(B283="","",B283+Settings!$B$17)</f>
        <v/>
      </c>
      <c r="K283" s="13"/>
      <c r="L283" s="15"/>
      <c r="M283" s="17" t="str">
        <f aca="true">IF(F283="","",IF(AND(L283&lt;&gt;"",L283&gt;=I283),"Paid",IF(AND(L283&lt;&gt;"",L283&gt;0),"Part paid",IF(TODAY()&gt;J283,"Overdue","Due"))))</f>
        <v/>
      </c>
      <c r="N283" s="19" t="str">
        <f aca="true">IF(M283="Overdue",TODAY()-J283,"")</f>
        <v/>
      </c>
      <c r="O283" s="14"/>
    </row>
    <row r="284" customFormat="false" ht="15" hidden="false" customHeight="false" outlineLevel="0" collapsed="false">
      <c r="A284" s="14"/>
      <c r="B284" s="13"/>
      <c r="C284" s="14"/>
      <c r="D284" s="14"/>
      <c r="E284" s="14"/>
      <c r="F284" s="15"/>
      <c r="G284" s="14"/>
      <c r="H284" s="19" t="str">
        <f aca="false">IF(F284="","",IF(G284="Y",F284*Settings!$B$16,0))</f>
        <v/>
      </c>
      <c r="I284" s="19" t="str">
        <f aca="false">IF(F284="","",F284+H284)</f>
        <v/>
      </c>
      <c r="J284" s="18" t="str">
        <f aca="false">IF(B284="","",B284+Settings!$B$17)</f>
        <v/>
      </c>
      <c r="K284" s="13"/>
      <c r="L284" s="15"/>
      <c r="M284" s="17" t="str">
        <f aca="true">IF(F284="","",IF(AND(L284&lt;&gt;"",L284&gt;=I284),"Paid",IF(AND(L284&lt;&gt;"",L284&gt;0),"Part paid",IF(TODAY()&gt;J284,"Overdue","Due"))))</f>
        <v/>
      </c>
      <c r="N284" s="19" t="str">
        <f aca="true">IF(M284="Overdue",TODAY()-J284,"")</f>
        <v/>
      </c>
      <c r="O284" s="14"/>
    </row>
    <row r="285" customFormat="false" ht="15" hidden="false" customHeight="false" outlineLevel="0" collapsed="false">
      <c r="A285" s="14"/>
      <c r="B285" s="13"/>
      <c r="C285" s="14"/>
      <c r="D285" s="14"/>
      <c r="E285" s="14"/>
      <c r="F285" s="15"/>
      <c r="G285" s="14"/>
      <c r="H285" s="19" t="str">
        <f aca="false">IF(F285="","",IF(G285="Y",F285*Settings!$B$16,0))</f>
        <v/>
      </c>
      <c r="I285" s="19" t="str">
        <f aca="false">IF(F285="","",F285+H285)</f>
        <v/>
      </c>
      <c r="J285" s="18" t="str">
        <f aca="false">IF(B285="","",B285+Settings!$B$17)</f>
        <v/>
      </c>
      <c r="K285" s="13"/>
      <c r="L285" s="15"/>
      <c r="M285" s="17" t="str">
        <f aca="true">IF(F285="","",IF(AND(L285&lt;&gt;"",L285&gt;=I285),"Paid",IF(AND(L285&lt;&gt;"",L285&gt;0),"Part paid",IF(TODAY()&gt;J285,"Overdue","Due"))))</f>
        <v/>
      </c>
      <c r="N285" s="19" t="str">
        <f aca="true">IF(M285="Overdue",TODAY()-J285,"")</f>
        <v/>
      </c>
      <c r="O285" s="14"/>
    </row>
    <row r="286" customFormat="false" ht="15" hidden="false" customHeight="false" outlineLevel="0" collapsed="false">
      <c r="A286" s="14"/>
      <c r="B286" s="13"/>
      <c r="C286" s="14"/>
      <c r="D286" s="14"/>
      <c r="E286" s="14"/>
      <c r="F286" s="15"/>
      <c r="G286" s="14"/>
      <c r="H286" s="19" t="str">
        <f aca="false">IF(F286="","",IF(G286="Y",F286*Settings!$B$16,0))</f>
        <v/>
      </c>
      <c r="I286" s="19" t="str">
        <f aca="false">IF(F286="","",F286+H286)</f>
        <v/>
      </c>
      <c r="J286" s="18" t="str">
        <f aca="false">IF(B286="","",B286+Settings!$B$17)</f>
        <v/>
      </c>
      <c r="K286" s="13"/>
      <c r="L286" s="15"/>
      <c r="M286" s="17" t="str">
        <f aca="true">IF(F286="","",IF(AND(L286&lt;&gt;"",L286&gt;=I286),"Paid",IF(AND(L286&lt;&gt;"",L286&gt;0),"Part paid",IF(TODAY()&gt;J286,"Overdue","Due"))))</f>
        <v/>
      </c>
      <c r="N286" s="19" t="str">
        <f aca="true">IF(M286="Overdue",TODAY()-J286,"")</f>
        <v/>
      </c>
      <c r="O286" s="14"/>
    </row>
    <row r="287" customFormat="false" ht="15" hidden="false" customHeight="false" outlineLevel="0" collapsed="false">
      <c r="A287" s="14"/>
      <c r="B287" s="13"/>
      <c r="C287" s="14"/>
      <c r="D287" s="14"/>
      <c r="E287" s="14"/>
      <c r="F287" s="15"/>
      <c r="G287" s="14"/>
      <c r="H287" s="19" t="str">
        <f aca="false">IF(F287="","",IF(G287="Y",F287*Settings!$B$16,0))</f>
        <v/>
      </c>
      <c r="I287" s="19" t="str">
        <f aca="false">IF(F287="","",F287+H287)</f>
        <v/>
      </c>
      <c r="J287" s="18" t="str">
        <f aca="false">IF(B287="","",B287+Settings!$B$17)</f>
        <v/>
      </c>
      <c r="K287" s="13"/>
      <c r="L287" s="15"/>
      <c r="M287" s="17" t="str">
        <f aca="true">IF(F287="","",IF(AND(L287&lt;&gt;"",L287&gt;=I287),"Paid",IF(AND(L287&lt;&gt;"",L287&gt;0),"Part paid",IF(TODAY()&gt;J287,"Overdue","Due"))))</f>
        <v/>
      </c>
      <c r="N287" s="19" t="str">
        <f aca="true">IF(M287="Overdue",TODAY()-J287,"")</f>
        <v/>
      </c>
      <c r="O287" s="14"/>
    </row>
    <row r="288" customFormat="false" ht="15" hidden="false" customHeight="false" outlineLevel="0" collapsed="false">
      <c r="A288" s="14"/>
      <c r="B288" s="13"/>
      <c r="C288" s="14"/>
      <c r="D288" s="14"/>
      <c r="E288" s="14"/>
      <c r="F288" s="15"/>
      <c r="G288" s="14"/>
      <c r="H288" s="19" t="str">
        <f aca="false">IF(F288="","",IF(G288="Y",F288*Settings!$B$16,0))</f>
        <v/>
      </c>
      <c r="I288" s="19" t="str">
        <f aca="false">IF(F288="","",F288+H288)</f>
        <v/>
      </c>
      <c r="J288" s="18" t="str">
        <f aca="false">IF(B288="","",B288+Settings!$B$17)</f>
        <v/>
      </c>
      <c r="K288" s="13"/>
      <c r="L288" s="15"/>
      <c r="M288" s="17" t="str">
        <f aca="true">IF(F288="","",IF(AND(L288&lt;&gt;"",L288&gt;=I288),"Paid",IF(AND(L288&lt;&gt;"",L288&gt;0),"Part paid",IF(TODAY()&gt;J288,"Overdue","Due"))))</f>
        <v/>
      </c>
      <c r="N288" s="19" t="str">
        <f aca="true">IF(M288="Overdue",TODAY()-J288,"")</f>
        <v/>
      </c>
      <c r="O288" s="14"/>
    </row>
    <row r="289" customFormat="false" ht="15" hidden="false" customHeight="false" outlineLevel="0" collapsed="false">
      <c r="A289" s="14"/>
      <c r="B289" s="13"/>
      <c r="C289" s="14"/>
      <c r="D289" s="14"/>
      <c r="E289" s="14"/>
      <c r="F289" s="15"/>
      <c r="G289" s="14"/>
      <c r="H289" s="19" t="str">
        <f aca="false">IF(F289="","",IF(G289="Y",F289*Settings!$B$16,0))</f>
        <v/>
      </c>
      <c r="I289" s="19" t="str">
        <f aca="false">IF(F289="","",F289+H289)</f>
        <v/>
      </c>
      <c r="J289" s="18" t="str">
        <f aca="false">IF(B289="","",B289+Settings!$B$17)</f>
        <v/>
      </c>
      <c r="K289" s="13"/>
      <c r="L289" s="15"/>
      <c r="M289" s="17" t="str">
        <f aca="true">IF(F289="","",IF(AND(L289&lt;&gt;"",L289&gt;=I289),"Paid",IF(AND(L289&lt;&gt;"",L289&gt;0),"Part paid",IF(TODAY()&gt;J289,"Overdue","Due"))))</f>
        <v/>
      </c>
      <c r="N289" s="19" t="str">
        <f aca="true">IF(M289="Overdue",TODAY()-J289,"")</f>
        <v/>
      </c>
      <c r="O289" s="14"/>
    </row>
    <row r="290" customFormat="false" ht="15" hidden="false" customHeight="false" outlineLevel="0" collapsed="false">
      <c r="A290" s="14"/>
      <c r="B290" s="13"/>
      <c r="C290" s="14"/>
      <c r="D290" s="14"/>
      <c r="E290" s="14"/>
      <c r="F290" s="15"/>
      <c r="G290" s="14"/>
      <c r="H290" s="19" t="str">
        <f aca="false">IF(F290="","",IF(G290="Y",F290*Settings!$B$16,0))</f>
        <v/>
      </c>
      <c r="I290" s="19" t="str">
        <f aca="false">IF(F290="","",F290+H290)</f>
        <v/>
      </c>
      <c r="J290" s="18" t="str">
        <f aca="false">IF(B290="","",B290+Settings!$B$17)</f>
        <v/>
      </c>
      <c r="K290" s="13"/>
      <c r="L290" s="15"/>
      <c r="M290" s="17" t="str">
        <f aca="true">IF(F290="","",IF(AND(L290&lt;&gt;"",L290&gt;=I290),"Paid",IF(AND(L290&lt;&gt;"",L290&gt;0),"Part paid",IF(TODAY()&gt;J290,"Overdue","Due"))))</f>
        <v/>
      </c>
      <c r="N290" s="19" t="str">
        <f aca="true">IF(M290="Overdue",TODAY()-J290,"")</f>
        <v/>
      </c>
      <c r="O290" s="14"/>
    </row>
    <row r="291" customFormat="false" ht="15" hidden="false" customHeight="false" outlineLevel="0" collapsed="false">
      <c r="A291" s="14"/>
      <c r="B291" s="13"/>
      <c r="C291" s="14"/>
      <c r="D291" s="14"/>
      <c r="E291" s="14"/>
      <c r="F291" s="15"/>
      <c r="G291" s="14"/>
      <c r="H291" s="19" t="str">
        <f aca="false">IF(F291="","",IF(G291="Y",F291*Settings!$B$16,0))</f>
        <v/>
      </c>
      <c r="I291" s="19" t="str">
        <f aca="false">IF(F291="","",F291+H291)</f>
        <v/>
      </c>
      <c r="J291" s="18" t="str">
        <f aca="false">IF(B291="","",B291+Settings!$B$17)</f>
        <v/>
      </c>
      <c r="K291" s="13"/>
      <c r="L291" s="15"/>
      <c r="M291" s="17" t="str">
        <f aca="true">IF(F291="","",IF(AND(L291&lt;&gt;"",L291&gt;=I291),"Paid",IF(AND(L291&lt;&gt;"",L291&gt;0),"Part paid",IF(TODAY()&gt;J291,"Overdue","Due"))))</f>
        <v/>
      </c>
      <c r="N291" s="19" t="str">
        <f aca="true">IF(M291="Overdue",TODAY()-J291,"")</f>
        <v/>
      </c>
      <c r="O291" s="14"/>
    </row>
    <row r="292" customFormat="false" ht="15" hidden="false" customHeight="false" outlineLevel="0" collapsed="false">
      <c r="A292" s="14"/>
      <c r="B292" s="13"/>
      <c r="C292" s="14"/>
      <c r="D292" s="14"/>
      <c r="E292" s="14"/>
      <c r="F292" s="15"/>
      <c r="G292" s="14"/>
      <c r="H292" s="19" t="str">
        <f aca="false">IF(F292="","",IF(G292="Y",F292*Settings!$B$16,0))</f>
        <v/>
      </c>
      <c r="I292" s="19" t="str">
        <f aca="false">IF(F292="","",F292+H292)</f>
        <v/>
      </c>
      <c r="J292" s="18" t="str">
        <f aca="false">IF(B292="","",B292+Settings!$B$17)</f>
        <v/>
      </c>
      <c r="K292" s="13"/>
      <c r="L292" s="15"/>
      <c r="M292" s="17" t="str">
        <f aca="true">IF(F292="","",IF(AND(L292&lt;&gt;"",L292&gt;=I292),"Paid",IF(AND(L292&lt;&gt;"",L292&gt;0),"Part paid",IF(TODAY()&gt;J292,"Overdue","Due"))))</f>
        <v/>
      </c>
      <c r="N292" s="19" t="str">
        <f aca="true">IF(M292="Overdue",TODAY()-J292,"")</f>
        <v/>
      </c>
      <c r="O292" s="14"/>
    </row>
    <row r="293" customFormat="false" ht="15" hidden="false" customHeight="false" outlineLevel="0" collapsed="false">
      <c r="A293" s="14"/>
      <c r="B293" s="13"/>
      <c r="C293" s="14"/>
      <c r="D293" s="14"/>
      <c r="E293" s="14"/>
      <c r="F293" s="15"/>
      <c r="G293" s="14"/>
      <c r="H293" s="19" t="str">
        <f aca="false">IF(F293="","",IF(G293="Y",F293*Settings!$B$16,0))</f>
        <v/>
      </c>
      <c r="I293" s="19" t="str">
        <f aca="false">IF(F293="","",F293+H293)</f>
        <v/>
      </c>
      <c r="J293" s="18" t="str">
        <f aca="false">IF(B293="","",B293+Settings!$B$17)</f>
        <v/>
      </c>
      <c r="K293" s="13"/>
      <c r="L293" s="15"/>
      <c r="M293" s="17" t="str">
        <f aca="true">IF(F293="","",IF(AND(L293&lt;&gt;"",L293&gt;=I293),"Paid",IF(AND(L293&lt;&gt;"",L293&gt;0),"Part paid",IF(TODAY()&gt;J293,"Overdue","Due"))))</f>
        <v/>
      </c>
      <c r="N293" s="19" t="str">
        <f aca="true">IF(M293="Overdue",TODAY()-J293,"")</f>
        <v/>
      </c>
      <c r="O293" s="14"/>
    </row>
    <row r="294" customFormat="false" ht="15" hidden="false" customHeight="false" outlineLevel="0" collapsed="false">
      <c r="A294" s="14"/>
      <c r="B294" s="13"/>
      <c r="C294" s="14"/>
      <c r="D294" s="14"/>
      <c r="E294" s="14"/>
      <c r="F294" s="15"/>
      <c r="G294" s="14"/>
      <c r="H294" s="19" t="str">
        <f aca="false">IF(F294="","",IF(G294="Y",F294*Settings!$B$16,0))</f>
        <v/>
      </c>
      <c r="I294" s="19" t="str">
        <f aca="false">IF(F294="","",F294+H294)</f>
        <v/>
      </c>
      <c r="J294" s="18" t="str">
        <f aca="false">IF(B294="","",B294+Settings!$B$17)</f>
        <v/>
      </c>
      <c r="K294" s="13"/>
      <c r="L294" s="15"/>
      <c r="M294" s="17" t="str">
        <f aca="true">IF(F294="","",IF(AND(L294&lt;&gt;"",L294&gt;=I294),"Paid",IF(AND(L294&lt;&gt;"",L294&gt;0),"Part paid",IF(TODAY()&gt;J294,"Overdue","Due"))))</f>
        <v/>
      </c>
      <c r="N294" s="19" t="str">
        <f aca="true">IF(M294="Overdue",TODAY()-J294,"")</f>
        <v/>
      </c>
      <c r="O294" s="14"/>
    </row>
    <row r="295" customFormat="false" ht="15" hidden="false" customHeight="false" outlineLevel="0" collapsed="false">
      <c r="A295" s="14"/>
      <c r="B295" s="13"/>
      <c r="C295" s="14"/>
      <c r="D295" s="14"/>
      <c r="E295" s="14"/>
      <c r="F295" s="15"/>
      <c r="G295" s="14"/>
      <c r="H295" s="19" t="str">
        <f aca="false">IF(F295="","",IF(G295="Y",F295*Settings!$B$16,0))</f>
        <v/>
      </c>
      <c r="I295" s="19" t="str">
        <f aca="false">IF(F295="","",F295+H295)</f>
        <v/>
      </c>
      <c r="J295" s="18" t="str">
        <f aca="false">IF(B295="","",B295+Settings!$B$17)</f>
        <v/>
      </c>
      <c r="K295" s="13"/>
      <c r="L295" s="15"/>
      <c r="M295" s="17" t="str">
        <f aca="true">IF(F295="","",IF(AND(L295&lt;&gt;"",L295&gt;=I295),"Paid",IF(AND(L295&lt;&gt;"",L295&gt;0),"Part paid",IF(TODAY()&gt;J295,"Overdue","Due"))))</f>
        <v/>
      </c>
      <c r="N295" s="19" t="str">
        <f aca="true">IF(M295="Overdue",TODAY()-J295,"")</f>
        <v/>
      </c>
      <c r="O295" s="14"/>
    </row>
    <row r="296" customFormat="false" ht="15" hidden="false" customHeight="false" outlineLevel="0" collapsed="false">
      <c r="A296" s="14"/>
      <c r="B296" s="13"/>
      <c r="C296" s="14"/>
      <c r="D296" s="14"/>
      <c r="E296" s="14"/>
      <c r="F296" s="15"/>
      <c r="G296" s="14"/>
      <c r="H296" s="19" t="str">
        <f aca="false">IF(F296="","",IF(G296="Y",F296*Settings!$B$16,0))</f>
        <v/>
      </c>
      <c r="I296" s="19" t="str">
        <f aca="false">IF(F296="","",F296+H296)</f>
        <v/>
      </c>
      <c r="J296" s="18" t="str">
        <f aca="false">IF(B296="","",B296+Settings!$B$17)</f>
        <v/>
      </c>
      <c r="K296" s="13"/>
      <c r="L296" s="15"/>
      <c r="M296" s="17" t="str">
        <f aca="true">IF(F296="","",IF(AND(L296&lt;&gt;"",L296&gt;=I296),"Paid",IF(AND(L296&lt;&gt;"",L296&gt;0),"Part paid",IF(TODAY()&gt;J296,"Overdue","Due"))))</f>
        <v/>
      </c>
      <c r="N296" s="19" t="str">
        <f aca="true">IF(M296="Overdue",TODAY()-J296,"")</f>
        <v/>
      </c>
      <c r="O296" s="14"/>
    </row>
    <row r="297" customFormat="false" ht="15" hidden="false" customHeight="false" outlineLevel="0" collapsed="false">
      <c r="A297" s="14"/>
      <c r="B297" s="13"/>
      <c r="C297" s="14"/>
      <c r="D297" s="14"/>
      <c r="E297" s="14"/>
      <c r="F297" s="15"/>
      <c r="G297" s="14"/>
      <c r="H297" s="19" t="str">
        <f aca="false">IF(F297="","",IF(G297="Y",F297*Settings!$B$16,0))</f>
        <v/>
      </c>
      <c r="I297" s="19" t="str">
        <f aca="false">IF(F297="","",F297+H297)</f>
        <v/>
      </c>
      <c r="J297" s="18" t="str">
        <f aca="false">IF(B297="","",B297+Settings!$B$17)</f>
        <v/>
      </c>
      <c r="K297" s="13"/>
      <c r="L297" s="15"/>
      <c r="M297" s="17" t="str">
        <f aca="true">IF(F297="","",IF(AND(L297&lt;&gt;"",L297&gt;=I297),"Paid",IF(AND(L297&lt;&gt;"",L297&gt;0),"Part paid",IF(TODAY()&gt;J297,"Overdue","Due"))))</f>
        <v/>
      </c>
      <c r="N297" s="19" t="str">
        <f aca="true">IF(M297="Overdue",TODAY()-J297,"")</f>
        <v/>
      </c>
      <c r="O297" s="14"/>
    </row>
    <row r="298" customFormat="false" ht="15" hidden="false" customHeight="false" outlineLevel="0" collapsed="false">
      <c r="A298" s="14"/>
      <c r="B298" s="13"/>
      <c r="C298" s="14"/>
      <c r="D298" s="14"/>
      <c r="E298" s="14"/>
      <c r="F298" s="15"/>
      <c r="G298" s="14"/>
      <c r="H298" s="19" t="str">
        <f aca="false">IF(F298="","",IF(G298="Y",F298*Settings!$B$16,0))</f>
        <v/>
      </c>
      <c r="I298" s="19" t="str">
        <f aca="false">IF(F298="","",F298+H298)</f>
        <v/>
      </c>
      <c r="J298" s="18" t="str">
        <f aca="false">IF(B298="","",B298+Settings!$B$17)</f>
        <v/>
      </c>
      <c r="K298" s="13"/>
      <c r="L298" s="15"/>
      <c r="M298" s="17" t="str">
        <f aca="true">IF(F298="","",IF(AND(L298&lt;&gt;"",L298&gt;=I298),"Paid",IF(AND(L298&lt;&gt;"",L298&gt;0),"Part paid",IF(TODAY()&gt;J298,"Overdue","Due"))))</f>
        <v/>
      </c>
      <c r="N298" s="19" t="str">
        <f aca="true">IF(M298="Overdue",TODAY()-J298,"")</f>
        <v/>
      </c>
      <c r="O298" s="14"/>
    </row>
    <row r="299" customFormat="false" ht="15" hidden="false" customHeight="false" outlineLevel="0" collapsed="false">
      <c r="A299" s="14"/>
      <c r="B299" s="13"/>
      <c r="C299" s="14"/>
      <c r="D299" s="14"/>
      <c r="E299" s="14"/>
      <c r="F299" s="15"/>
      <c r="G299" s="14"/>
      <c r="H299" s="19" t="str">
        <f aca="false">IF(F299="","",IF(G299="Y",F299*Settings!$B$16,0))</f>
        <v/>
      </c>
      <c r="I299" s="19" t="str">
        <f aca="false">IF(F299="","",F299+H299)</f>
        <v/>
      </c>
      <c r="J299" s="18" t="str">
        <f aca="false">IF(B299="","",B299+Settings!$B$17)</f>
        <v/>
      </c>
      <c r="K299" s="13"/>
      <c r="L299" s="15"/>
      <c r="M299" s="17" t="str">
        <f aca="true">IF(F299="","",IF(AND(L299&lt;&gt;"",L299&gt;=I299),"Paid",IF(AND(L299&lt;&gt;"",L299&gt;0),"Part paid",IF(TODAY()&gt;J299,"Overdue","Due"))))</f>
        <v/>
      </c>
      <c r="N299" s="19" t="str">
        <f aca="true">IF(M299="Overdue",TODAY()-J299,"")</f>
        <v/>
      </c>
      <c r="O299" s="14"/>
    </row>
    <row r="300" customFormat="false" ht="15" hidden="false" customHeight="false" outlineLevel="0" collapsed="false">
      <c r="A300" s="14"/>
      <c r="B300" s="13"/>
      <c r="C300" s="14"/>
      <c r="D300" s="14"/>
      <c r="E300" s="14"/>
      <c r="F300" s="15"/>
      <c r="G300" s="14"/>
      <c r="H300" s="19" t="str">
        <f aca="false">IF(F300="","",IF(G300="Y",F300*Settings!$B$16,0))</f>
        <v/>
      </c>
      <c r="I300" s="19" t="str">
        <f aca="false">IF(F300="","",F300+H300)</f>
        <v/>
      </c>
      <c r="J300" s="18" t="str">
        <f aca="false">IF(B300="","",B300+Settings!$B$17)</f>
        <v/>
      </c>
      <c r="K300" s="13"/>
      <c r="L300" s="15"/>
      <c r="M300" s="17" t="str">
        <f aca="true">IF(F300="","",IF(AND(L300&lt;&gt;"",L300&gt;=I300),"Paid",IF(AND(L300&lt;&gt;"",L300&gt;0),"Part paid",IF(TODAY()&gt;J300,"Overdue","Due"))))</f>
        <v/>
      </c>
      <c r="N300" s="19" t="str">
        <f aca="true">IF(M300="Overdue",TODAY()-J300,"")</f>
        <v/>
      </c>
      <c r="O300" s="14"/>
    </row>
    <row r="301" customFormat="false" ht="15" hidden="false" customHeight="false" outlineLevel="0" collapsed="false">
      <c r="A301" s="14"/>
      <c r="B301" s="13"/>
      <c r="C301" s="14"/>
      <c r="D301" s="14"/>
      <c r="E301" s="14"/>
      <c r="F301" s="15"/>
      <c r="G301" s="14"/>
      <c r="H301" s="19" t="str">
        <f aca="false">IF(F301="","",IF(G301="Y",F301*Settings!$B$16,0))</f>
        <v/>
      </c>
      <c r="I301" s="19" t="str">
        <f aca="false">IF(F301="","",F301+H301)</f>
        <v/>
      </c>
      <c r="J301" s="18" t="str">
        <f aca="false">IF(B301="","",B301+Settings!$B$17)</f>
        <v/>
      </c>
      <c r="K301" s="13"/>
      <c r="L301" s="15"/>
      <c r="M301" s="17" t="str">
        <f aca="true">IF(F301="","",IF(AND(L301&lt;&gt;"",L301&gt;=I301),"Paid",IF(AND(L301&lt;&gt;"",L301&gt;0),"Part paid",IF(TODAY()&gt;J301,"Overdue","Due"))))</f>
        <v/>
      </c>
      <c r="N301" s="19" t="str">
        <f aca="true">IF(M301="Overdue",TODAY()-J301,"")</f>
        <v/>
      </c>
      <c r="O301" s="14"/>
    </row>
    <row r="302" customFormat="false" ht="15" hidden="false" customHeight="false" outlineLevel="0" collapsed="false">
      <c r="A302" s="14"/>
      <c r="B302" s="13"/>
      <c r="C302" s="14"/>
      <c r="D302" s="14"/>
      <c r="E302" s="14"/>
      <c r="F302" s="15"/>
      <c r="G302" s="14"/>
      <c r="H302" s="19" t="str">
        <f aca="false">IF(F302="","",IF(G302="Y",F302*Settings!$B$16,0))</f>
        <v/>
      </c>
      <c r="I302" s="19" t="str">
        <f aca="false">IF(F302="","",F302+H302)</f>
        <v/>
      </c>
      <c r="J302" s="18" t="str">
        <f aca="false">IF(B302="","",B302+Settings!$B$17)</f>
        <v/>
      </c>
      <c r="K302" s="13"/>
      <c r="L302" s="15"/>
      <c r="M302" s="17" t="str">
        <f aca="true">IF(F302="","",IF(AND(L302&lt;&gt;"",L302&gt;=I302),"Paid",IF(AND(L302&lt;&gt;"",L302&gt;0),"Part paid",IF(TODAY()&gt;J302,"Overdue","Due"))))</f>
        <v/>
      </c>
      <c r="N302" s="19" t="str">
        <f aca="true">IF(M302="Overdue",TODAY()-J302,"")</f>
        <v/>
      </c>
      <c r="O302" s="14"/>
    </row>
    <row r="303" customFormat="false" ht="15" hidden="false" customHeight="false" outlineLevel="0" collapsed="false">
      <c r="A303" s="14"/>
      <c r="B303" s="13"/>
      <c r="C303" s="14"/>
      <c r="D303" s="14"/>
      <c r="E303" s="14"/>
      <c r="F303" s="15"/>
      <c r="G303" s="14"/>
      <c r="H303" s="19" t="str">
        <f aca="false">IF(F303="","",IF(G303="Y",F303*Settings!$B$16,0))</f>
        <v/>
      </c>
      <c r="I303" s="19" t="str">
        <f aca="false">IF(F303="","",F303+H303)</f>
        <v/>
      </c>
      <c r="J303" s="18" t="str">
        <f aca="false">IF(B303="","",B303+Settings!$B$17)</f>
        <v/>
      </c>
      <c r="K303" s="13"/>
      <c r="L303" s="15"/>
      <c r="M303" s="17" t="str">
        <f aca="true">IF(F303="","",IF(AND(L303&lt;&gt;"",L303&gt;=I303),"Paid",IF(AND(L303&lt;&gt;"",L303&gt;0),"Part paid",IF(TODAY()&gt;J303,"Overdue","Due"))))</f>
        <v/>
      </c>
      <c r="N303" s="19" t="str">
        <f aca="true">IF(M303="Overdue",TODAY()-J303,"")</f>
        <v/>
      </c>
      <c r="O303" s="14"/>
    </row>
    <row r="304" customFormat="false" ht="15" hidden="false" customHeight="false" outlineLevel="0" collapsed="false">
      <c r="A304" s="14"/>
      <c r="B304" s="13"/>
      <c r="C304" s="14"/>
      <c r="D304" s="14"/>
      <c r="E304" s="14"/>
      <c r="F304" s="15"/>
      <c r="G304" s="14"/>
      <c r="H304" s="19" t="str">
        <f aca="false">IF(F304="","",IF(G304="Y",F304*Settings!$B$16,0))</f>
        <v/>
      </c>
      <c r="I304" s="19" t="str">
        <f aca="false">IF(F304="","",F304+H304)</f>
        <v/>
      </c>
      <c r="J304" s="18" t="str">
        <f aca="false">IF(B304="","",B304+Settings!$B$17)</f>
        <v/>
      </c>
      <c r="K304" s="13"/>
      <c r="L304" s="15"/>
      <c r="M304" s="17" t="str">
        <f aca="true">IF(F304="","",IF(AND(L304&lt;&gt;"",L304&gt;=I304),"Paid",IF(AND(L304&lt;&gt;"",L304&gt;0),"Part paid",IF(TODAY()&gt;J304,"Overdue","Due"))))</f>
        <v/>
      </c>
      <c r="N304" s="19" t="str">
        <f aca="true">IF(M304="Overdue",TODAY()-J304,"")</f>
        <v/>
      </c>
      <c r="O304" s="14"/>
    </row>
    <row r="305" customFormat="false" ht="15" hidden="false" customHeight="false" outlineLevel="0" collapsed="false">
      <c r="A305" s="14"/>
      <c r="B305" s="13"/>
      <c r="C305" s="14"/>
      <c r="D305" s="14"/>
      <c r="E305" s="14"/>
      <c r="F305" s="15"/>
      <c r="G305" s="14"/>
      <c r="H305" s="19" t="str">
        <f aca="false">IF(F305="","",IF(G305="Y",F305*Settings!$B$16,0))</f>
        <v/>
      </c>
      <c r="I305" s="19" t="str">
        <f aca="false">IF(F305="","",F305+H305)</f>
        <v/>
      </c>
      <c r="J305" s="18" t="str">
        <f aca="false">IF(B305="","",B305+Settings!$B$17)</f>
        <v/>
      </c>
      <c r="K305" s="13"/>
      <c r="L305" s="15"/>
      <c r="M305" s="17" t="str">
        <f aca="true">IF(F305="","",IF(AND(L305&lt;&gt;"",L305&gt;=I305),"Paid",IF(AND(L305&lt;&gt;"",L305&gt;0),"Part paid",IF(TODAY()&gt;J305,"Overdue","Due"))))</f>
        <v/>
      </c>
      <c r="N305" s="19" t="str">
        <f aca="true">IF(M305="Overdue",TODAY()-J305,"")</f>
        <v/>
      </c>
      <c r="O305" s="14"/>
    </row>
    <row r="306" customFormat="false" ht="15" hidden="false" customHeight="false" outlineLevel="0" collapsed="false">
      <c r="A306" s="14"/>
      <c r="B306" s="13"/>
      <c r="C306" s="14"/>
      <c r="D306" s="14"/>
      <c r="E306" s="14"/>
      <c r="F306" s="15"/>
      <c r="G306" s="14"/>
      <c r="H306" s="19" t="str">
        <f aca="false">IF(F306="","",IF(G306="Y",F306*Settings!$B$16,0))</f>
        <v/>
      </c>
      <c r="I306" s="19" t="str">
        <f aca="false">IF(F306="","",F306+H306)</f>
        <v/>
      </c>
      <c r="J306" s="18" t="str">
        <f aca="false">IF(B306="","",B306+Settings!$B$17)</f>
        <v/>
      </c>
      <c r="K306" s="13"/>
      <c r="L306" s="15"/>
      <c r="M306" s="17" t="str">
        <f aca="true">IF(F306="","",IF(AND(L306&lt;&gt;"",L306&gt;=I306),"Paid",IF(AND(L306&lt;&gt;"",L306&gt;0),"Part paid",IF(TODAY()&gt;J306,"Overdue","Due"))))</f>
        <v/>
      </c>
      <c r="N306" s="19" t="str">
        <f aca="true">IF(M306="Overdue",TODAY()-J306,"")</f>
        <v/>
      </c>
      <c r="O306" s="14"/>
    </row>
    <row r="307" customFormat="false" ht="15" hidden="false" customHeight="false" outlineLevel="0" collapsed="false">
      <c r="A307" s="14"/>
      <c r="B307" s="13"/>
      <c r="C307" s="14"/>
      <c r="D307" s="14"/>
      <c r="E307" s="14"/>
      <c r="F307" s="15"/>
      <c r="G307" s="14"/>
      <c r="H307" s="19" t="str">
        <f aca="false">IF(F307="","",IF(G307="Y",F307*Settings!$B$16,0))</f>
        <v/>
      </c>
      <c r="I307" s="19" t="str">
        <f aca="false">IF(F307="","",F307+H307)</f>
        <v/>
      </c>
      <c r="J307" s="18" t="str">
        <f aca="false">IF(B307="","",B307+Settings!$B$17)</f>
        <v/>
      </c>
      <c r="K307" s="13"/>
      <c r="L307" s="15"/>
      <c r="M307" s="17" t="str">
        <f aca="true">IF(F307="","",IF(AND(L307&lt;&gt;"",L307&gt;=I307),"Paid",IF(AND(L307&lt;&gt;"",L307&gt;0),"Part paid",IF(TODAY()&gt;J307,"Overdue","Due"))))</f>
        <v/>
      </c>
      <c r="N307" s="19" t="str">
        <f aca="true">IF(M307="Overdue",TODAY()-J307,"")</f>
        <v/>
      </c>
      <c r="O307" s="14"/>
    </row>
    <row r="308" customFormat="false" ht="15" hidden="false" customHeight="false" outlineLevel="0" collapsed="false">
      <c r="A308" s="14"/>
      <c r="B308" s="13"/>
      <c r="C308" s="14"/>
      <c r="D308" s="14"/>
      <c r="E308" s="14"/>
      <c r="F308" s="15"/>
      <c r="G308" s="14"/>
      <c r="H308" s="19" t="str">
        <f aca="false">IF(F308="","",IF(G308="Y",F308*Settings!$B$16,0))</f>
        <v/>
      </c>
      <c r="I308" s="19" t="str">
        <f aca="false">IF(F308="","",F308+H308)</f>
        <v/>
      </c>
      <c r="J308" s="18" t="str">
        <f aca="false">IF(B308="","",B308+Settings!$B$17)</f>
        <v/>
      </c>
      <c r="K308" s="13"/>
      <c r="L308" s="15"/>
      <c r="M308" s="17" t="str">
        <f aca="true">IF(F308="","",IF(AND(L308&lt;&gt;"",L308&gt;=I308),"Paid",IF(AND(L308&lt;&gt;"",L308&gt;0),"Part paid",IF(TODAY()&gt;J308,"Overdue","Due"))))</f>
        <v/>
      </c>
      <c r="N308" s="19" t="str">
        <f aca="true">IF(M308="Overdue",TODAY()-J308,"")</f>
        <v/>
      </c>
      <c r="O308" s="14"/>
    </row>
    <row r="309" customFormat="false" ht="15" hidden="false" customHeight="false" outlineLevel="0" collapsed="false">
      <c r="A309" s="14"/>
      <c r="B309" s="13"/>
      <c r="C309" s="14"/>
      <c r="D309" s="14"/>
      <c r="E309" s="14"/>
      <c r="F309" s="15"/>
      <c r="G309" s="14"/>
      <c r="H309" s="19" t="str">
        <f aca="false">IF(F309="","",IF(G309="Y",F309*Settings!$B$16,0))</f>
        <v/>
      </c>
      <c r="I309" s="19" t="str">
        <f aca="false">IF(F309="","",F309+H309)</f>
        <v/>
      </c>
      <c r="J309" s="18" t="str">
        <f aca="false">IF(B309="","",B309+Settings!$B$17)</f>
        <v/>
      </c>
      <c r="K309" s="13"/>
      <c r="L309" s="15"/>
      <c r="M309" s="17" t="str">
        <f aca="true">IF(F309="","",IF(AND(L309&lt;&gt;"",L309&gt;=I309),"Paid",IF(AND(L309&lt;&gt;"",L309&gt;0),"Part paid",IF(TODAY()&gt;J309,"Overdue","Due"))))</f>
        <v/>
      </c>
      <c r="N309" s="19" t="str">
        <f aca="true">IF(M309="Overdue",TODAY()-J309,"")</f>
        <v/>
      </c>
      <c r="O309" s="14"/>
    </row>
    <row r="310" customFormat="false" ht="15" hidden="false" customHeight="false" outlineLevel="0" collapsed="false">
      <c r="A310" s="14"/>
      <c r="B310" s="13"/>
      <c r="C310" s="14"/>
      <c r="D310" s="14"/>
      <c r="E310" s="14"/>
      <c r="F310" s="15"/>
      <c r="G310" s="14"/>
      <c r="H310" s="19" t="str">
        <f aca="false">IF(F310="","",IF(G310="Y",F310*Settings!$B$16,0))</f>
        <v/>
      </c>
      <c r="I310" s="19" t="str">
        <f aca="false">IF(F310="","",F310+H310)</f>
        <v/>
      </c>
      <c r="J310" s="18" t="str">
        <f aca="false">IF(B310="","",B310+Settings!$B$17)</f>
        <v/>
      </c>
      <c r="K310" s="13"/>
      <c r="L310" s="15"/>
      <c r="M310" s="17" t="str">
        <f aca="true">IF(F310="","",IF(AND(L310&lt;&gt;"",L310&gt;=I310),"Paid",IF(AND(L310&lt;&gt;"",L310&gt;0),"Part paid",IF(TODAY()&gt;J310,"Overdue","Due"))))</f>
        <v/>
      </c>
      <c r="N310" s="19" t="str">
        <f aca="true">IF(M310="Overdue",TODAY()-J310,"")</f>
        <v/>
      </c>
      <c r="O310" s="14"/>
    </row>
    <row r="311" customFormat="false" ht="15" hidden="false" customHeight="false" outlineLevel="0" collapsed="false">
      <c r="A311" s="14"/>
      <c r="B311" s="13"/>
      <c r="C311" s="14"/>
      <c r="D311" s="14"/>
      <c r="E311" s="14"/>
      <c r="F311" s="15"/>
      <c r="G311" s="14"/>
      <c r="H311" s="19" t="str">
        <f aca="false">IF(F311="","",IF(G311="Y",F311*Settings!$B$16,0))</f>
        <v/>
      </c>
      <c r="I311" s="19" t="str">
        <f aca="false">IF(F311="","",F311+H311)</f>
        <v/>
      </c>
      <c r="J311" s="18" t="str">
        <f aca="false">IF(B311="","",B311+Settings!$B$17)</f>
        <v/>
      </c>
      <c r="K311" s="13"/>
      <c r="L311" s="15"/>
      <c r="M311" s="17" t="str">
        <f aca="true">IF(F311="","",IF(AND(L311&lt;&gt;"",L311&gt;=I311),"Paid",IF(AND(L311&lt;&gt;"",L311&gt;0),"Part paid",IF(TODAY()&gt;J311,"Overdue","Due"))))</f>
        <v/>
      </c>
      <c r="N311" s="19" t="str">
        <f aca="true">IF(M311="Overdue",TODAY()-J311,"")</f>
        <v/>
      </c>
      <c r="O311" s="14"/>
    </row>
    <row r="312" customFormat="false" ht="15" hidden="false" customHeight="false" outlineLevel="0" collapsed="false">
      <c r="A312" s="14"/>
      <c r="B312" s="13"/>
      <c r="C312" s="14"/>
      <c r="D312" s="14"/>
      <c r="E312" s="14"/>
      <c r="F312" s="15"/>
      <c r="G312" s="14"/>
      <c r="H312" s="19" t="str">
        <f aca="false">IF(F312="","",IF(G312="Y",F312*Settings!$B$16,0))</f>
        <v/>
      </c>
      <c r="I312" s="19" t="str">
        <f aca="false">IF(F312="","",F312+H312)</f>
        <v/>
      </c>
      <c r="J312" s="18" t="str">
        <f aca="false">IF(B312="","",B312+Settings!$B$17)</f>
        <v/>
      </c>
      <c r="K312" s="13"/>
      <c r="L312" s="15"/>
      <c r="M312" s="17" t="str">
        <f aca="true">IF(F312="","",IF(AND(L312&lt;&gt;"",L312&gt;=I312),"Paid",IF(AND(L312&lt;&gt;"",L312&gt;0),"Part paid",IF(TODAY()&gt;J312,"Overdue","Due"))))</f>
        <v/>
      </c>
      <c r="N312" s="19" t="str">
        <f aca="true">IF(M312="Overdue",TODAY()-J312,"")</f>
        <v/>
      </c>
      <c r="O312" s="14"/>
    </row>
    <row r="313" customFormat="false" ht="15" hidden="false" customHeight="false" outlineLevel="0" collapsed="false">
      <c r="A313" s="14"/>
      <c r="B313" s="13"/>
      <c r="C313" s="14"/>
      <c r="D313" s="14"/>
      <c r="E313" s="14"/>
      <c r="F313" s="15"/>
      <c r="G313" s="14"/>
      <c r="H313" s="19" t="str">
        <f aca="false">IF(F313="","",IF(G313="Y",F313*Settings!$B$16,0))</f>
        <v/>
      </c>
      <c r="I313" s="19" t="str">
        <f aca="false">IF(F313="","",F313+H313)</f>
        <v/>
      </c>
      <c r="J313" s="18" t="str">
        <f aca="false">IF(B313="","",B313+Settings!$B$17)</f>
        <v/>
      </c>
      <c r="K313" s="13"/>
      <c r="L313" s="15"/>
      <c r="M313" s="17" t="str">
        <f aca="true">IF(F313="","",IF(AND(L313&lt;&gt;"",L313&gt;=I313),"Paid",IF(AND(L313&lt;&gt;"",L313&gt;0),"Part paid",IF(TODAY()&gt;J313,"Overdue","Due"))))</f>
        <v/>
      </c>
      <c r="N313" s="19" t="str">
        <f aca="true">IF(M313="Overdue",TODAY()-J313,"")</f>
        <v/>
      </c>
      <c r="O313" s="14"/>
    </row>
    <row r="314" customFormat="false" ht="15" hidden="false" customHeight="false" outlineLevel="0" collapsed="false">
      <c r="A314" s="14"/>
      <c r="B314" s="13"/>
      <c r="C314" s="14"/>
      <c r="D314" s="14"/>
      <c r="E314" s="14"/>
      <c r="F314" s="15"/>
      <c r="G314" s="14"/>
      <c r="H314" s="19" t="str">
        <f aca="false">IF(F314="","",IF(G314="Y",F314*Settings!$B$16,0))</f>
        <v/>
      </c>
      <c r="I314" s="19" t="str">
        <f aca="false">IF(F314="","",F314+H314)</f>
        <v/>
      </c>
      <c r="J314" s="18" t="str">
        <f aca="false">IF(B314="","",B314+Settings!$B$17)</f>
        <v/>
      </c>
      <c r="K314" s="13"/>
      <c r="L314" s="15"/>
      <c r="M314" s="17" t="str">
        <f aca="true">IF(F314="","",IF(AND(L314&lt;&gt;"",L314&gt;=I314),"Paid",IF(AND(L314&lt;&gt;"",L314&gt;0),"Part paid",IF(TODAY()&gt;J314,"Overdue","Due"))))</f>
        <v/>
      </c>
      <c r="N314" s="19" t="str">
        <f aca="true">IF(M314="Overdue",TODAY()-J314,"")</f>
        <v/>
      </c>
      <c r="O314" s="14"/>
    </row>
    <row r="315" customFormat="false" ht="15" hidden="false" customHeight="false" outlineLevel="0" collapsed="false">
      <c r="A315" s="14"/>
      <c r="B315" s="13"/>
      <c r="C315" s="14"/>
      <c r="D315" s="14"/>
      <c r="E315" s="14"/>
      <c r="F315" s="15"/>
      <c r="G315" s="14"/>
      <c r="H315" s="19" t="str">
        <f aca="false">IF(F315="","",IF(G315="Y",F315*Settings!$B$16,0))</f>
        <v/>
      </c>
      <c r="I315" s="19" t="str">
        <f aca="false">IF(F315="","",F315+H315)</f>
        <v/>
      </c>
      <c r="J315" s="18" t="str">
        <f aca="false">IF(B315="","",B315+Settings!$B$17)</f>
        <v/>
      </c>
      <c r="K315" s="13"/>
      <c r="L315" s="15"/>
      <c r="M315" s="17" t="str">
        <f aca="true">IF(F315="","",IF(AND(L315&lt;&gt;"",L315&gt;=I315),"Paid",IF(AND(L315&lt;&gt;"",L315&gt;0),"Part paid",IF(TODAY()&gt;J315,"Overdue","Due"))))</f>
        <v/>
      </c>
      <c r="N315" s="19" t="str">
        <f aca="true">IF(M315="Overdue",TODAY()-J315,"")</f>
        <v/>
      </c>
      <c r="O315" s="14"/>
    </row>
    <row r="316" customFormat="false" ht="15" hidden="false" customHeight="false" outlineLevel="0" collapsed="false">
      <c r="A316" s="14"/>
      <c r="B316" s="13"/>
      <c r="C316" s="14"/>
      <c r="D316" s="14"/>
      <c r="E316" s="14"/>
      <c r="F316" s="15"/>
      <c r="G316" s="14"/>
      <c r="H316" s="19" t="str">
        <f aca="false">IF(F316="","",IF(G316="Y",F316*Settings!$B$16,0))</f>
        <v/>
      </c>
      <c r="I316" s="19" t="str">
        <f aca="false">IF(F316="","",F316+H316)</f>
        <v/>
      </c>
      <c r="J316" s="18" t="str">
        <f aca="false">IF(B316="","",B316+Settings!$B$17)</f>
        <v/>
      </c>
      <c r="K316" s="13"/>
      <c r="L316" s="15"/>
      <c r="M316" s="17" t="str">
        <f aca="true">IF(F316="","",IF(AND(L316&lt;&gt;"",L316&gt;=I316),"Paid",IF(AND(L316&lt;&gt;"",L316&gt;0),"Part paid",IF(TODAY()&gt;J316,"Overdue","Due"))))</f>
        <v/>
      </c>
      <c r="N316" s="19" t="str">
        <f aca="true">IF(M316="Overdue",TODAY()-J316,"")</f>
        <v/>
      </c>
      <c r="O316" s="14"/>
    </row>
    <row r="317" customFormat="false" ht="15" hidden="false" customHeight="false" outlineLevel="0" collapsed="false">
      <c r="A317" s="14"/>
      <c r="B317" s="13"/>
      <c r="C317" s="14"/>
      <c r="D317" s="14"/>
      <c r="E317" s="14"/>
      <c r="F317" s="15"/>
      <c r="G317" s="14"/>
      <c r="H317" s="19" t="str">
        <f aca="false">IF(F317="","",IF(G317="Y",F317*Settings!$B$16,0))</f>
        <v/>
      </c>
      <c r="I317" s="19" t="str">
        <f aca="false">IF(F317="","",F317+H317)</f>
        <v/>
      </c>
      <c r="J317" s="18" t="str">
        <f aca="false">IF(B317="","",B317+Settings!$B$17)</f>
        <v/>
      </c>
      <c r="K317" s="13"/>
      <c r="L317" s="15"/>
      <c r="M317" s="17" t="str">
        <f aca="true">IF(F317="","",IF(AND(L317&lt;&gt;"",L317&gt;=I317),"Paid",IF(AND(L317&lt;&gt;"",L317&gt;0),"Part paid",IF(TODAY()&gt;J317,"Overdue","Due"))))</f>
        <v/>
      </c>
      <c r="N317" s="19" t="str">
        <f aca="true">IF(M317="Overdue",TODAY()-J317,"")</f>
        <v/>
      </c>
      <c r="O317" s="14"/>
    </row>
    <row r="318" customFormat="false" ht="15" hidden="false" customHeight="false" outlineLevel="0" collapsed="false">
      <c r="A318" s="14"/>
      <c r="B318" s="13"/>
      <c r="C318" s="14"/>
      <c r="D318" s="14"/>
      <c r="E318" s="14"/>
      <c r="F318" s="15"/>
      <c r="G318" s="14"/>
      <c r="H318" s="19" t="str">
        <f aca="false">IF(F318="","",IF(G318="Y",F318*Settings!$B$16,0))</f>
        <v/>
      </c>
      <c r="I318" s="19" t="str">
        <f aca="false">IF(F318="","",F318+H318)</f>
        <v/>
      </c>
      <c r="J318" s="18" t="str">
        <f aca="false">IF(B318="","",B318+Settings!$B$17)</f>
        <v/>
      </c>
      <c r="K318" s="13"/>
      <c r="L318" s="15"/>
      <c r="M318" s="17" t="str">
        <f aca="true">IF(F318="","",IF(AND(L318&lt;&gt;"",L318&gt;=I318),"Paid",IF(AND(L318&lt;&gt;"",L318&gt;0),"Part paid",IF(TODAY()&gt;J318,"Overdue","Due"))))</f>
        <v/>
      </c>
      <c r="N318" s="19" t="str">
        <f aca="true">IF(M318="Overdue",TODAY()-J318,"")</f>
        <v/>
      </c>
      <c r="O318" s="14"/>
    </row>
    <row r="319" customFormat="false" ht="15" hidden="false" customHeight="false" outlineLevel="0" collapsed="false">
      <c r="A319" s="14"/>
      <c r="B319" s="13"/>
      <c r="C319" s="14"/>
      <c r="D319" s="14"/>
      <c r="E319" s="14"/>
      <c r="F319" s="15"/>
      <c r="G319" s="14"/>
      <c r="H319" s="19" t="str">
        <f aca="false">IF(F319="","",IF(G319="Y",F319*Settings!$B$16,0))</f>
        <v/>
      </c>
      <c r="I319" s="19" t="str">
        <f aca="false">IF(F319="","",F319+H319)</f>
        <v/>
      </c>
      <c r="J319" s="18" t="str">
        <f aca="false">IF(B319="","",B319+Settings!$B$17)</f>
        <v/>
      </c>
      <c r="K319" s="13"/>
      <c r="L319" s="15"/>
      <c r="M319" s="17" t="str">
        <f aca="true">IF(F319="","",IF(AND(L319&lt;&gt;"",L319&gt;=I319),"Paid",IF(AND(L319&lt;&gt;"",L319&gt;0),"Part paid",IF(TODAY()&gt;J319,"Overdue","Due"))))</f>
        <v/>
      </c>
      <c r="N319" s="19" t="str">
        <f aca="true">IF(M319="Overdue",TODAY()-J319,"")</f>
        <v/>
      </c>
      <c r="O319" s="14"/>
    </row>
    <row r="320" customFormat="false" ht="15" hidden="false" customHeight="false" outlineLevel="0" collapsed="false">
      <c r="A320" s="14"/>
      <c r="B320" s="13"/>
      <c r="C320" s="14"/>
      <c r="D320" s="14"/>
      <c r="E320" s="14"/>
      <c r="F320" s="15"/>
      <c r="G320" s="14"/>
      <c r="H320" s="19" t="str">
        <f aca="false">IF(F320="","",IF(G320="Y",F320*Settings!$B$16,0))</f>
        <v/>
      </c>
      <c r="I320" s="19" t="str">
        <f aca="false">IF(F320="","",F320+H320)</f>
        <v/>
      </c>
      <c r="J320" s="18" t="str">
        <f aca="false">IF(B320="","",B320+Settings!$B$17)</f>
        <v/>
      </c>
      <c r="K320" s="13"/>
      <c r="L320" s="15"/>
      <c r="M320" s="17" t="str">
        <f aca="true">IF(F320="","",IF(AND(L320&lt;&gt;"",L320&gt;=I320),"Paid",IF(AND(L320&lt;&gt;"",L320&gt;0),"Part paid",IF(TODAY()&gt;J320,"Overdue","Due"))))</f>
        <v/>
      </c>
      <c r="N320" s="19" t="str">
        <f aca="true">IF(M320="Overdue",TODAY()-J320,"")</f>
        <v/>
      </c>
      <c r="O320" s="14"/>
    </row>
    <row r="321" customFormat="false" ht="15" hidden="false" customHeight="false" outlineLevel="0" collapsed="false">
      <c r="A321" s="14"/>
      <c r="B321" s="13"/>
      <c r="C321" s="14"/>
      <c r="D321" s="14"/>
      <c r="E321" s="14"/>
      <c r="F321" s="15"/>
      <c r="G321" s="14"/>
      <c r="H321" s="19" t="str">
        <f aca="false">IF(F321="","",IF(G321="Y",F321*Settings!$B$16,0))</f>
        <v/>
      </c>
      <c r="I321" s="19" t="str">
        <f aca="false">IF(F321="","",F321+H321)</f>
        <v/>
      </c>
      <c r="J321" s="18" t="str">
        <f aca="false">IF(B321="","",B321+Settings!$B$17)</f>
        <v/>
      </c>
      <c r="K321" s="13"/>
      <c r="L321" s="15"/>
      <c r="M321" s="17" t="str">
        <f aca="true">IF(F321="","",IF(AND(L321&lt;&gt;"",L321&gt;=I321),"Paid",IF(AND(L321&lt;&gt;"",L321&gt;0),"Part paid",IF(TODAY()&gt;J321,"Overdue","Due"))))</f>
        <v/>
      </c>
      <c r="N321" s="19" t="str">
        <f aca="true">IF(M321="Overdue",TODAY()-J321,"")</f>
        <v/>
      </c>
      <c r="O321" s="14"/>
    </row>
    <row r="322" customFormat="false" ht="15" hidden="false" customHeight="false" outlineLevel="0" collapsed="false">
      <c r="A322" s="14"/>
      <c r="B322" s="13"/>
      <c r="C322" s="14"/>
      <c r="D322" s="14"/>
      <c r="E322" s="14"/>
      <c r="F322" s="15"/>
      <c r="G322" s="14"/>
      <c r="H322" s="19" t="str">
        <f aca="false">IF(F322="","",IF(G322="Y",F322*Settings!$B$16,0))</f>
        <v/>
      </c>
      <c r="I322" s="19" t="str">
        <f aca="false">IF(F322="","",F322+H322)</f>
        <v/>
      </c>
      <c r="J322" s="18" t="str">
        <f aca="false">IF(B322="","",B322+Settings!$B$17)</f>
        <v/>
      </c>
      <c r="K322" s="13"/>
      <c r="L322" s="15"/>
      <c r="M322" s="17" t="str">
        <f aca="true">IF(F322="","",IF(AND(L322&lt;&gt;"",L322&gt;=I322),"Paid",IF(AND(L322&lt;&gt;"",L322&gt;0),"Part paid",IF(TODAY()&gt;J322,"Overdue","Due"))))</f>
        <v/>
      </c>
      <c r="N322" s="19" t="str">
        <f aca="true">IF(M322="Overdue",TODAY()-J322,"")</f>
        <v/>
      </c>
      <c r="O322" s="14"/>
    </row>
    <row r="323" customFormat="false" ht="15" hidden="false" customHeight="false" outlineLevel="0" collapsed="false">
      <c r="A323" s="14"/>
      <c r="B323" s="13"/>
      <c r="C323" s="14"/>
      <c r="D323" s="14"/>
      <c r="E323" s="14"/>
      <c r="F323" s="15"/>
      <c r="G323" s="14"/>
      <c r="H323" s="19" t="str">
        <f aca="false">IF(F323="","",IF(G323="Y",F323*Settings!$B$16,0))</f>
        <v/>
      </c>
      <c r="I323" s="19" t="str">
        <f aca="false">IF(F323="","",F323+H323)</f>
        <v/>
      </c>
      <c r="J323" s="18" t="str">
        <f aca="false">IF(B323="","",B323+Settings!$B$17)</f>
        <v/>
      </c>
      <c r="K323" s="13"/>
      <c r="L323" s="15"/>
      <c r="M323" s="17" t="str">
        <f aca="true">IF(F323="","",IF(AND(L323&lt;&gt;"",L323&gt;=I323),"Paid",IF(AND(L323&lt;&gt;"",L323&gt;0),"Part paid",IF(TODAY()&gt;J323,"Overdue","Due"))))</f>
        <v/>
      </c>
      <c r="N323" s="19" t="str">
        <f aca="true">IF(M323="Overdue",TODAY()-J323,"")</f>
        <v/>
      </c>
      <c r="O323" s="14"/>
    </row>
    <row r="324" customFormat="false" ht="15" hidden="false" customHeight="false" outlineLevel="0" collapsed="false">
      <c r="A324" s="14"/>
      <c r="B324" s="13"/>
      <c r="C324" s="14"/>
      <c r="D324" s="14"/>
      <c r="E324" s="14"/>
      <c r="F324" s="15"/>
      <c r="G324" s="14"/>
      <c r="H324" s="19" t="str">
        <f aca="false">IF(F324="","",IF(G324="Y",F324*Settings!$B$16,0))</f>
        <v/>
      </c>
      <c r="I324" s="19" t="str">
        <f aca="false">IF(F324="","",F324+H324)</f>
        <v/>
      </c>
      <c r="J324" s="18" t="str">
        <f aca="false">IF(B324="","",B324+Settings!$B$17)</f>
        <v/>
      </c>
      <c r="K324" s="13"/>
      <c r="L324" s="15"/>
      <c r="M324" s="17" t="str">
        <f aca="true">IF(F324="","",IF(AND(L324&lt;&gt;"",L324&gt;=I324),"Paid",IF(AND(L324&lt;&gt;"",L324&gt;0),"Part paid",IF(TODAY()&gt;J324,"Overdue","Due"))))</f>
        <v/>
      </c>
      <c r="N324" s="19" t="str">
        <f aca="true">IF(M324="Overdue",TODAY()-J324,"")</f>
        <v/>
      </c>
      <c r="O324" s="14"/>
    </row>
    <row r="325" customFormat="false" ht="15" hidden="false" customHeight="false" outlineLevel="0" collapsed="false">
      <c r="A325" s="14"/>
      <c r="B325" s="13"/>
      <c r="C325" s="14"/>
      <c r="D325" s="14"/>
      <c r="E325" s="14"/>
      <c r="F325" s="15"/>
      <c r="G325" s="14"/>
      <c r="H325" s="19" t="str">
        <f aca="false">IF(F325="","",IF(G325="Y",F325*Settings!$B$16,0))</f>
        <v/>
      </c>
      <c r="I325" s="19" t="str">
        <f aca="false">IF(F325="","",F325+H325)</f>
        <v/>
      </c>
      <c r="J325" s="18" t="str">
        <f aca="false">IF(B325="","",B325+Settings!$B$17)</f>
        <v/>
      </c>
      <c r="K325" s="13"/>
      <c r="L325" s="15"/>
      <c r="M325" s="17" t="str">
        <f aca="true">IF(F325="","",IF(AND(L325&lt;&gt;"",L325&gt;=I325),"Paid",IF(AND(L325&lt;&gt;"",L325&gt;0),"Part paid",IF(TODAY()&gt;J325,"Overdue","Due"))))</f>
        <v/>
      </c>
      <c r="N325" s="19" t="str">
        <f aca="true">IF(M325="Overdue",TODAY()-J325,"")</f>
        <v/>
      </c>
      <c r="O325" s="14"/>
    </row>
    <row r="326" customFormat="false" ht="15" hidden="false" customHeight="false" outlineLevel="0" collapsed="false">
      <c r="A326" s="14"/>
      <c r="B326" s="13"/>
      <c r="C326" s="14"/>
      <c r="D326" s="14"/>
      <c r="E326" s="14"/>
      <c r="F326" s="15"/>
      <c r="G326" s="14"/>
      <c r="H326" s="19" t="str">
        <f aca="false">IF(F326="","",IF(G326="Y",F326*Settings!$B$16,0))</f>
        <v/>
      </c>
      <c r="I326" s="19" t="str">
        <f aca="false">IF(F326="","",F326+H326)</f>
        <v/>
      </c>
      <c r="J326" s="18" t="str">
        <f aca="false">IF(B326="","",B326+Settings!$B$17)</f>
        <v/>
      </c>
      <c r="K326" s="13"/>
      <c r="L326" s="15"/>
      <c r="M326" s="17" t="str">
        <f aca="true">IF(F326="","",IF(AND(L326&lt;&gt;"",L326&gt;=I326),"Paid",IF(AND(L326&lt;&gt;"",L326&gt;0),"Part paid",IF(TODAY()&gt;J326,"Overdue","Due"))))</f>
        <v/>
      </c>
      <c r="N326" s="19" t="str">
        <f aca="true">IF(M326="Overdue",TODAY()-J326,"")</f>
        <v/>
      </c>
      <c r="O326" s="14"/>
    </row>
    <row r="327" customFormat="false" ht="15" hidden="false" customHeight="false" outlineLevel="0" collapsed="false">
      <c r="A327" s="14"/>
      <c r="B327" s="13"/>
      <c r="C327" s="14"/>
      <c r="D327" s="14"/>
      <c r="E327" s="14"/>
      <c r="F327" s="15"/>
      <c r="G327" s="14"/>
      <c r="H327" s="19" t="str">
        <f aca="false">IF(F327="","",IF(G327="Y",F327*Settings!$B$16,0))</f>
        <v/>
      </c>
      <c r="I327" s="19" t="str">
        <f aca="false">IF(F327="","",F327+H327)</f>
        <v/>
      </c>
      <c r="J327" s="18" t="str">
        <f aca="false">IF(B327="","",B327+Settings!$B$17)</f>
        <v/>
      </c>
      <c r="K327" s="13"/>
      <c r="L327" s="15"/>
      <c r="M327" s="17" t="str">
        <f aca="true">IF(F327="","",IF(AND(L327&lt;&gt;"",L327&gt;=I327),"Paid",IF(AND(L327&lt;&gt;"",L327&gt;0),"Part paid",IF(TODAY()&gt;J327,"Overdue","Due"))))</f>
        <v/>
      </c>
      <c r="N327" s="19" t="str">
        <f aca="true">IF(M327="Overdue",TODAY()-J327,"")</f>
        <v/>
      </c>
      <c r="O327" s="14"/>
    </row>
    <row r="328" customFormat="false" ht="15" hidden="false" customHeight="false" outlineLevel="0" collapsed="false">
      <c r="A328" s="14"/>
      <c r="B328" s="13"/>
      <c r="C328" s="14"/>
      <c r="D328" s="14"/>
      <c r="E328" s="14"/>
      <c r="F328" s="15"/>
      <c r="G328" s="14"/>
      <c r="H328" s="19" t="str">
        <f aca="false">IF(F328="","",IF(G328="Y",F328*Settings!$B$16,0))</f>
        <v/>
      </c>
      <c r="I328" s="19" t="str">
        <f aca="false">IF(F328="","",F328+H328)</f>
        <v/>
      </c>
      <c r="J328" s="18" t="str">
        <f aca="false">IF(B328="","",B328+Settings!$B$17)</f>
        <v/>
      </c>
      <c r="K328" s="13"/>
      <c r="L328" s="15"/>
      <c r="M328" s="17" t="str">
        <f aca="true">IF(F328="","",IF(AND(L328&lt;&gt;"",L328&gt;=I328),"Paid",IF(AND(L328&lt;&gt;"",L328&gt;0),"Part paid",IF(TODAY()&gt;J328,"Overdue","Due"))))</f>
        <v/>
      </c>
      <c r="N328" s="19" t="str">
        <f aca="true">IF(M328="Overdue",TODAY()-J328,"")</f>
        <v/>
      </c>
      <c r="O328" s="14"/>
    </row>
    <row r="329" customFormat="false" ht="15" hidden="false" customHeight="false" outlineLevel="0" collapsed="false">
      <c r="A329" s="14"/>
      <c r="B329" s="13"/>
      <c r="C329" s="14"/>
      <c r="D329" s="14"/>
      <c r="E329" s="14"/>
      <c r="F329" s="15"/>
      <c r="G329" s="14"/>
      <c r="H329" s="19" t="str">
        <f aca="false">IF(F329="","",IF(G329="Y",F329*Settings!$B$16,0))</f>
        <v/>
      </c>
      <c r="I329" s="19" t="str">
        <f aca="false">IF(F329="","",F329+H329)</f>
        <v/>
      </c>
      <c r="J329" s="18" t="str">
        <f aca="false">IF(B329="","",B329+Settings!$B$17)</f>
        <v/>
      </c>
      <c r="K329" s="13"/>
      <c r="L329" s="15"/>
      <c r="M329" s="17" t="str">
        <f aca="true">IF(F329="","",IF(AND(L329&lt;&gt;"",L329&gt;=I329),"Paid",IF(AND(L329&lt;&gt;"",L329&gt;0),"Part paid",IF(TODAY()&gt;J329,"Overdue","Due"))))</f>
        <v/>
      </c>
      <c r="N329" s="19" t="str">
        <f aca="true">IF(M329="Overdue",TODAY()-J329,"")</f>
        <v/>
      </c>
      <c r="O329" s="14"/>
    </row>
    <row r="330" customFormat="false" ht="15" hidden="false" customHeight="false" outlineLevel="0" collapsed="false">
      <c r="A330" s="14"/>
      <c r="B330" s="13"/>
      <c r="C330" s="14"/>
      <c r="D330" s="14"/>
      <c r="E330" s="14"/>
      <c r="F330" s="15"/>
      <c r="G330" s="14"/>
      <c r="H330" s="19" t="str">
        <f aca="false">IF(F330="","",IF(G330="Y",F330*Settings!$B$16,0))</f>
        <v/>
      </c>
      <c r="I330" s="19" t="str">
        <f aca="false">IF(F330="","",F330+H330)</f>
        <v/>
      </c>
      <c r="J330" s="18" t="str">
        <f aca="false">IF(B330="","",B330+Settings!$B$17)</f>
        <v/>
      </c>
      <c r="K330" s="13"/>
      <c r="L330" s="15"/>
      <c r="M330" s="17" t="str">
        <f aca="true">IF(F330="","",IF(AND(L330&lt;&gt;"",L330&gt;=I330),"Paid",IF(AND(L330&lt;&gt;"",L330&gt;0),"Part paid",IF(TODAY()&gt;J330,"Overdue","Due"))))</f>
        <v/>
      </c>
      <c r="N330" s="19" t="str">
        <f aca="true">IF(M330="Overdue",TODAY()-J330,"")</f>
        <v/>
      </c>
      <c r="O330" s="14"/>
    </row>
    <row r="331" customFormat="false" ht="15" hidden="false" customHeight="false" outlineLevel="0" collapsed="false">
      <c r="A331" s="14"/>
      <c r="B331" s="13"/>
      <c r="C331" s="14"/>
      <c r="D331" s="14"/>
      <c r="E331" s="14"/>
      <c r="F331" s="15"/>
      <c r="G331" s="14"/>
      <c r="H331" s="19" t="str">
        <f aca="false">IF(F331="","",IF(G331="Y",F331*Settings!$B$16,0))</f>
        <v/>
      </c>
      <c r="I331" s="19" t="str">
        <f aca="false">IF(F331="","",F331+H331)</f>
        <v/>
      </c>
      <c r="J331" s="18" t="str">
        <f aca="false">IF(B331="","",B331+Settings!$B$17)</f>
        <v/>
      </c>
      <c r="K331" s="13"/>
      <c r="L331" s="15"/>
      <c r="M331" s="17" t="str">
        <f aca="true">IF(F331="","",IF(AND(L331&lt;&gt;"",L331&gt;=I331),"Paid",IF(AND(L331&lt;&gt;"",L331&gt;0),"Part paid",IF(TODAY()&gt;J331,"Overdue","Due"))))</f>
        <v/>
      </c>
      <c r="N331" s="19" t="str">
        <f aca="true">IF(M331="Overdue",TODAY()-J331,"")</f>
        <v/>
      </c>
      <c r="O331" s="14"/>
    </row>
    <row r="332" customFormat="false" ht="15" hidden="false" customHeight="false" outlineLevel="0" collapsed="false">
      <c r="A332" s="14"/>
      <c r="B332" s="13"/>
      <c r="C332" s="14"/>
      <c r="D332" s="14"/>
      <c r="E332" s="14"/>
      <c r="F332" s="15"/>
      <c r="G332" s="14"/>
      <c r="H332" s="19" t="str">
        <f aca="false">IF(F332="","",IF(G332="Y",F332*Settings!$B$16,0))</f>
        <v/>
      </c>
      <c r="I332" s="19" t="str">
        <f aca="false">IF(F332="","",F332+H332)</f>
        <v/>
      </c>
      <c r="J332" s="18" t="str">
        <f aca="false">IF(B332="","",B332+Settings!$B$17)</f>
        <v/>
      </c>
      <c r="K332" s="13"/>
      <c r="L332" s="15"/>
      <c r="M332" s="17" t="str">
        <f aca="true">IF(F332="","",IF(AND(L332&lt;&gt;"",L332&gt;=I332),"Paid",IF(AND(L332&lt;&gt;"",L332&gt;0),"Part paid",IF(TODAY()&gt;J332,"Overdue","Due"))))</f>
        <v/>
      </c>
      <c r="N332" s="19" t="str">
        <f aca="true">IF(M332="Overdue",TODAY()-J332,"")</f>
        <v/>
      </c>
      <c r="O332" s="14"/>
    </row>
    <row r="333" customFormat="false" ht="15" hidden="false" customHeight="false" outlineLevel="0" collapsed="false">
      <c r="A333" s="14"/>
      <c r="B333" s="13"/>
      <c r="C333" s="14"/>
      <c r="D333" s="14"/>
      <c r="E333" s="14"/>
      <c r="F333" s="15"/>
      <c r="G333" s="14"/>
      <c r="H333" s="19" t="str">
        <f aca="false">IF(F333="","",IF(G333="Y",F333*Settings!$B$16,0))</f>
        <v/>
      </c>
      <c r="I333" s="19" t="str">
        <f aca="false">IF(F333="","",F333+H333)</f>
        <v/>
      </c>
      <c r="J333" s="18" t="str">
        <f aca="false">IF(B333="","",B333+Settings!$B$17)</f>
        <v/>
      </c>
      <c r="K333" s="13"/>
      <c r="L333" s="15"/>
      <c r="M333" s="17" t="str">
        <f aca="true">IF(F333="","",IF(AND(L333&lt;&gt;"",L333&gt;=I333),"Paid",IF(AND(L333&lt;&gt;"",L333&gt;0),"Part paid",IF(TODAY()&gt;J333,"Overdue","Due"))))</f>
        <v/>
      </c>
      <c r="N333" s="19" t="str">
        <f aca="true">IF(M333="Overdue",TODAY()-J333,"")</f>
        <v/>
      </c>
      <c r="O333" s="14"/>
    </row>
    <row r="334" customFormat="false" ht="15" hidden="false" customHeight="false" outlineLevel="0" collapsed="false">
      <c r="A334" s="14"/>
      <c r="B334" s="13"/>
      <c r="C334" s="14"/>
      <c r="D334" s="14"/>
      <c r="E334" s="14"/>
      <c r="F334" s="15"/>
      <c r="G334" s="14"/>
      <c r="H334" s="19" t="str">
        <f aca="false">IF(F334="","",IF(G334="Y",F334*Settings!$B$16,0))</f>
        <v/>
      </c>
      <c r="I334" s="19" t="str">
        <f aca="false">IF(F334="","",F334+H334)</f>
        <v/>
      </c>
      <c r="J334" s="18" t="str">
        <f aca="false">IF(B334="","",B334+Settings!$B$17)</f>
        <v/>
      </c>
      <c r="K334" s="13"/>
      <c r="L334" s="15"/>
      <c r="M334" s="17" t="str">
        <f aca="true">IF(F334="","",IF(AND(L334&lt;&gt;"",L334&gt;=I334),"Paid",IF(AND(L334&lt;&gt;"",L334&gt;0),"Part paid",IF(TODAY()&gt;J334,"Overdue","Due"))))</f>
        <v/>
      </c>
      <c r="N334" s="19" t="str">
        <f aca="true">IF(M334="Overdue",TODAY()-J334,"")</f>
        <v/>
      </c>
      <c r="O334" s="14"/>
    </row>
    <row r="335" customFormat="false" ht="15" hidden="false" customHeight="false" outlineLevel="0" collapsed="false">
      <c r="A335" s="14"/>
      <c r="B335" s="13"/>
      <c r="C335" s="14"/>
      <c r="D335" s="14"/>
      <c r="E335" s="14"/>
      <c r="F335" s="15"/>
      <c r="G335" s="14"/>
      <c r="H335" s="19" t="str">
        <f aca="false">IF(F335="","",IF(G335="Y",F335*Settings!$B$16,0))</f>
        <v/>
      </c>
      <c r="I335" s="19" t="str">
        <f aca="false">IF(F335="","",F335+H335)</f>
        <v/>
      </c>
      <c r="J335" s="18" t="str">
        <f aca="false">IF(B335="","",B335+Settings!$B$17)</f>
        <v/>
      </c>
      <c r="K335" s="13"/>
      <c r="L335" s="15"/>
      <c r="M335" s="17" t="str">
        <f aca="true">IF(F335="","",IF(AND(L335&lt;&gt;"",L335&gt;=I335),"Paid",IF(AND(L335&lt;&gt;"",L335&gt;0),"Part paid",IF(TODAY()&gt;J335,"Overdue","Due"))))</f>
        <v/>
      </c>
      <c r="N335" s="19" t="str">
        <f aca="true">IF(M335="Overdue",TODAY()-J335,"")</f>
        <v/>
      </c>
      <c r="O335" s="14"/>
    </row>
    <row r="336" customFormat="false" ht="15" hidden="false" customHeight="false" outlineLevel="0" collapsed="false">
      <c r="A336" s="14"/>
      <c r="B336" s="13"/>
      <c r="C336" s="14"/>
      <c r="D336" s="14"/>
      <c r="E336" s="14"/>
      <c r="F336" s="15"/>
      <c r="G336" s="14"/>
      <c r="H336" s="19" t="str">
        <f aca="false">IF(F336="","",IF(G336="Y",F336*Settings!$B$16,0))</f>
        <v/>
      </c>
      <c r="I336" s="19" t="str">
        <f aca="false">IF(F336="","",F336+H336)</f>
        <v/>
      </c>
      <c r="J336" s="18" t="str">
        <f aca="false">IF(B336="","",B336+Settings!$B$17)</f>
        <v/>
      </c>
      <c r="K336" s="13"/>
      <c r="L336" s="15"/>
      <c r="M336" s="17" t="str">
        <f aca="true">IF(F336="","",IF(AND(L336&lt;&gt;"",L336&gt;=I336),"Paid",IF(AND(L336&lt;&gt;"",L336&gt;0),"Part paid",IF(TODAY()&gt;J336,"Overdue","Due"))))</f>
        <v/>
      </c>
      <c r="N336" s="19" t="str">
        <f aca="true">IF(M336="Overdue",TODAY()-J336,"")</f>
        <v/>
      </c>
      <c r="O336" s="14"/>
    </row>
    <row r="337" customFormat="false" ht="15" hidden="false" customHeight="false" outlineLevel="0" collapsed="false">
      <c r="A337" s="14"/>
      <c r="B337" s="13"/>
      <c r="C337" s="14"/>
      <c r="D337" s="14"/>
      <c r="E337" s="14"/>
      <c r="F337" s="15"/>
      <c r="G337" s="14"/>
      <c r="H337" s="19" t="str">
        <f aca="false">IF(F337="","",IF(G337="Y",F337*Settings!$B$16,0))</f>
        <v/>
      </c>
      <c r="I337" s="19" t="str">
        <f aca="false">IF(F337="","",F337+H337)</f>
        <v/>
      </c>
      <c r="J337" s="18" t="str">
        <f aca="false">IF(B337="","",B337+Settings!$B$17)</f>
        <v/>
      </c>
      <c r="K337" s="13"/>
      <c r="L337" s="15"/>
      <c r="M337" s="17" t="str">
        <f aca="true">IF(F337="","",IF(AND(L337&lt;&gt;"",L337&gt;=I337),"Paid",IF(AND(L337&lt;&gt;"",L337&gt;0),"Part paid",IF(TODAY()&gt;J337,"Overdue","Due"))))</f>
        <v/>
      </c>
      <c r="N337" s="19" t="str">
        <f aca="true">IF(M337="Overdue",TODAY()-J337,"")</f>
        <v/>
      </c>
      <c r="O337" s="14"/>
    </row>
    <row r="338" customFormat="false" ht="15" hidden="false" customHeight="false" outlineLevel="0" collapsed="false">
      <c r="A338" s="14"/>
      <c r="B338" s="13"/>
      <c r="C338" s="14"/>
      <c r="D338" s="14"/>
      <c r="E338" s="14"/>
      <c r="F338" s="15"/>
      <c r="G338" s="14"/>
      <c r="H338" s="19" t="str">
        <f aca="false">IF(F338="","",IF(G338="Y",F338*Settings!$B$16,0))</f>
        <v/>
      </c>
      <c r="I338" s="19" t="str">
        <f aca="false">IF(F338="","",F338+H338)</f>
        <v/>
      </c>
      <c r="J338" s="18" t="str">
        <f aca="false">IF(B338="","",B338+Settings!$B$17)</f>
        <v/>
      </c>
      <c r="K338" s="13"/>
      <c r="L338" s="15"/>
      <c r="M338" s="17" t="str">
        <f aca="true">IF(F338="","",IF(AND(L338&lt;&gt;"",L338&gt;=I338),"Paid",IF(AND(L338&lt;&gt;"",L338&gt;0),"Part paid",IF(TODAY()&gt;J338,"Overdue","Due"))))</f>
        <v/>
      </c>
      <c r="N338" s="19" t="str">
        <f aca="true">IF(M338="Overdue",TODAY()-J338,"")</f>
        <v/>
      </c>
      <c r="O338" s="14"/>
    </row>
    <row r="339" customFormat="false" ht="15" hidden="false" customHeight="false" outlineLevel="0" collapsed="false">
      <c r="A339" s="14"/>
      <c r="B339" s="13"/>
      <c r="C339" s="14"/>
      <c r="D339" s="14"/>
      <c r="E339" s="14"/>
      <c r="F339" s="15"/>
      <c r="G339" s="14"/>
      <c r="H339" s="19" t="str">
        <f aca="false">IF(F339="","",IF(G339="Y",F339*Settings!$B$16,0))</f>
        <v/>
      </c>
      <c r="I339" s="19" t="str">
        <f aca="false">IF(F339="","",F339+H339)</f>
        <v/>
      </c>
      <c r="J339" s="18" t="str">
        <f aca="false">IF(B339="","",B339+Settings!$B$17)</f>
        <v/>
      </c>
      <c r="K339" s="13"/>
      <c r="L339" s="15"/>
      <c r="M339" s="17" t="str">
        <f aca="true">IF(F339="","",IF(AND(L339&lt;&gt;"",L339&gt;=I339),"Paid",IF(AND(L339&lt;&gt;"",L339&gt;0),"Part paid",IF(TODAY()&gt;J339,"Overdue","Due"))))</f>
        <v/>
      </c>
      <c r="N339" s="19" t="str">
        <f aca="true">IF(M339="Overdue",TODAY()-J339,"")</f>
        <v/>
      </c>
      <c r="O339" s="14"/>
    </row>
    <row r="340" customFormat="false" ht="15" hidden="false" customHeight="false" outlineLevel="0" collapsed="false">
      <c r="A340" s="14"/>
      <c r="B340" s="13"/>
      <c r="C340" s="14"/>
      <c r="D340" s="14"/>
      <c r="E340" s="14"/>
      <c r="F340" s="15"/>
      <c r="G340" s="14"/>
      <c r="H340" s="19" t="str">
        <f aca="false">IF(F340="","",IF(G340="Y",F340*Settings!$B$16,0))</f>
        <v/>
      </c>
      <c r="I340" s="19" t="str">
        <f aca="false">IF(F340="","",F340+H340)</f>
        <v/>
      </c>
      <c r="J340" s="18" t="str">
        <f aca="false">IF(B340="","",B340+Settings!$B$17)</f>
        <v/>
      </c>
      <c r="K340" s="13"/>
      <c r="L340" s="15"/>
      <c r="M340" s="17" t="str">
        <f aca="true">IF(F340="","",IF(AND(L340&lt;&gt;"",L340&gt;=I340),"Paid",IF(AND(L340&lt;&gt;"",L340&gt;0),"Part paid",IF(TODAY()&gt;J340,"Overdue","Due"))))</f>
        <v/>
      </c>
      <c r="N340" s="19" t="str">
        <f aca="true">IF(M340="Overdue",TODAY()-J340,"")</f>
        <v/>
      </c>
      <c r="O340" s="14"/>
    </row>
    <row r="341" customFormat="false" ht="15" hidden="false" customHeight="false" outlineLevel="0" collapsed="false">
      <c r="A341" s="14"/>
      <c r="B341" s="13"/>
      <c r="C341" s="14"/>
      <c r="D341" s="14"/>
      <c r="E341" s="14"/>
      <c r="F341" s="15"/>
      <c r="G341" s="14"/>
      <c r="H341" s="19" t="str">
        <f aca="false">IF(F341="","",IF(G341="Y",F341*Settings!$B$16,0))</f>
        <v/>
      </c>
      <c r="I341" s="19" t="str">
        <f aca="false">IF(F341="","",F341+H341)</f>
        <v/>
      </c>
      <c r="J341" s="18" t="str">
        <f aca="false">IF(B341="","",B341+Settings!$B$17)</f>
        <v/>
      </c>
      <c r="K341" s="13"/>
      <c r="L341" s="15"/>
      <c r="M341" s="17" t="str">
        <f aca="true">IF(F341="","",IF(AND(L341&lt;&gt;"",L341&gt;=I341),"Paid",IF(AND(L341&lt;&gt;"",L341&gt;0),"Part paid",IF(TODAY()&gt;J341,"Overdue","Due"))))</f>
        <v/>
      </c>
      <c r="N341" s="19" t="str">
        <f aca="true">IF(M341="Overdue",TODAY()-J341,"")</f>
        <v/>
      </c>
      <c r="O341" s="14"/>
    </row>
    <row r="342" customFormat="false" ht="15" hidden="false" customHeight="false" outlineLevel="0" collapsed="false">
      <c r="A342" s="14"/>
      <c r="B342" s="13"/>
      <c r="C342" s="14"/>
      <c r="D342" s="14"/>
      <c r="E342" s="14"/>
      <c r="F342" s="15"/>
      <c r="G342" s="14"/>
      <c r="H342" s="19" t="str">
        <f aca="false">IF(F342="","",IF(G342="Y",F342*Settings!$B$16,0))</f>
        <v/>
      </c>
      <c r="I342" s="19" t="str">
        <f aca="false">IF(F342="","",F342+H342)</f>
        <v/>
      </c>
      <c r="J342" s="18" t="str">
        <f aca="false">IF(B342="","",B342+Settings!$B$17)</f>
        <v/>
      </c>
      <c r="K342" s="13"/>
      <c r="L342" s="15"/>
      <c r="M342" s="17" t="str">
        <f aca="true">IF(F342="","",IF(AND(L342&lt;&gt;"",L342&gt;=I342),"Paid",IF(AND(L342&lt;&gt;"",L342&gt;0),"Part paid",IF(TODAY()&gt;J342,"Overdue","Due"))))</f>
        <v/>
      </c>
      <c r="N342" s="19" t="str">
        <f aca="true">IF(M342="Overdue",TODAY()-J342,"")</f>
        <v/>
      </c>
      <c r="O342" s="14"/>
    </row>
    <row r="343" customFormat="false" ht="15" hidden="false" customHeight="false" outlineLevel="0" collapsed="false">
      <c r="A343" s="14"/>
      <c r="B343" s="13"/>
      <c r="C343" s="14"/>
      <c r="D343" s="14"/>
      <c r="E343" s="14"/>
      <c r="F343" s="15"/>
      <c r="G343" s="14"/>
      <c r="H343" s="19" t="str">
        <f aca="false">IF(F343="","",IF(G343="Y",F343*Settings!$B$16,0))</f>
        <v/>
      </c>
      <c r="I343" s="19" t="str">
        <f aca="false">IF(F343="","",F343+H343)</f>
        <v/>
      </c>
      <c r="J343" s="18" t="str">
        <f aca="false">IF(B343="","",B343+Settings!$B$17)</f>
        <v/>
      </c>
      <c r="K343" s="13"/>
      <c r="L343" s="15"/>
      <c r="M343" s="17" t="str">
        <f aca="true">IF(F343="","",IF(AND(L343&lt;&gt;"",L343&gt;=I343),"Paid",IF(AND(L343&lt;&gt;"",L343&gt;0),"Part paid",IF(TODAY()&gt;J343,"Overdue","Due"))))</f>
        <v/>
      </c>
      <c r="N343" s="19" t="str">
        <f aca="true">IF(M343="Overdue",TODAY()-J343,"")</f>
        <v/>
      </c>
      <c r="O343" s="14"/>
    </row>
    <row r="344" customFormat="false" ht="15" hidden="false" customHeight="false" outlineLevel="0" collapsed="false">
      <c r="A344" s="14"/>
      <c r="B344" s="13"/>
      <c r="C344" s="14"/>
      <c r="D344" s="14"/>
      <c r="E344" s="14"/>
      <c r="F344" s="15"/>
      <c r="G344" s="14"/>
      <c r="H344" s="19" t="str">
        <f aca="false">IF(F344="","",IF(G344="Y",F344*Settings!$B$16,0))</f>
        <v/>
      </c>
      <c r="I344" s="19" t="str">
        <f aca="false">IF(F344="","",F344+H344)</f>
        <v/>
      </c>
      <c r="J344" s="18" t="str">
        <f aca="false">IF(B344="","",B344+Settings!$B$17)</f>
        <v/>
      </c>
      <c r="K344" s="13"/>
      <c r="L344" s="15"/>
      <c r="M344" s="17" t="str">
        <f aca="true">IF(F344="","",IF(AND(L344&lt;&gt;"",L344&gt;=I344),"Paid",IF(AND(L344&lt;&gt;"",L344&gt;0),"Part paid",IF(TODAY()&gt;J344,"Overdue","Due"))))</f>
        <v/>
      </c>
      <c r="N344" s="19" t="str">
        <f aca="true">IF(M344="Overdue",TODAY()-J344,"")</f>
        <v/>
      </c>
      <c r="O344" s="14"/>
    </row>
    <row r="345" customFormat="false" ht="15" hidden="false" customHeight="false" outlineLevel="0" collapsed="false">
      <c r="A345" s="14"/>
      <c r="B345" s="13"/>
      <c r="C345" s="14"/>
      <c r="D345" s="14"/>
      <c r="E345" s="14"/>
      <c r="F345" s="15"/>
      <c r="G345" s="14"/>
      <c r="H345" s="19" t="str">
        <f aca="false">IF(F345="","",IF(G345="Y",F345*Settings!$B$16,0))</f>
        <v/>
      </c>
      <c r="I345" s="19" t="str">
        <f aca="false">IF(F345="","",F345+H345)</f>
        <v/>
      </c>
      <c r="J345" s="18" t="str">
        <f aca="false">IF(B345="","",B345+Settings!$B$17)</f>
        <v/>
      </c>
      <c r="K345" s="13"/>
      <c r="L345" s="15"/>
      <c r="M345" s="17" t="str">
        <f aca="true">IF(F345="","",IF(AND(L345&lt;&gt;"",L345&gt;=I345),"Paid",IF(AND(L345&lt;&gt;"",L345&gt;0),"Part paid",IF(TODAY()&gt;J345,"Overdue","Due"))))</f>
        <v/>
      </c>
      <c r="N345" s="19" t="str">
        <f aca="true">IF(M345="Overdue",TODAY()-J345,"")</f>
        <v/>
      </c>
      <c r="O345" s="14"/>
    </row>
    <row r="346" customFormat="false" ht="15" hidden="false" customHeight="false" outlineLevel="0" collapsed="false">
      <c r="A346" s="14"/>
      <c r="B346" s="13"/>
      <c r="C346" s="14"/>
      <c r="D346" s="14"/>
      <c r="E346" s="14"/>
      <c r="F346" s="15"/>
      <c r="G346" s="14"/>
      <c r="H346" s="19" t="str">
        <f aca="false">IF(F346="","",IF(G346="Y",F346*Settings!$B$16,0))</f>
        <v/>
      </c>
      <c r="I346" s="19" t="str">
        <f aca="false">IF(F346="","",F346+H346)</f>
        <v/>
      </c>
      <c r="J346" s="18" t="str">
        <f aca="false">IF(B346="","",B346+Settings!$B$17)</f>
        <v/>
      </c>
      <c r="K346" s="13"/>
      <c r="L346" s="15"/>
      <c r="M346" s="17" t="str">
        <f aca="true">IF(F346="","",IF(AND(L346&lt;&gt;"",L346&gt;=I346),"Paid",IF(AND(L346&lt;&gt;"",L346&gt;0),"Part paid",IF(TODAY()&gt;J346,"Overdue","Due"))))</f>
        <v/>
      </c>
      <c r="N346" s="19" t="str">
        <f aca="true">IF(M346="Overdue",TODAY()-J346,"")</f>
        <v/>
      </c>
      <c r="O346" s="14"/>
    </row>
    <row r="347" customFormat="false" ht="15" hidden="false" customHeight="false" outlineLevel="0" collapsed="false">
      <c r="A347" s="14"/>
      <c r="B347" s="13"/>
      <c r="C347" s="14"/>
      <c r="D347" s="14"/>
      <c r="E347" s="14"/>
      <c r="F347" s="15"/>
      <c r="G347" s="14"/>
      <c r="H347" s="19" t="str">
        <f aca="false">IF(F347="","",IF(G347="Y",F347*Settings!$B$16,0))</f>
        <v/>
      </c>
      <c r="I347" s="19" t="str">
        <f aca="false">IF(F347="","",F347+H347)</f>
        <v/>
      </c>
      <c r="J347" s="18" t="str">
        <f aca="false">IF(B347="","",B347+Settings!$B$17)</f>
        <v/>
      </c>
      <c r="K347" s="13"/>
      <c r="L347" s="15"/>
      <c r="M347" s="17" t="str">
        <f aca="true">IF(F347="","",IF(AND(L347&lt;&gt;"",L347&gt;=I347),"Paid",IF(AND(L347&lt;&gt;"",L347&gt;0),"Part paid",IF(TODAY()&gt;J347,"Overdue","Due"))))</f>
        <v/>
      </c>
      <c r="N347" s="19" t="str">
        <f aca="true">IF(M347="Overdue",TODAY()-J347,"")</f>
        <v/>
      </c>
      <c r="O347" s="14"/>
    </row>
    <row r="348" customFormat="false" ht="15" hidden="false" customHeight="false" outlineLevel="0" collapsed="false">
      <c r="A348" s="14"/>
      <c r="B348" s="13"/>
      <c r="C348" s="14"/>
      <c r="D348" s="14"/>
      <c r="E348" s="14"/>
      <c r="F348" s="15"/>
      <c r="G348" s="14"/>
      <c r="H348" s="19" t="str">
        <f aca="false">IF(F348="","",IF(G348="Y",F348*Settings!$B$16,0))</f>
        <v/>
      </c>
      <c r="I348" s="19" t="str">
        <f aca="false">IF(F348="","",F348+H348)</f>
        <v/>
      </c>
      <c r="J348" s="18" t="str">
        <f aca="false">IF(B348="","",B348+Settings!$B$17)</f>
        <v/>
      </c>
      <c r="K348" s="13"/>
      <c r="L348" s="15"/>
      <c r="M348" s="17" t="str">
        <f aca="true">IF(F348="","",IF(AND(L348&lt;&gt;"",L348&gt;=I348),"Paid",IF(AND(L348&lt;&gt;"",L348&gt;0),"Part paid",IF(TODAY()&gt;J348,"Overdue","Due"))))</f>
        <v/>
      </c>
      <c r="N348" s="19" t="str">
        <f aca="true">IF(M348="Overdue",TODAY()-J348,"")</f>
        <v/>
      </c>
      <c r="O348" s="14"/>
    </row>
    <row r="349" customFormat="false" ht="15" hidden="false" customHeight="false" outlineLevel="0" collapsed="false">
      <c r="A349" s="14"/>
      <c r="B349" s="13"/>
      <c r="C349" s="14"/>
      <c r="D349" s="14"/>
      <c r="E349" s="14"/>
      <c r="F349" s="15"/>
      <c r="G349" s="14"/>
      <c r="H349" s="19" t="str">
        <f aca="false">IF(F349="","",IF(G349="Y",F349*Settings!$B$16,0))</f>
        <v/>
      </c>
      <c r="I349" s="19" t="str">
        <f aca="false">IF(F349="","",F349+H349)</f>
        <v/>
      </c>
      <c r="J349" s="18" t="str">
        <f aca="false">IF(B349="","",B349+Settings!$B$17)</f>
        <v/>
      </c>
      <c r="K349" s="13"/>
      <c r="L349" s="15"/>
      <c r="M349" s="17" t="str">
        <f aca="true">IF(F349="","",IF(AND(L349&lt;&gt;"",L349&gt;=I349),"Paid",IF(AND(L349&lt;&gt;"",L349&gt;0),"Part paid",IF(TODAY()&gt;J349,"Overdue","Due"))))</f>
        <v/>
      </c>
      <c r="N349" s="19" t="str">
        <f aca="true">IF(M349="Overdue",TODAY()-J349,"")</f>
        <v/>
      </c>
      <c r="O349" s="14"/>
    </row>
    <row r="350" customFormat="false" ht="15" hidden="false" customHeight="false" outlineLevel="0" collapsed="false">
      <c r="A350" s="14"/>
      <c r="B350" s="13"/>
      <c r="C350" s="14"/>
      <c r="D350" s="14"/>
      <c r="E350" s="14"/>
      <c r="F350" s="15"/>
      <c r="G350" s="14"/>
      <c r="H350" s="19" t="str">
        <f aca="false">IF(F350="","",IF(G350="Y",F350*Settings!$B$16,0))</f>
        <v/>
      </c>
      <c r="I350" s="19" t="str">
        <f aca="false">IF(F350="","",F350+H350)</f>
        <v/>
      </c>
      <c r="J350" s="18" t="str">
        <f aca="false">IF(B350="","",B350+Settings!$B$17)</f>
        <v/>
      </c>
      <c r="K350" s="13"/>
      <c r="L350" s="15"/>
      <c r="M350" s="17" t="str">
        <f aca="true">IF(F350="","",IF(AND(L350&lt;&gt;"",L350&gt;=I350),"Paid",IF(AND(L350&lt;&gt;"",L350&gt;0),"Part paid",IF(TODAY()&gt;J350,"Overdue","Due"))))</f>
        <v/>
      </c>
      <c r="N350" s="19" t="str">
        <f aca="true">IF(M350="Overdue",TODAY()-J350,"")</f>
        <v/>
      </c>
      <c r="O350" s="14"/>
    </row>
    <row r="351" customFormat="false" ht="15" hidden="false" customHeight="false" outlineLevel="0" collapsed="false">
      <c r="A351" s="14"/>
      <c r="B351" s="13"/>
      <c r="C351" s="14"/>
      <c r="D351" s="14"/>
      <c r="E351" s="14"/>
      <c r="F351" s="15"/>
      <c r="G351" s="14"/>
      <c r="H351" s="19" t="str">
        <f aca="false">IF(F351="","",IF(G351="Y",F351*Settings!$B$16,0))</f>
        <v/>
      </c>
      <c r="I351" s="19" t="str">
        <f aca="false">IF(F351="","",F351+H351)</f>
        <v/>
      </c>
      <c r="J351" s="18" t="str">
        <f aca="false">IF(B351="","",B351+Settings!$B$17)</f>
        <v/>
      </c>
      <c r="K351" s="13"/>
      <c r="L351" s="15"/>
      <c r="M351" s="17" t="str">
        <f aca="true">IF(F351="","",IF(AND(L351&lt;&gt;"",L351&gt;=I351),"Paid",IF(AND(L351&lt;&gt;"",L351&gt;0),"Part paid",IF(TODAY()&gt;J351,"Overdue","Due"))))</f>
        <v/>
      </c>
      <c r="N351" s="19" t="str">
        <f aca="true">IF(M351="Overdue",TODAY()-J351,"")</f>
        <v/>
      </c>
      <c r="O351" s="14"/>
    </row>
    <row r="352" customFormat="false" ht="15" hidden="false" customHeight="false" outlineLevel="0" collapsed="false">
      <c r="A352" s="14"/>
      <c r="B352" s="13"/>
      <c r="C352" s="14"/>
      <c r="D352" s="14"/>
      <c r="E352" s="14"/>
      <c r="F352" s="15"/>
      <c r="G352" s="14"/>
      <c r="H352" s="19" t="str">
        <f aca="false">IF(F352="","",IF(G352="Y",F352*Settings!$B$16,0))</f>
        <v/>
      </c>
      <c r="I352" s="19" t="str">
        <f aca="false">IF(F352="","",F352+H352)</f>
        <v/>
      </c>
      <c r="J352" s="18" t="str">
        <f aca="false">IF(B352="","",B352+Settings!$B$17)</f>
        <v/>
      </c>
      <c r="K352" s="13"/>
      <c r="L352" s="15"/>
      <c r="M352" s="17" t="str">
        <f aca="true">IF(F352="","",IF(AND(L352&lt;&gt;"",L352&gt;=I352),"Paid",IF(AND(L352&lt;&gt;"",L352&gt;0),"Part paid",IF(TODAY()&gt;J352,"Overdue","Due"))))</f>
        <v/>
      </c>
      <c r="N352" s="19" t="str">
        <f aca="true">IF(M352="Overdue",TODAY()-J352,"")</f>
        <v/>
      </c>
      <c r="O352" s="14"/>
    </row>
    <row r="353" customFormat="false" ht="15" hidden="false" customHeight="false" outlineLevel="0" collapsed="false">
      <c r="A353" s="14"/>
      <c r="B353" s="13"/>
      <c r="C353" s="14"/>
      <c r="D353" s="14"/>
      <c r="E353" s="14"/>
      <c r="F353" s="15"/>
      <c r="G353" s="14"/>
      <c r="H353" s="19" t="str">
        <f aca="false">IF(F353="","",IF(G353="Y",F353*Settings!$B$16,0))</f>
        <v/>
      </c>
      <c r="I353" s="19" t="str">
        <f aca="false">IF(F353="","",F353+H353)</f>
        <v/>
      </c>
      <c r="J353" s="18" t="str">
        <f aca="false">IF(B353="","",B353+Settings!$B$17)</f>
        <v/>
      </c>
      <c r="K353" s="13"/>
      <c r="L353" s="15"/>
      <c r="M353" s="17" t="str">
        <f aca="true">IF(F353="","",IF(AND(L353&lt;&gt;"",L353&gt;=I353),"Paid",IF(AND(L353&lt;&gt;"",L353&gt;0),"Part paid",IF(TODAY()&gt;J353,"Overdue","Due"))))</f>
        <v/>
      </c>
      <c r="N353" s="19" t="str">
        <f aca="true">IF(M353="Overdue",TODAY()-J353,"")</f>
        <v/>
      </c>
      <c r="O353" s="14"/>
    </row>
    <row r="354" customFormat="false" ht="15" hidden="false" customHeight="false" outlineLevel="0" collapsed="false">
      <c r="A354" s="14"/>
      <c r="B354" s="13"/>
      <c r="C354" s="14"/>
      <c r="D354" s="14"/>
      <c r="E354" s="14"/>
      <c r="F354" s="15"/>
      <c r="G354" s="14"/>
      <c r="H354" s="19" t="str">
        <f aca="false">IF(F354="","",IF(G354="Y",F354*Settings!$B$16,0))</f>
        <v/>
      </c>
      <c r="I354" s="19" t="str">
        <f aca="false">IF(F354="","",F354+H354)</f>
        <v/>
      </c>
      <c r="J354" s="18" t="str">
        <f aca="false">IF(B354="","",B354+Settings!$B$17)</f>
        <v/>
      </c>
      <c r="K354" s="13"/>
      <c r="L354" s="15"/>
      <c r="M354" s="17" t="str">
        <f aca="true">IF(F354="","",IF(AND(L354&lt;&gt;"",L354&gt;=I354),"Paid",IF(AND(L354&lt;&gt;"",L354&gt;0),"Part paid",IF(TODAY()&gt;J354,"Overdue","Due"))))</f>
        <v/>
      </c>
      <c r="N354" s="19" t="str">
        <f aca="true">IF(M354="Overdue",TODAY()-J354,"")</f>
        <v/>
      </c>
      <c r="O354" s="14"/>
    </row>
    <row r="355" customFormat="false" ht="15" hidden="false" customHeight="false" outlineLevel="0" collapsed="false">
      <c r="A355" s="14"/>
      <c r="B355" s="13"/>
      <c r="C355" s="14"/>
      <c r="D355" s="14"/>
      <c r="E355" s="14"/>
      <c r="F355" s="15"/>
      <c r="G355" s="14"/>
      <c r="H355" s="19" t="str">
        <f aca="false">IF(F355="","",IF(G355="Y",F355*Settings!$B$16,0))</f>
        <v/>
      </c>
      <c r="I355" s="19" t="str">
        <f aca="false">IF(F355="","",F355+H355)</f>
        <v/>
      </c>
      <c r="J355" s="18" t="str">
        <f aca="false">IF(B355="","",B355+Settings!$B$17)</f>
        <v/>
      </c>
      <c r="K355" s="13"/>
      <c r="L355" s="15"/>
      <c r="M355" s="17" t="str">
        <f aca="true">IF(F355="","",IF(AND(L355&lt;&gt;"",L355&gt;=I355),"Paid",IF(AND(L355&lt;&gt;"",L355&gt;0),"Part paid",IF(TODAY()&gt;J355,"Overdue","Due"))))</f>
        <v/>
      </c>
      <c r="N355" s="19" t="str">
        <f aca="true">IF(M355="Overdue",TODAY()-J355,"")</f>
        <v/>
      </c>
      <c r="O355" s="14"/>
    </row>
    <row r="356" customFormat="false" ht="15" hidden="false" customHeight="false" outlineLevel="0" collapsed="false">
      <c r="A356" s="14"/>
      <c r="B356" s="13"/>
      <c r="C356" s="14"/>
      <c r="D356" s="14"/>
      <c r="E356" s="14"/>
      <c r="F356" s="15"/>
      <c r="G356" s="14"/>
      <c r="H356" s="19" t="str">
        <f aca="false">IF(F356="","",IF(G356="Y",F356*Settings!$B$16,0))</f>
        <v/>
      </c>
      <c r="I356" s="19" t="str">
        <f aca="false">IF(F356="","",F356+H356)</f>
        <v/>
      </c>
      <c r="J356" s="18" t="str">
        <f aca="false">IF(B356="","",B356+Settings!$B$17)</f>
        <v/>
      </c>
      <c r="K356" s="13"/>
      <c r="L356" s="15"/>
      <c r="M356" s="17" t="str">
        <f aca="true">IF(F356="","",IF(AND(L356&lt;&gt;"",L356&gt;=I356),"Paid",IF(AND(L356&lt;&gt;"",L356&gt;0),"Part paid",IF(TODAY()&gt;J356,"Overdue","Due"))))</f>
        <v/>
      </c>
      <c r="N356" s="19" t="str">
        <f aca="true">IF(M356="Overdue",TODAY()-J356,"")</f>
        <v/>
      </c>
      <c r="O356" s="14"/>
    </row>
    <row r="357" customFormat="false" ht="15" hidden="false" customHeight="false" outlineLevel="0" collapsed="false">
      <c r="A357" s="14"/>
      <c r="B357" s="13"/>
      <c r="C357" s="14"/>
      <c r="D357" s="14"/>
      <c r="E357" s="14"/>
      <c r="F357" s="15"/>
      <c r="G357" s="14"/>
      <c r="H357" s="19" t="str">
        <f aca="false">IF(F357="","",IF(G357="Y",F357*Settings!$B$16,0))</f>
        <v/>
      </c>
      <c r="I357" s="19" t="str">
        <f aca="false">IF(F357="","",F357+H357)</f>
        <v/>
      </c>
      <c r="J357" s="18" t="str">
        <f aca="false">IF(B357="","",B357+Settings!$B$17)</f>
        <v/>
      </c>
      <c r="K357" s="13"/>
      <c r="L357" s="15"/>
      <c r="M357" s="17" t="str">
        <f aca="true">IF(F357="","",IF(AND(L357&lt;&gt;"",L357&gt;=I357),"Paid",IF(AND(L357&lt;&gt;"",L357&gt;0),"Part paid",IF(TODAY()&gt;J357,"Overdue","Due"))))</f>
        <v/>
      </c>
      <c r="N357" s="19" t="str">
        <f aca="true">IF(M357="Overdue",TODAY()-J357,"")</f>
        <v/>
      </c>
      <c r="O357" s="14"/>
    </row>
    <row r="358" customFormat="false" ht="15" hidden="false" customHeight="false" outlineLevel="0" collapsed="false">
      <c r="A358" s="14"/>
      <c r="B358" s="13"/>
      <c r="C358" s="14"/>
      <c r="D358" s="14"/>
      <c r="E358" s="14"/>
      <c r="F358" s="15"/>
      <c r="G358" s="14"/>
      <c r="H358" s="19" t="str">
        <f aca="false">IF(F358="","",IF(G358="Y",F358*Settings!$B$16,0))</f>
        <v/>
      </c>
      <c r="I358" s="19" t="str">
        <f aca="false">IF(F358="","",F358+H358)</f>
        <v/>
      </c>
      <c r="J358" s="18" t="str">
        <f aca="false">IF(B358="","",B358+Settings!$B$17)</f>
        <v/>
      </c>
      <c r="K358" s="13"/>
      <c r="L358" s="15"/>
      <c r="M358" s="17" t="str">
        <f aca="true">IF(F358="","",IF(AND(L358&lt;&gt;"",L358&gt;=I358),"Paid",IF(AND(L358&lt;&gt;"",L358&gt;0),"Part paid",IF(TODAY()&gt;J358,"Overdue","Due"))))</f>
        <v/>
      </c>
      <c r="N358" s="19" t="str">
        <f aca="true">IF(M358="Overdue",TODAY()-J358,"")</f>
        <v/>
      </c>
      <c r="O358" s="14"/>
    </row>
    <row r="359" customFormat="false" ht="15" hidden="false" customHeight="false" outlineLevel="0" collapsed="false">
      <c r="A359" s="14"/>
      <c r="B359" s="13"/>
      <c r="C359" s="14"/>
      <c r="D359" s="14"/>
      <c r="E359" s="14"/>
      <c r="F359" s="15"/>
      <c r="G359" s="14"/>
      <c r="H359" s="19" t="str">
        <f aca="false">IF(F359="","",IF(G359="Y",F359*Settings!$B$16,0))</f>
        <v/>
      </c>
      <c r="I359" s="19" t="str">
        <f aca="false">IF(F359="","",F359+H359)</f>
        <v/>
      </c>
      <c r="J359" s="18" t="str">
        <f aca="false">IF(B359="","",B359+Settings!$B$17)</f>
        <v/>
      </c>
      <c r="K359" s="13"/>
      <c r="L359" s="15"/>
      <c r="M359" s="17" t="str">
        <f aca="true">IF(F359="","",IF(AND(L359&lt;&gt;"",L359&gt;=I359),"Paid",IF(AND(L359&lt;&gt;"",L359&gt;0),"Part paid",IF(TODAY()&gt;J359,"Overdue","Due"))))</f>
        <v/>
      </c>
      <c r="N359" s="19" t="str">
        <f aca="true">IF(M359="Overdue",TODAY()-J359,"")</f>
        <v/>
      </c>
      <c r="O359" s="14"/>
    </row>
    <row r="360" customFormat="false" ht="15" hidden="false" customHeight="false" outlineLevel="0" collapsed="false">
      <c r="A360" s="14"/>
      <c r="B360" s="13"/>
      <c r="C360" s="14"/>
      <c r="D360" s="14"/>
      <c r="E360" s="14"/>
      <c r="F360" s="15"/>
      <c r="G360" s="14"/>
      <c r="H360" s="19" t="str">
        <f aca="false">IF(F360="","",IF(G360="Y",F360*Settings!$B$16,0))</f>
        <v/>
      </c>
      <c r="I360" s="19" t="str">
        <f aca="false">IF(F360="","",F360+H360)</f>
        <v/>
      </c>
      <c r="J360" s="18" t="str">
        <f aca="false">IF(B360="","",B360+Settings!$B$17)</f>
        <v/>
      </c>
      <c r="K360" s="13"/>
      <c r="L360" s="15"/>
      <c r="M360" s="17" t="str">
        <f aca="true">IF(F360="","",IF(AND(L360&lt;&gt;"",L360&gt;=I360),"Paid",IF(AND(L360&lt;&gt;"",L360&gt;0),"Part paid",IF(TODAY()&gt;J360,"Overdue","Due"))))</f>
        <v/>
      </c>
      <c r="N360" s="19" t="str">
        <f aca="true">IF(M360="Overdue",TODAY()-J360,"")</f>
        <v/>
      </c>
      <c r="O360" s="14"/>
    </row>
    <row r="361" customFormat="false" ht="15" hidden="false" customHeight="false" outlineLevel="0" collapsed="false">
      <c r="A361" s="14"/>
      <c r="B361" s="13"/>
      <c r="C361" s="14"/>
      <c r="D361" s="14"/>
      <c r="E361" s="14"/>
      <c r="F361" s="15"/>
      <c r="G361" s="14"/>
      <c r="H361" s="19" t="str">
        <f aca="false">IF(F361="","",IF(G361="Y",F361*Settings!$B$16,0))</f>
        <v/>
      </c>
      <c r="I361" s="19" t="str">
        <f aca="false">IF(F361="","",F361+H361)</f>
        <v/>
      </c>
      <c r="J361" s="18" t="str">
        <f aca="false">IF(B361="","",B361+Settings!$B$17)</f>
        <v/>
      </c>
      <c r="K361" s="13"/>
      <c r="L361" s="15"/>
      <c r="M361" s="17" t="str">
        <f aca="true">IF(F361="","",IF(AND(L361&lt;&gt;"",L361&gt;=I361),"Paid",IF(AND(L361&lt;&gt;"",L361&gt;0),"Part paid",IF(TODAY()&gt;J361,"Overdue","Due"))))</f>
        <v/>
      </c>
      <c r="N361" s="19" t="str">
        <f aca="true">IF(M361="Overdue",TODAY()-J361,"")</f>
        <v/>
      </c>
      <c r="O361" s="14"/>
    </row>
    <row r="362" customFormat="false" ht="15" hidden="false" customHeight="false" outlineLevel="0" collapsed="false">
      <c r="A362" s="14"/>
      <c r="B362" s="13"/>
      <c r="C362" s="14"/>
      <c r="D362" s="14"/>
      <c r="E362" s="14"/>
      <c r="F362" s="15"/>
      <c r="G362" s="14"/>
      <c r="H362" s="19" t="str">
        <f aca="false">IF(F362="","",IF(G362="Y",F362*Settings!$B$16,0))</f>
        <v/>
      </c>
      <c r="I362" s="19" t="str">
        <f aca="false">IF(F362="","",F362+H362)</f>
        <v/>
      </c>
      <c r="J362" s="18" t="str">
        <f aca="false">IF(B362="","",B362+Settings!$B$17)</f>
        <v/>
      </c>
      <c r="K362" s="13"/>
      <c r="L362" s="15"/>
      <c r="M362" s="17" t="str">
        <f aca="true">IF(F362="","",IF(AND(L362&lt;&gt;"",L362&gt;=I362),"Paid",IF(AND(L362&lt;&gt;"",L362&gt;0),"Part paid",IF(TODAY()&gt;J362,"Overdue","Due"))))</f>
        <v/>
      </c>
      <c r="N362" s="19" t="str">
        <f aca="true">IF(M362="Overdue",TODAY()-J362,"")</f>
        <v/>
      </c>
      <c r="O362" s="14"/>
    </row>
    <row r="363" customFormat="false" ht="15" hidden="false" customHeight="false" outlineLevel="0" collapsed="false">
      <c r="A363" s="14"/>
      <c r="B363" s="13"/>
      <c r="C363" s="14"/>
      <c r="D363" s="14"/>
      <c r="E363" s="14"/>
      <c r="F363" s="15"/>
      <c r="G363" s="14"/>
      <c r="H363" s="19" t="str">
        <f aca="false">IF(F363="","",IF(G363="Y",F363*Settings!$B$16,0))</f>
        <v/>
      </c>
      <c r="I363" s="19" t="str">
        <f aca="false">IF(F363="","",F363+H363)</f>
        <v/>
      </c>
      <c r="J363" s="18" t="str">
        <f aca="false">IF(B363="","",B363+Settings!$B$17)</f>
        <v/>
      </c>
      <c r="K363" s="13"/>
      <c r="L363" s="15"/>
      <c r="M363" s="17" t="str">
        <f aca="true">IF(F363="","",IF(AND(L363&lt;&gt;"",L363&gt;=I363),"Paid",IF(AND(L363&lt;&gt;"",L363&gt;0),"Part paid",IF(TODAY()&gt;J363,"Overdue","Due"))))</f>
        <v/>
      </c>
      <c r="N363" s="19" t="str">
        <f aca="true">IF(M363="Overdue",TODAY()-J363,"")</f>
        <v/>
      </c>
      <c r="O363" s="14"/>
    </row>
    <row r="364" customFormat="false" ht="15" hidden="false" customHeight="false" outlineLevel="0" collapsed="false">
      <c r="A364" s="14"/>
      <c r="B364" s="13"/>
      <c r="C364" s="14"/>
      <c r="D364" s="14"/>
      <c r="E364" s="14"/>
      <c r="F364" s="15"/>
      <c r="G364" s="14"/>
      <c r="H364" s="19" t="str">
        <f aca="false">IF(F364="","",IF(G364="Y",F364*Settings!$B$16,0))</f>
        <v/>
      </c>
      <c r="I364" s="19" t="str">
        <f aca="false">IF(F364="","",F364+H364)</f>
        <v/>
      </c>
      <c r="J364" s="18" t="str">
        <f aca="false">IF(B364="","",B364+Settings!$B$17)</f>
        <v/>
      </c>
      <c r="K364" s="13"/>
      <c r="L364" s="15"/>
      <c r="M364" s="17" t="str">
        <f aca="true">IF(F364="","",IF(AND(L364&lt;&gt;"",L364&gt;=I364),"Paid",IF(AND(L364&lt;&gt;"",L364&gt;0),"Part paid",IF(TODAY()&gt;J364,"Overdue","Due"))))</f>
        <v/>
      </c>
      <c r="N364" s="19" t="str">
        <f aca="true">IF(M364="Overdue",TODAY()-J364,"")</f>
        <v/>
      </c>
      <c r="O364" s="14"/>
    </row>
    <row r="365" customFormat="false" ht="15" hidden="false" customHeight="false" outlineLevel="0" collapsed="false">
      <c r="A365" s="14"/>
      <c r="B365" s="13"/>
      <c r="C365" s="14"/>
      <c r="D365" s="14"/>
      <c r="E365" s="14"/>
      <c r="F365" s="15"/>
      <c r="G365" s="14"/>
      <c r="H365" s="19" t="str">
        <f aca="false">IF(F365="","",IF(G365="Y",F365*Settings!$B$16,0))</f>
        <v/>
      </c>
      <c r="I365" s="19" t="str">
        <f aca="false">IF(F365="","",F365+H365)</f>
        <v/>
      </c>
      <c r="J365" s="18" t="str">
        <f aca="false">IF(B365="","",B365+Settings!$B$17)</f>
        <v/>
      </c>
      <c r="K365" s="13"/>
      <c r="L365" s="15"/>
      <c r="M365" s="17" t="str">
        <f aca="true">IF(F365="","",IF(AND(L365&lt;&gt;"",L365&gt;=I365),"Paid",IF(AND(L365&lt;&gt;"",L365&gt;0),"Part paid",IF(TODAY()&gt;J365,"Overdue","Due"))))</f>
        <v/>
      </c>
      <c r="N365" s="19" t="str">
        <f aca="true">IF(M365="Overdue",TODAY()-J365,"")</f>
        <v/>
      </c>
      <c r="O365" s="14"/>
    </row>
    <row r="366" customFormat="false" ht="15" hidden="false" customHeight="false" outlineLevel="0" collapsed="false">
      <c r="A366" s="14"/>
      <c r="B366" s="13"/>
      <c r="C366" s="14"/>
      <c r="D366" s="14"/>
      <c r="E366" s="14"/>
      <c r="F366" s="15"/>
      <c r="G366" s="14"/>
      <c r="H366" s="19" t="str">
        <f aca="false">IF(F366="","",IF(G366="Y",F366*Settings!$B$16,0))</f>
        <v/>
      </c>
      <c r="I366" s="19" t="str">
        <f aca="false">IF(F366="","",F366+H366)</f>
        <v/>
      </c>
      <c r="J366" s="18" t="str">
        <f aca="false">IF(B366="","",B366+Settings!$B$17)</f>
        <v/>
      </c>
      <c r="K366" s="13"/>
      <c r="L366" s="15"/>
      <c r="M366" s="17" t="str">
        <f aca="true">IF(F366="","",IF(AND(L366&lt;&gt;"",L366&gt;=I366),"Paid",IF(AND(L366&lt;&gt;"",L366&gt;0),"Part paid",IF(TODAY()&gt;J366,"Overdue","Due"))))</f>
        <v/>
      </c>
      <c r="N366" s="19" t="str">
        <f aca="true">IF(M366="Overdue",TODAY()-J366,"")</f>
        <v/>
      </c>
      <c r="O366" s="14"/>
    </row>
    <row r="367" customFormat="false" ht="15" hidden="false" customHeight="false" outlineLevel="0" collapsed="false">
      <c r="A367" s="14"/>
      <c r="B367" s="13"/>
      <c r="C367" s="14"/>
      <c r="D367" s="14"/>
      <c r="E367" s="14"/>
      <c r="F367" s="15"/>
      <c r="G367" s="14"/>
      <c r="H367" s="19" t="str">
        <f aca="false">IF(F367="","",IF(G367="Y",F367*Settings!$B$16,0))</f>
        <v/>
      </c>
      <c r="I367" s="19" t="str">
        <f aca="false">IF(F367="","",F367+H367)</f>
        <v/>
      </c>
      <c r="J367" s="18" t="str">
        <f aca="false">IF(B367="","",B367+Settings!$B$17)</f>
        <v/>
      </c>
      <c r="K367" s="13"/>
      <c r="L367" s="15"/>
      <c r="M367" s="17" t="str">
        <f aca="true">IF(F367="","",IF(AND(L367&lt;&gt;"",L367&gt;=I367),"Paid",IF(AND(L367&lt;&gt;"",L367&gt;0),"Part paid",IF(TODAY()&gt;J367,"Overdue","Due"))))</f>
        <v/>
      </c>
      <c r="N367" s="19" t="str">
        <f aca="true">IF(M367="Overdue",TODAY()-J367,"")</f>
        <v/>
      </c>
      <c r="O367" s="14"/>
    </row>
    <row r="368" customFormat="false" ht="15" hidden="false" customHeight="false" outlineLevel="0" collapsed="false">
      <c r="A368" s="14"/>
      <c r="B368" s="13"/>
      <c r="C368" s="14"/>
      <c r="D368" s="14"/>
      <c r="E368" s="14"/>
      <c r="F368" s="15"/>
      <c r="G368" s="14"/>
      <c r="H368" s="19" t="str">
        <f aca="false">IF(F368="","",IF(G368="Y",F368*Settings!$B$16,0))</f>
        <v/>
      </c>
      <c r="I368" s="19" t="str">
        <f aca="false">IF(F368="","",F368+H368)</f>
        <v/>
      </c>
      <c r="J368" s="18" t="str">
        <f aca="false">IF(B368="","",B368+Settings!$B$17)</f>
        <v/>
      </c>
      <c r="K368" s="13"/>
      <c r="L368" s="15"/>
      <c r="M368" s="17" t="str">
        <f aca="true">IF(F368="","",IF(AND(L368&lt;&gt;"",L368&gt;=I368),"Paid",IF(AND(L368&lt;&gt;"",L368&gt;0),"Part paid",IF(TODAY()&gt;J368,"Overdue","Due"))))</f>
        <v/>
      </c>
      <c r="N368" s="19" t="str">
        <f aca="true">IF(M368="Overdue",TODAY()-J368,"")</f>
        <v/>
      </c>
      <c r="O368" s="14"/>
    </row>
    <row r="369" customFormat="false" ht="15" hidden="false" customHeight="false" outlineLevel="0" collapsed="false">
      <c r="A369" s="14"/>
      <c r="B369" s="13"/>
      <c r="C369" s="14"/>
      <c r="D369" s="14"/>
      <c r="E369" s="14"/>
      <c r="F369" s="15"/>
      <c r="G369" s="14"/>
      <c r="H369" s="19" t="str">
        <f aca="false">IF(F369="","",IF(G369="Y",F369*Settings!$B$16,0))</f>
        <v/>
      </c>
      <c r="I369" s="19" t="str">
        <f aca="false">IF(F369="","",F369+H369)</f>
        <v/>
      </c>
      <c r="J369" s="18" t="str">
        <f aca="false">IF(B369="","",B369+Settings!$B$17)</f>
        <v/>
      </c>
      <c r="K369" s="13"/>
      <c r="L369" s="15"/>
      <c r="M369" s="17" t="str">
        <f aca="true">IF(F369="","",IF(AND(L369&lt;&gt;"",L369&gt;=I369),"Paid",IF(AND(L369&lt;&gt;"",L369&gt;0),"Part paid",IF(TODAY()&gt;J369,"Overdue","Due"))))</f>
        <v/>
      </c>
      <c r="N369" s="19" t="str">
        <f aca="true">IF(M369="Overdue",TODAY()-J369,"")</f>
        <v/>
      </c>
      <c r="O369" s="14"/>
    </row>
    <row r="370" customFormat="false" ht="15" hidden="false" customHeight="false" outlineLevel="0" collapsed="false">
      <c r="A370" s="14"/>
      <c r="B370" s="13"/>
      <c r="C370" s="14"/>
      <c r="D370" s="14"/>
      <c r="E370" s="14"/>
      <c r="F370" s="15"/>
      <c r="G370" s="14"/>
      <c r="H370" s="19" t="str">
        <f aca="false">IF(F370="","",IF(G370="Y",F370*Settings!$B$16,0))</f>
        <v/>
      </c>
      <c r="I370" s="19" t="str">
        <f aca="false">IF(F370="","",F370+H370)</f>
        <v/>
      </c>
      <c r="J370" s="18" t="str">
        <f aca="false">IF(B370="","",B370+Settings!$B$17)</f>
        <v/>
      </c>
      <c r="K370" s="13"/>
      <c r="L370" s="15"/>
      <c r="M370" s="17" t="str">
        <f aca="true">IF(F370="","",IF(AND(L370&lt;&gt;"",L370&gt;=I370),"Paid",IF(AND(L370&lt;&gt;"",L370&gt;0),"Part paid",IF(TODAY()&gt;J370,"Overdue","Due"))))</f>
        <v/>
      </c>
      <c r="N370" s="19" t="str">
        <f aca="true">IF(M370="Overdue",TODAY()-J370,"")</f>
        <v/>
      </c>
      <c r="O370" s="14"/>
    </row>
    <row r="371" customFormat="false" ht="15" hidden="false" customHeight="false" outlineLevel="0" collapsed="false">
      <c r="A371" s="14"/>
      <c r="B371" s="13"/>
      <c r="C371" s="14"/>
      <c r="D371" s="14"/>
      <c r="E371" s="14"/>
      <c r="F371" s="15"/>
      <c r="G371" s="14"/>
      <c r="H371" s="19" t="str">
        <f aca="false">IF(F371="","",IF(G371="Y",F371*Settings!$B$16,0))</f>
        <v/>
      </c>
      <c r="I371" s="19" t="str">
        <f aca="false">IF(F371="","",F371+H371)</f>
        <v/>
      </c>
      <c r="J371" s="18" t="str">
        <f aca="false">IF(B371="","",B371+Settings!$B$17)</f>
        <v/>
      </c>
      <c r="K371" s="13"/>
      <c r="L371" s="15"/>
      <c r="M371" s="17" t="str">
        <f aca="true">IF(F371="","",IF(AND(L371&lt;&gt;"",L371&gt;=I371),"Paid",IF(AND(L371&lt;&gt;"",L371&gt;0),"Part paid",IF(TODAY()&gt;J371,"Overdue","Due"))))</f>
        <v/>
      </c>
      <c r="N371" s="19" t="str">
        <f aca="true">IF(M371="Overdue",TODAY()-J371,"")</f>
        <v/>
      </c>
      <c r="O371" s="14"/>
    </row>
    <row r="372" customFormat="false" ht="15" hidden="false" customHeight="false" outlineLevel="0" collapsed="false">
      <c r="A372" s="14"/>
      <c r="B372" s="13"/>
      <c r="C372" s="14"/>
      <c r="D372" s="14"/>
      <c r="E372" s="14"/>
      <c r="F372" s="15"/>
      <c r="G372" s="14"/>
      <c r="H372" s="19" t="str">
        <f aca="false">IF(F372="","",IF(G372="Y",F372*Settings!$B$16,0))</f>
        <v/>
      </c>
      <c r="I372" s="19" t="str">
        <f aca="false">IF(F372="","",F372+H372)</f>
        <v/>
      </c>
      <c r="J372" s="18" t="str">
        <f aca="false">IF(B372="","",B372+Settings!$B$17)</f>
        <v/>
      </c>
      <c r="K372" s="13"/>
      <c r="L372" s="15"/>
      <c r="M372" s="17" t="str">
        <f aca="true">IF(F372="","",IF(AND(L372&lt;&gt;"",L372&gt;=I372),"Paid",IF(AND(L372&lt;&gt;"",L372&gt;0),"Part paid",IF(TODAY()&gt;J372,"Overdue","Due"))))</f>
        <v/>
      </c>
      <c r="N372" s="19" t="str">
        <f aca="true">IF(M372="Overdue",TODAY()-J372,"")</f>
        <v/>
      </c>
      <c r="O372" s="14"/>
    </row>
    <row r="373" customFormat="false" ht="15" hidden="false" customHeight="false" outlineLevel="0" collapsed="false">
      <c r="A373" s="14"/>
      <c r="B373" s="13"/>
      <c r="C373" s="14"/>
      <c r="D373" s="14"/>
      <c r="E373" s="14"/>
      <c r="F373" s="15"/>
      <c r="G373" s="14"/>
      <c r="H373" s="19" t="str">
        <f aca="false">IF(F373="","",IF(G373="Y",F373*Settings!$B$16,0))</f>
        <v/>
      </c>
      <c r="I373" s="19" t="str">
        <f aca="false">IF(F373="","",F373+H373)</f>
        <v/>
      </c>
      <c r="J373" s="18" t="str">
        <f aca="false">IF(B373="","",B373+Settings!$B$17)</f>
        <v/>
      </c>
      <c r="K373" s="13"/>
      <c r="L373" s="15"/>
      <c r="M373" s="17" t="str">
        <f aca="true">IF(F373="","",IF(AND(L373&lt;&gt;"",L373&gt;=I373),"Paid",IF(AND(L373&lt;&gt;"",L373&gt;0),"Part paid",IF(TODAY()&gt;J373,"Overdue","Due"))))</f>
        <v/>
      </c>
      <c r="N373" s="19" t="str">
        <f aca="true">IF(M373="Overdue",TODAY()-J373,"")</f>
        <v/>
      </c>
      <c r="O373" s="14"/>
    </row>
    <row r="374" customFormat="false" ht="15" hidden="false" customHeight="false" outlineLevel="0" collapsed="false">
      <c r="A374" s="14"/>
      <c r="B374" s="13"/>
      <c r="C374" s="14"/>
      <c r="D374" s="14"/>
      <c r="E374" s="14"/>
      <c r="F374" s="15"/>
      <c r="G374" s="14"/>
      <c r="H374" s="19" t="str">
        <f aca="false">IF(F374="","",IF(G374="Y",F374*Settings!$B$16,0))</f>
        <v/>
      </c>
      <c r="I374" s="19" t="str">
        <f aca="false">IF(F374="","",F374+H374)</f>
        <v/>
      </c>
      <c r="J374" s="18" t="str">
        <f aca="false">IF(B374="","",B374+Settings!$B$17)</f>
        <v/>
      </c>
      <c r="K374" s="13"/>
      <c r="L374" s="15"/>
      <c r="M374" s="17" t="str">
        <f aca="true">IF(F374="","",IF(AND(L374&lt;&gt;"",L374&gt;=I374),"Paid",IF(AND(L374&lt;&gt;"",L374&gt;0),"Part paid",IF(TODAY()&gt;J374,"Overdue","Due"))))</f>
        <v/>
      </c>
      <c r="N374" s="19" t="str">
        <f aca="true">IF(M374="Overdue",TODAY()-J374,"")</f>
        <v/>
      </c>
      <c r="O374" s="14"/>
    </row>
    <row r="375" customFormat="false" ht="15" hidden="false" customHeight="false" outlineLevel="0" collapsed="false">
      <c r="A375" s="14"/>
      <c r="B375" s="13"/>
      <c r="C375" s="14"/>
      <c r="D375" s="14"/>
      <c r="E375" s="14"/>
      <c r="F375" s="15"/>
      <c r="G375" s="14"/>
      <c r="H375" s="19" t="str">
        <f aca="false">IF(F375="","",IF(G375="Y",F375*Settings!$B$16,0))</f>
        <v/>
      </c>
      <c r="I375" s="19" t="str">
        <f aca="false">IF(F375="","",F375+H375)</f>
        <v/>
      </c>
      <c r="J375" s="18" t="str">
        <f aca="false">IF(B375="","",B375+Settings!$B$17)</f>
        <v/>
      </c>
      <c r="K375" s="13"/>
      <c r="L375" s="15"/>
      <c r="M375" s="17" t="str">
        <f aca="true">IF(F375="","",IF(AND(L375&lt;&gt;"",L375&gt;=I375),"Paid",IF(AND(L375&lt;&gt;"",L375&gt;0),"Part paid",IF(TODAY()&gt;J375,"Overdue","Due"))))</f>
        <v/>
      </c>
      <c r="N375" s="19" t="str">
        <f aca="true">IF(M375="Overdue",TODAY()-J375,"")</f>
        <v/>
      </c>
      <c r="O375" s="14"/>
    </row>
    <row r="376" customFormat="false" ht="15" hidden="false" customHeight="false" outlineLevel="0" collapsed="false">
      <c r="A376" s="14"/>
      <c r="B376" s="13"/>
      <c r="C376" s="14"/>
      <c r="D376" s="14"/>
      <c r="E376" s="14"/>
      <c r="F376" s="15"/>
      <c r="G376" s="14"/>
      <c r="H376" s="19" t="str">
        <f aca="false">IF(F376="","",IF(G376="Y",F376*Settings!$B$16,0))</f>
        <v/>
      </c>
      <c r="I376" s="19" t="str">
        <f aca="false">IF(F376="","",F376+H376)</f>
        <v/>
      </c>
      <c r="J376" s="18" t="str">
        <f aca="false">IF(B376="","",B376+Settings!$B$17)</f>
        <v/>
      </c>
      <c r="K376" s="13"/>
      <c r="L376" s="15"/>
      <c r="M376" s="17" t="str">
        <f aca="true">IF(F376="","",IF(AND(L376&lt;&gt;"",L376&gt;=I376),"Paid",IF(AND(L376&lt;&gt;"",L376&gt;0),"Part paid",IF(TODAY()&gt;J376,"Overdue","Due"))))</f>
        <v/>
      </c>
      <c r="N376" s="19" t="str">
        <f aca="true">IF(M376="Overdue",TODAY()-J376,"")</f>
        <v/>
      </c>
      <c r="O376" s="14"/>
    </row>
    <row r="377" customFormat="false" ht="15" hidden="false" customHeight="false" outlineLevel="0" collapsed="false">
      <c r="A377" s="14"/>
      <c r="B377" s="13"/>
      <c r="C377" s="14"/>
      <c r="D377" s="14"/>
      <c r="E377" s="14"/>
      <c r="F377" s="15"/>
      <c r="G377" s="14"/>
      <c r="H377" s="19" t="str">
        <f aca="false">IF(F377="","",IF(G377="Y",F377*Settings!$B$16,0))</f>
        <v/>
      </c>
      <c r="I377" s="19" t="str">
        <f aca="false">IF(F377="","",F377+H377)</f>
        <v/>
      </c>
      <c r="J377" s="18" t="str">
        <f aca="false">IF(B377="","",B377+Settings!$B$17)</f>
        <v/>
      </c>
      <c r="K377" s="13"/>
      <c r="L377" s="15"/>
      <c r="M377" s="17" t="str">
        <f aca="true">IF(F377="","",IF(AND(L377&lt;&gt;"",L377&gt;=I377),"Paid",IF(AND(L377&lt;&gt;"",L377&gt;0),"Part paid",IF(TODAY()&gt;J377,"Overdue","Due"))))</f>
        <v/>
      </c>
      <c r="N377" s="19" t="str">
        <f aca="true">IF(M377="Overdue",TODAY()-J377,"")</f>
        <v/>
      </c>
      <c r="O377" s="14"/>
    </row>
    <row r="378" customFormat="false" ht="15" hidden="false" customHeight="false" outlineLevel="0" collapsed="false">
      <c r="A378" s="14"/>
      <c r="B378" s="13"/>
      <c r="C378" s="14"/>
      <c r="D378" s="14"/>
      <c r="E378" s="14"/>
      <c r="F378" s="15"/>
      <c r="G378" s="14"/>
      <c r="H378" s="19" t="str">
        <f aca="false">IF(F378="","",IF(G378="Y",F378*Settings!$B$16,0))</f>
        <v/>
      </c>
      <c r="I378" s="19" t="str">
        <f aca="false">IF(F378="","",F378+H378)</f>
        <v/>
      </c>
      <c r="J378" s="18" t="str">
        <f aca="false">IF(B378="","",B378+Settings!$B$17)</f>
        <v/>
      </c>
      <c r="K378" s="13"/>
      <c r="L378" s="15"/>
      <c r="M378" s="17" t="str">
        <f aca="true">IF(F378="","",IF(AND(L378&lt;&gt;"",L378&gt;=I378),"Paid",IF(AND(L378&lt;&gt;"",L378&gt;0),"Part paid",IF(TODAY()&gt;J378,"Overdue","Due"))))</f>
        <v/>
      </c>
      <c r="N378" s="19" t="str">
        <f aca="true">IF(M378="Overdue",TODAY()-J378,"")</f>
        <v/>
      </c>
      <c r="O378" s="14"/>
    </row>
    <row r="379" customFormat="false" ht="15" hidden="false" customHeight="false" outlineLevel="0" collapsed="false">
      <c r="A379" s="14"/>
      <c r="B379" s="13"/>
      <c r="C379" s="14"/>
      <c r="D379" s="14"/>
      <c r="E379" s="14"/>
      <c r="F379" s="15"/>
      <c r="G379" s="14"/>
      <c r="H379" s="19" t="str">
        <f aca="false">IF(F379="","",IF(G379="Y",F379*Settings!$B$16,0))</f>
        <v/>
      </c>
      <c r="I379" s="19" t="str">
        <f aca="false">IF(F379="","",F379+H379)</f>
        <v/>
      </c>
      <c r="J379" s="18" t="str">
        <f aca="false">IF(B379="","",B379+Settings!$B$17)</f>
        <v/>
      </c>
      <c r="K379" s="13"/>
      <c r="L379" s="15"/>
      <c r="M379" s="17" t="str">
        <f aca="true">IF(F379="","",IF(AND(L379&lt;&gt;"",L379&gt;=I379),"Paid",IF(AND(L379&lt;&gt;"",L379&gt;0),"Part paid",IF(TODAY()&gt;J379,"Overdue","Due"))))</f>
        <v/>
      </c>
      <c r="N379" s="19" t="str">
        <f aca="true">IF(M379="Overdue",TODAY()-J379,"")</f>
        <v/>
      </c>
      <c r="O379" s="14"/>
    </row>
    <row r="380" customFormat="false" ht="15" hidden="false" customHeight="false" outlineLevel="0" collapsed="false">
      <c r="A380" s="14"/>
      <c r="B380" s="13"/>
      <c r="C380" s="14"/>
      <c r="D380" s="14"/>
      <c r="E380" s="14"/>
      <c r="F380" s="15"/>
      <c r="G380" s="14"/>
      <c r="H380" s="19" t="str">
        <f aca="false">IF(F380="","",IF(G380="Y",F380*Settings!$B$16,0))</f>
        <v/>
      </c>
      <c r="I380" s="19" t="str">
        <f aca="false">IF(F380="","",F380+H380)</f>
        <v/>
      </c>
      <c r="J380" s="18" t="str">
        <f aca="false">IF(B380="","",B380+Settings!$B$17)</f>
        <v/>
      </c>
      <c r="K380" s="13"/>
      <c r="L380" s="15"/>
      <c r="M380" s="17" t="str">
        <f aca="true">IF(F380="","",IF(AND(L380&lt;&gt;"",L380&gt;=I380),"Paid",IF(AND(L380&lt;&gt;"",L380&gt;0),"Part paid",IF(TODAY()&gt;J380,"Overdue","Due"))))</f>
        <v/>
      </c>
      <c r="N380" s="19" t="str">
        <f aca="true">IF(M380="Overdue",TODAY()-J380,"")</f>
        <v/>
      </c>
      <c r="O380" s="14"/>
    </row>
    <row r="381" customFormat="false" ht="15" hidden="false" customHeight="false" outlineLevel="0" collapsed="false">
      <c r="A381" s="14"/>
      <c r="B381" s="13"/>
      <c r="C381" s="14"/>
      <c r="D381" s="14"/>
      <c r="E381" s="14"/>
      <c r="F381" s="15"/>
      <c r="G381" s="14"/>
      <c r="H381" s="19" t="str">
        <f aca="false">IF(F381="","",IF(G381="Y",F381*Settings!$B$16,0))</f>
        <v/>
      </c>
      <c r="I381" s="19" t="str">
        <f aca="false">IF(F381="","",F381+H381)</f>
        <v/>
      </c>
      <c r="J381" s="18" t="str">
        <f aca="false">IF(B381="","",B381+Settings!$B$17)</f>
        <v/>
      </c>
      <c r="K381" s="13"/>
      <c r="L381" s="15"/>
      <c r="M381" s="17" t="str">
        <f aca="true">IF(F381="","",IF(AND(L381&lt;&gt;"",L381&gt;=I381),"Paid",IF(AND(L381&lt;&gt;"",L381&gt;0),"Part paid",IF(TODAY()&gt;J381,"Overdue","Due"))))</f>
        <v/>
      </c>
      <c r="N381" s="19" t="str">
        <f aca="true">IF(M381="Overdue",TODAY()-J381,"")</f>
        <v/>
      </c>
      <c r="O381" s="14"/>
    </row>
    <row r="382" customFormat="false" ht="15" hidden="false" customHeight="false" outlineLevel="0" collapsed="false">
      <c r="A382" s="14"/>
      <c r="B382" s="13"/>
      <c r="C382" s="14"/>
      <c r="D382" s="14"/>
      <c r="E382" s="14"/>
      <c r="F382" s="15"/>
      <c r="G382" s="14"/>
      <c r="H382" s="19" t="str">
        <f aca="false">IF(F382="","",IF(G382="Y",F382*Settings!$B$16,0))</f>
        <v/>
      </c>
      <c r="I382" s="19" t="str">
        <f aca="false">IF(F382="","",F382+H382)</f>
        <v/>
      </c>
      <c r="J382" s="18" t="str">
        <f aca="false">IF(B382="","",B382+Settings!$B$17)</f>
        <v/>
      </c>
      <c r="K382" s="13"/>
      <c r="L382" s="15"/>
      <c r="M382" s="17" t="str">
        <f aca="true">IF(F382="","",IF(AND(L382&lt;&gt;"",L382&gt;=I382),"Paid",IF(AND(L382&lt;&gt;"",L382&gt;0),"Part paid",IF(TODAY()&gt;J382,"Overdue","Due"))))</f>
        <v/>
      </c>
      <c r="N382" s="19" t="str">
        <f aca="true">IF(M382="Overdue",TODAY()-J382,"")</f>
        <v/>
      </c>
      <c r="O382" s="14"/>
    </row>
    <row r="383" customFormat="false" ht="15" hidden="false" customHeight="false" outlineLevel="0" collapsed="false">
      <c r="A383" s="14"/>
      <c r="B383" s="13"/>
      <c r="C383" s="14"/>
      <c r="D383" s="14"/>
      <c r="E383" s="14"/>
      <c r="F383" s="15"/>
      <c r="G383" s="14"/>
      <c r="H383" s="19" t="str">
        <f aca="false">IF(F383="","",IF(G383="Y",F383*Settings!$B$16,0))</f>
        <v/>
      </c>
      <c r="I383" s="19" t="str">
        <f aca="false">IF(F383="","",F383+H383)</f>
        <v/>
      </c>
      <c r="J383" s="18" t="str">
        <f aca="false">IF(B383="","",B383+Settings!$B$17)</f>
        <v/>
      </c>
      <c r="K383" s="13"/>
      <c r="L383" s="15"/>
      <c r="M383" s="17" t="str">
        <f aca="true">IF(F383="","",IF(AND(L383&lt;&gt;"",L383&gt;=I383),"Paid",IF(AND(L383&lt;&gt;"",L383&gt;0),"Part paid",IF(TODAY()&gt;J383,"Overdue","Due"))))</f>
        <v/>
      </c>
      <c r="N383" s="19" t="str">
        <f aca="true">IF(M383="Overdue",TODAY()-J383,"")</f>
        <v/>
      </c>
      <c r="O383" s="14"/>
    </row>
    <row r="384" customFormat="false" ht="15" hidden="false" customHeight="false" outlineLevel="0" collapsed="false">
      <c r="A384" s="14"/>
      <c r="B384" s="13"/>
      <c r="C384" s="14"/>
      <c r="D384" s="14"/>
      <c r="E384" s="14"/>
      <c r="F384" s="15"/>
      <c r="G384" s="14"/>
      <c r="H384" s="19" t="str">
        <f aca="false">IF(F384="","",IF(G384="Y",F384*Settings!$B$16,0))</f>
        <v/>
      </c>
      <c r="I384" s="19" t="str">
        <f aca="false">IF(F384="","",F384+H384)</f>
        <v/>
      </c>
      <c r="J384" s="18" t="str">
        <f aca="false">IF(B384="","",B384+Settings!$B$17)</f>
        <v/>
      </c>
      <c r="K384" s="13"/>
      <c r="L384" s="15"/>
      <c r="M384" s="17" t="str">
        <f aca="true">IF(F384="","",IF(AND(L384&lt;&gt;"",L384&gt;=I384),"Paid",IF(AND(L384&lt;&gt;"",L384&gt;0),"Part paid",IF(TODAY()&gt;J384,"Overdue","Due"))))</f>
        <v/>
      </c>
      <c r="N384" s="19" t="str">
        <f aca="true">IF(M384="Overdue",TODAY()-J384,"")</f>
        <v/>
      </c>
      <c r="O384" s="14"/>
    </row>
    <row r="385" customFormat="false" ht="15" hidden="false" customHeight="false" outlineLevel="0" collapsed="false">
      <c r="A385" s="14"/>
      <c r="B385" s="13"/>
      <c r="C385" s="14"/>
      <c r="D385" s="14"/>
      <c r="E385" s="14"/>
      <c r="F385" s="15"/>
      <c r="G385" s="14"/>
      <c r="H385" s="19" t="str">
        <f aca="false">IF(F385="","",IF(G385="Y",F385*Settings!$B$16,0))</f>
        <v/>
      </c>
      <c r="I385" s="19" t="str">
        <f aca="false">IF(F385="","",F385+H385)</f>
        <v/>
      </c>
      <c r="J385" s="18" t="str">
        <f aca="false">IF(B385="","",B385+Settings!$B$17)</f>
        <v/>
      </c>
      <c r="K385" s="13"/>
      <c r="L385" s="15"/>
      <c r="M385" s="17" t="str">
        <f aca="true">IF(F385="","",IF(AND(L385&lt;&gt;"",L385&gt;=I385),"Paid",IF(AND(L385&lt;&gt;"",L385&gt;0),"Part paid",IF(TODAY()&gt;J385,"Overdue","Due"))))</f>
        <v/>
      </c>
      <c r="N385" s="19" t="str">
        <f aca="true">IF(M385="Overdue",TODAY()-J385,"")</f>
        <v/>
      </c>
      <c r="O385" s="14"/>
    </row>
    <row r="386" customFormat="false" ht="15" hidden="false" customHeight="false" outlineLevel="0" collapsed="false">
      <c r="A386" s="14"/>
      <c r="B386" s="13"/>
      <c r="C386" s="14"/>
      <c r="D386" s="14"/>
      <c r="E386" s="14"/>
      <c r="F386" s="15"/>
      <c r="G386" s="14"/>
      <c r="H386" s="19" t="str">
        <f aca="false">IF(F386="","",IF(G386="Y",F386*Settings!$B$16,0))</f>
        <v/>
      </c>
      <c r="I386" s="19" t="str">
        <f aca="false">IF(F386="","",F386+H386)</f>
        <v/>
      </c>
      <c r="J386" s="18" t="str">
        <f aca="false">IF(B386="","",B386+Settings!$B$17)</f>
        <v/>
      </c>
      <c r="K386" s="13"/>
      <c r="L386" s="15"/>
      <c r="M386" s="17" t="str">
        <f aca="true">IF(F386="","",IF(AND(L386&lt;&gt;"",L386&gt;=I386),"Paid",IF(AND(L386&lt;&gt;"",L386&gt;0),"Part paid",IF(TODAY()&gt;J386,"Overdue","Due"))))</f>
        <v/>
      </c>
      <c r="N386" s="19" t="str">
        <f aca="true">IF(M386="Overdue",TODAY()-J386,"")</f>
        <v/>
      </c>
      <c r="O386" s="14"/>
    </row>
    <row r="387" customFormat="false" ht="15" hidden="false" customHeight="false" outlineLevel="0" collapsed="false">
      <c r="A387" s="14"/>
      <c r="B387" s="13"/>
      <c r="C387" s="14"/>
      <c r="D387" s="14"/>
      <c r="E387" s="14"/>
      <c r="F387" s="15"/>
      <c r="G387" s="14"/>
      <c r="H387" s="19" t="str">
        <f aca="false">IF(F387="","",IF(G387="Y",F387*Settings!$B$16,0))</f>
        <v/>
      </c>
      <c r="I387" s="19" t="str">
        <f aca="false">IF(F387="","",F387+H387)</f>
        <v/>
      </c>
      <c r="J387" s="18" t="str">
        <f aca="false">IF(B387="","",B387+Settings!$B$17)</f>
        <v/>
      </c>
      <c r="K387" s="13"/>
      <c r="L387" s="15"/>
      <c r="M387" s="17" t="str">
        <f aca="true">IF(F387="","",IF(AND(L387&lt;&gt;"",L387&gt;=I387),"Paid",IF(AND(L387&lt;&gt;"",L387&gt;0),"Part paid",IF(TODAY()&gt;J387,"Overdue","Due"))))</f>
        <v/>
      </c>
      <c r="N387" s="19" t="str">
        <f aca="true">IF(M387="Overdue",TODAY()-J387,"")</f>
        <v/>
      </c>
      <c r="O387" s="14"/>
    </row>
    <row r="388" customFormat="false" ht="15" hidden="false" customHeight="false" outlineLevel="0" collapsed="false">
      <c r="A388" s="14"/>
      <c r="B388" s="13"/>
      <c r="C388" s="14"/>
      <c r="D388" s="14"/>
      <c r="E388" s="14"/>
      <c r="F388" s="15"/>
      <c r="G388" s="14"/>
      <c r="H388" s="19" t="str">
        <f aca="false">IF(F388="","",IF(G388="Y",F388*Settings!$B$16,0))</f>
        <v/>
      </c>
      <c r="I388" s="19" t="str">
        <f aca="false">IF(F388="","",F388+H388)</f>
        <v/>
      </c>
      <c r="J388" s="18" t="str">
        <f aca="false">IF(B388="","",B388+Settings!$B$17)</f>
        <v/>
      </c>
      <c r="K388" s="13"/>
      <c r="L388" s="15"/>
      <c r="M388" s="17" t="str">
        <f aca="true">IF(F388="","",IF(AND(L388&lt;&gt;"",L388&gt;=I388),"Paid",IF(AND(L388&lt;&gt;"",L388&gt;0),"Part paid",IF(TODAY()&gt;J388,"Overdue","Due"))))</f>
        <v/>
      </c>
      <c r="N388" s="19" t="str">
        <f aca="true">IF(M388="Overdue",TODAY()-J388,"")</f>
        <v/>
      </c>
      <c r="O388" s="14"/>
    </row>
    <row r="389" customFormat="false" ht="15" hidden="false" customHeight="false" outlineLevel="0" collapsed="false">
      <c r="A389" s="14"/>
      <c r="B389" s="13"/>
      <c r="C389" s="14"/>
      <c r="D389" s="14"/>
      <c r="E389" s="14"/>
      <c r="F389" s="15"/>
      <c r="G389" s="14"/>
      <c r="H389" s="19" t="str">
        <f aca="false">IF(F389="","",IF(G389="Y",F389*Settings!$B$16,0))</f>
        <v/>
      </c>
      <c r="I389" s="19" t="str">
        <f aca="false">IF(F389="","",F389+H389)</f>
        <v/>
      </c>
      <c r="J389" s="18" t="str">
        <f aca="false">IF(B389="","",B389+Settings!$B$17)</f>
        <v/>
      </c>
      <c r="K389" s="13"/>
      <c r="L389" s="15"/>
      <c r="M389" s="17" t="str">
        <f aca="true">IF(F389="","",IF(AND(L389&lt;&gt;"",L389&gt;=I389),"Paid",IF(AND(L389&lt;&gt;"",L389&gt;0),"Part paid",IF(TODAY()&gt;J389,"Overdue","Due"))))</f>
        <v/>
      </c>
      <c r="N389" s="19" t="str">
        <f aca="true">IF(M389="Overdue",TODAY()-J389,"")</f>
        <v/>
      </c>
      <c r="O389" s="14"/>
    </row>
    <row r="390" customFormat="false" ht="15" hidden="false" customHeight="false" outlineLevel="0" collapsed="false">
      <c r="A390" s="14"/>
      <c r="B390" s="13"/>
      <c r="C390" s="14"/>
      <c r="D390" s="14"/>
      <c r="E390" s="14"/>
      <c r="F390" s="15"/>
      <c r="G390" s="14"/>
      <c r="H390" s="19" t="str">
        <f aca="false">IF(F390="","",IF(G390="Y",F390*Settings!$B$16,0))</f>
        <v/>
      </c>
      <c r="I390" s="19" t="str">
        <f aca="false">IF(F390="","",F390+H390)</f>
        <v/>
      </c>
      <c r="J390" s="18" t="str">
        <f aca="false">IF(B390="","",B390+Settings!$B$17)</f>
        <v/>
      </c>
      <c r="K390" s="13"/>
      <c r="L390" s="15"/>
      <c r="M390" s="17" t="str">
        <f aca="true">IF(F390="","",IF(AND(L390&lt;&gt;"",L390&gt;=I390),"Paid",IF(AND(L390&lt;&gt;"",L390&gt;0),"Part paid",IF(TODAY()&gt;J390,"Overdue","Due"))))</f>
        <v/>
      </c>
      <c r="N390" s="19" t="str">
        <f aca="true">IF(M390="Overdue",TODAY()-J390,"")</f>
        <v/>
      </c>
      <c r="O390" s="14"/>
    </row>
    <row r="391" customFormat="false" ht="15" hidden="false" customHeight="false" outlineLevel="0" collapsed="false">
      <c r="A391" s="14"/>
      <c r="B391" s="13"/>
      <c r="C391" s="14"/>
      <c r="D391" s="14"/>
      <c r="E391" s="14"/>
      <c r="F391" s="15"/>
      <c r="G391" s="14"/>
      <c r="H391" s="19" t="str">
        <f aca="false">IF(F391="","",IF(G391="Y",F391*Settings!$B$16,0))</f>
        <v/>
      </c>
      <c r="I391" s="19" t="str">
        <f aca="false">IF(F391="","",F391+H391)</f>
        <v/>
      </c>
      <c r="J391" s="18" t="str">
        <f aca="false">IF(B391="","",B391+Settings!$B$17)</f>
        <v/>
      </c>
      <c r="K391" s="13"/>
      <c r="L391" s="15"/>
      <c r="M391" s="17" t="str">
        <f aca="true">IF(F391="","",IF(AND(L391&lt;&gt;"",L391&gt;=I391),"Paid",IF(AND(L391&lt;&gt;"",L391&gt;0),"Part paid",IF(TODAY()&gt;J391,"Overdue","Due"))))</f>
        <v/>
      </c>
      <c r="N391" s="19" t="str">
        <f aca="true">IF(M391="Overdue",TODAY()-J391,"")</f>
        <v/>
      </c>
      <c r="O391" s="14"/>
    </row>
    <row r="392" customFormat="false" ht="15" hidden="false" customHeight="false" outlineLevel="0" collapsed="false">
      <c r="A392" s="14"/>
      <c r="B392" s="13"/>
      <c r="C392" s="14"/>
      <c r="D392" s="14"/>
      <c r="E392" s="14"/>
      <c r="F392" s="15"/>
      <c r="G392" s="14"/>
      <c r="H392" s="19" t="str">
        <f aca="false">IF(F392="","",IF(G392="Y",F392*Settings!$B$16,0))</f>
        <v/>
      </c>
      <c r="I392" s="19" t="str">
        <f aca="false">IF(F392="","",F392+H392)</f>
        <v/>
      </c>
      <c r="J392" s="18" t="str">
        <f aca="false">IF(B392="","",B392+Settings!$B$17)</f>
        <v/>
      </c>
      <c r="K392" s="13"/>
      <c r="L392" s="15"/>
      <c r="M392" s="17" t="str">
        <f aca="true">IF(F392="","",IF(AND(L392&lt;&gt;"",L392&gt;=I392),"Paid",IF(AND(L392&lt;&gt;"",L392&gt;0),"Part paid",IF(TODAY()&gt;J392,"Overdue","Due"))))</f>
        <v/>
      </c>
      <c r="N392" s="19" t="str">
        <f aca="true">IF(M392="Overdue",TODAY()-J392,"")</f>
        <v/>
      </c>
      <c r="O392" s="14"/>
    </row>
    <row r="393" customFormat="false" ht="15" hidden="false" customHeight="false" outlineLevel="0" collapsed="false">
      <c r="A393" s="14"/>
      <c r="B393" s="13"/>
      <c r="C393" s="14"/>
      <c r="D393" s="14"/>
      <c r="E393" s="14"/>
      <c r="F393" s="15"/>
      <c r="G393" s="14"/>
      <c r="H393" s="19" t="str">
        <f aca="false">IF(F393="","",IF(G393="Y",F393*Settings!$B$16,0))</f>
        <v/>
      </c>
      <c r="I393" s="19" t="str">
        <f aca="false">IF(F393="","",F393+H393)</f>
        <v/>
      </c>
      <c r="J393" s="18" t="str">
        <f aca="false">IF(B393="","",B393+Settings!$B$17)</f>
        <v/>
      </c>
      <c r="K393" s="13"/>
      <c r="L393" s="15"/>
      <c r="M393" s="17" t="str">
        <f aca="true">IF(F393="","",IF(AND(L393&lt;&gt;"",L393&gt;=I393),"Paid",IF(AND(L393&lt;&gt;"",L393&gt;0),"Part paid",IF(TODAY()&gt;J393,"Overdue","Due"))))</f>
        <v/>
      </c>
      <c r="N393" s="19" t="str">
        <f aca="true">IF(M393="Overdue",TODAY()-J393,"")</f>
        <v/>
      </c>
      <c r="O393" s="14"/>
    </row>
    <row r="394" customFormat="false" ht="15" hidden="false" customHeight="false" outlineLevel="0" collapsed="false">
      <c r="A394" s="14"/>
      <c r="B394" s="13"/>
      <c r="C394" s="14"/>
      <c r="D394" s="14"/>
      <c r="E394" s="14"/>
      <c r="F394" s="15"/>
      <c r="G394" s="14"/>
      <c r="H394" s="19" t="str">
        <f aca="false">IF(F394="","",IF(G394="Y",F394*Settings!$B$16,0))</f>
        <v/>
      </c>
      <c r="I394" s="19" t="str">
        <f aca="false">IF(F394="","",F394+H394)</f>
        <v/>
      </c>
      <c r="J394" s="18" t="str">
        <f aca="false">IF(B394="","",B394+Settings!$B$17)</f>
        <v/>
      </c>
      <c r="K394" s="13"/>
      <c r="L394" s="15"/>
      <c r="M394" s="17" t="str">
        <f aca="true">IF(F394="","",IF(AND(L394&lt;&gt;"",L394&gt;=I394),"Paid",IF(AND(L394&lt;&gt;"",L394&gt;0),"Part paid",IF(TODAY()&gt;J394,"Overdue","Due"))))</f>
        <v/>
      </c>
      <c r="N394" s="19" t="str">
        <f aca="true">IF(M394="Overdue",TODAY()-J394,"")</f>
        <v/>
      </c>
      <c r="O394" s="14"/>
    </row>
    <row r="395" customFormat="false" ht="15" hidden="false" customHeight="false" outlineLevel="0" collapsed="false">
      <c r="A395" s="14"/>
      <c r="B395" s="13"/>
      <c r="C395" s="14"/>
      <c r="D395" s="14"/>
      <c r="E395" s="14"/>
      <c r="F395" s="15"/>
      <c r="G395" s="14"/>
      <c r="H395" s="19" t="str">
        <f aca="false">IF(F395="","",IF(G395="Y",F395*Settings!$B$16,0))</f>
        <v/>
      </c>
      <c r="I395" s="19" t="str">
        <f aca="false">IF(F395="","",F395+H395)</f>
        <v/>
      </c>
      <c r="J395" s="18" t="str">
        <f aca="false">IF(B395="","",B395+Settings!$B$17)</f>
        <v/>
      </c>
      <c r="K395" s="13"/>
      <c r="L395" s="15"/>
      <c r="M395" s="17" t="str">
        <f aca="true">IF(F395="","",IF(AND(L395&lt;&gt;"",L395&gt;=I395),"Paid",IF(AND(L395&lt;&gt;"",L395&gt;0),"Part paid",IF(TODAY()&gt;J395,"Overdue","Due"))))</f>
        <v/>
      </c>
      <c r="N395" s="19" t="str">
        <f aca="true">IF(M395="Overdue",TODAY()-J395,"")</f>
        <v/>
      </c>
      <c r="O395" s="14"/>
    </row>
    <row r="396" customFormat="false" ht="15" hidden="false" customHeight="false" outlineLevel="0" collapsed="false">
      <c r="A396" s="14"/>
      <c r="B396" s="13"/>
      <c r="C396" s="14"/>
      <c r="D396" s="14"/>
      <c r="E396" s="14"/>
      <c r="F396" s="15"/>
      <c r="G396" s="14"/>
      <c r="H396" s="19" t="str">
        <f aca="false">IF(F396="","",IF(G396="Y",F396*Settings!$B$16,0))</f>
        <v/>
      </c>
      <c r="I396" s="19" t="str">
        <f aca="false">IF(F396="","",F396+H396)</f>
        <v/>
      </c>
      <c r="J396" s="18" t="str">
        <f aca="false">IF(B396="","",B396+Settings!$B$17)</f>
        <v/>
      </c>
      <c r="K396" s="13"/>
      <c r="L396" s="15"/>
      <c r="M396" s="17" t="str">
        <f aca="true">IF(F396="","",IF(AND(L396&lt;&gt;"",L396&gt;=I396),"Paid",IF(AND(L396&lt;&gt;"",L396&gt;0),"Part paid",IF(TODAY()&gt;J396,"Overdue","Due"))))</f>
        <v/>
      </c>
      <c r="N396" s="19" t="str">
        <f aca="true">IF(M396="Overdue",TODAY()-J396,"")</f>
        <v/>
      </c>
      <c r="O396" s="14"/>
    </row>
    <row r="397" customFormat="false" ht="15" hidden="false" customHeight="false" outlineLevel="0" collapsed="false">
      <c r="A397" s="14"/>
      <c r="B397" s="13"/>
      <c r="C397" s="14"/>
      <c r="D397" s="14"/>
      <c r="E397" s="14"/>
      <c r="F397" s="15"/>
      <c r="G397" s="14"/>
      <c r="H397" s="19" t="str">
        <f aca="false">IF(F397="","",IF(G397="Y",F397*Settings!$B$16,0))</f>
        <v/>
      </c>
      <c r="I397" s="19" t="str">
        <f aca="false">IF(F397="","",F397+H397)</f>
        <v/>
      </c>
      <c r="J397" s="18" t="str">
        <f aca="false">IF(B397="","",B397+Settings!$B$17)</f>
        <v/>
      </c>
      <c r="K397" s="13"/>
      <c r="L397" s="15"/>
      <c r="M397" s="17" t="str">
        <f aca="true">IF(F397="","",IF(AND(L397&lt;&gt;"",L397&gt;=I397),"Paid",IF(AND(L397&lt;&gt;"",L397&gt;0),"Part paid",IF(TODAY()&gt;J397,"Overdue","Due"))))</f>
        <v/>
      </c>
      <c r="N397" s="19" t="str">
        <f aca="true">IF(M397="Overdue",TODAY()-J397,"")</f>
        <v/>
      </c>
      <c r="O397" s="14"/>
    </row>
    <row r="398" customFormat="false" ht="15" hidden="false" customHeight="false" outlineLevel="0" collapsed="false">
      <c r="A398" s="14"/>
      <c r="B398" s="13"/>
      <c r="C398" s="14"/>
      <c r="D398" s="14"/>
      <c r="E398" s="14"/>
      <c r="F398" s="15"/>
      <c r="G398" s="14"/>
      <c r="H398" s="19" t="str">
        <f aca="false">IF(F398="","",IF(G398="Y",F398*Settings!$B$16,0))</f>
        <v/>
      </c>
      <c r="I398" s="19" t="str">
        <f aca="false">IF(F398="","",F398+H398)</f>
        <v/>
      </c>
      <c r="J398" s="18" t="str">
        <f aca="false">IF(B398="","",B398+Settings!$B$17)</f>
        <v/>
      </c>
      <c r="K398" s="13"/>
      <c r="L398" s="15"/>
      <c r="M398" s="17" t="str">
        <f aca="true">IF(F398="","",IF(AND(L398&lt;&gt;"",L398&gt;=I398),"Paid",IF(AND(L398&lt;&gt;"",L398&gt;0),"Part paid",IF(TODAY()&gt;J398,"Overdue","Due"))))</f>
        <v/>
      </c>
      <c r="N398" s="19" t="str">
        <f aca="true">IF(M398="Overdue",TODAY()-J398,"")</f>
        <v/>
      </c>
      <c r="O398" s="14"/>
    </row>
    <row r="399" customFormat="false" ht="15" hidden="false" customHeight="false" outlineLevel="0" collapsed="false">
      <c r="A399" s="14"/>
      <c r="B399" s="13"/>
      <c r="C399" s="14"/>
      <c r="D399" s="14"/>
      <c r="E399" s="14"/>
      <c r="F399" s="15"/>
      <c r="G399" s="14"/>
      <c r="H399" s="19" t="str">
        <f aca="false">IF(F399="","",IF(G399="Y",F399*Settings!$B$16,0))</f>
        <v/>
      </c>
      <c r="I399" s="19" t="str">
        <f aca="false">IF(F399="","",F399+H399)</f>
        <v/>
      </c>
      <c r="J399" s="18" t="str">
        <f aca="false">IF(B399="","",B399+Settings!$B$17)</f>
        <v/>
      </c>
      <c r="K399" s="13"/>
      <c r="L399" s="15"/>
      <c r="M399" s="17" t="str">
        <f aca="true">IF(F399="","",IF(AND(L399&lt;&gt;"",L399&gt;=I399),"Paid",IF(AND(L399&lt;&gt;"",L399&gt;0),"Part paid",IF(TODAY()&gt;J399,"Overdue","Due"))))</f>
        <v/>
      </c>
      <c r="N399" s="19" t="str">
        <f aca="true">IF(M399="Overdue",TODAY()-J399,"")</f>
        <v/>
      </c>
      <c r="O399" s="14"/>
    </row>
    <row r="400" customFormat="false" ht="15" hidden="false" customHeight="false" outlineLevel="0" collapsed="false">
      <c r="A400" s="14"/>
      <c r="B400" s="13"/>
      <c r="C400" s="14"/>
      <c r="D400" s="14"/>
      <c r="E400" s="14"/>
      <c r="F400" s="15"/>
      <c r="G400" s="14"/>
      <c r="H400" s="19" t="str">
        <f aca="false">IF(F400="","",IF(G400="Y",F400*Settings!$B$16,0))</f>
        <v/>
      </c>
      <c r="I400" s="19" t="str">
        <f aca="false">IF(F400="","",F400+H400)</f>
        <v/>
      </c>
      <c r="J400" s="18" t="str">
        <f aca="false">IF(B400="","",B400+Settings!$B$17)</f>
        <v/>
      </c>
      <c r="K400" s="13"/>
      <c r="L400" s="15"/>
      <c r="M400" s="17" t="str">
        <f aca="true">IF(F400="","",IF(AND(L400&lt;&gt;"",L400&gt;=I400),"Paid",IF(AND(L400&lt;&gt;"",L400&gt;0),"Part paid",IF(TODAY()&gt;J400,"Overdue","Due"))))</f>
        <v/>
      </c>
      <c r="N400" s="19" t="str">
        <f aca="true">IF(M400="Overdue",TODAY()-J400,"")</f>
        <v/>
      </c>
      <c r="O400" s="14"/>
    </row>
    <row r="401" customFormat="false" ht="15" hidden="false" customHeight="false" outlineLevel="0" collapsed="false">
      <c r="A401" s="14"/>
      <c r="B401" s="13"/>
      <c r="C401" s="14"/>
      <c r="D401" s="14"/>
      <c r="E401" s="14"/>
      <c r="F401" s="15"/>
      <c r="G401" s="14"/>
      <c r="H401" s="19" t="str">
        <f aca="false">IF(F401="","",IF(G401="Y",F401*Settings!$B$16,0))</f>
        <v/>
      </c>
      <c r="I401" s="19" t="str">
        <f aca="false">IF(F401="","",F401+H401)</f>
        <v/>
      </c>
      <c r="J401" s="18" t="str">
        <f aca="false">IF(B401="","",B401+Settings!$B$17)</f>
        <v/>
      </c>
      <c r="K401" s="13"/>
      <c r="L401" s="15"/>
      <c r="M401" s="17" t="str">
        <f aca="true">IF(F401="","",IF(AND(L401&lt;&gt;"",L401&gt;=I401),"Paid",IF(AND(L401&lt;&gt;"",L401&gt;0),"Part paid",IF(TODAY()&gt;J401,"Overdue","Due"))))</f>
        <v/>
      </c>
      <c r="N401" s="19" t="str">
        <f aca="true">IF(M401="Overdue",TODAY()-J401,"")</f>
        <v/>
      </c>
      <c r="O401" s="14"/>
    </row>
    <row r="402" customFormat="false" ht="15" hidden="false" customHeight="false" outlineLevel="0" collapsed="false">
      <c r="A402" s="14"/>
      <c r="B402" s="13"/>
      <c r="C402" s="14"/>
      <c r="D402" s="14"/>
      <c r="E402" s="14"/>
      <c r="F402" s="15"/>
      <c r="G402" s="14"/>
      <c r="H402" s="19" t="str">
        <f aca="false">IF(F402="","",IF(G402="Y",F402*Settings!$B$16,0))</f>
        <v/>
      </c>
      <c r="I402" s="19" t="str">
        <f aca="false">IF(F402="","",F402+H402)</f>
        <v/>
      </c>
      <c r="J402" s="18" t="str">
        <f aca="false">IF(B402="","",B402+Settings!$B$17)</f>
        <v/>
      </c>
      <c r="K402" s="13"/>
      <c r="L402" s="15"/>
      <c r="M402" s="17" t="str">
        <f aca="true">IF(F402="","",IF(AND(L402&lt;&gt;"",L402&gt;=I402),"Paid",IF(AND(L402&lt;&gt;"",L402&gt;0),"Part paid",IF(TODAY()&gt;J402,"Overdue","Due"))))</f>
        <v/>
      </c>
      <c r="N402" s="19" t="str">
        <f aca="true">IF(M402="Overdue",TODAY()-J402,"")</f>
        <v/>
      </c>
      <c r="O402" s="14"/>
    </row>
    <row r="403" customFormat="false" ht="15" hidden="false" customHeight="false" outlineLevel="0" collapsed="false">
      <c r="A403" s="14"/>
      <c r="B403" s="13"/>
      <c r="C403" s="14"/>
      <c r="D403" s="14"/>
      <c r="E403" s="14"/>
      <c r="F403" s="15"/>
      <c r="G403" s="14"/>
      <c r="H403" s="19" t="str">
        <f aca="false">IF(F403="","",IF(G403="Y",F403*Settings!$B$16,0))</f>
        <v/>
      </c>
      <c r="I403" s="19" t="str">
        <f aca="false">IF(F403="","",F403+H403)</f>
        <v/>
      </c>
      <c r="J403" s="18" t="str">
        <f aca="false">IF(B403="","",B403+Settings!$B$17)</f>
        <v/>
      </c>
      <c r="K403" s="13"/>
      <c r="L403" s="15"/>
      <c r="M403" s="17" t="str">
        <f aca="true">IF(F403="","",IF(AND(L403&lt;&gt;"",L403&gt;=I403),"Paid",IF(AND(L403&lt;&gt;"",L403&gt;0),"Part paid",IF(TODAY()&gt;J403,"Overdue","Due"))))</f>
        <v/>
      </c>
      <c r="N403" s="19" t="str">
        <f aca="true">IF(M403="Overdue",TODAY()-J403,"")</f>
        <v/>
      </c>
      <c r="O403" s="14"/>
    </row>
    <row r="404" customFormat="false" ht="15" hidden="false" customHeight="false" outlineLevel="0" collapsed="false">
      <c r="A404" s="14"/>
      <c r="B404" s="13"/>
      <c r="C404" s="14"/>
      <c r="D404" s="14"/>
      <c r="E404" s="14"/>
      <c r="F404" s="15"/>
      <c r="G404" s="14"/>
      <c r="H404" s="19" t="str">
        <f aca="false">IF(F404="","",IF(G404="Y",F404*Settings!$B$16,0))</f>
        <v/>
      </c>
      <c r="I404" s="19" t="str">
        <f aca="false">IF(F404="","",F404+H404)</f>
        <v/>
      </c>
      <c r="J404" s="18" t="str">
        <f aca="false">IF(B404="","",B404+Settings!$B$17)</f>
        <v/>
      </c>
      <c r="K404" s="13"/>
      <c r="L404" s="15"/>
      <c r="M404" s="17" t="str">
        <f aca="true">IF(F404="","",IF(AND(L404&lt;&gt;"",L404&gt;=I404),"Paid",IF(AND(L404&lt;&gt;"",L404&gt;0),"Part paid",IF(TODAY()&gt;J404,"Overdue","Due"))))</f>
        <v/>
      </c>
      <c r="N404" s="19" t="str">
        <f aca="true">IF(M404="Overdue",TODAY()-J404,"")</f>
        <v/>
      </c>
      <c r="O404" s="14"/>
    </row>
    <row r="405" customFormat="false" ht="15" hidden="false" customHeight="false" outlineLevel="0" collapsed="false">
      <c r="A405" s="14"/>
      <c r="B405" s="13"/>
      <c r="C405" s="14"/>
      <c r="D405" s="14"/>
      <c r="E405" s="14"/>
      <c r="F405" s="15"/>
      <c r="G405" s="14"/>
      <c r="H405" s="19" t="str">
        <f aca="false">IF(F405="","",IF(G405="Y",F405*Settings!$B$16,0))</f>
        <v/>
      </c>
      <c r="I405" s="19" t="str">
        <f aca="false">IF(F405="","",F405+H405)</f>
        <v/>
      </c>
      <c r="J405" s="18" t="str">
        <f aca="false">IF(B405="","",B405+Settings!$B$17)</f>
        <v/>
      </c>
      <c r="K405" s="13"/>
      <c r="L405" s="15"/>
      <c r="M405" s="17" t="str">
        <f aca="true">IF(F405="","",IF(AND(L405&lt;&gt;"",L405&gt;=I405),"Paid",IF(AND(L405&lt;&gt;"",L405&gt;0),"Part paid",IF(TODAY()&gt;J405,"Overdue","Due"))))</f>
        <v/>
      </c>
      <c r="N405" s="19" t="str">
        <f aca="true">IF(M405="Overdue",TODAY()-J405,"")</f>
        <v/>
      </c>
      <c r="O405" s="14"/>
    </row>
    <row r="406" customFormat="false" ht="15" hidden="false" customHeight="false" outlineLevel="0" collapsed="false">
      <c r="A406" s="14"/>
      <c r="B406" s="13"/>
      <c r="C406" s="14"/>
      <c r="D406" s="14"/>
      <c r="E406" s="14"/>
      <c r="F406" s="15"/>
      <c r="G406" s="14"/>
      <c r="H406" s="19" t="str">
        <f aca="false">IF(F406="","",IF(G406="Y",F406*Settings!$B$16,0))</f>
        <v/>
      </c>
      <c r="I406" s="19" t="str">
        <f aca="false">IF(F406="","",F406+H406)</f>
        <v/>
      </c>
      <c r="J406" s="18" t="str">
        <f aca="false">IF(B406="","",B406+Settings!$B$17)</f>
        <v/>
      </c>
      <c r="K406" s="13"/>
      <c r="L406" s="15"/>
      <c r="M406" s="17" t="str">
        <f aca="true">IF(F406="","",IF(AND(L406&lt;&gt;"",L406&gt;=I406),"Paid",IF(AND(L406&lt;&gt;"",L406&gt;0),"Part paid",IF(TODAY()&gt;J406,"Overdue","Due"))))</f>
        <v/>
      </c>
      <c r="N406" s="19" t="str">
        <f aca="true">IF(M406="Overdue",TODAY()-J406,"")</f>
        <v/>
      </c>
      <c r="O406" s="14"/>
    </row>
    <row r="407" customFormat="false" ht="15" hidden="false" customHeight="false" outlineLevel="0" collapsed="false">
      <c r="A407" s="14"/>
      <c r="B407" s="13"/>
      <c r="C407" s="14"/>
      <c r="D407" s="14"/>
      <c r="E407" s="14"/>
      <c r="F407" s="15"/>
      <c r="G407" s="14"/>
      <c r="H407" s="19" t="str">
        <f aca="false">IF(F407="","",IF(G407="Y",F407*Settings!$B$16,0))</f>
        <v/>
      </c>
      <c r="I407" s="19" t="str">
        <f aca="false">IF(F407="","",F407+H407)</f>
        <v/>
      </c>
      <c r="J407" s="18" t="str">
        <f aca="false">IF(B407="","",B407+Settings!$B$17)</f>
        <v/>
      </c>
      <c r="K407" s="13"/>
      <c r="L407" s="15"/>
      <c r="M407" s="17" t="str">
        <f aca="true">IF(F407="","",IF(AND(L407&lt;&gt;"",L407&gt;=I407),"Paid",IF(AND(L407&lt;&gt;"",L407&gt;0),"Part paid",IF(TODAY()&gt;J407,"Overdue","Due"))))</f>
        <v/>
      </c>
      <c r="N407" s="19" t="str">
        <f aca="true">IF(M407="Overdue",TODAY()-J407,"")</f>
        <v/>
      </c>
      <c r="O407" s="14"/>
    </row>
    <row r="408" customFormat="false" ht="15" hidden="false" customHeight="false" outlineLevel="0" collapsed="false">
      <c r="A408" s="14"/>
      <c r="B408" s="13"/>
      <c r="C408" s="14"/>
      <c r="D408" s="14"/>
      <c r="E408" s="14"/>
      <c r="F408" s="15"/>
      <c r="G408" s="14"/>
      <c r="H408" s="19" t="str">
        <f aca="false">IF(F408="","",IF(G408="Y",F408*Settings!$B$16,0))</f>
        <v/>
      </c>
      <c r="I408" s="19" t="str">
        <f aca="false">IF(F408="","",F408+H408)</f>
        <v/>
      </c>
      <c r="J408" s="18" t="str">
        <f aca="false">IF(B408="","",B408+Settings!$B$17)</f>
        <v/>
      </c>
      <c r="K408" s="13"/>
      <c r="L408" s="15"/>
      <c r="M408" s="17" t="str">
        <f aca="true">IF(F408="","",IF(AND(L408&lt;&gt;"",L408&gt;=I408),"Paid",IF(AND(L408&lt;&gt;"",L408&gt;0),"Part paid",IF(TODAY()&gt;J408,"Overdue","Due"))))</f>
        <v/>
      </c>
      <c r="N408" s="19" t="str">
        <f aca="true">IF(M408="Overdue",TODAY()-J408,"")</f>
        <v/>
      </c>
      <c r="O408" s="14"/>
    </row>
    <row r="409" customFormat="false" ht="15" hidden="false" customHeight="false" outlineLevel="0" collapsed="false">
      <c r="A409" s="14"/>
      <c r="B409" s="13"/>
      <c r="C409" s="14"/>
      <c r="D409" s="14"/>
      <c r="E409" s="14"/>
      <c r="F409" s="15"/>
      <c r="G409" s="14"/>
      <c r="H409" s="19" t="str">
        <f aca="false">IF(F409="","",IF(G409="Y",F409*Settings!$B$16,0))</f>
        <v/>
      </c>
      <c r="I409" s="19" t="str">
        <f aca="false">IF(F409="","",F409+H409)</f>
        <v/>
      </c>
      <c r="J409" s="18" t="str">
        <f aca="false">IF(B409="","",B409+Settings!$B$17)</f>
        <v/>
      </c>
      <c r="K409" s="13"/>
      <c r="L409" s="15"/>
      <c r="M409" s="17" t="str">
        <f aca="true">IF(F409="","",IF(AND(L409&lt;&gt;"",L409&gt;=I409),"Paid",IF(AND(L409&lt;&gt;"",L409&gt;0),"Part paid",IF(TODAY()&gt;J409,"Overdue","Due"))))</f>
        <v/>
      </c>
      <c r="N409" s="19" t="str">
        <f aca="true">IF(M409="Overdue",TODAY()-J409,"")</f>
        <v/>
      </c>
      <c r="O409" s="14"/>
    </row>
    <row r="410" customFormat="false" ht="15" hidden="false" customHeight="false" outlineLevel="0" collapsed="false">
      <c r="A410" s="14"/>
      <c r="B410" s="13"/>
      <c r="C410" s="14"/>
      <c r="D410" s="14"/>
      <c r="E410" s="14"/>
      <c r="F410" s="15"/>
      <c r="G410" s="14"/>
      <c r="H410" s="19" t="str">
        <f aca="false">IF(F410="","",IF(G410="Y",F410*Settings!$B$16,0))</f>
        <v/>
      </c>
      <c r="I410" s="19" t="str">
        <f aca="false">IF(F410="","",F410+H410)</f>
        <v/>
      </c>
      <c r="J410" s="18" t="str">
        <f aca="false">IF(B410="","",B410+Settings!$B$17)</f>
        <v/>
      </c>
      <c r="K410" s="13"/>
      <c r="L410" s="15"/>
      <c r="M410" s="17" t="str">
        <f aca="true">IF(F410="","",IF(AND(L410&lt;&gt;"",L410&gt;=I410),"Paid",IF(AND(L410&lt;&gt;"",L410&gt;0),"Part paid",IF(TODAY()&gt;J410,"Overdue","Due"))))</f>
        <v/>
      </c>
      <c r="N410" s="19" t="str">
        <f aca="true">IF(M410="Overdue",TODAY()-J410,"")</f>
        <v/>
      </c>
      <c r="O410" s="14"/>
    </row>
    <row r="411" customFormat="false" ht="15" hidden="false" customHeight="false" outlineLevel="0" collapsed="false">
      <c r="A411" s="14"/>
      <c r="B411" s="13"/>
      <c r="C411" s="14"/>
      <c r="D411" s="14"/>
      <c r="E411" s="14"/>
      <c r="F411" s="15"/>
      <c r="G411" s="14"/>
      <c r="H411" s="19" t="str">
        <f aca="false">IF(F411="","",IF(G411="Y",F411*Settings!$B$16,0))</f>
        <v/>
      </c>
      <c r="I411" s="19" t="str">
        <f aca="false">IF(F411="","",F411+H411)</f>
        <v/>
      </c>
      <c r="J411" s="18" t="str">
        <f aca="false">IF(B411="","",B411+Settings!$B$17)</f>
        <v/>
      </c>
      <c r="K411" s="13"/>
      <c r="L411" s="15"/>
      <c r="M411" s="17" t="str">
        <f aca="true">IF(F411="","",IF(AND(L411&lt;&gt;"",L411&gt;=I411),"Paid",IF(AND(L411&lt;&gt;"",L411&gt;0),"Part paid",IF(TODAY()&gt;J411,"Overdue","Due"))))</f>
        <v/>
      </c>
      <c r="N411" s="19" t="str">
        <f aca="true">IF(M411="Overdue",TODAY()-J411,"")</f>
        <v/>
      </c>
      <c r="O411" s="14"/>
    </row>
    <row r="412" customFormat="false" ht="15" hidden="false" customHeight="false" outlineLevel="0" collapsed="false">
      <c r="A412" s="14"/>
      <c r="B412" s="13"/>
      <c r="C412" s="14"/>
      <c r="D412" s="14"/>
      <c r="E412" s="14"/>
      <c r="F412" s="15"/>
      <c r="G412" s="14"/>
      <c r="H412" s="19" t="str">
        <f aca="false">IF(F412="","",IF(G412="Y",F412*Settings!$B$16,0))</f>
        <v/>
      </c>
      <c r="I412" s="19" t="str">
        <f aca="false">IF(F412="","",F412+H412)</f>
        <v/>
      </c>
      <c r="J412" s="18" t="str">
        <f aca="false">IF(B412="","",B412+Settings!$B$17)</f>
        <v/>
      </c>
      <c r="K412" s="13"/>
      <c r="L412" s="15"/>
      <c r="M412" s="17" t="str">
        <f aca="true">IF(F412="","",IF(AND(L412&lt;&gt;"",L412&gt;=I412),"Paid",IF(AND(L412&lt;&gt;"",L412&gt;0),"Part paid",IF(TODAY()&gt;J412,"Overdue","Due"))))</f>
        <v/>
      </c>
      <c r="N412" s="19" t="str">
        <f aca="true">IF(M412="Overdue",TODAY()-J412,"")</f>
        <v/>
      </c>
      <c r="O412" s="14"/>
    </row>
    <row r="413" customFormat="false" ht="15" hidden="false" customHeight="false" outlineLevel="0" collapsed="false">
      <c r="A413" s="14"/>
      <c r="B413" s="13"/>
      <c r="C413" s="14"/>
      <c r="D413" s="14"/>
      <c r="E413" s="14"/>
      <c r="F413" s="15"/>
      <c r="G413" s="14"/>
      <c r="H413" s="19" t="str">
        <f aca="false">IF(F413="","",IF(G413="Y",F413*Settings!$B$16,0))</f>
        <v/>
      </c>
      <c r="I413" s="19" t="str">
        <f aca="false">IF(F413="","",F413+H413)</f>
        <v/>
      </c>
      <c r="J413" s="18" t="str">
        <f aca="false">IF(B413="","",B413+Settings!$B$17)</f>
        <v/>
      </c>
      <c r="K413" s="13"/>
      <c r="L413" s="15"/>
      <c r="M413" s="17" t="str">
        <f aca="true">IF(F413="","",IF(AND(L413&lt;&gt;"",L413&gt;=I413),"Paid",IF(AND(L413&lt;&gt;"",L413&gt;0),"Part paid",IF(TODAY()&gt;J413,"Overdue","Due"))))</f>
        <v/>
      </c>
      <c r="N413" s="19" t="str">
        <f aca="true">IF(M413="Overdue",TODAY()-J413,"")</f>
        <v/>
      </c>
      <c r="O413" s="14"/>
    </row>
    <row r="414" customFormat="false" ht="15" hidden="false" customHeight="false" outlineLevel="0" collapsed="false">
      <c r="A414" s="14"/>
      <c r="B414" s="13"/>
      <c r="C414" s="14"/>
      <c r="D414" s="14"/>
      <c r="E414" s="14"/>
      <c r="F414" s="15"/>
      <c r="G414" s="14"/>
      <c r="H414" s="19" t="str">
        <f aca="false">IF(F414="","",IF(G414="Y",F414*Settings!$B$16,0))</f>
        <v/>
      </c>
      <c r="I414" s="19" t="str">
        <f aca="false">IF(F414="","",F414+H414)</f>
        <v/>
      </c>
      <c r="J414" s="18" t="str">
        <f aca="false">IF(B414="","",B414+Settings!$B$17)</f>
        <v/>
      </c>
      <c r="K414" s="13"/>
      <c r="L414" s="15"/>
      <c r="M414" s="17" t="str">
        <f aca="true">IF(F414="","",IF(AND(L414&lt;&gt;"",L414&gt;=I414),"Paid",IF(AND(L414&lt;&gt;"",L414&gt;0),"Part paid",IF(TODAY()&gt;J414,"Overdue","Due"))))</f>
        <v/>
      </c>
      <c r="N414" s="19" t="str">
        <f aca="true">IF(M414="Overdue",TODAY()-J414,"")</f>
        <v/>
      </c>
      <c r="O414" s="14"/>
    </row>
    <row r="415" customFormat="false" ht="15" hidden="false" customHeight="false" outlineLevel="0" collapsed="false">
      <c r="A415" s="14"/>
      <c r="B415" s="13"/>
      <c r="C415" s="14"/>
      <c r="D415" s="14"/>
      <c r="E415" s="14"/>
      <c r="F415" s="15"/>
      <c r="G415" s="14"/>
      <c r="H415" s="19" t="str">
        <f aca="false">IF(F415="","",IF(G415="Y",F415*Settings!$B$16,0))</f>
        <v/>
      </c>
      <c r="I415" s="19" t="str">
        <f aca="false">IF(F415="","",F415+H415)</f>
        <v/>
      </c>
      <c r="J415" s="18" t="str">
        <f aca="false">IF(B415="","",B415+Settings!$B$17)</f>
        <v/>
      </c>
      <c r="K415" s="13"/>
      <c r="L415" s="15"/>
      <c r="M415" s="17" t="str">
        <f aca="true">IF(F415="","",IF(AND(L415&lt;&gt;"",L415&gt;=I415),"Paid",IF(AND(L415&lt;&gt;"",L415&gt;0),"Part paid",IF(TODAY()&gt;J415,"Overdue","Due"))))</f>
        <v/>
      </c>
      <c r="N415" s="19" t="str">
        <f aca="true">IF(M415="Overdue",TODAY()-J415,"")</f>
        <v/>
      </c>
      <c r="O415" s="14"/>
    </row>
    <row r="416" customFormat="false" ht="15" hidden="false" customHeight="false" outlineLevel="0" collapsed="false">
      <c r="A416" s="14"/>
      <c r="B416" s="13"/>
      <c r="C416" s="14"/>
      <c r="D416" s="14"/>
      <c r="E416" s="14"/>
      <c r="F416" s="15"/>
      <c r="G416" s="14"/>
      <c r="H416" s="19" t="str">
        <f aca="false">IF(F416="","",IF(G416="Y",F416*Settings!$B$16,0))</f>
        <v/>
      </c>
      <c r="I416" s="19" t="str">
        <f aca="false">IF(F416="","",F416+H416)</f>
        <v/>
      </c>
      <c r="J416" s="18" t="str">
        <f aca="false">IF(B416="","",B416+Settings!$B$17)</f>
        <v/>
      </c>
      <c r="K416" s="13"/>
      <c r="L416" s="15"/>
      <c r="M416" s="17" t="str">
        <f aca="true">IF(F416="","",IF(AND(L416&lt;&gt;"",L416&gt;=I416),"Paid",IF(AND(L416&lt;&gt;"",L416&gt;0),"Part paid",IF(TODAY()&gt;J416,"Overdue","Due"))))</f>
        <v/>
      </c>
      <c r="N416" s="19" t="str">
        <f aca="true">IF(M416="Overdue",TODAY()-J416,"")</f>
        <v/>
      </c>
      <c r="O416" s="14"/>
    </row>
    <row r="417" customFormat="false" ht="15" hidden="false" customHeight="false" outlineLevel="0" collapsed="false">
      <c r="A417" s="14"/>
      <c r="B417" s="13"/>
      <c r="C417" s="14"/>
      <c r="D417" s="14"/>
      <c r="E417" s="14"/>
      <c r="F417" s="15"/>
      <c r="G417" s="14"/>
      <c r="H417" s="19" t="str">
        <f aca="false">IF(F417="","",IF(G417="Y",F417*Settings!$B$16,0))</f>
        <v/>
      </c>
      <c r="I417" s="19" t="str">
        <f aca="false">IF(F417="","",F417+H417)</f>
        <v/>
      </c>
      <c r="J417" s="18" t="str">
        <f aca="false">IF(B417="","",B417+Settings!$B$17)</f>
        <v/>
      </c>
      <c r="K417" s="13"/>
      <c r="L417" s="15"/>
      <c r="M417" s="17" t="str">
        <f aca="true">IF(F417="","",IF(AND(L417&lt;&gt;"",L417&gt;=I417),"Paid",IF(AND(L417&lt;&gt;"",L417&gt;0),"Part paid",IF(TODAY()&gt;J417,"Overdue","Due"))))</f>
        <v/>
      </c>
      <c r="N417" s="19" t="str">
        <f aca="true">IF(M417="Overdue",TODAY()-J417,"")</f>
        <v/>
      </c>
      <c r="O417" s="14"/>
    </row>
    <row r="418" customFormat="false" ht="15" hidden="false" customHeight="false" outlineLevel="0" collapsed="false">
      <c r="A418" s="14"/>
      <c r="B418" s="13"/>
      <c r="C418" s="14"/>
      <c r="D418" s="14"/>
      <c r="E418" s="14"/>
      <c r="F418" s="15"/>
      <c r="G418" s="14"/>
      <c r="H418" s="19" t="str">
        <f aca="false">IF(F418="","",IF(G418="Y",F418*Settings!$B$16,0))</f>
        <v/>
      </c>
      <c r="I418" s="19" t="str">
        <f aca="false">IF(F418="","",F418+H418)</f>
        <v/>
      </c>
      <c r="J418" s="18" t="str">
        <f aca="false">IF(B418="","",B418+Settings!$B$17)</f>
        <v/>
      </c>
      <c r="K418" s="13"/>
      <c r="L418" s="15"/>
      <c r="M418" s="17" t="str">
        <f aca="true">IF(F418="","",IF(AND(L418&lt;&gt;"",L418&gt;=I418),"Paid",IF(AND(L418&lt;&gt;"",L418&gt;0),"Part paid",IF(TODAY()&gt;J418,"Overdue","Due"))))</f>
        <v/>
      </c>
      <c r="N418" s="19" t="str">
        <f aca="true">IF(M418="Overdue",TODAY()-J418,"")</f>
        <v/>
      </c>
      <c r="O418" s="14"/>
    </row>
    <row r="419" customFormat="false" ht="15" hidden="false" customHeight="false" outlineLevel="0" collapsed="false">
      <c r="A419" s="14"/>
      <c r="B419" s="13"/>
      <c r="C419" s="14"/>
      <c r="D419" s="14"/>
      <c r="E419" s="14"/>
      <c r="F419" s="15"/>
      <c r="G419" s="14"/>
      <c r="H419" s="19" t="str">
        <f aca="false">IF(F419="","",IF(G419="Y",F419*Settings!$B$16,0))</f>
        <v/>
      </c>
      <c r="I419" s="19" t="str">
        <f aca="false">IF(F419="","",F419+H419)</f>
        <v/>
      </c>
      <c r="J419" s="18" t="str">
        <f aca="false">IF(B419="","",B419+Settings!$B$17)</f>
        <v/>
      </c>
      <c r="K419" s="13"/>
      <c r="L419" s="15"/>
      <c r="M419" s="17" t="str">
        <f aca="true">IF(F419="","",IF(AND(L419&lt;&gt;"",L419&gt;=I419),"Paid",IF(AND(L419&lt;&gt;"",L419&gt;0),"Part paid",IF(TODAY()&gt;J419,"Overdue","Due"))))</f>
        <v/>
      </c>
      <c r="N419" s="19" t="str">
        <f aca="true">IF(M419="Overdue",TODAY()-J419,"")</f>
        <v/>
      </c>
      <c r="O419" s="14"/>
    </row>
    <row r="420" customFormat="false" ht="15" hidden="false" customHeight="false" outlineLevel="0" collapsed="false">
      <c r="A420" s="14"/>
      <c r="B420" s="13"/>
      <c r="C420" s="14"/>
      <c r="D420" s="14"/>
      <c r="E420" s="14"/>
      <c r="F420" s="15"/>
      <c r="G420" s="14"/>
      <c r="H420" s="19" t="str">
        <f aca="false">IF(F420="","",IF(G420="Y",F420*Settings!$B$16,0))</f>
        <v/>
      </c>
      <c r="I420" s="19" t="str">
        <f aca="false">IF(F420="","",F420+H420)</f>
        <v/>
      </c>
      <c r="J420" s="18" t="str">
        <f aca="false">IF(B420="","",B420+Settings!$B$17)</f>
        <v/>
      </c>
      <c r="K420" s="13"/>
      <c r="L420" s="15"/>
      <c r="M420" s="17" t="str">
        <f aca="true">IF(F420="","",IF(AND(L420&lt;&gt;"",L420&gt;=I420),"Paid",IF(AND(L420&lt;&gt;"",L420&gt;0),"Part paid",IF(TODAY()&gt;J420,"Overdue","Due"))))</f>
        <v/>
      </c>
      <c r="N420" s="19" t="str">
        <f aca="true">IF(M420="Overdue",TODAY()-J420,"")</f>
        <v/>
      </c>
      <c r="O420" s="14"/>
    </row>
    <row r="421" customFormat="false" ht="15" hidden="false" customHeight="false" outlineLevel="0" collapsed="false">
      <c r="A421" s="14"/>
      <c r="B421" s="13"/>
      <c r="C421" s="14"/>
      <c r="D421" s="14"/>
      <c r="E421" s="14"/>
      <c r="F421" s="15"/>
      <c r="G421" s="14"/>
      <c r="H421" s="19" t="str">
        <f aca="false">IF(F421="","",IF(G421="Y",F421*Settings!$B$16,0))</f>
        <v/>
      </c>
      <c r="I421" s="19" t="str">
        <f aca="false">IF(F421="","",F421+H421)</f>
        <v/>
      </c>
      <c r="J421" s="18" t="str">
        <f aca="false">IF(B421="","",B421+Settings!$B$17)</f>
        <v/>
      </c>
      <c r="K421" s="13"/>
      <c r="L421" s="15"/>
      <c r="M421" s="17" t="str">
        <f aca="true">IF(F421="","",IF(AND(L421&lt;&gt;"",L421&gt;=I421),"Paid",IF(AND(L421&lt;&gt;"",L421&gt;0),"Part paid",IF(TODAY()&gt;J421,"Overdue","Due"))))</f>
        <v/>
      </c>
      <c r="N421" s="19" t="str">
        <f aca="true">IF(M421="Overdue",TODAY()-J421,"")</f>
        <v/>
      </c>
      <c r="O421" s="14"/>
    </row>
    <row r="422" customFormat="false" ht="15" hidden="false" customHeight="false" outlineLevel="0" collapsed="false">
      <c r="A422" s="14"/>
      <c r="B422" s="13"/>
      <c r="C422" s="14"/>
      <c r="D422" s="14"/>
      <c r="E422" s="14"/>
      <c r="F422" s="15"/>
      <c r="G422" s="14"/>
      <c r="H422" s="19" t="str">
        <f aca="false">IF(F422="","",IF(G422="Y",F422*Settings!$B$16,0))</f>
        <v/>
      </c>
      <c r="I422" s="19" t="str">
        <f aca="false">IF(F422="","",F422+H422)</f>
        <v/>
      </c>
      <c r="J422" s="18" t="str">
        <f aca="false">IF(B422="","",B422+Settings!$B$17)</f>
        <v/>
      </c>
      <c r="K422" s="13"/>
      <c r="L422" s="15"/>
      <c r="M422" s="17" t="str">
        <f aca="true">IF(F422="","",IF(AND(L422&lt;&gt;"",L422&gt;=I422),"Paid",IF(AND(L422&lt;&gt;"",L422&gt;0),"Part paid",IF(TODAY()&gt;J422,"Overdue","Due"))))</f>
        <v/>
      </c>
      <c r="N422" s="19" t="str">
        <f aca="true">IF(M422="Overdue",TODAY()-J422,"")</f>
        <v/>
      </c>
      <c r="O422" s="14"/>
    </row>
    <row r="423" customFormat="false" ht="15" hidden="false" customHeight="false" outlineLevel="0" collapsed="false">
      <c r="A423" s="14"/>
      <c r="B423" s="13"/>
      <c r="C423" s="14"/>
      <c r="D423" s="14"/>
      <c r="E423" s="14"/>
      <c r="F423" s="15"/>
      <c r="G423" s="14"/>
      <c r="H423" s="19" t="str">
        <f aca="false">IF(F423="","",IF(G423="Y",F423*Settings!$B$16,0))</f>
        <v/>
      </c>
      <c r="I423" s="19" t="str">
        <f aca="false">IF(F423="","",F423+H423)</f>
        <v/>
      </c>
      <c r="J423" s="18" t="str">
        <f aca="false">IF(B423="","",B423+Settings!$B$17)</f>
        <v/>
      </c>
      <c r="K423" s="13"/>
      <c r="L423" s="15"/>
      <c r="M423" s="17" t="str">
        <f aca="true">IF(F423="","",IF(AND(L423&lt;&gt;"",L423&gt;=I423),"Paid",IF(AND(L423&lt;&gt;"",L423&gt;0),"Part paid",IF(TODAY()&gt;J423,"Overdue","Due"))))</f>
        <v/>
      </c>
      <c r="N423" s="19" t="str">
        <f aca="true">IF(M423="Overdue",TODAY()-J423,"")</f>
        <v/>
      </c>
      <c r="O423" s="14"/>
    </row>
    <row r="424" customFormat="false" ht="15" hidden="false" customHeight="false" outlineLevel="0" collapsed="false">
      <c r="A424" s="14"/>
      <c r="B424" s="13"/>
      <c r="C424" s="14"/>
      <c r="D424" s="14"/>
      <c r="E424" s="14"/>
      <c r="F424" s="15"/>
      <c r="G424" s="14"/>
      <c r="H424" s="19" t="str">
        <f aca="false">IF(F424="","",IF(G424="Y",F424*Settings!$B$16,0))</f>
        <v/>
      </c>
      <c r="I424" s="19" t="str">
        <f aca="false">IF(F424="","",F424+H424)</f>
        <v/>
      </c>
      <c r="J424" s="18" t="str">
        <f aca="false">IF(B424="","",B424+Settings!$B$17)</f>
        <v/>
      </c>
      <c r="K424" s="13"/>
      <c r="L424" s="15"/>
      <c r="M424" s="17" t="str">
        <f aca="true">IF(F424="","",IF(AND(L424&lt;&gt;"",L424&gt;=I424),"Paid",IF(AND(L424&lt;&gt;"",L424&gt;0),"Part paid",IF(TODAY()&gt;J424,"Overdue","Due"))))</f>
        <v/>
      </c>
      <c r="N424" s="19" t="str">
        <f aca="true">IF(M424="Overdue",TODAY()-J424,"")</f>
        <v/>
      </c>
      <c r="O424" s="14"/>
    </row>
    <row r="425" customFormat="false" ht="15" hidden="false" customHeight="false" outlineLevel="0" collapsed="false">
      <c r="A425" s="14"/>
      <c r="B425" s="13"/>
      <c r="C425" s="14"/>
      <c r="D425" s="14"/>
      <c r="E425" s="14"/>
      <c r="F425" s="15"/>
      <c r="G425" s="14"/>
      <c r="H425" s="19" t="str">
        <f aca="false">IF(F425="","",IF(G425="Y",F425*Settings!$B$16,0))</f>
        <v/>
      </c>
      <c r="I425" s="19" t="str">
        <f aca="false">IF(F425="","",F425+H425)</f>
        <v/>
      </c>
      <c r="J425" s="18" t="str">
        <f aca="false">IF(B425="","",B425+Settings!$B$17)</f>
        <v/>
      </c>
      <c r="K425" s="13"/>
      <c r="L425" s="15"/>
      <c r="M425" s="17" t="str">
        <f aca="true">IF(F425="","",IF(AND(L425&lt;&gt;"",L425&gt;=I425),"Paid",IF(AND(L425&lt;&gt;"",L425&gt;0),"Part paid",IF(TODAY()&gt;J425,"Overdue","Due"))))</f>
        <v/>
      </c>
      <c r="N425" s="19" t="str">
        <f aca="true">IF(M425="Overdue",TODAY()-J425,"")</f>
        <v/>
      </c>
      <c r="O425" s="14"/>
    </row>
    <row r="426" customFormat="false" ht="15" hidden="false" customHeight="false" outlineLevel="0" collapsed="false">
      <c r="A426" s="14"/>
      <c r="B426" s="13"/>
      <c r="C426" s="14"/>
      <c r="D426" s="14"/>
      <c r="E426" s="14"/>
      <c r="F426" s="15"/>
      <c r="G426" s="14"/>
      <c r="H426" s="19" t="str">
        <f aca="false">IF(F426="","",IF(G426="Y",F426*Settings!$B$16,0))</f>
        <v/>
      </c>
      <c r="I426" s="19" t="str">
        <f aca="false">IF(F426="","",F426+H426)</f>
        <v/>
      </c>
      <c r="J426" s="18" t="str">
        <f aca="false">IF(B426="","",B426+Settings!$B$17)</f>
        <v/>
      </c>
      <c r="K426" s="13"/>
      <c r="L426" s="15"/>
      <c r="M426" s="17" t="str">
        <f aca="true">IF(F426="","",IF(AND(L426&lt;&gt;"",L426&gt;=I426),"Paid",IF(AND(L426&lt;&gt;"",L426&gt;0),"Part paid",IF(TODAY()&gt;J426,"Overdue","Due"))))</f>
        <v/>
      </c>
      <c r="N426" s="19" t="str">
        <f aca="true">IF(M426="Overdue",TODAY()-J426,"")</f>
        <v/>
      </c>
      <c r="O426" s="14"/>
    </row>
    <row r="427" customFormat="false" ht="15" hidden="false" customHeight="false" outlineLevel="0" collapsed="false">
      <c r="A427" s="14"/>
      <c r="B427" s="13"/>
      <c r="C427" s="14"/>
      <c r="D427" s="14"/>
      <c r="E427" s="14"/>
      <c r="F427" s="15"/>
      <c r="G427" s="14"/>
      <c r="H427" s="19" t="str">
        <f aca="false">IF(F427="","",IF(G427="Y",F427*Settings!$B$16,0))</f>
        <v/>
      </c>
      <c r="I427" s="19" t="str">
        <f aca="false">IF(F427="","",F427+H427)</f>
        <v/>
      </c>
      <c r="J427" s="18" t="str">
        <f aca="false">IF(B427="","",B427+Settings!$B$17)</f>
        <v/>
      </c>
      <c r="K427" s="13"/>
      <c r="L427" s="15"/>
      <c r="M427" s="17" t="str">
        <f aca="true">IF(F427="","",IF(AND(L427&lt;&gt;"",L427&gt;=I427),"Paid",IF(AND(L427&lt;&gt;"",L427&gt;0),"Part paid",IF(TODAY()&gt;J427,"Overdue","Due"))))</f>
        <v/>
      </c>
      <c r="N427" s="19" t="str">
        <f aca="true">IF(M427="Overdue",TODAY()-J427,"")</f>
        <v/>
      </c>
      <c r="O427" s="14"/>
    </row>
    <row r="428" customFormat="false" ht="15" hidden="false" customHeight="false" outlineLevel="0" collapsed="false">
      <c r="A428" s="14"/>
      <c r="B428" s="13"/>
      <c r="C428" s="14"/>
      <c r="D428" s="14"/>
      <c r="E428" s="14"/>
      <c r="F428" s="15"/>
      <c r="G428" s="14"/>
      <c r="H428" s="19" t="str">
        <f aca="false">IF(F428="","",IF(G428="Y",F428*Settings!$B$16,0))</f>
        <v/>
      </c>
      <c r="I428" s="19" t="str">
        <f aca="false">IF(F428="","",F428+H428)</f>
        <v/>
      </c>
      <c r="J428" s="18" t="str">
        <f aca="false">IF(B428="","",B428+Settings!$B$17)</f>
        <v/>
      </c>
      <c r="K428" s="13"/>
      <c r="L428" s="15"/>
      <c r="M428" s="17" t="str">
        <f aca="true">IF(F428="","",IF(AND(L428&lt;&gt;"",L428&gt;=I428),"Paid",IF(AND(L428&lt;&gt;"",L428&gt;0),"Part paid",IF(TODAY()&gt;J428,"Overdue","Due"))))</f>
        <v/>
      </c>
      <c r="N428" s="19" t="str">
        <f aca="true">IF(M428="Overdue",TODAY()-J428,"")</f>
        <v/>
      </c>
      <c r="O428" s="14"/>
    </row>
    <row r="429" customFormat="false" ht="15" hidden="false" customHeight="false" outlineLevel="0" collapsed="false">
      <c r="A429" s="14"/>
      <c r="B429" s="13"/>
      <c r="C429" s="14"/>
      <c r="D429" s="14"/>
      <c r="E429" s="14"/>
      <c r="F429" s="15"/>
      <c r="G429" s="14"/>
      <c r="H429" s="19" t="str">
        <f aca="false">IF(F429="","",IF(G429="Y",F429*Settings!$B$16,0))</f>
        <v/>
      </c>
      <c r="I429" s="19" t="str">
        <f aca="false">IF(F429="","",F429+H429)</f>
        <v/>
      </c>
      <c r="J429" s="18" t="str">
        <f aca="false">IF(B429="","",B429+Settings!$B$17)</f>
        <v/>
      </c>
      <c r="K429" s="13"/>
      <c r="L429" s="15"/>
      <c r="M429" s="17" t="str">
        <f aca="true">IF(F429="","",IF(AND(L429&lt;&gt;"",L429&gt;=I429),"Paid",IF(AND(L429&lt;&gt;"",L429&gt;0),"Part paid",IF(TODAY()&gt;J429,"Overdue","Due"))))</f>
        <v/>
      </c>
      <c r="N429" s="19" t="str">
        <f aca="true">IF(M429="Overdue",TODAY()-J429,"")</f>
        <v/>
      </c>
      <c r="O429" s="14"/>
    </row>
    <row r="430" customFormat="false" ht="15" hidden="false" customHeight="false" outlineLevel="0" collapsed="false">
      <c r="A430" s="14"/>
      <c r="B430" s="13"/>
      <c r="C430" s="14"/>
      <c r="D430" s="14"/>
      <c r="E430" s="14"/>
      <c r="F430" s="15"/>
      <c r="G430" s="14"/>
      <c r="H430" s="19" t="str">
        <f aca="false">IF(F430="","",IF(G430="Y",F430*Settings!$B$16,0))</f>
        <v/>
      </c>
      <c r="I430" s="19" t="str">
        <f aca="false">IF(F430="","",F430+H430)</f>
        <v/>
      </c>
      <c r="J430" s="18" t="str">
        <f aca="false">IF(B430="","",B430+Settings!$B$17)</f>
        <v/>
      </c>
      <c r="K430" s="13"/>
      <c r="L430" s="15"/>
      <c r="M430" s="17" t="str">
        <f aca="true">IF(F430="","",IF(AND(L430&lt;&gt;"",L430&gt;=I430),"Paid",IF(AND(L430&lt;&gt;"",L430&gt;0),"Part paid",IF(TODAY()&gt;J430,"Overdue","Due"))))</f>
        <v/>
      </c>
      <c r="N430" s="19" t="str">
        <f aca="true">IF(M430="Overdue",TODAY()-J430,"")</f>
        <v/>
      </c>
      <c r="O430" s="14"/>
    </row>
    <row r="431" customFormat="false" ht="15" hidden="false" customHeight="false" outlineLevel="0" collapsed="false">
      <c r="A431" s="14"/>
      <c r="B431" s="13"/>
      <c r="C431" s="14"/>
      <c r="D431" s="14"/>
      <c r="E431" s="14"/>
      <c r="F431" s="15"/>
      <c r="G431" s="14"/>
      <c r="H431" s="19" t="str">
        <f aca="false">IF(F431="","",IF(G431="Y",F431*Settings!$B$16,0))</f>
        <v/>
      </c>
      <c r="I431" s="19" t="str">
        <f aca="false">IF(F431="","",F431+H431)</f>
        <v/>
      </c>
      <c r="J431" s="18" t="str">
        <f aca="false">IF(B431="","",B431+Settings!$B$17)</f>
        <v/>
      </c>
      <c r="K431" s="13"/>
      <c r="L431" s="15"/>
      <c r="M431" s="17" t="str">
        <f aca="true">IF(F431="","",IF(AND(L431&lt;&gt;"",L431&gt;=I431),"Paid",IF(AND(L431&lt;&gt;"",L431&gt;0),"Part paid",IF(TODAY()&gt;J431,"Overdue","Due"))))</f>
        <v/>
      </c>
      <c r="N431" s="19" t="str">
        <f aca="true">IF(M431="Overdue",TODAY()-J431,"")</f>
        <v/>
      </c>
      <c r="O431" s="14"/>
    </row>
    <row r="432" customFormat="false" ht="15" hidden="false" customHeight="false" outlineLevel="0" collapsed="false">
      <c r="A432" s="14"/>
      <c r="B432" s="13"/>
      <c r="C432" s="14"/>
      <c r="D432" s="14"/>
      <c r="E432" s="14"/>
      <c r="F432" s="15"/>
      <c r="G432" s="14"/>
      <c r="H432" s="19" t="str">
        <f aca="false">IF(F432="","",IF(G432="Y",F432*Settings!$B$16,0))</f>
        <v/>
      </c>
      <c r="I432" s="19" t="str">
        <f aca="false">IF(F432="","",F432+H432)</f>
        <v/>
      </c>
      <c r="J432" s="18" t="str">
        <f aca="false">IF(B432="","",B432+Settings!$B$17)</f>
        <v/>
      </c>
      <c r="K432" s="13"/>
      <c r="L432" s="15"/>
      <c r="M432" s="17" t="str">
        <f aca="true">IF(F432="","",IF(AND(L432&lt;&gt;"",L432&gt;=I432),"Paid",IF(AND(L432&lt;&gt;"",L432&gt;0),"Part paid",IF(TODAY()&gt;J432,"Overdue","Due"))))</f>
        <v/>
      </c>
      <c r="N432" s="19" t="str">
        <f aca="true">IF(M432="Overdue",TODAY()-J432,"")</f>
        <v/>
      </c>
      <c r="O432" s="14"/>
    </row>
    <row r="433" customFormat="false" ht="15" hidden="false" customHeight="false" outlineLevel="0" collapsed="false">
      <c r="A433" s="14"/>
      <c r="B433" s="13"/>
      <c r="C433" s="14"/>
      <c r="D433" s="14"/>
      <c r="E433" s="14"/>
      <c r="F433" s="15"/>
      <c r="G433" s="14"/>
      <c r="H433" s="19" t="str">
        <f aca="false">IF(F433="","",IF(G433="Y",F433*Settings!$B$16,0))</f>
        <v/>
      </c>
      <c r="I433" s="19" t="str">
        <f aca="false">IF(F433="","",F433+H433)</f>
        <v/>
      </c>
      <c r="J433" s="18" t="str">
        <f aca="false">IF(B433="","",B433+Settings!$B$17)</f>
        <v/>
      </c>
      <c r="K433" s="13"/>
      <c r="L433" s="15"/>
      <c r="M433" s="17" t="str">
        <f aca="true">IF(F433="","",IF(AND(L433&lt;&gt;"",L433&gt;=I433),"Paid",IF(AND(L433&lt;&gt;"",L433&gt;0),"Part paid",IF(TODAY()&gt;J433,"Overdue","Due"))))</f>
        <v/>
      </c>
      <c r="N433" s="19" t="str">
        <f aca="true">IF(M433="Overdue",TODAY()-J433,"")</f>
        <v/>
      </c>
      <c r="O433" s="14"/>
    </row>
    <row r="434" customFormat="false" ht="15" hidden="false" customHeight="false" outlineLevel="0" collapsed="false">
      <c r="A434" s="14"/>
      <c r="B434" s="13"/>
      <c r="C434" s="14"/>
      <c r="D434" s="14"/>
      <c r="E434" s="14"/>
      <c r="F434" s="15"/>
      <c r="G434" s="14"/>
      <c r="H434" s="19" t="str">
        <f aca="false">IF(F434="","",IF(G434="Y",F434*Settings!$B$16,0))</f>
        <v/>
      </c>
      <c r="I434" s="19" t="str">
        <f aca="false">IF(F434="","",F434+H434)</f>
        <v/>
      </c>
      <c r="J434" s="18" t="str">
        <f aca="false">IF(B434="","",B434+Settings!$B$17)</f>
        <v/>
      </c>
      <c r="K434" s="13"/>
      <c r="L434" s="15"/>
      <c r="M434" s="17" t="str">
        <f aca="true">IF(F434="","",IF(AND(L434&lt;&gt;"",L434&gt;=I434),"Paid",IF(AND(L434&lt;&gt;"",L434&gt;0),"Part paid",IF(TODAY()&gt;J434,"Overdue","Due"))))</f>
        <v/>
      </c>
      <c r="N434" s="19" t="str">
        <f aca="true">IF(M434="Overdue",TODAY()-J434,"")</f>
        <v/>
      </c>
      <c r="O434" s="14"/>
    </row>
    <row r="435" customFormat="false" ht="15" hidden="false" customHeight="false" outlineLevel="0" collapsed="false">
      <c r="A435" s="14"/>
      <c r="B435" s="13"/>
      <c r="C435" s="14"/>
      <c r="D435" s="14"/>
      <c r="E435" s="14"/>
      <c r="F435" s="15"/>
      <c r="G435" s="14"/>
      <c r="H435" s="19" t="str">
        <f aca="false">IF(F435="","",IF(G435="Y",F435*Settings!$B$16,0))</f>
        <v/>
      </c>
      <c r="I435" s="19" t="str">
        <f aca="false">IF(F435="","",F435+H435)</f>
        <v/>
      </c>
      <c r="J435" s="18" t="str">
        <f aca="false">IF(B435="","",B435+Settings!$B$17)</f>
        <v/>
      </c>
      <c r="K435" s="13"/>
      <c r="L435" s="15"/>
      <c r="M435" s="17" t="str">
        <f aca="true">IF(F435="","",IF(AND(L435&lt;&gt;"",L435&gt;=I435),"Paid",IF(AND(L435&lt;&gt;"",L435&gt;0),"Part paid",IF(TODAY()&gt;J435,"Overdue","Due"))))</f>
        <v/>
      </c>
      <c r="N435" s="19" t="str">
        <f aca="true">IF(M435="Overdue",TODAY()-J435,"")</f>
        <v/>
      </c>
      <c r="O435" s="14"/>
    </row>
    <row r="436" customFormat="false" ht="15" hidden="false" customHeight="false" outlineLevel="0" collapsed="false">
      <c r="A436" s="14"/>
      <c r="B436" s="13"/>
      <c r="C436" s="14"/>
      <c r="D436" s="14"/>
      <c r="E436" s="14"/>
      <c r="F436" s="15"/>
      <c r="G436" s="14"/>
      <c r="H436" s="19" t="str">
        <f aca="false">IF(F436="","",IF(G436="Y",F436*Settings!$B$16,0))</f>
        <v/>
      </c>
      <c r="I436" s="19" t="str">
        <f aca="false">IF(F436="","",F436+H436)</f>
        <v/>
      </c>
      <c r="J436" s="18" t="str">
        <f aca="false">IF(B436="","",B436+Settings!$B$17)</f>
        <v/>
      </c>
      <c r="K436" s="13"/>
      <c r="L436" s="15"/>
      <c r="M436" s="17" t="str">
        <f aca="true">IF(F436="","",IF(AND(L436&lt;&gt;"",L436&gt;=I436),"Paid",IF(AND(L436&lt;&gt;"",L436&gt;0),"Part paid",IF(TODAY()&gt;J436,"Overdue","Due"))))</f>
        <v/>
      </c>
      <c r="N436" s="19" t="str">
        <f aca="true">IF(M436="Overdue",TODAY()-J436,"")</f>
        <v/>
      </c>
      <c r="O436" s="14"/>
    </row>
    <row r="437" customFormat="false" ht="15" hidden="false" customHeight="false" outlineLevel="0" collapsed="false">
      <c r="A437" s="14"/>
      <c r="B437" s="13"/>
      <c r="C437" s="14"/>
      <c r="D437" s="14"/>
      <c r="E437" s="14"/>
      <c r="F437" s="15"/>
      <c r="G437" s="14"/>
      <c r="H437" s="19" t="str">
        <f aca="false">IF(F437="","",IF(G437="Y",F437*Settings!$B$16,0))</f>
        <v/>
      </c>
      <c r="I437" s="19" t="str">
        <f aca="false">IF(F437="","",F437+H437)</f>
        <v/>
      </c>
      <c r="J437" s="18" t="str">
        <f aca="false">IF(B437="","",B437+Settings!$B$17)</f>
        <v/>
      </c>
      <c r="K437" s="13"/>
      <c r="L437" s="15"/>
      <c r="M437" s="17" t="str">
        <f aca="true">IF(F437="","",IF(AND(L437&lt;&gt;"",L437&gt;=I437),"Paid",IF(AND(L437&lt;&gt;"",L437&gt;0),"Part paid",IF(TODAY()&gt;J437,"Overdue","Due"))))</f>
        <v/>
      </c>
      <c r="N437" s="19" t="str">
        <f aca="true">IF(M437="Overdue",TODAY()-J437,"")</f>
        <v/>
      </c>
      <c r="O437" s="14"/>
    </row>
    <row r="438" customFormat="false" ht="15" hidden="false" customHeight="false" outlineLevel="0" collapsed="false">
      <c r="A438" s="14"/>
      <c r="B438" s="13"/>
      <c r="C438" s="14"/>
      <c r="D438" s="14"/>
      <c r="E438" s="14"/>
      <c r="F438" s="15"/>
      <c r="G438" s="14"/>
      <c r="H438" s="19" t="str">
        <f aca="false">IF(F438="","",IF(G438="Y",F438*Settings!$B$16,0))</f>
        <v/>
      </c>
      <c r="I438" s="19" t="str">
        <f aca="false">IF(F438="","",F438+H438)</f>
        <v/>
      </c>
      <c r="J438" s="18" t="str">
        <f aca="false">IF(B438="","",B438+Settings!$B$17)</f>
        <v/>
      </c>
      <c r="K438" s="13"/>
      <c r="L438" s="15"/>
      <c r="M438" s="17" t="str">
        <f aca="true">IF(F438="","",IF(AND(L438&lt;&gt;"",L438&gt;=I438),"Paid",IF(AND(L438&lt;&gt;"",L438&gt;0),"Part paid",IF(TODAY()&gt;J438,"Overdue","Due"))))</f>
        <v/>
      </c>
      <c r="N438" s="19" t="str">
        <f aca="true">IF(M438="Overdue",TODAY()-J438,"")</f>
        <v/>
      </c>
      <c r="O438" s="14"/>
    </row>
    <row r="439" customFormat="false" ht="15" hidden="false" customHeight="false" outlineLevel="0" collapsed="false">
      <c r="A439" s="14"/>
      <c r="B439" s="13"/>
      <c r="C439" s="14"/>
      <c r="D439" s="14"/>
      <c r="E439" s="14"/>
      <c r="F439" s="15"/>
      <c r="G439" s="14"/>
      <c r="H439" s="19" t="str">
        <f aca="false">IF(F439="","",IF(G439="Y",F439*Settings!$B$16,0))</f>
        <v/>
      </c>
      <c r="I439" s="19" t="str">
        <f aca="false">IF(F439="","",F439+H439)</f>
        <v/>
      </c>
      <c r="J439" s="18" t="str">
        <f aca="false">IF(B439="","",B439+Settings!$B$17)</f>
        <v/>
      </c>
      <c r="K439" s="13"/>
      <c r="L439" s="15"/>
      <c r="M439" s="17" t="str">
        <f aca="true">IF(F439="","",IF(AND(L439&lt;&gt;"",L439&gt;=I439),"Paid",IF(AND(L439&lt;&gt;"",L439&gt;0),"Part paid",IF(TODAY()&gt;J439,"Overdue","Due"))))</f>
        <v/>
      </c>
      <c r="N439" s="19" t="str">
        <f aca="true">IF(M439="Overdue",TODAY()-J439,"")</f>
        <v/>
      </c>
      <c r="O439" s="14"/>
    </row>
    <row r="440" customFormat="false" ht="15" hidden="false" customHeight="false" outlineLevel="0" collapsed="false">
      <c r="A440" s="14"/>
      <c r="B440" s="13"/>
      <c r="C440" s="14"/>
      <c r="D440" s="14"/>
      <c r="E440" s="14"/>
      <c r="F440" s="15"/>
      <c r="G440" s="14"/>
      <c r="H440" s="19" t="str">
        <f aca="false">IF(F440="","",IF(G440="Y",F440*Settings!$B$16,0))</f>
        <v/>
      </c>
      <c r="I440" s="19" t="str">
        <f aca="false">IF(F440="","",F440+H440)</f>
        <v/>
      </c>
      <c r="J440" s="18" t="str">
        <f aca="false">IF(B440="","",B440+Settings!$B$17)</f>
        <v/>
      </c>
      <c r="K440" s="13"/>
      <c r="L440" s="15"/>
      <c r="M440" s="17" t="str">
        <f aca="true">IF(F440="","",IF(AND(L440&lt;&gt;"",L440&gt;=I440),"Paid",IF(AND(L440&lt;&gt;"",L440&gt;0),"Part paid",IF(TODAY()&gt;J440,"Overdue","Due"))))</f>
        <v/>
      </c>
      <c r="N440" s="19" t="str">
        <f aca="true">IF(M440="Overdue",TODAY()-J440,"")</f>
        <v/>
      </c>
      <c r="O440" s="14"/>
    </row>
    <row r="441" customFormat="false" ht="15" hidden="false" customHeight="false" outlineLevel="0" collapsed="false">
      <c r="A441" s="14"/>
      <c r="B441" s="13"/>
      <c r="C441" s="14"/>
      <c r="D441" s="14"/>
      <c r="E441" s="14"/>
      <c r="F441" s="15"/>
      <c r="G441" s="14"/>
      <c r="H441" s="19" t="str">
        <f aca="false">IF(F441="","",IF(G441="Y",F441*Settings!$B$16,0))</f>
        <v/>
      </c>
      <c r="I441" s="19" t="str">
        <f aca="false">IF(F441="","",F441+H441)</f>
        <v/>
      </c>
      <c r="J441" s="18" t="str">
        <f aca="false">IF(B441="","",B441+Settings!$B$17)</f>
        <v/>
      </c>
      <c r="K441" s="13"/>
      <c r="L441" s="15"/>
      <c r="M441" s="17" t="str">
        <f aca="true">IF(F441="","",IF(AND(L441&lt;&gt;"",L441&gt;=I441),"Paid",IF(AND(L441&lt;&gt;"",L441&gt;0),"Part paid",IF(TODAY()&gt;J441,"Overdue","Due"))))</f>
        <v/>
      </c>
      <c r="N441" s="19" t="str">
        <f aca="true">IF(M441="Overdue",TODAY()-J441,"")</f>
        <v/>
      </c>
      <c r="O441" s="14"/>
    </row>
    <row r="442" customFormat="false" ht="15" hidden="false" customHeight="false" outlineLevel="0" collapsed="false">
      <c r="A442" s="14"/>
      <c r="B442" s="13"/>
      <c r="C442" s="14"/>
      <c r="D442" s="14"/>
      <c r="E442" s="14"/>
      <c r="F442" s="15"/>
      <c r="G442" s="14"/>
      <c r="H442" s="19" t="str">
        <f aca="false">IF(F442="","",IF(G442="Y",F442*Settings!$B$16,0))</f>
        <v/>
      </c>
      <c r="I442" s="19" t="str">
        <f aca="false">IF(F442="","",F442+H442)</f>
        <v/>
      </c>
      <c r="J442" s="18" t="str">
        <f aca="false">IF(B442="","",B442+Settings!$B$17)</f>
        <v/>
      </c>
      <c r="K442" s="13"/>
      <c r="L442" s="15"/>
      <c r="M442" s="17" t="str">
        <f aca="true">IF(F442="","",IF(AND(L442&lt;&gt;"",L442&gt;=I442),"Paid",IF(AND(L442&lt;&gt;"",L442&gt;0),"Part paid",IF(TODAY()&gt;J442,"Overdue","Due"))))</f>
        <v/>
      </c>
      <c r="N442" s="19" t="str">
        <f aca="true">IF(M442="Overdue",TODAY()-J442,"")</f>
        <v/>
      </c>
      <c r="O442" s="14"/>
    </row>
    <row r="443" customFormat="false" ht="15" hidden="false" customHeight="false" outlineLevel="0" collapsed="false">
      <c r="A443" s="14"/>
      <c r="B443" s="13"/>
      <c r="C443" s="14"/>
      <c r="D443" s="14"/>
      <c r="E443" s="14"/>
      <c r="F443" s="15"/>
      <c r="G443" s="14"/>
      <c r="H443" s="19" t="str">
        <f aca="false">IF(F443="","",IF(G443="Y",F443*Settings!$B$16,0))</f>
        <v/>
      </c>
      <c r="I443" s="19" t="str">
        <f aca="false">IF(F443="","",F443+H443)</f>
        <v/>
      </c>
      <c r="J443" s="18" t="str">
        <f aca="false">IF(B443="","",B443+Settings!$B$17)</f>
        <v/>
      </c>
      <c r="K443" s="13"/>
      <c r="L443" s="15"/>
      <c r="M443" s="17" t="str">
        <f aca="true">IF(F443="","",IF(AND(L443&lt;&gt;"",L443&gt;=I443),"Paid",IF(AND(L443&lt;&gt;"",L443&gt;0),"Part paid",IF(TODAY()&gt;J443,"Overdue","Due"))))</f>
        <v/>
      </c>
      <c r="N443" s="19" t="str">
        <f aca="true">IF(M443="Overdue",TODAY()-J443,"")</f>
        <v/>
      </c>
      <c r="O443" s="14"/>
    </row>
    <row r="444" customFormat="false" ht="15" hidden="false" customHeight="false" outlineLevel="0" collapsed="false">
      <c r="A444" s="14"/>
      <c r="B444" s="13"/>
      <c r="C444" s="14"/>
      <c r="D444" s="14"/>
      <c r="E444" s="14"/>
      <c r="F444" s="15"/>
      <c r="G444" s="14"/>
      <c r="H444" s="19" t="str">
        <f aca="false">IF(F444="","",IF(G444="Y",F444*Settings!$B$16,0))</f>
        <v/>
      </c>
      <c r="I444" s="19" t="str">
        <f aca="false">IF(F444="","",F444+H444)</f>
        <v/>
      </c>
      <c r="J444" s="18" t="str">
        <f aca="false">IF(B444="","",B444+Settings!$B$17)</f>
        <v/>
      </c>
      <c r="K444" s="13"/>
      <c r="L444" s="15"/>
      <c r="M444" s="17" t="str">
        <f aca="true">IF(F444="","",IF(AND(L444&lt;&gt;"",L444&gt;=I444),"Paid",IF(AND(L444&lt;&gt;"",L444&gt;0),"Part paid",IF(TODAY()&gt;J444,"Overdue","Due"))))</f>
        <v/>
      </c>
      <c r="N444" s="19" t="str">
        <f aca="true">IF(M444="Overdue",TODAY()-J444,"")</f>
        <v/>
      </c>
      <c r="O444" s="14"/>
    </row>
    <row r="445" customFormat="false" ht="15" hidden="false" customHeight="false" outlineLevel="0" collapsed="false">
      <c r="A445" s="14"/>
      <c r="B445" s="13"/>
      <c r="C445" s="14"/>
      <c r="D445" s="14"/>
      <c r="E445" s="14"/>
      <c r="F445" s="15"/>
      <c r="G445" s="14"/>
      <c r="H445" s="19" t="str">
        <f aca="false">IF(F445="","",IF(G445="Y",F445*Settings!$B$16,0))</f>
        <v/>
      </c>
      <c r="I445" s="19" t="str">
        <f aca="false">IF(F445="","",F445+H445)</f>
        <v/>
      </c>
      <c r="J445" s="18" t="str">
        <f aca="false">IF(B445="","",B445+Settings!$B$17)</f>
        <v/>
      </c>
      <c r="K445" s="13"/>
      <c r="L445" s="15"/>
      <c r="M445" s="17" t="str">
        <f aca="true">IF(F445="","",IF(AND(L445&lt;&gt;"",L445&gt;=I445),"Paid",IF(AND(L445&lt;&gt;"",L445&gt;0),"Part paid",IF(TODAY()&gt;J445,"Overdue","Due"))))</f>
        <v/>
      </c>
      <c r="N445" s="19" t="str">
        <f aca="true">IF(M445="Overdue",TODAY()-J445,"")</f>
        <v/>
      </c>
      <c r="O445" s="14"/>
    </row>
    <row r="446" customFormat="false" ht="15" hidden="false" customHeight="false" outlineLevel="0" collapsed="false">
      <c r="A446" s="14"/>
      <c r="B446" s="13"/>
      <c r="C446" s="14"/>
      <c r="D446" s="14"/>
      <c r="E446" s="14"/>
      <c r="F446" s="15"/>
      <c r="G446" s="14"/>
      <c r="H446" s="19" t="str">
        <f aca="false">IF(F446="","",IF(G446="Y",F446*Settings!$B$16,0))</f>
        <v/>
      </c>
      <c r="I446" s="19" t="str">
        <f aca="false">IF(F446="","",F446+H446)</f>
        <v/>
      </c>
      <c r="J446" s="18" t="str">
        <f aca="false">IF(B446="","",B446+Settings!$B$17)</f>
        <v/>
      </c>
      <c r="K446" s="13"/>
      <c r="L446" s="15"/>
      <c r="M446" s="17" t="str">
        <f aca="true">IF(F446="","",IF(AND(L446&lt;&gt;"",L446&gt;=I446),"Paid",IF(AND(L446&lt;&gt;"",L446&gt;0),"Part paid",IF(TODAY()&gt;J446,"Overdue","Due"))))</f>
        <v/>
      </c>
      <c r="N446" s="19" t="str">
        <f aca="true">IF(M446="Overdue",TODAY()-J446,"")</f>
        <v/>
      </c>
      <c r="O446" s="14"/>
    </row>
    <row r="447" customFormat="false" ht="15" hidden="false" customHeight="false" outlineLevel="0" collapsed="false">
      <c r="A447" s="14"/>
      <c r="B447" s="13"/>
      <c r="C447" s="14"/>
      <c r="D447" s="14"/>
      <c r="E447" s="14"/>
      <c r="F447" s="15"/>
      <c r="G447" s="14"/>
      <c r="H447" s="19" t="str">
        <f aca="false">IF(F447="","",IF(G447="Y",F447*Settings!$B$16,0))</f>
        <v/>
      </c>
      <c r="I447" s="19" t="str">
        <f aca="false">IF(F447="","",F447+H447)</f>
        <v/>
      </c>
      <c r="J447" s="18" t="str">
        <f aca="false">IF(B447="","",B447+Settings!$B$17)</f>
        <v/>
      </c>
      <c r="K447" s="13"/>
      <c r="L447" s="15"/>
      <c r="M447" s="17" t="str">
        <f aca="true">IF(F447="","",IF(AND(L447&lt;&gt;"",L447&gt;=I447),"Paid",IF(AND(L447&lt;&gt;"",L447&gt;0),"Part paid",IF(TODAY()&gt;J447,"Overdue","Due"))))</f>
        <v/>
      </c>
      <c r="N447" s="19" t="str">
        <f aca="true">IF(M447="Overdue",TODAY()-J447,"")</f>
        <v/>
      </c>
      <c r="O447" s="14"/>
    </row>
    <row r="448" customFormat="false" ht="15" hidden="false" customHeight="false" outlineLevel="0" collapsed="false">
      <c r="A448" s="14"/>
      <c r="B448" s="13"/>
      <c r="C448" s="14"/>
      <c r="D448" s="14"/>
      <c r="E448" s="14"/>
      <c r="F448" s="15"/>
      <c r="G448" s="14"/>
      <c r="H448" s="19" t="str">
        <f aca="false">IF(F448="","",IF(G448="Y",F448*Settings!$B$16,0))</f>
        <v/>
      </c>
      <c r="I448" s="19" t="str">
        <f aca="false">IF(F448="","",F448+H448)</f>
        <v/>
      </c>
      <c r="J448" s="18" t="str">
        <f aca="false">IF(B448="","",B448+Settings!$B$17)</f>
        <v/>
      </c>
      <c r="K448" s="13"/>
      <c r="L448" s="15"/>
      <c r="M448" s="17" t="str">
        <f aca="true">IF(F448="","",IF(AND(L448&lt;&gt;"",L448&gt;=I448),"Paid",IF(AND(L448&lt;&gt;"",L448&gt;0),"Part paid",IF(TODAY()&gt;J448,"Overdue","Due"))))</f>
        <v/>
      </c>
      <c r="N448" s="19" t="str">
        <f aca="true">IF(M448="Overdue",TODAY()-J448,"")</f>
        <v/>
      </c>
      <c r="O448" s="14"/>
    </row>
    <row r="449" customFormat="false" ht="15" hidden="false" customHeight="false" outlineLevel="0" collapsed="false">
      <c r="A449" s="14"/>
      <c r="B449" s="13"/>
      <c r="C449" s="14"/>
      <c r="D449" s="14"/>
      <c r="E449" s="14"/>
      <c r="F449" s="15"/>
      <c r="G449" s="14"/>
      <c r="H449" s="19" t="str">
        <f aca="false">IF(F449="","",IF(G449="Y",F449*Settings!$B$16,0))</f>
        <v/>
      </c>
      <c r="I449" s="19" t="str">
        <f aca="false">IF(F449="","",F449+H449)</f>
        <v/>
      </c>
      <c r="J449" s="18" t="str">
        <f aca="false">IF(B449="","",B449+Settings!$B$17)</f>
        <v/>
      </c>
      <c r="K449" s="13"/>
      <c r="L449" s="15"/>
      <c r="M449" s="17" t="str">
        <f aca="true">IF(F449="","",IF(AND(L449&lt;&gt;"",L449&gt;=I449),"Paid",IF(AND(L449&lt;&gt;"",L449&gt;0),"Part paid",IF(TODAY()&gt;J449,"Overdue","Due"))))</f>
        <v/>
      </c>
      <c r="N449" s="19" t="str">
        <f aca="true">IF(M449="Overdue",TODAY()-J449,"")</f>
        <v/>
      </c>
      <c r="O449" s="14"/>
    </row>
    <row r="450" customFormat="false" ht="15" hidden="false" customHeight="false" outlineLevel="0" collapsed="false">
      <c r="A450" s="14"/>
      <c r="B450" s="13"/>
      <c r="C450" s="14"/>
      <c r="D450" s="14"/>
      <c r="E450" s="14"/>
      <c r="F450" s="15"/>
      <c r="G450" s="14"/>
      <c r="H450" s="19" t="str">
        <f aca="false">IF(F450="","",IF(G450="Y",F450*Settings!$B$16,0))</f>
        <v/>
      </c>
      <c r="I450" s="19" t="str">
        <f aca="false">IF(F450="","",F450+H450)</f>
        <v/>
      </c>
      <c r="J450" s="18" t="str">
        <f aca="false">IF(B450="","",B450+Settings!$B$17)</f>
        <v/>
      </c>
      <c r="K450" s="13"/>
      <c r="L450" s="15"/>
      <c r="M450" s="17" t="str">
        <f aca="true">IF(F450="","",IF(AND(L450&lt;&gt;"",L450&gt;=I450),"Paid",IF(AND(L450&lt;&gt;"",L450&gt;0),"Part paid",IF(TODAY()&gt;J450,"Overdue","Due"))))</f>
        <v/>
      </c>
      <c r="N450" s="19" t="str">
        <f aca="true">IF(M450="Overdue",TODAY()-J450,"")</f>
        <v/>
      </c>
      <c r="O450" s="14"/>
    </row>
    <row r="451" customFormat="false" ht="15" hidden="false" customHeight="false" outlineLevel="0" collapsed="false">
      <c r="A451" s="14"/>
      <c r="B451" s="13"/>
      <c r="C451" s="14"/>
      <c r="D451" s="14"/>
      <c r="E451" s="14"/>
      <c r="F451" s="15"/>
      <c r="G451" s="14"/>
      <c r="H451" s="19" t="str">
        <f aca="false">IF(F451="","",IF(G451="Y",F451*Settings!$B$16,0))</f>
        <v/>
      </c>
      <c r="I451" s="19" t="str">
        <f aca="false">IF(F451="","",F451+H451)</f>
        <v/>
      </c>
      <c r="J451" s="18" t="str">
        <f aca="false">IF(B451="","",B451+Settings!$B$17)</f>
        <v/>
      </c>
      <c r="K451" s="13"/>
      <c r="L451" s="15"/>
      <c r="M451" s="17" t="str">
        <f aca="true">IF(F451="","",IF(AND(L451&lt;&gt;"",L451&gt;=I451),"Paid",IF(AND(L451&lt;&gt;"",L451&gt;0),"Part paid",IF(TODAY()&gt;J451,"Overdue","Due"))))</f>
        <v/>
      </c>
      <c r="N451" s="19" t="str">
        <f aca="true">IF(M451="Overdue",TODAY()-J451,"")</f>
        <v/>
      </c>
      <c r="O451" s="14"/>
    </row>
    <row r="452" customFormat="false" ht="15" hidden="false" customHeight="false" outlineLevel="0" collapsed="false">
      <c r="A452" s="14"/>
      <c r="B452" s="13"/>
      <c r="C452" s="14"/>
      <c r="D452" s="14"/>
      <c r="E452" s="14"/>
      <c r="F452" s="15"/>
      <c r="G452" s="14"/>
      <c r="H452" s="19" t="str">
        <f aca="false">IF(F452="","",IF(G452="Y",F452*Settings!$B$16,0))</f>
        <v/>
      </c>
      <c r="I452" s="19" t="str">
        <f aca="false">IF(F452="","",F452+H452)</f>
        <v/>
      </c>
      <c r="J452" s="18" t="str">
        <f aca="false">IF(B452="","",B452+Settings!$B$17)</f>
        <v/>
      </c>
      <c r="K452" s="13"/>
      <c r="L452" s="15"/>
      <c r="M452" s="17" t="str">
        <f aca="true">IF(F452="","",IF(AND(L452&lt;&gt;"",L452&gt;=I452),"Paid",IF(AND(L452&lt;&gt;"",L452&gt;0),"Part paid",IF(TODAY()&gt;J452,"Overdue","Due"))))</f>
        <v/>
      </c>
      <c r="N452" s="19" t="str">
        <f aca="true">IF(M452="Overdue",TODAY()-J452,"")</f>
        <v/>
      </c>
      <c r="O452" s="14"/>
    </row>
    <row r="453" customFormat="false" ht="15" hidden="false" customHeight="false" outlineLevel="0" collapsed="false">
      <c r="A453" s="14"/>
      <c r="B453" s="13"/>
      <c r="C453" s="14"/>
      <c r="D453" s="14"/>
      <c r="E453" s="14"/>
      <c r="F453" s="15"/>
      <c r="G453" s="14"/>
      <c r="H453" s="19" t="str">
        <f aca="false">IF(F453="","",IF(G453="Y",F453*Settings!$B$16,0))</f>
        <v/>
      </c>
      <c r="I453" s="19" t="str">
        <f aca="false">IF(F453="","",F453+H453)</f>
        <v/>
      </c>
      <c r="J453" s="18" t="str">
        <f aca="false">IF(B453="","",B453+Settings!$B$17)</f>
        <v/>
      </c>
      <c r="K453" s="13"/>
      <c r="L453" s="15"/>
      <c r="M453" s="17" t="str">
        <f aca="true">IF(F453="","",IF(AND(L453&lt;&gt;"",L453&gt;=I453),"Paid",IF(AND(L453&lt;&gt;"",L453&gt;0),"Part paid",IF(TODAY()&gt;J453,"Overdue","Due"))))</f>
        <v/>
      </c>
      <c r="N453" s="19" t="str">
        <f aca="true">IF(M453="Overdue",TODAY()-J453,"")</f>
        <v/>
      </c>
      <c r="O453" s="14"/>
    </row>
    <row r="454" customFormat="false" ht="15" hidden="false" customHeight="false" outlineLevel="0" collapsed="false">
      <c r="A454" s="14"/>
      <c r="B454" s="13"/>
      <c r="C454" s="14"/>
      <c r="D454" s="14"/>
      <c r="E454" s="14"/>
      <c r="F454" s="15"/>
      <c r="G454" s="14"/>
      <c r="H454" s="19" t="str">
        <f aca="false">IF(F454="","",IF(G454="Y",F454*Settings!$B$16,0))</f>
        <v/>
      </c>
      <c r="I454" s="19" t="str">
        <f aca="false">IF(F454="","",F454+H454)</f>
        <v/>
      </c>
      <c r="J454" s="18" t="str">
        <f aca="false">IF(B454="","",B454+Settings!$B$17)</f>
        <v/>
      </c>
      <c r="K454" s="13"/>
      <c r="L454" s="15"/>
      <c r="M454" s="17" t="str">
        <f aca="true">IF(F454="","",IF(AND(L454&lt;&gt;"",L454&gt;=I454),"Paid",IF(AND(L454&lt;&gt;"",L454&gt;0),"Part paid",IF(TODAY()&gt;J454,"Overdue","Due"))))</f>
        <v/>
      </c>
      <c r="N454" s="19" t="str">
        <f aca="true">IF(M454="Overdue",TODAY()-J454,"")</f>
        <v/>
      </c>
      <c r="O454" s="14"/>
    </row>
    <row r="455" customFormat="false" ht="15" hidden="false" customHeight="false" outlineLevel="0" collapsed="false">
      <c r="A455" s="14"/>
      <c r="B455" s="13"/>
      <c r="C455" s="14"/>
      <c r="D455" s="14"/>
      <c r="E455" s="14"/>
      <c r="F455" s="15"/>
      <c r="G455" s="14"/>
      <c r="H455" s="19" t="str">
        <f aca="false">IF(F455="","",IF(G455="Y",F455*Settings!$B$16,0))</f>
        <v/>
      </c>
      <c r="I455" s="19" t="str">
        <f aca="false">IF(F455="","",F455+H455)</f>
        <v/>
      </c>
      <c r="J455" s="18" t="str">
        <f aca="false">IF(B455="","",B455+Settings!$B$17)</f>
        <v/>
      </c>
      <c r="K455" s="13"/>
      <c r="L455" s="15"/>
      <c r="M455" s="17" t="str">
        <f aca="true">IF(F455="","",IF(AND(L455&lt;&gt;"",L455&gt;=I455),"Paid",IF(AND(L455&lt;&gt;"",L455&gt;0),"Part paid",IF(TODAY()&gt;J455,"Overdue","Due"))))</f>
        <v/>
      </c>
      <c r="N455" s="19" t="str">
        <f aca="true">IF(M455="Overdue",TODAY()-J455,"")</f>
        <v/>
      </c>
      <c r="O455" s="14"/>
    </row>
    <row r="456" customFormat="false" ht="15" hidden="false" customHeight="false" outlineLevel="0" collapsed="false">
      <c r="A456" s="14"/>
      <c r="B456" s="13"/>
      <c r="C456" s="14"/>
      <c r="D456" s="14"/>
      <c r="E456" s="14"/>
      <c r="F456" s="15"/>
      <c r="G456" s="14"/>
      <c r="H456" s="19" t="str">
        <f aca="false">IF(F456="","",IF(G456="Y",F456*Settings!$B$16,0))</f>
        <v/>
      </c>
      <c r="I456" s="19" t="str">
        <f aca="false">IF(F456="","",F456+H456)</f>
        <v/>
      </c>
      <c r="J456" s="18" t="str">
        <f aca="false">IF(B456="","",B456+Settings!$B$17)</f>
        <v/>
      </c>
      <c r="K456" s="13"/>
      <c r="L456" s="15"/>
      <c r="M456" s="17" t="str">
        <f aca="true">IF(F456="","",IF(AND(L456&lt;&gt;"",L456&gt;=I456),"Paid",IF(AND(L456&lt;&gt;"",L456&gt;0),"Part paid",IF(TODAY()&gt;J456,"Overdue","Due"))))</f>
        <v/>
      </c>
      <c r="N456" s="19" t="str">
        <f aca="true">IF(M456="Overdue",TODAY()-J456,"")</f>
        <v/>
      </c>
      <c r="O456" s="14"/>
    </row>
    <row r="457" customFormat="false" ht="15" hidden="false" customHeight="false" outlineLevel="0" collapsed="false">
      <c r="A457" s="14"/>
      <c r="B457" s="13"/>
      <c r="C457" s="14"/>
      <c r="D457" s="14"/>
      <c r="E457" s="14"/>
      <c r="F457" s="15"/>
      <c r="G457" s="14"/>
      <c r="H457" s="19" t="str">
        <f aca="false">IF(F457="","",IF(G457="Y",F457*Settings!$B$16,0))</f>
        <v/>
      </c>
      <c r="I457" s="19" t="str">
        <f aca="false">IF(F457="","",F457+H457)</f>
        <v/>
      </c>
      <c r="J457" s="18" t="str">
        <f aca="false">IF(B457="","",B457+Settings!$B$17)</f>
        <v/>
      </c>
      <c r="K457" s="13"/>
      <c r="L457" s="15"/>
      <c r="M457" s="17" t="str">
        <f aca="true">IF(F457="","",IF(AND(L457&lt;&gt;"",L457&gt;=I457),"Paid",IF(AND(L457&lt;&gt;"",L457&gt;0),"Part paid",IF(TODAY()&gt;J457,"Overdue","Due"))))</f>
        <v/>
      </c>
      <c r="N457" s="19" t="str">
        <f aca="true">IF(M457="Overdue",TODAY()-J457,"")</f>
        <v/>
      </c>
      <c r="O457" s="14"/>
    </row>
    <row r="458" customFormat="false" ht="15" hidden="false" customHeight="false" outlineLevel="0" collapsed="false">
      <c r="A458" s="14"/>
      <c r="B458" s="13"/>
      <c r="C458" s="14"/>
      <c r="D458" s="14"/>
      <c r="E458" s="14"/>
      <c r="F458" s="15"/>
      <c r="G458" s="14"/>
      <c r="H458" s="19" t="str">
        <f aca="false">IF(F458="","",IF(G458="Y",F458*Settings!$B$16,0))</f>
        <v/>
      </c>
      <c r="I458" s="19" t="str">
        <f aca="false">IF(F458="","",F458+H458)</f>
        <v/>
      </c>
      <c r="J458" s="18" t="str">
        <f aca="false">IF(B458="","",B458+Settings!$B$17)</f>
        <v/>
      </c>
      <c r="K458" s="13"/>
      <c r="L458" s="15"/>
      <c r="M458" s="17" t="str">
        <f aca="true">IF(F458="","",IF(AND(L458&lt;&gt;"",L458&gt;=I458),"Paid",IF(AND(L458&lt;&gt;"",L458&gt;0),"Part paid",IF(TODAY()&gt;J458,"Overdue","Due"))))</f>
        <v/>
      </c>
      <c r="N458" s="19" t="str">
        <f aca="true">IF(M458="Overdue",TODAY()-J458,"")</f>
        <v/>
      </c>
      <c r="O458" s="14"/>
    </row>
    <row r="459" customFormat="false" ht="15" hidden="false" customHeight="false" outlineLevel="0" collapsed="false">
      <c r="A459" s="14"/>
      <c r="B459" s="13"/>
      <c r="C459" s="14"/>
      <c r="D459" s="14"/>
      <c r="E459" s="14"/>
      <c r="F459" s="15"/>
      <c r="G459" s="14"/>
      <c r="H459" s="19" t="str">
        <f aca="false">IF(F459="","",IF(G459="Y",F459*Settings!$B$16,0))</f>
        <v/>
      </c>
      <c r="I459" s="19" t="str">
        <f aca="false">IF(F459="","",F459+H459)</f>
        <v/>
      </c>
      <c r="J459" s="18" t="str">
        <f aca="false">IF(B459="","",B459+Settings!$B$17)</f>
        <v/>
      </c>
      <c r="K459" s="13"/>
      <c r="L459" s="15"/>
      <c r="M459" s="17" t="str">
        <f aca="true">IF(F459="","",IF(AND(L459&lt;&gt;"",L459&gt;=I459),"Paid",IF(AND(L459&lt;&gt;"",L459&gt;0),"Part paid",IF(TODAY()&gt;J459,"Overdue","Due"))))</f>
        <v/>
      </c>
      <c r="N459" s="19" t="str">
        <f aca="true">IF(M459="Overdue",TODAY()-J459,"")</f>
        <v/>
      </c>
      <c r="O459" s="14"/>
    </row>
    <row r="460" customFormat="false" ht="15" hidden="false" customHeight="false" outlineLevel="0" collapsed="false">
      <c r="A460" s="14"/>
      <c r="B460" s="13"/>
      <c r="C460" s="14"/>
      <c r="D460" s="14"/>
      <c r="E460" s="14"/>
      <c r="F460" s="15"/>
      <c r="G460" s="14"/>
      <c r="H460" s="19" t="str">
        <f aca="false">IF(F460="","",IF(G460="Y",F460*Settings!$B$16,0))</f>
        <v/>
      </c>
      <c r="I460" s="19" t="str">
        <f aca="false">IF(F460="","",F460+H460)</f>
        <v/>
      </c>
      <c r="J460" s="18" t="str">
        <f aca="false">IF(B460="","",B460+Settings!$B$17)</f>
        <v/>
      </c>
      <c r="K460" s="13"/>
      <c r="L460" s="15"/>
      <c r="M460" s="17" t="str">
        <f aca="true">IF(F460="","",IF(AND(L460&lt;&gt;"",L460&gt;=I460),"Paid",IF(AND(L460&lt;&gt;"",L460&gt;0),"Part paid",IF(TODAY()&gt;J460,"Overdue","Due"))))</f>
        <v/>
      </c>
      <c r="N460" s="19" t="str">
        <f aca="true">IF(M460="Overdue",TODAY()-J460,"")</f>
        <v/>
      </c>
      <c r="O460" s="14"/>
    </row>
    <row r="461" customFormat="false" ht="15" hidden="false" customHeight="false" outlineLevel="0" collapsed="false">
      <c r="A461" s="14"/>
      <c r="B461" s="13"/>
      <c r="C461" s="14"/>
      <c r="D461" s="14"/>
      <c r="E461" s="14"/>
      <c r="F461" s="15"/>
      <c r="G461" s="14"/>
      <c r="H461" s="19" t="str">
        <f aca="false">IF(F461="","",IF(G461="Y",F461*Settings!$B$16,0))</f>
        <v/>
      </c>
      <c r="I461" s="19" t="str">
        <f aca="false">IF(F461="","",F461+H461)</f>
        <v/>
      </c>
      <c r="J461" s="18" t="str">
        <f aca="false">IF(B461="","",B461+Settings!$B$17)</f>
        <v/>
      </c>
      <c r="K461" s="13"/>
      <c r="L461" s="15"/>
      <c r="M461" s="17" t="str">
        <f aca="true">IF(F461="","",IF(AND(L461&lt;&gt;"",L461&gt;=I461),"Paid",IF(AND(L461&lt;&gt;"",L461&gt;0),"Part paid",IF(TODAY()&gt;J461,"Overdue","Due"))))</f>
        <v/>
      </c>
      <c r="N461" s="19" t="str">
        <f aca="true">IF(M461="Overdue",TODAY()-J461,"")</f>
        <v/>
      </c>
      <c r="O461" s="14"/>
    </row>
    <row r="462" customFormat="false" ht="15" hidden="false" customHeight="false" outlineLevel="0" collapsed="false">
      <c r="A462" s="14"/>
      <c r="B462" s="13"/>
      <c r="C462" s="14"/>
      <c r="D462" s="14"/>
      <c r="E462" s="14"/>
      <c r="F462" s="15"/>
      <c r="G462" s="14"/>
      <c r="H462" s="19" t="str">
        <f aca="false">IF(F462="","",IF(G462="Y",F462*Settings!$B$16,0))</f>
        <v/>
      </c>
      <c r="I462" s="19" t="str">
        <f aca="false">IF(F462="","",F462+H462)</f>
        <v/>
      </c>
      <c r="J462" s="18" t="str">
        <f aca="false">IF(B462="","",B462+Settings!$B$17)</f>
        <v/>
      </c>
      <c r="K462" s="13"/>
      <c r="L462" s="15"/>
      <c r="M462" s="17" t="str">
        <f aca="true">IF(F462="","",IF(AND(L462&lt;&gt;"",L462&gt;=I462),"Paid",IF(AND(L462&lt;&gt;"",L462&gt;0),"Part paid",IF(TODAY()&gt;J462,"Overdue","Due"))))</f>
        <v/>
      </c>
      <c r="N462" s="19" t="str">
        <f aca="true">IF(M462="Overdue",TODAY()-J462,"")</f>
        <v/>
      </c>
      <c r="O462" s="14"/>
    </row>
    <row r="463" customFormat="false" ht="15" hidden="false" customHeight="false" outlineLevel="0" collapsed="false">
      <c r="A463" s="14"/>
      <c r="B463" s="13"/>
      <c r="C463" s="14"/>
      <c r="D463" s="14"/>
      <c r="E463" s="14"/>
      <c r="F463" s="15"/>
      <c r="G463" s="14"/>
      <c r="H463" s="19" t="str">
        <f aca="false">IF(F463="","",IF(G463="Y",F463*Settings!$B$16,0))</f>
        <v/>
      </c>
      <c r="I463" s="19" t="str">
        <f aca="false">IF(F463="","",F463+H463)</f>
        <v/>
      </c>
      <c r="J463" s="18" t="str">
        <f aca="false">IF(B463="","",B463+Settings!$B$17)</f>
        <v/>
      </c>
      <c r="K463" s="13"/>
      <c r="L463" s="15"/>
      <c r="M463" s="17" t="str">
        <f aca="true">IF(F463="","",IF(AND(L463&lt;&gt;"",L463&gt;=I463),"Paid",IF(AND(L463&lt;&gt;"",L463&gt;0),"Part paid",IF(TODAY()&gt;J463,"Overdue","Due"))))</f>
        <v/>
      </c>
      <c r="N463" s="19" t="str">
        <f aca="true">IF(M463="Overdue",TODAY()-J463,"")</f>
        <v/>
      </c>
      <c r="O463" s="14"/>
    </row>
    <row r="464" customFormat="false" ht="15" hidden="false" customHeight="false" outlineLevel="0" collapsed="false">
      <c r="A464" s="14"/>
      <c r="B464" s="13"/>
      <c r="C464" s="14"/>
      <c r="D464" s="14"/>
      <c r="E464" s="14"/>
      <c r="F464" s="15"/>
      <c r="G464" s="14"/>
      <c r="H464" s="19" t="str">
        <f aca="false">IF(F464="","",IF(G464="Y",F464*Settings!$B$16,0))</f>
        <v/>
      </c>
      <c r="I464" s="19" t="str">
        <f aca="false">IF(F464="","",F464+H464)</f>
        <v/>
      </c>
      <c r="J464" s="18" t="str">
        <f aca="false">IF(B464="","",B464+Settings!$B$17)</f>
        <v/>
      </c>
      <c r="K464" s="13"/>
      <c r="L464" s="15"/>
      <c r="M464" s="17" t="str">
        <f aca="true">IF(F464="","",IF(AND(L464&lt;&gt;"",L464&gt;=I464),"Paid",IF(AND(L464&lt;&gt;"",L464&gt;0),"Part paid",IF(TODAY()&gt;J464,"Overdue","Due"))))</f>
        <v/>
      </c>
      <c r="N464" s="19" t="str">
        <f aca="true">IF(M464="Overdue",TODAY()-J464,"")</f>
        <v/>
      </c>
      <c r="O464" s="14"/>
    </row>
    <row r="465" customFormat="false" ht="15" hidden="false" customHeight="false" outlineLevel="0" collapsed="false">
      <c r="A465" s="14"/>
      <c r="B465" s="13"/>
      <c r="C465" s="14"/>
      <c r="D465" s="14"/>
      <c r="E465" s="14"/>
      <c r="F465" s="15"/>
      <c r="G465" s="14"/>
      <c r="H465" s="19" t="str">
        <f aca="false">IF(F465="","",IF(G465="Y",F465*Settings!$B$16,0))</f>
        <v/>
      </c>
      <c r="I465" s="19" t="str">
        <f aca="false">IF(F465="","",F465+H465)</f>
        <v/>
      </c>
      <c r="J465" s="18" t="str">
        <f aca="false">IF(B465="","",B465+Settings!$B$17)</f>
        <v/>
      </c>
      <c r="K465" s="13"/>
      <c r="L465" s="15"/>
      <c r="M465" s="17" t="str">
        <f aca="true">IF(F465="","",IF(AND(L465&lt;&gt;"",L465&gt;=I465),"Paid",IF(AND(L465&lt;&gt;"",L465&gt;0),"Part paid",IF(TODAY()&gt;J465,"Overdue","Due"))))</f>
        <v/>
      </c>
      <c r="N465" s="19" t="str">
        <f aca="true">IF(M465="Overdue",TODAY()-J465,"")</f>
        <v/>
      </c>
      <c r="O465" s="14"/>
    </row>
    <row r="466" customFormat="false" ht="15" hidden="false" customHeight="false" outlineLevel="0" collapsed="false">
      <c r="A466" s="14"/>
      <c r="B466" s="13"/>
      <c r="C466" s="14"/>
      <c r="D466" s="14"/>
      <c r="E466" s="14"/>
      <c r="F466" s="15"/>
      <c r="G466" s="14"/>
      <c r="H466" s="19" t="str">
        <f aca="false">IF(F466="","",IF(G466="Y",F466*Settings!$B$16,0))</f>
        <v/>
      </c>
      <c r="I466" s="19" t="str">
        <f aca="false">IF(F466="","",F466+H466)</f>
        <v/>
      </c>
      <c r="J466" s="18" t="str">
        <f aca="false">IF(B466="","",B466+Settings!$B$17)</f>
        <v/>
      </c>
      <c r="K466" s="13"/>
      <c r="L466" s="15"/>
      <c r="M466" s="17" t="str">
        <f aca="true">IF(F466="","",IF(AND(L466&lt;&gt;"",L466&gt;=I466),"Paid",IF(AND(L466&lt;&gt;"",L466&gt;0),"Part paid",IF(TODAY()&gt;J466,"Overdue","Due"))))</f>
        <v/>
      </c>
      <c r="N466" s="19" t="str">
        <f aca="true">IF(M466="Overdue",TODAY()-J466,"")</f>
        <v/>
      </c>
      <c r="O466" s="14"/>
    </row>
    <row r="467" customFormat="false" ht="15" hidden="false" customHeight="false" outlineLevel="0" collapsed="false">
      <c r="A467" s="14"/>
      <c r="B467" s="13"/>
      <c r="C467" s="14"/>
      <c r="D467" s="14"/>
      <c r="E467" s="14"/>
      <c r="F467" s="15"/>
      <c r="G467" s="14"/>
      <c r="H467" s="19" t="str">
        <f aca="false">IF(F467="","",IF(G467="Y",F467*Settings!$B$16,0))</f>
        <v/>
      </c>
      <c r="I467" s="19" t="str">
        <f aca="false">IF(F467="","",F467+H467)</f>
        <v/>
      </c>
      <c r="J467" s="18" t="str">
        <f aca="false">IF(B467="","",B467+Settings!$B$17)</f>
        <v/>
      </c>
      <c r="K467" s="13"/>
      <c r="L467" s="15"/>
      <c r="M467" s="17" t="str">
        <f aca="true">IF(F467="","",IF(AND(L467&lt;&gt;"",L467&gt;=I467),"Paid",IF(AND(L467&lt;&gt;"",L467&gt;0),"Part paid",IF(TODAY()&gt;J467,"Overdue","Due"))))</f>
        <v/>
      </c>
      <c r="N467" s="19" t="str">
        <f aca="true">IF(M467="Overdue",TODAY()-J467,"")</f>
        <v/>
      </c>
      <c r="O467" s="14"/>
    </row>
    <row r="468" customFormat="false" ht="15" hidden="false" customHeight="false" outlineLevel="0" collapsed="false">
      <c r="A468" s="14"/>
      <c r="B468" s="13"/>
      <c r="C468" s="14"/>
      <c r="D468" s="14"/>
      <c r="E468" s="14"/>
      <c r="F468" s="15"/>
      <c r="G468" s="14"/>
      <c r="H468" s="19" t="str">
        <f aca="false">IF(F468="","",IF(G468="Y",F468*Settings!$B$16,0))</f>
        <v/>
      </c>
      <c r="I468" s="19" t="str">
        <f aca="false">IF(F468="","",F468+H468)</f>
        <v/>
      </c>
      <c r="J468" s="18" t="str">
        <f aca="false">IF(B468="","",B468+Settings!$B$17)</f>
        <v/>
      </c>
      <c r="K468" s="13"/>
      <c r="L468" s="15"/>
      <c r="M468" s="17" t="str">
        <f aca="true">IF(F468="","",IF(AND(L468&lt;&gt;"",L468&gt;=I468),"Paid",IF(AND(L468&lt;&gt;"",L468&gt;0),"Part paid",IF(TODAY()&gt;J468,"Overdue","Due"))))</f>
        <v/>
      </c>
      <c r="N468" s="19" t="str">
        <f aca="true">IF(M468="Overdue",TODAY()-J468,"")</f>
        <v/>
      </c>
      <c r="O468" s="14"/>
    </row>
    <row r="469" customFormat="false" ht="15" hidden="false" customHeight="false" outlineLevel="0" collapsed="false">
      <c r="A469" s="14"/>
      <c r="B469" s="13"/>
      <c r="C469" s="14"/>
      <c r="D469" s="14"/>
      <c r="E469" s="14"/>
      <c r="F469" s="15"/>
      <c r="G469" s="14"/>
      <c r="H469" s="19" t="str">
        <f aca="false">IF(F469="","",IF(G469="Y",F469*Settings!$B$16,0))</f>
        <v/>
      </c>
      <c r="I469" s="19" t="str">
        <f aca="false">IF(F469="","",F469+H469)</f>
        <v/>
      </c>
      <c r="J469" s="18" t="str">
        <f aca="false">IF(B469="","",B469+Settings!$B$17)</f>
        <v/>
      </c>
      <c r="K469" s="13"/>
      <c r="L469" s="15"/>
      <c r="M469" s="17" t="str">
        <f aca="true">IF(F469="","",IF(AND(L469&lt;&gt;"",L469&gt;=I469),"Paid",IF(AND(L469&lt;&gt;"",L469&gt;0),"Part paid",IF(TODAY()&gt;J469,"Overdue","Due"))))</f>
        <v/>
      </c>
      <c r="N469" s="19" t="str">
        <f aca="true">IF(M469="Overdue",TODAY()-J469,"")</f>
        <v/>
      </c>
      <c r="O469" s="14"/>
    </row>
    <row r="470" customFormat="false" ht="15" hidden="false" customHeight="false" outlineLevel="0" collapsed="false">
      <c r="A470" s="14"/>
      <c r="B470" s="13"/>
      <c r="C470" s="14"/>
      <c r="D470" s="14"/>
      <c r="E470" s="14"/>
      <c r="F470" s="15"/>
      <c r="G470" s="14"/>
      <c r="H470" s="19" t="str">
        <f aca="false">IF(F470="","",IF(G470="Y",F470*Settings!$B$16,0))</f>
        <v/>
      </c>
      <c r="I470" s="19" t="str">
        <f aca="false">IF(F470="","",F470+H470)</f>
        <v/>
      </c>
      <c r="J470" s="18" t="str">
        <f aca="false">IF(B470="","",B470+Settings!$B$17)</f>
        <v/>
      </c>
      <c r="K470" s="13"/>
      <c r="L470" s="15"/>
      <c r="M470" s="17" t="str">
        <f aca="true">IF(F470="","",IF(AND(L470&lt;&gt;"",L470&gt;=I470),"Paid",IF(AND(L470&lt;&gt;"",L470&gt;0),"Part paid",IF(TODAY()&gt;J470,"Overdue","Due"))))</f>
        <v/>
      </c>
      <c r="N470" s="19" t="str">
        <f aca="true">IF(M470="Overdue",TODAY()-J470,"")</f>
        <v/>
      </c>
      <c r="O470" s="14"/>
    </row>
    <row r="471" customFormat="false" ht="15" hidden="false" customHeight="false" outlineLevel="0" collapsed="false">
      <c r="A471" s="14"/>
      <c r="B471" s="13"/>
      <c r="C471" s="14"/>
      <c r="D471" s="14"/>
      <c r="E471" s="14"/>
      <c r="F471" s="15"/>
      <c r="G471" s="14"/>
      <c r="H471" s="19" t="str">
        <f aca="false">IF(F471="","",IF(G471="Y",F471*Settings!$B$16,0))</f>
        <v/>
      </c>
      <c r="I471" s="19" t="str">
        <f aca="false">IF(F471="","",F471+H471)</f>
        <v/>
      </c>
      <c r="J471" s="18" t="str">
        <f aca="false">IF(B471="","",B471+Settings!$B$17)</f>
        <v/>
      </c>
      <c r="K471" s="13"/>
      <c r="L471" s="15"/>
      <c r="M471" s="17" t="str">
        <f aca="true">IF(F471="","",IF(AND(L471&lt;&gt;"",L471&gt;=I471),"Paid",IF(AND(L471&lt;&gt;"",L471&gt;0),"Part paid",IF(TODAY()&gt;J471,"Overdue","Due"))))</f>
        <v/>
      </c>
      <c r="N471" s="19" t="str">
        <f aca="true">IF(M471="Overdue",TODAY()-J471,"")</f>
        <v/>
      </c>
      <c r="O471" s="14"/>
    </row>
    <row r="472" customFormat="false" ht="15" hidden="false" customHeight="false" outlineLevel="0" collapsed="false">
      <c r="A472" s="14"/>
      <c r="B472" s="13"/>
      <c r="C472" s="14"/>
      <c r="D472" s="14"/>
      <c r="E472" s="14"/>
      <c r="F472" s="15"/>
      <c r="G472" s="14"/>
      <c r="H472" s="19" t="str">
        <f aca="false">IF(F472="","",IF(G472="Y",F472*Settings!$B$16,0))</f>
        <v/>
      </c>
      <c r="I472" s="19" t="str">
        <f aca="false">IF(F472="","",F472+H472)</f>
        <v/>
      </c>
      <c r="J472" s="18" t="str">
        <f aca="false">IF(B472="","",B472+Settings!$B$17)</f>
        <v/>
      </c>
      <c r="K472" s="13"/>
      <c r="L472" s="15"/>
      <c r="M472" s="17" t="str">
        <f aca="true">IF(F472="","",IF(AND(L472&lt;&gt;"",L472&gt;=I472),"Paid",IF(AND(L472&lt;&gt;"",L472&gt;0),"Part paid",IF(TODAY()&gt;J472,"Overdue","Due"))))</f>
        <v/>
      </c>
      <c r="N472" s="19" t="str">
        <f aca="true">IF(M472="Overdue",TODAY()-J472,"")</f>
        <v/>
      </c>
      <c r="O472" s="14"/>
    </row>
    <row r="473" customFormat="false" ht="15" hidden="false" customHeight="false" outlineLevel="0" collapsed="false">
      <c r="A473" s="14"/>
      <c r="B473" s="13"/>
      <c r="C473" s="14"/>
      <c r="D473" s="14"/>
      <c r="E473" s="14"/>
      <c r="F473" s="15"/>
      <c r="G473" s="14"/>
      <c r="H473" s="19" t="str">
        <f aca="false">IF(F473="","",IF(G473="Y",F473*Settings!$B$16,0))</f>
        <v/>
      </c>
      <c r="I473" s="19" t="str">
        <f aca="false">IF(F473="","",F473+H473)</f>
        <v/>
      </c>
      <c r="J473" s="18" t="str">
        <f aca="false">IF(B473="","",B473+Settings!$B$17)</f>
        <v/>
      </c>
      <c r="K473" s="13"/>
      <c r="L473" s="15"/>
      <c r="M473" s="17" t="str">
        <f aca="true">IF(F473="","",IF(AND(L473&lt;&gt;"",L473&gt;=I473),"Paid",IF(AND(L473&lt;&gt;"",L473&gt;0),"Part paid",IF(TODAY()&gt;J473,"Overdue","Due"))))</f>
        <v/>
      </c>
      <c r="N473" s="19" t="str">
        <f aca="true">IF(M473="Overdue",TODAY()-J473,"")</f>
        <v/>
      </c>
      <c r="O473" s="14"/>
    </row>
    <row r="474" customFormat="false" ht="15" hidden="false" customHeight="false" outlineLevel="0" collapsed="false">
      <c r="A474" s="14"/>
      <c r="B474" s="13"/>
      <c r="C474" s="14"/>
      <c r="D474" s="14"/>
      <c r="E474" s="14"/>
      <c r="F474" s="15"/>
      <c r="G474" s="14"/>
      <c r="H474" s="19" t="str">
        <f aca="false">IF(F474="","",IF(G474="Y",F474*Settings!$B$16,0))</f>
        <v/>
      </c>
      <c r="I474" s="19" t="str">
        <f aca="false">IF(F474="","",F474+H474)</f>
        <v/>
      </c>
      <c r="J474" s="18" t="str">
        <f aca="false">IF(B474="","",B474+Settings!$B$17)</f>
        <v/>
      </c>
      <c r="K474" s="13"/>
      <c r="L474" s="15"/>
      <c r="M474" s="17" t="str">
        <f aca="true">IF(F474="","",IF(AND(L474&lt;&gt;"",L474&gt;=I474),"Paid",IF(AND(L474&lt;&gt;"",L474&gt;0),"Part paid",IF(TODAY()&gt;J474,"Overdue","Due"))))</f>
        <v/>
      </c>
      <c r="N474" s="19" t="str">
        <f aca="true">IF(M474="Overdue",TODAY()-J474,"")</f>
        <v/>
      </c>
      <c r="O474" s="14"/>
    </row>
    <row r="475" customFormat="false" ht="15" hidden="false" customHeight="false" outlineLevel="0" collapsed="false">
      <c r="A475" s="14"/>
      <c r="B475" s="13"/>
      <c r="C475" s="14"/>
      <c r="D475" s="14"/>
      <c r="E475" s="14"/>
      <c r="F475" s="15"/>
      <c r="G475" s="14"/>
      <c r="H475" s="19" t="str">
        <f aca="false">IF(F475="","",IF(G475="Y",F475*Settings!$B$16,0))</f>
        <v/>
      </c>
      <c r="I475" s="19" t="str">
        <f aca="false">IF(F475="","",F475+H475)</f>
        <v/>
      </c>
      <c r="J475" s="18" t="str">
        <f aca="false">IF(B475="","",B475+Settings!$B$17)</f>
        <v/>
      </c>
      <c r="K475" s="13"/>
      <c r="L475" s="15"/>
      <c r="M475" s="17" t="str">
        <f aca="true">IF(F475="","",IF(AND(L475&lt;&gt;"",L475&gt;=I475),"Paid",IF(AND(L475&lt;&gt;"",L475&gt;0),"Part paid",IF(TODAY()&gt;J475,"Overdue","Due"))))</f>
        <v/>
      </c>
      <c r="N475" s="19" t="str">
        <f aca="true">IF(M475="Overdue",TODAY()-J475,"")</f>
        <v/>
      </c>
      <c r="O475" s="14"/>
    </row>
    <row r="476" customFormat="false" ht="15" hidden="false" customHeight="false" outlineLevel="0" collapsed="false">
      <c r="A476" s="14"/>
      <c r="B476" s="13"/>
      <c r="C476" s="14"/>
      <c r="D476" s="14"/>
      <c r="E476" s="14"/>
      <c r="F476" s="15"/>
      <c r="G476" s="14"/>
      <c r="H476" s="19" t="str">
        <f aca="false">IF(F476="","",IF(G476="Y",F476*Settings!$B$16,0))</f>
        <v/>
      </c>
      <c r="I476" s="19" t="str">
        <f aca="false">IF(F476="","",F476+H476)</f>
        <v/>
      </c>
      <c r="J476" s="18" t="str">
        <f aca="false">IF(B476="","",B476+Settings!$B$17)</f>
        <v/>
      </c>
      <c r="K476" s="13"/>
      <c r="L476" s="15"/>
      <c r="M476" s="17" t="str">
        <f aca="true">IF(F476="","",IF(AND(L476&lt;&gt;"",L476&gt;=I476),"Paid",IF(AND(L476&lt;&gt;"",L476&gt;0),"Part paid",IF(TODAY()&gt;J476,"Overdue","Due"))))</f>
        <v/>
      </c>
      <c r="N476" s="19" t="str">
        <f aca="true">IF(M476="Overdue",TODAY()-J476,"")</f>
        <v/>
      </c>
      <c r="O476" s="14"/>
    </row>
    <row r="477" customFormat="false" ht="15" hidden="false" customHeight="false" outlineLevel="0" collapsed="false">
      <c r="A477" s="14"/>
      <c r="B477" s="13"/>
      <c r="C477" s="14"/>
      <c r="D477" s="14"/>
      <c r="E477" s="14"/>
      <c r="F477" s="15"/>
      <c r="G477" s="14"/>
      <c r="H477" s="19" t="str">
        <f aca="false">IF(F477="","",IF(G477="Y",F477*Settings!$B$16,0))</f>
        <v/>
      </c>
      <c r="I477" s="19" t="str">
        <f aca="false">IF(F477="","",F477+H477)</f>
        <v/>
      </c>
      <c r="J477" s="18" t="str">
        <f aca="false">IF(B477="","",B477+Settings!$B$17)</f>
        <v/>
      </c>
      <c r="K477" s="13"/>
      <c r="L477" s="15"/>
      <c r="M477" s="17" t="str">
        <f aca="true">IF(F477="","",IF(AND(L477&lt;&gt;"",L477&gt;=I477),"Paid",IF(AND(L477&lt;&gt;"",L477&gt;0),"Part paid",IF(TODAY()&gt;J477,"Overdue","Due"))))</f>
        <v/>
      </c>
      <c r="N477" s="19" t="str">
        <f aca="true">IF(M477="Overdue",TODAY()-J477,"")</f>
        <v/>
      </c>
      <c r="O477" s="14"/>
    </row>
    <row r="478" customFormat="false" ht="15" hidden="false" customHeight="false" outlineLevel="0" collapsed="false">
      <c r="A478" s="14"/>
      <c r="B478" s="13"/>
      <c r="C478" s="14"/>
      <c r="D478" s="14"/>
      <c r="E478" s="14"/>
      <c r="F478" s="15"/>
      <c r="G478" s="14"/>
      <c r="H478" s="19" t="str">
        <f aca="false">IF(F478="","",IF(G478="Y",F478*Settings!$B$16,0))</f>
        <v/>
      </c>
      <c r="I478" s="19" t="str">
        <f aca="false">IF(F478="","",F478+H478)</f>
        <v/>
      </c>
      <c r="J478" s="18" t="str">
        <f aca="false">IF(B478="","",B478+Settings!$B$17)</f>
        <v/>
      </c>
      <c r="K478" s="13"/>
      <c r="L478" s="15"/>
      <c r="M478" s="17" t="str">
        <f aca="true">IF(F478="","",IF(AND(L478&lt;&gt;"",L478&gt;=I478),"Paid",IF(AND(L478&lt;&gt;"",L478&gt;0),"Part paid",IF(TODAY()&gt;J478,"Overdue","Due"))))</f>
        <v/>
      </c>
      <c r="N478" s="19" t="str">
        <f aca="true">IF(M478="Overdue",TODAY()-J478,"")</f>
        <v/>
      </c>
      <c r="O478" s="14"/>
    </row>
    <row r="479" customFormat="false" ht="15" hidden="false" customHeight="false" outlineLevel="0" collapsed="false">
      <c r="A479" s="14"/>
      <c r="B479" s="13"/>
      <c r="C479" s="14"/>
      <c r="D479" s="14"/>
      <c r="E479" s="14"/>
      <c r="F479" s="15"/>
      <c r="G479" s="14"/>
      <c r="H479" s="19" t="str">
        <f aca="false">IF(F479="","",IF(G479="Y",F479*Settings!$B$16,0))</f>
        <v/>
      </c>
      <c r="I479" s="19" t="str">
        <f aca="false">IF(F479="","",F479+H479)</f>
        <v/>
      </c>
      <c r="J479" s="18" t="str">
        <f aca="false">IF(B479="","",B479+Settings!$B$17)</f>
        <v/>
      </c>
      <c r="K479" s="13"/>
      <c r="L479" s="15"/>
      <c r="M479" s="17" t="str">
        <f aca="true">IF(F479="","",IF(AND(L479&lt;&gt;"",L479&gt;=I479),"Paid",IF(AND(L479&lt;&gt;"",L479&gt;0),"Part paid",IF(TODAY()&gt;J479,"Overdue","Due"))))</f>
        <v/>
      </c>
      <c r="N479" s="19" t="str">
        <f aca="true">IF(M479="Overdue",TODAY()-J479,"")</f>
        <v/>
      </c>
      <c r="O479" s="14"/>
    </row>
    <row r="480" customFormat="false" ht="15" hidden="false" customHeight="false" outlineLevel="0" collapsed="false">
      <c r="A480" s="14"/>
      <c r="B480" s="13"/>
      <c r="C480" s="14"/>
      <c r="D480" s="14"/>
      <c r="E480" s="14"/>
      <c r="F480" s="15"/>
      <c r="G480" s="14"/>
      <c r="H480" s="19" t="str">
        <f aca="false">IF(F480="","",IF(G480="Y",F480*Settings!$B$16,0))</f>
        <v/>
      </c>
      <c r="I480" s="19" t="str">
        <f aca="false">IF(F480="","",F480+H480)</f>
        <v/>
      </c>
      <c r="J480" s="18" t="str">
        <f aca="false">IF(B480="","",B480+Settings!$B$17)</f>
        <v/>
      </c>
      <c r="K480" s="13"/>
      <c r="L480" s="15"/>
      <c r="M480" s="17" t="str">
        <f aca="true">IF(F480="","",IF(AND(L480&lt;&gt;"",L480&gt;=I480),"Paid",IF(AND(L480&lt;&gt;"",L480&gt;0),"Part paid",IF(TODAY()&gt;J480,"Overdue","Due"))))</f>
        <v/>
      </c>
      <c r="N480" s="19" t="str">
        <f aca="true">IF(M480="Overdue",TODAY()-J480,"")</f>
        <v/>
      </c>
      <c r="O480" s="14"/>
    </row>
    <row r="481" customFormat="false" ht="15" hidden="false" customHeight="false" outlineLevel="0" collapsed="false">
      <c r="A481" s="14"/>
      <c r="B481" s="13"/>
      <c r="C481" s="14"/>
      <c r="D481" s="14"/>
      <c r="E481" s="14"/>
      <c r="F481" s="15"/>
      <c r="G481" s="14"/>
      <c r="H481" s="19" t="str">
        <f aca="false">IF(F481="","",IF(G481="Y",F481*Settings!$B$16,0))</f>
        <v/>
      </c>
      <c r="I481" s="19" t="str">
        <f aca="false">IF(F481="","",F481+H481)</f>
        <v/>
      </c>
      <c r="J481" s="18" t="str">
        <f aca="false">IF(B481="","",B481+Settings!$B$17)</f>
        <v/>
      </c>
      <c r="K481" s="13"/>
      <c r="L481" s="15"/>
      <c r="M481" s="17" t="str">
        <f aca="true">IF(F481="","",IF(AND(L481&lt;&gt;"",L481&gt;=I481),"Paid",IF(AND(L481&lt;&gt;"",L481&gt;0),"Part paid",IF(TODAY()&gt;J481,"Overdue","Due"))))</f>
        <v/>
      </c>
      <c r="N481" s="19" t="str">
        <f aca="true">IF(M481="Overdue",TODAY()-J481,"")</f>
        <v/>
      </c>
      <c r="O481" s="14"/>
    </row>
    <row r="482" customFormat="false" ht="15" hidden="false" customHeight="false" outlineLevel="0" collapsed="false">
      <c r="A482" s="14"/>
      <c r="B482" s="13"/>
      <c r="C482" s="14"/>
      <c r="D482" s="14"/>
      <c r="E482" s="14"/>
      <c r="F482" s="15"/>
      <c r="G482" s="14"/>
      <c r="H482" s="19" t="str">
        <f aca="false">IF(F482="","",IF(G482="Y",F482*Settings!$B$16,0))</f>
        <v/>
      </c>
      <c r="I482" s="19" t="str">
        <f aca="false">IF(F482="","",F482+H482)</f>
        <v/>
      </c>
      <c r="J482" s="18" t="str">
        <f aca="false">IF(B482="","",B482+Settings!$B$17)</f>
        <v/>
      </c>
      <c r="K482" s="13"/>
      <c r="L482" s="15"/>
      <c r="M482" s="17" t="str">
        <f aca="true">IF(F482="","",IF(AND(L482&lt;&gt;"",L482&gt;=I482),"Paid",IF(AND(L482&lt;&gt;"",L482&gt;0),"Part paid",IF(TODAY()&gt;J482,"Overdue","Due"))))</f>
        <v/>
      </c>
      <c r="N482" s="19" t="str">
        <f aca="true">IF(M482="Overdue",TODAY()-J482,"")</f>
        <v/>
      </c>
      <c r="O482" s="14"/>
    </row>
    <row r="483" customFormat="false" ht="15" hidden="false" customHeight="false" outlineLevel="0" collapsed="false">
      <c r="A483" s="14"/>
      <c r="B483" s="13"/>
      <c r="C483" s="14"/>
      <c r="D483" s="14"/>
      <c r="E483" s="14"/>
      <c r="F483" s="15"/>
      <c r="G483" s="14"/>
      <c r="H483" s="19" t="str">
        <f aca="false">IF(F483="","",IF(G483="Y",F483*Settings!$B$16,0))</f>
        <v/>
      </c>
      <c r="I483" s="19" t="str">
        <f aca="false">IF(F483="","",F483+H483)</f>
        <v/>
      </c>
      <c r="J483" s="18" t="str">
        <f aca="false">IF(B483="","",B483+Settings!$B$17)</f>
        <v/>
      </c>
      <c r="K483" s="13"/>
      <c r="L483" s="15"/>
      <c r="M483" s="17" t="str">
        <f aca="true">IF(F483="","",IF(AND(L483&lt;&gt;"",L483&gt;=I483),"Paid",IF(AND(L483&lt;&gt;"",L483&gt;0),"Part paid",IF(TODAY()&gt;J483,"Overdue","Due"))))</f>
        <v/>
      </c>
      <c r="N483" s="19" t="str">
        <f aca="true">IF(M483="Overdue",TODAY()-J483,"")</f>
        <v/>
      </c>
      <c r="O483" s="14"/>
    </row>
    <row r="484" customFormat="false" ht="15" hidden="false" customHeight="false" outlineLevel="0" collapsed="false">
      <c r="A484" s="14"/>
      <c r="B484" s="13"/>
      <c r="C484" s="14"/>
      <c r="D484" s="14"/>
      <c r="E484" s="14"/>
      <c r="F484" s="15"/>
      <c r="G484" s="14"/>
      <c r="H484" s="19" t="str">
        <f aca="false">IF(F484="","",IF(G484="Y",F484*Settings!$B$16,0))</f>
        <v/>
      </c>
      <c r="I484" s="19" t="str">
        <f aca="false">IF(F484="","",F484+H484)</f>
        <v/>
      </c>
      <c r="J484" s="18" t="str">
        <f aca="false">IF(B484="","",B484+Settings!$B$17)</f>
        <v/>
      </c>
      <c r="K484" s="13"/>
      <c r="L484" s="15"/>
      <c r="M484" s="17" t="str">
        <f aca="true">IF(F484="","",IF(AND(L484&lt;&gt;"",L484&gt;=I484),"Paid",IF(AND(L484&lt;&gt;"",L484&gt;0),"Part paid",IF(TODAY()&gt;J484,"Overdue","Due"))))</f>
        <v/>
      </c>
      <c r="N484" s="19" t="str">
        <f aca="true">IF(M484="Overdue",TODAY()-J484,"")</f>
        <v/>
      </c>
      <c r="O484" s="14"/>
    </row>
    <row r="485" customFormat="false" ht="15" hidden="false" customHeight="false" outlineLevel="0" collapsed="false">
      <c r="A485" s="14"/>
      <c r="B485" s="13"/>
      <c r="C485" s="14"/>
      <c r="D485" s="14"/>
      <c r="E485" s="14"/>
      <c r="F485" s="15"/>
      <c r="G485" s="14"/>
      <c r="H485" s="19" t="str">
        <f aca="false">IF(F485="","",IF(G485="Y",F485*Settings!$B$16,0))</f>
        <v/>
      </c>
      <c r="I485" s="19" t="str">
        <f aca="false">IF(F485="","",F485+H485)</f>
        <v/>
      </c>
      <c r="J485" s="18" t="str">
        <f aca="false">IF(B485="","",B485+Settings!$B$17)</f>
        <v/>
      </c>
      <c r="K485" s="13"/>
      <c r="L485" s="15"/>
      <c r="M485" s="17" t="str">
        <f aca="true">IF(F485="","",IF(AND(L485&lt;&gt;"",L485&gt;=I485),"Paid",IF(AND(L485&lt;&gt;"",L485&gt;0),"Part paid",IF(TODAY()&gt;J485,"Overdue","Due"))))</f>
        <v/>
      </c>
      <c r="N485" s="19" t="str">
        <f aca="true">IF(M485="Overdue",TODAY()-J485,"")</f>
        <v/>
      </c>
      <c r="O485" s="14"/>
    </row>
    <row r="486" customFormat="false" ht="15" hidden="false" customHeight="false" outlineLevel="0" collapsed="false">
      <c r="A486" s="14"/>
      <c r="B486" s="13"/>
      <c r="C486" s="14"/>
      <c r="D486" s="14"/>
      <c r="E486" s="14"/>
      <c r="F486" s="15"/>
      <c r="G486" s="14"/>
      <c r="H486" s="19" t="str">
        <f aca="false">IF(F486="","",IF(G486="Y",F486*Settings!$B$16,0))</f>
        <v/>
      </c>
      <c r="I486" s="19" t="str">
        <f aca="false">IF(F486="","",F486+H486)</f>
        <v/>
      </c>
      <c r="J486" s="18" t="str">
        <f aca="false">IF(B486="","",B486+Settings!$B$17)</f>
        <v/>
      </c>
      <c r="K486" s="13"/>
      <c r="L486" s="15"/>
      <c r="M486" s="17" t="str">
        <f aca="true">IF(F486="","",IF(AND(L486&lt;&gt;"",L486&gt;=I486),"Paid",IF(AND(L486&lt;&gt;"",L486&gt;0),"Part paid",IF(TODAY()&gt;J486,"Overdue","Due"))))</f>
        <v/>
      </c>
      <c r="N486" s="19" t="str">
        <f aca="true">IF(M486="Overdue",TODAY()-J486,"")</f>
        <v/>
      </c>
      <c r="O486" s="14"/>
    </row>
    <row r="487" customFormat="false" ht="15" hidden="false" customHeight="false" outlineLevel="0" collapsed="false">
      <c r="A487" s="14"/>
      <c r="B487" s="13"/>
      <c r="C487" s="14"/>
      <c r="D487" s="14"/>
      <c r="E487" s="14"/>
      <c r="F487" s="15"/>
      <c r="G487" s="14"/>
      <c r="H487" s="19" t="str">
        <f aca="false">IF(F487="","",IF(G487="Y",F487*Settings!$B$16,0))</f>
        <v/>
      </c>
      <c r="I487" s="19" t="str">
        <f aca="false">IF(F487="","",F487+H487)</f>
        <v/>
      </c>
      <c r="J487" s="18" t="str">
        <f aca="false">IF(B487="","",B487+Settings!$B$17)</f>
        <v/>
      </c>
      <c r="K487" s="13"/>
      <c r="L487" s="15"/>
      <c r="M487" s="17" t="str">
        <f aca="true">IF(F487="","",IF(AND(L487&lt;&gt;"",L487&gt;=I487),"Paid",IF(AND(L487&lt;&gt;"",L487&gt;0),"Part paid",IF(TODAY()&gt;J487,"Overdue","Due"))))</f>
        <v/>
      </c>
      <c r="N487" s="19" t="str">
        <f aca="true">IF(M487="Overdue",TODAY()-J487,"")</f>
        <v/>
      </c>
      <c r="O487" s="14"/>
    </row>
    <row r="488" customFormat="false" ht="15" hidden="false" customHeight="false" outlineLevel="0" collapsed="false">
      <c r="A488" s="14"/>
      <c r="B488" s="13"/>
      <c r="C488" s="14"/>
      <c r="D488" s="14"/>
      <c r="E488" s="14"/>
      <c r="F488" s="15"/>
      <c r="G488" s="14"/>
      <c r="H488" s="19" t="str">
        <f aca="false">IF(F488="","",IF(G488="Y",F488*Settings!$B$16,0))</f>
        <v/>
      </c>
      <c r="I488" s="19" t="str">
        <f aca="false">IF(F488="","",F488+H488)</f>
        <v/>
      </c>
      <c r="J488" s="18" t="str">
        <f aca="false">IF(B488="","",B488+Settings!$B$17)</f>
        <v/>
      </c>
      <c r="K488" s="13"/>
      <c r="L488" s="15"/>
      <c r="M488" s="17" t="str">
        <f aca="true">IF(F488="","",IF(AND(L488&lt;&gt;"",L488&gt;=I488),"Paid",IF(AND(L488&lt;&gt;"",L488&gt;0),"Part paid",IF(TODAY()&gt;J488,"Overdue","Due"))))</f>
        <v/>
      </c>
      <c r="N488" s="19" t="str">
        <f aca="true">IF(M488="Overdue",TODAY()-J488,"")</f>
        <v/>
      </c>
      <c r="O488" s="14"/>
    </row>
    <row r="489" customFormat="false" ht="15" hidden="false" customHeight="false" outlineLevel="0" collapsed="false">
      <c r="A489" s="14"/>
      <c r="B489" s="13"/>
      <c r="C489" s="14"/>
      <c r="D489" s="14"/>
      <c r="E489" s="14"/>
      <c r="F489" s="15"/>
      <c r="G489" s="14"/>
      <c r="H489" s="19" t="str">
        <f aca="false">IF(F489="","",IF(G489="Y",F489*Settings!$B$16,0))</f>
        <v/>
      </c>
      <c r="I489" s="19" t="str">
        <f aca="false">IF(F489="","",F489+H489)</f>
        <v/>
      </c>
      <c r="J489" s="18" t="str">
        <f aca="false">IF(B489="","",B489+Settings!$B$17)</f>
        <v/>
      </c>
      <c r="K489" s="13"/>
      <c r="L489" s="15"/>
      <c r="M489" s="17" t="str">
        <f aca="true">IF(F489="","",IF(AND(L489&lt;&gt;"",L489&gt;=I489),"Paid",IF(AND(L489&lt;&gt;"",L489&gt;0),"Part paid",IF(TODAY()&gt;J489,"Overdue","Due"))))</f>
        <v/>
      </c>
      <c r="N489" s="19" t="str">
        <f aca="true">IF(M489="Overdue",TODAY()-J489,"")</f>
        <v/>
      </c>
      <c r="O489" s="14"/>
    </row>
    <row r="490" customFormat="false" ht="15" hidden="false" customHeight="false" outlineLevel="0" collapsed="false">
      <c r="A490" s="14"/>
      <c r="B490" s="13"/>
      <c r="C490" s="14"/>
      <c r="D490" s="14"/>
      <c r="E490" s="14"/>
      <c r="F490" s="15"/>
      <c r="G490" s="14"/>
      <c r="H490" s="19" t="str">
        <f aca="false">IF(F490="","",IF(G490="Y",F490*Settings!$B$16,0))</f>
        <v/>
      </c>
      <c r="I490" s="19" t="str">
        <f aca="false">IF(F490="","",F490+H490)</f>
        <v/>
      </c>
      <c r="J490" s="18" t="str">
        <f aca="false">IF(B490="","",B490+Settings!$B$17)</f>
        <v/>
      </c>
      <c r="K490" s="13"/>
      <c r="L490" s="15"/>
      <c r="M490" s="17" t="str">
        <f aca="true">IF(F490="","",IF(AND(L490&lt;&gt;"",L490&gt;=I490),"Paid",IF(AND(L490&lt;&gt;"",L490&gt;0),"Part paid",IF(TODAY()&gt;J490,"Overdue","Due"))))</f>
        <v/>
      </c>
      <c r="N490" s="19" t="str">
        <f aca="true">IF(M490="Overdue",TODAY()-J490,"")</f>
        <v/>
      </c>
      <c r="O490" s="14"/>
    </row>
    <row r="491" customFormat="false" ht="15" hidden="false" customHeight="false" outlineLevel="0" collapsed="false">
      <c r="A491" s="14"/>
      <c r="B491" s="13"/>
      <c r="C491" s="14"/>
      <c r="D491" s="14"/>
      <c r="E491" s="14"/>
      <c r="F491" s="15"/>
      <c r="G491" s="14"/>
      <c r="H491" s="19" t="str">
        <f aca="false">IF(F491="","",IF(G491="Y",F491*Settings!$B$16,0))</f>
        <v/>
      </c>
      <c r="I491" s="19" t="str">
        <f aca="false">IF(F491="","",F491+H491)</f>
        <v/>
      </c>
      <c r="J491" s="18" t="str">
        <f aca="false">IF(B491="","",B491+Settings!$B$17)</f>
        <v/>
      </c>
      <c r="K491" s="13"/>
      <c r="L491" s="15"/>
      <c r="M491" s="17" t="str">
        <f aca="true">IF(F491="","",IF(AND(L491&lt;&gt;"",L491&gt;=I491),"Paid",IF(AND(L491&lt;&gt;"",L491&gt;0),"Part paid",IF(TODAY()&gt;J491,"Overdue","Due"))))</f>
        <v/>
      </c>
      <c r="N491" s="19" t="str">
        <f aca="true">IF(M491="Overdue",TODAY()-J491,"")</f>
        <v/>
      </c>
      <c r="O491" s="14"/>
    </row>
    <row r="492" customFormat="false" ht="15" hidden="false" customHeight="false" outlineLevel="0" collapsed="false">
      <c r="A492" s="14"/>
      <c r="B492" s="13"/>
      <c r="C492" s="14"/>
      <c r="D492" s="14"/>
      <c r="E492" s="14"/>
      <c r="F492" s="15"/>
      <c r="G492" s="14"/>
      <c r="H492" s="19" t="str">
        <f aca="false">IF(F492="","",IF(G492="Y",F492*Settings!$B$16,0))</f>
        <v/>
      </c>
      <c r="I492" s="19" t="str">
        <f aca="false">IF(F492="","",F492+H492)</f>
        <v/>
      </c>
      <c r="J492" s="18" t="str">
        <f aca="false">IF(B492="","",B492+Settings!$B$17)</f>
        <v/>
      </c>
      <c r="K492" s="13"/>
      <c r="L492" s="15"/>
      <c r="M492" s="17" t="str">
        <f aca="true">IF(F492="","",IF(AND(L492&lt;&gt;"",L492&gt;=I492),"Paid",IF(AND(L492&lt;&gt;"",L492&gt;0),"Part paid",IF(TODAY()&gt;J492,"Overdue","Due"))))</f>
        <v/>
      </c>
      <c r="N492" s="19" t="str">
        <f aca="true">IF(M492="Overdue",TODAY()-J492,"")</f>
        <v/>
      </c>
      <c r="O492" s="14"/>
    </row>
    <row r="493" customFormat="false" ht="15" hidden="false" customHeight="false" outlineLevel="0" collapsed="false">
      <c r="A493" s="14"/>
      <c r="B493" s="13"/>
      <c r="C493" s="14"/>
      <c r="D493" s="14"/>
      <c r="E493" s="14"/>
      <c r="F493" s="15"/>
      <c r="G493" s="14"/>
      <c r="H493" s="19" t="str">
        <f aca="false">IF(F493="","",IF(G493="Y",F493*Settings!$B$16,0))</f>
        <v/>
      </c>
      <c r="I493" s="19" t="str">
        <f aca="false">IF(F493="","",F493+H493)</f>
        <v/>
      </c>
      <c r="J493" s="18" t="str">
        <f aca="false">IF(B493="","",B493+Settings!$B$17)</f>
        <v/>
      </c>
      <c r="K493" s="13"/>
      <c r="L493" s="15"/>
      <c r="M493" s="17" t="str">
        <f aca="true">IF(F493="","",IF(AND(L493&lt;&gt;"",L493&gt;=I493),"Paid",IF(AND(L493&lt;&gt;"",L493&gt;0),"Part paid",IF(TODAY()&gt;J493,"Overdue","Due"))))</f>
        <v/>
      </c>
      <c r="N493" s="19" t="str">
        <f aca="true">IF(M493="Overdue",TODAY()-J493,"")</f>
        <v/>
      </c>
      <c r="O493" s="14"/>
    </row>
    <row r="494" customFormat="false" ht="15" hidden="false" customHeight="false" outlineLevel="0" collapsed="false">
      <c r="A494" s="14"/>
      <c r="B494" s="13"/>
      <c r="C494" s="14"/>
      <c r="D494" s="14"/>
      <c r="E494" s="14"/>
      <c r="F494" s="15"/>
      <c r="G494" s="14"/>
      <c r="H494" s="19" t="str">
        <f aca="false">IF(F494="","",IF(G494="Y",F494*Settings!$B$16,0))</f>
        <v/>
      </c>
      <c r="I494" s="19" t="str">
        <f aca="false">IF(F494="","",F494+H494)</f>
        <v/>
      </c>
      <c r="J494" s="18" t="str">
        <f aca="false">IF(B494="","",B494+Settings!$B$17)</f>
        <v/>
      </c>
      <c r="K494" s="13"/>
      <c r="L494" s="15"/>
      <c r="M494" s="17" t="str">
        <f aca="true">IF(F494="","",IF(AND(L494&lt;&gt;"",L494&gt;=I494),"Paid",IF(AND(L494&lt;&gt;"",L494&gt;0),"Part paid",IF(TODAY()&gt;J494,"Overdue","Due"))))</f>
        <v/>
      </c>
      <c r="N494" s="19" t="str">
        <f aca="true">IF(M494="Overdue",TODAY()-J494,"")</f>
        <v/>
      </c>
      <c r="O494" s="14"/>
    </row>
    <row r="495" customFormat="false" ht="15" hidden="false" customHeight="false" outlineLevel="0" collapsed="false">
      <c r="A495" s="14"/>
      <c r="B495" s="13"/>
      <c r="C495" s="14"/>
      <c r="D495" s="14"/>
      <c r="E495" s="14"/>
      <c r="F495" s="15"/>
      <c r="G495" s="14"/>
      <c r="H495" s="19" t="str">
        <f aca="false">IF(F495="","",IF(G495="Y",F495*Settings!$B$16,0))</f>
        <v/>
      </c>
      <c r="I495" s="19" t="str">
        <f aca="false">IF(F495="","",F495+H495)</f>
        <v/>
      </c>
      <c r="J495" s="18" t="str">
        <f aca="false">IF(B495="","",B495+Settings!$B$17)</f>
        <v/>
      </c>
      <c r="K495" s="13"/>
      <c r="L495" s="15"/>
      <c r="M495" s="17" t="str">
        <f aca="true">IF(F495="","",IF(AND(L495&lt;&gt;"",L495&gt;=I495),"Paid",IF(AND(L495&lt;&gt;"",L495&gt;0),"Part paid",IF(TODAY()&gt;J495,"Overdue","Due"))))</f>
        <v/>
      </c>
      <c r="N495" s="19" t="str">
        <f aca="true">IF(M495="Overdue",TODAY()-J495,"")</f>
        <v/>
      </c>
      <c r="O495" s="14"/>
    </row>
    <row r="496" customFormat="false" ht="15" hidden="false" customHeight="false" outlineLevel="0" collapsed="false">
      <c r="A496" s="14"/>
      <c r="B496" s="13"/>
      <c r="C496" s="14"/>
      <c r="D496" s="14"/>
      <c r="E496" s="14"/>
      <c r="F496" s="15"/>
      <c r="G496" s="14"/>
      <c r="H496" s="19" t="str">
        <f aca="false">IF(F496="","",IF(G496="Y",F496*Settings!$B$16,0))</f>
        <v/>
      </c>
      <c r="I496" s="19" t="str">
        <f aca="false">IF(F496="","",F496+H496)</f>
        <v/>
      </c>
      <c r="J496" s="18" t="str">
        <f aca="false">IF(B496="","",B496+Settings!$B$17)</f>
        <v/>
      </c>
      <c r="K496" s="13"/>
      <c r="L496" s="15"/>
      <c r="M496" s="17" t="str">
        <f aca="true">IF(F496="","",IF(AND(L496&lt;&gt;"",L496&gt;=I496),"Paid",IF(AND(L496&lt;&gt;"",L496&gt;0),"Part paid",IF(TODAY()&gt;J496,"Overdue","Due"))))</f>
        <v/>
      </c>
      <c r="N496" s="19" t="str">
        <f aca="true">IF(M496="Overdue",TODAY()-J496,"")</f>
        <v/>
      </c>
      <c r="O496" s="14"/>
    </row>
    <row r="497" customFormat="false" ht="15" hidden="false" customHeight="false" outlineLevel="0" collapsed="false">
      <c r="A497" s="14"/>
      <c r="B497" s="13"/>
      <c r="C497" s="14"/>
      <c r="D497" s="14"/>
      <c r="E497" s="14"/>
      <c r="F497" s="15"/>
      <c r="G497" s="14"/>
      <c r="H497" s="19" t="str">
        <f aca="false">IF(F497="","",IF(G497="Y",F497*Settings!$B$16,0))</f>
        <v/>
      </c>
      <c r="I497" s="19" t="str">
        <f aca="false">IF(F497="","",F497+H497)</f>
        <v/>
      </c>
      <c r="J497" s="18" t="str">
        <f aca="false">IF(B497="","",B497+Settings!$B$17)</f>
        <v/>
      </c>
      <c r="K497" s="13"/>
      <c r="L497" s="15"/>
      <c r="M497" s="17" t="str">
        <f aca="true">IF(F497="","",IF(AND(L497&lt;&gt;"",L497&gt;=I497),"Paid",IF(AND(L497&lt;&gt;"",L497&gt;0),"Part paid",IF(TODAY()&gt;J497,"Overdue","Due"))))</f>
        <v/>
      </c>
      <c r="N497" s="19" t="str">
        <f aca="true">IF(M497="Overdue",TODAY()-J497,"")</f>
        <v/>
      </c>
      <c r="O497" s="14"/>
    </row>
    <row r="498" customFormat="false" ht="15" hidden="false" customHeight="false" outlineLevel="0" collapsed="false">
      <c r="A498" s="14"/>
      <c r="B498" s="13"/>
      <c r="C498" s="14"/>
      <c r="D498" s="14"/>
      <c r="E498" s="14"/>
      <c r="F498" s="15"/>
      <c r="G498" s="14"/>
      <c r="H498" s="19" t="str">
        <f aca="false">IF(F498="","",IF(G498="Y",F498*Settings!$B$16,0))</f>
        <v/>
      </c>
      <c r="I498" s="19" t="str">
        <f aca="false">IF(F498="","",F498+H498)</f>
        <v/>
      </c>
      <c r="J498" s="18" t="str">
        <f aca="false">IF(B498="","",B498+Settings!$B$17)</f>
        <v/>
      </c>
      <c r="K498" s="13"/>
      <c r="L498" s="15"/>
      <c r="M498" s="17" t="str">
        <f aca="true">IF(F498="","",IF(AND(L498&lt;&gt;"",L498&gt;=I498),"Paid",IF(AND(L498&lt;&gt;"",L498&gt;0),"Part paid",IF(TODAY()&gt;J498,"Overdue","Due"))))</f>
        <v/>
      </c>
      <c r="N498" s="19" t="str">
        <f aca="true">IF(M498="Overdue",TODAY()-J498,"")</f>
        <v/>
      </c>
      <c r="O498" s="14"/>
    </row>
    <row r="499" customFormat="false" ht="15" hidden="false" customHeight="false" outlineLevel="0" collapsed="false">
      <c r="A499" s="14"/>
      <c r="B499" s="13"/>
      <c r="C499" s="14"/>
      <c r="D499" s="14"/>
      <c r="E499" s="14"/>
      <c r="F499" s="15"/>
      <c r="G499" s="14"/>
      <c r="H499" s="19" t="str">
        <f aca="false">IF(F499="","",IF(G499="Y",F499*Settings!$B$16,0))</f>
        <v/>
      </c>
      <c r="I499" s="19" t="str">
        <f aca="false">IF(F499="","",F499+H499)</f>
        <v/>
      </c>
      <c r="J499" s="18" t="str">
        <f aca="false">IF(B499="","",B499+Settings!$B$17)</f>
        <v/>
      </c>
      <c r="K499" s="13"/>
      <c r="L499" s="15"/>
      <c r="M499" s="17" t="str">
        <f aca="true">IF(F499="","",IF(AND(L499&lt;&gt;"",L499&gt;=I499),"Paid",IF(AND(L499&lt;&gt;"",L499&gt;0),"Part paid",IF(TODAY()&gt;J499,"Overdue","Due"))))</f>
        <v/>
      </c>
      <c r="N499" s="19" t="str">
        <f aca="true">IF(M499="Overdue",TODAY()-J499,"")</f>
        <v/>
      </c>
      <c r="O499" s="14"/>
    </row>
    <row r="500" customFormat="false" ht="15" hidden="false" customHeight="false" outlineLevel="0" collapsed="false">
      <c r="A500" s="14"/>
      <c r="B500" s="13"/>
      <c r="C500" s="14"/>
      <c r="D500" s="14"/>
      <c r="E500" s="14"/>
      <c r="F500" s="15"/>
      <c r="G500" s="14"/>
      <c r="H500" s="19" t="str">
        <f aca="false">IF(F500="","",IF(G500="Y",F500*Settings!$B$16,0))</f>
        <v/>
      </c>
      <c r="I500" s="19" t="str">
        <f aca="false">IF(F500="","",F500+H500)</f>
        <v/>
      </c>
      <c r="J500" s="18" t="str">
        <f aca="false">IF(B500="","",B500+Settings!$B$17)</f>
        <v/>
      </c>
      <c r="K500" s="13"/>
      <c r="L500" s="15"/>
      <c r="M500" s="17" t="str">
        <f aca="true">IF(F500="","",IF(AND(L500&lt;&gt;"",L500&gt;=I500),"Paid",IF(AND(L500&lt;&gt;"",L500&gt;0),"Part paid",IF(TODAY()&gt;J500,"Overdue","Due"))))</f>
        <v/>
      </c>
      <c r="N500" s="19" t="str">
        <f aca="true">IF(M500="Overdue",TODAY()-J500,"")</f>
        <v/>
      </c>
      <c r="O500" s="14"/>
    </row>
    <row r="501" customFormat="false" ht="15" hidden="false" customHeight="false" outlineLevel="0" collapsed="false">
      <c r="A501" s="14"/>
      <c r="B501" s="13"/>
      <c r="C501" s="14"/>
      <c r="D501" s="14"/>
      <c r="E501" s="14"/>
      <c r="F501" s="15"/>
      <c r="G501" s="14"/>
      <c r="H501" s="19" t="str">
        <f aca="false">IF(F501="","",IF(G501="Y",F501*Settings!$B$16,0))</f>
        <v/>
      </c>
      <c r="I501" s="19" t="str">
        <f aca="false">IF(F501="","",F501+H501)</f>
        <v/>
      </c>
      <c r="J501" s="18" t="str">
        <f aca="false">IF(B501="","",B501+Settings!$B$17)</f>
        <v/>
      </c>
      <c r="K501" s="13"/>
      <c r="L501" s="15"/>
      <c r="M501" s="17" t="str">
        <f aca="true">IF(F501="","",IF(AND(L501&lt;&gt;"",L501&gt;=I501),"Paid",IF(AND(L501&lt;&gt;"",L501&gt;0),"Part paid",IF(TODAY()&gt;J501,"Overdue","Due"))))</f>
        <v/>
      </c>
      <c r="N501" s="19" t="str">
        <f aca="true">IF(M501="Overdue",TODAY()-J501,"")</f>
        <v/>
      </c>
      <c r="O501" s="14"/>
    </row>
    <row r="502" customFormat="false" ht="15" hidden="false" customHeight="false" outlineLevel="0" collapsed="false">
      <c r="A502" s="14"/>
      <c r="B502" s="13"/>
      <c r="C502" s="14"/>
      <c r="D502" s="14"/>
      <c r="E502" s="14"/>
      <c r="F502" s="15"/>
      <c r="G502" s="14"/>
      <c r="H502" s="19" t="str">
        <f aca="false">IF(F502="","",IF(G502="Y",F502*Settings!$B$16,0))</f>
        <v/>
      </c>
      <c r="I502" s="19" t="str">
        <f aca="false">IF(F502="","",F502+H502)</f>
        <v/>
      </c>
      <c r="J502" s="18" t="str">
        <f aca="false">IF(B502="","",B502+Settings!$B$17)</f>
        <v/>
      </c>
      <c r="K502" s="13"/>
      <c r="L502" s="15"/>
      <c r="M502" s="17" t="str">
        <f aca="true">IF(F502="","",IF(AND(L502&lt;&gt;"",L502&gt;=I502),"Paid",IF(AND(L502&lt;&gt;"",L502&gt;0),"Part paid",IF(TODAY()&gt;J502,"Overdue","Due"))))</f>
        <v/>
      </c>
      <c r="N502" s="19" t="str">
        <f aca="true">IF(M502="Overdue",TODAY()-J502,"")</f>
        <v/>
      </c>
      <c r="O502" s="14"/>
    </row>
    <row r="503" customFormat="false" ht="15" hidden="false" customHeight="false" outlineLevel="0" collapsed="false">
      <c r="A503" s="14"/>
      <c r="B503" s="13"/>
      <c r="C503" s="14"/>
      <c r="D503" s="14"/>
      <c r="E503" s="14"/>
      <c r="F503" s="15"/>
      <c r="G503" s="14"/>
      <c r="H503" s="19" t="str">
        <f aca="false">IF(F503="","",IF(G503="Y",F503*Settings!$B$16,0))</f>
        <v/>
      </c>
      <c r="I503" s="19" t="str">
        <f aca="false">IF(F503="","",F503+H503)</f>
        <v/>
      </c>
      <c r="J503" s="18" t="str">
        <f aca="false">IF(B503="","",B503+Settings!$B$17)</f>
        <v/>
      </c>
      <c r="K503" s="13"/>
      <c r="L503" s="15"/>
      <c r="M503" s="17" t="str">
        <f aca="true">IF(F503="","",IF(AND(L503&lt;&gt;"",L503&gt;=I503),"Paid",IF(AND(L503&lt;&gt;"",L503&gt;0),"Part paid",IF(TODAY()&gt;J503,"Overdue","Due"))))</f>
        <v/>
      </c>
      <c r="N503" s="19" t="str">
        <f aca="true">IF(M503="Overdue",TODAY()-J503,"")</f>
        <v/>
      </c>
      <c r="O503" s="14"/>
    </row>
    <row r="504" customFormat="false" ht="15" hidden="false" customHeight="false" outlineLevel="0" collapsed="false">
      <c r="A504" s="14"/>
      <c r="B504" s="13"/>
      <c r="C504" s="14"/>
      <c r="D504" s="14"/>
      <c r="E504" s="14"/>
      <c r="F504" s="15"/>
      <c r="G504" s="14"/>
      <c r="H504" s="19" t="str">
        <f aca="false">IF(F504="","",IF(G504="Y",F504*Settings!$B$16,0))</f>
        <v/>
      </c>
      <c r="I504" s="19" t="str">
        <f aca="false">IF(F504="","",F504+H504)</f>
        <v/>
      </c>
      <c r="J504" s="18" t="str">
        <f aca="false">IF(B504="","",B504+Settings!$B$17)</f>
        <v/>
      </c>
      <c r="K504" s="13"/>
      <c r="L504" s="15"/>
      <c r="M504" s="17" t="str">
        <f aca="true">IF(F504="","",IF(AND(L504&lt;&gt;"",L504&gt;=I504),"Paid",IF(AND(L504&lt;&gt;"",L504&gt;0),"Part paid",IF(TODAY()&gt;J504,"Overdue","Due"))))</f>
        <v/>
      </c>
      <c r="N504" s="19" t="str">
        <f aca="true">IF(M504="Overdue",TODAY()-J504,"")</f>
        <v/>
      </c>
      <c r="O504" s="14"/>
    </row>
    <row r="505" customFormat="false" ht="15" hidden="false" customHeight="false" outlineLevel="0" collapsed="false">
      <c r="A505" s="14"/>
      <c r="B505" s="13"/>
      <c r="C505" s="14"/>
      <c r="D505" s="14"/>
      <c r="E505" s="14"/>
      <c r="F505" s="15"/>
      <c r="G505" s="14"/>
      <c r="H505" s="19" t="str">
        <f aca="false">IF(F505="","",IF(G505="Y",F505*Settings!$B$16,0))</f>
        <v/>
      </c>
      <c r="I505" s="19" t="str">
        <f aca="false">IF(F505="","",F505+H505)</f>
        <v/>
      </c>
      <c r="J505" s="18" t="str">
        <f aca="false">IF(B505="","",B505+Settings!$B$17)</f>
        <v/>
      </c>
      <c r="K505" s="13"/>
      <c r="L505" s="15"/>
      <c r="M505" s="17" t="str">
        <f aca="true">IF(F505="","",IF(AND(L505&lt;&gt;"",L505&gt;=I505),"Paid",IF(AND(L505&lt;&gt;"",L505&gt;0),"Part paid",IF(TODAY()&gt;J505,"Overdue","Due"))))</f>
        <v/>
      </c>
      <c r="N505" s="19" t="str">
        <f aca="true">IF(M505="Overdue",TODAY()-J505,"")</f>
        <v/>
      </c>
      <c r="O505" s="14"/>
    </row>
    <row r="506" customFormat="false" ht="15" hidden="false" customHeight="false" outlineLevel="0" collapsed="false">
      <c r="A506" s="14"/>
      <c r="B506" s="13"/>
      <c r="C506" s="14"/>
      <c r="D506" s="14"/>
      <c r="E506" s="14"/>
      <c r="F506" s="15"/>
      <c r="G506" s="14"/>
      <c r="H506" s="19" t="str">
        <f aca="false">IF(F506="","",IF(G506="Y",F506*Settings!$B$16,0))</f>
        <v/>
      </c>
      <c r="I506" s="19" t="str">
        <f aca="false">IF(F506="","",F506+H506)</f>
        <v/>
      </c>
      <c r="J506" s="18" t="str">
        <f aca="false">IF(B506="","",B506+Settings!$B$17)</f>
        <v/>
      </c>
      <c r="K506" s="13"/>
      <c r="L506" s="15"/>
      <c r="M506" s="17" t="str">
        <f aca="true">IF(F506="","",IF(AND(L506&lt;&gt;"",L506&gt;=I506),"Paid",IF(AND(L506&lt;&gt;"",L506&gt;0),"Part paid",IF(TODAY()&gt;J506,"Overdue","Due"))))</f>
        <v/>
      </c>
      <c r="N506" s="19" t="str">
        <f aca="true">IF(M506="Overdue",TODAY()-J506,"")</f>
        <v/>
      </c>
      <c r="O506" s="14"/>
    </row>
    <row r="507" customFormat="false" ht="15" hidden="false" customHeight="false" outlineLevel="0" collapsed="false">
      <c r="A507" s="14"/>
      <c r="B507" s="13"/>
      <c r="C507" s="14"/>
      <c r="D507" s="14"/>
      <c r="E507" s="14"/>
      <c r="F507" s="15"/>
      <c r="G507" s="14"/>
      <c r="H507" s="19" t="str">
        <f aca="false">IF(F507="","",IF(G507="Y",F507*Settings!$B$16,0))</f>
        <v/>
      </c>
      <c r="I507" s="19" t="str">
        <f aca="false">IF(F507="","",F507+H507)</f>
        <v/>
      </c>
      <c r="J507" s="18" t="str">
        <f aca="false">IF(B507="","",B507+Settings!$B$17)</f>
        <v/>
      </c>
      <c r="K507" s="13"/>
      <c r="L507" s="15"/>
      <c r="M507" s="17" t="str">
        <f aca="true">IF(F507="","",IF(AND(L507&lt;&gt;"",L507&gt;=I507),"Paid",IF(AND(L507&lt;&gt;"",L507&gt;0),"Part paid",IF(TODAY()&gt;J507,"Overdue","Due"))))</f>
        <v/>
      </c>
      <c r="N507" s="19" t="str">
        <f aca="true">IF(M507="Overdue",TODAY()-J507,"")</f>
        <v/>
      </c>
      <c r="O507" s="14"/>
    </row>
    <row r="508" customFormat="false" ht="15" hidden="false" customHeight="false" outlineLevel="0" collapsed="false">
      <c r="A508" s="14"/>
      <c r="B508" s="13"/>
      <c r="C508" s="14"/>
      <c r="D508" s="14"/>
      <c r="E508" s="14"/>
      <c r="F508" s="15"/>
      <c r="G508" s="14"/>
      <c r="H508" s="19" t="str">
        <f aca="false">IF(F508="","",IF(G508="Y",F508*Settings!$B$16,0))</f>
        <v/>
      </c>
      <c r="I508" s="19" t="str">
        <f aca="false">IF(F508="","",F508+H508)</f>
        <v/>
      </c>
      <c r="J508" s="18" t="str">
        <f aca="false">IF(B508="","",B508+Settings!$B$17)</f>
        <v/>
      </c>
      <c r="K508" s="13"/>
      <c r="L508" s="15"/>
      <c r="M508" s="17" t="str">
        <f aca="true">IF(F508="","",IF(AND(L508&lt;&gt;"",L508&gt;=I508),"Paid",IF(AND(L508&lt;&gt;"",L508&gt;0),"Part paid",IF(TODAY()&gt;J508,"Overdue","Due"))))</f>
        <v/>
      </c>
      <c r="N508" s="19" t="str">
        <f aca="true">IF(M508="Overdue",TODAY()-J508,"")</f>
        <v/>
      </c>
      <c r="O508" s="14"/>
    </row>
    <row r="509" customFormat="false" ht="15" hidden="false" customHeight="false" outlineLevel="0" collapsed="false">
      <c r="A509" s="14"/>
      <c r="B509" s="13"/>
      <c r="C509" s="14"/>
      <c r="D509" s="14"/>
      <c r="E509" s="14"/>
      <c r="F509" s="15"/>
      <c r="G509" s="14"/>
      <c r="H509" s="19" t="str">
        <f aca="false">IF(F509="","",IF(G509="Y",F509*Settings!$B$16,0))</f>
        <v/>
      </c>
      <c r="I509" s="19" t="str">
        <f aca="false">IF(F509="","",F509+H509)</f>
        <v/>
      </c>
      <c r="J509" s="18" t="str">
        <f aca="false">IF(B509="","",B509+Settings!$B$17)</f>
        <v/>
      </c>
      <c r="K509" s="13"/>
      <c r="L509" s="15"/>
      <c r="M509" s="17" t="str">
        <f aca="true">IF(F509="","",IF(AND(L509&lt;&gt;"",L509&gt;=I509),"Paid",IF(AND(L509&lt;&gt;"",L509&gt;0),"Part paid",IF(TODAY()&gt;J509,"Overdue","Due"))))</f>
        <v/>
      </c>
      <c r="N509" s="19" t="str">
        <f aca="true">IF(M509="Overdue",TODAY()-J509,"")</f>
        <v/>
      </c>
      <c r="O509" s="14"/>
    </row>
    <row r="510" customFormat="false" ht="15" hidden="false" customHeight="false" outlineLevel="0" collapsed="false">
      <c r="A510" s="14"/>
      <c r="B510" s="13"/>
      <c r="C510" s="14"/>
      <c r="D510" s="14"/>
      <c r="E510" s="14"/>
      <c r="F510" s="15"/>
      <c r="G510" s="14"/>
      <c r="H510" s="19" t="str">
        <f aca="false">IF(F510="","",IF(G510="Y",F510*Settings!$B$16,0))</f>
        <v/>
      </c>
      <c r="I510" s="19" t="str">
        <f aca="false">IF(F510="","",F510+H510)</f>
        <v/>
      </c>
      <c r="J510" s="18" t="str">
        <f aca="false">IF(B510="","",B510+Settings!$B$17)</f>
        <v/>
      </c>
      <c r="K510" s="13"/>
      <c r="L510" s="15"/>
      <c r="M510" s="17" t="str">
        <f aca="true">IF(F510="","",IF(AND(L510&lt;&gt;"",L510&gt;=I510),"Paid",IF(AND(L510&lt;&gt;"",L510&gt;0),"Part paid",IF(TODAY()&gt;J510,"Overdue","Due"))))</f>
        <v/>
      </c>
      <c r="N510" s="19" t="str">
        <f aca="true">IF(M510="Overdue",TODAY()-J510,"")</f>
        <v/>
      </c>
      <c r="O510" s="14"/>
    </row>
    <row r="511" customFormat="false" ht="15" hidden="false" customHeight="false" outlineLevel="0" collapsed="false">
      <c r="A511" s="14"/>
      <c r="B511" s="13"/>
      <c r="C511" s="14"/>
      <c r="D511" s="14"/>
      <c r="E511" s="14"/>
      <c r="F511" s="15"/>
      <c r="G511" s="14"/>
      <c r="H511" s="19" t="str">
        <f aca="false">IF(F511="","",IF(G511="Y",F511*Settings!$B$16,0))</f>
        <v/>
      </c>
      <c r="I511" s="19" t="str">
        <f aca="false">IF(F511="","",F511+H511)</f>
        <v/>
      </c>
      <c r="J511" s="18" t="str">
        <f aca="false">IF(B511="","",B511+Settings!$B$17)</f>
        <v/>
      </c>
      <c r="K511" s="13"/>
      <c r="L511" s="15"/>
      <c r="M511" s="17" t="str">
        <f aca="true">IF(F511="","",IF(AND(L511&lt;&gt;"",L511&gt;=I511),"Paid",IF(AND(L511&lt;&gt;"",L511&gt;0),"Part paid",IF(TODAY()&gt;J511,"Overdue","Due"))))</f>
        <v/>
      </c>
      <c r="N511" s="19" t="str">
        <f aca="true">IF(M511="Overdue",TODAY()-J511,"")</f>
        <v/>
      </c>
      <c r="O511" s="14"/>
    </row>
    <row r="512" customFormat="false" ht="15" hidden="false" customHeight="false" outlineLevel="0" collapsed="false">
      <c r="A512" s="14"/>
      <c r="B512" s="13"/>
      <c r="C512" s="14"/>
      <c r="D512" s="14"/>
      <c r="E512" s="14"/>
      <c r="F512" s="15"/>
      <c r="G512" s="14"/>
      <c r="H512" s="19" t="str">
        <f aca="false">IF(F512="","",IF(G512="Y",F512*Settings!$B$16,0))</f>
        <v/>
      </c>
      <c r="I512" s="19" t="str">
        <f aca="false">IF(F512="","",F512+H512)</f>
        <v/>
      </c>
      <c r="J512" s="18" t="str">
        <f aca="false">IF(B512="","",B512+Settings!$B$17)</f>
        <v/>
      </c>
      <c r="K512" s="13"/>
      <c r="L512" s="15"/>
      <c r="M512" s="17" t="str">
        <f aca="true">IF(F512="","",IF(AND(L512&lt;&gt;"",L512&gt;=I512),"Paid",IF(AND(L512&lt;&gt;"",L512&gt;0),"Part paid",IF(TODAY()&gt;J512,"Overdue","Due"))))</f>
        <v/>
      </c>
      <c r="N512" s="19" t="str">
        <f aca="true">IF(M512="Overdue",TODAY()-J512,"")</f>
        <v/>
      </c>
      <c r="O512" s="14"/>
    </row>
    <row r="513" customFormat="false" ht="15" hidden="false" customHeight="false" outlineLevel="0" collapsed="false">
      <c r="A513" s="14"/>
      <c r="B513" s="13"/>
      <c r="C513" s="14"/>
      <c r="D513" s="14"/>
      <c r="E513" s="14"/>
      <c r="F513" s="15"/>
      <c r="G513" s="14"/>
      <c r="H513" s="19" t="str">
        <f aca="false">IF(F513="","",IF(G513="Y",F513*Settings!$B$16,0))</f>
        <v/>
      </c>
      <c r="I513" s="19" t="str">
        <f aca="false">IF(F513="","",F513+H513)</f>
        <v/>
      </c>
      <c r="J513" s="18" t="str">
        <f aca="false">IF(B513="","",B513+Settings!$B$17)</f>
        <v/>
      </c>
      <c r="K513" s="13"/>
      <c r="L513" s="15"/>
      <c r="M513" s="17" t="str">
        <f aca="true">IF(F513="","",IF(AND(L513&lt;&gt;"",L513&gt;=I513),"Paid",IF(AND(L513&lt;&gt;"",L513&gt;0),"Part paid",IF(TODAY()&gt;J513,"Overdue","Due"))))</f>
        <v/>
      </c>
      <c r="N513" s="19" t="str">
        <f aca="true">IF(M513="Overdue",TODAY()-J513,"")</f>
        <v/>
      </c>
      <c r="O513" s="14"/>
    </row>
    <row r="514" customFormat="false" ht="15" hidden="false" customHeight="false" outlineLevel="0" collapsed="false">
      <c r="A514" s="14"/>
      <c r="B514" s="13"/>
      <c r="C514" s="14"/>
      <c r="D514" s="14"/>
      <c r="E514" s="14"/>
      <c r="F514" s="15"/>
      <c r="G514" s="14"/>
      <c r="H514" s="19" t="str">
        <f aca="false">IF(F514="","",IF(G514="Y",F514*Settings!$B$16,0))</f>
        <v/>
      </c>
      <c r="I514" s="19" t="str">
        <f aca="false">IF(F514="","",F514+H514)</f>
        <v/>
      </c>
      <c r="J514" s="18" t="str">
        <f aca="false">IF(B514="","",B514+Settings!$B$17)</f>
        <v/>
      </c>
      <c r="K514" s="13"/>
      <c r="L514" s="15"/>
      <c r="M514" s="17" t="str">
        <f aca="true">IF(F514="","",IF(AND(L514&lt;&gt;"",L514&gt;=I514),"Paid",IF(AND(L514&lt;&gt;"",L514&gt;0),"Part paid",IF(TODAY()&gt;J514,"Overdue","Due"))))</f>
        <v/>
      </c>
      <c r="N514" s="19" t="str">
        <f aca="true">IF(M514="Overdue",TODAY()-J514,"")</f>
        <v/>
      </c>
      <c r="O514" s="14"/>
    </row>
    <row r="515" customFormat="false" ht="15" hidden="false" customHeight="false" outlineLevel="0" collapsed="false">
      <c r="A515" s="14"/>
      <c r="B515" s="13"/>
      <c r="C515" s="14"/>
      <c r="D515" s="14"/>
      <c r="E515" s="14"/>
      <c r="F515" s="15"/>
      <c r="G515" s="14"/>
      <c r="H515" s="19" t="str">
        <f aca="false">IF(F515="","",IF(G515="Y",F515*Settings!$B$16,0))</f>
        <v/>
      </c>
      <c r="I515" s="19" t="str">
        <f aca="false">IF(F515="","",F515+H515)</f>
        <v/>
      </c>
      <c r="J515" s="18" t="str">
        <f aca="false">IF(B515="","",B515+Settings!$B$17)</f>
        <v/>
      </c>
      <c r="K515" s="13"/>
      <c r="L515" s="15"/>
      <c r="M515" s="17" t="str">
        <f aca="true">IF(F515="","",IF(AND(L515&lt;&gt;"",L515&gt;=I515),"Paid",IF(AND(L515&lt;&gt;"",L515&gt;0),"Part paid",IF(TODAY()&gt;J515,"Overdue","Due"))))</f>
        <v/>
      </c>
      <c r="N515" s="19" t="str">
        <f aca="true">IF(M515="Overdue",TODAY()-J515,"")</f>
        <v/>
      </c>
      <c r="O515" s="14"/>
    </row>
    <row r="516" customFormat="false" ht="15" hidden="false" customHeight="false" outlineLevel="0" collapsed="false">
      <c r="A516" s="14"/>
      <c r="B516" s="13"/>
      <c r="C516" s="14"/>
      <c r="D516" s="14"/>
      <c r="E516" s="14"/>
      <c r="F516" s="15"/>
      <c r="G516" s="14"/>
      <c r="H516" s="19" t="str">
        <f aca="false">IF(F516="","",IF(G516="Y",F516*Settings!$B$16,0))</f>
        <v/>
      </c>
      <c r="I516" s="19" t="str">
        <f aca="false">IF(F516="","",F516+H516)</f>
        <v/>
      </c>
      <c r="J516" s="18" t="str">
        <f aca="false">IF(B516="","",B516+Settings!$B$17)</f>
        <v/>
      </c>
      <c r="K516" s="13"/>
      <c r="L516" s="15"/>
      <c r="M516" s="17" t="str">
        <f aca="true">IF(F516="","",IF(AND(L516&lt;&gt;"",L516&gt;=I516),"Paid",IF(AND(L516&lt;&gt;"",L516&gt;0),"Part paid",IF(TODAY()&gt;J516,"Overdue","Due"))))</f>
        <v/>
      </c>
      <c r="N516" s="19" t="str">
        <f aca="true">IF(M516="Overdue",TODAY()-J516,"")</f>
        <v/>
      </c>
      <c r="O516" s="14"/>
    </row>
    <row r="517" customFormat="false" ht="15" hidden="false" customHeight="false" outlineLevel="0" collapsed="false">
      <c r="A517" s="14"/>
      <c r="B517" s="13"/>
      <c r="C517" s="14"/>
      <c r="D517" s="14"/>
      <c r="E517" s="14"/>
      <c r="F517" s="15"/>
      <c r="G517" s="14"/>
      <c r="H517" s="19" t="str">
        <f aca="false">IF(F517="","",IF(G517="Y",F517*Settings!$B$16,0))</f>
        <v/>
      </c>
      <c r="I517" s="19" t="str">
        <f aca="false">IF(F517="","",F517+H517)</f>
        <v/>
      </c>
      <c r="J517" s="18" t="str">
        <f aca="false">IF(B517="","",B517+Settings!$B$17)</f>
        <v/>
      </c>
      <c r="K517" s="13"/>
      <c r="L517" s="15"/>
      <c r="M517" s="17" t="str">
        <f aca="true">IF(F517="","",IF(AND(L517&lt;&gt;"",L517&gt;=I517),"Paid",IF(AND(L517&lt;&gt;"",L517&gt;0),"Part paid",IF(TODAY()&gt;J517,"Overdue","Due"))))</f>
        <v/>
      </c>
      <c r="N517" s="19" t="str">
        <f aca="true">IF(M517="Overdue",TODAY()-J517,"")</f>
        <v/>
      </c>
      <c r="O517" s="14"/>
    </row>
    <row r="518" customFormat="false" ht="15" hidden="false" customHeight="false" outlineLevel="0" collapsed="false">
      <c r="A518" s="14"/>
      <c r="B518" s="13"/>
      <c r="C518" s="14"/>
      <c r="D518" s="14"/>
      <c r="E518" s="14"/>
      <c r="F518" s="15"/>
      <c r="G518" s="14"/>
      <c r="H518" s="19" t="str">
        <f aca="false">IF(F518="","",IF(G518="Y",F518*Settings!$B$16,0))</f>
        <v/>
      </c>
      <c r="I518" s="19" t="str">
        <f aca="false">IF(F518="","",F518+H518)</f>
        <v/>
      </c>
      <c r="J518" s="18" t="str">
        <f aca="false">IF(B518="","",B518+Settings!$B$17)</f>
        <v/>
      </c>
      <c r="K518" s="13"/>
      <c r="L518" s="15"/>
      <c r="M518" s="17" t="str">
        <f aca="true">IF(F518="","",IF(AND(L518&lt;&gt;"",L518&gt;=I518),"Paid",IF(AND(L518&lt;&gt;"",L518&gt;0),"Part paid",IF(TODAY()&gt;J518,"Overdue","Due"))))</f>
        <v/>
      </c>
      <c r="N518" s="19" t="str">
        <f aca="true">IF(M518="Overdue",TODAY()-J518,"")</f>
        <v/>
      </c>
      <c r="O518" s="14"/>
    </row>
    <row r="519" customFormat="false" ht="15" hidden="false" customHeight="false" outlineLevel="0" collapsed="false">
      <c r="A519" s="14"/>
      <c r="B519" s="13"/>
      <c r="C519" s="14"/>
      <c r="D519" s="14"/>
      <c r="E519" s="14"/>
      <c r="F519" s="15"/>
      <c r="G519" s="14"/>
      <c r="H519" s="19" t="str">
        <f aca="false">IF(F519="","",IF(G519="Y",F519*Settings!$B$16,0))</f>
        <v/>
      </c>
      <c r="I519" s="19" t="str">
        <f aca="false">IF(F519="","",F519+H519)</f>
        <v/>
      </c>
      <c r="J519" s="18" t="str">
        <f aca="false">IF(B519="","",B519+Settings!$B$17)</f>
        <v/>
      </c>
      <c r="K519" s="13"/>
      <c r="L519" s="15"/>
      <c r="M519" s="17" t="str">
        <f aca="true">IF(F519="","",IF(AND(L519&lt;&gt;"",L519&gt;=I519),"Paid",IF(AND(L519&lt;&gt;"",L519&gt;0),"Part paid",IF(TODAY()&gt;J519,"Overdue","Due"))))</f>
        <v/>
      </c>
      <c r="N519" s="19" t="str">
        <f aca="true">IF(M519="Overdue",TODAY()-J519,"")</f>
        <v/>
      </c>
      <c r="O519" s="14"/>
    </row>
    <row r="520" customFormat="false" ht="15" hidden="false" customHeight="false" outlineLevel="0" collapsed="false">
      <c r="A520" s="14"/>
      <c r="B520" s="13"/>
      <c r="C520" s="14"/>
      <c r="D520" s="14"/>
      <c r="E520" s="14"/>
      <c r="F520" s="15"/>
      <c r="G520" s="14"/>
      <c r="H520" s="19" t="str">
        <f aca="false">IF(F520="","",IF(G520="Y",F520*Settings!$B$16,0))</f>
        <v/>
      </c>
      <c r="I520" s="19" t="str">
        <f aca="false">IF(F520="","",F520+H520)</f>
        <v/>
      </c>
      <c r="J520" s="18" t="str">
        <f aca="false">IF(B520="","",B520+Settings!$B$17)</f>
        <v/>
      </c>
      <c r="K520" s="13"/>
      <c r="L520" s="15"/>
      <c r="M520" s="17" t="str">
        <f aca="true">IF(F520="","",IF(AND(L520&lt;&gt;"",L520&gt;=I520),"Paid",IF(AND(L520&lt;&gt;"",L520&gt;0),"Part paid",IF(TODAY()&gt;J520,"Overdue","Due"))))</f>
        <v/>
      </c>
      <c r="N520" s="19" t="str">
        <f aca="true">IF(M520="Overdue",TODAY()-J520,"")</f>
        <v/>
      </c>
      <c r="O520" s="14"/>
    </row>
    <row r="521" customFormat="false" ht="15" hidden="false" customHeight="false" outlineLevel="0" collapsed="false">
      <c r="A521" s="14"/>
      <c r="B521" s="13"/>
      <c r="C521" s="14"/>
      <c r="D521" s="14"/>
      <c r="E521" s="14"/>
      <c r="F521" s="15"/>
      <c r="G521" s="14"/>
      <c r="H521" s="19" t="str">
        <f aca="false">IF(F521="","",IF(G521="Y",F521*Settings!$B$16,0))</f>
        <v/>
      </c>
      <c r="I521" s="19" t="str">
        <f aca="false">IF(F521="","",F521+H521)</f>
        <v/>
      </c>
      <c r="J521" s="18" t="str">
        <f aca="false">IF(B521="","",B521+Settings!$B$17)</f>
        <v/>
      </c>
      <c r="K521" s="13"/>
      <c r="L521" s="15"/>
      <c r="M521" s="17" t="str">
        <f aca="true">IF(F521="","",IF(AND(L521&lt;&gt;"",L521&gt;=I521),"Paid",IF(AND(L521&lt;&gt;"",L521&gt;0),"Part paid",IF(TODAY()&gt;J521,"Overdue","Due"))))</f>
        <v/>
      </c>
      <c r="N521" s="19" t="str">
        <f aca="true">IF(M521="Overdue",TODAY()-J521,"")</f>
        <v/>
      </c>
      <c r="O521" s="14"/>
    </row>
    <row r="522" customFormat="false" ht="15" hidden="false" customHeight="false" outlineLevel="0" collapsed="false">
      <c r="A522" s="14"/>
      <c r="B522" s="13"/>
      <c r="C522" s="14"/>
      <c r="D522" s="14"/>
      <c r="E522" s="14"/>
      <c r="F522" s="15"/>
      <c r="G522" s="14"/>
      <c r="H522" s="19" t="str">
        <f aca="false">IF(F522="","",IF(G522="Y",F522*Settings!$B$16,0))</f>
        <v/>
      </c>
      <c r="I522" s="19" t="str">
        <f aca="false">IF(F522="","",F522+H522)</f>
        <v/>
      </c>
      <c r="J522" s="18" t="str">
        <f aca="false">IF(B522="","",B522+Settings!$B$17)</f>
        <v/>
      </c>
      <c r="K522" s="13"/>
      <c r="L522" s="15"/>
      <c r="M522" s="17" t="str">
        <f aca="true">IF(F522="","",IF(AND(L522&lt;&gt;"",L522&gt;=I522),"Paid",IF(AND(L522&lt;&gt;"",L522&gt;0),"Part paid",IF(TODAY()&gt;J522,"Overdue","Due"))))</f>
        <v/>
      </c>
      <c r="N522" s="19" t="str">
        <f aca="true">IF(M522="Overdue",TODAY()-J522,"")</f>
        <v/>
      </c>
      <c r="O522" s="14"/>
    </row>
    <row r="523" customFormat="false" ht="15" hidden="false" customHeight="false" outlineLevel="0" collapsed="false">
      <c r="A523" s="14"/>
      <c r="B523" s="13"/>
      <c r="C523" s="14"/>
      <c r="D523" s="14"/>
      <c r="E523" s="14"/>
      <c r="F523" s="15"/>
      <c r="G523" s="14"/>
      <c r="H523" s="19" t="str">
        <f aca="false">IF(F523="","",IF(G523="Y",F523*Settings!$B$16,0))</f>
        <v/>
      </c>
      <c r="I523" s="19" t="str">
        <f aca="false">IF(F523="","",F523+H523)</f>
        <v/>
      </c>
      <c r="J523" s="18" t="str">
        <f aca="false">IF(B523="","",B523+Settings!$B$17)</f>
        <v/>
      </c>
      <c r="K523" s="13"/>
      <c r="L523" s="15"/>
      <c r="M523" s="17" t="str">
        <f aca="true">IF(F523="","",IF(AND(L523&lt;&gt;"",L523&gt;=I523),"Paid",IF(AND(L523&lt;&gt;"",L523&gt;0),"Part paid",IF(TODAY()&gt;J523,"Overdue","Due"))))</f>
        <v/>
      </c>
      <c r="N523" s="19" t="str">
        <f aca="true">IF(M523="Overdue",TODAY()-J523,"")</f>
        <v/>
      </c>
      <c r="O523" s="14"/>
    </row>
    <row r="524" customFormat="false" ht="15" hidden="false" customHeight="false" outlineLevel="0" collapsed="false">
      <c r="A524" s="14"/>
      <c r="B524" s="13"/>
      <c r="C524" s="14"/>
      <c r="D524" s="14"/>
      <c r="E524" s="14"/>
      <c r="F524" s="15"/>
      <c r="G524" s="14"/>
      <c r="H524" s="19" t="str">
        <f aca="false">IF(F524="","",IF(G524="Y",F524*Settings!$B$16,0))</f>
        <v/>
      </c>
      <c r="I524" s="19" t="str">
        <f aca="false">IF(F524="","",F524+H524)</f>
        <v/>
      </c>
      <c r="J524" s="18" t="str">
        <f aca="false">IF(B524="","",B524+Settings!$B$17)</f>
        <v/>
      </c>
      <c r="K524" s="13"/>
      <c r="L524" s="15"/>
      <c r="M524" s="17" t="str">
        <f aca="true">IF(F524="","",IF(AND(L524&lt;&gt;"",L524&gt;=I524),"Paid",IF(AND(L524&lt;&gt;"",L524&gt;0),"Part paid",IF(TODAY()&gt;J524,"Overdue","Due"))))</f>
        <v/>
      </c>
      <c r="N524" s="19" t="str">
        <f aca="true">IF(M524="Overdue",TODAY()-J524,"")</f>
        <v/>
      </c>
      <c r="O524" s="14"/>
    </row>
    <row r="525" customFormat="false" ht="15" hidden="false" customHeight="false" outlineLevel="0" collapsed="false">
      <c r="A525" s="14"/>
      <c r="B525" s="13"/>
      <c r="C525" s="14"/>
      <c r="D525" s="14"/>
      <c r="E525" s="14"/>
      <c r="F525" s="15"/>
      <c r="G525" s="14"/>
      <c r="H525" s="19" t="str">
        <f aca="false">IF(F525="","",IF(G525="Y",F525*Settings!$B$16,0))</f>
        <v/>
      </c>
      <c r="I525" s="19" t="str">
        <f aca="false">IF(F525="","",F525+H525)</f>
        <v/>
      </c>
      <c r="J525" s="18" t="str">
        <f aca="false">IF(B525="","",B525+Settings!$B$17)</f>
        <v/>
      </c>
      <c r="K525" s="13"/>
      <c r="L525" s="15"/>
      <c r="M525" s="17" t="str">
        <f aca="true">IF(F525="","",IF(AND(L525&lt;&gt;"",L525&gt;=I525),"Paid",IF(AND(L525&lt;&gt;"",L525&gt;0),"Part paid",IF(TODAY()&gt;J525,"Overdue","Due"))))</f>
        <v/>
      </c>
      <c r="N525" s="19" t="str">
        <f aca="true">IF(M525="Overdue",TODAY()-J525,"")</f>
        <v/>
      </c>
      <c r="O525" s="14"/>
    </row>
    <row r="526" customFormat="false" ht="15" hidden="false" customHeight="false" outlineLevel="0" collapsed="false">
      <c r="A526" s="14"/>
      <c r="B526" s="13"/>
      <c r="C526" s="14"/>
      <c r="D526" s="14"/>
      <c r="E526" s="14"/>
      <c r="F526" s="15"/>
      <c r="G526" s="14"/>
      <c r="H526" s="19" t="str">
        <f aca="false">IF(F526="","",IF(G526="Y",F526*Settings!$B$16,0))</f>
        <v/>
      </c>
      <c r="I526" s="19" t="str">
        <f aca="false">IF(F526="","",F526+H526)</f>
        <v/>
      </c>
      <c r="J526" s="18" t="str">
        <f aca="false">IF(B526="","",B526+Settings!$B$17)</f>
        <v/>
      </c>
      <c r="K526" s="13"/>
      <c r="L526" s="15"/>
      <c r="M526" s="17" t="str">
        <f aca="true">IF(F526="","",IF(AND(L526&lt;&gt;"",L526&gt;=I526),"Paid",IF(AND(L526&lt;&gt;"",L526&gt;0),"Part paid",IF(TODAY()&gt;J526,"Overdue","Due"))))</f>
        <v/>
      </c>
      <c r="N526" s="19" t="str">
        <f aca="true">IF(M526="Overdue",TODAY()-J526,"")</f>
        <v/>
      </c>
      <c r="O526" s="14"/>
    </row>
    <row r="527" customFormat="false" ht="15" hidden="false" customHeight="false" outlineLevel="0" collapsed="false">
      <c r="A527" s="14"/>
      <c r="B527" s="13"/>
      <c r="C527" s="14"/>
      <c r="D527" s="14"/>
      <c r="E527" s="14"/>
      <c r="F527" s="15"/>
      <c r="G527" s="14"/>
      <c r="H527" s="19" t="str">
        <f aca="false">IF(F527="","",IF(G527="Y",F527*Settings!$B$16,0))</f>
        <v/>
      </c>
      <c r="I527" s="19" t="str">
        <f aca="false">IF(F527="","",F527+H527)</f>
        <v/>
      </c>
      <c r="J527" s="18" t="str">
        <f aca="false">IF(B527="","",B527+Settings!$B$17)</f>
        <v/>
      </c>
      <c r="K527" s="13"/>
      <c r="L527" s="15"/>
      <c r="M527" s="17" t="str">
        <f aca="true">IF(F527="","",IF(AND(L527&lt;&gt;"",L527&gt;=I527),"Paid",IF(AND(L527&lt;&gt;"",L527&gt;0),"Part paid",IF(TODAY()&gt;J527,"Overdue","Due"))))</f>
        <v/>
      </c>
      <c r="N527" s="19" t="str">
        <f aca="true">IF(M527="Overdue",TODAY()-J527,"")</f>
        <v/>
      </c>
      <c r="O527" s="14"/>
    </row>
    <row r="528" customFormat="false" ht="15" hidden="false" customHeight="false" outlineLevel="0" collapsed="false">
      <c r="A528" s="14"/>
      <c r="B528" s="13"/>
      <c r="C528" s="14"/>
      <c r="D528" s="14"/>
      <c r="E528" s="14"/>
      <c r="F528" s="15"/>
      <c r="G528" s="14"/>
      <c r="H528" s="19" t="str">
        <f aca="false">IF(F528="","",IF(G528="Y",F528*Settings!$B$16,0))</f>
        <v/>
      </c>
      <c r="I528" s="19" t="str">
        <f aca="false">IF(F528="","",F528+H528)</f>
        <v/>
      </c>
      <c r="J528" s="18" t="str">
        <f aca="false">IF(B528="","",B528+Settings!$B$17)</f>
        <v/>
      </c>
      <c r="K528" s="13"/>
      <c r="L528" s="15"/>
      <c r="M528" s="17" t="str">
        <f aca="true">IF(F528="","",IF(AND(L528&lt;&gt;"",L528&gt;=I528),"Paid",IF(AND(L528&lt;&gt;"",L528&gt;0),"Part paid",IF(TODAY()&gt;J528,"Overdue","Due"))))</f>
        <v/>
      </c>
      <c r="N528" s="19" t="str">
        <f aca="true">IF(M528="Overdue",TODAY()-J528,"")</f>
        <v/>
      </c>
      <c r="O528" s="14"/>
    </row>
    <row r="529" customFormat="false" ht="15" hidden="false" customHeight="false" outlineLevel="0" collapsed="false">
      <c r="A529" s="14"/>
      <c r="B529" s="13"/>
      <c r="C529" s="14"/>
      <c r="D529" s="14"/>
      <c r="E529" s="14"/>
      <c r="F529" s="15"/>
      <c r="G529" s="14"/>
      <c r="H529" s="19" t="str">
        <f aca="false">IF(F529="","",IF(G529="Y",F529*Settings!$B$16,0))</f>
        <v/>
      </c>
      <c r="I529" s="19" t="str">
        <f aca="false">IF(F529="","",F529+H529)</f>
        <v/>
      </c>
      <c r="J529" s="18" t="str">
        <f aca="false">IF(B529="","",B529+Settings!$B$17)</f>
        <v/>
      </c>
      <c r="K529" s="13"/>
      <c r="L529" s="15"/>
      <c r="M529" s="17" t="str">
        <f aca="true">IF(F529="","",IF(AND(L529&lt;&gt;"",L529&gt;=I529),"Paid",IF(AND(L529&lt;&gt;"",L529&gt;0),"Part paid",IF(TODAY()&gt;J529,"Overdue","Due"))))</f>
        <v/>
      </c>
      <c r="N529" s="19" t="str">
        <f aca="true">IF(M529="Overdue",TODAY()-J529,"")</f>
        <v/>
      </c>
      <c r="O529" s="14"/>
    </row>
    <row r="530" customFormat="false" ht="15" hidden="false" customHeight="false" outlineLevel="0" collapsed="false">
      <c r="A530" s="14"/>
      <c r="B530" s="13"/>
      <c r="C530" s="14"/>
      <c r="D530" s="14"/>
      <c r="E530" s="14"/>
      <c r="F530" s="15"/>
      <c r="G530" s="14"/>
      <c r="H530" s="19" t="str">
        <f aca="false">IF(F530="","",IF(G530="Y",F530*Settings!$B$16,0))</f>
        <v/>
      </c>
      <c r="I530" s="19" t="str">
        <f aca="false">IF(F530="","",F530+H530)</f>
        <v/>
      </c>
      <c r="J530" s="18" t="str">
        <f aca="false">IF(B530="","",B530+Settings!$B$17)</f>
        <v/>
      </c>
      <c r="K530" s="13"/>
      <c r="L530" s="15"/>
      <c r="M530" s="17" t="str">
        <f aca="true">IF(F530="","",IF(AND(L530&lt;&gt;"",L530&gt;=I530),"Paid",IF(AND(L530&lt;&gt;"",L530&gt;0),"Part paid",IF(TODAY()&gt;J530,"Overdue","Due"))))</f>
        <v/>
      </c>
      <c r="N530" s="19" t="str">
        <f aca="true">IF(M530="Overdue",TODAY()-J530,"")</f>
        <v/>
      </c>
      <c r="O530" s="14"/>
    </row>
    <row r="531" customFormat="false" ht="15" hidden="false" customHeight="false" outlineLevel="0" collapsed="false">
      <c r="A531" s="14"/>
      <c r="B531" s="13"/>
      <c r="C531" s="14"/>
      <c r="D531" s="14"/>
      <c r="E531" s="14"/>
      <c r="F531" s="15"/>
      <c r="G531" s="14"/>
      <c r="H531" s="19" t="str">
        <f aca="false">IF(F531="","",IF(G531="Y",F531*Settings!$B$16,0))</f>
        <v/>
      </c>
      <c r="I531" s="19" t="str">
        <f aca="false">IF(F531="","",F531+H531)</f>
        <v/>
      </c>
      <c r="J531" s="18" t="str">
        <f aca="false">IF(B531="","",B531+Settings!$B$17)</f>
        <v/>
      </c>
      <c r="K531" s="13"/>
      <c r="L531" s="15"/>
      <c r="M531" s="17" t="str">
        <f aca="true">IF(F531="","",IF(AND(L531&lt;&gt;"",L531&gt;=I531),"Paid",IF(AND(L531&lt;&gt;"",L531&gt;0),"Part paid",IF(TODAY()&gt;J531,"Overdue","Due"))))</f>
        <v/>
      </c>
      <c r="N531" s="19" t="str">
        <f aca="true">IF(M531="Overdue",TODAY()-J531,"")</f>
        <v/>
      </c>
      <c r="O531" s="14"/>
    </row>
    <row r="532" customFormat="false" ht="15" hidden="false" customHeight="false" outlineLevel="0" collapsed="false">
      <c r="A532" s="14"/>
      <c r="B532" s="13"/>
      <c r="C532" s="14"/>
      <c r="D532" s="14"/>
      <c r="E532" s="14"/>
      <c r="F532" s="15"/>
      <c r="G532" s="14"/>
      <c r="H532" s="19" t="str">
        <f aca="false">IF(F532="","",IF(G532="Y",F532*Settings!$B$16,0))</f>
        <v/>
      </c>
      <c r="I532" s="19" t="str">
        <f aca="false">IF(F532="","",F532+H532)</f>
        <v/>
      </c>
      <c r="J532" s="18" t="str">
        <f aca="false">IF(B532="","",B532+Settings!$B$17)</f>
        <v/>
      </c>
      <c r="K532" s="13"/>
      <c r="L532" s="15"/>
      <c r="M532" s="17" t="str">
        <f aca="true">IF(F532="","",IF(AND(L532&lt;&gt;"",L532&gt;=I532),"Paid",IF(AND(L532&lt;&gt;"",L532&gt;0),"Part paid",IF(TODAY()&gt;J532,"Overdue","Due"))))</f>
        <v/>
      </c>
      <c r="N532" s="19" t="str">
        <f aca="true">IF(M532="Overdue",TODAY()-J532,"")</f>
        <v/>
      </c>
      <c r="O532" s="14"/>
    </row>
    <row r="533" customFormat="false" ht="15" hidden="false" customHeight="false" outlineLevel="0" collapsed="false">
      <c r="A533" s="14"/>
      <c r="B533" s="13"/>
      <c r="C533" s="14"/>
      <c r="D533" s="14"/>
      <c r="E533" s="14"/>
      <c r="F533" s="15"/>
      <c r="G533" s="14"/>
      <c r="H533" s="19" t="str">
        <f aca="false">IF(F533="","",IF(G533="Y",F533*Settings!$B$16,0))</f>
        <v/>
      </c>
      <c r="I533" s="19" t="str">
        <f aca="false">IF(F533="","",F533+H533)</f>
        <v/>
      </c>
      <c r="J533" s="18" t="str">
        <f aca="false">IF(B533="","",B533+Settings!$B$17)</f>
        <v/>
      </c>
      <c r="K533" s="13"/>
      <c r="L533" s="15"/>
      <c r="M533" s="17" t="str">
        <f aca="true">IF(F533="","",IF(AND(L533&lt;&gt;"",L533&gt;=I533),"Paid",IF(AND(L533&lt;&gt;"",L533&gt;0),"Part paid",IF(TODAY()&gt;J533,"Overdue","Due"))))</f>
        <v/>
      </c>
      <c r="N533" s="19" t="str">
        <f aca="true">IF(M533="Overdue",TODAY()-J533,"")</f>
        <v/>
      </c>
      <c r="O533" s="14"/>
    </row>
    <row r="534" customFormat="false" ht="15" hidden="false" customHeight="false" outlineLevel="0" collapsed="false">
      <c r="A534" s="14"/>
      <c r="B534" s="13"/>
      <c r="C534" s="14"/>
      <c r="D534" s="14"/>
      <c r="E534" s="14"/>
      <c r="F534" s="15"/>
      <c r="G534" s="14"/>
      <c r="H534" s="19" t="str">
        <f aca="false">IF(F534="","",IF(G534="Y",F534*Settings!$B$16,0))</f>
        <v/>
      </c>
      <c r="I534" s="19" t="str">
        <f aca="false">IF(F534="","",F534+H534)</f>
        <v/>
      </c>
      <c r="J534" s="18" t="str">
        <f aca="false">IF(B534="","",B534+Settings!$B$17)</f>
        <v/>
      </c>
      <c r="K534" s="13"/>
      <c r="L534" s="15"/>
      <c r="M534" s="17" t="str">
        <f aca="true">IF(F534="","",IF(AND(L534&lt;&gt;"",L534&gt;=I534),"Paid",IF(AND(L534&lt;&gt;"",L534&gt;0),"Part paid",IF(TODAY()&gt;J534,"Overdue","Due"))))</f>
        <v/>
      </c>
      <c r="N534" s="19" t="str">
        <f aca="true">IF(M534="Overdue",TODAY()-J534,"")</f>
        <v/>
      </c>
      <c r="O534" s="14"/>
    </row>
    <row r="535" customFormat="false" ht="15" hidden="false" customHeight="false" outlineLevel="0" collapsed="false">
      <c r="A535" s="14"/>
      <c r="B535" s="13"/>
      <c r="C535" s="14"/>
      <c r="D535" s="14"/>
      <c r="E535" s="14"/>
      <c r="F535" s="15"/>
      <c r="G535" s="14"/>
      <c r="H535" s="19" t="str">
        <f aca="false">IF(F535="","",IF(G535="Y",F535*Settings!$B$16,0))</f>
        <v/>
      </c>
      <c r="I535" s="19" t="str">
        <f aca="false">IF(F535="","",F535+H535)</f>
        <v/>
      </c>
      <c r="J535" s="18" t="str">
        <f aca="false">IF(B535="","",B535+Settings!$B$17)</f>
        <v/>
      </c>
      <c r="K535" s="13"/>
      <c r="L535" s="15"/>
      <c r="M535" s="17" t="str">
        <f aca="true">IF(F535="","",IF(AND(L535&lt;&gt;"",L535&gt;=I535),"Paid",IF(AND(L535&lt;&gt;"",L535&gt;0),"Part paid",IF(TODAY()&gt;J535,"Overdue","Due"))))</f>
        <v/>
      </c>
      <c r="N535" s="19" t="str">
        <f aca="true">IF(M535="Overdue",TODAY()-J535,"")</f>
        <v/>
      </c>
      <c r="O535" s="14"/>
    </row>
    <row r="536" customFormat="false" ht="15" hidden="false" customHeight="false" outlineLevel="0" collapsed="false">
      <c r="A536" s="14"/>
      <c r="B536" s="13"/>
      <c r="C536" s="14"/>
      <c r="D536" s="14"/>
      <c r="E536" s="14"/>
      <c r="F536" s="15"/>
      <c r="G536" s="14"/>
      <c r="H536" s="19" t="str">
        <f aca="false">IF(F536="","",IF(G536="Y",F536*Settings!$B$16,0))</f>
        <v/>
      </c>
      <c r="I536" s="19" t="str">
        <f aca="false">IF(F536="","",F536+H536)</f>
        <v/>
      </c>
      <c r="J536" s="18" t="str">
        <f aca="false">IF(B536="","",B536+Settings!$B$17)</f>
        <v/>
      </c>
      <c r="K536" s="13"/>
      <c r="L536" s="15"/>
      <c r="M536" s="17" t="str">
        <f aca="true">IF(F536="","",IF(AND(L536&lt;&gt;"",L536&gt;=I536),"Paid",IF(AND(L536&lt;&gt;"",L536&gt;0),"Part paid",IF(TODAY()&gt;J536,"Overdue","Due"))))</f>
        <v/>
      </c>
      <c r="N536" s="19" t="str">
        <f aca="true">IF(M536="Overdue",TODAY()-J536,"")</f>
        <v/>
      </c>
      <c r="O536" s="14"/>
    </row>
    <row r="537" customFormat="false" ht="15" hidden="false" customHeight="false" outlineLevel="0" collapsed="false">
      <c r="A537" s="14"/>
      <c r="B537" s="13"/>
      <c r="C537" s="14"/>
      <c r="D537" s="14"/>
      <c r="E537" s="14"/>
      <c r="F537" s="15"/>
      <c r="G537" s="14"/>
      <c r="H537" s="19" t="str">
        <f aca="false">IF(F537="","",IF(G537="Y",F537*Settings!$B$16,0))</f>
        <v/>
      </c>
      <c r="I537" s="19" t="str">
        <f aca="false">IF(F537="","",F537+H537)</f>
        <v/>
      </c>
      <c r="J537" s="18" t="str">
        <f aca="false">IF(B537="","",B537+Settings!$B$17)</f>
        <v/>
      </c>
      <c r="K537" s="13"/>
      <c r="L537" s="15"/>
      <c r="M537" s="17" t="str">
        <f aca="true">IF(F537="","",IF(AND(L537&lt;&gt;"",L537&gt;=I537),"Paid",IF(AND(L537&lt;&gt;"",L537&gt;0),"Part paid",IF(TODAY()&gt;J537,"Overdue","Due"))))</f>
        <v/>
      </c>
      <c r="N537" s="19" t="str">
        <f aca="true">IF(M537="Overdue",TODAY()-J537,"")</f>
        <v/>
      </c>
      <c r="O537" s="14"/>
    </row>
    <row r="538" customFormat="false" ht="15" hidden="false" customHeight="false" outlineLevel="0" collapsed="false">
      <c r="A538" s="14"/>
      <c r="B538" s="13"/>
      <c r="C538" s="14"/>
      <c r="D538" s="14"/>
      <c r="E538" s="14"/>
      <c r="F538" s="15"/>
      <c r="G538" s="14"/>
      <c r="H538" s="19" t="str">
        <f aca="false">IF(F538="","",IF(G538="Y",F538*Settings!$B$16,0))</f>
        <v/>
      </c>
      <c r="I538" s="19" t="str">
        <f aca="false">IF(F538="","",F538+H538)</f>
        <v/>
      </c>
      <c r="J538" s="18" t="str">
        <f aca="false">IF(B538="","",B538+Settings!$B$17)</f>
        <v/>
      </c>
      <c r="K538" s="13"/>
      <c r="L538" s="15"/>
      <c r="M538" s="17" t="str">
        <f aca="true">IF(F538="","",IF(AND(L538&lt;&gt;"",L538&gt;=I538),"Paid",IF(AND(L538&lt;&gt;"",L538&gt;0),"Part paid",IF(TODAY()&gt;J538,"Overdue","Due"))))</f>
        <v/>
      </c>
      <c r="N538" s="19" t="str">
        <f aca="true">IF(M538="Overdue",TODAY()-J538,"")</f>
        <v/>
      </c>
      <c r="O538" s="14"/>
    </row>
    <row r="539" customFormat="false" ht="15" hidden="false" customHeight="false" outlineLevel="0" collapsed="false">
      <c r="A539" s="14"/>
      <c r="B539" s="13"/>
      <c r="C539" s="14"/>
      <c r="D539" s="14"/>
      <c r="E539" s="14"/>
      <c r="F539" s="15"/>
      <c r="G539" s="14"/>
      <c r="H539" s="19" t="str">
        <f aca="false">IF(F539="","",IF(G539="Y",F539*Settings!$B$16,0))</f>
        <v/>
      </c>
      <c r="I539" s="19" t="str">
        <f aca="false">IF(F539="","",F539+H539)</f>
        <v/>
      </c>
      <c r="J539" s="18" t="str">
        <f aca="false">IF(B539="","",B539+Settings!$B$17)</f>
        <v/>
      </c>
      <c r="K539" s="13"/>
      <c r="L539" s="15"/>
      <c r="M539" s="17" t="str">
        <f aca="true">IF(F539="","",IF(AND(L539&lt;&gt;"",L539&gt;=I539),"Paid",IF(AND(L539&lt;&gt;"",L539&gt;0),"Part paid",IF(TODAY()&gt;J539,"Overdue","Due"))))</f>
        <v/>
      </c>
      <c r="N539" s="19" t="str">
        <f aca="true">IF(M539="Overdue",TODAY()-J539,"")</f>
        <v/>
      </c>
      <c r="O539" s="14"/>
    </row>
    <row r="540" customFormat="false" ht="15" hidden="false" customHeight="false" outlineLevel="0" collapsed="false">
      <c r="A540" s="14"/>
      <c r="B540" s="13"/>
      <c r="C540" s="14"/>
      <c r="D540" s="14"/>
      <c r="E540" s="14"/>
      <c r="F540" s="15"/>
      <c r="G540" s="14"/>
      <c r="H540" s="19" t="str">
        <f aca="false">IF(F540="","",IF(G540="Y",F540*Settings!$B$16,0))</f>
        <v/>
      </c>
      <c r="I540" s="19" t="str">
        <f aca="false">IF(F540="","",F540+H540)</f>
        <v/>
      </c>
      <c r="J540" s="18" t="str">
        <f aca="false">IF(B540="","",B540+Settings!$B$17)</f>
        <v/>
      </c>
      <c r="K540" s="13"/>
      <c r="L540" s="15"/>
      <c r="M540" s="17" t="str">
        <f aca="true">IF(F540="","",IF(AND(L540&lt;&gt;"",L540&gt;=I540),"Paid",IF(AND(L540&lt;&gt;"",L540&gt;0),"Part paid",IF(TODAY()&gt;J540,"Overdue","Due"))))</f>
        <v/>
      </c>
      <c r="N540" s="19" t="str">
        <f aca="true">IF(M540="Overdue",TODAY()-J540,"")</f>
        <v/>
      </c>
      <c r="O540" s="14"/>
    </row>
    <row r="541" customFormat="false" ht="15" hidden="false" customHeight="false" outlineLevel="0" collapsed="false">
      <c r="A541" s="14"/>
      <c r="B541" s="13"/>
      <c r="C541" s="14"/>
      <c r="D541" s="14"/>
      <c r="E541" s="14"/>
      <c r="F541" s="15"/>
      <c r="G541" s="14"/>
      <c r="H541" s="19" t="str">
        <f aca="false">IF(F541="","",IF(G541="Y",F541*Settings!$B$16,0))</f>
        <v/>
      </c>
      <c r="I541" s="19" t="str">
        <f aca="false">IF(F541="","",F541+H541)</f>
        <v/>
      </c>
      <c r="J541" s="18" t="str">
        <f aca="false">IF(B541="","",B541+Settings!$B$17)</f>
        <v/>
      </c>
      <c r="K541" s="13"/>
      <c r="L541" s="15"/>
      <c r="M541" s="17" t="str">
        <f aca="true">IF(F541="","",IF(AND(L541&lt;&gt;"",L541&gt;=I541),"Paid",IF(AND(L541&lt;&gt;"",L541&gt;0),"Part paid",IF(TODAY()&gt;J541,"Overdue","Due"))))</f>
        <v/>
      </c>
      <c r="N541" s="19" t="str">
        <f aca="true">IF(M541="Overdue",TODAY()-J541,"")</f>
        <v/>
      </c>
      <c r="O541" s="14"/>
    </row>
    <row r="542" customFormat="false" ht="15" hidden="false" customHeight="false" outlineLevel="0" collapsed="false">
      <c r="A542" s="14"/>
      <c r="B542" s="13"/>
      <c r="C542" s="14"/>
      <c r="D542" s="14"/>
      <c r="E542" s="14"/>
      <c r="F542" s="15"/>
      <c r="G542" s="14"/>
      <c r="H542" s="19" t="str">
        <f aca="false">IF(F542="","",IF(G542="Y",F542*Settings!$B$16,0))</f>
        <v/>
      </c>
      <c r="I542" s="19" t="str">
        <f aca="false">IF(F542="","",F542+H542)</f>
        <v/>
      </c>
      <c r="J542" s="18" t="str">
        <f aca="false">IF(B542="","",B542+Settings!$B$17)</f>
        <v/>
      </c>
      <c r="K542" s="13"/>
      <c r="L542" s="15"/>
      <c r="M542" s="17" t="str">
        <f aca="true">IF(F542="","",IF(AND(L542&lt;&gt;"",L542&gt;=I542),"Paid",IF(AND(L542&lt;&gt;"",L542&gt;0),"Part paid",IF(TODAY()&gt;J542,"Overdue","Due"))))</f>
        <v/>
      </c>
      <c r="N542" s="19" t="str">
        <f aca="true">IF(M542="Overdue",TODAY()-J542,"")</f>
        <v/>
      </c>
      <c r="O542" s="14"/>
    </row>
    <row r="543" customFormat="false" ht="15" hidden="false" customHeight="false" outlineLevel="0" collapsed="false">
      <c r="A543" s="14"/>
      <c r="B543" s="13"/>
      <c r="C543" s="14"/>
      <c r="D543" s="14"/>
      <c r="E543" s="14"/>
      <c r="F543" s="15"/>
      <c r="G543" s="14"/>
      <c r="H543" s="19" t="str">
        <f aca="false">IF(F543="","",IF(G543="Y",F543*Settings!$B$16,0))</f>
        <v/>
      </c>
      <c r="I543" s="19" t="str">
        <f aca="false">IF(F543="","",F543+H543)</f>
        <v/>
      </c>
      <c r="J543" s="18" t="str">
        <f aca="false">IF(B543="","",B543+Settings!$B$17)</f>
        <v/>
      </c>
      <c r="K543" s="13"/>
      <c r="L543" s="15"/>
      <c r="M543" s="17" t="str">
        <f aca="true">IF(F543="","",IF(AND(L543&lt;&gt;"",L543&gt;=I543),"Paid",IF(AND(L543&lt;&gt;"",L543&gt;0),"Part paid",IF(TODAY()&gt;J543,"Overdue","Due"))))</f>
        <v/>
      </c>
      <c r="N543" s="19" t="str">
        <f aca="true">IF(M543="Overdue",TODAY()-J543,"")</f>
        <v/>
      </c>
      <c r="O543" s="14"/>
    </row>
    <row r="544" customFormat="false" ht="15" hidden="false" customHeight="false" outlineLevel="0" collapsed="false">
      <c r="A544" s="14"/>
      <c r="B544" s="13"/>
      <c r="C544" s="14"/>
      <c r="D544" s="14"/>
      <c r="E544" s="14"/>
      <c r="F544" s="15"/>
      <c r="G544" s="14"/>
      <c r="H544" s="19" t="str">
        <f aca="false">IF(F544="","",IF(G544="Y",F544*Settings!$B$16,0))</f>
        <v/>
      </c>
      <c r="I544" s="19" t="str">
        <f aca="false">IF(F544="","",F544+H544)</f>
        <v/>
      </c>
      <c r="J544" s="18" t="str">
        <f aca="false">IF(B544="","",B544+Settings!$B$17)</f>
        <v/>
      </c>
      <c r="K544" s="13"/>
      <c r="L544" s="15"/>
      <c r="M544" s="17" t="str">
        <f aca="true">IF(F544="","",IF(AND(L544&lt;&gt;"",L544&gt;=I544),"Paid",IF(AND(L544&lt;&gt;"",L544&gt;0),"Part paid",IF(TODAY()&gt;J544,"Overdue","Due"))))</f>
        <v/>
      </c>
      <c r="N544" s="19" t="str">
        <f aca="true">IF(M544="Overdue",TODAY()-J544,"")</f>
        <v/>
      </c>
      <c r="O544" s="14"/>
    </row>
    <row r="545" customFormat="false" ht="15" hidden="false" customHeight="false" outlineLevel="0" collapsed="false">
      <c r="A545" s="14"/>
      <c r="B545" s="13"/>
      <c r="C545" s="14"/>
      <c r="D545" s="14"/>
      <c r="E545" s="14"/>
      <c r="F545" s="15"/>
      <c r="G545" s="14"/>
      <c r="H545" s="19" t="str">
        <f aca="false">IF(F545="","",IF(G545="Y",F545*Settings!$B$16,0))</f>
        <v/>
      </c>
      <c r="I545" s="19" t="str">
        <f aca="false">IF(F545="","",F545+H545)</f>
        <v/>
      </c>
      <c r="J545" s="18" t="str">
        <f aca="false">IF(B545="","",B545+Settings!$B$17)</f>
        <v/>
      </c>
      <c r="K545" s="13"/>
      <c r="L545" s="15"/>
      <c r="M545" s="17" t="str">
        <f aca="true">IF(F545="","",IF(AND(L545&lt;&gt;"",L545&gt;=I545),"Paid",IF(AND(L545&lt;&gt;"",L545&gt;0),"Part paid",IF(TODAY()&gt;J545,"Overdue","Due"))))</f>
        <v/>
      </c>
      <c r="N545" s="19" t="str">
        <f aca="true">IF(M545="Overdue",TODAY()-J545,"")</f>
        <v/>
      </c>
      <c r="O545" s="14"/>
    </row>
    <row r="546" customFormat="false" ht="15" hidden="false" customHeight="false" outlineLevel="0" collapsed="false">
      <c r="A546" s="14"/>
      <c r="B546" s="13"/>
      <c r="C546" s="14"/>
      <c r="D546" s="14"/>
      <c r="E546" s="14"/>
      <c r="F546" s="15"/>
      <c r="G546" s="14"/>
      <c r="H546" s="19" t="str">
        <f aca="false">IF(F546="","",IF(G546="Y",F546*Settings!$B$16,0))</f>
        <v/>
      </c>
      <c r="I546" s="19" t="str">
        <f aca="false">IF(F546="","",F546+H546)</f>
        <v/>
      </c>
      <c r="J546" s="18" t="str">
        <f aca="false">IF(B546="","",B546+Settings!$B$17)</f>
        <v/>
      </c>
      <c r="K546" s="13"/>
      <c r="L546" s="15"/>
      <c r="M546" s="17" t="str">
        <f aca="true">IF(F546="","",IF(AND(L546&lt;&gt;"",L546&gt;=I546),"Paid",IF(AND(L546&lt;&gt;"",L546&gt;0),"Part paid",IF(TODAY()&gt;J546,"Overdue","Due"))))</f>
        <v/>
      </c>
      <c r="N546" s="19" t="str">
        <f aca="true">IF(M546="Overdue",TODAY()-J546,"")</f>
        <v/>
      </c>
      <c r="O546" s="14"/>
    </row>
    <row r="547" customFormat="false" ht="15" hidden="false" customHeight="false" outlineLevel="0" collapsed="false">
      <c r="A547" s="14"/>
      <c r="B547" s="13"/>
      <c r="C547" s="14"/>
      <c r="D547" s="14"/>
      <c r="E547" s="14"/>
      <c r="F547" s="15"/>
      <c r="G547" s="14"/>
      <c r="H547" s="19" t="str">
        <f aca="false">IF(F547="","",IF(G547="Y",F547*Settings!$B$16,0))</f>
        <v/>
      </c>
      <c r="I547" s="19" t="str">
        <f aca="false">IF(F547="","",F547+H547)</f>
        <v/>
      </c>
      <c r="J547" s="18" t="str">
        <f aca="false">IF(B547="","",B547+Settings!$B$17)</f>
        <v/>
      </c>
      <c r="K547" s="13"/>
      <c r="L547" s="15"/>
      <c r="M547" s="17" t="str">
        <f aca="true">IF(F547="","",IF(AND(L547&lt;&gt;"",L547&gt;=I547),"Paid",IF(AND(L547&lt;&gt;"",L547&gt;0),"Part paid",IF(TODAY()&gt;J547,"Overdue","Due"))))</f>
        <v/>
      </c>
      <c r="N547" s="19" t="str">
        <f aca="true">IF(M547="Overdue",TODAY()-J547,"")</f>
        <v/>
      </c>
      <c r="O547" s="14"/>
    </row>
    <row r="548" customFormat="false" ht="15" hidden="false" customHeight="false" outlineLevel="0" collapsed="false">
      <c r="A548" s="14"/>
      <c r="B548" s="13"/>
      <c r="C548" s="14"/>
      <c r="D548" s="14"/>
      <c r="E548" s="14"/>
      <c r="F548" s="15"/>
      <c r="G548" s="14"/>
      <c r="H548" s="19" t="str">
        <f aca="false">IF(F548="","",IF(G548="Y",F548*Settings!$B$16,0))</f>
        <v/>
      </c>
      <c r="I548" s="19" t="str">
        <f aca="false">IF(F548="","",F548+H548)</f>
        <v/>
      </c>
      <c r="J548" s="18" t="str">
        <f aca="false">IF(B548="","",B548+Settings!$B$17)</f>
        <v/>
      </c>
      <c r="K548" s="13"/>
      <c r="L548" s="15"/>
      <c r="M548" s="17" t="str">
        <f aca="true">IF(F548="","",IF(AND(L548&lt;&gt;"",L548&gt;=I548),"Paid",IF(AND(L548&lt;&gt;"",L548&gt;0),"Part paid",IF(TODAY()&gt;J548,"Overdue","Due"))))</f>
        <v/>
      </c>
      <c r="N548" s="19" t="str">
        <f aca="true">IF(M548="Overdue",TODAY()-J548,"")</f>
        <v/>
      </c>
      <c r="O548" s="14"/>
    </row>
    <row r="549" customFormat="false" ht="15" hidden="false" customHeight="false" outlineLevel="0" collapsed="false">
      <c r="A549" s="14"/>
      <c r="B549" s="13"/>
      <c r="C549" s="14"/>
      <c r="D549" s="14"/>
      <c r="E549" s="14"/>
      <c r="F549" s="15"/>
      <c r="G549" s="14"/>
      <c r="H549" s="19" t="str">
        <f aca="false">IF(F549="","",IF(G549="Y",F549*Settings!$B$16,0))</f>
        <v/>
      </c>
      <c r="I549" s="19" t="str">
        <f aca="false">IF(F549="","",F549+H549)</f>
        <v/>
      </c>
      <c r="J549" s="18" t="str">
        <f aca="false">IF(B549="","",B549+Settings!$B$17)</f>
        <v/>
      </c>
      <c r="K549" s="13"/>
      <c r="L549" s="15"/>
      <c r="M549" s="17" t="str">
        <f aca="true">IF(F549="","",IF(AND(L549&lt;&gt;"",L549&gt;=I549),"Paid",IF(AND(L549&lt;&gt;"",L549&gt;0),"Part paid",IF(TODAY()&gt;J549,"Overdue","Due"))))</f>
        <v/>
      </c>
      <c r="N549" s="19" t="str">
        <f aca="true">IF(M549="Overdue",TODAY()-J549,"")</f>
        <v/>
      </c>
      <c r="O549" s="14"/>
    </row>
    <row r="550" customFormat="false" ht="15" hidden="false" customHeight="false" outlineLevel="0" collapsed="false">
      <c r="A550" s="14"/>
      <c r="B550" s="13"/>
      <c r="C550" s="14"/>
      <c r="D550" s="14"/>
      <c r="E550" s="14"/>
      <c r="F550" s="15"/>
      <c r="G550" s="14"/>
      <c r="H550" s="19" t="str">
        <f aca="false">IF(F550="","",IF(G550="Y",F550*Settings!$B$16,0))</f>
        <v/>
      </c>
      <c r="I550" s="19" t="str">
        <f aca="false">IF(F550="","",F550+H550)</f>
        <v/>
      </c>
      <c r="J550" s="18" t="str">
        <f aca="false">IF(B550="","",B550+Settings!$B$17)</f>
        <v/>
      </c>
      <c r="K550" s="13"/>
      <c r="L550" s="15"/>
      <c r="M550" s="17" t="str">
        <f aca="true">IF(F550="","",IF(AND(L550&lt;&gt;"",L550&gt;=I550),"Paid",IF(AND(L550&lt;&gt;"",L550&gt;0),"Part paid",IF(TODAY()&gt;J550,"Overdue","Due"))))</f>
        <v/>
      </c>
      <c r="N550" s="19" t="str">
        <f aca="true">IF(M550="Overdue",TODAY()-J550,"")</f>
        <v/>
      </c>
      <c r="O550" s="14"/>
    </row>
    <row r="551" customFormat="false" ht="15" hidden="false" customHeight="false" outlineLevel="0" collapsed="false">
      <c r="A551" s="14"/>
      <c r="B551" s="13"/>
      <c r="C551" s="14"/>
      <c r="D551" s="14"/>
      <c r="E551" s="14"/>
      <c r="F551" s="15"/>
      <c r="G551" s="14"/>
      <c r="H551" s="19" t="str">
        <f aca="false">IF(F551="","",IF(G551="Y",F551*Settings!$B$16,0))</f>
        <v/>
      </c>
      <c r="I551" s="19" t="str">
        <f aca="false">IF(F551="","",F551+H551)</f>
        <v/>
      </c>
      <c r="J551" s="18" t="str">
        <f aca="false">IF(B551="","",B551+Settings!$B$17)</f>
        <v/>
      </c>
      <c r="K551" s="13"/>
      <c r="L551" s="15"/>
      <c r="M551" s="17" t="str">
        <f aca="true">IF(F551="","",IF(AND(L551&lt;&gt;"",L551&gt;=I551),"Paid",IF(AND(L551&lt;&gt;"",L551&gt;0),"Part paid",IF(TODAY()&gt;J551,"Overdue","Due"))))</f>
        <v/>
      </c>
      <c r="N551" s="19" t="str">
        <f aca="true">IF(M551="Overdue",TODAY()-J551,"")</f>
        <v/>
      </c>
      <c r="O551" s="14"/>
    </row>
    <row r="552" customFormat="false" ht="15" hidden="false" customHeight="false" outlineLevel="0" collapsed="false">
      <c r="A552" s="14"/>
      <c r="B552" s="13"/>
      <c r="C552" s="14"/>
      <c r="D552" s="14"/>
      <c r="E552" s="14"/>
      <c r="F552" s="15"/>
      <c r="G552" s="14"/>
      <c r="H552" s="19" t="str">
        <f aca="false">IF(F552="","",IF(G552="Y",F552*Settings!$B$16,0))</f>
        <v/>
      </c>
      <c r="I552" s="19" t="str">
        <f aca="false">IF(F552="","",F552+H552)</f>
        <v/>
      </c>
      <c r="J552" s="18" t="str">
        <f aca="false">IF(B552="","",B552+Settings!$B$17)</f>
        <v/>
      </c>
      <c r="K552" s="13"/>
      <c r="L552" s="15"/>
      <c r="M552" s="17" t="str">
        <f aca="true">IF(F552="","",IF(AND(L552&lt;&gt;"",L552&gt;=I552),"Paid",IF(AND(L552&lt;&gt;"",L552&gt;0),"Part paid",IF(TODAY()&gt;J552,"Overdue","Due"))))</f>
        <v/>
      </c>
      <c r="N552" s="19" t="str">
        <f aca="true">IF(M552="Overdue",TODAY()-J552,"")</f>
        <v/>
      </c>
      <c r="O552" s="14"/>
    </row>
    <row r="553" customFormat="false" ht="15" hidden="false" customHeight="false" outlineLevel="0" collapsed="false">
      <c r="A553" s="14"/>
      <c r="B553" s="13"/>
      <c r="C553" s="14"/>
      <c r="D553" s="14"/>
      <c r="E553" s="14"/>
      <c r="F553" s="15"/>
      <c r="G553" s="14"/>
      <c r="H553" s="19" t="str">
        <f aca="false">IF(F553="","",IF(G553="Y",F553*Settings!$B$16,0))</f>
        <v/>
      </c>
      <c r="I553" s="19" t="str">
        <f aca="false">IF(F553="","",F553+H553)</f>
        <v/>
      </c>
      <c r="J553" s="18" t="str">
        <f aca="false">IF(B553="","",B553+Settings!$B$17)</f>
        <v/>
      </c>
      <c r="K553" s="13"/>
      <c r="L553" s="15"/>
      <c r="M553" s="17" t="str">
        <f aca="true">IF(F553="","",IF(AND(L553&lt;&gt;"",L553&gt;=I553),"Paid",IF(AND(L553&lt;&gt;"",L553&gt;0),"Part paid",IF(TODAY()&gt;J553,"Overdue","Due"))))</f>
        <v/>
      </c>
      <c r="N553" s="19" t="str">
        <f aca="true">IF(M553="Overdue",TODAY()-J553,"")</f>
        <v/>
      </c>
      <c r="O553" s="14"/>
    </row>
    <row r="554" customFormat="false" ht="15" hidden="false" customHeight="false" outlineLevel="0" collapsed="false">
      <c r="A554" s="14"/>
      <c r="B554" s="13"/>
      <c r="C554" s="14"/>
      <c r="D554" s="14"/>
      <c r="E554" s="14"/>
      <c r="F554" s="15"/>
      <c r="G554" s="14"/>
      <c r="H554" s="19" t="str">
        <f aca="false">IF(F554="","",IF(G554="Y",F554*Settings!$B$16,0))</f>
        <v/>
      </c>
      <c r="I554" s="19" t="str">
        <f aca="false">IF(F554="","",F554+H554)</f>
        <v/>
      </c>
      <c r="J554" s="18" t="str">
        <f aca="false">IF(B554="","",B554+Settings!$B$17)</f>
        <v/>
      </c>
      <c r="K554" s="13"/>
      <c r="L554" s="15"/>
      <c r="M554" s="17" t="str">
        <f aca="true">IF(F554="","",IF(AND(L554&lt;&gt;"",L554&gt;=I554),"Paid",IF(AND(L554&lt;&gt;"",L554&gt;0),"Part paid",IF(TODAY()&gt;J554,"Overdue","Due"))))</f>
        <v/>
      </c>
      <c r="N554" s="19" t="str">
        <f aca="true">IF(M554="Overdue",TODAY()-J554,"")</f>
        <v/>
      </c>
      <c r="O554" s="14"/>
    </row>
    <row r="555" customFormat="false" ht="15" hidden="false" customHeight="false" outlineLevel="0" collapsed="false">
      <c r="A555" s="14"/>
      <c r="B555" s="13"/>
      <c r="C555" s="14"/>
      <c r="D555" s="14"/>
      <c r="E555" s="14"/>
      <c r="F555" s="15"/>
      <c r="G555" s="14"/>
      <c r="H555" s="19" t="str">
        <f aca="false">IF(F555="","",IF(G555="Y",F555*Settings!$B$16,0))</f>
        <v/>
      </c>
      <c r="I555" s="19" t="str">
        <f aca="false">IF(F555="","",F555+H555)</f>
        <v/>
      </c>
      <c r="J555" s="18" t="str">
        <f aca="false">IF(B555="","",B555+Settings!$B$17)</f>
        <v/>
      </c>
      <c r="K555" s="13"/>
      <c r="L555" s="15"/>
      <c r="M555" s="17" t="str">
        <f aca="true">IF(F555="","",IF(AND(L555&lt;&gt;"",L555&gt;=I555),"Paid",IF(AND(L555&lt;&gt;"",L555&gt;0),"Part paid",IF(TODAY()&gt;J555,"Overdue","Due"))))</f>
        <v/>
      </c>
      <c r="N555" s="19" t="str">
        <f aca="true">IF(M555="Overdue",TODAY()-J555,"")</f>
        <v/>
      </c>
      <c r="O555" s="14"/>
    </row>
    <row r="556" customFormat="false" ht="15" hidden="false" customHeight="false" outlineLevel="0" collapsed="false">
      <c r="A556" s="14"/>
      <c r="B556" s="13"/>
      <c r="C556" s="14"/>
      <c r="D556" s="14"/>
      <c r="E556" s="14"/>
      <c r="F556" s="15"/>
      <c r="G556" s="14"/>
      <c r="H556" s="19" t="str">
        <f aca="false">IF(F556="","",IF(G556="Y",F556*Settings!$B$16,0))</f>
        <v/>
      </c>
      <c r="I556" s="19" t="str">
        <f aca="false">IF(F556="","",F556+H556)</f>
        <v/>
      </c>
      <c r="J556" s="18" t="str">
        <f aca="false">IF(B556="","",B556+Settings!$B$17)</f>
        <v/>
      </c>
      <c r="K556" s="13"/>
      <c r="L556" s="15"/>
      <c r="M556" s="17" t="str">
        <f aca="true">IF(F556="","",IF(AND(L556&lt;&gt;"",L556&gt;=I556),"Paid",IF(AND(L556&lt;&gt;"",L556&gt;0),"Part paid",IF(TODAY()&gt;J556,"Overdue","Due"))))</f>
        <v/>
      </c>
      <c r="N556" s="19" t="str">
        <f aca="true">IF(M556="Overdue",TODAY()-J556,"")</f>
        <v/>
      </c>
      <c r="O556" s="14"/>
    </row>
    <row r="557" customFormat="false" ht="15" hidden="false" customHeight="false" outlineLevel="0" collapsed="false">
      <c r="A557" s="14"/>
      <c r="B557" s="13"/>
      <c r="C557" s="14"/>
      <c r="D557" s="14"/>
      <c r="E557" s="14"/>
      <c r="F557" s="15"/>
      <c r="G557" s="14"/>
      <c r="H557" s="19" t="str">
        <f aca="false">IF(F557="","",IF(G557="Y",F557*Settings!$B$16,0))</f>
        <v/>
      </c>
      <c r="I557" s="19" t="str">
        <f aca="false">IF(F557="","",F557+H557)</f>
        <v/>
      </c>
      <c r="J557" s="18" t="str">
        <f aca="false">IF(B557="","",B557+Settings!$B$17)</f>
        <v/>
      </c>
      <c r="K557" s="13"/>
      <c r="L557" s="15"/>
      <c r="M557" s="17" t="str">
        <f aca="true">IF(F557="","",IF(AND(L557&lt;&gt;"",L557&gt;=I557),"Paid",IF(AND(L557&lt;&gt;"",L557&gt;0),"Part paid",IF(TODAY()&gt;J557,"Overdue","Due"))))</f>
        <v/>
      </c>
      <c r="N557" s="19" t="str">
        <f aca="true">IF(M557="Overdue",TODAY()-J557,"")</f>
        <v/>
      </c>
      <c r="O557" s="14"/>
    </row>
    <row r="558" customFormat="false" ht="15" hidden="false" customHeight="false" outlineLevel="0" collapsed="false">
      <c r="A558" s="14"/>
      <c r="B558" s="13"/>
      <c r="C558" s="14"/>
      <c r="D558" s="14"/>
      <c r="E558" s="14"/>
      <c r="F558" s="15"/>
      <c r="G558" s="14"/>
      <c r="H558" s="19" t="str">
        <f aca="false">IF(F558="","",IF(G558="Y",F558*Settings!$B$16,0))</f>
        <v/>
      </c>
      <c r="I558" s="19" t="str">
        <f aca="false">IF(F558="","",F558+H558)</f>
        <v/>
      </c>
      <c r="J558" s="18" t="str">
        <f aca="false">IF(B558="","",B558+Settings!$B$17)</f>
        <v/>
      </c>
      <c r="K558" s="13"/>
      <c r="L558" s="15"/>
      <c r="M558" s="17" t="str">
        <f aca="true">IF(F558="","",IF(AND(L558&lt;&gt;"",L558&gt;=I558),"Paid",IF(AND(L558&lt;&gt;"",L558&gt;0),"Part paid",IF(TODAY()&gt;J558,"Overdue","Due"))))</f>
        <v/>
      </c>
      <c r="N558" s="19" t="str">
        <f aca="true">IF(M558="Overdue",TODAY()-J558,"")</f>
        <v/>
      </c>
      <c r="O558" s="14"/>
    </row>
    <row r="559" customFormat="false" ht="15" hidden="false" customHeight="false" outlineLevel="0" collapsed="false">
      <c r="A559" s="14"/>
      <c r="B559" s="13"/>
      <c r="C559" s="14"/>
      <c r="D559" s="14"/>
      <c r="E559" s="14"/>
      <c r="F559" s="15"/>
      <c r="G559" s="14"/>
      <c r="H559" s="19" t="str">
        <f aca="false">IF(F559="","",IF(G559="Y",F559*Settings!$B$16,0))</f>
        <v/>
      </c>
      <c r="I559" s="19" t="str">
        <f aca="false">IF(F559="","",F559+H559)</f>
        <v/>
      </c>
      <c r="J559" s="18" t="str">
        <f aca="false">IF(B559="","",B559+Settings!$B$17)</f>
        <v/>
      </c>
      <c r="K559" s="13"/>
      <c r="L559" s="15"/>
      <c r="M559" s="17" t="str">
        <f aca="true">IF(F559="","",IF(AND(L559&lt;&gt;"",L559&gt;=I559),"Paid",IF(AND(L559&lt;&gt;"",L559&gt;0),"Part paid",IF(TODAY()&gt;J559,"Overdue","Due"))))</f>
        <v/>
      </c>
      <c r="N559" s="19" t="str">
        <f aca="true">IF(M559="Overdue",TODAY()-J559,"")</f>
        <v/>
      </c>
      <c r="O559" s="14"/>
    </row>
    <row r="560" customFormat="false" ht="15" hidden="false" customHeight="false" outlineLevel="0" collapsed="false">
      <c r="A560" s="14"/>
      <c r="B560" s="13"/>
      <c r="C560" s="14"/>
      <c r="D560" s="14"/>
      <c r="E560" s="14"/>
      <c r="F560" s="15"/>
      <c r="G560" s="14"/>
      <c r="H560" s="19" t="str">
        <f aca="false">IF(F560="","",IF(G560="Y",F560*Settings!$B$16,0))</f>
        <v/>
      </c>
      <c r="I560" s="19" t="str">
        <f aca="false">IF(F560="","",F560+H560)</f>
        <v/>
      </c>
      <c r="J560" s="18" t="str">
        <f aca="false">IF(B560="","",B560+Settings!$B$17)</f>
        <v/>
      </c>
      <c r="K560" s="13"/>
      <c r="L560" s="15"/>
      <c r="M560" s="17" t="str">
        <f aca="true">IF(F560="","",IF(AND(L560&lt;&gt;"",L560&gt;=I560),"Paid",IF(AND(L560&lt;&gt;"",L560&gt;0),"Part paid",IF(TODAY()&gt;J560,"Overdue","Due"))))</f>
        <v/>
      </c>
      <c r="N560" s="19" t="str">
        <f aca="true">IF(M560="Overdue",TODAY()-J560,"")</f>
        <v/>
      </c>
      <c r="O560" s="14"/>
    </row>
    <row r="561" customFormat="false" ht="15" hidden="false" customHeight="false" outlineLevel="0" collapsed="false">
      <c r="A561" s="14"/>
      <c r="B561" s="13"/>
      <c r="C561" s="14"/>
      <c r="D561" s="14"/>
      <c r="E561" s="14"/>
      <c r="F561" s="15"/>
      <c r="G561" s="14"/>
      <c r="H561" s="19" t="str">
        <f aca="false">IF(F561="","",IF(G561="Y",F561*Settings!$B$16,0))</f>
        <v/>
      </c>
      <c r="I561" s="19" t="str">
        <f aca="false">IF(F561="","",F561+H561)</f>
        <v/>
      </c>
      <c r="J561" s="18" t="str">
        <f aca="false">IF(B561="","",B561+Settings!$B$17)</f>
        <v/>
      </c>
      <c r="K561" s="13"/>
      <c r="L561" s="15"/>
      <c r="M561" s="17" t="str">
        <f aca="true">IF(F561="","",IF(AND(L561&lt;&gt;"",L561&gt;=I561),"Paid",IF(AND(L561&lt;&gt;"",L561&gt;0),"Part paid",IF(TODAY()&gt;J561,"Overdue","Due"))))</f>
        <v/>
      </c>
      <c r="N561" s="19" t="str">
        <f aca="true">IF(M561="Overdue",TODAY()-J561,"")</f>
        <v/>
      </c>
      <c r="O561" s="14"/>
    </row>
    <row r="562" customFormat="false" ht="15" hidden="false" customHeight="false" outlineLevel="0" collapsed="false">
      <c r="A562" s="14"/>
      <c r="B562" s="13"/>
      <c r="C562" s="14"/>
      <c r="D562" s="14"/>
      <c r="E562" s="14"/>
      <c r="F562" s="15"/>
      <c r="G562" s="14"/>
      <c r="H562" s="19" t="str">
        <f aca="false">IF(F562="","",IF(G562="Y",F562*Settings!$B$16,0))</f>
        <v/>
      </c>
      <c r="I562" s="19" t="str">
        <f aca="false">IF(F562="","",F562+H562)</f>
        <v/>
      </c>
      <c r="J562" s="18" t="str">
        <f aca="false">IF(B562="","",B562+Settings!$B$17)</f>
        <v/>
      </c>
      <c r="K562" s="13"/>
      <c r="L562" s="15"/>
      <c r="M562" s="17" t="str">
        <f aca="true">IF(F562="","",IF(AND(L562&lt;&gt;"",L562&gt;=I562),"Paid",IF(AND(L562&lt;&gt;"",L562&gt;0),"Part paid",IF(TODAY()&gt;J562,"Overdue","Due"))))</f>
        <v/>
      </c>
      <c r="N562" s="19" t="str">
        <f aca="true">IF(M562="Overdue",TODAY()-J562,"")</f>
        <v/>
      </c>
      <c r="O562" s="14"/>
    </row>
    <row r="563" customFormat="false" ht="15" hidden="false" customHeight="false" outlineLevel="0" collapsed="false">
      <c r="A563" s="14"/>
      <c r="B563" s="13"/>
      <c r="C563" s="14"/>
      <c r="D563" s="14"/>
      <c r="E563" s="14"/>
      <c r="F563" s="15"/>
      <c r="G563" s="14"/>
      <c r="H563" s="19" t="str">
        <f aca="false">IF(F563="","",IF(G563="Y",F563*Settings!$B$16,0))</f>
        <v/>
      </c>
      <c r="I563" s="19" t="str">
        <f aca="false">IF(F563="","",F563+H563)</f>
        <v/>
      </c>
      <c r="J563" s="18" t="str">
        <f aca="false">IF(B563="","",B563+Settings!$B$17)</f>
        <v/>
      </c>
      <c r="K563" s="13"/>
      <c r="L563" s="15"/>
      <c r="M563" s="17" t="str">
        <f aca="true">IF(F563="","",IF(AND(L563&lt;&gt;"",L563&gt;=I563),"Paid",IF(AND(L563&lt;&gt;"",L563&gt;0),"Part paid",IF(TODAY()&gt;J563,"Overdue","Due"))))</f>
        <v/>
      </c>
      <c r="N563" s="19" t="str">
        <f aca="true">IF(M563="Overdue",TODAY()-J563,"")</f>
        <v/>
      </c>
      <c r="O563" s="14"/>
    </row>
    <row r="564" customFormat="false" ht="15" hidden="false" customHeight="false" outlineLevel="0" collapsed="false">
      <c r="A564" s="14"/>
      <c r="B564" s="13"/>
      <c r="C564" s="14"/>
      <c r="D564" s="14"/>
      <c r="E564" s="14"/>
      <c r="F564" s="15"/>
      <c r="G564" s="14"/>
      <c r="H564" s="19" t="str">
        <f aca="false">IF(F564="","",IF(G564="Y",F564*Settings!$B$16,0))</f>
        <v/>
      </c>
      <c r="I564" s="19" t="str">
        <f aca="false">IF(F564="","",F564+H564)</f>
        <v/>
      </c>
      <c r="J564" s="18" t="str">
        <f aca="false">IF(B564="","",B564+Settings!$B$17)</f>
        <v/>
      </c>
      <c r="K564" s="13"/>
      <c r="L564" s="15"/>
      <c r="M564" s="17" t="str">
        <f aca="true">IF(F564="","",IF(AND(L564&lt;&gt;"",L564&gt;=I564),"Paid",IF(AND(L564&lt;&gt;"",L564&gt;0),"Part paid",IF(TODAY()&gt;J564,"Overdue","Due"))))</f>
        <v/>
      </c>
      <c r="N564" s="19" t="str">
        <f aca="true">IF(M564="Overdue",TODAY()-J564,"")</f>
        <v/>
      </c>
      <c r="O564" s="14"/>
    </row>
    <row r="565" customFormat="false" ht="15" hidden="false" customHeight="false" outlineLevel="0" collapsed="false">
      <c r="A565" s="14"/>
      <c r="B565" s="13"/>
      <c r="C565" s="14"/>
      <c r="D565" s="14"/>
      <c r="E565" s="14"/>
      <c r="F565" s="15"/>
      <c r="G565" s="14"/>
      <c r="H565" s="19" t="str">
        <f aca="false">IF(F565="","",IF(G565="Y",F565*Settings!$B$16,0))</f>
        <v/>
      </c>
      <c r="I565" s="19" t="str">
        <f aca="false">IF(F565="","",F565+H565)</f>
        <v/>
      </c>
      <c r="J565" s="18" t="str">
        <f aca="false">IF(B565="","",B565+Settings!$B$17)</f>
        <v/>
      </c>
      <c r="K565" s="13"/>
      <c r="L565" s="15"/>
      <c r="M565" s="17" t="str">
        <f aca="true">IF(F565="","",IF(AND(L565&lt;&gt;"",L565&gt;=I565),"Paid",IF(AND(L565&lt;&gt;"",L565&gt;0),"Part paid",IF(TODAY()&gt;J565,"Overdue","Due"))))</f>
        <v/>
      </c>
      <c r="N565" s="19" t="str">
        <f aca="true">IF(M565="Overdue",TODAY()-J565,"")</f>
        <v/>
      </c>
      <c r="O565" s="14"/>
    </row>
    <row r="566" customFormat="false" ht="15" hidden="false" customHeight="false" outlineLevel="0" collapsed="false">
      <c r="A566" s="14"/>
      <c r="B566" s="13"/>
      <c r="C566" s="14"/>
      <c r="D566" s="14"/>
      <c r="E566" s="14"/>
      <c r="F566" s="15"/>
      <c r="G566" s="14"/>
      <c r="H566" s="19" t="str">
        <f aca="false">IF(F566="","",IF(G566="Y",F566*Settings!$B$16,0))</f>
        <v/>
      </c>
      <c r="I566" s="19" t="str">
        <f aca="false">IF(F566="","",F566+H566)</f>
        <v/>
      </c>
      <c r="J566" s="18" t="str">
        <f aca="false">IF(B566="","",B566+Settings!$B$17)</f>
        <v/>
      </c>
      <c r="K566" s="13"/>
      <c r="L566" s="15"/>
      <c r="M566" s="17" t="str">
        <f aca="true">IF(F566="","",IF(AND(L566&lt;&gt;"",L566&gt;=I566),"Paid",IF(AND(L566&lt;&gt;"",L566&gt;0),"Part paid",IF(TODAY()&gt;J566,"Overdue","Due"))))</f>
        <v/>
      </c>
      <c r="N566" s="19" t="str">
        <f aca="true">IF(M566="Overdue",TODAY()-J566,"")</f>
        <v/>
      </c>
      <c r="O566" s="14"/>
    </row>
    <row r="567" customFormat="false" ht="15" hidden="false" customHeight="false" outlineLevel="0" collapsed="false">
      <c r="A567" s="14"/>
      <c r="B567" s="13"/>
      <c r="C567" s="14"/>
      <c r="D567" s="14"/>
      <c r="E567" s="14"/>
      <c r="F567" s="15"/>
      <c r="G567" s="14"/>
      <c r="H567" s="19" t="str">
        <f aca="false">IF(F567="","",IF(G567="Y",F567*Settings!$B$16,0))</f>
        <v/>
      </c>
      <c r="I567" s="19" t="str">
        <f aca="false">IF(F567="","",F567+H567)</f>
        <v/>
      </c>
      <c r="J567" s="18" t="str">
        <f aca="false">IF(B567="","",B567+Settings!$B$17)</f>
        <v/>
      </c>
      <c r="K567" s="13"/>
      <c r="L567" s="15"/>
      <c r="M567" s="17" t="str">
        <f aca="true">IF(F567="","",IF(AND(L567&lt;&gt;"",L567&gt;=I567),"Paid",IF(AND(L567&lt;&gt;"",L567&gt;0),"Part paid",IF(TODAY()&gt;J567,"Overdue","Due"))))</f>
        <v/>
      </c>
      <c r="N567" s="19" t="str">
        <f aca="true">IF(M567="Overdue",TODAY()-J567,"")</f>
        <v/>
      </c>
      <c r="O567" s="14"/>
    </row>
    <row r="568" customFormat="false" ht="15" hidden="false" customHeight="false" outlineLevel="0" collapsed="false">
      <c r="A568" s="14"/>
      <c r="B568" s="13"/>
      <c r="C568" s="14"/>
      <c r="D568" s="14"/>
      <c r="E568" s="14"/>
      <c r="F568" s="15"/>
      <c r="G568" s="14"/>
      <c r="H568" s="19" t="str">
        <f aca="false">IF(F568="","",IF(G568="Y",F568*Settings!$B$16,0))</f>
        <v/>
      </c>
      <c r="I568" s="19" t="str">
        <f aca="false">IF(F568="","",F568+H568)</f>
        <v/>
      </c>
      <c r="J568" s="18" t="str">
        <f aca="false">IF(B568="","",B568+Settings!$B$17)</f>
        <v/>
      </c>
      <c r="K568" s="13"/>
      <c r="L568" s="15"/>
      <c r="M568" s="17" t="str">
        <f aca="true">IF(F568="","",IF(AND(L568&lt;&gt;"",L568&gt;=I568),"Paid",IF(AND(L568&lt;&gt;"",L568&gt;0),"Part paid",IF(TODAY()&gt;J568,"Overdue","Due"))))</f>
        <v/>
      </c>
      <c r="N568" s="19" t="str">
        <f aca="true">IF(M568="Overdue",TODAY()-J568,"")</f>
        <v/>
      </c>
      <c r="O568" s="14"/>
    </row>
    <row r="569" customFormat="false" ht="15" hidden="false" customHeight="false" outlineLevel="0" collapsed="false">
      <c r="A569" s="14"/>
      <c r="B569" s="13"/>
      <c r="C569" s="14"/>
      <c r="D569" s="14"/>
      <c r="E569" s="14"/>
      <c r="F569" s="15"/>
      <c r="G569" s="14"/>
      <c r="H569" s="19" t="str">
        <f aca="false">IF(F569="","",IF(G569="Y",F569*Settings!$B$16,0))</f>
        <v/>
      </c>
      <c r="I569" s="19" t="str">
        <f aca="false">IF(F569="","",F569+H569)</f>
        <v/>
      </c>
      <c r="J569" s="18" t="str">
        <f aca="false">IF(B569="","",B569+Settings!$B$17)</f>
        <v/>
      </c>
      <c r="K569" s="13"/>
      <c r="L569" s="15"/>
      <c r="M569" s="17" t="str">
        <f aca="true">IF(F569="","",IF(AND(L569&lt;&gt;"",L569&gt;=I569),"Paid",IF(AND(L569&lt;&gt;"",L569&gt;0),"Part paid",IF(TODAY()&gt;J569,"Overdue","Due"))))</f>
        <v/>
      </c>
      <c r="N569" s="19" t="str">
        <f aca="true">IF(M569="Overdue",TODAY()-J569,"")</f>
        <v/>
      </c>
      <c r="O569" s="14"/>
    </row>
    <row r="570" customFormat="false" ht="15" hidden="false" customHeight="false" outlineLevel="0" collapsed="false">
      <c r="A570" s="14"/>
      <c r="B570" s="13"/>
      <c r="C570" s="14"/>
      <c r="D570" s="14"/>
      <c r="E570" s="14"/>
      <c r="F570" s="15"/>
      <c r="G570" s="14"/>
      <c r="H570" s="19" t="str">
        <f aca="false">IF(F570="","",IF(G570="Y",F570*Settings!$B$16,0))</f>
        <v/>
      </c>
      <c r="I570" s="19" t="str">
        <f aca="false">IF(F570="","",F570+H570)</f>
        <v/>
      </c>
      <c r="J570" s="18" t="str">
        <f aca="false">IF(B570="","",B570+Settings!$B$17)</f>
        <v/>
      </c>
      <c r="K570" s="13"/>
      <c r="L570" s="15"/>
      <c r="M570" s="17" t="str">
        <f aca="true">IF(F570="","",IF(AND(L570&lt;&gt;"",L570&gt;=I570),"Paid",IF(AND(L570&lt;&gt;"",L570&gt;0),"Part paid",IF(TODAY()&gt;J570,"Overdue","Due"))))</f>
        <v/>
      </c>
      <c r="N570" s="19" t="str">
        <f aca="true">IF(M570="Overdue",TODAY()-J570,"")</f>
        <v/>
      </c>
      <c r="O570" s="14"/>
    </row>
    <row r="571" customFormat="false" ht="15" hidden="false" customHeight="false" outlineLevel="0" collapsed="false">
      <c r="A571" s="14"/>
      <c r="B571" s="13"/>
      <c r="C571" s="14"/>
      <c r="D571" s="14"/>
      <c r="E571" s="14"/>
      <c r="F571" s="15"/>
      <c r="G571" s="14"/>
      <c r="H571" s="19" t="str">
        <f aca="false">IF(F571="","",IF(G571="Y",F571*Settings!$B$16,0))</f>
        <v/>
      </c>
      <c r="I571" s="19" t="str">
        <f aca="false">IF(F571="","",F571+H571)</f>
        <v/>
      </c>
      <c r="J571" s="18" t="str">
        <f aca="false">IF(B571="","",B571+Settings!$B$17)</f>
        <v/>
      </c>
      <c r="K571" s="13"/>
      <c r="L571" s="15"/>
      <c r="M571" s="17" t="str">
        <f aca="true">IF(F571="","",IF(AND(L571&lt;&gt;"",L571&gt;=I571),"Paid",IF(AND(L571&lt;&gt;"",L571&gt;0),"Part paid",IF(TODAY()&gt;J571,"Overdue","Due"))))</f>
        <v/>
      </c>
      <c r="N571" s="19" t="str">
        <f aca="true">IF(M571="Overdue",TODAY()-J571,"")</f>
        <v/>
      </c>
      <c r="O571" s="14"/>
    </row>
    <row r="572" customFormat="false" ht="15" hidden="false" customHeight="false" outlineLevel="0" collapsed="false">
      <c r="A572" s="14"/>
      <c r="B572" s="13"/>
      <c r="C572" s="14"/>
      <c r="D572" s="14"/>
      <c r="E572" s="14"/>
      <c r="F572" s="15"/>
      <c r="G572" s="14"/>
      <c r="H572" s="19" t="str">
        <f aca="false">IF(F572="","",IF(G572="Y",F572*Settings!$B$16,0))</f>
        <v/>
      </c>
      <c r="I572" s="19" t="str">
        <f aca="false">IF(F572="","",F572+H572)</f>
        <v/>
      </c>
      <c r="J572" s="18" t="str">
        <f aca="false">IF(B572="","",B572+Settings!$B$17)</f>
        <v/>
      </c>
      <c r="K572" s="13"/>
      <c r="L572" s="15"/>
      <c r="M572" s="17" t="str">
        <f aca="true">IF(F572="","",IF(AND(L572&lt;&gt;"",L572&gt;=I572),"Paid",IF(AND(L572&lt;&gt;"",L572&gt;0),"Part paid",IF(TODAY()&gt;J572,"Overdue","Due"))))</f>
        <v/>
      </c>
      <c r="N572" s="19" t="str">
        <f aca="true">IF(M572="Overdue",TODAY()-J572,"")</f>
        <v/>
      </c>
      <c r="O572" s="14"/>
    </row>
    <row r="573" customFormat="false" ht="15" hidden="false" customHeight="false" outlineLevel="0" collapsed="false">
      <c r="A573" s="14"/>
      <c r="B573" s="13"/>
      <c r="C573" s="14"/>
      <c r="D573" s="14"/>
      <c r="E573" s="14"/>
      <c r="F573" s="15"/>
      <c r="G573" s="14"/>
      <c r="H573" s="19" t="str">
        <f aca="false">IF(F573="","",IF(G573="Y",F573*Settings!$B$16,0))</f>
        <v/>
      </c>
      <c r="I573" s="19" t="str">
        <f aca="false">IF(F573="","",F573+H573)</f>
        <v/>
      </c>
      <c r="J573" s="18" t="str">
        <f aca="false">IF(B573="","",B573+Settings!$B$17)</f>
        <v/>
      </c>
      <c r="K573" s="13"/>
      <c r="L573" s="15"/>
      <c r="M573" s="17" t="str">
        <f aca="true">IF(F573="","",IF(AND(L573&lt;&gt;"",L573&gt;=I573),"Paid",IF(AND(L573&lt;&gt;"",L573&gt;0),"Part paid",IF(TODAY()&gt;J573,"Overdue","Due"))))</f>
        <v/>
      </c>
      <c r="N573" s="19" t="str">
        <f aca="true">IF(M573="Overdue",TODAY()-J573,"")</f>
        <v/>
      </c>
      <c r="O573" s="14"/>
    </row>
    <row r="574" customFormat="false" ht="15" hidden="false" customHeight="false" outlineLevel="0" collapsed="false">
      <c r="A574" s="14"/>
      <c r="B574" s="13"/>
      <c r="C574" s="14"/>
      <c r="D574" s="14"/>
      <c r="E574" s="14"/>
      <c r="F574" s="15"/>
      <c r="G574" s="14"/>
      <c r="H574" s="19" t="str">
        <f aca="false">IF(F574="","",IF(G574="Y",F574*Settings!$B$16,0))</f>
        <v/>
      </c>
      <c r="I574" s="19" t="str">
        <f aca="false">IF(F574="","",F574+H574)</f>
        <v/>
      </c>
      <c r="J574" s="18" t="str">
        <f aca="false">IF(B574="","",B574+Settings!$B$17)</f>
        <v/>
      </c>
      <c r="K574" s="13"/>
      <c r="L574" s="15"/>
      <c r="M574" s="17" t="str">
        <f aca="true">IF(F574="","",IF(AND(L574&lt;&gt;"",L574&gt;=I574),"Paid",IF(AND(L574&lt;&gt;"",L574&gt;0),"Part paid",IF(TODAY()&gt;J574,"Overdue","Due"))))</f>
        <v/>
      </c>
      <c r="N574" s="19" t="str">
        <f aca="true">IF(M574="Overdue",TODAY()-J574,"")</f>
        <v/>
      </c>
      <c r="O574" s="14"/>
    </row>
    <row r="575" customFormat="false" ht="15" hidden="false" customHeight="false" outlineLevel="0" collapsed="false">
      <c r="A575" s="14"/>
      <c r="B575" s="13"/>
      <c r="C575" s="14"/>
      <c r="D575" s="14"/>
      <c r="E575" s="14"/>
      <c r="F575" s="15"/>
      <c r="G575" s="14"/>
      <c r="H575" s="19" t="str">
        <f aca="false">IF(F575="","",IF(G575="Y",F575*Settings!$B$16,0))</f>
        <v/>
      </c>
      <c r="I575" s="19" t="str">
        <f aca="false">IF(F575="","",F575+H575)</f>
        <v/>
      </c>
      <c r="J575" s="18" t="str">
        <f aca="false">IF(B575="","",B575+Settings!$B$17)</f>
        <v/>
      </c>
      <c r="K575" s="13"/>
      <c r="L575" s="15"/>
      <c r="M575" s="17" t="str">
        <f aca="true">IF(F575="","",IF(AND(L575&lt;&gt;"",L575&gt;=I575),"Paid",IF(AND(L575&lt;&gt;"",L575&gt;0),"Part paid",IF(TODAY()&gt;J575,"Overdue","Due"))))</f>
        <v/>
      </c>
      <c r="N575" s="19" t="str">
        <f aca="true">IF(M575="Overdue",TODAY()-J575,"")</f>
        <v/>
      </c>
      <c r="O575" s="14"/>
    </row>
    <row r="576" customFormat="false" ht="15" hidden="false" customHeight="false" outlineLevel="0" collapsed="false">
      <c r="A576" s="14"/>
      <c r="B576" s="13"/>
      <c r="C576" s="14"/>
      <c r="D576" s="14"/>
      <c r="E576" s="14"/>
      <c r="F576" s="15"/>
      <c r="G576" s="14"/>
      <c r="H576" s="19" t="str">
        <f aca="false">IF(F576="","",IF(G576="Y",F576*Settings!$B$16,0))</f>
        <v/>
      </c>
      <c r="I576" s="19" t="str">
        <f aca="false">IF(F576="","",F576+H576)</f>
        <v/>
      </c>
      <c r="J576" s="18" t="str">
        <f aca="false">IF(B576="","",B576+Settings!$B$17)</f>
        <v/>
      </c>
      <c r="K576" s="13"/>
      <c r="L576" s="15"/>
      <c r="M576" s="17" t="str">
        <f aca="true">IF(F576="","",IF(AND(L576&lt;&gt;"",L576&gt;=I576),"Paid",IF(AND(L576&lt;&gt;"",L576&gt;0),"Part paid",IF(TODAY()&gt;J576,"Overdue","Due"))))</f>
        <v/>
      </c>
      <c r="N576" s="19" t="str">
        <f aca="true">IF(M576="Overdue",TODAY()-J576,"")</f>
        <v/>
      </c>
      <c r="O576" s="14"/>
    </row>
    <row r="577" customFormat="false" ht="15" hidden="false" customHeight="false" outlineLevel="0" collapsed="false">
      <c r="A577" s="14"/>
      <c r="B577" s="13"/>
      <c r="C577" s="14"/>
      <c r="D577" s="14"/>
      <c r="E577" s="14"/>
      <c r="F577" s="15"/>
      <c r="G577" s="14"/>
      <c r="H577" s="19" t="str">
        <f aca="false">IF(F577="","",IF(G577="Y",F577*Settings!$B$16,0))</f>
        <v/>
      </c>
      <c r="I577" s="19" t="str">
        <f aca="false">IF(F577="","",F577+H577)</f>
        <v/>
      </c>
      <c r="J577" s="18" t="str">
        <f aca="false">IF(B577="","",B577+Settings!$B$17)</f>
        <v/>
      </c>
      <c r="K577" s="13"/>
      <c r="L577" s="15"/>
      <c r="M577" s="17" t="str">
        <f aca="true">IF(F577="","",IF(AND(L577&lt;&gt;"",L577&gt;=I577),"Paid",IF(AND(L577&lt;&gt;"",L577&gt;0),"Part paid",IF(TODAY()&gt;J577,"Overdue","Due"))))</f>
        <v/>
      </c>
      <c r="N577" s="19" t="str">
        <f aca="true">IF(M577="Overdue",TODAY()-J577,"")</f>
        <v/>
      </c>
      <c r="O577" s="14"/>
    </row>
    <row r="578" customFormat="false" ht="15" hidden="false" customHeight="false" outlineLevel="0" collapsed="false">
      <c r="A578" s="14"/>
      <c r="B578" s="13"/>
      <c r="C578" s="14"/>
      <c r="D578" s="14"/>
      <c r="E578" s="14"/>
      <c r="F578" s="15"/>
      <c r="G578" s="14"/>
      <c r="H578" s="19" t="str">
        <f aca="false">IF(F578="","",IF(G578="Y",F578*Settings!$B$16,0))</f>
        <v/>
      </c>
      <c r="I578" s="19" t="str">
        <f aca="false">IF(F578="","",F578+H578)</f>
        <v/>
      </c>
      <c r="J578" s="18" t="str">
        <f aca="false">IF(B578="","",B578+Settings!$B$17)</f>
        <v/>
      </c>
      <c r="K578" s="13"/>
      <c r="L578" s="15"/>
      <c r="M578" s="17" t="str">
        <f aca="true">IF(F578="","",IF(AND(L578&lt;&gt;"",L578&gt;=I578),"Paid",IF(AND(L578&lt;&gt;"",L578&gt;0),"Part paid",IF(TODAY()&gt;J578,"Overdue","Due"))))</f>
        <v/>
      </c>
      <c r="N578" s="19" t="str">
        <f aca="true">IF(M578="Overdue",TODAY()-J578,"")</f>
        <v/>
      </c>
      <c r="O578" s="14"/>
    </row>
    <row r="579" customFormat="false" ht="15" hidden="false" customHeight="false" outlineLevel="0" collapsed="false">
      <c r="A579" s="14"/>
      <c r="B579" s="13"/>
      <c r="C579" s="14"/>
      <c r="D579" s="14"/>
      <c r="E579" s="14"/>
      <c r="F579" s="15"/>
      <c r="G579" s="14"/>
      <c r="H579" s="19" t="str">
        <f aca="false">IF(F579="","",IF(G579="Y",F579*Settings!$B$16,0))</f>
        <v/>
      </c>
      <c r="I579" s="19" t="str">
        <f aca="false">IF(F579="","",F579+H579)</f>
        <v/>
      </c>
      <c r="J579" s="18" t="str">
        <f aca="false">IF(B579="","",B579+Settings!$B$17)</f>
        <v/>
      </c>
      <c r="K579" s="13"/>
      <c r="L579" s="15"/>
      <c r="M579" s="17" t="str">
        <f aca="true">IF(F579="","",IF(AND(L579&lt;&gt;"",L579&gt;=I579),"Paid",IF(AND(L579&lt;&gt;"",L579&gt;0),"Part paid",IF(TODAY()&gt;J579,"Overdue","Due"))))</f>
        <v/>
      </c>
      <c r="N579" s="19" t="str">
        <f aca="true">IF(M579="Overdue",TODAY()-J579,"")</f>
        <v/>
      </c>
      <c r="O579" s="14"/>
    </row>
    <row r="580" customFormat="false" ht="15" hidden="false" customHeight="false" outlineLevel="0" collapsed="false">
      <c r="A580" s="14"/>
      <c r="B580" s="13"/>
      <c r="C580" s="14"/>
      <c r="D580" s="14"/>
      <c r="E580" s="14"/>
      <c r="F580" s="15"/>
      <c r="G580" s="14"/>
      <c r="H580" s="19" t="str">
        <f aca="false">IF(F580="","",IF(G580="Y",F580*Settings!$B$16,0))</f>
        <v/>
      </c>
      <c r="I580" s="19" t="str">
        <f aca="false">IF(F580="","",F580+H580)</f>
        <v/>
      </c>
      <c r="J580" s="18" t="str">
        <f aca="false">IF(B580="","",B580+Settings!$B$17)</f>
        <v/>
      </c>
      <c r="K580" s="13"/>
      <c r="L580" s="15"/>
      <c r="M580" s="17" t="str">
        <f aca="true">IF(F580="","",IF(AND(L580&lt;&gt;"",L580&gt;=I580),"Paid",IF(AND(L580&lt;&gt;"",L580&gt;0),"Part paid",IF(TODAY()&gt;J580,"Overdue","Due"))))</f>
        <v/>
      </c>
      <c r="N580" s="19" t="str">
        <f aca="true">IF(M580="Overdue",TODAY()-J580,"")</f>
        <v/>
      </c>
      <c r="O580" s="14"/>
    </row>
    <row r="581" customFormat="false" ht="15" hidden="false" customHeight="false" outlineLevel="0" collapsed="false">
      <c r="A581" s="14"/>
      <c r="B581" s="13"/>
      <c r="C581" s="14"/>
      <c r="D581" s="14"/>
      <c r="E581" s="14"/>
      <c r="F581" s="15"/>
      <c r="G581" s="14"/>
      <c r="H581" s="19" t="str">
        <f aca="false">IF(F581="","",IF(G581="Y",F581*Settings!$B$16,0))</f>
        <v/>
      </c>
      <c r="I581" s="19" t="str">
        <f aca="false">IF(F581="","",F581+H581)</f>
        <v/>
      </c>
      <c r="J581" s="18" t="str">
        <f aca="false">IF(B581="","",B581+Settings!$B$17)</f>
        <v/>
      </c>
      <c r="K581" s="13"/>
      <c r="L581" s="15"/>
      <c r="M581" s="17" t="str">
        <f aca="true">IF(F581="","",IF(AND(L581&lt;&gt;"",L581&gt;=I581),"Paid",IF(AND(L581&lt;&gt;"",L581&gt;0),"Part paid",IF(TODAY()&gt;J581,"Overdue","Due"))))</f>
        <v/>
      </c>
      <c r="N581" s="19" t="str">
        <f aca="true">IF(M581="Overdue",TODAY()-J581,"")</f>
        <v/>
      </c>
      <c r="O581" s="14"/>
    </row>
    <row r="582" customFormat="false" ht="15" hidden="false" customHeight="false" outlineLevel="0" collapsed="false">
      <c r="A582" s="14"/>
      <c r="B582" s="13"/>
      <c r="C582" s="14"/>
      <c r="D582" s="14"/>
      <c r="E582" s="14"/>
      <c r="F582" s="15"/>
      <c r="G582" s="14"/>
      <c r="H582" s="19" t="str">
        <f aca="false">IF(F582="","",IF(G582="Y",F582*Settings!$B$16,0))</f>
        <v/>
      </c>
      <c r="I582" s="19" t="str">
        <f aca="false">IF(F582="","",F582+H582)</f>
        <v/>
      </c>
      <c r="J582" s="18" t="str">
        <f aca="false">IF(B582="","",B582+Settings!$B$17)</f>
        <v/>
      </c>
      <c r="K582" s="13"/>
      <c r="L582" s="15"/>
      <c r="M582" s="17" t="str">
        <f aca="true">IF(F582="","",IF(AND(L582&lt;&gt;"",L582&gt;=I582),"Paid",IF(AND(L582&lt;&gt;"",L582&gt;0),"Part paid",IF(TODAY()&gt;J582,"Overdue","Due"))))</f>
        <v/>
      </c>
      <c r="N582" s="19" t="str">
        <f aca="true">IF(M582="Overdue",TODAY()-J582,"")</f>
        <v/>
      </c>
      <c r="O582" s="14"/>
    </row>
    <row r="583" customFormat="false" ht="15" hidden="false" customHeight="false" outlineLevel="0" collapsed="false">
      <c r="A583" s="14"/>
      <c r="B583" s="13"/>
      <c r="C583" s="14"/>
      <c r="D583" s="14"/>
      <c r="E583" s="14"/>
      <c r="F583" s="15"/>
      <c r="G583" s="14"/>
      <c r="H583" s="19" t="str">
        <f aca="false">IF(F583="","",IF(G583="Y",F583*Settings!$B$16,0))</f>
        <v/>
      </c>
      <c r="I583" s="19" t="str">
        <f aca="false">IF(F583="","",F583+H583)</f>
        <v/>
      </c>
      <c r="J583" s="18" t="str">
        <f aca="false">IF(B583="","",B583+Settings!$B$17)</f>
        <v/>
      </c>
      <c r="K583" s="13"/>
      <c r="L583" s="15"/>
      <c r="M583" s="17" t="str">
        <f aca="true">IF(F583="","",IF(AND(L583&lt;&gt;"",L583&gt;=I583),"Paid",IF(AND(L583&lt;&gt;"",L583&gt;0),"Part paid",IF(TODAY()&gt;J583,"Overdue","Due"))))</f>
        <v/>
      </c>
      <c r="N583" s="19" t="str">
        <f aca="true">IF(M583="Overdue",TODAY()-J583,"")</f>
        <v/>
      </c>
      <c r="O583" s="14"/>
    </row>
    <row r="584" customFormat="false" ht="15" hidden="false" customHeight="false" outlineLevel="0" collapsed="false">
      <c r="A584" s="14"/>
      <c r="B584" s="13"/>
      <c r="C584" s="14"/>
      <c r="D584" s="14"/>
      <c r="E584" s="14"/>
      <c r="F584" s="15"/>
      <c r="G584" s="14"/>
      <c r="H584" s="19" t="str">
        <f aca="false">IF(F584="","",IF(G584="Y",F584*Settings!$B$16,0))</f>
        <v/>
      </c>
      <c r="I584" s="19" t="str">
        <f aca="false">IF(F584="","",F584+H584)</f>
        <v/>
      </c>
      <c r="J584" s="18" t="str">
        <f aca="false">IF(B584="","",B584+Settings!$B$17)</f>
        <v/>
      </c>
      <c r="K584" s="13"/>
      <c r="L584" s="15"/>
      <c r="M584" s="17" t="str">
        <f aca="true">IF(F584="","",IF(AND(L584&lt;&gt;"",L584&gt;=I584),"Paid",IF(AND(L584&lt;&gt;"",L584&gt;0),"Part paid",IF(TODAY()&gt;J584,"Overdue","Due"))))</f>
        <v/>
      </c>
      <c r="N584" s="19" t="str">
        <f aca="true">IF(M584="Overdue",TODAY()-J584,"")</f>
        <v/>
      </c>
      <c r="O584" s="14"/>
    </row>
    <row r="585" customFormat="false" ht="15" hidden="false" customHeight="false" outlineLevel="0" collapsed="false">
      <c r="A585" s="14"/>
      <c r="B585" s="13"/>
      <c r="C585" s="14"/>
      <c r="D585" s="14"/>
      <c r="E585" s="14"/>
      <c r="F585" s="15"/>
      <c r="G585" s="14"/>
      <c r="H585" s="19" t="str">
        <f aca="false">IF(F585="","",IF(G585="Y",F585*Settings!$B$16,0))</f>
        <v/>
      </c>
      <c r="I585" s="19" t="str">
        <f aca="false">IF(F585="","",F585+H585)</f>
        <v/>
      </c>
      <c r="J585" s="18" t="str">
        <f aca="false">IF(B585="","",B585+Settings!$B$17)</f>
        <v/>
      </c>
      <c r="K585" s="13"/>
      <c r="L585" s="15"/>
      <c r="M585" s="17" t="str">
        <f aca="true">IF(F585="","",IF(AND(L585&lt;&gt;"",L585&gt;=I585),"Paid",IF(AND(L585&lt;&gt;"",L585&gt;0),"Part paid",IF(TODAY()&gt;J585,"Overdue","Due"))))</f>
        <v/>
      </c>
      <c r="N585" s="19" t="str">
        <f aca="true">IF(M585="Overdue",TODAY()-J585,"")</f>
        <v/>
      </c>
      <c r="O585" s="14"/>
    </row>
    <row r="586" customFormat="false" ht="15" hidden="false" customHeight="false" outlineLevel="0" collapsed="false">
      <c r="A586" s="14"/>
      <c r="B586" s="13"/>
      <c r="C586" s="14"/>
      <c r="D586" s="14"/>
      <c r="E586" s="14"/>
      <c r="F586" s="15"/>
      <c r="G586" s="14"/>
      <c r="H586" s="19" t="str">
        <f aca="false">IF(F586="","",IF(G586="Y",F586*Settings!$B$16,0))</f>
        <v/>
      </c>
      <c r="I586" s="19" t="str">
        <f aca="false">IF(F586="","",F586+H586)</f>
        <v/>
      </c>
      <c r="J586" s="18" t="str">
        <f aca="false">IF(B586="","",B586+Settings!$B$17)</f>
        <v/>
      </c>
      <c r="K586" s="13"/>
      <c r="L586" s="15"/>
      <c r="M586" s="17" t="str">
        <f aca="true">IF(F586="","",IF(AND(L586&lt;&gt;"",L586&gt;=I586),"Paid",IF(AND(L586&lt;&gt;"",L586&gt;0),"Part paid",IF(TODAY()&gt;J586,"Overdue","Due"))))</f>
        <v/>
      </c>
      <c r="N586" s="19" t="str">
        <f aca="true">IF(M586="Overdue",TODAY()-J586,"")</f>
        <v/>
      </c>
      <c r="O586" s="14"/>
    </row>
    <row r="587" customFormat="false" ht="15" hidden="false" customHeight="false" outlineLevel="0" collapsed="false">
      <c r="A587" s="14"/>
      <c r="B587" s="13"/>
      <c r="C587" s="14"/>
      <c r="D587" s="14"/>
      <c r="E587" s="14"/>
      <c r="F587" s="15"/>
      <c r="G587" s="14"/>
      <c r="H587" s="19" t="str">
        <f aca="false">IF(F587="","",IF(G587="Y",F587*Settings!$B$16,0))</f>
        <v/>
      </c>
      <c r="I587" s="19" t="str">
        <f aca="false">IF(F587="","",F587+H587)</f>
        <v/>
      </c>
      <c r="J587" s="18" t="str">
        <f aca="false">IF(B587="","",B587+Settings!$B$17)</f>
        <v/>
      </c>
      <c r="K587" s="13"/>
      <c r="L587" s="15"/>
      <c r="M587" s="17" t="str">
        <f aca="true">IF(F587="","",IF(AND(L587&lt;&gt;"",L587&gt;=I587),"Paid",IF(AND(L587&lt;&gt;"",L587&gt;0),"Part paid",IF(TODAY()&gt;J587,"Overdue","Due"))))</f>
        <v/>
      </c>
      <c r="N587" s="19" t="str">
        <f aca="true">IF(M587="Overdue",TODAY()-J587,"")</f>
        <v/>
      </c>
      <c r="O587" s="14"/>
    </row>
    <row r="588" customFormat="false" ht="15" hidden="false" customHeight="false" outlineLevel="0" collapsed="false">
      <c r="A588" s="14"/>
      <c r="B588" s="13"/>
      <c r="C588" s="14"/>
      <c r="D588" s="14"/>
      <c r="E588" s="14"/>
      <c r="F588" s="15"/>
      <c r="G588" s="14"/>
      <c r="H588" s="19" t="str">
        <f aca="false">IF(F588="","",IF(G588="Y",F588*Settings!$B$16,0))</f>
        <v/>
      </c>
      <c r="I588" s="19" t="str">
        <f aca="false">IF(F588="","",F588+H588)</f>
        <v/>
      </c>
      <c r="J588" s="18" t="str">
        <f aca="false">IF(B588="","",B588+Settings!$B$17)</f>
        <v/>
      </c>
      <c r="K588" s="13"/>
      <c r="L588" s="15"/>
      <c r="M588" s="17" t="str">
        <f aca="true">IF(F588="","",IF(AND(L588&lt;&gt;"",L588&gt;=I588),"Paid",IF(AND(L588&lt;&gt;"",L588&gt;0),"Part paid",IF(TODAY()&gt;J588,"Overdue","Due"))))</f>
        <v/>
      </c>
      <c r="N588" s="19" t="str">
        <f aca="true">IF(M588="Overdue",TODAY()-J588,"")</f>
        <v/>
      </c>
      <c r="O588" s="14"/>
    </row>
    <row r="589" customFormat="false" ht="15" hidden="false" customHeight="false" outlineLevel="0" collapsed="false">
      <c r="A589" s="14"/>
      <c r="B589" s="13"/>
      <c r="C589" s="14"/>
      <c r="D589" s="14"/>
      <c r="E589" s="14"/>
      <c r="F589" s="15"/>
      <c r="G589" s="14"/>
      <c r="H589" s="19" t="str">
        <f aca="false">IF(F589="","",IF(G589="Y",F589*Settings!$B$16,0))</f>
        <v/>
      </c>
      <c r="I589" s="19" t="str">
        <f aca="false">IF(F589="","",F589+H589)</f>
        <v/>
      </c>
      <c r="J589" s="18" t="str">
        <f aca="false">IF(B589="","",B589+Settings!$B$17)</f>
        <v/>
      </c>
      <c r="K589" s="13"/>
      <c r="L589" s="15"/>
      <c r="M589" s="17" t="str">
        <f aca="true">IF(F589="","",IF(AND(L589&lt;&gt;"",L589&gt;=I589),"Paid",IF(AND(L589&lt;&gt;"",L589&gt;0),"Part paid",IF(TODAY()&gt;J589,"Overdue","Due"))))</f>
        <v/>
      </c>
      <c r="N589" s="19" t="str">
        <f aca="true">IF(M589="Overdue",TODAY()-J589,"")</f>
        <v/>
      </c>
      <c r="O589" s="14"/>
    </row>
    <row r="590" customFormat="false" ht="15" hidden="false" customHeight="false" outlineLevel="0" collapsed="false">
      <c r="A590" s="14"/>
      <c r="B590" s="13"/>
      <c r="C590" s="14"/>
      <c r="D590" s="14"/>
      <c r="E590" s="14"/>
      <c r="F590" s="15"/>
      <c r="G590" s="14"/>
      <c r="H590" s="19" t="str">
        <f aca="false">IF(F590="","",IF(G590="Y",F590*Settings!$B$16,0))</f>
        <v/>
      </c>
      <c r="I590" s="19" t="str">
        <f aca="false">IF(F590="","",F590+H590)</f>
        <v/>
      </c>
      <c r="J590" s="18" t="str">
        <f aca="false">IF(B590="","",B590+Settings!$B$17)</f>
        <v/>
      </c>
      <c r="K590" s="13"/>
      <c r="L590" s="15"/>
      <c r="M590" s="17" t="str">
        <f aca="true">IF(F590="","",IF(AND(L590&lt;&gt;"",L590&gt;=I590),"Paid",IF(AND(L590&lt;&gt;"",L590&gt;0),"Part paid",IF(TODAY()&gt;J590,"Overdue","Due"))))</f>
        <v/>
      </c>
      <c r="N590" s="19" t="str">
        <f aca="true">IF(M590="Overdue",TODAY()-J590,"")</f>
        <v/>
      </c>
      <c r="O590" s="14"/>
    </row>
    <row r="591" customFormat="false" ht="15" hidden="false" customHeight="false" outlineLevel="0" collapsed="false">
      <c r="A591" s="14"/>
      <c r="B591" s="13"/>
      <c r="C591" s="14"/>
      <c r="D591" s="14"/>
      <c r="E591" s="14"/>
      <c r="F591" s="15"/>
      <c r="G591" s="14"/>
      <c r="H591" s="19" t="str">
        <f aca="false">IF(F591="","",IF(G591="Y",F591*Settings!$B$16,0))</f>
        <v/>
      </c>
      <c r="I591" s="19" t="str">
        <f aca="false">IF(F591="","",F591+H591)</f>
        <v/>
      </c>
      <c r="J591" s="18" t="str">
        <f aca="false">IF(B591="","",B591+Settings!$B$17)</f>
        <v/>
      </c>
      <c r="K591" s="13"/>
      <c r="L591" s="15"/>
      <c r="M591" s="17" t="str">
        <f aca="true">IF(F591="","",IF(AND(L591&lt;&gt;"",L591&gt;=I591),"Paid",IF(AND(L591&lt;&gt;"",L591&gt;0),"Part paid",IF(TODAY()&gt;J591,"Overdue","Due"))))</f>
        <v/>
      </c>
      <c r="N591" s="19" t="str">
        <f aca="true">IF(M591="Overdue",TODAY()-J591,"")</f>
        <v/>
      </c>
      <c r="O591" s="14"/>
    </row>
    <row r="592" customFormat="false" ht="15" hidden="false" customHeight="false" outlineLevel="0" collapsed="false">
      <c r="A592" s="14"/>
      <c r="B592" s="13"/>
      <c r="C592" s="14"/>
      <c r="D592" s="14"/>
      <c r="E592" s="14"/>
      <c r="F592" s="15"/>
      <c r="G592" s="14"/>
      <c r="H592" s="19" t="str">
        <f aca="false">IF(F592="","",IF(G592="Y",F592*Settings!$B$16,0))</f>
        <v/>
      </c>
      <c r="I592" s="19" t="str">
        <f aca="false">IF(F592="","",F592+H592)</f>
        <v/>
      </c>
      <c r="J592" s="18" t="str">
        <f aca="false">IF(B592="","",B592+Settings!$B$17)</f>
        <v/>
      </c>
      <c r="K592" s="13"/>
      <c r="L592" s="15"/>
      <c r="M592" s="17" t="str">
        <f aca="true">IF(F592="","",IF(AND(L592&lt;&gt;"",L592&gt;=I592),"Paid",IF(AND(L592&lt;&gt;"",L592&gt;0),"Part paid",IF(TODAY()&gt;J592,"Overdue","Due"))))</f>
        <v/>
      </c>
      <c r="N592" s="19" t="str">
        <f aca="true">IF(M592="Overdue",TODAY()-J592,"")</f>
        <v/>
      </c>
      <c r="O592" s="14"/>
    </row>
    <row r="593" customFormat="false" ht="15" hidden="false" customHeight="false" outlineLevel="0" collapsed="false">
      <c r="A593" s="14"/>
      <c r="B593" s="13"/>
      <c r="C593" s="14"/>
      <c r="D593" s="14"/>
      <c r="E593" s="14"/>
      <c r="F593" s="15"/>
      <c r="G593" s="14"/>
      <c r="H593" s="19" t="str">
        <f aca="false">IF(F593="","",IF(G593="Y",F593*Settings!$B$16,0))</f>
        <v/>
      </c>
      <c r="I593" s="19" t="str">
        <f aca="false">IF(F593="","",F593+H593)</f>
        <v/>
      </c>
      <c r="J593" s="18" t="str">
        <f aca="false">IF(B593="","",B593+Settings!$B$17)</f>
        <v/>
      </c>
      <c r="K593" s="13"/>
      <c r="L593" s="15"/>
      <c r="M593" s="17" t="str">
        <f aca="true">IF(F593="","",IF(AND(L593&lt;&gt;"",L593&gt;=I593),"Paid",IF(AND(L593&lt;&gt;"",L593&gt;0),"Part paid",IF(TODAY()&gt;J593,"Overdue","Due"))))</f>
        <v/>
      </c>
      <c r="N593" s="19" t="str">
        <f aca="true">IF(M593="Overdue",TODAY()-J593,"")</f>
        <v/>
      </c>
      <c r="O593" s="14"/>
    </row>
    <row r="594" customFormat="false" ht="15" hidden="false" customHeight="false" outlineLevel="0" collapsed="false">
      <c r="A594" s="14"/>
      <c r="B594" s="13"/>
      <c r="C594" s="14"/>
      <c r="D594" s="14"/>
      <c r="E594" s="14"/>
      <c r="F594" s="15"/>
      <c r="G594" s="14"/>
      <c r="H594" s="19" t="str">
        <f aca="false">IF(F594="","",IF(G594="Y",F594*Settings!$B$16,0))</f>
        <v/>
      </c>
      <c r="I594" s="19" t="str">
        <f aca="false">IF(F594="","",F594+H594)</f>
        <v/>
      </c>
      <c r="J594" s="18" t="str">
        <f aca="false">IF(B594="","",B594+Settings!$B$17)</f>
        <v/>
      </c>
      <c r="K594" s="13"/>
      <c r="L594" s="15"/>
      <c r="M594" s="17" t="str">
        <f aca="true">IF(F594="","",IF(AND(L594&lt;&gt;"",L594&gt;=I594),"Paid",IF(AND(L594&lt;&gt;"",L594&gt;0),"Part paid",IF(TODAY()&gt;J594,"Overdue","Due"))))</f>
        <v/>
      </c>
      <c r="N594" s="19" t="str">
        <f aca="true">IF(M594="Overdue",TODAY()-J594,"")</f>
        <v/>
      </c>
      <c r="O594" s="14"/>
    </row>
    <row r="595" customFormat="false" ht="15" hidden="false" customHeight="false" outlineLevel="0" collapsed="false">
      <c r="A595" s="14"/>
      <c r="B595" s="13"/>
      <c r="C595" s="14"/>
      <c r="D595" s="14"/>
      <c r="E595" s="14"/>
      <c r="F595" s="15"/>
      <c r="G595" s="14"/>
      <c r="H595" s="19" t="str">
        <f aca="false">IF(F595="","",IF(G595="Y",F595*Settings!$B$16,0))</f>
        <v/>
      </c>
      <c r="I595" s="19" t="str">
        <f aca="false">IF(F595="","",F595+H595)</f>
        <v/>
      </c>
      <c r="J595" s="18" t="str">
        <f aca="false">IF(B595="","",B595+Settings!$B$17)</f>
        <v/>
      </c>
      <c r="K595" s="13"/>
      <c r="L595" s="15"/>
      <c r="M595" s="17" t="str">
        <f aca="true">IF(F595="","",IF(AND(L595&lt;&gt;"",L595&gt;=I595),"Paid",IF(AND(L595&lt;&gt;"",L595&gt;0),"Part paid",IF(TODAY()&gt;J595,"Overdue","Due"))))</f>
        <v/>
      </c>
      <c r="N595" s="19" t="str">
        <f aca="true">IF(M595="Overdue",TODAY()-J595,"")</f>
        <v/>
      </c>
      <c r="O595" s="14"/>
    </row>
    <row r="596" customFormat="false" ht="15" hidden="false" customHeight="false" outlineLevel="0" collapsed="false">
      <c r="A596" s="14"/>
      <c r="B596" s="13"/>
      <c r="C596" s="14"/>
      <c r="D596" s="14"/>
      <c r="E596" s="14"/>
      <c r="F596" s="15"/>
      <c r="G596" s="14"/>
      <c r="H596" s="19" t="str">
        <f aca="false">IF(F596="","",IF(G596="Y",F596*Settings!$B$16,0))</f>
        <v/>
      </c>
      <c r="I596" s="19" t="str">
        <f aca="false">IF(F596="","",F596+H596)</f>
        <v/>
      </c>
      <c r="J596" s="18" t="str">
        <f aca="false">IF(B596="","",B596+Settings!$B$17)</f>
        <v/>
      </c>
      <c r="K596" s="13"/>
      <c r="L596" s="15"/>
      <c r="M596" s="17" t="str">
        <f aca="true">IF(F596="","",IF(AND(L596&lt;&gt;"",L596&gt;=I596),"Paid",IF(AND(L596&lt;&gt;"",L596&gt;0),"Part paid",IF(TODAY()&gt;J596,"Overdue","Due"))))</f>
        <v/>
      </c>
      <c r="N596" s="19" t="str">
        <f aca="true">IF(M596="Overdue",TODAY()-J596,"")</f>
        <v/>
      </c>
      <c r="O596" s="14"/>
    </row>
    <row r="597" customFormat="false" ht="15" hidden="false" customHeight="false" outlineLevel="0" collapsed="false">
      <c r="A597" s="14"/>
      <c r="B597" s="13"/>
      <c r="C597" s="14"/>
      <c r="D597" s="14"/>
      <c r="E597" s="14"/>
      <c r="F597" s="15"/>
      <c r="G597" s="14"/>
      <c r="H597" s="19" t="str">
        <f aca="false">IF(F597="","",IF(G597="Y",F597*Settings!$B$16,0))</f>
        <v/>
      </c>
      <c r="I597" s="19" t="str">
        <f aca="false">IF(F597="","",F597+H597)</f>
        <v/>
      </c>
      <c r="J597" s="18" t="str">
        <f aca="false">IF(B597="","",B597+Settings!$B$17)</f>
        <v/>
      </c>
      <c r="K597" s="13"/>
      <c r="L597" s="15"/>
      <c r="M597" s="17" t="str">
        <f aca="true">IF(F597="","",IF(AND(L597&lt;&gt;"",L597&gt;=I597),"Paid",IF(AND(L597&lt;&gt;"",L597&gt;0),"Part paid",IF(TODAY()&gt;J597,"Overdue","Due"))))</f>
        <v/>
      </c>
      <c r="N597" s="19" t="str">
        <f aca="true">IF(M597="Overdue",TODAY()-J597,"")</f>
        <v/>
      </c>
      <c r="O597" s="14"/>
    </row>
    <row r="598" customFormat="false" ht="15" hidden="false" customHeight="false" outlineLevel="0" collapsed="false">
      <c r="A598" s="14"/>
      <c r="B598" s="13"/>
      <c r="C598" s="14"/>
      <c r="D598" s="14"/>
      <c r="E598" s="14"/>
      <c r="F598" s="15"/>
      <c r="G598" s="14"/>
      <c r="H598" s="19" t="str">
        <f aca="false">IF(F598="","",IF(G598="Y",F598*Settings!$B$16,0))</f>
        <v/>
      </c>
      <c r="I598" s="19" t="str">
        <f aca="false">IF(F598="","",F598+H598)</f>
        <v/>
      </c>
      <c r="J598" s="18" t="str">
        <f aca="false">IF(B598="","",B598+Settings!$B$17)</f>
        <v/>
      </c>
      <c r="K598" s="13"/>
      <c r="L598" s="15"/>
      <c r="M598" s="17" t="str">
        <f aca="true">IF(F598="","",IF(AND(L598&lt;&gt;"",L598&gt;=I598),"Paid",IF(AND(L598&lt;&gt;"",L598&gt;0),"Part paid",IF(TODAY()&gt;J598,"Overdue","Due"))))</f>
        <v/>
      </c>
      <c r="N598" s="19" t="str">
        <f aca="true">IF(M598="Overdue",TODAY()-J598,"")</f>
        <v/>
      </c>
      <c r="O598" s="14"/>
    </row>
    <row r="599" customFormat="false" ht="15" hidden="false" customHeight="false" outlineLevel="0" collapsed="false">
      <c r="A599" s="14"/>
      <c r="B599" s="13"/>
      <c r="C599" s="14"/>
      <c r="D599" s="14"/>
      <c r="E599" s="14"/>
      <c r="F599" s="15"/>
      <c r="G599" s="14"/>
      <c r="H599" s="19" t="str">
        <f aca="false">IF(F599="","",IF(G599="Y",F599*Settings!$B$16,0))</f>
        <v/>
      </c>
      <c r="I599" s="19" t="str">
        <f aca="false">IF(F599="","",F599+H599)</f>
        <v/>
      </c>
      <c r="J599" s="18" t="str">
        <f aca="false">IF(B599="","",B599+Settings!$B$17)</f>
        <v/>
      </c>
      <c r="K599" s="13"/>
      <c r="L599" s="15"/>
      <c r="M599" s="17" t="str">
        <f aca="true">IF(F599="","",IF(AND(L599&lt;&gt;"",L599&gt;=I599),"Paid",IF(AND(L599&lt;&gt;"",L599&gt;0),"Part paid",IF(TODAY()&gt;J599,"Overdue","Due"))))</f>
        <v/>
      </c>
      <c r="N599" s="19" t="str">
        <f aca="true">IF(M599="Overdue",TODAY()-J599,"")</f>
        <v/>
      </c>
      <c r="O599" s="14"/>
    </row>
    <row r="600" customFormat="false" ht="15" hidden="false" customHeight="false" outlineLevel="0" collapsed="false">
      <c r="A600" s="14"/>
      <c r="B600" s="13"/>
      <c r="C600" s="14"/>
      <c r="D600" s="14"/>
      <c r="E600" s="14"/>
      <c r="F600" s="15"/>
      <c r="G600" s="14"/>
      <c r="H600" s="19" t="str">
        <f aca="false">IF(F600="","",IF(G600="Y",F600*Settings!$B$16,0))</f>
        <v/>
      </c>
      <c r="I600" s="19" t="str">
        <f aca="false">IF(F600="","",F600+H600)</f>
        <v/>
      </c>
      <c r="J600" s="18" t="str">
        <f aca="false">IF(B600="","",B600+Settings!$B$17)</f>
        <v/>
      </c>
      <c r="K600" s="13"/>
      <c r="L600" s="15"/>
      <c r="M600" s="17" t="str">
        <f aca="true">IF(F600="","",IF(AND(L600&lt;&gt;"",L600&gt;=I600),"Paid",IF(AND(L600&lt;&gt;"",L600&gt;0),"Part paid",IF(TODAY()&gt;J600,"Overdue","Due"))))</f>
        <v/>
      </c>
      <c r="N600" s="19" t="str">
        <f aca="true">IF(M600="Overdue",TODAY()-J600,"")</f>
        <v/>
      </c>
      <c r="O600" s="14"/>
    </row>
    <row r="601" customFormat="false" ht="15" hidden="false" customHeight="false" outlineLevel="0" collapsed="false">
      <c r="A601" s="14"/>
      <c r="B601" s="13"/>
      <c r="C601" s="14"/>
      <c r="D601" s="14"/>
      <c r="E601" s="14"/>
      <c r="F601" s="15"/>
      <c r="G601" s="14"/>
      <c r="H601" s="19" t="str">
        <f aca="false">IF(F601="","",IF(G601="Y",F601*Settings!$B$16,0))</f>
        <v/>
      </c>
      <c r="I601" s="19" t="str">
        <f aca="false">IF(F601="","",F601+H601)</f>
        <v/>
      </c>
      <c r="J601" s="18" t="str">
        <f aca="false">IF(B601="","",B601+Settings!$B$17)</f>
        <v/>
      </c>
      <c r="K601" s="13"/>
      <c r="L601" s="15"/>
      <c r="M601" s="17" t="str">
        <f aca="true">IF(F601="","",IF(AND(L601&lt;&gt;"",L601&gt;=I601),"Paid",IF(AND(L601&lt;&gt;"",L601&gt;0),"Part paid",IF(TODAY()&gt;J601,"Overdue","Due"))))</f>
        <v/>
      </c>
      <c r="N601" s="19" t="str">
        <f aca="true">IF(M601="Overdue",TODAY()-J601,"")</f>
        <v/>
      </c>
      <c r="O601" s="14"/>
    </row>
    <row r="602" customFormat="false" ht="15" hidden="false" customHeight="false" outlineLevel="0" collapsed="false">
      <c r="A602" s="14"/>
      <c r="B602" s="13"/>
      <c r="C602" s="14"/>
      <c r="D602" s="14"/>
      <c r="E602" s="14"/>
      <c r="F602" s="15"/>
      <c r="G602" s="14"/>
      <c r="H602" s="19" t="str">
        <f aca="false">IF(F602="","",IF(G602="Y",F602*Settings!$B$16,0))</f>
        <v/>
      </c>
      <c r="I602" s="19" t="str">
        <f aca="false">IF(F602="","",F602+H602)</f>
        <v/>
      </c>
      <c r="J602" s="18" t="str">
        <f aca="false">IF(B602="","",B602+Settings!$B$17)</f>
        <v/>
      </c>
      <c r="K602" s="13"/>
      <c r="L602" s="15"/>
      <c r="M602" s="17" t="str">
        <f aca="true">IF(F602="","",IF(AND(L602&lt;&gt;"",L602&gt;=I602),"Paid",IF(AND(L602&lt;&gt;"",L602&gt;0),"Part paid",IF(TODAY()&gt;J602,"Overdue","Due"))))</f>
        <v/>
      </c>
      <c r="N602" s="19" t="str">
        <f aca="true">IF(M602="Overdue",TODAY()-J602,"")</f>
        <v/>
      </c>
      <c r="O602" s="14"/>
    </row>
    <row r="603" customFormat="false" ht="15" hidden="false" customHeight="false" outlineLevel="0" collapsed="false">
      <c r="A603" s="14"/>
      <c r="B603" s="13"/>
      <c r="C603" s="14"/>
      <c r="D603" s="14"/>
      <c r="E603" s="14"/>
      <c r="F603" s="15"/>
      <c r="G603" s="14"/>
      <c r="H603" s="19" t="str">
        <f aca="false">IF(F603="","",IF(G603="Y",F603*Settings!$B$16,0))</f>
        <v/>
      </c>
      <c r="I603" s="19" t="str">
        <f aca="false">IF(F603="","",F603+H603)</f>
        <v/>
      </c>
      <c r="J603" s="18" t="str">
        <f aca="false">IF(B603="","",B603+Settings!$B$17)</f>
        <v/>
      </c>
      <c r="K603" s="13"/>
      <c r="L603" s="15"/>
      <c r="M603" s="17" t="str">
        <f aca="true">IF(F603="","",IF(AND(L603&lt;&gt;"",L603&gt;=I603),"Paid",IF(AND(L603&lt;&gt;"",L603&gt;0),"Part paid",IF(TODAY()&gt;J603,"Overdue","Due"))))</f>
        <v/>
      </c>
      <c r="N603" s="19" t="str">
        <f aca="true">IF(M603="Overdue",TODAY()-J603,"")</f>
        <v/>
      </c>
      <c r="O603" s="14"/>
    </row>
    <row r="604" customFormat="false" ht="15" hidden="false" customHeight="false" outlineLevel="0" collapsed="false">
      <c r="A604" s="14"/>
      <c r="B604" s="13"/>
      <c r="C604" s="14"/>
      <c r="D604" s="14"/>
      <c r="E604" s="14"/>
      <c r="F604" s="15"/>
      <c r="G604" s="14"/>
      <c r="H604" s="19" t="str">
        <f aca="false">IF(F604="","",IF(G604="Y",F604*Settings!$B$16,0))</f>
        <v/>
      </c>
      <c r="I604" s="19" t="str">
        <f aca="false">IF(F604="","",F604+H604)</f>
        <v/>
      </c>
      <c r="J604" s="18" t="str">
        <f aca="false">IF(B604="","",B604+Settings!$B$17)</f>
        <v/>
      </c>
      <c r="K604" s="13"/>
      <c r="L604" s="15"/>
      <c r="M604" s="17" t="str">
        <f aca="true">IF(F604="","",IF(AND(L604&lt;&gt;"",L604&gt;=I604),"Paid",IF(AND(L604&lt;&gt;"",L604&gt;0),"Part paid",IF(TODAY()&gt;J604,"Overdue","Due"))))</f>
        <v/>
      </c>
      <c r="N604" s="19" t="str">
        <f aca="true">IF(M604="Overdue",TODAY()-J604,"")</f>
        <v/>
      </c>
      <c r="O604" s="14"/>
    </row>
    <row r="605" customFormat="false" ht="15" hidden="false" customHeight="false" outlineLevel="0" collapsed="false">
      <c r="A605" s="14"/>
      <c r="B605" s="13"/>
      <c r="C605" s="14"/>
      <c r="D605" s="14"/>
      <c r="E605" s="14"/>
      <c r="F605" s="15"/>
      <c r="G605" s="14"/>
      <c r="H605" s="19" t="str">
        <f aca="false">IF(F605="","",IF(G605="Y",F605*Settings!$B$16,0))</f>
        <v/>
      </c>
      <c r="I605" s="19" t="str">
        <f aca="false">IF(F605="","",F605+H605)</f>
        <v/>
      </c>
      <c r="J605" s="18" t="str">
        <f aca="false">IF(B605="","",B605+Settings!$B$17)</f>
        <v/>
      </c>
      <c r="K605" s="13"/>
      <c r="L605" s="15"/>
      <c r="M605" s="17" t="str">
        <f aca="true">IF(F605="","",IF(AND(L605&lt;&gt;"",L605&gt;=I605),"Paid",IF(AND(L605&lt;&gt;"",L605&gt;0),"Part paid",IF(TODAY()&gt;J605,"Overdue","Due"))))</f>
        <v/>
      </c>
      <c r="N605" s="19" t="str">
        <f aca="true">IF(M605="Overdue",TODAY()-J605,"")</f>
        <v/>
      </c>
      <c r="O605" s="14"/>
    </row>
    <row r="606" customFormat="false" ht="15" hidden="false" customHeight="false" outlineLevel="0" collapsed="false">
      <c r="A606" s="14"/>
      <c r="B606" s="13"/>
      <c r="C606" s="14"/>
      <c r="D606" s="14"/>
      <c r="E606" s="14"/>
      <c r="F606" s="15"/>
      <c r="G606" s="14"/>
      <c r="H606" s="19" t="str">
        <f aca="false">IF(F606="","",IF(G606="Y",F606*Settings!$B$16,0))</f>
        <v/>
      </c>
      <c r="I606" s="19" t="str">
        <f aca="false">IF(F606="","",F606+H606)</f>
        <v/>
      </c>
      <c r="J606" s="18" t="str">
        <f aca="false">IF(B606="","",B606+Settings!$B$17)</f>
        <v/>
      </c>
      <c r="K606" s="13"/>
      <c r="L606" s="15"/>
      <c r="M606" s="17" t="str">
        <f aca="true">IF(F606="","",IF(AND(L606&lt;&gt;"",L606&gt;=I606),"Paid",IF(AND(L606&lt;&gt;"",L606&gt;0),"Part paid",IF(TODAY()&gt;J606,"Overdue","Due"))))</f>
        <v/>
      </c>
      <c r="N606" s="19" t="str">
        <f aca="true">IF(M606="Overdue",TODAY()-J606,"")</f>
        <v/>
      </c>
      <c r="O606" s="14"/>
    </row>
    <row r="607" customFormat="false" ht="15" hidden="false" customHeight="false" outlineLevel="0" collapsed="false">
      <c r="A607" s="14"/>
      <c r="B607" s="13"/>
      <c r="C607" s="14"/>
      <c r="D607" s="14"/>
      <c r="E607" s="14"/>
      <c r="F607" s="15"/>
      <c r="G607" s="14"/>
      <c r="H607" s="19" t="str">
        <f aca="false">IF(F607="","",IF(G607="Y",F607*Settings!$B$16,0))</f>
        <v/>
      </c>
      <c r="I607" s="19" t="str">
        <f aca="false">IF(F607="","",F607+H607)</f>
        <v/>
      </c>
      <c r="J607" s="18" t="str">
        <f aca="false">IF(B607="","",B607+Settings!$B$17)</f>
        <v/>
      </c>
      <c r="K607" s="13"/>
      <c r="L607" s="15"/>
      <c r="M607" s="17" t="str">
        <f aca="true">IF(F607="","",IF(AND(L607&lt;&gt;"",L607&gt;=I607),"Paid",IF(AND(L607&lt;&gt;"",L607&gt;0),"Part paid",IF(TODAY()&gt;J607,"Overdue","Due"))))</f>
        <v/>
      </c>
      <c r="N607" s="19" t="str">
        <f aca="true">IF(M607="Overdue",TODAY()-J607,"")</f>
        <v/>
      </c>
      <c r="O607" s="14"/>
    </row>
    <row r="608" customFormat="false" ht="15" hidden="false" customHeight="false" outlineLevel="0" collapsed="false">
      <c r="A608" s="14"/>
      <c r="B608" s="13"/>
      <c r="C608" s="14"/>
      <c r="D608" s="14"/>
      <c r="E608" s="14"/>
      <c r="F608" s="15"/>
      <c r="G608" s="14"/>
      <c r="H608" s="19" t="str">
        <f aca="false">IF(F608="","",IF(G608="Y",F608*Settings!$B$16,0))</f>
        <v/>
      </c>
      <c r="I608" s="19" t="str">
        <f aca="false">IF(F608="","",F608+H608)</f>
        <v/>
      </c>
      <c r="J608" s="18" t="str">
        <f aca="false">IF(B608="","",B608+Settings!$B$17)</f>
        <v/>
      </c>
      <c r="K608" s="13"/>
      <c r="L608" s="15"/>
      <c r="M608" s="17" t="str">
        <f aca="true">IF(F608="","",IF(AND(L608&lt;&gt;"",L608&gt;=I608),"Paid",IF(AND(L608&lt;&gt;"",L608&gt;0),"Part paid",IF(TODAY()&gt;J608,"Overdue","Due"))))</f>
        <v/>
      </c>
      <c r="N608" s="19" t="str">
        <f aca="true">IF(M608="Overdue",TODAY()-J608,"")</f>
        <v/>
      </c>
      <c r="O608" s="14"/>
    </row>
    <row r="609" customFormat="false" ht="15" hidden="false" customHeight="false" outlineLevel="0" collapsed="false">
      <c r="A609" s="14"/>
      <c r="B609" s="13"/>
      <c r="C609" s="14"/>
      <c r="D609" s="14"/>
      <c r="E609" s="14"/>
      <c r="F609" s="15"/>
      <c r="G609" s="14"/>
      <c r="H609" s="19" t="str">
        <f aca="false">IF(F609="","",IF(G609="Y",F609*Settings!$B$16,0))</f>
        <v/>
      </c>
      <c r="I609" s="19" t="str">
        <f aca="false">IF(F609="","",F609+H609)</f>
        <v/>
      </c>
      <c r="J609" s="18" t="str">
        <f aca="false">IF(B609="","",B609+Settings!$B$17)</f>
        <v/>
      </c>
      <c r="K609" s="13"/>
      <c r="L609" s="15"/>
      <c r="M609" s="17" t="str">
        <f aca="true">IF(F609="","",IF(AND(L609&lt;&gt;"",L609&gt;=I609),"Paid",IF(AND(L609&lt;&gt;"",L609&gt;0),"Part paid",IF(TODAY()&gt;J609,"Overdue","Due"))))</f>
        <v/>
      </c>
      <c r="N609" s="19" t="str">
        <f aca="true">IF(M609="Overdue",TODAY()-J609,"")</f>
        <v/>
      </c>
      <c r="O609" s="14"/>
    </row>
    <row r="610" customFormat="false" ht="15" hidden="false" customHeight="false" outlineLevel="0" collapsed="false">
      <c r="A610" s="14"/>
      <c r="B610" s="13"/>
      <c r="C610" s="14"/>
      <c r="D610" s="14"/>
      <c r="E610" s="14"/>
      <c r="F610" s="15"/>
      <c r="G610" s="14"/>
      <c r="H610" s="19" t="str">
        <f aca="false">IF(F610="","",IF(G610="Y",F610*Settings!$B$16,0))</f>
        <v/>
      </c>
      <c r="I610" s="19" t="str">
        <f aca="false">IF(F610="","",F610+H610)</f>
        <v/>
      </c>
      <c r="J610" s="18" t="str">
        <f aca="false">IF(B610="","",B610+Settings!$B$17)</f>
        <v/>
      </c>
      <c r="K610" s="13"/>
      <c r="L610" s="15"/>
      <c r="M610" s="17" t="str">
        <f aca="true">IF(F610="","",IF(AND(L610&lt;&gt;"",L610&gt;=I610),"Paid",IF(AND(L610&lt;&gt;"",L610&gt;0),"Part paid",IF(TODAY()&gt;J610,"Overdue","Due"))))</f>
        <v/>
      </c>
      <c r="N610" s="19" t="str">
        <f aca="true">IF(M610="Overdue",TODAY()-J610,"")</f>
        <v/>
      </c>
      <c r="O610" s="14"/>
    </row>
    <row r="611" customFormat="false" ht="15" hidden="false" customHeight="false" outlineLevel="0" collapsed="false">
      <c r="A611" s="14"/>
      <c r="B611" s="13"/>
      <c r="C611" s="14"/>
      <c r="D611" s="14"/>
      <c r="E611" s="14"/>
      <c r="F611" s="15"/>
      <c r="G611" s="14"/>
      <c r="H611" s="19" t="str">
        <f aca="false">IF(F611="","",IF(G611="Y",F611*Settings!$B$16,0))</f>
        <v/>
      </c>
      <c r="I611" s="19" t="str">
        <f aca="false">IF(F611="","",F611+H611)</f>
        <v/>
      </c>
      <c r="J611" s="18" t="str">
        <f aca="false">IF(B611="","",B611+Settings!$B$17)</f>
        <v/>
      </c>
      <c r="K611" s="13"/>
      <c r="L611" s="15"/>
      <c r="M611" s="17" t="str">
        <f aca="true">IF(F611="","",IF(AND(L611&lt;&gt;"",L611&gt;=I611),"Paid",IF(AND(L611&lt;&gt;"",L611&gt;0),"Part paid",IF(TODAY()&gt;J611,"Overdue","Due"))))</f>
        <v/>
      </c>
      <c r="N611" s="19" t="str">
        <f aca="true">IF(M611="Overdue",TODAY()-J611,"")</f>
        <v/>
      </c>
      <c r="O611" s="14"/>
    </row>
    <row r="612" customFormat="false" ht="15" hidden="false" customHeight="false" outlineLevel="0" collapsed="false">
      <c r="A612" s="14"/>
      <c r="B612" s="13"/>
      <c r="C612" s="14"/>
      <c r="D612" s="14"/>
      <c r="E612" s="14"/>
      <c r="F612" s="15"/>
      <c r="G612" s="14"/>
      <c r="H612" s="19" t="str">
        <f aca="false">IF(F612="","",IF(G612="Y",F612*Settings!$B$16,0))</f>
        <v/>
      </c>
      <c r="I612" s="19" t="str">
        <f aca="false">IF(F612="","",F612+H612)</f>
        <v/>
      </c>
      <c r="J612" s="18" t="str">
        <f aca="false">IF(B612="","",B612+Settings!$B$17)</f>
        <v/>
      </c>
      <c r="K612" s="13"/>
      <c r="L612" s="15"/>
      <c r="M612" s="17" t="str">
        <f aca="true">IF(F612="","",IF(AND(L612&lt;&gt;"",L612&gt;=I612),"Paid",IF(AND(L612&lt;&gt;"",L612&gt;0),"Part paid",IF(TODAY()&gt;J612,"Overdue","Due"))))</f>
        <v/>
      </c>
      <c r="N612" s="19" t="str">
        <f aca="true">IF(M612="Overdue",TODAY()-J612,"")</f>
        <v/>
      </c>
      <c r="O612" s="14"/>
    </row>
    <row r="613" customFormat="false" ht="15" hidden="false" customHeight="false" outlineLevel="0" collapsed="false">
      <c r="A613" s="14"/>
      <c r="B613" s="13"/>
      <c r="C613" s="14"/>
      <c r="D613" s="14"/>
      <c r="E613" s="14"/>
      <c r="F613" s="15"/>
      <c r="G613" s="14"/>
      <c r="H613" s="19" t="str">
        <f aca="false">IF(F613="","",IF(G613="Y",F613*Settings!$B$16,0))</f>
        <v/>
      </c>
      <c r="I613" s="19" t="str">
        <f aca="false">IF(F613="","",F613+H613)</f>
        <v/>
      </c>
      <c r="J613" s="18" t="str">
        <f aca="false">IF(B613="","",B613+Settings!$B$17)</f>
        <v/>
      </c>
      <c r="K613" s="13"/>
      <c r="L613" s="15"/>
      <c r="M613" s="17" t="str">
        <f aca="true">IF(F613="","",IF(AND(L613&lt;&gt;"",L613&gt;=I613),"Paid",IF(AND(L613&lt;&gt;"",L613&gt;0),"Part paid",IF(TODAY()&gt;J613,"Overdue","Due"))))</f>
        <v/>
      </c>
      <c r="N613" s="19" t="str">
        <f aca="true">IF(M613="Overdue",TODAY()-J613,"")</f>
        <v/>
      </c>
      <c r="O613" s="14"/>
    </row>
    <row r="614" customFormat="false" ht="15" hidden="false" customHeight="false" outlineLevel="0" collapsed="false">
      <c r="A614" s="14"/>
      <c r="B614" s="13"/>
      <c r="C614" s="14"/>
      <c r="D614" s="14"/>
      <c r="E614" s="14"/>
      <c r="F614" s="15"/>
      <c r="G614" s="14"/>
      <c r="H614" s="19" t="str">
        <f aca="false">IF(F614="","",IF(G614="Y",F614*Settings!$B$16,0))</f>
        <v/>
      </c>
      <c r="I614" s="19" t="str">
        <f aca="false">IF(F614="","",F614+H614)</f>
        <v/>
      </c>
      <c r="J614" s="18" t="str">
        <f aca="false">IF(B614="","",B614+Settings!$B$17)</f>
        <v/>
      </c>
      <c r="K614" s="13"/>
      <c r="L614" s="15"/>
      <c r="M614" s="17" t="str">
        <f aca="true">IF(F614="","",IF(AND(L614&lt;&gt;"",L614&gt;=I614),"Paid",IF(AND(L614&lt;&gt;"",L614&gt;0),"Part paid",IF(TODAY()&gt;J614,"Overdue","Due"))))</f>
        <v/>
      </c>
      <c r="N614" s="19" t="str">
        <f aca="true">IF(M614="Overdue",TODAY()-J614,"")</f>
        <v/>
      </c>
      <c r="O614" s="14"/>
    </row>
    <row r="615" customFormat="false" ht="15" hidden="false" customHeight="false" outlineLevel="0" collapsed="false">
      <c r="A615" s="14"/>
      <c r="B615" s="13"/>
      <c r="C615" s="14"/>
      <c r="D615" s="14"/>
      <c r="E615" s="14"/>
      <c r="F615" s="15"/>
      <c r="G615" s="14"/>
      <c r="H615" s="19" t="str">
        <f aca="false">IF(F615="","",IF(G615="Y",F615*Settings!$B$16,0))</f>
        <v/>
      </c>
      <c r="I615" s="19" t="str">
        <f aca="false">IF(F615="","",F615+H615)</f>
        <v/>
      </c>
      <c r="J615" s="18" t="str">
        <f aca="false">IF(B615="","",B615+Settings!$B$17)</f>
        <v/>
      </c>
      <c r="K615" s="13"/>
      <c r="L615" s="15"/>
      <c r="M615" s="17" t="str">
        <f aca="true">IF(F615="","",IF(AND(L615&lt;&gt;"",L615&gt;=I615),"Paid",IF(AND(L615&lt;&gt;"",L615&gt;0),"Part paid",IF(TODAY()&gt;J615,"Overdue","Due"))))</f>
        <v/>
      </c>
      <c r="N615" s="19" t="str">
        <f aca="true">IF(M615="Overdue",TODAY()-J615,"")</f>
        <v/>
      </c>
      <c r="O615" s="14"/>
    </row>
    <row r="616" customFormat="false" ht="15" hidden="false" customHeight="false" outlineLevel="0" collapsed="false">
      <c r="A616" s="14"/>
      <c r="B616" s="13"/>
      <c r="C616" s="14"/>
      <c r="D616" s="14"/>
      <c r="E616" s="14"/>
      <c r="F616" s="15"/>
      <c r="G616" s="14"/>
      <c r="H616" s="19" t="str">
        <f aca="false">IF(F616="","",IF(G616="Y",F616*Settings!$B$16,0))</f>
        <v/>
      </c>
      <c r="I616" s="19" t="str">
        <f aca="false">IF(F616="","",F616+H616)</f>
        <v/>
      </c>
      <c r="J616" s="18" t="str">
        <f aca="false">IF(B616="","",B616+Settings!$B$17)</f>
        <v/>
      </c>
      <c r="K616" s="13"/>
      <c r="L616" s="15"/>
      <c r="M616" s="17" t="str">
        <f aca="true">IF(F616="","",IF(AND(L616&lt;&gt;"",L616&gt;=I616),"Paid",IF(AND(L616&lt;&gt;"",L616&gt;0),"Part paid",IF(TODAY()&gt;J616,"Overdue","Due"))))</f>
        <v/>
      </c>
      <c r="N616" s="19" t="str">
        <f aca="true">IF(M616="Overdue",TODAY()-J616,"")</f>
        <v/>
      </c>
      <c r="O616" s="14"/>
    </row>
    <row r="617" customFormat="false" ht="15" hidden="false" customHeight="false" outlineLevel="0" collapsed="false">
      <c r="A617" s="14"/>
      <c r="B617" s="13"/>
      <c r="C617" s="14"/>
      <c r="D617" s="14"/>
      <c r="E617" s="14"/>
      <c r="F617" s="15"/>
      <c r="G617" s="14"/>
      <c r="H617" s="19" t="str">
        <f aca="false">IF(F617="","",IF(G617="Y",F617*Settings!$B$16,0))</f>
        <v/>
      </c>
      <c r="I617" s="19" t="str">
        <f aca="false">IF(F617="","",F617+H617)</f>
        <v/>
      </c>
      <c r="J617" s="18" t="str">
        <f aca="false">IF(B617="","",B617+Settings!$B$17)</f>
        <v/>
      </c>
      <c r="K617" s="13"/>
      <c r="L617" s="15"/>
      <c r="M617" s="17" t="str">
        <f aca="true">IF(F617="","",IF(AND(L617&lt;&gt;"",L617&gt;=I617),"Paid",IF(AND(L617&lt;&gt;"",L617&gt;0),"Part paid",IF(TODAY()&gt;J617,"Overdue","Due"))))</f>
        <v/>
      </c>
      <c r="N617" s="19" t="str">
        <f aca="true">IF(M617="Overdue",TODAY()-J617,"")</f>
        <v/>
      </c>
      <c r="O617" s="14"/>
    </row>
    <row r="618" customFormat="false" ht="15" hidden="false" customHeight="false" outlineLevel="0" collapsed="false">
      <c r="A618" s="14"/>
      <c r="B618" s="13"/>
      <c r="C618" s="14"/>
      <c r="D618" s="14"/>
      <c r="E618" s="14"/>
      <c r="F618" s="15"/>
      <c r="G618" s="14"/>
      <c r="H618" s="19" t="str">
        <f aca="false">IF(F618="","",IF(G618="Y",F618*Settings!$B$16,0))</f>
        <v/>
      </c>
      <c r="I618" s="19" t="str">
        <f aca="false">IF(F618="","",F618+H618)</f>
        <v/>
      </c>
      <c r="J618" s="18" t="str">
        <f aca="false">IF(B618="","",B618+Settings!$B$17)</f>
        <v/>
      </c>
      <c r="K618" s="13"/>
      <c r="L618" s="15"/>
      <c r="M618" s="17" t="str">
        <f aca="true">IF(F618="","",IF(AND(L618&lt;&gt;"",L618&gt;=I618),"Paid",IF(AND(L618&lt;&gt;"",L618&gt;0),"Part paid",IF(TODAY()&gt;J618,"Overdue","Due"))))</f>
        <v/>
      </c>
      <c r="N618" s="19" t="str">
        <f aca="true">IF(M618="Overdue",TODAY()-J618,"")</f>
        <v/>
      </c>
      <c r="O618" s="14"/>
    </row>
    <row r="619" customFormat="false" ht="15" hidden="false" customHeight="false" outlineLevel="0" collapsed="false">
      <c r="A619" s="14"/>
      <c r="B619" s="13"/>
      <c r="C619" s="14"/>
      <c r="D619" s="14"/>
      <c r="E619" s="14"/>
      <c r="F619" s="15"/>
      <c r="G619" s="14"/>
      <c r="H619" s="19" t="str">
        <f aca="false">IF(F619="","",IF(G619="Y",F619*Settings!$B$16,0))</f>
        <v/>
      </c>
      <c r="I619" s="19" t="str">
        <f aca="false">IF(F619="","",F619+H619)</f>
        <v/>
      </c>
      <c r="J619" s="18" t="str">
        <f aca="false">IF(B619="","",B619+Settings!$B$17)</f>
        <v/>
      </c>
      <c r="K619" s="13"/>
      <c r="L619" s="15"/>
      <c r="M619" s="17" t="str">
        <f aca="true">IF(F619="","",IF(AND(L619&lt;&gt;"",L619&gt;=I619),"Paid",IF(AND(L619&lt;&gt;"",L619&gt;0),"Part paid",IF(TODAY()&gt;J619,"Overdue","Due"))))</f>
        <v/>
      </c>
      <c r="N619" s="19" t="str">
        <f aca="true">IF(M619="Overdue",TODAY()-J619,"")</f>
        <v/>
      </c>
      <c r="O619" s="14"/>
    </row>
    <row r="620" customFormat="false" ht="15" hidden="false" customHeight="false" outlineLevel="0" collapsed="false">
      <c r="A620" s="14"/>
      <c r="B620" s="13"/>
      <c r="C620" s="14"/>
      <c r="D620" s="14"/>
      <c r="E620" s="14"/>
      <c r="F620" s="15"/>
      <c r="G620" s="14"/>
      <c r="H620" s="19" t="str">
        <f aca="false">IF(F620="","",IF(G620="Y",F620*Settings!$B$16,0))</f>
        <v/>
      </c>
      <c r="I620" s="19" t="str">
        <f aca="false">IF(F620="","",F620+H620)</f>
        <v/>
      </c>
      <c r="J620" s="18" t="str">
        <f aca="false">IF(B620="","",B620+Settings!$B$17)</f>
        <v/>
      </c>
      <c r="K620" s="13"/>
      <c r="L620" s="15"/>
      <c r="M620" s="17" t="str">
        <f aca="true">IF(F620="","",IF(AND(L620&lt;&gt;"",L620&gt;=I620),"Paid",IF(AND(L620&lt;&gt;"",L620&gt;0),"Part paid",IF(TODAY()&gt;J620,"Overdue","Due"))))</f>
        <v/>
      </c>
      <c r="N620" s="19" t="str">
        <f aca="true">IF(M620="Overdue",TODAY()-J620,"")</f>
        <v/>
      </c>
      <c r="O620" s="14"/>
    </row>
    <row r="621" customFormat="false" ht="15" hidden="false" customHeight="false" outlineLevel="0" collapsed="false">
      <c r="A621" s="14"/>
      <c r="B621" s="13"/>
      <c r="C621" s="14"/>
      <c r="D621" s="14"/>
      <c r="E621" s="14"/>
      <c r="F621" s="15"/>
      <c r="G621" s="14"/>
      <c r="H621" s="19" t="str">
        <f aca="false">IF(F621="","",IF(G621="Y",F621*Settings!$B$16,0))</f>
        <v/>
      </c>
      <c r="I621" s="19" t="str">
        <f aca="false">IF(F621="","",F621+H621)</f>
        <v/>
      </c>
      <c r="J621" s="18" t="str">
        <f aca="false">IF(B621="","",B621+Settings!$B$17)</f>
        <v/>
      </c>
      <c r="K621" s="13"/>
      <c r="L621" s="15"/>
      <c r="M621" s="17" t="str">
        <f aca="true">IF(F621="","",IF(AND(L621&lt;&gt;"",L621&gt;=I621),"Paid",IF(AND(L621&lt;&gt;"",L621&gt;0),"Part paid",IF(TODAY()&gt;J621,"Overdue","Due"))))</f>
        <v/>
      </c>
      <c r="N621" s="19" t="str">
        <f aca="true">IF(M621="Overdue",TODAY()-J621,"")</f>
        <v/>
      </c>
      <c r="O621" s="14"/>
    </row>
    <row r="622" customFormat="false" ht="15" hidden="false" customHeight="false" outlineLevel="0" collapsed="false">
      <c r="A622" s="14"/>
      <c r="B622" s="13"/>
      <c r="C622" s="14"/>
      <c r="D622" s="14"/>
      <c r="E622" s="14"/>
      <c r="F622" s="15"/>
      <c r="G622" s="14"/>
      <c r="H622" s="19" t="str">
        <f aca="false">IF(F622="","",IF(G622="Y",F622*Settings!$B$16,0))</f>
        <v/>
      </c>
      <c r="I622" s="19" t="str">
        <f aca="false">IF(F622="","",F622+H622)</f>
        <v/>
      </c>
      <c r="J622" s="18" t="str">
        <f aca="false">IF(B622="","",B622+Settings!$B$17)</f>
        <v/>
      </c>
      <c r="K622" s="13"/>
      <c r="L622" s="15"/>
      <c r="M622" s="17" t="str">
        <f aca="true">IF(F622="","",IF(AND(L622&lt;&gt;"",L622&gt;=I622),"Paid",IF(AND(L622&lt;&gt;"",L622&gt;0),"Part paid",IF(TODAY()&gt;J622,"Overdue","Due"))))</f>
        <v/>
      </c>
      <c r="N622" s="19" t="str">
        <f aca="true">IF(M622="Overdue",TODAY()-J622,"")</f>
        <v/>
      </c>
      <c r="O622" s="14"/>
    </row>
    <row r="623" customFormat="false" ht="15" hidden="false" customHeight="false" outlineLevel="0" collapsed="false">
      <c r="A623" s="14"/>
      <c r="B623" s="13"/>
      <c r="C623" s="14"/>
      <c r="D623" s="14"/>
      <c r="E623" s="14"/>
      <c r="F623" s="15"/>
      <c r="G623" s="14"/>
      <c r="H623" s="19" t="str">
        <f aca="false">IF(F623="","",IF(G623="Y",F623*Settings!$B$16,0))</f>
        <v/>
      </c>
      <c r="I623" s="19" t="str">
        <f aca="false">IF(F623="","",F623+H623)</f>
        <v/>
      </c>
      <c r="J623" s="18" t="str">
        <f aca="false">IF(B623="","",B623+Settings!$B$17)</f>
        <v/>
      </c>
      <c r="K623" s="13"/>
      <c r="L623" s="15"/>
      <c r="M623" s="17" t="str">
        <f aca="true">IF(F623="","",IF(AND(L623&lt;&gt;"",L623&gt;=I623),"Paid",IF(AND(L623&lt;&gt;"",L623&gt;0),"Part paid",IF(TODAY()&gt;J623,"Overdue","Due"))))</f>
        <v/>
      </c>
      <c r="N623" s="19" t="str">
        <f aca="true">IF(M623="Overdue",TODAY()-J623,"")</f>
        <v/>
      </c>
      <c r="O623" s="14"/>
    </row>
    <row r="624" customFormat="false" ht="15" hidden="false" customHeight="false" outlineLevel="0" collapsed="false">
      <c r="A624" s="14"/>
      <c r="B624" s="13"/>
      <c r="C624" s="14"/>
      <c r="D624" s="14"/>
      <c r="E624" s="14"/>
      <c r="F624" s="15"/>
      <c r="G624" s="14"/>
      <c r="H624" s="19" t="str">
        <f aca="false">IF(F624="","",IF(G624="Y",F624*Settings!$B$16,0))</f>
        <v/>
      </c>
      <c r="I624" s="19" t="str">
        <f aca="false">IF(F624="","",F624+H624)</f>
        <v/>
      </c>
      <c r="J624" s="18" t="str">
        <f aca="false">IF(B624="","",B624+Settings!$B$17)</f>
        <v/>
      </c>
      <c r="K624" s="13"/>
      <c r="L624" s="15"/>
      <c r="M624" s="17" t="str">
        <f aca="true">IF(F624="","",IF(AND(L624&lt;&gt;"",L624&gt;=I624),"Paid",IF(AND(L624&lt;&gt;"",L624&gt;0),"Part paid",IF(TODAY()&gt;J624,"Overdue","Due"))))</f>
        <v/>
      </c>
      <c r="N624" s="19" t="str">
        <f aca="true">IF(M624="Overdue",TODAY()-J624,"")</f>
        <v/>
      </c>
      <c r="O624" s="14"/>
    </row>
    <row r="625" customFormat="false" ht="15" hidden="false" customHeight="false" outlineLevel="0" collapsed="false">
      <c r="A625" s="14"/>
      <c r="B625" s="13"/>
      <c r="C625" s="14"/>
      <c r="D625" s="14"/>
      <c r="E625" s="14"/>
      <c r="F625" s="15"/>
      <c r="G625" s="14"/>
      <c r="H625" s="19" t="str">
        <f aca="false">IF(F625="","",IF(G625="Y",F625*Settings!$B$16,0))</f>
        <v/>
      </c>
      <c r="I625" s="19" t="str">
        <f aca="false">IF(F625="","",F625+H625)</f>
        <v/>
      </c>
      <c r="J625" s="18" t="str">
        <f aca="false">IF(B625="","",B625+Settings!$B$17)</f>
        <v/>
      </c>
      <c r="K625" s="13"/>
      <c r="L625" s="15"/>
      <c r="M625" s="17" t="str">
        <f aca="true">IF(F625="","",IF(AND(L625&lt;&gt;"",L625&gt;=I625),"Paid",IF(AND(L625&lt;&gt;"",L625&gt;0),"Part paid",IF(TODAY()&gt;J625,"Overdue","Due"))))</f>
        <v/>
      </c>
      <c r="N625" s="19" t="str">
        <f aca="true">IF(M625="Overdue",TODAY()-J625,"")</f>
        <v/>
      </c>
      <c r="O625" s="14"/>
    </row>
    <row r="626" customFormat="false" ht="15" hidden="false" customHeight="false" outlineLevel="0" collapsed="false">
      <c r="A626" s="14"/>
      <c r="B626" s="13"/>
      <c r="C626" s="14"/>
      <c r="D626" s="14"/>
      <c r="E626" s="14"/>
      <c r="F626" s="15"/>
      <c r="G626" s="14"/>
      <c r="H626" s="19" t="str">
        <f aca="false">IF(F626="","",IF(G626="Y",F626*Settings!$B$16,0))</f>
        <v/>
      </c>
      <c r="I626" s="19" t="str">
        <f aca="false">IF(F626="","",F626+H626)</f>
        <v/>
      </c>
      <c r="J626" s="18" t="str">
        <f aca="false">IF(B626="","",B626+Settings!$B$17)</f>
        <v/>
      </c>
      <c r="K626" s="13"/>
      <c r="L626" s="15"/>
      <c r="M626" s="17" t="str">
        <f aca="true">IF(F626="","",IF(AND(L626&lt;&gt;"",L626&gt;=I626),"Paid",IF(AND(L626&lt;&gt;"",L626&gt;0),"Part paid",IF(TODAY()&gt;J626,"Overdue","Due"))))</f>
        <v/>
      </c>
      <c r="N626" s="19" t="str">
        <f aca="true">IF(M626="Overdue",TODAY()-J626,"")</f>
        <v/>
      </c>
      <c r="O626" s="14"/>
    </row>
    <row r="627" customFormat="false" ht="15" hidden="false" customHeight="false" outlineLevel="0" collapsed="false">
      <c r="A627" s="14"/>
      <c r="B627" s="13"/>
      <c r="C627" s="14"/>
      <c r="D627" s="14"/>
      <c r="E627" s="14"/>
      <c r="F627" s="15"/>
      <c r="G627" s="14"/>
      <c r="H627" s="19" t="str">
        <f aca="false">IF(F627="","",IF(G627="Y",F627*Settings!$B$16,0))</f>
        <v/>
      </c>
      <c r="I627" s="19" t="str">
        <f aca="false">IF(F627="","",F627+H627)</f>
        <v/>
      </c>
      <c r="J627" s="18" t="str">
        <f aca="false">IF(B627="","",B627+Settings!$B$17)</f>
        <v/>
      </c>
      <c r="K627" s="13"/>
      <c r="L627" s="15"/>
      <c r="M627" s="17" t="str">
        <f aca="true">IF(F627="","",IF(AND(L627&lt;&gt;"",L627&gt;=I627),"Paid",IF(AND(L627&lt;&gt;"",L627&gt;0),"Part paid",IF(TODAY()&gt;J627,"Overdue","Due"))))</f>
        <v/>
      </c>
      <c r="N627" s="19" t="str">
        <f aca="true">IF(M627="Overdue",TODAY()-J627,"")</f>
        <v/>
      </c>
      <c r="O627" s="14"/>
    </row>
    <row r="628" customFormat="false" ht="15" hidden="false" customHeight="false" outlineLevel="0" collapsed="false">
      <c r="A628" s="14"/>
      <c r="B628" s="13"/>
      <c r="C628" s="14"/>
      <c r="D628" s="14"/>
      <c r="E628" s="14"/>
      <c r="F628" s="15"/>
      <c r="G628" s="14"/>
      <c r="H628" s="19" t="str">
        <f aca="false">IF(F628="","",IF(G628="Y",F628*Settings!$B$16,0))</f>
        <v/>
      </c>
      <c r="I628" s="19" t="str">
        <f aca="false">IF(F628="","",F628+H628)</f>
        <v/>
      </c>
      <c r="J628" s="18" t="str">
        <f aca="false">IF(B628="","",B628+Settings!$B$17)</f>
        <v/>
      </c>
      <c r="K628" s="13"/>
      <c r="L628" s="15"/>
      <c r="M628" s="17" t="str">
        <f aca="true">IF(F628="","",IF(AND(L628&lt;&gt;"",L628&gt;=I628),"Paid",IF(AND(L628&lt;&gt;"",L628&gt;0),"Part paid",IF(TODAY()&gt;J628,"Overdue","Due"))))</f>
        <v/>
      </c>
      <c r="N628" s="19" t="str">
        <f aca="true">IF(M628="Overdue",TODAY()-J628,"")</f>
        <v/>
      </c>
      <c r="O628" s="14"/>
    </row>
    <row r="629" customFormat="false" ht="15" hidden="false" customHeight="false" outlineLevel="0" collapsed="false">
      <c r="A629" s="14"/>
      <c r="B629" s="13"/>
      <c r="C629" s="14"/>
      <c r="D629" s="14"/>
      <c r="E629" s="14"/>
      <c r="F629" s="15"/>
      <c r="G629" s="14"/>
      <c r="H629" s="19" t="str">
        <f aca="false">IF(F629="","",IF(G629="Y",F629*Settings!$B$16,0))</f>
        <v/>
      </c>
      <c r="I629" s="19" t="str">
        <f aca="false">IF(F629="","",F629+H629)</f>
        <v/>
      </c>
      <c r="J629" s="18" t="str">
        <f aca="false">IF(B629="","",B629+Settings!$B$17)</f>
        <v/>
      </c>
      <c r="K629" s="13"/>
      <c r="L629" s="15"/>
      <c r="M629" s="17" t="str">
        <f aca="true">IF(F629="","",IF(AND(L629&lt;&gt;"",L629&gt;=I629),"Paid",IF(AND(L629&lt;&gt;"",L629&gt;0),"Part paid",IF(TODAY()&gt;J629,"Overdue","Due"))))</f>
        <v/>
      </c>
      <c r="N629" s="19" t="str">
        <f aca="true">IF(M629="Overdue",TODAY()-J629,"")</f>
        <v/>
      </c>
      <c r="O629" s="14"/>
    </row>
    <row r="630" customFormat="false" ht="15" hidden="false" customHeight="false" outlineLevel="0" collapsed="false">
      <c r="A630" s="14"/>
      <c r="B630" s="13"/>
      <c r="C630" s="14"/>
      <c r="D630" s="14"/>
      <c r="E630" s="14"/>
      <c r="F630" s="15"/>
      <c r="G630" s="14"/>
      <c r="H630" s="19" t="str">
        <f aca="false">IF(F630="","",IF(G630="Y",F630*Settings!$B$16,0))</f>
        <v/>
      </c>
      <c r="I630" s="19" t="str">
        <f aca="false">IF(F630="","",F630+H630)</f>
        <v/>
      </c>
      <c r="J630" s="18" t="str">
        <f aca="false">IF(B630="","",B630+Settings!$B$17)</f>
        <v/>
      </c>
      <c r="K630" s="13"/>
      <c r="L630" s="15"/>
      <c r="M630" s="17" t="str">
        <f aca="true">IF(F630="","",IF(AND(L630&lt;&gt;"",L630&gt;=I630),"Paid",IF(AND(L630&lt;&gt;"",L630&gt;0),"Part paid",IF(TODAY()&gt;J630,"Overdue","Due"))))</f>
        <v/>
      </c>
      <c r="N630" s="19" t="str">
        <f aca="true">IF(M630="Overdue",TODAY()-J630,"")</f>
        <v/>
      </c>
      <c r="O630" s="14"/>
    </row>
    <row r="631" customFormat="false" ht="15" hidden="false" customHeight="false" outlineLevel="0" collapsed="false">
      <c r="A631" s="14"/>
      <c r="B631" s="13"/>
      <c r="C631" s="14"/>
      <c r="D631" s="14"/>
      <c r="E631" s="14"/>
      <c r="F631" s="15"/>
      <c r="G631" s="14"/>
      <c r="H631" s="19" t="str">
        <f aca="false">IF(F631="","",IF(G631="Y",F631*Settings!$B$16,0))</f>
        <v/>
      </c>
      <c r="I631" s="19" t="str">
        <f aca="false">IF(F631="","",F631+H631)</f>
        <v/>
      </c>
      <c r="J631" s="18" t="str">
        <f aca="false">IF(B631="","",B631+Settings!$B$17)</f>
        <v/>
      </c>
      <c r="K631" s="13"/>
      <c r="L631" s="15"/>
      <c r="M631" s="17" t="str">
        <f aca="true">IF(F631="","",IF(AND(L631&lt;&gt;"",L631&gt;=I631),"Paid",IF(AND(L631&lt;&gt;"",L631&gt;0),"Part paid",IF(TODAY()&gt;J631,"Overdue","Due"))))</f>
        <v/>
      </c>
      <c r="N631" s="19" t="str">
        <f aca="true">IF(M631="Overdue",TODAY()-J631,"")</f>
        <v/>
      </c>
      <c r="O631" s="14"/>
    </row>
    <row r="632" customFormat="false" ht="15" hidden="false" customHeight="false" outlineLevel="0" collapsed="false">
      <c r="A632" s="14"/>
      <c r="B632" s="13"/>
      <c r="C632" s="14"/>
      <c r="D632" s="14"/>
      <c r="E632" s="14"/>
      <c r="F632" s="15"/>
      <c r="G632" s="14"/>
      <c r="H632" s="19" t="str">
        <f aca="false">IF(F632="","",IF(G632="Y",F632*Settings!$B$16,0))</f>
        <v/>
      </c>
      <c r="I632" s="19" t="str">
        <f aca="false">IF(F632="","",F632+H632)</f>
        <v/>
      </c>
      <c r="J632" s="18" t="str">
        <f aca="false">IF(B632="","",B632+Settings!$B$17)</f>
        <v/>
      </c>
      <c r="K632" s="13"/>
      <c r="L632" s="15"/>
      <c r="M632" s="17" t="str">
        <f aca="true">IF(F632="","",IF(AND(L632&lt;&gt;"",L632&gt;=I632),"Paid",IF(AND(L632&lt;&gt;"",L632&gt;0),"Part paid",IF(TODAY()&gt;J632,"Overdue","Due"))))</f>
        <v/>
      </c>
      <c r="N632" s="19" t="str">
        <f aca="true">IF(M632="Overdue",TODAY()-J632,"")</f>
        <v/>
      </c>
      <c r="O632" s="14"/>
    </row>
    <row r="633" customFormat="false" ht="15" hidden="false" customHeight="false" outlineLevel="0" collapsed="false">
      <c r="A633" s="14"/>
      <c r="B633" s="13"/>
      <c r="C633" s="14"/>
      <c r="D633" s="14"/>
      <c r="E633" s="14"/>
      <c r="F633" s="15"/>
      <c r="G633" s="14"/>
      <c r="H633" s="19" t="str">
        <f aca="false">IF(F633="","",IF(G633="Y",F633*Settings!$B$16,0))</f>
        <v/>
      </c>
      <c r="I633" s="19" t="str">
        <f aca="false">IF(F633="","",F633+H633)</f>
        <v/>
      </c>
      <c r="J633" s="18" t="str">
        <f aca="false">IF(B633="","",B633+Settings!$B$17)</f>
        <v/>
      </c>
      <c r="K633" s="13"/>
      <c r="L633" s="15"/>
      <c r="M633" s="17" t="str">
        <f aca="true">IF(F633="","",IF(AND(L633&lt;&gt;"",L633&gt;=I633),"Paid",IF(AND(L633&lt;&gt;"",L633&gt;0),"Part paid",IF(TODAY()&gt;J633,"Overdue","Due"))))</f>
        <v/>
      </c>
      <c r="N633" s="19" t="str">
        <f aca="true">IF(M633="Overdue",TODAY()-J633,"")</f>
        <v/>
      </c>
      <c r="O633" s="14"/>
    </row>
    <row r="634" customFormat="false" ht="15" hidden="false" customHeight="false" outlineLevel="0" collapsed="false">
      <c r="A634" s="14"/>
      <c r="B634" s="13"/>
      <c r="C634" s="14"/>
      <c r="D634" s="14"/>
      <c r="E634" s="14"/>
      <c r="F634" s="15"/>
      <c r="G634" s="14"/>
      <c r="H634" s="19" t="str">
        <f aca="false">IF(F634="","",IF(G634="Y",F634*Settings!$B$16,0))</f>
        <v/>
      </c>
      <c r="I634" s="19" t="str">
        <f aca="false">IF(F634="","",F634+H634)</f>
        <v/>
      </c>
      <c r="J634" s="18" t="str">
        <f aca="false">IF(B634="","",B634+Settings!$B$17)</f>
        <v/>
      </c>
      <c r="K634" s="13"/>
      <c r="L634" s="15"/>
      <c r="M634" s="17" t="str">
        <f aca="true">IF(F634="","",IF(AND(L634&lt;&gt;"",L634&gt;=I634),"Paid",IF(AND(L634&lt;&gt;"",L634&gt;0),"Part paid",IF(TODAY()&gt;J634,"Overdue","Due"))))</f>
        <v/>
      </c>
      <c r="N634" s="19" t="str">
        <f aca="true">IF(M634="Overdue",TODAY()-J634,"")</f>
        <v/>
      </c>
      <c r="O634" s="14"/>
    </row>
    <row r="635" customFormat="false" ht="15" hidden="false" customHeight="false" outlineLevel="0" collapsed="false">
      <c r="A635" s="14"/>
      <c r="B635" s="13"/>
      <c r="C635" s="14"/>
      <c r="D635" s="14"/>
      <c r="E635" s="14"/>
      <c r="F635" s="15"/>
      <c r="G635" s="14"/>
      <c r="H635" s="19" t="str">
        <f aca="false">IF(F635="","",IF(G635="Y",F635*Settings!$B$16,0))</f>
        <v/>
      </c>
      <c r="I635" s="19" t="str">
        <f aca="false">IF(F635="","",F635+H635)</f>
        <v/>
      </c>
      <c r="J635" s="18" t="str">
        <f aca="false">IF(B635="","",B635+Settings!$B$17)</f>
        <v/>
      </c>
      <c r="K635" s="13"/>
      <c r="L635" s="15"/>
      <c r="M635" s="17" t="str">
        <f aca="true">IF(F635="","",IF(AND(L635&lt;&gt;"",L635&gt;=I635),"Paid",IF(AND(L635&lt;&gt;"",L635&gt;0),"Part paid",IF(TODAY()&gt;J635,"Overdue","Due"))))</f>
        <v/>
      </c>
      <c r="N635" s="19" t="str">
        <f aca="true">IF(M635="Overdue",TODAY()-J635,"")</f>
        <v/>
      </c>
      <c r="O635" s="14"/>
    </row>
    <row r="636" customFormat="false" ht="15" hidden="false" customHeight="false" outlineLevel="0" collapsed="false">
      <c r="A636" s="14"/>
      <c r="B636" s="13"/>
      <c r="C636" s="14"/>
      <c r="D636" s="14"/>
      <c r="E636" s="14"/>
      <c r="F636" s="15"/>
      <c r="G636" s="14"/>
      <c r="H636" s="19" t="str">
        <f aca="false">IF(F636="","",IF(G636="Y",F636*Settings!$B$16,0))</f>
        <v/>
      </c>
      <c r="I636" s="19" t="str">
        <f aca="false">IF(F636="","",F636+H636)</f>
        <v/>
      </c>
      <c r="J636" s="18" t="str">
        <f aca="false">IF(B636="","",B636+Settings!$B$17)</f>
        <v/>
      </c>
      <c r="K636" s="13"/>
      <c r="L636" s="15"/>
      <c r="M636" s="17" t="str">
        <f aca="true">IF(F636="","",IF(AND(L636&lt;&gt;"",L636&gt;=I636),"Paid",IF(AND(L636&lt;&gt;"",L636&gt;0),"Part paid",IF(TODAY()&gt;J636,"Overdue","Due"))))</f>
        <v/>
      </c>
      <c r="N636" s="19" t="str">
        <f aca="true">IF(M636="Overdue",TODAY()-J636,"")</f>
        <v/>
      </c>
      <c r="O636" s="14"/>
    </row>
    <row r="637" customFormat="false" ht="15" hidden="false" customHeight="false" outlineLevel="0" collapsed="false">
      <c r="A637" s="14"/>
      <c r="B637" s="13"/>
      <c r="C637" s="14"/>
      <c r="D637" s="14"/>
      <c r="E637" s="14"/>
      <c r="F637" s="15"/>
      <c r="G637" s="14"/>
      <c r="H637" s="19" t="str">
        <f aca="false">IF(F637="","",IF(G637="Y",F637*Settings!$B$16,0))</f>
        <v/>
      </c>
      <c r="I637" s="19" t="str">
        <f aca="false">IF(F637="","",F637+H637)</f>
        <v/>
      </c>
      <c r="J637" s="18" t="str">
        <f aca="false">IF(B637="","",B637+Settings!$B$17)</f>
        <v/>
      </c>
      <c r="K637" s="13"/>
      <c r="L637" s="15"/>
      <c r="M637" s="17" t="str">
        <f aca="true">IF(F637="","",IF(AND(L637&lt;&gt;"",L637&gt;=I637),"Paid",IF(AND(L637&lt;&gt;"",L637&gt;0),"Part paid",IF(TODAY()&gt;J637,"Overdue","Due"))))</f>
        <v/>
      </c>
      <c r="N637" s="19" t="str">
        <f aca="true">IF(M637="Overdue",TODAY()-J637,"")</f>
        <v/>
      </c>
      <c r="O637" s="14"/>
    </row>
    <row r="638" customFormat="false" ht="15" hidden="false" customHeight="false" outlineLevel="0" collapsed="false">
      <c r="A638" s="14"/>
      <c r="B638" s="13"/>
      <c r="C638" s="14"/>
      <c r="D638" s="14"/>
      <c r="E638" s="14"/>
      <c r="F638" s="15"/>
      <c r="G638" s="14"/>
      <c r="H638" s="19" t="str">
        <f aca="false">IF(F638="","",IF(G638="Y",F638*Settings!$B$16,0))</f>
        <v/>
      </c>
      <c r="I638" s="19" t="str">
        <f aca="false">IF(F638="","",F638+H638)</f>
        <v/>
      </c>
      <c r="J638" s="18" t="str">
        <f aca="false">IF(B638="","",B638+Settings!$B$17)</f>
        <v/>
      </c>
      <c r="K638" s="13"/>
      <c r="L638" s="15"/>
      <c r="M638" s="17" t="str">
        <f aca="true">IF(F638="","",IF(AND(L638&lt;&gt;"",L638&gt;=I638),"Paid",IF(AND(L638&lt;&gt;"",L638&gt;0),"Part paid",IF(TODAY()&gt;J638,"Overdue","Due"))))</f>
        <v/>
      </c>
      <c r="N638" s="19" t="str">
        <f aca="true">IF(M638="Overdue",TODAY()-J638,"")</f>
        <v/>
      </c>
      <c r="O638" s="14"/>
    </row>
    <row r="639" customFormat="false" ht="15" hidden="false" customHeight="false" outlineLevel="0" collapsed="false">
      <c r="A639" s="14"/>
      <c r="B639" s="13"/>
      <c r="C639" s="14"/>
      <c r="D639" s="14"/>
      <c r="E639" s="14"/>
      <c r="F639" s="15"/>
      <c r="G639" s="14"/>
      <c r="H639" s="19" t="str">
        <f aca="false">IF(F639="","",IF(G639="Y",F639*Settings!$B$16,0))</f>
        <v/>
      </c>
      <c r="I639" s="19" t="str">
        <f aca="false">IF(F639="","",F639+H639)</f>
        <v/>
      </c>
      <c r="J639" s="18" t="str">
        <f aca="false">IF(B639="","",B639+Settings!$B$17)</f>
        <v/>
      </c>
      <c r="K639" s="13"/>
      <c r="L639" s="15"/>
      <c r="M639" s="17" t="str">
        <f aca="true">IF(F639="","",IF(AND(L639&lt;&gt;"",L639&gt;=I639),"Paid",IF(AND(L639&lt;&gt;"",L639&gt;0),"Part paid",IF(TODAY()&gt;J639,"Overdue","Due"))))</f>
        <v/>
      </c>
      <c r="N639" s="19" t="str">
        <f aca="true">IF(M639="Overdue",TODAY()-J639,"")</f>
        <v/>
      </c>
      <c r="O639" s="14"/>
    </row>
    <row r="640" customFormat="false" ht="15" hidden="false" customHeight="false" outlineLevel="0" collapsed="false">
      <c r="A640" s="14"/>
      <c r="B640" s="13"/>
      <c r="C640" s="14"/>
      <c r="D640" s="14"/>
      <c r="E640" s="14"/>
      <c r="F640" s="15"/>
      <c r="G640" s="14"/>
      <c r="H640" s="19" t="str">
        <f aca="false">IF(F640="","",IF(G640="Y",F640*Settings!$B$16,0))</f>
        <v/>
      </c>
      <c r="I640" s="19" t="str">
        <f aca="false">IF(F640="","",F640+H640)</f>
        <v/>
      </c>
      <c r="J640" s="18" t="str">
        <f aca="false">IF(B640="","",B640+Settings!$B$17)</f>
        <v/>
      </c>
      <c r="K640" s="13"/>
      <c r="L640" s="15"/>
      <c r="M640" s="17" t="str">
        <f aca="true">IF(F640="","",IF(AND(L640&lt;&gt;"",L640&gt;=I640),"Paid",IF(AND(L640&lt;&gt;"",L640&gt;0),"Part paid",IF(TODAY()&gt;J640,"Overdue","Due"))))</f>
        <v/>
      </c>
      <c r="N640" s="19" t="str">
        <f aca="true">IF(M640="Overdue",TODAY()-J640,"")</f>
        <v/>
      </c>
      <c r="O640" s="14"/>
    </row>
    <row r="641" customFormat="false" ht="15" hidden="false" customHeight="false" outlineLevel="0" collapsed="false">
      <c r="A641" s="14"/>
      <c r="B641" s="13"/>
      <c r="C641" s="14"/>
      <c r="D641" s="14"/>
      <c r="E641" s="14"/>
      <c r="F641" s="15"/>
      <c r="G641" s="14"/>
      <c r="H641" s="19" t="str">
        <f aca="false">IF(F641="","",IF(G641="Y",F641*Settings!$B$16,0))</f>
        <v/>
      </c>
      <c r="I641" s="19" t="str">
        <f aca="false">IF(F641="","",F641+H641)</f>
        <v/>
      </c>
      <c r="J641" s="18" t="str">
        <f aca="false">IF(B641="","",B641+Settings!$B$17)</f>
        <v/>
      </c>
      <c r="K641" s="13"/>
      <c r="L641" s="15"/>
      <c r="M641" s="17" t="str">
        <f aca="true">IF(F641="","",IF(AND(L641&lt;&gt;"",L641&gt;=I641),"Paid",IF(AND(L641&lt;&gt;"",L641&gt;0),"Part paid",IF(TODAY()&gt;J641,"Overdue","Due"))))</f>
        <v/>
      </c>
      <c r="N641" s="19" t="str">
        <f aca="true">IF(M641="Overdue",TODAY()-J641,"")</f>
        <v/>
      </c>
      <c r="O641" s="14"/>
    </row>
    <row r="642" customFormat="false" ht="15" hidden="false" customHeight="false" outlineLevel="0" collapsed="false">
      <c r="A642" s="14"/>
      <c r="B642" s="13"/>
      <c r="C642" s="14"/>
      <c r="D642" s="14"/>
      <c r="E642" s="14"/>
      <c r="F642" s="15"/>
      <c r="G642" s="14"/>
      <c r="H642" s="19" t="str">
        <f aca="false">IF(F642="","",IF(G642="Y",F642*Settings!$B$16,0))</f>
        <v/>
      </c>
      <c r="I642" s="19" t="str">
        <f aca="false">IF(F642="","",F642+H642)</f>
        <v/>
      </c>
      <c r="J642" s="18" t="str">
        <f aca="false">IF(B642="","",B642+Settings!$B$17)</f>
        <v/>
      </c>
      <c r="K642" s="13"/>
      <c r="L642" s="15"/>
      <c r="M642" s="17" t="str">
        <f aca="true">IF(F642="","",IF(AND(L642&lt;&gt;"",L642&gt;=I642),"Paid",IF(AND(L642&lt;&gt;"",L642&gt;0),"Part paid",IF(TODAY()&gt;J642,"Overdue","Due"))))</f>
        <v/>
      </c>
      <c r="N642" s="19" t="str">
        <f aca="true">IF(M642="Overdue",TODAY()-J642,"")</f>
        <v/>
      </c>
      <c r="O642" s="14"/>
    </row>
    <row r="643" customFormat="false" ht="15" hidden="false" customHeight="false" outlineLevel="0" collapsed="false">
      <c r="A643" s="14"/>
      <c r="B643" s="13"/>
      <c r="C643" s="14"/>
      <c r="D643" s="14"/>
      <c r="E643" s="14"/>
      <c r="F643" s="15"/>
      <c r="G643" s="14"/>
      <c r="H643" s="19" t="str">
        <f aca="false">IF(F643="","",IF(G643="Y",F643*Settings!$B$16,0))</f>
        <v/>
      </c>
      <c r="I643" s="19" t="str">
        <f aca="false">IF(F643="","",F643+H643)</f>
        <v/>
      </c>
      <c r="J643" s="18" t="str">
        <f aca="false">IF(B643="","",B643+Settings!$B$17)</f>
        <v/>
      </c>
      <c r="K643" s="13"/>
      <c r="L643" s="15"/>
      <c r="M643" s="17" t="str">
        <f aca="true">IF(F643="","",IF(AND(L643&lt;&gt;"",L643&gt;=I643),"Paid",IF(AND(L643&lt;&gt;"",L643&gt;0),"Part paid",IF(TODAY()&gt;J643,"Overdue","Due"))))</f>
        <v/>
      </c>
      <c r="N643" s="19" t="str">
        <f aca="true">IF(M643="Overdue",TODAY()-J643,"")</f>
        <v/>
      </c>
      <c r="O643" s="14"/>
    </row>
    <row r="644" customFormat="false" ht="15" hidden="false" customHeight="false" outlineLevel="0" collapsed="false">
      <c r="A644" s="14"/>
      <c r="B644" s="13"/>
      <c r="C644" s="14"/>
      <c r="D644" s="14"/>
      <c r="E644" s="14"/>
      <c r="F644" s="15"/>
      <c r="G644" s="14"/>
      <c r="H644" s="19" t="str">
        <f aca="false">IF(F644="","",IF(G644="Y",F644*Settings!$B$16,0))</f>
        <v/>
      </c>
      <c r="I644" s="19" t="str">
        <f aca="false">IF(F644="","",F644+H644)</f>
        <v/>
      </c>
      <c r="J644" s="18" t="str">
        <f aca="false">IF(B644="","",B644+Settings!$B$17)</f>
        <v/>
      </c>
      <c r="K644" s="13"/>
      <c r="L644" s="15"/>
      <c r="M644" s="17" t="str">
        <f aca="true">IF(F644="","",IF(AND(L644&lt;&gt;"",L644&gt;=I644),"Paid",IF(AND(L644&lt;&gt;"",L644&gt;0),"Part paid",IF(TODAY()&gt;J644,"Overdue","Due"))))</f>
        <v/>
      </c>
      <c r="N644" s="19" t="str">
        <f aca="true">IF(M644="Overdue",TODAY()-J644,"")</f>
        <v/>
      </c>
      <c r="O644" s="14"/>
    </row>
    <row r="645" customFormat="false" ht="15" hidden="false" customHeight="false" outlineLevel="0" collapsed="false">
      <c r="A645" s="14"/>
      <c r="B645" s="13"/>
      <c r="C645" s="14"/>
      <c r="D645" s="14"/>
      <c r="E645" s="14"/>
      <c r="F645" s="15"/>
      <c r="G645" s="14"/>
      <c r="H645" s="19" t="str">
        <f aca="false">IF(F645="","",IF(G645="Y",F645*Settings!$B$16,0))</f>
        <v/>
      </c>
      <c r="I645" s="19" t="str">
        <f aca="false">IF(F645="","",F645+H645)</f>
        <v/>
      </c>
      <c r="J645" s="18" t="str">
        <f aca="false">IF(B645="","",B645+Settings!$B$17)</f>
        <v/>
      </c>
      <c r="K645" s="13"/>
      <c r="L645" s="15"/>
      <c r="M645" s="17" t="str">
        <f aca="true">IF(F645="","",IF(AND(L645&lt;&gt;"",L645&gt;=I645),"Paid",IF(AND(L645&lt;&gt;"",L645&gt;0),"Part paid",IF(TODAY()&gt;J645,"Overdue","Due"))))</f>
        <v/>
      </c>
      <c r="N645" s="19" t="str">
        <f aca="true">IF(M645="Overdue",TODAY()-J645,"")</f>
        <v/>
      </c>
      <c r="O645" s="14"/>
    </row>
    <row r="646" customFormat="false" ht="15" hidden="false" customHeight="false" outlineLevel="0" collapsed="false">
      <c r="A646" s="14"/>
      <c r="B646" s="13"/>
      <c r="C646" s="14"/>
      <c r="D646" s="14"/>
      <c r="E646" s="14"/>
      <c r="F646" s="15"/>
      <c r="G646" s="14"/>
      <c r="H646" s="19" t="str">
        <f aca="false">IF(F646="","",IF(G646="Y",F646*Settings!$B$16,0))</f>
        <v/>
      </c>
      <c r="I646" s="19" t="str">
        <f aca="false">IF(F646="","",F646+H646)</f>
        <v/>
      </c>
      <c r="J646" s="18" t="str">
        <f aca="false">IF(B646="","",B646+Settings!$B$17)</f>
        <v/>
      </c>
      <c r="K646" s="13"/>
      <c r="L646" s="15"/>
      <c r="M646" s="17" t="str">
        <f aca="true">IF(F646="","",IF(AND(L646&lt;&gt;"",L646&gt;=I646),"Paid",IF(AND(L646&lt;&gt;"",L646&gt;0),"Part paid",IF(TODAY()&gt;J646,"Overdue","Due"))))</f>
        <v/>
      </c>
      <c r="N646" s="19" t="str">
        <f aca="true">IF(M646="Overdue",TODAY()-J646,"")</f>
        <v/>
      </c>
      <c r="O646" s="14"/>
    </row>
    <row r="647" customFormat="false" ht="15" hidden="false" customHeight="false" outlineLevel="0" collapsed="false">
      <c r="A647" s="14"/>
      <c r="B647" s="13"/>
      <c r="C647" s="14"/>
      <c r="D647" s="14"/>
      <c r="E647" s="14"/>
      <c r="F647" s="15"/>
      <c r="G647" s="14"/>
      <c r="H647" s="19" t="str">
        <f aca="false">IF(F647="","",IF(G647="Y",F647*Settings!$B$16,0))</f>
        <v/>
      </c>
      <c r="I647" s="19" t="str">
        <f aca="false">IF(F647="","",F647+H647)</f>
        <v/>
      </c>
      <c r="J647" s="18" t="str">
        <f aca="false">IF(B647="","",B647+Settings!$B$17)</f>
        <v/>
      </c>
      <c r="K647" s="13"/>
      <c r="L647" s="15"/>
      <c r="M647" s="17" t="str">
        <f aca="true">IF(F647="","",IF(AND(L647&lt;&gt;"",L647&gt;=I647),"Paid",IF(AND(L647&lt;&gt;"",L647&gt;0),"Part paid",IF(TODAY()&gt;J647,"Overdue","Due"))))</f>
        <v/>
      </c>
      <c r="N647" s="19" t="str">
        <f aca="true">IF(M647="Overdue",TODAY()-J647,"")</f>
        <v/>
      </c>
      <c r="O647" s="14"/>
    </row>
    <row r="648" customFormat="false" ht="15" hidden="false" customHeight="false" outlineLevel="0" collapsed="false">
      <c r="A648" s="14"/>
      <c r="B648" s="13"/>
      <c r="C648" s="14"/>
      <c r="D648" s="14"/>
      <c r="E648" s="14"/>
      <c r="F648" s="15"/>
      <c r="G648" s="14"/>
      <c r="H648" s="19" t="str">
        <f aca="false">IF(F648="","",IF(G648="Y",F648*Settings!$B$16,0))</f>
        <v/>
      </c>
      <c r="I648" s="19" t="str">
        <f aca="false">IF(F648="","",F648+H648)</f>
        <v/>
      </c>
      <c r="J648" s="18" t="str">
        <f aca="false">IF(B648="","",B648+Settings!$B$17)</f>
        <v/>
      </c>
      <c r="K648" s="13"/>
      <c r="L648" s="15"/>
      <c r="M648" s="17" t="str">
        <f aca="true">IF(F648="","",IF(AND(L648&lt;&gt;"",L648&gt;=I648),"Paid",IF(AND(L648&lt;&gt;"",L648&gt;0),"Part paid",IF(TODAY()&gt;J648,"Overdue","Due"))))</f>
        <v/>
      </c>
      <c r="N648" s="19" t="str">
        <f aca="true">IF(M648="Overdue",TODAY()-J648,"")</f>
        <v/>
      </c>
      <c r="O648" s="14"/>
    </row>
    <row r="649" customFormat="false" ht="15" hidden="false" customHeight="false" outlineLevel="0" collapsed="false">
      <c r="A649" s="14"/>
      <c r="B649" s="13"/>
      <c r="C649" s="14"/>
      <c r="D649" s="14"/>
      <c r="E649" s="14"/>
      <c r="F649" s="15"/>
      <c r="G649" s="14"/>
      <c r="H649" s="19" t="str">
        <f aca="false">IF(F649="","",IF(G649="Y",F649*Settings!$B$16,0))</f>
        <v/>
      </c>
      <c r="I649" s="19" t="str">
        <f aca="false">IF(F649="","",F649+H649)</f>
        <v/>
      </c>
      <c r="J649" s="18" t="str">
        <f aca="false">IF(B649="","",B649+Settings!$B$17)</f>
        <v/>
      </c>
      <c r="K649" s="13"/>
      <c r="L649" s="15"/>
      <c r="M649" s="17" t="str">
        <f aca="true">IF(F649="","",IF(AND(L649&lt;&gt;"",L649&gt;=I649),"Paid",IF(AND(L649&lt;&gt;"",L649&gt;0),"Part paid",IF(TODAY()&gt;J649,"Overdue","Due"))))</f>
        <v/>
      </c>
      <c r="N649" s="19" t="str">
        <f aca="true">IF(M649="Overdue",TODAY()-J649,"")</f>
        <v/>
      </c>
      <c r="O649" s="14"/>
    </row>
    <row r="650" customFormat="false" ht="15" hidden="false" customHeight="false" outlineLevel="0" collapsed="false">
      <c r="A650" s="14"/>
      <c r="B650" s="13"/>
      <c r="C650" s="14"/>
      <c r="D650" s="14"/>
      <c r="E650" s="14"/>
      <c r="F650" s="15"/>
      <c r="G650" s="14"/>
      <c r="H650" s="19" t="str">
        <f aca="false">IF(F650="","",IF(G650="Y",F650*Settings!$B$16,0))</f>
        <v/>
      </c>
      <c r="I650" s="19" t="str">
        <f aca="false">IF(F650="","",F650+H650)</f>
        <v/>
      </c>
      <c r="J650" s="18" t="str">
        <f aca="false">IF(B650="","",B650+Settings!$B$17)</f>
        <v/>
      </c>
      <c r="K650" s="13"/>
      <c r="L650" s="15"/>
      <c r="M650" s="17" t="str">
        <f aca="true">IF(F650="","",IF(AND(L650&lt;&gt;"",L650&gt;=I650),"Paid",IF(AND(L650&lt;&gt;"",L650&gt;0),"Part paid",IF(TODAY()&gt;J650,"Overdue","Due"))))</f>
        <v/>
      </c>
      <c r="N650" s="19" t="str">
        <f aca="true">IF(M650="Overdue",TODAY()-J650,"")</f>
        <v/>
      </c>
      <c r="O650" s="14"/>
    </row>
    <row r="651" customFormat="false" ht="15" hidden="false" customHeight="false" outlineLevel="0" collapsed="false">
      <c r="A651" s="14"/>
      <c r="B651" s="13"/>
      <c r="C651" s="14"/>
      <c r="D651" s="14"/>
      <c r="E651" s="14"/>
      <c r="F651" s="15"/>
      <c r="G651" s="14"/>
      <c r="H651" s="19" t="str">
        <f aca="false">IF(F651="","",IF(G651="Y",F651*Settings!$B$16,0))</f>
        <v/>
      </c>
      <c r="I651" s="19" t="str">
        <f aca="false">IF(F651="","",F651+H651)</f>
        <v/>
      </c>
      <c r="J651" s="18" t="str">
        <f aca="false">IF(B651="","",B651+Settings!$B$17)</f>
        <v/>
      </c>
      <c r="K651" s="13"/>
      <c r="L651" s="15"/>
      <c r="M651" s="17" t="str">
        <f aca="true">IF(F651="","",IF(AND(L651&lt;&gt;"",L651&gt;=I651),"Paid",IF(AND(L651&lt;&gt;"",L651&gt;0),"Part paid",IF(TODAY()&gt;J651,"Overdue","Due"))))</f>
        <v/>
      </c>
      <c r="N651" s="19" t="str">
        <f aca="true">IF(M651="Overdue",TODAY()-J651,"")</f>
        <v/>
      </c>
      <c r="O651" s="14"/>
    </row>
    <row r="652" customFormat="false" ht="15" hidden="false" customHeight="false" outlineLevel="0" collapsed="false">
      <c r="A652" s="14"/>
      <c r="B652" s="13"/>
      <c r="C652" s="14"/>
      <c r="D652" s="14"/>
      <c r="E652" s="14"/>
      <c r="F652" s="15"/>
      <c r="G652" s="14"/>
      <c r="H652" s="19" t="str">
        <f aca="false">IF(F652="","",IF(G652="Y",F652*Settings!$B$16,0))</f>
        <v/>
      </c>
      <c r="I652" s="19" t="str">
        <f aca="false">IF(F652="","",F652+H652)</f>
        <v/>
      </c>
      <c r="J652" s="18" t="str">
        <f aca="false">IF(B652="","",B652+Settings!$B$17)</f>
        <v/>
      </c>
      <c r="K652" s="13"/>
      <c r="L652" s="15"/>
      <c r="M652" s="17" t="str">
        <f aca="true">IF(F652="","",IF(AND(L652&lt;&gt;"",L652&gt;=I652),"Paid",IF(AND(L652&lt;&gt;"",L652&gt;0),"Part paid",IF(TODAY()&gt;J652,"Overdue","Due"))))</f>
        <v/>
      </c>
      <c r="N652" s="19" t="str">
        <f aca="true">IF(M652="Overdue",TODAY()-J652,"")</f>
        <v/>
      </c>
      <c r="O652" s="14"/>
    </row>
    <row r="653" customFormat="false" ht="15" hidden="false" customHeight="false" outlineLevel="0" collapsed="false">
      <c r="A653" s="14"/>
      <c r="B653" s="13"/>
      <c r="C653" s="14"/>
      <c r="D653" s="14"/>
      <c r="E653" s="14"/>
      <c r="F653" s="15"/>
      <c r="G653" s="14"/>
      <c r="H653" s="19" t="str">
        <f aca="false">IF(F653="","",IF(G653="Y",F653*Settings!$B$16,0))</f>
        <v/>
      </c>
      <c r="I653" s="19" t="str">
        <f aca="false">IF(F653="","",F653+H653)</f>
        <v/>
      </c>
      <c r="J653" s="18" t="str">
        <f aca="false">IF(B653="","",B653+Settings!$B$17)</f>
        <v/>
      </c>
      <c r="K653" s="13"/>
      <c r="L653" s="15"/>
      <c r="M653" s="17" t="str">
        <f aca="true">IF(F653="","",IF(AND(L653&lt;&gt;"",L653&gt;=I653),"Paid",IF(AND(L653&lt;&gt;"",L653&gt;0),"Part paid",IF(TODAY()&gt;J653,"Overdue","Due"))))</f>
        <v/>
      </c>
      <c r="N653" s="19" t="str">
        <f aca="true">IF(M653="Overdue",TODAY()-J653,"")</f>
        <v/>
      </c>
      <c r="O653" s="14"/>
    </row>
    <row r="654" customFormat="false" ht="15" hidden="false" customHeight="false" outlineLevel="0" collapsed="false">
      <c r="A654" s="14"/>
      <c r="B654" s="13"/>
      <c r="C654" s="14"/>
      <c r="D654" s="14"/>
      <c r="E654" s="14"/>
      <c r="F654" s="15"/>
      <c r="G654" s="14"/>
      <c r="H654" s="19" t="str">
        <f aca="false">IF(F654="","",IF(G654="Y",F654*Settings!$B$16,0))</f>
        <v/>
      </c>
      <c r="I654" s="19" t="str">
        <f aca="false">IF(F654="","",F654+H654)</f>
        <v/>
      </c>
      <c r="J654" s="18" t="str">
        <f aca="false">IF(B654="","",B654+Settings!$B$17)</f>
        <v/>
      </c>
      <c r="K654" s="13"/>
      <c r="L654" s="15"/>
      <c r="M654" s="17" t="str">
        <f aca="true">IF(F654="","",IF(AND(L654&lt;&gt;"",L654&gt;=I654),"Paid",IF(AND(L654&lt;&gt;"",L654&gt;0),"Part paid",IF(TODAY()&gt;J654,"Overdue","Due"))))</f>
        <v/>
      </c>
      <c r="N654" s="19" t="str">
        <f aca="true">IF(M654="Overdue",TODAY()-J654,"")</f>
        <v/>
      </c>
      <c r="O654" s="14"/>
    </row>
    <row r="655" customFormat="false" ht="15" hidden="false" customHeight="false" outlineLevel="0" collapsed="false">
      <c r="A655" s="14"/>
      <c r="B655" s="13"/>
      <c r="C655" s="14"/>
      <c r="D655" s="14"/>
      <c r="E655" s="14"/>
      <c r="F655" s="15"/>
      <c r="G655" s="14"/>
      <c r="H655" s="19" t="str">
        <f aca="false">IF(F655="","",IF(G655="Y",F655*Settings!$B$16,0))</f>
        <v/>
      </c>
      <c r="I655" s="19" t="str">
        <f aca="false">IF(F655="","",F655+H655)</f>
        <v/>
      </c>
      <c r="J655" s="18" t="str">
        <f aca="false">IF(B655="","",B655+Settings!$B$17)</f>
        <v/>
      </c>
      <c r="K655" s="13"/>
      <c r="L655" s="15"/>
      <c r="M655" s="17" t="str">
        <f aca="true">IF(F655="","",IF(AND(L655&lt;&gt;"",L655&gt;=I655),"Paid",IF(AND(L655&lt;&gt;"",L655&gt;0),"Part paid",IF(TODAY()&gt;J655,"Overdue","Due"))))</f>
        <v/>
      </c>
      <c r="N655" s="19" t="str">
        <f aca="true">IF(M655="Overdue",TODAY()-J655,"")</f>
        <v/>
      </c>
      <c r="O655" s="14"/>
    </row>
    <row r="656" customFormat="false" ht="15" hidden="false" customHeight="false" outlineLevel="0" collapsed="false">
      <c r="A656" s="14"/>
      <c r="B656" s="13"/>
      <c r="C656" s="14"/>
      <c r="D656" s="14"/>
      <c r="E656" s="14"/>
      <c r="F656" s="15"/>
      <c r="G656" s="14"/>
      <c r="H656" s="19" t="str">
        <f aca="false">IF(F656="","",IF(G656="Y",F656*Settings!$B$16,0))</f>
        <v/>
      </c>
      <c r="I656" s="19" t="str">
        <f aca="false">IF(F656="","",F656+H656)</f>
        <v/>
      </c>
      <c r="J656" s="18" t="str">
        <f aca="false">IF(B656="","",B656+Settings!$B$17)</f>
        <v/>
      </c>
      <c r="K656" s="13"/>
      <c r="L656" s="15"/>
      <c r="M656" s="17" t="str">
        <f aca="true">IF(F656="","",IF(AND(L656&lt;&gt;"",L656&gt;=I656),"Paid",IF(AND(L656&lt;&gt;"",L656&gt;0),"Part paid",IF(TODAY()&gt;J656,"Overdue","Due"))))</f>
        <v/>
      </c>
      <c r="N656" s="19" t="str">
        <f aca="true">IF(M656="Overdue",TODAY()-J656,"")</f>
        <v/>
      </c>
      <c r="O656" s="14"/>
    </row>
    <row r="657" customFormat="false" ht="15" hidden="false" customHeight="false" outlineLevel="0" collapsed="false">
      <c r="A657" s="14"/>
      <c r="B657" s="13"/>
      <c r="C657" s="14"/>
      <c r="D657" s="14"/>
      <c r="E657" s="14"/>
      <c r="F657" s="15"/>
      <c r="G657" s="14"/>
      <c r="H657" s="19" t="str">
        <f aca="false">IF(F657="","",IF(G657="Y",F657*Settings!$B$16,0))</f>
        <v/>
      </c>
      <c r="I657" s="19" t="str">
        <f aca="false">IF(F657="","",F657+H657)</f>
        <v/>
      </c>
      <c r="J657" s="18" t="str">
        <f aca="false">IF(B657="","",B657+Settings!$B$17)</f>
        <v/>
      </c>
      <c r="K657" s="13"/>
      <c r="L657" s="15"/>
      <c r="M657" s="17" t="str">
        <f aca="true">IF(F657="","",IF(AND(L657&lt;&gt;"",L657&gt;=I657),"Paid",IF(AND(L657&lt;&gt;"",L657&gt;0),"Part paid",IF(TODAY()&gt;J657,"Overdue","Due"))))</f>
        <v/>
      </c>
      <c r="N657" s="19" t="str">
        <f aca="true">IF(M657="Overdue",TODAY()-J657,"")</f>
        <v/>
      </c>
      <c r="O657" s="14"/>
    </row>
    <row r="658" customFormat="false" ht="15" hidden="false" customHeight="false" outlineLevel="0" collapsed="false">
      <c r="A658" s="14"/>
      <c r="B658" s="13"/>
      <c r="C658" s="14"/>
      <c r="D658" s="14"/>
      <c r="E658" s="14"/>
      <c r="F658" s="15"/>
      <c r="G658" s="14"/>
      <c r="H658" s="19" t="str">
        <f aca="false">IF(F658="","",IF(G658="Y",F658*Settings!$B$16,0))</f>
        <v/>
      </c>
      <c r="I658" s="19" t="str">
        <f aca="false">IF(F658="","",F658+H658)</f>
        <v/>
      </c>
      <c r="J658" s="18" t="str">
        <f aca="false">IF(B658="","",B658+Settings!$B$17)</f>
        <v/>
      </c>
      <c r="K658" s="13"/>
      <c r="L658" s="15"/>
      <c r="M658" s="17" t="str">
        <f aca="true">IF(F658="","",IF(AND(L658&lt;&gt;"",L658&gt;=I658),"Paid",IF(AND(L658&lt;&gt;"",L658&gt;0),"Part paid",IF(TODAY()&gt;J658,"Overdue","Due"))))</f>
        <v/>
      </c>
      <c r="N658" s="19" t="str">
        <f aca="true">IF(M658="Overdue",TODAY()-J658,"")</f>
        <v/>
      </c>
      <c r="O658" s="14"/>
    </row>
    <row r="659" customFormat="false" ht="15" hidden="false" customHeight="false" outlineLevel="0" collapsed="false">
      <c r="A659" s="14"/>
      <c r="B659" s="13"/>
      <c r="C659" s="14"/>
      <c r="D659" s="14"/>
      <c r="E659" s="14"/>
      <c r="F659" s="15"/>
      <c r="G659" s="14"/>
      <c r="H659" s="19" t="str">
        <f aca="false">IF(F659="","",IF(G659="Y",F659*Settings!$B$16,0))</f>
        <v/>
      </c>
      <c r="I659" s="19" t="str">
        <f aca="false">IF(F659="","",F659+H659)</f>
        <v/>
      </c>
      <c r="J659" s="18" t="str">
        <f aca="false">IF(B659="","",B659+Settings!$B$17)</f>
        <v/>
      </c>
      <c r="K659" s="13"/>
      <c r="L659" s="15"/>
      <c r="M659" s="17" t="str">
        <f aca="true">IF(F659="","",IF(AND(L659&lt;&gt;"",L659&gt;=I659),"Paid",IF(AND(L659&lt;&gt;"",L659&gt;0),"Part paid",IF(TODAY()&gt;J659,"Overdue","Due"))))</f>
        <v/>
      </c>
      <c r="N659" s="19" t="str">
        <f aca="true">IF(M659="Overdue",TODAY()-J659,"")</f>
        <v/>
      </c>
      <c r="O659" s="14"/>
    </row>
    <row r="660" customFormat="false" ht="15" hidden="false" customHeight="false" outlineLevel="0" collapsed="false">
      <c r="A660" s="14"/>
      <c r="B660" s="13"/>
      <c r="C660" s="14"/>
      <c r="D660" s="14"/>
      <c r="E660" s="14"/>
      <c r="F660" s="15"/>
      <c r="G660" s="14"/>
      <c r="H660" s="19" t="str">
        <f aca="false">IF(F660="","",IF(G660="Y",F660*Settings!$B$16,0))</f>
        <v/>
      </c>
      <c r="I660" s="19" t="str">
        <f aca="false">IF(F660="","",F660+H660)</f>
        <v/>
      </c>
      <c r="J660" s="18" t="str">
        <f aca="false">IF(B660="","",B660+Settings!$B$17)</f>
        <v/>
      </c>
      <c r="K660" s="13"/>
      <c r="L660" s="15"/>
      <c r="M660" s="17" t="str">
        <f aca="true">IF(F660="","",IF(AND(L660&lt;&gt;"",L660&gt;=I660),"Paid",IF(AND(L660&lt;&gt;"",L660&gt;0),"Part paid",IF(TODAY()&gt;J660,"Overdue","Due"))))</f>
        <v/>
      </c>
      <c r="N660" s="19" t="str">
        <f aca="true">IF(M660="Overdue",TODAY()-J660,"")</f>
        <v/>
      </c>
      <c r="O660" s="14"/>
    </row>
    <row r="661" customFormat="false" ht="15" hidden="false" customHeight="false" outlineLevel="0" collapsed="false">
      <c r="A661" s="14"/>
      <c r="B661" s="13"/>
      <c r="C661" s="14"/>
      <c r="D661" s="14"/>
      <c r="E661" s="14"/>
      <c r="F661" s="15"/>
      <c r="G661" s="14"/>
      <c r="H661" s="19" t="str">
        <f aca="false">IF(F661="","",IF(G661="Y",F661*Settings!$B$16,0))</f>
        <v/>
      </c>
      <c r="I661" s="19" t="str">
        <f aca="false">IF(F661="","",F661+H661)</f>
        <v/>
      </c>
      <c r="J661" s="18" t="str">
        <f aca="false">IF(B661="","",B661+Settings!$B$17)</f>
        <v/>
      </c>
      <c r="K661" s="13"/>
      <c r="L661" s="15"/>
      <c r="M661" s="17" t="str">
        <f aca="true">IF(F661="","",IF(AND(L661&lt;&gt;"",L661&gt;=I661),"Paid",IF(AND(L661&lt;&gt;"",L661&gt;0),"Part paid",IF(TODAY()&gt;J661,"Overdue","Due"))))</f>
        <v/>
      </c>
      <c r="N661" s="19" t="str">
        <f aca="true">IF(M661="Overdue",TODAY()-J661,"")</f>
        <v/>
      </c>
      <c r="O661" s="14"/>
    </row>
    <row r="662" customFormat="false" ht="15" hidden="false" customHeight="false" outlineLevel="0" collapsed="false">
      <c r="A662" s="14"/>
      <c r="B662" s="13"/>
      <c r="C662" s="14"/>
      <c r="D662" s="14"/>
      <c r="E662" s="14"/>
      <c r="F662" s="15"/>
      <c r="G662" s="14"/>
      <c r="H662" s="19" t="str">
        <f aca="false">IF(F662="","",IF(G662="Y",F662*Settings!$B$16,0))</f>
        <v/>
      </c>
      <c r="I662" s="19" t="str">
        <f aca="false">IF(F662="","",F662+H662)</f>
        <v/>
      </c>
      <c r="J662" s="18" t="str">
        <f aca="false">IF(B662="","",B662+Settings!$B$17)</f>
        <v/>
      </c>
      <c r="K662" s="13"/>
      <c r="L662" s="15"/>
      <c r="M662" s="17" t="str">
        <f aca="true">IF(F662="","",IF(AND(L662&lt;&gt;"",L662&gt;=I662),"Paid",IF(AND(L662&lt;&gt;"",L662&gt;0),"Part paid",IF(TODAY()&gt;J662,"Overdue","Due"))))</f>
        <v/>
      </c>
      <c r="N662" s="19" t="str">
        <f aca="true">IF(M662="Overdue",TODAY()-J662,"")</f>
        <v/>
      </c>
      <c r="O662" s="14"/>
    </row>
    <row r="663" customFormat="false" ht="15" hidden="false" customHeight="false" outlineLevel="0" collapsed="false">
      <c r="A663" s="14"/>
      <c r="B663" s="13"/>
      <c r="C663" s="14"/>
      <c r="D663" s="14"/>
      <c r="E663" s="14"/>
      <c r="F663" s="15"/>
      <c r="G663" s="14"/>
      <c r="H663" s="19" t="str">
        <f aca="false">IF(F663="","",IF(G663="Y",F663*Settings!$B$16,0))</f>
        <v/>
      </c>
      <c r="I663" s="19" t="str">
        <f aca="false">IF(F663="","",F663+H663)</f>
        <v/>
      </c>
      <c r="J663" s="18" t="str">
        <f aca="false">IF(B663="","",B663+Settings!$B$17)</f>
        <v/>
      </c>
      <c r="K663" s="13"/>
      <c r="L663" s="15"/>
      <c r="M663" s="17" t="str">
        <f aca="true">IF(F663="","",IF(AND(L663&lt;&gt;"",L663&gt;=I663),"Paid",IF(AND(L663&lt;&gt;"",L663&gt;0),"Part paid",IF(TODAY()&gt;J663,"Overdue","Due"))))</f>
        <v/>
      </c>
      <c r="N663" s="19" t="str">
        <f aca="true">IF(M663="Overdue",TODAY()-J663,"")</f>
        <v/>
      </c>
      <c r="O663" s="14"/>
    </row>
    <row r="664" customFormat="false" ht="15" hidden="false" customHeight="false" outlineLevel="0" collapsed="false">
      <c r="A664" s="14"/>
      <c r="B664" s="13"/>
      <c r="C664" s="14"/>
      <c r="D664" s="14"/>
      <c r="E664" s="14"/>
      <c r="F664" s="15"/>
      <c r="G664" s="14"/>
      <c r="H664" s="19" t="str">
        <f aca="false">IF(F664="","",IF(G664="Y",F664*Settings!$B$16,0))</f>
        <v/>
      </c>
      <c r="I664" s="19" t="str">
        <f aca="false">IF(F664="","",F664+H664)</f>
        <v/>
      </c>
      <c r="J664" s="18" t="str">
        <f aca="false">IF(B664="","",B664+Settings!$B$17)</f>
        <v/>
      </c>
      <c r="K664" s="13"/>
      <c r="L664" s="15"/>
      <c r="M664" s="17" t="str">
        <f aca="true">IF(F664="","",IF(AND(L664&lt;&gt;"",L664&gt;=I664),"Paid",IF(AND(L664&lt;&gt;"",L664&gt;0),"Part paid",IF(TODAY()&gt;J664,"Overdue","Due"))))</f>
        <v/>
      </c>
      <c r="N664" s="19" t="str">
        <f aca="true">IF(M664="Overdue",TODAY()-J664,"")</f>
        <v/>
      </c>
      <c r="O664" s="14"/>
    </row>
    <row r="665" customFormat="false" ht="15" hidden="false" customHeight="false" outlineLevel="0" collapsed="false">
      <c r="A665" s="14"/>
      <c r="B665" s="13"/>
      <c r="C665" s="14"/>
      <c r="D665" s="14"/>
      <c r="E665" s="14"/>
      <c r="F665" s="15"/>
      <c r="G665" s="14"/>
      <c r="H665" s="19" t="str">
        <f aca="false">IF(F665="","",IF(G665="Y",F665*Settings!$B$16,0))</f>
        <v/>
      </c>
      <c r="I665" s="19" t="str">
        <f aca="false">IF(F665="","",F665+H665)</f>
        <v/>
      </c>
      <c r="J665" s="18" t="str">
        <f aca="false">IF(B665="","",B665+Settings!$B$17)</f>
        <v/>
      </c>
      <c r="K665" s="13"/>
      <c r="L665" s="15"/>
      <c r="M665" s="17" t="str">
        <f aca="true">IF(F665="","",IF(AND(L665&lt;&gt;"",L665&gt;=I665),"Paid",IF(AND(L665&lt;&gt;"",L665&gt;0),"Part paid",IF(TODAY()&gt;J665,"Overdue","Due"))))</f>
        <v/>
      </c>
      <c r="N665" s="19" t="str">
        <f aca="true">IF(M665="Overdue",TODAY()-J665,"")</f>
        <v/>
      </c>
      <c r="O665" s="14"/>
    </row>
    <row r="666" customFormat="false" ht="15" hidden="false" customHeight="false" outlineLevel="0" collapsed="false">
      <c r="A666" s="14"/>
      <c r="B666" s="13"/>
      <c r="C666" s="14"/>
      <c r="D666" s="14"/>
      <c r="E666" s="14"/>
      <c r="F666" s="15"/>
      <c r="G666" s="14"/>
      <c r="H666" s="19" t="str">
        <f aca="false">IF(F666="","",IF(G666="Y",F666*Settings!$B$16,0))</f>
        <v/>
      </c>
      <c r="I666" s="19" t="str">
        <f aca="false">IF(F666="","",F666+H666)</f>
        <v/>
      </c>
      <c r="J666" s="18" t="str">
        <f aca="false">IF(B666="","",B666+Settings!$B$17)</f>
        <v/>
      </c>
      <c r="K666" s="13"/>
      <c r="L666" s="15"/>
      <c r="M666" s="17" t="str">
        <f aca="true">IF(F666="","",IF(AND(L666&lt;&gt;"",L666&gt;=I666),"Paid",IF(AND(L666&lt;&gt;"",L666&gt;0),"Part paid",IF(TODAY()&gt;J666,"Overdue","Due"))))</f>
        <v/>
      </c>
      <c r="N666" s="19" t="str">
        <f aca="true">IF(M666="Overdue",TODAY()-J666,"")</f>
        <v/>
      </c>
      <c r="O666" s="14"/>
    </row>
    <row r="667" customFormat="false" ht="15" hidden="false" customHeight="false" outlineLevel="0" collapsed="false">
      <c r="A667" s="14"/>
      <c r="B667" s="13"/>
      <c r="C667" s="14"/>
      <c r="D667" s="14"/>
      <c r="E667" s="14"/>
      <c r="F667" s="15"/>
      <c r="G667" s="14"/>
      <c r="H667" s="19" t="str">
        <f aca="false">IF(F667="","",IF(G667="Y",F667*Settings!$B$16,0))</f>
        <v/>
      </c>
      <c r="I667" s="19" t="str">
        <f aca="false">IF(F667="","",F667+H667)</f>
        <v/>
      </c>
      <c r="J667" s="18" t="str">
        <f aca="false">IF(B667="","",B667+Settings!$B$17)</f>
        <v/>
      </c>
      <c r="K667" s="13"/>
      <c r="L667" s="15"/>
      <c r="M667" s="17" t="str">
        <f aca="true">IF(F667="","",IF(AND(L667&lt;&gt;"",L667&gt;=I667),"Paid",IF(AND(L667&lt;&gt;"",L667&gt;0),"Part paid",IF(TODAY()&gt;J667,"Overdue","Due"))))</f>
        <v/>
      </c>
      <c r="N667" s="19" t="str">
        <f aca="true">IF(M667="Overdue",TODAY()-J667,"")</f>
        <v/>
      </c>
      <c r="O667" s="14"/>
    </row>
    <row r="668" customFormat="false" ht="15" hidden="false" customHeight="false" outlineLevel="0" collapsed="false">
      <c r="A668" s="14"/>
      <c r="B668" s="13"/>
      <c r="C668" s="14"/>
      <c r="D668" s="14"/>
      <c r="E668" s="14"/>
      <c r="F668" s="15"/>
      <c r="G668" s="14"/>
      <c r="H668" s="19" t="str">
        <f aca="false">IF(F668="","",IF(G668="Y",F668*Settings!$B$16,0))</f>
        <v/>
      </c>
      <c r="I668" s="19" t="str">
        <f aca="false">IF(F668="","",F668+H668)</f>
        <v/>
      </c>
      <c r="J668" s="18" t="str">
        <f aca="false">IF(B668="","",B668+Settings!$B$17)</f>
        <v/>
      </c>
      <c r="K668" s="13"/>
      <c r="L668" s="15"/>
      <c r="M668" s="17" t="str">
        <f aca="true">IF(F668="","",IF(AND(L668&lt;&gt;"",L668&gt;=I668),"Paid",IF(AND(L668&lt;&gt;"",L668&gt;0),"Part paid",IF(TODAY()&gt;J668,"Overdue","Due"))))</f>
        <v/>
      </c>
      <c r="N668" s="19" t="str">
        <f aca="true">IF(M668="Overdue",TODAY()-J668,"")</f>
        <v/>
      </c>
      <c r="O668" s="14"/>
    </row>
    <row r="669" customFormat="false" ht="15" hidden="false" customHeight="false" outlineLevel="0" collapsed="false">
      <c r="A669" s="14"/>
      <c r="B669" s="13"/>
      <c r="C669" s="14"/>
      <c r="D669" s="14"/>
      <c r="E669" s="14"/>
      <c r="F669" s="15"/>
      <c r="G669" s="14"/>
      <c r="H669" s="19" t="str">
        <f aca="false">IF(F669="","",IF(G669="Y",F669*Settings!$B$16,0))</f>
        <v/>
      </c>
      <c r="I669" s="19" t="str">
        <f aca="false">IF(F669="","",F669+H669)</f>
        <v/>
      </c>
      <c r="J669" s="18" t="str">
        <f aca="false">IF(B669="","",B669+Settings!$B$17)</f>
        <v/>
      </c>
      <c r="K669" s="13"/>
      <c r="L669" s="15"/>
      <c r="M669" s="17" t="str">
        <f aca="true">IF(F669="","",IF(AND(L669&lt;&gt;"",L669&gt;=I669),"Paid",IF(AND(L669&lt;&gt;"",L669&gt;0),"Part paid",IF(TODAY()&gt;J669,"Overdue","Due"))))</f>
        <v/>
      </c>
      <c r="N669" s="19" t="str">
        <f aca="true">IF(M669="Overdue",TODAY()-J669,"")</f>
        <v/>
      </c>
      <c r="O669" s="14"/>
    </row>
    <row r="670" customFormat="false" ht="15" hidden="false" customHeight="false" outlineLevel="0" collapsed="false">
      <c r="A670" s="14"/>
      <c r="B670" s="13"/>
      <c r="C670" s="14"/>
      <c r="D670" s="14"/>
      <c r="E670" s="14"/>
      <c r="F670" s="15"/>
      <c r="G670" s="14"/>
      <c r="H670" s="19" t="str">
        <f aca="false">IF(F670="","",IF(G670="Y",F670*Settings!$B$16,0))</f>
        <v/>
      </c>
      <c r="I670" s="19" t="str">
        <f aca="false">IF(F670="","",F670+H670)</f>
        <v/>
      </c>
      <c r="J670" s="18" t="str">
        <f aca="false">IF(B670="","",B670+Settings!$B$17)</f>
        <v/>
      </c>
      <c r="K670" s="13"/>
      <c r="L670" s="15"/>
      <c r="M670" s="17" t="str">
        <f aca="true">IF(F670="","",IF(AND(L670&lt;&gt;"",L670&gt;=I670),"Paid",IF(AND(L670&lt;&gt;"",L670&gt;0),"Part paid",IF(TODAY()&gt;J670,"Overdue","Due"))))</f>
        <v/>
      </c>
      <c r="N670" s="19" t="str">
        <f aca="true">IF(M670="Overdue",TODAY()-J670,"")</f>
        <v/>
      </c>
      <c r="O670" s="14"/>
    </row>
    <row r="671" customFormat="false" ht="15" hidden="false" customHeight="false" outlineLevel="0" collapsed="false">
      <c r="A671" s="14"/>
      <c r="B671" s="13"/>
      <c r="C671" s="14"/>
      <c r="D671" s="14"/>
      <c r="E671" s="14"/>
      <c r="F671" s="15"/>
      <c r="G671" s="14"/>
      <c r="H671" s="19" t="str">
        <f aca="false">IF(F671="","",IF(G671="Y",F671*Settings!$B$16,0))</f>
        <v/>
      </c>
      <c r="I671" s="19" t="str">
        <f aca="false">IF(F671="","",F671+H671)</f>
        <v/>
      </c>
      <c r="J671" s="18" t="str">
        <f aca="false">IF(B671="","",B671+Settings!$B$17)</f>
        <v/>
      </c>
      <c r="K671" s="13"/>
      <c r="L671" s="15"/>
      <c r="M671" s="17" t="str">
        <f aca="true">IF(F671="","",IF(AND(L671&lt;&gt;"",L671&gt;=I671),"Paid",IF(AND(L671&lt;&gt;"",L671&gt;0),"Part paid",IF(TODAY()&gt;J671,"Overdue","Due"))))</f>
        <v/>
      </c>
      <c r="N671" s="19" t="str">
        <f aca="true">IF(M671="Overdue",TODAY()-J671,"")</f>
        <v/>
      </c>
      <c r="O671" s="14"/>
    </row>
    <row r="672" customFormat="false" ht="15" hidden="false" customHeight="false" outlineLevel="0" collapsed="false">
      <c r="A672" s="14"/>
      <c r="B672" s="13"/>
      <c r="C672" s="14"/>
      <c r="D672" s="14"/>
      <c r="E672" s="14"/>
      <c r="F672" s="15"/>
      <c r="G672" s="14"/>
      <c r="H672" s="19" t="str">
        <f aca="false">IF(F672="","",IF(G672="Y",F672*Settings!$B$16,0))</f>
        <v/>
      </c>
      <c r="I672" s="19" t="str">
        <f aca="false">IF(F672="","",F672+H672)</f>
        <v/>
      </c>
      <c r="J672" s="18" t="str">
        <f aca="false">IF(B672="","",B672+Settings!$B$17)</f>
        <v/>
      </c>
      <c r="K672" s="13"/>
      <c r="L672" s="15"/>
      <c r="M672" s="17" t="str">
        <f aca="true">IF(F672="","",IF(AND(L672&lt;&gt;"",L672&gt;=I672),"Paid",IF(AND(L672&lt;&gt;"",L672&gt;0),"Part paid",IF(TODAY()&gt;J672,"Overdue","Due"))))</f>
        <v/>
      </c>
      <c r="N672" s="19" t="str">
        <f aca="true">IF(M672="Overdue",TODAY()-J672,"")</f>
        <v/>
      </c>
      <c r="O672" s="14"/>
    </row>
    <row r="673" customFormat="false" ht="15" hidden="false" customHeight="false" outlineLevel="0" collapsed="false">
      <c r="A673" s="14"/>
      <c r="B673" s="13"/>
      <c r="C673" s="14"/>
      <c r="D673" s="14"/>
      <c r="E673" s="14"/>
      <c r="F673" s="15"/>
      <c r="G673" s="14"/>
      <c r="H673" s="19" t="str">
        <f aca="false">IF(F673="","",IF(G673="Y",F673*Settings!$B$16,0))</f>
        <v/>
      </c>
      <c r="I673" s="19" t="str">
        <f aca="false">IF(F673="","",F673+H673)</f>
        <v/>
      </c>
      <c r="J673" s="18" t="str">
        <f aca="false">IF(B673="","",B673+Settings!$B$17)</f>
        <v/>
      </c>
      <c r="K673" s="13"/>
      <c r="L673" s="15"/>
      <c r="M673" s="17" t="str">
        <f aca="true">IF(F673="","",IF(AND(L673&lt;&gt;"",L673&gt;=I673),"Paid",IF(AND(L673&lt;&gt;"",L673&gt;0),"Part paid",IF(TODAY()&gt;J673,"Overdue","Due"))))</f>
        <v/>
      </c>
      <c r="N673" s="19" t="str">
        <f aca="true">IF(M673="Overdue",TODAY()-J673,"")</f>
        <v/>
      </c>
      <c r="O673" s="14"/>
    </row>
    <row r="674" customFormat="false" ht="15" hidden="false" customHeight="false" outlineLevel="0" collapsed="false">
      <c r="A674" s="14"/>
      <c r="B674" s="13"/>
      <c r="C674" s="14"/>
      <c r="D674" s="14"/>
      <c r="E674" s="14"/>
      <c r="F674" s="15"/>
      <c r="G674" s="14"/>
      <c r="H674" s="19" t="str">
        <f aca="false">IF(F674="","",IF(G674="Y",F674*Settings!$B$16,0))</f>
        <v/>
      </c>
      <c r="I674" s="19" t="str">
        <f aca="false">IF(F674="","",F674+H674)</f>
        <v/>
      </c>
      <c r="J674" s="18" t="str">
        <f aca="false">IF(B674="","",B674+Settings!$B$17)</f>
        <v/>
      </c>
      <c r="K674" s="13"/>
      <c r="L674" s="15"/>
      <c r="M674" s="17" t="str">
        <f aca="true">IF(F674="","",IF(AND(L674&lt;&gt;"",L674&gt;=I674),"Paid",IF(AND(L674&lt;&gt;"",L674&gt;0),"Part paid",IF(TODAY()&gt;J674,"Overdue","Due"))))</f>
        <v/>
      </c>
      <c r="N674" s="19" t="str">
        <f aca="true">IF(M674="Overdue",TODAY()-J674,"")</f>
        <v/>
      </c>
      <c r="O674" s="14"/>
    </row>
    <row r="675" customFormat="false" ht="15" hidden="false" customHeight="false" outlineLevel="0" collapsed="false">
      <c r="A675" s="14"/>
      <c r="B675" s="13"/>
      <c r="C675" s="14"/>
      <c r="D675" s="14"/>
      <c r="E675" s="14"/>
      <c r="F675" s="15"/>
      <c r="G675" s="14"/>
      <c r="H675" s="19" t="str">
        <f aca="false">IF(F675="","",IF(G675="Y",F675*Settings!$B$16,0))</f>
        <v/>
      </c>
      <c r="I675" s="19" t="str">
        <f aca="false">IF(F675="","",F675+H675)</f>
        <v/>
      </c>
      <c r="J675" s="18" t="str">
        <f aca="false">IF(B675="","",B675+Settings!$B$17)</f>
        <v/>
      </c>
      <c r="K675" s="13"/>
      <c r="L675" s="15"/>
      <c r="M675" s="17" t="str">
        <f aca="true">IF(F675="","",IF(AND(L675&lt;&gt;"",L675&gt;=I675),"Paid",IF(AND(L675&lt;&gt;"",L675&gt;0),"Part paid",IF(TODAY()&gt;J675,"Overdue","Due"))))</f>
        <v/>
      </c>
      <c r="N675" s="19" t="str">
        <f aca="true">IF(M675="Overdue",TODAY()-J675,"")</f>
        <v/>
      </c>
      <c r="O675" s="14"/>
    </row>
    <row r="676" customFormat="false" ht="15" hidden="false" customHeight="false" outlineLevel="0" collapsed="false">
      <c r="A676" s="14"/>
      <c r="B676" s="13"/>
      <c r="C676" s="14"/>
      <c r="D676" s="14"/>
      <c r="E676" s="14"/>
      <c r="F676" s="15"/>
      <c r="G676" s="14"/>
      <c r="H676" s="19" t="str">
        <f aca="false">IF(F676="","",IF(G676="Y",F676*Settings!$B$16,0))</f>
        <v/>
      </c>
      <c r="I676" s="19" t="str">
        <f aca="false">IF(F676="","",F676+H676)</f>
        <v/>
      </c>
      <c r="J676" s="18" t="str">
        <f aca="false">IF(B676="","",B676+Settings!$B$17)</f>
        <v/>
      </c>
      <c r="K676" s="13"/>
      <c r="L676" s="15"/>
      <c r="M676" s="17" t="str">
        <f aca="true">IF(F676="","",IF(AND(L676&lt;&gt;"",L676&gt;=I676),"Paid",IF(AND(L676&lt;&gt;"",L676&gt;0),"Part paid",IF(TODAY()&gt;J676,"Overdue","Due"))))</f>
        <v/>
      </c>
      <c r="N676" s="19" t="str">
        <f aca="true">IF(M676="Overdue",TODAY()-J676,"")</f>
        <v/>
      </c>
      <c r="O676" s="14"/>
    </row>
    <row r="677" customFormat="false" ht="15" hidden="false" customHeight="false" outlineLevel="0" collapsed="false">
      <c r="A677" s="14"/>
      <c r="B677" s="13"/>
      <c r="C677" s="14"/>
      <c r="D677" s="14"/>
      <c r="E677" s="14"/>
      <c r="F677" s="15"/>
      <c r="G677" s="14"/>
      <c r="H677" s="19" t="str">
        <f aca="false">IF(F677="","",IF(G677="Y",F677*Settings!$B$16,0))</f>
        <v/>
      </c>
      <c r="I677" s="19" t="str">
        <f aca="false">IF(F677="","",F677+H677)</f>
        <v/>
      </c>
      <c r="J677" s="18" t="str">
        <f aca="false">IF(B677="","",B677+Settings!$B$17)</f>
        <v/>
      </c>
      <c r="K677" s="13"/>
      <c r="L677" s="15"/>
      <c r="M677" s="17" t="str">
        <f aca="true">IF(F677="","",IF(AND(L677&lt;&gt;"",L677&gt;=I677),"Paid",IF(AND(L677&lt;&gt;"",L677&gt;0),"Part paid",IF(TODAY()&gt;J677,"Overdue","Due"))))</f>
        <v/>
      </c>
      <c r="N677" s="19" t="str">
        <f aca="true">IF(M677="Overdue",TODAY()-J677,"")</f>
        <v/>
      </c>
      <c r="O677" s="14"/>
    </row>
    <row r="678" customFormat="false" ht="15" hidden="false" customHeight="false" outlineLevel="0" collapsed="false">
      <c r="A678" s="14"/>
      <c r="B678" s="13"/>
      <c r="C678" s="14"/>
      <c r="D678" s="14"/>
      <c r="E678" s="14"/>
      <c r="F678" s="15"/>
      <c r="G678" s="14"/>
      <c r="H678" s="19" t="str">
        <f aca="false">IF(F678="","",IF(G678="Y",F678*Settings!$B$16,0))</f>
        <v/>
      </c>
      <c r="I678" s="19" t="str">
        <f aca="false">IF(F678="","",F678+H678)</f>
        <v/>
      </c>
      <c r="J678" s="18" t="str">
        <f aca="false">IF(B678="","",B678+Settings!$B$17)</f>
        <v/>
      </c>
      <c r="K678" s="13"/>
      <c r="L678" s="15"/>
      <c r="M678" s="17" t="str">
        <f aca="true">IF(F678="","",IF(AND(L678&lt;&gt;"",L678&gt;=I678),"Paid",IF(AND(L678&lt;&gt;"",L678&gt;0),"Part paid",IF(TODAY()&gt;J678,"Overdue","Due"))))</f>
        <v/>
      </c>
      <c r="N678" s="19" t="str">
        <f aca="true">IF(M678="Overdue",TODAY()-J678,"")</f>
        <v/>
      </c>
      <c r="O678" s="14"/>
    </row>
    <row r="679" customFormat="false" ht="15" hidden="false" customHeight="false" outlineLevel="0" collapsed="false">
      <c r="A679" s="14"/>
      <c r="B679" s="13"/>
      <c r="C679" s="14"/>
      <c r="D679" s="14"/>
      <c r="E679" s="14"/>
      <c r="F679" s="15"/>
      <c r="G679" s="14"/>
      <c r="H679" s="19" t="str">
        <f aca="false">IF(F679="","",IF(G679="Y",F679*Settings!$B$16,0))</f>
        <v/>
      </c>
      <c r="I679" s="19" t="str">
        <f aca="false">IF(F679="","",F679+H679)</f>
        <v/>
      </c>
      <c r="J679" s="18" t="str">
        <f aca="false">IF(B679="","",B679+Settings!$B$17)</f>
        <v/>
      </c>
      <c r="K679" s="13"/>
      <c r="L679" s="15"/>
      <c r="M679" s="17" t="str">
        <f aca="true">IF(F679="","",IF(AND(L679&lt;&gt;"",L679&gt;=I679),"Paid",IF(AND(L679&lt;&gt;"",L679&gt;0),"Part paid",IF(TODAY()&gt;J679,"Overdue","Due"))))</f>
        <v/>
      </c>
      <c r="N679" s="19" t="str">
        <f aca="true">IF(M679="Overdue",TODAY()-J679,"")</f>
        <v/>
      </c>
      <c r="O679" s="14"/>
    </row>
    <row r="680" customFormat="false" ht="15" hidden="false" customHeight="false" outlineLevel="0" collapsed="false">
      <c r="A680" s="14"/>
      <c r="B680" s="13"/>
      <c r="C680" s="14"/>
      <c r="D680" s="14"/>
      <c r="E680" s="14"/>
      <c r="F680" s="15"/>
      <c r="G680" s="14"/>
      <c r="H680" s="19" t="str">
        <f aca="false">IF(F680="","",IF(G680="Y",F680*Settings!$B$16,0))</f>
        <v/>
      </c>
      <c r="I680" s="19" t="str">
        <f aca="false">IF(F680="","",F680+H680)</f>
        <v/>
      </c>
      <c r="J680" s="18" t="str">
        <f aca="false">IF(B680="","",B680+Settings!$B$17)</f>
        <v/>
      </c>
      <c r="K680" s="13"/>
      <c r="L680" s="15"/>
      <c r="M680" s="17" t="str">
        <f aca="true">IF(F680="","",IF(AND(L680&lt;&gt;"",L680&gt;=I680),"Paid",IF(AND(L680&lt;&gt;"",L680&gt;0),"Part paid",IF(TODAY()&gt;J680,"Overdue","Due"))))</f>
        <v/>
      </c>
      <c r="N680" s="19" t="str">
        <f aca="true">IF(M680="Overdue",TODAY()-J680,"")</f>
        <v/>
      </c>
      <c r="O680" s="14"/>
    </row>
    <row r="681" customFormat="false" ht="15" hidden="false" customHeight="false" outlineLevel="0" collapsed="false">
      <c r="A681" s="14"/>
      <c r="B681" s="13"/>
      <c r="C681" s="14"/>
      <c r="D681" s="14"/>
      <c r="E681" s="14"/>
      <c r="F681" s="15"/>
      <c r="G681" s="14"/>
      <c r="H681" s="19" t="str">
        <f aca="false">IF(F681="","",IF(G681="Y",F681*Settings!$B$16,0))</f>
        <v/>
      </c>
      <c r="I681" s="19" t="str">
        <f aca="false">IF(F681="","",F681+H681)</f>
        <v/>
      </c>
      <c r="J681" s="18" t="str">
        <f aca="false">IF(B681="","",B681+Settings!$B$17)</f>
        <v/>
      </c>
      <c r="K681" s="13"/>
      <c r="L681" s="15"/>
      <c r="M681" s="17" t="str">
        <f aca="true">IF(F681="","",IF(AND(L681&lt;&gt;"",L681&gt;=I681),"Paid",IF(AND(L681&lt;&gt;"",L681&gt;0),"Part paid",IF(TODAY()&gt;J681,"Overdue","Due"))))</f>
        <v/>
      </c>
      <c r="N681" s="19" t="str">
        <f aca="true">IF(M681="Overdue",TODAY()-J681,"")</f>
        <v/>
      </c>
      <c r="O681" s="14"/>
    </row>
    <row r="682" customFormat="false" ht="15" hidden="false" customHeight="false" outlineLevel="0" collapsed="false">
      <c r="A682" s="14"/>
      <c r="B682" s="13"/>
      <c r="C682" s="14"/>
      <c r="D682" s="14"/>
      <c r="E682" s="14"/>
      <c r="F682" s="15"/>
      <c r="G682" s="14"/>
      <c r="H682" s="19" t="str">
        <f aca="false">IF(F682="","",IF(G682="Y",F682*Settings!$B$16,0))</f>
        <v/>
      </c>
      <c r="I682" s="19" t="str">
        <f aca="false">IF(F682="","",F682+H682)</f>
        <v/>
      </c>
      <c r="J682" s="18" t="str">
        <f aca="false">IF(B682="","",B682+Settings!$B$17)</f>
        <v/>
      </c>
      <c r="K682" s="13"/>
      <c r="L682" s="15"/>
      <c r="M682" s="17" t="str">
        <f aca="true">IF(F682="","",IF(AND(L682&lt;&gt;"",L682&gt;=I682),"Paid",IF(AND(L682&lt;&gt;"",L682&gt;0),"Part paid",IF(TODAY()&gt;J682,"Overdue","Due"))))</f>
        <v/>
      </c>
      <c r="N682" s="19" t="str">
        <f aca="true">IF(M682="Overdue",TODAY()-J682,"")</f>
        <v/>
      </c>
      <c r="O682" s="14"/>
    </row>
    <row r="683" customFormat="false" ht="15" hidden="false" customHeight="false" outlineLevel="0" collapsed="false">
      <c r="A683" s="14"/>
      <c r="B683" s="13"/>
      <c r="C683" s="14"/>
      <c r="D683" s="14"/>
      <c r="E683" s="14"/>
      <c r="F683" s="15"/>
      <c r="G683" s="14"/>
      <c r="H683" s="19" t="str">
        <f aca="false">IF(F683="","",IF(G683="Y",F683*Settings!$B$16,0))</f>
        <v/>
      </c>
      <c r="I683" s="19" t="str">
        <f aca="false">IF(F683="","",F683+H683)</f>
        <v/>
      </c>
      <c r="J683" s="18" t="str">
        <f aca="false">IF(B683="","",B683+Settings!$B$17)</f>
        <v/>
      </c>
      <c r="K683" s="13"/>
      <c r="L683" s="15"/>
      <c r="M683" s="17" t="str">
        <f aca="true">IF(F683="","",IF(AND(L683&lt;&gt;"",L683&gt;=I683),"Paid",IF(AND(L683&lt;&gt;"",L683&gt;0),"Part paid",IF(TODAY()&gt;J683,"Overdue","Due"))))</f>
        <v/>
      </c>
      <c r="N683" s="19" t="str">
        <f aca="true">IF(M683="Overdue",TODAY()-J683,"")</f>
        <v/>
      </c>
      <c r="O683" s="14"/>
    </row>
    <row r="684" customFormat="false" ht="15" hidden="false" customHeight="false" outlineLevel="0" collapsed="false">
      <c r="A684" s="14"/>
      <c r="B684" s="13"/>
      <c r="C684" s="14"/>
      <c r="D684" s="14"/>
      <c r="E684" s="14"/>
      <c r="F684" s="15"/>
      <c r="G684" s="14"/>
      <c r="H684" s="19" t="str">
        <f aca="false">IF(F684="","",IF(G684="Y",F684*Settings!$B$16,0))</f>
        <v/>
      </c>
      <c r="I684" s="19" t="str">
        <f aca="false">IF(F684="","",F684+H684)</f>
        <v/>
      </c>
      <c r="J684" s="18" t="str">
        <f aca="false">IF(B684="","",B684+Settings!$B$17)</f>
        <v/>
      </c>
      <c r="K684" s="13"/>
      <c r="L684" s="15"/>
      <c r="M684" s="17" t="str">
        <f aca="true">IF(F684="","",IF(AND(L684&lt;&gt;"",L684&gt;=I684),"Paid",IF(AND(L684&lt;&gt;"",L684&gt;0),"Part paid",IF(TODAY()&gt;J684,"Overdue","Due"))))</f>
        <v/>
      </c>
      <c r="N684" s="19" t="str">
        <f aca="true">IF(M684="Overdue",TODAY()-J684,"")</f>
        <v/>
      </c>
      <c r="O684" s="14"/>
    </row>
    <row r="685" customFormat="false" ht="15" hidden="false" customHeight="false" outlineLevel="0" collapsed="false">
      <c r="A685" s="14"/>
      <c r="B685" s="13"/>
      <c r="C685" s="14"/>
      <c r="D685" s="14"/>
      <c r="E685" s="14"/>
      <c r="F685" s="15"/>
      <c r="G685" s="14"/>
      <c r="H685" s="19" t="str">
        <f aca="false">IF(F685="","",IF(G685="Y",F685*Settings!$B$16,0))</f>
        <v/>
      </c>
      <c r="I685" s="19" t="str">
        <f aca="false">IF(F685="","",F685+H685)</f>
        <v/>
      </c>
      <c r="J685" s="18" t="str">
        <f aca="false">IF(B685="","",B685+Settings!$B$17)</f>
        <v/>
      </c>
      <c r="K685" s="13"/>
      <c r="L685" s="15"/>
      <c r="M685" s="17" t="str">
        <f aca="true">IF(F685="","",IF(AND(L685&lt;&gt;"",L685&gt;=I685),"Paid",IF(AND(L685&lt;&gt;"",L685&gt;0),"Part paid",IF(TODAY()&gt;J685,"Overdue","Due"))))</f>
        <v/>
      </c>
      <c r="N685" s="19" t="str">
        <f aca="true">IF(M685="Overdue",TODAY()-J685,"")</f>
        <v/>
      </c>
      <c r="O685" s="14"/>
    </row>
    <row r="686" customFormat="false" ht="15" hidden="false" customHeight="false" outlineLevel="0" collapsed="false">
      <c r="A686" s="14"/>
      <c r="B686" s="13"/>
      <c r="C686" s="14"/>
      <c r="D686" s="14"/>
      <c r="E686" s="14"/>
      <c r="F686" s="15"/>
      <c r="G686" s="14"/>
      <c r="H686" s="19" t="str">
        <f aca="false">IF(F686="","",IF(G686="Y",F686*Settings!$B$16,0))</f>
        <v/>
      </c>
      <c r="I686" s="19" t="str">
        <f aca="false">IF(F686="","",F686+H686)</f>
        <v/>
      </c>
      <c r="J686" s="18" t="str">
        <f aca="false">IF(B686="","",B686+Settings!$B$17)</f>
        <v/>
      </c>
      <c r="K686" s="13"/>
      <c r="L686" s="15"/>
      <c r="M686" s="17" t="str">
        <f aca="true">IF(F686="","",IF(AND(L686&lt;&gt;"",L686&gt;=I686),"Paid",IF(AND(L686&lt;&gt;"",L686&gt;0),"Part paid",IF(TODAY()&gt;J686,"Overdue","Due"))))</f>
        <v/>
      </c>
      <c r="N686" s="19" t="str">
        <f aca="true">IF(M686="Overdue",TODAY()-J686,"")</f>
        <v/>
      </c>
      <c r="O686" s="14"/>
    </row>
    <row r="687" customFormat="false" ht="15" hidden="false" customHeight="false" outlineLevel="0" collapsed="false">
      <c r="A687" s="14"/>
      <c r="B687" s="13"/>
      <c r="C687" s="14"/>
      <c r="D687" s="14"/>
      <c r="E687" s="14"/>
      <c r="F687" s="15"/>
      <c r="G687" s="14"/>
      <c r="H687" s="19" t="str">
        <f aca="false">IF(F687="","",IF(G687="Y",F687*Settings!$B$16,0))</f>
        <v/>
      </c>
      <c r="I687" s="19" t="str">
        <f aca="false">IF(F687="","",F687+H687)</f>
        <v/>
      </c>
      <c r="J687" s="18" t="str">
        <f aca="false">IF(B687="","",B687+Settings!$B$17)</f>
        <v/>
      </c>
      <c r="K687" s="13"/>
      <c r="L687" s="15"/>
      <c r="M687" s="17" t="str">
        <f aca="true">IF(F687="","",IF(AND(L687&lt;&gt;"",L687&gt;=I687),"Paid",IF(AND(L687&lt;&gt;"",L687&gt;0),"Part paid",IF(TODAY()&gt;J687,"Overdue","Due"))))</f>
        <v/>
      </c>
      <c r="N687" s="19" t="str">
        <f aca="true">IF(M687="Overdue",TODAY()-J687,"")</f>
        <v/>
      </c>
      <c r="O687" s="14"/>
    </row>
    <row r="688" customFormat="false" ht="15" hidden="false" customHeight="false" outlineLevel="0" collapsed="false">
      <c r="A688" s="14"/>
      <c r="B688" s="13"/>
      <c r="C688" s="14"/>
      <c r="D688" s="14"/>
      <c r="E688" s="14"/>
      <c r="F688" s="15"/>
      <c r="G688" s="14"/>
      <c r="H688" s="19" t="str">
        <f aca="false">IF(F688="","",IF(G688="Y",F688*Settings!$B$16,0))</f>
        <v/>
      </c>
      <c r="I688" s="19" t="str">
        <f aca="false">IF(F688="","",F688+H688)</f>
        <v/>
      </c>
      <c r="J688" s="18" t="str">
        <f aca="false">IF(B688="","",B688+Settings!$B$17)</f>
        <v/>
      </c>
      <c r="K688" s="13"/>
      <c r="L688" s="15"/>
      <c r="M688" s="17" t="str">
        <f aca="true">IF(F688="","",IF(AND(L688&lt;&gt;"",L688&gt;=I688),"Paid",IF(AND(L688&lt;&gt;"",L688&gt;0),"Part paid",IF(TODAY()&gt;J688,"Overdue","Due"))))</f>
        <v/>
      </c>
      <c r="N688" s="19" t="str">
        <f aca="true">IF(M688="Overdue",TODAY()-J688,"")</f>
        <v/>
      </c>
      <c r="O688" s="14"/>
    </row>
    <row r="689" customFormat="false" ht="15" hidden="false" customHeight="false" outlineLevel="0" collapsed="false">
      <c r="A689" s="14"/>
      <c r="B689" s="13"/>
      <c r="C689" s="14"/>
      <c r="D689" s="14"/>
      <c r="E689" s="14"/>
      <c r="F689" s="15"/>
      <c r="G689" s="14"/>
      <c r="H689" s="19" t="str">
        <f aca="false">IF(F689="","",IF(G689="Y",F689*Settings!$B$16,0))</f>
        <v/>
      </c>
      <c r="I689" s="19" t="str">
        <f aca="false">IF(F689="","",F689+H689)</f>
        <v/>
      </c>
      <c r="J689" s="18" t="str">
        <f aca="false">IF(B689="","",B689+Settings!$B$17)</f>
        <v/>
      </c>
      <c r="K689" s="13"/>
      <c r="L689" s="15"/>
      <c r="M689" s="17" t="str">
        <f aca="true">IF(F689="","",IF(AND(L689&lt;&gt;"",L689&gt;=I689),"Paid",IF(AND(L689&lt;&gt;"",L689&gt;0),"Part paid",IF(TODAY()&gt;J689,"Overdue","Due"))))</f>
        <v/>
      </c>
      <c r="N689" s="19" t="str">
        <f aca="true">IF(M689="Overdue",TODAY()-J689,"")</f>
        <v/>
      </c>
      <c r="O689" s="14"/>
    </row>
    <row r="690" customFormat="false" ht="15" hidden="false" customHeight="false" outlineLevel="0" collapsed="false">
      <c r="A690" s="14"/>
      <c r="B690" s="13"/>
      <c r="C690" s="14"/>
      <c r="D690" s="14"/>
      <c r="E690" s="14"/>
      <c r="F690" s="15"/>
      <c r="G690" s="14"/>
      <c r="H690" s="19" t="str">
        <f aca="false">IF(F690="","",IF(G690="Y",F690*Settings!$B$16,0))</f>
        <v/>
      </c>
      <c r="I690" s="19" t="str">
        <f aca="false">IF(F690="","",F690+H690)</f>
        <v/>
      </c>
      <c r="J690" s="18" t="str">
        <f aca="false">IF(B690="","",B690+Settings!$B$17)</f>
        <v/>
      </c>
      <c r="K690" s="13"/>
      <c r="L690" s="15"/>
      <c r="M690" s="17" t="str">
        <f aca="true">IF(F690="","",IF(AND(L690&lt;&gt;"",L690&gt;=I690),"Paid",IF(AND(L690&lt;&gt;"",L690&gt;0),"Part paid",IF(TODAY()&gt;J690,"Overdue","Due"))))</f>
        <v/>
      </c>
      <c r="N690" s="19" t="str">
        <f aca="true">IF(M690="Overdue",TODAY()-J690,"")</f>
        <v/>
      </c>
      <c r="O690" s="14"/>
    </row>
    <row r="691" customFormat="false" ht="15" hidden="false" customHeight="false" outlineLevel="0" collapsed="false">
      <c r="A691" s="14"/>
      <c r="B691" s="13"/>
      <c r="C691" s="14"/>
      <c r="D691" s="14"/>
      <c r="E691" s="14"/>
      <c r="F691" s="15"/>
      <c r="G691" s="14"/>
      <c r="H691" s="19" t="str">
        <f aca="false">IF(F691="","",IF(G691="Y",F691*Settings!$B$16,0))</f>
        <v/>
      </c>
      <c r="I691" s="19" t="str">
        <f aca="false">IF(F691="","",F691+H691)</f>
        <v/>
      </c>
      <c r="J691" s="18" t="str">
        <f aca="false">IF(B691="","",B691+Settings!$B$17)</f>
        <v/>
      </c>
      <c r="K691" s="13"/>
      <c r="L691" s="15"/>
      <c r="M691" s="17" t="str">
        <f aca="true">IF(F691="","",IF(AND(L691&lt;&gt;"",L691&gt;=I691),"Paid",IF(AND(L691&lt;&gt;"",L691&gt;0),"Part paid",IF(TODAY()&gt;J691,"Overdue","Due"))))</f>
        <v/>
      </c>
      <c r="N691" s="19" t="str">
        <f aca="true">IF(M691="Overdue",TODAY()-J691,"")</f>
        <v/>
      </c>
      <c r="O691" s="14"/>
    </row>
    <row r="692" customFormat="false" ht="15" hidden="false" customHeight="false" outlineLevel="0" collapsed="false">
      <c r="A692" s="14"/>
      <c r="B692" s="13"/>
      <c r="C692" s="14"/>
      <c r="D692" s="14"/>
      <c r="E692" s="14"/>
      <c r="F692" s="15"/>
      <c r="G692" s="14"/>
      <c r="H692" s="19" t="str">
        <f aca="false">IF(F692="","",IF(G692="Y",F692*Settings!$B$16,0))</f>
        <v/>
      </c>
      <c r="I692" s="19" t="str">
        <f aca="false">IF(F692="","",F692+H692)</f>
        <v/>
      </c>
      <c r="J692" s="18" t="str">
        <f aca="false">IF(B692="","",B692+Settings!$B$17)</f>
        <v/>
      </c>
      <c r="K692" s="13"/>
      <c r="L692" s="15"/>
      <c r="M692" s="17" t="str">
        <f aca="true">IF(F692="","",IF(AND(L692&lt;&gt;"",L692&gt;=I692),"Paid",IF(AND(L692&lt;&gt;"",L692&gt;0),"Part paid",IF(TODAY()&gt;J692,"Overdue","Due"))))</f>
        <v/>
      </c>
      <c r="N692" s="19" t="str">
        <f aca="true">IF(M692="Overdue",TODAY()-J692,"")</f>
        <v/>
      </c>
      <c r="O692" s="14"/>
    </row>
    <row r="693" customFormat="false" ht="15" hidden="false" customHeight="false" outlineLevel="0" collapsed="false">
      <c r="A693" s="14"/>
      <c r="B693" s="13"/>
      <c r="C693" s="14"/>
      <c r="D693" s="14"/>
      <c r="E693" s="14"/>
      <c r="F693" s="15"/>
      <c r="G693" s="14"/>
      <c r="H693" s="19" t="str">
        <f aca="false">IF(F693="","",IF(G693="Y",F693*Settings!$B$16,0))</f>
        <v/>
      </c>
      <c r="I693" s="19" t="str">
        <f aca="false">IF(F693="","",F693+H693)</f>
        <v/>
      </c>
      <c r="J693" s="18" t="str">
        <f aca="false">IF(B693="","",B693+Settings!$B$17)</f>
        <v/>
      </c>
      <c r="K693" s="13"/>
      <c r="L693" s="15"/>
      <c r="M693" s="17" t="str">
        <f aca="true">IF(F693="","",IF(AND(L693&lt;&gt;"",L693&gt;=I693),"Paid",IF(AND(L693&lt;&gt;"",L693&gt;0),"Part paid",IF(TODAY()&gt;J693,"Overdue","Due"))))</f>
        <v/>
      </c>
      <c r="N693" s="19" t="str">
        <f aca="true">IF(M693="Overdue",TODAY()-J693,"")</f>
        <v/>
      </c>
      <c r="O693" s="14"/>
    </row>
    <row r="694" customFormat="false" ht="15" hidden="false" customHeight="false" outlineLevel="0" collapsed="false">
      <c r="A694" s="14"/>
      <c r="B694" s="13"/>
      <c r="C694" s="14"/>
      <c r="D694" s="14"/>
      <c r="E694" s="14"/>
      <c r="F694" s="15"/>
      <c r="G694" s="14"/>
      <c r="H694" s="19" t="str">
        <f aca="false">IF(F694="","",IF(G694="Y",F694*Settings!$B$16,0))</f>
        <v/>
      </c>
      <c r="I694" s="19" t="str">
        <f aca="false">IF(F694="","",F694+H694)</f>
        <v/>
      </c>
      <c r="J694" s="18" t="str">
        <f aca="false">IF(B694="","",B694+Settings!$B$17)</f>
        <v/>
      </c>
      <c r="K694" s="13"/>
      <c r="L694" s="15"/>
      <c r="M694" s="17" t="str">
        <f aca="true">IF(F694="","",IF(AND(L694&lt;&gt;"",L694&gt;=I694),"Paid",IF(AND(L694&lt;&gt;"",L694&gt;0),"Part paid",IF(TODAY()&gt;J694,"Overdue","Due"))))</f>
        <v/>
      </c>
      <c r="N694" s="19" t="str">
        <f aca="true">IF(M694="Overdue",TODAY()-J694,"")</f>
        <v/>
      </c>
      <c r="O694" s="14"/>
    </row>
    <row r="695" customFormat="false" ht="15" hidden="false" customHeight="false" outlineLevel="0" collapsed="false">
      <c r="A695" s="14"/>
      <c r="B695" s="13"/>
      <c r="C695" s="14"/>
      <c r="D695" s="14"/>
      <c r="E695" s="14"/>
      <c r="F695" s="15"/>
      <c r="G695" s="14"/>
      <c r="H695" s="19" t="str">
        <f aca="false">IF(F695="","",IF(G695="Y",F695*Settings!$B$16,0))</f>
        <v/>
      </c>
      <c r="I695" s="19" t="str">
        <f aca="false">IF(F695="","",F695+H695)</f>
        <v/>
      </c>
      <c r="J695" s="18" t="str">
        <f aca="false">IF(B695="","",B695+Settings!$B$17)</f>
        <v/>
      </c>
      <c r="K695" s="13"/>
      <c r="L695" s="15"/>
      <c r="M695" s="17" t="str">
        <f aca="true">IF(F695="","",IF(AND(L695&lt;&gt;"",L695&gt;=I695),"Paid",IF(AND(L695&lt;&gt;"",L695&gt;0),"Part paid",IF(TODAY()&gt;J695,"Overdue","Due"))))</f>
        <v/>
      </c>
      <c r="N695" s="19" t="str">
        <f aca="true">IF(M695="Overdue",TODAY()-J695,"")</f>
        <v/>
      </c>
      <c r="O695" s="14"/>
    </row>
    <row r="696" customFormat="false" ht="15" hidden="false" customHeight="false" outlineLevel="0" collapsed="false">
      <c r="A696" s="14"/>
      <c r="B696" s="13"/>
      <c r="C696" s="14"/>
      <c r="D696" s="14"/>
      <c r="E696" s="14"/>
      <c r="F696" s="15"/>
      <c r="G696" s="14"/>
      <c r="H696" s="19" t="str">
        <f aca="false">IF(F696="","",IF(G696="Y",F696*Settings!$B$16,0))</f>
        <v/>
      </c>
      <c r="I696" s="19" t="str">
        <f aca="false">IF(F696="","",F696+H696)</f>
        <v/>
      </c>
      <c r="J696" s="18" t="str">
        <f aca="false">IF(B696="","",B696+Settings!$B$17)</f>
        <v/>
      </c>
      <c r="K696" s="13"/>
      <c r="L696" s="15"/>
      <c r="M696" s="17" t="str">
        <f aca="true">IF(F696="","",IF(AND(L696&lt;&gt;"",L696&gt;=I696),"Paid",IF(AND(L696&lt;&gt;"",L696&gt;0),"Part paid",IF(TODAY()&gt;J696,"Overdue","Due"))))</f>
        <v/>
      </c>
      <c r="N696" s="19" t="str">
        <f aca="true">IF(M696="Overdue",TODAY()-J696,"")</f>
        <v/>
      </c>
      <c r="O696" s="14"/>
    </row>
    <row r="697" customFormat="false" ht="15" hidden="false" customHeight="false" outlineLevel="0" collapsed="false">
      <c r="A697" s="14"/>
      <c r="B697" s="13"/>
      <c r="C697" s="14"/>
      <c r="D697" s="14"/>
      <c r="E697" s="14"/>
      <c r="F697" s="15"/>
      <c r="G697" s="14"/>
      <c r="H697" s="19" t="str">
        <f aca="false">IF(F697="","",IF(G697="Y",F697*Settings!$B$16,0))</f>
        <v/>
      </c>
      <c r="I697" s="19" t="str">
        <f aca="false">IF(F697="","",F697+H697)</f>
        <v/>
      </c>
      <c r="J697" s="18" t="str">
        <f aca="false">IF(B697="","",B697+Settings!$B$17)</f>
        <v/>
      </c>
      <c r="K697" s="13"/>
      <c r="L697" s="15"/>
      <c r="M697" s="17" t="str">
        <f aca="true">IF(F697="","",IF(AND(L697&lt;&gt;"",L697&gt;=I697),"Paid",IF(AND(L697&lt;&gt;"",L697&gt;0),"Part paid",IF(TODAY()&gt;J697,"Overdue","Due"))))</f>
        <v/>
      </c>
      <c r="N697" s="19" t="str">
        <f aca="true">IF(M697="Overdue",TODAY()-J697,"")</f>
        <v/>
      </c>
      <c r="O697" s="14"/>
    </row>
    <row r="698" customFormat="false" ht="15" hidden="false" customHeight="false" outlineLevel="0" collapsed="false">
      <c r="A698" s="14"/>
      <c r="B698" s="13"/>
      <c r="C698" s="14"/>
      <c r="D698" s="14"/>
      <c r="E698" s="14"/>
      <c r="F698" s="15"/>
      <c r="G698" s="14"/>
      <c r="H698" s="19" t="str">
        <f aca="false">IF(F698="","",IF(G698="Y",F698*Settings!$B$16,0))</f>
        <v/>
      </c>
      <c r="I698" s="19" t="str">
        <f aca="false">IF(F698="","",F698+H698)</f>
        <v/>
      </c>
      <c r="J698" s="18" t="str">
        <f aca="false">IF(B698="","",B698+Settings!$B$17)</f>
        <v/>
      </c>
      <c r="K698" s="13"/>
      <c r="L698" s="15"/>
      <c r="M698" s="17" t="str">
        <f aca="true">IF(F698="","",IF(AND(L698&lt;&gt;"",L698&gt;=I698),"Paid",IF(AND(L698&lt;&gt;"",L698&gt;0),"Part paid",IF(TODAY()&gt;J698,"Overdue","Due"))))</f>
        <v/>
      </c>
      <c r="N698" s="19" t="str">
        <f aca="true">IF(M698="Overdue",TODAY()-J698,"")</f>
        <v/>
      </c>
      <c r="O698" s="14"/>
    </row>
    <row r="699" customFormat="false" ht="15" hidden="false" customHeight="false" outlineLevel="0" collapsed="false">
      <c r="A699" s="14"/>
      <c r="B699" s="13"/>
      <c r="C699" s="14"/>
      <c r="D699" s="14"/>
      <c r="E699" s="14"/>
      <c r="F699" s="15"/>
      <c r="G699" s="14"/>
      <c r="H699" s="19" t="str">
        <f aca="false">IF(F699="","",IF(G699="Y",F699*Settings!$B$16,0))</f>
        <v/>
      </c>
      <c r="I699" s="19" t="str">
        <f aca="false">IF(F699="","",F699+H699)</f>
        <v/>
      </c>
      <c r="J699" s="18" t="str">
        <f aca="false">IF(B699="","",B699+Settings!$B$17)</f>
        <v/>
      </c>
      <c r="K699" s="13"/>
      <c r="L699" s="15"/>
      <c r="M699" s="17" t="str">
        <f aca="true">IF(F699="","",IF(AND(L699&lt;&gt;"",L699&gt;=I699),"Paid",IF(AND(L699&lt;&gt;"",L699&gt;0),"Part paid",IF(TODAY()&gt;J699,"Overdue","Due"))))</f>
        <v/>
      </c>
      <c r="N699" s="19" t="str">
        <f aca="true">IF(M699="Overdue",TODAY()-J699,"")</f>
        <v/>
      </c>
      <c r="O699" s="14"/>
    </row>
    <row r="700" customFormat="false" ht="15" hidden="false" customHeight="false" outlineLevel="0" collapsed="false">
      <c r="A700" s="14"/>
      <c r="B700" s="13"/>
      <c r="C700" s="14"/>
      <c r="D700" s="14"/>
      <c r="E700" s="14"/>
      <c r="F700" s="15"/>
      <c r="G700" s="14"/>
      <c r="H700" s="19" t="str">
        <f aca="false">IF(F700="","",IF(G700="Y",F700*Settings!$B$16,0))</f>
        <v/>
      </c>
      <c r="I700" s="19" t="str">
        <f aca="false">IF(F700="","",F700+H700)</f>
        <v/>
      </c>
      <c r="J700" s="18" t="str">
        <f aca="false">IF(B700="","",B700+Settings!$B$17)</f>
        <v/>
      </c>
      <c r="K700" s="13"/>
      <c r="L700" s="15"/>
      <c r="M700" s="17" t="str">
        <f aca="true">IF(F700="","",IF(AND(L700&lt;&gt;"",L700&gt;=I700),"Paid",IF(AND(L700&lt;&gt;"",L700&gt;0),"Part paid",IF(TODAY()&gt;J700,"Overdue","Due"))))</f>
        <v/>
      </c>
      <c r="N700" s="19" t="str">
        <f aca="true">IF(M700="Overdue",TODAY()-J700,"")</f>
        <v/>
      </c>
      <c r="O700" s="14"/>
    </row>
    <row r="701" customFormat="false" ht="15" hidden="false" customHeight="false" outlineLevel="0" collapsed="false">
      <c r="A701" s="14"/>
      <c r="B701" s="13"/>
      <c r="C701" s="14"/>
      <c r="D701" s="14"/>
      <c r="E701" s="14"/>
      <c r="F701" s="15"/>
      <c r="G701" s="14"/>
      <c r="H701" s="19" t="str">
        <f aca="false">IF(F701="","",IF(G701="Y",F701*Settings!$B$16,0))</f>
        <v/>
      </c>
      <c r="I701" s="19" t="str">
        <f aca="false">IF(F701="","",F701+H701)</f>
        <v/>
      </c>
      <c r="J701" s="18" t="str">
        <f aca="false">IF(B701="","",B701+Settings!$B$17)</f>
        <v/>
      </c>
      <c r="K701" s="13"/>
      <c r="L701" s="15"/>
      <c r="M701" s="17" t="str">
        <f aca="true">IF(F701="","",IF(AND(L701&lt;&gt;"",L701&gt;=I701),"Paid",IF(AND(L701&lt;&gt;"",L701&gt;0),"Part paid",IF(TODAY()&gt;J701,"Overdue","Due"))))</f>
        <v/>
      </c>
      <c r="N701" s="19" t="str">
        <f aca="true">IF(M701="Overdue",TODAY()-J701,"")</f>
        <v/>
      </c>
      <c r="O701" s="14"/>
    </row>
    <row r="702" customFormat="false" ht="15" hidden="false" customHeight="false" outlineLevel="0" collapsed="false">
      <c r="A702" s="14"/>
      <c r="B702" s="13"/>
      <c r="C702" s="14"/>
      <c r="D702" s="14"/>
      <c r="E702" s="14"/>
      <c r="F702" s="15"/>
      <c r="G702" s="14"/>
      <c r="H702" s="19" t="str">
        <f aca="false">IF(F702="","",IF(G702="Y",F702*Settings!$B$16,0))</f>
        <v/>
      </c>
      <c r="I702" s="19" t="str">
        <f aca="false">IF(F702="","",F702+H702)</f>
        <v/>
      </c>
      <c r="J702" s="18" t="str">
        <f aca="false">IF(B702="","",B702+Settings!$B$17)</f>
        <v/>
      </c>
      <c r="K702" s="13"/>
      <c r="L702" s="15"/>
      <c r="M702" s="17" t="str">
        <f aca="true">IF(F702="","",IF(AND(L702&lt;&gt;"",L702&gt;=I702),"Paid",IF(AND(L702&lt;&gt;"",L702&gt;0),"Part paid",IF(TODAY()&gt;J702,"Overdue","Due"))))</f>
        <v/>
      </c>
      <c r="N702" s="19" t="str">
        <f aca="true">IF(M702="Overdue",TODAY()-J702,"")</f>
        <v/>
      </c>
      <c r="O702" s="14"/>
    </row>
    <row r="703" customFormat="false" ht="15" hidden="false" customHeight="false" outlineLevel="0" collapsed="false">
      <c r="A703" s="14"/>
      <c r="B703" s="13"/>
      <c r="C703" s="14"/>
      <c r="D703" s="14"/>
      <c r="E703" s="14"/>
      <c r="F703" s="15"/>
      <c r="G703" s="14"/>
      <c r="H703" s="19" t="str">
        <f aca="false">IF(F703="","",IF(G703="Y",F703*Settings!$B$16,0))</f>
        <v/>
      </c>
      <c r="I703" s="19" t="str">
        <f aca="false">IF(F703="","",F703+H703)</f>
        <v/>
      </c>
      <c r="J703" s="18" t="str">
        <f aca="false">IF(B703="","",B703+Settings!$B$17)</f>
        <v/>
      </c>
      <c r="K703" s="13"/>
      <c r="L703" s="15"/>
      <c r="M703" s="17" t="str">
        <f aca="true">IF(F703="","",IF(AND(L703&lt;&gt;"",L703&gt;=I703),"Paid",IF(AND(L703&lt;&gt;"",L703&gt;0),"Part paid",IF(TODAY()&gt;J703,"Overdue","Due"))))</f>
        <v/>
      </c>
      <c r="N703" s="19" t="str">
        <f aca="true">IF(M703="Overdue",TODAY()-J703,"")</f>
        <v/>
      </c>
      <c r="O703" s="14"/>
    </row>
    <row r="704" customFormat="false" ht="15" hidden="false" customHeight="false" outlineLevel="0" collapsed="false">
      <c r="A704" s="14"/>
      <c r="B704" s="13"/>
      <c r="C704" s="14"/>
      <c r="D704" s="14"/>
      <c r="E704" s="14"/>
      <c r="F704" s="15"/>
      <c r="G704" s="14"/>
      <c r="H704" s="19" t="str">
        <f aca="false">IF(F704="","",IF(G704="Y",F704*Settings!$B$16,0))</f>
        <v/>
      </c>
      <c r="I704" s="19" t="str">
        <f aca="false">IF(F704="","",F704+H704)</f>
        <v/>
      </c>
      <c r="J704" s="18" t="str">
        <f aca="false">IF(B704="","",B704+Settings!$B$17)</f>
        <v/>
      </c>
      <c r="K704" s="13"/>
      <c r="L704" s="15"/>
      <c r="M704" s="17" t="str">
        <f aca="true">IF(F704="","",IF(AND(L704&lt;&gt;"",L704&gt;=I704),"Paid",IF(AND(L704&lt;&gt;"",L704&gt;0),"Part paid",IF(TODAY()&gt;J704,"Overdue","Due"))))</f>
        <v/>
      </c>
      <c r="N704" s="19" t="str">
        <f aca="true">IF(M704="Overdue",TODAY()-J704,"")</f>
        <v/>
      </c>
      <c r="O704" s="14"/>
    </row>
    <row r="705" customFormat="false" ht="15" hidden="false" customHeight="false" outlineLevel="0" collapsed="false">
      <c r="A705" s="14"/>
      <c r="B705" s="13"/>
      <c r="C705" s="14"/>
      <c r="D705" s="14"/>
      <c r="E705" s="14"/>
      <c r="F705" s="15"/>
      <c r="G705" s="14"/>
      <c r="H705" s="19" t="str">
        <f aca="false">IF(F705="","",IF(G705="Y",F705*Settings!$B$16,0))</f>
        <v/>
      </c>
      <c r="I705" s="19" t="str">
        <f aca="false">IF(F705="","",F705+H705)</f>
        <v/>
      </c>
      <c r="J705" s="18" t="str">
        <f aca="false">IF(B705="","",B705+Settings!$B$17)</f>
        <v/>
      </c>
      <c r="K705" s="13"/>
      <c r="L705" s="15"/>
      <c r="M705" s="17" t="str">
        <f aca="true">IF(F705="","",IF(AND(L705&lt;&gt;"",L705&gt;=I705),"Paid",IF(AND(L705&lt;&gt;"",L705&gt;0),"Part paid",IF(TODAY()&gt;J705,"Overdue","Due"))))</f>
        <v/>
      </c>
      <c r="N705" s="19" t="str">
        <f aca="true">IF(M705="Overdue",TODAY()-J705,"")</f>
        <v/>
      </c>
      <c r="O705" s="14"/>
    </row>
    <row r="706" customFormat="false" ht="15" hidden="false" customHeight="false" outlineLevel="0" collapsed="false">
      <c r="A706" s="14"/>
      <c r="B706" s="13"/>
      <c r="C706" s="14"/>
      <c r="D706" s="14"/>
      <c r="E706" s="14"/>
      <c r="F706" s="15"/>
      <c r="G706" s="14"/>
      <c r="H706" s="19" t="str">
        <f aca="false">IF(F706="","",IF(G706="Y",F706*Settings!$B$16,0))</f>
        <v/>
      </c>
      <c r="I706" s="19" t="str">
        <f aca="false">IF(F706="","",F706+H706)</f>
        <v/>
      </c>
      <c r="J706" s="18" t="str">
        <f aca="false">IF(B706="","",B706+Settings!$B$17)</f>
        <v/>
      </c>
      <c r="K706" s="13"/>
      <c r="L706" s="15"/>
      <c r="M706" s="17" t="str">
        <f aca="true">IF(F706="","",IF(AND(L706&lt;&gt;"",L706&gt;=I706),"Paid",IF(AND(L706&lt;&gt;"",L706&gt;0),"Part paid",IF(TODAY()&gt;J706,"Overdue","Due"))))</f>
        <v/>
      </c>
      <c r="N706" s="19" t="str">
        <f aca="true">IF(M706="Overdue",TODAY()-J706,"")</f>
        <v/>
      </c>
      <c r="O706" s="14"/>
    </row>
    <row r="707" customFormat="false" ht="15" hidden="false" customHeight="false" outlineLevel="0" collapsed="false">
      <c r="A707" s="14"/>
      <c r="B707" s="13"/>
      <c r="C707" s="14"/>
      <c r="D707" s="14"/>
      <c r="E707" s="14"/>
      <c r="F707" s="15"/>
      <c r="G707" s="14"/>
      <c r="H707" s="19" t="str">
        <f aca="false">IF(F707="","",IF(G707="Y",F707*Settings!$B$16,0))</f>
        <v/>
      </c>
      <c r="I707" s="19" t="str">
        <f aca="false">IF(F707="","",F707+H707)</f>
        <v/>
      </c>
      <c r="J707" s="18" t="str">
        <f aca="false">IF(B707="","",B707+Settings!$B$17)</f>
        <v/>
      </c>
      <c r="K707" s="13"/>
      <c r="L707" s="15"/>
      <c r="M707" s="17" t="str">
        <f aca="true">IF(F707="","",IF(AND(L707&lt;&gt;"",L707&gt;=I707),"Paid",IF(AND(L707&lt;&gt;"",L707&gt;0),"Part paid",IF(TODAY()&gt;J707,"Overdue","Due"))))</f>
        <v/>
      </c>
      <c r="N707" s="19" t="str">
        <f aca="true">IF(M707="Overdue",TODAY()-J707,"")</f>
        <v/>
      </c>
      <c r="O707" s="14"/>
    </row>
    <row r="708" customFormat="false" ht="15" hidden="false" customHeight="false" outlineLevel="0" collapsed="false">
      <c r="A708" s="14"/>
      <c r="B708" s="13"/>
      <c r="C708" s="14"/>
      <c r="D708" s="14"/>
      <c r="E708" s="14"/>
      <c r="F708" s="15"/>
      <c r="G708" s="14"/>
      <c r="H708" s="19" t="str">
        <f aca="false">IF(F708="","",IF(G708="Y",F708*Settings!$B$16,0))</f>
        <v/>
      </c>
      <c r="I708" s="19" t="str">
        <f aca="false">IF(F708="","",F708+H708)</f>
        <v/>
      </c>
      <c r="J708" s="18" t="str">
        <f aca="false">IF(B708="","",B708+Settings!$B$17)</f>
        <v/>
      </c>
      <c r="K708" s="13"/>
      <c r="L708" s="15"/>
      <c r="M708" s="17" t="str">
        <f aca="true">IF(F708="","",IF(AND(L708&lt;&gt;"",L708&gt;=I708),"Paid",IF(AND(L708&lt;&gt;"",L708&gt;0),"Part paid",IF(TODAY()&gt;J708,"Overdue","Due"))))</f>
        <v/>
      </c>
      <c r="N708" s="19" t="str">
        <f aca="true">IF(M708="Overdue",TODAY()-J708,"")</f>
        <v/>
      </c>
      <c r="O708" s="14"/>
    </row>
    <row r="709" customFormat="false" ht="15" hidden="false" customHeight="false" outlineLevel="0" collapsed="false">
      <c r="A709" s="14"/>
      <c r="B709" s="13"/>
      <c r="C709" s="14"/>
      <c r="D709" s="14"/>
      <c r="E709" s="14"/>
      <c r="F709" s="15"/>
      <c r="G709" s="14"/>
      <c r="H709" s="19" t="str">
        <f aca="false">IF(F709="","",IF(G709="Y",F709*Settings!$B$16,0))</f>
        <v/>
      </c>
      <c r="I709" s="19" t="str">
        <f aca="false">IF(F709="","",F709+H709)</f>
        <v/>
      </c>
      <c r="J709" s="18" t="str">
        <f aca="false">IF(B709="","",B709+Settings!$B$17)</f>
        <v/>
      </c>
      <c r="K709" s="13"/>
      <c r="L709" s="15"/>
      <c r="M709" s="17" t="str">
        <f aca="true">IF(F709="","",IF(AND(L709&lt;&gt;"",L709&gt;=I709),"Paid",IF(AND(L709&lt;&gt;"",L709&gt;0),"Part paid",IF(TODAY()&gt;J709,"Overdue","Due"))))</f>
        <v/>
      </c>
      <c r="N709" s="19" t="str">
        <f aca="true">IF(M709="Overdue",TODAY()-J709,"")</f>
        <v/>
      </c>
      <c r="O709" s="14"/>
    </row>
    <row r="710" customFormat="false" ht="15" hidden="false" customHeight="false" outlineLevel="0" collapsed="false">
      <c r="A710" s="14"/>
      <c r="B710" s="13"/>
      <c r="C710" s="14"/>
      <c r="D710" s="14"/>
      <c r="E710" s="14"/>
      <c r="F710" s="15"/>
      <c r="G710" s="14"/>
      <c r="H710" s="19" t="str">
        <f aca="false">IF(F710="","",IF(G710="Y",F710*Settings!$B$16,0))</f>
        <v/>
      </c>
      <c r="I710" s="19" t="str">
        <f aca="false">IF(F710="","",F710+H710)</f>
        <v/>
      </c>
      <c r="J710" s="18" t="str">
        <f aca="false">IF(B710="","",B710+Settings!$B$17)</f>
        <v/>
      </c>
      <c r="K710" s="13"/>
      <c r="L710" s="15"/>
      <c r="M710" s="17" t="str">
        <f aca="true">IF(F710="","",IF(AND(L710&lt;&gt;"",L710&gt;=I710),"Paid",IF(AND(L710&lt;&gt;"",L710&gt;0),"Part paid",IF(TODAY()&gt;J710,"Overdue","Due"))))</f>
        <v/>
      </c>
      <c r="N710" s="19" t="str">
        <f aca="true">IF(M710="Overdue",TODAY()-J710,"")</f>
        <v/>
      </c>
      <c r="O710" s="14"/>
    </row>
    <row r="711" customFormat="false" ht="15" hidden="false" customHeight="false" outlineLevel="0" collapsed="false">
      <c r="A711" s="14"/>
      <c r="B711" s="13"/>
      <c r="C711" s="14"/>
      <c r="D711" s="14"/>
      <c r="E711" s="14"/>
      <c r="F711" s="15"/>
      <c r="G711" s="14"/>
      <c r="H711" s="19" t="str">
        <f aca="false">IF(F711="","",IF(G711="Y",F711*Settings!$B$16,0))</f>
        <v/>
      </c>
      <c r="I711" s="19" t="str">
        <f aca="false">IF(F711="","",F711+H711)</f>
        <v/>
      </c>
      <c r="J711" s="18" t="str">
        <f aca="false">IF(B711="","",B711+Settings!$B$17)</f>
        <v/>
      </c>
      <c r="K711" s="13"/>
      <c r="L711" s="15"/>
      <c r="M711" s="17" t="str">
        <f aca="true">IF(F711="","",IF(AND(L711&lt;&gt;"",L711&gt;=I711),"Paid",IF(AND(L711&lt;&gt;"",L711&gt;0),"Part paid",IF(TODAY()&gt;J711,"Overdue","Due"))))</f>
        <v/>
      </c>
      <c r="N711" s="19" t="str">
        <f aca="true">IF(M711="Overdue",TODAY()-J711,"")</f>
        <v/>
      </c>
      <c r="O711" s="14"/>
    </row>
    <row r="712" customFormat="false" ht="15" hidden="false" customHeight="false" outlineLevel="0" collapsed="false">
      <c r="A712" s="14"/>
      <c r="B712" s="13"/>
      <c r="C712" s="14"/>
      <c r="D712" s="14"/>
      <c r="E712" s="14"/>
      <c r="F712" s="15"/>
      <c r="G712" s="14"/>
      <c r="H712" s="19" t="str">
        <f aca="false">IF(F712="","",IF(G712="Y",F712*Settings!$B$16,0))</f>
        <v/>
      </c>
      <c r="I712" s="19" t="str">
        <f aca="false">IF(F712="","",F712+H712)</f>
        <v/>
      </c>
      <c r="J712" s="18" t="str">
        <f aca="false">IF(B712="","",B712+Settings!$B$17)</f>
        <v/>
      </c>
      <c r="K712" s="13"/>
      <c r="L712" s="15"/>
      <c r="M712" s="17" t="str">
        <f aca="true">IF(F712="","",IF(AND(L712&lt;&gt;"",L712&gt;=I712),"Paid",IF(AND(L712&lt;&gt;"",L712&gt;0),"Part paid",IF(TODAY()&gt;J712,"Overdue","Due"))))</f>
        <v/>
      </c>
      <c r="N712" s="19" t="str">
        <f aca="true">IF(M712="Overdue",TODAY()-J712,"")</f>
        <v/>
      </c>
      <c r="O712" s="14"/>
    </row>
    <row r="713" customFormat="false" ht="15" hidden="false" customHeight="false" outlineLevel="0" collapsed="false">
      <c r="A713" s="14"/>
      <c r="B713" s="13"/>
      <c r="C713" s="14"/>
      <c r="D713" s="14"/>
      <c r="E713" s="14"/>
      <c r="F713" s="15"/>
      <c r="G713" s="14"/>
      <c r="H713" s="19" t="str">
        <f aca="false">IF(F713="","",IF(G713="Y",F713*Settings!$B$16,0))</f>
        <v/>
      </c>
      <c r="I713" s="19" t="str">
        <f aca="false">IF(F713="","",F713+H713)</f>
        <v/>
      </c>
      <c r="J713" s="18" t="str">
        <f aca="false">IF(B713="","",B713+Settings!$B$17)</f>
        <v/>
      </c>
      <c r="K713" s="13"/>
      <c r="L713" s="15"/>
      <c r="M713" s="17" t="str">
        <f aca="true">IF(F713="","",IF(AND(L713&lt;&gt;"",L713&gt;=I713),"Paid",IF(AND(L713&lt;&gt;"",L713&gt;0),"Part paid",IF(TODAY()&gt;J713,"Overdue","Due"))))</f>
        <v/>
      </c>
      <c r="N713" s="19" t="str">
        <f aca="true">IF(M713="Overdue",TODAY()-J713,"")</f>
        <v/>
      </c>
      <c r="O713" s="14"/>
    </row>
    <row r="714" customFormat="false" ht="15" hidden="false" customHeight="false" outlineLevel="0" collapsed="false">
      <c r="A714" s="14"/>
      <c r="B714" s="13"/>
      <c r="C714" s="14"/>
      <c r="D714" s="14"/>
      <c r="E714" s="14"/>
      <c r="F714" s="15"/>
      <c r="G714" s="14"/>
      <c r="H714" s="19" t="str">
        <f aca="false">IF(F714="","",IF(G714="Y",F714*Settings!$B$16,0))</f>
        <v/>
      </c>
      <c r="I714" s="19" t="str">
        <f aca="false">IF(F714="","",F714+H714)</f>
        <v/>
      </c>
      <c r="J714" s="18" t="str">
        <f aca="false">IF(B714="","",B714+Settings!$B$17)</f>
        <v/>
      </c>
      <c r="K714" s="13"/>
      <c r="L714" s="15"/>
      <c r="M714" s="17" t="str">
        <f aca="true">IF(F714="","",IF(AND(L714&lt;&gt;"",L714&gt;=I714),"Paid",IF(AND(L714&lt;&gt;"",L714&gt;0),"Part paid",IF(TODAY()&gt;J714,"Overdue","Due"))))</f>
        <v/>
      </c>
      <c r="N714" s="19" t="str">
        <f aca="true">IF(M714="Overdue",TODAY()-J714,"")</f>
        <v/>
      </c>
      <c r="O714" s="14"/>
    </row>
    <row r="715" customFormat="false" ht="15" hidden="false" customHeight="false" outlineLevel="0" collapsed="false">
      <c r="A715" s="14"/>
      <c r="B715" s="13"/>
      <c r="C715" s="14"/>
      <c r="D715" s="14"/>
      <c r="E715" s="14"/>
      <c r="F715" s="15"/>
      <c r="G715" s="14"/>
      <c r="H715" s="19" t="str">
        <f aca="false">IF(F715="","",IF(G715="Y",F715*Settings!$B$16,0))</f>
        <v/>
      </c>
      <c r="I715" s="19" t="str">
        <f aca="false">IF(F715="","",F715+H715)</f>
        <v/>
      </c>
      <c r="J715" s="18" t="str">
        <f aca="false">IF(B715="","",B715+Settings!$B$17)</f>
        <v/>
      </c>
      <c r="K715" s="13"/>
      <c r="L715" s="15"/>
      <c r="M715" s="17" t="str">
        <f aca="true">IF(F715="","",IF(AND(L715&lt;&gt;"",L715&gt;=I715),"Paid",IF(AND(L715&lt;&gt;"",L715&gt;0),"Part paid",IF(TODAY()&gt;J715,"Overdue","Due"))))</f>
        <v/>
      </c>
      <c r="N715" s="19" t="str">
        <f aca="true">IF(M715="Overdue",TODAY()-J715,"")</f>
        <v/>
      </c>
      <c r="O715" s="14"/>
    </row>
    <row r="716" customFormat="false" ht="15" hidden="false" customHeight="false" outlineLevel="0" collapsed="false">
      <c r="A716" s="14"/>
      <c r="B716" s="13"/>
      <c r="C716" s="14"/>
      <c r="D716" s="14"/>
      <c r="E716" s="14"/>
      <c r="F716" s="15"/>
      <c r="G716" s="14"/>
      <c r="H716" s="19" t="str">
        <f aca="false">IF(F716="","",IF(G716="Y",F716*Settings!$B$16,0))</f>
        <v/>
      </c>
      <c r="I716" s="19" t="str">
        <f aca="false">IF(F716="","",F716+H716)</f>
        <v/>
      </c>
      <c r="J716" s="18" t="str">
        <f aca="false">IF(B716="","",B716+Settings!$B$17)</f>
        <v/>
      </c>
      <c r="K716" s="13"/>
      <c r="L716" s="15"/>
      <c r="M716" s="17" t="str">
        <f aca="true">IF(F716="","",IF(AND(L716&lt;&gt;"",L716&gt;=I716),"Paid",IF(AND(L716&lt;&gt;"",L716&gt;0),"Part paid",IF(TODAY()&gt;J716,"Overdue","Due"))))</f>
        <v/>
      </c>
      <c r="N716" s="19" t="str">
        <f aca="true">IF(M716="Overdue",TODAY()-J716,"")</f>
        <v/>
      </c>
      <c r="O716" s="14"/>
    </row>
    <row r="717" customFormat="false" ht="15" hidden="false" customHeight="false" outlineLevel="0" collapsed="false">
      <c r="A717" s="14"/>
      <c r="B717" s="13"/>
      <c r="C717" s="14"/>
      <c r="D717" s="14"/>
      <c r="E717" s="14"/>
      <c r="F717" s="15"/>
      <c r="G717" s="14"/>
      <c r="H717" s="19" t="str">
        <f aca="false">IF(F717="","",IF(G717="Y",F717*Settings!$B$16,0))</f>
        <v/>
      </c>
      <c r="I717" s="19" t="str">
        <f aca="false">IF(F717="","",F717+H717)</f>
        <v/>
      </c>
      <c r="J717" s="18" t="str">
        <f aca="false">IF(B717="","",B717+Settings!$B$17)</f>
        <v/>
      </c>
      <c r="K717" s="13"/>
      <c r="L717" s="15"/>
      <c r="M717" s="17" t="str">
        <f aca="true">IF(F717="","",IF(AND(L717&lt;&gt;"",L717&gt;=I717),"Paid",IF(AND(L717&lt;&gt;"",L717&gt;0),"Part paid",IF(TODAY()&gt;J717,"Overdue","Due"))))</f>
        <v/>
      </c>
      <c r="N717" s="19" t="str">
        <f aca="true">IF(M717="Overdue",TODAY()-J717,"")</f>
        <v/>
      </c>
      <c r="O717" s="14"/>
    </row>
    <row r="718" customFormat="false" ht="15" hidden="false" customHeight="false" outlineLevel="0" collapsed="false">
      <c r="A718" s="14"/>
      <c r="B718" s="13"/>
      <c r="C718" s="14"/>
      <c r="D718" s="14"/>
      <c r="E718" s="14"/>
      <c r="F718" s="15"/>
      <c r="G718" s="14"/>
      <c r="H718" s="19" t="str">
        <f aca="false">IF(F718="","",IF(G718="Y",F718*Settings!$B$16,0))</f>
        <v/>
      </c>
      <c r="I718" s="19" t="str">
        <f aca="false">IF(F718="","",F718+H718)</f>
        <v/>
      </c>
      <c r="J718" s="18" t="str">
        <f aca="false">IF(B718="","",B718+Settings!$B$17)</f>
        <v/>
      </c>
      <c r="K718" s="13"/>
      <c r="L718" s="15"/>
      <c r="M718" s="17" t="str">
        <f aca="true">IF(F718="","",IF(AND(L718&lt;&gt;"",L718&gt;=I718),"Paid",IF(AND(L718&lt;&gt;"",L718&gt;0),"Part paid",IF(TODAY()&gt;J718,"Overdue","Due"))))</f>
        <v/>
      </c>
      <c r="N718" s="19" t="str">
        <f aca="true">IF(M718="Overdue",TODAY()-J718,"")</f>
        <v/>
      </c>
      <c r="O718" s="14"/>
    </row>
    <row r="719" customFormat="false" ht="15" hidden="false" customHeight="false" outlineLevel="0" collapsed="false">
      <c r="A719" s="14"/>
      <c r="B719" s="13"/>
      <c r="C719" s="14"/>
      <c r="D719" s="14"/>
      <c r="E719" s="14"/>
      <c r="F719" s="15"/>
      <c r="G719" s="14"/>
      <c r="H719" s="19" t="str">
        <f aca="false">IF(F719="","",IF(G719="Y",F719*Settings!$B$16,0))</f>
        <v/>
      </c>
      <c r="I719" s="19" t="str">
        <f aca="false">IF(F719="","",F719+H719)</f>
        <v/>
      </c>
      <c r="J719" s="18" t="str">
        <f aca="false">IF(B719="","",B719+Settings!$B$17)</f>
        <v/>
      </c>
      <c r="K719" s="13"/>
      <c r="L719" s="15"/>
      <c r="M719" s="17" t="str">
        <f aca="true">IF(F719="","",IF(AND(L719&lt;&gt;"",L719&gt;=I719),"Paid",IF(AND(L719&lt;&gt;"",L719&gt;0),"Part paid",IF(TODAY()&gt;J719,"Overdue","Due"))))</f>
        <v/>
      </c>
      <c r="N719" s="19" t="str">
        <f aca="true">IF(M719="Overdue",TODAY()-J719,"")</f>
        <v/>
      </c>
      <c r="O719" s="14"/>
    </row>
    <row r="720" customFormat="false" ht="15" hidden="false" customHeight="false" outlineLevel="0" collapsed="false">
      <c r="A720" s="14"/>
      <c r="B720" s="13"/>
      <c r="C720" s="14"/>
      <c r="D720" s="14"/>
      <c r="E720" s="14"/>
      <c r="F720" s="15"/>
      <c r="G720" s="14"/>
      <c r="H720" s="19" t="str">
        <f aca="false">IF(F720="","",IF(G720="Y",F720*Settings!$B$16,0))</f>
        <v/>
      </c>
      <c r="I720" s="19" t="str">
        <f aca="false">IF(F720="","",F720+H720)</f>
        <v/>
      </c>
      <c r="J720" s="18" t="str">
        <f aca="false">IF(B720="","",B720+Settings!$B$17)</f>
        <v/>
      </c>
      <c r="K720" s="13"/>
      <c r="L720" s="15"/>
      <c r="M720" s="17" t="str">
        <f aca="true">IF(F720="","",IF(AND(L720&lt;&gt;"",L720&gt;=I720),"Paid",IF(AND(L720&lt;&gt;"",L720&gt;0),"Part paid",IF(TODAY()&gt;J720,"Overdue","Due"))))</f>
        <v/>
      </c>
      <c r="N720" s="19" t="str">
        <f aca="true">IF(M720="Overdue",TODAY()-J720,"")</f>
        <v/>
      </c>
      <c r="O720" s="14"/>
    </row>
    <row r="721" customFormat="false" ht="15" hidden="false" customHeight="false" outlineLevel="0" collapsed="false">
      <c r="A721" s="14"/>
      <c r="B721" s="13"/>
      <c r="C721" s="14"/>
      <c r="D721" s="14"/>
      <c r="E721" s="14"/>
      <c r="F721" s="15"/>
      <c r="G721" s="14"/>
      <c r="H721" s="19" t="str">
        <f aca="false">IF(F721="","",IF(G721="Y",F721*Settings!$B$16,0))</f>
        <v/>
      </c>
      <c r="I721" s="19" t="str">
        <f aca="false">IF(F721="","",F721+H721)</f>
        <v/>
      </c>
      <c r="J721" s="18" t="str">
        <f aca="false">IF(B721="","",B721+Settings!$B$17)</f>
        <v/>
      </c>
      <c r="K721" s="13"/>
      <c r="L721" s="15"/>
      <c r="M721" s="17" t="str">
        <f aca="true">IF(F721="","",IF(AND(L721&lt;&gt;"",L721&gt;=I721),"Paid",IF(AND(L721&lt;&gt;"",L721&gt;0),"Part paid",IF(TODAY()&gt;J721,"Overdue","Due"))))</f>
        <v/>
      </c>
      <c r="N721" s="19" t="str">
        <f aca="true">IF(M721="Overdue",TODAY()-J721,"")</f>
        <v/>
      </c>
      <c r="O721" s="14"/>
    </row>
    <row r="722" customFormat="false" ht="15" hidden="false" customHeight="false" outlineLevel="0" collapsed="false">
      <c r="A722" s="14"/>
      <c r="B722" s="13"/>
      <c r="C722" s="14"/>
      <c r="D722" s="14"/>
      <c r="E722" s="14"/>
      <c r="F722" s="15"/>
      <c r="G722" s="14"/>
      <c r="H722" s="19" t="str">
        <f aca="false">IF(F722="","",IF(G722="Y",F722*Settings!$B$16,0))</f>
        <v/>
      </c>
      <c r="I722" s="19" t="str">
        <f aca="false">IF(F722="","",F722+H722)</f>
        <v/>
      </c>
      <c r="J722" s="18" t="str">
        <f aca="false">IF(B722="","",B722+Settings!$B$17)</f>
        <v/>
      </c>
      <c r="K722" s="13"/>
      <c r="L722" s="15"/>
      <c r="M722" s="17" t="str">
        <f aca="true">IF(F722="","",IF(AND(L722&lt;&gt;"",L722&gt;=I722),"Paid",IF(AND(L722&lt;&gt;"",L722&gt;0),"Part paid",IF(TODAY()&gt;J722,"Overdue","Due"))))</f>
        <v/>
      </c>
      <c r="N722" s="19" t="str">
        <f aca="true">IF(M722="Overdue",TODAY()-J722,"")</f>
        <v/>
      </c>
      <c r="O722" s="14"/>
    </row>
    <row r="723" customFormat="false" ht="15" hidden="false" customHeight="false" outlineLevel="0" collapsed="false">
      <c r="A723" s="14"/>
      <c r="B723" s="13"/>
      <c r="C723" s="14"/>
      <c r="D723" s="14"/>
      <c r="E723" s="14"/>
      <c r="F723" s="15"/>
      <c r="G723" s="14"/>
      <c r="H723" s="19" t="str">
        <f aca="false">IF(F723="","",IF(G723="Y",F723*Settings!$B$16,0))</f>
        <v/>
      </c>
      <c r="I723" s="19" t="str">
        <f aca="false">IF(F723="","",F723+H723)</f>
        <v/>
      </c>
      <c r="J723" s="18" t="str">
        <f aca="false">IF(B723="","",B723+Settings!$B$17)</f>
        <v/>
      </c>
      <c r="K723" s="13"/>
      <c r="L723" s="15"/>
      <c r="M723" s="17" t="str">
        <f aca="true">IF(F723="","",IF(AND(L723&lt;&gt;"",L723&gt;=I723),"Paid",IF(AND(L723&lt;&gt;"",L723&gt;0),"Part paid",IF(TODAY()&gt;J723,"Overdue","Due"))))</f>
        <v/>
      </c>
      <c r="N723" s="19" t="str">
        <f aca="true">IF(M723="Overdue",TODAY()-J723,"")</f>
        <v/>
      </c>
      <c r="O723" s="14"/>
    </row>
    <row r="724" customFormat="false" ht="15" hidden="false" customHeight="false" outlineLevel="0" collapsed="false">
      <c r="A724" s="14"/>
      <c r="B724" s="13"/>
      <c r="C724" s="14"/>
      <c r="D724" s="14"/>
      <c r="E724" s="14"/>
      <c r="F724" s="15"/>
      <c r="G724" s="14"/>
      <c r="H724" s="19" t="str">
        <f aca="false">IF(F724="","",IF(G724="Y",F724*Settings!$B$16,0))</f>
        <v/>
      </c>
      <c r="I724" s="19" t="str">
        <f aca="false">IF(F724="","",F724+H724)</f>
        <v/>
      </c>
      <c r="J724" s="18" t="str">
        <f aca="false">IF(B724="","",B724+Settings!$B$17)</f>
        <v/>
      </c>
      <c r="K724" s="13"/>
      <c r="L724" s="15"/>
      <c r="M724" s="17" t="str">
        <f aca="true">IF(F724="","",IF(AND(L724&lt;&gt;"",L724&gt;=I724),"Paid",IF(AND(L724&lt;&gt;"",L724&gt;0),"Part paid",IF(TODAY()&gt;J724,"Overdue","Due"))))</f>
        <v/>
      </c>
      <c r="N724" s="19" t="str">
        <f aca="true">IF(M724="Overdue",TODAY()-J724,"")</f>
        <v/>
      </c>
      <c r="O724" s="14"/>
    </row>
    <row r="725" customFormat="false" ht="15" hidden="false" customHeight="false" outlineLevel="0" collapsed="false">
      <c r="A725" s="14"/>
      <c r="B725" s="13"/>
      <c r="C725" s="14"/>
      <c r="D725" s="14"/>
      <c r="E725" s="14"/>
      <c r="F725" s="15"/>
      <c r="G725" s="14"/>
      <c r="H725" s="19" t="str">
        <f aca="false">IF(F725="","",IF(G725="Y",F725*Settings!$B$16,0))</f>
        <v/>
      </c>
      <c r="I725" s="19" t="str">
        <f aca="false">IF(F725="","",F725+H725)</f>
        <v/>
      </c>
      <c r="J725" s="18" t="str">
        <f aca="false">IF(B725="","",B725+Settings!$B$17)</f>
        <v/>
      </c>
      <c r="K725" s="13"/>
      <c r="L725" s="15"/>
      <c r="M725" s="17" t="str">
        <f aca="true">IF(F725="","",IF(AND(L725&lt;&gt;"",L725&gt;=I725),"Paid",IF(AND(L725&lt;&gt;"",L725&gt;0),"Part paid",IF(TODAY()&gt;J725,"Overdue","Due"))))</f>
        <v/>
      </c>
      <c r="N725" s="19" t="str">
        <f aca="true">IF(M725="Overdue",TODAY()-J725,"")</f>
        <v/>
      </c>
      <c r="O725" s="14"/>
    </row>
    <row r="726" customFormat="false" ht="15" hidden="false" customHeight="false" outlineLevel="0" collapsed="false">
      <c r="A726" s="14"/>
      <c r="B726" s="13"/>
      <c r="C726" s="14"/>
      <c r="D726" s="14"/>
      <c r="E726" s="14"/>
      <c r="F726" s="15"/>
      <c r="G726" s="14"/>
      <c r="H726" s="19" t="str">
        <f aca="false">IF(F726="","",IF(G726="Y",F726*Settings!$B$16,0))</f>
        <v/>
      </c>
      <c r="I726" s="19" t="str">
        <f aca="false">IF(F726="","",F726+H726)</f>
        <v/>
      </c>
      <c r="J726" s="18" t="str">
        <f aca="false">IF(B726="","",B726+Settings!$B$17)</f>
        <v/>
      </c>
      <c r="K726" s="13"/>
      <c r="L726" s="15"/>
      <c r="M726" s="17" t="str">
        <f aca="true">IF(F726="","",IF(AND(L726&lt;&gt;"",L726&gt;=I726),"Paid",IF(AND(L726&lt;&gt;"",L726&gt;0),"Part paid",IF(TODAY()&gt;J726,"Overdue","Due"))))</f>
        <v/>
      </c>
      <c r="N726" s="19" t="str">
        <f aca="true">IF(M726="Overdue",TODAY()-J726,"")</f>
        <v/>
      </c>
      <c r="O726" s="14"/>
    </row>
    <row r="727" customFormat="false" ht="15" hidden="false" customHeight="false" outlineLevel="0" collapsed="false">
      <c r="A727" s="14"/>
      <c r="B727" s="13"/>
      <c r="C727" s="14"/>
      <c r="D727" s="14"/>
      <c r="E727" s="14"/>
      <c r="F727" s="15"/>
      <c r="G727" s="14"/>
      <c r="H727" s="19" t="str">
        <f aca="false">IF(F727="","",IF(G727="Y",F727*Settings!$B$16,0))</f>
        <v/>
      </c>
      <c r="I727" s="19" t="str">
        <f aca="false">IF(F727="","",F727+H727)</f>
        <v/>
      </c>
      <c r="J727" s="18" t="str">
        <f aca="false">IF(B727="","",B727+Settings!$B$17)</f>
        <v/>
      </c>
      <c r="K727" s="13"/>
      <c r="L727" s="15"/>
      <c r="M727" s="17" t="str">
        <f aca="true">IF(F727="","",IF(AND(L727&lt;&gt;"",L727&gt;=I727),"Paid",IF(AND(L727&lt;&gt;"",L727&gt;0),"Part paid",IF(TODAY()&gt;J727,"Overdue","Due"))))</f>
        <v/>
      </c>
      <c r="N727" s="19" t="str">
        <f aca="true">IF(M727="Overdue",TODAY()-J727,"")</f>
        <v/>
      </c>
      <c r="O727" s="14"/>
    </row>
    <row r="728" customFormat="false" ht="15" hidden="false" customHeight="false" outlineLevel="0" collapsed="false">
      <c r="A728" s="14"/>
      <c r="B728" s="13"/>
      <c r="C728" s="14"/>
      <c r="D728" s="14"/>
      <c r="E728" s="14"/>
      <c r="F728" s="15"/>
      <c r="G728" s="14"/>
      <c r="H728" s="19" t="str">
        <f aca="false">IF(F728="","",IF(G728="Y",F728*Settings!$B$16,0))</f>
        <v/>
      </c>
      <c r="I728" s="19" t="str">
        <f aca="false">IF(F728="","",F728+H728)</f>
        <v/>
      </c>
      <c r="J728" s="18" t="str">
        <f aca="false">IF(B728="","",B728+Settings!$B$17)</f>
        <v/>
      </c>
      <c r="K728" s="13"/>
      <c r="L728" s="15"/>
      <c r="M728" s="17" t="str">
        <f aca="true">IF(F728="","",IF(AND(L728&lt;&gt;"",L728&gt;=I728),"Paid",IF(AND(L728&lt;&gt;"",L728&gt;0),"Part paid",IF(TODAY()&gt;J728,"Overdue","Due"))))</f>
        <v/>
      </c>
      <c r="N728" s="19" t="str">
        <f aca="true">IF(M728="Overdue",TODAY()-J728,"")</f>
        <v/>
      </c>
      <c r="O728" s="14"/>
    </row>
    <row r="729" customFormat="false" ht="15" hidden="false" customHeight="false" outlineLevel="0" collapsed="false">
      <c r="A729" s="14"/>
      <c r="B729" s="13"/>
      <c r="C729" s="14"/>
      <c r="D729" s="14"/>
      <c r="E729" s="14"/>
      <c r="F729" s="15"/>
      <c r="G729" s="14"/>
      <c r="H729" s="19" t="str">
        <f aca="false">IF(F729="","",IF(G729="Y",F729*Settings!$B$16,0))</f>
        <v/>
      </c>
      <c r="I729" s="19" t="str">
        <f aca="false">IF(F729="","",F729+H729)</f>
        <v/>
      </c>
      <c r="J729" s="18" t="str">
        <f aca="false">IF(B729="","",B729+Settings!$B$17)</f>
        <v/>
      </c>
      <c r="K729" s="13"/>
      <c r="L729" s="15"/>
      <c r="M729" s="17" t="str">
        <f aca="true">IF(F729="","",IF(AND(L729&lt;&gt;"",L729&gt;=I729),"Paid",IF(AND(L729&lt;&gt;"",L729&gt;0),"Part paid",IF(TODAY()&gt;J729,"Overdue","Due"))))</f>
        <v/>
      </c>
      <c r="N729" s="19" t="str">
        <f aca="true">IF(M729="Overdue",TODAY()-J729,"")</f>
        <v/>
      </c>
      <c r="O729" s="14"/>
    </row>
    <row r="730" customFormat="false" ht="15" hidden="false" customHeight="false" outlineLevel="0" collapsed="false">
      <c r="A730" s="14"/>
      <c r="B730" s="13"/>
      <c r="C730" s="14"/>
      <c r="D730" s="14"/>
      <c r="E730" s="14"/>
      <c r="F730" s="15"/>
      <c r="G730" s="14"/>
      <c r="H730" s="19" t="str">
        <f aca="false">IF(F730="","",IF(G730="Y",F730*Settings!$B$16,0))</f>
        <v/>
      </c>
      <c r="I730" s="19" t="str">
        <f aca="false">IF(F730="","",F730+H730)</f>
        <v/>
      </c>
      <c r="J730" s="18" t="str">
        <f aca="false">IF(B730="","",B730+Settings!$B$17)</f>
        <v/>
      </c>
      <c r="K730" s="13"/>
      <c r="L730" s="15"/>
      <c r="M730" s="17" t="str">
        <f aca="true">IF(F730="","",IF(AND(L730&lt;&gt;"",L730&gt;=I730),"Paid",IF(AND(L730&lt;&gt;"",L730&gt;0),"Part paid",IF(TODAY()&gt;J730,"Overdue","Due"))))</f>
        <v/>
      </c>
      <c r="N730" s="19" t="str">
        <f aca="true">IF(M730="Overdue",TODAY()-J730,"")</f>
        <v/>
      </c>
      <c r="O730" s="14"/>
    </row>
    <row r="731" customFormat="false" ht="15" hidden="false" customHeight="false" outlineLevel="0" collapsed="false">
      <c r="A731" s="14"/>
      <c r="B731" s="13"/>
      <c r="C731" s="14"/>
      <c r="D731" s="14"/>
      <c r="E731" s="14"/>
      <c r="F731" s="15"/>
      <c r="G731" s="14"/>
      <c r="H731" s="19" t="str">
        <f aca="false">IF(F731="","",IF(G731="Y",F731*Settings!$B$16,0))</f>
        <v/>
      </c>
      <c r="I731" s="19" t="str">
        <f aca="false">IF(F731="","",F731+H731)</f>
        <v/>
      </c>
      <c r="J731" s="18" t="str">
        <f aca="false">IF(B731="","",B731+Settings!$B$17)</f>
        <v/>
      </c>
      <c r="K731" s="13"/>
      <c r="L731" s="15"/>
      <c r="M731" s="17" t="str">
        <f aca="true">IF(F731="","",IF(AND(L731&lt;&gt;"",L731&gt;=I731),"Paid",IF(AND(L731&lt;&gt;"",L731&gt;0),"Part paid",IF(TODAY()&gt;J731,"Overdue","Due"))))</f>
        <v/>
      </c>
      <c r="N731" s="19" t="str">
        <f aca="true">IF(M731="Overdue",TODAY()-J731,"")</f>
        <v/>
      </c>
      <c r="O731" s="14"/>
    </row>
    <row r="732" customFormat="false" ht="15" hidden="false" customHeight="false" outlineLevel="0" collapsed="false">
      <c r="A732" s="14"/>
      <c r="B732" s="13"/>
      <c r="C732" s="14"/>
      <c r="D732" s="14"/>
      <c r="E732" s="14"/>
      <c r="F732" s="15"/>
      <c r="G732" s="14"/>
      <c r="H732" s="19" t="str">
        <f aca="false">IF(F732="","",IF(G732="Y",F732*Settings!$B$16,0))</f>
        <v/>
      </c>
      <c r="I732" s="19" t="str">
        <f aca="false">IF(F732="","",F732+H732)</f>
        <v/>
      </c>
      <c r="J732" s="18" t="str">
        <f aca="false">IF(B732="","",B732+Settings!$B$17)</f>
        <v/>
      </c>
      <c r="K732" s="13"/>
      <c r="L732" s="15"/>
      <c r="M732" s="17" t="str">
        <f aca="true">IF(F732="","",IF(AND(L732&lt;&gt;"",L732&gt;=I732),"Paid",IF(AND(L732&lt;&gt;"",L732&gt;0),"Part paid",IF(TODAY()&gt;J732,"Overdue","Due"))))</f>
        <v/>
      </c>
      <c r="N732" s="19" t="str">
        <f aca="true">IF(M732="Overdue",TODAY()-J732,"")</f>
        <v/>
      </c>
      <c r="O732" s="14"/>
    </row>
    <row r="733" customFormat="false" ht="15" hidden="false" customHeight="false" outlineLevel="0" collapsed="false">
      <c r="A733" s="14"/>
      <c r="B733" s="13"/>
      <c r="C733" s="14"/>
      <c r="D733" s="14"/>
      <c r="E733" s="14"/>
      <c r="F733" s="15"/>
      <c r="G733" s="14"/>
      <c r="H733" s="19" t="str">
        <f aca="false">IF(F733="","",IF(G733="Y",F733*Settings!$B$16,0))</f>
        <v/>
      </c>
      <c r="I733" s="19" t="str">
        <f aca="false">IF(F733="","",F733+H733)</f>
        <v/>
      </c>
      <c r="J733" s="18" t="str">
        <f aca="false">IF(B733="","",B733+Settings!$B$17)</f>
        <v/>
      </c>
      <c r="K733" s="13"/>
      <c r="L733" s="15"/>
      <c r="M733" s="17" t="str">
        <f aca="true">IF(F733="","",IF(AND(L733&lt;&gt;"",L733&gt;=I733),"Paid",IF(AND(L733&lt;&gt;"",L733&gt;0),"Part paid",IF(TODAY()&gt;J733,"Overdue","Due"))))</f>
        <v/>
      </c>
      <c r="N733" s="19" t="str">
        <f aca="true">IF(M733="Overdue",TODAY()-J733,"")</f>
        <v/>
      </c>
      <c r="O733" s="14"/>
    </row>
    <row r="734" customFormat="false" ht="15" hidden="false" customHeight="false" outlineLevel="0" collapsed="false">
      <c r="A734" s="14"/>
      <c r="B734" s="13"/>
      <c r="C734" s="14"/>
      <c r="D734" s="14"/>
      <c r="E734" s="14"/>
      <c r="F734" s="15"/>
      <c r="G734" s="14"/>
      <c r="H734" s="19" t="str">
        <f aca="false">IF(F734="","",IF(G734="Y",F734*Settings!$B$16,0))</f>
        <v/>
      </c>
      <c r="I734" s="19" t="str">
        <f aca="false">IF(F734="","",F734+H734)</f>
        <v/>
      </c>
      <c r="J734" s="18" t="str">
        <f aca="false">IF(B734="","",B734+Settings!$B$17)</f>
        <v/>
      </c>
      <c r="K734" s="13"/>
      <c r="L734" s="15"/>
      <c r="M734" s="17" t="str">
        <f aca="true">IF(F734="","",IF(AND(L734&lt;&gt;"",L734&gt;=I734),"Paid",IF(AND(L734&lt;&gt;"",L734&gt;0),"Part paid",IF(TODAY()&gt;J734,"Overdue","Due"))))</f>
        <v/>
      </c>
      <c r="N734" s="19" t="str">
        <f aca="true">IF(M734="Overdue",TODAY()-J734,"")</f>
        <v/>
      </c>
      <c r="O734" s="14"/>
    </row>
    <row r="735" customFormat="false" ht="15" hidden="false" customHeight="false" outlineLevel="0" collapsed="false">
      <c r="A735" s="14"/>
      <c r="B735" s="13"/>
      <c r="C735" s="14"/>
      <c r="D735" s="14"/>
      <c r="E735" s="14"/>
      <c r="F735" s="15"/>
      <c r="G735" s="14"/>
      <c r="H735" s="19" t="str">
        <f aca="false">IF(F735="","",IF(G735="Y",F735*Settings!$B$16,0))</f>
        <v/>
      </c>
      <c r="I735" s="19" t="str">
        <f aca="false">IF(F735="","",F735+H735)</f>
        <v/>
      </c>
      <c r="J735" s="18" t="str">
        <f aca="false">IF(B735="","",B735+Settings!$B$17)</f>
        <v/>
      </c>
      <c r="K735" s="13"/>
      <c r="L735" s="15"/>
      <c r="M735" s="17" t="str">
        <f aca="true">IF(F735="","",IF(AND(L735&lt;&gt;"",L735&gt;=I735),"Paid",IF(AND(L735&lt;&gt;"",L735&gt;0),"Part paid",IF(TODAY()&gt;J735,"Overdue","Due"))))</f>
        <v/>
      </c>
      <c r="N735" s="19" t="str">
        <f aca="true">IF(M735="Overdue",TODAY()-J735,"")</f>
        <v/>
      </c>
      <c r="O735" s="14"/>
    </row>
    <row r="736" customFormat="false" ht="15" hidden="false" customHeight="false" outlineLevel="0" collapsed="false">
      <c r="A736" s="14"/>
      <c r="B736" s="13"/>
      <c r="C736" s="14"/>
      <c r="D736" s="14"/>
      <c r="E736" s="14"/>
      <c r="F736" s="15"/>
      <c r="G736" s="14"/>
      <c r="H736" s="19" t="str">
        <f aca="false">IF(F736="","",IF(G736="Y",F736*Settings!$B$16,0))</f>
        <v/>
      </c>
      <c r="I736" s="19" t="str">
        <f aca="false">IF(F736="","",F736+H736)</f>
        <v/>
      </c>
      <c r="J736" s="18" t="str">
        <f aca="false">IF(B736="","",B736+Settings!$B$17)</f>
        <v/>
      </c>
      <c r="K736" s="13"/>
      <c r="L736" s="15"/>
      <c r="M736" s="17" t="str">
        <f aca="true">IF(F736="","",IF(AND(L736&lt;&gt;"",L736&gt;=I736),"Paid",IF(AND(L736&lt;&gt;"",L736&gt;0),"Part paid",IF(TODAY()&gt;J736,"Overdue","Due"))))</f>
        <v/>
      </c>
      <c r="N736" s="19" t="str">
        <f aca="true">IF(M736="Overdue",TODAY()-J736,"")</f>
        <v/>
      </c>
      <c r="O736" s="14"/>
    </row>
    <row r="737" customFormat="false" ht="15" hidden="false" customHeight="false" outlineLevel="0" collapsed="false">
      <c r="A737" s="14"/>
      <c r="B737" s="13"/>
      <c r="C737" s="14"/>
      <c r="D737" s="14"/>
      <c r="E737" s="14"/>
      <c r="F737" s="15"/>
      <c r="G737" s="14"/>
      <c r="H737" s="19" t="str">
        <f aca="false">IF(F737="","",IF(G737="Y",F737*Settings!$B$16,0))</f>
        <v/>
      </c>
      <c r="I737" s="19" t="str">
        <f aca="false">IF(F737="","",F737+H737)</f>
        <v/>
      </c>
      <c r="J737" s="18" t="str">
        <f aca="false">IF(B737="","",B737+Settings!$B$17)</f>
        <v/>
      </c>
      <c r="K737" s="13"/>
      <c r="L737" s="15"/>
      <c r="M737" s="17" t="str">
        <f aca="true">IF(F737="","",IF(AND(L737&lt;&gt;"",L737&gt;=I737),"Paid",IF(AND(L737&lt;&gt;"",L737&gt;0),"Part paid",IF(TODAY()&gt;J737,"Overdue","Due"))))</f>
        <v/>
      </c>
      <c r="N737" s="19" t="str">
        <f aca="true">IF(M737="Overdue",TODAY()-J737,"")</f>
        <v/>
      </c>
      <c r="O737" s="14"/>
    </row>
    <row r="738" customFormat="false" ht="15" hidden="false" customHeight="false" outlineLevel="0" collapsed="false">
      <c r="A738" s="14"/>
      <c r="B738" s="13"/>
      <c r="C738" s="14"/>
      <c r="D738" s="14"/>
      <c r="E738" s="14"/>
      <c r="F738" s="15"/>
      <c r="G738" s="14"/>
      <c r="H738" s="19" t="str">
        <f aca="false">IF(F738="","",IF(G738="Y",F738*Settings!$B$16,0))</f>
        <v/>
      </c>
      <c r="I738" s="19" t="str">
        <f aca="false">IF(F738="","",F738+H738)</f>
        <v/>
      </c>
      <c r="J738" s="18" t="str">
        <f aca="false">IF(B738="","",B738+Settings!$B$17)</f>
        <v/>
      </c>
      <c r="K738" s="13"/>
      <c r="L738" s="15"/>
      <c r="M738" s="17" t="str">
        <f aca="true">IF(F738="","",IF(AND(L738&lt;&gt;"",L738&gt;=I738),"Paid",IF(AND(L738&lt;&gt;"",L738&gt;0),"Part paid",IF(TODAY()&gt;J738,"Overdue","Due"))))</f>
        <v/>
      </c>
      <c r="N738" s="19" t="str">
        <f aca="true">IF(M738="Overdue",TODAY()-J738,"")</f>
        <v/>
      </c>
      <c r="O738" s="14"/>
    </row>
    <row r="739" customFormat="false" ht="15" hidden="false" customHeight="false" outlineLevel="0" collapsed="false">
      <c r="A739" s="14"/>
      <c r="B739" s="13"/>
      <c r="C739" s="14"/>
      <c r="D739" s="14"/>
      <c r="E739" s="14"/>
      <c r="F739" s="15"/>
      <c r="G739" s="14"/>
      <c r="H739" s="19" t="str">
        <f aca="false">IF(F739="","",IF(G739="Y",F739*Settings!$B$16,0))</f>
        <v/>
      </c>
      <c r="I739" s="19" t="str">
        <f aca="false">IF(F739="","",F739+H739)</f>
        <v/>
      </c>
      <c r="J739" s="18" t="str">
        <f aca="false">IF(B739="","",B739+Settings!$B$17)</f>
        <v/>
      </c>
      <c r="K739" s="13"/>
      <c r="L739" s="15"/>
      <c r="M739" s="17" t="str">
        <f aca="true">IF(F739="","",IF(AND(L739&lt;&gt;"",L739&gt;=I739),"Paid",IF(AND(L739&lt;&gt;"",L739&gt;0),"Part paid",IF(TODAY()&gt;J739,"Overdue","Due"))))</f>
        <v/>
      </c>
      <c r="N739" s="19" t="str">
        <f aca="true">IF(M739="Overdue",TODAY()-J739,"")</f>
        <v/>
      </c>
      <c r="O739" s="14"/>
    </row>
    <row r="740" customFormat="false" ht="15" hidden="false" customHeight="false" outlineLevel="0" collapsed="false">
      <c r="A740" s="14"/>
      <c r="B740" s="13"/>
      <c r="C740" s="14"/>
      <c r="D740" s="14"/>
      <c r="E740" s="14"/>
      <c r="F740" s="15"/>
      <c r="G740" s="14"/>
      <c r="H740" s="19" t="str">
        <f aca="false">IF(F740="","",IF(G740="Y",F740*Settings!$B$16,0))</f>
        <v/>
      </c>
      <c r="I740" s="19" t="str">
        <f aca="false">IF(F740="","",F740+H740)</f>
        <v/>
      </c>
      <c r="J740" s="18" t="str">
        <f aca="false">IF(B740="","",B740+Settings!$B$17)</f>
        <v/>
      </c>
      <c r="K740" s="13"/>
      <c r="L740" s="15"/>
      <c r="M740" s="17" t="str">
        <f aca="true">IF(F740="","",IF(AND(L740&lt;&gt;"",L740&gt;=I740),"Paid",IF(AND(L740&lt;&gt;"",L740&gt;0),"Part paid",IF(TODAY()&gt;J740,"Overdue","Due"))))</f>
        <v/>
      </c>
      <c r="N740" s="19" t="str">
        <f aca="true">IF(M740="Overdue",TODAY()-J740,"")</f>
        <v/>
      </c>
      <c r="O740" s="14"/>
    </row>
    <row r="741" customFormat="false" ht="15" hidden="false" customHeight="false" outlineLevel="0" collapsed="false">
      <c r="A741" s="14"/>
      <c r="B741" s="13"/>
      <c r="C741" s="14"/>
      <c r="D741" s="14"/>
      <c r="E741" s="14"/>
      <c r="F741" s="15"/>
      <c r="G741" s="14"/>
      <c r="H741" s="19" t="str">
        <f aca="false">IF(F741="","",IF(G741="Y",F741*Settings!$B$16,0))</f>
        <v/>
      </c>
      <c r="I741" s="19" t="str">
        <f aca="false">IF(F741="","",F741+H741)</f>
        <v/>
      </c>
      <c r="J741" s="18" t="str">
        <f aca="false">IF(B741="","",B741+Settings!$B$17)</f>
        <v/>
      </c>
      <c r="K741" s="13"/>
      <c r="L741" s="15"/>
      <c r="M741" s="17" t="str">
        <f aca="true">IF(F741="","",IF(AND(L741&lt;&gt;"",L741&gt;=I741),"Paid",IF(AND(L741&lt;&gt;"",L741&gt;0),"Part paid",IF(TODAY()&gt;J741,"Overdue","Due"))))</f>
        <v/>
      </c>
      <c r="N741" s="19" t="str">
        <f aca="true">IF(M741="Overdue",TODAY()-J741,"")</f>
        <v/>
      </c>
      <c r="O741" s="14"/>
    </row>
    <row r="742" customFormat="false" ht="15" hidden="false" customHeight="false" outlineLevel="0" collapsed="false">
      <c r="A742" s="14"/>
      <c r="B742" s="13"/>
      <c r="C742" s="14"/>
      <c r="D742" s="14"/>
      <c r="E742" s="14"/>
      <c r="F742" s="15"/>
      <c r="G742" s="14"/>
      <c r="H742" s="19" t="str">
        <f aca="false">IF(F742="","",IF(G742="Y",F742*Settings!$B$16,0))</f>
        <v/>
      </c>
      <c r="I742" s="19" t="str">
        <f aca="false">IF(F742="","",F742+H742)</f>
        <v/>
      </c>
      <c r="J742" s="18" t="str">
        <f aca="false">IF(B742="","",B742+Settings!$B$17)</f>
        <v/>
      </c>
      <c r="K742" s="13"/>
      <c r="L742" s="15"/>
      <c r="M742" s="17" t="str">
        <f aca="true">IF(F742="","",IF(AND(L742&lt;&gt;"",L742&gt;=I742),"Paid",IF(AND(L742&lt;&gt;"",L742&gt;0),"Part paid",IF(TODAY()&gt;J742,"Overdue","Due"))))</f>
        <v/>
      </c>
      <c r="N742" s="19" t="str">
        <f aca="true">IF(M742="Overdue",TODAY()-J742,"")</f>
        <v/>
      </c>
      <c r="O742" s="14"/>
    </row>
    <row r="743" customFormat="false" ht="15" hidden="false" customHeight="false" outlineLevel="0" collapsed="false">
      <c r="A743" s="14"/>
      <c r="B743" s="13"/>
      <c r="C743" s="14"/>
      <c r="D743" s="14"/>
      <c r="E743" s="14"/>
      <c r="F743" s="15"/>
      <c r="G743" s="14"/>
      <c r="H743" s="19" t="str">
        <f aca="false">IF(F743="","",IF(G743="Y",F743*Settings!$B$16,0))</f>
        <v/>
      </c>
      <c r="I743" s="19" t="str">
        <f aca="false">IF(F743="","",F743+H743)</f>
        <v/>
      </c>
      <c r="J743" s="18" t="str">
        <f aca="false">IF(B743="","",B743+Settings!$B$17)</f>
        <v/>
      </c>
      <c r="K743" s="13"/>
      <c r="L743" s="15"/>
      <c r="M743" s="17" t="str">
        <f aca="true">IF(F743="","",IF(AND(L743&lt;&gt;"",L743&gt;=I743),"Paid",IF(AND(L743&lt;&gt;"",L743&gt;0),"Part paid",IF(TODAY()&gt;J743,"Overdue","Due"))))</f>
        <v/>
      </c>
      <c r="N743" s="19" t="str">
        <f aca="true">IF(M743="Overdue",TODAY()-J743,"")</f>
        <v/>
      </c>
      <c r="O743" s="14"/>
    </row>
    <row r="744" customFormat="false" ht="15" hidden="false" customHeight="false" outlineLevel="0" collapsed="false">
      <c r="A744" s="14"/>
      <c r="B744" s="13"/>
      <c r="C744" s="14"/>
      <c r="D744" s="14"/>
      <c r="E744" s="14"/>
      <c r="F744" s="15"/>
      <c r="G744" s="14"/>
      <c r="H744" s="19" t="str">
        <f aca="false">IF(F744="","",IF(G744="Y",F744*Settings!$B$16,0))</f>
        <v/>
      </c>
      <c r="I744" s="19" t="str">
        <f aca="false">IF(F744="","",F744+H744)</f>
        <v/>
      </c>
      <c r="J744" s="18" t="str">
        <f aca="false">IF(B744="","",B744+Settings!$B$17)</f>
        <v/>
      </c>
      <c r="K744" s="13"/>
      <c r="L744" s="15"/>
      <c r="M744" s="17" t="str">
        <f aca="true">IF(F744="","",IF(AND(L744&lt;&gt;"",L744&gt;=I744),"Paid",IF(AND(L744&lt;&gt;"",L744&gt;0),"Part paid",IF(TODAY()&gt;J744,"Overdue","Due"))))</f>
        <v/>
      </c>
      <c r="N744" s="19" t="str">
        <f aca="true">IF(M744="Overdue",TODAY()-J744,"")</f>
        <v/>
      </c>
      <c r="O744" s="14"/>
    </row>
    <row r="745" customFormat="false" ht="15" hidden="false" customHeight="false" outlineLevel="0" collapsed="false">
      <c r="A745" s="14"/>
      <c r="B745" s="13"/>
      <c r="C745" s="14"/>
      <c r="D745" s="14"/>
      <c r="E745" s="14"/>
      <c r="F745" s="15"/>
      <c r="G745" s="14"/>
      <c r="H745" s="19" t="str">
        <f aca="false">IF(F745="","",IF(G745="Y",F745*Settings!$B$16,0))</f>
        <v/>
      </c>
      <c r="I745" s="19" t="str">
        <f aca="false">IF(F745="","",F745+H745)</f>
        <v/>
      </c>
      <c r="J745" s="18" t="str">
        <f aca="false">IF(B745="","",B745+Settings!$B$17)</f>
        <v/>
      </c>
      <c r="K745" s="13"/>
      <c r="L745" s="15"/>
      <c r="M745" s="17" t="str">
        <f aca="true">IF(F745="","",IF(AND(L745&lt;&gt;"",L745&gt;=I745),"Paid",IF(AND(L745&lt;&gt;"",L745&gt;0),"Part paid",IF(TODAY()&gt;J745,"Overdue","Due"))))</f>
        <v/>
      </c>
      <c r="N745" s="19" t="str">
        <f aca="true">IF(M745="Overdue",TODAY()-J745,"")</f>
        <v/>
      </c>
      <c r="O745" s="14"/>
    </row>
    <row r="746" customFormat="false" ht="15" hidden="false" customHeight="false" outlineLevel="0" collapsed="false">
      <c r="A746" s="14"/>
      <c r="B746" s="13"/>
      <c r="C746" s="14"/>
      <c r="D746" s="14"/>
      <c r="E746" s="14"/>
      <c r="F746" s="15"/>
      <c r="G746" s="14"/>
      <c r="H746" s="19" t="str">
        <f aca="false">IF(F746="","",IF(G746="Y",F746*Settings!$B$16,0))</f>
        <v/>
      </c>
      <c r="I746" s="19" t="str">
        <f aca="false">IF(F746="","",F746+H746)</f>
        <v/>
      </c>
      <c r="J746" s="18" t="str">
        <f aca="false">IF(B746="","",B746+Settings!$B$17)</f>
        <v/>
      </c>
      <c r="K746" s="13"/>
      <c r="L746" s="15"/>
      <c r="M746" s="17" t="str">
        <f aca="true">IF(F746="","",IF(AND(L746&lt;&gt;"",L746&gt;=I746),"Paid",IF(AND(L746&lt;&gt;"",L746&gt;0),"Part paid",IF(TODAY()&gt;J746,"Overdue","Due"))))</f>
        <v/>
      </c>
      <c r="N746" s="19" t="str">
        <f aca="true">IF(M746="Overdue",TODAY()-J746,"")</f>
        <v/>
      </c>
      <c r="O746" s="14"/>
    </row>
    <row r="747" customFormat="false" ht="15" hidden="false" customHeight="false" outlineLevel="0" collapsed="false">
      <c r="A747" s="14"/>
      <c r="B747" s="13"/>
      <c r="C747" s="14"/>
      <c r="D747" s="14"/>
      <c r="E747" s="14"/>
      <c r="F747" s="15"/>
      <c r="G747" s="14"/>
      <c r="H747" s="19" t="str">
        <f aca="false">IF(F747="","",IF(G747="Y",F747*Settings!$B$16,0))</f>
        <v/>
      </c>
      <c r="I747" s="19" t="str">
        <f aca="false">IF(F747="","",F747+H747)</f>
        <v/>
      </c>
      <c r="J747" s="18" t="str">
        <f aca="false">IF(B747="","",B747+Settings!$B$17)</f>
        <v/>
      </c>
      <c r="K747" s="13"/>
      <c r="L747" s="15"/>
      <c r="M747" s="17" t="str">
        <f aca="true">IF(F747="","",IF(AND(L747&lt;&gt;"",L747&gt;=I747),"Paid",IF(AND(L747&lt;&gt;"",L747&gt;0),"Part paid",IF(TODAY()&gt;J747,"Overdue","Due"))))</f>
        <v/>
      </c>
      <c r="N747" s="19" t="str">
        <f aca="true">IF(M747="Overdue",TODAY()-J747,"")</f>
        <v/>
      </c>
      <c r="O747" s="14"/>
    </row>
    <row r="748" customFormat="false" ht="15" hidden="false" customHeight="false" outlineLevel="0" collapsed="false">
      <c r="A748" s="14"/>
      <c r="B748" s="13"/>
      <c r="C748" s="14"/>
      <c r="D748" s="14"/>
      <c r="E748" s="14"/>
      <c r="F748" s="15"/>
      <c r="G748" s="14"/>
      <c r="H748" s="19" t="str">
        <f aca="false">IF(F748="","",IF(G748="Y",F748*Settings!$B$16,0))</f>
        <v/>
      </c>
      <c r="I748" s="19" t="str">
        <f aca="false">IF(F748="","",F748+H748)</f>
        <v/>
      </c>
      <c r="J748" s="18" t="str">
        <f aca="false">IF(B748="","",B748+Settings!$B$17)</f>
        <v/>
      </c>
      <c r="K748" s="13"/>
      <c r="L748" s="15"/>
      <c r="M748" s="17" t="str">
        <f aca="true">IF(F748="","",IF(AND(L748&lt;&gt;"",L748&gt;=I748),"Paid",IF(AND(L748&lt;&gt;"",L748&gt;0),"Part paid",IF(TODAY()&gt;J748,"Overdue","Due"))))</f>
        <v/>
      </c>
      <c r="N748" s="19" t="str">
        <f aca="true">IF(M748="Overdue",TODAY()-J748,"")</f>
        <v/>
      </c>
      <c r="O748" s="14"/>
    </row>
    <row r="749" customFormat="false" ht="15" hidden="false" customHeight="false" outlineLevel="0" collapsed="false">
      <c r="A749" s="14"/>
      <c r="B749" s="13"/>
      <c r="C749" s="14"/>
      <c r="D749" s="14"/>
      <c r="E749" s="14"/>
      <c r="F749" s="15"/>
      <c r="G749" s="14"/>
      <c r="H749" s="19" t="str">
        <f aca="false">IF(F749="","",IF(G749="Y",F749*Settings!$B$16,0))</f>
        <v/>
      </c>
      <c r="I749" s="19" t="str">
        <f aca="false">IF(F749="","",F749+H749)</f>
        <v/>
      </c>
      <c r="J749" s="18" t="str">
        <f aca="false">IF(B749="","",B749+Settings!$B$17)</f>
        <v/>
      </c>
      <c r="K749" s="13"/>
      <c r="L749" s="15"/>
      <c r="M749" s="17" t="str">
        <f aca="true">IF(F749="","",IF(AND(L749&lt;&gt;"",L749&gt;=I749),"Paid",IF(AND(L749&lt;&gt;"",L749&gt;0),"Part paid",IF(TODAY()&gt;J749,"Overdue","Due"))))</f>
        <v/>
      </c>
      <c r="N749" s="19" t="str">
        <f aca="true">IF(M749="Overdue",TODAY()-J749,"")</f>
        <v/>
      </c>
      <c r="O749" s="14"/>
    </row>
    <row r="750" customFormat="false" ht="15" hidden="false" customHeight="false" outlineLevel="0" collapsed="false">
      <c r="A750" s="14"/>
      <c r="B750" s="13"/>
      <c r="C750" s="14"/>
      <c r="D750" s="14"/>
      <c r="E750" s="14"/>
      <c r="F750" s="15"/>
      <c r="G750" s="14"/>
      <c r="H750" s="19" t="str">
        <f aca="false">IF(F750="","",IF(G750="Y",F750*Settings!$B$16,0))</f>
        <v/>
      </c>
      <c r="I750" s="19" t="str">
        <f aca="false">IF(F750="","",F750+H750)</f>
        <v/>
      </c>
      <c r="J750" s="18" t="str">
        <f aca="false">IF(B750="","",B750+Settings!$B$17)</f>
        <v/>
      </c>
      <c r="K750" s="13"/>
      <c r="L750" s="15"/>
      <c r="M750" s="17" t="str">
        <f aca="true">IF(F750="","",IF(AND(L750&lt;&gt;"",L750&gt;=I750),"Paid",IF(AND(L750&lt;&gt;"",L750&gt;0),"Part paid",IF(TODAY()&gt;J750,"Overdue","Due"))))</f>
        <v/>
      </c>
      <c r="N750" s="19" t="str">
        <f aca="true">IF(M750="Overdue",TODAY()-J750,"")</f>
        <v/>
      </c>
      <c r="O750" s="14"/>
    </row>
    <row r="751" customFormat="false" ht="15" hidden="false" customHeight="false" outlineLevel="0" collapsed="false">
      <c r="A751" s="14"/>
      <c r="B751" s="13"/>
      <c r="C751" s="14"/>
      <c r="D751" s="14"/>
      <c r="E751" s="14"/>
      <c r="F751" s="15"/>
      <c r="G751" s="14"/>
      <c r="H751" s="19" t="str">
        <f aca="false">IF(F751="","",IF(G751="Y",F751*Settings!$B$16,0))</f>
        <v/>
      </c>
      <c r="I751" s="19" t="str">
        <f aca="false">IF(F751="","",F751+H751)</f>
        <v/>
      </c>
      <c r="J751" s="18" t="str">
        <f aca="false">IF(B751="","",B751+Settings!$B$17)</f>
        <v/>
      </c>
      <c r="K751" s="13"/>
      <c r="L751" s="15"/>
      <c r="M751" s="17" t="str">
        <f aca="true">IF(F751="","",IF(AND(L751&lt;&gt;"",L751&gt;=I751),"Paid",IF(AND(L751&lt;&gt;"",L751&gt;0),"Part paid",IF(TODAY()&gt;J751,"Overdue","Due"))))</f>
        <v/>
      </c>
      <c r="N751" s="19" t="str">
        <f aca="true">IF(M751="Overdue",TODAY()-J751,"")</f>
        <v/>
      </c>
      <c r="O751" s="14"/>
    </row>
    <row r="752" customFormat="false" ht="15" hidden="false" customHeight="false" outlineLevel="0" collapsed="false">
      <c r="A752" s="14"/>
      <c r="B752" s="13"/>
      <c r="C752" s="14"/>
      <c r="D752" s="14"/>
      <c r="E752" s="14"/>
      <c r="F752" s="15"/>
      <c r="G752" s="14"/>
      <c r="H752" s="19" t="str">
        <f aca="false">IF(F752="","",IF(G752="Y",F752*Settings!$B$16,0))</f>
        <v/>
      </c>
      <c r="I752" s="19" t="str">
        <f aca="false">IF(F752="","",F752+H752)</f>
        <v/>
      </c>
      <c r="J752" s="18" t="str">
        <f aca="false">IF(B752="","",B752+Settings!$B$17)</f>
        <v/>
      </c>
      <c r="K752" s="13"/>
      <c r="L752" s="15"/>
      <c r="M752" s="17" t="str">
        <f aca="true">IF(F752="","",IF(AND(L752&lt;&gt;"",L752&gt;=I752),"Paid",IF(AND(L752&lt;&gt;"",L752&gt;0),"Part paid",IF(TODAY()&gt;J752,"Overdue","Due"))))</f>
        <v/>
      </c>
      <c r="N752" s="19" t="str">
        <f aca="true">IF(M752="Overdue",TODAY()-J752,"")</f>
        <v/>
      </c>
      <c r="O752" s="14"/>
    </row>
    <row r="753" customFormat="false" ht="15" hidden="false" customHeight="false" outlineLevel="0" collapsed="false">
      <c r="A753" s="14"/>
      <c r="B753" s="13"/>
      <c r="C753" s="14"/>
      <c r="D753" s="14"/>
      <c r="E753" s="14"/>
      <c r="F753" s="15"/>
      <c r="G753" s="14"/>
      <c r="H753" s="19" t="str">
        <f aca="false">IF(F753="","",IF(G753="Y",F753*Settings!$B$16,0))</f>
        <v/>
      </c>
      <c r="I753" s="19" t="str">
        <f aca="false">IF(F753="","",F753+H753)</f>
        <v/>
      </c>
      <c r="J753" s="18" t="str">
        <f aca="false">IF(B753="","",B753+Settings!$B$17)</f>
        <v/>
      </c>
      <c r="K753" s="13"/>
      <c r="L753" s="15"/>
      <c r="M753" s="17" t="str">
        <f aca="true">IF(F753="","",IF(AND(L753&lt;&gt;"",L753&gt;=I753),"Paid",IF(AND(L753&lt;&gt;"",L753&gt;0),"Part paid",IF(TODAY()&gt;J753,"Overdue","Due"))))</f>
        <v/>
      </c>
      <c r="N753" s="19" t="str">
        <f aca="true">IF(M753="Overdue",TODAY()-J753,"")</f>
        <v/>
      </c>
      <c r="O753" s="14"/>
    </row>
    <row r="754" customFormat="false" ht="15" hidden="false" customHeight="false" outlineLevel="0" collapsed="false">
      <c r="A754" s="14"/>
      <c r="B754" s="13"/>
      <c r="C754" s="14"/>
      <c r="D754" s="14"/>
      <c r="E754" s="14"/>
      <c r="F754" s="15"/>
      <c r="G754" s="14"/>
      <c r="H754" s="19" t="str">
        <f aca="false">IF(F754="","",IF(G754="Y",F754*Settings!$B$16,0))</f>
        <v/>
      </c>
      <c r="I754" s="19" t="str">
        <f aca="false">IF(F754="","",F754+H754)</f>
        <v/>
      </c>
      <c r="J754" s="18" t="str">
        <f aca="false">IF(B754="","",B754+Settings!$B$17)</f>
        <v/>
      </c>
      <c r="K754" s="13"/>
      <c r="L754" s="15"/>
      <c r="M754" s="17" t="str">
        <f aca="true">IF(F754="","",IF(AND(L754&lt;&gt;"",L754&gt;=I754),"Paid",IF(AND(L754&lt;&gt;"",L754&gt;0),"Part paid",IF(TODAY()&gt;J754,"Overdue","Due"))))</f>
        <v/>
      </c>
      <c r="N754" s="19" t="str">
        <f aca="true">IF(M754="Overdue",TODAY()-J754,"")</f>
        <v/>
      </c>
      <c r="O754" s="14"/>
    </row>
    <row r="755" customFormat="false" ht="15" hidden="false" customHeight="false" outlineLevel="0" collapsed="false">
      <c r="A755" s="14"/>
      <c r="B755" s="13"/>
      <c r="C755" s="14"/>
      <c r="D755" s="14"/>
      <c r="E755" s="14"/>
      <c r="F755" s="15"/>
      <c r="G755" s="14"/>
      <c r="H755" s="19" t="str">
        <f aca="false">IF(F755="","",IF(G755="Y",F755*Settings!$B$16,0))</f>
        <v/>
      </c>
      <c r="I755" s="19" t="str">
        <f aca="false">IF(F755="","",F755+H755)</f>
        <v/>
      </c>
      <c r="J755" s="18" t="str">
        <f aca="false">IF(B755="","",B755+Settings!$B$17)</f>
        <v/>
      </c>
      <c r="K755" s="13"/>
      <c r="L755" s="15"/>
      <c r="M755" s="17" t="str">
        <f aca="true">IF(F755="","",IF(AND(L755&lt;&gt;"",L755&gt;=I755),"Paid",IF(AND(L755&lt;&gt;"",L755&gt;0),"Part paid",IF(TODAY()&gt;J755,"Overdue","Due"))))</f>
        <v/>
      </c>
      <c r="N755" s="19" t="str">
        <f aca="true">IF(M755="Overdue",TODAY()-J755,"")</f>
        <v/>
      </c>
      <c r="O755" s="14"/>
    </row>
    <row r="756" customFormat="false" ht="15" hidden="false" customHeight="false" outlineLevel="0" collapsed="false">
      <c r="A756" s="14"/>
      <c r="B756" s="13"/>
      <c r="C756" s="14"/>
      <c r="D756" s="14"/>
      <c r="E756" s="14"/>
      <c r="F756" s="15"/>
      <c r="G756" s="14"/>
      <c r="H756" s="19" t="str">
        <f aca="false">IF(F756="","",IF(G756="Y",F756*Settings!$B$16,0))</f>
        <v/>
      </c>
      <c r="I756" s="19" t="str">
        <f aca="false">IF(F756="","",F756+H756)</f>
        <v/>
      </c>
      <c r="J756" s="18" t="str">
        <f aca="false">IF(B756="","",B756+Settings!$B$17)</f>
        <v/>
      </c>
      <c r="K756" s="13"/>
      <c r="L756" s="15"/>
      <c r="M756" s="17" t="str">
        <f aca="true">IF(F756="","",IF(AND(L756&lt;&gt;"",L756&gt;=I756),"Paid",IF(AND(L756&lt;&gt;"",L756&gt;0),"Part paid",IF(TODAY()&gt;J756,"Overdue","Due"))))</f>
        <v/>
      </c>
      <c r="N756" s="19" t="str">
        <f aca="true">IF(M756="Overdue",TODAY()-J756,"")</f>
        <v/>
      </c>
      <c r="O756" s="14"/>
    </row>
    <row r="757" customFormat="false" ht="15" hidden="false" customHeight="false" outlineLevel="0" collapsed="false">
      <c r="A757" s="14"/>
      <c r="B757" s="13"/>
      <c r="C757" s="14"/>
      <c r="D757" s="14"/>
      <c r="E757" s="14"/>
      <c r="F757" s="15"/>
      <c r="G757" s="14"/>
      <c r="H757" s="19" t="str">
        <f aca="false">IF(F757="","",IF(G757="Y",F757*Settings!$B$16,0))</f>
        <v/>
      </c>
      <c r="I757" s="19" t="str">
        <f aca="false">IF(F757="","",F757+H757)</f>
        <v/>
      </c>
      <c r="J757" s="18" t="str">
        <f aca="false">IF(B757="","",B757+Settings!$B$17)</f>
        <v/>
      </c>
      <c r="K757" s="13"/>
      <c r="L757" s="15"/>
      <c r="M757" s="17" t="str">
        <f aca="true">IF(F757="","",IF(AND(L757&lt;&gt;"",L757&gt;=I757),"Paid",IF(AND(L757&lt;&gt;"",L757&gt;0),"Part paid",IF(TODAY()&gt;J757,"Overdue","Due"))))</f>
        <v/>
      </c>
      <c r="N757" s="19" t="str">
        <f aca="true">IF(M757="Overdue",TODAY()-J757,"")</f>
        <v/>
      </c>
      <c r="O757" s="14"/>
    </row>
    <row r="758" customFormat="false" ht="15" hidden="false" customHeight="false" outlineLevel="0" collapsed="false">
      <c r="A758" s="14"/>
      <c r="B758" s="13"/>
      <c r="C758" s="14"/>
      <c r="D758" s="14"/>
      <c r="E758" s="14"/>
      <c r="F758" s="15"/>
      <c r="G758" s="14"/>
      <c r="H758" s="19" t="str">
        <f aca="false">IF(F758="","",IF(G758="Y",F758*Settings!$B$16,0))</f>
        <v/>
      </c>
      <c r="I758" s="19" t="str">
        <f aca="false">IF(F758="","",F758+H758)</f>
        <v/>
      </c>
      <c r="J758" s="18" t="str">
        <f aca="false">IF(B758="","",B758+Settings!$B$17)</f>
        <v/>
      </c>
      <c r="K758" s="13"/>
      <c r="L758" s="15"/>
      <c r="M758" s="17" t="str">
        <f aca="true">IF(F758="","",IF(AND(L758&lt;&gt;"",L758&gt;=I758),"Paid",IF(AND(L758&lt;&gt;"",L758&gt;0),"Part paid",IF(TODAY()&gt;J758,"Overdue","Due"))))</f>
        <v/>
      </c>
      <c r="N758" s="19" t="str">
        <f aca="true">IF(M758="Overdue",TODAY()-J758,"")</f>
        <v/>
      </c>
      <c r="O758" s="14"/>
    </row>
    <row r="759" customFormat="false" ht="15" hidden="false" customHeight="false" outlineLevel="0" collapsed="false">
      <c r="A759" s="14"/>
      <c r="B759" s="13"/>
      <c r="C759" s="14"/>
      <c r="D759" s="14"/>
      <c r="E759" s="14"/>
      <c r="F759" s="15"/>
      <c r="G759" s="14"/>
      <c r="H759" s="19" t="str">
        <f aca="false">IF(F759="","",IF(G759="Y",F759*Settings!$B$16,0))</f>
        <v/>
      </c>
      <c r="I759" s="19" t="str">
        <f aca="false">IF(F759="","",F759+H759)</f>
        <v/>
      </c>
      <c r="J759" s="18" t="str">
        <f aca="false">IF(B759="","",B759+Settings!$B$17)</f>
        <v/>
      </c>
      <c r="K759" s="13"/>
      <c r="L759" s="15"/>
      <c r="M759" s="17" t="str">
        <f aca="true">IF(F759="","",IF(AND(L759&lt;&gt;"",L759&gt;=I759),"Paid",IF(AND(L759&lt;&gt;"",L759&gt;0),"Part paid",IF(TODAY()&gt;J759,"Overdue","Due"))))</f>
        <v/>
      </c>
      <c r="N759" s="19" t="str">
        <f aca="true">IF(M759="Overdue",TODAY()-J759,"")</f>
        <v/>
      </c>
      <c r="O759" s="14"/>
    </row>
    <row r="760" customFormat="false" ht="15" hidden="false" customHeight="false" outlineLevel="0" collapsed="false">
      <c r="A760" s="14"/>
      <c r="B760" s="13"/>
      <c r="C760" s="14"/>
      <c r="D760" s="14"/>
      <c r="E760" s="14"/>
      <c r="F760" s="15"/>
      <c r="G760" s="14"/>
      <c r="H760" s="19" t="str">
        <f aca="false">IF(F760="","",IF(G760="Y",F760*Settings!$B$16,0))</f>
        <v/>
      </c>
      <c r="I760" s="19" t="str">
        <f aca="false">IF(F760="","",F760+H760)</f>
        <v/>
      </c>
      <c r="J760" s="18" t="str">
        <f aca="false">IF(B760="","",B760+Settings!$B$17)</f>
        <v/>
      </c>
      <c r="K760" s="13"/>
      <c r="L760" s="15"/>
      <c r="M760" s="17" t="str">
        <f aca="true">IF(F760="","",IF(AND(L760&lt;&gt;"",L760&gt;=I760),"Paid",IF(AND(L760&lt;&gt;"",L760&gt;0),"Part paid",IF(TODAY()&gt;J760,"Overdue","Due"))))</f>
        <v/>
      </c>
      <c r="N760" s="19" t="str">
        <f aca="true">IF(M760="Overdue",TODAY()-J760,"")</f>
        <v/>
      </c>
      <c r="O760" s="14"/>
    </row>
    <row r="761" customFormat="false" ht="15" hidden="false" customHeight="false" outlineLevel="0" collapsed="false">
      <c r="A761" s="14"/>
      <c r="B761" s="13"/>
      <c r="C761" s="14"/>
      <c r="D761" s="14"/>
      <c r="E761" s="14"/>
      <c r="F761" s="15"/>
      <c r="G761" s="14"/>
      <c r="H761" s="19" t="str">
        <f aca="false">IF(F761="","",IF(G761="Y",F761*Settings!$B$16,0))</f>
        <v/>
      </c>
      <c r="I761" s="19" t="str">
        <f aca="false">IF(F761="","",F761+H761)</f>
        <v/>
      </c>
      <c r="J761" s="18" t="str">
        <f aca="false">IF(B761="","",B761+Settings!$B$17)</f>
        <v/>
      </c>
      <c r="K761" s="13"/>
      <c r="L761" s="15"/>
      <c r="M761" s="17" t="str">
        <f aca="true">IF(F761="","",IF(AND(L761&lt;&gt;"",L761&gt;=I761),"Paid",IF(AND(L761&lt;&gt;"",L761&gt;0),"Part paid",IF(TODAY()&gt;J761,"Overdue","Due"))))</f>
        <v/>
      </c>
      <c r="N761" s="19" t="str">
        <f aca="true">IF(M761="Overdue",TODAY()-J761,"")</f>
        <v/>
      </c>
      <c r="O761" s="14"/>
    </row>
    <row r="762" customFormat="false" ht="15" hidden="false" customHeight="false" outlineLevel="0" collapsed="false">
      <c r="A762" s="14"/>
      <c r="B762" s="13"/>
      <c r="C762" s="14"/>
      <c r="D762" s="14"/>
      <c r="E762" s="14"/>
      <c r="F762" s="15"/>
      <c r="G762" s="14"/>
      <c r="H762" s="19" t="str">
        <f aca="false">IF(F762="","",IF(G762="Y",F762*Settings!$B$16,0))</f>
        <v/>
      </c>
      <c r="I762" s="19" t="str">
        <f aca="false">IF(F762="","",F762+H762)</f>
        <v/>
      </c>
      <c r="J762" s="18" t="str">
        <f aca="false">IF(B762="","",B762+Settings!$B$17)</f>
        <v/>
      </c>
      <c r="K762" s="13"/>
      <c r="L762" s="15"/>
      <c r="M762" s="17" t="str">
        <f aca="true">IF(F762="","",IF(AND(L762&lt;&gt;"",L762&gt;=I762),"Paid",IF(AND(L762&lt;&gt;"",L762&gt;0),"Part paid",IF(TODAY()&gt;J762,"Overdue","Due"))))</f>
        <v/>
      </c>
      <c r="N762" s="19" t="str">
        <f aca="true">IF(M762="Overdue",TODAY()-J762,"")</f>
        <v/>
      </c>
      <c r="O762" s="14"/>
    </row>
    <row r="763" customFormat="false" ht="15" hidden="false" customHeight="false" outlineLevel="0" collapsed="false">
      <c r="A763" s="14"/>
      <c r="B763" s="13"/>
      <c r="C763" s="14"/>
      <c r="D763" s="14"/>
      <c r="E763" s="14"/>
      <c r="F763" s="15"/>
      <c r="G763" s="14"/>
      <c r="H763" s="19" t="str">
        <f aca="false">IF(F763="","",IF(G763="Y",F763*Settings!$B$16,0))</f>
        <v/>
      </c>
      <c r="I763" s="19" t="str">
        <f aca="false">IF(F763="","",F763+H763)</f>
        <v/>
      </c>
      <c r="J763" s="18" t="str">
        <f aca="false">IF(B763="","",B763+Settings!$B$17)</f>
        <v/>
      </c>
      <c r="K763" s="13"/>
      <c r="L763" s="15"/>
      <c r="M763" s="17" t="str">
        <f aca="true">IF(F763="","",IF(AND(L763&lt;&gt;"",L763&gt;=I763),"Paid",IF(AND(L763&lt;&gt;"",L763&gt;0),"Part paid",IF(TODAY()&gt;J763,"Overdue","Due"))))</f>
        <v/>
      </c>
      <c r="N763" s="19" t="str">
        <f aca="true">IF(M763="Overdue",TODAY()-J763,"")</f>
        <v/>
      </c>
      <c r="O763" s="14"/>
    </row>
    <row r="764" customFormat="false" ht="15" hidden="false" customHeight="false" outlineLevel="0" collapsed="false">
      <c r="A764" s="14"/>
      <c r="B764" s="13"/>
      <c r="C764" s="14"/>
      <c r="D764" s="14"/>
      <c r="E764" s="14"/>
      <c r="F764" s="15"/>
      <c r="G764" s="14"/>
      <c r="H764" s="19" t="str">
        <f aca="false">IF(F764="","",IF(G764="Y",F764*Settings!$B$16,0))</f>
        <v/>
      </c>
      <c r="I764" s="19" t="str">
        <f aca="false">IF(F764="","",F764+H764)</f>
        <v/>
      </c>
      <c r="J764" s="18" t="str">
        <f aca="false">IF(B764="","",B764+Settings!$B$17)</f>
        <v/>
      </c>
      <c r="K764" s="13"/>
      <c r="L764" s="15"/>
      <c r="M764" s="17" t="str">
        <f aca="true">IF(F764="","",IF(AND(L764&lt;&gt;"",L764&gt;=I764),"Paid",IF(AND(L764&lt;&gt;"",L764&gt;0),"Part paid",IF(TODAY()&gt;J764,"Overdue","Due"))))</f>
        <v/>
      </c>
      <c r="N764" s="19" t="str">
        <f aca="true">IF(M764="Overdue",TODAY()-J764,"")</f>
        <v/>
      </c>
      <c r="O764" s="14"/>
    </row>
    <row r="765" customFormat="false" ht="15" hidden="false" customHeight="false" outlineLevel="0" collapsed="false">
      <c r="A765" s="14"/>
      <c r="B765" s="13"/>
      <c r="C765" s="14"/>
      <c r="D765" s="14"/>
      <c r="E765" s="14"/>
      <c r="F765" s="15"/>
      <c r="G765" s="14"/>
      <c r="H765" s="19" t="str">
        <f aca="false">IF(F765="","",IF(G765="Y",F765*Settings!$B$16,0))</f>
        <v/>
      </c>
      <c r="I765" s="19" t="str">
        <f aca="false">IF(F765="","",F765+H765)</f>
        <v/>
      </c>
      <c r="J765" s="18" t="str">
        <f aca="false">IF(B765="","",B765+Settings!$B$17)</f>
        <v/>
      </c>
      <c r="K765" s="13"/>
      <c r="L765" s="15"/>
      <c r="M765" s="17" t="str">
        <f aca="true">IF(F765="","",IF(AND(L765&lt;&gt;"",L765&gt;=I765),"Paid",IF(AND(L765&lt;&gt;"",L765&gt;0),"Part paid",IF(TODAY()&gt;J765,"Overdue","Due"))))</f>
        <v/>
      </c>
      <c r="N765" s="19" t="str">
        <f aca="true">IF(M765="Overdue",TODAY()-J765,"")</f>
        <v/>
      </c>
      <c r="O765" s="14"/>
    </row>
    <row r="766" customFormat="false" ht="15" hidden="false" customHeight="false" outlineLevel="0" collapsed="false">
      <c r="A766" s="14"/>
      <c r="B766" s="13"/>
      <c r="C766" s="14"/>
      <c r="D766" s="14"/>
      <c r="E766" s="14"/>
      <c r="F766" s="15"/>
      <c r="G766" s="14"/>
      <c r="H766" s="19" t="str">
        <f aca="false">IF(F766="","",IF(G766="Y",F766*Settings!$B$16,0))</f>
        <v/>
      </c>
      <c r="I766" s="19" t="str">
        <f aca="false">IF(F766="","",F766+H766)</f>
        <v/>
      </c>
      <c r="J766" s="18" t="str">
        <f aca="false">IF(B766="","",B766+Settings!$B$17)</f>
        <v/>
      </c>
      <c r="K766" s="13"/>
      <c r="L766" s="15"/>
      <c r="M766" s="17" t="str">
        <f aca="true">IF(F766="","",IF(AND(L766&lt;&gt;"",L766&gt;=I766),"Paid",IF(AND(L766&lt;&gt;"",L766&gt;0),"Part paid",IF(TODAY()&gt;J766,"Overdue","Due"))))</f>
        <v/>
      </c>
      <c r="N766" s="19" t="str">
        <f aca="true">IF(M766="Overdue",TODAY()-J766,"")</f>
        <v/>
      </c>
      <c r="O766" s="14"/>
    </row>
    <row r="767" customFormat="false" ht="15" hidden="false" customHeight="false" outlineLevel="0" collapsed="false">
      <c r="A767" s="14"/>
      <c r="B767" s="13"/>
      <c r="C767" s="14"/>
      <c r="D767" s="14"/>
      <c r="E767" s="14"/>
      <c r="F767" s="15"/>
      <c r="G767" s="14"/>
      <c r="H767" s="19" t="str">
        <f aca="false">IF(F767="","",IF(G767="Y",F767*Settings!$B$16,0))</f>
        <v/>
      </c>
      <c r="I767" s="19" t="str">
        <f aca="false">IF(F767="","",F767+H767)</f>
        <v/>
      </c>
      <c r="J767" s="18" t="str">
        <f aca="false">IF(B767="","",B767+Settings!$B$17)</f>
        <v/>
      </c>
      <c r="K767" s="13"/>
      <c r="L767" s="15"/>
      <c r="M767" s="17" t="str">
        <f aca="true">IF(F767="","",IF(AND(L767&lt;&gt;"",L767&gt;=I767),"Paid",IF(AND(L767&lt;&gt;"",L767&gt;0),"Part paid",IF(TODAY()&gt;J767,"Overdue","Due"))))</f>
        <v/>
      </c>
      <c r="N767" s="19" t="str">
        <f aca="true">IF(M767="Overdue",TODAY()-J767,"")</f>
        <v/>
      </c>
      <c r="O767" s="14"/>
    </row>
    <row r="768" customFormat="false" ht="15" hidden="false" customHeight="false" outlineLevel="0" collapsed="false">
      <c r="A768" s="14"/>
      <c r="B768" s="13"/>
      <c r="C768" s="14"/>
      <c r="D768" s="14"/>
      <c r="E768" s="14"/>
      <c r="F768" s="15"/>
      <c r="G768" s="14"/>
      <c r="H768" s="19" t="str">
        <f aca="false">IF(F768="","",IF(G768="Y",F768*Settings!$B$16,0))</f>
        <v/>
      </c>
      <c r="I768" s="19" t="str">
        <f aca="false">IF(F768="","",F768+H768)</f>
        <v/>
      </c>
      <c r="J768" s="18" t="str">
        <f aca="false">IF(B768="","",B768+Settings!$B$17)</f>
        <v/>
      </c>
      <c r="K768" s="13"/>
      <c r="L768" s="15"/>
      <c r="M768" s="17" t="str">
        <f aca="true">IF(F768="","",IF(AND(L768&lt;&gt;"",L768&gt;=I768),"Paid",IF(AND(L768&lt;&gt;"",L768&gt;0),"Part paid",IF(TODAY()&gt;J768,"Overdue","Due"))))</f>
        <v/>
      </c>
      <c r="N768" s="19" t="str">
        <f aca="true">IF(M768="Overdue",TODAY()-J768,"")</f>
        <v/>
      </c>
      <c r="O768" s="14"/>
    </row>
    <row r="769" customFormat="false" ht="15" hidden="false" customHeight="false" outlineLevel="0" collapsed="false">
      <c r="A769" s="14"/>
      <c r="B769" s="13"/>
      <c r="C769" s="14"/>
      <c r="D769" s="14"/>
      <c r="E769" s="14"/>
      <c r="F769" s="15"/>
      <c r="G769" s="14"/>
      <c r="H769" s="19" t="str">
        <f aca="false">IF(F769="","",IF(G769="Y",F769*Settings!$B$16,0))</f>
        <v/>
      </c>
      <c r="I769" s="19" t="str">
        <f aca="false">IF(F769="","",F769+H769)</f>
        <v/>
      </c>
      <c r="J769" s="18" t="str">
        <f aca="false">IF(B769="","",B769+Settings!$B$17)</f>
        <v/>
      </c>
      <c r="K769" s="13"/>
      <c r="L769" s="15"/>
      <c r="M769" s="17" t="str">
        <f aca="true">IF(F769="","",IF(AND(L769&lt;&gt;"",L769&gt;=I769),"Paid",IF(AND(L769&lt;&gt;"",L769&gt;0),"Part paid",IF(TODAY()&gt;J769,"Overdue","Due"))))</f>
        <v/>
      </c>
      <c r="N769" s="19" t="str">
        <f aca="true">IF(M769="Overdue",TODAY()-J769,"")</f>
        <v/>
      </c>
      <c r="O769" s="14"/>
    </row>
    <row r="770" customFormat="false" ht="15" hidden="false" customHeight="false" outlineLevel="0" collapsed="false">
      <c r="A770" s="14"/>
      <c r="B770" s="13"/>
      <c r="C770" s="14"/>
      <c r="D770" s="14"/>
      <c r="E770" s="14"/>
      <c r="F770" s="15"/>
      <c r="G770" s="14"/>
      <c r="H770" s="19" t="str">
        <f aca="false">IF(F770="","",IF(G770="Y",F770*Settings!$B$16,0))</f>
        <v/>
      </c>
      <c r="I770" s="19" t="str">
        <f aca="false">IF(F770="","",F770+H770)</f>
        <v/>
      </c>
      <c r="J770" s="18" t="str">
        <f aca="false">IF(B770="","",B770+Settings!$B$17)</f>
        <v/>
      </c>
      <c r="K770" s="13"/>
      <c r="L770" s="15"/>
      <c r="M770" s="17" t="str">
        <f aca="true">IF(F770="","",IF(AND(L770&lt;&gt;"",L770&gt;=I770),"Paid",IF(AND(L770&lt;&gt;"",L770&gt;0),"Part paid",IF(TODAY()&gt;J770,"Overdue","Due"))))</f>
        <v/>
      </c>
      <c r="N770" s="19" t="str">
        <f aca="true">IF(M770="Overdue",TODAY()-J770,"")</f>
        <v/>
      </c>
      <c r="O770" s="14"/>
    </row>
    <row r="771" customFormat="false" ht="15" hidden="false" customHeight="false" outlineLevel="0" collapsed="false">
      <c r="A771" s="14"/>
      <c r="B771" s="13"/>
      <c r="C771" s="14"/>
      <c r="D771" s="14"/>
      <c r="E771" s="14"/>
      <c r="F771" s="15"/>
      <c r="G771" s="14"/>
      <c r="H771" s="19" t="str">
        <f aca="false">IF(F771="","",IF(G771="Y",F771*Settings!$B$16,0))</f>
        <v/>
      </c>
      <c r="I771" s="19" t="str">
        <f aca="false">IF(F771="","",F771+H771)</f>
        <v/>
      </c>
      <c r="J771" s="18" t="str">
        <f aca="false">IF(B771="","",B771+Settings!$B$17)</f>
        <v/>
      </c>
      <c r="K771" s="13"/>
      <c r="L771" s="15"/>
      <c r="M771" s="17" t="str">
        <f aca="true">IF(F771="","",IF(AND(L771&lt;&gt;"",L771&gt;=I771),"Paid",IF(AND(L771&lt;&gt;"",L771&gt;0),"Part paid",IF(TODAY()&gt;J771,"Overdue","Due"))))</f>
        <v/>
      </c>
      <c r="N771" s="19" t="str">
        <f aca="true">IF(M771="Overdue",TODAY()-J771,"")</f>
        <v/>
      </c>
      <c r="O771" s="14"/>
    </row>
    <row r="772" customFormat="false" ht="15" hidden="false" customHeight="false" outlineLevel="0" collapsed="false">
      <c r="A772" s="14"/>
      <c r="B772" s="13"/>
      <c r="C772" s="14"/>
      <c r="D772" s="14"/>
      <c r="E772" s="14"/>
      <c r="F772" s="15"/>
      <c r="G772" s="14"/>
      <c r="H772" s="19" t="str">
        <f aca="false">IF(F772="","",IF(G772="Y",F772*Settings!$B$16,0))</f>
        <v/>
      </c>
      <c r="I772" s="19" t="str">
        <f aca="false">IF(F772="","",F772+H772)</f>
        <v/>
      </c>
      <c r="J772" s="18" t="str">
        <f aca="false">IF(B772="","",B772+Settings!$B$17)</f>
        <v/>
      </c>
      <c r="K772" s="13"/>
      <c r="L772" s="15"/>
      <c r="M772" s="17" t="str">
        <f aca="true">IF(F772="","",IF(AND(L772&lt;&gt;"",L772&gt;=I772),"Paid",IF(AND(L772&lt;&gt;"",L772&gt;0),"Part paid",IF(TODAY()&gt;J772,"Overdue","Due"))))</f>
        <v/>
      </c>
      <c r="N772" s="19" t="str">
        <f aca="true">IF(M772="Overdue",TODAY()-J772,"")</f>
        <v/>
      </c>
      <c r="O772" s="14"/>
    </row>
    <row r="773" customFormat="false" ht="15" hidden="false" customHeight="false" outlineLevel="0" collapsed="false">
      <c r="A773" s="14"/>
      <c r="B773" s="13"/>
      <c r="C773" s="14"/>
      <c r="D773" s="14"/>
      <c r="E773" s="14"/>
      <c r="F773" s="15"/>
      <c r="G773" s="14"/>
      <c r="H773" s="19" t="str">
        <f aca="false">IF(F773="","",IF(G773="Y",F773*Settings!$B$16,0))</f>
        <v/>
      </c>
      <c r="I773" s="19" t="str">
        <f aca="false">IF(F773="","",F773+H773)</f>
        <v/>
      </c>
      <c r="J773" s="18" t="str">
        <f aca="false">IF(B773="","",B773+Settings!$B$17)</f>
        <v/>
      </c>
      <c r="K773" s="13"/>
      <c r="L773" s="15"/>
      <c r="M773" s="17" t="str">
        <f aca="true">IF(F773="","",IF(AND(L773&lt;&gt;"",L773&gt;=I773),"Paid",IF(AND(L773&lt;&gt;"",L773&gt;0),"Part paid",IF(TODAY()&gt;J773,"Overdue","Due"))))</f>
        <v/>
      </c>
      <c r="N773" s="19" t="str">
        <f aca="true">IF(M773="Overdue",TODAY()-J773,"")</f>
        <v/>
      </c>
      <c r="O773" s="14"/>
    </row>
    <row r="774" customFormat="false" ht="15" hidden="false" customHeight="false" outlineLevel="0" collapsed="false">
      <c r="A774" s="14"/>
      <c r="B774" s="13"/>
      <c r="C774" s="14"/>
      <c r="D774" s="14"/>
      <c r="E774" s="14"/>
      <c r="F774" s="15"/>
      <c r="G774" s="14"/>
      <c r="H774" s="19" t="str">
        <f aca="false">IF(F774="","",IF(G774="Y",F774*Settings!$B$16,0))</f>
        <v/>
      </c>
      <c r="I774" s="19" t="str">
        <f aca="false">IF(F774="","",F774+H774)</f>
        <v/>
      </c>
      <c r="J774" s="18" t="str">
        <f aca="false">IF(B774="","",B774+Settings!$B$17)</f>
        <v/>
      </c>
      <c r="K774" s="13"/>
      <c r="L774" s="15"/>
      <c r="M774" s="17" t="str">
        <f aca="true">IF(F774="","",IF(AND(L774&lt;&gt;"",L774&gt;=I774),"Paid",IF(AND(L774&lt;&gt;"",L774&gt;0),"Part paid",IF(TODAY()&gt;J774,"Overdue","Due"))))</f>
        <v/>
      </c>
      <c r="N774" s="19" t="str">
        <f aca="true">IF(M774="Overdue",TODAY()-J774,"")</f>
        <v/>
      </c>
      <c r="O774" s="14"/>
    </row>
    <row r="775" customFormat="false" ht="15" hidden="false" customHeight="false" outlineLevel="0" collapsed="false">
      <c r="A775" s="14"/>
      <c r="B775" s="13"/>
      <c r="C775" s="14"/>
      <c r="D775" s="14"/>
      <c r="E775" s="14"/>
      <c r="F775" s="15"/>
      <c r="G775" s="14"/>
      <c r="H775" s="19" t="str">
        <f aca="false">IF(F775="","",IF(G775="Y",F775*Settings!$B$16,0))</f>
        <v/>
      </c>
      <c r="I775" s="19" t="str">
        <f aca="false">IF(F775="","",F775+H775)</f>
        <v/>
      </c>
      <c r="J775" s="18" t="str">
        <f aca="false">IF(B775="","",B775+Settings!$B$17)</f>
        <v/>
      </c>
      <c r="K775" s="13"/>
      <c r="L775" s="15"/>
      <c r="M775" s="17" t="str">
        <f aca="true">IF(F775="","",IF(AND(L775&lt;&gt;"",L775&gt;=I775),"Paid",IF(AND(L775&lt;&gt;"",L775&gt;0),"Part paid",IF(TODAY()&gt;J775,"Overdue","Due"))))</f>
        <v/>
      </c>
      <c r="N775" s="19" t="str">
        <f aca="true">IF(M775="Overdue",TODAY()-J775,"")</f>
        <v/>
      </c>
      <c r="O775" s="14"/>
    </row>
    <row r="776" customFormat="false" ht="15" hidden="false" customHeight="false" outlineLevel="0" collapsed="false">
      <c r="A776" s="14"/>
      <c r="B776" s="13"/>
      <c r="C776" s="14"/>
      <c r="D776" s="14"/>
      <c r="E776" s="14"/>
      <c r="F776" s="15"/>
      <c r="G776" s="14"/>
      <c r="H776" s="19" t="str">
        <f aca="false">IF(F776="","",IF(G776="Y",F776*Settings!$B$16,0))</f>
        <v/>
      </c>
      <c r="I776" s="19" t="str">
        <f aca="false">IF(F776="","",F776+H776)</f>
        <v/>
      </c>
      <c r="J776" s="18" t="str">
        <f aca="false">IF(B776="","",B776+Settings!$B$17)</f>
        <v/>
      </c>
      <c r="K776" s="13"/>
      <c r="L776" s="15"/>
      <c r="M776" s="17" t="str">
        <f aca="true">IF(F776="","",IF(AND(L776&lt;&gt;"",L776&gt;=I776),"Paid",IF(AND(L776&lt;&gt;"",L776&gt;0),"Part paid",IF(TODAY()&gt;J776,"Overdue","Due"))))</f>
        <v/>
      </c>
      <c r="N776" s="19" t="str">
        <f aca="true">IF(M776="Overdue",TODAY()-J776,"")</f>
        <v/>
      </c>
      <c r="O776" s="14"/>
    </row>
    <row r="777" customFormat="false" ht="15" hidden="false" customHeight="false" outlineLevel="0" collapsed="false">
      <c r="A777" s="14"/>
      <c r="B777" s="13"/>
      <c r="C777" s="14"/>
      <c r="D777" s="14"/>
      <c r="E777" s="14"/>
      <c r="F777" s="15"/>
      <c r="G777" s="14"/>
      <c r="H777" s="19" t="str">
        <f aca="false">IF(F777="","",IF(G777="Y",F777*Settings!$B$16,0))</f>
        <v/>
      </c>
      <c r="I777" s="19" t="str">
        <f aca="false">IF(F777="","",F777+H777)</f>
        <v/>
      </c>
      <c r="J777" s="18" t="str">
        <f aca="false">IF(B777="","",B777+Settings!$B$17)</f>
        <v/>
      </c>
      <c r="K777" s="13"/>
      <c r="L777" s="15"/>
      <c r="M777" s="17" t="str">
        <f aca="true">IF(F777="","",IF(AND(L777&lt;&gt;"",L777&gt;=I777),"Paid",IF(AND(L777&lt;&gt;"",L777&gt;0),"Part paid",IF(TODAY()&gt;J777,"Overdue","Due"))))</f>
        <v/>
      </c>
      <c r="N777" s="19" t="str">
        <f aca="true">IF(M777="Overdue",TODAY()-J777,"")</f>
        <v/>
      </c>
      <c r="O777" s="14"/>
    </row>
    <row r="778" customFormat="false" ht="15" hidden="false" customHeight="false" outlineLevel="0" collapsed="false">
      <c r="A778" s="14"/>
      <c r="B778" s="13"/>
      <c r="C778" s="14"/>
      <c r="D778" s="14"/>
      <c r="E778" s="14"/>
      <c r="F778" s="15"/>
      <c r="G778" s="14"/>
      <c r="H778" s="19" t="str">
        <f aca="false">IF(F778="","",IF(G778="Y",F778*Settings!$B$16,0))</f>
        <v/>
      </c>
      <c r="I778" s="19" t="str">
        <f aca="false">IF(F778="","",F778+H778)</f>
        <v/>
      </c>
      <c r="J778" s="18" t="str">
        <f aca="false">IF(B778="","",B778+Settings!$B$17)</f>
        <v/>
      </c>
      <c r="K778" s="13"/>
      <c r="L778" s="15"/>
      <c r="M778" s="17" t="str">
        <f aca="true">IF(F778="","",IF(AND(L778&lt;&gt;"",L778&gt;=I778),"Paid",IF(AND(L778&lt;&gt;"",L778&gt;0),"Part paid",IF(TODAY()&gt;J778,"Overdue","Due"))))</f>
        <v/>
      </c>
      <c r="N778" s="19" t="str">
        <f aca="true">IF(M778="Overdue",TODAY()-J778,"")</f>
        <v/>
      </c>
      <c r="O778" s="14"/>
    </row>
    <row r="779" customFormat="false" ht="15" hidden="false" customHeight="false" outlineLevel="0" collapsed="false">
      <c r="A779" s="14"/>
      <c r="B779" s="13"/>
      <c r="C779" s="14"/>
      <c r="D779" s="14"/>
      <c r="E779" s="14"/>
      <c r="F779" s="15"/>
      <c r="G779" s="14"/>
      <c r="H779" s="19" t="str">
        <f aca="false">IF(F779="","",IF(G779="Y",F779*Settings!$B$16,0))</f>
        <v/>
      </c>
      <c r="I779" s="19" t="str">
        <f aca="false">IF(F779="","",F779+H779)</f>
        <v/>
      </c>
      <c r="J779" s="18" t="str">
        <f aca="false">IF(B779="","",B779+Settings!$B$17)</f>
        <v/>
      </c>
      <c r="K779" s="13"/>
      <c r="L779" s="15"/>
      <c r="M779" s="17" t="str">
        <f aca="true">IF(F779="","",IF(AND(L779&lt;&gt;"",L779&gt;=I779),"Paid",IF(AND(L779&lt;&gt;"",L779&gt;0),"Part paid",IF(TODAY()&gt;J779,"Overdue","Due"))))</f>
        <v/>
      </c>
      <c r="N779" s="19" t="str">
        <f aca="true">IF(M779="Overdue",TODAY()-J779,"")</f>
        <v/>
      </c>
      <c r="O779" s="14"/>
    </row>
    <row r="780" customFormat="false" ht="15" hidden="false" customHeight="false" outlineLevel="0" collapsed="false">
      <c r="A780" s="14"/>
      <c r="B780" s="13"/>
      <c r="C780" s="14"/>
      <c r="D780" s="14"/>
      <c r="E780" s="14"/>
      <c r="F780" s="15"/>
      <c r="G780" s="14"/>
      <c r="H780" s="19" t="str">
        <f aca="false">IF(F780="","",IF(G780="Y",F780*Settings!$B$16,0))</f>
        <v/>
      </c>
      <c r="I780" s="19" t="str">
        <f aca="false">IF(F780="","",F780+H780)</f>
        <v/>
      </c>
      <c r="J780" s="18" t="str">
        <f aca="false">IF(B780="","",B780+Settings!$B$17)</f>
        <v/>
      </c>
      <c r="K780" s="13"/>
      <c r="L780" s="15"/>
      <c r="M780" s="17" t="str">
        <f aca="true">IF(F780="","",IF(AND(L780&lt;&gt;"",L780&gt;=I780),"Paid",IF(AND(L780&lt;&gt;"",L780&gt;0),"Part paid",IF(TODAY()&gt;J780,"Overdue","Due"))))</f>
        <v/>
      </c>
      <c r="N780" s="19" t="str">
        <f aca="true">IF(M780="Overdue",TODAY()-J780,"")</f>
        <v/>
      </c>
      <c r="O780" s="14"/>
    </row>
    <row r="781" customFormat="false" ht="15" hidden="false" customHeight="false" outlineLevel="0" collapsed="false">
      <c r="A781" s="14"/>
      <c r="B781" s="13"/>
      <c r="C781" s="14"/>
      <c r="D781" s="14"/>
      <c r="E781" s="14"/>
      <c r="F781" s="15"/>
      <c r="G781" s="14"/>
      <c r="H781" s="19" t="str">
        <f aca="false">IF(F781="","",IF(G781="Y",F781*Settings!$B$16,0))</f>
        <v/>
      </c>
      <c r="I781" s="19" t="str">
        <f aca="false">IF(F781="","",F781+H781)</f>
        <v/>
      </c>
      <c r="J781" s="18" t="str">
        <f aca="false">IF(B781="","",B781+Settings!$B$17)</f>
        <v/>
      </c>
      <c r="K781" s="13"/>
      <c r="L781" s="15"/>
      <c r="M781" s="17" t="str">
        <f aca="true">IF(F781="","",IF(AND(L781&lt;&gt;"",L781&gt;=I781),"Paid",IF(AND(L781&lt;&gt;"",L781&gt;0),"Part paid",IF(TODAY()&gt;J781,"Overdue","Due"))))</f>
        <v/>
      </c>
      <c r="N781" s="19" t="str">
        <f aca="true">IF(M781="Overdue",TODAY()-J781,"")</f>
        <v/>
      </c>
      <c r="O781" s="14"/>
    </row>
    <row r="782" customFormat="false" ht="15" hidden="false" customHeight="false" outlineLevel="0" collapsed="false">
      <c r="A782" s="14"/>
      <c r="B782" s="13"/>
      <c r="C782" s="14"/>
      <c r="D782" s="14"/>
      <c r="E782" s="14"/>
      <c r="F782" s="15"/>
      <c r="G782" s="14"/>
      <c r="H782" s="19" t="str">
        <f aca="false">IF(F782="","",IF(G782="Y",F782*Settings!$B$16,0))</f>
        <v/>
      </c>
      <c r="I782" s="19" t="str">
        <f aca="false">IF(F782="","",F782+H782)</f>
        <v/>
      </c>
      <c r="J782" s="18" t="str">
        <f aca="false">IF(B782="","",B782+Settings!$B$17)</f>
        <v/>
      </c>
      <c r="K782" s="13"/>
      <c r="L782" s="15"/>
      <c r="M782" s="17" t="str">
        <f aca="true">IF(F782="","",IF(AND(L782&lt;&gt;"",L782&gt;=I782),"Paid",IF(AND(L782&lt;&gt;"",L782&gt;0),"Part paid",IF(TODAY()&gt;J782,"Overdue","Due"))))</f>
        <v/>
      </c>
      <c r="N782" s="19" t="str">
        <f aca="true">IF(M782="Overdue",TODAY()-J782,"")</f>
        <v/>
      </c>
      <c r="O782" s="14"/>
    </row>
    <row r="783" customFormat="false" ht="15" hidden="false" customHeight="false" outlineLevel="0" collapsed="false">
      <c r="A783" s="14"/>
      <c r="B783" s="13"/>
      <c r="C783" s="14"/>
      <c r="D783" s="14"/>
      <c r="E783" s="14"/>
      <c r="F783" s="15"/>
      <c r="G783" s="14"/>
      <c r="H783" s="19" t="str">
        <f aca="false">IF(F783="","",IF(G783="Y",F783*Settings!$B$16,0))</f>
        <v/>
      </c>
      <c r="I783" s="19" t="str">
        <f aca="false">IF(F783="","",F783+H783)</f>
        <v/>
      </c>
      <c r="J783" s="18" t="str">
        <f aca="false">IF(B783="","",B783+Settings!$B$17)</f>
        <v/>
      </c>
      <c r="K783" s="13"/>
      <c r="L783" s="15"/>
      <c r="M783" s="17" t="str">
        <f aca="true">IF(F783="","",IF(AND(L783&lt;&gt;"",L783&gt;=I783),"Paid",IF(AND(L783&lt;&gt;"",L783&gt;0),"Part paid",IF(TODAY()&gt;J783,"Overdue","Due"))))</f>
        <v/>
      </c>
      <c r="N783" s="19" t="str">
        <f aca="true">IF(M783="Overdue",TODAY()-J783,"")</f>
        <v/>
      </c>
      <c r="O783" s="14"/>
    </row>
    <row r="784" customFormat="false" ht="15" hidden="false" customHeight="false" outlineLevel="0" collapsed="false">
      <c r="A784" s="14"/>
      <c r="B784" s="13"/>
      <c r="C784" s="14"/>
      <c r="D784" s="14"/>
      <c r="E784" s="14"/>
      <c r="F784" s="15"/>
      <c r="G784" s="14"/>
      <c r="H784" s="19" t="str">
        <f aca="false">IF(F784="","",IF(G784="Y",F784*Settings!$B$16,0))</f>
        <v/>
      </c>
      <c r="I784" s="19" t="str">
        <f aca="false">IF(F784="","",F784+H784)</f>
        <v/>
      </c>
      <c r="J784" s="18" t="str">
        <f aca="false">IF(B784="","",B784+Settings!$B$17)</f>
        <v/>
      </c>
      <c r="K784" s="13"/>
      <c r="L784" s="15"/>
      <c r="M784" s="17" t="str">
        <f aca="true">IF(F784="","",IF(AND(L784&lt;&gt;"",L784&gt;=I784),"Paid",IF(AND(L784&lt;&gt;"",L784&gt;0),"Part paid",IF(TODAY()&gt;J784,"Overdue","Due"))))</f>
        <v/>
      </c>
      <c r="N784" s="19" t="str">
        <f aca="true">IF(M784="Overdue",TODAY()-J784,"")</f>
        <v/>
      </c>
      <c r="O784" s="14"/>
    </row>
    <row r="785" customFormat="false" ht="15" hidden="false" customHeight="false" outlineLevel="0" collapsed="false">
      <c r="A785" s="14"/>
      <c r="B785" s="13"/>
      <c r="C785" s="14"/>
      <c r="D785" s="14"/>
      <c r="E785" s="14"/>
      <c r="F785" s="15"/>
      <c r="G785" s="14"/>
      <c r="H785" s="19" t="str">
        <f aca="false">IF(F785="","",IF(G785="Y",F785*Settings!$B$16,0))</f>
        <v/>
      </c>
      <c r="I785" s="19" t="str">
        <f aca="false">IF(F785="","",F785+H785)</f>
        <v/>
      </c>
      <c r="J785" s="18" t="str">
        <f aca="false">IF(B785="","",B785+Settings!$B$17)</f>
        <v/>
      </c>
      <c r="K785" s="13"/>
      <c r="L785" s="15"/>
      <c r="M785" s="17" t="str">
        <f aca="true">IF(F785="","",IF(AND(L785&lt;&gt;"",L785&gt;=I785),"Paid",IF(AND(L785&lt;&gt;"",L785&gt;0),"Part paid",IF(TODAY()&gt;J785,"Overdue","Due"))))</f>
        <v/>
      </c>
      <c r="N785" s="19" t="str">
        <f aca="true">IF(M785="Overdue",TODAY()-J785,"")</f>
        <v/>
      </c>
      <c r="O785" s="14"/>
    </row>
    <row r="786" customFormat="false" ht="15" hidden="false" customHeight="false" outlineLevel="0" collapsed="false">
      <c r="A786" s="14"/>
      <c r="B786" s="13"/>
      <c r="C786" s="14"/>
      <c r="D786" s="14"/>
      <c r="E786" s="14"/>
      <c r="F786" s="15"/>
      <c r="G786" s="14"/>
      <c r="H786" s="19" t="str">
        <f aca="false">IF(F786="","",IF(G786="Y",F786*Settings!$B$16,0))</f>
        <v/>
      </c>
      <c r="I786" s="19" t="str">
        <f aca="false">IF(F786="","",F786+H786)</f>
        <v/>
      </c>
      <c r="J786" s="18" t="str">
        <f aca="false">IF(B786="","",B786+Settings!$B$17)</f>
        <v/>
      </c>
      <c r="K786" s="13"/>
      <c r="L786" s="15"/>
      <c r="M786" s="17" t="str">
        <f aca="true">IF(F786="","",IF(AND(L786&lt;&gt;"",L786&gt;=I786),"Paid",IF(AND(L786&lt;&gt;"",L786&gt;0),"Part paid",IF(TODAY()&gt;J786,"Overdue","Due"))))</f>
        <v/>
      </c>
      <c r="N786" s="19" t="str">
        <f aca="true">IF(M786="Overdue",TODAY()-J786,"")</f>
        <v/>
      </c>
      <c r="O786" s="14"/>
    </row>
    <row r="787" customFormat="false" ht="15" hidden="false" customHeight="false" outlineLevel="0" collapsed="false">
      <c r="A787" s="14"/>
      <c r="B787" s="13"/>
      <c r="C787" s="14"/>
      <c r="D787" s="14"/>
      <c r="E787" s="14"/>
      <c r="F787" s="15"/>
      <c r="G787" s="14"/>
      <c r="H787" s="19" t="str">
        <f aca="false">IF(F787="","",IF(G787="Y",F787*Settings!$B$16,0))</f>
        <v/>
      </c>
      <c r="I787" s="19" t="str">
        <f aca="false">IF(F787="","",F787+H787)</f>
        <v/>
      </c>
      <c r="J787" s="18" t="str">
        <f aca="false">IF(B787="","",B787+Settings!$B$17)</f>
        <v/>
      </c>
      <c r="K787" s="13"/>
      <c r="L787" s="15"/>
      <c r="M787" s="17" t="str">
        <f aca="true">IF(F787="","",IF(AND(L787&lt;&gt;"",L787&gt;=I787),"Paid",IF(AND(L787&lt;&gt;"",L787&gt;0),"Part paid",IF(TODAY()&gt;J787,"Overdue","Due"))))</f>
        <v/>
      </c>
      <c r="N787" s="19" t="str">
        <f aca="true">IF(M787="Overdue",TODAY()-J787,"")</f>
        <v/>
      </c>
      <c r="O787" s="14"/>
    </row>
    <row r="788" customFormat="false" ht="15" hidden="false" customHeight="false" outlineLevel="0" collapsed="false">
      <c r="A788" s="14"/>
      <c r="B788" s="13"/>
      <c r="C788" s="14"/>
      <c r="D788" s="14"/>
      <c r="E788" s="14"/>
      <c r="F788" s="15"/>
      <c r="G788" s="14"/>
      <c r="H788" s="19" t="str">
        <f aca="false">IF(F788="","",IF(G788="Y",F788*Settings!$B$16,0))</f>
        <v/>
      </c>
      <c r="I788" s="19" t="str">
        <f aca="false">IF(F788="","",F788+H788)</f>
        <v/>
      </c>
      <c r="J788" s="18" t="str">
        <f aca="false">IF(B788="","",B788+Settings!$B$17)</f>
        <v/>
      </c>
      <c r="K788" s="13"/>
      <c r="L788" s="15"/>
      <c r="M788" s="17" t="str">
        <f aca="true">IF(F788="","",IF(AND(L788&lt;&gt;"",L788&gt;=I788),"Paid",IF(AND(L788&lt;&gt;"",L788&gt;0),"Part paid",IF(TODAY()&gt;J788,"Overdue","Due"))))</f>
        <v/>
      </c>
      <c r="N788" s="19" t="str">
        <f aca="true">IF(M788="Overdue",TODAY()-J788,"")</f>
        <v/>
      </c>
      <c r="O788" s="14"/>
    </row>
    <row r="789" customFormat="false" ht="15" hidden="false" customHeight="false" outlineLevel="0" collapsed="false">
      <c r="A789" s="14"/>
      <c r="B789" s="13"/>
      <c r="C789" s="14"/>
      <c r="D789" s="14"/>
      <c r="E789" s="14"/>
      <c r="F789" s="15"/>
      <c r="G789" s="14"/>
      <c r="H789" s="19" t="str">
        <f aca="false">IF(F789="","",IF(G789="Y",F789*Settings!$B$16,0))</f>
        <v/>
      </c>
      <c r="I789" s="19" t="str">
        <f aca="false">IF(F789="","",F789+H789)</f>
        <v/>
      </c>
      <c r="J789" s="18" t="str">
        <f aca="false">IF(B789="","",B789+Settings!$B$17)</f>
        <v/>
      </c>
      <c r="K789" s="13"/>
      <c r="L789" s="15"/>
      <c r="M789" s="17" t="str">
        <f aca="true">IF(F789="","",IF(AND(L789&lt;&gt;"",L789&gt;=I789),"Paid",IF(AND(L789&lt;&gt;"",L789&gt;0),"Part paid",IF(TODAY()&gt;J789,"Overdue","Due"))))</f>
        <v/>
      </c>
      <c r="N789" s="19" t="str">
        <f aca="true">IF(M789="Overdue",TODAY()-J789,"")</f>
        <v/>
      </c>
      <c r="O789" s="14"/>
    </row>
    <row r="790" customFormat="false" ht="15" hidden="false" customHeight="false" outlineLevel="0" collapsed="false">
      <c r="A790" s="14"/>
      <c r="B790" s="13"/>
      <c r="C790" s="14"/>
      <c r="D790" s="14"/>
      <c r="E790" s="14"/>
      <c r="F790" s="15"/>
      <c r="G790" s="14"/>
      <c r="H790" s="19" t="str">
        <f aca="false">IF(F790="","",IF(G790="Y",F790*Settings!$B$16,0))</f>
        <v/>
      </c>
      <c r="I790" s="19" t="str">
        <f aca="false">IF(F790="","",F790+H790)</f>
        <v/>
      </c>
      <c r="J790" s="18" t="str">
        <f aca="false">IF(B790="","",B790+Settings!$B$17)</f>
        <v/>
      </c>
      <c r="K790" s="13"/>
      <c r="L790" s="15"/>
      <c r="M790" s="17" t="str">
        <f aca="true">IF(F790="","",IF(AND(L790&lt;&gt;"",L790&gt;=I790),"Paid",IF(AND(L790&lt;&gt;"",L790&gt;0),"Part paid",IF(TODAY()&gt;J790,"Overdue","Due"))))</f>
        <v/>
      </c>
      <c r="N790" s="19" t="str">
        <f aca="true">IF(M790="Overdue",TODAY()-J790,"")</f>
        <v/>
      </c>
      <c r="O790" s="14"/>
    </row>
    <row r="791" customFormat="false" ht="15" hidden="false" customHeight="false" outlineLevel="0" collapsed="false">
      <c r="A791" s="14"/>
      <c r="B791" s="13"/>
      <c r="C791" s="14"/>
      <c r="D791" s="14"/>
      <c r="E791" s="14"/>
      <c r="F791" s="15"/>
      <c r="G791" s="14"/>
      <c r="H791" s="19" t="str">
        <f aca="false">IF(F791="","",IF(G791="Y",F791*Settings!$B$16,0))</f>
        <v/>
      </c>
      <c r="I791" s="19" t="str">
        <f aca="false">IF(F791="","",F791+H791)</f>
        <v/>
      </c>
      <c r="J791" s="18" t="str">
        <f aca="false">IF(B791="","",B791+Settings!$B$17)</f>
        <v/>
      </c>
      <c r="K791" s="13"/>
      <c r="L791" s="15"/>
      <c r="M791" s="17" t="str">
        <f aca="true">IF(F791="","",IF(AND(L791&lt;&gt;"",L791&gt;=I791),"Paid",IF(AND(L791&lt;&gt;"",L791&gt;0),"Part paid",IF(TODAY()&gt;J791,"Overdue","Due"))))</f>
        <v/>
      </c>
      <c r="N791" s="19" t="str">
        <f aca="true">IF(M791="Overdue",TODAY()-J791,"")</f>
        <v/>
      </c>
      <c r="O791" s="14"/>
    </row>
    <row r="792" customFormat="false" ht="15" hidden="false" customHeight="false" outlineLevel="0" collapsed="false">
      <c r="A792" s="14"/>
      <c r="B792" s="13"/>
      <c r="C792" s="14"/>
      <c r="D792" s="14"/>
      <c r="E792" s="14"/>
      <c r="F792" s="15"/>
      <c r="G792" s="14"/>
      <c r="H792" s="19" t="str">
        <f aca="false">IF(F792="","",IF(G792="Y",F792*Settings!$B$16,0))</f>
        <v/>
      </c>
      <c r="I792" s="19" t="str">
        <f aca="false">IF(F792="","",F792+H792)</f>
        <v/>
      </c>
      <c r="J792" s="18" t="str">
        <f aca="false">IF(B792="","",B792+Settings!$B$17)</f>
        <v/>
      </c>
      <c r="K792" s="13"/>
      <c r="L792" s="15"/>
      <c r="M792" s="17" t="str">
        <f aca="true">IF(F792="","",IF(AND(L792&lt;&gt;"",L792&gt;=I792),"Paid",IF(AND(L792&lt;&gt;"",L792&gt;0),"Part paid",IF(TODAY()&gt;J792,"Overdue","Due"))))</f>
        <v/>
      </c>
      <c r="N792" s="19" t="str">
        <f aca="true">IF(M792="Overdue",TODAY()-J792,"")</f>
        <v/>
      </c>
      <c r="O792" s="14"/>
    </row>
    <row r="793" customFormat="false" ht="15" hidden="false" customHeight="false" outlineLevel="0" collapsed="false">
      <c r="A793" s="14"/>
      <c r="B793" s="13"/>
      <c r="C793" s="14"/>
      <c r="D793" s="14"/>
      <c r="E793" s="14"/>
      <c r="F793" s="15"/>
      <c r="G793" s="14"/>
      <c r="H793" s="19" t="str">
        <f aca="false">IF(F793="","",IF(G793="Y",F793*Settings!$B$16,0))</f>
        <v/>
      </c>
      <c r="I793" s="19" t="str">
        <f aca="false">IF(F793="","",F793+H793)</f>
        <v/>
      </c>
      <c r="J793" s="18" t="str">
        <f aca="false">IF(B793="","",B793+Settings!$B$17)</f>
        <v/>
      </c>
      <c r="K793" s="13"/>
      <c r="L793" s="15"/>
      <c r="M793" s="17" t="str">
        <f aca="true">IF(F793="","",IF(AND(L793&lt;&gt;"",L793&gt;=I793),"Paid",IF(AND(L793&lt;&gt;"",L793&gt;0),"Part paid",IF(TODAY()&gt;J793,"Overdue","Due"))))</f>
        <v/>
      </c>
      <c r="N793" s="19" t="str">
        <f aca="true">IF(M793="Overdue",TODAY()-J793,"")</f>
        <v/>
      </c>
      <c r="O793" s="14"/>
    </row>
    <row r="794" customFormat="false" ht="15" hidden="false" customHeight="false" outlineLevel="0" collapsed="false">
      <c r="A794" s="14"/>
      <c r="B794" s="13"/>
      <c r="C794" s="14"/>
      <c r="D794" s="14"/>
      <c r="E794" s="14"/>
      <c r="F794" s="15"/>
      <c r="G794" s="14"/>
      <c r="H794" s="19" t="str">
        <f aca="false">IF(F794="","",IF(G794="Y",F794*Settings!$B$16,0))</f>
        <v/>
      </c>
      <c r="I794" s="19" t="str">
        <f aca="false">IF(F794="","",F794+H794)</f>
        <v/>
      </c>
      <c r="J794" s="18" t="str">
        <f aca="false">IF(B794="","",B794+Settings!$B$17)</f>
        <v/>
      </c>
      <c r="K794" s="13"/>
      <c r="L794" s="15"/>
      <c r="M794" s="17" t="str">
        <f aca="true">IF(F794="","",IF(AND(L794&lt;&gt;"",L794&gt;=I794),"Paid",IF(AND(L794&lt;&gt;"",L794&gt;0),"Part paid",IF(TODAY()&gt;J794,"Overdue","Due"))))</f>
        <v/>
      </c>
      <c r="N794" s="19" t="str">
        <f aca="true">IF(M794="Overdue",TODAY()-J794,"")</f>
        <v/>
      </c>
      <c r="O794" s="14"/>
    </row>
    <row r="795" customFormat="false" ht="15" hidden="false" customHeight="false" outlineLevel="0" collapsed="false">
      <c r="A795" s="14"/>
      <c r="B795" s="13"/>
      <c r="C795" s="14"/>
      <c r="D795" s="14"/>
      <c r="E795" s="14"/>
      <c r="F795" s="15"/>
      <c r="G795" s="14"/>
      <c r="H795" s="19" t="str">
        <f aca="false">IF(F795="","",IF(G795="Y",F795*Settings!$B$16,0))</f>
        <v/>
      </c>
      <c r="I795" s="19" t="str">
        <f aca="false">IF(F795="","",F795+H795)</f>
        <v/>
      </c>
      <c r="J795" s="18" t="str">
        <f aca="false">IF(B795="","",B795+Settings!$B$17)</f>
        <v/>
      </c>
      <c r="K795" s="13"/>
      <c r="L795" s="15"/>
      <c r="M795" s="17" t="str">
        <f aca="true">IF(F795="","",IF(AND(L795&lt;&gt;"",L795&gt;=I795),"Paid",IF(AND(L795&lt;&gt;"",L795&gt;0),"Part paid",IF(TODAY()&gt;J795,"Overdue","Due"))))</f>
        <v/>
      </c>
      <c r="N795" s="19" t="str">
        <f aca="true">IF(M795="Overdue",TODAY()-J795,"")</f>
        <v/>
      </c>
      <c r="O795" s="14"/>
    </row>
    <row r="796" customFormat="false" ht="15" hidden="false" customHeight="false" outlineLevel="0" collapsed="false">
      <c r="A796" s="14"/>
      <c r="B796" s="13"/>
      <c r="C796" s="14"/>
      <c r="D796" s="14"/>
      <c r="E796" s="14"/>
      <c r="F796" s="15"/>
      <c r="G796" s="14"/>
      <c r="H796" s="19" t="str">
        <f aca="false">IF(F796="","",IF(G796="Y",F796*Settings!$B$16,0))</f>
        <v/>
      </c>
      <c r="I796" s="19" t="str">
        <f aca="false">IF(F796="","",F796+H796)</f>
        <v/>
      </c>
      <c r="J796" s="18" t="str">
        <f aca="false">IF(B796="","",B796+Settings!$B$17)</f>
        <v/>
      </c>
      <c r="K796" s="13"/>
      <c r="L796" s="15"/>
      <c r="M796" s="17" t="str">
        <f aca="true">IF(F796="","",IF(AND(L796&lt;&gt;"",L796&gt;=I796),"Paid",IF(AND(L796&lt;&gt;"",L796&gt;0),"Part paid",IF(TODAY()&gt;J796,"Overdue","Due"))))</f>
        <v/>
      </c>
      <c r="N796" s="19" t="str">
        <f aca="true">IF(M796="Overdue",TODAY()-J796,"")</f>
        <v/>
      </c>
      <c r="O796" s="14"/>
    </row>
    <row r="797" customFormat="false" ht="15" hidden="false" customHeight="false" outlineLevel="0" collapsed="false">
      <c r="A797" s="14"/>
      <c r="B797" s="13"/>
      <c r="C797" s="14"/>
      <c r="D797" s="14"/>
      <c r="E797" s="14"/>
      <c r="F797" s="15"/>
      <c r="G797" s="14"/>
      <c r="H797" s="19" t="str">
        <f aca="false">IF(F797="","",IF(G797="Y",F797*Settings!$B$16,0))</f>
        <v/>
      </c>
      <c r="I797" s="19" t="str">
        <f aca="false">IF(F797="","",F797+H797)</f>
        <v/>
      </c>
      <c r="J797" s="18" t="str">
        <f aca="false">IF(B797="","",B797+Settings!$B$17)</f>
        <v/>
      </c>
      <c r="K797" s="13"/>
      <c r="L797" s="15"/>
      <c r="M797" s="17" t="str">
        <f aca="true">IF(F797="","",IF(AND(L797&lt;&gt;"",L797&gt;=I797),"Paid",IF(AND(L797&lt;&gt;"",L797&gt;0),"Part paid",IF(TODAY()&gt;J797,"Overdue","Due"))))</f>
        <v/>
      </c>
      <c r="N797" s="19" t="str">
        <f aca="true">IF(M797="Overdue",TODAY()-J797,"")</f>
        <v/>
      </c>
      <c r="O797" s="14"/>
    </row>
    <row r="798" customFormat="false" ht="15" hidden="false" customHeight="false" outlineLevel="0" collapsed="false">
      <c r="A798" s="14"/>
      <c r="B798" s="13"/>
      <c r="C798" s="14"/>
      <c r="D798" s="14"/>
      <c r="E798" s="14"/>
      <c r="F798" s="15"/>
      <c r="G798" s="14"/>
      <c r="H798" s="19" t="str">
        <f aca="false">IF(F798="","",IF(G798="Y",F798*Settings!$B$16,0))</f>
        <v/>
      </c>
      <c r="I798" s="19" t="str">
        <f aca="false">IF(F798="","",F798+H798)</f>
        <v/>
      </c>
      <c r="J798" s="18" t="str">
        <f aca="false">IF(B798="","",B798+Settings!$B$17)</f>
        <v/>
      </c>
      <c r="K798" s="13"/>
      <c r="L798" s="15"/>
      <c r="M798" s="17" t="str">
        <f aca="true">IF(F798="","",IF(AND(L798&lt;&gt;"",L798&gt;=I798),"Paid",IF(AND(L798&lt;&gt;"",L798&gt;0),"Part paid",IF(TODAY()&gt;J798,"Overdue","Due"))))</f>
        <v/>
      </c>
      <c r="N798" s="19" t="str">
        <f aca="true">IF(M798="Overdue",TODAY()-J798,"")</f>
        <v/>
      </c>
      <c r="O798" s="14"/>
    </row>
    <row r="799" customFormat="false" ht="15" hidden="false" customHeight="false" outlineLevel="0" collapsed="false">
      <c r="A799" s="14"/>
      <c r="B799" s="13"/>
      <c r="C799" s="14"/>
      <c r="D799" s="14"/>
      <c r="E799" s="14"/>
      <c r="F799" s="15"/>
      <c r="G799" s="14"/>
      <c r="H799" s="19" t="str">
        <f aca="false">IF(F799="","",IF(G799="Y",F799*Settings!$B$16,0))</f>
        <v/>
      </c>
      <c r="I799" s="19" t="str">
        <f aca="false">IF(F799="","",F799+H799)</f>
        <v/>
      </c>
      <c r="J799" s="18" t="str">
        <f aca="false">IF(B799="","",B799+Settings!$B$17)</f>
        <v/>
      </c>
      <c r="K799" s="13"/>
      <c r="L799" s="15"/>
      <c r="M799" s="17" t="str">
        <f aca="true">IF(F799="","",IF(AND(L799&lt;&gt;"",L799&gt;=I799),"Paid",IF(AND(L799&lt;&gt;"",L799&gt;0),"Part paid",IF(TODAY()&gt;J799,"Overdue","Due"))))</f>
        <v/>
      </c>
      <c r="N799" s="19" t="str">
        <f aca="true">IF(M799="Overdue",TODAY()-J799,"")</f>
        <v/>
      </c>
      <c r="O799" s="14"/>
    </row>
    <row r="800" customFormat="false" ht="15" hidden="false" customHeight="false" outlineLevel="0" collapsed="false">
      <c r="A800" s="14"/>
      <c r="B800" s="13"/>
      <c r="C800" s="14"/>
      <c r="D800" s="14"/>
      <c r="E800" s="14"/>
      <c r="F800" s="15"/>
      <c r="G800" s="14"/>
      <c r="H800" s="19" t="str">
        <f aca="false">IF(F800="","",IF(G800="Y",F800*Settings!$B$16,0))</f>
        <v/>
      </c>
      <c r="I800" s="19" t="str">
        <f aca="false">IF(F800="","",F800+H800)</f>
        <v/>
      </c>
      <c r="J800" s="18" t="str">
        <f aca="false">IF(B800="","",B800+Settings!$B$17)</f>
        <v/>
      </c>
      <c r="K800" s="13"/>
      <c r="L800" s="15"/>
      <c r="M800" s="17" t="str">
        <f aca="true">IF(F800="","",IF(AND(L800&lt;&gt;"",L800&gt;=I800),"Paid",IF(AND(L800&lt;&gt;"",L800&gt;0),"Part paid",IF(TODAY()&gt;J800,"Overdue","Due"))))</f>
        <v/>
      </c>
      <c r="N800" s="19" t="str">
        <f aca="true">IF(M800="Overdue",TODAY()-J800,"")</f>
        <v/>
      </c>
      <c r="O800" s="14"/>
    </row>
    <row r="801" customFormat="false" ht="15" hidden="false" customHeight="false" outlineLevel="0" collapsed="false">
      <c r="A801" s="14"/>
      <c r="B801" s="13"/>
      <c r="C801" s="14"/>
      <c r="D801" s="14"/>
      <c r="E801" s="14"/>
      <c r="F801" s="15"/>
      <c r="G801" s="14"/>
      <c r="H801" s="19" t="str">
        <f aca="false">IF(F801="","",IF(G801="Y",F801*Settings!$B$16,0))</f>
        <v/>
      </c>
      <c r="I801" s="19" t="str">
        <f aca="false">IF(F801="","",F801+H801)</f>
        <v/>
      </c>
      <c r="J801" s="18" t="str">
        <f aca="false">IF(B801="","",B801+Settings!$B$17)</f>
        <v/>
      </c>
      <c r="K801" s="13"/>
      <c r="L801" s="15"/>
      <c r="M801" s="17" t="str">
        <f aca="true">IF(F801="","",IF(AND(L801&lt;&gt;"",L801&gt;=I801),"Paid",IF(AND(L801&lt;&gt;"",L801&gt;0),"Part paid",IF(TODAY()&gt;J801,"Overdue","Due"))))</f>
        <v/>
      </c>
      <c r="N801" s="19" t="str">
        <f aca="true">IF(M801="Overdue",TODAY()-J801,"")</f>
        <v/>
      </c>
      <c r="O801" s="14"/>
    </row>
    <row r="802" customFormat="false" ht="15" hidden="false" customHeight="false" outlineLevel="0" collapsed="false">
      <c r="A802" s="14"/>
      <c r="B802" s="13"/>
      <c r="C802" s="14"/>
      <c r="D802" s="14"/>
      <c r="E802" s="14"/>
      <c r="F802" s="15"/>
      <c r="G802" s="14"/>
      <c r="H802" s="19" t="str">
        <f aca="false">IF(F802="","",IF(G802="Y",F802*Settings!$B$16,0))</f>
        <v/>
      </c>
      <c r="I802" s="19" t="str">
        <f aca="false">IF(F802="","",F802+H802)</f>
        <v/>
      </c>
      <c r="J802" s="18" t="str">
        <f aca="false">IF(B802="","",B802+Settings!$B$17)</f>
        <v/>
      </c>
      <c r="K802" s="13"/>
      <c r="L802" s="15"/>
      <c r="M802" s="17" t="str">
        <f aca="true">IF(F802="","",IF(AND(L802&lt;&gt;"",L802&gt;=I802),"Paid",IF(AND(L802&lt;&gt;"",L802&gt;0),"Part paid",IF(TODAY()&gt;J802,"Overdue","Due"))))</f>
        <v/>
      </c>
      <c r="N802" s="19" t="str">
        <f aca="true">IF(M802="Overdue",TODAY()-J802,"")</f>
        <v/>
      </c>
      <c r="O802" s="14"/>
    </row>
    <row r="803" customFormat="false" ht="15" hidden="false" customHeight="false" outlineLevel="0" collapsed="false">
      <c r="A803" s="14"/>
      <c r="B803" s="13"/>
      <c r="C803" s="14"/>
      <c r="D803" s="14"/>
      <c r="E803" s="14"/>
      <c r="F803" s="15"/>
      <c r="G803" s="14"/>
      <c r="H803" s="19" t="str">
        <f aca="false">IF(F803="","",IF(G803="Y",F803*Settings!$B$16,0))</f>
        <v/>
      </c>
      <c r="I803" s="19" t="str">
        <f aca="false">IF(F803="","",F803+H803)</f>
        <v/>
      </c>
      <c r="J803" s="18" t="str">
        <f aca="false">IF(B803="","",B803+Settings!$B$17)</f>
        <v/>
      </c>
      <c r="K803" s="13"/>
      <c r="L803" s="15"/>
      <c r="M803" s="17" t="str">
        <f aca="true">IF(F803="","",IF(AND(L803&lt;&gt;"",L803&gt;=I803),"Paid",IF(AND(L803&lt;&gt;"",L803&gt;0),"Part paid",IF(TODAY()&gt;J803,"Overdue","Due"))))</f>
        <v/>
      </c>
      <c r="N803" s="19" t="str">
        <f aca="true">IF(M803="Overdue",TODAY()-J803,"")</f>
        <v/>
      </c>
      <c r="O803" s="14"/>
    </row>
    <row r="804" customFormat="false" ht="15" hidden="false" customHeight="false" outlineLevel="0" collapsed="false">
      <c r="A804" s="14"/>
      <c r="B804" s="13"/>
      <c r="C804" s="14"/>
      <c r="D804" s="14"/>
      <c r="E804" s="14"/>
      <c r="F804" s="15"/>
      <c r="G804" s="14"/>
      <c r="H804" s="19" t="str">
        <f aca="false">IF(F804="","",IF(G804="Y",F804*Settings!$B$16,0))</f>
        <v/>
      </c>
      <c r="I804" s="19" t="str">
        <f aca="false">IF(F804="","",F804+H804)</f>
        <v/>
      </c>
      <c r="J804" s="18" t="str">
        <f aca="false">IF(B804="","",B804+Settings!$B$17)</f>
        <v/>
      </c>
      <c r="K804" s="13"/>
      <c r="L804" s="15"/>
      <c r="M804" s="17" t="str">
        <f aca="true">IF(F804="","",IF(AND(L804&lt;&gt;"",L804&gt;=I804),"Paid",IF(AND(L804&lt;&gt;"",L804&gt;0),"Part paid",IF(TODAY()&gt;J804,"Overdue","Due"))))</f>
        <v/>
      </c>
      <c r="N804" s="19" t="str">
        <f aca="true">IF(M804="Overdue",TODAY()-J804,"")</f>
        <v/>
      </c>
      <c r="O804" s="14"/>
    </row>
    <row r="805" customFormat="false" ht="15" hidden="false" customHeight="false" outlineLevel="0" collapsed="false">
      <c r="A805" s="14"/>
      <c r="B805" s="13"/>
      <c r="C805" s="14"/>
      <c r="D805" s="14"/>
      <c r="E805" s="14"/>
      <c r="F805" s="15"/>
      <c r="G805" s="14"/>
      <c r="H805" s="19" t="str">
        <f aca="false">IF(F805="","",IF(G805="Y",F805*Settings!$B$16,0))</f>
        <v/>
      </c>
      <c r="I805" s="19" t="str">
        <f aca="false">IF(F805="","",F805+H805)</f>
        <v/>
      </c>
      <c r="J805" s="18" t="str">
        <f aca="false">IF(B805="","",B805+Settings!$B$17)</f>
        <v/>
      </c>
      <c r="K805" s="13"/>
      <c r="L805" s="15"/>
      <c r="M805" s="17" t="str">
        <f aca="true">IF(F805="","",IF(AND(L805&lt;&gt;"",L805&gt;=I805),"Paid",IF(AND(L805&lt;&gt;"",L805&gt;0),"Part paid",IF(TODAY()&gt;J805,"Overdue","Due"))))</f>
        <v/>
      </c>
      <c r="N805" s="19" t="str">
        <f aca="true">IF(M805="Overdue",TODAY()-J805,"")</f>
        <v/>
      </c>
      <c r="O805" s="14"/>
    </row>
    <row r="806" customFormat="false" ht="15" hidden="false" customHeight="false" outlineLevel="0" collapsed="false">
      <c r="A806" s="14"/>
      <c r="B806" s="13"/>
      <c r="C806" s="14"/>
      <c r="D806" s="14"/>
      <c r="E806" s="14"/>
      <c r="F806" s="15"/>
      <c r="G806" s="14"/>
      <c r="H806" s="19" t="str">
        <f aca="false">IF(F806="","",IF(G806="Y",F806*Settings!$B$16,0))</f>
        <v/>
      </c>
      <c r="I806" s="19" t="str">
        <f aca="false">IF(F806="","",F806+H806)</f>
        <v/>
      </c>
      <c r="J806" s="18" t="str">
        <f aca="false">IF(B806="","",B806+Settings!$B$17)</f>
        <v/>
      </c>
      <c r="K806" s="13"/>
      <c r="L806" s="15"/>
      <c r="M806" s="17" t="str">
        <f aca="true">IF(F806="","",IF(AND(L806&lt;&gt;"",L806&gt;=I806),"Paid",IF(AND(L806&lt;&gt;"",L806&gt;0),"Part paid",IF(TODAY()&gt;J806,"Overdue","Due"))))</f>
        <v/>
      </c>
      <c r="N806" s="19" t="str">
        <f aca="true">IF(M806="Overdue",TODAY()-J806,"")</f>
        <v/>
      </c>
      <c r="O806" s="14"/>
    </row>
    <row r="807" customFormat="false" ht="15" hidden="false" customHeight="false" outlineLevel="0" collapsed="false">
      <c r="A807" s="14"/>
      <c r="B807" s="13"/>
      <c r="C807" s="14"/>
      <c r="D807" s="14"/>
      <c r="E807" s="14"/>
      <c r="F807" s="15"/>
      <c r="G807" s="14"/>
      <c r="H807" s="19" t="str">
        <f aca="false">IF(F807="","",IF(G807="Y",F807*Settings!$B$16,0))</f>
        <v/>
      </c>
      <c r="I807" s="19" t="str">
        <f aca="false">IF(F807="","",F807+H807)</f>
        <v/>
      </c>
      <c r="J807" s="18" t="str">
        <f aca="false">IF(B807="","",B807+Settings!$B$17)</f>
        <v/>
      </c>
      <c r="K807" s="13"/>
      <c r="L807" s="15"/>
      <c r="M807" s="17" t="str">
        <f aca="true">IF(F807="","",IF(AND(L807&lt;&gt;"",L807&gt;=I807),"Paid",IF(AND(L807&lt;&gt;"",L807&gt;0),"Part paid",IF(TODAY()&gt;J807,"Overdue","Due"))))</f>
        <v/>
      </c>
      <c r="N807" s="19" t="str">
        <f aca="true">IF(M807="Overdue",TODAY()-J807,"")</f>
        <v/>
      </c>
      <c r="O807" s="14"/>
    </row>
    <row r="808" customFormat="false" ht="15" hidden="false" customHeight="false" outlineLevel="0" collapsed="false">
      <c r="A808" s="14"/>
      <c r="B808" s="13"/>
      <c r="C808" s="14"/>
      <c r="D808" s="14"/>
      <c r="E808" s="14"/>
      <c r="F808" s="15"/>
      <c r="G808" s="14"/>
      <c r="H808" s="19" t="str">
        <f aca="false">IF(F808="","",IF(G808="Y",F808*Settings!$B$16,0))</f>
        <v/>
      </c>
      <c r="I808" s="19" t="str">
        <f aca="false">IF(F808="","",F808+H808)</f>
        <v/>
      </c>
      <c r="J808" s="18" t="str">
        <f aca="false">IF(B808="","",B808+Settings!$B$17)</f>
        <v/>
      </c>
      <c r="K808" s="13"/>
      <c r="L808" s="15"/>
      <c r="M808" s="17" t="str">
        <f aca="true">IF(F808="","",IF(AND(L808&lt;&gt;"",L808&gt;=I808),"Paid",IF(AND(L808&lt;&gt;"",L808&gt;0),"Part paid",IF(TODAY()&gt;J808,"Overdue","Due"))))</f>
        <v/>
      </c>
      <c r="N808" s="19" t="str">
        <f aca="true">IF(M808="Overdue",TODAY()-J808,"")</f>
        <v/>
      </c>
      <c r="O808" s="14"/>
    </row>
    <row r="809" customFormat="false" ht="15" hidden="false" customHeight="false" outlineLevel="0" collapsed="false">
      <c r="A809" s="14"/>
      <c r="B809" s="13"/>
      <c r="C809" s="14"/>
      <c r="D809" s="14"/>
      <c r="E809" s="14"/>
      <c r="F809" s="15"/>
      <c r="G809" s="14"/>
      <c r="H809" s="19" t="str">
        <f aca="false">IF(F809="","",IF(G809="Y",F809*Settings!$B$16,0))</f>
        <v/>
      </c>
      <c r="I809" s="19" t="str">
        <f aca="false">IF(F809="","",F809+H809)</f>
        <v/>
      </c>
      <c r="J809" s="18" t="str">
        <f aca="false">IF(B809="","",B809+Settings!$B$17)</f>
        <v/>
      </c>
      <c r="K809" s="13"/>
      <c r="L809" s="15"/>
      <c r="M809" s="17" t="str">
        <f aca="true">IF(F809="","",IF(AND(L809&lt;&gt;"",L809&gt;=I809),"Paid",IF(AND(L809&lt;&gt;"",L809&gt;0),"Part paid",IF(TODAY()&gt;J809,"Overdue","Due"))))</f>
        <v/>
      </c>
      <c r="N809" s="19" t="str">
        <f aca="true">IF(M809="Overdue",TODAY()-J809,"")</f>
        <v/>
      </c>
      <c r="O809" s="14"/>
    </row>
    <row r="810" customFormat="false" ht="15" hidden="false" customHeight="false" outlineLevel="0" collapsed="false">
      <c r="A810" s="14"/>
      <c r="B810" s="13"/>
      <c r="C810" s="14"/>
      <c r="D810" s="14"/>
      <c r="E810" s="14"/>
      <c r="F810" s="15"/>
      <c r="G810" s="14"/>
      <c r="H810" s="19" t="str">
        <f aca="false">IF(F810="","",IF(G810="Y",F810*Settings!$B$16,0))</f>
        <v/>
      </c>
      <c r="I810" s="19" t="str">
        <f aca="false">IF(F810="","",F810+H810)</f>
        <v/>
      </c>
      <c r="J810" s="18" t="str">
        <f aca="false">IF(B810="","",B810+Settings!$B$17)</f>
        <v/>
      </c>
      <c r="K810" s="13"/>
      <c r="L810" s="15"/>
      <c r="M810" s="17" t="str">
        <f aca="true">IF(F810="","",IF(AND(L810&lt;&gt;"",L810&gt;=I810),"Paid",IF(AND(L810&lt;&gt;"",L810&gt;0),"Part paid",IF(TODAY()&gt;J810,"Overdue","Due"))))</f>
        <v/>
      </c>
      <c r="N810" s="19" t="str">
        <f aca="true">IF(M810="Overdue",TODAY()-J810,"")</f>
        <v/>
      </c>
      <c r="O810" s="14"/>
    </row>
    <row r="811" customFormat="false" ht="15" hidden="false" customHeight="false" outlineLevel="0" collapsed="false">
      <c r="A811" s="14"/>
      <c r="B811" s="13"/>
      <c r="C811" s="14"/>
      <c r="D811" s="14"/>
      <c r="E811" s="14"/>
      <c r="F811" s="15"/>
      <c r="G811" s="14"/>
      <c r="H811" s="19" t="str">
        <f aca="false">IF(F811="","",IF(G811="Y",F811*Settings!$B$16,0))</f>
        <v/>
      </c>
      <c r="I811" s="19" t="str">
        <f aca="false">IF(F811="","",F811+H811)</f>
        <v/>
      </c>
      <c r="J811" s="18" t="str">
        <f aca="false">IF(B811="","",B811+Settings!$B$17)</f>
        <v/>
      </c>
      <c r="K811" s="13"/>
      <c r="L811" s="15"/>
      <c r="M811" s="17" t="str">
        <f aca="true">IF(F811="","",IF(AND(L811&lt;&gt;"",L811&gt;=I811),"Paid",IF(AND(L811&lt;&gt;"",L811&gt;0),"Part paid",IF(TODAY()&gt;J811,"Overdue","Due"))))</f>
        <v/>
      </c>
      <c r="N811" s="19" t="str">
        <f aca="true">IF(M811="Overdue",TODAY()-J811,"")</f>
        <v/>
      </c>
      <c r="O811" s="14"/>
    </row>
    <row r="812" customFormat="false" ht="15" hidden="false" customHeight="false" outlineLevel="0" collapsed="false">
      <c r="A812" s="14"/>
      <c r="B812" s="13"/>
      <c r="C812" s="14"/>
      <c r="D812" s="14"/>
      <c r="E812" s="14"/>
      <c r="F812" s="15"/>
      <c r="G812" s="14"/>
      <c r="H812" s="19" t="str">
        <f aca="false">IF(F812="","",IF(G812="Y",F812*Settings!$B$16,0))</f>
        <v/>
      </c>
      <c r="I812" s="19" t="str">
        <f aca="false">IF(F812="","",F812+H812)</f>
        <v/>
      </c>
      <c r="J812" s="18" t="str">
        <f aca="false">IF(B812="","",B812+Settings!$B$17)</f>
        <v/>
      </c>
      <c r="K812" s="13"/>
      <c r="L812" s="15"/>
      <c r="M812" s="17" t="str">
        <f aca="true">IF(F812="","",IF(AND(L812&lt;&gt;"",L812&gt;=I812),"Paid",IF(AND(L812&lt;&gt;"",L812&gt;0),"Part paid",IF(TODAY()&gt;J812,"Overdue","Due"))))</f>
        <v/>
      </c>
      <c r="N812" s="19" t="str">
        <f aca="true">IF(M812="Overdue",TODAY()-J812,"")</f>
        <v/>
      </c>
      <c r="O812" s="14"/>
    </row>
    <row r="813" customFormat="false" ht="15" hidden="false" customHeight="false" outlineLevel="0" collapsed="false">
      <c r="A813" s="14"/>
      <c r="B813" s="13"/>
      <c r="C813" s="14"/>
      <c r="D813" s="14"/>
      <c r="E813" s="14"/>
      <c r="F813" s="15"/>
      <c r="G813" s="14"/>
      <c r="H813" s="19" t="str">
        <f aca="false">IF(F813="","",IF(G813="Y",F813*Settings!$B$16,0))</f>
        <v/>
      </c>
      <c r="I813" s="19" t="str">
        <f aca="false">IF(F813="","",F813+H813)</f>
        <v/>
      </c>
      <c r="J813" s="18" t="str">
        <f aca="false">IF(B813="","",B813+Settings!$B$17)</f>
        <v/>
      </c>
      <c r="K813" s="13"/>
      <c r="L813" s="15"/>
      <c r="M813" s="17" t="str">
        <f aca="true">IF(F813="","",IF(AND(L813&lt;&gt;"",L813&gt;=I813),"Paid",IF(AND(L813&lt;&gt;"",L813&gt;0),"Part paid",IF(TODAY()&gt;J813,"Overdue","Due"))))</f>
        <v/>
      </c>
      <c r="N813" s="19" t="str">
        <f aca="true">IF(M813="Overdue",TODAY()-J813,"")</f>
        <v/>
      </c>
      <c r="O813" s="14"/>
    </row>
    <row r="814" customFormat="false" ht="15" hidden="false" customHeight="false" outlineLevel="0" collapsed="false">
      <c r="A814" s="14"/>
      <c r="B814" s="13"/>
      <c r="C814" s="14"/>
      <c r="D814" s="14"/>
      <c r="E814" s="14"/>
      <c r="F814" s="15"/>
      <c r="G814" s="14"/>
      <c r="H814" s="19" t="str">
        <f aca="false">IF(F814="","",IF(G814="Y",F814*Settings!$B$16,0))</f>
        <v/>
      </c>
      <c r="I814" s="19" t="str">
        <f aca="false">IF(F814="","",F814+H814)</f>
        <v/>
      </c>
      <c r="J814" s="18" t="str">
        <f aca="false">IF(B814="","",B814+Settings!$B$17)</f>
        <v/>
      </c>
      <c r="K814" s="13"/>
      <c r="L814" s="15"/>
      <c r="M814" s="17" t="str">
        <f aca="true">IF(F814="","",IF(AND(L814&lt;&gt;"",L814&gt;=I814),"Paid",IF(AND(L814&lt;&gt;"",L814&gt;0),"Part paid",IF(TODAY()&gt;J814,"Overdue","Due"))))</f>
        <v/>
      </c>
      <c r="N814" s="19" t="str">
        <f aca="true">IF(M814="Overdue",TODAY()-J814,"")</f>
        <v/>
      </c>
      <c r="O814" s="14"/>
    </row>
    <row r="815" customFormat="false" ht="15" hidden="false" customHeight="false" outlineLevel="0" collapsed="false">
      <c r="A815" s="14"/>
      <c r="B815" s="13"/>
      <c r="C815" s="14"/>
      <c r="D815" s="14"/>
      <c r="E815" s="14"/>
      <c r="F815" s="15"/>
      <c r="G815" s="14"/>
      <c r="H815" s="19" t="str">
        <f aca="false">IF(F815="","",IF(G815="Y",F815*Settings!$B$16,0))</f>
        <v/>
      </c>
      <c r="I815" s="19" t="str">
        <f aca="false">IF(F815="","",F815+H815)</f>
        <v/>
      </c>
      <c r="J815" s="18" t="str">
        <f aca="false">IF(B815="","",B815+Settings!$B$17)</f>
        <v/>
      </c>
      <c r="K815" s="13"/>
      <c r="L815" s="15"/>
      <c r="M815" s="17" t="str">
        <f aca="true">IF(F815="","",IF(AND(L815&lt;&gt;"",L815&gt;=I815),"Paid",IF(AND(L815&lt;&gt;"",L815&gt;0),"Part paid",IF(TODAY()&gt;J815,"Overdue","Due"))))</f>
        <v/>
      </c>
      <c r="N815" s="19" t="str">
        <f aca="true">IF(M815="Overdue",TODAY()-J815,"")</f>
        <v/>
      </c>
      <c r="O815" s="14"/>
    </row>
    <row r="816" customFormat="false" ht="15" hidden="false" customHeight="false" outlineLevel="0" collapsed="false">
      <c r="A816" s="14"/>
      <c r="B816" s="13"/>
      <c r="C816" s="14"/>
      <c r="D816" s="14"/>
      <c r="E816" s="14"/>
      <c r="F816" s="15"/>
      <c r="G816" s="14"/>
      <c r="H816" s="19" t="str">
        <f aca="false">IF(F816="","",IF(G816="Y",F816*Settings!$B$16,0))</f>
        <v/>
      </c>
      <c r="I816" s="19" t="str">
        <f aca="false">IF(F816="","",F816+H816)</f>
        <v/>
      </c>
      <c r="J816" s="18" t="str">
        <f aca="false">IF(B816="","",B816+Settings!$B$17)</f>
        <v/>
      </c>
      <c r="K816" s="13"/>
      <c r="L816" s="15"/>
      <c r="M816" s="17" t="str">
        <f aca="true">IF(F816="","",IF(AND(L816&lt;&gt;"",L816&gt;=I816),"Paid",IF(AND(L816&lt;&gt;"",L816&gt;0),"Part paid",IF(TODAY()&gt;J816,"Overdue","Due"))))</f>
        <v/>
      </c>
      <c r="N816" s="19" t="str">
        <f aca="true">IF(M816="Overdue",TODAY()-J816,"")</f>
        <v/>
      </c>
      <c r="O816" s="14"/>
    </row>
    <row r="817" customFormat="false" ht="15" hidden="false" customHeight="false" outlineLevel="0" collapsed="false">
      <c r="A817" s="14"/>
      <c r="B817" s="13"/>
      <c r="C817" s="14"/>
      <c r="D817" s="14"/>
      <c r="E817" s="14"/>
      <c r="F817" s="15"/>
      <c r="G817" s="14"/>
      <c r="H817" s="19" t="str">
        <f aca="false">IF(F817="","",IF(G817="Y",F817*Settings!$B$16,0))</f>
        <v/>
      </c>
      <c r="I817" s="19" t="str">
        <f aca="false">IF(F817="","",F817+H817)</f>
        <v/>
      </c>
      <c r="J817" s="18" t="str">
        <f aca="false">IF(B817="","",B817+Settings!$B$17)</f>
        <v/>
      </c>
      <c r="K817" s="13"/>
      <c r="L817" s="15"/>
      <c r="M817" s="17" t="str">
        <f aca="true">IF(F817="","",IF(AND(L817&lt;&gt;"",L817&gt;=I817),"Paid",IF(AND(L817&lt;&gt;"",L817&gt;0),"Part paid",IF(TODAY()&gt;J817,"Overdue","Due"))))</f>
        <v/>
      </c>
      <c r="N817" s="19" t="str">
        <f aca="true">IF(M817="Overdue",TODAY()-J817,"")</f>
        <v/>
      </c>
      <c r="O817" s="14"/>
    </row>
    <row r="818" customFormat="false" ht="15" hidden="false" customHeight="false" outlineLevel="0" collapsed="false">
      <c r="A818" s="14"/>
      <c r="B818" s="13"/>
      <c r="C818" s="14"/>
      <c r="D818" s="14"/>
      <c r="E818" s="14"/>
      <c r="F818" s="15"/>
      <c r="G818" s="14"/>
      <c r="H818" s="19" t="str">
        <f aca="false">IF(F818="","",IF(G818="Y",F818*Settings!$B$16,0))</f>
        <v/>
      </c>
      <c r="I818" s="19" t="str">
        <f aca="false">IF(F818="","",F818+H818)</f>
        <v/>
      </c>
      <c r="J818" s="18" t="str">
        <f aca="false">IF(B818="","",B818+Settings!$B$17)</f>
        <v/>
      </c>
      <c r="K818" s="13"/>
      <c r="L818" s="15"/>
      <c r="M818" s="17" t="str">
        <f aca="true">IF(F818="","",IF(AND(L818&lt;&gt;"",L818&gt;=I818),"Paid",IF(AND(L818&lt;&gt;"",L818&gt;0),"Part paid",IF(TODAY()&gt;J818,"Overdue","Due"))))</f>
        <v/>
      </c>
      <c r="N818" s="19" t="str">
        <f aca="true">IF(M818="Overdue",TODAY()-J818,"")</f>
        <v/>
      </c>
      <c r="O818" s="14"/>
    </row>
    <row r="819" customFormat="false" ht="15" hidden="false" customHeight="false" outlineLevel="0" collapsed="false">
      <c r="A819" s="14"/>
      <c r="B819" s="13"/>
      <c r="C819" s="14"/>
      <c r="D819" s="14"/>
      <c r="E819" s="14"/>
      <c r="F819" s="15"/>
      <c r="G819" s="14"/>
      <c r="H819" s="19" t="str">
        <f aca="false">IF(F819="","",IF(G819="Y",F819*Settings!$B$16,0))</f>
        <v/>
      </c>
      <c r="I819" s="19" t="str">
        <f aca="false">IF(F819="","",F819+H819)</f>
        <v/>
      </c>
      <c r="J819" s="18" t="str">
        <f aca="false">IF(B819="","",B819+Settings!$B$17)</f>
        <v/>
      </c>
      <c r="K819" s="13"/>
      <c r="L819" s="15"/>
      <c r="M819" s="17" t="str">
        <f aca="true">IF(F819="","",IF(AND(L819&lt;&gt;"",L819&gt;=I819),"Paid",IF(AND(L819&lt;&gt;"",L819&gt;0),"Part paid",IF(TODAY()&gt;J819,"Overdue","Due"))))</f>
        <v/>
      </c>
      <c r="N819" s="19" t="str">
        <f aca="true">IF(M819="Overdue",TODAY()-J819,"")</f>
        <v/>
      </c>
      <c r="O819" s="14"/>
    </row>
    <row r="820" customFormat="false" ht="15" hidden="false" customHeight="false" outlineLevel="0" collapsed="false">
      <c r="A820" s="14"/>
      <c r="B820" s="13"/>
      <c r="C820" s="14"/>
      <c r="D820" s="14"/>
      <c r="E820" s="14"/>
      <c r="F820" s="15"/>
      <c r="G820" s="14"/>
      <c r="H820" s="19" t="str">
        <f aca="false">IF(F820="","",IF(G820="Y",F820*Settings!$B$16,0))</f>
        <v/>
      </c>
      <c r="I820" s="19" t="str">
        <f aca="false">IF(F820="","",F820+H820)</f>
        <v/>
      </c>
      <c r="J820" s="18" t="str">
        <f aca="false">IF(B820="","",B820+Settings!$B$17)</f>
        <v/>
      </c>
      <c r="K820" s="13"/>
      <c r="L820" s="15"/>
      <c r="M820" s="17" t="str">
        <f aca="true">IF(F820="","",IF(AND(L820&lt;&gt;"",L820&gt;=I820),"Paid",IF(AND(L820&lt;&gt;"",L820&gt;0),"Part paid",IF(TODAY()&gt;J820,"Overdue","Due"))))</f>
        <v/>
      </c>
      <c r="N820" s="19" t="str">
        <f aca="true">IF(M820="Overdue",TODAY()-J820,"")</f>
        <v/>
      </c>
      <c r="O820" s="14"/>
    </row>
    <row r="821" customFormat="false" ht="15" hidden="false" customHeight="false" outlineLevel="0" collapsed="false">
      <c r="A821" s="14"/>
      <c r="B821" s="13"/>
      <c r="C821" s="14"/>
      <c r="D821" s="14"/>
      <c r="E821" s="14"/>
      <c r="F821" s="15"/>
      <c r="G821" s="14"/>
      <c r="H821" s="19" t="str">
        <f aca="false">IF(F821="","",IF(G821="Y",F821*Settings!$B$16,0))</f>
        <v/>
      </c>
      <c r="I821" s="19" t="str">
        <f aca="false">IF(F821="","",F821+H821)</f>
        <v/>
      </c>
      <c r="J821" s="18" t="str">
        <f aca="false">IF(B821="","",B821+Settings!$B$17)</f>
        <v/>
      </c>
      <c r="K821" s="13"/>
      <c r="L821" s="15"/>
      <c r="M821" s="17" t="str">
        <f aca="true">IF(F821="","",IF(AND(L821&lt;&gt;"",L821&gt;=I821),"Paid",IF(AND(L821&lt;&gt;"",L821&gt;0),"Part paid",IF(TODAY()&gt;J821,"Overdue","Due"))))</f>
        <v/>
      </c>
      <c r="N821" s="19" t="str">
        <f aca="true">IF(M821="Overdue",TODAY()-J821,"")</f>
        <v/>
      </c>
      <c r="O821" s="14"/>
    </row>
    <row r="822" customFormat="false" ht="15" hidden="false" customHeight="false" outlineLevel="0" collapsed="false">
      <c r="A822" s="14"/>
      <c r="B822" s="13"/>
      <c r="C822" s="14"/>
      <c r="D822" s="14"/>
      <c r="E822" s="14"/>
      <c r="F822" s="15"/>
      <c r="G822" s="14"/>
      <c r="H822" s="19" t="str">
        <f aca="false">IF(F822="","",IF(G822="Y",F822*Settings!$B$16,0))</f>
        <v/>
      </c>
      <c r="I822" s="19" t="str">
        <f aca="false">IF(F822="","",F822+H822)</f>
        <v/>
      </c>
      <c r="J822" s="18" t="str">
        <f aca="false">IF(B822="","",B822+Settings!$B$17)</f>
        <v/>
      </c>
      <c r="K822" s="13"/>
      <c r="L822" s="15"/>
      <c r="M822" s="17" t="str">
        <f aca="true">IF(F822="","",IF(AND(L822&lt;&gt;"",L822&gt;=I822),"Paid",IF(AND(L822&lt;&gt;"",L822&gt;0),"Part paid",IF(TODAY()&gt;J822,"Overdue","Due"))))</f>
        <v/>
      </c>
      <c r="N822" s="19" t="str">
        <f aca="true">IF(M822="Overdue",TODAY()-J822,"")</f>
        <v/>
      </c>
      <c r="O822" s="14"/>
    </row>
    <row r="823" customFormat="false" ht="15" hidden="false" customHeight="false" outlineLevel="0" collapsed="false">
      <c r="A823" s="14"/>
      <c r="B823" s="13"/>
      <c r="C823" s="14"/>
      <c r="D823" s="14"/>
      <c r="E823" s="14"/>
      <c r="F823" s="15"/>
      <c r="G823" s="14"/>
      <c r="H823" s="19" t="str">
        <f aca="false">IF(F823="","",IF(G823="Y",F823*Settings!$B$16,0))</f>
        <v/>
      </c>
      <c r="I823" s="19" t="str">
        <f aca="false">IF(F823="","",F823+H823)</f>
        <v/>
      </c>
      <c r="J823" s="18" t="str">
        <f aca="false">IF(B823="","",B823+Settings!$B$17)</f>
        <v/>
      </c>
      <c r="K823" s="13"/>
      <c r="L823" s="15"/>
      <c r="M823" s="17" t="str">
        <f aca="true">IF(F823="","",IF(AND(L823&lt;&gt;"",L823&gt;=I823),"Paid",IF(AND(L823&lt;&gt;"",L823&gt;0),"Part paid",IF(TODAY()&gt;J823,"Overdue","Due"))))</f>
        <v/>
      </c>
      <c r="N823" s="19" t="str">
        <f aca="true">IF(M823="Overdue",TODAY()-J823,"")</f>
        <v/>
      </c>
      <c r="O823" s="14"/>
    </row>
    <row r="824" customFormat="false" ht="15" hidden="false" customHeight="false" outlineLevel="0" collapsed="false">
      <c r="A824" s="14"/>
      <c r="B824" s="13"/>
      <c r="C824" s="14"/>
      <c r="D824" s="14"/>
      <c r="E824" s="14"/>
      <c r="F824" s="15"/>
      <c r="G824" s="14"/>
      <c r="H824" s="19" t="str">
        <f aca="false">IF(F824="","",IF(G824="Y",F824*Settings!$B$16,0))</f>
        <v/>
      </c>
      <c r="I824" s="19" t="str">
        <f aca="false">IF(F824="","",F824+H824)</f>
        <v/>
      </c>
      <c r="J824" s="18" t="str">
        <f aca="false">IF(B824="","",B824+Settings!$B$17)</f>
        <v/>
      </c>
      <c r="K824" s="13"/>
      <c r="L824" s="15"/>
      <c r="M824" s="17" t="str">
        <f aca="true">IF(F824="","",IF(AND(L824&lt;&gt;"",L824&gt;=I824),"Paid",IF(AND(L824&lt;&gt;"",L824&gt;0),"Part paid",IF(TODAY()&gt;J824,"Overdue","Due"))))</f>
        <v/>
      </c>
      <c r="N824" s="19" t="str">
        <f aca="true">IF(M824="Overdue",TODAY()-J824,"")</f>
        <v/>
      </c>
      <c r="O824" s="14"/>
    </row>
    <row r="825" customFormat="false" ht="15" hidden="false" customHeight="false" outlineLevel="0" collapsed="false">
      <c r="A825" s="14"/>
      <c r="B825" s="13"/>
      <c r="C825" s="14"/>
      <c r="D825" s="14"/>
      <c r="E825" s="14"/>
      <c r="F825" s="15"/>
      <c r="G825" s="14"/>
      <c r="H825" s="19" t="str">
        <f aca="false">IF(F825="","",IF(G825="Y",F825*Settings!$B$16,0))</f>
        <v/>
      </c>
      <c r="I825" s="19" t="str">
        <f aca="false">IF(F825="","",F825+H825)</f>
        <v/>
      </c>
      <c r="J825" s="18" t="str">
        <f aca="false">IF(B825="","",B825+Settings!$B$17)</f>
        <v/>
      </c>
      <c r="K825" s="13"/>
      <c r="L825" s="15"/>
      <c r="M825" s="17" t="str">
        <f aca="true">IF(F825="","",IF(AND(L825&lt;&gt;"",L825&gt;=I825),"Paid",IF(AND(L825&lt;&gt;"",L825&gt;0),"Part paid",IF(TODAY()&gt;J825,"Overdue","Due"))))</f>
        <v/>
      </c>
      <c r="N825" s="19" t="str">
        <f aca="true">IF(M825="Overdue",TODAY()-J825,"")</f>
        <v/>
      </c>
      <c r="O825" s="14"/>
    </row>
    <row r="826" customFormat="false" ht="15" hidden="false" customHeight="false" outlineLevel="0" collapsed="false">
      <c r="A826" s="14"/>
      <c r="B826" s="13"/>
      <c r="C826" s="14"/>
      <c r="D826" s="14"/>
      <c r="E826" s="14"/>
      <c r="F826" s="15"/>
      <c r="G826" s="14"/>
      <c r="H826" s="19" t="str">
        <f aca="false">IF(F826="","",IF(G826="Y",F826*Settings!$B$16,0))</f>
        <v/>
      </c>
      <c r="I826" s="19" t="str">
        <f aca="false">IF(F826="","",F826+H826)</f>
        <v/>
      </c>
      <c r="J826" s="18" t="str">
        <f aca="false">IF(B826="","",B826+Settings!$B$17)</f>
        <v/>
      </c>
      <c r="K826" s="13"/>
      <c r="L826" s="15"/>
      <c r="M826" s="17" t="str">
        <f aca="true">IF(F826="","",IF(AND(L826&lt;&gt;"",L826&gt;=I826),"Paid",IF(AND(L826&lt;&gt;"",L826&gt;0),"Part paid",IF(TODAY()&gt;J826,"Overdue","Due"))))</f>
        <v/>
      </c>
      <c r="N826" s="19" t="str">
        <f aca="true">IF(M826="Overdue",TODAY()-J826,"")</f>
        <v/>
      </c>
      <c r="O826" s="14"/>
    </row>
    <row r="827" customFormat="false" ht="15" hidden="false" customHeight="false" outlineLevel="0" collapsed="false">
      <c r="A827" s="14"/>
      <c r="B827" s="13"/>
      <c r="C827" s="14"/>
      <c r="D827" s="14"/>
      <c r="E827" s="14"/>
      <c r="F827" s="15"/>
      <c r="G827" s="14"/>
      <c r="H827" s="19" t="str">
        <f aca="false">IF(F827="","",IF(G827="Y",F827*Settings!$B$16,0))</f>
        <v/>
      </c>
      <c r="I827" s="19" t="str">
        <f aca="false">IF(F827="","",F827+H827)</f>
        <v/>
      </c>
      <c r="J827" s="18" t="str">
        <f aca="false">IF(B827="","",B827+Settings!$B$17)</f>
        <v/>
      </c>
      <c r="K827" s="13"/>
      <c r="L827" s="15"/>
      <c r="M827" s="17" t="str">
        <f aca="true">IF(F827="","",IF(AND(L827&lt;&gt;"",L827&gt;=I827),"Paid",IF(AND(L827&lt;&gt;"",L827&gt;0),"Part paid",IF(TODAY()&gt;J827,"Overdue","Due"))))</f>
        <v/>
      </c>
      <c r="N827" s="19" t="str">
        <f aca="true">IF(M827="Overdue",TODAY()-J827,"")</f>
        <v/>
      </c>
      <c r="O827" s="14"/>
    </row>
    <row r="828" customFormat="false" ht="15" hidden="false" customHeight="false" outlineLevel="0" collapsed="false">
      <c r="A828" s="14"/>
      <c r="B828" s="13"/>
      <c r="C828" s="14"/>
      <c r="D828" s="14"/>
      <c r="E828" s="14"/>
      <c r="F828" s="15"/>
      <c r="G828" s="14"/>
      <c r="H828" s="19" t="str">
        <f aca="false">IF(F828="","",IF(G828="Y",F828*Settings!$B$16,0))</f>
        <v/>
      </c>
      <c r="I828" s="19" t="str">
        <f aca="false">IF(F828="","",F828+H828)</f>
        <v/>
      </c>
      <c r="J828" s="18" t="str">
        <f aca="false">IF(B828="","",B828+Settings!$B$17)</f>
        <v/>
      </c>
      <c r="K828" s="13"/>
      <c r="L828" s="15"/>
      <c r="M828" s="17" t="str">
        <f aca="true">IF(F828="","",IF(AND(L828&lt;&gt;"",L828&gt;=I828),"Paid",IF(AND(L828&lt;&gt;"",L828&gt;0),"Part paid",IF(TODAY()&gt;J828,"Overdue","Due"))))</f>
        <v/>
      </c>
      <c r="N828" s="19" t="str">
        <f aca="true">IF(M828="Overdue",TODAY()-J828,"")</f>
        <v/>
      </c>
      <c r="O828" s="14"/>
    </row>
    <row r="829" customFormat="false" ht="15" hidden="false" customHeight="false" outlineLevel="0" collapsed="false">
      <c r="A829" s="14"/>
      <c r="B829" s="13"/>
      <c r="C829" s="14"/>
      <c r="D829" s="14"/>
      <c r="E829" s="14"/>
      <c r="F829" s="15"/>
      <c r="G829" s="14"/>
      <c r="H829" s="19" t="str">
        <f aca="false">IF(F829="","",IF(G829="Y",F829*Settings!$B$16,0))</f>
        <v/>
      </c>
      <c r="I829" s="19" t="str">
        <f aca="false">IF(F829="","",F829+H829)</f>
        <v/>
      </c>
      <c r="J829" s="18" t="str">
        <f aca="false">IF(B829="","",B829+Settings!$B$17)</f>
        <v/>
      </c>
      <c r="K829" s="13"/>
      <c r="L829" s="15"/>
      <c r="M829" s="17" t="str">
        <f aca="true">IF(F829="","",IF(AND(L829&lt;&gt;"",L829&gt;=I829),"Paid",IF(AND(L829&lt;&gt;"",L829&gt;0),"Part paid",IF(TODAY()&gt;J829,"Overdue","Due"))))</f>
        <v/>
      </c>
      <c r="N829" s="19" t="str">
        <f aca="true">IF(M829="Overdue",TODAY()-J829,"")</f>
        <v/>
      </c>
      <c r="O829" s="14"/>
    </row>
    <row r="830" customFormat="false" ht="15" hidden="false" customHeight="false" outlineLevel="0" collapsed="false">
      <c r="A830" s="14"/>
      <c r="B830" s="13"/>
      <c r="C830" s="14"/>
      <c r="D830" s="14"/>
      <c r="E830" s="14"/>
      <c r="F830" s="15"/>
      <c r="G830" s="14"/>
      <c r="H830" s="19" t="str">
        <f aca="false">IF(F830="","",IF(G830="Y",F830*Settings!$B$16,0))</f>
        <v/>
      </c>
      <c r="I830" s="19" t="str">
        <f aca="false">IF(F830="","",F830+H830)</f>
        <v/>
      </c>
      <c r="J830" s="18" t="str">
        <f aca="false">IF(B830="","",B830+Settings!$B$17)</f>
        <v/>
      </c>
      <c r="K830" s="13"/>
      <c r="L830" s="15"/>
      <c r="M830" s="17" t="str">
        <f aca="true">IF(F830="","",IF(AND(L830&lt;&gt;"",L830&gt;=I830),"Paid",IF(AND(L830&lt;&gt;"",L830&gt;0),"Part paid",IF(TODAY()&gt;J830,"Overdue","Due"))))</f>
        <v/>
      </c>
      <c r="N830" s="19" t="str">
        <f aca="true">IF(M830="Overdue",TODAY()-J830,"")</f>
        <v/>
      </c>
      <c r="O830" s="14"/>
    </row>
    <row r="831" customFormat="false" ht="15" hidden="false" customHeight="false" outlineLevel="0" collapsed="false">
      <c r="A831" s="14"/>
      <c r="B831" s="13"/>
      <c r="C831" s="14"/>
      <c r="D831" s="14"/>
      <c r="E831" s="14"/>
      <c r="F831" s="15"/>
      <c r="G831" s="14"/>
      <c r="H831" s="19" t="str">
        <f aca="false">IF(F831="","",IF(G831="Y",F831*Settings!$B$16,0))</f>
        <v/>
      </c>
      <c r="I831" s="19" t="str">
        <f aca="false">IF(F831="","",F831+H831)</f>
        <v/>
      </c>
      <c r="J831" s="18" t="str">
        <f aca="false">IF(B831="","",B831+Settings!$B$17)</f>
        <v/>
      </c>
      <c r="K831" s="13"/>
      <c r="L831" s="15"/>
      <c r="M831" s="17" t="str">
        <f aca="true">IF(F831="","",IF(AND(L831&lt;&gt;"",L831&gt;=I831),"Paid",IF(AND(L831&lt;&gt;"",L831&gt;0),"Part paid",IF(TODAY()&gt;J831,"Overdue","Due"))))</f>
        <v/>
      </c>
      <c r="N831" s="19" t="str">
        <f aca="true">IF(M831="Overdue",TODAY()-J831,"")</f>
        <v/>
      </c>
      <c r="O831" s="14"/>
    </row>
    <row r="832" customFormat="false" ht="15" hidden="false" customHeight="false" outlineLevel="0" collapsed="false">
      <c r="A832" s="14"/>
      <c r="B832" s="13"/>
      <c r="C832" s="14"/>
      <c r="D832" s="14"/>
      <c r="E832" s="14"/>
      <c r="F832" s="15"/>
      <c r="G832" s="14"/>
      <c r="H832" s="19" t="str">
        <f aca="false">IF(F832="","",IF(G832="Y",F832*Settings!$B$16,0))</f>
        <v/>
      </c>
      <c r="I832" s="19" t="str">
        <f aca="false">IF(F832="","",F832+H832)</f>
        <v/>
      </c>
      <c r="J832" s="18" t="str">
        <f aca="false">IF(B832="","",B832+Settings!$B$17)</f>
        <v/>
      </c>
      <c r="K832" s="13"/>
      <c r="L832" s="15"/>
      <c r="M832" s="17" t="str">
        <f aca="true">IF(F832="","",IF(AND(L832&lt;&gt;"",L832&gt;=I832),"Paid",IF(AND(L832&lt;&gt;"",L832&gt;0),"Part paid",IF(TODAY()&gt;J832,"Overdue","Due"))))</f>
        <v/>
      </c>
      <c r="N832" s="19" t="str">
        <f aca="true">IF(M832="Overdue",TODAY()-J832,"")</f>
        <v/>
      </c>
      <c r="O832" s="14"/>
    </row>
    <row r="833" customFormat="false" ht="15" hidden="false" customHeight="false" outlineLevel="0" collapsed="false">
      <c r="A833" s="14"/>
      <c r="B833" s="13"/>
      <c r="C833" s="14"/>
      <c r="D833" s="14"/>
      <c r="E833" s="14"/>
      <c r="F833" s="15"/>
      <c r="G833" s="14"/>
      <c r="H833" s="19" t="str">
        <f aca="false">IF(F833="","",IF(G833="Y",F833*Settings!$B$16,0))</f>
        <v/>
      </c>
      <c r="I833" s="19" t="str">
        <f aca="false">IF(F833="","",F833+H833)</f>
        <v/>
      </c>
      <c r="J833" s="18" t="str">
        <f aca="false">IF(B833="","",B833+Settings!$B$17)</f>
        <v/>
      </c>
      <c r="K833" s="13"/>
      <c r="L833" s="15"/>
      <c r="M833" s="17" t="str">
        <f aca="true">IF(F833="","",IF(AND(L833&lt;&gt;"",L833&gt;=I833),"Paid",IF(AND(L833&lt;&gt;"",L833&gt;0),"Part paid",IF(TODAY()&gt;J833,"Overdue","Due"))))</f>
        <v/>
      </c>
      <c r="N833" s="19" t="str">
        <f aca="true">IF(M833="Overdue",TODAY()-J833,"")</f>
        <v/>
      </c>
      <c r="O833" s="14"/>
    </row>
    <row r="834" customFormat="false" ht="15" hidden="false" customHeight="false" outlineLevel="0" collapsed="false">
      <c r="A834" s="14"/>
      <c r="B834" s="13"/>
      <c r="C834" s="14"/>
      <c r="D834" s="14"/>
      <c r="E834" s="14"/>
      <c r="F834" s="15"/>
      <c r="G834" s="14"/>
      <c r="H834" s="19" t="str">
        <f aca="false">IF(F834="","",IF(G834="Y",F834*Settings!$B$16,0))</f>
        <v/>
      </c>
      <c r="I834" s="19" t="str">
        <f aca="false">IF(F834="","",F834+H834)</f>
        <v/>
      </c>
      <c r="J834" s="18" t="str">
        <f aca="false">IF(B834="","",B834+Settings!$B$17)</f>
        <v/>
      </c>
      <c r="K834" s="13"/>
      <c r="L834" s="15"/>
      <c r="M834" s="17" t="str">
        <f aca="true">IF(F834="","",IF(AND(L834&lt;&gt;"",L834&gt;=I834),"Paid",IF(AND(L834&lt;&gt;"",L834&gt;0),"Part paid",IF(TODAY()&gt;J834,"Overdue","Due"))))</f>
        <v/>
      </c>
      <c r="N834" s="19" t="str">
        <f aca="true">IF(M834="Overdue",TODAY()-J834,"")</f>
        <v/>
      </c>
      <c r="O834" s="14"/>
    </row>
    <row r="835" customFormat="false" ht="15" hidden="false" customHeight="false" outlineLevel="0" collapsed="false">
      <c r="A835" s="14"/>
      <c r="B835" s="13"/>
      <c r="C835" s="14"/>
      <c r="D835" s="14"/>
      <c r="E835" s="14"/>
      <c r="F835" s="15"/>
      <c r="G835" s="14"/>
      <c r="H835" s="19" t="str">
        <f aca="false">IF(F835="","",IF(G835="Y",F835*Settings!$B$16,0))</f>
        <v/>
      </c>
      <c r="I835" s="19" t="str">
        <f aca="false">IF(F835="","",F835+H835)</f>
        <v/>
      </c>
      <c r="J835" s="18" t="str">
        <f aca="false">IF(B835="","",B835+Settings!$B$17)</f>
        <v/>
      </c>
      <c r="K835" s="13"/>
      <c r="L835" s="15"/>
      <c r="M835" s="17" t="str">
        <f aca="true">IF(F835="","",IF(AND(L835&lt;&gt;"",L835&gt;=I835),"Paid",IF(AND(L835&lt;&gt;"",L835&gt;0),"Part paid",IF(TODAY()&gt;J835,"Overdue","Due"))))</f>
        <v/>
      </c>
      <c r="N835" s="19" t="str">
        <f aca="true">IF(M835="Overdue",TODAY()-J835,"")</f>
        <v/>
      </c>
      <c r="O835" s="14"/>
    </row>
    <row r="836" customFormat="false" ht="15" hidden="false" customHeight="false" outlineLevel="0" collapsed="false">
      <c r="A836" s="14"/>
      <c r="B836" s="13"/>
      <c r="C836" s="14"/>
      <c r="D836" s="14"/>
      <c r="E836" s="14"/>
      <c r="F836" s="15"/>
      <c r="G836" s="14"/>
      <c r="H836" s="19" t="str">
        <f aca="false">IF(F836="","",IF(G836="Y",F836*Settings!$B$16,0))</f>
        <v/>
      </c>
      <c r="I836" s="19" t="str">
        <f aca="false">IF(F836="","",F836+H836)</f>
        <v/>
      </c>
      <c r="J836" s="18" t="str">
        <f aca="false">IF(B836="","",B836+Settings!$B$17)</f>
        <v/>
      </c>
      <c r="K836" s="13"/>
      <c r="L836" s="15"/>
      <c r="M836" s="17" t="str">
        <f aca="true">IF(F836="","",IF(AND(L836&lt;&gt;"",L836&gt;=I836),"Paid",IF(AND(L836&lt;&gt;"",L836&gt;0),"Part paid",IF(TODAY()&gt;J836,"Overdue","Due"))))</f>
        <v/>
      </c>
      <c r="N836" s="19" t="str">
        <f aca="true">IF(M836="Overdue",TODAY()-J836,"")</f>
        <v/>
      </c>
      <c r="O836" s="14"/>
    </row>
    <row r="837" customFormat="false" ht="15" hidden="false" customHeight="false" outlineLevel="0" collapsed="false">
      <c r="A837" s="14"/>
      <c r="B837" s="13"/>
      <c r="C837" s="14"/>
      <c r="D837" s="14"/>
      <c r="E837" s="14"/>
      <c r="F837" s="15"/>
      <c r="G837" s="14"/>
      <c r="H837" s="19" t="str">
        <f aca="false">IF(F837="","",IF(G837="Y",F837*Settings!$B$16,0))</f>
        <v/>
      </c>
      <c r="I837" s="19" t="str">
        <f aca="false">IF(F837="","",F837+H837)</f>
        <v/>
      </c>
      <c r="J837" s="18" t="str">
        <f aca="false">IF(B837="","",B837+Settings!$B$17)</f>
        <v/>
      </c>
      <c r="K837" s="13"/>
      <c r="L837" s="15"/>
      <c r="M837" s="17" t="str">
        <f aca="true">IF(F837="","",IF(AND(L837&lt;&gt;"",L837&gt;=I837),"Paid",IF(AND(L837&lt;&gt;"",L837&gt;0),"Part paid",IF(TODAY()&gt;J837,"Overdue","Due"))))</f>
        <v/>
      </c>
      <c r="N837" s="19" t="str">
        <f aca="true">IF(M837="Overdue",TODAY()-J837,"")</f>
        <v/>
      </c>
      <c r="O837" s="14"/>
    </row>
    <row r="838" customFormat="false" ht="15" hidden="false" customHeight="false" outlineLevel="0" collapsed="false">
      <c r="A838" s="14"/>
      <c r="B838" s="13"/>
      <c r="C838" s="14"/>
      <c r="D838" s="14"/>
      <c r="E838" s="14"/>
      <c r="F838" s="15"/>
      <c r="G838" s="14"/>
      <c r="H838" s="19" t="str">
        <f aca="false">IF(F838="","",IF(G838="Y",F838*Settings!$B$16,0))</f>
        <v/>
      </c>
      <c r="I838" s="19" t="str">
        <f aca="false">IF(F838="","",F838+H838)</f>
        <v/>
      </c>
      <c r="J838" s="18" t="str">
        <f aca="false">IF(B838="","",B838+Settings!$B$17)</f>
        <v/>
      </c>
      <c r="K838" s="13"/>
      <c r="L838" s="15"/>
      <c r="M838" s="17" t="str">
        <f aca="true">IF(F838="","",IF(AND(L838&lt;&gt;"",L838&gt;=I838),"Paid",IF(AND(L838&lt;&gt;"",L838&gt;0),"Part paid",IF(TODAY()&gt;J838,"Overdue","Due"))))</f>
        <v/>
      </c>
      <c r="N838" s="19" t="str">
        <f aca="true">IF(M838="Overdue",TODAY()-J838,"")</f>
        <v/>
      </c>
      <c r="O838" s="14"/>
    </row>
    <row r="839" customFormat="false" ht="15" hidden="false" customHeight="false" outlineLevel="0" collapsed="false">
      <c r="A839" s="14"/>
      <c r="B839" s="13"/>
      <c r="C839" s="14"/>
      <c r="D839" s="14"/>
      <c r="E839" s="14"/>
      <c r="F839" s="15"/>
      <c r="G839" s="14"/>
      <c r="H839" s="19" t="str">
        <f aca="false">IF(F839="","",IF(G839="Y",F839*Settings!$B$16,0))</f>
        <v/>
      </c>
      <c r="I839" s="19" t="str">
        <f aca="false">IF(F839="","",F839+H839)</f>
        <v/>
      </c>
      <c r="J839" s="18" t="str">
        <f aca="false">IF(B839="","",B839+Settings!$B$17)</f>
        <v/>
      </c>
      <c r="K839" s="13"/>
      <c r="L839" s="15"/>
      <c r="M839" s="17" t="str">
        <f aca="true">IF(F839="","",IF(AND(L839&lt;&gt;"",L839&gt;=I839),"Paid",IF(AND(L839&lt;&gt;"",L839&gt;0),"Part paid",IF(TODAY()&gt;J839,"Overdue","Due"))))</f>
        <v/>
      </c>
      <c r="N839" s="19" t="str">
        <f aca="true">IF(M839="Overdue",TODAY()-J839,"")</f>
        <v/>
      </c>
      <c r="O839" s="14"/>
    </row>
    <row r="840" customFormat="false" ht="15" hidden="false" customHeight="false" outlineLevel="0" collapsed="false">
      <c r="A840" s="14"/>
      <c r="B840" s="13"/>
      <c r="C840" s="14"/>
      <c r="D840" s="14"/>
      <c r="E840" s="14"/>
      <c r="F840" s="15"/>
      <c r="G840" s="14"/>
      <c r="H840" s="19" t="str">
        <f aca="false">IF(F840="","",IF(G840="Y",F840*Settings!$B$16,0))</f>
        <v/>
      </c>
      <c r="I840" s="19" t="str">
        <f aca="false">IF(F840="","",F840+H840)</f>
        <v/>
      </c>
      <c r="J840" s="18" t="str">
        <f aca="false">IF(B840="","",B840+Settings!$B$17)</f>
        <v/>
      </c>
      <c r="K840" s="13"/>
      <c r="L840" s="15"/>
      <c r="M840" s="17" t="str">
        <f aca="true">IF(F840="","",IF(AND(L840&lt;&gt;"",L840&gt;=I840),"Paid",IF(AND(L840&lt;&gt;"",L840&gt;0),"Part paid",IF(TODAY()&gt;J840,"Overdue","Due"))))</f>
        <v/>
      </c>
      <c r="N840" s="19" t="str">
        <f aca="true">IF(M840="Overdue",TODAY()-J840,"")</f>
        <v/>
      </c>
      <c r="O840" s="14"/>
    </row>
    <row r="841" customFormat="false" ht="15" hidden="false" customHeight="false" outlineLevel="0" collapsed="false">
      <c r="A841" s="14"/>
      <c r="B841" s="13"/>
      <c r="C841" s="14"/>
      <c r="D841" s="14"/>
      <c r="E841" s="14"/>
      <c r="F841" s="15"/>
      <c r="G841" s="14"/>
      <c r="H841" s="19" t="str">
        <f aca="false">IF(F841="","",IF(G841="Y",F841*Settings!$B$16,0))</f>
        <v/>
      </c>
      <c r="I841" s="19" t="str">
        <f aca="false">IF(F841="","",F841+H841)</f>
        <v/>
      </c>
      <c r="J841" s="18" t="str">
        <f aca="false">IF(B841="","",B841+Settings!$B$17)</f>
        <v/>
      </c>
      <c r="K841" s="13"/>
      <c r="L841" s="15"/>
      <c r="M841" s="17" t="str">
        <f aca="true">IF(F841="","",IF(AND(L841&lt;&gt;"",L841&gt;=I841),"Paid",IF(AND(L841&lt;&gt;"",L841&gt;0),"Part paid",IF(TODAY()&gt;J841,"Overdue","Due"))))</f>
        <v/>
      </c>
      <c r="N841" s="19" t="str">
        <f aca="true">IF(M841="Overdue",TODAY()-J841,"")</f>
        <v/>
      </c>
      <c r="O841" s="14"/>
    </row>
    <row r="842" customFormat="false" ht="15" hidden="false" customHeight="false" outlineLevel="0" collapsed="false">
      <c r="A842" s="14"/>
      <c r="B842" s="13"/>
      <c r="C842" s="14"/>
      <c r="D842" s="14"/>
      <c r="E842" s="14"/>
      <c r="F842" s="15"/>
      <c r="G842" s="14"/>
      <c r="H842" s="19" t="str">
        <f aca="false">IF(F842="","",IF(G842="Y",F842*Settings!$B$16,0))</f>
        <v/>
      </c>
      <c r="I842" s="19" t="str">
        <f aca="false">IF(F842="","",F842+H842)</f>
        <v/>
      </c>
      <c r="J842" s="18" t="str">
        <f aca="false">IF(B842="","",B842+Settings!$B$17)</f>
        <v/>
      </c>
      <c r="K842" s="13"/>
      <c r="L842" s="15"/>
      <c r="M842" s="17" t="str">
        <f aca="true">IF(F842="","",IF(AND(L842&lt;&gt;"",L842&gt;=I842),"Paid",IF(AND(L842&lt;&gt;"",L842&gt;0),"Part paid",IF(TODAY()&gt;J842,"Overdue","Due"))))</f>
        <v/>
      </c>
      <c r="N842" s="19" t="str">
        <f aca="true">IF(M842="Overdue",TODAY()-J842,"")</f>
        <v/>
      </c>
      <c r="O842" s="14"/>
    </row>
    <row r="843" customFormat="false" ht="15" hidden="false" customHeight="false" outlineLevel="0" collapsed="false">
      <c r="A843" s="14"/>
      <c r="B843" s="13"/>
      <c r="C843" s="14"/>
      <c r="D843" s="14"/>
      <c r="E843" s="14"/>
      <c r="F843" s="15"/>
      <c r="G843" s="14"/>
      <c r="H843" s="19" t="str">
        <f aca="false">IF(F843="","",IF(G843="Y",F843*Settings!$B$16,0))</f>
        <v/>
      </c>
      <c r="I843" s="19" t="str">
        <f aca="false">IF(F843="","",F843+H843)</f>
        <v/>
      </c>
      <c r="J843" s="18" t="str">
        <f aca="false">IF(B843="","",B843+Settings!$B$17)</f>
        <v/>
      </c>
      <c r="K843" s="13"/>
      <c r="L843" s="15"/>
      <c r="M843" s="17" t="str">
        <f aca="true">IF(F843="","",IF(AND(L843&lt;&gt;"",L843&gt;=I843),"Paid",IF(AND(L843&lt;&gt;"",L843&gt;0),"Part paid",IF(TODAY()&gt;J843,"Overdue","Due"))))</f>
        <v/>
      </c>
      <c r="N843" s="19" t="str">
        <f aca="true">IF(M843="Overdue",TODAY()-J843,"")</f>
        <v/>
      </c>
      <c r="O843" s="14"/>
    </row>
    <row r="844" customFormat="false" ht="15" hidden="false" customHeight="false" outlineLevel="0" collapsed="false">
      <c r="A844" s="14"/>
      <c r="B844" s="13"/>
      <c r="C844" s="14"/>
      <c r="D844" s="14"/>
      <c r="E844" s="14"/>
      <c r="F844" s="15"/>
      <c r="G844" s="14"/>
      <c r="H844" s="19" t="str">
        <f aca="false">IF(F844="","",IF(G844="Y",F844*Settings!$B$16,0))</f>
        <v/>
      </c>
      <c r="I844" s="19" t="str">
        <f aca="false">IF(F844="","",F844+H844)</f>
        <v/>
      </c>
      <c r="J844" s="18" t="str">
        <f aca="false">IF(B844="","",B844+Settings!$B$17)</f>
        <v/>
      </c>
      <c r="K844" s="13"/>
      <c r="L844" s="15"/>
      <c r="M844" s="17" t="str">
        <f aca="true">IF(F844="","",IF(AND(L844&lt;&gt;"",L844&gt;=I844),"Paid",IF(AND(L844&lt;&gt;"",L844&gt;0),"Part paid",IF(TODAY()&gt;J844,"Overdue","Due"))))</f>
        <v/>
      </c>
      <c r="N844" s="19" t="str">
        <f aca="true">IF(M844="Overdue",TODAY()-J844,"")</f>
        <v/>
      </c>
      <c r="O844" s="14"/>
    </row>
    <row r="845" customFormat="false" ht="15" hidden="false" customHeight="false" outlineLevel="0" collapsed="false">
      <c r="A845" s="14"/>
      <c r="B845" s="13"/>
      <c r="C845" s="14"/>
      <c r="D845" s="14"/>
      <c r="E845" s="14"/>
      <c r="F845" s="15"/>
      <c r="G845" s="14"/>
      <c r="H845" s="19" t="str">
        <f aca="false">IF(F845="","",IF(G845="Y",F845*Settings!$B$16,0))</f>
        <v/>
      </c>
      <c r="I845" s="19" t="str">
        <f aca="false">IF(F845="","",F845+H845)</f>
        <v/>
      </c>
      <c r="J845" s="18" t="str">
        <f aca="false">IF(B845="","",B845+Settings!$B$17)</f>
        <v/>
      </c>
      <c r="K845" s="13"/>
      <c r="L845" s="15"/>
      <c r="M845" s="17" t="str">
        <f aca="true">IF(F845="","",IF(AND(L845&lt;&gt;"",L845&gt;=I845),"Paid",IF(AND(L845&lt;&gt;"",L845&gt;0),"Part paid",IF(TODAY()&gt;J845,"Overdue","Due"))))</f>
        <v/>
      </c>
      <c r="N845" s="19" t="str">
        <f aca="true">IF(M845="Overdue",TODAY()-J845,"")</f>
        <v/>
      </c>
      <c r="O845" s="14"/>
    </row>
    <row r="846" customFormat="false" ht="15" hidden="false" customHeight="false" outlineLevel="0" collapsed="false">
      <c r="A846" s="14"/>
      <c r="B846" s="13"/>
      <c r="C846" s="14"/>
      <c r="D846" s="14"/>
      <c r="E846" s="14"/>
      <c r="F846" s="15"/>
      <c r="G846" s="14"/>
      <c r="H846" s="19" t="str">
        <f aca="false">IF(F846="","",IF(G846="Y",F846*Settings!$B$16,0))</f>
        <v/>
      </c>
      <c r="I846" s="19" t="str">
        <f aca="false">IF(F846="","",F846+H846)</f>
        <v/>
      </c>
      <c r="J846" s="18" t="str">
        <f aca="false">IF(B846="","",B846+Settings!$B$17)</f>
        <v/>
      </c>
      <c r="K846" s="13"/>
      <c r="L846" s="15"/>
      <c r="M846" s="17" t="str">
        <f aca="true">IF(F846="","",IF(AND(L846&lt;&gt;"",L846&gt;=I846),"Paid",IF(AND(L846&lt;&gt;"",L846&gt;0),"Part paid",IF(TODAY()&gt;J846,"Overdue","Due"))))</f>
        <v/>
      </c>
      <c r="N846" s="19" t="str">
        <f aca="true">IF(M846="Overdue",TODAY()-J846,"")</f>
        <v/>
      </c>
      <c r="O846" s="14"/>
    </row>
    <row r="847" customFormat="false" ht="15" hidden="false" customHeight="false" outlineLevel="0" collapsed="false">
      <c r="A847" s="14"/>
      <c r="B847" s="13"/>
      <c r="C847" s="14"/>
      <c r="D847" s="14"/>
      <c r="E847" s="14"/>
      <c r="F847" s="15"/>
      <c r="G847" s="14"/>
      <c r="H847" s="19" t="str">
        <f aca="false">IF(F847="","",IF(G847="Y",F847*Settings!$B$16,0))</f>
        <v/>
      </c>
      <c r="I847" s="19" t="str">
        <f aca="false">IF(F847="","",F847+H847)</f>
        <v/>
      </c>
      <c r="J847" s="18" t="str">
        <f aca="false">IF(B847="","",B847+Settings!$B$17)</f>
        <v/>
      </c>
      <c r="K847" s="13"/>
      <c r="L847" s="15"/>
      <c r="M847" s="17" t="str">
        <f aca="true">IF(F847="","",IF(AND(L847&lt;&gt;"",L847&gt;=I847),"Paid",IF(AND(L847&lt;&gt;"",L847&gt;0),"Part paid",IF(TODAY()&gt;J847,"Overdue","Due"))))</f>
        <v/>
      </c>
      <c r="N847" s="19" t="str">
        <f aca="true">IF(M847="Overdue",TODAY()-J847,"")</f>
        <v/>
      </c>
      <c r="O847" s="14"/>
    </row>
    <row r="848" customFormat="false" ht="15" hidden="false" customHeight="false" outlineLevel="0" collapsed="false">
      <c r="A848" s="14"/>
      <c r="B848" s="13"/>
      <c r="C848" s="14"/>
      <c r="D848" s="14"/>
      <c r="E848" s="14"/>
      <c r="F848" s="15"/>
      <c r="G848" s="14"/>
      <c r="H848" s="19" t="str">
        <f aca="false">IF(F848="","",IF(G848="Y",F848*Settings!$B$16,0))</f>
        <v/>
      </c>
      <c r="I848" s="19" t="str">
        <f aca="false">IF(F848="","",F848+H848)</f>
        <v/>
      </c>
      <c r="J848" s="18" t="str">
        <f aca="false">IF(B848="","",B848+Settings!$B$17)</f>
        <v/>
      </c>
      <c r="K848" s="13"/>
      <c r="L848" s="15"/>
      <c r="M848" s="17" t="str">
        <f aca="true">IF(F848="","",IF(AND(L848&lt;&gt;"",L848&gt;=I848),"Paid",IF(AND(L848&lt;&gt;"",L848&gt;0),"Part paid",IF(TODAY()&gt;J848,"Overdue","Due"))))</f>
        <v/>
      </c>
      <c r="N848" s="19" t="str">
        <f aca="true">IF(M848="Overdue",TODAY()-J848,"")</f>
        <v/>
      </c>
      <c r="O848" s="14"/>
    </row>
    <row r="849" customFormat="false" ht="15" hidden="false" customHeight="false" outlineLevel="0" collapsed="false">
      <c r="A849" s="14"/>
      <c r="B849" s="13"/>
      <c r="C849" s="14"/>
      <c r="D849" s="14"/>
      <c r="E849" s="14"/>
      <c r="F849" s="15"/>
      <c r="G849" s="14"/>
      <c r="H849" s="19" t="str">
        <f aca="false">IF(F849="","",IF(G849="Y",F849*Settings!$B$16,0))</f>
        <v/>
      </c>
      <c r="I849" s="19" t="str">
        <f aca="false">IF(F849="","",F849+H849)</f>
        <v/>
      </c>
      <c r="J849" s="18" t="str">
        <f aca="false">IF(B849="","",B849+Settings!$B$17)</f>
        <v/>
      </c>
      <c r="K849" s="13"/>
      <c r="L849" s="15"/>
      <c r="M849" s="17" t="str">
        <f aca="true">IF(F849="","",IF(AND(L849&lt;&gt;"",L849&gt;=I849),"Paid",IF(AND(L849&lt;&gt;"",L849&gt;0),"Part paid",IF(TODAY()&gt;J849,"Overdue","Due"))))</f>
        <v/>
      </c>
      <c r="N849" s="19" t="str">
        <f aca="true">IF(M849="Overdue",TODAY()-J849,"")</f>
        <v/>
      </c>
      <c r="O849" s="14"/>
    </row>
    <row r="850" customFormat="false" ht="15" hidden="false" customHeight="false" outlineLevel="0" collapsed="false">
      <c r="A850" s="14"/>
      <c r="B850" s="13"/>
      <c r="C850" s="14"/>
      <c r="D850" s="14"/>
      <c r="E850" s="14"/>
      <c r="F850" s="15"/>
      <c r="G850" s="14"/>
      <c r="H850" s="19" t="str">
        <f aca="false">IF(F850="","",IF(G850="Y",F850*Settings!$B$16,0))</f>
        <v/>
      </c>
      <c r="I850" s="19" t="str">
        <f aca="false">IF(F850="","",F850+H850)</f>
        <v/>
      </c>
      <c r="J850" s="18" t="str">
        <f aca="false">IF(B850="","",B850+Settings!$B$17)</f>
        <v/>
      </c>
      <c r="K850" s="13"/>
      <c r="L850" s="15"/>
      <c r="M850" s="17" t="str">
        <f aca="true">IF(F850="","",IF(AND(L850&lt;&gt;"",L850&gt;=I850),"Paid",IF(AND(L850&lt;&gt;"",L850&gt;0),"Part paid",IF(TODAY()&gt;J850,"Overdue","Due"))))</f>
        <v/>
      </c>
      <c r="N850" s="19" t="str">
        <f aca="true">IF(M850="Overdue",TODAY()-J850,"")</f>
        <v/>
      </c>
      <c r="O850" s="14"/>
    </row>
    <row r="851" customFormat="false" ht="15" hidden="false" customHeight="false" outlineLevel="0" collapsed="false">
      <c r="A851" s="14"/>
      <c r="B851" s="13"/>
      <c r="C851" s="14"/>
      <c r="D851" s="14"/>
      <c r="E851" s="14"/>
      <c r="F851" s="15"/>
      <c r="G851" s="14"/>
      <c r="H851" s="19" t="str">
        <f aca="false">IF(F851="","",IF(G851="Y",F851*Settings!$B$16,0))</f>
        <v/>
      </c>
      <c r="I851" s="19" t="str">
        <f aca="false">IF(F851="","",F851+H851)</f>
        <v/>
      </c>
      <c r="J851" s="18" t="str">
        <f aca="false">IF(B851="","",B851+Settings!$B$17)</f>
        <v/>
      </c>
      <c r="K851" s="13"/>
      <c r="L851" s="15"/>
      <c r="M851" s="17" t="str">
        <f aca="true">IF(F851="","",IF(AND(L851&lt;&gt;"",L851&gt;=I851),"Paid",IF(AND(L851&lt;&gt;"",L851&gt;0),"Part paid",IF(TODAY()&gt;J851,"Overdue","Due"))))</f>
        <v/>
      </c>
      <c r="N851" s="19" t="str">
        <f aca="true">IF(M851="Overdue",TODAY()-J851,"")</f>
        <v/>
      </c>
      <c r="O851" s="14"/>
    </row>
    <row r="852" customFormat="false" ht="15" hidden="false" customHeight="false" outlineLevel="0" collapsed="false">
      <c r="A852" s="14"/>
      <c r="B852" s="13"/>
      <c r="C852" s="14"/>
      <c r="D852" s="14"/>
      <c r="E852" s="14"/>
      <c r="F852" s="15"/>
      <c r="G852" s="14"/>
      <c r="H852" s="19" t="str">
        <f aca="false">IF(F852="","",IF(G852="Y",F852*Settings!$B$16,0))</f>
        <v/>
      </c>
      <c r="I852" s="19" t="str">
        <f aca="false">IF(F852="","",F852+H852)</f>
        <v/>
      </c>
      <c r="J852" s="18" t="str">
        <f aca="false">IF(B852="","",B852+Settings!$B$17)</f>
        <v/>
      </c>
      <c r="K852" s="13"/>
      <c r="L852" s="15"/>
      <c r="M852" s="17" t="str">
        <f aca="true">IF(F852="","",IF(AND(L852&lt;&gt;"",L852&gt;=I852),"Paid",IF(AND(L852&lt;&gt;"",L852&gt;0),"Part paid",IF(TODAY()&gt;J852,"Overdue","Due"))))</f>
        <v/>
      </c>
      <c r="N852" s="19" t="str">
        <f aca="true">IF(M852="Overdue",TODAY()-J852,"")</f>
        <v/>
      </c>
      <c r="O852" s="14"/>
    </row>
    <row r="853" customFormat="false" ht="15" hidden="false" customHeight="false" outlineLevel="0" collapsed="false">
      <c r="A853" s="14"/>
      <c r="B853" s="13"/>
      <c r="C853" s="14"/>
      <c r="D853" s="14"/>
      <c r="E853" s="14"/>
      <c r="F853" s="15"/>
      <c r="G853" s="14"/>
      <c r="H853" s="19" t="str">
        <f aca="false">IF(F853="","",IF(G853="Y",F853*Settings!$B$16,0))</f>
        <v/>
      </c>
      <c r="I853" s="19" t="str">
        <f aca="false">IF(F853="","",F853+H853)</f>
        <v/>
      </c>
      <c r="J853" s="18" t="str">
        <f aca="false">IF(B853="","",B853+Settings!$B$17)</f>
        <v/>
      </c>
      <c r="K853" s="13"/>
      <c r="L853" s="15"/>
      <c r="M853" s="17" t="str">
        <f aca="true">IF(F853="","",IF(AND(L853&lt;&gt;"",L853&gt;=I853),"Paid",IF(AND(L853&lt;&gt;"",L853&gt;0),"Part paid",IF(TODAY()&gt;J853,"Overdue","Due"))))</f>
        <v/>
      </c>
      <c r="N853" s="19" t="str">
        <f aca="true">IF(M853="Overdue",TODAY()-J853,"")</f>
        <v/>
      </c>
      <c r="O853" s="14"/>
    </row>
    <row r="854" customFormat="false" ht="15" hidden="false" customHeight="false" outlineLevel="0" collapsed="false">
      <c r="A854" s="14"/>
      <c r="B854" s="13"/>
      <c r="C854" s="14"/>
      <c r="D854" s="14"/>
      <c r="E854" s="14"/>
      <c r="F854" s="15"/>
      <c r="G854" s="14"/>
      <c r="H854" s="19" t="str">
        <f aca="false">IF(F854="","",IF(G854="Y",F854*Settings!$B$16,0))</f>
        <v/>
      </c>
      <c r="I854" s="19" t="str">
        <f aca="false">IF(F854="","",F854+H854)</f>
        <v/>
      </c>
      <c r="J854" s="18" t="str">
        <f aca="false">IF(B854="","",B854+Settings!$B$17)</f>
        <v/>
      </c>
      <c r="K854" s="13"/>
      <c r="L854" s="15"/>
      <c r="M854" s="17" t="str">
        <f aca="true">IF(F854="","",IF(AND(L854&lt;&gt;"",L854&gt;=I854),"Paid",IF(AND(L854&lt;&gt;"",L854&gt;0),"Part paid",IF(TODAY()&gt;J854,"Overdue","Due"))))</f>
        <v/>
      </c>
      <c r="N854" s="19" t="str">
        <f aca="true">IF(M854="Overdue",TODAY()-J854,"")</f>
        <v/>
      </c>
      <c r="O854" s="14"/>
    </row>
    <row r="855" customFormat="false" ht="15" hidden="false" customHeight="false" outlineLevel="0" collapsed="false">
      <c r="A855" s="14"/>
      <c r="B855" s="13"/>
      <c r="C855" s="14"/>
      <c r="D855" s="14"/>
      <c r="E855" s="14"/>
      <c r="F855" s="15"/>
      <c r="G855" s="14"/>
      <c r="H855" s="19" t="str">
        <f aca="false">IF(F855="","",IF(G855="Y",F855*Settings!$B$16,0))</f>
        <v/>
      </c>
      <c r="I855" s="19" t="str">
        <f aca="false">IF(F855="","",F855+H855)</f>
        <v/>
      </c>
      <c r="J855" s="18" t="str">
        <f aca="false">IF(B855="","",B855+Settings!$B$17)</f>
        <v/>
      </c>
      <c r="K855" s="13"/>
      <c r="L855" s="15"/>
      <c r="M855" s="17" t="str">
        <f aca="true">IF(F855="","",IF(AND(L855&lt;&gt;"",L855&gt;=I855),"Paid",IF(AND(L855&lt;&gt;"",L855&gt;0),"Part paid",IF(TODAY()&gt;J855,"Overdue","Due"))))</f>
        <v/>
      </c>
      <c r="N855" s="19" t="str">
        <f aca="true">IF(M855="Overdue",TODAY()-J855,"")</f>
        <v/>
      </c>
      <c r="O855" s="14"/>
    </row>
    <row r="856" customFormat="false" ht="15" hidden="false" customHeight="false" outlineLevel="0" collapsed="false">
      <c r="A856" s="14"/>
      <c r="B856" s="13"/>
      <c r="C856" s="14"/>
      <c r="D856" s="14"/>
      <c r="E856" s="14"/>
      <c r="F856" s="15"/>
      <c r="G856" s="14"/>
      <c r="H856" s="19" t="str">
        <f aca="false">IF(F856="","",IF(G856="Y",F856*Settings!$B$16,0))</f>
        <v/>
      </c>
      <c r="I856" s="19" t="str">
        <f aca="false">IF(F856="","",F856+H856)</f>
        <v/>
      </c>
      <c r="J856" s="18" t="str">
        <f aca="false">IF(B856="","",B856+Settings!$B$17)</f>
        <v/>
      </c>
      <c r="K856" s="13"/>
      <c r="L856" s="15"/>
      <c r="M856" s="17" t="str">
        <f aca="true">IF(F856="","",IF(AND(L856&lt;&gt;"",L856&gt;=I856),"Paid",IF(AND(L856&lt;&gt;"",L856&gt;0),"Part paid",IF(TODAY()&gt;J856,"Overdue","Due"))))</f>
        <v/>
      </c>
      <c r="N856" s="19" t="str">
        <f aca="true">IF(M856="Overdue",TODAY()-J856,"")</f>
        <v/>
      </c>
      <c r="O856" s="14"/>
    </row>
    <row r="857" customFormat="false" ht="15" hidden="false" customHeight="false" outlineLevel="0" collapsed="false">
      <c r="A857" s="14"/>
      <c r="B857" s="13"/>
      <c r="C857" s="14"/>
      <c r="D857" s="14"/>
      <c r="E857" s="14"/>
      <c r="F857" s="15"/>
      <c r="G857" s="14"/>
      <c r="H857" s="19" t="str">
        <f aca="false">IF(F857="","",IF(G857="Y",F857*Settings!$B$16,0))</f>
        <v/>
      </c>
      <c r="I857" s="19" t="str">
        <f aca="false">IF(F857="","",F857+H857)</f>
        <v/>
      </c>
      <c r="J857" s="18" t="str">
        <f aca="false">IF(B857="","",B857+Settings!$B$17)</f>
        <v/>
      </c>
      <c r="K857" s="13"/>
      <c r="L857" s="15"/>
      <c r="M857" s="17" t="str">
        <f aca="true">IF(F857="","",IF(AND(L857&lt;&gt;"",L857&gt;=I857),"Paid",IF(AND(L857&lt;&gt;"",L857&gt;0),"Part paid",IF(TODAY()&gt;J857,"Overdue","Due"))))</f>
        <v/>
      </c>
      <c r="N857" s="19" t="str">
        <f aca="true">IF(M857="Overdue",TODAY()-J857,"")</f>
        <v/>
      </c>
      <c r="O857" s="14"/>
    </row>
    <row r="858" customFormat="false" ht="15" hidden="false" customHeight="false" outlineLevel="0" collapsed="false">
      <c r="A858" s="14"/>
      <c r="B858" s="13"/>
      <c r="C858" s="14"/>
      <c r="D858" s="14"/>
      <c r="E858" s="14"/>
      <c r="F858" s="15"/>
      <c r="G858" s="14"/>
      <c r="H858" s="19" t="str">
        <f aca="false">IF(F858="","",IF(G858="Y",F858*Settings!$B$16,0))</f>
        <v/>
      </c>
      <c r="I858" s="19" t="str">
        <f aca="false">IF(F858="","",F858+H858)</f>
        <v/>
      </c>
      <c r="J858" s="18" t="str">
        <f aca="false">IF(B858="","",B858+Settings!$B$17)</f>
        <v/>
      </c>
      <c r="K858" s="13"/>
      <c r="L858" s="15"/>
      <c r="M858" s="17" t="str">
        <f aca="true">IF(F858="","",IF(AND(L858&lt;&gt;"",L858&gt;=I858),"Paid",IF(AND(L858&lt;&gt;"",L858&gt;0),"Part paid",IF(TODAY()&gt;J858,"Overdue","Due"))))</f>
        <v/>
      </c>
      <c r="N858" s="19" t="str">
        <f aca="true">IF(M858="Overdue",TODAY()-J858,"")</f>
        <v/>
      </c>
      <c r="O858" s="14"/>
    </row>
    <row r="859" customFormat="false" ht="15" hidden="false" customHeight="false" outlineLevel="0" collapsed="false">
      <c r="A859" s="14"/>
      <c r="B859" s="13"/>
      <c r="C859" s="14"/>
      <c r="D859" s="14"/>
      <c r="E859" s="14"/>
      <c r="F859" s="15"/>
      <c r="G859" s="14"/>
      <c r="H859" s="19" t="str">
        <f aca="false">IF(F859="","",IF(G859="Y",F859*Settings!$B$16,0))</f>
        <v/>
      </c>
      <c r="I859" s="19" t="str">
        <f aca="false">IF(F859="","",F859+H859)</f>
        <v/>
      </c>
      <c r="J859" s="18" t="str">
        <f aca="false">IF(B859="","",B859+Settings!$B$17)</f>
        <v/>
      </c>
      <c r="K859" s="13"/>
      <c r="L859" s="15"/>
      <c r="M859" s="17" t="str">
        <f aca="true">IF(F859="","",IF(AND(L859&lt;&gt;"",L859&gt;=I859),"Paid",IF(AND(L859&lt;&gt;"",L859&gt;0),"Part paid",IF(TODAY()&gt;J859,"Overdue","Due"))))</f>
        <v/>
      </c>
      <c r="N859" s="19" t="str">
        <f aca="true">IF(M859="Overdue",TODAY()-J859,"")</f>
        <v/>
      </c>
      <c r="O859" s="14"/>
    </row>
    <row r="860" customFormat="false" ht="15" hidden="false" customHeight="false" outlineLevel="0" collapsed="false">
      <c r="A860" s="14"/>
      <c r="B860" s="13"/>
      <c r="C860" s="14"/>
      <c r="D860" s="14"/>
      <c r="E860" s="14"/>
      <c r="F860" s="15"/>
      <c r="G860" s="14"/>
      <c r="H860" s="19" t="str">
        <f aca="false">IF(F860="","",IF(G860="Y",F860*Settings!$B$16,0))</f>
        <v/>
      </c>
      <c r="I860" s="19" t="str">
        <f aca="false">IF(F860="","",F860+H860)</f>
        <v/>
      </c>
      <c r="J860" s="18" t="str">
        <f aca="false">IF(B860="","",B860+Settings!$B$17)</f>
        <v/>
      </c>
      <c r="K860" s="13"/>
      <c r="L860" s="15"/>
      <c r="M860" s="17" t="str">
        <f aca="true">IF(F860="","",IF(AND(L860&lt;&gt;"",L860&gt;=I860),"Paid",IF(AND(L860&lt;&gt;"",L860&gt;0),"Part paid",IF(TODAY()&gt;J860,"Overdue","Due"))))</f>
        <v/>
      </c>
      <c r="N860" s="19" t="str">
        <f aca="true">IF(M860="Overdue",TODAY()-J860,"")</f>
        <v/>
      </c>
      <c r="O860" s="14"/>
    </row>
    <row r="861" customFormat="false" ht="15" hidden="false" customHeight="false" outlineLevel="0" collapsed="false">
      <c r="A861" s="14"/>
      <c r="B861" s="13"/>
      <c r="C861" s="14"/>
      <c r="D861" s="14"/>
      <c r="E861" s="14"/>
      <c r="F861" s="15"/>
      <c r="G861" s="14"/>
      <c r="H861" s="19" t="str">
        <f aca="false">IF(F861="","",IF(G861="Y",F861*Settings!$B$16,0))</f>
        <v/>
      </c>
      <c r="I861" s="19" t="str">
        <f aca="false">IF(F861="","",F861+H861)</f>
        <v/>
      </c>
      <c r="J861" s="18" t="str">
        <f aca="false">IF(B861="","",B861+Settings!$B$17)</f>
        <v/>
      </c>
      <c r="K861" s="13"/>
      <c r="L861" s="15"/>
      <c r="M861" s="17" t="str">
        <f aca="true">IF(F861="","",IF(AND(L861&lt;&gt;"",L861&gt;=I861),"Paid",IF(AND(L861&lt;&gt;"",L861&gt;0),"Part paid",IF(TODAY()&gt;J861,"Overdue","Due"))))</f>
        <v/>
      </c>
      <c r="N861" s="19" t="str">
        <f aca="true">IF(M861="Overdue",TODAY()-J861,"")</f>
        <v/>
      </c>
      <c r="O861" s="14"/>
    </row>
    <row r="862" customFormat="false" ht="15" hidden="false" customHeight="false" outlineLevel="0" collapsed="false">
      <c r="A862" s="14"/>
      <c r="B862" s="13"/>
      <c r="C862" s="14"/>
      <c r="D862" s="14"/>
      <c r="E862" s="14"/>
      <c r="F862" s="15"/>
      <c r="G862" s="14"/>
      <c r="H862" s="19" t="str">
        <f aca="false">IF(F862="","",IF(G862="Y",F862*Settings!$B$16,0))</f>
        <v/>
      </c>
      <c r="I862" s="19" t="str">
        <f aca="false">IF(F862="","",F862+H862)</f>
        <v/>
      </c>
      <c r="J862" s="18" t="str">
        <f aca="false">IF(B862="","",B862+Settings!$B$17)</f>
        <v/>
      </c>
      <c r="K862" s="13"/>
      <c r="L862" s="15"/>
      <c r="M862" s="17" t="str">
        <f aca="true">IF(F862="","",IF(AND(L862&lt;&gt;"",L862&gt;=I862),"Paid",IF(AND(L862&lt;&gt;"",L862&gt;0),"Part paid",IF(TODAY()&gt;J862,"Overdue","Due"))))</f>
        <v/>
      </c>
      <c r="N862" s="19" t="str">
        <f aca="true">IF(M862="Overdue",TODAY()-J862,"")</f>
        <v/>
      </c>
      <c r="O862" s="14"/>
    </row>
    <row r="863" customFormat="false" ht="15" hidden="false" customHeight="false" outlineLevel="0" collapsed="false">
      <c r="A863" s="14"/>
      <c r="B863" s="13"/>
      <c r="C863" s="14"/>
      <c r="D863" s="14"/>
      <c r="E863" s="14"/>
      <c r="F863" s="15"/>
      <c r="G863" s="14"/>
      <c r="H863" s="19" t="str">
        <f aca="false">IF(F863="","",IF(G863="Y",F863*Settings!$B$16,0))</f>
        <v/>
      </c>
      <c r="I863" s="19" t="str">
        <f aca="false">IF(F863="","",F863+H863)</f>
        <v/>
      </c>
      <c r="J863" s="18" t="str">
        <f aca="false">IF(B863="","",B863+Settings!$B$17)</f>
        <v/>
      </c>
      <c r="K863" s="13"/>
      <c r="L863" s="15"/>
      <c r="M863" s="17" t="str">
        <f aca="true">IF(F863="","",IF(AND(L863&lt;&gt;"",L863&gt;=I863),"Paid",IF(AND(L863&lt;&gt;"",L863&gt;0),"Part paid",IF(TODAY()&gt;J863,"Overdue","Due"))))</f>
        <v/>
      </c>
      <c r="N863" s="19" t="str">
        <f aca="true">IF(M863="Overdue",TODAY()-J863,"")</f>
        <v/>
      </c>
      <c r="O863" s="14"/>
    </row>
    <row r="864" customFormat="false" ht="15" hidden="false" customHeight="false" outlineLevel="0" collapsed="false">
      <c r="A864" s="14"/>
      <c r="B864" s="13"/>
      <c r="C864" s="14"/>
      <c r="D864" s="14"/>
      <c r="E864" s="14"/>
      <c r="F864" s="15"/>
      <c r="G864" s="14"/>
      <c r="H864" s="19" t="str">
        <f aca="false">IF(F864="","",IF(G864="Y",F864*Settings!$B$16,0))</f>
        <v/>
      </c>
      <c r="I864" s="19" t="str">
        <f aca="false">IF(F864="","",F864+H864)</f>
        <v/>
      </c>
      <c r="J864" s="18" t="str">
        <f aca="false">IF(B864="","",B864+Settings!$B$17)</f>
        <v/>
      </c>
      <c r="K864" s="13"/>
      <c r="L864" s="15"/>
      <c r="M864" s="17" t="str">
        <f aca="true">IF(F864="","",IF(AND(L864&lt;&gt;"",L864&gt;=I864),"Paid",IF(AND(L864&lt;&gt;"",L864&gt;0),"Part paid",IF(TODAY()&gt;J864,"Overdue","Due"))))</f>
        <v/>
      </c>
      <c r="N864" s="19" t="str">
        <f aca="true">IF(M864="Overdue",TODAY()-J864,"")</f>
        <v/>
      </c>
      <c r="O864" s="14"/>
    </row>
    <row r="865" customFormat="false" ht="15" hidden="false" customHeight="false" outlineLevel="0" collapsed="false">
      <c r="A865" s="14"/>
      <c r="B865" s="13"/>
      <c r="C865" s="14"/>
      <c r="D865" s="14"/>
      <c r="E865" s="14"/>
      <c r="F865" s="15"/>
      <c r="G865" s="14"/>
      <c r="H865" s="19" t="str">
        <f aca="false">IF(F865="","",IF(G865="Y",F865*Settings!$B$16,0))</f>
        <v/>
      </c>
      <c r="I865" s="19" t="str">
        <f aca="false">IF(F865="","",F865+H865)</f>
        <v/>
      </c>
      <c r="J865" s="18" t="str">
        <f aca="false">IF(B865="","",B865+Settings!$B$17)</f>
        <v/>
      </c>
      <c r="K865" s="13"/>
      <c r="L865" s="15"/>
      <c r="M865" s="17" t="str">
        <f aca="true">IF(F865="","",IF(AND(L865&lt;&gt;"",L865&gt;=I865),"Paid",IF(AND(L865&lt;&gt;"",L865&gt;0),"Part paid",IF(TODAY()&gt;J865,"Overdue","Due"))))</f>
        <v/>
      </c>
      <c r="N865" s="19" t="str">
        <f aca="true">IF(M865="Overdue",TODAY()-J865,"")</f>
        <v/>
      </c>
      <c r="O865" s="14"/>
    </row>
    <row r="866" customFormat="false" ht="15" hidden="false" customHeight="false" outlineLevel="0" collapsed="false">
      <c r="A866" s="14"/>
      <c r="B866" s="13"/>
      <c r="C866" s="14"/>
      <c r="D866" s="14"/>
      <c r="E866" s="14"/>
      <c r="F866" s="15"/>
      <c r="G866" s="14"/>
      <c r="H866" s="19" t="str">
        <f aca="false">IF(F866="","",IF(G866="Y",F866*Settings!$B$16,0))</f>
        <v/>
      </c>
      <c r="I866" s="19" t="str">
        <f aca="false">IF(F866="","",F866+H866)</f>
        <v/>
      </c>
      <c r="J866" s="18" t="str">
        <f aca="false">IF(B866="","",B866+Settings!$B$17)</f>
        <v/>
      </c>
      <c r="K866" s="13"/>
      <c r="L866" s="15"/>
      <c r="M866" s="17" t="str">
        <f aca="true">IF(F866="","",IF(AND(L866&lt;&gt;"",L866&gt;=I866),"Paid",IF(AND(L866&lt;&gt;"",L866&gt;0),"Part paid",IF(TODAY()&gt;J866,"Overdue","Due"))))</f>
        <v/>
      </c>
      <c r="N866" s="19" t="str">
        <f aca="true">IF(M866="Overdue",TODAY()-J866,"")</f>
        <v/>
      </c>
      <c r="O866" s="14"/>
    </row>
    <row r="867" customFormat="false" ht="15" hidden="false" customHeight="false" outlineLevel="0" collapsed="false">
      <c r="A867" s="14"/>
      <c r="B867" s="13"/>
      <c r="C867" s="14"/>
      <c r="D867" s="14"/>
      <c r="E867" s="14"/>
      <c r="F867" s="15"/>
      <c r="G867" s="14"/>
      <c r="H867" s="19" t="str">
        <f aca="false">IF(F867="","",IF(G867="Y",F867*Settings!$B$16,0))</f>
        <v/>
      </c>
      <c r="I867" s="19" t="str">
        <f aca="false">IF(F867="","",F867+H867)</f>
        <v/>
      </c>
      <c r="J867" s="18" t="str">
        <f aca="false">IF(B867="","",B867+Settings!$B$17)</f>
        <v/>
      </c>
      <c r="K867" s="13"/>
      <c r="L867" s="15"/>
      <c r="M867" s="17" t="str">
        <f aca="true">IF(F867="","",IF(AND(L867&lt;&gt;"",L867&gt;=I867),"Paid",IF(AND(L867&lt;&gt;"",L867&gt;0),"Part paid",IF(TODAY()&gt;J867,"Overdue","Due"))))</f>
        <v/>
      </c>
      <c r="N867" s="19" t="str">
        <f aca="true">IF(M867="Overdue",TODAY()-J867,"")</f>
        <v/>
      </c>
      <c r="O867" s="14"/>
    </row>
    <row r="868" customFormat="false" ht="15" hidden="false" customHeight="false" outlineLevel="0" collapsed="false">
      <c r="A868" s="14"/>
      <c r="B868" s="13"/>
      <c r="C868" s="14"/>
      <c r="D868" s="14"/>
      <c r="E868" s="14"/>
      <c r="F868" s="15"/>
      <c r="G868" s="14"/>
      <c r="H868" s="19" t="str">
        <f aca="false">IF(F868="","",IF(G868="Y",F868*Settings!$B$16,0))</f>
        <v/>
      </c>
      <c r="I868" s="19" t="str">
        <f aca="false">IF(F868="","",F868+H868)</f>
        <v/>
      </c>
      <c r="J868" s="18" t="str">
        <f aca="false">IF(B868="","",B868+Settings!$B$17)</f>
        <v/>
      </c>
      <c r="K868" s="13"/>
      <c r="L868" s="15"/>
      <c r="M868" s="17" t="str">
        <f aca="true">IF(F868="","",IF(AND(L868&lt;&gt;"",L868&gt;=I868),"Paid",IF(AND(L868&lt;&gt;"",L868&gt;0),"Part paid",IF(TODAY()&gt;J868,"Overdue","Due"))))</f>
        <v/>
      </c>
      <c r="N868" s="19" t="str">
        <f aca="true">IF(M868="Overdue",TODAY()-J868,"")</f>
        <v/>
      </c>
      <c r="O868" s="14"/>
    </row>
    <row r="869" customFormat="false" ht="15" hidden="false" customHeight="false" outlineLevel="0" collapsed="false">
      <c r="A869" s="14"/>
      <c r="B869" s="13"/>
      <c r="C869" s="14"/>
      <c r="D869" s="14"/>
      <c r="E869" s="14"/>
      <c r="F869" s="15"/>
      <c r="G869" s="14"/>
      <c r="H869" s="19" t="str">
        <f aca="false">IF(F869="","",IF(G869="Y",F869*Settings!$B$16,0))</f>
        <v/>
      </c>
      <c r="I869" s="19" t="str">
        <f aca="false">IF(F869="","",F869+H869)</f>
        <v/>
      </c>
      <c r="J869" s="18" t="str">
        <f aca="false">IF(B869="","",B869+Settings!$B$17)</f>
        <v/>
      </c>
      <c r="K869" s="13"/>
      <c r="L869" s="15"/>
      <c r="M869" s="17" t="str">
        <f aca="true">IF(F869="","",IF(AND(L869&lt;&gt;"",L869&gt;=I869),"Paid",IF(AND(L869&lt;&gt;"",L869&gt;0),"Part paid",IF(TODAY()&gt;J869,"Overdue","Due"))))</f>
        <v/>
      </c>
      <c r="N869" s="19" t="str">
        <f aca="true">IF(M869="Overdue",TODAY()-J869,"")</f>
        <v/>
      </c>
      <c r="O869" s="14"/>
    </row>
    <row r="870" customFormat="false" ht="15" hidden="false" customHeight="false" outlineLevel="0" collapsed="false">
      <c r="A870" s="14"/>
      <c r="B870" s="13"/>
      <c r="C870" s="14"/>
      <c r="D870" s="14"/>
      <c r="E870" s="14"/>
      <c r="F870" s="15"/>
      <c r="G870" s="14"/>
      <c r="H870" s="19" t="str">
        <f aca="false">IF(F870="","",IF(G870="Y",F870*Settings!$B$16,0))</f>
        <v/>
      </c>
      <c r="I870" s="19" t="str">
        <f aca="false">IF(F870="","",F870+H870)</f>
        <v/>
      </c>
      <c r="J870" s="18" t="str">
        <f aca="false">IF(B870="","",B870+Settings!$B$17)</f>
        <v/>
      </c>
      <c r="K870" s="13"/>
      <c r="L870" s="15"/>
      <c r="M870" s="17" t="str">
        <f aca="true">IF(F870="","",IF(AND(L870&lt;&gt;"",L870&gt;=I870),"Paid",IF(AND(L870&lt;&gt;"",L870&gt;0),"Part paid",IF(TODAY()&gt;J870,"Overdue","Due"))))</f>
        <v/>
      </c>
      <c r="N870" s="19" t="str">
        <f aca="true">IF(M870="Overdue",TODAY()-J870,"")</f>
        <v/>
      </c>
      <c r="O870" s="14"/>
    </row>
    <row r="871" customFormat="false" ht="15" hidden="false" customHeight="false" outlineLevel="0" collapsed="false">
      <c r="A871" s="14"/>
      <c r="B871" s="13"/>
      <c r="C871" s="14"/>
      <c r="D871" s="14"/>
      <c r="E871" s="14"/>
      <c r="F871" s="15"/>
      <c r="G871" s="14"/>
      <c r="H871" s="19" t="str">
        <f aca="false">IF(F871="","",IF(G871="Y",F871*Settings!$B$16,0))</f>
        <v/>
      </c>
      <c r="I871" s="19" t="str">
        <f aca="false">IF(F871="","",F871+H871)</f>
        <v/>
      </c>
      <c r="J871" s="18" t="str">
        <f aca="false">IF(B871="","",B871+Settings!$B$17)</f>
        <v/>
      </c>
      <c r="K871" s="13"/>
      <c r="L871" s="15"/>
      <c r="M871" s="17" t="str">
        <f aca="true">IF(F871="","",IF(AND(L871&lt;&gt;"",L871&gt;=I871),"Paid",IF(AND(L871&lt;&gt;"",L871&gt;0),"Part paid",IF(TODAY()&gt;J871,"Overdue","Due"))))</f>
        <v/>
      </c>
      <c r="N871" s="19" t="str">
        <f aca="true">IF(M871="Overdue",TODAY()-J871,"")</f>
        <v/>
      </c>
      <c r="O871" s="14"/>
    </row>
    <row r="872" customFormat="false" ht="15" hidden="false" customHeight="false" outlineLevel="0" collapsed="false">
      <c r="A872" s="14"/>
      <c r="B872" s="13"/>
      <c r="C872" s="14"/>
      <c r="D872" s="14"/>
      <c r="E872" s="14"/>
      <c r="F872" s="15"/>
      <c r="G872" s="14"/>
      <c r="H872" s="19" t="str">
        <f aca="false">IF(F872="","",IF(G872="Y",F872*Settings!$B$16,0))</f>
        <v/>
      </c>
      <c r="I872" s="19" t="str">
        <f aca="false">IF(F872="","",F872+H872)</f>
        <v/>
      </c>
      <c r="J872" s="18" t="str">
        <f aca="false">IF(B872="","",B872+Settings!$B$17)</f>
        <v/>
      </c>
      <c r="K872" s="13"/>
      <c r="L872" s="15"/>
      <c r="M872" s="17" t="str">
        <f aca="true">IF(F872="","",IF(AND(L872&lt;&gt;"",L872&gt;=I872),"Paid",IF(AND(L872&lt;&gt;"",L872&gt;0),"Part paid",IF(TODAY()&gt;J872,"Overdue","Due"))))</f>
        <v/>
      </c>
      <c r="N872" s="19" t="str">
        <f aca="true">IF(M872="Overdue",TODAY()-J872,"")</f>
        <v/>
      </c>
      <c r="O872" s="14"/>
    </row>
    <row r="873" customFormat="false" ht="15" hidden="false" customHeight="false" outlineLevel="0" collapsed="false">
      <c r="A873" s="14"/>
      <c r="B873" s="13"/>
      <c r="C873" s="14"/>
      <c r="D873" s="14"/>
      <c r="E873" s="14"/>
      <c r="F873" s="15"/>
      <c r="G873" s="14"/>
      <c r="H873" s="19" t="str">
        <f aca="false">IF(F873="","",IF(G873="Y",F873*Settings!$B$16,0))</f>
        <v/>
      </c>
      <c r="I873" s="19" t="str">
        <f aca="false">IF(F873="","",F873+H873)</f>
        <v/>
      </c>
      <c r="J873" s="18" t="str">
        <f aca="false">IF(B873="","",B873+Settings!$B$17)</f>
        <v/>
      </c>
      <c r="K873" s="13"/>
      <c r="L873" s="15"/>
      <c r="M873" s="17" t="str">
        <f aca="true">IF(F873="","",IF(AND(L873&lt;&gt;"",L873&gt;=I873),"Paid",IF(AND(L873&lt;&gt;"",L873&gt;0),"Part paid",IF(TODAY()&gt;J873,"Overdue","Due"))))</f>
        <v/>
      </c>
      <c r="N873" s="19" t="str">
        <f aca="true">IF(M873="Overdue",TODAY()-J873,"")</f>
        <v/>
      </c>
      <c r="O873" s="14"/>
    </row>
    <row r="874" customFormat="false" ht="15" hidden="false" customHeight="false" outlineLevel="0" collapsed="false">
      <c r="A874" s="14"/>
      <c r="B874" s="13"/>
      <c r="C874" s="14"/>
      <c r="D874" s="14"/>
      <c r="E874" s="14"/>
      <c r="F874" s="15"/>
      <c r="G874" s="14"/>
      <c r="H874" s="19" t="str">
        <f aca="false">IF(F874="","",IF(G874="Y",F874*Settings!$B$16,0))</f>
        <v/>
      </c>
      <c r="I874" s="19" t="str">
        <f aca="false">IF(F874="","",F874+H874)</f>
        <v/>
      </c>
      <c r="J874" s="18" t="str">
        <f aca="false">IF(B874="","",B874+Settings!$B$17)</f>
        <v/>
      </c>
      <c r="K874" s="13"/>
      <c r="L874" s="15"/>
      <c r="M874" s="17" t="str">
        <f aca="true">IF(F874="","",IF(AND(L874&lt;&gt;"",L874&gt;=I874),"Paid",IF(AND(L874&lt;&gt;"",L874&gt;0),"Part paid",IF(TODAY()&gt;J874,"Overdue","Due"))))</f>
        <v/>
      </c>
      <c r="N874" s="19" t="str">
        <f aca="true">IF(M874="Overdue",TODAY()-J874,"")</f>
        <v/>
      </c>
      <c r="O874" s="14"/>
    </row>
    <row r="875" customFormat="false" ht="15" hidden="false" customHeight="false" outlineLevel="0" collapsed="false">
      <c r="A875" s="14"/>
      <c r="B875" s="13"/>
      <c r="C875" s="14"/>
      <c r="D875" s="14"/>
      <c r="E875" s="14"/>
      <c r="F875" s="15"/>
      <c r="G875" s="14"/>
      <c r="H875" s="19" t="str">
        <f aca="false">IF(F875="","",IF(G875="Y",F875*Settings!$B$16,0))</f>
        <v/>
      </c>
      <c r="I875" s="19" t="str">
        <f aca="false">IF(F875="","",F875+H875)</f>
        <v/>
      </c>
      <c r="J875" s="18" t="str">
        <f aca="false">IF(B875="","",B875+Settings!$B$17)</f>
        <v/>
      </c>
      <c r="K875" s="13"/>
      <c r="L875" s="15"/>
      <c r="M875" s="17" t="str">
        <f aca="true">IF(F875="","",IF(AND(L875&lt;&gt;"",L875&gt;=I875),"Paid",IF(AND(L875&lt;&gt;"",L875&gt;0),"Part paid",IF(TODAY()&gt;J875,"Overdue","Due"))))</f>
        <v/>
      </c>
      <c r="N875" s="19" t="str">
        <f aca="true">IF(M875="Overdue",TODAY()-J875,"")</f>
        <v/>
      </c>
      <c r="O875" s="14"/>
    </row>
    <row r="876" customFormat="false" ht="15" hidden="false" customHeight="false" outlineLevel="0" collapsed="false">
      <c r="A876" s="14"/>
      <c r="B876" s="13"/>
      <c r="C876" s="14"/>
      <c r="D876" s="14"/>
      <c r="E876" s="14"/>
      <c r="F876" s="15"/>
      <c r="G876" s="14"/>
      <c r="H876" s="19" t="str">
        <f aca="false">IF(F876="","",IF(G876="Y",F876*Settings!$B$16,0))</f>
        <v/>
      </c>
      <c r="I876" s="19" t="str">
        <f aca="false">IF(F876="","",F876+H876)</f>
        <v/>
      </c>
      <c r="J876" s="18" t="str">
        <f aca="false">IF(B876="","",B876+Settings!$B$17)</f>
        <v/>
      </c>
      <c r="K876" s="13"/>
      <c r="L876" s="15"/>
      <c r="M876" s="17" t="str">
        <f aca="true">IF(F876="","",IF(AND(L876&lt;&gt;"",L876&gt;=I876),"Paid",IF(AND(L876&lt;&gt;"",L876&gt;0),"Part paid",IF(TODAY()&gt;J876,"Overdue","Due"))))</f>
        <v/>
      </c>
      <c r="N876" s="19" t="str">
        <f aca="true">IF(M876="Overdue",TODAY()-J876,"")</f>
        <v/>
      </c>
      <c r="O876" s="14"/>
    </row>
    <row r="877" customFormat="false" ht="15" hidden="false" customHeight="false" outlineLevel="0" collapsed="false">
      <c r="A877" s="14"/>
      <c r="B877" s="13"/>
      <c r="C877" s="14"/>
      <c r="D877" s="14"/>
      <c r="E877" s="14"/>
      <c r="F877" s="15"/>
      <c r="G877" s="14"/>
      <c r="H877" s="19" t="str">
        <f aca="false">IF(F877="","",IF(G877="Y",F877*Settings!$B$16,0))</f>
        <v/>
      </c>
      <c r="I877" s="19" t="str">
        <f aca="false">IF(F877="","",F877+H877)</f>
        <v/>
      </c>
      <c r="J877" s="18" t="str">
        <f aca="false">IF(B877="","",B877+Settings!$B$17)</f>
        <v/>
      </c>
      <c r="K877" s="13"/>
      <c r="L877" s="15"/>
      <c r="M877" s="17" t="str">
        <f aca="true">IF(F877="","",IF(AND(L877&lt;&gt;"",L877&gt;=I877),"Paid",IF(AND(L877&lt;&gt;"",L877&gt;0),"Part paid",IF(TODAY()&gt;J877,"Overdue","Due"))))</f>
        <v/>
      </c>
      <c r="N877" s="19" t="str">
        <f aca="true">IF(M877="Overdue",TODAY()-J877,"")</f>
        <v/>
      </c>
      <c r="O877" s="14"/>
    </row>
    <row r="878" customFormat="false" ht="15" hidden="false" customHeight="false" outlineLevel="0" collapsed="false">
      <c r="A878" s="14"/>
      <c r="B878" s="13"/>
      <c r="C878" s="14"/>
      <c r="D878" s="14"/>
      <c r="E878" s="14"/>
      <c r="F878" s="15"/>
      <c r="G878" s="14"/>
      <c r="H878" s="19" t="str">
        <f aca="false">IF(F878="","",IF(G878="Y",F878*Settings!$B$16,0))</f>
        <v/>
      </c>
      <c r="I878" s="19" t="str">
        <f aca="false">IF(F878="","",F878+H878)</f>
        <v/>
      </c>
      <c r="J878" s="18" t="str">
        <f aca="false">IF(B878="","",B878+Settings!$B$17)</f>
        <v/>
      </c>
      <c r="K878" s="13"/>
      <c r="L878" s="15"/>
      <c r="M878" s="17" t="str">
        <f aca="true">IF(F878="","",IF(AND(L878&lt;&gt;"",L878&gt;=I878),"Paid",IF(AND(L878&lt;&gt;"",L878&gt;0),"Part paid",IF(TODAY()&gt;J878,"Overdue","Due"))))</f>
        <v/>
      </c>
      <c r="N878" s="19" t="str">
        <f aca="true">IF(M878="Overdue",TODAY()-J878,"")</f>
        <v/>
      </c>
      <c r="O878" s="14"/>
    </row>
    <row r="879" customFormat="false" ht="15" hidden="false" customHeight="false" outlineLevel="0" collapsed="false">
      <c r="A879" s="14"/>
      <c r="B879" s="13"/>
      <c r="C879" s="14"/>
      <c r="D879" s="14"/>
      <c r="E879" s="14"/>
      <c r="F879" s="15"/>
      <c r="G879" s="14"/>
      <c r="H879" s="19" t="str">
        <f aca="false">IF(F879="","",IF(G879="Y",F879*Settings!$B$16,0))</f>
        <v/>
      </c>
      <c r="I879" s="19" t="str">
        <f aca="false">IF(F879="","",F879+H879)</f>
        <v/>
      </c>
      <c r="J879" s="18" t="str">
        <f aca="false">IF(B879="","",B879+Settings!$B$17)</f>
        <v/>
      </c>
      <c r="K879" s="13"/>
      <c r="L879" s="15"/>
      <c r="M879" s="17" t="str">
        <f aca="true">IF(F879="","",IF(AND(L879&lt;&gt;"",L879&gt;=I879),"Paid",IF(AND(L879&lt;&gt;"",L879&gt;0),"Part paid",IF(TODAY()&gt;J879,"Overdue","Due"))))</f>
        <v/>
      </c>
      <c r="N879" s="19" t="str">
        <f aca="true">IF(M879="Overdue",TODAY()-J879,"")</f>
        <v/>
      </c>
      <c r="O879" s="14"/>
    </row>
    <row r="880" customFormat="false" ht="15" hidden="false" customHeight="false" outlineLevel="0" collapsed="false">
      <c r="A880" s="14"/>
      <c r="B880" s="13"/>
      <c r="C880" s="14"/>
      <c r="D880" s="14"/>
      <c r="E880" s="14"/>
      <c r="F880" s="15"/>
      <c r="G880" s="14"/>
      <c r="H880" s="19" t="str">
        <f aca="false">IF(F880="","",IF(G880="Y",F880*Settings!$B$16,0))</f>
        <v/>
      </c>
      <c r="I880" s="19" t="str">
        <f aca="false">IF(F880="","",F880+H880)</f>
        <v/>
      </c>
      <c r="J880" s="18" t="str">
        <f aca="false">IF(B880="","",B880+Settings!$B$17)</f>
        <v/>
      </c>
      <c r="K880" s="13"/>
      <c r="L880" s="15"/>
      <c r="M880" s="17" t="str">
        <f aca="true">IF(F880="","",IF(AND(L880&lt;&gt;"",L880&gt;=I880),"Paid",IF(AND(L880&lt;&gt;"",L880&gt;0),"Part paid",IF(TODAY()&gt;J880,"Overdue","Due"))))</f>
        <v/>
      </c>
      <c r="N880" s="19" t="str">
        <f aca="true">IF(M880="Overdue",TODAY()-J880,"")</f>
        <v/>
      </c>
      <c r="O880" s="14"/>
    </row>
    <row r="881" customFormat="false" ht="15" hidden="false" customHeight="false" outlineLevel="0" collapsed="false">
      <c r="A881" s="14"/>
      <c r="B881" s="13"/>
      <c r="C881" s="14"/>
      <c r="D881" s="14"/>
      <c r="E881" s="14"/>
      <c r="F881" s="15"/>
      <c r="G881" s="14"/>
      <c r="H881" s="19" t="str">
        <f aca="false">IF(F881="","",IF(G881="Y",F881*Settings!$B$16,0))</f>
        <v/>
      </c>
      <c r="I881" s="19" t="str">
        <f aca="false">IF(F881="","",F881+H881)</f>
        <v/>
      </c>
      <c r="J881" s="18" t="str">
        <f aca="false">IF(B881="","",B881+Settings!$B$17)</f>
        <v/>
      </c>
      <c r="K881" s="13"/>
      <c r="L881" s="15"/>
      <c r="M881" s="17" t="str">
        <f aca="true">IF(F881="","",IF(AND(L881&lt;&gt;"",L881&gt;=I881),"Paid",IF(AND(L881&lt;&gt;"",L881&gt;0),"Part paid",IF(TODAY()&gt;J881,"Overdue","Due"))))</f>
        <v/>
      </c>
      <c r="N881" s="19" t="str">
        <f aca="true">IF(M881="Overdue",TODAY()-J881,"")</f>
        <v/>
      </c>
      <c r="O881" s="14"/>
    </row>
    <row r="882" customFormat="false" ht="15" hidden="false" customHeight="false" outlineLevel="0" collapsed="false">
      <c r="A882" s="14"/>
      <c r="B882" s="13"/>
      <c r="C882" s="14"/>
      <c r="D882" s="14"/>
      <c r="E882" s="14"/>
      <c r="F882" s="15"/>
      <c r="G882" s="14"/>
      <c r="H882" s="19" t="str">
        <f aca="false">IF(F882="","",IF(G882="Y",F882*Settings!$B$16,0))</f>
        <v/>
      </c>
      <c r="I882" s="19" t="str">
        <f aca="false">IF(F882="","",F882+H882)</f>
        <v/>
      </c>
      <c r="J882" s="18" t="str">
        <f aca="false">IF(B882="","",B882+Settings!$B$17)</f>
        <v/>
      </c>
      <c r="K882" s="13"/>
      <c r="L882" s="15"/>
      <c r="M882" s="17" t="str">
        <f aca="true">IF(F882="","",IF(AND(L882&lt;&gt;"",L882&gt;=I882),"Paid",IF(AND(L882&lt;&gt;"",L882&gt;0),"Part paid",IF(TODAY()&gt;J882,"Overdue","Due"))))</f>
        <v/>
      </c>
      <c r="N882" s="19" t="str">
        <f aca="true">IF(M882="Overdue",TODAY()-J882,"")</f>
        <v/>
      </c>
      <c r="O882" s="14"/>
    </row>
    <row r="883" customFormat="false" ht="15" hidden="false" customHeight="false" outlineLevel="0" collapsed="false">
      <c r="A883" s="14"/>
      <c r="B883" s="13"/>
      <c r="C883" s="14"/>
      <c r="D883" s="14"/>
      <c r="E883" s="14"/>
      <c r="F883" s="15"/>
      <c r="G883" s="14"/>
      <c r="H883" s="19" t="str">
        <f aca="false">IF(F883="","",IF(G883="Y",F883*Settings!$B$16,0))</f>
        <v/>
      </c>
      <c r="I883" s="19" t="str">
        <f aca="false">IF(F883="","",F883+H883)</f>
        <v/>
      </c>
      <c r="J883" s="18" t="str">
        <f aca="false">IF(B883="","",B883+Settings!$B$17)</f>
        <v/>
      </c>
      <c r="K883" s="13"/>
      <c r="L883" s="15"/>
      <c r="M883" s="17" t="str">
        <f aca="true">IF(F883="","",IF(AND(L883&lt;&gt;"",L883&gt;=I883),"Paid",IF(AND(L883&lt;&gt;"",L883&gt;0),"Part paid",IF(TODAY()&gt;J883,"Overdue","Due"))))</f>
        <v/>
      </c>
      <c r="N883" s="19" t="str">
        <f aca="true">IF(M883="Overdue",TODAY()-J883,"")</f>
        <v/>
      </c>
      <c r="O883" s="14"/>
    </row>
    <row r="884" customFormat="false" ht="15" hidden="false" customHeight="false" outlineLevel="0" collapsed="false">
      <c r="A884" s="14"/>
      <c r="B884" s="13"/>
      <c r="C884" s="14"/>
      <c r="D884" s="14"/>
      <c r="E884" s="14"/>
      <c r="F884" s="15"/>
      <c r="G884" s="14"/>
      <c r="H884" s="19" t="str">
        <f aca="false">IF(F884="","",IF(G884="Y",F884*Settings!$B$16,0))</f>
        <v/>
      </c>
      <c r="I884" s="19" t="str">
        <f aca="false">IF(F884="","",F884+H884)</f>
        <v/>
      </c>
      <c r="J884" s="18" t="str">
        <f aca="false">IF(B884="","",B884+Settings!$B$17)</f>
        <v/>
      </c>
      <c r="K884" s="13"/>
      <c r="L884" s="15"/>
      <c r="M884" s="17" t="str">
        <f aca="true">IF(F884="","",IF(AND(L884&lt;&gt;"",L884&gt;=I884),"Paid",IF(AND(L884&lt;&gt;"",L884&gt;0),"Part paid",IF(TODAY()&gt;J884,"Overdue","Due"))))</f>
        <v/>
      </c>
      <c r="N884" s="19" t="str">
        <f aca="true">IF(M884="Overdue",TODAY()-J884,"")</f>
        <v/>
      </c>
      <c r="O884" s="14"/>
    </row>
    <row r="885" customFormat="false" ht="15" hidden="false" customHeight="false" outlineLevel="0" collapsed="false">
      <c r="A885" s="14"/>
      <c r="B885" s="13"/>
      <c r="C885" s="14"/>
      <c r="D885" s="14"/>
      <c r="E885" s="14"/>
      <c r="F885" s="15"/>
      <c r="G885" s="14"/>
      <c r="H885" s="19" t="str">
        <f aca="false">IF(F885="","",IF(G885="Y",F885*Settings!$B$16,0))</f>
        <v/>
      </c>
      <c r="I885" s="19" t="str">
        <f aca="false">IF(F885="","",F885+H885)</f>
        <v/>
      </c>
      <c r="J885" s="18" t="str">
        <f aca="false">IF(B885="","",B885+Settings!$B$17)</f>
        <v/>
      </c>
      <c r="K885" s="13"/>
      <c r="L885" s="15"/>
      <c r="M885" s="17" t="str">
        <f aca="true">IF(F885="","",IF(AND(L885&lt;&gt;"",L885&gt;=I885),"Paid",IF(AND(L885&lt;&gt;"",L885&gt;0),"Part paid",IF(TODAY()&gt;J885,"Overdue","Due"))))</f>
        <v/>
      </c>
      <c r="N885" s="19" t="str">
        <f aca="true">IF(M885="Overdue",TODAY()-J885,"")</f>
        <v/>
      </c>
      <c r="O885" s="14"/>
    </row>
    <row r="886" customFormat="false" ht="15" hidden="false" customHeight="false" outlineLevel="0" collapsed="false">
      <c r="A886" s="14"/>
      <c r="B886" s="13"/>
      <c r="C886" s="14"/>
      <c r="D886" s="14"/>
      <c r="E886" s="14"/>
      <c r="F886" s="15"/>
      <c r="G886" s="14"/>
      <c r="H886" s="19" t="str">
        <f aca="false">IF(F886="","",IF(G886="Y",F886*Settings!$B$16,0))</f>
        <v/>
      </c>
      <c r="I886" s="19" t="str">
        <f aca="false">IF(F886="","",F886+H886)</f>
        <v/>
      </c>
      <c r="J886" s="18" t="str">
        <f aca="false">IF(B886="","",B886+Settings!$B$17)</f>
        <v/>
      </c>
      <c r="K886" s="13"/>
      <c r="L886" s="15"/>
      <c r="M886" s="17" t="str">
        <f aca="true">IF(F886="","",IF(AND(L886&lt;&gt;"",L886&gt;=I886),"Paid",IF(AND(L886&lt;&gt;"",L886&gt;0),"Part paid",IF(TODAY()&gt;J886,"Overdue","Due"))))</f>
        <v/>
      </c>
      <c r="N886" s="19" t="str">
        <f aca="true">IF(M886="Overdue",TODAY()-J886,"")</f>
        <v/>
      </c>
      <c r="O886" s="14"/>
    </row>
    <row r="887" customFormat="false" ht="15" hidden="false" customHeight="false" outlineLevel="0" collapsed="false">
      <c r="A887" s="14"/>
      <c r="B887" s="13"/>
      <c r="C887" s="14"/>
      <c r="D887" s="14"/>
      <c r="E887" s="14"/>
      <c r="F887" s="15"/>
      <c r="G887" s="14"/>
      <c r="H887" s="19" t="str">
        <f aca="false">IF(F887="","",IF(G887="Y",F887*Settings!$B$16,0))</f>
        <v/>
      </c>
      <c r="I887" s="19" t="str">
        <f aca="false">IF(F887="","",F887+H887)</f>
        <v/>
      </c>
      <c r="J887" s="18" t="str">
        <f aca="false">IF(B887="","",B887+Settings!$B$17)</f>
        <v/>
      </c>
      <c r="K887" s="13"/>
      <c r="L887" s="15"/>
      <c r="M887" s="17" t="str">
        <f aca="true">IF(F887="","",IF(AND(L887&lt;&gt;"",L887&gt;=I887),"Paid",IF(AND(L887&lt;&gt;"",L887&gt;0),"Part paid",IF(TODAY()&gt;J887,"Overdue","Due"))))</f>
        <v/>
      </c>
      <c r="N887" s="19" t="str">
        <f aca="true">IF(M887="Overdue",TODAY()-J887,"")</f>
        <v/>
      </c>
      <c r="O887" s="14"/>
    </row>
    <row r="888" customFormat="false" ht="15" hidden="false" customHeight="false" outlineLevel="0" collapsed="false">
      <c r="A888" s="14"/>
      <c r="B888" s="13"/>
      <c r="C888" s="14"/>
      <c r="D888" s="14"/>
      <c r="E888" s="14"/>
      <c r="F888" s="15"/>
      <c r="G888" s="14"/>
      <c r="H888" s="19" t="str">
        <f aca="false">IF(F888="","",IF(G888="Y",F888*Settings!$B$16,0))</f>
        <v/>
      </c>
      <c r="I888" s="19" t="str">
        <f aca="false">IF(F888="","",F888+H888)</f>
        <v/>
      </c>
      <c r="J888" s="18" t="str">
        <f aca="false">IF(B888="","",B888+Settings!$B$17)</f>
        <v/>
      </c>
      <c r="K888" s="13"/>
      <c r="L888" s="15"/>
      <c r="M888" s="17" t="str">
        <f aca="true">IF(F888="","",IF(AND(L888&lt;&gt;"",L888&gt;=I888),"Paid",IF(AND(L888&lt;&gt;"",L888&gt;0),"Part paid",IF(TODAY()&gt;J888,"Overdue","Due"))))</f>
        <v/>
      </c>
      <c r="N888" s="19" t="str">
        <f aca="true">IF(M888="Overdue",TODAY()-J888,"")</f>
        <v/>
      </c>
      <c r="O888" s="14"/>
    </row>
    <row r="889" customFormat="false" ht="15" hidden="false" customHeight="false" outlineLevel="0" collapsed="false">
      <c r="A889" s="14"/>
      <c r="B889" s="13"/>
      <c r="C889" s="14"/>
      <c r="D889" s="14"/>
      <c r="E889" s="14"/>
      <c r="F889" s="15"/>
      <c r="G889" s="14"/>
      <c r="H889" s="19" t="str">
        <f aca="false">IF(F889="","",IF(G889="Y",F889*Settings!$B$16,0))</f>
        <v/>
      </c>
      <c r="I889" s="19" t="str">
        <f aca="false">IF(F889="","",F889+H889)</f>
        <v/>
      </c>
      <c r="J889" s="18" t="str">
        <f aca="false">IF(B889="","",B889+Settings!$B$17)</f>
        <v/>
      </c>
      <c r="K889" s="13"/>
      <c r="L889" s="15"/>
      <c r="M889" s="17" t="str">
        <f aca="true">IF(F889="","",IF(AND(L889&lt;&gt;"",L889&gt;=I889),"Paid",IF(AND(L889&lt;&gt;"",L889&gt;0),"Part paid",IF(TODAY()&gt;J889,"Overdue","Due"))))</f>
        <v/>
      </c>
      <c r="N889" s="19" t="str">
        <f aca="true">IF(M889="Overdue",TODAY()-J889,"")</f>
        <v/>
      </c>
      <c r="O889" s="14"/>
    </row>
    <row r="890" customFormat="false" ht="15" hidden="false" customHeight="false" outlineLevel="0" collapsed="false">
      <c r="A890" s="14"/>
      <c r="B890" s="13"/>
      <c r="C890" s="14"/>
      <c r="D890" s="14"/>
      <c r="E890" s="14"/>
      <c r="F890" s="15"/>
      <c r="G890" s="14"/>
      <c r="H890" s="19" t="str">
        <f aca="false">IF(F890="","",IF(G890="Y",F890*Settings!$B$16,0))</f>
        <v/>
      </c>
      <c r="I890" s="19" t="str">
        <f aca="false">IF(F890="","",F890+H890)</f>
        <v/>
      </c>
      <c r="J890" s="18" t="str">
        <f aca="false">IF(B890="","",B890+Settings!$B$17)</f>
        <v/>
      </c>
      <c r="K890" s="13"/>
      <c r="L890" s="15"/>
      <c r="M890" s="17" t="str">
        <f aca="true">IF(F890="","",IF(AND(L890&lt;&gt;"",L890&gt;=I890),"Paid",IF(AND(L890&lt;&gt;"",L890&gt;0),"Part paid",IF(TODAY()&gt;J890,"Overdue","Due"))))</f>
        <v/>
      </c>
      <c r="N890" s="19" t="str">
        <f aca="true">IF(M890="Overdue",TODAY()-J890,"")</f>
        <v/>
      </c>
      <c r="O890" s="14"/>
    </row>
    <row r="891" customFormat="false" ht="15" hidden="false" customHeight="false" outlineLevel="0" collapsed="false">
      <c r="A891" s="14"/>
      <c r="B891" s="13"/>
      <c r="C891" s="14"/>
      <c r="D891" s="14"/>
      <c r="E891" s="14"/>
      <c r="F891" s="15"/>
      <c r="G891" s="14"/>
      <c r="H891" s="19" t="str">
        <f aca="false">IF(F891="","",IF(G891="Y",F891*Settings!$B$16,0))</f>
        <v/>
      </c>
      <c r="I891" s="19" t="str">
        <f aca="false">IF(F891="","",F891+H891)</f>
        <v/>
      </c>
      <c r="J891" s="18" t="str">
        <f aca="false">IF(B891="","",B891+Settings!$B$17)</f>
        <v/>
      </c>
      <c r="K891" s="13"/>
      <c r="L891" s="15"/>
      <c r="M891" s="17" t="str">
        <f aca="true">IF(F891="","",IF(AND(L891&lt;&gt;"",L891&gt;=I891),"Paid",IF(AND(L891&lt;&gt;"",L891&gt;0),"Part paid",IF(TODAY()&gt;J891,"Overdue","Due"))))</f>
        <v/>
      </c>
      <c r="N891" s="19" t="str">
        <f aca="true">IF(M891="Overdue",TODAY()-J891,"")</f>
        <v/>
      </c>
      <c r="O891" s="14"/>
    </row>
    <row r="892" customFormat="false" ht="15" hidden="false" customHeight="false" outlineLevel="0" collapsed="false">
      <c r="A892" s="14"/>
      <c r="B892" s="13"/>
      <c r="C892" s="14"/>
      <c r="D892" s="14"/>
      <c r="E892" s="14"/>
      <c r="F892" s="15"/>
      <c r="G892" s="14"/>
      <c r="H892" s="19" t="str">
        <f aca="false">IF(F892="","",IF(G892="Y",F892*Settings!$B$16,0))</f>
        <v/>
      </c>
      <c r="I892" s="19" t="str">
        <f aca="false">IF(F892="","",F892+H892)</f>
        <v/>
      </c>
      <c r="J892" s="18" t="str">
        <f aca="false">IF(B892="","",B892+Settings!$B$17)</f>
        <v/>
      </c>
      <c r="K892" s="13"/>
      <c r="L892" s="15"/>
      <c r="M892" s="17" t="str">
        <f aca="true">IF(F892="","",IF(AND(L892&lt;&gt;"",L892&gt;=I892),"Paid",IF(AND(L892&lt;&gt;"",L892&gt;0),"Part paid",IF(TODAY()&gt;J892,"Overdue","Due"))))</f>
        <v/>
      </c>
      <c r="N892" s="19" t="str">
        <f aca="true">IF(M892="Overdue",TODAY()-J892,"")</f>
        <v/>
      </c>
      <c r="O892" s="14"/>
    </row>
    <row r="893" customFormat="false" ht="15" hidden="false" customHeight="false" outlineLevel="0" collapsed="false">
      <c r="A893" s="14"/>
      <c r="B893" s="13"/>
      <c r="C893" s="14"/>
      <c r="D893" s="14"/>
      <c r="E893" s="14"/>
      <c r="F893" s="15"/>
      <c r="G893" s="14"/>
      <c r="H893" s="19" t="str">
        <f aca="false">IF(F893="","",IF(G893="Y",F893*Settings!$B$16,0))</f>
        <v/>
      </c>
      <c r="I893" s="19" t="str">
        <f aca="false">IF(F893="","",F893+H893)</f>
        <v/>
      </c>
      <c r="J893" s="18" t="str">
        <f aca="false">IF(B893="","",B893+Settings!$B$17)</f>
        <v/>
      </c>
      <c r="K893" s="13"/>
      <c r="L893" s="15"/>
      <c r="M893" s="17" t="str">
        <f aca="true">IF(F893="","",IF(AND(L893&lt;&gt;"",L893&gt;=I893),"Paid",IF(AND(L893&lt;&gt;"",L893&gt;0),"Part paid",IF(TODAY()&gt;J893,"Overdue","Due"))))</f>
        <v/>
      </c>
      <c r="N893" s="19" t="str">
        <f aca="true">IF(M893="Overdue",TODAY()-J893,"")</f>
        <v/>
      </c>
      <c r="O893" s="14"/>
    </row>
    <row r="894" customFormat="false" ht="15" hidden="false" customHeight="false" outlineLevel="0" collapsed="false">
      <c r="A894" s="14"/>
      <c r="B894" s="13"/>
      <c r="C894" s="14"/>
      <c r="D894" s="14"/>
      <c r="E894" s="14"/>
      <c r="F894" s="15"/>
      <c r="G894" s="14"/>
      <c r="H894" s="19" t="str">
        <f aca="false">IF(F894="","",IF(G894="Y",F894*Settings!$B$16,0))</f>
        <v/>
      </c>
      <c r="I894" s="19" t="str">
        <f aca="false">IF(F894="","",F894+H894)</f>
        <v/>
      </c>
      <c r="J894" s="18" t="str">
        <f aca="false">IF(B894="","",B894+Settings!$B$17)</f>
        <v/>
      </c>
      <c r="K894" s="13"/>
      <c r="L894" s="15"/>
      <c r="M894" s="17" t="str">
        <f aca="true">IF(F894="","",IF(AND(L894&lt;&gt;"",L894&gt;=I894),"Paid",IF(AND(L894&lt;&gt;"",L894&gt;0),"Part paid",IF(TODAY()&gt;J894,"Overdue","Due"))))</f>
        <v/>
      </c>
      <c r="N894" s="19" t="str">
        <f aca="true">IF(M894="Overdue",TODAY()-J894,"")</f>
        <v/>
      </c>
      <c r="O894" s="14"/>
    </row>
    <row r="895" customFormat="false" ht="15" hidden="false" customHeight="false" outlineLevel="0" collapsed="false">
      <c r="A895" s="14"/>
      <c r="B895" s="13"/>
      <c r="C895" s="14"/>
      <c r="D895" s="14"/>
      <c r="E895" s="14"/>
      <c r="F895" s="15"/>
      <c r="G895" s="14"/>
      <c r="H895" s="19" t="str">
        <f aca="false">IF(F895="","",IF(G895="Y",F895*Settings!$B$16,0))</f>
        <v/>
      </c>
      <c r="I895" s="19" t="str">
        <f aca="false">IF(F895="","",F895+H895)</f>
        <v/>
      </c>
      <c r="J895" s="18" t="str">
        <f aca="false">IF(B895="","",B895+Settings!$B$17)</f>
        <v/>
      </c>
      <c r="K895" s="13"/>
      <c r="L895" s="15"/>
      <c r="M895" s="17" t="str">
        <f aca="true">IF(F895="","",IF(AND(L895&lt;&gt;"",L895&gt;=I895),"Paid",IF(AND(L895&lt;&gt;"",L895&gt;0),"Part paid",IF(TODAY()&gt;J895,"Overdue","Due"))))</f>
        <v/>
      </c>
      <c r="N895" s="19" t="str">
        <f aca="true">IF(M895="Overdue",TODAY()-J895,"")</f>
        <v/>
      </c>
      <c r="O895" s="14"/>
    </row>
    <row r="896" customFormat="false" ht="15" hidden="false" customHeight="false" outlineLevel="0" collapsed="false">
      <c r="A896" s="14"/>
      <c r="B896" s="13"/>
      <c r="C896" s="14"/>
      <c r="D896" s="14"/>
      <c r="E896" s="14"/>
      <c r="F896" s="15"/>
      <c r="G896" s="14"/>
      <c r="H896" s="19" t="str">
        <f aca="false">IF(F896="","",IF(G896="Y",F896*Settings!$B$16,0))</f>
        <v/>
      </c>
      <c r="I896" s="19" t="str">
        <f aca="false">IF(F896="","",F896+H896)</f>
        <v/>
      </c>
      <c r="J896" s="18" t="str">
        <f aca="false">IF(B896="","",B896+Settings!$B$17)</f>
        <v/>
      </c>
      <c r="K896" s="13"/>
      <c r="L896" s="15"/>
      <c r="M896" s="17" t="str">
        <f aca="true">IF(F896="","",IF(AND(L896&lt;&gt;"",L896&gt;=I896),"Paid",IF(AND(L896&lt;&gt;"",L896&gt;0),"Part paid",IF(TODAY()&gt;J896,"Overdue","Due"))))</f>
        <v/>
      </c>
      <c r="N896" s="19" t="str">
        <f aca="true">IF(M896="Overdue",TODAY()-J896,"")</f>
        <v/>
      </c>
      <c r="O896" s="14"/>
    </row>
    <row r="897" customFormat="false" ht="15" hidden="false" customHeight="false" outlineLevel="0" collapsed="false">
      <c r="A897" s="14"/>
      <c r="B897" s="13"/>
      <c r="C897" s="14"/>
      <c r="D897" s="14"/>
      <c r="E897" s="14"/>
      <c r="F897" s="15"/>
      <c r="G897" s="14"/>
      <c r="H897" s="19" t="str">
        <f aca="false">IF(F897="","",IF(G897="Y",F897*Settings!$B$16,0))</f>
        <v/>
      </c>
      <c r="I897" s="19" t="str">
        <f aca="false">IF(F897="","",F897+H897)</f>
        <v/>
      </c>
      <c r="J897" s="18" t="str">
        <f aca="false">IF(B897="","",B897+Settings!$B$17)</f>
        <v/>
      </c>
      <c r="K897" s="13"/>
      <c r="L897" s="15"/>
      <c r="M897" s="17" t="str">
        <f aca="true">IF(F897="","",IF(AND(L897&lt;&gt;"",L897&gt;=I897),"Paid",IF(AND(L897&lt;&gt;"",L897&gt;0),"Part paid",IF(TODAY()&gt;J897,"Overdue","Due"))))</f>
        <v/>
      </c>
      <c r="N897" s="19" t="str">
        <f aca="true">IF(M897="Overdue",TODAY()-J897,"")</f>
        <v/>
      </c>
      <c r="O897" s="14"/>
    </row>
    <row r="898" customFormat="false" ht="15" hidden="false" customHeight="false" outlineLevel="0" collapsed="false">
      <c r="A898" s="14"/>
      <c r="B898" s="13"/>
      <c r="C898" s="14"/>
      <c r="D898" s="14"/>
      <c r="E898" s="14"/>
      <c r="F898" s="15"/>
      <c r="G898" s="14"/>
      <c r="H898" s="19" t="str">
        <f aca="false">IF(F898="","",IF(G898="Y",F898*Settings!$B$16,0))</f>
        <v/>
      </c>
      <c r="I898" s="19" t="str">
        <f aca="false">IF(F898="","",F898+H898)</f>
        <v/>
      </c>
      <c r="J898" s="18" t="str">
        <f aca="false">IF(B898="","",B898+Settings!$B$17)</f>
        <v/>
      </c>
      <c r="K898" s="13"/>
      <c r="L898" s="15"/>
      <c r="M898" s="17" t="str">
        <f aca="true">IF(F898="","",IF(AND(L898&lt;&gt;"",L898&gt;=I898),"Paid",IF(AND(L898&lt;&gt;"",L898&gt;0),"Part paid",IF(TODAY()&gt;J898,"Overdue","Due"))))</f>
        <v/>
      </c>
      <c r="N898" s="19" t="str">
        <f aca="true">IF(M898="Overdue",TODAY()-J898,"")</f>
        <v/>
      </c>
      <c r="O898" s="14"/>
    </row>
    <row r="899" customFormat="false" ht="15" hidden="false" customHeight="false" outlineLevel="0" collapsed="false">
      <c r="A899" s="14"/>
      <c r="B899" s="13"/>
      <c r="C899" s="14"/>
      <c r="D899" s="14"/>
      <c r="E899" s="14"/>
      <c r="F899" s="15"/>
      <c r="G899" s="14"/>
      <c r="H899" s="19" t="str">
        <f aca="false">IF(F899="","",IF(G899="Y",F899*Settings!$B$16,0))</f>
        <v/>
      </c>
      <c r="I899" s="19" t="str">
        <f aca="false">IF(F899="","",F899+H899)</f>
        <v/>
      </c>
      <c r="J899" s="18" t="str">
        <f aca="false">IF(B899="","",B899+Settings!$B$17)</f>
        <v/>
      </c>
      <c r="K899" s="13"/>
      <c r="L899" s="15"/>
      <c r="M899" s="17" t="str">
        <f aca="true">IF(F899="","",IF(AND(L899&lt;&gt;"",L899&gt;=I899),"Paid",IF(AND(L899&lt;&gt;"",L899&gt;0),"Part paid",IF(TODAY()&gt;J899,"Overdue","Due"))))</f>
        <v/>
      </c>
      <c r="N899" s="19" t="str">
        <f aca="true">IF(M899="Overdue",TODAY()-J899,"")</f>
        <v/>
      </c>
      <c r="O899" s="14"/>
    </row>
    <row r="900" customFormat="false" ht="15" hidden="false" customHeight="false" outlineLevel="0" collapsed="false">
      <c r="A900" s="14"/>
      <c r="B900" s="13"/>
      <c r="C900" s="14"/>
      <c r="D900" s="14"/>
      <c r="E900" s="14"/>
      <c r="F900" s="15"/>
      <c r="G900" s="14"/>
      <c r="H900" s="19" t="str">
        <f aca="false">IF(F900="","",IF(G900="Y",F900*Settings!$B$16,0))</f>
        <v/>
      </c>
      <c r="I900" s="19" t="str">
        <f aca="false">IF(F900="","",F900+H900)</f>
        <v/>
      </c>
      <c r="J900" s="18" t="str">
        <f aca="false">IF(B900="","",B900+Settings!$B$17)</f>
        <v/>
      </c>
      <c r="K900" s="13"/>
      <c r="L900" s="15"/>
      <c r="M900" s="17" t="str">
        <f aca="true">IF(F900="","",IF(AND(L900&lt;&gt;"",L900&gt;=I900),"Paid",IF(AND(L900&lt;&gt;"",L900&gt;0),"Part paid",IF(TODAY()&gt;J900,"Overdue","Due"))))</f>
        <v/>
      </c>
      <c r="N900" s="19" t="str">
        <f aca="true">IF(M900="Overdue",TODAY()-J900,"")</f>
        <v/>
      </c>
      <c r="O900" s="14"/>
    </row>
    <row r="901" customFormat="false" ht="15" hidden="false" customHeight="false" outlineLevel="0" collapsed="false">
      <c r="A901" s="14"/>
      <c r="B901" s="13"/>
      <c r="C901" s="14"/>
      <c r="D901" s="14"/>
      <c r="E901" s="14"/>
      <c r="F901" s="15"/>
      <c r="G901" s="14"/>
      <c r="H901" s="19" t="str">
        <f aca="false">IF(F901="","",IF(G901="Y",F901*Settings!$B$16,0))</f>
        <v/>
      </c>
      <c r="I901" s="19" t="str">
        <f aca="false">IF(F901="","",F901+H901)</f>
        <v/>
      </c>
      <c r="J901" s="18" t="str">
        <f aca="false">IF(B901="","",B901+Settings!$B$17)</f>
        <v/>
      </c>
      <c r="K901" s="13"/>
      <c r="L901" s="15"/>
      <c r="M901" s="17" t="str">
        <f aca="true">IF(F901="","",IF(AND(L901&lt;&gt;"",L901&gt;=I901),"Paid",IF(AND(L901&lt;&gt;"",L901&gt;0),"Part paid",IF(TODAY()&gt;J901,"Overdue","Due"))))</f>
        <v/>
      </c>
      <c r="N901" s="19" t="str">
        <f aca="true">IF(M901="Overdue",TODAY()-J901,"")</f>
        <v/>
      </c>
      <c r="O901" s="14"/>
    </row>
    <row r="902" customFormat="false" ht="15" hidden="false" customHeight="false" outlineLevel="0" collapsed="false">
      <c r="A902" s="14"/>
      <c r="B902" s="13"/>
      <c r="C902" s="14"/>
      <c r="D902" s="14"/>
      <c r="E902" s="14"/>
      <c r="F902" s="15"/>
      <c r="G902" s="14"/>
      <c r="H902" s="19" t="str">
        <f aca="false">IF(F902="","",IF(G902="Y",F902*Settings!$B$16,0))</f>
        <v/>
      </c>
      <c r="I902" s="19" t="str">
        <f aca="false">IF(F902="","",F902+H902)</f>
        <v/>
      </c>
      <c r="J902" s="18" t="str">
        <f aca="false">IF(B902="","",B902+Settings!$B$17)</f>
        <v/>
      </c>
      <c r="K902" s="13"/>
      <c r="L902" s="15"/>
      <c r="M902" s="17" t="str">
        <f aca="true">IF(F902="","",IF(AND(L902&lt;&gt;"",L902&gt;=I902),"Paid",IF(AND(L902&lt;&gt;"",L902&gt;0),"Part paid",IF(TODAY()&gt;J902,"Overdue","Due"))))</f>
        <v/>
      </c>
      <c r="N902" s="19" t="str">
        <f aca="true">IF(M902="Overdue",TODAY()-J902,"")</f>
        <v/>
      </c>
      <c r="O902" s="14"/>
    </row>
    <row r="903" customFormat="false" ht="15" hidden="false" customHeight="false" outlineLevel="0" collapsed="false">
      <c r="A903" s="14"/>
      <c r="B903" s="13"/>
      <c r="C903" s="14"/>
      <c r="D903" s="14"/>
      <c r="E903" s="14"/>
      <c r="F903" s="15"/>
      <c r="G903" s="14"/>
      <c r="H903" s="19" t="str">
        <f aca="false">IF(F903="","",IF(G903="Y",F903*Settings!$B$16,0))</f>
        <v/>
      </c>
      <c r="I903" s="19" t="str">
        <f aca="false">IF(F903="","",F903+H903)</f>
        <v/>
      </c>
      <c r="J903" s="18" t="str">
        <f aca="false">IF(B903="","",B903+Settings!$B$17)</f>
        <v/>
      </c>
      <c r="K903" s="13"/>
      <c r="L903" s="15"/>
      <c r="M903" s="17" t="str">
        <f aca="true">IF(F903="","",IF(AND(L903&lt;&gt;"",L903&gt;=I903),"Paid",IF(AND(L903&lt;&gt;"",L903&gt;0),"Part paid",IF(TODAY()&gt;J903,"Overdue","Due"))))</f>
        <v/>
      </c>
      <c r="N903" s="19" t="str">
        <f aca="true">IF(M903="Overdue",TODAY()-J903,"")</f>
        <v/>
      </c>
      <c r="O903" s="14"/>
    </row>
    <row r="904" customFormat="false" ht="15" hidden="false" customHeight="false" outlineLevel="0" collapsed="false">
      <c r="A904" s="14"/>
      <c r="B904" s="13"/>
      <c r="C904" s="14"/>
      <c r="D904" s="14"/>
      <c r="E904" s="14"/>
      <c r="F904" s="15"/>
      <c r="G904" s="14"/>
      <c r="H904" s="19" t="str">
        <f aca="false">IF(F904="","",IF(G904="Y",F904*Settings!$B$16,0))</f>
        <v/>
      </c>
      <c r="I904" s="19" t="str">
        <f aca="false">IF(F904="","",F904+H904)</f>
        <v/>
      </c>
      <c r="J904" s="18" t="str">
        <f aca="false">IF(B904="","",B904+Settings!$B$17)</f>
        <v/>
      </c>
      <c r="K904" s="13"/>
      <c r="L904" s="15"/>
      <c r="M904" s="17" t="str">
        <f aca="true">IF(F904="","",IF(AND(L904&lt;&gt;"",L904&gt;=I904),"Paid",IF(AND(L904&lt;&gt;"",L904&gt;0),"Part paid",IF(TODAY()&gt;J904,"Overdue","Due"))))</f>
        <v/>
      </c>
      <c r="N904" s="19" t="str">
        <f aca="true">IF(M904="Overdue",TODAY()-J904,"")</f>
        <v/>
      </c>
      <c r="O904" s="14"/>
    </row>
    <row r="905" customFormat="false" ht="15" hidden="false" customHeight="false" outlineLevel="0" collapsed="false">
      <c r="A905" s="14"/>
      <c r="B905" s="13"/>
      <c r="C905" s="14"/>
      <c r="D905" s="14"/>
      <c r="E905" s="14"/>
      <c r="F905" s="15"/>
      <c r="G905" s="14"/>
      <c r="H905" s="19" t="str">
        <f aca="false">IF(F905="","",IF(G905="Y",F905*Settings!$B$16,0))</f>
        <v/>
      </c>
      <c r="I905" s="19" t="str">
        <f aca="false">IF(F905="","",F905+H905)</f>
        <v/>
      </c>
      <c r="J905" s="18" t="str">
        <f aca="false">IF(B905="","",B905+Settings!$B$17)</f>
        <v/>
      </c>
      <c r="K905" s="13"/>
      <c r="L905" s="15"/>
      <c r="M905" s="17" t="str">
        <f aca="true">IF(F905="","",IF(AND(L905&lt;&gt;"",L905&gt;=I905),"Paid",IF(AND(L905&lt;&gt;"",L905&gt;0),"Part paid",IF(TODAY()&gt;J905,"Overdue","Due"))))</f>
        <v/>
      </c>
      <c r="N905" s="19" t="str">
        <f aca="true">IF(M905="Overdue",TODAY()-J905,"")</f>
        <v/>
      </c>
      <c r="O905" s="14"/>
    </row>
    <row r="906" customFormat="false" ht="15" hidden="false" customHeight="false" outlineLevel="0" collapsed="false">
      <c r="A906" s="14"/>
      <c r="B906" s="13"/>
      <c r="C906" s="14"/>
      <c r="D906" s="14"/>
      <c r="E906" s="14"/>
      <c r="F906" s="15"/>
      <c r="G906" s="14"/>
      <c r="H906" s="19" t="str">
        <f aca="false">IF(F906="","",IF(G906="Y",F906*Settings!$B$16,0))</f>
        <v/>
      </c>
      <c r="I906" s="19" t="str">
        <f aca="false">IF(F906="","",F906+H906)</f>
        <v/>
      </c>
      <c r="J906" s="18" t="str">
        <f aca="false">IF(B906="","",B906+Settings!$B$17)</f>
        <v/>
      </c>
      <c r="K906" s="13"/>
      <c r="L906" s="15"/>
      <c r="M906" s="17" t="str">
        <f aca="true">IF(F906="","",IF(AND(L906&lt;&gt;"",L906&gt;=I906),"Paid",IF(AND(L906&lt;&gt;"",L906&gt;0),"Part paid",IF(TODAY()&gt;J906,"Overdue","Due"))))</f>
        <v/>
      </c>
      <c r="N906" s="19" t="str">
        <f aca="true">IF(M906="Overdue",TODAY()-J906,"")</f>
        <v/>
      </c>
      <c r="O906" s="14"/>
    </row>
    <row r="907" customFormat="false" ht="15" hidden="false" customHeight="false" outlineLevel="0" collapsed="false">
      <c r="A907" s="14"/>
      <c r="B907" s="13"/>
      <c r="C907" s="14"/>
      <c r="D907" s="14"/>
      <c r="E907" s="14"/>
      <c r="F907" s="15"/>
      <c r="G907" s="14"/>
      <c r="H907" s="19" t="str">
        <f aca="false">IF(F907="","",IF(G907="Y",F907*Settings!$B$16,0))</f>
        <v/>
      </c>
      <c r="I907" s="19" t="str">
        <f aca="false">IF(F907="","",F907+H907)</f>
        <v/>
      </c>
      <c r="J907" s="18" t="str">
        <f aca="false">IF(B907="","",B907+Settings!$B$17)</f>
        <v/>
      </c>
      <c r="K907" s="13"/>
      <c r="L907" s="15"/>
      <c r="M907" s="17" t="str">
        <f aca="true">IF(F907="","",IF(AND(L907&lt;&gt;"",L907&gt;=I907),"Paid",IF(AND(L907&lt;&gt;"",L907&gt;0),"Part paid",IF(TODAY()&gt;J907,"Overdue","Due"))))</f>
        <v/>
      </c>
      <c r="N907" s="19" t="str">
        <f aca="true">IF(M907="Overdue",TODAY()-J907,"")</f>
        <v/>
      </c>
      <c r="O907" s="14"/>
    </row>
    <row r="908" customFormat="false" ht="15" hidden="false" customHeight="false" outlineLevel="0" collapsed="false">
      <c r="A908" s="14"/>
      <c r="B908" s="13"/>
      <c r="C908" s="14"/>
      <c r="D908" s="14"/>
      <c r="E908" s="14"/>
      <c r="F908" s="15"/>
      <c r="G908" s="14"/>
      <c r="H908" s="19" t="str">
        <f aca="false">IF(F908="","",IF(G908="Y",F908*Settings!$B$16,0))</f>
        <v/>
      </c>
      <c r="I908" s="19" t="str">
        <f aca="false">IF(F908="","",F908+H908)</f>
        <v/>
      </c>
      <c r="J908" s="18" t="str">
        <f aca="false">IF(B908="","",B908+Settings!$B$17)</f>
        <v/>
      </c>
      <c r="K908" s="13"/>
      <c r="L908" s="15"/>
      <c r="M908" s="17" t="str">
        <f aca="true">IF(F908="","",IF(AND(L908&lt;&gt;"",L908&gt;=I908),"Paid",IF(AND(L908&lt;&gt;"",L908&gt;0),"Part paid",IF(TODAY()&gt;J908,"Overdue","Due"))))</f>
        <v/>
      </c>
      <c r="N908" s="19" t="str">
        <f aca="true">IF(M908="Overdue",TODAY()-J908,"")</f>
        <v/>
      </c>
      <c r="O908" s="14"/>
    </row>
    <row r="909" customFormat="false" ht="15" hidden="false" customHeight="false" outlineLevel="0" collapsed="false">
      <c r="A909" s="14"/>
      <c r="B909" s="13"/>
      <c r="C909" s="14"/>
      <c r="D909" s="14"/>
      <c r="E909" s="14"/>
      <c r="F909" s="15"/>
      <c r="G909" s="14"/>
      <c r="H909" s="19" t="str">
        <f aca="false">IF(F909="","",IF(G909="Y",F909*Settings!$B$16,0))</f>
        <v/>
      </c>
      <c r="I909" s="19" t="str">
        <f aca="false">IF(F909="","",F909+H909)</f>
        <v/>
      </c>
      <c r="J909" s="18" t="str">
        <f aca="false">IF(B909="","",B909+Settings!$B$17)</f>
        <v/>
      </c>
      <c r="K909" s="13"/>
      <c r="L909" s="15"/>
      <c r="M909" s="17" t="str">
        <f aca="true">IF(F909="","",IF(AND(L909&lt;&gt;"",L909&gt;=I909),"Paid",IF(AND(L909&lt;&gt;"",L909&gt;0),"Part paid",IF(TODAY()&gt;J909,"Overdue","Due"))))</f>
        <v/>
      </c>
      <c r="N909" s="19" t="str">
        <f aca="true">IF(M909="Overdue",TODAY()-J909,"")</f>
        <v/>
      </c>
      <c r="O909" s="14"/>
    </row>
    <row r="910" customFormat="false" ht="15" hidden="false" customHeight="false" outlineLevel="0" collapsed="false">
      <c r="A910" s="14"/>
      <c r="B910" s="13"/>
      <c r="C910" s="14"/>
      <c r="D910" s="14"/>
      <c r="E910" s="14"/>
      <c r="F910" s="15"/>
      <c r="G910" s="14"/>
      <c r="H910" s="19" t="str">
        <f aca="false">IF(F910="","",IF(G910="Y",F910*Settings!$B$16,0))</f>
        <v/>
      </c>
      <c r="I910" s="19" t="str">
        <f aca="false">IF(F910="","",F910+H910)</f>
        <v/>
      </c>
      <c r="J910" s="18" t="str">
        <f aca="false">IF(B910="","",B910+Settings!$B$17)</f>
        <v/>
      </c>
      <c r="K910" s="13"/>
      <c r="L910" s="15"/>
      <c r="M910" s="17" t="str">
        <f aca="true">IF(F910="","",IF(AND(L910&lt;&gt;"",L910&gt;=I910),"Paid",IF(AND(L910&lt;&gt;"",L910&gt;0),"Part paid",IF(TODAY()&gt;J910,"Overdue","Due"))))</f>
        <v/>
      </c>
      <c r="N910" s="19" t="str">
        <f aca="true">IF(M910="Overdue",TODAY()-J910,"")</f>
        <v/>
      </c>
      <c r="O910" s="14"/>
    </row>
    <row r="911" customFormat="false" ht="15" hidden="false" customHeight="false" outlineLevel="0" collapsed="false">
      <c r="A911" s="14"/>
      <c r="B911" s="13"/>
      <c r="C911" s="14"/>
      <c r="D911" s="14"/>
      <c r="E911" s="14"/>
      <c r="F911" s="15"/>
      <c r="G911" s="14"/>
      <c r="H911" s="19" t="str">
        <f aca="false">IF(F911="","",IF(G911="Y",F911*Settings!$B$16,0))</f>
        <v/>
      </c>
      <c r="I911" s="19" t="str">
        <f aca="false">IF(F911="","",F911+H911)</f>
        <v/>
      </c>
      <c r="J911" s="18" t="str">
        <f aca="false">IF(B911="","",B911+Settings!$B$17)</f>
        <v/>
      </c>
      <c r="K911" s="13"/>
      <c r="L911" s="15"/>
      <c r="M911" s="17" t="str">
        <f aca="true">IF(F911="","",IF(AND(L911&lt;&gt;"",L911&gt;=I911),"Paid",IF(AND(L911&lt;&gt;"",L911&gt;0),"Part paid",IF(TODAY()&gt;J911,"Overdue","Due"))))</f>
        <v/>
      </c>
      <c r="N911" s="19" t="str">
        <f aca="true">IF(M911="Overdue",TODAY()-J911,"")</f>
        <v/>
      </c>
      <c r="O911" s="14"/>
    </row>
    <row r="912" customFormat="false" ht="15" hidden="false" customHeight="false" outlineLevel="0" collapsed="false">
      <c r="A912" s="14"/>
      <c r="B912" s="13"/>
      <c r="C912" s="14"/>
      <c r="D912" s="14"/>
      <c r="E912" s="14"/>
      <c r="F912" s="15"/>
      <c r="G912" s="14"/>
      <c r="H912" s="19" t="str">
        <f aca="false">IF(F912="","",IF(G912="Y",F912*Settings!$B$16,0))</f>
        <v/>
      </c>
      <c r="I912" s="19" t="str">
        <f aca="false">IF(F912="","",F912+H912)</f>
        <v/>
      </c>
      <c r="J912" s="18" t="str">
        <f aca="false">IF(B912="","",B912+Settings!$B$17)</f>
        <v/>
      </c>
      <c r="K912" s="13"/>
      <c r="L912" s="15"/>
      <c r="M912" s="17" t="str">
        <f aca="true">IF(F912="","",IF(AND(L912&lt;&gt;"",L912&gt;=I912),"Paid",IF(AND(L912&lt;&gt;"",L912&gt;0),"Part paid",IF(TODAY()&gt;J912,"Overdue","Due"))))</f>
        <v/>
      </c>
      <c r="N912" s="19" t="str">
        <f aca="true">IF(M912="Overdue",TODAY()-J912,"")</f>
        <v/>
      </c>
      <c r="O912" s="14"/>
    </row>
    <row r="913" customFormat="false" ht="15" hidden="false" customHeight="false" outlineLevel="0" collapsed="false">
      <c r="A913" s="14"/>
      <c r="B913" s="13"/>
      <c r="C913" s="14"/>
      <c r="D913" s="14"/>
      <c r="E913" s="14"/>
      <c r="F913" s="15"/>
      <c r="G913" s="14"/>
      <c r="H913" s="19" t="str">
        <f aca="false">IF(F913="","",IF(G913="Y",F913*Settings!$B$16,0))</f>
        <v/>
      </c>
      <c r="I913" s="19" t="str">
        <f aca="false">IF(F913="","",F913+H913)</f>
        <v/>
      </c>
      <c r="J913" s="18" t="str">
        <f aca="false">IF(B913="","",B913+Settings!$B$17)</f>
        <v/>
      </c>
      <c r="K913" s="13"/>
      <c r="L913" s="15"/>
      <c r="M913" s="17" t="str">
        <f aca="true">IF(F913="","",IF(AND(L913&lt;&gt;"",L913&gt;=I913),"Paid",IF(AND(L913&lt;&gt;"",L913&gt;0),"Part paid",IF(TODAY()&gt;J913,"Overdue","Due"))))</f>
        <v/>
      </c>
      <c r="N913" s="19" t="str">
        <f aca="true">IF(M913="Overdue",TODAY()-J913,"")</f>
        <v/>
      </c>
      <c r="O913" s="14"/>
    </row>
    <row r="914" customFormat="false" ht="15" hidden="false" customHeight="false" outlineLevel="0" collapsed="false">
      <c r="A914" s="14"/>
      <c r="B914" s="13"/>
      <c r="C914" s="14"/>
      <c r="D914" s="14"/>
      <c r="E914" s="14"/>
      <c r="F914" s="15"/>
      <c r="G914" s="14"/>
      <c r="H914" s="19" t="str">
        <f aca="false">IF(F914="","",IF(G914="Y",F914*Settings!$B$16,0))</f>
        <v/>
      </c>
      <c r="I914" s="19" t="str">
        <f aca="false">IF(F914="","",F914+H914)</f>
        <v/>
      </c>
      <c r="J914" s="18" t="str">
        <f aca="false">IF(B914="","",B914+Settings!$B$17)</f>
        <v/>
      </c>
      <c r="K914" s="13"/>
      <c r="L914" s="15"/>
      <c r="M914" s="17" t="str">
        <f aca="true">IF(F914="","",IF(AND(L914&lt;&gt;"",L914&gt;=I914),"Paid",IF(AND(L914&lt;&gt;"",L914&gt;0),"Part paid",IF(TODAY()&gt;J914,"Overdue","Due"))))</f>
        <v/>
      </c>
      <c r="N914" s="19" t="str">
        <f aca="true">IF(M914="Overdue",TODAY()-J914,"")</f>
        <v/>
      </c>
      <c r="O914" s="14"/>
    </row>
    <row r="915" customFormat="false" ht="15" hidden="false" customHeight="false" outlineLevel="0" collapsed="false">
      <c r="A915" s="14"/>
      <c r="B915" s="13"/>
      <c r="C915" s="14"/>
      <c r="D915" s="14"/>
      <c r="E915" s="14"/>
      <c r="F915" s="15"/>
      <c r="G915" s="14"/>
      <c r="H915" s="19" t="str">
        <f aca="false">IF(F915="","",IF(G915="Y",F915*Settings!$B$16,0))</f>
        <v/>
      </c>
      <c r="I915" s="19" t="str">
        <f aca="false">IF(F915="","",F915+H915)</f>
        <v/>
      </c>
      <c r="J915" s="18" t="str">
        <f aca="false">IF(B915="","",B915+Settings!$B$17)</f>
        <v/>
      </c>
      <c r="K915" s="13"/>
      <c r="L915" s="15"/>
      <c r="M915" s="17" t="str">
        <f aca="true">IF(F915="","",IF(AND(L915&lt;&gt;"",L915&gt;=I915),"Paid",IF(AND(L915&lt;&gt;"",L915&gt;0),"Part paid",IF(TODAY()&gt;J915,"Overdue","Due"))))</f>
        <v/>
      </c>
      <c r="N915" s="19" t="str">
        <f aca="true">IF(M915="Overdue",TODAY()-J915,"")</f>
        <v/>
      </c>
      <c r="O915" s="14"/>
    </row>
    <row r="916" customFormat="false" ht="15" hidden="false" customHeight="false" outlineLevel="0" collapsed="false">
      <c r="A916" s="14"/>
      <c r="B916" s="13"/>
      <c r="C916" s="14"/>
      <c r="D916" s="14"/>
      <c r="E916" s="14"/>
      <c r="F916" s="15"/>
      <c r="G916" s="14"/>
      <c r="H916" s="19" t="str">
        <f aca="false">IF(F916="","",IF(G916="Y",F916*Settings!$B$16,0))</f>
        <v/>
      </c>
      <c r="I916" s="19" t="str">
        <f aca="false">IF(F916="","",F916+H916)</f>
        <v/>
      </c>
      <c r="J916" s="18" t="str">
        <f aca="false">IF(B916="","",B916+Settings!$B$17)</f>
        <v/>
      </c>
      <c r="K916" s="13"/>
      <c r="L916" s="15"/>
      <c r="M916" s="17" t="str">
        <f aca="true">IF(F916="","",IF(AND(L916&lt;&gt;"",L916&gt;=I916),"Paid",IF(AND(L916&lt;&gt;"",L916&gt;0),"Part paid",IF(TODAY()&gt;J916,"Overdue","Due"))))</f>
        <v/>
      </c>
      <c r="N916" s="19" t="str">
        <f aca="true">IF(M916="Overdue",TODAY()-J916,"")</f>
        <v/>
      </c>
      <c r="O916" s="14"/>
    </row>
    <row r="917" customFormat="false" ht="15" hidden="false" customHeight="false" outlineLevel="0" collapsed="false">
      <c r="A917" s="14"/>
      <c r="B917" s="13"/>
      <c r="C917" s="14"/>
      <c r="D917" s="14"/>
      <c r="E917" s="14"/>
      <c r="F917" s="15"/>
      <c r="G917" s="14"/>
      <c r="H917" s="19" t="str">
        <f aca="false">IF(F917="","",IF(G917="Y",F917*Settings!$B$16,0))</f>
        <v/>
      </c>
      <c r="I917" s="19" t="str">
        <f aca="false">IF(F917="","",F917+H917)</f>
        <v/>
      </c>
      <c r="J917" s="18" t="str">
        <f aca="false">IF(B917="","",B917+Settings!$B$17)</f>
        <v/>
      </c>
      <c r="K917" s="13"/>
      <c r="L917" s="15"/>
      <c r="M917" s="17" t="str">
        <f aca="true">IF(F917="","",IF(AND(L917&lt;&gt;"",L917&gt;=I917),"Paid",IF(AND(L917&lt;&gt;"",L917&gt;0),"Part paid",IF(TODAY()&gt;J917,"Overdue","Due"))))</f>
        <v/>
      </c>
      <c r="N917" s="19" t="str">
        <f aca="true">IF(M917="Overdue",TODAY()-J917,"")</f>
        <v/>
      </c>
      <c r="O917" s="14"/>
    </row>
    <row r="918" customFormat="false" ht="15" hidden="false" customHeight="false" outlineLevel="0" collapsed="false">
      <c r="A918" s="14"/>
      <c r="B918" s="13"/>
      <c r="C918" s="14"/>
      <c r="D918" s="14"/>
      <c r="E918" s="14"/>
      <c r="F918" s="15"/>
      <c r="G918" s="14"/>
      <c r="H918" s="19" t="str">
        <f aca="false">IF(F918="","",IF(G918="Y",F918*Settings!$B$16,0))</f>
        <v/>
      </c>
      <c r="I918" s="19" t="str">
        <f aca="false">IF(F918="","",F918+H918)</f>
        <v/>
      </c>
      <c r="J918" s="18" t="str">
        <f aca="false">IF(B918="","",B918+Settings!$B$17)</f>
        <v/>
      </c>
      <c r="K918" s="13"/>
      <c r="L918" s="15"/>
      <c r="M918" s="17" t="str">
        <f aca="true">IF(F918="","",IF(AND(L918&lt;&gt;"",L918&gt;=I918),"Paid",IF(AND(L918&lt;&gt;"",L918&gt;0),"Part paid",IF(TODAY()&gt;J918,"Overdue","Due"))))</f>
        <v/>
      </c>
      <c r="N918" s="19" t="str">
        <f aca="true">IF(M918="Overdue",TODAY()-J918,"")</f>
        <v/>
      </c>
      <c r="O918" s="14"/>
    </row>
    <row r="919" customFormat="false" ht="15" hidden="false" customHeight="false" outlineLevel="0" collapsed="false">
      <c r="A919" s="14"/>
      <c r="B919" s="13"/>
      <c r="C919" s="14"/>
      <c r="D919" s="14"/>
      <c r="E919" s="14"/>
      <c r="F919" s="15"/>
      <c r="G919" s="14"/>
      <c r="H919" s="19" t="str">
        <f aca="false">IF(F919="","",IF(G919="Y",F919*Settings!$B$16,0))</f>
        <v/>
      </c>
      <c r="I919" s="19" t="str">
        <f aca="false">IF(F919="","",F919+H919)</f>
        <v/>
      </c>
      <c r="J919" s="18" t="str">
        <f aca="false">IF(B919="","",B919+Settings!$B$17)</f>
        <v/>
      </c>
      <c r="K919" s="13"/>
      <c r="L919" s="15"/>
      <c r="M919" s="17" t="str">
        <f aca="true">IF(F919="","",IF(AND(L919&lt;&gt;"",L919&gt;=I919),"Paid",IF(AND(L919&lt;&gt;"",L919&gt;0),"Part paid",IF(TODAY()&gt;J919,"Overdue","Due"))))</f>
        <v/>
      </c>
      <c r="N919" s="19" t="str">
        <f aca="true">IF(M919="Overdue",TODAY()-J919,"")</f>
        <v/>
      </c>
      <c r="O919" s="14"/>
    </row>
    <row r="920" customFormat="false" ht="15" hidden="false" customHeight="false" outlineLevel="0" collapsed="false">
      <c r="A920" s="14"/>
      <c r="B920" s="13"/>
      <c r="C920" s="14"/>
      <c r="D920" s="14"/>
      <c r="E920" s="14"/>
      <c r="F920" s="15"/>
      <c r="G920" s="14"/>
      <c r="H920" s="19" t="str">
        <f aca="false">IF(F920="","",IF(G920="Y",F920*Settings!$B$16,0))</f>
        <v/>
      </c>
      <c r="I920" s="19" t="str">
        <f aca="false">IF(F920="","",F920+H920)</f>
        <v/>
      </c>
      <c r="J920" s="18" t="str">
        <f aca="false">IF(B920="","",B920+Settings!$B$17)</f>
        <v/>
      </c>
      <c r="K920" s="13"/>
      <c r="L920" s="15"/>
      <c r="M920" s="17" t="str">
        <f aca="true">IF(F920="","",IF(AND(L920&lt;&gt;"",L920&gt;=I920),"Paid",IF(AND(L920&lt;&gt;"",L920&gt;0),"Part paid",IF(TODAY()&gt;J920,"Overdue","Due"))))</f>
        <v/>
      </c>
      <c r="N920" s="19" t="str">
        <f aca="true">IF(M920="Overdue",TODAY()-J920,"")</f>
        <v/>
      </c>
      <c r="O920" s="14"/>
    </row>
    <row r="921" customFormat="false" ht="15" hidden="false" customHeight="false" outlineLevel="0" collapsed="false">
      <c r="A921" s="14"/>
      <c r="B921" s="13"/>
      <c r="C921" s="14"/>
      <c r="D921" s="14"/>
      <c r="E921" s="14"/>
      <c r="F921" s="15"/>
      <c r="G921" s="14"/>
      <c r="H921" s="19" t="str">
        <f aca="false">IF(F921="","",IF(G921="Y",F921*Settings!$B$16,0))</f>
        <v/>
      </c>
      <c r="I921" s="19" t="str">
        <f aca="false">IF(F921="","",F921+H921)</f>
        <v/>
      </c>
      <c r="J921" s="18" t="str">
        <f aca="false">IF(B921="","",B921+Settings!$B$17)</f>
        <v/>
      </c>
      <c r="K921" s="13"/>
      <c r="L921" s="15"/>
      <c r="M921" s="17" t="str">
        <f aca="true">IF(F921="","",IF(AND(L921&lt;&gt;"",L921&gt;=I921),"Paid",IF(AND(L921&lt;&gt;"",L921&gt;0),"Part paid",IF(TODAY()&gt;J921,"Overdue","Due"))))</f>
        <v/>
      </c>
      <c r="N921" s="19" t="str">
        <f aca="true">IF(M921="Overdue",TODAY()-J921,"")</f>
        <v/>
      </c>
      <c r="O921" s="14"/>
    </row>
    <row r="922" customFormat="false" ht="15" hidden="false" customHeight="false" outlineLevel="0" collapsed="false">
      <c r="A922" s="14"/>
      <c r="B922" s="13"/>
      <c r="C922" s="14"/>
      <c r="D922" s="14"/>
      <c r="E922" s="14"/>
      <c r="F922" s="15"/>
      <c r="G922" s="14"/>
      <c r="H922" s="19" t="str">
        <f aca="false">IF(F922="","",IF(G922="Y",F922*Settings!$B$16,0))</f>
        <v/>
      </c>
      <c r="I922" s="19" t="str">
        <f aca="false">IF(F922="","",F922+H922)</f>
        <v/>
      </c>
      <c r="J922" s="18" t="str">
        <f aca="false">IF(B922="","",B922+Settings!$B$17)</f>
        <v/>
      </c>
      <c r="K922" s="13"/>
      <c r="L922" s="15"/>
      <c r="M922" s="17" t="str">
        <f aca="true">IF(F922="","",IF(AND(L922&lt;&gt;"",L922&gt;=I922),"Paid",IF(AND(L922&lt;&gt;"",L922&gt;0),"Part paid",IF(TODAY()&gt;J922,"Overdue","Due"))))</f>
        <v/>
      </c>
      <c r="N922" s="19" t="str">
        <f aca="true">IF(M922="Overdue",TODAY()-J922,"")</f>
        <v/>
      </c>
      <c r="O922" s="14"/>
    </row>
    <row r="923" customFormat="false" ht="15" hidden="false" customHeight="false" outlineLevel="0" collapsed="false">
      <c r="A923" s="14"/>
      <c r="B923" s="13"/>
      <c r="C923" s="14"/>
      <c r="D923" s="14"/>
      <c r="E923" s="14"/>
      <c r="F923" s="15"/>
      <c r="G923" s="14"/>
      <c r="H923" s="19" t="str">
        <f aca="false">IF(F923="","",IF(G923="Y",F923*Settings!$B$16,0))</f>
        <v/>
      </c>
      <c r="I923" s="19" t="str">
        <f aca="false">IF(F923="","",F923+H923)</f>
        <v/>
      </c>
      <c r="J923" s="18" t="str">
        <f aca="false">IF(B923="","",B923+Settings!$B$17)</f>
        <v/>
      </c>
      <c r="K923" s="13"/>
      <c r="L923" s="15"/>
      <c r="M923" s="17" t="str">
        <f aca="true">IF(F923="","",IF(AND(L923&lt;&gt;"",L923&gt;=I923),"Paid",IF(AND(L923&lt;&gt;"",L923&gt;0),"Part paid",IF(TODAY()&gt;J923,"Overdue","Due"))))</f>
        <v/>
      </c>
      <c r="N923" s="19" t="str">
        <f aca="true">IF(M923="Overdue",TODAY()-J923,"")</f>
        <v/>
      </c>
      <c r="O923" s="14"/>
    </row>
    <row r="924" customFormat="false" ht="15" hidden="false" customHeight="false" outlineLevel="0" collapsed="false">
      <c r="A924" s="14"/>
      <c r="B924" s="13"/>
      <c r="C924" s="14"/>
      <c r="D924" s="14"/>
      <c r="E924" s="14"/>
      <c r="F924" s="15"/>
      <c r="G924" s="14"/>
      <c r="H924" s="19" t="str">
        <f aca="false">IF(F924="","",IF(G924="Y",F924*Settings!$B$16,0))</f>
        <v/>
      </c>
      <c r="I924" s="19" t="str">
        <f aca="false">IF(F924="","",F924+H924)</f>
        <v/>
      </c>
      <c r="J924" s="18" t="str">
        <f aca="false">IF(B924="","",B924+Settings!$B$17)</f>
        <v/>
      </c>
      <c r="K924" s="13"/>
      <c r="L924" s="15"/>
      <c r="M924" s="17" t="str">
        <f aca="true">IF(F924="","",IF(AND(L924&lt;&gt;"",L924&gt;=I924),"Paid",IF(AND(L924&lt;&gt;"",L924&gt;0),"Part paid",IF(TODAY()&gt;J924,"Overdue","Due"))))</f>
        <v/>
      </c>
      <c r="N924" s="19" t="str">
        <f aca="true">IF(M924="Overdue",TODAY()-J924,"")</f>
        <v/>
      </c>
      <c r="O924" s="14"/>
    </row>
    <row r="925" customFormat="false" ht="15" hidden="false" customHeight="false" outlineLevel="0" collapsed="false">
      <c r="A925" s="14"/>
      <c r="B925" s="13"/>
      <c r="C925" s="14"/>
      <c r="D925" s="14"/>
      <c r="E925" s="14"/>
      <c r="F925" s="15"/>
      <c r="G925" s="14"/>
      <c r="H925" s="19" t="str">
        <f aca="false">IF(F925="","",IF(G925="Y",F925*Settings!$B$16,0))</f>
        <v/>
      </c>
      <c r="I925" s="19" t="str">
        <f aca="false">IF(F925="","",F925+H925)</f>
        <v/>
      </c>
      <c r="J925" s="18" t="str">
        <f aca="false">IF(B925="","",B925+Settings!$B$17)</f>
        <v/>
      </c>
      <c r="K925" s="13"/>
      <c r="L925" s="15"/>
      <c r="M925" s="17" t="str">
        <f aca="true">IF(F925="","",IF(AND(L925&lt;&gt;"",L925&gt;=I925),"Paid",IF(AND(L925&lt;&gt;"",L925&gt;0),"Part paid",IF(TODAY()&gt;J925,"Overdue","Due"))))</f>
        <v/>
      </c>
      <c r="N925" s="19" t="str">
        <f aca="true">IF(M925="Overdue",TODAY()-J925,"")</f>
        <v/>
      </c>
      <c r="O925" s="14"/>
    </row>
    <row r="926" customFormat="false" ht="15" hidden="false" customHeight="false" outlineLevel="0" collapsed="false">
      <c r="A926" s="14"/>
      <c r="B926" s="13"/>
      <c r="C926" s="14"/>
      <c r="D926" s="14"/>
      <c r="E926" s="14"/>
      <c r="F926" s="15"/>
      <c r="G926" s="14"/>
      <c r="H926" s="19" t="str">
        <f aca="false">IF(F926="","",IF(G926="Y",F926*Settings!$B$16,0))</f>
        <v/>
      </c>
      <c r="I926" s="19" t="str">
        <f aca="false">IF(F926="","",F926+H926)</f>
        <v/>
      </c>
      <c r="J926" s="18" t="str">
        <f aca="false">IF(B926="","",B926+Settings!$B$17)</f>
        <v/>
      </c>
      <c r="K926" s="13"/>
      <c r="L926" s="15"/>
      <c r="M926" s="17" t="str">
        <f aca="true">IF(F926="","",IF(AND(L926&lt;&gt;"",L926&gt;=I926),"Paid",IF(AND(L926&lt;&gt;"",L926&gt;0),"Part paid",IF(TODAY()&gt;J926,"Overdue","Due"))))</f>
        <v/>
      </c>
      <c r="N926" s="19" t="str">
        <f aca="true">IF(M926="Overdue",TODAY()-J926,"")</f>
        <v/>
      </c>
      <c r="O926" s="14"/>
    </row>
    <row r="927" customFormat="false" ht="15" hidden="false" customHeight="false" outlineLevel="0" collapsed="false">
      <c r="A927" s="14"/>
      <c r="B927" s="13"/>
      <c r="C927" s="14"/>
      <c r="D927" s="14"/>
      <c r="E927" s="14"/>
      <c r="F927" s="15"/>
      <c r="G927" s="14"/>
      <c r="H927" s="19" t="str">
        <f aca="false">IF(F927="","",IF(G927="Y",F927*Settings!$B$16,0))</f>
        <v/>
      </c>
      <c r="I927" s="19" t="str">
        <f aca="false">IF(F927="","",F927+H927)</f>
        <v/>
      </c>
      <c r="J927" s="18" t="str">
        <f aca="false">IF(B927="","",B927+Settings!$B$17)</f>
        <v/>
      </c>
      <c r="K927" s="13"/>
      <c r="L927" s="15"/>
      <c r="M927" s="17" t="str">
        <f aca="true">IF(F927="","",IF(AND(L927&lt;&gt;"",L927&gt;=I927),"Paid",IF(AND(L927&lt;&gt;"",L927&gt;0),"Part paid",IF(TODAY()&gt;J927,"Overdue","Due"))))</f>
        <v/>
      </c>
      <c r="N927" s="19" t="str">
        <f aca="true">IF(M927="Overdue",TODAY()-J927,"")</f>
        <v/>
      </c>
      <c r="O927" s="14"/>
    </row>
    <row r="928" customFormat="false" ht="15" hidden="false" customHeight="false" outlineLevel="0" collapsed="false">
      <c r="A928" s="14"/>
      <c r="B928" s="13"/>
      <c r="C928" s="14"/>
      <c r="D928" s="14"/>
      <c r="E928" s="14"/>
      <c r="F928" s="15"/>
      <c r="G928" s="14"/>
      <c r="H928" s="19" t="str">
        <f aca="false">IF(F928="","",IF(G928="Y",F928*Settings!$B$16,0))</f>
        <v/>
      </c>
      <c r="I928" s="19" t="str">
        <f aca="false">IF(F928="","",F928+H928)</f>
        <v/>
      </c>
      <c r="J928" s="18" t="str">
        <f aca="false">IF(B928="","",B928+Settings!$B$17)</f>
        <v/>
      </c>
      <c r="K928" s="13"/>
      <c r="L928" s="15"/>
      <c r="M928" s="17" t="str">
        <f aca="true">IF(F928="","",IF(AND(L928&lt;&gt;"",L928&gt;=I928),"Paid",IF(AND(L928&lt;&gt;"",L928&gt;0),"Part paid",IF(TODAY()&gt;J928,"Overdue","Due"))))</f>
        <v/>
      </c>
      <c r="N928" s="19" t="str">
        <f aca="true">IF(M928="Overdue",TODAY()-J928,"")</f>
        <v/>
      </c>
      <c r="O928" s="14"/>
    </row>
    <row r="929" customFormat="false" ht="15" hidden="false" customHeight="false" outlineLevel="0" collapsed="false">
      <c r="A929" s="14"/>
      <c r="B929" s="13"/>
      <c r="C929" s="14"/>
      <c r="D929" s="14"/>
      <c r="E929" s="14"/>
      <c r="F929" s="15"/>
      <c r="G929" s="14"/>
      <c r="H929" s="19" t="str">
        <f aca="false">IF(F929="","",IF(G929="Y",F929*Settings!$B$16,0))</f>
        <v/>
      </c>
      <c r="I929" s="19" t="str">
        <f aca="false">IF(F929="","",F929+H929)</f>
        <v/>
      </c>
      <c r="J929" s="18" t="str">
        <f aca="false">IF(B929="","",B929+Settings!$B$17)</f>
        <v/>
      </c>
      <c r="K929" s="13"/>
      <c r="L929" s="15"/>
      <c r="M929" s="17" t="str">
        <f aca="true">IF(F929="","",IF(AND(L929&lt;&gt;"",L929&gt;=I929),"Paid",IF(AND(L929&lt;&gt;"",L929&gt;0),"Part paid",IF(TODAY()&gt;J929,"Overdue","Due"))))</f>
        <v/>
      </c>
      <c r="N929" s="19" t="str">
        <f aca="true">IF(M929="Overdue",TODAY()-J929,"")</f>
        <v/>
      </c>
      <c r="O929" s="14"/>
    </row>
    <row r="930" customFormat="false" ht="15" hidden="false" customHeight="false" outlineLevel="0" collapsed="false">
      <c r="A930" s="14"/>
      <c r="B930" s="13"/>
      <c r="C930" s="14"/>
      <c r="D930" s="14"/>
      <c r="E930" s="14"/>
      <c r="F930" s="15"/>
      <c r="G930" s="14"/>
      <c r="H930" s="19" t="str">
        <f aca="false">IF(F930="","",IF(G930="Y",F930*Settings!$B$16,0))</f>
        <v/>
      </c>
      <c r="I930" s="19" t="str">
        <f aca="false">IF(F930="","",F930+H930)</f>
        <v/>
      </c>
      <c r="J930" s="18" t="str">
        <f aca="false">IF(B930="","",B930+Settings!$B$17)</f>
        <v/>
      </c>
      <c r="K930" s="13"/>
      <c r="L930" s="15"/>
      <c r="M930" s="17" t="str">
        <f aca="true">IF(F930="","",IF(AND(L930&lt;&gt;"",L930&gt;=I930),"Paid",IF(AND(L930&lt;&gt;"",L930&gt;0),"Part paid",IF(TODAY()&gt;J930,"Overdue","Due"))))</f>
        <v/>
      </c>
      <c r="N930" s="19" t="str">
        <f aca="true">IF(M930="Overdue",TODAY()-J930,"")</f>
        <v/>
      </c>
      <c r="O930" s="14"/>
    </row>
    <row r="931" customFormat="false" ht="15" hidden="false" customHeight="false" outlineLevel="0" collapsed="false">
      <c r="A931" s="14"/>
      <c r="B931" s="13"/>
      <c r="C931" s="14"/>
      <c r="D931" s="14"/>
      <c r="E931" s="14"/>
      <c r="F931" s="15"/>
      <c r="G931" s="14"/>
      <c r="H931" s="19" t="str">
        <f aca="false">IF(F931="","",IF(G931="Y",F931*Settings!$B$16,0))</f>
        <v/>
      </c>
      <c r="I931" s="19" t="str">
        <f aca="false">IF(F931="","",F931+H931)</f>
        <v/>
      </c>
      <c r="J931" s="18" t="str">
        <f aca="false">IF(B931="","",B931+Settings!$B$17)</f>
        <v/>
      </c>
      <c r="K931" s="13"/>
      <c r="L931" s="15"/>
      <c r="M931" s="17" t="str">
        <f aca="true">IF(F931="","",IF(AND(L931&lt;&gt;"",L931&gt;=I931),"Paid",IF(AND(L931&lt;&gt;"",L931&gt;0),"Part paid",IF(TODAY()&gt;J931,"Overdue","Due"))))</f>
        <v/>
      </c>
      <c r="N931" s="19" t="str">
        <f aca="true">IF(M931="Overdue",TODAY()-J931,"")</f>
        <v/>
      </c>
      <c r="O931" s="14"/>
    </row>
    <row r="932" customFormat="false" ht="15" hidden="false" customHeight="false" outlineLevel="0" collapsed="false">
      <c r="A932" s="14"/>
      <c r="B932" s="13"/>
      <c r="C932" s="14"/>
      <c r="D932" s="14"/>
      <c r="E932" s="14"/>
      <c r="F932" s="15"/>
      <c r="G932" s="14"/>
      <c r="H932" s="19" t="str">
        <f aca="false">IF(F932="","",IF(G932="Y",F932*Settings!$B$16,0))</f>
        <v/>
      </c>
      <c r="I932" s="19" t="str">
        <f aca="false">IF(F932="","",F932+H932)</f>
        <v/>
      </c>
      <c r="J932" s="18" t="str">
        <f aca="false">IF(B932="","",B932+Settings!$B$17)</f>
        <v/>
      </c>
      <c r="K932" s="13"/>
      <c r="L932" s="15"/>
      <c r="M932" s="17" t="str">
        <f aca="true">IF(F932="","",IF(AND(L932&lt;&gt;"",L932&gt;=I932),"Paid",IF(AND(L932&lt;&gt;"",L932&gt;0),"Part paid",IF(TODAY()&gt;J932,"Overdue","Due"))))</f>
        <v/>
      </c>
      <c r="N932" s="19" t="str">
        <f aca="true">IF(M932="Overdue",TODAY()-J932,"")</f>
        <v/>
      </c>
      <c r="O932" s="14"/>
    </row>
    <row r="933" customFormat="false" ht="15" hidden="false" customHeight="false" outlineLevel="0" collapsed="false">
      <c r="A933" s="14"/>
      <c r="B933" s="13"/>
      <c r="C933" s="14"/>
      <c r="D933" s="14"/>
      <c r="E933" s="14"/>
      <c r="F933" s="15"/>
      <c r="G933" s="14"/>
      <c r="H933" s="19" t="str">
        <f aca="false">IF(F933="","",IF(G933="Y",F933*Settings!$B$16,0))</f>
        <v/>
      </c>
      <c r="I933" s="19" t="str">
        <f aca="false">IF(F933="","",F933+H933)</f>
        <v/>
      </c>
      <c r="J933" s="18" t="str">
        <f aca="false">IF(B933="","",B933+Settings!$B$17)</f>
        <v/>
      </c>
      <c r="K933" s="13"/>
      <c r="L933" s="15"/>
      <c r="M933" s="17" t="str">
        <f aca="true">IF(F933="","",IF(AND(L933&lt;&gt;"",L933&gt;=I933),"Paid",IF(AND(L933&lt;&gt;"",L933&gt;0),"Part paid",IF(TODAY()&gt;J933,"Overdue","Due"))))</f>
        <v/>
      </c>
      <c r="N933" s="19" t="str">
        <f aca="true">IF(M933="Overdue",TODAY()-J933,"")</f>
        <v/>
      </c>
      <c r="O933" s="14"/>
    </row>
    <row r="934" customFormat="false" ht="15" hidden="false" customHeight="false" outlineLevel="0" collapsed="false">
      <c r="A934" s="14"/>
      <c r="B934" s="13"/>
      <c r="C934" s="14"/>
      <c r="D934" s="14"/>
      <c r="E934" s="14"/>
      <c r="F934" s="15"/>
      <c r="G934" s="14"/>
      <c r="H934" s="19" t="str">
        <f aca="false">IF(F934="","",IF(G934="Y",F934*Settings!$B$16,0))</f>
        <v/>
      </c>
      <c r="I934" s="19" t="str">
        <f aca="false">IF(F934="","",F934+H934)</f>
        <v/>
      </c>
      <c r="J934" s="18" t="str">
        <f aca="false">IF(B934="","",B934+Settings!$B$17)</f>
        <v/>
      </c>
      <c r="K934" s="13"/>
      <c r="L934" s="15"/>
      <c r="M934" s="17" t="str">
        <f aca="true">IF(F934="","",IF(AND(L934&lt;&gt;"",L934&gt;=I934),"Paid",IF(AND(L934&lt;&gt;"",L934&gt;0),"Part paid",IF(TODAY()&gt;J934,"Overdue","Due"))))</f>
        <v/>
      </c>
      <c r="N934" s="19" t="str">
        <f aca="true">IF(M934="Overdue",TODAY()-J934,"")</f>
        <v/>
      </c>
      <c r="O934" s="14"/>
    </row>
    <row r="935" customFormat="false" ht="15" hidden="false" customHeight="false" outlineLevel="0" collapsed="false">
      <c r="A935" s="14"/>
      <c r="B935" s="13"/>
      <c r="C935" s="14"/>
      <c r="D935" s="14"/>
      <c r="E935" s="14"/>
      <c r="F935" s="15"/>
      <c r="G935" s="14"/>
      <c r="H935" s="19" t="str">
        <f aca="false">IF(F935="","",IF(G935="Y",F935*Settings!$B$16,0))</f>
        <v/>
      </c>
      <c r="I935" s="19" t="str">
        <f aca="false">IF(F935="","",F935+H935)</f>
        <v/>
      </c>
      <c r="J935" s="18" t="str">
        <f aca="false">IF(B935="","",B935+Settings!$B$17)</f>
        <v/>
      </c>
      <c r="K935" s="13"/>
      <c r="L935" s="15"/>
      <c r="M935" s="17" t="str">
        <f aca="true">IF(F935="","",IF(AND(L935&lt;&gt;"",L935&gt;=I935),"Paid",IF(AND(L935&lt;&gt;"",L935&gt;0),"Part paid",IF(TODAY()&gt;J935,"Overdue","Due"))))</f>
        <v/>
      </c>
      <c r="N935" s="19" t="str">
        <f aca="true">IF(M935="Overdue",TODAY()-J935,"")</f>
        <v/>
      </c>
      <c r="O935" s="14"/>
    </row>
    <row r="936" customFormat="false" ht="15" hidden="false" customHeight="false" outlineLevel="0" collapsed="false">
      <c r="A936" s="14"/>
      <c r="B936" s="13"/>
      <c r="C936" s="14"/>
      <c r="D936" s="14"/>
      <c r="E936" s="14"/>
      <c r="F936" s="15"/>
      <c r="G936" s="14"/>
      <c r="H936" s="19" t="str">
        <f aca="false">IF(F936="","",IF(G936="Y",F936*Settings!$B$16,0))</f>
        <v/>
      </c>
      <c r="I936" s="19" t="str">
        <f aca="false">IF(F936="","",F936+H936)</f>
        <v/>
      </c>
      <c r="J936" s="18" t="str">
        <f aca="false">IF(B936="","",B936+Settings!$B$17)</f>
        <v/>
      </c>
      <c r="K936" s="13"/>
      <c r="L936" s="15"/>
      <c r="M936" s="17" t="str">
        <f aca="true">IF(F936="","",IF(AND(L936&lt;&gt;"",L936&gt;=I936),"Paid",IF(AND(L936&lt;&gt;"",L936&gt;0),"Part paid",IF(TODAY()&gt;J936,"Overdue","Due"))))</f>
        <v/>
      </c>
      <c r="N936" s="19" t="str">
        <f aca="true">IF(M936="Overdue",TODAY()-J936,"")</f>
        <v/>
      </c>
      <c r="O936" s="14"/>
    </row>
    <row r="937" customFormat="false" ht="15" hidden="false" customHeight="false" outlineLevel="0" collapsed="false">
      <c r="A937" s="14"/>
      <c r="B937" s="13"/>
      <c r="C937" s="14"/>
      <c r="D937" s="14"/>
      <c r="E937" s="14"/>
      <c r="F937" s="15"/>
      <c r="G937" s="14"/>
      <c r="H937" s="19" t="str">
        <f aca="false">IF(F937="","",IF(G937="Y",F937*Settings!$B$16,0))</f>
        <v/>
      </c>
      <c r="I937" s="19" t="str">
        <f aca="false">IF(F937="","",F937+H937)</f>
        <v/>
      </c>
      <c r="J937" s="18" t="str">
        <f aca="false">IF(B937="","",B937+Settings!$B$17)</f>
        <v/>
      </c>
      <c r="K937" s="13"/>
      <c r="L937" s="15"/>
      <c r="M937" s="17" t="str">
        <f aca="true">IF(F937="","",IF(AND(L937&lt;&gt;"",L937&gt;=I937),"Paid",IF(AND(L937&lt;&gt;"",L937&gt;0),"Part paid",IF(TODAY()&gt;J937,"Overdue","Due"))))</f>
        <v/>
      </c>
      <c r="N937" s="19" t="str">
        <f aca="true">IF(M937="Overdue",TODAY()-J937,"")</f>
        <v/>
      </c>
      <c r="O937" s="14"/>
    </row>
    <row r="938" customFormat="false" ht="15" hidden="false" customHeight="false" outlineLevel="0" collapsed="false">
      <c r="A938" s="14"/>
      <c r="B938" s="13"/>
      <c r="C938" s="14"/>
      <c r="D938" s="14"/>
      <c r="E938" s="14"/>
      <c r="F938" s="15"/>
      <c r="G938" s="14"/>
      <c r="H938" s="19" t="str">
        <f aca="false">IF(F938="","",IF(G938="Y",F938*Settings!$B$16,0))</f>
        <v/>
      </c>
      <c r="I938" s="19" t="str">
        <f aca="false">IF(F938="","",F938+H938)</f>
        <v/>
      </c>
      <c r="J938" s="18" t="str">
        <f aca="false">IF(B938="","",B938+Settings!$B$17)</f>
        <v/>
      </c>
      <c r="K938" s="13"/>
      <c r="L938" s="15"/>
      <c r="M938" s="17" t="str">
        <f aca="true">IF(F938="","",IF(AND(L938&lt;&gt;"",L938&gt;=I938),"Paid",IF(AND(L938&lt;&gt;"",L938&gt;0),"Part paid",IF(TODAY()&gt;J938,"Overdue","Due"))))</f>
        <v/>
      </c>
      <c r="N938" s="19" t="str">
        <f aca="true">IF(M938="Overdue",TODAY()-J938,"")</f>
        <v/>
      </c>
      <c r="O938" s="14"/>
    </row>
    <row r="939" customFormat="false" ht="15" hidden="false" customHeight="false" outlineLevel="0" collapsed="false">
      <c r="A939" s="14"/>
      <c r="B939" s="13"/>
      <c r="C939" s="14"/>
      <c r="D939" s="14"/>
      <c r="E939" s="14"/>
      <c r="F939" s="15"/>
      <c r="G939" s="14"/>
      <c r="H939" s="19" t="str">
        <f aca="false">IF(F939="","",IF(G939="Y",F939*Settings!$B$16,0))</f>
        <v/>
      </c>
      <c r="I939" s="19" t="str">
        <f aca="false">IF(F939="","",F939+H939)</f>
        <v/>
      </c>
      <c r="J939" s="18" t="str">
        <f aca="false">IF(B939="","",B939+Settings!$B$17)</f>
        <v/>
      </c>
      <c r="K939" s="13"/>
      <c r="L939" s="15"/>
      <c r="M939" s="17" t="str">
        <f aca="true">IF(F939="","",IF(AND(L939&lt;&gt;"",L939&gt;=I939),"Paid",IF(AND(L939&lt;&gt;"",L939&gt;0),"Part paid",IF(TODAY()&gt;J939,"Overdue","Due"))))</f>
        <v/>
      </c>
      <c r="N939" s="19" t="str">
        <f aca="true">IF(M939="Overdue",TODAY()-J939,"")</f>
        <v/>
      </c>
      <c r="O939" s="14"/>
    </row>
    <row r="940" customFormat="false" ht="15" hidden="false" customHeight="false" outlineLevel="0" collapsed="false">
      <c r="A940" s="14"/>
      <c r="B940" s="13"/>
      <c r="C940" s="14"/>
      <c r="D940" s="14"/>
      <c r="E940" s="14"/>
      <c r="F940" s="15"/>
      <c r="G940" s="14"/>
      <c r="H940" s="19" t="str">
        <f aca="false">IF(F940="","",IF(G940="Y",F940*Settings!$B$16,0))</f>
        <v/>
      </c>
      <c r="I940" s="19" t="str">
        <f aca="false">IF(F940="","",F940+H940)</f>
        <v/>
      </c>
      <c r="J940" s="18" t="str">
        <f aca="false">IF(B940="","",B940+Settings!$B$17)</f>
        <v/>
      </c>
      <c r="K940" s="13"/>
      <c r="L940" s="15"/>
      <c r="M940" s="17" t="str">
        <f aca="true">IF(F940="","",IF(AND(L940&lt;&gt;"",L940&gt;=I940),"Paid",IF(AND(L940&lt;&gt;"",L940&gt;0),"Part paid",IF(TODAY()&gt;J940,"Overdue","Due"))))</f>
        <v/>
      </c>
      <c r="N940" s="19" t="str">
        <f aca="true">IF(M940="Overdue",TODAY()-J940,"")</f>
        <v/>
      </c>
      <c r="O940" s="14"/>
    </row>
    <row r="941" customFormat="false" ht="15" hidden="false" customHeight="false" outlineLevel="0" collapsed="false">
      <c r="A941" s="14"/>
      <c r="B941" s="13"/>
      <c r="C941" s="14"/>
      <c r="D941" s="14"/>
      <c r="E941" s="14"/>
      <c r="F941" s="15"/>
      <c r="G941" s="14"/>
      <c r="H941" s="19" t="str">
        <f aca="false">IF(F941="","",IF(G941="Y",F941*Settings!$B$16,0))</f>
        <v/>
      </c>
      <c r="I941" s="19" t="str">
        <f aca="false">IF(F941="","",F941+H941)</f>
        <v/>
      </c>
      <c r="J941" s="18" t="str">
        <f aca="false">IF(B941="","",B941+Settings!$B$17)</f>
        <v/>
      </c>
      <c r="K941" s="13"/>
      <c r="L941" s="15"/>
      <c r="M941" s="17" t="str">
        <f aca="true">IF(F941="","",IF(AND(L941&lt;&gt;"",L941&gt;=I941),"Paid",IF(AND(L941&lt;&gt;"",L941&gt;0),"Part paid",IF(TODAY()&gt;J941,"Overdue","Due"))))</f>
        <v/>
      </c>
      <c r="N941" s="19" t="str">
        <f aca="true">IF(M941="Overdue",TODAY()-J941,"")</f>
        <v/>
      </c>
      <c r="O941" s="14"/>
    </row>
    <row r="942" customFormat="false" ht="15" hidden="false" customHeight="false" outlineLevel="0" collapsed="false">
      <c r="A942" s="14"/>
      <c r="B942" s="13"/>
      <c r="C942" s="14"/>
      <c r="D942" s="14"/>
      <c r="E942" s="14"/>
      <c r="F942" s="15"/>
      <c r="G942" s="14"/>
      <c r="H942" s="19" t="str">
        <f aca="false">IF(F942="","",IF(G942="Y",F942*Settings!$B$16,0))</f>
        <v/>
      </c>
      <c r="I942" s="19" t="str">
        <f aca="false">IF(F942="","",F942+H942)</f>
        <v/>
      </c>
      <c r="J942" s="18" t="str">
        <f aca="false">IF(B942="","",B942+Settings!$B$17)</f>
        <v/>
      </c>
      <c r="K942" s="13"/>
      <c r="L942" s="15"/>
      <c r="M942" s="17" t="str">
        <f aca="true">IF(F942="","",IF(AND(L942&lt;&gt;"",L942&gt;=I942),"Paid",IF(AND(L942&lt;&gt;"",L942&gt;0),"Part paid",IF(TODAY()&gt;J942,"Overdue","Due"))))</f>
        <v/>
      </c>
      <c r="N942" s="19" t="str">
        <f aca="true">IF(M942="Overdue",TODAY()-J942,"")</f>
        <v/>
      </c>
      <c r="O942" s="14"/>
    </row>
    <row r="943" customFormat="false" ht="15" hidden="false" customHeight="false" outlineLevel="0" collapsed="false">
      <c r="A943" s="14"/>
      <c r="B943" s="13"/>
      <c r="C943" s="14"/>
      <c r="D943" s="14"/>
      <c r="E943" s="14"/>
      <c r="F943" s="15"/>
      <c r="G943" s="14"/>
      <c r="H943" s="19" t="str">
        <f aca="false">IF(F943="","",IF(G943="Y",F943*Settings!$B$16,0))</f>
        <v/>
      </c>
      <c r="I943" s="19" t="str">
        <f aca="false">IF(F943="","",F943+H943)</f>
        <v/>
      </c>
      <c r="J943" s="18" t="str">
        <f aca="false">IF(B943="","",B943+Settings!$B$17)</f>
        <v/>
      </c>
      <c r="K943" s="13"/>
      <c r="L943" s="15"/>
      <c r="M943" s="17" t="str">
        <f aca="true">IF(F943="","",IF(AND(L943&lt;&gt;"",L943&gt;=I943),"Paid",IF(AND(L943&lt;&gt;"",L943&gt;0),"Part paid",IF(TODAY()&gt;J943,"Overdue","Due"))))</f>
        <v/>
      </c>
      <c r="N943" s="19" t="str">
        <f aca="true">IF(M943="Overdue",TODAY()-J943,"")</f>
        <v/>
      </c>
      <c r="O943" s="14"/>
    </row>
    <row r="944" customFormat="false" ht="15" hidden="false" customHeight="false" outlineLevel="0" collapsed="false">
      <c r="A944" s="14"/>
      <c r="B944" s="13"/>
      <c r="C944" s="14"/>
      <c r="D944" s="14"/>
      <c r="E944" s="14"/>
      <c r="F944" s="15"/>
      <c r="G944" s="14"/>
      <c r="H944" s="19" t="str">
        <f aca="false">IF(F944="","",IF(G944="Y",F944*Settings!$B$16,0))</f>
        <v/>
      </c>
      <c r="I944" s="19" t="str">
        <f aca="false">IF(F944="","",F944+H944)</f>
        <v/>
      </c>
      <c r="J944" s="18" t="str">
        <f aca="false">IF(B944="","",B944+Settings!$B$17)</f>
        <v/>
      </c>
      <c r="K944" s="13"/>
      <c r="L944" s="15"/>
      <c r="M944" s="17" t="str">
        <f aca="true">IF(F944="","",IF(AND(L944&lt;&gt;"",L944&gt;=I944),"Paid",IF(AND(L944&lt;&gt;"",L944&gt;0),"Part paid",IF(TODAY()&gt;J944,"Overdue","Due"))))</f>
        <v/>
      </c>
      <c r="N944" s="19" t="str">
        <f aca="true">IF(M944="Overdue",TODAY()-J944,"")</f>
        <v/>
      </c>
      <c r="O944" s="14"/>
    </row>
    <row r="945" customFormat="false" ht="15" hidden="false" customHeight="false" outlineLevel="0" collapsed="false">
      <c r="A945" s="14"/>
      <c r="B945" s="13"/>
      <c r="C945" s="14"/>
      <c r="D945" s="14"/>
      <c r="E945" s="14"/>
      <c r="F945" s="15"/>
      <c r="G945" s="14"/>
      <c r="H945" s="19" t="str">
        <f aca="false">IF(F945="","",IF(G945="Y",F945*Settings!$B$16,0))</f>
        <v/>
      </c>
      <c r="I945" s="19" t="str">
        <f aca="false">IF(F945="","",F945+H945)</f>
        <v/>
      </c>
      <c r="J945" s="18" t="str">
        <f aca="false">IF(B945="","",B945+Settings!$B$17)</f>
        <v/>
      </c>
      <c r="K945" s="13"/>
      <c r="L945" s="15"/>
      <c r="M945" s="17" t="str">
        <f aca="true">IF(F945="","",IF(AND(L945&lt;&gt;"",L945&gt;=I945),"Paid",IF(AND(L945&lt;&gt;"",L945&gt;0),"Part paid",IF(TODAY()&gt;J945,"Overdue","Due"))))</f>
        <v/>
      </c>
      <c r="N945" s="19" t="str">
        <f aca="true">IF(M945="Overdue",TODAY()-J945,"")</f>
        <v/>
      </c>
      <c r="O945" s="14"/>
    </row>
    <row r="946" customFormat="false" ht="15" hidden="false" customHeight="false" outlineLevel="0" collapsed="false">
      <c r="A946" s="14"/>
      <c r="B946" s="13"/>
      <c r="C946" s="14"/>
      <c r="D946" s="14"/>
      <c r="E946" s="14"/>
      <c r="F946" s="15"/>
      <c r="G946" s="14"/>
      <c r="H946" s="19" t="str">
        <f aca="false">IF(F946="","",IF(G946="Y",F946*Settings!$B$16,0))</f>
        <v/>
      </c>
      <c r="I946" s="19" t="str">
        <f aca="false">IF(F946="","",F946+H946)</f>
        <v/>
      </c>
      <c r="J946" s="18" t="str">
        <f aca="false">IF(B946="","",B946+Settings!$B$17)</f>
        <v/>
      </c>
      <c r="K946" s="13"/>
      <c r="L946" s="15"/>
      <c r="M946" s="17" t="str">
        <f aca="true">IF(F946="","",IF(AND(L946&lt;&gt;"",L946&gt;=I946),"Paid",IF(AND(L946&lt;&gt;"",L946&gt;0),"Part paid",IF(TODAY()&gt;J946,"Overdue","Due"))))</f>
        <v/>
      </c>
      <c r="N946" s="19" t="str">
        <f aca="true">IF(M946="Overdue",TODAY()-J946,"")</f>
        <v/>
      </c>
      <c r="O946" s="14"/>
    </row>
    <row r="947" customFormat="false" ht="15" hidden="false" customHeight="false" outlineLevel="0" collapsed="false">
      <c r="A947" s="14"/>
      <c r="B947" s="13"/>
      <c r="C947" s="14"/>
      <c r="D947" s="14"/>
      <c r="E947" s="14"/>
      <c r="F947" s="15"/>
      <c r="G947" s="14"/>
      <c r="H947" s="19" t="str">
        <f aca="false">IF(F947="","",IF(G947="Y",F947*Settings!$B$16,0))</f>
        <v/>
      </c>
      <c r="I947" s="19" t="str">
        <f aca="false">IF(F947="","",F947+H947)</f>
        <v/>
      </c>
      <c r="J947" s="18" t="str">
        <f aca="false">IF(B947="","",B947+Settings!$B$17)</f>
        <v/>
      </c>
      <c r="K947" s="13"/>
      <c r="L947" s="15"/>
      <c r="M947" s="17" t="str">
        <f aca="true">IF(F947="","",IF(AND(L947&lt;&gt;"",L947&gt;=I947),"Paid",IF(AND(L947&lt;&gt;"",L947&gt;0),"Part paid",IF(TODAY()&gt;J947,"Overdue","Due"))))</f>
        <v/>
      </c>
      <c r="N947" s="19" t="str">
        <f aca="true">IF(M947="Overdue",TODAY()-J947,"")</f>
        <v/>
      </c>
      <c r="O947" s="14"/>
    </row>
    <row r="948" customFormat="false" ht="15" hidden="false" customHeight="false" outlineLevel="0" collapsed="false">
      <c r="A948" s="14"/>
      <c r="B948" s="13"/>
      <c r="C948" s="14"/>
      <c r="D948" s="14"/>
      <c r="E948" s="14"/>
      <c r="F948" s="15"/>
      <c r="G948" s="14"/>
      <c r="H948" s="19" t="str">
        <f aca="false">IF(F948="","",IF(G948="Y",F948*Settings!$B$16,0))</f>
        <v/>
      </c>
      <c r="I948" s="19" t="str">
        <f aca="false">IF(F948="","",F948+H948)</f>
        <v/>
      </c>
      <c r="J948" s="18" t="str">
        <f aca="false">IF(B948="","",B948+Settings!$B$17)</f>
        <v/>
      </c>
      <c r="K948" s="13"/>
      <c r="L948" s="15"/>
      <c r="M948" s="17" t="str">
        <f aca="true">IF(F948="","",IF(AND(L948&lt;&gt;"",L948&gt;=I948),"Paid",IF(AND(L948&lt;&gt;"",L948&gt;0),"Part paid",IF(TODAY()&gt;J948,"Overdue","Due"))))</f>
        <v/>
      </c>
      <c r="N948" s="19" t="str">
        <f aca="true">IF(M948="Overdue",TODAY()-J948,"")</f>
        <v/>
      </c>
      <c r="O948" s="14"/>
    </row>
    <row r="949" customFormat="false" ht="15" hidden="false" customHeight="false" outlineLevel="0" collapsed="false">
      <c r="A949" s="14"/>
      <c r="B949" s="13"/>
      <c r="C949" s="14"/>
      <c r="D949" s="14"/>
      <c r="E949" s="14"/>
      <c r="F949" s="15"/>
      <c r="G949" s="14"/>
      <c r="H949" s="19" t="str">
        <f aca="false">IF(F949="","",IF(G949="Y",F949*Settings!$B$16,0))</f>
        <v/>
      </c>
      <c r="I949" s="19" t="str">
        <f aca="false">IF(F949="","",F949+H949)</f>
        <v/>
      </c>
      <c r="J949" s="18" t="str">
        <f aca="false">IF(B949="","",B949+Settings!$B$17)</f>
        <v/>
      </c>
      <c r="K949" s="13"/>
      <c r="L949" s="15"/>
      <c r="M949" s="17" t="str">
        <f aca="true">IF(F949="","",IF(AND(L949&lt;&gt;"",L949&gt;=I949),"Paid",IF(AND(L949&lt;&gt;"",L949&gt;0),"Part paid",IF(TODAY()&gt;J949,"Overdue","Due"))))</f>
        <v/>
      </c>
      <c r="N949" s="19" t="str">
        <f aca="true">IF(M949="Overdue",TODAY()-J949,"")</f>
        <v/>
      </c>
      <c r="O949" s="14"/>
    </row>
    <row r="950" customFormat="false" ht="15" hidden="false" customHeight="false" outlineLevel="0" collapsed="false">
      <c r="A950" s="14"/>
      <c r="B950" s="13"/>
      <c r="C950" s="14"/>
      <c r="D950" s="14"/>
      <c r="E950" s="14"/>
      <c r="F950" s="15"/>
      <c r="G950" s="14"/>
      <c r="H950" s="19" t="str">
        <f aca="false">IF(F950="","",IF(G950="Y",F950*Settings!$B$16,0))</f>
        <v/>
      </c>
      <c r="I950" s="19" t="str">
        <f aca="false">IF(F950="","",F950+H950)</f>
        <v/>
      </c>
      <c r="J950" s="18" t="str">
        <f aca="false">IF(B950="","",B950+Settings!$B$17)</f>
        <v/>
      </c>
      <c r="K950" s="13"/>
      <c r="L950" s="15"/>
      <c r="M950" s="17" t="str">
        <f aca="true">IF(F950="","",IF(AND(L950&lt;&gt;"",L950&gt;=I950),"Paid",IF(AND(L950&lt;&gt;"",L950&gt;0),"Part paid",IF(TODAY()&gt;J950,"Overdue","Due"))))</f>
        <v/>
      </c>
      <c r="N950" s="19" t="str">
        <f aca="true">IF(M950="Overdue",TODAY()-J950,"")</f>
        <v/>
      </c>
      <c r="O950" s="14"/>
    </row>
    <row r="951" customFormat="false" ht="15" hidden="false" customHeight="false" outlineLevel="0" collapsed="false">
      <c r="A951" s="14"/>
      <c r="B951" s="13"/>
      <c r="C951" s="14"/>
      <c r="D951" s="14"/>
      <c r="E951" s="14"/>
      <c r="F951" s="15"/>
      <c r="G951" s="14"/>
      <c r="H951" s="19" t="str">
        <f aca="false">IF(F951="","",IF(G951="Y",F951*Settings!$B$16,0))</f>
        <v/>
      </c>
      <c r="I951" s="19" t="str">
        <f aca="false">IF(F951="","",F951+H951)</f>
        <v/>
      </c>
      <c r="J951" s="18" t="str">
        <f aca="false">IF(B951="","",B951+Settings!$B$17)</f>
        <v/>
      </c>
      <c r="K951" s="13"/>
      <c r="L951" s="15"/>
      <c r="M951" s="17" t="str">
        <f aca="true">IF(F951="","",IF(AND(L951&lt;&gt;"",L951&gt;=I951),"Paid",IF(AND(L951&lt;&gt;"",L951&gt;0),"Part paid",IF(TODAY()&gt;J951,"Overdue","Due"))))</f>
        <v/>
      </c>
      <c r="N951" s="19" t="str">
        <f aca="true">IF(M951="Overdue",TODAY()-J951,"")</f>
        <v/>
      </c>
      <c r="O951" s="14"/>
    </row>
    <row r="952" customFormat="false" ht="15" hidden="false" customHeight="false" outlineLevel="0" collapsed="false">
      <c r="A952" s="14"/>
      <c r="B952" s="13"/>
      <c r="C952" s="14"/>
      <c r="D952" s="14"/>
      <c r="E952" s="14"/>
      <c r="F952" s="15"/>
      <c r="G952" s="14"/>
      <c r="H952" s="19" t="str">
        <f aca="false">IF(F952="","",IF(G952="Y",F952*Settings!$B$16,0))</f>
        <v/>
      </c>
      <c r="I952" s="19" t="str">
        <f aca="false">IF(F952="","",F952+H952)</f>
        <v/>
      </c>
      <c r="J952" s="18" t="str">
        <f aca="false">IF(B952="","",B952+Settings!$B$17)</f>
        <v/>
      </c>
      <c r="K952" s="13"/>
      <c r="L952" s="15"/>
      <c r="M952" s="17" t="str">
        <f aca="true">IF(F952="","",IF(AND(L952&lt;&gt;"",L952&gt;=I952),"Paid",IF(AND(L952&lt;&gt;"",L952&gt;0),"Part paid",IF(TODAY()&gt;J952,"Overdue","Due"))))</f>
        <v/>
      </c>
      <c r="N952" s="19" t="str">
        <f aca="true">IF(M952="Overdue",TODAY()-J952,"")</f>
        <v/>
      </c>
      <c r="O952" s="14"/>
    </row>
    <row r="953" customFormat="false" ht="15" hidden="false" customHeight="false" outlineLevel="0" collapsed="false">
      <c r="A953" s="14"/>
      <c r="B953" s="13"/>
      <c r="C953" s="14"/>
      <c r="D953" s="14"/>
      <c r="E953" s="14"/>
      <c r="F953" s="15"/>
      <c r="G953" s="14"/>
      <c r="H953" s="19" t="str">
        <f aca="false">IF(F953="","",IF(G953="Y",F953*Settings!$B$16,0))</f>
        <v/>
      </c>
      <c r="I953" s="19" t="str">
        <f aca="false">IF(F953="","",F953+H953)</f>
        <v/>
      </c>
      <c r="J953" s="18" t="str">
        <f aca="false">IF(B953="","",B953+Settings!$B$17)</f>
        <v/>
      </c>
      <c r="K953" s="13"/>
      <c r="L953" s="15"/>
      <c r="M953" s="17" t="str">
        <f aca="true">IF(F953="","",IF(AND(L953&lt;&gt;"",L953&gt;=I953),"Paid",IF(AND(L953&lt;&gt;"",L953&gt;0),"Part paid",IF(TODAY()&gt;J953,"Overdue","Due"))))</f>
        <v/>
      </c>
      <c r="N953" s="19" t="str">
        <f aca="true">IF(M953="Overdue",TODAY()-J953,"")</f>
        <v/>
      </c>
      <c r="O953" s="14"/>
    </row>
    <row r="954" customFormat="false" ht="15" hidden="false" customHeight="false" outlineLevel="0" collapsed="false">
      <c r="A954" s="14"/>
      <c r="B954" s="13"/>
      <c r="C954" s="14"/>
      <c r="D954" s="14"/>
      <c r="E954" s="14"/>
      <c r="F954" s="15"/>
      <c r="G954" s="14"/>
      <c r="H954" s="19" t="str">
        <f aca="false">IF(F954="","",IF(G954="Y",F954*Settings!$B$16,0))</f>
        <v/>
      </c>
      <c r="I954" s="19" t="str">
        <f aca="false">IF(F954="","",F954+H954)</f>
        <v/>
      </c>
      <c r="J954" s="18" t="str">
        <f aca="false">IF(B954="","",B954+Settings!$B$17)</f>
        <v/>
      </c>
      <c r="K954" s="13"/>
      <c r="L954" s="15"/>
      <c r="M954" s="17" t="str">
        <f aca="true">IF(F954="","",IF(AND(L954&lt;&gt;"",L954&gt;=I954),"Paid",IF(AND(L954&lt;&gt;"",L954&gt;0),"Part paid",IF(TODAY()&gt;J954,"Overdue","Due"))))</f>
        <v/>
      </c>
      <c r="N954" s="19" t="str">
        <f aca="true">IF(M954="Overdue",TODAY()-J954,"")</f>
        <v/>
      </c>
      <c r="O954" s="14"/>
    </row>
    <row r="955" customFormat="false" ht="15" hidden="false" customHeight="false" outlineLevel="0" collapsed="false">
      <c r="A955" s="14"/>
      <c r="B955" s="13"/>
      <c r="C955" s="14"/>
      <c r="D955" s="14"/>
      <c r="E955" s="14"/>
      <c r="F955" s="15"/>
      <c r="G955" s="14"/>
      <c r="H955" s="19" t="str">
        <f aca="false">IF(F955="","",IF(G955="Y",F955*Settings!$B$16,0))</f>
        <v/>
      </c>
      <c r="I955" s="19" t="str">
        <f aca="false">IF(F955="","",F955+H955)</f>
        <v/>
      </c>
      <c r="J955" s="18" t="str">
        <f aca="false">IF(B955="","",B955+Settings!$B$17)</f>
        <v/>
      </c>
      <c r="K955" s="13"/>
      <c r="L955" s="15"/>
      <c r="M955" s="17" t="str">
        <f aca="true">IF(F955="","",IF(AND(L955&lt;&gt;"",L955&gt;=I955),"Paid",IF(AND(L955&lt;&gt;"",L955&gt;0),"Part paid",IF(TODAY()&gt;J955,"Overdue","Due"))))</f>
        <v/>
      </c>
      <c r="N955" s="19" t="str">
        <f aca="true">IF(M955="Overdue",TODAY()-J955,"")</f>
        <v/>
      </c>
      <c r="O955" s="14"/>
    </row>
    <row r="956" customFormat="false" ht="15" hidden="false" customHeight="false" outlineLevel="0" collapsed="false">
      <c r="A956" s="14"/>
      <c r="B956" s="13"/>
      <c r="C956" s="14"/>
      <c r="D956" s="14"/>
      <c r="E956" s="14"/>
      <c r="F956" s="15"/>
      <c r="G956" s="14"/>
      <c r="H956" s="19" t="str">
        <f aca="false">IF(F956="","",IF(G956="Y",F956*Settings!$B$16,0))</f>
        <v/>
      </c>
      <c r="I956" s="19" t="str">
        <f aca="false">IF(F956="","",F956+H956)</f>
        <v/>
      </c>
      <c r="J956" s="18" t="str">
        <f aca="false">IF(B956="","",B956+Settings!$B$17)</f>
        <v/>
      </c>
      <c r="K956" s="13"/>
      <c r="L956" s="15"/>
      <c r="M956" s="17" t="str">
        <f aca="true">IF(F956="","",IF(AND(L956&lt;&gt;"",L956&gt;=I956),"Paid",IF(AND(L956&lt;&gt;"",L956&gt;0),"Part paid",IF(TODAY()&gt;J956,"Overdue","Due"))))</f>
        <v/>
      </c>
      <c r="N956" s="19" t="str">
        <f aca="true">IF(M956="Overdue",TODAY()-J956,"")</f>
        <v/>
      </c>
      <c r="O956" s="14"/>
    </row>
    <row r="957" customFormat="false" ht="15" hidden="false" customHeight="false" outlineLevel="0" collapsed="false">
      <c r="A957" s="14"/>
      <c r="B957" s="13"/>
      <c r="C957" s="14"/>
      <c r="D957" s="14"/>
      <c r="E957" s="14"/>
      <c r="F957" s="15"/>
      <c r="G957" s="14"/>
      <c r="H957" s="19" t="str">
        <f aca="false">IF(F957="","",IF(G957="Y",F957*Settings!$B$16,0))</f>
        <v/>
      </c>
      <c r="I957" s="19" t="str">
        <f aca="false">IF(F957="","",F957+H957)</f>
        <v/>
      </c>
      <c r="J957" s="18" t="str">
        <f aca="false">IF(B957="","",B957+Settings!$B$17)</f>
        <v/>
      </c>
      <c r="K957" s="13"/>
      <c r="L957" s="15"/>
      <c r="M957" s="17" t="str">
        <f aca="true">IF(F957="","",IF(AND(L957&lt;&gt;"",L957&gt;=I957),"Paid",IF(AND(L957&lt;&gt;"",L957&gt;0),"Part paid",IF(TODAY()&gt;J957,"Overdue","Due"))))</f>
        <v/>
      </c>
      <c r="N957" s="19" t="str">
        <f aca="true">IF(M957="Overdue",TODAY()-J957,"")</f>
        <v/>
      </c>
      <c r="O957" s="14"/>
    </row>
    <row r="958" customFormat="false" ht="15" hidden="false" customHeight="false" outlineLevel="0" collapsed="false">
      <c r="A958" s="14"/>
      <c r="B958" s="13"/>
      <c r="C958" s="14"/>
      <c r="D958" s="14"/>
      <c r="E958" s="14"/>
      <c r="F958" s="15"/>
      <c r="G958" s="14"/>
      <c r="H958" s="19" t="str">
        <f aca="false">IF(F958="","",IF(G958="Y",F958*Settings!$B$16,0))</f>
        <v/>
      </c>
      <c r="I958" s="19" t="str">
        <f aca="false">IF(F958="","",F958+H958)</f>
        <v/>
      </c>
      <c r="J958" s="18" t="str">
        <f aca="false">IF(B958="","",B958+Settings!$B$17)</f>
        <v/>
      </c>
      <c r="K958" s="13"/>
      <c r="L958" s="15"/>
      <c r="M958" s="17" t="str">
        <f aca="true">IF(F958="","",IF(AND(L958&lt;&gt;"",L958&gt;=I958),"Paid",IF(AND(L958&lt;&gt;"",L958&gt;0),"Part paid",IF(TODAY()&gt;J958,"Overdue","Due"))))</f>
        <v/>
      </c>
      <c r="N958" s="19" t="str">
        <f aca="true">IF(M958="Overdue",TODAY()-J958,"")</f>
        <v/>
      </c>
      <c r="O958" s="14"/>
    </row>
    <row r="959" customFormat="false" ht="15" hidden="false" customHeight="false" outlineLevel="0" collapsed="false">
      <c r="A959" s="14"/>
      <c r="B959" s="13"/>
      <c r="C959" s="14"/>
      <c r="D959" s="14"/>
      <c r="E959" s="14"/>
      <c r="F959" s="15"/>
      <c r="G959" s="14"/>
      <c r="H959" s="19" t="str">
        <f aca="false">IF(F959="","",IF(G959="Y",F959*Settings!$B$16,0))</f>
        <v/>
      </c>
      <c r="I959" s="19" t="str">
        <f aca="false">IF(F959="","",F959+H959)</f>
        <v/>
      </c>
      <c r="J959" s="18" t="str">
        <f aca="false">IF(B959="","",B959+Settings!$B$17)</f>
        <v/>
      </c>
      <c r="K959" s="13"/>
      <c r="L959" s="15"/>
      <c r="M959" s="17" t="str">
        <f aca="true">IF(F959="","",IF(AND(L959&lt;&gt;"",L959&gt;=I959),"Paid",IF(AND(L959&lt;&gt;"",L959&gt;0),"Part paid",IF(TODAY()&gt;J959,"Overdue","Due"))))</f>
        <v/>
      </c>
      <c r="N959" s="19" t="str">
        <f aca="true">IF(M959="Overdue",TODAY()-J959,"")</f>
        <v/>
      </c>
      <c r="O959" s="14"/>
    </row>
    <row r="960" customFormat="false" ht="15" hidden="false" customHeight="false" outlineLevel="0" collapsed="false">
      <c r="A960" s="14"/>
      <c r="B960" s="13"/>
      <c r="C960" s="14"/>
      <c r="D960" s="14"/>
      <c r="E960" s="14"/>
      <c r="F960" s="15"/>
      <c r="G960" s="14"/>
      <c r="H960" s="19" t="str">
        <f aca="false">IF(F960="","",IF(G960="Y",F960*Settings!$B$16,0))</f>
        <v/>
      </c>
      <c r="I960" s="19" t="str">
        <f aca="false">IF(F960="","",F960+H960)</f>
        <v/>
      </c>
      <c r="J960" s="18" t="str">
        <f aca="false">IF(B960="","",B960+Settings!$B$17)</f>
        <v/>
      </c>
      <c r="K960" s="13"/>
      <c r="L960" s="15"/>
      <c r="M960" s="17" t="str">
        <f aca="true">IF(F960="","",IF(AND(L960&lt;&gt;"",L960&gt;=I960),"Paid",IF(AND(L960&lt;&gt;"",L960&gt;0),"Part paid",IF(TODAY()&gt;J960,"Overdue","Due"))))</f>
        <v/>
      </c>
      <c r="N960" s="19" t="str">
        <f aca="true">IF(M960="Overdue",TODAY()-J960,"")</f>
        <v/>
      </c>
      <c r="O960" s="14"/>
    </row>
    <row r="961" customFormat="false" ht="15" hidden="false" customHeight="false" outlineLevel="0" collapsed="false">
      <c r="A961" s="14"/>
      <c r="B961" s="13"/>
      <c r="C961" s="14"/>
      <c r="D961" s="14"/>
      <c r="E961" s="14"/>
      <c r="F961" s="15"/>
      <c r="G961" s="14"/>
      <c r="H961" s="19" t="str">
        <f aca="false">IF(F961="","",IF(G961="Y",F961*Settings!$B$16,0))</f>
        <v/>
      </c>
      <c r="I961" s="19" t="str">
        <f aca="false">IF(F961="","",F961+H961)</f>
        <v/>
      </c>
      <c r="J961" s="18" t="str">
        <f aca="false">IF(B961="","",B961+Settings!$B$17)</f>
        <v/>
      </c>
      <c r="K961" s="13"/>
      <c r="L961" s="15"/>
      <c r="M961" s="17" t="str">
        <f aca="true">IF(F961="","",IF(AND(L961&lt;&gt;"",L961&gt;=I961),"Paid",IF(AND(L961&lt;&gt;"",L961&gt;0),"Part paid",IF(TODAY()&gt;J961,"Overdue","Due"))))</f>
        <v/>
      </c>
      <c r="N961" s="19" t="str">
        <f aca="true">IF(M961="Overdue",TODAY()-J961,"")</f>
        <v/>
      </c>
      <c r="O961" s="14"/>
    </row>
    <row r="962" customFormat="false" ht="15" hidden="false" customHeight="false" outlineLevel="0" collapsed="false">
      <c r="A962" s="14"/>
      <c r="B962" s="13"/>
      <c r="C962" s="14"/>
      <c r="D962" s="14"/>
      <c r="E962" s="14"/>
      <c r="F962" s="15"/>
      <c r="G962" s="14"/>
      <c r="H962" s="19" t="str">
        <f aca="false">IF(F962="","",IF(G962="Y",F962*Settings!$B$16,0))</f>
        <v/>
      </c>
      <c r="I962" s="19" t="str">
        <f aca="false">IF(F962="","",F962+H962)</f>
        <v/>
      </c>
      <c r="J962" s="18" t="str">
        <f aca="false">IF(B962="","",B962+Settings!$B$17)</f>
        <v/>
      </c>
      <c r="K962" s="13"/>
      <c r="L962" s="15"/>
      <c r="M962" s="17" t="str">
        <f aca="true">IF(F962="","",IF(AND(L962&lt;&gt;"",L962&gt;=I962),"Paid",IF(AND(L962&lt;&gt;"",L962&gt;0),"Part paid",IF(TODAY()&gt;J962,"Overdue","Due"))))</f>
        <v/>
      </c>
      <c r="N962" s="19" t="str">
        <f aca="true">IF(M962="Overdue",TODAY()-J962,"")</f>
        <v/>
      </c>
      <c r="O962" s="14"/>
    </row>
    <row r="963" customFormat="false" ht="15" hidden="false" customHeight="false" outlineLevel="0" collapsed="false">
      <c r="A963" s="14"/>
      <c r="B963" s="13"/>
      <c r="C963" s="14"/>
      <c r="D963" s="14"/>
      <c r="E963" s="14"/>
      <c r="F963" s="15"/>
      <c r="G963" s="14"/>
      <c r="H963" s="19" t="str">
        <f aca="false">IF(F963="","",IF(G963="Y",F963*Settings!$B$16,0))</f>
        <v/>
      </c>
      <c r="I963" s="19" t="str">
        <f aca="false">IF(F963="","",F963+H963)</f>
        <v/>
      </c>
      <c r="J963" s="18" t="str">
        <f aca="false">IF(B963="","",B963+Settings!$B$17)</f>
        <v/>
      </c>
      <c r="K963" s="13"/>
      <c r="L963" s="15"/>
      <c r="M963" s="17" t="str">
        <f aca="true">IF(F963="","",IF(AND(L963&lt;&gt;"",L963&gt;=I963),"Paid",IF(AND(L963&lt;&gt;"",L963&gt;0),"Part paid",IF(TODAY()&gt;J963,"Overdue","Due"))))</f>
        <v/>
      </c>
      <c r="N963" s="19" t="str">
        <f aca="true">IF(M963="Overdue",TODAY()-J963,"")</f>
        <v/>
      </c>
      <c r="O963" s="14"/>
    </row>
    <row r="964" customFormat="false" ht="15" hidden="false" customHeight="false" outlineLevel="0" collapsed="false">
      <c r="A964" s="14"/>
      <c r="B964" s="13"/>
      <c r="C964" s="14"/>
      <c r="D964" s="14"/>
      <c r="E964" s="14"/>
      <c r="F964" s="15"/>
      <c r="G964" s="14"/>
      <c r="H964" s="19" t="str">
        <f aca="false">IF(F964="","",IF(G964="Y",F964*Settings!$B$16,0))</f>
        <v/>
      </c>
      <c r="I964" s="19" t="str">
        <f aca="false">IF(F964="","",F964+H964)</f>
        <v/>
      </c>
      <c r="J964" s="18" t="str">
        <f aca="false">IF(B964="","",B964+Settings!$B$17)</f>
        <v/>
      </c>
      <c r="K964" s="13"/>
      <c r="L964" s="15"/>
      <c r="M964" s="17" t="str">
        <f aca="true">IF(F964="","",IF(AND(L964&lt;&gt;"",L964&gt;=I964),"Paid",IF(AND(L964&lt;&gt;"",L964&gt;0),"Part paid",IF(TODAY()&gt;J964,"Overdue","Due"))))</f>
        <v/>
      </c>
      <c r="N964" s="19" t="str">
        <f aca="true">IF(M964="Overdue",TODAY()-J964,"")</f>
        <v/>
      </c>
      <c r="O964" s="14"/>
    </row>
    <row r="965" customFormat="false" ht="15" hidden="false" customHeight="false" outlineLevel="0" collapsed="false">
      <c r="A965" s="14"/>
      <c r="B965" s="13"/>
      <c r="C965" s="14"/>
      <c r="D965" s="14"/>
      <c r="E965" s="14"/>
      <c r="F965" s="15"/>
      <c r="G965" s="14"/>
      <c r="H965" s="19" t="str">
        <f aca="false">IF(F965="","",IF(G965="Y",F965*Settings!$B$16,0))</f>
        <v/>
      </c>
      <c r="I965" s="19" t="str">
        <f aca="false">IF(F965="","",F965+H965)</f>
        <v/>
      </c>
      <c r="J965" s="18" t="str">
        <f aca="false">IF(B965="","",B965+Settings!$B$17)</f>
        <v/>
      </c>
      <c r="K965" s="13"/>
      <c r="L965" s="15"/>
      <c r="M965" s="17" t="str">
        <f aca="true">IF(F965="","",IF(AND(L965&lt;&gt;"",L965&gt;=I965),"Paid",IF(AND(L965&lt;&gt;"",L965&gt;0),"Part paid",IF(TODAY()&gt;J965,"Overdue","Due"))))</f>
        <v/>
      </c>
      <c r="N965" s="19" t="str">
        <f aca="true">IF(M965="Overdue",TODAY()-J965,"")</f>
        <v/>
      </c>
      <c r="O965" s="14"/>
    </row>
    <row r="966" customFormat="false" ht="15" hidden="false" customHeight="false" outlineLevel="0" collapsed="false">
      <c r="A966" s="14"/>
      <c r="B966" s="13"/>
      <c r="C966" s="14"/>
      <c r="D966" s="14"/>
      <c r="E966" s="14"/>
      <c r="F966" s="15"/>
      <c r="G966" s="14"/>
      <c r="H966" s="19" t="str">
        <f aca="false">IF(F966="","",IF(G966="Y",F966*Settings!$B$16,0))</f>
        <v/>
      </c>
      <c r="I966" s="19" t="str">
        <f aca="false">IF(F966="","",F966+H966)</f>
        <v/>
      </c>
      <c r="J966" s="18" t="str">
        <f aca="false">IF(B966="","",B966+Settings!$B$17)</f>
        <v/>
      </c>
      <c r="K966" s="13"/>
      <c r="L966" s="15"/>
      <c r="M966" s="17" t="str">
        <f aca="true">IF(F966="","",IF(AND(L966&lt;&gt;"",L966&gt;=I966),"Paid",IF(AND(L966&lt;&gt;"",L966&gt;0),"Part paid",IF(TODAY()&gt;J966,"Overdue","Due"))))</f>
        <v/>
      </c>
      <c r="N966" s="19" t="str">
        <f aca="true">IF(M966="Overdue",TODAY()-J966,"")</f>
        <v/>
      </c>
      <c r="O966" s="14"/>
    </row>
    <row r="967" customFormat="false" ht="15" hidden="false" customHeight="false" outlineLevel="0" collapsed="false">
      <c r="A967" s="14"/>
      <c r="B967" s="13"/>
      <c r="C967" s="14"/>
      <c r="D967" s="14"/>
      <c r="E967" s="14"/>
      <c r="F967" s="15"/>
      <c r="G967" s="14"/>
      <c r="H967" s="19" t="str">
        <f aca="false">IF(F967="","",IF(G967="Y",F967*Settings!$B$16,0))</f>
        <v/>
      </c>
      <c r="I967" s="19" t="str">
        <f aca="false">IF(F967="","",F967+H967)</f>
        <v/>
      </c>
      <c r="J967" s="18" t="str">
        <f aca="false">IF(B967="","",B967+Settings!$B$17)</f>
        <v/>
      </c>
      <c r="K967" s="13"/>
      <c r="L967" s="15"/>
      <c r="M967" s="17" t="str">
        <f aca="true">IF(F967="","",IF(AND(L967&lt;&gt;"",L967&gt;=I967),"Paid",IF(AND(L967&lt;&gt;"",L967&gt;0),"Part paid",IF(TODAY()&gt;J967,"Overdue","Due"))))</f>
        <v/>
      </c>
      <c r="N967" s="19" t="str">
        <f aca="true">IF(M967="Overdue",TODAY()-J967,"")</f>
        <v/>
      </c>
      <c r="O967" s="14"/>
    </row>
    <row r="968" customFormat="false" ht="15" hidden="false" customHeight="false" outlineLevel="0" collapsed="false">
      <c r="A968" s="14"/>
      <c r="B968" s="13"/>
      <c r="C968" s="14"/>
      <c r="D968" s="14"/>
      <c r="E968" s="14"/>
      <c r="F968" s="15"/>
      <c r="G968" s="14"/>
      <c r="H968" s="19" t="str">
        <f aca="false">IF(F968="","",IF(G968="Y",F968*Settings!$B$16,0))</f>
        <v/>
      </c>
      <c r="I968" s="19" t="str">
        <f aca="false">IF(F968="","",F968+H968)</f>
        <v/>
      </c>
      <c r="J968" s="18" t="str">
        <f aca="false">IF(B968="","",B968+Settings!$B$17)</f>
        <v/>
      </c>
      <c r="K968" s="13"/>
      <c r="L968" s="15"/>
      <c r="M968" s="17" t="str">
        <f aca="true">IF(F968="","",IF(AND(L968&lt;&gt;"",L968&gt;=I968),"Paid",IF(AND(L968&lt;&gt;"",L968&gt;0),"Part paid",IF(TODAY()&gt;J968,"Overdue","Due"))))</f>
        <v/>
      </c>
      <c r="N968" s="19" t="str">
        <f aca="true">IF(M968="Overdue",TODAY()-J968,"")</f>
        <v/>
      </c>
      <c r="O968" s="14"/>
    </row>
    <row r="969" customFormat="false" ht="15" hidden="false" customHeight="false" outlineLevel="0" collapsed="false">
      <c r="A969" s="14"/>
      <c r="B969" s="13"/>
      <c r="C969" s="14"/>
      <c r="D969" s="14"/>
      <c r="E969" s="14"/>
      <c r="F969" s="15"/>
      <c r="G969" s="14"/>
      <c r="H969" s="19" t="str">
        <f aca="false">IF(F969="","",IF(G969="Y",F969*Settings!$B$16,0))</f>
        <v/>
      </c>
      <c r="I969" s="19" t="str">
        <f aca="false">IF(F969="","",F969+H969)</f>
        <v/>
      </c>
      <c r="J969" s="18" t="str">
        <f aca="false">IF(B969="","",B969+Settings!$B$17)</f>
        <v/>
      </c>
      <c r="K969" s="13"/>
      <c r="L969" s="15"/>
      <c r="M969" s="17" t="str">
        <f aca="true">IF(F969="","",IF(AND(L969&lt;&gt;"",L969&gt;=I969),"Paid",IF(AND(L969&lt;&gt;"",L969&gt;0),"Part paid",IF(TODAY()&gt;J969,"Overdue","Due"))))</f>
        <v/>
      </c>
      <c r="N969" s="19" t="str">
        <f aca="true">IF(M969="Overdue",TODAY()-J969,"")</f>
        <v/>
      </c>
      <c r="O969" s="14"/>
    </row>
    <row r="970" customFormat="false" ht="15" hidden="false" customHeight="false" outlineLevel="0" collapsed="false">
      <c r="A970" s="14"/>
      <c r="B970" s="13"/>
      <c r="C970" s="14"/>
      <c r="D970" s="14"/>
      <c r="E970" s="14"/>
      <c r="F970" s="15"/>
      <c r="G970" s="14"/>
      <c r="H970" s="19" t="str">
        <f aca="false">IF(F970="","",IF(G970="Y",F970*Settings!$B$16,0))</f>
        <v/>
      </c>
      <c r="I970" s="19" t="str">
        <f aca="false">IF(F970="","",F970+H970)</f>
        <v/>
      </c>
      <c r="J970" s="18" t="str">
        <f aca="false">IF(B970="","",B970+Settings!$B$17)</f>
        <v/>
      </c>
      <c r="K970" s="13"/>
      <c r="L970" s="15"/>
      <c r="M970" s="17" t="str">
        <f aca="true">IF(F970="","",IF(AND(L970&lt;&gt;"",L970&gt;=I970),"Paid",IF(AND(L970&lt;&gt;"",L970&gt;0),"Part paid",IF(TODAY()&gt;J970,"Overdue","Due"))))</f>
        <v/>
      </c>
      <c r="N970" s="19" t="str">
        <f aca="true">IF(M970="Overdue",TODAY()-J970,"")</f>
        <v/>
      </c>
      <c r="O970" s="14"/>
    </row>
    <row r="971" customFormat="false" ht="15" hidden="false" customHeight="false" outlineLevel="0" collapsed="false">
      <c r="A971" s="14"/>
      <c r="B971" s="13"/>
      <c r="C971" s="14"/>
      <c r="D971" s="14"/>
      <c r="E971" s="14"/>
      <c r="F971" s="15"/>
      <c r="G971" s="14"/>
      <c r="H971" s="19" t="str">
        <f aca="false">IF(F971="","",IF(G971="Y",F971*Settings!$B$16,0))</f>
        <v/>
      </c>
      <c r="I971" s="19" t="str">
        <f aca="false">IF(F971="","",F971+H971)</f>
        <v/>
      </c>
      <c r="J971" s="18" t="str">
        <f aca="false">IF(B971="","",B971+Settings!$B$17)</f>
        <v/>
      </c>
      <c r="K971" s="13"/>
      <c r="L971" s="15"/>
      <c r="M971" s="17" t="str">
        <f aca="true">IF(F971="","",IF(AND(L971&lt;&gt;"",L971&gt;=I971),"Paid",IF(AND(L971&lt;&gt;"",L971&gt;0),"Part paid",IF(TODAY()&gt;J971,"Overdue","Due"))))</f>
        <v/>
      </c>
      <c r="N971" s="19" t="str">
        <f aca="true">IF(M971="Overdue",TODAY()-J971,"")</f>
        <v/>
      </c>
      <c r="O971" s="14"/>
    </row>
    <row r="972" customFormat="false" ht="15" hidden="false" customHeight="false" outlineLevel="0" collapsed="false">
      <c r="A972" s="14"/>
      <c r="B972" s="13"/>
      <c r="C972" s="14"/>
      <c r="D972" s="14"/>
      <c r="E972" s="14"/>
      <c r="F972" s="15"/>
      <c r="G972" s="14"/>
      <c r="H972" s="19" t="str">
        <f aca="false">IF(F972="","",IF(G972="Y",F972*Settings!$B$16,0))</f>
        <v/>
      </c>
      <c r="I972" s="19" t="str">
        <f aca="false">IF(F972="","",F972+H972)</f>
        <v/>
      </c>
      <c r="J972" s="18" t="str">
        <f aca="false">IF(B972="","",B972+Settings!$B$17)</f>
        <v/>
      </c>
      <c r="K972" s="13"/>
      <c r="L972" s="15"/>
      <c r="M972" s="17" t="str">
        <f aca="true">IF(F972="","",IF(AND(L972&lt;&gt;"",L972&gt;=I972),"Paid",IF(AND(L972&lt;&gt;"",L972&gt;0),"Part paid",IF(TODAY()&gt;J972,"Overdue","Due"))))</f>
        <v/>
      </c>
      <c r="N972" s="19" t="str">
        <f aca="true">IF(M972="Overdue",TODAY()-J972,"")</f>
        <v/>
      </c>
      <c r="O972" s="14"/>
    </row>
    <row r="973" customFormat="false" ht="15" hidden="false" customHeight="false" outlineLevel="0" collapsed="false">
      <c r="A973" s="14"/>
      <c r="B973" s="13"/>
      <c r="C973" s="14"/>
      <c r="D973" s="14"/>
      <c r="E973" s="14"/>
      <c r="F973" s="15"/>
      <c r="G973" s="14"/>
      <c r="H973" s="19" t="str">
        <f aca="false">IF(F973="","",IF(G973="Y",F973*Settings!$B$16,0))</f>
        <v/>
      </c>
      <c r="I973" s="19" t="str">
        <f aca="false">IF(F973="","",F973+H973)</f>
        <v/>
      </c>
      <c r="J973" s="18" t="str">
        <f aca="false">IF(B973="","",B973+Settings!$B$17)</f>
        <v/>
      </c>
      <c r="K973" s="13"/>
      <c r="L973" s="15"/>
      <c r="M973" s="17" t="str">
        <f aca="true">IF(F973="","",IF(AND(L973&lt;&gt;"",L973&gt;=I973),"Paid",IF(AND(L973&lt;&gt;"",L973&gt;0),"Part paid",IF(TODAY()&gt;J973,"Overdue","Due"))))</f>
        <v/>
      </c>
      <c r="N973" s="19" t="str">
        <f aca="true">IF(M973="Overdue",TODAY()-J973,"")</f>
        <v/>
      </c>
      <c r="O973" s="14"/>
    </row>
    <row r="974" customFormat="false" ht="15" hidden="false" customHeight="false" outlineLevel="0" collapsed="false">
      <c r="A974" s="14"/>
      <c r="B974" s="13"/>
      <c r="C974" s="14"/>
      <c r="D974" s="14"/>
      <c r="E974" s="14"/>
      <c r="F974" s="15"/>
      <c r="G974" s="14"/>
      <c r="H974" s="19" t="str">
        <f aca="false">IF(F974="","",IF(G974="Y",F974*Settings!$B$16,0))</f>
        <v/>
      </c>
      <c r="I974" s="19" t="str">
        <f aca="false">IF(F974="","",F974+H974)</f>
        <v/>
      </c>
      <c r="J974" s="18" t="str">
        <f aca="false">IF(B974="","",B974+Settings!$B$17)</f>
        <v/>
      </c>
      <c r="K974" s="13"/>
      <c r="L974" s="15"/>
      <c r="M974" s="17" t="str">
        <f aca="true">IF(F974="","",IF(AND(L974&lt;&gt;"",L974&gt;=I974),"Paid",IF(AND(L974&lt;&gt;"",L974&gt;0),"Part paid",IF(TODAY()&gt;J974,"Overdue","Due"))))</f>
        <v/>
      </c>
      <c r="N974" s="19" t="str">
        <f aca="true">IF(M974="Overdue",TODAY()-J974,"")</f>
        <v/>
      </c>
      <c r="O974" s="14"/>
    </row>
    <row r="975" customFormat="false" ht="15" hidden="false" customHeight="false" outlineLevel="0" collapsed="false">
      <c r="A975" s="14"/>
      <c r="B975" s="13"/>
      <c r="C975" s="14"/>
      <c r="D975" s="14"/>
      <c r="E975" s="14"/>
      <c r="F975" s="15"/>
      <c r="G975" s="14"/>
      <c r="H975" s="19" t="str">
        <f aca="false">IF(F975="","",IF(G975="Y",F975*Settings!$B$16,0))</f>
        <v/>
      </c>
      <c r="I975" s="19" t="str">
        <f aca="false">IF(F975="","",F975+H975)</f>
        <v/>
      </c>
      <c r="J975" s="18" t="str">
        <f aca="false">IF(B975="","",B975+Settings!$B$17)</f>
        <v/>
      </c>
      <c r="K975" s="13"/>
      <c r="L975" s="15"/>
      <c r="M975" s="17" t="str">
        <f aca="true">IF(F975="","",IF(AND(L975&lt;&gt;"",L975&gt;=I975),"Paid",IF(AND(L975&lt;&gt;"",L975&gt;0),"Part paid",IF(TODAY()&gt;J975,"Overdue","Due"))))</f>
        <v/>
      </c>
      <c r="N975" s="19" t="str">
        <f aca="true">IF(M975="Overdue",TODAY()-J975,"")</f>
        <v/>
      </c>
      <c r="O975" s="14"/>
    </row>
    <row r="976" customFormat="false" ht="15" hidden="false" customHeight="false" outlineLevel="0" collapsed="false">
      <c r="A976" s="14"/>
      <c r="B976" s="13"/>
      <c r="C976" s="14"/>
      <c r="D976" s="14"/>
      <c r="E976" s="14"/>
      <c r="F976" s="15"/>
      <c r="G976" s="14"/>
      <c r="H976" s="19" t="str">
        <f aca="false">IF(F976="","",IF(G976="Y",F976*Settings!$B$16,0))</f>
        <v/>
      </c>
      <c r="I976" s="19" t="str">
        <f aca="false">IF(F976="","",F976+H976)</f>
        <v/>
      </c>
      <c r="J976" s="18" t="str">
        <f aca="false">IF(B976="","",B976+Settings!$B$17)</f>
        <v/>
      </c>
      <c r="K976" s="13"/>
      <c r="L976" s="15"/>
      <c r="M976" s="17" t="str">
        <f aca="true">IF(F976="","",IF(AND(L976&lt;&gt;"",L976&gt;=I976),"Paid",IF(AND(L976&lt;&gt;"",L976&gt;0),"Part paid",IF(TODAY()&gt;J976,"Overdue","Due"))))</f>
        <v/>
      </c>
      <c r="N976" s="19" t="str">
        <f aca="true">IF(M976="Overdue",TODAY()-J976,"")</f>
        <v/>
      </c>
      <c r="O976" s="14"/>
    </row>
    <row r="977" customFormat="false" ht="15" hidden="false" customHeight="false" outlineLevel="0" collapsed="false">
      <c r="A977" s="14"/>
      <c r="B977" s="13"/>
      <c r="C977" s="14"/>
      <c r="D977" s="14"/>
      <c r="E977" s="14"/>
      <c r="F977" s="15"/>
      <c r="G977" s="14"/>
      <c r="H977" s="19" t="str">
        <f aca="false">IF(F977="","",IF(G977="Y",F977*Settings!$B$16,0))</f>
        <v/>
      </c>
      <c r="I977" s="19" t="str">
        <f aca="false">IF(F977="","",F977+H977)</f>
        <v/>
      </c>
      <c r="J977" s="18" t="str">
        <f aca="false">IF(B977="","",B977+Settings!$B$17)</f>
        <v/>
      </c>
      <c r="K977" s="13"/>
      <c r="L977" s="15"/>
      <c r="M977" s="17" t="str">
        <f aca="true">IF(F977="","",IF(AND(L977&lt;&gt;"",L977&gt;=I977),"Paid",IF(AND(L977&lt;&gt;"",L977&gt;0),"Part paid",IF(TODAY()&gt;J977,"Overdue","Due"))))</f>
        <v/>
      </c>
      <c r="N977" s="19" t="str">
        <f aca="true">IF(M977="Overdue",TODAY()-J977,"")</f>
        <v/>
      </c>
      <c r="O977" s="14"/>
    </row>
    <row r="978" customFormat="false" ht="15" hidden="false" customHeight="false" outlineLevel="0" collapsed="false">
      <c r="A978" s="14"/>
      <c r="B978" s="13"/>
      <c r="C978" s="14"/>
      <c r="D978" s="14"/>
      <c r="E978" s="14"/>
      <c r="F978" s="15"/>
      <c r="G978" s="14"/>
      <c r="H978" s="19" t="str">
        <f aca="false">IF(F978="","",IF(G978="Y",F978*Settings!$B$16,0))</f>
        <v/>
      </c>
      <c r="I978" s="19" t="str">
        <f aca="false">IF(F978="","",F978+H978)</f>
        <v/>
      </c>
      <c r="J978" s="18" t="str">
        <f aca="false">IF(B978="","",B978+Settings!$B$17)</f>
        <v/>
      </c>
      <c r="K978" s="13"/>
      <c r="L978" s="15"/>
      <c r="M978" s="17" t="str">
        <f aca="true">IF(F978="","",IF(AND(L978&lt;&gt;"",L978&gt;=I978),"Paid",IF(AND(L978&lt;&gt;"",L978&gt;0),"Part paid",IF(TODAY()&gt;J978,"Overdue","Due"))))</f>
        <v/>
      </c>
      <c r="N978" s="19" t="str">
        <f aca="true">IF(M978="Overdue",TODAY()-J978,"")</f>
        <v/>
      </c>
      <c r="O978" s="14"/>
    </row>
    <row r="979" customFormat="false" ht="15" hidden="false" customHeight="false" outlineLevel="0" collapsed="false">
      <c r="A979" s="14"/>
      <c r="B979" s="13"/>
      <c r="C979" s="14"/>
      <c r="D979" s="14"/>
      <c r="E979" s="14"/>
      <c r="F979" s="15"/>
      <c r="G979" s="14"/>
      <c r="H979" s="19" t="str">
        <f aca="false">IF(F979="","",IF(G979="Y",F979*Settings!$B$16,0))</f>
        <v/>
      </c>
      <c r="I979" s="19" t="str">
        <f aca="false">IF(F979="","",F979+H979)</f>
        <v/>
      </c>
      <c r="J979" s="18" t="str">
        <f aca="false">IF(B979="","",B979+Settings!$B$17)</f>
        <v/>
      </c>
      <c r="K979" s="13"/>
      <c r="L979" s="15"/>
      <c r="M979" s="17" t="str">
        <f aca="true">IF(F979="","",IF(AND(L979&lt;&gt;"",L979&gt;=I979),"Paid",IF(AND(L979&lt;&gt;"",L979&gt;0),"Part paid",IF(TODAY()&gt;J979,"Overdue","Due"))))</f>
        <v/>
      </c>
      <c r="N979" s="19" t="str">
        <f aca="true">IF(M979="Overdue",TODAY()-J979,"")</f>
        <v/>
      </c>
      <c r="O979" s="14"/>
    </row>
    <row r="980" customFormat="false" ht="15" hidden="false" customHeight="false" outlineLevel="0" collapsed="false">
      <c r="A980" s="14"/>
      <c r="B980" s="13"/>
      <c r="C980" s="14"/>
      <c r="D980" s="14"/>
      <c r="E980" s="14"/>
      <c r="F980" s="15"/>
      <c r="G980" s="14"/>
      <c r="H980" s="19" t="str">
        <f aca="false">IF(F980="","",IF(G980="Y",F980*Settings!$B$16,0))</f>
        <v/>
      </c>
      <c r="I980" s="19" t="str">
        <f aca="false">IF(F980="","",F980+H980)</f>
        <v/>
      </c>
      <c r="J980" s="18" t="str">
        <f aca="false">IF(B980="","",B980+Settings!$B$17)</f>
        <v/>
      </c>
      <c r="K980" s="13"/>
      <c r="L980" s="15"/>
      <c r="M980" s="17" t="str">
        <f aca="true">IF(F980="","",IF(AND(L980&lt;&gt;"",L980&gt;=I980),"Paid",IF(AND(L980&lt;&gt;"",L980&gt;0),"Part paid",IF(TODAY()&gt;J980,"Overdue","Due"))))</f>
        <v/>
      </c>
      <c r="N980" s="19" t="str">
        <f aca="true">IF(M980="Overdue",TODAY()-J980,"")</f>
        <v/>
      </c>
      <c r="O980" s="14"/>
    </row>
    <row r="981" customFormat="false" ht="15" hidden="false" customHeight="false" outlineLevel="0" collapsed="false">
      <c r="A981" s="14"/>
      <c r="B981" s="13"/>
      <c r="C981" s="14"/>
      <c r="D981" s="14"/>
      <c r="E981" s="14"/>
      <c r="F981" s="15"/>
      <c r="G981" s="14"/>
      <c r="H981" s="19" t="str">
        <f aca="false">IF(F981="","",IF(G981="Y",F981*Settings!$B$16,0))</f>
        <v/>
      </c>
      <c r="I981" s="19" t="str">
        <f aca="false">IF(F981="","",F981+H981)</f>
        <v/>
      </c>
      <c r="J981" s="18" t="str">
        <f aca="false">IF(B981="","",B981+Settings!$B$17)</f>
        <v/>
      </c>
      <c r="K981" s="13"/>
      <c r="L981" s="15"/>
      <c r="M981" s="17" t="str">
        <f aca="true">IF(F981="","",IF(AND(L981&lt;&gt;"",L981&gt;=I981),"Paid",IF(AND(L981&lt;&gt;"",L981&gt;0),"Part paid",IF(TODAY()&gt;J981,"Overdue","Due"))))</f>
        <v/>
      </c>
      <c r="N981" s="19" t="str">
        <f aca="true">IF(M981="Overdue",TODAY()-J981,"")</f>
        <v/>
      </c>
      <c r="O981" s="14"/>
    </row>
    <row r="982" customFormat="false" ht="15" hidden="false" customHeight="false" outlineLevel="0" collapsed="false">
      <c r="A982" s="14"/>
      <c r="B982" s="13"/>
      <c r="C982" s="14"/>
      <c r="D982" s="14"/>
      <c r="E982" s="14"/>
      <c r="F982" s="15"/>
      <c r="G982" s="14"/>
      <c r="H982" s="19" t="str">
        <f aca="false">IF(F982="","",IF(G982="Y",F982*Settings!$B$16,0))</f>
        <v/>
      </c>
      <c r="I982" s="19" t="str">
        <f aca="false">IF(F982="","",F982+H982)</f>
        <v/>
      </c>
      <c r="J982" s="18" t="str">
        <f aca="false">IF(B982="","",B982+Settings!$B$17)</f>
        <v/>
      </c>
      <c r="K982" s="13"/>
      <c r="L982" s="15"/>
      <c r="M982" s="17" t="str">
        <f aca="true">IF(F982="","",IF(AND(L982&lt;&gt;"",L982&gt;=I982),"Paid",IF(AND(L982&lt;&gt;"",L982&gt;0),"Part paid",IF(TODAY()&gt;J982,"Overdue","Due"))))</f>
        <v/>
      </c>
      <c r="N982" s="19" t="str">
        <f aca="true">IF(M982="Overdue",TODAY()-J982,"")</f>
        <v/>
      </c>
      <c r="O982" s="14"/>
    </row>
    <row r="983" customFormat="false" ht="15" hidden="false" customHeight="false" outlineLevel="0" collapsed="false">
      <c r="A983" s="14"/>
      <c r="B983" s="13"/>
      <c r="C983" s="14"/>
      <c r="D983" s="14"/>
      <c r="E983" s="14"/>
      <c r="F983" s="15"/>
      <c r="G983" s="14"/>
      <c r="H983" s="19" t="str">
        <f aca="false">IF(F983="","",IF(G983="Y",F983*Settings!$B$16,0))</f>
        <v/>
      </c>
      <c r="I983" s="19" t="str">
        <f aca="false">IF(F983="","",F983+H983)</f>
        <v/>
      </c>
      <c r="J983" s="18" t="str">
        <f aca="false">IF(B983="","",B983+Settings!$B$17)</f>
        <v/>
      </c>
      <c r="K983" s="13"/>
      <c r="L983" s="15"/>
      <c r="M983" s="17" t="str">
        <f aca="true">IF(F983="","",IF(AND(L983&lt;&gt;"",L983&gt;=I983),"Paid",IF(AND(L983&lt;&gt;"",L983&gt;0),"Part paid",IF(TODAY()&gt;J983,"Overdue","Due"))))</f>
        <v/>
      </c>
      <c r="N983" s="19" t="str">
        <f aca="true">IF(M983="Overdue",TODAY()-J983,"")</f>
        <v/>
      </c>
      <c r="O983" s="14"/>
    </row>
    <row r="984" customFormat="false" ht="15" hidden="false" customHeight="false" outlineLevel="0" collapsed="false">
      <c r="A984" s="14"/>
      <c r="B984" s="13"/>
      <c r="C984" s="14"/>
      <c r="D984" s="14"/>
      <c r="E984" s="14"/>
      <c r="F984" s="15"/>
      <c r="G984" s="14"/>
      <c r="H984" s="19" t="str">
        <f aca="false">IF(F984="","",IF(G984="Y",F984*Settings!$B$16,0))</f>
        <v/>
      </c>
      <c r="I984" s="19" t="str">
        <f aca="false">IF(F984="","",F984+H984)</f>
        <v/>
      </c>
      <c r="J984" s="18" t="str">
        <f aca="false">IF(B984="","",B984+Settings!$B$17)</f>
        <v/>
      </c>
      <c r="K984" s="13"/>
      <c r="L984" s="15"/>
      <c r="M984" s="17" t="str">
        <f aca="true">IF(F984="","",IF(AND(L984&lt;&gt;"",L984&gt;=I984),"Paid",IF(AND(L984&lt;&gt;"",L984&gt;0),"Part paid",IF(TODAY()&gt;J984,"Overdue","Due"))))</f>
        <v/>
      </c>
      <c r="N984" s="19" t="str">
        <f aca="true">IF(M984="Overdue",TODAY()-J984,"")</f>
        <v/>
      </c>
      <c r="O984" s="14"/>
    </row>
    <row r="985" customFormat="false" ht="15" hidden="false" customHeight="false" outlineLevel="0" collapsed="false">
      <c r="A985" s="14"/>
      <c r="B985" s="13"/>
      <c r="C985" s="14"/>
      <c r="D985" s="14"/>
      <c r="E985" s="14"/>
      <c r="F985" s="15"/>
      <c r="G985" s="14"/>
      <c r="H985" s="19" t="str">
        <f aca="false">IF(F985="","",IF(G985="Y",F985*Settings!$B$16,0))</f>
        <v/>
      </c>
      <c r="I985" s="19" t="str">
        <f aca="false">IF(F985="","",F985+H985)</f>
        <v/>
      </c>
      <c r="J985" s="18" t="str">
        <f aca="false">IF(B985="","",B985+Settings!$B$17)</f>
        <v/>
      </c>
      <c r="K985" s="13"/>
      <c r="L985" s="15"/>
      <c r="M985" s="17" t="str">
        <f aca="true">IF(F985="","",IF(AND(L985&lt;&gt;"",L985&gt;=I985),"Paid",IF(AND(L985&lt;&gt;"",L985&gt;0),"Part paid",IF(TODAY()&gt;J985,"Overdue","Due"))))</f>
        <v/>
      </c>
      <c r="N985" s="19" t="str">
        <f aca="true">IF(M985="Overdue",TODAY()-J985,"")</f>
        <v/>
      </c>
      <c r="O985" s="14"/>
    </row>
    <row r="986" customFormat="false" ht="15" hidden="false" customHeight="false" outlineLevel="0" collapsed="false">
      <c r="A986" s="14"/>
      <c r="B986" s="13"/>
      <c r="C986" s="14"/>
      <c r="D986" s="14"/>
      <c r="E986" s="14"/>
      <c r="F986" s="15"/>
      <c r="G986" s="14"/>
      <c r="H986" s="19" t="str">
        <f aca="false">IF(F986="","",IF(G986="Y",F986*Settings!$B$16,0))</f>
        <v/>
      </c>
      <c r="I986" s="19" t="str">
        <f aca="false">IF(F986="","",F986+H986)</f>
        <v/>
      </c>
      <c r="J986" s="18" t="str">
        <f aca="false">IF(B986="","",B986+Settings!$B$17)</f>
        <v/>
      </c>
      <c r="K986" s="13"/>
      <c r="L986" s="15"/>
      <c r="M986" s="17" t="str">
        <f aca="true">IF(F986="","",IF(AND(L986&lt;&gt;"",L986&gt;=I986),"Paid",IF(AND(L986&lt;&gt;"",L986&gt;0),"Part paid",IF(TODAY()&gt;J986,"Overdue","Due"))))</f>
        <v/>
      </c>
      <c r="N986" s="19" t="str">
        <f aca="true">IF(M986="Overdue",TODAY()-J986,"")</f>
        <v/>
      </c>
      <c r="O986" s="14"/>
    </row>
    <row r="987" customFormat="false" ht="15" hidden="false" customHeight="false" outlineLevel="0" collapsed="false">
      <c r="A987" s="14"/>
      <c r="B987" s="13"/>
      <c r="C987" s="14"/>
      <c r="D987" s="14"/>
      <c r="E987" s="14"/>
      <c r="F987" s="15"/>
      <c r="G987" s="14"/>
      <c r="H987" s="19" t="str">
        <f aca="false">IF(F987="","",IF(G987="Y",F987*Settings!$B$16,0))</f>
        <v/>
      </c>
      <c r="I987" s="19" t="str">
        <f aca="false">IF(F987="","",F987+H987)</f>
        <v/>
      </c>
      <c r="J987" s="18" t="str">
        <f aca="false">IF(B987="","",B987+Settings!$B$17)</f>
        <v/>
      </c>
      <c r="K987" s="13"/>
      <c r="L987" s="15"/>
      <c r="M987" s="17" t="str">
        <f aca="true">IF(F987="","",IF(AND(L987&lt;&gt;"",L987&gt;=I987),"Paid",IF(AND(L987&lt;&gt;"",L987&gt;0),"Part paid",IF(TODAY()&gt;J987,"Overdue","Due"))))</f>
        <v/>
      </c>
      <c r="N987" s="19" t="str">
        <f aca="true">IF(M987="Overdue",TODAY()-J987,"")</f>
        <v/>
      </c>
      <c r="O987" s="14"/>
    </row>
    <row r="988" customFormat="false" ht="15" hidden="false" customHeight="false" outlineLevel="0" collapsed="false">
      <c r="A988" s="14"/>
      <c r="B988" s="13"/>
      <c r="C988" s="14"/>
      <c r="D988" s="14"/>
      <c r="E988" s="14"/>
      <c r="F988" s="15"/>
      <c r="G988" s="14"/>
      <c r="H988" s="19" t="str">
        <f aca="false">IF(F988="","",IF(G988="Y",F988*Settings!$B$16,0))</f>
        <v/>
      </c>
      <c r="I988" s="19" t="str">
        <f aca="false">IF(F988="","",F988+H988)</f>
        <v/>
      </c>
      <c r="J988" s="18" t="str">
        <f aca="false">IF(B988="","",B988+Settings!$B$17)</f>
        <v/>
      </c>
      <c r="K988" s="13"/>
      <c r="L988" s="15"/>
      <c r="M988" s="17" t="str">
        <f aca="true">IF(F988="","",IF(AND(L988&lt;&gt;"",L988&gt;=I988),"Paid",IF(AND(L988&lt;&gt;"",L988&gt;0),"Part paid",IF(TODAY()&gt;J988,"Overdue","Due"))))</f>
        <v/>
      </c>
      <c r="N988" s="19" t="str">
        <f aca="true">IF(M988="Overdue",TODAY()-J988,"")</f>
        <v/>
      </c>
      <c r="O988" s="14"/>
    </row>
    <row r="989" customFormat="false" ht="15" hidden="false" customHeight="false" outlineLevel="0" collapsed="false">
      <c r="A989" s="14"/>
      <c r="B989" s="13"/>
      <c r="C989" s="14"/>
      <c r="D989" s="14"/>
      <c r="E989" s="14"/>
      <c r="F989" s="15"/>
      <c r="G989" s="14"/>
      <c r="H989" s="19" t="str">
        <f aca="false">IF(F989="","",IF(G989="Y",F989*Settings!$B$16,0))</f>
        <v/>
      </c>
      <c r="I989" s="19" t="str">
        <f aca="false">IF(F989="","",F989+H989)</f>
        <v/>
      </c>
      <c r="J989" s="18" t="str">
        <f aca="false">IF(B989="","",B989+Settings!$B$17)</f>
        <v/>
      </c>
      <c r="K989" s="13"/>
      <c r="L989" s="15"/>
      <c r="M989" s="17" t="str">
        <f aca="true">IF(F989="","",IF(AND(L989&lt;&gt;"",L989&gt;=I989),"Paid",IF(AND(L989&lt;&gt;"",L989&gt;0),"Part paid",IF(TODAY()&gt;J989,"Overdue","Due"))))</f>
        <v/>
      </c>
      <c r="N989" s="19" t="str">
        <f aca="true">IF(M989="Overdue",TODAY()-J989,"")</f>
        <v/>
      </c>
      <c r="O989" s="14"/>
    </row>
    <row r="990" customFormat="false" ht="15" hidden="false" customHeight="false" outlineLevel="0" collapsed="false">
      <c r="A990" s="14"/>
      <c r="B990" s="13"/>
      <c r="C990" s="14"/>
      <c r="D990" s="14"/>
      <c r="E990" s="14"/>
      <c r="F990" s="15"/>
      <c r="G990" s="14"/>
      <c r="H990" s="19" t="str">
        <f aca="false">IF(F990="","",IF(G990="Y",F990*Settings!$B$16,0))</f>
        <v/>
      </c>
      <c r="I990" s="19" t="str">
        <f aca="false">IF(F990="","",F990+H990)</f>
        <v/>
      </c>
      <c r="J990" s="18" t="str">
        <f aca="false">IF(B990="","",B990+Settings!$B$17)</f>
        <v/>
      </c>
      <c r="K990" s="13"/>
      <c r="L990" s="15"/>
      <c r="M990" s="17" t="str">
        <f aca="true">IF(F990="","",IF(AND(L990&lt;&gt;"",L990&gt;=I990),"Paid",IF(AND(L990&lt;&gt;"",L990&gt;0),"Part paid",IF(TODAY()&gt;J990,"Overdue","Due"))))</f>
        <v/>
      </c>
      <c r="N990" s="19" t="str">
        <f aca="true">IF(M990="Overdue",TODAY()-J990,"")</f>
        <v/>
      </c>
      <c r="O990" s="14"/>
    </row>
    <row r="991" customFormat="false" ht="15" hidden="false" customHeight="false" outlineLevel="0" collapsed="false">
      <c r="A991" s="14"/>
      <c r="B991" s="13"/>
      <c r="C991" s="14"/>
      <c r="D991" s="14"/>
      <c r="E991" s="14"/>
      <c r="F991" s="15"/>
      <c r="G991" s="14"/>
      <c r="H991" s="19" t="str">
        <f aca="false">IF(F991="","",IF(G991="Y",F991*Settings!$B$16,0))</f>
        <v/>
      </c>
      <c r="I991" s="19" t="str">
        <f aca="false">IF(F991="","",F991+H991)</f>
        <v/>
      </c>
      <c r="J991" s="18" t="str">
        <f aca="false">IF(B991="","",B991+Settings!$B$17)</f>
        <v/>
      </c>
      <c r="K991" s="13"/>
      <c r="L991" s="15"/>
      <c r="M991" s="17" t="str">
        <f aca="true">IF(F991="","",IF(AND(L991&lt;&gt;"",L991&gt;=I991),"Paid",IF(AND(L991&lt;&gt;"",L991&gt;0),"Part paid",IF(TODAY()&gt;J991,"Overdue","Due"))))</f>
        <v/>
      </c>
      <c r="N991" s="19" t="str">
        <f aca="true">IF(M991="Overdue",TODAY()-J991,"")</f>
        <v/>
      </c>
      <c r="O991" s="14"/>
    </row>
    <row r="992" customFormat="false" ht="15" hidden="false" customHeight="false" outlineLevel="0" collapsed="false">
      <c r="A992" s="14"/>
      <c r="B992" s="13"/>
      <c r="C992" s="14"/>
      <c r="D992" s="14"/>
      <c r="E992" s="14"/>
      <c r="F992" s="15"/>
      <c r="G992" s="14"/>
      <c r="H992" s="19" t="str">
        <f aca="false">IF(F992="","",IF(G992="Y",F992*Settings!$B$16,0))</f>
        <v/>
      </c>
      <c r="I992" s="19" t="str">
        <f aca="false">IF(F992="","",F992+H992)</f>
        <v/>
      </c>
      <c r="J992" s="18" t="str">
        <f aca="false">IF(B992="","",B992+Settings!$B$17)</f>
        <v/>
      </c>
      <c r="K992" s="13"/>
      <c r="L992" s="15"/>
      <c r="M992" s="17" t="str">
        <f aca="true">IF(F992="","",IF(AND(L992&lt;&gt;"",L992&gt;=I992),"Paid",IF(AND(L992&lt;&gt;"",L992&gt;0),"Part paid",IF(TODAY()&gt;J992,"Overdue","Due"))))</f>
        <v/>
      </c>
      <c r="N992" s="19" t="str">
        <f aca="true">IF(M992="Overdue",TODAY()-J992,"")</f>
        <v/>
      </c>
      <c r="O992" s="14"/>
    </row>
    <row r="993" customFormat="false" ht="15" hidden="false" customHeight="false" outlineLevel="0" collapsed="false">
      <c r="A993" s="14"/>
      <c r="B993" s="13"/>
      <c r="C993" s="14"/>
      <c r="D993" s="14"/>
      <c r="E993" s="14"/>
      <c r="F993" s="15"/>
      <c r="G993" s="14"/>
      <c r="H993" s="19" t="str">
        <f aca="false">IF(F993="","",IF(G993="Y",F993*Settings!$B$16,0))</f>
        <v/>
      </c>
      <c r="I993" s="19" t="str">
        <f aca="false">IF(F993="","",F993+H993)</f>
        <v/>
      </c>
      <c r="J993" s="18" t="str">
        <f aca="false">IF(B993="","",B993+Settings!$B$17)</f>
        <v/>
      </c>
      <c r="K993" s="13"/>
      <c r="L993" s="15"/>
      <c r="M993" s="17" t="str">
        <f aca="true">IF(F993="","",IF(AND(L993&lt;&gt;"",L993&gt;=I993),"Paid",IF(AND(L993&lt;&gt;"",L993&gt;0),"Part paid",IF(TODAY()&gt;J993,"Overdue","Due"))))</f>
        <v/>
      </c>
      <c r="N993" s="19" t="str">
        <f aca="true">IF(M993="Overdue",TODAY()-J993,"")</f>
        <v/>
      </c>
      <c r="O993" s="14"/>
    </row>
    <row r="994" customFormat="false" ht="15" hidden="false" customHeight="false" outlineLevel="0" collapsed="false">
      <c r="A994" s="14"/>
      <c r="B994" s="13"/>
      <c r="C994" s="14"/>
      <c r="D994" s="14"/>
      <c r="E994" s="14"/>
      <c r="F994" s="15"/>
      <c r="G994" s="14"/>
      <c r="H994" s="19" t="str">
        <f aca="false">IF(F994="","",IF(G994="Y",F994*Settings!$B$16,0))</f>
        <v/>
      </c>
      <c r="I994" s="19" t="str">
        <f aca="false">IF(F994="","",F994+H994)</f>
        <v/>
      </c>
      <c r="J994" s="18" t="str">
        <f aca="false">IF(B994="","",B994+Settings!$B$17)</f>
        <v/>
      </c>
      <c r="K994" s="13"/>
      <c r="L994" s="15"/>
      <c r="M994" s="17" t="str">
        <f aca="true">IF(F994="","",IF(AND(L994&lt;&gt;"",L994&gt;=I994),"Paid",IF(AND(L994&lt;&gt;"",L994&gt;0),"Part paid",IF(TODAY()&gt;J994,"Overdue","Due"))))</f>
        <v/>
      </c>
      <c r="N994" s="19" t="str">
        <f aca="true">IF(M994="Overdue",TODAY()-J994,"")</f>
        <v/>
      </c>
      <c r="O994" s="14"/>
    </row>
    <row r="995" customFormat="false" ht="15" hidden="false" customHeight="false" outlineLevel="0" collapsed="false">
      <c r="A995" s="14"/>
      <c r="B995" s="13"/>
      <c r="C995" s="14"/>
      <c r="D995" s="14"/>
      <c r="E995" s="14"/>
      <c r="F995" s="15"/>
      <c r="G995" s="14"/>
      <c r="H995" s="19" t="str">
        <f aca="false">IF(F995="","",IF(G995="Y",F995*Settings!$B$16,0))</f>
        <v/>
      </c>
      <c r="I995" s="19" t="str">
        <f aca="false">IF(F995="","",F995+H995)</f>
        <v/>
      </c>
      <c r="J995" s="18" t="str">
        <f aca="false">IF(B995="","",B995+Settings!$B$17)</f>
        <v/>
      </c>
      <c r="K995" s="13"/>
      <c r="L995" s="15"/>
      <c r="M995" s="17" t="str">
        <f aca="true">IF(F995="","",IF(AND(L995&lt;&gt;"",L995&gt;=I995),"Paid",IF(AND(L995&lt;&gt;"",L995&gt;0),"Part paid",IF(TODAY()&gt;J995,"Overdue","Due"))))</f>
        <v/>
      </c>
      <c r="N995" s="19" t="str">
        <f aca="true">IF(M995="Overdue",TODAY()-J995,"")</f>
        <v/>
      </c>
      <c r="O995" s="14"/>
    </row>
    <row r="996" customFormat="false" ht="15" hidden="false" customHeight="false" outlineLevel="0" collapsed="false">
      <c r="A996" s="14"/>
      <c r="B996" s="13"/>
      <c r="C996" s="14"/>
      <c r="D996" s="14"/>
      <c r="E996" s="14"/>
      <c r="F996" s="15"/>
      <c r="G996" s="14"/>
      <c r="H996" s="19" t="str">
        <f aca="false">IF(F996="","",IF(G996="Y",F996*Settings!$B$16,0))</f>
        <v/>
      </c>
      <c r="I996" s="19" t="str">
        <f aca="false">IF(F996="","",F996+H996)</f>
        <v/>
      </c>
      <c r="J996" s="18" t="str">
        <f aca="false">IF(B996="","",B996+Settings!$B$17)</f>
        <v/>
      </c>
      <c r="K996" s="13"/>
      <c r="L996" s="15"/>
      <c r="M996" s="17" t="str">
        <f aca="true">IF(F996="","",IF(AND(L996&lt;&gt;"",L996&gt;=I996),"Paid",IF(AND(L996&lt;&gt;"",L996&gt;0),"Part paid",IF(TODAY()&gt;J996,"Overdue","Due"))))</f>
        <v/>
      </c>
      <c r="N996" s="19" t="str">
        <f aca="true">IF(M996="Overdue",TODAY()-J996,"")</f>
        <v/>
      </c>
      <c r="O996" s="14"/>
    </row>
    <row r="997" customFormat="false" ht="15" hidden="false" customHeight="false" outlineLevel="0" collapsed="false">
      <c r="A997" s="14"/>
      <c r="B997" s="13"/>
      <c r="C997" s="14"/>
      <c r="D997" s="14"/>
      <c r="E997" s="14"/>
      <c r="F997" s="15"/>
      <c r="G997" s="14"/>
      <c r="H997" s="19" t="str">
        <f aca="false">IF(F997="","",IF(G997="Y",F997*Settings!$B$16,0))</f>
        <v/>
      </c>
      <c r="I997" s="19" t="str">
        <f aca="false">IF(F997="","",F997+H997)</f>
        <v/>
      </c>
      <c r="J997" s="18" t="str">
        <f aca="false">IF(B997="","",B997+Settings!$B$17)</f>
        <v/>
      </c>
      <c r="K997" s="13"/>
      <c r="L997" s="15"/>
      <c r="M997" s="17" t="str">
        <f aca="true">IF(F997="","",IF(AND(L997&lt;&gt;"",L997&gt;=I997),"Paid",IF(AND(L997&lt;&gt;"",L997&gt;0),"Part paid",IF(TODAY()&gt;J997,"Overdue","Due"))))</f>
        <v/>
      </c>
      <c r="N997" s="19" t="str">
        <f aca="true">IF(M997="Overdue",TODAY()-J997,"")</f>
        <v/>
      </c>
      <c r="O997" s="14"/>
    </row>
    <row r="998" customFormat="false" ht="15" hidden="false" customHeight="false" outlineLevel="0" collapsed="false">
      <c r="A998" s="14"/>
      <c r="B998" s="13"/>
      <c r="C998" s="14"/>
      <c r="D998" s="14"/>
      <c r="E998" s="14"/>
      <c r="F998" s="15"/>
      <c r="G998" s="14"/>
      <c r="H998" s="19" t="str">
        <f aca="false">IF(F998="","",IF(G998="Y",F998*Settings!$B$16,0))</f>
        <v/>
      </c>
      <c r="I998" s="19" t="str">
        <f aca="false">IF(F998="","",F998+H998)</f>
        <v/>
      </c>
      <c r="J998" s="18" t="str">
        <f aca="false">IF(B998="","",B998+Settings!$B$17)</f>
        <v/>
      </c>
      <c r="K998" s="13"/>
      <c r="L998" s="15"/>
      <c r="M998" s="17" t="str">
        <f aca="true">IF(F998="","",IF(AND(L998&lt;&gt;"",L998&gt;=I998),"Paid",IF(AND(L998&lt;&gt;"",L998&gt;0),"Part paid",IF(TODAY()&gt;J998,"Overdue","Due"))))</f>
        <v/>
      </c>
      <c r="N998" s="19" t="str">
        <f aca="true">IF(M998="Overdue",TODAY()-J998,"")</f>
        <v/>
      </c>
      <c r="O998" s="14"/>
    </row>
    <row r="999" customFormat="false" ht="15" hidden="false" customHeight="false" outlineLevel="0" collapsed="false">
      <c r="A999" s="14"/>
      <c r="B999" s="13"/>
      <c r="C999" s="14"/>
      <c r="D999" s="14"/>
      <c r="E999" s="14"/>
      <c r="F999" s="15"/>
      <c r="G999" s="14"/>
      <c r="H999" s="19" t="str">
        <f aca="false">IF(F999="","",IF(G999="Y",F999*Settings!$B$16,0))</f>
        <v/>
      </c>
      <c r="I999" s="19" t="str">
        <f aca="false">IF(F999="","",F999+H999)</f>
        <v/>
      </c>
      <c r="J999" s="18" t="str">
        <f aca="false">IF(B999="","",B999+Settings!$B$17)</f>
        <v/>
      </c>
      <c r="K999" s="13"/>
      <c r="L999" s="15"/>
      <c r="M999" s="17" t="str">
        <f aca="true">IF(F999="","",IF(AND(L999&lt;&gt;"",L999&gt;=I999),"Paid",IF(AND(L999&lt;&gt;"",L999&gt;0),"Part paid",IF(TODAY()&gt;J999,"Overdue","Due"))))</f>
        <v/>
      </c>
      <c r="N999" s="19" t="str">
        <f aca="true">IF(M999="Overdue",TODAY()-J999,"")</f>
        <v/>
      </c>
      <c r="O999" s="14"/>
    </row>
    <row r="1000" customFormat="false" ht="15" hidden="false" customHeight="false" outlineLevel="0" collapsed="false">
      <c r="A1000" s="14"/>
      <c r="B1000" s="13"/>
      <c r="C1000" s="14"/>
      <c r="D1000" s="14"/>
      <c r="E1000" s="14"/>
      <c r="F1000" s="15"/>
      <c r="G1000" s="14"/>
      <c r="H1000" s="19" t="str">
        <f aca="false">IF(F1000="","",IF(G1000="Y",F1000*Settings!$B$16,0))</f>
        <v/>
      </c>
      <c r="I1000" s="19" t="str">
        <f aca="false">IF(F1000="","",F1000+H1000)</f>
        <v/>
      </c>
      <c r="J1000" s="18" t="str">
        <f aca="false">IF(B1000="","",B1000+Settings!$B$17)</f>
        <v/>
      </c>
      <c r="K1000" s="13"/>
      <c r="L1000" s="15"/>
      <c r="M1000" s="17" t="str">
        <f aca="true">IF(F1000="","",IF(AND(L1000&lt;&gt;"",L1000&gt;=I1000),"Paid",IF(AND(L1000&lt;&gt;"",L1000&gt;0),"Part paid",IF(TODAY()&gt;J1000,"Overdue","Due"))))</f>
        <v/>
      </c>
      <c r="N1000" s="19" t="str">
        <f aca="true">IF(M1000="Overdue",TODAY()-J1000,"")</f>
        <v/>
      </c>
      <c r="O1000" s="14"/>
    </row>
    <row r="1001" customFormat="false" ht="15" hidden="false" customHeight="false" outlineLevel="0" collapsed="false">
      <c r="A1001" s="14"/>
      <c r="B1001" s="13"/>
      <c r="C1001" s="14"/>
      <c r="D1001" s="14"/>
      <c r="E1001" s="14"/>
      <c r="F1001" s="15"/>
      <c r="G1001" s="14"/>
      <c r="H1001" s="19" t="str">
        <f aca="false">IF(F1001="","",IF(G1001="Y",F1001*Settings!$B$16,0))</f>
        <v/>
      </c>
      <c r="I1001" s="19" t="str">
        <f aca="false">IF(F1001="","",F1001+H1001)</f>
        <v/>
      </c>
      <c r="J1001" s="18" t="str">
        <f aca="false">IF(B1001="","",B1001+Settings!$B$17)</f>
        <v/>
      </c>
      <c r="K1001" s="13"/>
      <c r="L1001" s="15"/>
      <c r="M1001" s="17" t="str">
        <f aca="true">IF(F1001="","",IF(AND(L1001&lt;&gt;"",L1001&gt;=I1001),"Paid",IF(AND(L1001&lt;&gt;"",L1001&gt;0),"Part paid",IF(TODAY()&gt;J1001,"Overdue","Due"))))</f>
        <v/>
      </c>
      <c r="N1001" s="19" t="str">
        <f aca="true">IF(M1001="Overdue",TODAY()-J1001,"")</f>
        <v/>
      </c>
      <c r="O1001" s="14"/>
    </row>
  </sheetData>
  <autoFilter ref="A1:O1001"/>
  <conditionalFormatting sqref="M2:M1001">
    <cfRule type="expression" priority="2" aboveAverage="0" equalAverage="0" bottom="0" percent="0" rank="0" text="" dxfId="8">
      <formula>$M2="Overdue"</formula>
    </cfRule>
    <cfRule type="expression" priority="3" aboveAverage="0" equalAverage="0" bottom="0" percent="0" rank="0" text="" dxfId="7">
      <formula>$M2="Paid"</formula>
    </cfRule>
  </conditionalFormatting>
  <dataValidations count="2">
    <dataValidation allowBlank="true" errorStyle="stop" operator="between" showDropDown="false" showErrorMessage="false" showInputMessage="false" sqref="D2:D1001" type="list">
      <formula1>Lists!$C$2:$C$6</formula1>
      <formula2>0</formula2>
    </dataValidation>
    <dataValidation allowBlank="true" errorStyle="stop" operator="between" showDropDown="false" showErrorMessage="false" showInputMessage="false" sqref="G2:G1001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5" min="2" style="0" width="13"/>
    <col collapsed="false" customWidth="true" hidden="false" outlineLevel="0" max="6" min="6" style="0" width="9"/>
    <col collapsed="false" customWidth="true" hidden="false" outlineLevel="0" max="8" min="7" style="0" width="14"/>
  </cols>
  <sheetData>
    <row r="1" customFormat="false" ht="33.75" hidden="false" customHeight="true" outlineLevel="0" collapsed="false">
      <c r="A1" s="7" t="s">
        <v>70</v>
      </c>
      <c r="B1" s="7" t="s">
        <v>71</v>
      </c>
      <c r="C1" s="7" t="s">
        <v>72</v>
      </c>
      <c r="D1" s="7" t="s">
        <v>73</v>
      </c>
      <c r="E1" s="7" t="s">
        <v>74</v>
      </c>
      <c r="F1" s="7" t="s">
        <v>75</v>
      </c>
      <c r="G1" s="7" t="s">
        <v>76</v>
      </c>
      <c r="H1" s="7" t="s">
        <v>77</v>
      </c>
    </row>
    <row r="2" customFormat="false" ht="15" hidden="false" customHeight="false" outlineLevel="0" collapsed="false">
      <c r="A2" s="22" t="n">
        <v>46327</v>
      </c>
      <c r="B2" s="19" t="n">
        <f aca="false">IF(A2="","",SUMIFS(Earnings!$F:$F,Earnings!$B:$B,"&gt;="&amp;$A2,Earnings!$B:$B,"&lt;"&amp;EDATE($A2,1)))</f>
        <v>7500</v>
      </c>
      <c r="C2" s="19" t="n">
        <f aca="false">IF(A2="","",SUMIFS(Earnings!$L:$L,Earnings!$K:$K,"&gt;="&amp;$A2,Earnings!$K:$K,"&lt;"&amp;EDATE($A2,1)))</f>
        <v>7500</v>
      </c>
      <c r="D2" s="19" t="n">
        <f aca="false">IF(A2="","",SUMIFS(Spending!$E:$E,Spending!$A:$A,"&gt;="&amp;$A2,Spending!$A:$A,"&lt;"&amp;EDATE($A2,1)))</f>
        <v>200</v>
      </c>
      <c r="E2" s="19" t="n">
        <f aca="false">IF(A2="","",B2-D2)</f>
        <v>7300</v>
      </c>
      <c r="F2" s="16" t="n">
        <f aca="false">IF(OR(A2="",B2=0),"",E2/B2)</f>
        <v>0.973333333333333</v>
      </c>
      <c r="G2" s="19" t="n">
        <f aca="false">IF(A2="","",SUMIFS(Earnings!$I:$I,Earnings!$B:$B,"&gt;="&amp;$A2,Earnings!$B:$B,"&lt;"&amp;EDATE($A2,1))-SUMIFS(Earnings!$L:$L,Earnings!$B:$B,"&gt;="&amp;$A2,Earnings!$B:$B,"&lt;"&amp;EDATE($A2,1)))</f>
        <v>0</v>
      </c>
      <c r="H2" s="19" t="n">
        <f aca="false">IF(A2="","",SUMIFS(Earnings!$H:$H,Earnings!$B:$B,"&gt;="&amp;$A2,Earnings!$B:$B,"&lt;"&amp;EDATE($A2,1))-SUMIFS(Spending!$G:$G,Spending!$A:$A,"&gt;="&amp;$A2,Spending!$A:$A,"&lt;"&amp;EDATE($A2,1)))</f>
        <v>-10</v>
      </c>
    </row>
    <row r="3" customFormat="false" ht="15" hidden="false" customHeight="false" outlineLevel="0" collapsed="false">
      <c r="A3" s="22" t="n">
        <v>46357</v>
      </c>
      <c r="B3" s="19" t="n">
        <f aca="false">IF(A3="","",SUMIFS(Earnings!$F:$F,Earnings!$B:$B,"&gt;="&amp;$A3,Earnings!$B:$B,"&lt;"&amp;EDATE($A3,1)))</f>
        <v>0</v>
      </c>
      <c r="C3" s="19" t="n">
        <f aca="false">IF(A3="","",SUMIFS(Earnings!$L:$L,Earnings!$K:$K,"&gt;="&amp;$A3,Earnings!$K:$K,"&lt;"&amp;EDATE($A3,1)))</f>
        <v>0</v>
      </c>
      <c r="D3" s="19" t="n">
        <f aca="false">IF(A3="","",SUMIFS(Spending!$E:$E,Spending!$A:$A,"&gt;="&amp;$A3,Spending!$A:$A,"&lt;"&amp;EDATE($A3,1)))</f>
        <v>0</v>
      </c>
      <c r="E3" s="19" t="n">
        <f aca="false">IF(A3="","",B3-D3)</f>
        <v>0</v>
      </c>
      <c r="F3" s="16" t="str">
        <f aca="false">IF(OR(A3="",B3=0),"",E3/B3)</f>
        <v/>
      </c>
      <c r="G3" s="19" t="n">
        <f aca="false">IF(A3="","",SUMIFS(Earnings!$I:$I,Earnings!$B:$B,"&gt;="&amp;$A3,Earnings!$B:$B,"&lt;"&amp;EDATE($A3,1))-SUMIFS(Earnings!$L:$L,Earnings!$B:$B,"&gt;="&amp;$A3,Earnings!$B:$B,"&lt;"&amp;EDATE($A3,1)))</f>
        <v>0</v>
      </c>
      <c r="H3" s="19" t="n">
        <f aca="false">IF(A3="","",SUMIFS(Earnings!$H:$H,Earnings!$B:$B,"&gt;="&amp;$A3,Earnings!$B:$B,"&lt;"&amp;EDATE($A3,1))-SUMIFS(Spending!$G:$G,Spending!$A:$A,"&gt;="&amp;$A3,Spending!$A:$A,"&lt;"&amp;EDATE($A3,1)))</f>
        <v>0</v>
      </c>
    </row>
    <row r="4" customFormat="false" ht="15" hidden="false" customHeight="false" outlineLevel="0" collapsed="false">
      <c r="A4" s="22" t="n">
        <v>46388</v>
      </c>
      <c r="B4" s="19" t="n">
        <f aca="false">IF(A4="","",SUMIFS(Earnings!$F:$F,Earnings!$B:$B,"&gt;="&amp;$A4,Earnings!$B:$B,"&lt;"&amp;EDATE($A4,1)))</f>
        <v>0</v>
      </c>
      <c r="C4" s="19" t="n">
        <f aca="false">IF(A4="","",SUMIFS(Earnings!$L:$L,Earnings!$K:$K,"&gt;="&amp;$A4,Earnings!$K:$K,"&lt;"&amp;EDATE($A4,1)))</f>
        <v>0</v>
      </c>
      <c r="D4" s="19" t="n">
        <f aca="false">IF(A4="","",SUMIFS(Spending!$E:$E,Spending!$A:$A,"&gt;="&amp;$A4,Spending!$A:$A,"&lt;"&amp;EDATE($A4,1)))</f>
        <v>0</v>
      </c>
      <c r="E4" s="19" t="n">
        <f aca="false">IF(A4="","",B4-D4)</f>
        <v>0</v>
      </c>
      <c r="F4" s="16" t="str">
        <f aca="false">IF(OR(A4="",B4=0),"",E4/B4)</f>
        <v/>
      </c>
      <c r="G4" s="19" t="n">
        <f aca="false">IF(A4="","",SUMIFS(Earnings!$I:$I,Earnings!$B:$B,"&gt;="&amp;$A4,Earnings!$B:$B,"&lt;"&amp;EDATE($A4,1))-SUMIFS(Earnings!$L:$L,Earnings!$B:$B,"&gt;="&amp;$A4,Earnings!$B:$B,"&lt;"&amp;EDATE($A4,1)))</f>
        <v>0</v>
      </c>
      <c r="H4" s="19" t="n">
        <f aca="false">IF(A4="","",SUMIFS(Earnings!$H:$H,Earnings!$B:$B,"&gt;="&amp;$A4,Earnings!$B:$B,"&lt;"&amp;EDATE($A4,1))-SUMIFS(Spending!$G:$G,Spending!$A:$A,"&gt;="&amp;$A4,Spending!$A:$A,"&lt;"&amp;EDATE($A4,1)))</f>
        <v>0</v>
      </c>
    </row>
    <row r="5" customFormat="false" ht="15" hidden="false" customHeight="false" outlineLevel="0" collapsed="false">
      <c r="A5" s="22" t="n">
        <v>46419</v>
      </c>
      <c r="B5" s="19" t="n">
        <f aca="false">IF(A5="","",SUMIFS(Earnings!$F:$F,Earnings!$B:$B,"&gt;="&amp;$A5,Earnings!$B:$B,"&lt;"&amp;EDATE($A5,1)))</f>
        <v>0</v>
      </c>
      <c r="C5" s="19" t="n">
        <f aca="false">IF(A5="","",SUMIFS(Earnings!$L:$L,Earnings!$K:$K,"&gt;="&amp;$A5,Earnings!$K:$K,"&lt;"&amp;EDATE($A5,1)))</f>
        <v>0</v>
      </c>
      <c r="D5" s="19" t="n">
        <f aca="false">IF(A5="","",SUMIFS(Spending!$E:$E,Spending!$A:$A,"&gt;="&amp;$A5,Spending!$A:$A,"&lt;"&amp;EDATE($A5,1)))</f>
        <v>0</v>
      </c>
      <c r="E5" s="19" t="n">
        <f aca="false">IF(A5="","",B5-D5)</f>
        <v>0</v>
      </c>
      <c r="F5" s="16" t="str">
        <f aca="false">IF(OR(A5="",B5=0),"",E5/B5)</f>
        <v/>
      </c>
      <c r="G5" s="19" t="n">
        <f aca="false">IF(A5="","",SUMIFS(Earnings!$I:$I,Earnings!$B:$B,"&gt;="&amp;$A5,Earnings!$B:$B,"&lt;"&amp;EDATE($A5,1))-SUMIFS(Earnings!$L:$L,Earnings!$B:$B,"&gt;="&amp;$A5,Earnings!$B:$B,"&lt;"&amp;EDATE($A5,1)))</f>
        <v>0</v>
      </c>
      <c r="H5" s="19" t="n">
        <f aca="false">IF(A5="","",SUMIFS(Earnings!$H:$H,Earnings!$B:$B,"&gt;="&amp;$A5,Earnings!$B:$B,"&lt;"&amp;EDATE($A5,1))-SUMIFS(Spending!$G:$G,Spending!$A:$A,"&gt;="&amp;$A5,Spending!$A:$A,"&lt;"&amp;EDATE($A5,1)))</f>
        <v>0</v>
      </c>
    </row>
    <row r="6" customFormat="false" ht="15" hidden="false" customHeight="false" outlineLevel="0" collapsed="false">
      <c r="A6" s="22" t="n">
        <v>46447</v>
      </c>
      <c r="B6" s="19" t="n">
        <f aca="false">IF(A6="","",SUMIFS(Earnings!$F:$F,Earnings!$B:$B,"&gt;="&amp;$A6,Earnings!$B:$B,"&lt;"&amp;EDATE($A6,1)))</f>
        <v>0</v>
      </c>
      <c r="C6" s="19" t="n">
        <f aca="false">IF(A6="","",SUMIFS(Earnings!$L:$L,Earnings!$K:$K,"&gt;="&amp;$A6,Earnings!$K:$K,"&lt;"&amp;EDATE($A6,1)))</f>
        <v>0</v>
      </c>
      <c r="D6" s="19" t="n">
        <f aca="false">IF(A6="","",SUMIFS(Spending!$E:$E,Spending!$A:$A,"&gt;="&amp;$A6,Spending!$A:$A,"&lt;"&amp;EDATE($A6,1)))</f>
        <v>0</v>
      </c>
      <c r="E6" s="19" t="n">
        <f aca="false">IF(A6="","",B6-D6)</f>
        <v>0</v>
      </c>
      <c r="F6" s="16" t="str">
        <f aca="false">IF(OR(A6="",B6=0),"",E6/B6)</f>
        <v/>
      </c>
      <c r="G6" s="19" t="n">
        <f aca="false">IF(A6="","",SUMIFS(Earnings!$I:$I,Earnings!$B:$B,"&gt;="&amp;$A6,Earnings!$B:$B,"&lt;"&amp;EDATE($A6,1))-SUMIFS(Earnings!$L:$L,Earnings!$B:$B,"&gt;="&amp;$A6,Earnings!$B:$B,"&lt;"&amp;EDATE($A6,1)))</f>
        <v>0</v>
      </c>
      <c r="H6" s="19" t="n">
        <f aca="false">IF(A6="","",SUMIFS(Earnings!$H:$H,Earnings!$B:$B,"&gt;="&amp;$A6,Earnings!$B:$B,"&lt;"&amp;EDATE($A6,1))-SUMIFS(Spending!$G:$G,Spending!$A:$A,"&gt;="&amp;$A6,Spending!$A:$A,"&lt;"&amp;EDATE($A6,1)))</f>
        <v>0</v>
      </c>
    </row>
    <row r="7" customFormat="false" ht="15" hidden="false" customHeight="false" outlineLevel="0" collapsed="false">
      <c r="A7" s="22" t="n">
        <v>46478</v>
      </c>
      <c r="B7" s="19" t="n">
        <f aca="false">IF(A7="","",SUMIFS(Earnings!$F:$F,Earnings!$B:$B,"&gt;="&amp;$A7,Earnings!$B:$B,"&lt;"&amp;EDATE($A7,1)))</f>
        <v>0</v>
      </c>
      <c r="C7" s="19" t="n">
        <f aca="false">IF(A7="","",SUMIFS(Earnings!$L:$L,Earnings!$K:$K,"&gt;="&amp;$A7,Earnings!$K:$K,"&lt;"&amp;EDATE($A7,1)))</f>
        <v>0</v>
      </c>
      <c r="D7" s="19" t="n">
        <f aca="false">IF(A7="","",SUMIFS(Spending!$E:$E,Spending!$A:$A,"&gt;="&amp;$A7,Spending!$A:$A,"&lt;"&amp;EDATE($A7,1)))</f>
        <v>0</v>
      </c>
      <c r="E7" s="19" t="n">
        <f aca="false">IF(A7="","",B7-D7)</f>
        <v>0</v>
      </c>
      <c r="F7" s="16" t="str">
        <f aca="false">IF(OR(A7="",B7=0),"",E7/B7)</f>
        <v/>
      </c>
      <c r="G7" s="19" t="n">
        <f aca="false">IF(A7="","",SUMIFS(Earnings!$I:$I,Earnings!$B:$B,"&gt;="&amp;$A7,Earnings!$B:$B,"&lt;"&amp;EDATE($A7,1))-SUMIFS(Earnings!$L:$L,Earnings!$B:$B,"&gt;="&amp;$A7,Earnings!$B:$B,"&lt;"&amp;EDATE($A7,1)))</f>
        <v>0</v>
      </c>
      <c r="H7" s="19" t="n">
        <f aca="false">IF(A7="","",SUMIFS(Earnings!$H:$H,Earnings!$B:$B,"&gt;="&amp;$A7,Earnings!$B:$B,"&lt;"&amp;EDATE($A7,1))-SUMIFS(Spending!$G:$G,Spending!$A:$A,"&gt;="&amp;$A7,Spending!$A:$A,"&lt;"&amp;EDATE($A7,1)))</f>
        <v>0</v>
      </c>
    </row>
    <row r="8" customFormat="false" ht="15" hidden="false" customHeight="false" outlineLevel="0" collapsed="false">
      <c r="A8" s="22" t="n">
        <v>46508</v>
      </c>
      <c r="B8" s="19" t="n">
        <f aca="false">IF(A8="","",SUMIFS(Earnings!$F:$F,Earnings!$B:$B,"&gt;="&amp;$A8,Earnings!$B:$B,"&lt;"&amp;EDATE($A8,1)))</f>
        <v>0</v>
      </c>
      <c r="C8" s="19" t="n">
        <f aca="false">IF(A8="","",SUMIFS(Earnings!$L:$L,Earnings!$K:$K,"&gt;="&amp;$A8,Earnings!$K:$K,"&lt;"&amp;EDATE($A8,1)))</f>
        <v>0</v>
      </c>
      <c r="D8" s="19" t="n">
        <f aca="false">IF(A8="","",SUMIFS(Spending!$E:$E,Spending!$A:$A,"&gt;="&amp;$A8,Spending!$A:$A,"&lt;"&amp;EDATE($A8,1)))</f>
        <v>0</v>
      </c>
      <c r="E8" s="19" t="n">
        <f aca="false">IF(A8="","",B8-D8)</f>
        <v>0</v>
      </c>
      <c r="F8" s="16" t="str">
        <f aca="false">IF(OR(A8="",B8=0),"",E8/B8)</f>
        <v/>
      </c>
      <c r="G8" s="19" t="n">
        <f aca="false">IF(A8="","",SUMIFS(Earnings!$I:$I,Earnings!$B:$B,"&gt;="&amp;$A8,Earnings!$B:$B,"&lt;"&amp;EDATE($A8,1))-SUMIFS(Earnings!$L:$L,Earnings!$B:$B,"&gt;="&amp;$A8,Earnings!$B:$B,"&lt;"&amp;EDATE($A8,1)))</f>
        <v>0</v>
      </c>
      <c r="H8" s="19" t="n">
        <f aca="false">IF(A8="","",SUMIFS(Earnings!$H:$H,Earnings!$B:$B,"&gt;="&amp;$A8,Earnings!$B:$B,"&lt;"&amp;EDATE($A8,1))-SUMIFS(Spending!$G:$G,Spending!$A:$A,"&gt;="&amp;$A8,Spending!$A:$A,"&lt;"&amp;EDATE($A8,1)))</f>
        <v>0</v>
      </c>
    </row>
    <row r="9" customFormat="false" ht="15" hidden="false" customHeight="false" outlineLevel="0" collapsed="false">
      <c r="A9" s="22" t="n">
        <v>46539</v>
      </c>
      <c r="B9" s="19" t="n">
        <f aca="false">IF(A9="","",SUMIFS(Earnings!$F:$F,Earnings!$B:$B,"&gt;="&amp;$A9,Earnings!$B:$B,"&lt;"&amp;EDATE($A9,1)))</f>
        <v>0</v>
      </c>
      <c r="C9" s="19" t="n">
        <f aca="false">IF(A9="","",SUMIFS(Earnings!$L:$L,Earnings!$K:$K,"&gt;="&amp;$A9,Earnings!$K:$K,"&lt;"&amp;EDATE($A9,1)))</f>
        <v>0</v>
      </c>
      <c r="D9" s="19" t="n">
        <f aca="false">IF(A9="","",SUMIFS(Spending!$E:$E,Spending!$A:$A,"&gt;="&amp;$A9,Spending!$A:$A,"&lt;"&amp;EDATE($A9,1)))</f>
        <v>0</v>
      </c>
      <c r="E9" s="19" t="n">
        <f aca="false">IF(A9="","",B9-D9)</f>
        <v>0</v>
      </c>
      <c r="F9" s="16" t="str">
        <f aca="false">IF(OR(A9="",B9=0),"",E9/B9)</f>
        <v/>
      </c>
      <c r="G9" s="19" t="n">
        <f aca="false">IF(A9="","",SUMIFS(Earnings!$I:$I,Earnings!$B:$B,"&gt;="&amp;$A9,Earnings!$B:$B,"&lt;"&amp;EDATE($A9,1))-SUMIFS(Earnings!$L:$L,Earnings!$B:$B,"&gt;="&amp;$A9,Earnings!$B:$B,"&lt;"&amp;EDATE($A9,1)))</f>
        <v>0</v>
      </c>
      <c r="H9" s="19" t="n">
        <f aca="false">IF(A9="","",SUMIFS(Earnings!$H:$H,Earnings!$B:$B,"&gt;="&amp;$A9,Earnings!$B:$B,"&lt;"&amp;EDATE($A9,1))-SUMIFS(Spending!$G:$G,Spending!$A:$A,"&gt;="&amp;$A9,Spending!$A:$A,"&lt;"&amp;EDATE($A9,1)))</f>
        <v>0</v>
      </c>
    </row>
    <row r="10" customFormat="false" ht="15" hidden="false" customHeight="false" outlineLevel="0" collapsed="false">
      <c r="A10" s="22" t="n">
        <v>46569</v>
      </c>
      <c r="B10" s="19" t="n">
        <f aca="false">IF(A10="","",SUMIFS(Earnings!$F:$F,Earnings!$B:$B,"&gt;="&amp;$A10,Earnings!$B:$B,"&lt;"&amp;EDATE($A10,1)))</f>
        <v>0</v>
      </c>
      <c r="C10" s="19" t="n">
        <f aca="false">IF(A10="","",SUMIFS(Earnings!$L:$L,Earnings!$K:$K,"&gt;="&amp;$A10,Earnings!$K:$K,"&lt;"&amp;EDATE($A10,1)))</f>
        <v>0</v>
      </c>
      <c r="D10" s="19" t="n">
        <f aca="false">IF(A10="","",SUMIFS(Spending!$E:$E,Spending!$A:$A,"&gt;="&amp;$A10,Spending!$A:$A,"&lt;"&amp;EDATE($A10,1)))</f>
        <v>0</v>
      </c>
      <c r="E10" s="19" t="n">
        <f aca="false">IF(A10="","",B10-D10)</f>
        <v>0</v>
      </c>
      <c r="F10" s="16" t="str">
        <f aca="false">IF(OR(A10="",B10=0),"",E10/B10)</f>
        <v/>
      </c>
      <c r="G10" s="19" t="n">
        <f aca="false">IF(A10="","",SUMIFS(Earnings!$I:$I,Earnings!$B:$B,"&gt;="&amp;$A10,Earnings!$B:$B,"&lt;"&amp;EDATE($A10,1))-SUMIFS(Earnings!$L:$L,Earnings!$B:$B,"&gt;="&amp;$A10,Earnings!$B:$B,"&lt;"&amp;EDATE($A10,1)))</f>
        <v>0</v>
      </c>
      <c r="H10" s="19" t="n">
        <f aca="false">IF(A10="","",SUMIFS(Earnings!$H:$H,Earnings!$B:$B,"&gt;="&amp;$A10,Earnings!$B:$B,"&lt;"&amp;EDATE($A10,1))-SUMIFS(Spending!$G:$G,Spending!$A:$A,"&gt;="&amp;$A10,Spending!$A:$A,"&lt;"&amp;EDATE($A10,1)))</f>
        <v>0</v>
      </c>
    </row>
    <row r="11" customFormat="false" ht="15" hidden="false" customHeight="false" outlineLevel="0" collapsed="false">
      <c r="A11" s="22" t="n">
        <v>46600</v>
      </c>
      <c r="B11" s="19" t="n">
        <f aca="false">IF(A11="","",SUMIFS(Earnings!$F:$F,Earnings!$B:$B,"&gt;="&amp;$A11,Earnings!$B:$B,"&lt;"&amp;EDATE($A11,1)))</f>
        <v>0</v>
      </c>
      <c r="C11" s="19" t="n">
        <f aca="false">IF(A11="","",SUMIFS(Earnings!$L:$L,Earnings!$K:$K,"&gt;="&amp;$A11,Earnings!$K:$K,"&lt;"&amp;EDATE($A11,1)))</f>
        <v>0</v>
      </c>
      <c r="D11" s="19" t="n">
        <f aca="false">IF(A11="","",SUMIFS(Spending!$E:$E,Spending!$A:$A,"&gt;="&amp;$A11,Spending!$A:$A,"&lt;"&amp;EDATE($A11,1)))</f>
        <v>0</v>
      </c>
      <c r="E11" s="19" t="n">
        <f aca="false">IF(A11="","",B11-D11)</f>
        <v>0</v>
      </c>
      <c r="F11" s="16" t="str">
        <f aca="false">IF(OR(A11="",B11=0),"",E11/B11)</f>
        <v/>
      </c>
      <c r="G11" s="19" t="n">
        <f aca="false">IF(A11="","",SUMIFS(Earnings!$I:$I,Earnings!$B:$B,"&gt;="&amp;$A11,Earnings!$B:$B,"&lt;"&amp;EDATE($A11,1))-SUMIFS(Earnings!$L:$L,Earnings!$B:$B,"&gt;="&amp;$A11,Earnings!$B:$B,"&lt;"&amp;EDATE($A11,1)))</f>
        <v>0</v>
      </c>
      <c r="H11" s="19" t="n">
        <f aca="false">IF(A11="","",SUMIFS(Earnings!$H:$H,Earnings!$B:$B,"&gt;="&amp;$A11,Earnings!$B:$B,"&lt;"&amp;EDATE($A11,1))-SUMIFS(Spending!$G:$G,Spending!$A:$A,"&gt;="&amp;$A11,Spending!$A:$A,"&lt;"&amp;EDATE($A11,1)))</f>
        <v>0</v>
      </c>
    </row>
    <row r="12" customFormat="false" ht="15" hidden="false" customHeight="false" outlineLevel="0" collapsed="false">
      <c r="A12" s="22" t="n">
        <v>46631</v>
      </c>
      <c r="B12" s="19" t="n">
        <f aca="false">IF(A12="","",SUMIFS(Earnings!$F:$F,Earnings!$B:$B,"&gt;="&amp;$A12,Earnings!$B:$B,"&lt;"&amp;EDATE($A12,1)))</f>
        <v>0</v>
      </c>
      <c r="C12" s="19" t="n">
        <f aca="false">IF(A12="","",SUMIFS(Earnings!$L:$L,Earnings!$K:$K,"&gt;="&amp;$A12,Earnings!$K:$K,"&lt;"&amp;EDATE($A12,1)))</f>
        <v>0</v>
      </c>
      <c r="D12" s="19" t="n">
        <f aca="false">IF(A12="","",SUMIFS(Spending!$E:$E,Spending!$A:$A,"&gt;="&amp;$A12,Spending!$A:$A,"&lt;"&amp;EDATE($A12,1)))</f>
        <v>0</v>
      </c>
      <c r="E12" s="19" t="n">
        <f aca="false">IF(A12="","",B12-D12)</f>
        <v>0</v>
      </c>
      <c r="F12" s="16" t="str">
        <f aca="false">IF(OR(A12="",B12=0),"",E12/B12)</f>
        <v/>
      </c>
      <c r="G12" s="19" t="n">
        <f aca="false">IF(A12="","",SUMIFS(Earnings!$I:$I,Earnings!$B:$B,"&gt;="&amp;$A12,Earnings!$B:$B,"&lt;"&amp;EDATE($A12,1))-SUMIFS(Earnings!$L:$L,Earnings!$B:$B,"&gt;="&amp;$A12,Earnings!$B:$B,"&lt;"&amp;EDATE($A12,1)))</f>
        <v>0</v>
      </c>
      <c r="H12" s="19" t="n">
        <f aca="false">IF(A12="","",SUMIFS(Earnings!$H:$H,Earnings!$B:$B,"&gt;="&amp;$A12,Earnings!$B:$B,"&lt;"&amp;EDATE($A12,1))-SUMIFS(Spending!$G:$G,Spending!$A:$A,"&gt;="&amp;$A12,Spending!$A:$A,"&lt;"&amp;EDATE($A12,1)))</f>
        <v>0</v>
      </c>
    </row>
    <row r="13" customFormat="false" ht="15" hidden="false" customHeight="false" outlineLevel="0" collapsed="false">
      <c r="A13" s="22" t="n">
        <v>46661</v>
      </c>
      <c r="B13" s="19" t="n">
        <f aca="false">IF(A13="","",SUMIFS(Earnings!$F:$F,Earnings!$B:$B,"&gt;="&amp;$A13,Earnings!$B:$B,"&lt;"&amp;EDATE($A13,1)))</f>
        <v>0</v>
      </c>
      <c r="C13" s="19" t="n">
        <f aca="false">IF(A13="","",SUMIFS(Earnings!$L:$L,Earnings!$K:$K,"&gt;="&amp;$A13,Earnings!$K:$K,"&lt;"&amp;EDATE($A13,1)))</f>
        <v>0</v>
      </c>
      <c r="D13" s="19" t="n">
        <f aca="false">IF(A13="","",SUMIFS(Spending!$E:$E,Spending!$A:$A,"&gt;="&amp;$A13,Spending!$A:$A,"&lt;"&amp;EDATE($A13,1)))</f>
        <v>0</v>
      </c>
      <c r="E13" s="19" t="n">
        <f aca="false">IF(A13="","",B13-D13)</f>
        <v>0</v>
      </c>
      <c r="F13" s="16" t="str">
        <f aca="false">IF(OR(A13="",B13=0),"",E13/B13)</f>
        <v/>
      </c>
      <c r="G13" s="19" t="n">
        <f aca="false">IF(A13="","",SUMIFS(Earnings!$I:$I,Earnings!$B:$B,"&gt;="&amp;$A13,Earnings!$B:$B,"&lt;"&amp;EDATE($A13,1))-SUMIFS(Earnings!$L:$L,Earnings!$B:$B,"&gt;="&amp;$A13,Earnings!$B:$B,"&lt;"&amp;EDATE($A13,1)))</f>
        <v>0</v>
      </c>
      <c r="H13" s="19" t="n">
        <f aca="false">IF(A13="","",SUMIFS(Earnings!$H:$H,Earnings!$B:$B,"&gt;="&amp;$A13,Earnings!$B:$B,"&lt;"&amp;EDATE($A13,1))-SUMIFS(Spending!$G:$G,Spending!$A:$A,"&gt;="&amp;$A13,Spending!$A:$A,"&lt;"&amp;EDATE($A13,1)))</f>
        <v>0</v>
      </c>
    </row>
    <row r="14" customFormat="false" ht="15" hidden="false" customHeight="false" outlineLevel="0" collapsed="false">
      <c r="A14" s="22" t="n">
        <v>46692</v>
      </c>
      <c r="B14" s="19" t="n">
        <f aca="false">IF(A14="","",SUMIFS(Earnings!$F:$F,Earnings!$B:$B,"&gt;="&amp;$A14,Earnings!$B:$B,"&lt;"&amp;EDATE($A14,1)))</f>
        <v>0</v>
      </c>
      <c r="C14" s="19" t="n">
        <f aca="false">IF(A14="","",SUMIFS(Earnings!$L:$L,Earnings!$K:$K,"&gt;="&amp;$A14,Earnings!$K:$K,"&lt;"&amp;EDATE($A14,1)))</f>
        <v>0</v>
      </c>
      <c r="D14" s="19" t="n">
        <f aca="false">IF(A14="","",SUMIFS(Spending!$E:$E,Spending!$A:$A,"&gt;="&amp;$A14,Spending!$A:$A,"&lt;"&amp;EDATE($A14,1)))</f>
        <v>0</v>
      </c>
      <c r="E14" s="19" t="n">
        <f aca="false">IF(A14="","",B14-D14)</f>
        <v>0</v>
      </c>
      <c r="F14" s="16" t="str">
        <f aca="false">IF(OR(A14="",B14=0),"",E14/B14)</f>
        <v/>
      </c>
      <c r="G14" s="19" t="n">
        <f aca="false">IF(A14="","",SUMIFS(Earnings!$I:$I,Earnings!$B:$B,"&gt;="&amp;$A14,Earnings!$B:$B,"&lt;"&amp;EDATE($A14,1))-SUMIFS(Earnings!$L:$L,Earnings!$B:$B,"&gt;="&amp;$A14,Earnings!$B:$B,"&lt;"&amp;EDATE($A14,1)))</f>
        <v>0</v>
      </c>
      <c r="H14" s="19" t="n">
        <f aca="false">IF(A14="","",SUMIFS(Earnings!$H:$H,Earnings!$B:$B,"&gt;="&amp;$A14,Earnings!$B:$B,"&lt;"&amp;EDATE($A14,1))-SUMIFS(Spending!$G:$G,Spending!$A:$A,"&gt;="&amp;$A14,Spending!$A:$A,"&lt;"&amp;EDATE($A14,1)))</f>
        <v>0</v>
      </c>
    </row>
    <row r="15" customFormat="false" ht="15" hidden="false" customHeight="false" outlineLevel="0" collapsed="false">
      <c r="A15" s="22" t="n">
        <v>46722</v>
      </c>
      <c r="B15" s="19" t="n">
        <f aca="false">IF(A15="","",SUMIFS(Earnings!$F:$F,Earnings!$B:$B,"&gt;="&amp;$A15,Earnings!$B:$B,"&lt;"&amp;EDATE($A15,1)))</f>
        <v>0</v>
      </c>
      <c r="C15" s="19" t="n">
        <f aca="false">IF(A15="","",SUMIFS(Earnings!$L:$L,Earnings!$K:$K,"&gt;="&amp;$A15,Earnings!$K:$K,"&lt;"&amp;EDATE($A15,1)))</f>
        <v>0</v>
      </c>
      <c r="D15" s="19" t="n">
        <f aca="false">IF(A15="","",SUMIFS(Spending!$E:$E,Spending!$A:$A,"&gt;="&amp;$A15,Spending!$A:$A,"&lt;"&amp;EDATE($A15,1)))</f>
        <v>0</v>
      </c>
      <c r="E15" s="19" t="n">
        <f aca="false">IF(A15="","",B15-D15)</f>
        <v>0</v>
      </c>
      <c r="F15" s="16" t="str">
        <f aca="false">IF(OR(A15="",B15=0),"",E15/B15)</f>
        <v/>
      </c>
      <c r="G15" s="19" t="n">
        <f aca="false">IF(A15="","",SUMIFS(Earnings!$I:$I,Earnings!$B:$B,"&gt;="&amp;$A15,Earnings!$B:$B,"&lt;"&amp;EDATE($A15,1))-SUMIFS(Earnings!$L:$L,Earnings!$B:$B,"&gt;="&amp;$A15,Earnings!$B:$B,"&lt;"&amp;EDATE($A15,1)))</f>
        <v>0</v>
      </c>
      <c r="H15" s="19" t="n">
        <f aca="false">IF(A15="","",SUMIFS(Earnings!$H:$H,Earnings!$B:$B,"&gt;="&amp;$A15,Earnings!$B:$B,"&lt;"&amp;EDATE($A15,1))-SUMIFS(Spending!$G:$G,Spending!$A:$A,"&gt;="&amp;$A15,Spending!$A:$A,"&lt;"&amp;EDATE($A15,1)))</f>
        <v>0</v>
      </c>
    </row>
    <row r="16" customFormat="false" ht="15" hidden="false" customHeight="false" outlineLevel="0" collapsed="false">
      <c r="A16" s="22" t="n">
        <v>46753</v>
      </c>
      <c r="B16" s="19" t="n">
        <f aca="false">IF(A16="","",SUMIFS(Earnings!$F:$F,Earnings!$B:$B,"&gt;="&amp;$A16,Earnings!$B:$B,"&lt;"&amp;EDATE($A16,1)))</f>
        <v>0</v>
      </c>
      <c r="C16" s="19" t="n">
        <f aca="false">IF(A16="","",SUMIFS(Earnings!$L:$L,Earnings!$K:$K,"&gt;="&amp;$A16,Earnings!$K:$K,"&lt;"&amp;EDATE($A16,1)))</f>
        <v>0</v>
      </c>
      <c r="D16" s="19" t="n">
        <f aca="false">IF(A16="","",SUMIFS(Spending!$E:$E,Spending!$A:$A,"&gt;="&amp;$A16,Spending!$A:$A,"&lt;"&amp;EDATE($A16,1)))</f>
        <v>0</v>
      </c>
      <c r="E16" s="19" t="n">
        <f aca="false">IF(A16="","",B16-D16)</f>
        <v>0</v>
      </c>
      <c r="F16" s="16" t="str">
        <f aca="false">IF(OR(A16="",B16=0),"",E16/B16)</f>
        <v/>
      </c>
      <c r="G16" s="19" t="n">
        <f aca="false">IF(A16="","",SUMIFS(Earnings!$I:$I,Earnings!$B:$B,"&gt;="&amp;$A16,Earnings!$B:$B,"&lt;"&amp;EDATE($A16,1))-SUMIFS(Earnings!$L:$L,Earnings!$B:$B,"&gt;="&amp;$A16,Earnings!$B:$B,"&lt;"&amp;EDATE($A16,1)))</f>
        <v>0</v>
      </c>
      <c r="H16" s="19" t="n">
        <f aca="false">IF(A16="","",SUMIFS(Earnings!$H:$H,Earnings!$B:$B,"&gt;="&amp;$A16,Earnings!$B:$B,"&lt;"&amp;EDATE($A16,1))-SUMIFS(Spending!$G:$G,Spending!$A:$A,"&gt;="&amp;$A16,Spending!$A:$A,"&lt;"&amp;EDATE($A16,1)))</f>
        <v>0</v>
      </c>
    </row>
    <row r="17" customFormat="false" ht="15" hidden="false" customHeight="false" outlineLevel="0" collapsed="false">
      <c r="A17" s="22" t="n">
        <v>46784</v>
      </c>
      <c r="B17" s="19" t="n">
        <f aca="false">IF(A17="","",SUMIFS(Earnings!$F:$F,Earnings!$B:$B,"&gt;="&amp;$A17,Earnings!$B:$B,"&lt;"&amp;EDATE($A17,1)))</f>
        <v>0</v>
      </c>
      <c r="C17" s="19" t="n">
        <f aca="false">IF(A17="","",SUMIFS(Earnings!$L:$L,Earnings!$K:$K,"&gt;="&amp;$A17,Earnings!$K:$K,"&lt;"&amp;EDATE($A17,1)))</f>
        <v>0</v>
      </c>
      <c r="D17" s="19" t="n">
        <f aca="false">IF(A17="","",SUMIFS(Spending!$E:$E,Spending!$A:$A,"&gt;="&amp;$A17,Spending!$A:$A,"&lt;"&amp;EDATE($A17,1)))</f>
        <v>0</v>
      </c>
      <c r="E17" s="19" t="n">
        <f aca="false">IF(A17="","",B17-D17)</f>
        <v>0</v>
      </c>
      <c r="F17" s="16" t="str">
        <f aca="false">IF(OR(A17="",B17=0),"",E17/B17)</f>
        <v/>
      </c>
      <c r="G17" s="19" t="n">
        <f aca="false">IF(A17="","",SUMIFS(Earnings!$I:$I,Earnings!$B:$B,"&gt;="&amp;$A17,Earnings!$B:$B,"&lt;"&amp;EDATE($A17,1))-SUMIFS(Earnings!$L:$L,Earnings!$B:$B,"&gt;="&amp;$A17,Earnings!$B:$B,"&lt;"&amp;EDATE($A17,1)))</f>
        <v>0</v>
      </c>
      <c r="H17" s="19" t="n">
        <f aca="false">IF(A17="","",SUMIFS(Earnings!$H:$H,Earnings!$B:$B,"&gt;="&amp;$A17,Earnings!$B:$B,"&lt;"&amp;EDATE($A17,1))-SUMIFS(Spending!$G:$G,Spending!$A:$A,"&gt;="&amp;$A17,Spending!$A:$A,"&lt;"&amp;EDATE($A17,1)))</f>
        <v>0</v>
      </c>
    </row>
    <row r="18" customFormat="false" ht="15" hidden="false" customHeight="false" outlineLevel="0" collapsed="false">
      <c r="A18" s="22" t="n">
        <v>46813</v>
      </c>
      <c r="B18" s="19" t="n">
        <f aca="false">IF(A18="","",SUMIFS(Earnings!$F:$F,Earnings!$B:$B,"&gt;="&amp;$A18,Earnings!$B:$B,"&lt;"&amp;EDATE($A18,1)))</f>
        <v>0</v>
      </c>
      <c r="C18" s="19" t="n">
        <f aca="false">IF(A18="","",SUMIFS(Earnings!$L:$L,Earnings!$K:$K,"&gt;="&amp;$A18,Earnings!$K:$K,"&lt;"&amp;EDATE($A18,1)))</f>
        <v>0</v>
      </c>
      <c r="D18" s="19" t="n">
        <f aca="false">IF(A18="","",SUMIFS(Spending!$E:$E,Spending!$A:$A,"&gt;="&amp;$A18,Spending!$A:$A,"&lt;"&amp;EDATE($A18,1)))</f>
        <v>0</v>
      </c>
      <c r="E18" s="19" t="n">
        <f aca="false">IF(A18="","",B18-D18)</f>
        <v>0</v>
      </c>
      <c r="F18" s="16" t="str">
        <f aca="false">IF(OR(A18="",B18=0),"",E18/B18)</f>
        <v/>
      </c>
      <c r="G18" s="19" t="n">
        <f aca="false">IF(A18="","",SUMIFS(Earnings!$I:$I,Earnings!$B:$B,"&gt;="&amp;$A18,Earnings!$B:$B,"&lt;"&amp;EDATE($A18,1))-SUMIFS(Earnings!$L:$L,Earnings!$B:$B,"&gt;="&amp;$A18,Earnings!$B:$B,"&lt;"&amp;EDATE($A18,1)))</f>
        <v>0</v>
      </c>
      <c r="H18" s="19" t="n">
        <f aca="false">IF(A18="","",SUMIFS(Earnings!$H:$H,Earnings!$B:$B,"&gt;="&amp;$A18,Earnings!$B:$B,"&lt;"&amp;EDATE($A18,1))-SUMIFS(Spending!$G:$G,Spending!$A:$A,"&gt;="&amp;$A18,Spending!$A:$A,"&lt;"&amp;EDATE($A18,1)))</f>
        <v>0</v>
      </c>
    </row>
    <row r="19" customFormat="false" ht="15" hidden="false" customHeight="false" outlineLevel="0" collapsed="false">
      <c r="A19" s="22" t="n">
        <v>46844</v>
      </c>
      <c r="B19" s="19" t="n">
        <f aca="false">IF(A19="","",SUMIFS(Earnings!$F:$F,Earnings!$B:$B,"&gt;="&amp;$A19,Earnings!$B:$B,"&lt;"&amp;EDATE($A19,1)))</f>
        <v>0</v>
      </c>
      <c r="C19" s="19" t="n">
        <f aca="false">IF(A19="","",SUMIFS(Earnings!$L:$L,Earnings!$K:$K,"&gt;="&amp;$A19,Earnings!$K:$K,"&lt;"&amp;EDATE($A19,1)))</f>
        <v>0</v>
      </c>
      <c r="D19" s="19" t="n">
        <f aca="false">IF(A19="","",SUMIFS(Spending!$E:$E,Spending!$A:$A,"&gt;="&amp;$A19,Spending!$A:$A,"&lt;"&amp;EDATE($A19,1)))</f>
        <v>0</v>
      </c>
      <c r="E19" s="19" t="n">
        <f aca="false">IF(A19="","",B19-D19)</f>
        <v>0</v>
      </c>
      <c r="F19" s="16" t="str">
        <f aca="false">IF(OR(A19="",B19=0),"",E19/B19)</f>
        <v/>
      </c>
      <c r="G19" s="19" t="n">
        <f aca="false">IF(A19="","",SUMIFS(Earnings!$I:$I,Earnings!$B:$B,"&gt;="&amp;$A19,Earnings!$B:$B,"&lt;"&amp;EDATE($A19,1))-SUMIFS(Earnings!$L:$L,Earnings!$B:$B,"&gt;="&amp;$A19,Earnings!$B:$B,"&lt;"&amp;EDATE($A19,1)))</f>
        <v>0</v>
      </c>
      <c r="H19" s="19" t="n">
        <f aca="false">IF(A19="","",SUMIFS(Earnings!$H:$H,Earnings!$B:$B,"&gt;="&amp;$A19,Earnings!$B:$B,"&lt;"&amp;EDATE($A19,1))-SUMIFS(Spending!$G:$G,Spending!$A:$A,"&gt;="&amp;$A19,Spending!$A:$A,"&lt;"&amp;EDATE($A19,1)))</f>
        <v>0</v>
      </c>
    </row>
    <row r="20" customFormat="false" ht="15" hidden="false" customHeight="false" outlineLevel="0" collapsed="false">
      <c r="A20" s="22" t="n">
        <v>46874</v>
      </c>
      <c r="B20" s="19" t="n">
        <f aca="false">IF(A20="","",SUMIFS(Earnings!$F:$F,Earnings!$B:$B,"&gt;="&amp;$A20,Earnings!$B:$B,"&lt;"&amp;EDATE($A20,1)))</f>
        <v>0</v>
      </c>
      <c r="C20" s="19" t="n">
        <f aca="false">IF(A20="","",SUMIFS(Earnings!$L:$L,Earnings!$K:$K,"&gt;="&amp;$A20,Earnings!$K:$K,"&lt;"&amp;EDATE($A20,1)))</f>
        <v>0</v>
      </c>
      <c r="D20" s="19" t="n">
        <f aca="false">IF(A20="","",SUMIFS(Spending!$E:$E,Spending!$A:$A,"&gt;="&amp;$A20,Spending!$A:$A,"&lt;"&amp;EDATE($A20,1)))</f>
        <v>0</v>
      </c>
      <c r="E20" s="19" t="n">
        <f aca="false">IF(A20="","",B20-D20)</f>
        <v>0</v>
      </c>
      <c r="F20" s="16" t="str">
        <f aca="false">IF(OR(A20="",B20=0),"",E20/B20)</f>
        <v/>
      </c>
      <c r="G20" s="19" t="n">
        <f aca="false">IF(A20="","",SUMIFS(Earnings!$I:$I,Earnings!$B:$B,"&gt;="&amp;$A20,Earnings!$B:$B,"&lt;"&amp;EDATE($A20,1))-SUMIFS(Earnings!$L:$L,Earnings!$B:$B,"&gt;="&amp;$A20,Earnings!$B:$B,"&lt;"&amp;EDATE($A20,1)))</f>
        <v>0</v>
      </c>
      <c r="H20" s="19" t="n">
        <f aca="false">IF(A20="","",SUMIFS(Earnings!$H:$H,Earnings!$B:$B,"&gt;="&amp;$A20,Earnings!$B:$B,"&lt;"&amp;EDATE($A20,1))-SUMIFS(Spending!$G:$G,Spending!$A:$A,"&gt;="&amp;$A20,Spending!$A:$A,"&lt;"&amp;EDATE($A20,1)))</f>
        <v>0</v>
      </c>
    </row>
    <row r="21" customFormat="false" ht="15" hidden="false" customHeight="false" outlineLevel="0" collapsed="false">
      <c r="A21" s="22" t="n">
        <v>46905</v>
      </c>
      <c r="B21" s="19" t="n">
        <f aca="false">IF(A21="","",SUMIFS(Earnings!$F:$F,Earnings!$B:$B,"&gt;="&amp;$A21,Earnings!$B:$B,"&lt;"&amp;EDATE($A21,1)))</f>
        <v>0</v>
      </c>
      <c r="C21" s="19" t="n">
        <f aca="false">IF(A21="","",SUMIFS(Earnings!$L:$L,Earnings!$K:$K,"&gt;="&amp;$A21,Earnings!$K:$K,"&lt;"&amp;EDATE($A21,1)))</f>
        <v>0</v>
      </c>
      <c r="D21" s="19" t="n">
        <f aca="false">IF(A21="","",SUMIFS(Spending!$E:$E,Spending!$A:$A,"&gt;="&amp;$A21,Spending!$A:$A,"&lt;"&amp;EDATE($A21,1)))</f>
        <v>0</v>
      </c>
      <c r="E21" s="19" t="n">
        <f aca="false">IF(A21="","",B21-D21)</f>
        <v>0</v>
      </c>
      <c r="F21" s="16" t="str">
        <f aca="false">IF(OR(A21="",B21=0),"",E21/B21)</f>
        <v/>
      </c>
      <c r="G21" s="19" t="n">
        <f aca="false">IF(A21="","",SUMIFS(Earnings!$I:$I,Earnings!$B:$B,"&gt;="&amp;$A21,Earnings!$B:$B,"&lt;"&amp;EDATE($A21,1))-SUMIFS(Earnings!$L:$L,Earnings!$B:$B,"&gt;="&amp;$A21,Earnings!$B:$B,"&lt;"&amp;EDATE($A21,1)))</f>
        <v>0</v>
      </c>
      <c r="H21" s="19" t="n">
        <f aca="false">IF(A21="","",SUMIFS(Earnings!$H:$H,Earnings!$B:$B,"&gt;="&amp;$A21,Earnings!$B:$B,"&lt;"&amp;EDATE($A21,1))-SUMIFS(Spending!$G:$G,Spending!$A:$A,"&gt;="&amp;$A21,Spending!$A:$A,"&lt;"&amp;EDATE($A21,1)))</f>
        <v>0</v>
      </c>
    </row>
    <row r="22" customFormat="false" ht="15" hidden="false" customHeight="false" outlineLevel="0" collapsed="false">
      <c r="A22" s="22" t="n">
        <v>46935</v>
      </c>
      <c r="B22" s="19" t="n">
        <f aca="false">IF(A22="","",SUMIFS(Earnings!$F:$F,Earnings!$B:$B,"&gt;="&amp;$A22,Earnings!$B:$B,"&lt;"&amp;EDATE($A22,1)))</f>
        <v>0</v>
      </c>
      <c r="C22" s="19" t="n">
        <f aca="false">IF(A22="","",SUMIFS(Earnings!$L:$L,Earnings!$K:$K,"&gt;="&amp;$A22,Earnings!$K:$K,"&lt;"&amp;EDATE($A22,1)))</f>
        <v>0</v>
      </c>
      <c r="D22" s="19" t="n">
        <f aca="false">IF(A22="","",SUMIFS(Spending!$E:$E,Spending!$A:$A,"&gt;="&amp;$A22,Spending!$A:$A,"&lt;"&amp;EDATE($A22,1)))</f>
        <v>0</v>
      </c>
      <c r="E22" s="19" t="n">
        <f aca="false">IF(A22="","",B22-D22)</f>
        <v>0</v>
      </c>
      <c r="F22" s="16" t="str">
        <f aca="false">IF(OR(A22="",B22=0),"",E22/B22)</f>
        <v/>
      </c>
      <c r="G22" s="19" t="n">
        <f aca="false">IF(A22="","",SUMIFS(Earnings!$I:$I,Earnings!$B:$B,"&gt;="&amp;$A22,Earnings!$B:$B,"&lt;"&amp;EDATE($A22,1))-SUMIFS(Earnings!$L:$L,Earnings!$B:$B,"&gt;="&amp;$A22,Earnings!$B:$B,"&lt;"&amp;EDATE($A22,1)))</f>
        <v>0</v>
      </c>
      <c r="H22" s="19" t="n">
        <f aca="false">IF(A22="","",SUMIFS(Earnings!$H:$H,Earnings!$B:$B,"&gt;="&amp;$A22,Earnings!$B:$B,"&lt;"&amp;EDATE($A22,1))-SUMIFS(Spending!$G:$G,Spending!$A:$A,"&gt;="&amp;$A22,Spending!$A:$A,"&lt;"&amp;EDATE($A22,1)))</f>
        <v>0</v>
      </c>
    </row>
    <row r="23" customFormat="false" ht="15" hidden="false" customHeight="false" outlineLevel="0" collapsed="false">
      <c r="A23" s="22" t="n">
        <v>46966</v>
      </c>
      <c r="B23" s="19" t="n">
        <f aca="false">IF(A23="","",SUMIFS(Earnings!$F:$F,Earnings!$B:$B,"&gt;="&amp;$A23,Earnings!$B:$B,"&lt;"&amp;EDATE($A23,1)))</f>
        <v>0</v>
      </c>
      <c r="C23" s="19" t="n">
        <f aca="false">IF(A23="","",SUMIFS(Earnings!$L:$L,Earnings!$K:$K,"&gt;="&amp;$A23,Earnings!$K:$K,"&lt;"&amp;EDATE($A23,1)))</f>
        <v>0</v>
      </c>
      <c r="D23" s="19" t="n">
        <f aca="false">IF(A23="","",SUMIFS(Spending!$E:$E,Spending!$A:$A,"&gt;="&amp;$A23,Spending!$A:$A,"&lt;"&amp;EDATE($A23,1)))</f>
        <v>0</v>
      </c>
      <c r="E23" s="19" t="n">
        <f aca="false">IF(A23="","",B23-D23)</f>
        <v>0</v>
      </c>
      <c r="F23" s="16" t="str">
        <f aca="false">IF(OR(A23="",B23=0),"",E23/B23)</f>
        <v/>
      </c>
      <c r="G23" s="19" t="n">
        <f aca="false">IF(A23="","",SUMIFS(Earnings!$I:$I,Earnings!$B:$B,"&gt;="&amp;$A23,Earnings!$B:$B,"&lt;"&amp;EDATE($A23,1))-SUMIFS(Earnings!$L:$L,Earnings!$B:$B,"&gt;="&amp;$A23,Earnings!$B:$B,"&lt;"&amp;EDATE($A23,1)))</f>
        <v>0</v>
      </c>
      <c r="H23" s="19" t="n">
        <f aca="false">IF(A23="","",SUMIFS(Earnings!$H:$H,Earnings!$B:$B,"&gt;="&amp;$A23,Earnings!$B:$B,"&lt;"&amp;EDATE($A23,1))-SUMIFS(Spending!$G:$G,Spending!$A:$A,"&gt;="&amp;$A23,Spending!$A:$A,"&lt;"&amp;EDATE($A23,1)))</f>
        <v>0</v>
      </c>
    </row>
    <row r="24" customFormat="false" ht="15" hidden="false" customHeight="false" outlineLevel="0" collapsed="false">
      <c r="A24" s="22" t="n">
        <v>46997</v>
      </c>
      <c r="B24" s="19" t="n">
        <f aca="false">IF(A24="","",SUMIFS(Earnings!$F:$F,Earnings!$B:$B,"&gt;="&amp;$A24,Earnings!$B:$B,"&lt;"&amp;EDATE($A24,1)))</f>
        <v>0</v>
      </c>
      <c r="C24" s="19" t="n">
        <f aca="false">IF(A24="","",SUMIFS(Earnings!$L:$L,Earnings!$K:$K,"&gt;="&amp;$A24,Earnings!$K:$K,"&lt;"&amp;EDATE($A24,1)))</f>
        <v>0</v>
      </c>
      <c r="D24" s="19" t="n">
        <f aca="false">IF(A24="","",SUMIFS(Spending!$E:$E,Spending!$A:$A,"&gt;="&amp;$A24,Spending!$A:$A,"&lt;"&amp;EDATE($A24,1)))</f>
        <v>0</v>
      </c>
      <c r="E24" s="19" t="n">
        <f aca="false">IF(A24="","",B24-D24)</f>
        <v>0</v>
      </c>
      <c r="F24" s="16" t="str">
        <f aca="false">IF(OR(A24="",B24=0),"",E24/B24)</f>
        <v/>
      </c>
      <c r="G24" s="19" t="n">
        <f aca="false">IF(A24="","",SUMIFS(Earnings!$I:$I,Earnings!$B:$B,"&gt;="&amp;$A24,Earnings!$B:$B,"&lt;"&amp;EDATE($A24,1))-SUMIFS(Earnings!$L:$L,Earnings!$B:$B,"&gt;="&amp;$A24,Earnings!$B:$B,"&lt;"&amp;EDATE($A24,1)))</f>
        <v>0</v>
      </c>
      <c r="H24" s="19" t="n">
        <f aca="false">IF(A24="","",SUMIFS(Earnings!$H:$H,Earnings!$B:$B,"&gt;="&amp;$A24,Earnings!$B:$B,"&lt;"&amp;EDATE($A24,1))-SUMIFS(Spending!$G:$G,Spending!$A:$A,"&gt;="&amp;$A24,Spending!$A:$A,"&lt;"&amp;EDATE($A24,1)))</f>
        <v>0</v>
      </c>
    </row>
    <row r="25" customFormat="false" ht="15" hidden="false" customHeight="false" outlineLevel="0" collapsed="false">
      <c r="A25" s="22" t="n">
        <v>47027</v>
      </c>
      <c r="B25" s="19" t="n">
        <f aca="false">IF(A25="","",SUMIFS(Earnings!$F:$F,Earnings!$B:$B,"&gt;="&amp;$A25,Earnings!$B:$B,"&lt;"&amp;EDATE($A25,1)))</f>
        <v>0</v>
      </c>
      <c r="C25" s="19" t="n">
        <f aca="false">IF(A25="","",SUMIFS(Earnings!$L:$L,Earnings!$K:$K,"&gt;="&amp;$A25,Earnings!$K:$K,"&lt;"&amp;EDATE($A25,1)))</f>
        <v>0</v>
      </c>
      <c r="D25" s="19" t="n">
        <f aca="false">IF(A25="","",SUMIFS(Spending!$E:$E,Spending!$A:$A,"&gt;="&amp;$A25,Spending!$A:$A,"&lt;"&amp;EDATE($A25,1)))</f>
        <v>0</v>
      </c>
      <c r="E25" s="19" t="n">
        <f aca="false">IF(A25="","",B25-D25)</f>
        <v>0</v>
      </c>
      <c r="F25" s="16" t="str">
        <f aca="false">IF(OR(A25="",B25=0),"",E25/B25)</f>
        <v/>
      </c>
      <c r="G25" s="19" t="n">
        <f aca="false">IF(A25="","",SUMIFS(Earnings!$I:$I,Earnings!$B:$B,"&gt;="&amp;$A25,Earnings!$B:$B,"&lt;"&amp;EDATE($A25,1))-SUMIFS(Earnings!$L:$L,Earnings!$B:$B,"&gt;="&amp;$A25,Earnings!$B:$B,"&lt;"&amp;EDATE($A25,1)))</f>
        <v>0</v>
      </c>
      <c r="H25" s="19" t="n">
        <f aca="false">IF(A25="","",SUMIFS(Earnings!$H:$H,Earnings!$B:$B,"&gt;="&amp;$A25,Earnings!$B:$B,"&lt;"&amp;EDATE($A25,1))-SUMIFS(Spending!$G:$G,Spending!$A:$A,"&gt;="&amp;$A25,Spending!$A:$A,"&lt;"&amp;EDATE($A25,1)))</f>
        <v>0</v>
      </c>
    </row>
    <row r="26" customFormat="false" ht="15" hidden="false" customHeight="false" outlineLevel="0" collapsed="false">
      <c r="A26" s="22" t="n">
        <v>47058</v>
      </c>
      <c r="B26" s="19" t="n">
        <f aca="false">IF(A26="","",SUMIFS(Earnings!$F:$F,Earnings!$B:$B,"&gt;="&amp;$A26,Earnings!$B:$B,"&lt;"&amp;EDATE($A26,1)))</f>
        <v>0</v>
      </c>
      <c r="C26" s="19" t="n">
        <f aca="false">IF(A26="","",SUMIFS(Earnings!$L:$L,Earnings!$K:$K,"&gt;="&amp;$A26,Earnings!$K:$K,"&lt;"&amp;EDATE($A26,1)))</f>
        <v>0</v>
      </c>
      <c r="D26" s="19" t="n">
        <f aca="false">IF(A26="","",SUMIFS(Spending!$E:$E,Spending!$A:$A,"&gt;="&amp;$A26,Spending!$A:$A,"&lt;"&amp;EDATE($A26,1)))</f>
        <v>0</v>
      </c>
      <c r="E26" s="19" t="n">
        <f aca="false">IF(A26="","",B26-D26)</f>
        <v>0</v>
      </c>
      <c r="F26" s="16" t="str">
        <f aca="false">IF(OR(A26="",B26=0),"",E26/B26)</f>
        <v/>
      </c>
      <c r="G26" s="19" t="n">
        <f aca="false">IF(A26="","",SUMIFS(Earnings!$I:$I,Earnings!$B:$B,"&gt;="&amp;$A26,Earnings!$B:$B,"&lt;"&amp;EDATE($A26,1))-SUMIFS(Earnings!$L:$L,Earnings!$B:$B,"&gt;="&amp;$A26,Earnings!$B:$B,"&lt;"&amp;EDATE($A26,1)))</f>
        <v>0</v>
      </c>
      <c r="H26" s="19" t="n">
        <f aca="false">IF(A26="","",SUMIFS(Earnings!$H:$H,Earnings!$B:$B,"&gt;="&amp;$A26,Earnings!$B:$B,"&lt;"&amp;EDATE($A26,1))-SUMIFS(Spending!$G:$G,Spending!$A:$A,"&gt;="&amp;$A26,Spending!$A:$A,"&lt;"&amp;EDATE($A26,1)))</f>
        <v>0</v>
      </c>
    </row>
    <row r="27" customFormat="false" ht="15" hidden="false" customHeight="false" outlineLevel="0" collapsed="false">
      <c r="A27" s="22" t="n">
        <v>47088</v>
      </c>
      <c r="B27" s="19" t="n">
        <f aca="false">IF(A27="","",SUMIFS(Earnings!$F:$F,Earnings!$B:$B,"&gt;="&amp;$A27,Earnings!$B:$B,"&lt;"&amp;EDATE($A27,1)))</f>
        <v>0</v>
      </c>
      <c r="C27" s="19" t="n">
        <f aca="false">IF(A27="","",SUMIFS(Earnings!$L:$L,Earnings!$K:$K,"&gt;="&amp;$A27,Earnings!$K:$K,"&lt;"&amp;EDATE($A27,1)))</f>
        <v>0</v>
      </c>
      <c r="D27" s="19" t="n">
        <f aca="false">IF(A27="","",SUMIFS(Spending!$E:$E,Spending!$A:$A,"&gt;="&amp;$A27,Spending!$A:$A,"&lt;"&amp;EDATE($A27,1)))</f>
        <v>0</v>
      </c>
      <c r="E27" s="19" t="n">
        <f aca="false">IF(A27="","",B27-D27)</f>
        <v>0</v>
      </c>
      <c r="F27" s="16" t="str">
        <f aca="false">IF(OR(A27="",B27=0),"",E27/B27)</f>
        <v/>
      </c>
      <c r="G27" s="19" t="n">
        <f aca="false">IF(A27="","",SUMIFS(Earnings!$I:$I,Earnings!$B:$B,"&gt;="&amp;$A27,Earnings!$B:$B,"&lt;"&amp;EDATE($A27,1))-SUMIFS(Earnings!$L:$L,Earnings!$B:$B,"&gt;="&amp;$A27,Earnings!$B:$B,"&lt;"&amp;EDATE($A27,1)))</f>
        <v>0</v>
      </c>
      <c r="H27" s="19" t="n">
        <f aca="false">IF(A27="","",SUMIFS(Earnings!$H:$H,Earnings!$B:$B,"&gt;="&amp;$A27,Earnings!$B:$B,"&lt;"&amp;EDATE($A27,1))-SUMIFS(Spending!$G:$G,Spending!$A:$A,"&gt;="&amp;$A27,Spending!$A:$A,"&lt;"&amp;EDATE($A27,1)))</f>
        <v>0</v>
      </c>
    </row>
  </sheetData>
  <autoFilter ref="A1:H27"/>
  <conditionalFormatting sqref="E2:E27">
    <cfRule type="cellIs" priority="2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5" min="3" style="0" width="10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1" min="10" style="0" width="10"/>
    <col collapsed="false" customWidth="true" hidden="false" outlineLevel="0" max="12" min="12" style="0" width="30"/>
  </cols>
  <sheetData>
    <row r="1" customFormat="false" ht="33.75" hidden="false" customHeight="true" outlineLevel="0" collapsed="false">
      <c r="A1" s="7" t="s">
        <v>70</v>
      </c>
      <c r="B1" s="7" t="s">
        <v>78</v>
      </c>
      <c r="C1" s="7" t="s">
        <v>79</v>
      </c>
      <c r="D1" s="7" t="s">
        <v>80</v>
      </c>
      <c r="E1" s="7" t="s">
        <v>81</v>
      </c>
      <c r="F1" s="7" t="s">
        <v>82</v>
      </c>
      <c r="G1" s="7" t="s">
        <v>83</v>
      </c>
      <c r="H1" s="7" t="s">
        <v>84</v>
      </c>
      <c r="I1" s="7" t="s">
        <v>85</v>
      </c>
      <c r="J1" s="7" t="s">
        <v>86</v>
      </c>
      <c r="K1" s="7" t="s">
        <v>87</v>
      </c>
      <c r="L1" s="7" t="s">
        <v>37</v>
      </c>
    </row>
    <row r="2" customFormat="false" ht="15" hidden="false" customHeight="false" outlineLevel="0" collapsed="false">
      <c r="A2" s="22" t="n">
        <v>46327</v>
      </c>
      <c r="B2" s="19" t="n">
        <f aca="false">IF(A2="","",IFERROR(INDEX('Hiring Plan'!$C:$C,MATCH(A2,'Hiring Plan'!$A:$A,0)),0))</f>
        <v>1</v>
      </c>
      <c r="C2" s="19" t="n">
        <f aca="false">IF(A2="","",ROUND(B2*Settings!$B$5*(EDATE(A2,1)-DATE(2026,11,19))/7,0))</f>
        <v>3</v>
      </c>
      <c r="D2" s="19" t="n">
        <f aca="false">IF(A2="","",0)</f>
        <v>0</v>
      </c>
      <c r="E2" s="19" t="n">
        <f aca="false">IF(A2="","",MAX(0,Settings!$B$8+C2-D2))</f>
        <v>3</v>
      </c>
      <c r="F2" s="19" t="n">
        <f aca="false">IF(A2="","",E2*Settings!$B$10)</f>
        <v>22500</v>
      </c>
      <c r="G2" s="15"/>
      <c r="H2" s="15"/>
      <c r="I2" s="19" t="str">
        <f aca="true">IF(OR(A2="",A2&gt;TODAY()),"",IFERROR(INDEX('Monthly Summary'!$B:$B,MATCH(A2,'Monthly Summary'!$A:$A,0)),""))</f>
        <v/>
      </c>
      <c r="J2" s="16" t="str">
        <f aca="false">IF(OR(A2="",F2=0,I2=""),"",I2/F2)</f>
        <v/>
      </c>
      <c r="K2" s="16" t="str">
        <f aca="false">IF(OR(H2="",E2=0),"",H2/E2)</f>
        <v/>
      </c>
      <c r="L2" s="14"/>
    </row>
    <row r="3" customFormat="false" ht="15" hidden="false" customHeight="false" outlineLevel="0" collapsed="false">
      <c r="A3" s="22" t="n">
        <v>46357</v>
      </c>
      <c r="B3" s="19" t="n">
        <f aca="false">IF(A3="","",IFERROR(INDEX('Hiring Plan'!$C:$C,MATCH(A3,'Hiring Plan'!$A:$A,0)),0))</f>
        <v>1</v>
      </c>
      <c r="C3" s="19" t="n">
        <f aca="false">IF(A3="","",ROUND(B3*Settings!$B$5*Settings!$B$7,0))</f>
        <v>9</v>
      </c>
      <c r="D3" s="19" t="n">
        <f aca="false">IF(A3="","",ROUND(E2*Settings!$B$9,0))</f>
        <v>0</v>
      </c>
      <c r="E3" s="19" t="n">
        <f aca="false">IF(A3="","",MAX(0,E2+C3-D3))</f>
        <v>12</v>
      </c>
      <c r="F3" s="19" t="n">
        <f aca="false">IF(A3="","",E3*Settings!$B$10)</f>
        <v>90000</v>
      </c>
      <c r="G3" s="15"/>
      <c r="H3" s="15"/>
      <c r="I3" s="19" t="str">
        <f aca="true">IF(OR(A3="",A3&gt;TODAY()),"",IFERROR(INDEX('Monthly Summary'!$B:$B,MATCH(A3,'Monthly Summary'!$A:$A,0)),""))</f>
        <v/>
      </c>
      <c r="J3" s="16" t="str">
        <f aca="false">IF(OR(A3="",F3=0,I3=""),"",I3/F3)</f>
        <v/>
      </c>
      <c r="K3" s="16" t="str">
        <f aca="false">IF(OR(H3="",E3=0),"",H3/E3)</f>
        <v/>
      </c>
      <c r="L3" s="14"/>
    </row>
    <row r="4" customFormat="false" ht="15" hidden="false" customHeight="false" outlineLevel="0" collapsed="false">
      <c r="A4" s="22" t="n">
        <v>46388</v>
      </c>
      <c r="B4" s="19" t="n">
        <f aca="false">IF(A4="","",IFERROR(INDEX('Hiring Plan'!$C:$C,MATCH(A4,'Hiring Plan'!$A:$A,0)),0))</f>
        <v>2</v>
      </c>
      <c r="C4" s="19" t="n">
        <f aca="false">IF(A4="","",ROUND(B4*Settings!$B$5*Settings!$B$7,0))</f>
        <v>17</v>
      </c>
      <c r="D4" s="19" t="n">
        <f aca="false">IF(A4="","",ROUND(E3*Settings!$B$9,0))</f>
        <v>1</v>
      </c>
      <c r="E4" s="19" t="n">
        <f aca="false">IF(A4="","",MAX(0,E3+C4-D4))</f>
        <v>28</v>
      </c>
      <c r="F4" s="19" t="n">
        <f aca="false">IF(A4="","",E4*Settings!$B$10)</f>
        <v>210000</v>
      </c>
      <c r="G4" s="15"/>
      <c r="H4" s="15"/>
      <c r="I4" s="19" t="str">
        <f aca="true">IF(OR(A4="",A4&gt;TODAY()),"",IFERROR(INDEX('Monthly Summary'!$B:$B,MATCH(A4,'Monthly Summary'!$A:$A,0)),""))</f>
        <v/>
      </c>
      <c r="J4" s="16" t="str">
        <f aca="false">IF(OR(A4="",F4=0,I4=""),"",I4/F4)</f>
        <v/>
      </c>
      <c r="K4" s="16" t="str">
        <f aca="false">IF(OR(H4="",E4=0),"",H4/E4)</f>
        <v/>
      </c>
      <c r="L4" s="14"/>
    </row>
    <row r="5" customFormat="false" ht="15" hidden="false" customHeight="false" outlineLevel="0" collapsed="false">
      <c r="A5" s="22" t="n">
        <v>46419</v>
      </c>
      <c r="B5" s="19" t="n">
        <f aca="false">IF(A5="","",IFERROR(INDEX('Hiring Plan'!$C:$C,MATCH(A5,'Hiring Plan'!$A:$A,0)),0))</f>
        <v>2</v>
      </c>
      <c r="C5" s="19" t="n">
        <f aca="false">IF(A5="","",ROUND(B5*Settings!$B$5*Settings!$B$7,0))</f>
        <v>17</v>
      </c>
      <c r="D5" s="19" t="n">
        <f aca="false">IF(A5="","",ROUND(E4*Settings!$B$9,0))</f>
        <v>3</v>
      </c>
      <c r="E5" s="19" t="n">
        <f aca="false">IF(A5="","",MAX(0,E4+C5-D5))</f>
        <v>42</v>
      </c>
      <c r="F5" s="19" t="n">
        <f aca="false">IF(A5="","",E5*Settings!$B$10)</f>
        <v>315000</v>
      </c>
      <c r="G5" s="15"/>
      <c r="H5" s="15"/>
      <c r="I5" s="19" t="str">
        <f aca="true">IF(OR(A5="",A5&gt;TODAY()),"",IFERROR(INDEX('Monthly Summary'!$B:$B,MATCH(A5,'Monthly Summary'!$A:$A,0)),""))</f>
        <v/>
      </c>
      <c r="J5" s="16" t="str">
        <f aca="false">IF(OR(A5="",F5=0,I5=""),"",I5/F5)</f>
        <v/>
      </c>
      <c r="K5" s="16" t="str">
        <f aca="false">IF(OR(H5="",E5=0),"",H5/E5)</f>
        <v/>
      </c>
      <c r="L5" s="14"/>
    </row>
    <row r="6" customFormat="false" ht="15" hidden="false" customHeight="false" outlineLevel="0" collapsed="false">
      <c r="A6" s="22" t="n">
        <v>46447</v>
      </c>
      <c r="B6" s="19" t="n">
        <f aca="false">IF(A6="","",IFERROR(INDEX('Hiring Plan'!$C:$C,MATCH(A6,'Hiring Plan'!$A:$A,0)),0))</f>
        <v>2</v>
      </c>
      <c r="C6" s="19" t="n">
        <f aca="false">IF(A6="","",ROUND(B6*Settings!$B$5*Settings!$B$7,0))</f>
        <v>17</v>
      </c>
      <c r="D6" s="19" t="n">
        <f aca="false">IF(A6="","",ROUND(E5*Settings!$B$9,0))</f>
        <v>4</v>
      </c>
      <c r="E6" s="19" t="n">
        <f aca="false">IF(A6="","",MAX(0,E5+C6-D6))</f>
        <v>55</v>
      </c>
      <c r="F6" s="19" t="n">
        <f aca="false">IF(A6="","",E6*Settings!$B$10)</f>
        <v>412500</v>
      </c>
      <c r="G6" s="15"/>
      <c r="H6" s="15"/>
      <c r="I6" s="19" t="str">
        <f aca="true">IF(OR(A6="",A6&gt;TODAY()),"",IFERROR(INDEX('Monthly Summary'!$B:$B,MATCH(A6,'Monthly Summary'!$A:$A,0)),""))</f>
        <v/>
      </c>
      <c r="J6" s="16" t="str">
        <f aca="false">IF(OR(A6="",F6=0,I6=""),"",I6/F6)</f>
        <v/>
      </c>
      <c r="K6" s="16" t="str">
        <f aca="false">IF(OR(H6="",E6=0),"",H6/E6)</f>
        <v/>
      </c>
      <c r="L6" s="14"/>
    </row>
    <row r="7" customFormat="false" ht="15" hidden="false" customHeight="false" outlineLevel="0" collapsed="false">
      <c r="A7" s="22" t="n">
        <v>46478</v>
      </c>
      <c r="B7" s="19" t="n">
        <f aca="false">IF(A7="","",IFERROR(INDEX('Hiring Plan'!$C:$C,MATCH(A7,'Hiring Plan'!$A:$A,0)),0))</f>
        <v>3</v>
      </c>
      <c r="C7" s="19" t="n">
        <f aca="false">IF(A7="","",ROUND(B7*Settings!$B$5*Settings!$B$7,0))</f>
        <v>26</v>
      </c>
      <c r="D7" s="19" t="n">
        <f aca="false">IF(A7="","",ROUND(E6*Settings!$B$9,0))</f>
        <v>6</v>
      </c>
      <c r="E7" s="19" t="n">
        <f aca="false">IF(A7="","",MAX(0,E6+C7-D7))</f>
        <v>75</v>
      </c>
      <c r="F7" s="19" t="n">
        <f aca="false">IF(A7="","",E7*Settings!$B$10)</f>
        <v>562500</v>
      </c>
      <c r="G7" s="15"/>
      <c r="H7" s="15"/>
      <c r="I7" s="19" t="str">
        <f aca="true">IF(OR(A7="",A7&gt;TODAY()),"",IFERROR(INDEX('Monthly Summary'!$B:$B,MATCH(A7,'Monthly Summary'!$A:$A,0)),""))</f>
        <v/>
      </c>
      <c r="J7" s="16" t="str">
        <f aca="false">IF(OR(A7="",F7=0,I7=""),"",I7/F7)</f>
        <v/>
      </c>
      <c r="K7" s="16" t="str">
        <f aca="false">IF(OR(H7="",E7=0),"",H7/E7)</f>
        <v/>
      </c>
      <c r="L7" s="14"/>
    </row>
    <row r="8" customFormat="false" ht="15" hidden="false" customHeight="false" outlineLevel="0" collapsed="false">
      <c r="A8" s="22" t="n">
        <v>46508</v>
      </c>
      <c r="B8" s="19" t="n">
        <f aca="false">IF(A8="","",IFERROR(INDEX('Hiring Plan'!$C:$C,MATCH(A8,'Hiring Plan'!$A:$A,0)),0))</f>
        <v>3</v>
      </c>
      <c r="C8" s="19" t="n">
        <f aca="false">IF(A8="","",ROUND(B8*Settings!$B$5*Settings!$B$7,0))</f>
        <v>26</v>
      </c>
      <c r="D8" s="19" t="n">
        <f aca="false">IF(A8="","",ROUND(E7*Settings!$B$9,0))</f>
        <v>8</v>
      </c>
      <c r="E8" s="19" t="n">
        <f aca="false">IF(A8="","",MAX(0,E7+C8-D8))</f>
        <v>93</v>
      </c>
      <c r="F8" s="19" t="n">
        <f aca="false">IF(A8="","",E8*Settings!$B$10)</f>
        <v>697500</v>
      </c>
      <c r="G8" s="15"/>
      <c r="H8" s="15"/>
      <c r="I8" s="19" t="str">
        <f aca="true">IF(OR(A8="",A8&gt;TODAY()),"",IFERROR(INDEX('Monthly Summary'!$B:$B,MATCH(A8,'Monthly Summary'!$A:$A,0)),""))</f>
        <v/>
      </c>
      <c r="J8" s="16" t="str">
        <f aca="false">IF(OR(A8="",F8=0,I8=""),"",I8/F8)</f>
        <v/>
      </c>
      <c r="K8" s="16" t="str">
        <f aca="false">IF(OR(H8="",E8=0),"",H8/E8)</f>
        <v/>
      </c>
      <c r="L8" s="14"/>
    </row>
    <row r="9" customFormat="false" ht="15" hidden="false" customHeight="false" outlineLevel="0" collapsed="false">
      <c r="A9" s="22" t="n">
        <v>46539</v>
      </c>
      <c r="B9" s="19" t="n">
        <f aca="false">IF(A9="","",IFERROR(INDEX('Hiring Plan'!$C:$C,MATCH(A9,'Hiring Plan'!$A:$A,0)),0))</f>
        <v>3</v>
      </c>
      <c r="C9" s="19" t="n">
        <f aca="false">IF(A9="","",ROUND(B9*Settings!$B$5*Settings!$B$7,0))</f>
        <v>26</v>
      </c>
      <c r="D9" s="19" t="n">
        <f aca="false">IF(A9="","",ROUND(E8*Settings!$B$9,0))</f>
        <v>9</v>
      </c>
      <c r="E9" s="19" t="n">
        <f aca="false">IF(A9="","",MAX(0,E8+C9-D9))</f>
        <v>110</v>
      </c>
      <c r="F9" s="19" t="n">
        <f aca="false">IF(A9="","",E9*Settings!$B$10)</f>
        <v>825000</v>
      </c>
      <c r="G9" s="15"/>
      <c r="H9" s="15"/>
      <c r="I9" s="19" t="str">
        <f aca="true">IF(OR(A9="",A9&gt;TODAY()),"",IFERROR(INDEX('Monthly Summary'!$B:$B,MATCH(A9,'Monthly Summary'!$A:$A,0)),""))</f>
        <v/>
      </c>
      <c r="J9" s="16" t="str">
        <f aca="false">IF(OR(A9="",F9=0,I9=""),"",I9/F9)</f>
        <v/>
      </c>
      <c r="K9" s="16" t="str">
        <f aca="false">IF(OR(H9="",E9=0),"",H9/E9)</f>
        <v/>
      </c>
      <c r="L9" s="14"/>
    </row>
    <row r="10" customFormat="false" ht="15" hidden="false" customHeight="false" outlineLevel="0" collapsed="false">
      <c r="A10" s="22" t="n">
        <v>46569</v>
      </c>
      <c r="B10" s="19" t="n">
        <f aca="false">IF(A10="","",IFERROR(INDEX('Hiring Plan'!$C:$C,MATCH(A10,'Hiring Plan'!$A:$A,0)),0))</f>
        <v>3</v>
      </c>
      <c r="C10" s="19" t="n">
        <f aca="false">IF(A10="","",ROUND(B10*Settings!$B$5*Settings!$B$7,0))</f>
        <v>26</v>
      </c>
      <c r="D10" s="19" t="n">
        <f aca="false">IF(A10="","",ROUND(E9*Settings!$B$9,0))</f>
        <v>11</v>
      </c>
      <c r="E10" s="19" t="n">
        <f aca="false">IF(A10="","",MAX(0,E9+C10-D10))</f>
        <v>125</v>
      </c>
      <c r="F10" s="19" t="n">
        <f aca="false">IF(A10="","",E10*Settings!$B$10)</f>
        <v>937500</v>
      </c>
      <c r="G10" s="15"/>
      <c r="H10" s="15"/>
      <c r="I10" s="19" t="str">
        <f aca="true">IF(OR(A10="",A10&gt;TODAY()),"",IFERROR(INDEX('Monthly Summary'!$B:$B,MATCH(A10,'Monthly Summary'!$A:$A,0)),""))</f>
        <v/>
      </c>
      <c r="J10" s="16" t="str">
        <f aca="false">IF(OR(A10="",F10=0,I10=""),"",I10/F10)</f>
        <v/>
      </c>
      <c r="K10" s="16" t="str">
        <f aca="false">IF(OR(H10="",E10=0),"",H10/E10)</f>
        <v/>
      </c>
      <c r="L10" s="14"/>
    </row>
    <row r="11" customFormat="false" ht="15" hidden="false" customHeight="false" outlineLevel="0" collapsed="false">
      <c r="A11" s="22" t="n">
        <v>46600</v>
      </c>
      <c r="B11" s="19" t="n">
        <f aca="false">IF(A11="","",IFERROR(INDEX('Hiring Plan'!$C:$C,MATCH(A11,'Hiring Plan'!$A:$A,0)),0))</f>
        <v>4</v>
      </c>
      <c r="C11" s="19" t="n">
        <f aca="false">IF(A11="","",ROUND(B11*Settings!$B$5*Settings!$B$7,0))</f>
        <v>35</v>
      </c>
      <c r="D11" s="19" t="n">
        <f aca="false">IF(A11="","",ROUND(E10*Settings!$B$9,0))</f>
        <v>13</v>
      </c>
      <c r="E11" s="19" t="n">
        <f aca="false">IF(A11="","",MAX(0,E10+C11-D11))</f>
        <v>147</v>
      </c>
      <c r="F11" s="19" t="n">
        <f aca="false">IF(A11="","",E11*Settings!$B$10)</f>
        <v>1102500</v>
      </c>
      <c r="G11" s="15"/>
      <c r="H11" s="15"/>
      <c r="I11" s="19" t="str">
        <f aca="true">IF(OR(A11="",A11&gt;TODAY()),"",IFERROR(INDEX('Monthly Summary'!$B:$B,MATCH(A11,'Monthly Summary'!$A:$A,0)),""))</f>
        <v/>
      </c>
      <c r="J11" s="16" t="str">
        <f aca="false">IF(OR(A11="",F11=0,I11=""),"",I11/F11)</f>
        <v/>
      </c>
      <c r="K11" s="16" t="str">
        <f aca="false">IF(OR(H11="",E11=0),"",H11/E11)</f>
        <v/>
      </c>
      <c r="L11" s="14"/>
    </row>
    <row r="12" customFormat="false" ht="15" hidden="false" customHeight="false" outlineLevel="0" collapsed="false">
      <c r="A12" s="22" t="n">
        <v>46631</v>
      </c>
      <c r="B12" s="19" t="n">
        <f aca="false">IF(A12="","",IFERROR(INDEX('Hiring Plan'!$C:$C,MATCH(A12,'Hiring Plan'!$A:$A,0)),0))</f>
        <v>4</v>
      </c>
      <c r="C12" s="19" t="n">
        <f aca="false">IF(A12="","",ROUND(B12*Settings!$B$5*Settings!$B$7,0))</f>
        <v>35</v>
      </c>
      <c r="D12" s="19" t="n">
        <f aca="false">IF(A12="","",ROUND(E11*Settings!$B$9,0))</f>
        <v>15</v>
      </c>
      <c r="E12" s="19" t="n">
        <f aca="false">IF(A12="","",MAX(0,E11+C12-D12))</f>
        <v>167</v>
      </c>
      <c r="F12" s="19" t="n">
        <f aca="false">IF(A12="","",E12*Settings!$B$10)</f>
        <v>1252500</v>
      </c>
      <c r="G12" s="15"/>
      <c r="H12" s="15"/>
      <c r="I12" s="19" t="str">
        <f aca="true">IF(OR(A12="",A12&gt;TODAY()),"",IFERROR(INDEX('Monthly Summary'!$B:$B,MATCH(A12,'Monthly Summary'!$A:$A,0)),""))</f>
        <v/>
      </c>
      <c r="J12" s="16" t="str">
        <f aca="false">IF(OR(A12="",F12=0,I12=""),"",I12/F12)</f>
        <v/>
      </c>
      <c r="K12" s="16" t="str">
        <f aca="false">IF(OR(H12="",E12=0),"",H12/E12)</f>
        <v/>
      </c>
      <c r="L12" s="14"/>
    </row>
    <row r="13" customFormat="false" ht="15" hidden="false" customHeight="false" outlineLevel="0" collapsed="false">
      <c r="A13" s="22" t="n">
        <v>46661</v>
      </c>
      <c r="B13" s="19" t="n">
        <f aca="false">IF(A13="","",IFERROR(INDEX('Hiring Plan'!$C:$C,MATCH(A13,'Hiring Plan'!$A:$A,0)),0))</f>
        <v>4</v>
      </c>
      <c r="C13" s="19" t="n">
        <f aca="false">IF(A13="","",ROUND(B13*Settings!$B$5*Settings!$B$7,0))</f>
        <v>35</v>
      </c>
      <c r="D13" s="19" t="n">
        <f aca="false">IF(A13="","",ROUND(E12*Settings!$B$9,0))</f>
        <v>17</v>
      </c>
      <c r="E13" s="19" t="n">
        <f aca="false">IF(A13="","",MAX(0,E12+C13-D13))</f>
        <v>185</v>
      </c>
      <c r="F13" s="19" t="n">
        <f aca="false">IF(A13="","",E13*Settings!$B$10)</f>
        <v>1387500</v>
      </c>
      <c r="G13" s="15"/>
      <c r="H13" s="15"/>
      <c r="I13" s="19" t="str">
        <f aca="true">IF(OR(A13="",A13&gt;TODAY()),"",IFERROR(INDEX('Monthly Summary'!$B:$B,MATCH(A13,'Monthly Summary'!$A:$A,0)),""))</f>
        <v/>
      </c>
      <c r="J13" s="16" t="str">
        <f aca="false">IF(OR(A13="",F13=0,I13=""),"",I13/F13)</f>
        <v/>
      </c>
      <c r="K13" s="16" t="str">
        <f aca="false">IF(OR(H13="",E13=0),"",H13/E13)</f>
        <v/>
      </c>
      <c r="L13" s="14"/>
    </row>
    <row r="15" customFormat="false" ht="15" hidden="false" customHeight="false" outlineLevel="0" collapsed="false">
      <c r="A15" s="23" t="s">
        <v>88</v>
      </c>
      <c r="C15" s="24" t="n">
        <f aca="false">SUM(C2:C13)</f>
        <v>272</v>
      </c>
      <c r="D15" s="24" t="n">
        <f aca="false">SUM(D2:D13)</f>
        <v>87</v>
      </c>
      <c r="E15" s="24" t="n">
        <f aca="false">E13</f>
        <v>185</v>
      </c>
      <c r="F15" s="24" t="n">
        <f aca="false">SUM(F2:F13)</f>
        <v>7815000</v>
      </c>
      <c r="I15" s="24" t="n">
        <f aca="false">SUM(I2:I13)</f>
        <v>0</v>
      </c>
    </row>
  </sheetData>
  <autoFilter ref="A1:L13"/>
  <conditionalFormatting sqref="J2:J13">
    <cfRule type="expression" priority="2" aboveAverage="0" equalAverage="0" bottom="0" percent="0" rank="0" text="" dxfId="7">
      <formula>AND(J2&lt;&gt;"",J2&gt;=1)</formula>
    </cfRule>
    <cfRule type="expression" priority="3" aboveAverage="0" equalAverage="0" bottom="0" percent="0" rank="0" text="" dxfId="8">
      <formula>AND(J2&lt;&gt;"",J2&lt;1)</formula>
    </cfRule>
  </conditionalFormatting>
  <conditionalFormatting sqref="K2:K13">
    <cfRule type="expression" priority="4" aboveAverage="0" equalAverage="0" bottom="0" percent="0" rank="0" text="" dxfId="7">
      <formula>AND(K2&lt;&gt;"",K2&gt;=1)</formula>
    </cfRule>
    <cfRule type="expression" priority="5" aboveAverage="0" equalAverage="0" bottom="0" percent="0" rank="0" text="" dxfId="8">
      <formula>AND(K2&lt;&gt;"",K2&lt;1)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30"/>
  </cols>
  <sheetData>
    <row r="1" customFormat="false" ht="33.75" hidden="false" customHeight="true" outlineLevel="0" collapsed="false">
      <c r="A1" s="7" t="s">
        <v>70</v>
      </c>
      <c r="B1" s="7" t="s">
        <v>81</v>
      </c>
      <c r="C1" s="7" t="s">
        <v>89</v>
      </c>
      <c r="D1" s="7" t="s">
        <v>90</v>
      </c>
      <c r="E1" s="7" t="s">
        <v>91</v>
      </c>
      <c r="F1" s="7" t="s">
        <v>92</v>
      </c>
      <c r="G1" s="7" t="s">
        <v>93</v>
      </c>
      <c r="H1" s="7" t="s">
        <v>94</v>
      </c>
      <c r="I1" s="7" t="s">
        <v>95</v>
      </c>
      <c r="J1" s="7" t="s">
        <v>82</v>
      </c>
      <c r="K1" s="7" t="s">
        <v>96</v>
      </c>
      <c r="L1" s="7" t="s">
        <v>37</v>
      </c>
    </row>
    <row r="2" customFormat="false" ht="15" hidden="false" customHeight="false" outlineLevel="0" collapsed="false">
      <c r="A2" s="22" t="n">
        <v>46327</v>
      </c>
      <c r="B2" s="19" t="n">
        <f aca="false">IF(A2="","",IFERROR(INDEX('Growth Targets'!$E:$E,MATCH(A2,'Growth Targets'!$A:$A,0)),0))</f>
        <v>3</v>
      </c>
      <c r="C2" s="15" t="n">
        <v>1</v>
      </c>
      <c r="D2" s="19" t="n">
        <f aca="false">IF(A2="","",MAX(1,ROUNDUP(B2/Settings!$B$11,0)))</f>
        <v>1</v>
      </c>
      <c r="E2" s="19" t="n">
        <f aca="false">IF(A2="","",MAX(1,ROUNDUP(B2/Settings!$B$12,0)))</f>
        <v>1</v>
      </c>
      <c r="F2" s="19" t="n">
        <f aca="false">IF(A2="","",C2+D2+E2)</f>
        <v>3</v>
      </c>
      <c r="G2" s="15" t="n">
        <v>3</v>
      </c>
      <c r="H2" s="19" t="n">
        <f aca="false">IF(OR(A2="",G2=""),"",MAX(0,F2-G2))</f>
        <v>0</v>
      </c>
      <c r="I2" s="19" t="n">
        <f aca="false">IF(A2="","",C2*N(Settings!$B$13)+D2*N(Settings!$B$14)+E2*N(Settings!$B$15))</f>
        <v>0</v>
      </c>
      <c r="J2" s="19" t="n">
        <f aca="false">IF(A2="","",IFERROR(INDEX('Growth Targets'!$F:$F,MATCH(A2,'Growth Targets'!$A:$A,0)),0))</f>
        <v>22500</v>
      </c>
      <c r="K2" s="16" t="str">
        <f aca="false">IF(OR(A2="",J2=0,I2=0),"",I2/J2)</f>
        <v/>
      </c>
      <c r="L2" s="14"/>
    </row>
    <row r="3" customFormat="false" ht="15" hidden="false" customHeight="false" outlineLevel="0" collapsed="false">
      <c r="A3" s="22" t="n">
        <v>46357</v>
      </c>
      <c r="B3" s="19" t="n">
        <f aca="false">IF(A3="","",IFERROR(INDEX('Growth Targets'!$E:$E,MATCH(A3,'Growth Targets'!$A:$A,0)),0))</f>
        <v>12</v>
      </c>
      <c r="C3" s="15" t="n">
        <v>1</v>
      </c>
      <c r="D3" s="19" t="n">
        <f aca="false">IF(A3="","",MAX(1,ROUNDUP(B3/Settings!$B$11,0)))</f>
        <v>2</v>
      </c>
      <c r="E3" s="19" t="n">
        <f aca="false">IF(A3="","",MAX(1,ROUNDUP(B3/Settings!$B$12,0)))</f>
        <v>2</v>
      </c>
      <c r="F3" s="19" t="n">
        <f aca="false">IF(A3="","",C3+D3+E3)</f>
        <v>5</v>
      </c>
      <c r="G3" s="15"/>
      <c r="H3" s="19" t="str">
        <f aca="false">IF(OR(A3="",G3=""),"",MAX(0,F3-G3))</f>
        <v/>
      </c>
      <c r="I3" s="19" t="n">
        <f aca="false">IF(A3="","",C3*N(Settings!$B$13)+D3*N(Settings!$B$14)+E3*N(Settings!$B$15))</f>
        <v>0</v>
      </c>
      <c r="J3" s="19" t="n">
        <f aca="false">IF(A3="","",IFERROR(INDEX('Growth Targets'!$F:$F,MATCH(A3,'Growth Targets'!$A:$A,0)),0))</f>
        <v>90000</v>
      </c>
      <c r="K3" s="16" t="str">
        <f aca="false">IF(OR(A3="",J3=0,I3=0),"",I3/J3)</f>
        <v/>
      </c>
      <c r="L3" s="14"/>
    </row>
    <row r="4" customFormat="false" ht="15" hidden="false" customHeight="false" outlineLevel="0" collapsed="false">
      <c r="A4" s="22" t="n">
        <v>46388</v>
      </c>
      <c r="B4" s="19" t="n">
        <f aca="false">IF(A4="","",IFERROR(INDEX('Growth Targets'!$E:$E,MATCH(A4,'Growth Targets'!$A:$A,0)),0))</f>
        <v>28</v>
      </c>
      <c r="C4" s="15" t="n">
        <v>2</v>
      </c>
      <c r="D4" s="19" t="n">
        <f aca="false">IF(A4="","",MAX(1,ROUNDUP(B4/Settings!$B$11,0)))</f>
        <v>5</v>
      </c>
      <c r="E4" s="19" t="n">
        <f aca="false">IF(A4="","",MAX(1,ROUNDUP(B4/Settings!$B$12,0)))</f>
        <v>3</v>
      </c>
      <c r="F4" s="19" t="n">
        <f aca="false">IF(A4="","",C4+D4+E4)</f>
        <v>10</v>
      </c>
      <c r="G4" s="15"/>
      <c r="H4" s="19" t="str">
        <f aca="false">IF(OR(A4="",G4=""),"",MAX(0,F4-G4))</f>
        <v/>
      </c>
      <c r="I4" s="19" t="n">
        <f aca="false">IF(A4="","",C4*N(Settings!$B$13)+D4*N(Settings!$B$14)+E4*N(Settings!$B$15))</f>
        <v>0</v>
      </c>
      <c r="J4" s="19" t="n">
        <f aca="false">IF(A4="","",IFERROR(INDEX('Growth Targets'!$F:$F,MATCH(A4,'Growth Targets'!$A:$A,0)),0))</f>
        <v>210000</v>
      </c>
      <c r="K4" s="16" t="str">
        <f aca="false">IF(OR(A4="",J4=0,I4=0),"",I4/J4)</f>
        <v/>
      </c>
      <c r="L4" s="14"/>
    </row>
    <row r="5" customFormat="false" ht="15" hidden="false" customHeight="false" outlineLevel="0" collapsed="false">
      <c r="A5" s="22" t="n">
        <v>46419</v>
      </c>
      <c r="B5" s="19" t="n">
        <f aca="false">IF(A5="","",IFERROR(INDEX('Growth Targets'!$E:$E,MATCH(A5,'Growth Targets'!$A:$A,0)),0))</f>
        <v>42</v>
      </c>
      <c r="C5" s="15" t="n">
        <v>2</v>
      </c>
      <c r="D5" s="19" t="n">
        <f aca="false">IF(A5="","",MAX(1,ROUNDUP(B5/Settings!$B$11,0)))</f>
        <v>7</v>
      </c>
      <c r="E5" s="19" t="n">
        <f aca="false">IF(A5="","",MAX(1,ROUNDUP(B5/Settings!$B$12,0)))</f>
        <v>5</v>
      </c>
      <c r="F5" s="19" t="n">
        <f aca="false">IF(A5="","",C5+D5+E5)</f>
        <v>14</v>
      </c>
      <c r="G5" s="15"/>
      <c r="H5" s="19" t="str">
        <f aca="false">IF(OR(A5="",G5=""),"",MAX(0,F5-G5))</f>
        <v/>
      </c>
      <c r="I5" s="19" t="n">
        <f aca="false">IF(A5="","",C5*N(Settings!$B$13)+D5*N(Settings!$B$14)+E5*N(Settings!$B$15))</f>
        <v>0</v>
      </c>
      <c r="J5" s="19" t="n">
        <f aca="false">IF(A5="","",IFERROR(INDEX('Growth Targets'!$F:$F,MATCH(A5,'Growth Targets'!$A:$A,0)),0))</f>
        <v>315000</v>
      </c>
      <c r="K5" s="16" t="str">
        <f aca="false">IF(OR(A5="",J5=0,I5=0),"",I5/J5)</f>
        <v/>
      </c>
      <c r="L5" s="14"/>
    </row>
    <row r="6" customFormat="false" ht="15" hidden="false" customHeight="false" outlineLevel="0" collapsed="false">
      <c r="A6" s="22" t="n">
        <v>46447</v>
      </c>
      <c r="B6" s="19" t="n">
        <f aca="false">IF(A6="","",IFERROR(INDEX('Growth Targets'!$E:$E,MATCH(A6,'Growth Targets'!$A:$A,0)),0))</f>
        <v>55</v>
      </c>
      <c r="C6" s="15" t="n">
        <v>2</v>
      </c>
      <c r="D6" s="19" t="n">
        <f aca="false">IF(A6="","",MAX(1,ROUNDUP(B6/Settings!$B$11,0)))</f>
        <v>10</v>
      </c>
      <c r="E6" s="19" t="n">
        <f aca="false">IF(A6="","",MAX(1,ROUNDUP(B6/Settings!$B$12,0)))</f>
        <v>6</v>
      </c>
      <c r="F6" s="19" t="n">
        <f aca="false">IF(A6="","",C6+D6+E6)</f>
        <v>18</v>
      </c>
      <c r="G6" s="15"/>
      <c r="H6" s="19" t="str">
        <f aca="false">IF(OR(A6="",G6=""),"",MAX(0,F6-G6))</f>
        <v/>
      </c>
      <c r="I6" s="19" t="n">
        <f aca="false">IF(A6="","",C6*N(Settings!$B$13)+D6*N(Settings!$B$14)+E6*N(Settings!$B$15))</f>
        <v>0</v>
      </c>
      <c r="J6" s="19" t="n">
        <f aca="false">IF(A6="","",IFERROR(INDEX('Growth Targets'!$F:$F,MATCH(A6,'Growth Targets'!$A:$A,0)),0))</f>
        <v>412500</v>
      </c>
      <c r="K6" s="16" t="str">
        <f aca="false">IF(OR(A6="",J6=0,I6=0),"",I6/J6)</f>
        <v/>
      </c>
      <c r="L6" s="14"/>
    </row>
    <row r="7" customFormat="false" ht="15" hidden="false" customHeight="false" outlineLevel="0" collapsed="false">
      <c r="A7" s="22" t="n">
        <v>46478</v>
      </c>
      <c r="B7" s="19" t="n">
        <f aca="false">IF(A7="","",IFERROR(INDEX('Growth Targets'!$E:$E,MATCH(A7,'Growth Targets'!$A:$A,0)),0))</f>
        <v>75</v>
      </c>
      <c r="C7" s="15" t="n">
        <v>3</v>
      </c>
      <c r="D7" s="19" t="n">
        <f aca="false">IF(A7="","",MAX(1,ROUNDUP(B7/Settings!$B$11,0)))</f>
        <v>13</v>
      </c>
      <c r="E7" s="19" t="n">
        <f aca="false">IF(A7="","",MAX(1,ROUNDUP(B7/Settings!$B$12,0)))</f>
        <v>8</v>
      </c>
      <c r="F7" s="19" t="n">
        <f aca="false">IF(A7="","",C7+D7+E7)</f>
        <v>24</v>
      </c>
      <c r="G7" s="15"/>
      <c r="H7" s="19" t="str">
        <f aca="false">IF(OR(A7="",G7=""),"",MAX(0,F7-G7))</f>
        <v/>
      </c>
      <c r="I7" s="19" t="n">
        <f aca="false">IF(A7="","",C7*N(Settings!$B$13)+D7*N(Settings!$B$14)+E7*N(Settings!$B$15))</f>
        <v>0</v>
      </c>
      <c r="J7" s="19" t="n">
        <f aca="false">IF(A7="","",IFERROR(INDEX('Growth Targets'!$F:$F,MATCH(A7,'Growth Targets'!$A:$A,0)),0))</f>
        <v>562500</v>
      </c>
      <c r="K7" s="16" t="str">
        <f aca="false">IF(OR(A7="",J7=0,I7=0),"",I7/J7)</f>
        <v/>
      </c>
      <c r="L7" s="14"/>
    </row>
    <row r="8" customFormat="false" ht="15" hidden="false" customHeight="false" outlineLevel="0" collapsed="false">
      <c r="A8" s="22" t="n">
        <v>46508</v>
      </c>
      <c r="B8" s="19" t="n">
        <f aca="false">IF(A8="","",IFERROR(INDEX('Growth Targets'!$E:$E,MATCH(A8,'Growth Targets'!$A:$A,0)),0))</f>
        <v>93</v>
      </c>
      <c r="C8" s="15" t="n">
        <v>3</v>
      </c>
      <c r="D8" s="19" t="n">
        <f aca="false">IF(A8="","",MAX(1,ROUNDUP(B8/Settings!$B$11,0)))</f>
        <v>16</v>
      </c>
      <c r="E8" s="19" t="n">
        <f aca="false">IF(A8="","",MAX(1,ROUNDUP(B8/Settings!$B$12,0)))</f>
        <v>10</v>
      </c>
      <c r="F8" s="19" t="n">
        <f aca="false">IF(A8="","",C8+D8+E8)</f>
        <v>29</v>
      </c>
      <c r="G8" s="15"/>
      <c r="H8" s="19" t="str">
        <f aca="false">IF(OR(A8="",G8=""),"",MAX(0,F8-G8))</f>
        <v/>
      </c>
      <c r="I8" s="19" t="n">
        <f aca="false">IF(A8="","",C8*N(Settings!$B$13)+D8*N(Settings!$B$14)+E8*N(Settings!$B$15))</f>
        <v>0</v>
      </c>
      <c r="J8" s="19" t="n">
        <f aca="false">IF(A8="","",IFERROR(INDEX('Growth Targets'!$F:$F,MATCH(A8,'Growth Targets'!$A:$A,0)),0))</f>
        <v>697500</v>
      </c>
      <c r="K8" s="16" t="str">
        <f aca="false">IF(OR(A8="",J8=0,I8=0),"",I8/J8)</f>
        <v/>
      </c>
      <c r="L8" s="14"/>
    </row>
    <row r="9" customFormat="false" ht="15" hidden="false" customHeight="false" outlineLevel="0" collapsed="false">
      <c r="A9" s="22" t="n">
        <v>46539</v>
      </c>
      <c r="B9" s="19" t="n">
        <f aca="false">IF(A9="","",IFERROR(INDEX('Growth Targets'!$E:$E,MATCH(A9,'Growth Targets'!$A:$A,0)),0))</f>
        <v>110</v>
      </c>
      <c r="C9" s="15" t="n">
        <v>3</v>
      </c>
      <c r="D9" s="19" t="n">
        <f aca="false">IF(A9="","",MAX(1,ROUNDUP(B9/Settings!$B$11,0)))</f>
        <v>19</v>
      </c>
      <c r="E9" s="19" t="n">
        <f aca="false">IF(A9="","",MAX(1,ROUNDUP(B9/Settings!$B$12,0)))</f>
        <v>11</v>
      </c>
      <c r="F9" s="19" t="n">
        <f aca="false">IF(A9="","",C9+D9+E9)</f>
        <v>33</v>
      </c>
      <c r="G9" s="15"/>
      <c r="H9" s="19" t="str">
        <f aca="false">IF(OR(A9="",G9=""),"",MAX(0,F9-G9))</f>
        <v/>
      </c>
      <c r="I9" s="19" t="n">
        <f aca="false">IF(A9="","",C9*N(Settings!$B$13)+D9*N(Settings!$B$14)+E9*N(Settings!$B$15))</f>
        <v>0</v>
      </c>
      <c r="J9" s="19" t="n">
        <f aca="false">IF(A9="","",IFERROR(INDEX('Growth Targets'!$F:$F,MATCH(A9,'Growth Targets'!$A:$A,0)),0))</f>
        <v>825000</v>
      </c>
      <c r="K9" s="16" t="str">
        <f aca="false">IF(OR(A9="",J9=0,I9=0),"",I9/J9)</f>
        <v/>
      </c>
      <c r="L9" s="14"/>
    </row>
    <row r="10" customFormat="false" ht="15" hidden="false" customHeight="false" outlineLevel="0" collapsed="false">
      <c r="A10" s="22" t="n">
        <v>46569</v>
      </c>
      <c r="B10" s="19" t="n">
        <f aca="false">IF(A10="","",IFERROR(INDEX('Growth Targets'!$E:$E,MATCH(A10,'Growth Targets'!$A:$A,0)),0))</f>
        <v>125</v>
      </c>
      <c r="C10" s="15" t="n">
        <v>3</v>
      </c>
      <c r="D10" s="19" t="n">
        <f aca="false">IF(A10="","",MAX(1,ROUNDUP(B10/Settings!$B$11,0)))</f>
        <v>21</v>
      </c>
      <c r="E10" s="19" t="n">
        <f aca="false">IF(A10="","",MAX(1,ROUNDUP(B10/Settings!$B$12,0)))</f>
        <v>13</v>
      </c>
      <c r="F10" s="19" t="n">
        <f aca="false">IF(A10="","",C10+D10+E10)</f>
        <v>37</v>
      </c>
      <c r="G10" s="15"/>
      <c r="H10" s="19" t="str">
        <f aca="false">IF(OR(A10="",G10=""),"",MAX(0,F10-G10))</f>
        <v/>
      </c>
      <c r="I10" s="19" t="n">
        <f aca="false">IF(A10="","",C10*N(Settings!$B$13)+D10*N(Settings!$B$14)+E10*N(Settings!$B$15))</f>
        <v>0</v>
      </c>
      <c r="J10" s="19" t="n">
        <f aca="false">IF(A10="","",IFERROR(INDEX('Growth Targets'!$F:$F,MATCH(A10,'Growth Targets'!$A:$A,0)),0))</f>
        <v>937500</v>
      </c>
      <c r="K10" s="16" t="str">
        <f aca="false">IF(OR(A10="",J10=0,I10=0),"",I10/J10)</f>
        <v/>
      </c>
      <c r="L10" s="14"/>
    </row>
    <row r="11" customFormat="false" ht="15" hidden="false" customHeight="false" outlineLevel="0" collapsed="false">
      <c r="A11" s="22" t="n">
        <v>46600</v>
      </c>
      <c r="B11" s="19" t="n">
        <f aca="false">IF(A11="","",IFERROR(INDEX('Growth Targets'!$E:$E,MATCH(A11,'Growth Targets'!$A:$A,0)),0))</f>
        <v>147</v>
      </c>
      <c r="C11" s="15" t="n">
        <v>4</v>
      </c>
      <c r="D11" s="19" t="n">
        <f aca="false">IF(A11="","",MAX(1,ROUNDUP(B11/Settings!$B$11,0)))</f>
        <v>25</v>
      </c>
      <c r="E11" s="19" t="n">
        <f aca="false">IF(A11="","",MAX(1,ROUNDUP(B11/Settings!$B$12,0)))</f>
        <v>15</v>
      </c>
      <c r="F11" s="19" t="n">
        <f aca="false">IF(A11="","",C11+D11+E11)</f>
        <v>44</v>
      </c>
      <c r="G11" s="15"/>
      <c r="H11" s="19" t="str">
        <f aca="false">IF(OR(A11="",G11=""),"",MAX(0,F11-G11))</f>
        <v/>
      </c>
      <c r="I11" s="19" t="n">
        <f aca="false">IF(A11="","",C11*N(Settings!$B$13)+D11*N(Settings!$B$14)+E11*N(Settings!$B$15))</f>
        <v>0</v>
      </c>
      <c r="J11" s="19" t="n">
        <f aca="false">IF(A11="","",IFERROR(INDEX('Growth Targets'!$F:$F,MATCH(A11,'Growth Targets'!$A:$A,0)),0))</f>
        <v>1102500</v>
      </c>
      <c r="K11" s="16" t="str">
        <f aca="false">IF(OR(A11="",J11=0,I11=0),"",I11/J11)</f>
        <v/>
      </c>
      <c r="L11" s="14"/>
    </row>
    <row r="12" customFormat="false" ht="15" hidden="false" customHeight="false" outlineLevel="0" collapsed="false">
      <c r="A12" s="22" t="n">
        <v>46631</v>
      </c>
      <c r="B12" s="19" t="n">
        <f aca="false">IF(A12="","",IFERROR(INDEX('Growth Targets'!$E:$E,MATCH(A12,'Growth Targets'!$A:$A,0)),0))</f>
        <v>167</v>
      </c>
      <c r="C12" s="15" t="n">
        <v>4</v>
      </c>
      <c r="D12" s="19" t="n">
        <f aca="false">IF(A12="","",MAX(1,ROUNDUP(B12/Settings!$B$11,0)))</f>
        <v>28</v>
      </c>
      <c r="E12" s="19" t="n">
        <f aca="false">IF(A12="","",MAX(1,ROUNDUP(B12/Settings!$B$12,0)))</f>
        <v>17</v>
      </c>
      <c r="F12" s="19" t="n">
        <f aca="false">IF(A12="","",C12+D12+E12)</f>
        <v>49</v>
      </c>
      <c r="G12" s="15"/>
      <c r="H12" s="19" t="str">
        <f aca="false">IF(OR(A12="",G12=""),"",MAX(0,F12-G12))</f>
        <v/>
      </c>
      <c r="I12" s="19" t="n">
        <f aca="false">IF(A12="","",C12*N(Settings!$B$13)+D12*N(Settings!$B$14)+E12*N(Settings!$B$15))</f>
        <v>0</v>
      </c>
      <c r="J12" s="19" t="n">
        <f aca="false">IF(A12="","",IFERROR(INDEX('Growth Targets'!$F:$F,MATCH(A12,'Growth Targets'!$A:$A,0)),0))</f>
        <v>1252500</v>
      </c>
      <c r="K12" s="16" t="str">
        <f aca="false">IF(OR(A12="",J12=0,I12=0),"",I12/J12)</f>
        <v/>
      </c>
      <c r="L12" s="14"/>
    </row>
    <row r="13" customFormat="false" ht="15" hidden="false" customHeight="false" outlineLevel="0" collapsed="false">
      <c r="A13" s="22" t="n">
        <v>46661</v>
      </c>
      <c r="B13" s="19" t="n">
        <f aca="false">IF(A13="","",IFERROR(INDEX('Growth Targets'!$E:$E,MATCH(A13,'Growth Targets'!$A:$A,0)),0))</f>
        <v>185</v>
      </c>
      <c r="C13" s="15" t="n">
        <v>4</v>
      </c>
      <c r="D13" s="19" t="n">
        <f aca="false">IF(A13="","",MAX(1,ROUNDUP(B13/Settings!$B$11,0)))</f>
        <v>31</v>
      </c>
      <c r="E13" s="19" t="n">
        <f aca="false">IF(A13="","",MAX(1,ROUNDUP(B13/Settings!$B$12,0)))</f>
        <v>19</v>
      </c>
      <c r="F13" s="19" t="n">
        <f aca="false">IF(A13="","",C13+D13+E13)</f>
        <v>54</v>
      </c>
      <c r="G13" s="15"/>
      <c r="H13" s="19" t="str">
        <f aca="false">IF(OR(A13="",G13=""),"",MAX(0,F13-G13))</f>
        <v/>
      </c>
      <c r="I13" s="19" t="n">
        <f aca="false">IF(A13="","",C13*N(Settings!$B$13)+D13*N(Settings!$B$14)+E13*N(Settings!$B$15))</f>
        <v>0</v>
      </c>
      <c r="J13" s="19" t="n">
        <f aca="false">IF(A13="","",IFERROR(INDEX('Growth Targets'!$F:$F,MATCH(A13,'Growth Targets'!$A:$A,0)),0))</f>
        <v>1387500</v>
      </c>
      <c r="K13" s="16" t="str">
        <f aca="false">IF(OR(A13="",J13=0,I13=0),"",I13/J13)</f>
        <v/>
      </c>
      <c r="L13" s="14"/>
    </row>
  </sheetData>
  <autoFilter ref="A1:L13"/>
  <conditionalFormatting sqref="H2:H13">
    <cfRule type="cellIs" priority="2" operator="greater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30"/>
  </cols>
  <sheetData>
    <row r="1" customFormat="false" ht="33.75" hidden="false" customHeight="true" outlineLevel="0" collapsed="false">
      <c r="A1" s="7" t="s">
        <v>97</v>
      </c>
      <c r="B1" s="7" t="s">
        <v>98</v>
      </c>
      <c r="C1" s="7" t="s">
        <v>99</v>
      </c>
      <c r="D1" s="7" t="s">
        <v>100</v>
      </c>
      <c r="E1" s="7" t="s">
        <v>101</v>
      </c>
      <c r="F1" s="7" t="s">
        <v>63</v>
      </c>
      <c r="G1" s="7" t="s">
        <v>37</v>
      </c>
    </row>
    <row r="2" customFormat="false" ht="15" hidden="false" customHeight="false" outlineLevel="0" collapsed="false">
      <c r="A2" s="14" t="s">
        <v>102</v>
      </c>
      <c r="B2" s="19" t="n">
        <f aca="false">Settings!$B$11+1</f>
        <v>7</v>
      </c>
      <c r="C2" s="25" t="n">
        <f aca="false">IF(B2="","",IF(COUNTIFS('Growth Targets'!$E$2:$E$13,"&gt;="&amp;B2)=0,"Not in 12-month plan",_xlfn.MINIFS('Growth Targets'!$A$2:$A$13,'Growth Targets'!$E$2:$E$13,"&gt;="&amp;B2)))</f>
        <v>46357</v>
      </c>
      <c r="D2" s="14" t="s">
        <v>103</v>
      </c>
      <c r="E2" s="14" t="s">
        <v>104</v>
      </c>
      <c r="F2" s="14" t="s">
        <v>105</v>
      </c>
      <c r="G2" s="14"/>
    </row>
    <row r="3" customFormat="false" ht="15" hidden="false" customHeight="false" outlineLevel="0" collapsed="false">
      <c r="A3" s="14" t="s">
        <v>106</v>
      </c>
      <c r="B3" s="19" t="n">
        <f aca="false">Settings!$B$12+1</f>
        <v>11</v>
      </c>
      <c r="C3" s="25" t="n">
        <f aca="false">IF(B3="","",IF(COUNTIFS('Growth Targets'!$E$2:$E$13,"&gt;="&amp;B3)=0,"Not in 12-month plan",_xlfn.MINIFS('Growth Targets'!$A$2:$A$13,'Growth Targets'!$E$2:$E$13,"&gt;="&amp;B3)))</f>
        <v>46357</v>
      </c>
      <c r="D3" s="14" t="s">
        <v>107</v>
      </c>
      <c r="E3" s="14" t="s">
        <v>104</v>
      </c>
      <c r="F3" s="14" t="s">
        <v>105</v>
      </c>
      <c r="G3" s="14"/>
    </row>
    <row r="4" customFormat="false" ht="15" hidden="false" customHeight="false" outlineLevel="0" collapsed="false">
      <c r="A4" s="14" t="s">
        <v>108</v>
      </c>
      <c r="B4" s="19" t="n">
        <f aca="false">Settings!$B$11*2+1</f>
        <v>13</v>
      </c>
      <c r="C4" s="25" t="n">
        <f aca="false">IF(B4="","",IF(COUNTIFS('Growth Targets'!$E$2:$E$13,"&gt;="&amp;B4)=0,"Not in 12-month plan",_xlfn.MINIFS('Growth Targets'!$A$2:$A$13,'Growth Targets'!$E$2:$E$13,"&gt;="&amp;B4)))</f>
        <v>46388</v>
      </c>
      <c r="D4" s="14" t="s">
        <v>109</v>
      </c>
      <c r="E4" s="14" t="s">
        <v>104</v>
      </c>
      <c r="F4" s="14" t="s">
        <v>105</v>
      </c>
      <c r="G4" s="14"/>
    </row>
    <row r="5" customFormat="false" ht="15" hidden="false" customHeight="false" outlineLevel="0" collapsed="false">
      <c r="A5" s="14" t="s">
        <v>110</v>
      </c>
      <c r="B5" s="19" t="n">
        <f aca="false">Settings!$B$11*3</f>
        <v>18</v>
      </c>
      <c r="C5" s="25" t="n">
        <f aca="false">IF(B5="","",IF(COUNTIFS('Growth Targets'!$E$2:$E$13,"&gt;="&amp;B5)=0,"Not in 12-month plan",_xlfn.MINIFS('Growth Targets'!$A$2:$A$13,'Growth Targets'!$E$2:$E$13,"&gt;="&amp;B5)))</f>
        <v>46388</v>
      </c>
      <c r="D5" s="14" t="s">
        <v>111</v>
      </c>
      <c r="E5" s="14" t="s">
        <v>104</v>
      </c>
      <c r="F5" s="14" t="s">
        <v>105</v>
      </c>
      <c r="G5" s="14"/>
    </row>
    <row r="6" customFormat="false" ht="15" hidden="false" customHeight="false" outlineLevel="0" collapsed="false">
      <c r="A6" s="14" t="s">
        <v>112</v>
      </c>
      <c r="B6" s="15"/>
      <c r="C6" s="25" t="str">
        <f aca="false">IF(B6="","",IF(COUNTIFS('Growth Targets'!$E$2:$E$13,"&gt;="&amp;B6)=0,"Not in 12-month plan",_xlfn.MINIFS('Growth Targets'!$A$2:$A$13,'Growth Targets'!$E$2:$E$13,"&gt;="&amp;B6)))</f>
        <v/>
      </c>
      <c r="D6" s="14" t="s">
        <v>113</v>
      </c>
      <c r="E6" s="14" t="s">
        <v>104</v>
      </c>
      <c r="F6" s="14" t="s">
        <v>105</v>
      </c>
      <c r="G6" s="14"/>
    </row>
    <row r="7" customFormat="false" ht="15" hidden="false" customHeight="false" outlineLevel="0" collapsed="false">
      <c r="A7" s="14" t="s">
        <v>114</v>
      </c>
      <c r="B7" s="15"/>
      <c r="C7" s="25" t="str">
        <f aca="false">IF(B7="","",IF(COUNTIFS('Growth Targets'!$E$2:$E$13,"&gt;="&amp;B7)=0,"Not in 12-month plan",_xlfn.MINIFS('Growth Targets'!$A$2:$A$13,'Growth Targets'!$E$2:$E$13,"&gt;="&amp;B7)))</f>
        <v/>
      </c>
      <c r="D7" s="14" t="s">
        <v>115</v>
      </c>
      <c r="E7" s="14" t="s">
        <v>104</v>
      </c>
      <c r="F7" s="14" t="s">
        <v>105</v>
      </c>
      <c r="G7" s="14"/>
    </row>
    <row r="8" customFormat="false" ht="15" hidden="false" customHeight="false" outlineLevel="0" collapsed="false">
      <c r="A8" s="14"/>
      <c r="B8" s="15"/>
      <c r="C8" s="25" t="str">
        <f aca="false">IF(B8="","",IF(COUNTIFS('Growth Targets'!$E$2:$E$13,"&gt;="&amp;B8)=0,"Not in 12-month plan",_xlfn.MINIFS('Growth Targets'!$A$2:$A$13,'Growth Targets'!$E$2:$E$13,"&gt;="&amp;B8)))</f>
        <v/>
      </c>
      <c r="D8" s="14"/>
      <c r="E8" s="14"/>
      <c r="F8" s="14"/>
      <c r="G8" s="14"/>
    </row>
    <row r="9" customFormat="false" ht="15" hidden="false" customHeight="false" outlineLevel="0" collapsed="false">
      <c r="A9" s="14"/>
      <c r="B9" s="15"/>
      <c r="C9" s="25" t="str">
        <f aca="false">IF(B9="","",IF(COUNTIFS('Growth Targets'!$E$2:$E$13,"&gt;="&amp;B9)=0,"Not in 12-month plan",_xlfn.MINIFS('Growth Targets'!$A$2:$A$13,'Growth Targets'!$E$2:$E$13,"&gt;="&amp;B9)))</f>
        <v/>
      </c>
      <c r="D9" s="14"/>
      <c r="E9" s="14"/>
      <c r="F9" s="14"/>
      <c r="G9" s="14"/>
    </row>
    <row r="10" customFormat="false" ht="15" hidden="false" customHeight="false" outlineLevel="0" collapsed="false">
      <c r="A10" s="14"/>
      <c r="B10" s="15"/>
      <c r="C10" s="25" t="str">
        <f aca="false">IF(B10="","",IF(COUNTIFS('Growth Targets'!$E$2:$E$13,"&gt;="&amp;B10)=0,"Not in 12-month plan",_xlfn.MINIFS('Growth Targets'!$A$2:$A$13,'Growth Targets'!$E$2:$E$13,"&gt;="&amp;B10)))</f>
        <v/>
      </c>
      <c r="D10" s="14"/>
      <c r="E10" s="14"/>
      <c r="F10" s="14"/>
      <c r="G10" s="14"/>
    </row>
    <row r="11" customFormat="false" ht="15" hidden="false" customHeight="false" outlineLevel="0" collapsed="false">
      <c r="A11" s="14"/>
      <c r="B11" s="15"/>
      <c r="C11" s="25" t="str">
        <f aca="false">IF(B11="","",IF(COUNTIFS('Growth Targets'!$E$2:$E$13,"&gt;="&amp;B11)=0,"Not in 12-month plan",_xlfn.MINIFS('Growth Targets'!$A$2:$A$13,'Growth Targets'!$E$2:$E$13,"&gt;="&amp;B11)))</f>
        <v/>
      </c>
      <c r="D11" s="14"/>
      <c r="E11" s="14"/>
      <c r="F11" s="14"/>
      <c r="G11" s="14"/>
    </row>
    <row r="12" customFormat="false" ht="15" hidden="false" customHeight="false" outlineLevel="0" collapsed="false">
      <c r="A12" s="14"/>
      <c r="B12" s="15"/>
      <c r="C12" s="25" t="str">
        <f aca="false">IF(B12="","",IF(COUNTIFS('Growth Targets'!$E$2:$E$13,"&gt;="&amp;B12)=0,"Not in 12-month plan",_xlfn.MINIFS('Growth Targets'!$A$2:$A$13,'Growth Targets'!$E$2:$E$13,"&gt;="&amp;B12)))</f>
        <v/>
      </c>
      <c r="D12" s="14"/>
      <c r="E12" s="14"/>
      <c r="F12" s="14"/>
      <c r="G12" s="14"/>
    </row>
    <row r="13" customFormat="false" ht="15" hidden="false" customHeight="false" outlineLevel="0" collapsed="false">
      <c r="A13" s="14"/>
      <c r="B13" s="15"/>
      <c r="C13" s="25" t="str">
        <f aca="false">IF(B13="","",IF(COUNTIFS('Growth Targets'!$E$2:$E$13,"&gt;="&amp;B13)=0,"Not in 12-month plan",_xlfn.MINIFS('Growth Targets'!$A$2:$A$13,'Growth Targets'!$E$2:$E$13,"&gt;="&amp;B13)))</f>
        <v/>
      </c>
      <c r="D13" s="14"/>
      <c r="E13" s="14"/>
      <c r="F13" s="14"/>
      <c r="G13" s="14"/>
    </row>
    <row r="14" customFormat="false" ht="15" hidden="false" customHeight="false" outlineLevel="0" collapsed="false">
      <c r="A14" s="14"/>
      <c r="B14" s="15"/>
      <c r="C14" s="25" t="str">
        <f aca="false">IF(B14="","",IF(COUNTIFS('Growth Targets'!$E$2:$E$13,"&gt;="&amp;B14)=0,"Not in 12-month plan",_xlfn.MINIFS('Growth Targets'!$A$2:$A$13,'Growth Targets'!$E$2:$E$13,"&gt;="&amp;B14)))</f>
        <v/>
      </c>
      <c r="D14" s="14"/>
      <c r="E14" s="14"/>
      <c r="F14" s="14"/>
      <c r="G14" s="14"/>
    </row>
    <row r="15" customFormat="false" ht="15" hidden="false" customHeight="false" outlineLevel="0" collapsed="false">
      <c r="A15" s="14"/>
      <c r="B15" s="15"/>
      <c r="C15" s="25" t="str">
        <f aca="false">IF(B15="","",IF(COUNTIFS('Growth Targets'!$E$2:$E$13,"&gt;="&amp;B15)=0,"Not in 12-month plan",_xlfn.MINIFS('Growth Targets'!$A$2:$A$13,'Growth Targets'!$E$2:$E$13,"&gt;="&amp;B15)))</f>
        <v/>
      </c>
      <c r="D15" s="14"/>
      <c r="E15" s="14"/>
      <c r="F15" s="14"/>
      <c r="G15" s="14"/>
    </row>
    <row r="16" customFormat="false" ht="15" hidden="false" customHeight="false" outlineLevel="0" collapsed="false">
      <c r="A16" s="14"/>
      <c r="B16" s="15"/>
      <c r="C16" s="25" t="str">
        <f aca="false">IF(B16="","",IF(COUNTIFS('Growth Targets'!$E$2:$E$13,"&gt;="&amp;B16)=0,"Not in 12-month plan",_xlfn.MINIFS('Growth Targets'!$A$2:$A$13,'Growth Targets'!$E$2:$E$13,"&gt;="&amp;B16)))</f>
        <v/>
      </c>
      <c r="D16" s="14"/>
      <c r="E16" s="14"/>
      <c r="F16" s="14"/>
      <c r="G16" s="14"/>
    </row>
    <row r="17" customFormat="false" ht="15" hidden="false" customHeight="false" outlineLevel="0" collapsed="false">
      <c r="A17" s="14"/>
      <c r="B17" s="15"/>
      <c r="C17" s="25" t="str">
        <f aca="false">IF(B17="","",IF(COUNTIFS('Growth Targets'!$E$2:$E$13,"&gt;="&amp;B17)=0,"Not in 12-month plan",_xlfn.MINIFS('Growth Targets'!$A$2:$A$13,'Growth Targets'!$E$2:$E$13,"&gt;="&amp;B17)))</f>
        <v/>
      </c>
      <c r="D17" s="14"/>
      <c r="E17" s="14"/>
      <c r="F17" s="14"/>
      <c r="G17" s="14"/>
    </row>
    <row r="18" customFormat="false" ht="15" hidden="false" customHeight="false" outlineLevel="0" collapsed="false">
      <c r="A18" s="14"/>
      <c r="B18" s="15"/>
      <c r="C18" s="25" t="str">
        <f aca="false">IF(B18="","",IF(COUNTIFS('Growth Targets'!$E$2:$E$13,"&gt;="&amp;B18)=0,"Not in 12-month plan",_xlfn.MINIFS('Growth Targets'!$A$2:$A$13,'Growth Targets'!$E$2:$E$13,"&gt;="&amp;B18)))</f>
        <v/>
      </c>
      <c r="D18" s="14"/>
      <c r="E18" s="14"/>
      <c r="F18" s="14"/>
      <c r="G18" s="14"/>
    </row>
    <row r="19" customFormat="false" ht="15" hidden="false" customHeight="false" outlineLevel="0" collapsed="false">
      <c r="A19" s="14"/>
      <c r="B19" s="15"/>
      <c r="C19" s="25" t="str">
        <f aca="false">IF(B19="","",IF(COUNTIFS('Growth Targets'!$E$2:$E$13,"&gt;="&amp;B19)=0,"Not in 12-month plan",_xlfn.MINIFS('Growth Targets'!$A$2:$A$13,'Growth Targets'!$E$2:$E$13,"&gt;="&amp;B19)))</f>
        <v/>
      </c>
      <c r="D19" s="14"/>
      <c r="E19" s="14"/>
      <c r="F19" s="14"/>
      <c r="G19" s="14"/>
    </row>
    <row r="20" customFormat="false" ht="15" hidden="false" customHeight="false" outlineLevel="0" collapsed="false">
      <c r="A20" s="14"/>
      <c r="B20" s="15"/>
      <c r="C20" s="25" t="str">
        <f aca="false">IF(B20="","",IF(COUNTIFS('Growth Targets'!$E$2:$E$13,"&gt;="&amp;B20)=0,"Not in 12-month plan",_xlfn.MINIFS('Growth Targets'!$A$2:$A$13,'Growth Targets'!$E$2:$E$13,"&gt;="&amp;B20)))</f>
        <v/>
      </c>
      <c r="D20" s="14"/>
      <c r="E20" s="14"/>
      <c r="F20" s="14"/>
      <c r="G20" s="14"/>
    </row>
    <row r="21" customFormat="false" ht="15" hidden="false" customHeight="false" outlineLevel="0" collapsed="false">
      <c r="A21" s="14"/>
      <c r="B21" s="15"/>
      <c r="C21" s="25" t="str">
        <f aca="false">IF(B21="","",IF(COUNTIFS('Growth Targets'!$E$2:$E$13,"&gt;="&amp;B21)=0,"Not in 12-month plan",_xlfn.MINIFS('Growth Targets'!$A$2:$A$13,'Growth Targets'!$E$2:$E$13,"&gt;="&amp;B21)))</f>
        <v/>
      </c>
      <c r="D21" s="14"/>
      <c r="E21" s="14"/>
      <c r="F21" s="14"/>
      <c r="G21" s="14"/>
    </row>
  </sheetData>
  <autoFilter ref="A1:G21"/>
  <dataValidations count="1">
    <dataValidation allowBlank="true" errorStyle="stop" operator="between" showDropDown="false" showErrorMessage="false" showInputMessage="false" sqref="F2:F21" type="list">
      <formula1>Lists!$G$2:$G$4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26" t="s">
        <v>116</v>
      </c>
      <c r="B1" s="26" t="s">
        <v>117</v>
      </c>
      <c r="C1" s="26" t="s">
        <v>118</v>
      </c>
    </row>
    <row r="2" customFormat="false" ht="15" hidden="false" customHeight="false" outlineLevel="0" collapsed="false">
      <c r="A2" s="27" t="s">
        <v>119</v>
      </c>
      <c r="B2" s="28" t="n">
        <v>100</v>
      </c>
      <c r="C2" s="6" t="s">
        <v>104</v>
      </c>
    </row>
    <row r="3" customFormat="false" ht="15" hidden="false" customHeight="false" outlineLevel="0" collapsed="false">
      <c r="A3" s="27" t="s">
        <v>120</v>
      </c>
      <c r="B3" s="28" t="n">
        <v>4</v>
      </c>
      <c r="C3" s="6" t="s">
        <v>104</v>
      </c>
    </row>
    <row r="4" customFormat="false" ht="15" hidden="false" customHeight="false" outlineLevel="0" collapsed="false">
      <c r="A4" s="27" t="s">
        <v>121</v>
      </c>
      <c r="B4" s="28" t="n">
        <v>2</v>
      </c>
      <c r="C4" s="6" t="s">
        <v>104</v>
      </c>
    </row>
    <row r="5" customFormat="false" ht="15" hidden="false" customHeight="false" outlineLevel="0" collapsed="false">
      <c r="A5" s="27" t="s">
        <v>122</v>
      </c>
      <c r="B5" s="28" t="n">
        <v>2</v>
      </c>
      <c r="C5" s="6" t="s">
        <v>104</v>
      </c>
    </row>
    <row r="6" customFormat="false" ht="15" hidden="false" customHeight="false" outlineLevel="0" collapsed="false">
      <c r="A6" s="27" t="s">
        <v>123</v>
      </c>
      <c r="B6" s="28" t="n">
        <v>6</v>
      </c>
      <c r="C6" s="6" t="s">
        <v>124</v>
      </c>
    </row>
    <row r="7" customFormat="false" ht="15" hidden="false" customHeight="false" outlineLevel="0" collapsed="false">
      <c r="A7" s="27" t="s">
        <v>125</v>
      </c>
      <c r="B7" s="29" t="n">
        <v>4.33</v>
      </c>
      <c r="C7" s="6" t="s">
        <v>126</v>
      </c>
    </row>
    <row r="8" customFormat="false" ht="15" hidden="false" customHeight="false" outlineLevel="0" collapsed="false">
      <c r="A8" s="27" t="s">
        <v>127</v>
      </c>
      <c r="B8" s="28" t="n">
        <v>0</v>
      </c>
      <c r="C8" s="6" t="s">
        <v>128</v>
      </c>
    </row>
    <row r="9" customFormat="false" ht="15" hidden="false" customHeight="false" outlineLevel="0" collapsed="false">
      <c r="A9" s="27" t="s">
        <v>129</v>
      </c>
      <c r="B9" s="30" t="n">
        <v>0.1</v>
      </c>
      <c r="C9" s="6" t="s">
        <v>130</v>
      </c>
    </row>
    <row r="10" customFormat="false" ht="15" hidden="false" customHeight="false" outlineLevel="0" collapsed="false">
      <c r="A10" s="27" t="s">
        <v>131</v>
      </c>
      <c r="B10" s="31" t="n">
        <f aca="false">AVERAGE(B21:B23)</f>
        <v>7500</v>
      </c>
      <c r="C10" s="6" t="s">
        <v>132</v>
      </c>
    </row>
    <row r="11" customFormat="false" ht="15" hidden="false" customHeight="false" outlineLevel="0" collapsed="false">
      <c r="A11" s="27" t="s">
        <v>133</v>
      </c>
      <c r="B11" s="28" t="n">
        <v>6</v>
      </c>
      <c r="C11" s="6" t="s">
        <v>134</v>
      </c>
    </row>
    <row r="12" customFormat="false" ht="15" hidden="false" customHeight="false" outlineLevel="0" collapsed="false">
      <c r="A12" s="27" t="s">
        <v>135</v>
      </c>
      <c r="B12" s="28" t="n">
        <v>10</v>
      </c>
      <c r="C12" s="6" t="s">
        <v>136</v>
      </c>
    </row>
    <row r="13" customFormat="false" ht="15" hidden="false" customHeight="false" outlineLevel="0" collapsed="false">
      <c r="A13" s="27" t="s">
        <v>137</v>
      </c>
      <c r="B13" s="28"/>
      <c r="C13" s="6" t="s">
        <v>138</v>
      </c>
    </row>
    <row r="14" customFormat="false" ht="15" hidden="false" customHeight="false" outlineLevel="0" collapsed="false">
      <c r="A14" s="27" t="s">
        <v>139</v>
      </c>
      <c r="B14" s="28"/>
      <c r="C14" s="6" t="s">
        <v>140</v>
      </c>
    </row>
    <row r="15" customFormat="false" ht="15" hidden="false" customHeight="false" outlineLevel="0" collapsed="false">
      <c r="A15" s="27" t="s">
        <v>141</v>
      </c>
      <c r="B15" s="28"/>
      <c r="C15" s="6" t="s">
        <v>140</v>
      </c>
    </row>
    <row r="16" customFormat="false" ht="15" hidden="false" customHeight="false" outlineLevel="0" collapsed="false">
      <c r="A16" s="27" t="s">
        <v>142</v>
      </c>
      <c r="B16" s="30" t="n">
        <v>0.05</v>
      </c>
      <c r="C16" s="6" t="s">
        <v>143</v>
      </c>
    </row>
    <row r="17" customFormat="false" ht="15" hidden="false" customHeight="false" outlineLevel="0" collapsed="false">
      <c r="A17" s="27" t="s">
        <v>144</v>
      </c>
      <c r="B17" s="28" t="n">
        <v>5</v>
      </c>
      <c r="C17" s="6" t="s">
        <v>145</v>
      </c>
    </row>
    <row r="20" customFormat="false" ht="15" hidden="false" customHeight="false" outlineLevel="0" collapsed="false">
      <c r="A20" s="26" t="s">
        <v>146</v>
      </c>
      <c r="B20" s="26" t="s">
        <v>147</v>
      </c>
    </row>
    <row r="21" customFormat="false" ht="15" hidden="false" customHeight="false" outlineLevel="0" collapsed="false">
      <c r="A21" s="27" t="s">
        <v>148</v>
      </c>
      <c r="B21" s="28" t="n">
        <v>5000</v>
      </c>
    </row>
    <row r="22" customFormat="false" ht="15" hidden="false" customHeight="false" outlineLevel="0" collapsed="false">
      <c r="A22" s="27" t="s">
        <v>67</v>
      </c>
      <c r="B22" s="28" t="n">
        <v>7500</v>
      </c>
    </row>
    <row r="23" customFormat="false" ht="15" hidden="false" customHeight="false" outlineLevel="0" collapsed="false">
      <c r="A23" s="27" t="s">
        <v>149</v>
      </c>
      <c r="B23" s="28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4"/>
  </cols>
  <sheetData>
    <row r="1" customFormat="false" ht="15" hidden="false" customHeight="false" outlineLevel="0" collapsed="false">
      <c r="A1" s="26" t="s">
        <v>150</v>
      </c>
      <c r="B1" s="26" t="s">
        <v>151</v>
      </c>
      <c r="C1" s="26" t="s">
        <v>58</v>
      </c>
      <c r="D1" s="26" t="s">
        <v>152</v>
      </c>
      <c r="E1" s="26" t="s">
        <v>45</v>
      </c>
      <c r="F1" s="26" t="s">
        <v>46</v>
      </c>
      <c r="G1" s="26" t="s">
        <v>153</v>
      </c>
    </row>
    <row r="2" customFormat="false" ht="15" hidden="false" customHeight="false" outlineLevel="0" collapsed="false">
      <c r="A2" s="27" t="s">
        <v>27</v>
      </c>
      <c r="B2" s="27" t="s">
        <v>154</v>
      </c>
      <c r="C2" s="27" t="s">
        <v>148</v>
      </c>
      <c r="D2" s="27" t="s">
        <v>51</v>
      </c>
      <c r="E2" s="27" t="s">
        <v>155</v>
      </c>
      <c r="F2" s="27" t="s">
        <v>53</v>
      </c>
      <c r="G2" s="27" t="s">
        <v>105</v>
      </c>
    </row>
    <row r="3" customFormat="false" ht="15" hidden="false" customHeight="false" outlineLevel="0" collapsed="false">
      <c r="A3" s="27" t="s">
        <v>156</v>
      </c>
      <c r="B3" s="27" t="s">
        <v>157</v>
      </c>
      <c r="C3" s="27" t="s">
        <v>67</v>
      </c>
      <c r="D3" s="27" t="s">
        <v>69</v>
      </c>
      <c r="E3" s="27" t="s">
        <v>52</v>
      </c>
      <c r="F3" s="27" t="s">
        <v>158</v>
      </c>
      <c r="G3" s="27" t="s">
        <v>159</v>
      </c>
    </row>
    <row r="4" customFormat="false" ht="15" hidden="false" customHeight="false" outlineLevel="0" collapsed="false">
      <c r="A4" s="27" t="s">
        <v>160</v>
      </c>
      <c r="B4" s="27" t="s">
        <v>161</v>
      </c>
      <c r="C4" s="27" t="s">
        <v>149</v>
      </c>
      <c r="E4" s="27" t="s">
        <v>162</v>
      </c>
      <c r="G4" s="27" t="s">
        <v>163</v>
      </c>
    </row>
    <row r="5" customFormat="false" ht="15" hidden="false" customHeight="false" outlineLevel="0" collapsed="false">
      <c r="B5" s="27" t="s">
        <v>164</v>
      </c>
      <c r="C5" s="27" t="s">
        <v>165</v>
      </c>
      <c r="E5" s="27" t="s">
        <v>166</v>
      </c>
    </row>
    <row r="6" customFormat="false" ht="15" hidden="false" customHeight="false" outlineLevel="0" collapsed="false">
      <c r="B6" s="27" t="s">
        <v>48</v>
      </c>
      <c r="C6" s="27" t="s">
        <v>167</v>
      </c>
    </row>
    <row r="7" customFormat="false" ht="15" hidden="false" customHeight="false" outlineLevel="0" collapsed="false">
      <c r="B7" s="27" t="s">
        <v>168</v>
      </c>
    </row>
    <row r="8" customFormat="false" ht="15" hidden="false" customHeight="false" outlineLevel="0" collapsed="false">
      <c r="B8" s="27" t="s">
        <v>169</v>
      </c>
    </row>
    <row r="9" customFormat="false" ht="15" hidden="false" customHeight="false" outlineLevel="0" collapsed="false">
      <c r="B9" s="27" t="s">
        <v>170</v>
      </c>
    </row>
    <row r="10" customFormat="false" ht="15" hidden="false" customHeight="false" outlineLevel="0" collapsed="false">
      <c r="B10" s="27" t="s">
        <v>171</v>
      </c>
    </row>
    <row r="11" customFormat="false" ht="15" hidden="false" customHeight="false" outlineLevel="0" collapsed="false">
      <c r="B11" s="27" t="s">
        <v>172</v>
      </c>
    </row>
    <row r="12" customFormat="false" ht="15" hidden="false" customHeight="false" outlineLevel="0" collapsed="false">
      <c r="B12" s="27" t="s">
        <v>173</v>
      </c>
    </row>
    <row r="13" customFormat="false" ht="15" hidden="false" customHeight="false" outlineLevel="0" collapsed="false">
      <c r="B13" s="27" t="s">
        <v>174</v>
      </c>
    </row>
    <row r="14" customFormat="false" ht="15" hidden="false" customHeight="false" outlineLevel="0" collapsed="false">
      <c r="B14" s="2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2026-10-26T19:14:50Z</dcterms:created>
  <dc:creator>openpyxl</dc:creator>
  <dc:description/>
  <dc:language>en-US</dc:language>
  <cp:lastModifiedBy/>
  <dcterms:modified xsi:type="dcterms:W3CDTF">2026-10-26T19:14:51Z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