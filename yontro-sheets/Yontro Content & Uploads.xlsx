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comments5.xml" ContentType="application/vnd.openxmlformats-officedocument.spreadsheetml.comments+xml"/>
  <Override PartName="/xl/comments4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4.vml" ContentType="application/vnd.openxmlformats-officedocument.vmlDrawing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5.vml" ContentType="application/vnd.openxmlformats-officedocument.vmlDrawing"/>
  <Override PartName="/xl/drawings/drawing4.xml" ContentType="application/vnd.openxmlformats-officedocument.drawing+xml"/>
  <Override PartName="/xl/drawings/vmlDrawing6.vml" ContentType="application/vnd.openxmlformats-officedocument.vmlDrawing"/>
  <Override PartName="/xl/drawings/drawing5.xml" ContentType="application/vnd.openxmlformats-officedocument.drawing+xml"/>
  <Override PartName="/xl/drawings/vmlDrawing7.vml" ContentType="application/vnd.openxmlformats-officedocument.vmlDrawing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comments6.xml" ContentType="application/vnd.openxmlformats-officedocument.spreadsheetml.comments+xml"/>
  <Override PartName="/xl/styles.xml" ContentType="application/vnd.openxmlformats-officedocument.spreadsheetml.styles+xml"/>
  <Override PartName="/xl/comments3.xml" ContentType="application/vnd.openxmlformats-officedocument.spreadsheetml.comments+xml"/>
  <Override PartName="/xl/comments8.xml" ContentType="application/vnd.openxmlformats-officedocument.spreadsheetml.comments+xml"/>
  <Override PartName="/xl/theme/theme1.xml" ContentType="application/vnd.openxmlformats-officedocument.theme+xml"/>
  <Override PartName="/xl/comments7.xml" ContentType="application/vnd.openxmlformats-officedocument.spreadsheetml.comments+xml"/>
  <Override PartName="/xl/workbook.xml" ContentType="application/vnd.openxmlformats-officedocument.spreadsheetml.sheet.main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alendar" sheetId="2" state="visible" r:id="rId4"/>
    <sheet name="Uploads" sheetId="3" state="visible" r:id="rId5"/>
    <sheet name="AB Tests" sheetId="4" state="visible" r:id="rId6"/>
    <sheet name="Constants" sheetId="5" state="visible" r:id="rId7"/>
    <sheet name="Page KPIs" sheetId="6" state="visible" r:id="rId8"/>
    <sheet name="Team KPIs" sheetId="7" state="visible" r:id="rId9"/>
    <sheet name="Variables" sheetId="8" state="visible" r:id="rId10"/>
  </sheets>
  <definedNames>
    <definedName function="false" hidden="true" localSheetId="3" name="_xlnm._FilterDatabase" vbProcedure="false">'AB Tests'!$A$1:$U$401</definedName>
    <definedName function="false" hidden="true" localSheetId="1" name="_xlnm._FilterDatabase" vbProcedure="false">Calendar!$A$1:$K$128</definedName>
    <definedName function="false" hidden="true" localSheetId="4" name="_xlnm._FilterDatabase" vbProcedure="false">Constants!$A$1:$K$151</definedName>
    <definedName function="false" hidden="true" localSheetId="5" name="_xlnm._FilterDatabase" vbProcedure="false">'Page KPIs'!$A$1:$N$61</definedName>
    <definedName function="false" hidden="true" localSheetId="6" name="_xlnm._FilterDatabase" vbProcedure="false">'Team KPIs'!$A$1:$N$31</definedName>
    <definedName function="false" hidden="true" localSheetId="2" name="_xlnm._FilterDatabase" vbProcedure="false">Uploads!$A$1:$T$401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Y = this video gets an A and a B version tomorrow's test. 2 per page per day.</t>
        </r>
      </text>
    </comment>
    <comment ref="I1" authorId="0">
      <text>
        <r>
          <rPr>
            <sz val="10"/>
            <rFont val="Arial"/>
            <family val="2"/>
          </rPr>
          <t xml:space="preserve">PAGE_YYYYMMDD_slot_A or _B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1" authorId="0">
      <text>
        <r>
          <rPr>
            <sz val="10"/>
            <rFont val="Arial"/>
            <family val="2"/>
          </rPr>
          <t xml:space="preserve">From Instagram insights. Type 42% as 42%.</t>
        </r>
      </text>
    </comment>
    <comment ref="S1" authorId="0">
      <text>
        <r>
          <rPr>
            <sz val="10"/>
            <rFont val="Arial"/>
            <family val="2"/>
          </rPr>
          <t xml:space="preserve">(likes + comments + shares + saves) / views 24 h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T-YYYYMMDD-PAGE-n, e.g. T-20261027-FT-1</t>
        </r>
      </text>
    </comment>
    <comment ref="P1" authorId="0">
      <text>
        <r>
          <rPr>
            <sz val="10"/>
            <rFont val="Arial"/>
            <family val="2"/>
          </rPr>
          <t xml:space="preserve">Both versions need the minimum views set on the Variables tab.</t>
        </r>
      </text>
    </comment>
    <comment ref="Q1" authorId="0">
      <text>
        <r>
          <rPr>
            <sz val="10"/>
            <rFont val="Arial"/>
            <family val="2"/>
          </rPr>
          <t xml:space="preserve">(B watch % - A watch %) / A watch %</t>
        </r>
      </text>
    </comment>
    <comment ref="R1" authorId="0">
      <text>
        <r>
          <rPr>
            <sz val="10"/>
            <rFont val="Arial"/>
            <family val="2"/>
          </rPr>
          <t xml:space="preserve">B only if lift &gt;= winning margin (Variables tab). Otherwise A stays.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One page, or 'All' if proven on all three</t>
        </r>
      </text>
    </comment>
    <comment ref="G1" authorId="0">
      <text>
        <r>
          <rPr>
            <sz val="10"/>
            <rFont val="Arial"/>
            <family val="2"/>
          </rPr>
          <t xml:space="preserve">Pulled from the AB Tests tab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1" authorId="0">
      <text>
        <r>
          <rPr>
            <sz val="10"/>
            <rFont val="Arial"/>
            <family val="2"/>
          </rPr>
          <t xml:space="preserve">Videos per page per day (Variables tab) x 7</t>
        </r>
      </text>
    </comment>
  </commentList>
</comments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1" authorId="0">
      <text>
        <r>
          <rPr>
            <sz val="10"/>
            <rFont val="Arial"/>
            <family val="2"/>
          </rPr>
          <t xml:space="preserve">Target 7 of 7</t>
        </r>
      </text>
    </comment>
    <comment ref="D1" authorId="0">
      <text>
        <r>
          <rPr>
            <sz val="10"/>
            <rFont val="Arial"/>
            <family val="2"/>
          </rPr>
          <t xml:space="preserve">Target 100%. From Uploads column G.</t>
        </r>
      </text>
    </comment>
    <comment ref="E1" authorId="0">
      <text>
        <r>
          <rPr>
            <sz val="10"/>
            <rFont val="Arial"/>
            <family val="2"/>
          </rPr>
          <t xml:space="preserve">Target 0</t>
        </r>
      </text>
    </comment>
    <comment ref="F1" authorId="0">
      <text>
        <r>
          <rPr>
            <sz val="10"/>
            <rFont val="Arial"/>
            <family val="2"/>
          </rPr>
          <t xml:space="preserve">Counts Uploads rows where Made by = Azeem</t>
        </r>
      </text>
    </comment>
    <comment ref="G1" authorId="0">
      <text>
        <r>
          <rPr>
            <sz val="10"/>
            <rFont val="Arial"/>
            <family val="2"/>
          </rPr>
          <t xml:space="preserve">Target 7 of 7</t>
        </r>
      </text>
    </comment>
    <comment ref="J1" authorId="0">
      <text>
        <r>
          <rPr>
            <sz val="10"/>
            <rFont val="Arial"/>
            <family val="2"/>
          </rPr>
          <t xml:space="preserve">Target 100%</t>
        </r>
      </text>
    </comment>
    <comment ref="L1" authorId="0">
      <text>
        <r>
          <rPr>
            <sz val="10"/>
            <rFont val="Arial"/>
            <family val="2"/>
          </rPr>
          <t xml:space="preserve">Videos per page per day x 3 pages x 7 days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2" authorId="0">
      <text>
        <r>
          <rPr>
            <sz val="10"/>
            <rFont val="Arial"/>
            <family val="2"/>
          </rPr>
          <t xml:space="preserve">Set by Sahill (user instruction / SOP 4). Change here; formulas follow.</t>
        </r>
      </text>
    </comment>
    <comment ref="E3" authorId="0">
      <text>
        <r>
          <rPr>
            <sz val="10"/>
            <rFont val="Arial"/>
            <family val="2"/>
          </rPr>
          <t xml:space="preserve">Set by Sahill (user instruction / SOP 4). Change here; formulas follow.</t>
        </r>
      </text>
    </comment>
    <comment ref="E4" authorId="0">
      <text>
        <r>
          <rPr>
            <sz val="10"/>
            <rFont val="Arial"/>
            <family val="2"/>
          </rPr>
          <t xml:space="preserve">Set by Sahill (user instruction / SOP 4). Change here; formulas follow.</t>
        </r>
      </text>
    </comment>
    <comment ref="E5" authorId="0">
      <text>
        <r>
          <rPr>
            <sz val="10"/>
            <rFont val="Arial"/>
            <family val="2"/>
          </rPr>
          <t xml:space="preserve">Set by Sahill (user instruction / SOP 4). Change here; formulas follow.</t>
        </r>
      </text>
    </comment>
  </commentList>
</comments>
</file>

<file path=xl/sharedStrings.xml><?xml version="1.0" encoding="utf-8"?>
<sst xmlns="http://schemas.openxmlformats.org/spreadsheetml/2006/main" count="599" uniqueCount="153">
  <si>
    <t xml:space="preserve">Yontro Content &amp; Uploads (our own pages)</t>
  </si>
  <si>
    <t xml:space="preserve">Owner: Lianna Gozmao. Only Lianna records and edits data. Azeem: comment access, plus edit on Calendar columns F-J. Sahill: view only.</t>
  </si>
  <si>
    <t xml:space="preserve">Pages: Sahill (founder), yontro.ae, Founder Tales. Each posts at least 3 videos a day (set in Settings, Variables tab).</t>
  </si>
  <si>
    <t xml:space="preserve">Tabs:</t>
  </si>
  <si>
    <t xml:space="preserve">Calendar - the plan: one row per page, per day, per slot. Azeem fills idea, file name and status; Lianna checks.</t>
  </si>
  <si>
    <t xml:space="preserve">Uploads - one row per video that went live, with its numbers at 24 hours and 7 days.</t>
  </si>
  <si>
    <t xml:space="preserve">AB Tests - one row per test (2 tests per page per day). Enter A and B results; the winner is calculated.</t>
  </si>
  <si>
    <t xml:space="preserve">Constants - every winning change, adopted from the test that proved it. Every new video must follow all Active constants.</t>
  </si>
  <si>
    <t xml:space="preserve">Variables - the list of things we test, plus Settings (minimum views, winning margin, videos per day).</t>
  </si>
  <si>
    <t xml:space="preserve">Page KPIs - weekly totals per page, calculated from Uploads and AB Tests.</t>
  </si>
  <si>
    <t xml:space="preserve">Team KPIs - weekly scorecard for Azeem and Lianna.</t>
  </si>
  <si>
    <t xml:space="preserve">Daily routine (see SOP 4):</t>
  </si>
  <si>
    <t xml:space="preserve">10:00 Lianna records yesterday's numbers in Uploads and the test results in AB Tests; adds any B winner to Constants.</t>
  </si>
  <si>
    <t xml:space="preserve">16:00 Azeem delivers tomorrow's files; Lianna checks them against Calendar and Constants.</t>
  </si>
  <si>
    <t xml:space="preserve">18:00 Lianna posts tomorrow's A and B versions as trial reels and logs them in AB Tests.</t>
  </si>
  <si>
    <t xml:space="preserve">Winner rule: B wins only if its average watch % beats A by the winning margin (default 10%) with both above the minimum views (default 500). Otherwise A stays.</t>
  </si>
  <si>
    <t xml:space="preserve">Assumptions to confirm: 3 videos per page per day; posting slots 12:00, 17:00, 21:00. Both are set by Sahill and can be changed.</t>
  </si>
  <si>
    <t xml:space="preserve">Light orange cell = Lianna types here (input).</t>
  </si>
  <si>
    <t xml:space="preserve">Grey cell = formula, calculates by itself. Do not type over it.</t>
  </si>
  <si>
    <t xml:space="preserve">Grey italic row 2 on each tab = EXAMPLE showing the format. Delete it once real data starts.</t>
  </si>
  <si>
    <t xml:space="preserve">Date</t>
  </si>
  <si>
    <t xml:space="preserve">Page</t>
  </si>
  <si>
    <t xml:space="preserve">Slot</t>
  </si>
  <si>
    <t xml:space="preserve">Post time</t>
  </si>
  <si>
    <t xml:space="preserve">Test video? (Y/N)</t>
  </si>
  <si>
    <t xml:space="preserve">Video idea and hook (first 2 seconds)</t>
  </si>
  <si>
    <t xml:space="preserve">Bucket</t>
  </si>
  <si>
    <t xml:space="preserve">Variable tested (if test)</t>
  </si>
  <si>
    <t xml:space="preserve">File name</t>
  </si>
  <si>
    <t xml:space="preserve">Status</t>
  </si>
  <si>
    <t xml:space="preserve">Notes</t>
  </si>
  <si>
    <t xml:space="preserve">Founder Tales</t>
  </si>
  <si>
    <t xml:space="preserve">Y</t>
  </si>
  <si>
    <t xml:space="preserve">EXAMPLE: How a noodle inventor failed at 48 and built a global brand. Hook: 'He lost everything at 48.'</t>
  </si>
  <si>
    <t xml:space="preserve">Reach</t>
  </si>
  <si>
    <t xml:space="preserve">Hook line</t>
  </si>
  <si>
    <t xml:space="preserve">FT_20261026_1_A</t>
  </si>
  <si>
    <t xml:space="preserve">Posted</t>
  </si>
  <si>
    <t xml:space="preserve">Sahill</t>
  </si>
  <si>
    <t xml:space="preserve">Planned</t>
  </si>
  <si>
    <t xml:space="preserve">N</t>
  </si>
  <si>
    <t xml:space="preserve">yontro.ae</t>
  </si>
  <si>
    <t xml:space="preserve">Date posted</t>
  </si>
  <si>
    <t xml:space="preserve">Video title</t>
  </si>
  <si>
    <t xml:space="preserve">Winner of test ID (if any)</t>
  </si>
  <si>
    <t xml:space="preserve">Follows all constants? (Y/N)</t>
  </si>
  <si>
    <t xml:space="preserve">Made by</t>
  </si>
  <si>
    <t xml:space="preserve">Link</t>
  </si>
  <si>
    <t xml:space="preserve">Views 24 h</t>
  </si>
  <si>
    <t xml:space="preserve">Avg watch % 24 h</t>
  </si>
  <si>
    <t xml:space="preserve">Likes</t>
  </si>
  <si>
    <t xml:space="preserve">Comments</t>
  </si>
  <si>
    <t xml:space="preserve">Shares</t>
  </si>
  <si>
    <t xml:space="preserve">Saves</t>
  </si>
  <si>
    <t xml:space="preserve">Follows</t>
  </si>
  <si>
    <t xml:space="preserve">DMs / leads</t>
  </si>
  <si>
    <t xml:space="preserve">Views 7 d</t>
  </si>
  <si>
    <t xml:space="preserve">Engagement rate</t>
  </si>
  <si>
    <t xml:space="preserve">EXAMPLE: He lost everything at 48</t>
  </si>
  <si>
    <t xml:space="preserve">T-20261024-FT-1</t>
  </si>
  <si>
    <t xml:space="preserve">Azeem</t>
  </si>
  <si>
    <t xml:space="preserve">instagram.com/reel/...</t>
  </si>
  <si>
    <t xml:space="preserve">Hook line constant applied</t>
  </si>
  <si>
    <t xml:space="preserve">Test ID</t>
  </si>
  <si>
    <t xml:space="preserve">Date posted as trial</t>
  </si>
  <si>
    <t xml:space="preserve">Video</t>
  </si>
  <si>
    <t xml:space="preserve">Variable tested</t>
  </si>
  <si>
    <t xml:space="preserve">Version A (current constants)</t>
  </si>
  <si>
    <t xml:space="preserve">Version B (the ONE change)</t>
  </si>
  <si>
    <t xml:space="preserve">A views</t>
  </si>
  <si>
    <t xml:space="preserve">A avg watch %</t>
  </si>
  <si>
    <t xml:space="preserve">A shares</t>
  </si>
  <si>
    <t xml:space="preserve">A saves</t>
  </si>
  <si>
    <t xml:space="preserve">B views</t>
  </si>
  <si>
    <t xml:space="preserve">B avg watch %</t>
  </si>
  <si>
    <t xml:space="preserve">B shares</t>
  </si>
  <si>
    <t xml:space="preserve">B saves</t>
  </si>
  <si>
    <t xml:space="preserve">Min views met?</t>
  </si>
  <si>
    <t xml:space="preserve">B lift on watch %</t>
  </si>
  <si>
    <t xml:space="preserve">Winner</t>
  </si>
  <si>
    <t xml:space="preserve">New constant?</t>
  </si>
  <si>
    <t xml:space="preserve">Winner live on (date)</t>
  </si>
  <si>
    <t xml:space="preserve">Hook: 'This is the story of Momofuku Ando'</t>
  </si>
  <si>
    <t xml:space="preserve">Hook: 'He lost everything at 48'</t>
  </si>
  <si>
    <t xml:space="preserve">#</t>
  </si>
  <si>
    <t xml:space="preserve">Date adopted</t>
  </si>
  <si>
    <t xml:space="preserve">Variable</t>
  </si>
  <si>
    <t xml:space="preserve">The rule every video now follows</t>
  </si>
  <si>
    <t xml:space="preserve">Applies to page(s)</t>
  </si>
  <si>
    <t xml:space="preserve">Proven by test ID</t>
  </si>
  <si>
    <t xml:space="preserve">Lift in that test</t>
  </si>
  <si>
    <t xml:space="preserve">Retired on</t>
  </si>
  <si>
    <t xml:space="preserve">Replaced by #</t>
  </si>
  <si>
    <t xml:space="preserve">EXAMPLE: Open on the turning point ('He lost everything at 48'), not the name</t>
  </si>
  <si>
    <t xml:space="preserve">Active</t>
  </si>
  <si>
    <t xml:space="preserve">Week start (Mon)</t>
  </si>
  <si>
    <t xml:space="preserve">Week end</t>
  </si>
  <si>
    <t xml:space="preserve">Videos posted</t>
  </si>
  <si>
    <t xml:space="preserve">Target</t>
  </si>
  <si>
    <t xml:space="preserve">% of target</t>
  </si>
  <si>
    <t xml:space="preserve">Tests run</t>
  </si>
  <si>
    <t xml:space="preserve">B wins (new constants)</t>
  </si>
  <si>
    <t xml:space="preserve">Total views 24 h</t>
  </si>
  <si>
    <t xml:space="preserve">Avg views per video</t>
  </si>
  <si>
    <t xml:space="preserve">Avg watch %</t>
  </si>
  <si>
    <t xml:space="preserve">AZEEM: days files delivered by 16:00 (of 7)</t>
  </si>
  <si>
    <t xml:space="preserve">AZEEM: videos following all constants</t>
  </si>
  <si>
    <t xml:space="preserve">AZEEM: Founder Tales fact errors after posting</t>
  </si>
  <si>
    <t xml:space="preserve">AZEEM: videos delivered (all pages)</t>
  </si>
  <si>
    <t xml:space="preserve">LIANNA: days data recorded by 11:00 (of 7)</t>
  </si>
  <si>
    <t xml:space="preserve">Tests run (all pages)</t>
  </si>
  <si>
    <t xml:space="preserve">LIANNA: tests decided within 24 h</t>
  </si>
  <si>
    <t xml:space="preserve">LIANNA: % tests decided on time</t>
  </si>
  <si>
    <t xml:space="preserve">LIANNA: videos posted (all pages)</t>
  </si>
  <si>
    <t xml:space="preserve">Posting target (all pages)</t>
  </si>
  <si>
    <t xml:space="preserve">LIANNA: weekly report sent Sunday (Y/N)</t>
  </si>
  <si>
    <t xml:space="preserve">Variable we test</t>
  </si>
  <si>
    <t xml:space="preserve">Example of a B change</t>
  </si>
  <si>
    <t xml:space="preserve">Setting</t>
  </si>
  <si>
    <t xml:space="preserve">Value</t>
  </si>
  <si>
    <t xml:space="preserve">Pages</t>
  </si>
  <si>
    <t xml:space="preserve">Buckets</t>
  </si>
  <si>
    <t xml:space="preserve">Yes/No</t>
  </si>
  <si>
    <t xml:space="preserve">Constant status</t>
  </si>
  <si>
    <t xml:space="preserve">Question hook vs bold statement</t>
  </si>
  <si>
    <t xml:space="preserve">Minimum views per version before deciding</t>
  </si>
  <si>
    <t xml:space="preserve">First frame</t>
  </si>
  <si>
    <t xml:space="preserve">Face close-up vs product/action shot</t>
  </si>
  <si>
    <t xml:space="preserve">Winning margin on avg watch % (B must beat A by)</t>
  </si>
  <si>
    <t xml:space="preserve">Trust</t>
  </si>
  <si>
    <t xml:space="preserve">Produced</t>
  </si>
  <si>
    <t xml:space="preserve">Retired</t>
  </si>
  <si>
    <t xml:space="preserve">Length</t>
  </si>
  <si>
    <t xml:space="preserve">15 s vs 30 s</t>
  </si>
  <si>
    <t xml:space="preserve">Videos per page per day (minimum)</t>
  </si>
  <si>
    <t xml:space="preserve">Convert</t>
  </si>
  <si>
    <t xml:space="preserve">Delivered</t>
  </si>
  <si>
    <t xml:space="preserve">On-screen text style</t>
  </si>
  <si>
    <t xml:space="preserve">Big centred captions vs small lower captions</t>
  </si>
  <si>
    <t xml:space="preserve">Tests per page per day</t>
  </si>
  <si>
    <t xml:space="preserve">Caption</t>
  </si>
  <si>
    <t xml:space="preserve">Short one-liner vs story caption</t>
  </si>
  <si>
    <t xml:space="preserve">Skipped</t>
  </si>
  <si>
    <t xml:space="preserve">Audio</t>
  </si>
  <si>
    <t xml:space="preserve">Trending sound vs voiceover only</t>
  </si>
  <si>
    <t xml:space="preserve">Cover</t>
  </si>
  <si>
    <t xml:space="preserve">Face cover vs text cover</t>
  </si>
  <si>
    <t xml:space="preserve">Call to action</t>
  </si>
  <si>
    <t xml:space="preserve">Follow for part 2 vs comment a keyword</t>
  </si>
  <si>
    <t xml:space="preserve">Posting time</t>
  </si>
  <si>
    <t xml:space="preserve">12:00 vs 21:00</t>
  </si>
  <si>
    <t xml:space="preserve">Pacing</t>
  </si>
  <si>
    <t xml:space="preserve">Cut every 2 s vs every 4 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</si>
</sst>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\-yyyy"/>
    <numFmt numFmtId="166" formatCode="hh:mm"/>
    <numFmt numFmtId="167" formatCode="#,##0"/>
    <numFmt numFmtId="168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4E5"/>
        <bgColor rgb="FFEDEDED"/>
      </patternFill>
    </fill>
    <fill>
      <patternFill patternType="solid">
        <fgColor rgb="FFEDEDED"/>
        <bgColor rgb="FFFFF4E5"/>
      </patternFill>
    </fill>
    <fill>
      <patternFill patternType="solid">
        <fgColor rgb="FF0B0B0B"/>
        <bgColor rgb="FF0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0B0B0B"/>
          <bgColor rgb="FF000000"/>
        </patternFill>
      </fill>
    </dxf>
    <dxf>
      <fill>
        <patternFill patternType="solid">
          <fgColor rgb="FFFFF4E5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DEDE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4E5"/>
      <rgbColor rgb="FFEDED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B0B0B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7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19.7" hidden="false" customHeight="false" outlineLevel="0" collapsed="false">
      <c r="B2" s="1" t="s">
        <v>0</v>
      </c>
    </row>
    <row r="4" customFormat="false" ht="23.85" hidden="false" customHeight="false" outlineLevel="0" collapsed="false">
      <c r="B4" s="2" t="s">
        <v>1</v>
      </c>
    </row>
    <row r="5" customFormat="false" ht="15" hidden="false" customHeight="false" outlineLevel="0" collapsed="false">
      <c r="B5" s="2" t="s">
        <v>2</v>
      </c>
    </row>
    <row r="6" customFormat="false" ht="15" hidden="false" customHeight="false" outlineLevel="0" collapsed="false">
      <c r="B6" s="2"/>
    </row>
    <row r="7" customFormat="false" ht="15" hidden="false" customHeight="false" outlineLevel="0" collapsed="false">
      <c r="B7" s="3" t="s">
        <v>3</v>
      </c>
    </row>
    <row r="8" customFormat="false" ht="15" hidden="false" customHeight="false" outlineLevel="0" collapsed="false">
      <c r="B8" s="2" t="s">
        <v>4</v>
      </c>
    </row>
    <row r="9" customFormat="false" ht="15" hidden="false" customHeight="false" outlineLevel="0" collapsed="false">
      <c r="B9" s="2" t="s">
        <v>5</v>
      </c>
    </row>
    <row r="10" customFormat="false" ht="15" hidden="false" customHeight="false" outlineLevel="0" collapsed="false">
      <c r="B10" s="2" t="s">
        <v>6</v>
      </c>
    </row>
    <row r="11" customFormat="false" ht="15" hidden="false" customHeight="false" outlineLevel="0" collapsed="false">
      <c r="B11" s="2" t="s">
        <v>7</v>
      </c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/>
    </row>
    <row r="16" customFormat="false" ht="15" hidden="false" customHeight="false" outlineLevel="0" collapsed="false">
      <c r="B16" s="3" t="s">
        <v>11</v>
      </c>
    </row>
    <row r="17" customFormat="false" ht="15" hidden="false" customHeight="false" outlineLevel="0" collapsed="false">
      <c r="B17" s="2" t="s">
        <v>12</v>
      </c>
    </row>
    <row r="18" customFormat="false" ht="15" hidden="false" customHeight="false" outlineLevel="0" collapsed="false">
      <c r="B18" s="2" t="s">
        <v>13</v>
      </c>
    </row>
    <row r="19" customFormat="false" ht="15" hidden="false" customHeight="false" outlineLevel="0" collapsed="false">
      <c r="B19" s="2" t="s">
        <v>14</v>
      </c>
    </row>
    <row r="20" customFormat="false" ht="15" hidden="false" customHeight="false" outlineLevel="0" collapsed="false">
      <c r="B20" s="2"/>
    </row>
    <row r="21" customFormat="false" ht="23.85" hidden="false" customHeight="false" outlineLevel="0" collapsed="false">
      <c r="B21" s="2" t="s">
        <v>15</v>
      </c>
    </row>
    <row r="22" customFormat="false" ht="15" hidden="false" customHeight="false" outlineLevel="0" collapsed="false">
      <c r="B22" s="2" t="s">
        <v>16</v>
      </c>
    </row>
    <row r="24" customFormat="false" ht="15" hidden="false" customHeight="false" outlineLevel="0" collapsed="false">
      <c r="B24" s="4" t="s">
        <v>17</v>
      </c>
    </row>
    <row r="25" customFormat="false" ht="15" hidden="false" customHeight="false" outlineLevel="0" collapsed="false">
      <c r="B25" s="5" t="s">
        <v>18</v>
      </c>
    </row>
    <row r="26" customFormat="false" ht="15" hidden="false" customHeight="false" outlineLevel="0" collapsed="false">
      <c r="B26" s="6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46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26"/>
    <col collapsed="false" customWidth="true" hidden="false" outlineLevel="0" max="10" min="10" style="0" width="11"/>
    <col collapsed="false" customWidth="true" hidden="false" outlineLevel="0" max="11" min="11" style="0" width="30"/>
  </cols>
  <sheetData>
    <row r="1" customFormat="false" ht="33.75" hidden="false" customHeight="true" outlineLevel="0" collapsed="false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</row>
    <row r="2" customFormat="false" ht="15" hidden="false" customHeight="false" outlineLevel="0" collapsed="false">
      <c r="A2" s="8" t="n">
        <v>46321</v>
      </c>
      <c r="B2" s="9" t="s">
        <v>31</v>
      </c>
      <c r="C2" s="9" t="n">
        <v>1</v>
      </c>
      <c r="D2" s="10" t="n">
        <v>0.5</v>
      </c>
      <c r="E2" s="9" t="s">
        <v>32</v>
      </c>
      <c r="F2" s="9" t="s">
        <v>33</v>
      </c>
      <c r="G2" s="9" t="s">
        <v>34</v>
      </c>
      <c r="H2" s="9" t="s">
        <v>35</v>
      </c>
      <c r="I2" s="9" t="s">
        <v>36</v>
      </c>
      <c r="J2" s="9" t="s">
        <v>37</v>
      </c>
      <c r="K2" s="9"/>
    </row>
    <row r="3" customFormat="false" ht="15" hidden="false" customHeight="false" outlineLevel="0" collapsed="false">
      <c r="A3" s="11" t="n">
        <v>46322</v>
      </c>
      <c r="B3" s="12" t="s">
        <v>38</v>
      </c>
      <c r="C3" s="12" t="n">
        <v>1</v>
      </c>
      <c r="D3" s="13" t="n">
        <v>0.5</v>
      </c>
      <c r="E3" s="12" t="s">
        <v>32</v>
      </c>
      <c r="F3" s="12"/>
      <c r="G3" s="12"/>
      <c r="H3" s="12"/>
      <c r="I3" s="12"/>
      <c r="J3" s="12" t="s">
        <v>39</v>
      </c>
      <c r="K3" s="12"/>
    </row>
    <row r="4" customFormat="false" ht="15" hidden="false" customHeight="false" outlineLevel="0" collapsed="false">
      <c r="A4" s="11" t="n">
        <v>46322</v>
      </c>
      <c r="B4" s="12" t="s">
        <v>38</v>
      </c>
      <c r="C4" s="12" t="n">
        <v>2</v>
      </c>
      <c r="D4" s="13" t="n">
        <v>0.708333333333333</v>
      </c>
      <c r="E4" s="12" t="s">
        <v>32</v>
      </c>
      <c r="F4" s="12"/>
      <c r="G4" s="12"/>
      <c r="H4" s="12"/>
      <c r="I4" s="12"/>
      <c r="J4" s="12" t="s">
        <v>39</v>
      </c>
      <c r="K4" s="12"/>
    </row>
    <row r="5" customFormat="false" ht="15" hidden="false" customHeight="false" outlineLevel="0" collapsed="false">
      <c r="A5" s="11" t="n">
        <v>46322</v>
      </c>
      <c r="B5" s="12" t="s">
        <v>38</v>
      </c>
      <c r="C5" s="12" t="n">
        <v>3</v>
      </c>
      <c r="D5" s="13" t="n">
        <v>0.875</v>
      </c>
      <c r="E5" s="12" t="s">
        <v>40</v>
      </c>
      <c r="F5" s="12"/>
      <c r="G5" s="12"/>
      <c r="H5" s="12"/>
      <c r="I5" s="12"/>
      <c r="J5" s="12" t="s">
        <v>39</v>
      </c>
      <c r="K5" s="12"/>
    </row>
    <row r="6" customFormat="false" ht="15" hidden="false" customHeight="false" outlineLevel="0" collapsed="false">
      <c r="A6" s="11" t="n">
        <v>46322</v>
      </c>
      <c r="B6" s="12" t="s">
        <v>41</v>
      </c>
      <c r="C6" s="12" t="n">
        <v>1</v>
      </c>
      <c r="D6" s="13" t="n">
        <v>0.5</v>
      </c>
      <c r="E6" s="12" t="s">
        <v>32</v>
      </c>
      <c r="F6" s="12"/>
      <c r="G6" s="12"/>
      <c r="H6" s="12"/>
      <c r="I6" s="12"/>
      <c r="J6" s="12" t="s">
        <v>39</v>
      </c>
      <c r="K6" s="12"/>
    </row>
    <row r="7" customFormat="false" ht="15" hidden="false" customHeight="false" outlineLevel="0" collapsed="false">
      <c r="A7" s="11" t="n">
        <v>46322</v>
      </c>
      <c r="B7" s="12" t="s">
        <v>41</v>
      </c>
      <c r="C7" s="12" t="n">
        <v>2</v>
      </c>
      <c r="D7" s="13" t="n">
        <v>0.708333333333333</v>
      </c>
      <c r="E7" s="12" t="s">
        <v>32</v>
      </c>
      <c r="F7" s="12"/>
      <c r="G7" s="12"/>
      <c r="H7" s="12"/>
      <c r="I7" s="12"/>
      <c r="J7" s="12" t="s">
        <v>39</v>
      </c>
      <c r="K7" s="12"/>
    </row>
    <row r="8" customFormat="false" ht="15" hidden="false" customHeight="false" outlineLevel="0" collapsed="false">
      <c r="A8" s="11" t="n">
        <v>46322</v>
      </c>
      <c r="B8" s="12" t="s">
        <v>41</v>
      </c>
      <c r="C8" s="12" t="n">
        <v>3</v>
      </c>
      <c r="D8" s="13" t="n">
        <v>0.875</v>
      </c>
      <c r="E8" s="12" t="s">
        <v>40</v>
      </c>
      <c r="F8" s="12"/>
      <c r="G8" s="12"/>
      <c r="H8" s="12"/>
      <c r="I8" s="12"/>
      <c r="J8" s="12" t="s">
        <v>39</v>
      </c>
      <c r="K8" s="12"/>
    </row>
    <row r="9" customFormat="false" ht="15" hidden="false" customHeight="false" outlineLevel="0" collapsed="false">
      <c r="A9" s="11" t="n">
        <v>46322</v>
      </c>
      <c r="B9" s="12" t="s">
        <v>31</v>
      </c>
      <c r="C9" s="12" t="n">
        <v>1</v>
      </c>
      <c r="D9" s="13" t="n">
        <v>0.5</v>
      </c>
      <c r="E9" s="12" t="s">
        <v>32</v>
      </c>
      <c r="F9" s="12"/>
      <c r="G9" s="12"/>
      <c r="H9" s="12"/>
      <c r="I9" s="12"/>
      <c r="J9" s="12" t="s">
        <v>39</v>
      </c>
      <c r="K9" s="12"/>
    </row>
    <row r="10" customFormat="false" ht="15" hidden="false" customHeight="false" outlineLevel="0" collapsed="false">
      <c r="A10" s="11" t="n">
        <v>46322</v>
      </c>
      <c r="B10" s="12" t="s">
        <v>31</v>
      </c>
      <c r="C10" s="12" t="n">
        <v>2</v>
      </c>
      <c r="D10" s="13" t="n">
        <v>0.708333333333333</v>
      </c>
      <c r="E10" s="12" t="s">
        <v>32</v>
      </c>
      <c r="F10" s="12"/>
      <c r="G10" s="12"/>
      <c r="H10" s="12"/>
      <c r="I10" s="12"/>
      <c r="J10" s="12" t="s">
        <v>39</v>
      </c>
      <c r="K10" s="12"/>
    </row>
    <row r="11" customFormat="false" ht="15" hidden="false" customHeight="false" outlineLevel="0" collapsed="false">
      <c r="A11" s="11" t="n">
        <v>46322</v>
      </c>
      <c r="B11" s="12" t="s">
        <v>31</v>
      </c>
      <c r="C11" s="12" t="n">
        <v>3</v>
      </c>
      <c r="D11" s="13" t="n">
        <v>0.875</v>
      </c>
      <c r="E11" s="12" t="s">
        <v>40</v>
      </c>
      <c r="F11" s="12"/>
      <c r="G11" s="12"/>
      <c r="H11" s="12"/>
      <c r="I11" s="12"/>
      <c r="J11" s="12" t="s">
        <v>39</v>
      </c>
      <c r="K11" s="12"/>
    </row>
    <row r="12" customFormat="false" ht="15" hidden="false" customHeight="false" outlineLevel="0" collapsed="false">
      <c r="A12" s="11" t="n">
        <v>46323</v>
      </c>
      <c r="B12" s="12" t="s">
        <v>38</v>
      </c>
      <c r="C12" s="12" t="n">
        <v>1</v>
      </c>
      <c r="D12" s="13" t="n">
        <v>0.5</v>
      </c>
      <c r="E12" s="12" t="s">
        <v>32</v>
      </c>
      <c r="F12" s="12"/>
      <c r="G12" s="12"/>
      <c r="H12" s="12"/>
      <c r="I12" s="12"/>
      <c r="J12" s="12" t="s">
        <v>39</v>
      </c>
      <c r="K12" s="12"/>
    </row>
    <row r="13" customFormat="false" ht="15" hidden="false" customHeight="false" outlineLevel="0" collapsed="false">
      <c r="A13" s="11" t="n">
        <v>46323</v>
      </c>
      <c r="B13" s="12" t="s">
        <v>38</v>
      </c>
      <c r="C13" s="12" t="n">
        <v>2</v>
      </c>
      <c r="D13" s="13" t="n">
        <v>0.708333333333333</v>
      </c>
      <c r="E13" s="12" t="s">
        <v>32</v>
      </c>
      <c r="F13" s="12"/>
      <c r="G13" s="12"/>
      <c r="H13" s="12"/>
      <c r="I13" s="12"/>
      <c r="J13" s="12" t="s">
        <v>39</v>
      </c>
      <c r="K13" s="12"/>
    </row>
    <row r="14" customFormat="false" ht="15" hidden="false" customHeight="false" outlineLevel="0" collapsed="false">
      <c r="A14" s="11" t="n">
        <v>46323</v>
      </c>
      <c r="B14" s="12" t="s">
        <v>38</v>
      </c>
      <c r="C14" s="12" t="n">
        <v>3</v>
      </c>
      <c r="D14" s="13" t="n">
        <v>0.875</v>
      </c>
      <c r="E14" s="12" t="s">
        <v>40</v>
      </c>
      <c r="F14" s="12"/>
      <c r="G14" s="12"/>
      <c r="H14" s="12"/>
      <c r="I14" s="12"/>
      <c r="J14" s="12" t="s">
        <v>39</v>
      </c>
      <c r="K14" s="12"/>
    </row>
    <row r="15" customFormat="false" ht="15" hidden="false" customHeight="false" outlineLevel="0" collapsed="false">
      <c r="A15" s="11" t="n">
        <v>46323</v>
      </c>
      <c r="B15" s="12" t="s">
        <v>41</v>
      </c>
      <c r="C15" s="12" t="n">
        <v>1</v>
      </c>
      <c r="D15" s="13" t="n">
        <v>0.5</v>
      </c>
      <c r="E15" s="12" t="s">
        <v>32</v>
      </c>
      <c r="F15" s="12"/>
      <c r="G15" s="12"/>
      <c r="H15" s="12"/>
      <c r="I15" s="12"/>
      <c r="J15" s="12" t="s">
        <v>39</v>
      </c>
      <c r="K15" s="12"/>
    </row>
    <row r="16" customFormat="false" ht="15" hidden="false" customHeight="false" outlineLevel="0" collapsed="false">
      <c r="A16" s="11" t="n">
        <v>46323</v>
      </c>
      <c r="B16" s="12" t="s">
        <v>41</v>
      </c>
      <c r="C16" s="12" t="n">
        <v>2</v>
      </c>
      <c r="D16" s="13" t="n">
        <v>0.708333333333333</v>
      </c>
      <c r="E16" s="12" t="s">
        <v>32</v>
      </c>
      <c r="F16" s="12"/>
      <c r="G16" s="12"/>
      <c r="H16" s="12"/>
      <c r="I16" s="12"/>
      <c r="J16" s="12" t="s">
        <v>39</v>
      </c>
      <c r="K16" s="12"/>
    </row>
    <row r="17" customFormat="false" ht="15" hidden="false" customHeight="false" outlineLevel="0" collapsed="false">
      <c r="A17" s="11" t="n">
        <v>46323</v>
      </c>
      <c r="B17" s="12" t="s">
        <v>41</v>
      </c>
      <c r="C17" s="12" t="n">
        <v>3</v>
      </c>
      <c r="D17" s="13" t="n">
        <v>0.875</v>
      </c>
      <c r="E17" s="12" t="s">
        <v>40</v>
      </c>
      <c r="F17" s="12"/>
      <c r="G17" s="12"/>
      <c r="H17" s="12"/>
      <c r="I17" s="12"/>
      <c r="J17" s="12" t="s">
        <v>39</v>
      </c>
      <c r="K17" s="12"/>
    </row>
    <row r="18" customFormat="false" ht="15" hidden="false" customHeight="false" outlineLevel="0" collapsed="false">
      <c r="A18" s="11" t="n">
        <v>46323</v>
      </c>
      <c r="B18" s="12" t="s">
        <v>31</v>
      </c>
      <c r="C18" s="12" t="n">
        <v>1</v>
      </c>
      <c r="D18" s="13" t="n">
        <v>0.5</v>
      </c>
      <c r="E18" s="12" t="s">
        <v>32</v>
      </c>
      <c r="F18" s="12"/>
      <c r="G18" s="12"/>
      <c r="H18" s="12"/>
      <c r="I18" s="12"/>
      <c r="J18" s="12" t="s">
        <v>39</v>
      </c>
      <c r="K18" s="12"/>
    </row>
    <row r="19" customFormat="false" ht="15" hidden="false" customHeight="false" outlineLevel="0" collapsed="false">
      <c r="A19" s="11" t="n">
        <v>46323</v>
      </c>
      <c r="B19" s="12" t="s">
        <v>31</v>
      </c>
      <c r="C19" s="12" t="n">
        <v>2</v>
      </c>
      <c r="D19" s="13" t="n">
        <v>0.708333333333333</v>
      </c>
      <c r="E19" s="12" t="s">
        <v>32</v>
      </c>
      <c r="F19" s="12"/>
      <c r="G19" s="12"/>
      <c r="H19" s="12"/>
      <c r="I19" s="12"/>
      <c r="J19" s="12" t="s">
        <v>39</v>
      </c>
      <c r="K19" s="12"/>
    </row>
    <row r="20" customFormat="false" ht="15" hidden="false" customHeight="false" outlineLevel="0" collapsed="false">
      <c r="A20" s="11" t="n">
        <v>46323</v>
      </c>
      <c r="B20" s="12" t="s">
        <v>31</v>
      </c>
      <c r="C20" s="12" t="n">
        <v>3</v>
      </c>
      <c r="D20" s="13" t="n">
        <v>0.875</v>
      </c>
      <c r="E20" s="12" t="s">
        <v>40</v>
      </c>
      <c r="F20" s="12"/>
      <c r="G20" s="12"/>
      <c r="H20" s="12"/>
      <c r="I20" s="12"/>
      <c r="J20" s="12" t="s">
        <v>39</v>
      </c>
      <c r="K20" s="12"/>
    </row>
    <row r="21" customFormat="false" ht="15" hidden="false" customHeight="false" outlineLevel="0" collapsed="false">
      <c r="A21" s="11" t="n">
        <v>46324</v>
      </c>
      <c r="B21" s="12" t="s">
        <v>38</v>
      </c>
      <c r="C21" s="12" t="n">
        <v>1</v>
      </c>
      <c r="D21" s="13" t="n">
        <v>0.5</v>
      </c>
      <c r="E21" s="12" t="s">
        <v>32</v>
      </c>
      <c r="F21" s="12"/>
      <c r="G21" s="12"/>
      <c r="H21" s="12"/>
      <c r="I21" s="12"/>
      <c r="J21" s="12" t="s">
        <v>39</v>
      </c>
      <c r="K21" s="12"/>
    </row>
    <row r="22" customFormat="false" ht="15" hidden="false" customHeight="false" outlineLevel="0" collapsed="false">
      <c r="A22" s="11" t="n">
        <v>46324</v>
      </c>
      <c r="B22" s="12" t="s">
        <v>38</v>
      </c>
      <c r="C22" s="12" t="n">
        <v>2</v>
      </c>
      <c r="D22" s="13" t="n">
        <v>0.708333333333333</v>
      </c>
      <c r="E22" s="12" t="s">
        <v>32</v>
      </c>
      <c r="F22" s="12"/>
      <c r="G22" s="12"/>
      <c r="H22" s="12"/>
      <c r="I22" s="12"/>
      <c r="J22" s="12" t="s">
        <v>39</v>
      </c>
      <c r="K22" s="12"/>
    </row>
    <row r="23" customFormat="false" ht="15" hidden="false" customHeight="false" outlineLevel="0" collapsed="false">
      <c r="A23" s="11" t="n">
        <v>46324</v>
      </c>
      <c r="B23" s="12" t="s">
        <v>38</v>
      </c>
      <c r="C23" s="12" t="n">
        <v>3</v>
      </c>
      <c r="D23" s="13" t="n">
        <v>0.875</v>
      </c>
      <c r="E23" s="12" t="s">
        <v>40</v>
      </c>
      <c r="F23" s="12"/>
      <c r="G23" s="12"/>
      <c r="H23" s="12"/>
      <c r="I23" s="12"/>
      <c r="J23" s="12" t="s">
        <v>39</v>
      </c>
      <c r="K23" s="12"/>
    </row>
    <row r="24" customFormat="false" ht="15" hidden="false" customHeight="false" outlineLevel="0" collapsed="false">
      <c r="A24" s="11" t="n">
        <v>46324</v>
      </c>
      <c r="B24" s="12" t="s">
        <v>41</v>
      </c>
      <c r="C24" s="12" t="n">
        <v>1</v>
      </c>
      <c r="D24" s="13" t="n">
        <v>0.5</v>
      </c>
      <c r="E24" s="12" t="s">
        <v>32</v>
      </c>
      <c r="F24" s="12"/>
      <c r="G24" s="12"/>
      <c r="H24" s="12"/>
      <c r="I24" s="12"/>
      <c r="J24" s="12" t="s">
        <v>39</v>
      </c>
      <c r="K24" s="12"/>
    </row>
    <row r="25" customFormat="false" ht="15" hidden="false" customHeight="false" outlineLevel="0" collapsed="false">
      <c r="A25" s="11" t="n">
        <v>46324</v>
      </c>
      <c r="B25" s="12" t="s">
        <v>41</v>
      </c>
      <c r="C25" s="12" t="n">
        <v>2</v>
      </c>
      <c r="D25" s="13" t="n">
        <v>0.708333333333333</v>
      </c>
      <c r="E25" s="12" t="s">
        <v>32</v>
      </c>
      <c r="F25" s="12"/>
      <c r="G25" s="12"/>
      <c r="H25" s="12"/>
      <c r="I25" s="12"/>
      <c r="J25" s="12" t="s">
        <v>39</v>
      </c>
      <c r="K25" s="12"/>
    </row>
    <row r="26" customFormat="false" ht="15" hidden="false" customHeight="false" outlineLevel="0" collapsed="false">
      <c r="A26" s="11" t="n">
        <v>46324</v>
      </c>
      <c r="B26" s="12" t="s">
        <v>41</v>
      </c>
      <c r="C26" s="12" t="n">
        <v>3</v>
      </c>
      <c r="D26" s="13" t="n">
        <v>0.875</v>
      </c>
      <c r="E26" s="12" t="s">
        <v>40</v>
      </c>
      <c r="F26" s="12"/>
      <c r="G26" s="12"/>
      <c r="H26" s="12"/>
      <c r="I26" s="12"/>
      <c r="J26" s="12" t="s">
        <v>39</v>
      </c>
      <c r="K26" s="12"/>
    </row>
    <row r="27" customFormat="false" ht="15" hidden="false" customHeight="false" outlineLevel="0" collapsed="false">
      <c r="A27" s="11" t="n">
        <v>46324</v>
      </c>
      <c r="B27" s="12" t="s">
        <v>31</v>
      </c>
      <c r="C27" s="12" t="n">
        <v>1</v>
      </c>
      <c r="D27" s="13" t="n">
        <v>0.5</v>
      </c>
      <c r="E27" s="12" t="s">
        <v>32</v>
      </c>
      <c r="F27" s="12"/>
      <c r="G27" s="12"/>
      <c r="H27" s="12"/>
      <c r="I27" s="12"/>
      <c r="J27" s="12" t="s">
        <v>39</v>
      </c>
      <c r="K27" s="12"/>
    </row>
    <row r="28" customFormat="false" ht="15" hidden="false" customHeight="false" outlineLevel="0" collapsed="false">
      <c r="A28" s="11" t="n">
        <v>46324</v>
      </c>
      <c r="B28" s="12" t="s">
        <v>31</v>
      </c>
      <c r="C28" s="12" t="n">
        <v>2</v>
      </c>
      <c r="D28" s="13" t="n">
        <v>0.708333333333333</v>
      </c>
      <c r="E28" s="12" t="s">
        <v>32</v>
      </c>
      <c r="F28" s="12"/>
      <c r="G28" s="12"/>
      <c r="H28" s="12"/>
      <c r="I28" s="12"/>
      <c r="J28" s="12" t="s">
        <v>39</v>
      </c>
      <c r="K28" s="12"/>
    </row>
    <row r="29" customFormat="false" ht="15" hidden="false" customHeight="false" outlineLevel="0" collapsed="false">
      <c r="A29" s="11" t="n">
        <v>46324</v>
      </c>
      <c r="B29" s="12" t="s">
        <v>31</v>
      </c>
      <c r="C29" s="12" t="n">
        <v>3</v>
      </c>
      <c r="D29" s="13" t="n">
        <v>0.875</v>
      </c>
      <c r="E29" s="12" t="s">
        <v>40</v>
      </c>
      <c r="F29" s="12"/>
      <c r="G29" s="12"/>
      <c r="H29" s="12"/>
      <c r="I29" s="12"/>
      <c r="J29" s="12" t="s">
        <v>39</v>
      </c>
      <c r="K29" s="12"/>
    </row>
    <row r="30" customFormat="false" ht="15" hidden="false" customHeight="false" outlineLevel="0" collapsed="false">
      <c r="A30" s="11" t="n">
        <v>46325</v>
      </c>
      <c r="B30" s="12" t="s">
        <v>38</v>
      </c>
      <c r="C30" s="12" t="n">
        <v>1</v>
      </c>
      <c r="D30" s="13" t="n">
        <v>0.5</v>
      </c>
      <c r="E30" s="12" t="s">
        <v>32</v>
      </c>
      <c r="F30" s="12"/>
      <c r="G30" s="12"/>
      <c r="H30" s="12"/>
      <c r="I30" s="12"/>
      <c r="J30" s="12" t="s">
        <v>39</v>
      </c>
      <c r="K30" s="12"/>
    </row>
    <row r="31" customFormat="false" ht="15" hidden="false" customHeight="false" outlineLevel="0" collapsed="false">
      <c r="A31" s="11" t="n">
        <v>46325</v>
      </c>
      <c r="B31" s="12" t="s">
        <v>38</v>
      </c>
      <c r="C31" s="12" t="n">
        <v>2</v>
      </c>
      <c r="D31" s="13" t="n">
        <v>0.708333333333333</v>
      </c>
      <c r="E31" s="12" t="s">
        <v>32</v>
      </c>
      <c r="F31" s="12"/>
      <c r="G31" s="12"/>
      <c r="H31" s="12"/>
      <c r="I31" s="12"/>
      <c r="J31" s="12" t="s">
        <v>39</v>
      </c>
      <c r="K31" s="12"/>
    </row>
    <row r="32" customFormat="false" ht="15" hidden="false" customHeight="false" outlineLevel="0" collapsed="false">
      <c r="A32" s="11" t="n">
        <v>46325</v>
      </c>
      <c r="B32" s="12" t="s">
        <v>38</v>
      </c>
      <c r="C32" s="12" t="n">
        <v>3</v>
      </c>
      <c r="D32" s="13" t="n">
        <v>0.875</v>
      </c>
      <c r="E32" s="12" t="s">
        <v>40</v>
      </c>
      <c r="F32" s="12"/>
      <c r="G32" s="12"/>
      <c r="H32" s="12"/>
      <c r="I32" s="12"/>
      <c r="J32" s="12" t="s">
        <v>39</v>
      </c>
      <c r="K32" s="12"/>
    </row>
    <row r="33" customFormat="false" ht="15" hidden="false" customHeight="false" outlineLevel="0" collapsed="false">
      <c r="A33" s="11" t="n">
        <v>46325</v>
      </c>
      <c r="B33" s="12" t="s">
        <v>41</v>
      </c>
      <c r="C33" s="12" t="n">
        <v>1</v>
      </c>
      <c r="D33" s="13" t="n">
        <v>0.5</v>
      </c>
      <c r="E33" s="12" t="s">
        <v>32</v>
      </c>
      <c r="F33" s="12"/>
      <c r="G33" s="12"/>
      <c r="H33" s="12"/>
      <c r="I33" s="12"/>
      <c r="J33" s="12" t="s">
        <v>39</v>
      </c>
      <c r="K33" s="12"/>
    </row>
    <row r="34" customFormat="false" ht="15" hidden="false" customHeight="false" outlineLevel="0" collapsed="false">
      <c r="A34" s="11" t="n">
        <v>46325</v>
      </c>
      <c r="B34" s="12" t="s">
        <v>41</v>
      </c>
      <c r="C34" s="12" t="n">
        <v>2</v>
      </c>
      <c r="D34" s="13" t="n">
        <v>0.708333333333333</v>
      </c>
      <c r="E34" s="12" t="s">
        <v>32</v>
      </c>
      <c r="F34" s="12"/>
      <c r="G34" s="12"/>
      <c r="H34" s="12"/>
      <c r="I34" s="12"/>
      <c r="J34" s="12" t="s">
        <v>39</v>
      </c>
      <c r="K34" s="12"/>
    </row>
    <row r="35" customFormat="false" ht="15" hidden="false" customHeight="false" outlineLevel="0" collapsed="false">
      <c r="A35" s="11" t="n">
        <v>46325</v>
      </c>
      <c r="B35" s="12" t="s">
        <v>41</v>
      </c>
      <c r="C35" s="12" t="n">
        <v>3</v>
      </c>
      <c r="D35" s="13" t="n">
        <v>0.875</v>
      </c>
      <c r="E35" s="12" t="s">
        <v>40</v>
      </c>
      <c r="F35" s="12"/>
      <c r="G35" s="12"/>
      <c r="H35" s="12"/>
      <c r="I35" s="12"/>
      <c r="J35" s="12" t="s">
        <v>39</v>
      </c>
      <c r="K35" s="12"/>
    </row>
    <row r="36" customFormat="false" ht="15" hidden="false" customHeight="false" outlineLevel="0" collapsed="false">
      <c r="A36" s="11" t="n">
        <v>46325</v>
      </c>
      <c r="B36" s="12" t="s">
        <v>31</v>
      </c>
      <c r="C36" s="12" t="n">
        <v>1</v>
      </c>
      <c r="D36" s="13" t="n">
        <v>0.5</v>
      </c>
      <c r="E36" s="12" t="s">
        <v>32</v>
      </c>
      <c r="F36" s="12"/>
      <c r="G36" s="12"/>
      <c r="H36" s="12"/>
      <c r="I36" s="12"/>
      <c r="J36" s="12" t="s">
        <v>39</v>
      </c>
      <c r="K36" s="12"/>
    </row>
    <row r="37" customFormat="false" ht="15" hidden="false" customHeight="false" outlineLevel="0" collapsed="false">
      <c r="A37" s="11" t="n">
        <v>46325</v>
      </c>
      <c r="B37" s="12" t="s">
        <v>31</v>
      </c>
      <c r="C37" s="12" t="n">
        <v>2</v>
      </c>
      <c r="D37" s="13" t="n">
        <v>0.708333333333333</v>
      </c>
      <c r="E37" s="12" t="s">
        <v>32</v>
      </c>
      <c r="F37" s="12"/>
      <c r="G37" s="12"/>
      <c r="H37" s="12"/>
      <c r="I37" s="12"/>
      <c r="J37" s="12" t="s">
        <v>39</v>
      </c>
      <c r="K37" s="12"/>
    </row>
    <row r="38" customFormat="false" ht="15" hidden="false" customHeight="false" outlineLevel="0" collapsed="false">
      <c r="A38" s="11" t="n">
        <v>46325</v>
      </c>
      <c r="B38" s="12" t="s">
        <v>31</v>
      </c>
      <c r="C38" s="12" t="n">
        <v>3</v>
      </c>
      <c r="D38" s="13" t="n">
        <v>0.875</v>
      </c>
      <c r="E38" s="12" t="s">
        <v>40</v>
      </c>
      <c r="F38" s="12"/>
      <c r="G38" s="12"/>
      <c r="H38" s="12"/>
      <c r="I38" s="12"/>
      <c r="J38" s="12" t="s">
        <v>39</v>
      </c>
      <c r="K38" s="12"/>
    </row>
    <row r="39" customFormat="false" ht="15" hidden="false" customHeight="false" outlineLevel="0" collapsed="false">
      <c r="A39" s="11" t="n">
        <v>46326</v>
      </c>
      <c r="B39" s="12" t="s">
        <v>38</v>
      </c>
      <c r="C39" s="12" t="n">
        <v>1</v>
      </c>
      <c r="D39" s="13" t="n">
        <v>0.5</v>
      </c>
      <c r="E39" s="12" t="s">
        <v>32</v>
      </c>
      <c r="F39" s="12"/>
      <c r="G39" s="12"/>
      <c r="H39" s="12"/>
      <c r="I39" s="12"/>
      <c r="J39" s="12" t="s">
        <v>39</v>
      </c>
      <c r="K39" s="12"/>
    </row>
    <row r="40" customFormat="false" ht="15" hidden="false" customHeight="false" outlineLevel="0" collapsed="false">
      <c r="A40" s="11" t="n">
        <v>46326</v>
      </c>
      <c r="B40" s="12" t="s">
        <v>38</v>
      </c>
      <c r="C40" s="12" t="n">
        <v>2</v>
      </c>
      <c r="D40" s="13" t="n">
        <v>0.708333333333333</v>
      </c>
      <c r="E40" s="12" t="s">
        <v>32</v>
      </c>
      <c r="F40" s="12"/>
      <c r="G40" s="12"/>
      <c r="H40" s="12"/>
      <c r="I40" s="12"/>
      <c r="J40" s="12" t="s">
        <v>39</v>
      </c>
      <c r="K40" s="12"/>
    </row>
    <row r="41" customFormat="false" ht="15" hidden="false" customHeight="false" outlineLevel="0" collapsed="false">
      <c r="A41" s="11" t="n">
        <v>46326</v>
      </c>
      <c r="B41" s="12" t="s">
        <v>38</v>
      </c>
      <c r="C41" s="12" t="n">
        <v>3</v>
      </c>
      <c r="D41" s="13" t="n">
        <v>0.875</v>
      </c>
      <c r="E41" s="12" t="s">
        <v>40</v>
      </c>
      <c r="F41" s="12"/>
      <c r="G41" s="12"/>
      <c r="H41" s="12"/>
      <c r="I41" s="12"/>
      <c r="J41" s="12" t="s">
        <v>39</v>
      </c>
      <c r="K41" s="12"/>
    </row>
    <row r="42" customFormat="false" ht="15" hidden="false" customHeight="false" outlineLevel="0" collapsed="false">
      <c r="A42" s="11" t="n">
        <v>46326</v>
      </c>
      <c r="B42" s="12" t="s">
        <v>41</v>
      </c>
      <c r="C42" s="12" t="n">
        <v>1</v>
      </c>
      <c r="D42" s="13" t="n">
        <v>0.5</v>
      </c>
      <c r="E42" s="12" t="s">
        <v>32</v>
      </c>
      <c r="F42" s="12"/>
      <c r="G42" s="12"/>
      <c r="H42" s="12"/>
      <c r="I42" s="12"/>
      <c r="J42" s="12" t="s">
        <v>39</v>
      </c>
      <c r="K42" s="12"/>
    </row>
    <row r="43" customFormat="false" ht="15" hidden="false" customHeight="false" outlineLevel="0" collapsed="false">
      <c r="A43" s="11" t="n">
        <v>46326</v>
      </c>
      <c r="B43" s="12" t="s">
        <v>41</v>
      </c>
      <c r="C43" s="12" t="n">
        <v>2</v>
      </c>
      <c r="D43" s="13" t="n">
        <v>0.708333333333333</v>
      </c>
      <c r="E43" s="12" t="s">
        <v>32</v>
      </c>
      <c r="F43" s="12"/>
      <c r="G43" s="12"/>
      <c r="H43" s="12"/>
      <c r="I43" s="12"/>
      <c r="J43" s="12" t="s">
        <v>39</v>
      </c>
      <c r="K43" s="12"/>
    </row>
    <row r="44" customFormat="false" ht="15" hidden="false" customHeight="false" outlineLevel="0" collapsed="false">
      <c r="A44" s="11" t="n">
        <v>46326</v>
      </c>
      <c r="B44" s="12" t="s">
        <v>41</v>
      </c>
      <c r="C44" s="12" t="n">
        <v>3</v>
      </c>
      <c r="D44" s="13" t="n">
        <v>0.875</v>
      </c>
      <c r="E44" s="12" t="s">
        <v>40</v>
      </c>
      <c r="F44" s="12"/>
      <c r="G44" s="12"/>
      <c r="H44" s="12"/>
      <c r="I44" s="12"/>
      <c r="J44" s="12" t="s">
        <v>39</v>
      </c>
      <c r="K44" s="12"/>
    </row>
    <row r="45" customFormat="false" ht="15" hidden="false" customHeight="false" outlineLevel="0" collapsed="false">
      <c r="A45" s="11" t="n">
        <v>46326</v>
      </c>
      <c r="B45" s="12" t="s">
        <v>31</v>
      </c>
      <c r="C45" s="12" t="n">
        <v>1</v>
      </c>
      <c r="D45" s="13" t="n">
        <v>0.5</v>
      </c>
      <c r="E45" s="12" t="s">
        <v>32</v>
      </c>
      <c r="F45" s="12"/>
      <c r="G45" s="12"/>
      <c r="H45" s="12"/>
      <c r="I45" s="12"/>
      <c r="J45" s="12" t="s">
        <v>39</v>
      </c>
      <c r="K45" s="12"/>
    </row>
    <row r="46" customFormat="false" ht="15" hidden="false" customHeight="false" outlineLevel="0" collapsed="false">
      <c r="A46" s="11" t="n">
        <v>46326</v>
      </c>
      <c r="B46" s="12" t="s">
        <v>31</v>
      </c>
      <c r="C46" s="12" t="n">
        <v>2</v>
      </c>
      <c r="D46" s="13" t="n">
        <v>0.708333333333333</v>
      </c>
      <c r="E46" s="12" t="s">
        <v>32</v>
      </c>
      <c r="F46" s="12"/>
      <c r="G46" s="12"/>
      <c r="H46" s="12"/>
      <c r="I46" s="12"/>
      <c r="J46" s="12" t="s">
        <v>39</v>
      </c>
      <c r="K46" s="12"/>
    </row>
    <row r="47" customFormat="false" ht="15" hidden="false" customHeight="false" outlineLevel="0" collapsed="false">
      <c r="A47" s="11" t="n">
        <v>46326</v>
      </c>
      <c r="B47" s="12" t="s">
        <v>31</v>
      </c>
      <c r="C47" s="12" t="n">
        <v>3</v>
      </c>
      <c r="D47" s="13" t="n">
        <v>0.875</v>
      </c>
      <c r="E47" s="12" t="s">
        <v>40</v>
      </c>
      <c r="F47" s="12"/>
      <c r="G47" s="12"/>
      <c r="H47" s="12"/>
      <c r="I47" s="12"/>
      <c r="J47" s="12" t="s">
        <v>39</v>
      </c>
      <c r="K47" s="12"/>
    </row>
    <row r="48" customFormat="false" ht="15" hidden="false" customHeight="false" outlineLevel="0" collapsed="false">
      <c r="A48" s="11" t="n">
        <v>46327</v>
      </c>
      <c r="B48" s="12" t="s">
        <v>38</v>
      </c>
      <c r="C48" s="12" t="n">
        <v>1</v>
      </c>
      <c r="D48" s="13" t="n">
        <v>0.5</v>
      </c>
      <c r="E48" s="12" t="s">
        <v>32</v>
      </c>
      <c r="F48" s="12"/>
      <c r="G48" s="12"/>
      <c r="H48" s="12"/>
      <c r="I48" s="12"/>
      <c r="J48" s="12" t="s">
        <v>39</v>
      </c>
      <c r="K48" s="12"/>
    </row>
    <row r="49" customFormat="false" ht="15" hidden="false" customHeight="false" outlineLevel="0" collapsed="false">
      <c r="A49" s="11" t="n">
        <v>46327</v>
      </c>
      <c r="B49" s="12" t="s">
        <v>38</v>
      </c>
      <c r="C49" s="12" t="n">
        <v>2</v>
      </c>
      <c r="D49" s="13" t="n">
        <v>0.708333333333333</v>
      </c>
      <c r="E49" s="12" t="s">
        <v>32</v>
      </c>
      <c r="F49" s="12"/>
      <c r="G49" s="12"/>
      <c r="H49" s="12"/>
      <c r="I49" s="12"/>
      <c r="J49" s="12" t="s">
        <v>39</v>
      </c>
      <c r="K49" s="12"/>
    </row>
    <row r="50" customFormat="false" ht="15" hidden="false" customHeight="false" outlineLevel="0" collapsed="false">
      <c r="A50" s="11" t="n">
        <v>46327</v>
      </c>
      <c r="B50" s="12" t="s">
        <v>38</v>
      </c>
      <c r="C50" s="12" t="n">
        <v>3</v>
      </c>
      <c r="D50" s="13" t="n">
        <v>0.875</v>
      </c>
      <c r="E50" s="12" t="s">
        <v>40</v>
      </c>
      <c r="F50" s="12"/>
      <c r="G50" s="12"/>
      <c r="H50" s="12"/>
      <c r="I50" s="12"/>
      <c r="J50" s="12" t="s">
        <v>39</v>
      </c>
      <c r="K50" s="12"/>
    </row>
    <row r="51" customFormat="false" ht="15" hidden="false" customHeight="false" outlineLevel="0" collapsed="false">
      <c r="A51" s="11" t="n">
        <v>46327</v>
      </c>
      <c r="B51" s="12" t="s">
        <v>41</v>
      </c>
      <c r="C51" s="12" t="n">
        <v>1</v>
      </c>
      <c r="D51" s="13" t="n">
        <v>0.5</v>
      </c>
      <c r="E51" s="12" t="s">
        <v>32</v>
      </c>
      <c r="F51" s="12"/>
      <c r="G51" s="12"/>
      <c r="H51" s="12"/>
      <c r="I51" s="12"/>
      <c r="J51" s="12" t="s">
        <v>39</v>
      </c>
      <c r="K51" s="12"/>
    </row>
    <row r="52" customFormat="false" ht="15" hidden="false" customHeight="false" outlineLevel="0" collapsed="false">
      <c r="A52" s="11" t="n">
        <v>46327</v>
      </c>
      <c r="B52" s="12" t="s">
        <v>41</v>
      </c>
      <c r="C52" s="12" t="n">
        <v>2</v>
      </c>
      <c r="D52" s="13" t="n">
        <v>0.708333333333333</v>
      </c>
      <c r="E52" s="12" t="s">
        <v>32</v>
      </c>
      <c r="F52" s="12"/>
      <c r="G52" s="12"/>
      <c r="H52" s="12"/>
      <c r="I52" s="12"/>
      <c r="J52" s="12" t="s">
        <v>39</v>
      </c>
      <c r="K52" s="12"/>
    </row>
    <row r="53" customFormat="false" ht="15" hidden="false" customHeight="false" outlineLevel="0" collapsed="false">
      <c r="A53" s="11" t="n">
        <v>46327</v>
      </c>
      <c r="B53" s="12" t="s">
        <v>41</v>
      </c>
      <c r="C53" s="12" t="n">
        <v>3</v>
      </c>
      <c r="D53" s="13" t="n">
        <v>0.875</v>
      </c>
      <c r="E53" s="12" t="s">
        <v>40</v>
      </c>
      <c r="F53" s="12"/>
      <c r="G53" s="12"/>
      <c r="H53" s="12"/>
      <c r="I53" s="12"/>
      <c r="J53" s="12" t="s">
        <v>39</v>
      </c>
      <c r="K53" s="12"/>
    </row>
    <row r="54" customFormat="false" ht="15" hidden="false" customHeight="false" outlineLevel="0" collapsed="false">
      <c r="A54" s="11" t="n">
        <v>46327</v>
      </c>
      <c r="B54" s="12" t="s">
        <v>31</v>
      </c>
      <c r="C54" s="12" t="n">
        <v>1</v>
      </c>
      <c r="D54" s="13" t="n">
        <v>0.5</v>
      </c>
      <c r="E54" s="12" t="s">
        <v>32</v>
      </c>
      <c r="F54" s="12"/>
      <c r="G54" s="12"/>
      <c r="H54" s="12"/>
      <c r="I54" s="12"/>
      <c r="J54" s="12" t="s">
        <v>39</v>
      </c>
      <c r="K54" s="12"/>
    </row>
    <row r="55" customFormat="false" ht="15" hidden="false" customHeight="false" outlineLevel="0" collapsed="false">
      <c r="A55" s="11" t="n">
        <v>46327</v>
      </c>
      <c r="B55" s="12" t="s">
        <v>31</v>
      </c>
      <c r="C55" s="12" t="n">
        <v>2</v>
      </c>
      <c r="D55" s="13" t="n">
        <v>0.708333333333333</v>
      </c>
      <c r="E55" s="12" t="s">
        <v>32</v>
      </c>
      <c r="F55" s="12"/>
      <c r="G55" s="12"/>
      <c r="H55" s="12"/>
      <c r="I55" s="12"/>
      <c r="J55" s="12" t="s">
        <v>39</v>
      </c>
      <c r="K55" s="12"/>
    </row>
    <row r="56" customFormat="false" ht="15" hidden="false" customHeight="false" outlineLevel="0" collapsed="false">
      <c r="A56" s="11" t="n">
        <v>46327</v>
      </c>
      <c r="B56" s="12" t="s">
        <v>31</v>
      </c>
      <c r="C56" s="12" t="n">
        <v>3</v>
      </c>
      <c r="D56" s="13" t="n">
        <v>0.875</v>
      </c>
      <c r="E56" s="12" t="s">
        <v>40</v>
      </c>
      <c r="F56" s="12"/>
      <c r="G56" s="12"/>
      <c r="H56" s="12"/>
      <c r="I56" s="12"/>
      <c r="J56" s="12" t="s">
        <v>39</v>
      </c>
      <c r="K56" s="12"/>
    </row>
    <row r="57" customFormat="false" ht="15" hidden="false" customHeight="false" outlineLevel="0" collapsed="false">
      <c r="A57" s="11" t="n">
        <v>46328</v>
      </c>
      <c r="B57" s="12" t="s">
        <v>38</v>
      </c>
      <c r="C57" s="12" t="n">
        <v>1</v>
      </c>
      <c r="D57" s="13" t="n">
        <v>0.5</v>
      </c>
      <c r="E57" s="12" t="s">
        <v>32</v>
      </c>
      <c r="F57" s="12"/>
      <c r="G57" s="12"/>
      <c r="H57" s="12"/>
      <c r="I57" s="12"/>
      <c r="J57" s="12" t="s">
        <v>39</v>
      </c>
      <c r="K57" s="12"/>
    </row>
    <row r="58" customFormat="false" ht="15" hidden="false" customHeight="false" outlineLevel="0" collapsed="false">
      <c r="A58" s="11" t="n">
        <v>46328</v>
      </c>
      <c r="B58" s="12" t="s">
        <v>38</v>
      </c>
      <c r="C58" s="12" t="n">
        <v>2</v>
      </c>
      <c r="D58" s="13" t="n">
        <v>0.708333333333333</v>
      </c>
      <c r="E58" s="12" t="s">
        <v>32</v>
      </c>
      <c r="F58" s="12"/>
      <c r="G58" s="12"/>
      <c r="H58" s="12"/>
      <c r="I58" s="12"/>
      <c r="J58" s="12" t="s">
        <v>39</v>
      </c>
      <c r="K58" s="12"/>
    </row>
    <row r="59" customFormat="false" ht="15" hidden="false" customHeight="false" outlineLevel="0" collapsed="false">
      <c r="A59" s="11" t="n">
        <v>46328</v>
      </c>
      <c r="B59" s="12" t="s">
        <v>38</v>
      </c>
      <c r="C59" s="12" t="n">
        <v>3</v>
      </c>
      <c r="D59" s="13" t="n">
        <v>0.875</v>
      </c>
      <c r="E59" s="12" t="s">
        <v>40</v>
      </c>
      <c r="F59" s="12"/>
      <c r="G59" s="12"/>
      <c r="H59" s="12"/>
      <c r="I59" s="12"/>
      <c r="J59" s="12" t="s">
        <v>39</v>
      </c>
      <c r="K59" s="12"/>
    </row>
    <row r="60" customFormat="false" ht="15" hidden="false" customHeight="false" outlineLevel="0" collapsed="false">
      <c r="A60" s="11" t="n">
        <v>46328</v>
      </c>
      <c r="B60" s="12" t="s">
        <v>41</v>
      </c>
      <c r="C60" s="12" t="n">
        <v>1</v>
      </c>
      <c r="D60" s="13" t="n">
        <v>0.5</v>
      </c>
      <c r="E60" s="12" t="s">
        <v>32</v>
      </c>
      <c r="F60" s="12"/>
      <c r="G60" s="12"/>
      <c r="H60" s="12"/>
      <c r="I60" s="12"/>
      <c r="J60" s="12" t="s">
        <v>39</v>
      </c>
      <c r="K60" s="12"/>
    </row>
    <row r="61" customFormat="false" ht="15" hidden="false" customHeight="false" outlineLevel="0" collapsed="false">
      <c r="A61" s="11" t="n">
        <v>46328</v>
      </c>
      <c r="B61" s="12" t="s">
        <v>41</v>
      </c>
      <c r="C61" s="12" t="n">
        <v>2</v>
      </c>
      <c r="D61" s="13" t="n">
        <v>0.708333333333333</v>
      </c>
      <c r="E61" s="12" t="s">
        <v>32</v>
      </c>
      <c r="F61" s="12"/>
      <c r="G61" s="12"/>
      <c r="H61" s="12"/>
      <c r="I61" s="12"/>
      <c r="J61" s="12" t="s">
        <v>39</v>
      </c>
      <c r="K61" s="12"/>
    </row>
    <row r="62" customFormat="false" ht="15" hidden="false" customHeight="false" outlineLevel="0" collapsed="false">
      <c r="A62" s="11" t="n">
        <v>46328</v>
      </c>
      <c r="B62" s="12" t="s">
        <v>41</v>
      </c>
      <c r="C62" s="12" t="n">
        <v>3</v>
      </c>
      <c r="D62" s="13" t="n">
        <v>0.875</v>
      </c>
      <c r="E62" s="12" t="s">
        <v>40</v>
      </c>
      <c r="F62" s="12"/>
      <c r="G62" s="12"/>
      <c r="H62" s="12"/>
      <c r="I62" s="12"/>
      <c r="J62" s="12" t="s">
        <v>39</v>
      </c>
      <c r="K62" s="12"/>
    </row>
    <row r="63" customFormat="false" ht="15" hidden="false" customHeight="false" outlineLevel="0" collapsed="false">
      <c r="A63" s="11" t="n">
        <v>46328</v>
      </c>
      <c r="B63" s="12" t="s">
        <v>31</v>
      </c>
      <c r="C63" s="12" t="n">
        <v>1</v>
      </c>
      <c r="D63" s="13" t="n">
        <v>0.5</v>
      </c>
      <c r="E63" s="12" t="s">
        <v>32</v>
      </c>
      <c r="F63" s="12"/>
      <c r="G63" s="12"/>
      <c r="H63" s="12"/>
      <c r="I63" s="12"/>
      <c r="J63" s="12" t="s">
        <v>39</v>
      </c>
      <c r="K63" s="12"/>
    </row>
    <row r="64" customFormat="false" ht="15" hidden="false" customHeight="false" outlineLevel="0" collapsed="false">
      <c r="A64" s="11" t="n">
        <v>46328</v>
      </c>
      <c r="B64" s="12" t="s">
        <v>31</v>
      </c>
      <c r="C64" s="12" t="n">
        <v>2</v>
      </c>
      <c r="D64" s="13" t="n">
        <v>0.708333333333333</v>
      </c>
      <c r="E64" s="12" t="s">
        <v>32</v>
      </c>
      <c r="F64" s="12"/>
      <c r="G64" s="12"/>
      <c r="H64" s="12"/>
      <c r="I64" s="12"/>
      <c r="J64" s="12" t="s">
        <v>39</v>
      </c>
      <c r="K64" s="12"/>
    </row>
    <row r="65" customFormat="false" ht="15" hidden="false" customHeight="false" outlineLevel="0" collapsed="false">
      <c r="A65" s="11" t="n">
        <v>46328</v>
      </c>
      <c r="B65" s="12" t="s">
        <v>31</v>
      </c>
      <c r="C65" s="12" t="n">
        <v>3</v>
      </c>
      <c r="D65" s="13" t="n">
        <v>0.875</v>
      </c>
      <c r="E65" s="12" t="s">
        <v>40</v>
      </c>
      <c r="F65" s="12"/>
      <c r="G65" s="12"/>
      <c r="H65" s="12"/>
      <c r="I65" s="12"/>
      <c r="J65" s="12" t="s">
        <v>39</v>
      </c>
      <c r="K65" s="12"/>
    </row>
    <row r="66" customFormat="false" ht="15" hidden="false" customHeight="false" outlineLevel="0" collapsed="false">
      <c r="A66" s="11" t="n">
        <v>46329</v>
      </c>
      <c r="B66" s="12" t="s">
        <v>38</v>
      </c>
      <c r="C66" s="12" t="n">
        <v>1</v>
      </c>
      <c r="D66" s="13" t="n">
        <v>0.5</v>
      </c>
      <c r="E66" s="12" t="s">
        <v>32</v>
      </c>
      <c r="F66" s="12"/>
      <c r="G66" s="12"/>
      <c r="H66" s="12"/>
      <c r="I66" s="12"/>
      <c r="J66" s="12" t="s">
        <v>39</v>
      </c>
      <c r="K66" s="12"/>
    </row>
    <row r="67" customFormat="false" ht="15" hidden="false" customHeight="false" outlineLevel="0" collapsed="false">
      <c r="A67" s="11" t="n">
        <v>46329</v>
      </c>
      <c r="B67" s="12" t="s">
        <v>38</v>
      </c>
      <c r="C67" s="12" t="n">
        <v>2</v>
      </c>
      <c r="D67" s="13" t="n">
        <v>0.708333333333333</v>
      </c>
      <c r="E67" s="12" t="s">
        <v>32</v>
      </c>
      <c r="F67" s="12"/>
      <c r="G67" s="12"/>
      <c r="H67" s="12"/>
      <c r="I67" s="12"/>
      <c r="J67" s="12" t="s">
        <v>39</v>
      </c>
      <c r="K67" s="12"/>
    </row>
    <row r="68" customFormat="false" ht="15" hidden="false" customHeight="false" outlineLevel="0" collapsed="false">
      <c r="A68" s="11" t="n">
        <v>46329</v>
      </c>
      <c r="B68" s="12" t="s">
        <v>38</v>
      </c>
      <c r="C68" s="12" t="n">
        <v>3</v>
      </c>
      <c r="D68" s="13" t="n">
        <v>0.875</v>
      </c>
      <c r="E68" s="12" t="s">
        <v>40</v>
      </c>
      <c r="F68" s="12"/>
      <c r="G68" s="12"/>
      <c r="H68" s="12"/>
      <c r="I68" s="12"/>
      <c r="J68" s="12" t="s">
        <v>39</v>
      </c>
      <c r="K68" s="12"/>
    </row>
    <row r="69" customFormat="false" ht="15" hidden="false" customHeight="false" outlineLevel="0" collapsed="false">
      <c r="A69" s="11" t="n">
        <v>46329</v>
      </c>
      <c r="B69" s="12" t="s">
        <v>41</v>
      </c>
      <c r="C69" s="12" t="n">
        <v>1</v>
      </c>
      <c r="D69" s="13" t="n">
        <v>0.5</v>
      </c>
      <c r="E69" s="12" t="s">
        <v>32</v>
      </c>
      <c r="F69" s="12"/>
      <c r="G69" s="12"/>
      <c r="H69" s="12"/>
      <c r="I69" s="12"/>
      <c r="J69" s="12" t="s">
        <v>39</v>
      </c>
      <c r="K69" s="12"/>
    </row>
    <row r="70" customFormat="false" ht="15" hidden="false" customHeight="false" outlineLevel="0" collapsed="false">
      <c r="A70" s="11" t="n">
        <v>46329</v>
      </c>
      <c r="B70" s="12" t="s">
        <v>41</v>
      </c>
      <c r="C70" s="12" t="n">
        <v>2</v>
      </c>
      <c r="D70" s="13" t="n">
        <v>0.708333333333333</v>
      </c>
      <c r="E70" s="12" t="s">
        <v>32</v>
      </c>
      <c r="F70" s="12"/>
      <c r="G70" s="12"/>
      <c r="H70" s="12"/>
      <c r="I70" s="12"/>
      <c r="J70" s="12" t="s">
        <v>39</v>
      </c>
      <c r="K70" s="12"/>
    </row>
    <row r="71" customFormat="false" ht="15" hidden="false" customHeight="false" outlineLevel="0" collapsed="false">
      <c r="A71" s="11" t="n">
        <v>46329</v>
      </c>
      <c r="B71" s="12" t="s">
        <v>41</v>
      </c>
      <c r="C71" s="12" t="n">
        <v>3</v>
      </c>
      <c r="D71" s="13" t="n">
        <v>0.875</v>
      </c>
      <c r="E71" s="12" t="s">
        <v>40</v>
      </c>
      <c r="F71" s="12"/>
      <c r="G71" s="12"/>
      <c r="H71" s="12"/>
      <c r="I71" s="12"/>
      <c r="J71" s="12" t="s">
        <v>39</v>
      </c>
      <c r="K71" s="12"/>
    </row>
    <row r="72" customFormat="false" ht="15" hidden="false" customHeight="false" outlineLevel="0" collapsed="false">
      <c r="A72" s="11" t="n">
        <v>46329</v>
      </c>
      <c r="B72" s="12" t="s">
        <v>31</v>
      </c>
      <c r="C72" s="12" t="n">
        <v>1</v>
      </c>
      <c r="D72" s="13" t="n">
        <v>0.5</v>
      </c>
      <c r="E72" s="12" t="s">
        <v>32</v>
      </c>
      <c r="F72" s="12"/>
      <c r="G72" s="12"/>
      <c r="H72" s="12"/>
      <c r="I72" s="12"/>
      <c r="J72" s="12" t="s">
        <v>39</v>
      </c>
      <c r="K72" s="12"/>
    </row>
    <row r="73" customFormat="false" ht="15" hidden="false" customHeight="false" outlineLevel="0" collapsed="false">
      <c r="A73" s="11" t="n">
        <v>46329</v>
      </c>
      <c r="B73" s="12" t="s">
        <v>31</v>
      </c>
      <c r="C73" s="12" t="n">
        <v>2</v>
      </c>
      <c r="D73" s="13" t="n">
        <v>0.708333333333333</v>
      </c>
      <c r="E73" s="12" t="s">
        <v>32</v>
      </c>
      <c r="F73" s="12"/>
      <c r="G73" s="12"/>
      <c r="H73" s="12"/>
      <c r="I73" s="12"/>
      <c r="J73" s="12" t="s">
        <v>39</v>
      </c>
      <c r="K73" s="12"/>
    </row>
    <row r="74" customFormat="false" ht="15" hidden="false" customHeight="false" outlineLevel="0" collapsed="false">
      <c r="A74" s="11" t="n">
        <v>46329</v>
      </c>
      <c r="B74" s="12" t="s">
        <v>31</v>
      </c>
      <c r="C74" s="12" t="n">
        <v>3</v>
      </c>
      <c r="D74" s="13" t="n">
        <v>0.875</v>
      </c>
      <c r="E74" s="12" t="s">
        <v>40</v>
      </c>
      <c r="F74" s="12"/>
      <c r="G74" s="12"/>
      <c r="H74" s="12"/>
      <c r="I74" s="12"/>
      <c r="J74" s="12" t="s">
        <v>39</v>
      </c>
      <c r="K74" s="12"/>
    </row>
    <row r="75" customFormat="false" ht="15" hidden="false" customHeight="false" outlineLevel="0" collapsed="false">
      <c r="A75" s="11" t="n">
        <v>46330</v>
      </c>
      <c r="B75" s="12" t="s">
        <v>38</v>
      </c>
      <c r="C75" s="12" t="n">
        <v>1</v>
      </c>
      <c r="D75" s="13" t="n">
        <v>0.5</v>
      </c>
      <c r="E75" s="12" t="s">
        <v>32</v>
      </c>
      <c r="F75" s="12"/>
      <c r="G75" s="12"/>
      <c r="H75" s="12"/>
      <c r="I75" s="12"/>
      <c r="J75" s="12" t="s">
        <v>39</v>
      </c>
      <c r="K75" s="12"/>
    </row>
    <row r="76" customFormat="false" ht="15" hidden="false" customHeight="false" outlineLevel="0" collapsed="false">
      <c r="A76" s="11" t="n">
        <v>46330</v>
      </c>
      <c r="B76" s="12" t="s">
        <v>38</v>
      </c>
      <c r="C76" s="12" t="n">
        <v>2</v>
      </c>
      <c r="D76" s="13" t="n">
        <v>0.708333333333333</v>
      </c>
      <c r="E76" s="12" t="s">
        <v>32</v>
      </c>
      <c r="F76" s="12"/>
      <c r="G76" s="12"/>
      <c r="H76" s="12"/>
      <c r="I76" s="12"/>
      <c r="J76" s="12" t="s">
        <v>39</v>
      </c>
      <c r="K76" s="12"/>
    </row>
    <row r="77" customFormat="false" ht="15" hidden="false" customHeight="false" outlineLevel="0" collapsed="false">
      <c r="A77" s="11" t="n">
        <v>46330</v>
      </c>
      <c r="B77" s="12" t="s">
        <v>38</v>
      </c>
      <c r="C77" s="12" t="n">
        <v>3</v>
      </c>
      <c r="D77" s="13" t="n">
        <v>0.875</v>
      </c>
      <c r="E77" s="12" t="s">
        <v>40</v>
      </c>
      <c r="F77" s="12"/>
      <c r="G77" s="12"/>
      <c r="H77" s="12"/>
      <c r="I77" s="12"/>
      <c r="J77" s="12" t="s">
        <v>39</v>
      </c>
      <c r="K77" s="12"/>
    </row>
    <row r="78" customFormat="false" ht="15" hidden="false" customHeight="false" outlineLevel="0" collapsed="false">
      <c r="A78" s="11" t="n">
        <v>46330</v>
      </c>
      <c r="B78" s="12" t="s">
        <v>41</v>
      </c>
      <c r="C78" s="12" t="n">
        <v>1</v>
      </c>
      <c r="D78" s="13" t="n">
        <v>0.5</v>
      </c>
      <c r="E78" s="12" t="s">
        <v>32</v>
      </c>
      <c r="F78" s="12"/>
      <c r="G78" s="12"/>
      <c r="H78" s="12"/>
      <c r="I78" s="12"/>
      <c r="J78" s="12" t="s">
        <v>39</v>
      </c>
      <c r="K78" s="12"/>
    </row>
    <row r="79" customFormat="false" ht="15" hidden="false" customHeight="false" outlineLevel="0" collapsed="false">
      <c r="A79" s="11" t="n">
        <v>46330</v>
      </c>
      <c r="B79" s="12" t="s">
        <v>41</v>
      </c>
      <c r="C79" s="12" t="n">
        <v>2</v>
      </c>
      <c r="D79" s="13" t="n">
        <v>0.708333333333333</v>
      </c>
      <c r="E79" s="12" t="s">
        <v>32</v>
      </c>
      <c r="F79" s="12"/>
      <c r="G79" s="12"/>
      <c r="H79" s="12"/>
      <c r="I79" s="12"/>
      <c r="J79" s="12" t="s">
        <v>39</v>
      </c>
      <c r="K79" s="12"/>
    </row>
    <row r="80" customFormat="false" ht="15" hidden="false" customHeight="false" outlineLevel="0" collapsed="false">
      <c r="A80" s="11" t="n">
        <v>46330</v>
      </c>
      <c r="B80" s="12" t="s">
        <v>41</v>
      </c>
      <c r="C80" s="12" t="n">
        <v>3</v>
      </c>
      <c r="D80" s="13" t="n">
        <v>0.875</v>
      </c>
      <c r="E80" s="12" t="s">
        <v>40</v>
      </c>
      <c r="F80" s="12"/>
      <c r="G80" s="12"/>
      <c r="H80" s="12"/>
      <c r="I80" s="12"/>
      <c r="J80" s="12" t="s">
        <v>39</v>
      </c>
      <c r="K80" s="12"/>
    </row>
    <row r="81" customFormat="false" ht="15" hidden="false" customHeight="false" outlineLevel="0" collapsed="false">
      <c r="A81" s="11" t="n">
        <v>46330</v>
      </c>
      <c r="B81" s="12" t="s">
        <v>31</v>
      </c>
      <c r="C81" s="12" t="n">
        <v>1</v>
      </c>
      <c r="D81" s="13" t="n">
        <v>0.5</v>
      </c>
      <c r="E81" s="12" t="s">
        <v>32</v>
      </c>
      <c r="F81" s="12"/>
      <c r="G81" s="12"/>
      <c r="H81" s="12"/>
      <c r="I81" s="12"/>
      <c r="J81" s="12" t="s">
        <v>39</v>
      </c>
      <c r="K81" s="12"/>
    </row>
    <row r="82" customFormat="false" ht="15" hidden="false" customHeight="false" outlineLevel="0" collapsed="false">
      <c r="A82" s="11" t="n">
        <v>46330</v>
      </c>
      <c r="B82" s="12" t="s">
        <v>31</v>
      </c>
      <c r="C82" s="12" t="n">
        <v>2</v>
      </c>
      <c r="D82" s="13" t="n">
        <v>0.708333333333333</v>
      </c>
      <c r="E82" s="12" t="s">
        <v>32</v>
      </c>
      <c r="F82" s="12"/>
      <c r="G82" s="12"/>
      <c r="H82" s="12"/>
      <c r="I82" s="12"/>
      <c r="J82" s="12" t="s">
        <v>39</v>
      </c>
      <c r="K82" s="12"/>
    </row>
    <row r="83" customFormat="false" ht="15" hidden="false" customHeight="false" outlineLevel="0" collapsed="false">
      <c r="A83" s="11" t="n">
        <v>46330</v>
      </c>
      <c r="B83" s="12" t="s">
        <v>31</v>
      </c>
      <c r="C83" s="12" t="n">
        <v>3</v>
      </c>
      <c r="D83" s="13" t="n">
        <v>0.875</v>
      </c>
      <c r="E83" s="12" t="s">
        <v>40</v>
      </c>
      <c r="F83" s="12"/>
      <c r="G83" s="12"/>
      <c r="H83" s="12"/>
      <c r="I83" s="12"/>
      <c r="J83" s="12" t="s">
        <v>39</v>
      </c>
      <c r="K83" s="12"/>
    </row>
    <row r="84" customFormat="false" ht="15" hidden="false" customHeight="false" outlineLevel="0" collapsed="false">
      <c r="A84" s="11" t="n">
        <v>46331</v>
      </c>
      <c r="B84" s="12" t="s">
        <v>38</v>
      </c>
      <c r="C84" s="12" t="n">
        <v>1</v>
      </c>
      <c r="D84" s="13" t="n">
        <v>0.5</v>
      </c>
      <c r="E84" s="12" t="s">
        <v>32</v>
      </c>
      <c r="F84" s="12"/>
      <c r="G84" s="12"/>
      <c r="H84" s="12"/>
      <c r="I84" s="12"/>
      <c r="J84" s="12" t="s">
        <v>39</v>
      </c>
      <c r="K84" s="12"/>
    </row>
    <row r="85" customFormat="false" ht="15" hidden="false" customHeight="false" outlineLevel="0" collapsed="false">
      <c r="A85" s="11" t="n">
        <v>46331</v>
      </c>
      <c r="B85" s="12" t="s">
        <v>38</v>
      </c>
      <c r="C85" s="12" t="n">
        <v>2</v>
      </c>
      <c r="D85" s="13" t="n">
        <v>0.708333333333333</v>
      </c>
      <c r="E85" s="12" t="s">
        <v>32</v>
      </c>
      <c r="F85" s="12"/>
      <c r="G85" s="12"/>
      <c r="H85" s="12"/>
      <c r="I85" s="12"/>
      <c r="J85" s="12" t="s">
        <v>39</v>
      </c>
      <c r="K85" s="12"/>
    </row>
    <row r="86" customFormat="false" ht="15" hidden="false" customHeight="false" outlineLevel="0" collapsed="false">
      <c r="A86" s="11" t="n">
        <v>46331</v>
      </c>
      <c r="B86" s="12" t="s">
        <v>38</v>
      </c>
      <c r="C86" s="12" t="n">
        <v>3</v>
      </c>
      <c r="D86" s="13" t="n">
        <v>0.875</v>
      </c>
      <c r="E86" s="12" t="s">
        <v>40</v>
      </c>
      <c r="F86" s="12"/>
      <c r="G86" s="12"/>
      <c r="H86" s="12"/>
      <c r="I86" s="12"/>
      <c r="J86" s="12" t="s">
        <v>39</v>
      </c>
      <c r="K86" s="12"/>
    </row>
    <row r="87" customFormat="false" ht="15" hidden="false" customHeight="false" outlineLevel="0" collapsed="false">
      <c r="A87" s="11" t="n">
        <v>46331</v>
      </c>
      <c r="B87" s="12" t="s">
        <v>41</v>
      </c>
      <c r="C87" s="12" t="n">
        <v>1</v>
      </c>
      <c r="D87" s="13" t="n">
        <v>0.5</v>
      </c>
      <c r="E87" s="12" t="s">
        <v>32</v>
      </c>
      <c r="F87" s="12"/>
      <c r="G87" s="12"/>
      <c r="H87" s="12"/>
      <c r="I87" s="12"/>
      <c r="J87" s="12" t="s">
        <v>39</v>
      </c>
      <c r="K87" s="12"/>
    </row>
    <row r="88" customFormat="false" ht="15" hidden="false" customHeight="false" outlineLevel="0" collapsed="false">
      <c r="A88" s="11" t="n">
        <v>46331</v>
      </c>
      <c r="B88" s="12" t="s">
        <v>41</v>
      </c>
      <c r="C88" s="12" t="n">
        <v>2</v>
      </c>
      <c r="D88" s="13" t="n">
        <v>0.708333333333333</v>
      </c>
      <c r="E88" s="12" t="s">
        <v>32</v>
      </c>
      <c r="F88" s="12"/>
      <c r="G88" s="12"/>
      <c r="H88" s="12"/>
      <c r="I88" s="12"/>
      <c r="J88" s="12" t="s">
        <v>39</v>
      </c>
      <c r="K88" s="12"/>
    </row>
    <row r="89" customFormat="false" ht="15" hidden="false" customHeight="false" outlineLevel="0" collapsed="false">
      <c r="A89" s="11" t="n">
        <v>46331</v>
      </c>
      <c r="B89" s="12" t="s">
        <v>41</v>
      </c>
      <c r="C89" s="12" t="n">
        <v>3</v>
      </c>
      <c r="D89" s="13" t="n">
        <v>0.875</v>
      </c>
      <c r="E89" s="12" t="s">
        <v>40</v>
      </c>
      <c r="F89" s="12"/>
      <c r="G89" s="12"/>
      <c r="H89" s="12"/>
      <c r="I89" s="12"/>
      <c r="J89" s="12" t="s">
        <v>39</v>
      </c>
      <c r="K89" s="12"/>
    </row>
    <row r="90" customFormat="false" ht="15" hidden="false" customHeight="false" outlineLevel="0" collapsed="false">
      <c r="A90" s="11" t="n">
        <v>46331</v>
      </c>
      <c r="B90" s="12" t="s">
        <v>31</v>
      </c>
      <c r="C90" s="12" t="n">
        <v>1</v>
      </c>
      <c r="D90" s="13" t="n">
        <v>0.5</v>
      </c>
      <c r="E90" s="12" t="s">
        <v>32</v>
      </c>
      <c r="F90" s="12"/>
      <c r="G90" s="12"/>
      <c r="H90" s="12"/>
      <c r="I90" s="12"/>
      <c r="J90" s="12" t="s">
        <v>39</v>
      </c>
      <c r="K90" s="12"/>
    </row>
    <row r="91" customFormat="false" ht="15" hidden="false" customHeight="false" outlineLevel="0" collapsed="false">
      <c r="A91" s="11" t="n">
        <v>46331</v>
      </c>
      <c r="B91" s="12" t="s">
        <v>31</v>
      </c>
      <c r="C91" s="12" t="n">
        <v>2</v>
      </c>
      <c r="D91" s="13" t="n">
        <v>0.708333333333333</v>
      </c>
      <c r="E91" s="12" t="s">
        <v>32</v>
      </c>
      <c r="F91" s="12"/>
      <c r="G91" s="12"/>
      <c r="H91" s="12"/>
      <c r="I91" s="12"/>
      <c r="J91" s="12" t="s">
        <v>39</v>
      </c>
      <c r="K91" s="12"/>
    </row>
    <row r="92" customFormat="false" ht="15" hidden="false" customHeight="false" outlineLevel="0" collapsed="false">
      <c r="A92" s="11" t="n">
        <v>46331</v>
      </c>
      <c r="B92" s="12" t="s">
        <v>31</v>
      </c>
      <c r="C92" s="12" t="n">
        <v>3</v>
      </c>
      <c r="D92" s="13" t="n">
        <v>0.875</v>
      </c>
      <c r="E92" s="12" t="s">
        <v>40</v>
      </c>
      <c r="F92" s="12"/>
      <c r="G92" s="12"/>
      <c r="H92" s="12"/>
      <c r="I92" s="12"/>
      <c r="J92" s="12" t="s">
        <v>39</v>
      </c>
      <c r="K92" s="12"/>
    </row>
    <row r="93" customFormat="false" ht="15" hidden="false" customHeight="false" outlineLevel="0" collapsed="false">
      <c r="A93" s="11" t="n">
        <v>46332</v>
      </c>
      <c r="B93" s="12" t="s">
        <v>38</v>
      </c>
      <c r="C93" s="12" t="n">
        <v>1</v>
      </c>
      <c r="D93" s="13" t="n">
        <v>0.5</v>
      </c>
      <c r="E93" s="12" t="s">
        <v>32</v>
      </c>
      <c r="F93" s="12"/>
      <c r="G93" s="12"/>
      <c r="H93" s="12"/>
      <c r="I93" s="12"/>
      <c r="J93" s="12" t="s">
        <v>39</v>
      </c>
      <c r="K93" s="12"/>
    </row>
    <row r="94" customFormat="false" ht="15" hidden="false" customHeight="false" outlineLevel="0" collapsed="false">
      <c r="A94" s="11" t="n">
        <v>46332</v>
      </c>
      <c r="B94" s="12" t="s">
        <v>38</v>
      </c>
      <c r="C94" s="12" t="n">
        <v>2</v>
      </c>
      <c r="D94" s="13" t="n">
        <v>0.708333333333333</v>
      </c>
      <c r="E94" s="12" t="s">
        <v>32</v>
      </c>
      <c r="F94" s="12"/>
      <c r="G94" s="12"/>
      <c r="H94" s="12"/>
      <c r="I94" s="12"/>
      <c r="J94" s="12" t="s">
        <v>39</v>
      </c>
      <c r="K94" s="12"/>
    </row>
    <row r="95" customFormat="false" ht="15" hidden="false" customHeight="false" outlineLevel="0" collapsed="false">
      <c r="A95" s="11" t="n">
        <v>46332</v>
      </c>
      <c r="B95" s="12" t="s">
        <v>38</v>
      </c>
      <c r="C95" s="12" t="n">
        <v>3</v>
      </c>
      <c r="D95" s="13" t="n">
        <v>0.875</v>
      </c>
      <c r="E95" s="12" t="s">
        <v>40</v>
      </c>
      <c r="F95" s="12"/>
      <c r="G95" s="12"/>
      <c r="H95" s="12"/>
      <c r="I95" s="12"/>
      <c r="J95" s="12" t="s">
        <v>39</v>
      </c>
      <c r="K95" s="12"/>
    </row>
    <row r="96" customFormat="false" ht="15" hidden="false" customHeight="false" outlineLevel="0" collapsed="false">
      <c r="A96" s="11" t="n">
        <v>46332</v>
      </c>
      <c r="B96" s="12" t="s">
        <v>41</v>
      </c>
      <c r="C96" s="12" t="n">
        <v>1</v>
      </c>
      <c r="D96" s="13" t="n">
        <v>0.5</v>
      </c>
      <c r="E96" s="12" t="s">
        <v>32</v>
      </c>
      <c r="F96" s="12"/>
      <c r="G96" s="12"/>
      <c r="H96" s="12"/>
      <c r="I96" s="12"/>
      <c r="J96" s="12" t="s">
        <v>39</v>
      </c>
      <c r="K96" s="12"/>
    </row>
    <row r="97" customFormat="false" ht="15" hidden="false" customHeight="false" outlineLevel="0" collapsed="false">
      <c r="A97" s="11" t="n">
        <v>46332</v>
      </c>
      <c r="B97" s="12" t="s">
        <v>41</v>
      </c>
      <c r="C97" s="12" t="n">
        <v>2</v>
      </c>
      <c r="D97" s="13" t="n">
        <v>0.708333333333333</v>
      </c>
      <c r="E97" s="12" t="s">
        <v>32</v>
      </c>
      <c r="F97" s="12"/>
      <c r="G97" s="12"/>
      <c r="H97" s="12"/>
      <c r="I97" s="12"/>
      <c r="J97" s="12" t="s">
        <v>39</v>
      </c>
      <c r="K97" s="12"/>
    </row>
    <row r="98" customFormat="false" ht="15" hidden="false" customHeight="false" outlineLevel="0" collapsed="false">
      <c r="A98" s="11" t="n">
        <v>46332</v>
      </c>
      <c r="B98" s="12" t="s">
        <v>41</v>
      </c>
      <c r="C98" s="12" t="n">
        <v>3</v>
      </c>
      <c r="D98" s="13" t="n">
        <v>0.875</v>
      </c>
      <c r="E98" s="12" t="s">
        <v>40</v>
      </c>
      <c r="F98" s="12"/>
      <c r="G98" s="12"/>
      <c r="H98" s="12"/>
      <c r="I98" s="12"/>
      <c r="J98" s="12" t="s">
        <v>39</v>
      </c>
      <c r="K98" s="12"/>
    </row>
    <row r="99" customFormat="false" ht="15" hidden="false" customHeight="false" outlineLevel="0" collapsed="false">
      <c r="A99" s="11" t="n">
        <v>46332</v>
      </c>
      <c r="B99" s="12" t="s">
        <v>31</v>
      </c>
      <c r="C99" s="12" t="n">
        <v>1</v>
      </c>
      <c r="D99" s="13" t="n">
        <v>0.5</v>
      </c>
      <c r="E99" s="12" t="s">
        <v>32</v>
      </c>
      <c r="F99" s="12"/>
      <c r="G99" s="12"/>
      <c r="H99" s="12"/>
      <c r="I99" s="12"/>
      <c r="J99" s="12" t="s">
        <v>39</v>
      </c>
      <c r="K99" s="12"/>
    </row>
    <row r="100" customFormat="false" ht="15" hidden="false" customHeight="false" outlineLevel="0" collapsed="false">
      <c r="A100" s="11" t="n">
        <v>46332</v>
      </c>
      <c r="B100" s="12" t="s">
        <v>31</v>
      </c>
      <c r="C100" s="12" t="n">
        <v>2</v>
      </c>
      <c r="D100" s="13" t="n">
        <v>0.708333333333333</v>
      </c>
      <c r="E100" s="12" t="s">
        <v>32</v>
      </c>
      <c r="F100" s="12"/>
      <c r="G100" s="12"/>
      <c r="H100" s="12"/>
      <c r="I100" s="12"/>
      <c r="J100" s="12" t="s">
        <v>39</v>
      </c>
      <c r="K100" s="12"/>
    </row>
    <row r="101" customFormat="false" ht="15" hidden="false" customHeight="false" outlineLevel="0" collapsed="false">
      <c r="A101" s="11" t="n">
        <v>46332</v>
      </c>
      <c r="B101" s="12" t="s">
        <v>31</v>
      </c>
      <c r="C101" s="12" t="n">
        <v>3</v>
      </c>
      <c r="D101" s="13" t="n">
        <v>0.875</v>
      </c>
      <c r="E101" s="12" t="s">
        <v>40</v>
      </c>
      <c r="F101" s="12"/>
      <c r="G101" s="12"/>
      <c r="H101" s="12"/>
      <c r="I101" s="12"/>
      <c r="J101" s="12" t="s">
        <v>39</v>
      </c>
      <c r="K101" s="12"/>
    </row>
    <row r="102" customFormat="false" ht="15" hidden="false" customHeight="false" outlineLevel="0" collapsed="false">
      <c r="A102" s="11" t="n">
        <v>46333</v>
      </c>
      <c r="B102" s="12" t="s">
        <v>38</v>
      </c>
      <c r="C102" s="12" t="n">
        <v>1</v>
      </c>
      <c r="D102" s="13" t="n">
        <v>0.5</v>
      </c>
      <c r="E102" s="12" t="s">
        <v>32</v>
      </c>
      <c r="F102" s="12"/>
      <c r="G102" s="12"/>
      <c r="H102" s="12"/>
      <c r="I102" s="12"/>
      <c r="J102" s="12" t="s">
        <v>39</v>
      </c>
      <c r="K102" s="12"/>
    </row>
    <row r="103" customFormat="false" ht="15" hidden="false" customHeight="false" outlineLevel="0" collapsed="false">
      <c r="A103" s="11" t="n">
        <v>46333</v>
      </c>
      <c r="B103" s="12" t="s">
        <v>38</v>
      </c>
      <c r="C103" s="12" t="n">
        <v>2</v>
      </c>
      <c r="D103" s="13" t="n">
        <v>0.708333333333333</v>
      </c>
      <c r="E103" s="12" t="s">
        <v>32</v>
      </c>
      <c r="F103" s="12"/>
      <c r="G103" s="12"/>
      <c r="H103" s="12"/>
      <c r="I103" s="12"/>
      <c r="J103" s="12" t="s">
        <v>39</v>
      </c>
      <c r="K103" s="12"/>
    </row>
    <row r="104" customFormat="false" ht="15" hidden="false" customHeight="false" outlineLevel="0" collapsed="false">
      <c r="A104" s="11" t="n">
        <v>46333</v>
      </c>
      <c r="B104" s="12" t="s">
        <v>38</v>
      </c>
      <c r="C104" s="12" t="n">
        <v>3</v>
      </c>
      <c r="D104" s="13" t="n">
        <v>0.875</v>
      </c>
      <c r="E104" s="12" t="s">
        <v>40</v>
      </c>
      <c r="F104" s="12"/>
      <c r="G104" s="12"/>
      <c r="H104" s="12"/>
      <c r="I104" s="12"/>
      <c r="J104" s="12" t="s">
        <v>39</v>
      </c>
      <c r="K104" s="12"/>
    </row>
    <row r="105" customFormat="false" ht="15" hidden="false" customHeight="false" outlineLevel="0" collapsed="false">
      <c r="A105" s="11" t="n">
        <v>46333</v>
      </c>
      <c r="B105" s="12" t="s">
        <v>41</v>
      </c>
      <c r="C105" s="12" t="n">
        <v>1</v>
      </c>
      <c r="D105" s="13" t="n">
        <v>0.5</v>
      </c>
      <c r="E105" s="12" t="s">
        <v>32</v>
      </c>
      <c r="F105" s="12"/>
      <c r="G105" s="12"/>
      <c r="H105" s="12"/>
      <c r="I105" s="12"/>
      <c r="J105" s="12" t="s">
        <v>39</v>
      </c>
      <c r="K105" s="12"/>
    </row>
    <row r="106" customFormat="false" ht="15" hidden="false" customHeight="false" outlineLevel="0" collapsed="false">
      <c r="A106" s="11" t="n">
        <v>46333</v>
      </c>
      <c r="B106" s="12" t="s">
        <v>41</v>
      </c>
      <c r="C106" s="12" t="n">
        <v>2</v>
      </c>
      <c r="D106" s="13" t="n">
        <v>0.708333333333333</v>
      </c>
      <c r="E106" s="12" t="s">
        <v>32</v>
      </c>
      <c r="F106" s="12"/>
      <c r="G106" s="12"/>
      <c r="H106" s="12"/>
      <c r="I106" s="12"/>
      <c r="J106" s="12" t="s">
        <v>39</v>
      </c>
      <c r="K106" s="12"/>
    </row>
    <row r="107" customFormat="false" ht="15" hidden="false" customHeight="false" outlineLevel="0" collapsed="false">
      <c r="A107" s="11" t="n">
        <v>46333</v>
      </c>
      <c r="B107" s="12" t="s">
        <v>41</v>
      </c>
      <c r="C107" s="12" t="n">
        <v>3</v>
      </c>
      <c r="D107" s="13" t="n">
        <v>0.875</v>
      </c>
      <c r="E107" s="12" t="s">
        <v>40</v>
      </c>
      <c r="F107" s="12"/>
      <c r="G107" s="12"/>
      <c r="H107" s="12"/>
      <c r="I107" s="12"/>
      <c r="J107" s="12" t="s">
        <v>39</v>
      </c>
      <c r="K107" s="12"/>
    </row>
    <row r="108" customFormat="false" ht="15" hidden="false" customHeight="false" outlineLevel="0" collapsed="false">
      <c r="A108" s="11" t="n">
        <v>46333</v>
      </c>
      <c r="B108" s="12" t="s">
        <v>31</v>
      </c>
      <c r="C108" s="12" t="n">
        <v>1</v>
      </c>
      <c r="D108" s="13" t="n">
        <v>0.5</v>
      </c>
      <c r="E108" s="12" t="s">
        <v>32</v>
      </c>
      <c r="F108" s="12"/>
      <c r="G108" s="12"/>
      <c r="H108" s="12"/>
      <c r="I108" s="12"/>
      <c r="J108" s="12" t="s">
        <v>39</v>
      </c>
      <c r="K108" s="12"/>
    </row>
    <row r="109" customFormat="false" ht="15" hidden="false" customHeight="false" outlineLevel="0" collapsed="false">
      <c r="A109" s="11" t="n">
        <v>46333</v>
      </c>
      <c r="B109" s="12" t="s">
        <v>31</v>
      </c>
      <c r="C109" s="12" t="n">
        <v>2</v>
      </c>
      <c r="D109" s="13" t="n">
        <v>0.708333333333333</v>
      </c>
      <c r="E109" s="12" t="s">
        <v>32</v>
      </c>
      <c r="F109" s="12"/>
      <c r="G109" s="12"/>
      <c r="H109" s="12"/>
      <c r="I109" s="12"/>
      <c r="J109" s="12" t="s">
        <v>39</v>
      </c>
      <c r="K109" s="12"/>
    </row>
    <row r="110" customFormat="false" ht="15" hidden="false" customHeight="false" outlineLevel="0" collapsed="false">
      <c r="A110" s="11" t="n">
        <v>46333</v>
      </c>
      <c r="B110" s="12" t="s">
        <v>31</v>
      </c>
      <c r="C110" s="12" t="n">
        <v>3</v>
      </c>
      <c r="D110" s="13" t="n">
        <v>0.875</v>
      </c>
      <c r="E110" s="12" t="s">
        <v>40</v>
      </c>
      <c r="F110" s="12"/>
      <c r="G110" s="12"/>
      <c r="H110" s="12"/>
      <c r="I110" s="12"/>
      <c r="J110" s="12" t="s">
        <v>39</v>
      </c>
      <c r="K110" s="12"/>
    </row>
    <row r="111" customFormat="false" ht="15" hidden="false" customHeight="false" outlineLevel="0" collapsed="false">
      <c r="A111" s="11" t="n">
        <v>46334</v>
      </c>
      <c r="B111" s="12" t="s">
        <v>38</v>
      </c>
      <c r="C111" s="12" t="n">
        <v>1</v>
      </c>
      <c r="D111" s="13" t="n">
        <v>0.5</v>
      </c>
      <c r="E111" s="12" t="s">
        <v>32</v>
      </c>
      <c r="F111" s="12"/>
      <c r="G111" s="12"/>
      <c r="H111" s="12"/>
      <c r="I111" s="12"/>
      <c r="J111" s="12" t="s">
        <v>39</v>
      </c>
      <c r="K111" s="12"/>
    </row>
    <row r="112" customFormat="false" ht="15" hidden="false" customHeight="false" outlineLevel="0" collapsed="false">
      <c r="A112" s="11" t="n">
        <v>46334</v>
      </c>
      <c r="B112" s="12" t="s">
        <v>38</v>
      </c>
      <c r="C112" s="12" t="n">
        <v>2</v>
      </c>
      <c r="D112" s="13" t="n">
        <v>0.708333333333333</v>
      </c>
      <c r="E112" s="12" t="s">
        <v>32</v>
      </c>
      <c r="F112" s="12"/>
      <c r="G112" s="12"/>
      <c r="H112" s="12"/>
      <c r="I112" s="12"/>
      <c r="J112" s="12" t="s">
        <v>39</v>
      </c>
      <c r="K112" s="12"/>
    </row>
    <row r="113" customFormat="false" ht="15" hidden="false" customHeight="false" outlineLevel="0" collapsed="false">
      <c r="A113" s="11" t="n">
        <v>46334</v>
      </c>
      <c r="B113" s="12" t="s">
        <v>38</v>
      </c>
      <c r="C113" s="12" t="n">
        <v>3</v>
      </c>
      <c r="D113" s="13" t="n">
        <v>0.875</v>
      </c>
      <c r="E113" s="12" t="s">
        <v>40</v>
      </c>
      <c r="F113" s="12"/>
      <c r="G113" s="12"/>
      <c r="H113" s="12"/>
      <c r="I113" s="12"/>
      <c r="J113" s="12" t="s">
        <v>39</v>
      </c>
      <c r="K113" s="12"/>
    </row>
    <row r="114" customFormat="false" ht="15" hidden="false" customHeight="false" outlineLevel="0" collapsed="false">
      <c r="A114" s="11" t="n">
        <v>46334</v>
      </c>
      <c r="B114" s="12" t="s">
        <v>41</v>
      </c>
      <c r="C114" s="12" t="n">
        <v>1</v>
      </c>
      <c r="D114" s="13" t="n">
        <v>0.5</v>
      </c>
      <c r="E114" s="12" t="s">
        <v>32</v>
      </c>
      <c r="F114" s="12"/>
      <c r="G114" s="12"/>
      <c r="H114" s="12"/>
      <c r="I114" s="12"/>
      <c r="J114" s="12" t="s">
        <v>39</v>
      </c>
      <c r="K114" s="12"/>
    </row>
    <row r="115" customFormat="false" ht="15" hidden="false" customHeight="false" outlineLevel="0" collapsed="false">
      <c r="A115" s="11" t="n">
        <v>46334</v>
      </c>
      <c r="B115" s="12" t="s">
        <v>41</v>
      </c>
      <c r="C115" s="12" t="n">
        <v>2</v>
      </c>
      <c r="D115" s="13" t="n">
        <v>0.708333333333333</v>
      </c>
      <c r="E115" s="12" t="s">
        <v>32</v>
      </c>
      <c r="F115" s="12"/>
      <c r="G115" s="12"/>
      <c r="H115" s="12"/>
      <c r="I115" s="12"/>
      <c r="J115" s="12" t="s">
        <v>39</v>
      </c>
      <c r="K115" s="12"/>
    </row>
    <row r="116" customFormat="false" ht="15" hidden="false" customHeight="false" outlineLevel="0" collapsed="false">
      <c r="A116" s="11" t="n">
        <v>46334</v>
      </c>
      <c r="B116" s="12" t="s">
        <v>41</v>
      </c>
      <c r="C116" s="12" t="n">
        <v>3</v>
      </c>
      <c r="D116" s="13" t="n">
        <v>0.875</v>
      </c>
      <c r="E116" s="12" t="s">
        <v>40</v>
      </c>
      <c r="F116" s="12"/>
      <c r="G116" s="12"/>
      <c r="H116" s="12"/>
      <c r="I116" s="12"/>
      <c r="J116" s="12" t="s">
        <v>39</v>
      </c>
      <c r="K116" s="12"/>
    </row>
    <row r="117" customFormat="false" ht="15" hidden="false" customHeight="false" outlineLevel="0" collapsed="false">
      <c r="A117" s="11" t="n">
        <v>46334</v>
      </c>
      <c r="B117" s="12" t="s">
        <v>31</v>
      </c>
      <c r="C117" s="12" t="n">
        <v>1</v>
      </c>
      <c r="D117" s="13" t="n">
        <v>0.5</v>
      </c>
      <c r="E117" s="12" t="s">
        <v>32</v>
      </c>
      <c r="F117" s="12"/>
      <c r="G117" s="12"/>
      <c r="H117" s="12"/>
      <c r="I117" s="12"/>
      <c r="J117" s="12" t="s">
        <v>39</v>
      </c>
      <c r="K117" s="12"/>
    </row>
    <row r="118" customFormat="false" ht="15" hidden="false" customHeight="false" outlineLevel="0" collapsed="false">
      <c r="A118" s="11" t="n">
        <v>46334</v>
      </c>
      <c r="B118" s="12" t="s">
        <v>31</v>
      </c>
      <c r="C118" s="12" t="n">
        <v>2</v>
      </c>
      <c r="D118" s="13" t="n">
        <v>0.708333333333333</v>
      </c>
      <c r="E118" s="12" t="s">
        <v>32</v>
      </c>
      <c r="F118" s="12"/>
      <c r="G118" s="12"/>
      <c r="H118" s="12"/>
      <c r="I118" s="12"/>
      <c r="J118" s="12" t="s">
        <v>39</v>
      </c>
      <c r="K118" s="12"/>
    </row>
    <row r="119" customFormat="false" ht="15" hidden="false" customHeight="false" outlineLevel="0" collapsed="false">
      <c r="A119" s="11" t="n">
        <v>46334</v>
      </c>
      <c r="B119" s="12" t="s">
        <v>31</v>
      </c>
      <c r="C119" s="12" t="n">
        <v>3</v>
      </c>
      <c r="D119" s="13" t="n">
        <v>0.875</v>
      </c>
      <c r="E119" s="12" t="s">
        <v>40</v>
      </c>
      <c r="F119" s="12"/>
      <c r="G119" s="12"/>
      <c r="H119" s="12"/>
      <c r="I119" s="12"/>
      <c r="J119" s="12" t="s">
        <v>39</v>
      </c>
      <c r="K119" s="12"/>
    </row>
    <row r="120" customFormat="false" ht="15" hidden="false" customHeight="false" outlineLevel="0" collapsed="false">
      <c r="A120" s="11" t="n">
        <v>46335</v>
      </c>
      <c r="B120" s="12" t="s">
        <v>38</v>
      </c>
      <c r="C120" s="12" t="n">
        <v>1</v>
      </c>
      <c r="D120" s="13" t="n">
        <v>0.5</v>
      </c>
      <c r="E120" s="12" t="s">
        <v>32</v>
      </c>
      <c r="F120" s="12"/>
      <c r="G120" s="12"/>
      <c r="H120" s="12"/>
      <c r="I120" s="12"/>
      <c r="J120" s="12" t="s">
        <v>39</v>
      </c>
      <c r="K120" s="12"/>
    </row>
    <row r="121" customFormat="false" ht="15" hidden="false" customHeight="false" outlineLevel="0" collapsed="false">
      <c r="A121" s="11" t="n">
        <v>46335</v>
      </c>
      <c r="B121" s="12" t="s">
        <v>38</v>
      </c>
      <c r="C121" s="12" t="n">
        <v>2</v>
      </c>
      <c r="D121" s="13" t="n">
        <v>0.708333333333333</v>
      </c>
      <c r="E121" s="12" t="s">
        <v>32</v>
      </c>
      <c r="F121" s="12"/>
      <c r="G121" s="12"/>
      <c r="H121" s="12"/>
      <c r="I121" s="12"/>
      <c r="J121" s="12" t="s">
        <v>39</v>
      </c>
      <c r="K121" s="12"/>
    </row>
    <row r="122" customFormat="false" ht="15" hidden="false" customHeight="false" outlineLevel="0" collapsed="false">
      <c r="A122" s="11" t="n">
        <v>46335</v>
      </c>
      <c r="B122" s="12" t="s">
        <v>38</v>
      </c>
      <c r="C122" s="12" t="n">
        <v>3</v>
      </c>
      <c r="D122" s="13" t="n">
        <v>0.875</v>
      </c>
      <c r="E122" s="12" t="s">
        <v>40</v>
      </c>
      <c r="F122" s="12"/>
      <c r="G122" s="12"/>
      <c r="H122" s="12"/>
      <c r="I122" s="12"/>
      <c r="J122" s="12" t="s">
        <v>39</v>
      </c>
      <c r="K122" s="12"/>
    </row>
    <row r="123" customFormat="false" ht="15" hidden="false" customHeight="false" outlineLevel="0" collapsed="false">
      <c r="A123" s="11" t="n">
        <v>46335</v>
      </c>
      <c r="B123" s="12" t="s">
        <v>41</v>
      </c>
      <c r="C123" s="12" t="n">
        <v>1</v>
      </c>
      <c r="D123" s="13" t="n">
        <v>0.5</v>
      </c>
      <c r="E123" s="12" t="s">
        <v>32</v>
      </c>
      <c r="F123" s="12"/>
      <c r="G123" s="12"/>
      <c r="H123" s="12"/>
      <c r="I123" s="12"/>
      <c r="J123" s="12" t="s">
        <v>39</v>
      </c>
      <c r="K123" s="12"/>
    </row>
    <row r="124" customFormat="false" ht="15" hidden="false" customHeight="false" outlineLevel="0" collapsed="false">
      <c r="A124" s="11" t="n">
        <v>46335</v>
      </c>
      <c r="B124" s="12" t="s">
        <v>41</v>
      </c>
      <c r="C124" s="12" t="n">
        <v>2</v>
      </c>
      <c r="D124" s="13" t="n">
        <v>0.708333333333333</v>
      </c>
      <c r="E124" s="12" t="s">
        <v>32</v>
      </c>
      <c r="F124" s="12"/>
      <c r="G124" s="12"/>
      <c r="H124" s="12"/>
      <c r="I124" s="12"/>
      <c r="J124" s="12" t="s">
        <v>39</v>
      </c>
      <c r="K124" s="12"/>
    </row>
    <row r="125" customFormat="false" ht="15" hidden="false" customHeight="false" outlineLevel="0" collapsed="false">
      <c r="A125" s="11" t="n">
        <v>46335</v>
      </c>
      <c r="B125" s="12" t="s">
        <v>41</v>
      </c>
      <c r="C125" s="12" t="n">
        <v>3</v>
      </c>
      <c r="D125" s="13" t="n">
        <v>0.875</v>
      </c>
      <c r="E125" s="12" t="s">
        <v>40</v>
      </c>
      <c r="F125" s="12"/>
      <c r="G125" s="12"/>
      <c r="H125" s="12"/>
      <c r="I125" s="12"/>
      <c r="J125" s="12" t="s">
        <v>39</v>
      </c>
      <c r="K125" s="12"/>
    </row>
    <row r="126" customFormat="false" ht="15" hidden="false" customHeight="false" outlineLevel="0" collapsed="false">
      <c r="A126" s="11" t="n">
        <v>46335</v>
      </c>
      <c r="B126" s="12" t="s">
        <v>31</v>
      </c>
      <c r="C126" s="12" t="n">
        <v>1</v>
      </c>
      <c r="D126" s="13" t="n">
        <v>0.5</v>
      </c>
      <c r="E126" s="12" t="s">
        <v>32</v>
      </c>
      <c r="F126" s="12"/>
      <c r="G126" s="12"/>
      <c r="H126" s="12"/>
      <c r="I126" s="12"/>
      <c r="J126" s="12" t="s">
        <v>39</v>
      </c>
      <c r="K126" s="12"/>
    </row>
    <row r="127" customFormat="false" ht="15" hidden="false" customHeight="false" outlineLevel="0" collapsed="false">
      <c r="A127" s="11" t="n">
        <v>46335</v>
      </c>
      <c r="B127" s="12" t="s">
        <v>31</v>
      </c>
      <c r="C127" s="12" t="n">
        <v>2</v>
      </c>
      <c r="D127" s="13" t="n">
        <v>0.708333333333333</v>
      </c>
      <c r="E127" s="12" t="s">
        <v>32</v>
      </c>
      <c r="F127" s="12"/>
      <c r="G127" s="12"/>
      <c r="H127" s="12"/>
      <c r="I127" s="12"/>
      <c r="J127" s="12" t="s">
        <v>39</v>
      </c>
      <c r="K127" s="12"/>
    </row>
    <row r="128" customFormat="false" ht="15" hidden="false" customHeight="false" outlineLevel="0" collapsed="false">
      <c r="A128" s="11" t="n">
        <v>46335</v>
      </c>
      <c r="B128" s="12" t="s">
        <v>31</v>
      </c>
      <c r="C128" s="12" t="n">
        <v>3</v>
      </c>
      <c r="D128" s="13" t="n">
        <v>0.875</v>
      </c>
      <c r="E128" s="12" t="s">
        <v>40</v>
      </c>
      <c r="F128" s="12"/>
      <c r="G128" s="12"/>
      <c r="H128" s="12"/>
      <c r="I128" s="12"/>
      <c r="J128" s="12" t="s">
        <v>39</v>
      </c>
      <c r="K128" s="12"/>
    </row>
  </sheetData>
  <autoFilter ref="A1:K128"/>
  <dataValidations count="5">
    <dataValidation allowBlank="true" errorStyle="stop" operator="between" showDropDown="false" showErrorMessage="false" showInputMessage="false" sqref="B2:B128" type="list">
      <formula1>Variables!$G$2:$G$4</formula1>
      <formula2>0</formula2>
    </dataValidation>
    <dataValidation allowBlank="true" errorStyle="stop" operator="between" showDropDown="false" showErrorMessage="false" showInputMessage="false" sqref="E2:E128" type="list">
      <formula1>Variables!$J$2:$J$3</formula1>
      <formula2>0</formula2>
    </dataValidation>
    <dataValidation allowBlank="true" errorStyle="stop" operator="between" showDropDown="false" showErrorMessage="false" showInputMessage="false" sqref="G2:G128" type="list">
      <formula1>Variables!$H$2:$H$4</formula1>
      <formula2>0</formula2>
    </dataValidation>
    <dataValidation allowBlank="true" errorStyle="stop" operator="between" showDropDown="false" showErrorMessage="false" showInputMessage="false" sqref="H2:H128" type="list">
      <formula1>Variables!$A$2:$A$30</formula1>
      <formula2>0</formula2>
    </dataValidation>
    <dataValidation allowBlank="true" errorStyle="stop" operator="between" showDropDown="false" showErrorMessage="false" showInputMessage="false" sqref="J2:J128" type="list">
      <formula1>Variables!$I$2:$I$6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4"/>
    <col collapsed="false" customWidth="true" hidden="false" outlineLevel="0" max="3" min="3" style="0" width="6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28"/>
    <col collapsed="false" customWidth="true" hidden="false" outlineLevel="0" max="11" min="10" style="0" width="10"/>
    <col collapsed="false" customWidth="true" hidden="false" outlineLevel="0" max="12" min="12" style="0" width="8"/>
    <col collapsed="false" customWidth="true" hidden="false" outlineLevel="0" max="13" min="13" style="0" width="9"/>
    <col collapsed="false" customWidth="true" hidden="false" outlineLevel="0" max="16" min="14" style="0" width="8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19" min="19" style="0" width="11"/>
    <col collapsed="false" customWidth="true" hidden="false" outlineLevel="0" max="20" min="20" style="0" width="30"/>
  </cols>
  <sheetData>
    <row r="1" customFormat="false" ht="33.75" hidden="false" customHeight="true" outlineLevel="0" collapsed="false">
      <c r="A1" s="7" t="s">
        <v>42</v>
      </c>
      <c r="B1" s="7" t="s">
        <v>21</v>
      </c>
      <c r="C1" s="7" t="s">
        <v>22</v>
      </c>
      <c r="D1" s="7" t="s">
        <v>43</v>
      </c>
      <c r="E1" s="7" t="s">
        <v>26</v>
      </c>
      <c r="F1" s="7" t="s">
        <v>44</v>
      </c>
      <c r="G1" s="7" t="s">
        <v>45</v>
      </c>
      <c r="H1" s="7" t="s">
        <v>46</v>
      </c>
      <c r="I1" s="7" t="s">
        <v>47</v>
      </c>
      <c r="J1" s="7" t="s">
        <v>48</v>
      </c>
      <c r="K1" s="7" t="s">
        <v>49</v>
      </c>
      <c r="L1" s="7" t="s">
        <v>50</v>
      </c>
      <c r="M1" s="7" t="s">
        <v>51</v>
      </c>
      <c r="N1" s="7" t="s">
        <v>52</v>
      </c>
      <c r="O1" s="7" t="s">
        <v>53</v>
      </c>
      <c r="P1" s="7" t="s">
        <v>54</v>
      </c>
      <c r="Q1" s="7" t="s">
        <v>55</v>
      </c>
      <c r="R1" s="7" t="s">
        <v>56</v>
      </c>
      <c r="S1" s="7" t="s">
        <v>57</v>
      </c>
      <c r="T1" s="7" t="s">
        <v>30</v>
      </c>
    </row>
    <row r="2" customFormat="false" ht="15" hidden="false" customHeight="false" outlineLevel="0" collapsed="false">
      <c r="A2" s="8" t="n">
        <v>46320</v>
      </c>
      <c r="B2" s="9" t="s">
        <v>31</v>
      </c>
      <c r="C2" s="9" t="n">
        <v>1</v>
      </c>
      <c r="D2" s="9" t="s">
        <v>58</v>
      </c>
      <c r="E2" s="9" t="s">
        <v>34</v>
      </c>
      <c r="F2" s="9" t="s">
        <v>59</v>
      </c>
      <c r="G2" s="9" t="s">
        <v>32</v>
      </c>
      <c r="H2" s="9" t="s">
        <v>60</v>
      </c>
      <c r="I2" s="9" t="s">
        <v>61</v>
      </c>
      <c r="J2" s="14" t="n">
        <v>3200</v>
      </c>
      <c r="K2" s="15" t="n">
        <v>0.41</v>
      </c>
      <c r="L2" s="14" t="n">
        <v>180</v>
      </c>
      <c r="M2" s="14" t="n">
        <v>22</v>
      </c>
      <c r="N2" s="14" t="n">
        <v>35</v>
      </c>
      <c r="O2" s="14" t="n">
        <v>40</v>
      </c>
      <c r="P2" s="14" t="n">
        <v>28</v>
      </c>
      <c r="Q2" s="14" t="n">
        <v>2</v>
      </c>
      <c r="R2" s="14" t="n">
        <v>9100</v>
      </c>
      <c r="S2" s="16" t="n">
        <f aca="false">IF(OR(J2="",J2=0),"",(L2+M2+N2+O2)/J2)</f>
        <v>0.0865625</v>
      </c>
      <c r="T2" s="9" t="s">
        <v>62</v>
      </c>
    </row>
    <row r="3" customFormat="false" ht="15" hidden="false" customHeight="false" outlineLevel="0" collapsed="false">
      <c r="A3" s="11"/>
      <c r="B3" s="12"/>
      <c r="C3" s="12"/>
      <c r="D3" s="12"/>
      <c r="E3" s="12"/>
      <c r="F3" s="12"/>
      <c r="G3" s="12"/>
      <c r="H3" s="12"/>
      <c r="I3" s="12"/>
      <c r="J3" s="17"/>
      <c r="K3" s="18"/>
      <c r="L3" s="17"/>
      <c r="M3" s="17"/>
      <c r="N3" s="17"/>
      <c r="O3" s="17"/>
      <c r="P3" s="17"/>
      <c r="Q3" s="17"/>
      <c r="R3" s="17"/>
      <c r="S3" s="19" t="str">
        <f aca="false">IF(OR(J3="",J3=0),"",(L3+M3+N3+O3)/J3)</f>
        <v/>
      </c>
      <c r="T3" s="12"/>
    </row>
    <row r="4" customFormat="false" ht="15" hidden="false" customHeight="false" outlineLevel="0" collapsed="false">
      <c r="A4" s="11"/>
      <c r="B4" s="12"/>
      <c r="C4" s="12"/>
      <c r="D4" s="12"/>
      <c r="E4" s="12"/>
      <c r="F4" s="12"/>
      <c r="G4" s="12"/>
      <c r="H4" s="12"/>
      <c r="I4" s="12"/>
      <c r="J4" s="17"/>
      <c r="K4" s="18"/>
      <c r="L4" s="17"/>
      <c r="M4" s="17"/>
      <c r="N4" s="17"/>
      <c r="O4" s="17"/>
      <c r="P4" s="17"/>
      <c r="Q4" s="17"/>
      <c r="R4" s="17"/>
      <c r="S4" s="19" t="str">
        <f aca="false">IF(OR(J4="",J4=0),"",(L4+M4+N4+O4)/J4)</f>
        <v/>
      </c>
      <c r="T4" s="12"/>
    </row>
    <row r="5" customFormat="false" ht="15" hidden="false" customHeight="false" outlineLevel="0" collapsed="false">
      <c r="A5" s="11"/>
      <c r="B5" s="12"/>
      <c r="C5" s="12"/>
      <c r="D5" s="12"/>
      <c r="E5" s="12"/>
      <c r="F5" s="12"/>
      <c r="G5" s="12"/>
      <c r="H5" s="12"/>
      <c r="I5" s="12"/>
      <c r="J5" s="17"/>
      <c r="K5" s="18"/>
      <c r="L5" s="17"/>
      <c r="M5" s="17"/>
      <c r="N5" s="17"/>
      <c r="O5" s="17"/>
      <c r="P5" s="17"/>
      <c r="Q5" s="17"/>
      <c r="R5" s="17"/>
      <c r="S5" s="19" t="str">
        <f aca="false">IF(OR(J5="",J5=0),"",(L5+M5+N5+O5)/J5)</f>
        <v/>
      </c>
      <c r="T5" s="12"/>
    </row>
    <row r="6" customFormat="false" ht="15" hidden="false" customHeight="false" outlineLevel="0" collapsed="false">
      <c r="A6" s="11"/>
      <c r="B6" s="12"/>
      <c r="C6" s="12"/>
      <c r="D6" s="12"/>
      <c r="E6" s="12"/>
      <c r="F6" s="12"/>
      <c r="G6" s="12"/>
      <c r="H6" s="12"/>
      <c r="I6" s="12"/>
      <c r="J6" s="17"/>
      <c r="K6" s="18"/>
      <c r="L6" s="17"/>
      <c r="M6" s="17"/>
      <c r="N6" s="17"/>
      <c r="O6" s="17"/>
      <c r="P6" s="17"/>
      <c r="Q6" s="17"/>
      <c r="R6" s="17"/>
      <c r="S6" s="19" t="str">
        <f aca="false">IF(OR(J6="",J6=0),"",(L6+M6+N6+O6)/J6)</f>
        <v/>
      </c>
      <c r="T6" s="12"/>
    </row>
    <row r="7" customFormat="false" ht="15" hidden="false" customHeight="false" outlineLevel="0" collapsed="false">
      <c r="A7" s="11"/>
      <c r="B7" s="12"/>
      <c r="C7" s="12"/>
      <c r="D7" s="12"/>
      <c r="E7" s="12"/>
      <c r="F7" s="12"/>
      <c r="G7" s="12"/>
      <c r="H7" s="12"/>
      <c r="I7" s="12"/>
      <c r="J7" s="17"/>
      <c r="K7" s="18"/>
      <c r="L7" s="17"/>
      <c r="M7" s="17"/>
      <c r="N7" s="17"/>
      <c r="O7" s="17"/>
      <c r="P7" s="17"/>
      <c r="Q7" s="17"/>
      <c r="R7" s="17"/>
      <c r="S7" s="19" t="str">
        <f aca="false">IF(OR(J7="",J7=0),"",(L7+M7+N7+O7)/J7)</f>
        <v/>
      </c>
      <c r="T7" s="12"/>
    </row>
    <row r="8" customFormat="false" ht="15" hidden="false" customHeight="false" outlineLevel="0" collapsed="false">
      <c r="A8" s="11"/>
      <c r="B8" s="12"/>
      <c r="C8" s="12"/>
      <c r="D8" s="12"/>
      <c r="E8" s="12"/>
      <c r="F8" s="12"/>
      <c r="G8" s="12"/>
      <c r="H8" s="12"/>
      <c r="I8" s="12"/>
      <c r="J8" s="17"/>
      <c r="K8" s="18"/>
      <c r="L8" s="17"/>
      <c r="M8" s="17"/>
      <c r="N8" s="17"/>
      <c r="O8" s="17"/>
      <c r="P8" s="17"/>
      <c r="Q8" s="17"/>
      <c r="R8" s="17"/>
      <c r="S8" s="19" t="str">
        <f aca="false">IF(OR(J8="",J8=0),"",(L8+M8+N8+O8)/J8)</f>
        <v/>
      </c>
      <c r="T8" s="12"/>
    </row>
    <row r="9" customFormat="false" ht="15" hidden="false" customHeight="false" outlineLevel="0" collapsed="false">
      <c r="A9" s="11"/>
      <c r="B9" s="12"/>
      <c r="C9" s="12"/>
      <c r="D9" s="12"/>
      <c r="E9" s="12"/>
      <c r="F9" s="12"/>
      <c r="G9" s="12"/>
      <c r="H9" s="12"/>
      <c r="I9" s="12"/>
      <c r="J9" s="17"/>
      <c r="K9" s="18"/>
      <c r="L9" s="17"/>
      <c r="M9" s="17"/>
      <c r="N9" s="17"/>
      <c r="O9" s="17"/>
      <c r="P9" s="17"/>
      <c r="Q9" s="17"/>
      <c r="R9" s="17"/>
      <c r="S9" s="19" t="str">
        <f aca="false">IF(OR(J9="",J9=0),"",(L9+M9+N9+O9)/J9)</f>
        <v/>
      </c>
      <c r="T9" s="12"/>
    </row>
    <row r="10" customFormat="false" ht="15" hidden="false" customHeight="false" outlineLevel="0" collapsed="false">
      <c r="A10" s="11"/>
      <c r="B10" s="12"/>
      <c r="C10" s="12"/>
      <c r="D10" s="12"/>
      <c r="E10" s="12"/>
      <c r="F10" s="12"/>
      <c r="G10" s="12"/>
      <c r="H10" s="12"/>
      <c r="I10" s="12"/>
      <c r="J10" s="17"/>
      <c r="K10" s="18"/>
      <c r="L10" s="17"/>
      <c r="M10" s="17"/>
      <c r="N10" s="17"/>
      <c r="O10" s="17"/>
      <c r="P10" s="17"/>
      <c r="Q10" s="17"/>
      <c r="R10" s="17"/>
      <c r="S10" s="19" t="str">
        <f aca="false">IF(OR(J10="",J10=0),"",(L10+M10+N10+O10)/J10)</f>
        <v/>
      </c>
      <c r="T10" s="12"/>
    </row>
    <row r="11" customFormat="false" ht="15" hidden="false" customHeight="false" outlineLevel="0" collapsed="false">
      <c r="A11" s="11"/>
      <c r="B11" s="12"/>
      <c r="C11" s="12"/>
      <c r="D11" s="12"/>
      <c r="E11" s="12"/>
      <c r="F11" s="12"/>
      <c r="G11" s="12"/>
      <c r="H11" s="12"/>
      <c r="I11" s="12"/>
      <c r="J11" s="17"/>
      <c r="K11" s="18"/>
      <c r="L11" s="17"/>
      <c r="M11" s="17"/>
      <c r="N11" s="17"/>
      <c r="O11" s="17"/>
      <c r="P11" s="17"/>
      <c r="Q11" s="17"/>
      <c r="R11" s="17"/>
      <c r="S11" s="19" t="str">
        <f aca="false">IF(OR(J11="",J11=0),"",(L11+M11+N11+O11)/J11)</f>
        <v/>
      </c>
      <c r="T11" s="12"/>
    </row>
    <row r="12" customFormat="false" ht="15" hidden="false" customHeight="false" outlineLevel="0" collapsed="false">
      <c r="A12" s="11"/>
      <c r="B12" s="12"/>
      <c r="C12" s="12"/>
      <c r="D12" s="12"/>
      <c r="E12" s="12"/>
      <c r="F12" s="12"/>
      <c r="G12" s="12"/>
      <c r="H12" s="12"/>
      <c r="I12" s="12"/>
      <c r="J12" s="17"/>
      <c r="K12" s="18"/>
      <c r="L12" s="17"/>
      <c r="M12" s="17"/>
      <c r="N12" s="17"/>
      <c r="O12" s="17"/>
      <c r="P12" s="17"/>
      <c r="Q12" s="17"/>
      <c r="R12" s="17"/>
      <c r="S12" s="19" t="str">
        <f aca="false">IF(OR(J12="",J12=0),"",(L12+M12+N12+O12)/J12)</f>
        <v/>
      </c>
      <c r="T12" s="12"/>
    </row>
    <row r="13" customFormat="false" ht="15" hidden="false" customHeight="false" outlineLevel="0" collapsed="false">
      <c r="A13" s="11"/>
      <c r="B13" s="12"/>
      <c r="C13" s="12"/>
      <c r="D13" s="12"/>
      <c r="E13" s="12"/>
      <c r="F13" s="12"/>
      <c r="G13" s="12"/>
      <c r="H13" s="12"/>
      <c r="I13" s="12"/>
      <c r="J13" s="17"/>
      <c r="K13" s="18"/>
      <c r="L13" s="17"/>
      <c r="M13" s="17"/>
      <c r="N13" s="17"/>
      <c r="O13" s="17"/>
      <c r="P13" s="17"/>
      <c r="Q13" s="17"/>
      <c r="R13" s="17"/>
      <c r="S13" s="19" t="str">
        <f aca="false">IF(OR(J13="",J13=0),"",(L13+M13+N13+O13)/J13)</f>
        <v/>
      </c>
      <c r="T13" s="12"/>
    </row>
    <row r="14" customFormat="false" ht="15" hidden="false" customHeight="false" outlineLevel="0" collapsed="false">
      <c r="A14" s="11"/>
      <c r="B14" s="12"/>
      <c r="C14" s="12"/>
      <c r="D14" s="12"/>
      <c r="E14" s="12"/>
      <c r="F14" s="12"/>
      <c r="G14" s="12"/>
      <c r="H14" s="12"/>
      <c r="I14" s="12"/>
      <c r="J14" s="17"/>
      <c r="K14" s="18"/>
      <c r="L14" s="17"/>
      <c r="M14" s="17"/>
      <c r="N14" s="17"/>
      <c r="O14" s="17"/>
      <c r="P14" s="17"/>
      <c r="Q14" s="17"/>
      <c r="R14" s="17"/>
      <c r="S14" s="19" t="str">
        <f aca="false">IF(OR(J14="",J14=0),"",(L14+M14+N14+O14)/J14)</f>
        <v/>
      </c>
      <c r="T14" s="12"/>
    </row>
    <row r="15" customFormat="false" ht="15" hidden="false" customHeight="false" outlineLevel="0" collapsed="false">
      <c r="A15" s="11"/>
      <c r="B15" s="12"/>
      <c r="C15" s="12"/>
      <c r="D15" s="12"/>
      <c r="E15" s="12"/>
      <c r="F15" s="12"/>
      <c r="G15" s="12"/>
      <c r="H15" s="12"/>
      <c r="I15" s="12"/>
      <c r="J15" s="17"/>
      <c r="K15" s="18"/>
      <c r="L15" s="17"/>
      <c r="M15" s="17"/>
      <c r="N15" s="17"/>
      <c r="O15" s="17"/>
      <c r="P15" s="17"/>
      <c r="Q15" s="17"/>
      <c r="R15" s="17"/>
      <c r="S15" s="19" t="str">
        <f aca="false">IF(OR(J15="",J15=0),"",(L15+M15+N15+O15)/J15)</f>
        <v/>
      </c>
      <c r="T15" s="12"/>
    </row>
    <row r="16" customFormat="false" ht="15" hidden="false" customHeight="false" outlineLevel="0" collapsed="false">
      <c r="A16" s="11"/>
      <c r="B16" s="12"/>
      <c r="C16" s="12"/>
      <c r="D16" s="12"/>
      <c r="E16" s="12"/>
      <c r="F16" s="12"/>
      <c r="G16" s="12"/>
      <c r="H16" s="12"/>
      <c r="I16" s="12"/>
      <c r="J16" s="17"/>
      <c r="K16" s="18"/>
      <c r="L16" s="17"/>
      <c r="M16" s="17"/>
      <c r="N16" s="17"/>
      <c r="O16" s="17"/>
      <c r="P16" s="17"/>
      <c r="Q16" s="17"/>
      <c r="R16" s="17"/>
      <c r="S16" s="19" t="str">
        <f aca="false">IF(OR(J16="",J16=0),"",(L16+M16+N16+O16)/J16)</f>
        <v/>
      </c>
      <c r="T16" s="12"/>
    </row>
    <row r="17" customFormat="false" ht="15" hidden="false" customHeight="false" outlineLevel="0" collapsed="false">
      <c r="A17" s="11"/>
      <c r="B17" s="12"/>
      <c r="C17" s="12"/>
      <c r="D17" s="12"/>
      <c r="E17" s="12"/>
      <c r="F17" s="12"/>
      <c r="G17" s="12"/>
      <c r="H17" s="12"/>
      <c r="I17" s="12"/>
      <c r="J17" s="17"/>
      <c r="K17" s="18"/>
      <c r="L17" s="17"/>
      <c r="M17" s="17"/>
      <c r="N17" s="17"/>
      <c r="O17" s="17"/>
      <c r="P17" s="17"/>
      <c r="Q17" s="17"/>
      <c r="R17" s="17"/>
      <c r="S17" s="19" t="str">
        <f aca="false">IF(OR(J17="",J17=0),"",(L17+M17+N17+O17)/J17)</f>
        <v/>
      </c>
      <c r="T17" s="12"/>
    </row>
    <row r="18" customFormat="false" ht="15" hidden="false" customHeight="false" outlineLevel="0" collapsed="false">
      <c r="A18" s="11"/>
      <c r="B18" s="12"/>
      <c r="C18" s="12"/>
      <c r="D18" s="12"/>
      <c r="E18" s="12"/>
      <c r="F18" s="12"/>
      <c r="G18" s="12"/>
      <c r="H18" s="12"/>
      <c r="I18" s="12"/>
      <c r="J18" s="17"/>
      <c r="K18" s="18"/>
      <c r="L18" s="17"/>
      <c r="M18" s="17"/>
      <c r="N18" s="17"/>
      <c r="O18" s="17"/>
      <c r="P18" s="17"/>
      <c r="Q18" s="17"/>
      <c r="R18" s="17"/>
      <c r="S18" s="19" t="str">
        <f aca="false">IF(OR(J18="",J18=0),"",(L18+M18+N18+O18)/J18)</f>
        <v/>
      </c>
      <c r="T18" s="12"/>
    </row>
    <row r="19" customFormat="false" ht="15" hidden="false" customHeight="false" outlineLevel="0" collapsed="false">
      <c r="A19" s="11"/>
      <c r="B19" s="12"/>
      <c r="C19" s="12"/>
      <c r="D19" s="12"/>
      <c r="E19" s="12"/>
      <c r="F19" s="12"/>
      <c r="G19" s="12"/>
      <c r="H19" s="12"/>
      <c r="I19" s="12"/>
      <c r="J19" s="17"/>
      <c r="K19" s="18"/>
      <c r="L19" s="17"/>
      <c r="M19" s="17"/>
      <c r="N19" s="17"/>
      <c r="O19" s="17"/>
      <c r="P19" s="17"/>
      <c r="Q19" s="17"/>
      <c r="R19" s="17"/>
      <c r="S19" s="19" t="str">
        <f aca="false">IF(OR(J19="",J19=0),"",(L19+M19+N19+O19)/J19)</f>
        <v/>
      </c>
      <c r="T19" s="12"/>
    </row>
    <row r="20" customFormat="false" ht="15" hidden="false" customHeight="false" outlineLevel="0" collapsed="false">
      <c r="A20" s="11"/>
      <c r="B20" s="12"/>
      <c r="C20" s="12"/>
      <c r="D20" s="12"/>
      <c r="E20" s="12"/>
      <c r="F20" s="12"/>
      <c r="G20" s="12"/>
      <c r="H20" s="12"/>
      <c r="I20" s="12"/>
      <c r="J20" s="17"/>
      <c r="K20" s="18"/>
      <c r="L20" s="17"/>
      <c r="M20" s="17"/>
      <c r="N20" s="17"/>
      <c r="O20" s="17"/>
      <c r="P20" s="17"/>
      <c r="Q20" s="17"/>
      <c r="R20" s="17"/>
      <c r="S20" s="19" t="str">
        <f aca="false">IF(OR(J20="",J20=0),"",(L20+M20+N20+O20)/J20)</f>
        <v/>
      </c>
      <c r="T20" s="12"/>
    </row>
    <row r="21" customFormat="false" ht="15" hidden="false" customHeight="false" outlineLevel="0" collapsed="false">
      <c r="A21" s="11"/>
      <c r="B21" s="12"/>
      <c r="C21" s="12"/>
      <c r="D21" s="12"/>
      <c r="E21" s="12"/>
      <c r="F21" s="12"/>
      <c r="G21" s="12"/>
      <c r="H21" s="12"/>
      <c r="I21" s="12"/>
      <c r="J21" s="17"/>
      <c r="K21" s="18"/>
      <c r="L21" s="17"/>
      <c r="M21" s="17"/>
      <c r="N21" s="17"/>
      <c r="O21" s="17"/>
      <c r="P21" s="17"/>
      <c r="Q21" s="17"/>
      <c r="R21" s="17"/>
      <c r="S21" s="19" t="str">
        <f aca="false">IF(OR(J21="",J21=0),"",(L21+M21+N21+O21)/J21)</f>
        <v/>
      </c>
      <c r="T21" s="12"/>
    </row>
    <row r="22" customFormat="false" ht="15" hidden="false" customHeight="false" outlineLevel="0" collapsed="false">
      <c r="A22" s="11"/>
      <c r="B22" s="12"/>
      <c r="C22" s="12"/>
      <c r="D22" s="12"/>
      <c r="E22" s="12"/>
      <c r="F22" s="12"/>
      <c r="G22" s="12"/>
      <c r="H22" s="12"/>
      <c r="I22" s="12"/>
      <c r="J22" s="17"/>
      <c r="K22" s="18"/>
      <c r="L22" s="17"/>
      <c r="M22" s="17"/>
      <c r="N22" s="17"/>
      <c r="O22" s="17"/>
      <c r="P22" s="17"/>
      <c r="Q22" s="17"/>
      <c r="R22" s="17"/>
      <c r="S22" s="19" t="str">
        <f aca="false">IF(OR(J22="",J22=0),"",(L22+M22+N22+O22)/J22)</f>
        <v/>
      </c>
      <c r="T22" s="12"/>
    </row>
    <row r="23" customFormat="false" ht="15" hidden="false" customHeight="false" outlineLevel="0" collapsed="false">
      <c r="A23" s="11"/>
      <c r="B23" s="12"/>
      <c r="C23" s="12"/>
      <c r="D23" s="12"/>
      <c r="E23" s="12"/>
      <c r="F23" s="12"/>
      <c r="G23" s="12"/>
      <c r="H23" s="12"/>
      <c r="I23" s="12"/>
      <c r="J23" s="17"/>
      <c r="K23" s="18"/>
      <c r="L23" s="17"/>
      <c r="M23" s="17"/>
      <c r="N23" s="17"/>
      <c r="O23" s="17"/>
      <c r="P23" s="17"/>
      <c r="Q23" s="17"/>
      <c r="R23" s="17"/>
      <c r="S23" s="19" t="str">
        <f aca="false">IF(OR(J23="",J23=0),"",(L23+M23+N23+O23)/J23)</f>
        <v/>
      </c>
      <c r="T23" s="12"/>
    </row>
    <row r="24" customFormat="false" ht="15" hidden="false" customHeight="false" outlineLevel="0" collapsed="false">
      <c r="A24" s="11"/>
      <c r="B24" s="12"/>
      <c r="C24" s="12"/>
      <c r="D24" s="12"/>
      <c r="E24" s="12"/>
      <c r="F24" s="12"/>
      <c r="G24" s="12"/>
      <c r="H24" s="12"/>
      <c r="I24" s="12"/>
      <c r="J24" s="17"/>
      <c r="K24" s="18"/>
      <c r="L24" s="17"/>
      <c r="M24" s="17"/>
      <c r="N24" s="17"/>
      <c r="O24" s="17"/>
      <c r="P24" s="17"/>
      <c r="Q24" s="17"/>
      <c r="R24" s="17"/>
      <c r="S24" s="19" t="str">
        <f aca="false">IF(OR(J24="",J24=0),"",(L24+M24+N24+O24)/J24)</f>
        <v/>
      </c>
      <c r="T24" s="12"/>
    </row>
    <row r="25" customFormat="false" ht="15" hidden="false" customHeight="false" outlineLevel="0" collapsed="false">
      <c r="A25" s="11"/>
      <c r="B25" s="12"/>
      <c r="C25" s="12"/>
      <c r="D25" s="12"/>
      <c r="E25" s="12"/>
      <c r="F25" s="12"/>
      <c r="G25" s="12"/>
      <c r="H25" s="12"/>
      <c r="I25" s="12"/>
      <c r="J25" s="17"/>
      <c r="K25" s="18"/>
      <c r="L25" s="17"/>
      <c r="M25" s="17"/>
      <c r="N25" s="17"/>
      <c r="O25" s="17"/>
      <c r="P25" s="17"/>
      <c r="Q25" s="17"/>
      <c r="R25" s="17"/>
      <c r="S25" s="19" t="str">
        <f aca="false">IF(OR(J25="",J25=0),"",(L25+M25+N25+O25)/J25)</f>
        <v/>
      </c>
      <c r="T25" s="12"/>
    </row>
    <row r="26" customFormat="false" ht="15" hidden="false" customHeight="false" outlineLevel="0" collapsed="false">
      <c r="A26" s="11"/>
      <c r="B26" s="12"/>
      <c r="C26" s="12"/>
      <c r="D26" s="12"/>
      <c r="E26" s="12"/>
      <c r="F26" s="12"/>
      <c r="G26" s="12"/>
      <c r="H26" s="12"/>
      <c r="I26" s="12"/>
      <c r="J26" s="17"/>
      <c r="K26" s="18"/>
      <c r="L26" s="17"/>
      <c r="M26" s="17"/>
      <c r="N26" s="17"/>
      <c r="O26" s="17"/>
      <c r="P26" s="17"/>
      <c r="Q26" s="17"/>
      <c r="R26" s="17"/>
      <c r="S26" s="19" t="str">
        <f aca="false">IF(OR(J26="",J26=0),"",(L26+M26+N26+O26)/J26)</f>
        <v/>
      </c>
      <c r="T26" s="12"/>
    </row>
    <row r="27" customFormat="false" ht="15" hidden="false" customHeight="false" outlineLevel="0" collapsed="false">
      <c r="A27" s="11"/>
      <c r="B27" s="12"/>
      <c r="C27" s="12"/>
      <c r="D27" s="12"/>
      <c r="E27" s="12"/>
      <c r="F27" s="12"/>
      <c r="G27" s="12"/>
      <c r="H27" s="12"/>
      <c r="I27" s="12"/>
      <c r="J27" s="17"/>
      <c r="K27" s="18"/>
      <c r="L27" s="17"/>
      <c r="M27" s="17"/>
      <c r="N27" s="17"/>
      <c r="O27" s="17"/>
      <c r="P27" s="17"/>
      <c r="Q27" s="17"/>
      <c r="R27" s="17"/>
      <c r="S27" s="19" t="str">
        <f aca="false">IF(OR(J27="",J27=0),"",(L27+M27+N27+O27)/J27)</f>
        <v/>
      </c>
      <c r="T27" s="12"/>
    </row>
    <row r="28" customFormat="false" ht="15" hidden="false" customHeight="false" outlineLevel="0" collapsed="false">
      <c r="A28" s="11"/>
      <c r="B28" s="12"/>
      <c r="C28" s="12"/>
      <c r="D28" s="12"/>
      <c r="E28" s="12"/>
      <c r="F28" s="12"/>
      <c r="G28" s="12"/>
      <c r="H28" s="12"/>
      <c r="I28" s="12"/>
      <c r="J28" s="17"/>
      <c r="K28" s="18"/>
      <c r="L28" s="17"/>
      <c r="M28" s="17"/>
      <c r="N28" s="17"/>
      <c r="O28" s="17"/>
      <c r="P28" s="17"/>
      <c r="Q28" s="17"/>
      <c r="R28" s="17"/>
      <c r="S28" s="19" t="str">
        <f aca="false">IF(OR(J28="",J28=0),"",(L28+M28+N28+O28)/J28)</f>
        <v/>
      </c>
      <c r="T28" s="12"/>
    </row>
    <row r="29" customFormat="false" ht="15" hidden="false" customHeight="false" outlineLevel="0" collapsed="false">
      <c r="A29" s="11"/>
      <c r="B29" s="12"/>
      <c r="C29" s="12"/>
      <c r="D29" s="12"/>
      <c r="E29" s="12"/>
      <c r="F29" s="12"/>
      <c r="G29" s="12"/>
      <c r="H29" s="12"/>
      <c r="I29" s="12"/>
      <c r="J29" s="17"/>
      <c r="K29" s="18"/>
      <c r="L29" s="17"/>
      <c r="M29" s="17"/>
      <c r="N29" s="17"/>
      <c r="O29" s="17"/>
      <c r="P29" s="17"/>
      <c r="Q29" s="17"/>
      <c r="R29" s="17"/>
      <c r="S29" s="19" t="str">
        <f aca="false">IF(OR(J29="",J29=0),"",(L29+M29+N29+O29)/J29)</f>
        <v/>
      </c>
      <c r="T29" s="12"/>
    </row>
    <row r="30" customFormat="false" ht="15" hidden="false" customHeight="false" outlineLevel="0" collapsed="false">
      <c r="A30" s="11"/>
      <c r="B30" s="12"/>
      <c r="C30" s="12"/>
      <c r="D30" s="12"/>
      <c r="E30" s="12"/>
      <c r="F30" s="12"/>
      <c r="G30" s="12"/>
      <c r="H30" s="12"/>
      <c r="I30" s="12"/>
      <c r="J30" s="17"/>
      <c r="K30" s="18"/>
      <c r="L30" s="17"/>
      <c r="M30" s="17"/>
      <c r="N30" s="17"/>
      <c r="O30" s="17"/>
      <c r="P30" s="17"/>
      <c r="Q30" s="17"/>
      <c r="R30" s="17"/>
      <c r="S30" s="19" t="str">
        <f aca="false">IF(OR(J30="",J30=0),"",(L30+M30+N30+O30)/J30)</f>
        <v/>
      </c>
      <c r="T30" s="12"/>
    </row>
    <row r="31" customFormat="false" ht="15" hidden="false" customHeight="false" outlineLevel="0" collapsed="false">
      <c r="A31" s="11"/>
      <c r="B31" s="12"/>
      <c r="C31" s="12"/>
      <c r="D31" s="12"/>
      <c r="E31" s="12"/>
      <c r="F31" s="12"/>
      <c r="G31" s="12"/>
      <c r="H31" s="12"/>
      <c r="I31" s="12"/>
      <c r="J31" s="17"/>
      <c r="K31" s="18"/>
      <c r="L31" s="17"/>
      <c r="M31" s="17"/>
      <c r="N31" s="17"/>
      <c r="O31" s="17"/>
      <c r="P31" s="17"/>
      <c r="Q31" s="17"/>
      <c r="R31" s="17"/>
      <c r="S31" s="19" t="str">
        <f aca="false">IF(OR(J31="",J31=0),"",(L31+M31+N31+O31)/J31)</f>
        <v/>
      </c>
      <c r="T31" s="12"/>
    </row>
    <row r="32" customFormat="false" ht="15" hidden="false" customHeight="false" outlineLevel="0" collapsed="false">
      <c r="A32" s="11"/>
      <c r="B32" s="12"/>
      <c r="C32" s="12"/>
      <c r="D32" s="12"/>
      <c r="E32" s="12"/>
      <c r="F32" s="12"/>
      <c r="G32" s="12"/>
      <c r="H32" s="12"/>
      <c r="I32" s="12"/>
      <c r="J32" s="17"/>
      <c r="K32" s="18"/>
      <c r="L32" s="17"/>
      <c r="M32" s="17"/>
      <c r="N32" s="17"/>
      <c r="O32" s="17"/>
      <c r="P32" s="17"/>
      <c r="Q32" s="17"/>
      <c r="R32" s="17"/>
      <c r="S32" s="19" t="str">
        <f aca="false">IF(OR(J32="",J32=0),"",(L32+M32+N32+O32)/J32)</f>
        <v/>
      </c>
      <c r="T32" s="12"/>
    </row>
    <row r="33" customFormat="false" ht="15" hidden="false" customHeight="false" outlineLevel="0" collapsed="false">
      <c r="A33" s="11"/>
      <c r="B33" s="12"/>
      <c r="C33" s="12"/>
      <c r="D33" s="12"/>
      <c r="E33" s="12"/>
      <c r="F33" s="12"/>
      <c r="G33" s="12"/>
      <c r="H33" s="12"/>
      <c r="I33" s="12"/>
      <c r="J33" s="17"/>
      <c r="K33" s="18"/>
      <c r="L33" s="17"/>
      <c r="M33" s="17"/>
      <c r="N33" s="17"/>
      <c r="O33" s="17"/>
      <c r="P33" s="17"/>
      <c r="Q33" s="17"/>
      <c r="R33" s="17"/>
      <c r="S33" s="19" t="str">
        <f aca="false">IF(OR(J33="",J33=0),"",(L33+M33+N33+O33)/J33)</f>
        <v/>
      </c>
      <c r="T33" s="12"/>
    </row>
    <row r="34" customFormat="false" ht="15" hidden="false" customHeight="false" outlineLevel="0" collapsed="false">
      <c r="A34" s="11"/>
      <c r="B34" s="12"/>
      <c r="C34" s="12"/>
      <c r="D34" s="12"/>
      <c r="E34" s="12"/>
      <c r="F34" s="12"/>
      <c r="G34" s="12"/>
      <c r="H34" s="12"/>
      <c r="I34" s="12"/>
      <c r="J34" s="17"/>
      <c r="K34" s="18"/>
      <c r="L34" s="17"/>
      <c r="M34" s="17"/>
      <c r="N34" s="17"/>
      <c r="O34" s="17"/>
      <c r="P34" s="17"/>
      <c r="Q34" s="17"/>
      <c r="R34" s="17"/>
      <c r="S34" s="19" t="str">
        <f aca="false">IF(OR(J34="",J34=0),"",(L34+M34+N34+O34)/J34)</f>
        <v/>
      </c>
      <c r="T34" s="12"/>
    </row>
    <row r="35" customFormat="false" ht="15" hidden="false" customHeight="false" outlineLevel="0" collapsed="false">
      <c r="A35" s="11"/>
      <c r="B35" s="12"/>
      <c r="C35" s="12"/>
      <c r="D35" s="12"/>
      <c r="E35" s="12"/>
      <c r="F35" s="12"/>
      <c r="G35" s="12"/>
      <c r="H35" s="12"/>
      <c r="I35" s="12"/>
      <c r="J35" s="17"/>
      <c r="K35" s="18"/>
      <c r="L35" s="17"/>
      <c r="M35" s="17"/>
      <c r="N35" s="17"/>
      <c r="O35" s="17"/>
      <c r="P35" s="17"/>
      <c r="Q35" s="17"/>
      <c r="R35" s="17"/>
      <c r="S35" s="19" t="str">
        <f aca="false">IF(OR(J35="",J35=0),"",(L35+M35+N35+O35)/J35)</f>
        <v/>
      </c>
      <c r="T35" s="12"/>
    </row>
    <row r="36" customFormat="false" ht="15" hidden="false" customHeight="false" outlineLevel="0" collapsed="false">
      <c r="A36" s="11"/>
      <c r="B36" s="12"/>
      <c r="C36" s="12"/>
      <c r="D36" s="12"/>
      <c r="E36" s="12"/>
      <c r="F36" s="12"/>
      <c r="G36" s="12"/>
      <c r="H36" s="12"/>
      <c r="I36" s="12"/>
      <c r="J36" s="17"/>
      <c r="K36" s="18"/>
      <c r="L36" s="17"/>
      <c r="M36" s="17"/>
      <c r="N36" s="17"/>
      <c r="O36" s="17"/>
      <c r="P36" s="17"/>
      <c r="Q36" s="17"/>
      <c r="R36" s="17"/>
      <c r="S36" s="19" t="str">
        <f aca="false">IF(OR(J36="",J36=0),"",(L36+M36+N36+O36)/J36)</f>
        <v/>
      </c>
      <c r="T36" s="12"/>
    </row>
    <row r="37" customFormat="false" ht="15" hidden="false" customHeight="false" outlineLevel="0" collapsed="false">
      <c r="A37" s="11"/>
      <c r="B37" s="12"/>
      <c r="C37" s="12"/>
      <c r="D37" s="12"/>
      <c r="E37" s="12"/>
      <c r="F37" s="12"/>
      <c r="G37" s="12"/>
      <c r="H37" s="12"/>
      <c r="I37" s="12"/>
      <c r="J37" s="17"/>
      <c r="K37" s="18"/>
      <c r="L37" s="17"/>
      <c r="M37" s="17"/>
      <c r="N37" s="17"/>
      <c r="O37" s="17"/>
      <c r="P37" s="17"/>
      <c r="Q37" s="17"/>
      <c r="R37" s="17"/>
      <c r="S37" s="19" t="str">
        <f aca="false">IF(OR(J37="",J37=0),"",(L37+M37+N37+O37)/J37)</f>
        <v/>
      </c>
      <c r="T37" s="12"/>
    </row>
    <row r="38" customFormat="false" ht="15" hidden="false" customHeight="false" outlineLevel="0" collapsed="false">
      <c r="A38" s="11"/>
      <c r="B38" s="12"/>
      <c r="C38" s="12"/>
      <c r="D38" s="12"/>
      <c r="E38" s="12"/>
      <c r="F38" s="12"/>
      <c r="G38" s="12"/>
      <c r="H38" s="12"/>
      <c r="I38" s="12"/>
      <c r="J38" s="17"/>
      <c r="K38" s="18"/>
      <c r="L38" s="17"/>
      <c r="M38" s="17"/>
      <c r="N38" s="17"/>
      <c r="O38" s="17"/>
      <c r="P38" s="17"/>
      <c r="Q38" s="17"/>
      <c r="R38" s="17"/>
      <c r="S38" s="19" t="str">
        <f aca="false">IF(OR(J38="",J38=0),"",(L38+M38+N38+O38)/J38)</f>
        <v/>
      </c>
      <c r="T38" s="12"/>
    </row>
    <row r="39" customFormat="false" ht="15" hidden="false" customHeight="false" outlineLevel="0" collapsed="false">
      <c r="A39" s="11"/>
      <c r="B39" s="12"/>
      <c r="C39" s="12"/>
      <c r="D39" s="12"/>
      <c r="E39" s="12"/>
      <c r="F39" s="12"/>
      <c r="G39" s="12"/>
      <c r="H39" s="12"/>
      <c r="I39" s="12"/>
      <c r="J39" s="17"/>
      <c r="K39" s="18"/>
      <c r="L39" s="17"/>
      <c r="M39" s="17"/>
      <c r="N39" s="17"/>
      <c r="O39" s="17"/>
      <c r="P39" s="17"/>
      <c r="Q39" s="17"/>
      <c r="R39" s="17"/>
      <c r="S39" s="19" t="str">
        <f aca="false">IF(OR(J39="",J39=0),"",(L39+M39+N39+O39)/J39)</f>
        <v/>
      </c>
      <c r="T39" s="12"/>
    </row>
    <row r="40" customFormat="false" ht="15" hidden="false" customHeight="false" outlineLevel="0" collapsed="false">
      <c r="A40" s="11"/>
      <c r="B40" s="12"/>
      <c r="C40" s="12"/>
      <c r="D40" s="12"/>
      <c r="E40" s="12"/>
      <c r="F40" s="12"/>
      <c r="G40" s="12"/>
      <c r="H40" s="12"/>
      <c r="I40" s="12"/>
      <c r="J40" s="17"/>
      <c r="K40" s="18"/>
      <c r="L40" s="17"/>
      <c r="M40" s="17"/>
      <c r="N40" s="17"/>
      <c r="O40" s="17"/>
      <c r="P40" s="17"/>
      <c r="Q40" s="17"/>
      <c r="R40" s="17"/>
      <c r="S40" s="19" t="str">
        <f aca="false">IF(OR(J40="",J40=0),"",(L40+M40+N40+O40)/J40)</f>
        <v/>
      </c>
      <c r="T40" s="12"/>
    </row>
    <row r="41" customFormat="false" ht="15" hidden="false" customHeight="false" outlineLevel="0" collapsed="false">
      <c r="A41" s="11"/>
      <c r="B41" s="12"/>
      <c r="C41" s="12"/>
      <c r="D41" s="12"/>
      <c r="E41" s="12"/>
      <c r="F41" s="12"/>
      <c r="G41" s="12"/>
      <c r="H41" s="12"/>
      <c r="I41" s="12"/>
      <c r="J41" s="17"/>
      <c r="K41" s="18"/>
      <c r="L41" s="17"/>
      <c r="M41" s="17"/>
      <c r="N41" s="17"/>
      <c r="O41" s="17"/>
      <c r="P41" s="17"/>
      <c r="Q41" s="17"/>
      <c r="R41" s="17"/>
      <c r="S41" s="19" t="str">
        <f aca="false">IF(OR(J41="",J41=0),"",(L41+M41+N41+O41)/J41)</f>
        <v/>
      </c>
      <c r="T41" s="12"/>
    </row>
    <row r="42" customFormat="false" ht="15" hidden="false" customHeight="false" outlineLevel="0" collapsed="false">
      <c r="A42" s="11"/>
      <c r="B42" s="12"/>
      <c r="C42" s="12"/>
      <c r="D42" s="12"/>
      <c r="E42" s="12"/>
      <c r="F42" s="12"/>
      <c r="G42" s="12"/>
      <c r="H42" s="12"/>
      <c r="I42" s="12"/>
      <c r="J42" s="17"/>
      <c r="K42" s="18"/>
      <c r="L42" s="17"/>
      <c r="M42" s="17"/>
      <c r="N42" s="17"/>
      <c r="O42" s="17"/>
      <c r="P42" s="17"/>
      <c r="Q42" s="17"/>
      <c r="R42" s="17"/>
      <c r="S42" s="19" t="str">
        <f aca="false">IF(OR(J42="",J42=0),"",(L42+M42+N42+O42)/J42)</f>
        <v/>
      </c>
      <c r="T42" s="12"/>
    </row>
    <row r="43" customFormat="false" ht="15" hidden="false" customHeight="false" outlineLevel="0" collapsed="false">
      <c r="A43" s="11"/>
      <c r="B43" s="12"/>
      <c r="C43" s="12"/>
      <c r="D43" s="12"/>
      <c r="E43" s="12"/>
      <c r="F43" s="12"/>
      <c r="G43" s="12"/>
      <c r="H43" s="12"/>
      <c r="I43" s="12"/>
      <c r="J43" s="17"/>
      <c r="K43" s="18"/>
      <c r="L43" s="17"/>
      <c r="M43" s="17"/>
      <c r="N43" s="17"/>
      <c r="O43" s="17"/>
      <c r="P43" s="17"/>
      <c r="Q43" s="17"/>
      <c r="R43" s="17"/>
      <c r="S43" s="19" t="str">
        <f aca="false">IF(OR(J43="",J43=0),"",(L43+M43+N43+O43)/J43)</f>
        <v/>
      </c>
      <c r="T43" s="12"/>
    </row>
    <row r="44" customFormat="false" ht="15" hidden="false" customHeight="false" outlineLevel="0" collapsed="false">
      <c r="A44" s="11"/>
      <c r="B44" s="12"/>
      <c r="C44" s="12"/>
      <c r="D44" s="12"/>
      <c r="E44" s="12"/>
      <c r="F44" s="12"/>
      <c r="G44" s="12"/>
      <c r="H44" s="12"/>
      <c r="I44" s="12"/>
      <c r="J44" s="17"/>
      <c r="K44" s="18"/>
      <c r="L44" s="17"/>
      <c r="M44" s="17"/>
      <c r="N44" s="17"/>
      <c r="O44" s="17"/>
      <c r="P44" s="17"/>
      <c r="Q44" s="17"/>
      <c r="R44" s="17"/>
      <c r="S44" s="19" t="str">
        <f aca="false">IF(OR(J44="",J44=0),"",(L44+M44+N44+O44)/J44)</f>
        <v/>
      </c>
      <c r="T44" s="12"/>
    </row>
    <row r="45" customFormat="false" ht="15" hidden="false" customHeight="false" outlineLevel="0" collapsed="false">
      <c r="A45" s="11"/>
      <c r="B45" s="12"/>
      <c r="C45" s="12"/>
      <c r="D45" s="12"/>
      <c r="E45" s="12"/>
      <c r="F45" s="12"/>
      <c r="G45" s="12"/>
      <c r="H45" s="12"/>
      <c r="I45" s="12"/>
      <c r="J45" s="17"/>
      <c r="K45" s="18"/>
      <c r="L45" s="17"/>
      <c r="M45" s="17"/>
      <c r="N45" s="17"/>
      <c r="O45" s="17"/>
      <c r="P45" s="17"/>
      <c r="Q45" s="17"/>
      <c r="R45" s="17"/>
      <c r="S45" s="19" t="str">
        <f aca="false">IF(OR(J45="",J45=0),"",(L45+M45+N45+O45)/J45)</f>
        <v/>
      </c>
      <c r="T45" s="12"/>
    </row>
    <row r="46" customFormat="false" ht="15" hidden="false" customHeight="false" outlineLevel="0" collapsed="false">
      <c r="A46" s="11"/>
      <c r="B46" s="12"/>
      <c r="C46" s="12"/>
      <c r="D46" s="12"/>
      <c r="E46" s="12"/>
      <c r="F46" s="12"/>
      <c r="G46" s="12"/>
      <c r="H46" s="12"/>
      <c r="I46" s="12"/>
      <c r="J46" s="17"/>
      <c r="K46" s="18"/>
      <c r="L46" s="17"/>
      <c r="M46" s="17"/>
      <c r="N46" s="17"/>
      <c r="O46" s="17"/>
      <c r="P46" s="17"/>
      <c r="Q46" s="17"/>
      <c r="R46" s="17"/>
      <c r="S46" s="19" t="str">
        <f aca="false">IF(OR(J46="",J46=0),"",(L46+M46+N46+O46)/J46)</f>
        <v/>
      </c>
      <c r="T46" s="12"/>
    </row>
    <row r="47" customFormat="false" ht="15" hidden="false" customHeight="false" outlineLevel="0" collapsed="false">
      <c r="A47" s="11"/>
      <c r="B47" s="12"/>
      <c r="C47" s="12"/>
      <c r="D47" s="12"/>
      <c r="E47" s="12"/>
      <c r="F47" s="12"/>
      <c r="G47" s="12"/>
      <c r="H47" s="12"/>
      <c r="I47" s="12"/>
      <c r="J47" s="17"/>
      <c r="K47" s="18"/>
      <c r="L47" s="17"/>
      <c r="M47" s="17"/>
      <c r="N47" s="17"/>
      <c r="O47" s="17"/>
      <c r="P47" s="17"/>
      <c r="Q47" s="17"/>
      <c r="R47" s="17"/>
      <c r="S47" s="19" t="str">
        <f aca="false">IF(OR(J47="",J47=0),"",(L47+M47+N47+O47)/J47)</f>
        <v/>
      </c>
      <c r="T47" s="12"/>
    </row>
    <row r="48" customFormat="false" ht="15" hidden="false" customHeight="false" outlineLevel="0" collapsed="false">
      <c r="A48" s="11"/>
      <c r="B48" s="12"/>
      <c r="C48" s="12"/>
      <c r="D48" s="12"/>
      <c r="E48" s="12"/>
      <c r="F48" s="12"/>
      <c r="G48" s="12"/>
      <c r="H48" s="12"/>
      <c r="I48" s="12"/>
      <c r="J48" s="17"/>
      <c r="K48" s="18"/>
      <c r="L48" s="17"/>
      <c r="M48" s="17"/>
      <c r="N48" s="17"/>
      <c r="O48" s="17"/>
      <c r="P48" s="17"/>
      <c r="Q48" s="17"/>
      <c r="R48" s="17"/>
      <c r="S48" s="19" t="str">
        <f aca="false">IF(OR(J48="",J48=0),"",(L48+M48+N48+O48)/J48)</f>
        <v/>
      </c>
      <c r="T48" s="12"/>
    </row>
    <row r="49" customFormat="false" ht="15" hidden="false" customHeight="false" outlineLevel="0" collapsed="false">
      <c r="A49" s="11"/>
      <c r="B49" s="12"/>
      <c r="C49" s="12"/>
      <c r="D49" s="12"/>
      <c r="E49" s="12"/>
      <c r="F49" s="12"/>
      <c r="G49" s="12"/>
      <c r="H49" s="12"/>
      <c r="I49" s="12"/>
      <c r="J49" s="17"/>
      <c r="K49" s="18"/>
      <c r="L49" s="17"/>
      <c r="M49" s="17"/>
      <c r="N49" s="17"/>
      <c r="O49" s="17"/>
      <c r="P49" s="17"/>
      <c r="Q49" s="17"/>
      <c r="R49" s="17"/>
      <c r="S49" s="19" t="str">
        <f aca="false">IF(OR(J49="",J49=0),"",(L49+M49+N49+O49)/J49)</f>
        <v/>
      </c>
      <c r="T49" s="12"/>
    </row>
    <row r="50" customFormat="false" ht="15" hidden="false" customHeight="false" outlineLevel="0" collapsed="false">
      <c r="A50" s="11"/>
      <c r="B50" s="12"/>
      <c r="C50" s="12"/>
      <c r="D50" s="12"/>
      <c r="E50" s="12"/>
      <c r="F50" s="12"/>
      <c r="G50" s="12"/>
      <c r="H50" s="12"/>
      <c r="I50" s="12"/>
      <c r="J50" s="17"/>
      <c r="K50" s="18"/>
      <c r="L50" s="17"/>
      <c r="M50" s="17"/>
      <c r="N50" s="17"/>
      <c r="O50" s="17"/>
      <c r="P50" s="17"/>
      <c r="Q50" s="17"/>
      <c r="R50" s="17"/>
      <c r="S50" s="19" t="str">
        <f aca="false">IF(OR(J50="",J50=0),"",(L50+M50+N50+O50)/J50)</f>
        <v/>
      </c>
      <c r="T50" s="12"/>
    </row>
    <row r="51" customFormat="false" ht="15" hidden="false" customHeight="false" outlineLevel="0" collapsed="false">
      <c r="A51" s="11"/>
      <c r="B51" s="12"/>
      <c r="C51" s="12"/>
      <c r="D51" s="12"/>
      <c r="E51" s="12"/>
      <c r="F51" s="12"/>
      <c r="G51" s="12"/>
      <c r="H51" s="12"/>
      <c r="I51" s="12"/>
      <c r="J51" s="17"/>
      <c r="K51" s="18"/>
      <c r="L51" s="17"/>
      <c r="M51" s="17"/>
      <c r="N51" s="17"/>
      <c r="O51" s="17"/>
      <c r="P51" s="17"/>
      <c r="Q51" s="17"/>
      <c r="R51" s="17"/>
      <c r="S51" s="19" t="str">
        <f aca="false">IF(OR(J51="",J51=0),"",(L51+M51+N51+O51)/J51)</f>
        <v/>
      </c>
      <c r="T51" s="12"/>
    </row>
    <row r="52" customFormat="false" ht="15" hidden="false" customHeight="false" outlineLevel="0" collapsed="false">
      <c r="A52" s="11"/>
      <c r="B52" s="12"/>
      <c r="C52" s="12"/>
      <c r="D52" s="12"/>
      <c r="E52" s="12"/>
      <c r="F52" s="12"/>
      <c r="G52" s="12"/>
      <c r="H52" s="12"/>
      <c r="I52" s="12"/>
      <c r="J52" s="17"/>
      <c r="K52" s="18"/>
      <c r="L52" s="17"/>
      <c r="M52" s="17"/>
      <c r="N52" s="17"/>
      <c r="O52" s="17"/>
      <c r="P52" s="17"/>
      <c r="Q52" s="17"/>
      <c r="R52" s="17"/>
      <c r="S52" s="19" t="str">
        <f aca="false">IF(OR(J52="",J52=0),"",(L52+M52+N52+O52)/J52)</f>
        <v/>
      </c>
      <c r="T52" s="12"/>
    </row>
    <row r="53" customFormat="false" ht="15" hidden="false" customHeight="false" outlineLevel="0" collapsed="false">
      <c r="A53" s="11"/>
      <c r="B53" s="12"/>
      <c r="C53" s="12"/>
      <c r="D53" s="12"/>
      <c r="E53" s="12"/>
      <c r="F53" s="12"/>
      <c r="G53" s="12"/>
      <c r="H53" s="12"/>
      <c r="I53" s="12"/>
      <c r="J53" s="17"/>
      <c r="K53" s="18"/>
      <c r="L53" s="17"/>
      <c r="M53" s="17"/>
      <c r="N53" s="17"/>
      <c r="O53" s="17"/>
      <c r="P53" s="17"/>
      <c r="Q53" s="17"/>
      <c r="R53" s="17"/>
      <c r="S53" s="19" t="str">
        <f aca="false">IF(OR(J53="",J53=0),"",(L53+M53+N53+O53)/J53)</f>
        <v/>
      </c>
      <c r="T53" s="12"/>
    </row>
    <row r="54" customFormat="false" ht="15" hidden="false" customHeight="false" outlineLevel="0" collapsed="false">
      <c r="A54" s="11"/>
      <c r="B54" s="12"/>
      <c r="C54" s="12"/>
      <c r="D54" s="12"/>
      <c r="E54" s="12"/>
      <c r="F54" s="12"/>
      <c r="G54" s="12"/>
      <c r="H54" s="12"/>
      <c r="I54" s="12"/>
      <c r="J54" s="17"/>
      <c r="K54" s="18"/>
      <c r="L54" s="17"/>
      <c r="M54" s="17"/>
      <c r="N54" s="17"/>
      <c r="O54" s="17"/>
      <c r="P54" s="17"/>
      <c r="Q54" s="17"/>
      <c r="R54" s="17"/>
      <c r="S54" s="19" t="str">
        <f aca="false">IF(OR(J54="",J54=0),"",(L54+M54+N54+O54)/J54)</f>
        <v/>
      </c>
      <c r="T54" s="12"/>
    </row>
    <row r="55" customFormat="false" ht="15" hidden="false" customHeight="false" outlineLevel="0" collapsed="false">
      <c r="A55" s="11"/>
      <c r="B55" s="12"/>
      <c r="C55" s="12"/>
      <c r="D55" s="12"/>
      <c r="E55" s="12"/>
      <c r="F55" s="12"/>
      <c r="G55" s="12"/>
      <c r="H55" s="12"/>
      <c r="I55" s="12"/>
      <c r="J55" s="17"/>
      <c r="K55" s="18"/>
      <c r="L55" s="17"/>
      <c r="M55" s="17"/>
      <c r="N55" s="17"/>
      <c r="O55" s="17"/>
      <c r="P55" s="17"/>
      <c r="Q55" s="17"/>
      <c r="R55" s="17"/>
      <c r="S55" s="19" t="str">
        <f aca="false">IF(OR(J55="",J55=0),"",(L55+M55+N55+O55)/J55)</f>
        <v/>
      </c>
      <c r="T55" s="12"/>
    </row>
    <row r="56" customFormat="false" ht="15" hidden="false" customHeight="false" outlineLevel="0" collapsed="false">
      <c r="A56" s="11"/>
      <c r="B56" s="12"/>
      <c r="C56" s="12"/>
      <c r="D56" s="12"/>
      <c r="E56" s="12"/>
      <c r="F56" s="12"/>
      <c r="G56" s="12"/>
      <c r="H56" s="12"/>
      <c r="I56" s="12"/>
      <c r="J56" s="17"/>
      <c r="K56" s="18"/>
      <c r="L56" s="17"/>
      <c r="M56" s="17"/>
      <c r="N56" s="17"/>
      <c r="O56" s="17"/>
      <c r="P56" s="17"/>
      <c r="Q56" s="17"/>
      <c r="R56" s="17"/>
      <c r="S56" s="19" t="str">
        <f aca="false">IF(OR(J56="",J56=0),"",(L56+M56+N56+O56)/J56)</f>
        <v/>
      </c>
      <c r="T56" s="12"/>
    </row>
    <row r="57" customFormat="false" ht="15" hidden="false" customHeight="false" outlineLevel="0" collapsed="false">
      <c r="A57" s="11"/>
      <c r="B57" s="12"/>
      <c r="C57" s="12"/>
      <c r="D57" s="12"/>
      <c r="E57" s="12"/>
      <c r="F57" s="12"/>
      <c r="G57" s="12"/>
      <c r="H57" s="12"/>
      <c r="I57" s="12"/>
      <c r="J57" s="17"/>
      <c r="K57" s="18"/>
      <c r="L57" s="17"/>
      <c r="M57" s="17"/>
      <c r="N57" s="17"/>
      <c r="O57" s="17"/>
      <c r="P57" s="17"/>
      <c r="Q57" s="17"/>
      <c r="R57" s="17"/>
      <c r="S57" s="19" t="str">
        <f aca="false">IF(OR(J57="",J57=0),"",(L57+M57+N57+O57)/J57)</f>
        <v/>
      </c>
      <c r="T57" s="12"/>
    </row>
    <row r="58" customFormat="false" ht="15" hidden="false" customHeight="false" outlineLevel="0" collapsed="false">
      <c r="A58" s="11"/>
      <c r="B58" s="12"/>
      <c r="C58" s="12"/>
      <c r="D58" s="12"/>
      <c r="E58" s="12"/>
      <c r="F58" s="12"/>
      <c r="G58" s="12"/>
      <c r="H58" s="12"/>
      <c r="I58" s="12"/>
      <c r="J58" s="17"/>
      <c r="K58" s="18"/>
      <c r="L58" s="17"/>
      <c r="M58" s="17"/>
      <c r="N58" s="17"/>
      <c r="O58" s="17"/>
      <c r="P58" s="17"/>
      <c r="Q58" s="17"/>
      <c r="R58" s="17"/>
      <c r="S58" s="19" t="str">
        <f aca="false">IF(OR(J58="",J58=0),"",(L58+M58+N58+O58)/J58)</f>
        <v/>
      </c>
      <c r="T58" s="12"/>
    </row>
    <row r="59" customFormat="false" ht="15" hidden="false" customHeight="false" outlineLevel="0" collapsed="false">
      <c r="A59" s="11"/>
      <c r="B59" s="12"/>
      <c r="C59" s="12"/>
      <c r="D59" s="12"/>
      <c r="E59" s="12"/>
      <c r="F59" s="12"/>
      <c r="G59" s="12"/>
      <c r="H59" s="12"/>
      <c r="I59" s="12"/>
      <c r="J59" s="17"/>
      <c r="K59" s="18"/>
      <c r="L59" s="17"/>
      <c r="M59" s="17"/>
      <c r="N59" s="17"/>
      <c r="O59" s="17"/>
      <c r="P59" s="17"/>
      <c r="Q59" s="17"/>
      <c r="R59" s="17"/>
      <c r="S59" s="19" t="str">
        <f aca="false">IF(OR(J59="",J59=0),"",(L59+M59+N59+O59)/J59)</f>
        <v/>
      </c>
      <c r="T59" s="12"/>
    </row>
    <row r="60" customFormat="false" ht="15" hidden="false" customHeight="false" outlineLevel="0" collapsed="false">
      <c r="A60" s="11"/>
      <c r="B60" s="12"/>
      <c r="C60" s="12"/>
      <c r="D60" s="12"/>
      <c r="E60" s="12"/>
      <c r="F60" s="12"/>
      <c r="G60" s="12"/>
      <c r="H60" s="12"/>
      <c r="I60" s="12"/>
      <c r="J60" s="17"/>
      <c r="K60" s="18"/>
      <c r="L60" s="17"/>
      <c r="M60" s="17"/>
      <c r="N60" s="17"/>
      <c r="O60" s="17"/>
      <c r="P60" s="17"/>
      <c r="Q60" s="17"/>
      <c r="R60" s="17"/>
      <c r="S60" s="19" t="str">
        <f aca="false">IF(OR(J60="",J60=0),"",(L60+M60+N60+O60)/J60)</f>
        <v/>
      </c>
      <c r="T60" s="12"/>
    </row>
    <row r="61" customFormat="false" ht="15" hidden="false" customHeight="false" outlineLevel="0" collapsed="false">
      <c r="A61" s="11"/>
      <c r="B61" s="12"/>
      <c r="C61" s="12"/>
      <c r="D61" s="12"/>
      <c r="E61" s="12"/>
      <c r="F61" s="12"/>
      <c r="G61" s="12"/>
      <c r="H61" s="12"/>
      <c r="I61" s="12"/>
      <c r="J61" s="17"/>
      <c r="K61" s="18"/>
      <c r="L61" s="17"/>
      <c r="M61" s="17"/>
      <c r="N61" s="17"/>
      <c r="O61" s="17"/>
      <c r="P61" s="17"/>
      <c r="Q61" s="17"/>
      <c r="R61" s="17"/>
      <c r="S61" s="19" t="str">
        <f aca="false">IF(OR(J61="",J61=0),"",(L61+M61+N61+O61)/J61)</f>
        <v/>
      </c>
      <c r="T61" s="12"/>
    </row>
    <row r="62" customFormat="false" ht="15" hidden="false" customHeight="false" outlineLevel="0" collapsed="false">
      <c r="A62" s="11"/>
      <c r="B62" s="12"/>
      <c r="C62" s="12"/>
      <c r="D62" s="12"/>
      <c r="E62" s="12"/>
      <c r="F62" s="12"/>
      <c r="G62" s="12"/>
      <c r="H62" s="12"/>
      <c r="I62" s="12"/>
      <c r="J62" s="17"/>
      <c r="K62" s="18"/>
      <c r="L62" s="17"/>
      <c r="M62" s="17"/>
      <c r="N62" s="17"/>
      <c r="O62" s="17"/>
      <c r="P62" s="17"/>
      <c r="Q62" s="17"/>
      <c r="R62" s="17"/>
      <c r="S62" s="19" t="str">
        <f aca="false">IF(OR(J62="",J62=0),"",(L62+M62+N62+O62)/J62)</f>
        <v/>
      </c>
      <c r="T62" s="12"/>
    </row>
    <row r="63" customFormat="false" ht="15" hidden="false" customHeight="false" outlineLevel="0" collapsed="false">
      <c r="A63" s="11"/>
      <c r="B63" s="12"/>
      <c r="C63" s="12"/>
      <c r="D63" s="12"/>
      <c r="E63" s="12"/>
      <c r="F63" s="12"/>
      <c r="G63" s="12"/>
      <c r="H63" s="12"/>
      <c r="I63" s="12"/>
      <c r="J63" s="17"/>
      <c r="K63" s="18"/>
      <c r="L63" s="17"/>
      <c r="M63" s="17"/>
      <c r="N63" s="17"/>
      <c r="O63" s="17"/>
      <c r="P63" s="17"/>
      <c r="Q63" s="17"/>
      <c r="R63" s="17"/>
      <c r="S63" s="19" t="str">
        <f aca="false">IF(OR(J63="",J63=0),"",(L63+M63+N63+O63)/J63)</f>
        <v/>
      </c>
      <c r="T63" s="12"/>
    </row>
    <row r="64" customFormat="false" ht="15" hidden="false" customHeight="false" outlineLevel="0" collapsed="false">
      <c r="A64" s="11"/>
      <c r="B64" s="12"/>
      <c r="C64" s="12"/>
      <c r="D64" s="12"/>
      <c r="E64" s="12"/>
      <c r="F64" s="12"/>
      <c r="G64" s="12"/>
      <c r="H64" s="12"/>
      <c r="I64" s="12"/>
      <c r="J64" s="17"/>
      <c r="K64" s="18"/>
      <c r="L64" s="17"/>
      <c r="M64" s="17"/>
      <c r="N64" s="17"/>
      <c r="O64" s="17"/>
      <c r="P64" s="17"/>
      <c r="Q64" s="17"/>
      <c r="R64" s="17"/>
      <c r="S64" s="19" t="str">
        <f aca="false">IF(OR(J64="",J64=0),"",(L64+M64+N64+O64)/J64)</f>
        <v/>
      </c>
      <c r="T64" s="12"/>
    </row>
    <row r="65" customFormat="false" ht="15" hidden="false" customHeight="false" outlineLevel="0" collapsed="false">
      <c r="A65" s="11"/>
      <c r="B65" s="12"/>
      <c r="C65" s="12"/>
      <c r="D65" s="12"/>
      <c r="E65" s="12"/>
      <c r="F65" s="12"/>
      <c r="G65" s="12"/>
      <c r="H65" s="12"/>
      <c r="I65" s="12"/>
      <c r="J65" s="17"/>
      <c r="K65" s="18"/>
      <c r="L65" s="17"/>
      <c r="M65" s="17"/>
      <c r="N65" s="17"/>
      <c r="O65" s="17"/>
      <c r="P65" s="17"/>
      <c r="Q65" s="17"/>
      <c r="R65" s="17"/>
      <c r="S65" s="19" t="str">
        <f aca="false">IF(OR(J65="",J65=0),"",(L65+M65+N65+O65)/J65)</f>
        <v/>
      </c>
      <c r="T65" s="12"/>
    </row>
    <row r="66" customFormat="false" ht="15" hidden="false" customHeight="false" outlineLevel="0" collapsed="false">
      <c r="A66" s="11"/>
      <c r="B66" s="12"/>
      <c r="C66" s="12"/>
      <c r="D66" s="12"/>
      <c r="E66" s="12"/>
      <c r="F66" s="12"/>
      <c r="G66" s="12"/>
      <c r="H66" s="12"/>
      <c r="I66" s="12"/>
      <c r="J66" s="17"/>
      <c r="K66" s="18"/>
      <c r="L66" s="17"/>
      <c r="M66" s="17"/>
      <c r="N66" s="17"/>
      <c r="O66" s="17"/>
      <c r="P66" s="17"/>
      <c r="Q66" s="17"/>
      <c r="R66" s="17"/>
      <c r="S66" s="19" t="str">
        <f aca="false">IF(OR(J66="",J66=0),"",(L66+M66+N66+O66)/J66)</f>
        <v/>
      </c>
      <c r="T66" s="12"/>
    </row>
    <row r="67" customFormat="false" ht="15" hidden="false" customHeight="false" outlineLevel="0" collapsed="false">
      <c r="A67" s="11"/>
      <c r="B67" s="12"/>
      <c r="C67" s="12"/>
      <c r="D67" s="12"/>
      <c r="E67" s="12"/>
      <c r="F67" s="12"/>
      <c r="G67" s="12"/>
      <c r="H67" s="12"/>
      <c r="I67" s="12"/>
      <c r="J67" s="17"/>
      <c r="K67" s="18"/>
      <c r="L67" s="17"/>
      <c r="M67" s="17"/>
      <c r="N67" s="17"/>
      <c r="O67" s="17"/>
      <c r="P67" s="17"/>
      <c r="Q67" s="17"/>
      <c r="R67" s="17"/>
      <c r="S67" s="19" t="str">
        <f aca="false">IF(OR(J67="",J67=0),"",(L67+M67+N67+O67)/J67)</f>
        <v/>
      </c>
      <c r="T67" s="12"/>
    </row>
    <row r="68" customFormat="false" ht="15" hidden="false" customHeight="false" outlineLevel="0" collapsed="false">
      <c r="A68" s="11"/>
      <c r="B68" s="12"/>
      <c r="C68" s="12"/>
      <c r="D68" s="12"/>
      <c r="E68" s="12"/>
      <c r="F68" s="12"/>
      <c r="G68" s="12"/>
      <c r="H68" s="12"/>
      <c r="I68" s="12"/>
      <c r="J68" s="17"/>
      <c r="K68" s="18"/>
      <c r="L68" s="17"/>
      <c r="M68" s="17"/>
      <c r="N68" s="17"/>
      <c r="O68" s="17"/>
      <c r="P68" s="17"/>
      <c r="Q68" s="17"/>
      <c r="R68" s="17"/>
      <c r="S68" s="19" t="str">
        <f aca="false">IF(OR(J68="",J68=0),"",(L68+M68+N68+O68)/J68)</f>
        <v/>
      </c>
      <c r="T68" s="12"/>
    </row>
    <row r="69" customFormat="false" ht="15" hidden="false" customHeight="false" outlineLevel="0" collapsed="false">
      <c r="A69" s="11"/>
      <c r="B69" s="12"/>
      <c r="C69" s="12"/>
      <c r="D69" s="12"/>
      <c r="E69" s="12"/>
      <c r="F69" s="12"/>
      <c r="G69" s="12"/>
      <c r="H69" s="12"/>
      <c r="I69" s="12"/>
      <c r="J69" s="17"/>
      <c r="K69" s="18"/>
      <c r="L69" s="17"/>
      <c r="M69" s="17"/>
      <c r="N69" s="17"/>
      <c r="O69" s="17"/>
      <c r="P69" s="17"/>
      <c r="Q69" s="17"/>
      <c r="R69" s="17"/>
      <c r="S69" s="19" t="str">
        <f aca="false">IF(OR(J69="",J69=0),"",(L69+M69+N69+O69)/J69)</f>
        <v/>
      </c>
      <c r="T69" s="12"/>
    </row>
    <row r="70" customFormat="false" ht="15" hidden="false" customHeight="false" outlineLevel="0" collapsed="false">
      <c r="A70" s="11"/>
      <c r="B70" s="12"/>
      <c r="C70" s="12"/>
      <c r="D70" s="12"/>
      <c r="E70" s="12"/>
      <c r="F70" s="12"/>
      <c r="G70" s="12"/>
      <c r="H70" s="12"/>
      <c r="I70" s="12"/>
      <c r="J70" s="17"/>
      <c r="K70" s="18"/>
      <c r="L70" s="17"/>
      <c r="M70" s="17"/>
      <c r="N70" s="17"/>
      <c r="O70" s="17"/>
      <c r="P70" s="17"/>
      <c r="Q70" s="17"/>
      <c r="R70" s="17"/>
      <c r="S70" s="19" t="str">
        <f aca="false">IF(OR(J70="",J70=0),"",(L70+M70+N70+O70)/J70)</f>
        <v/>
      </c>
      <c r="T70" s="12"/>
    </row>
    <row r="71" customFormat="false" ht="15" hidden="false" customHeight="false" outlineLevel="0" collapsed="false">
      <c r="A71" s="11"/>
      <c r="B71" s="12"/>
      <c r="C71" s="12"/>
      <c r="D71" s="12"/>
      <c r="E71" s="12"/>
      <c r="F71" s="12"/>
      <c r="G71" s="12"/>
      <c r="H71" s="12"/>
      <c r="I71" s="12"/>
      <c r="J71" s="17"/>
      <c r="K71" s="18"/>
      <c r="L71" s="17"/>
      <c r="M71" s="17"/>
      <c r="N71" s="17"/>
      <c r="O71" s="17"/>
      <c r="P71" s="17"/>
      <c r="Q71" s="17"/>
      <c r="R71" s="17"/>
      <c r="S71" s="19" t="str">
        <f aca="false">IF(OR(J71="",J71=0),"",(L71+M71+N71+O71)/J71)</f>
        <v/>
      </c>
      <c r="T71" s="12"/>
    </row>
    <row r="72" customFormat="false" ht="15" hidden="false" customHeight="false" outlineLevel="0" collapsed="false">
      <c r="A72" s="11"/>
      <c r="B72" s="12"/>
      <c r="C72" s="12"/>
      <c r="D72" s="12"/>
      <c r="E72" s="12"/>
      <c r="F72" s="12"/>
      <c r="G72" s="12"/>
      <c r="H72" s="12"/>
      <c r="I72" s="12"/>
      <c r="J72" s="17"/>
      <c r="K72" s="18"/>
      <c r="L72" s="17"/>
      <c r="M72" s="17"/>
      <c r="N72" s="17"/>
      <c r="O72" s="17"/>
      <c r="P72" s="17"/>
      <c r="Q72" s="17"/>
      <c r="R72" s="17"/>
      <c r="S72" s="19" t="str">
        <f aca="false">IF(OR(J72="",J72=0),"",(L72+M72+N72+O72)/J72)</f>
        <v/>
      </c>
      <c r="T72" s="12"/>
    </row>
    <row r="73" customFormat="false" ht="15" hidden="false" customHeight="false" outlineLevel="0" collapsed="false">
      <c r="A73" s="11"/>
      <c r="B73" s="12"/>
      <c r="C73" s="12"/>
      <c r="D73" s="12"/>
      <c r="E73" s="12"/>
      <c r="F73" s="12"/>
      <c r="G73" s="12"/>
      <c r="H73" s="12"/>
      <c r="I73" s="12"/>
      <c r="J73" s="17"/>
      <c r="K73" s="18"/>
      <c r="L73" s="17"/>
      <c r="M73" s="17"/>
      <c r="N73" s="17"/>
      <c r="O73" s="17"/>
      <c r="P73" s="17"/>
      <c r="Q73" s="17"/>
      <c r="R73" s="17"/>
      <c r="S73" s="19" t="str">
        <f aca="false">IF(OR(J73="",J73=0),"",(L73+M73+N73+O73)/J73)</f>
        <v/>
      </c>
      <c r="T73" s="12"/>
    </row>
    <row r="74" customFormat="false" ht="15" hidden="false" customHeight="false" outlineLevel="0" collapsed="false">
      <c r="A74" s="11"/>
      <c r="B74" s="12"/>
      <c r="C74" s="12"/>
      <c r="D74" s="12"/>
      <c r="E74" s="12"/>
      <c r="F74" s="12"/>
      <c r="G74" s="12"/>
      <c r="H74" s="12"/>
      <c r="I74" s="12"/>
      <c r="J74" s="17"/>
      <c r="K74" s="18"/>
      <c r="L74" s="17"/>
      <c r="M74" s="17"/>
      <c r="N74" s="17"/>
      <c r="O74" s="17"/>
      <c r="P74" s="17"/>
      <c r="Q74" s="17"/>
      <c r="R74" s="17"/>
      <c r="S74" s="19" t="str">
        <f aca="false">IF(OR(J74="",J74=0),"",(L74+M74+N74+O74)/J74)</f>
        <v/>
      </c>
      <c r="T74" s="12"/>
    </row>
    <row r="75" customFormat="false" ht="15" hidden="false" customHeight="false" outlineLevel="0" collapsed="false">
      <c r="A75" s="11"/>
      <c r="B75" s="12"/>
      <c r="C75" s="12"/>
      <c r="D75" s="12"/>
      <c r="E75" s="12"/>
      <c r="F75" s="12"/>
      <c r="G75" s="12"/>
      <c r="H75" s="12"/>
      <c r="I75" s="12"/>
      <c r="J75" s="17"/>
      <c r="K75" s="18"/>
      <c r="L75" s="17"/>
      <c r="M75" s="17"/>
      <c r="N75" s="17"/>
      <c r="O75" s="17"/>
      <c r="P75" s="17"/>
      <c r="Q75" s="17"/>
      <c r="R75" s="17"/>
      <c r="S75" s="19" t="str">
        <f aca="false">IF(OR(J75="",J75=0),"",(L75+M75+N75+O75)/J75)</f>
        <v/>
      </c>
      <c r="T75" s="12"/>
    </row>
    <row r="76" customFormat="false" ht="15" hidden="false" customHeight="false" outlineLevel="0" collapsed="false">
      <c r="A76" s="11"/>
      <c r="B76" s="12"/>
      <c r="C76" s="12"/>
      <c r="D76" s="12"/>
      <c r="E76" s="12"/>
      <c r="F76" s="12"/>
      <c r="G76" s="12"/>
      <c r="H76" s="12"/>
      <c r="I76" s="12"/>
      <c r="J76" s="17"/>
      <c r="K76" s="18"/>
      <c r="L76" s="17"/>
      <c r="M76" s="17"/>
      <c r="N76" s="17"/>
      <c r="O76" s="17"/>
      <c r="P76" s="17"/>
      <c r="Q76" s="17"/>
      <c r="R76" s="17"/>
      <c r="S76" s="19" t="str">
        <f aca="false">IF(OR(J76="",J76=0),"",(L76+M76+N76+O76)/J76)</f>
        <v/>
      </c>
      <c r="T76" s="12"/>
    </row>
    <row r="77" customFormat="false" ht="15" hidden="false" customHeight="false" outlineLevel="0" collapsed="false">
      <c r="A77" s="11"/>
      <c r="B77" s="12"/>
      <c r="C77" s="12"/>
      <c r="D77" s="12"/>
      <c r="E77" s="12"/>
      <c r="F77" s="12"/>
      <c r="G77" s="12"/>
      <c r="H77" s="12"/>
      <c r="I77" s="12"/>
      <c r="J77" s="17"/>
      <c r="K77" s="18"/>
      <c r="L77" s="17"/>
      <c r="M77" s="17"/>
      <c r="N77" s="17"/>
      <c r="O77" s="17"/>
      <c r="P77" s="17"/>
      <c r="Q77" s="17"/>
      <c r="R77" s="17"/>
      <c r="S77" s="19" t="str">
        <f aca="false">IF(OR(J77="",J77=0),"",(L77+M77+N77+O77)/J77)</f>
        <v/>
      </c>
      <c r="T77" s="12"/>
    </row>
    <row r="78" customFormat="false" ht="15" hidden="false" customHeight="false" outlineLevel="0" collapsed="false">
      <c r="A78" s="11"/>
      <c r="B78" s="12"/>
      <c r="C78" s="12"/>
      <c r="D78" s="12"/>
      <c r="E78" s="12"/>
      <c r="F78" s="12"/>
      <c r="G78" s="12"/>
      <c r="H78" s="12"/>
      <c r="I78" s="12"/>
      <c r="J78" s="17"/>
      <c r="K78" s="18"/>
      <c r="L78" s="17"/>
      <c r="M78" s="17"/>
      <c r="N78" s="17"/>
      <c r="O78" s="17"/>
      <c r="P78" s="17"/>
      <c r="Q78" s="17"/>
      <c r="R78" s="17"/>
      <c r="S78" s="19" t="str">
        <f aca="false">IF(OR(J78="",J78=0),"",(L78+M78+N78+O78)/J78)</f>
        <v/>
      </c>
      <c r="T78" s="12"/>
    </row>
    <row r="79" customFormat="false" ht="15" hidden="false" customHeight="false" outlineLevel="0" collapsed="false">
      <c r="A79" s="11"/>
      <c r="B79" s="12"/>
      <c r="C79" s="12"/>
      <c r="D79" s="12"/>
      <c r="E79" s="12"/>
      <c r="F79" s="12"/>
      <c r="G79" s="12"/>
      <c r="H79" s="12"/>
      <c r="I79" s="12"/>
      <c r="J79" s="17"/>
      <c r="K79" s="18"/>
      <c r="L79" s="17"/>
      <c r="M79" s="17"/>
      <c r="N79" s="17"/>
      <c r="O79" s="17"/>
      <c r="P79" s="17"/>
      <c r="Q79" s="17"/>
      <c r="R79" s="17"/>
      <c r="S79" s="19" t="str">
        <f aca="false">IF(OR(J79="",J79=0),"",(L79+M79+N79+O79)/J79)</f>
        <v/>
      </c>
      <c r="T79" s="12"/>
    </row>
    <row r="80" customFormat="false" ht="15" hidden="false" customHeight="false" outlineLevel="0" collapsed="false">
      <c r="A80" s="11"/>
      <c r="B80" s="12"/>
      <c r="C80" s="12"/>
      <c r="D80" s="12"/>
      <c r="E80" s="12"/>
      <c r="F80" s="12"/>
      <c r="G80" s="12"/>
      <c r="H80" s="12"/>
      <c r="I80" s="12"/>
      <c r="J80" s="17"/>
      <c r="K80" s="18"/>
      <c r="L80" s="17"/>
      <c r="M80" s="17"/>
      <c r="N80" s="17"/>
      <c r="O80" s="17"/>
      <c r="P80" s="17"/>
      <c r="Q80" s="17"/>
      <c r="R80" s="17"/>
      <c r="S80" s="19" t="str">
        <f aca="false">IF(OR(J80="",J80=0),"",(L80+M80+N80+O80)/J80)</f>
        <v/>
      </c>
      <c r="T80" s="12"/>
    </row>
    <row r="81" customFormat="false" ht="15" hidden="false" customHeight="false" outlineLevel="0" collapsed="false">
      <c r="A81" s="11"/>
      <c r="B81" s="12"/>
      <c r="C81" s="12"/>
      <c r="D81" s="12"/>
      <c r="E81" s="12"/>
      <c r="F81" s="12"/>
      <c r="G81" s="12"/>
      <c r="H81" s="12"/>
      <c r="I81" s="12"/>
      <c r="J81" s="17"/>
      <c r="K81" s="18"/>
      <c r="L81" s="17"/>
      <c r="M81" s="17"/>
      <c r="N81" s="17"/>
      <c r="O81" s="17"/>
      <c r="P81" s="17"/>
      <c r="Q81" s="17"/>
      <c r="R81" s="17"/>
      <c r="S81" s="19" t="str">
        <f aca="false">IF(OR(J81="",J81=0),"",(L81+M81+N81+O81)/J81)</f>
        <v/>
      </c>
      <c r="T81" s="12"/>
    </row>
    <row r="82" customFormat="false" ht="15" hidden="false" customHeight="false" outlineLevel="0" collapsed="false">
      <c r="A82" s="11"/>
      <c r="B82" s="12"/>
      <c r="C82" s="12"/>
      <c r="D82" s="12"/>
      <c r="E82" s="12"/>
      <c r="F82" s="12"/>
      <c r="G82" s="12"/>
      <c r="H82" s="12"/>
      <c r="I82" s="12"/>
      <c r="J82" s="17"/>
      <c r="K82" s="18"/>
      <c r="L82" s="17"/>
      <c r="M82" s="17"/>
      <c r="N82" s="17"/>
      <c r="O82" s="17"/>
      <c r="P82" s="17"/>
      <c r="Q82" s="17"/>
      <c r="R82" s="17"/>
      <c r="S82" s="19" t="str">
        <f aca="false">IF(OR(J82="",J82=0),"",(L82+M82+N82+O82)/J82)</f>
        <v/>
      </c>
      <c r="T82" s="12"/>
    </row>
    <row r="83" customFormat="false" ht="15" hidden="false" customHeight="false" outlineLevel="0" collapsed="false">
      <c r="A83" s="11"/>
      <c r="B83" s="12"/>
      <c r="C83" s="12"/>
      <c r="D83" s="12"/>
      <c r="E83" s="12"/>
      <c r="F83" s="12"/>
      <c r="G83" s="12"/>
      <c r="H83" s="12"/>
      <c r="I83" s="12"/>
      <c r="J83" s="17"/>
      <c r="K83" s="18"/>
      <c r="L83" s="17"/>
      <c r="M83" s="17"/>
      <c r="N83" s="17"/>
      <c r="O83" s="17"/>
      <c r="P83" s="17"/>
      <c r="Q83" s="17"/>
      <c r="R83" s="17"/>
      <c r="S83" s="19" t="str">
        <f aca="false">IF(OR(J83="",J83=0),"",(L83+M83+N83+O83)/J83)</f>
        <v/>
      </c>
      <c r="T83" s="12"/>
    </row>
    <row r="84" customFormat="false" ht="15" hidden="false" customHeight="false" outlineLevel="0" collapsed="false">
      <c r="A84" s="11"/>
      <c r="B84" s="12"/>
      <c r="C84" s="12"/>
      <c r="D84" s="12"/>
      <c r="E84" s="12"/>
      <c r="F84" s="12"/>
      <c r="G84" s="12"/>
      <c r="H84" s="12"/>
      <c r="I84" s="12"/>
      <c r="J84" s="17"/>
      <c r="K84" s="18"/>
      <c r="L84" s="17"/>
      <c r="M84" s="17"/>
      <c r="N84" s="17"/>
      <c r="O84" s="17"/>
      <c r="P84" s="17"/>
      <c r="Q84" s="17"/>
      <c r="R84" s="17"/>
      <c r="S84" s="19" t="str">
        <f aca="false">IF(OR(J84="",J84=0),"",(L84+M84+N84+O84)/J84)</f>
        <v/>
      </c>
      <c r="T84" s="12"/>
    </row>
    <row r="85" customFormat="false" ht="15" hidden="false" customHeight="false" outlineLevel="0" collapsed="false">
      <c r="A85" s="11"/>
      <c r="B85" s="12"/>
      <c r="C85" s="12"/>
      <c r="D85" s="12"/>
      <c r="E85" s="12"/>
      <c r="F85" s="12"/>
      <c r="G85" s="12"/>
      <c r="H85" s="12"/>
      <c r="I85" s="12"/>
      <c r="J85" s="17"/>
      <c r="K85" s="18"/>
      <c r="L85" s="17"/>
      <c r="M85" s="17"/>
      <c r="N85" s="17"/>
      <c r="O85" s="17"/>
      <c r="P85" s="17"/>
      <c r="Q85" s="17"/>
      <c r="R85" s="17"/>
      <c r="S85" s="19" t="str">
        <f aca="false">IF(OR(J85="",J85=0),"",(L85+M85+N85+O85)/J85)</f>
        <v/>
      </c>
      <c r="T85" s="12"/>
    </row>
    <row r="86" customFormat="false" ht="15" hidden="false" customHeight="false" outlineLevel="0" collapsed="false">
      <c r="A86" s="11"/>
      <c r="B86" s="12"/>
      <c r="C86" s="12"/>
      <c r="D86" s="12"/>
      <c r="E86" s="12"/>
      <c r="F86" s="12"/>
      <c r="G86" s="12"/>
      <c r="H86" s="12"/>
      <c r="I86" s="12"/>
      <c r="J86" s="17"/>
      <c r="K86" s="18"/>
      <c r="L86" s="17"/>
      <c r="M86" s="17"/>
      <c r="N86" s="17"/>
      <c r="O86" s="17"/>
      <c r="P86" s="17"/>
      <c r="Q86" s="17"/>
      <c r="R86" s="17"/>
      <c r="S86" s="19" t="str">
        <f aca="false">IF(OR(J86="",J86=0),"",(L86+M86+N86+O86)/J86)</f>
        <v/>
      </c>
      <c r="T86" s="12"/>
    </row>
    <row r="87" customFormat="false" ht="15" hidden="false" customHeight="false" outlineLevel="0" collapsed="false">
      <c r="A87" s="11"/>
      <c r="B87" s="12"/>
      <c r="C87" s="12"/>
      <c r="D87" s="12"/>
      <c r="E87" s="12"/>
      <c r="F87" s="12"/>
      <c r="G87" s="12"/>
      <c r="H87" s="12"/>
      <c r="I87" s="12"/>
      <c r="J87" s="17"/>
      <c r="K87" s="18"/>
      <c r="L87" s="17"/>
      <c r="M87" s="17"/>
      <c r="N87" s="17"/>
      <c r="O87" s="17"/>
      <c r="P87" s="17"/>
      <c r="Q87" s="17"/>
      <c r="R87" s="17"/>
      <c r="S87" s="19" t="str">
        <f aca="false">IF(OR(J87="",J87=0),"",(L87+M87+N87+O87)/J87)</f>
        <v/>
      </c>
      <c r="T87" s="12"/>
    </row>
    <row r="88" customFormat="false" ht="15" hidden="false" customHeight="false" outlineLevel="0" collapsed="false">
      <c r="A88" s="11"/>
      <c r="B88" s="12"/>
      <c r="C88" s="12"/>
      <c r="D88" s="12"/>
      <c r="E88" s="12"/>
      <c r="F88" s="12"/>
      <c r="G88" s="12"/>
      <c r="H88" s="12"/>
      <c r="I88" s="12"/>
      <c r="J88" s="17"/>
      <c r="K88" s="18"/>
      <c r="L88" s="17"/>
      <c r="M88" s="17"/>
      <c r="N88" s="17"/>
      <c r="O88" s="17"/>
      <c r="P88" s="17"/>
      <c r="Q88" s="17"/>
      <c r="R88" s="17"/>
      <c r="S88" s="19" t="str">
        <f aca="false">IF(OR(J88="",J88=0),"",(L88+M88+N88+O88)/J88)</f>
        <v/>
      </c>
      <c r="T88" s="12"/>
    </row>
    <row r="89" customFormat="false" ht="15" hidden="false" customHeight="false" outlineLevel="0" collapsed="false">
      <c r="A89" s="11"/>
      <c r="B89" s="12"/>
      <c r="C89" s="12"/>
      <c r="D89" s="12"/>
      <c r="E89" s="12"/>
      <c r="F89" s="12"/>
      <c r="G89" s="12"/>
      <c r="H89" s="12"/>
      <c r="I89" s="12"/>
      <c r="J89" s="17"/>
      <c r="K89" s="18"/>
      <c r="L89" s="17"/>
      <c r="M89" s="17"/>
      <c r="N89" s="17"/>
      <c r="O89" s="17"/>
      <c r="P89" s="17"/>
      <c r="Q89" s="17"/>
      <c r="R89" s="17"/>
      <c r="S89" s="19" t="str">
        <f aca="false">IF(OR(J89="",J89=0),"",(L89+M89+N89+O89)/J89)</f>
        <v/>
      </c>
      <c r="T89" s="12"/>
    </row>
    <row r="90" customFormat="false" ht="15" hidden="false" customHeight="false" outlineLevel="0" collapsed="false">
      <c r="A90" s="11"/>
      <c r="B90" s="12"/>
      <c r="C90" s="12"/>
      <c r="D90" s="12"/>
      <c r="E90" s="12"/>
      <c r="F90" s="12"/>
      <c r="G90" s="12"/>
      <c r="H90" s="12"/>
      <c r="I90" s="12"/>
      <c r="J90" s="17"/>
      <c r="K90" s="18"/>
      <c r="L90" s="17"/>
      <c r="M90" s="17"/>
      <c r="N90" s="17"/>
      <c r="O90" s="17"/>
      <c r="P90" s="17"/>
      <c r="Q90" s="17"/>
      <c r="R90" s="17"/>
      <c r="S90" s="19" t="str">
        <f aca="false">IF(OR(J90="",J90=0),"",(L90+M90+N90+O90)/J90)</f>
        <v/>
      </c>
      <c r="T90" s="12"/>
    </row>
    <row r="91" customFormat="false" ht="15" hidden="false" customHeight="false" outlineLevel="0" collapsed="false">
      <c r="A91" s="11"/>
      <c r="B91" s="12"/>
      <c r="C91" s="12"/>
      <c r="D91" s="12"/>
      <c r="E91" s="12"/>
      <c r="F91" s="12"/>
      <c r="G91" s="12"/>
      <c r="H91" s="12"/>
      <c r="I91" s="12"/>
      <c r="J91" s="17"/>
      <c r="K91" s="18"/>
      <c r="L91" s="17"/>
      <c r="M91" s="17"/>
      <c r="N91" s="17"/>
      <c r="O91" s="17"/>
      <c r="P91" s="17"/>
      <c r="Q91" s="17"/>
      <c r="R91" s="17"/>
      <c r="S91" s="19" t="str">
        <f aca="false">IF(OR(J91="",J91=0),"",(L91+M91+N91+O91)/J91)</f>
        <v/>
      </c>
      <c r="T91" s="12"/>
    </row>
    <row r="92" customFormat="false" ht="15" hidden="false" customHeight="false" outlineLevel="0" collapsed="false">
      <c r="A92" s="11"/>
      <c r="B92" s="12"/>
      <c r="C92" s="12"/>
      <c r="D92" s="12"/>
      <c r="E92" s="12"/>
      <c r="F92" s="12"/>
      <c r="G92" s="12"/>
      <c r="H92" s="12"/>
      <c r="I92" s="12"/>
      <c r="J92" s="17"/>
      <c r="K92" s="18"/>
      <c r="L92" s="17"/>
      <c r="M92" s="17"/>
      <c r="N92" s="17"/>
      <c r="O92" s="17"/>
      <c r="P92" s="17"/>
      <c r="Q92" s="17"/>
      <c r="R92" s="17"/>
      <c r="S92" s="19" t="str">
        <f aca="false">IF(OR(J92="",J92=0),"",(L92+M92+N92+O92)/J92)</f>
        <v/>
      </c>
      <c r="T92" s="12"/>
    </row>
    <row r="93" customFormat="false" ht="15" hidden="false" customHeight="false" outlineLevel="0" collapsed="false">
      <c r="A93" s="11"/>
      <c r="B93" s="12"/>
      <c r="C93" s="12"/>
      <c r="D93" s="12"/>
      <c r="E93" s="12"/>
      <c r="F93" s="12"/>
      <c r="G93" s="12"/>
      <c r="H93" s="12"/>
      <c r="I93" s="12"/>
      <c r="J93" s="17"/>
      <c r="K93" s="18"/>
      <c r="L93" s="17"/>
      <c r="M93" s="17"/>
      <c r="N93" s="17"/>
      <c r="O93" s="17"/>
      <c r="P93" s="17"/>
      <c r="Q93" s="17"/>
      <c r="R93" s="17"/>
      <c r="S93" s="19" t="str">
        <f aca="false">IF(OR(J93="",J93=0),"",(L93+M93+N93+O93)/J93)</f>
        <v/>
      </c>
      <c r="T93" s="12"/>
    </row>
    <row r="94" customFormat="false" ht="15" hidden="false" customHeight="false" outlineLevel="0" collapsed="false">
      <c r="A94" s="11"/>
      <c r="B94" s="12"/>
      <c r="C94" s="12"/>
      <c r="D94" s="12"/>
      <c r="E94" s="12"/>
      <c r="F94" s="12"/>
      <c r="G94" s="12"/>
      <c r="H94" s="12"/>
      <c r="I94" s="12"/>
      <c r="J94" s="17"/>
      <c r="K94" s="18"/>
      <c r="L94" s="17"/>
      <c r="M94" s="17"/>
      <c r="N94" s="17"/>
      <c r="O94" s="17"/>
      <c r="P94" s="17"/>
      <c r="Q94" s="17"/>
      <c r="R94" s="17"/>
      <c r="S94" s="19" t="str">
        <f aca="false">IF(OR(J94="",J94=0),"",(L94+M94+N94+O94)/J94)</f>
        <v/>
      </c>
      <c r="T94" s="12"/>
    </row>
    <row r="95" customFormat="false" ht="15" hidden="false" customHeight="false" outlineLevel="0" collapsed="false">
      <c r="A95" s="11"/>
      <c r="B95" s="12"/>
      <c r="C95" s="12"/>
      <c r="D95" s="12"/>
      <c r="E95" s="12"/>
      <c r="F95" s="12"/>
      <c r="G95" s="12"/>
      <c r="H95" s="12"/>
      <c r="I95" s="12"/>
      <c r="J95" s="17"/>
      <c r="K95" s="18"/>
      <c r="L95" s="17"/>
      <c r="M95" s="17"/>
      <c r="N95" s="17"/>
      <c r="O95" s="17"/>
      <c r="P95" s="17"/>
      <c r="Q95" s="17"/>
      <c r="R95" s="17"/>
      <c r="S95" s="19" t="str">
        <f aca="false">IF(OR(J95="",J95=0),"",(L95+M95+N95+O95)/J95)</f>
        <v/>
      </c>
      <c r="T95" s="12"/>
    </row>
    <row r="96" customFormat="false" ht="15" hidden="false" customHeight="false" outlineLevel="0" collapsed="false">
      <c r="A96" s="11"/>
      <c r="B96" s="12"/>
      <c r="C96" s="12"/>
      <c r="D96" s="12"/>
      <c r="E96" s="12"/>
      <c r="F96" s="12"/>
      <c r="G96" s="12"/>
      <c r="H96" s="12"/>
      <c r="I96" s="12"/>
      <c r="J96" s="17"/>
      <c r="K96" s="18"/>
      <c r="L96" s="17"/>
      <c r="M96" s="17"/>
      <c r="N96" s="17"/>
      <c r="O96" s="17"/>
      <c r="P96" s="17"/>
      <c r="Q96" s="17"/>
      <c r="R96" s="17"/>
      <c r="S96" s="19" t="str">
        <f aca="false">IF(OR(J96="",J96=0),"",(L96+M96+N96+O96)/J96)</f>
        <v/>
      </c>
      <c r="T96" s="12"/>
    </row>
    <row r="97" customFormat="false" ht="15" hidden="false" customHeight="false" outlineLevel="0" collapsed="false">
      <c r="A97" s="11"/>
      <c r="B97" s="12"/>
      <c r="C97" s="12"/>
      <c r="D97" s="12"/>
      <c r="E97" s="12"/>
      <c r="F97" s="12"/>
      <c r="G97" s="12"/>
      <c r="H97" s="12"/>
      <c r="I97" s="12"/>
      <c r="J97" s="17"/>
      <c r="K97" s="18"/>
      <c r="L97" s="17"/>
      <c r="M97" s="17"/>
      <c r="N97" s="17"/>
      <c r="O97" s="17"/>
      <c r="P97" s="17"/>
      <c r="Q97" s="17"/>
      <c r="R97" s="17"/>
      <c r="S97" s="19" t="str">
        <f aca="false">IF(OR(J97="",J97=0),"",(L97+M97+N97+O97)/J97)</f>
        <v/>
      </c>
      <c r="T97" s="12"/>
    </row>
    <row r="98" customFormat="false" ht="15" hidden="false" customHeight="false" outlineLevel="0" collapsed="false">
      <c r="A98" s="11"/>
      <c r="B98" s="12"/>
      <c r="C98" s="12"/>
      <c r="D98" s="12"/>
      <c r="E98" s="12"/>
      <c r="F98" s="12"/>
      <c r="G98" s="12"/>
      <c r="H98" s="12"/>
      <c r="I98" s="12"/>
      <c r="J98" s="17"/>
      <c r="K98" s="18"/>
      <c r="L98" s="17"/>
      <c r="M98" s="17"/>
      <c r="N98" s="17"/>
      <c r="O98" s="17"/>
      <c r="P98" s="17"/>
      <c r="Q98" s="17"/>
      <c r="R98" s="17"/>
      <c r="S98" s="19" t="str">
        <f aca="false">IF(OR(J98="",J98=0),"",(L98+M98+N98+O98)/J98)</f>
        <v/>
      </c>
      <c r="T98" s="12"/>
    </row>
    <row r="99" customFormat="false" ht="15" hidden="false" customHeight="false" outlineLevel="0" collapsed="false">
      <c r="A99" s="11"/>
      <c r="B99" s="12"/>
      <c r="C99" s="12"/>
      <c r="D99" s="12"/>
      <c r="E99" s="12"/>
      <c r="F99" s="12"/>
      <c r="G99" s="12"/>
      <c r="H99" s="12"/>
      <c r="I99" s="12"/>
      <c r="J99" s="17"/>
      <c r="K99" s="18"/>
      <c r="L99" s="17"/>
      <c r="M99" s="17"/>
      <c r="N99" s="17"/>
      <c r="O99" s="17"/>
      <c r="P99" s="17"/>
      <c r="Q99" s="17"/>
      <c r="R99" s="17"/>
      <c r="S99" s="19" t="str">
        <f aca="false">IF(OR(J99="",J99=0),"",(L99+M99+N99+O99)/J99)</f>
        <v/>
      </c>
      <c r="T99" s="12"/>
    </row>
    <row r="100" customFormat="false" ht="15" hidden="false" customHeight="false" outlineLevel="0" collapsed="false">
      <c r="A100" s="11"/>
      <c r="B100" s="12"/>
      <c r="C100" s="12"/>
      <c r="D100" s="12"/>
      <c r="E100" s="12"/>
      <c r="F100" s="12"/>
      <c r="G100" s="12"/>
      <c r="H100" s="12"/>
      <c r="I100" s="12"/>
      <c r="J100" s="17"/>
      <c r="K100" s="18"/>
      <c r="L100" s="17"/>
      <c r="M100" s="17"/>
      <c r="N100" s="17"/>
      <c r="O100" s="17"/>
      <c r="P100" s="17"/>
      <c r="Q100" s="17"/>
      <c r="R100" s="17"/>
      <c r="S100" s="19" t="str">
        <f aca="false">IF(OR(J100="",J100=0),"",(L100+M100+N100+O100)/J100)</f>
        <v/>
      </c>
      <c r="T100" s="12"/>
    </row>
    <row r="101" customFormat="false" ht="15" hidden="false" customHeight="false" outlineLevel="0" collapsed="false">
      <c r="A101" s="11"/>
      <c r="B101" s="12"/>
      <c r="C101" s="12"/>
      <c r="D101" s="12"/>
      <c r="E101" s="12"/>
      <c r="F101" s="12"/>
      <c r="G101" s="12"/>
      <c r="H101" s="12"/>
      <c r="I101" s="12"/>
      <c r="J101" s="17"/>
      <c r="K101" s="18"/>
      <c r="L101" s="17"/>
      <c r="M101" s="17"/>
      <c r="N101" s="17"/>
      <c r="O101" s="17"/>
      <c r="P101" s="17"/>
      <c r="Q101" s="17"/>
      <c r="R101" s="17"/>
      <c r="S101" s="19" t="str">
        <f aca="false">IF(OR(J101="",J101=0),"",(L101+M101+N101+O101)/J101)</f>
        <v/>
      </c>
      <c r="T101" s="12"/>
    </row>
    <row r="102" customFormat="false" ht="15" hidden="false" customHeight="false" outlineLevel="0" collapsed="false">
      <c r="A102" s="11"/>
      <c r="B102" s="12"/>
      <c r="C102" s="12"/>
      <c r="D102" s="12"/>
      <c r="E102" s="12"/>
      <c r="F102" s="12"/>
      <c r="G102" s="12"/>
      <c r="H102" s="12"/>
      <c r="I102" s="12"/>
      <c r="J102" s="17"/>
      <c r="K102" s="18"/>
      <c r="L102" s="17"/>
      <c r="M102" s="17"/>
      <c r="N102" s="17"/>
      <c r="O102" s="17"/>
      <c r="P102" s="17"/>
      <c r="Q102" s="17"/>
      <c r="R102" s="17"/>
      <c r="S102" s="19" t="str">
        <f aca="false">IF(OR(J102="",J102=0),"",(L102+M102+N102+O102)/J102)</f>
        <v/>
      </c>
      <c r="T102" s="12"/>
    </row>
    <row r="103" customFormat="false" ht="15" hidden="false" customHeight="false" outlineLevel="0" collapsed="false">
      <c r="A103" s="11"/>
      <c r="B103" s="12"/>
      <c r="C103" s="12"/>
      <c r="D103" s="12"/>
      <c r="E103" s="12"/>
      <c r="F103" s="12"/>
      <c r="G103" s="12"/>
      <c r="H103" s="12"/>
      <c r="I103" s="12"/>
      <c r="J103" s="17"/>
      <c r="K103" s="18"/>
      <c r="L103" s="17"/>
      <c r="M103" s="17"/>
      <c r="N103" s="17"/>
      <c r="O103" s="17"/>
      <c r="P103" s="17"/>
      <c r="Q103" s="17"/>
      <c r="R103" s="17"/>
      <c r="S103" s="19" t="str">
        <f aca="false">IF(OR(J103="",J103=0),"",(L103+M103+N103+O103)/J103)</f>
        <v/>
      </c>
      <c r="T103" s="12"/>
    </row>
    <row r="104" customFormat="false" ht="15" hidden="false" customHeight="false" outlineLevel="0" collapsed="false">
      <c r="A104" s="11"/>
      <c r="B104" s="12"/>
      <c r="C104" s="12"/>
      <c r="D104" s="12"/>
      <c r="E104" s="12"/>
      <c r="F104" s="12"/>
      <c r="G104" s="12"/>
      <c r="H104" s="12"/>
      <c r="I104" s="12"/>
      <c r="J104" s="17"/>
      <c r="K104" s="18"/>
      <c r="L104" s="17"/>
      <c r="M104" s="17"/>
      <c r="N104" s="17"/>
      <c r="O104" s="17"/>
      <c r="P104" s="17"/>
      <c r="Q104" s="17"/>
      <c r="R104" s="17"/>
      <c r="S104" s="19" t="str">
        <f aca="false">IF(OR(J104="",J104=0),"",(L104+M104+N104+O104)/J104)</f>
        <v/>
      </c>
      <c r="T104" s="12"/>
    </row>
    <row r="105" customFormat="false" ht="15" hidden="false" customHeight="false" outlineLevel="0" collapsed="false">
      <c r="A105" s="11"/>
      <c r="B105" s="12"/>
      <c r="C105" s="12"/>
      <c r="D105" s="12"/>
      <c r="E105" s="12"/>
      <c r="F105" s="12"/>
      <c r="G105" s="12"/>
      <c r="H105" s="12"/>
      <c r="I105" s="12"/>
      <c r="J105" s="17"/>
      <c r="K105" s="18"/>
      <c r="L105" s="17"/>
      <c r="M105" s="17"/>
      <c r="N105" s="17"/>
      <c r="O105" s="17"/>
      <c r="P105" s="17"/>
      <c r="Q105" s="17"/>
      <c r="R105" s="17"/>
      <c r="S105" s="19" t="str">
        <f aca="false">IF(OR(J105="",J105=0),"",(L105+M105+N105+O105)/J105)</f>
        <v/>
      </c>
      <c r="T105" s="12"/>
    </row>
    <row r="106" customFormat="false" ht="15" hidden="false" customHeight="false" outlineLevel="0" collapsed="false">
      <c r="A106" s="11"/>
      <c r="B106" s="12"/>
      <c r="C106" s="12"/>
      <c r="D106" s="12"/>
      <c r="E106" s="12"/>
      <c r="F106" s="12"/>
      <c r="G106" s="12"/>
      <c r="H106" s="12"/>
      <c r="I106" s="12"/>
      <c r="J106" s="17"/>
      <c r="K106" s="18"/>
      <c r="L106" s="17"/>
      <c r="M106" s="17"/>
      <c r="N106" s="17"/>
      <c r="O106" s="17"/>
      <c r="P106" s="17"/>
      <c r="Q106" s="17"/>
      <c r="R106" s="17"/>
      <c r="S106" s="19" t="str">
        <f aca="false">IF(OR(J106="",J106=0),"",(L106+M106+N106+O106)/J106)</f>
        <v/>
      </c>
      <c r="T106" s="12"/>
    </row>
    <row r="107" customFormat="false" ht="15" hidden="false" customHeight="false" outlineLevel="0" collapsed="false">
      <c r="A107" s="11"/>
      <c r="B107" s="12"/>
      <c r="C107" s="12"/>
      <c r="D107" s="12"/>
      <c r="E107" s="12"/>
      <c r="F107" s="12"/>
      <c r="G107" s="12"/>
      <c r="H107" s="12"/>
      <c r="I107" s="12"/>
      <c r="J107" s="17"/>
      <c r="K107" s="18"/>
      <c r="L107" s="17"/>
      <c r="M107" s="17"/>
      <c r="N107" s="17"/>
      <c r="O107" s="17"/>
      <c r="P107" s="17"/>
      <c r="Q107" s="17"/>
      <c r="R107" s="17"/>
      <c r="S107" s="19" t="str">
        <f aca="false">IF(OR(J107="",J107=0),"",(L107+M107+N107+O107)/J107)</f>
        <v/>
      </c>
      <c r="T107" s="12"/>
    </row>
    <row r="108" customFormat="false" ht="15" hidden="false" customHeight="false" outlineLevel="0" collapsed="false">
      <c r="A108" s="11"/>
      <c r="B108" s="12"/>
      <c r="C108" s="12"/>
      <c r="D108" s="12"/>
      <c r="E108" s="12"/>
      <c r="F108" s="12"/>
      <c r="G108" s="12"/>
      <c r="H108" s="12"/>
      <c r="I108" s="12"/>
      <c r="J108" s="17"/>
      <c r="K108" s="18"/>
      <c r="L108" s="17"/>
      <c r="M108" s="17"/>
      <c r="N108" s="17"/>
      <c r="O108" s="17"/>
      <c r="P108" s="17"/>
      <c r="Q108" s="17"/>
      <c r="R108" s="17"/>
      <c r="S108" s="19" t="str">
        <f aca="false">IF(OR(J108="",J108=0),"",(L108+M108+N108+O108)/J108)</f>
        <v/>
      </c>
      <c r="T108" s="12"/>
    </row>
    <row r="109" customFormat="false" ht="15" hidden="false" customHeight="false" outlineLevel="0" collapsed="false">
      <c r="A109" s="11"/>
      <c r="B109" s="12"/>
      <c r="C109" s="12"/>
      <c r="D109" s="12"/>
      <c r="E109" s="12"/>
      <c r="F109" s="12"/>
      <c r="G109" s="12"/>
      <c r="H109" s="12"/>
      <c r="I109" s="12"/>
      <c r="J109" s="17"/>
      <c r="K109" s="18"/>
      <c r="L109" s="17"/>
      <c r="M109" s="17"/>
      <c r="N109" s="17"/>
      <c r="O109" s="17"/>
      <c r="P109" s="17"/>
      <c r="Q109" s="17"/>
      <c r="R109" s="17"/>
      <c r="S109" s="19" t="str">
        <f aca="false">IF(OR(J109="",J109=0),"",(L109+M109+N109+O109)/J109)</f>
        <v/>
      </c>
      <c r="T109" s="12"/>
    </row>
    <row r="110" customFormat="false" ht="15" hidden="false" customHeight="false" outlineLevel="0" collapsed="false">
      <c r="A110" s="11"/>
      <c r="B110" s="12"/>
      <c r="C110" s="12"/>
      <c r="D110" s="12"/>
      <c r="E110" s="12"/>
      <c r="F110" s="12"/>
      <c r="G110" s="12"/>
      <c r="H110" s="12"/>
      <c r="I110" s="12"/>
      <c r="J110" s="17"/>
      <c r="K110" s="18"/>
      <c r="L110" s="17"/>
      <c r="M110" s="17"/>
      <c r="N110" s="17"/>
      <c r="O110" s="17"/>
      <c r="P110" s="17"/>
      <c r="Q110" s="17"/>
      <c r="R110" s="17"/>
      <c r="S110" s="19" t="str">
        <f aca="false">IF(OR(J110="",J110=0),"",(L110+M110+N110+O110)/J110)</f>
        <v/>
      </c>
      <c r="T110" s="12"/>
    </row>
    <row r="111" customFormat="false" ht="15" hidden="false" customHeight="false" outlineLevel="0" collapsed="false">
      <c r="A111" s="11"/>
      <c r="B111" s="12"/>
      <c r="C111" s="12"/>
      <c r="D111" s="12"/>
      <c r="E111" s="12"/>
      <c r="F111" s="12"/>
      <c r="G111" s="12"/>
      <c r="H111" s="12"/>
      <c r="I111" s="12"/>
      <c r="J111" s="17"/>
      <c r="K111" s="18"/>
      <c r="L111" s="17"/>
      <c r="M111" s="17"/>
      <c r="N111" s="17"/>
      <c r="O111" s="17"/>
      <c r="P111" s="17"/>
      <c r="Q111" s="17"/>
      <c r="R111" s="17"/>
      <c r="S111" s="19" t="str">
        <f aca="false">IF(OR(J111="",J111=0),"",(L111+M111+N111+O111)/J111)</f>
        <v/>
      </c>
      <c r="T111" s="12"/>
    </row>
    <row r="112" customFormat="false" ht="15" hidden="false" customHeight="false" outlineLevel="0" collapsed="false">
      <c r="A112" s="11"/>
      <c r="B112" s="12"/>
      <c r="C112" s="12"/>
      <c r="D112" s="12"/>
      <c r="E112" s="12"/>
      <c r="F112" s="12"/>
      <c r="G112" s="12"/>
      <c r="H112" s="12"/>
      <c r="I112" s="12"/>
      <c r="J112" s="17"/>
      <c r="K112" s="18"/>
      <c r="L112" s="17"/>
      <c r="M112" s="17"/>
      <c r="N112" s="17"/>
      <c r="O112" s="17"/>
      <c r="P112" s="17"/>
      <c r="Q112" s="17"/>
      <c r="R112" s="17"/>
      <c r="S112" s="19" t="str">
        <f aca="false">IF(OR(J112="",J112=0),"",(L112+M112+N112+O112)/J112)</f>
        <v/>
      </c>
      <c r="T112" s="12"/>
    </row>
    <row r="113" customFormat="false" ht="15" hidden="false" customHeight="false" outlineLevel="0" collapsed="false">
      <c r="A113" s="11"/>
      <c r="B113" s="12"/>
      <c r="C113" s="12"/>
      <c r="D113" s="12"/>
      <c r="E113" s="12"/>
      <c r="F113" s="12"/>
      <c r="G113" s="12"/>
      <c r="H113" s="12"/>
      <c r="I113" s="12"/>
      <c r="J113" s="17"/>
      <c r="K113" s="18"/>
      <c r="L113" s="17"/>
      <c r="M113" s="17"/>
      <c r="N113" s="17"/>
      <c r="O113" s="17"/>
      <c r="P113" s="17"/>
      <c r="Q113" s="17"/>
      <c r="R113" s="17"/>
      <c r="S113" s="19" t="str">
        <f aca="false">IF(OR(J113="",J113=0),"",(L113+M113+N113+O113)/J113)</f>
        <v/>
      </c>
      <c r="T113" s="12"/>
    </row>
    <row r="114" customFormat="false" ht="15" hidden="false" customHeight="false" outlineLevel="0" collapsed="false">
      <c r="A114" s="11"/>
      <c r="B114" s="12"/>
      <c r="C114" s="12"/>
      <c r="D114" s="12"/>
      <c r="E114" s="12"/>
      <c r="F114" s="12"/>
      <c r="G114" s="12"/>
      <c r="H114" s="12"/>
      <c r="I114" s="12"/>
      <c r="J114" s="17"/>
      <c r="K114" s="18"/>
      <c r="L114" s="17"/>
      <c r="M114" s="17"/>
      <c r="N114" s="17"/>
      <c r="O114" s="17"/>
      <c r="P114" s="17"/>
      <c r="Q114" s="17"/>
      <c r="R114" s="17"/>
      <c r="S114" s="19" t="str">
        <f aca="false">IF(OR(J114="",J114=0),"",(L114+M114+N114+O114)/J114)</f>
        <v/>
      </c>
      <c r="T114" s="12"/>
    </row>
    <row r="115" customFormat="false" ht="15" hidden="false" customHeight="false" outlineLevel="0" collapsed="false">
      <c r="A115" s="11"/>
      <c r="B115" s="12"/>
      <c r="C115" s="12"/>
      <c r="D115" s="12"/>
      <c r="E115" s="12"/>
      <c r="F115" s="12"/>
      <c r="G115" s="12"/>
      <c r="H115" s="12"/>
      <c r="I115" s="12"/>
      <c r="J115" s="17"/>
      <c r="K115" s="18"/>
      <c r="L115" s="17"/>
      <c r="M115" s="17"/>
      <c r="N115" s="17"/>
      <c r="O115" s="17"/>
      <c r="P115" s="17"/>
      <c r="Q115" s="17"/>
      <c r="R115" s="17"/>
      <c r="S115" s="19" t="str">
        <f aca="false">IF(OR(J115="",J115=0),"",(L115+M115+N115+O115)/J115)</f>
        <v/>
      </c>
      <c r="T115" s="12"/>
    </row>
    <row r="116" customFormat="false" ht="15" hidden="false" customHeight="false" outlineLevel="0" collapsed="false">
      <c r="A116" s="11"/>
      <c r="B116" s="12"/>
      <c r="C116" s="12"/>
      <c r="D116" s="12"/>
      <c r="E116" s="12"/>
      <c r="F116" s="12"/>
      <c r="G116" s="12"/>
      <c r="H116" s="12"/>
      <c r="I116" s="12"/>
      <c r="J116" s="17"/>
      <c r="K116" s="18"/>
      <c r="L116" s="17"/>
      <c r="M116" s="17"/>
      <c r="N116" s="17"/>
      <c r="O116" s="17"/>
      <c r="P116" s="17"/>
      <c r="Q116" s="17"/>
      <c r="R116" s="17"/>
      <c r="S116" s="19" t="str">
        <f aca="false">IF(OR(J116="",J116=0),"",(L116+M116+N116+O116)/J116)</f>
        <v/>
      </c>
      <c r="T116" s="12"/>
    </row>
    <row r="117" customFormat="false" ht="15" hidden="false" customHeight="false" outlineLevel="0" collapsed="false">
      <c r="A117" s="11"/>
      <c r="B117" s="12"/>
      <c r="C117" s="12"/>
      <c r="D117" s="12"/>
      <c r="E117" s="12"/>
      <c r="F117" s="12"/>
      <c r="G117" s="12"/>
      <c r="H117" s="12"/>
      <c r="I117" s="12"/>
      <c r="J117" s="17"/>
      <c r="K117" s="18"/>
      <c r="L117" s="17"/>
      <c r="M117" s="17"/>
      <c r="N117" s="17"/>
      <c r="O117" s="17"/>
      <c r="P117" s="17"/>
      <c r="Q117" s="17"/>
      <c r="R117" s="17"/>
      <c r="S117" s="19" t="str">
        <f aca="false">IF(OR(J117="",J117=0),"",(L117+M117+N117+O117)/J117)</f>
        <v/>
      </c>
      <c r="T117" s="12"/>
    </row>
    <row r="118" customFormat="false" ht="15" hidden="false" customHeight="false" outlineLevel="0" collapsed="false">
      <c r="A118" s="11"/>
      <c r="B118" s="12"/>
      <c r="C118" s="12"/>
      <c r="D118" s="12"/>
      <c r="E118" s="12"/>
      <c r="F118" s="12"/>
      <c r="G118" s="12"/>
      <c r="H118" s="12"/>
      <c r="I118" s="12"/>
      <c r="J118" s="17"/>
      <c r="K118" s="18"/>
      <c r="L118" s="17"/>
      <c r="M118" s="17"/>
      <c r="N118" s="17"/>
      <c r="O118" s="17"/>
      <c r="P118" s="17"/>
      <c r="Q118" s="17"/>
      <c r="R118" s="17"/>
      <c r="S118" s="19" t="str">
        <f aca="false">IF(OR(J118="",J118=0),"",(L118+M118+N118+O118)/J118)</f>
        <v/>
      </c>
      <c r="T118" s="12"/>
    </row>
    <row r="119" customFormat="false" ht="15" hidden="false" customHeight="false" outlineLevel="0" collapsed="false">
      <c r="A119" s="11"/>
      <c r="B119" s="12"/>
      <c r="C119" s="12"/>
      <c r="D119" s="12"/>
      <c r="E119" s="12"/>
      <c r="F119" s="12"/>
      <c r="G119" s="12"/>
      <c r="H119" s="12"/>
      <c r="I119" s="12"/>
      <c r="J119" s="17"/>
      <c r="K119" s="18"/>
      <c r="L119" s="17"/>
      <c r="M119" s="17"/>
      <c r="N119" s="17"/>
      <c r="O119" s="17"/>
      <c r="P119" s="17"/>
      <c r="Q119" s="17"/>
      <c r="R119" s="17"/>
      <c r="S119" s="19" t="str">
        <f aca="false">IF(OR(J119="",J119=0),"",(L119+M119+N119+O119)/J119)</f>
        <v/>
      </c>
      <c r="T119" s="12"/>
    </row>
    <row r="120" customFormat="false" ht="15" hidden="false" customHeight="false" outlineLevel="0" collapsed="false">
      <c r="A120" s="11"/>
      <c r="B120" s="12"/>
      <c r="C120" s="12"/>
      <c r="D120" s="12"/>
      <c r="E120" s="12"/>
      <c r="F120" s="12"/>
      <c r="G120" s="12"/>
      <c r="H120" s="12"/>
      <c r="I120" s="12"/>
      <c r="J120" s="17"/>
      <c r="K120" s="18"/>
      <c r="L120" s="17"/>
      <c r="M120" s="17"/>
      <c r="N120" s="17"/>
      <c r="O120" s="17"/>
      <c r="P120" s="17"/>
      <c r="Q120" s="17"/>
      <c r="R120" s="17"/>
      <c r="S120" s="19" t="str">
        <f aca="false">IF(OR(J120="",J120=0),"",(L120+M120+N120+O120)/J120)</f>
        <v/>
      </c>
      <c r="T120" s="12"/>
    </row>
    <row r="121" customFormat="false" ht="15" hidden="false" customHeight="false" outlineLevel="0" collapsed="false">
      <c r="A121" s="11"/>
      <c r="B121" s="12"/>
      <c r="C121" s="12"/>
      <c r="D121" s="12"/>
      <c r="E121" s="12"/>
      <c r="F121" s="12"/>
      <c r="G121" s="12"/>
      <c r="H121" s="12"/>
      <c r="I121" s="12"/>
      <c r="J121" s="17"/>
      <c r="K121" s="18"/>
      <c r="L121" s="17"/>
      <c r="M121" s="17"/>
      <c r="N121" s="17"/>
      <c r="O121" s="17"/>
      <c r="P121" s="17"/>
      <c r="Q121" s="17"/>
      <c r="R121" s="17"/>
      <c r="S121" s="19" t="str">
        <f aca="false">IF(OR(J121="",J121=0),"",(L121+M121+N121+O121)/J121)</f>
        <v/>
      </c>
      <c r="T121" s="12"/>
    </row>
    <row r="122" customFormat="false" ht="15" hidden="false" customHeight="false" outlineLevel="0" collapsed="false">
      <c r="A122" s="11"/>
      <c r="B122" s="12"/>
      <c r="C122" s="12"/>
      <c r="D122" s="12"/>
      <c r="E122" s="12"/>
      <c r="F122" s="12"/>
      <c r="G122" s="12"/>
      <c r="H122" s="12"/>
      <c r="I122" s="12"/>
      <c r="J122" s="17"/>
      <c r="K122" s="18"/>
      <c r="L122" s="17"/>
      <c r="M122" s="17"/>
      <c r="N122" s="17"/>
      <c r="O122" s="17"/>
      <c r="P122" s="17"/>
      <c r="Q122" s="17"/>
      <c r="R122" s="17"/>
      <c r="S122" s="19" t="str">
        <f aca="false">IF(OR(J122="",J122=0),"",(L122+M122+N122+O122)/J122)</f>
        <v/>
      </c>
      <c r="T122" s="12"/>
    </row>
    <row r="123" customFormat="false" ht="15" hidden="false" customHeight="false" outlineLevel="0" collapsed="false">
      <c r="A123" s="11"/>
      <c r="B123" s="12"/>
      <c r="C123" s="12"/>
      <c r="D123" s="12"/>
      <c r="E123" s="12"/>
      <c r="F123" s="12"/>
      <c r="G123" s="12"/>
      <c r="H123" s="12"/>
      <c r="I123" s="12"/>
      <c r="J123" s="17"/>
      <c r="K123" s="18"/>
      <c r="L123" s="17"/>
      <c r="M123" s="17"/>
      <c r="N123" s="17"/>
      <c r="O123" s="17"/>
      <c r="P123" s="17"/>
      <c r="Q123" s="17"/>
      <c r="R123" s="17"/>
      <c r="S123" s="19" t="str">
        <f aca="false">IF(OR(J123="",J123=0),"",(L123+M123+N123+O123)/J123)</f>
        <v/>
      </c>
      <c r="T123" s="12"/>
    </row>
    <row r="124" customFormat="false" ht="15" hidden="false" customHeight="false" outlineLevel="0" collapsed="false">
      <c r="A124" s="11"/>
      <c r="B124" s="12"/>
      <c r="C124" s="12"/>
      <c r="D124" s="12"/>
      <c r="E124" s="12"/>
      <c r="F124" s="12"/>
      <c r="G124" s="12"/>
      <c r="H124" s="12"/>
      <c r="I124" s="12"/>
      <c r="J124" s="17"/>
      <c r="K124" s="18"/>
      <c r="L124" s="17"/>
      <c r="M124" s="17"/>
      <c r="N124" s="17"/>
      <c r="O124" s="17"/>
      <c r="P124" s="17"/>
      <c r="Q124" s="17"/>
      <c r="R124" s="17"/>
      <c r="S124" s="19" t="str">
        <f aca="false">IF(OR(J124="",J124=0),"",(L124+M124+N124+O124)/J124)</f>
        <v/>
      </c>
      <c r="T124" s="12"/>
    </row>
    <row r="125" customFormat="false" ht="15" hidden="false" customHeight="false" outlineLevel="0" collapsed="false">
      <c r="A125" s="11"/>
      <c r="B125" s="12"/>
      <c r="C125" s="12"/>
      <c r="D125" s="12"/>
      <c r="E125" s="12"/>
      <c r="F125" s="12"/>
      <c r="G125" s="12"/>
      <c r="H125" s="12"/>
      <c r="I125" s="12"/>
      <c r="J125" s="17"/>
      <c r="K125" s="18"/>
      <c r="L125" s="17"/>
      <c r="M125" s="17"/>
      <c r="N125" s="17"/>
      <c r="O125" s="17"/>
      <c r="P125" s="17"/>
      <c r="Q125" s="17"/>
      <c r="R125" s="17"/>
      <c r="S125" s="19" t="str">
        <f aca="false">IF(OR(J125="",J125=0),"",(L125+M125+N125+O125)/J125)</f>
        <v/>
      </c>
      <c r="T125" s="12"/>
    </row>
    <row r="126" customFormat="false" ht="15" hidden="false" customHeight="false" outlineLevel="0" collapsed="false">
      <c r="A126" s="11"/>
      <c r="B126" s="12"/>
      <c r="C126" s="12"/>
      <c r="D126" s="12"/>
      <c r="E126" s="12"/>
      <c r="F126" s="12"/>
      <c r="G126" s="12"/>
      <c r="H126" s="12"/>
      <c r="I126" s="12"/>
      <c r="J126" s="17"/>
      <c r="K126" s="18"/>
      <c r="L126" s="17"/>
      <c r="M126" s="17"/>
      <c r="N126" s="17"/>
      <c r="O126" s="17"/>
      <c r="P126" s="17"/>
      <c r="Q126" s="17"/>
      <c r="R126" s="17"/>
      <c r="S126" s="19" t="str">
        <f aca="false">IF(OR(J126="",J126=0),"",(L126+M126+N126+O126)/J126)</f>
        <v/>
      </c>
      <c r="T126" s="12"/>
    </row>
    <row r="127" customFormat="false" ht="15" hidden="false" customHeight="false" outlineLevel="0" collapsed="false">
      <c r="A127" s="11"/>
      <c r="B127" s="12"/>
      <c r="C127" s="12"/>
      <c r="D127" s="12"/>
      <c r="E127" s="12"/>
      <c r="F127" s="12"/>
      <c r="G127" s="12"/>
      <c r="H127" s="12"/>
      <c r="I127" s="12"/>
      <c r="J127" s="17"/>
      <c r="K127" s="18"/>
      <c r="L127" s="17"/>
      <c r="M127" s="17"/>
      <c r="N127" s="17"/>
      <c r="O127" s="17"/>
      <c r="P127" s="17"/>
      <c r="Q127" s="17"/>
      <c r="R127" s="17"/>
      <c r="S127" s="19" t="str">
        <f aca="false">IF(OR(J127="",J127=0),"",(L127+M127+N127+O127)/J127)</f>
        <v/>
      </c>
      <c r="T127" s="12"/>
    </row>
    <row r="128" customFormat="false" ht="15" hidden="false" customHeight="false" outlineLevel="0" collapsed="false">
      <c r="A128" s="11"/>
      <c r="B128" s="12"/>
      <c r="C128" s="12"/>
      <c r="D128" s="12"/>
      <c r="E128" s="12"/>
      <c r="F128" s="12"/>
      <c r="G128" s="12"/>
      <c r="H128" s="12"/>
      <c r="I128" s="12"/>
      <c r="J128" s="17"/>
      <c r="K128" s="18"/>
      <c r="L128" s="17"/>
      <c r="M128" s="17"/>
      <c r="N128" s="17"/>
      <c r="O128" s="17"/>
      <c r="P128" s="17"/>
      <c r="Q128" s="17"/>
      <c r="R128" s="17"/>
      <c r="S128" s="19" t="str">
        <f aca="false">IF(OR(J128="",J128=0),"",(L128+M128+N128+O128)/J128)</f>
        <v/>
      </c>
      <c r="T128" s="12"/>
    </row>
    <row r="129" customFormat="false" ht="15" hidden="false" customHeight="false" outlineLevel="0" collapsed="false">
      <c r="A129" s="11"/>
      <c r="B129" s="12"/>
      <c r="C129" s="12"/>
      <c r="D129" s="12"/>
      <c r="E129" s="12"/>
      <c r="F129" s="12"/>
      <c r="G129" s="12"/>
      <c r="H129" s="12"/>
      <c r="I129" s="12"/>
      <c r="J129" s="17"/>
      <c r="K129" s="18"/>
      <c r="L129" s="17"/>
      <c r="M129" s="17"/>
      <c r="N129" s="17"/>
      <c r="O129" s="17"/>
      <c r="P129" s="17"/>
      <c r="Q129" s="17"/>
      <c r="R129" s="17"/>
      <c r="S129" s="19" t="str">
        <f aca="false">IF(OR(J129="",J129=0),"",(L129+M129+N129+O129)/J129)</f>
        <v/>
      </c>
      <c r="T129" s="12"/>
    </row>
    <row r="130" customFormat="false" ht="15" hidden="false" customHeight="false" outlineLevel="0" collapsed="false">
      <c r="A130" s="11"/>
      <c r="B130" s="12"/>
      <c r="C130" s="12"/>
      <c r="D130" s="12"/>
      <c r="E130" s="12"/>
      <c r="F130" s="12"/>
      <c r="G130" s="12"/>
      <c r="H130" s="12"/>
      <c r="I130" s="12"/>
      <c r="J130" s="17"/>
      <c r="K130" s="18"/>
      <c r="L130" s="17"/>
      <c r="M130" s="17"/>
      <c r="N130" s="17"/>
      <c r="O130" s="17"/>
      <c r="P130" s="17"/>
      <c r="Q130" s="17"/>
      <c r="R130" s="17"/>
      <c r="S130" s="19" t="str">
        <f aca="false">IF(OR(J130="",J130=0),"",(L130+M130+N130+O130)/J130)</f>
        <v/>
      </c>
      <c r="T130" s="12"/>
    </row>
    <row r="131" customFormat="false" ht="15" hidden="false" customHeight="false" outlineLevel="0" collapsed="false">
      <c r="A131" s="11"/>
      <c r="B131" s="12"/>
      <c r="C131" s="12"/>
      <c r="D131" s="12"/>
      <c r="E131" s="12"/>
      <c r="F131" s="12"/>
      <c r="G131" s="12"/>
      <c r="H131" s="12"/>
      <c r="I131" s="12"/>
      <c r="J131" s="17"/>
      <c r="K131" s="18"/>
      <c r="L131" s="17"/>
      <c r="M131" s="17"/>
      <c r="N131" s="17"/>
      <c r="O131" s="17"/>
      <c r="P131" s="17"/>
      <c r="Q131" s="17"/>
      <c r="R131" s="17"/>
      <c r="S131" s="19" t="str">
        <f aca="false">IF(OR(J131="",J131=0),"",(L131+M131+N131+O131)/J131)</f>
        <v/>
      </c>
      <c r="T131" s="12"/>
    </row>
    <row r="132" customFormat="false" ht="15" hidden="false" customHeight="false" outlineLevel="0" collapsed="false">
      <c r="A132" s="11"/>
      <c r="B132" s="12"/>
      <c r="C132" s="12"/>
      <c r="D132" s="12"/>
      <c r="E132" s="12"/>
      <c r="F132" s="12"/>
      <c r="G132" s="12"/>
      <c r="H132" s="12"/>
      <c r="I132" s="12"/>
      <c r="J132" s="17"/>
      <c r="K132" s="18"/>
      <c r="L132" s="17"/>
      <c r="M132" s="17"/>
      <c r="N132" s="17"/>
      <c r="O132" s="17"/>
      <c r="P132" s="17"/>
      <c r="Q132" s="17"/>
      <c r="R132" s="17"/>
      <c r="S132" s="19" t="str">
        <f aca="false">IF(OR(J132="",J132=0),"",(L132+M132+N132+O132)/J132)</f>
        <v/>
      </c>
      <c r="T132" s="12"/>
    </row>
    <row r="133" customFormat="false" ht="15" hidden="false" customHeight="false" outlineLevel="0" collapsed="false">
      <c r="A133" s="11"/>
      <c r="B133" s="12"/>
      <c r="C133" s="12"/>
      <c r="D133" s="12"/>
      <c r="E133" s="12"/>
      <c r="F133" s="12"/>
      <c r="G133" s="12"/>
      <c r="H133" s="12"/>
      <c r="I133" s="12"/>
      <c r="J133" s="17"/>
      <c r="K133" s="18"/>
      <c r="L133" s="17"/>
      <c r="M133" s="17"/>
      <c r="N133" s="17"/>
      <c r="O133" s="17"/>
      <c r="P133" s="17"/>
      <c r="Q133" s="17"/>
      <c r="R133" s="17"/>
      <c r="S133" s="19" t="str">
        <f aca="false">IF(OR(J133="",J133=0),"",(L133+M133+N133+O133)/J133)</f>
        <v/>
      </c>
      <c r="T133" s="12"/>
    </row>
    <row r="134" customFormat="false" ht="15" hidden="false" customHeight="false" outlineLevel="0" collapsed="false">
      <c r="A134" s="11"/>
      <c r="B134" s="12"/>
      <c r="C134" s="12"/>
      <c r="D134" s="12"/>
      <c r="E134" s="12"/>
      <c r="F134" s="12"/>
      <c r="G134" s="12"/>
      <c r="H134" s="12"/>
      <c r="I134" s="12"/>
      <c r="J134" s="17"/>
      <c r="K134" s="18"/>
      <c r="L134" s="17"/>
      <c r="M134" s="17"/>
      <c r="N134" s="17"/>
      <c r="O134" s="17"/>
      <c r="P134" s="17"/>
      <c r="Q134" s="17"/>
      <c r="R134" s="17"/>
      <c r="S134" s="19" t="str">
        <f aca="false">IF(OR(J134="",J134=0),"",(L134+M134+N134+O134)/J134)</f>
        <v/>
      </c>
      <c r="T134" s="12"/>
    </row>
    <row r="135" customFormat="false" ht="15" hidden="false" customHeight="false" outlineLevel="0" collapsed="false">
      <c r="A135" s="11"/>
      <c r="B135" s="12"/>
      <c r="C135" s="12"/>
      <c r="D135" s="12"/>
      <c r="E135" s="12"/>
      <c r="F135" s="12"/>
      <c r="G135" s="12"/>
      <c r="H135" s="12"/>
      <c r="I135" s="12"/>
      <c r="J135" s="17"/>
      <c r="K135" s="18"/>
      <c r="L135" s="17"/>
      <c r="M135" s="17"/>
      <c r="N135" s="17"/>
      <c r="O135" s="17"/>
      <c r="P135" s="17"/>
      <c r="Q135" s="17"/>
      <c r="R135" s="17"/>
      <c r="S135" s="19" t="str">
        <f aca="false">IF(OR(J135="",J135=0),"",(L135+M135+N135+O135)/J135)</f>
        <v/>
      </c>
      <c r="T135" s="12"/>
    </row>
    <row r="136" customFormat="false" ht="15" hidden="false" customHeight="false" outlineLevel="0" collapsed="false">
      <c r="A136" s="11"/>
      <c r="B136" s="12"/>
      <c r="C136" s="12"/>
      <c r="D136" s="12"/>
      <c r="E136" s="12"/>
      <c r="F136" s="12"/>
      <c r="G136" s="12"/>
      <c r="H136" s="12"/>
      <c r="I136" s="12"/>
      <c r="J136" s="17"/>
      <c r="K136" s="18"/>
      <c r="L136" s="17"/>
      <c r="M136" s="17"/>
      <c r="N136" s="17"/>
      <c r="O136" s="17"/>
      <c r="P136" s="17"/>
      <c r="Q136" s="17"/>
      <c r="R136" s="17"/>
      <c r="S136" s="19" t="str">
        <f aca="false">IF(OR(J136="",J136=0),"",(L136+M136+N136+O136)/J136)</f>
        <v/>
      </c>
      <c r="T136" s="12"/>
    </row>
    <row r="137" customFormat="false" ht="15" hidden="false" customHeight="false" outlineLevel="0" collapsed="false">
      <c r="A137" s="11"/>
      <c r="B137" s="12"/>
      <c r="C137" s="12"/>
      <c r="D137" s="12"/>
      <c r="E137" s="12"/>
      <c r="F137" s="12"/>
      <c r="G137" s="12"/>
      <c r="H137" s="12"/>
      <c r="I137" s="12"/>
      <c r="J137" s="17"/>
      <c r="K137" s="18"/>
      <c r="L137" s="17"/>
      <c r="M137" s="17"/>
      <c r="N137" s="17"/>
      <c r="O137" s="17"/>
      <c r="P137" s="17"/>
      <c r="Q137" s="17"/>
      <c r="R137" s="17"/>
      <c r="S137" s="19" t="str">
        <f aca="false">IF(OR(J137="",J137=0),"",(L137+M137+N137+O137)/J137)</f>
        <v/>
      </c>
      <c r="T137" s="12"/>
    </row>
    <row r="138" customFormat="false" ht="15" hidden="false" customHeight="false" outlineLevel="0" collapsed="false">
      <c r="A138" s="11"/>
      <c r="B138" s="12"/>
      <c r="C138" s="12"/>
      <c r="D138" s="12"/>
      <c r="E138" s="12"/>
      <c r="F138" s="12"/>
      <c r="G138" s="12"/>
      <c r="H138" s="12"/>
      <c r="I138" s="12"/>
      <c r="J138" s="17"/>
      <c r="K138" s="18"/>
      <c r="L138" s="17"/>
      <c r="M138" s="17"/>
      <c r="N138" s="17"/>
      <c r="O138" s="17"/>
      <c r="P138" s="17"/>
      <c r="Q138" s="17"/>
      <c r="R138" s="17"/>
      <c r="S138" s="19" t="str">
        <f aca="false">IF(OR(J138="",J138=0),"",(L138+M138+N138+O138)/J138)</f>
        <v/>
      </c>
      <c r="T138" s="12"/>
    </row>
    <row r="139" customFormat="false" ht="15" hidden="false" customHeight="false" outlineLevel="0" collapsed="false">
      <c r="A139" s="11"/>
      <c r="B139" s="12"/>
      <c r="C139" s="12"/>
      <c r="D139" s="12"/>
      <c r="E139" s="12"/>
      <c r="F139" s="12"/>
      <c r="G139" s="12"/>
      <c r="H139" s="12"/>
      <c r="I139" s="12"/>
      <c r="J139" s="17"/>
      <c r="K139" s="18"/>
      <c r="L139" s="17"/>
      <c r="M139" s="17"/>
      <c r="N139" s="17"/>
      <c r="O139" s="17"/>
      <c r="P139" s="17"/>
      <c r="Q139" s="17"/>
      <c r="R139" s="17"/>
      <c r="S139" s="19" t="str">
        <f aca="false">IF(OR(J139="",J139=0),"",(L139+M139+N139+O139)/J139)</f>
        <v/>
      </c>
      <c r="T139" s="12"/>
    </row>
    <row r="140" customFormat="false" ht="15" hidden="false" customHeight="false" outlineLevel="0" collapsed="false">
      <c r="A140" s="11"/>
      <c r="B140" s="12"/>
      <c r="C140" s="12"/>
      <c r="D140" s="12"/>
      <c r="E140" s="12"/>
      <c r="F140" s="12"/>
      <c r="G140" s="12"/>
      <c r="H140" s="12"/>
      <c r="I140" s="12"/>
      <c r="J140" s="17"/>
      <c r="K140" s="18"/>
      <c r="L140" s="17"/>
      <c r="M140" s="17"/>
      <c r="N140" s="17"/>
      <c r="O140" s="17"/>
      <c r="P140" s="17"/>
      <c r="Q140" s="17"/>
      <c r="R140" s="17"/>
      <c r="S140" s="19" t="str">
        <f aca="false">IF(OR(J140="",J140=0),"",(L140+M140+N140+O140)/J140)</f>
        <v/>
      </c>
      <c r="T140" s="12"/>
    </row>
    <row r="141" customFormat="false" ht="15" hidden="false" customHeight="false" outlineLevel="0" collapsed="false">
      <c r="A141" s="11"/>
      <c r="B141" s="12"/>
      <c r="C141" s="12"/>
      <c r="D141" s="12"/>
      <c r="E141" s="12"/>
      <c r="F141" s="12"/>
      <c r="G141" s="12"/>
      <c r="H141" s="12"/>
      <c r="I141" s="12"/>
      <c r="J141" s="17"/>
      <c r="K141" s="18"/>
      <c r="L141" s="17"/>
      <c r="M141" s="17"/>
      <c r="N141" s="17"/>
      <c r="O141" s="17"/>
      <c r="P141" s="17"/>
      <c r="Q141" s="17"/>
      <c r="R141" s="17"/>
      <c r="S141" s="19" t="str">
        <f aca="false">IF(OR(J141="",J141=0),"",(L141+M141+N141+O141)/J141)</f>
        <v/>
      </c>
      <c r="T141" s="12"/>
    </row>
    <row r="142" customFormat="false" ht="15" hidden="false" customHeight="false" outlineLevel="0" collapsed="false">
      <c r="A142" s="11"/>
      <c r="B142" s="12"/>
      <c r="C142" s="12"/>
      <c r="D142" s="12"/>
      <c r="E142" s="12"/>
      <c r="F142" s="12"/>
      <c r="G142" s="12"/>
      <c r="H142" s="12"/>
      <c r="I142" s="12"/>
      <c r="J142" s="17"/>
      <c r="K142" s="18"/>
      <c r="L142" s="17"/>
      <c r="M142" s="17"/>
      <c r="N142" s="17"/>
      <c r="O142" s="17"/>
      <c r="P142" s="17"/>
      <c r="Q142" s="17"/>
      <c r="R142" s="17"/>
      <c r="S142" s="19" t="str">
        <f aca="false">IF(OR(J142="",J142=0),"",(L142+M142+N142+O142)/J142)</f>
        <v/>
      </c>
      <c r="T142" s="12"/>
    </row>
    <row r="143" customFormat="false" ht="15" hidden="false" customHeight="false" outlineLevel="0" collapsed="false">
      <c r="A143" s="11"/>
      <c r="B143" s="12"/>
      <c r="C143" s="12"/>
      <c r="D143" s="12"/>
      <c r="E143" s="12"/>
      <c r="F143" s="12"/>
      <c r="G143" s="12"/>
      <c r="H143" s="12"/>
      <c r="I143" s="12"/>
      <c r="J143" s="17"/>
      <c r="K143" s="18"/>
      <c r="L143" s="17"/>
      <c r="M143" s="17"/>
      <c r="N143" s="17"/>
      <c r="O143" s="17"/>
      <c r="P143" s="17"/>
      <c r="Q143" s="17"/>
      <c r="R143" s="17"/>
      <c r="S143" s="19" t="str">
        <f aca="false">IF(OR(J143="",J143=0),"",(L143+M143+N143+O143)/J143)</f>
        <v/>
      </c>
      <c r="T143" s="12"/>
    </row>
    <row r="144" customFormat="false" ht="15" hidden="false" customHeight="false" outlineLevel="0" collapsed="false">
      <c r="A144" s="11"/>
      <c r="B144" s="12"/>
      <c r="C144" s="12"/>
      <c r="D144" s="12"/>
      <c r="E144" s="12"/>
      <c r="F144" s="12"/>
      <c r="G144" s="12"/>
      <c r="H144" s="12"/>
      <c r="I144" s="12"/>
      <c r="J144" s="17"/>
      <c r="K144" s="18"/>
      <c r="L144" s="17"/>
      <c r="M144" s="17"/>
      <c r="N144" s="17"/>
      <c r="O144" s="17"/>
      <c r="P144" s="17"/>
      <c r="Q144" s="17"/>
      <c r="R144" s="17"/>
      <c r="S144" s="19" t="str">
        <f aca="false">IF(OR(J144="",J144=0),"",(L144+M144+N144+O144)/J144)</f>
        <v/>
      </c>
      <c r="T144" s="12"/>
    </row>
    <row r="145" customFormat="false" ht="15" hidden="false" customHeight="false" outlineLevel="0" collapsed="false">
      <c r="A145" s="11"/>
      <c r="B145" s="12"/>
      <c r="C145" s="12"/>
      <c r="D145" s="12"/>
      <c r="E145" s="12"/>
      <c r="F145" s="12"/>
      <c r="G145" s="12"/>
      <c r="H145" s="12"/>
      <c r="I145" s="12"/>
      <c r="J145" s="17"/>
      <c r="K145" s="18"/>
      <c r="L145" s="17"/>
      <c r="M145" s="17"/>
      <c r="N145" s="17"/>
      <c r="O145" s="17"/>
      <c r="P145" s="17"/>
      <c r="Q145" s="17"/>
      <c r="R145" s="17"/>
      <c r="S145" s="19" t="str">
        <f aca="false">IF(OR(J145="",J145=0),"",(L145+M145+N145+O145)/J145)</f>
        <v/>
      </c>
      <c r="T145" s="12"/>
    </row>
    <row r="146" customFormat="false" ht="15" hidden="false" customHeight="false" outlineLevel="0" collapsed="false">
      <c r="A146" s="11"/>
      <c r="B146" s="12"/>
      <c r="C146" s="12"/>
      <c r="D146" s="12"/>
      <c r="E146" s="12"/>
      <c r="F146" s="12"/>
      <c r="G146" s="12"/>
      <c r="H146" s="12"/>
      <c r="I146" s="12"/>
      <c r="J146" s="17"/>
      <c r="K146" s="18"/>
      <c r="L146" s="17"/>
      <c r="M146" s="17"/>
      <c r="N146" s="17"/>
      <c r="O146" s="17"/>
      <c r="P146" s="17"/>
      <c r="Q146" s="17"/>
      <c r="R146" s="17"/>
      <c r="S146" s="19" t="str">
        <f aca="false">IF(OR(J146="",J146=0),"",(L146+M146+N146+O146)/J146)</f>
        <v/>
      </c>
      <c r="T146" s="12"/>
    </row>
    <row r="147" customFormat="false" ht="15" hidden="false" customHeight="false" outlineLevel="0" collapsed="false">
      <c r="A147" s="11"/>
      <c r="B147" s="12"/>
      <c r="C147" s="12"/>
      <c r="D147" s="12"/>
      <c r="E147" s="12"/>
      <c r="F147" s="12"/>
      <c r="G147" s="12"/>
      <c r="H147" s="12"/>
      <c r="I147" s="12"/>
      <c r="J147" s="17"/>
      <c r="K147" s="18"/>
      <c r="L147" s="17"/>
      <c r="M147" s="17"/>
      <c r="N147" s="17"/>
      <c r="O147" s="17"/>
      <c r="P147" s="17"/>
      <c r="Q147" s="17"/>
      <c r="R147" s="17"/>
      <c r="S147" s="19" t="str">
        <f aca="false">IF(OR(J147="",J147=0),"",(L147+M147+N147+O147)/J147)</f>
        <v/>
      </c>
      <c r="T147" s="12"/>
    </row>
    <row r="148" customFormat="false" ht="15" hidden="false" customHeight="false" outlineLevel="0" collapsed="false">
      <c r="A148" s="11"/>
      <c r="B148" s="12"/>
      <c r="C148" s="12"/>
      <c r="D148" s="12"/>
      <c r="E148" s="12"/>
      <c r="F148" s="12"/>
      <c r="G148" s="12"/>
      <c r="H148" s="12"/>
      <c r="I148" s="12"/>
      <c r="J148" s="17"/>
      <c r="K148" s="18"/>
      <c r="L148" s="17"/>
      <c r="M148" s="17"/>
      <c r="N148" s="17"/>
      <c r="O148" s="17"/>
      <c r="P148" s="17"/>
      <c r="Q148" s="17"/>
      <c r="R148" s="17"/>
      <c r="S148" s="19" t="str">
        <f aca="false">IF(OR(J148="",J148=0),"",(L148+M148+N148+O148)/J148)</f>
        <v/>
      </c>
      <c r="T148" s="12"/>
    </row>
    <row r="149" customFormat="false" ht="15" hidden="false" customHeight="false" outlineLevel="0" collapsed="false">
      <c r="A149" s="11"/>
      <c r="B149" s="12"/>
      <c r="C149" s="12"/>
      <c r="D149" s="12"/>
      <c r="E149" s="12"/>
      <c r="F149" s="12"/>
      <c r="G149" s="12"/>
      <c r="H149" s="12"/>
      <c r="I149" s="12"/>
      <c r="J149" s="17"/>
      <c r="K149" s="18"/>
      <c r="L149" s="17"/>
      <c r="M149" s="17"/>
      <c r="N149" s="17"/>
      <c r="O149" s="17"/>
      <c r="P149" s="17"/>
      <c r="Q149" s="17"/>
      <c r="R149" s="17"/>
      <c r="S149" s="19" t="str">
        <f aca="false">IF(OR(J149="",J149=0),"",(L149+M149+N149+O149)/J149)</f>
        <v/>
      </c>
      <c r="T149" s="12"/>
    </row>
    <row r="150" customFormat="false" ht="15" hidden="false" customHeight="false" outlineLevel="0" collapsed="false">
      <c r="A150" s="11"/>
      <c r="B150" s="12"/>
      <c r="C150" s="12"/>
      <c r="D150" s="12"/>
      <c r="E150" s="12"/>
      <c r="F150" s="12"/>
      <c r="G150" s="12"/>
      <c r="H150" s="12"/>
      <c r="I150" s="12"/>
      <c r="J150" s="17"/>
      <c r="K150" s="18"/>
      <c r="L150" s="17"/>
      <c r="M150" s="17"/>
      <c r="N150" s="17"/>
      <c r="O150" s="17"/>
      <c r="P150" s="17"/>
      <c r="Q150" s="17"/>
      <c r="R150" s="17"/>
      <c r="S150" s="19" t="str">
        <f aca="false">IF(OR(J150="",J150=0),"",(L150+M150+N150+O150)/J150)</f>
        <v/>
      </c>
      <c r="T150" s="12"/>
    </row>
    <row r="151" customFormat="false" ht="15" hidden="false" customHeight="false" outlineLevel="0" collapsed="false">
      <c r="A151" s="11"/>
      <c r="B151" s="12"/>
      <c r="C151" s="12"/>
      <c r="D151" s="12"/>
      <c r="E151" s="12"/>
      <c r="F151" s="12"/>
      <c r="G151" s="12"/>
      <c r="H151" s="12"/>
      <c r="I151" s="12"/>
      <c r="J151" s="17"/>
      <c r="K151" s="18"/>
      <c r="L151" s="17"/>
      <c r="M151" s="17"/>
      <c r="N151" s="17"/>
      <c r="O151" s="17"/>
      <c r="P151" s="17"/>
      <c r="Q151" s="17"/>
      <c r="R151" s="17"/>
      <c r="S151" s="19" t="str">
        <f aca="false">IF(OR(J151="",J151=0),"",(L151+M151+N151+O151)/J151)</f>
        <v/>
      </c>
      <c r="T151" s="12"/>
    </row>
    <row r="152" customFormat="false" ht="15" hidden="false" customHeight="false" outlineLevel="0" collapsed="false">
      <c r="A152" s="11"/>
      <c r="B152" s="12"/>
      <c r="C152" s="12"/>
      <c r="D152" s="12"/>
      <c r="E152" s="12"/>
      <c r="F152" s="12"/>
      <c r="G152" s="12"/>
      <c r="H152" s="12"/>
      <c r="I152" s="12"/>
      <c r="J152" s="17"/>
      <c r="K152" s="18"/>
      <c r="L152" s="17"/>
      <c r="M152" s="17"/>
      <c r="N152" s="17"/>
      <c r="O152" s="17"/>
      <c r="P152" s="17"/>
      <c r="Q152" s="17"/>
      <c r="R152" s="17"/>
      <c r="S152" s="19" t="str">
        <f aca="false">IF(OR(J152="",J152=0),"",(L152+M152+N152+O152)/J152)</f>
        <v/>
      </c>
      <c r="T152" s="12"/>
    </row>
    <row r="153" customFormat="false" ht="15" hidden="false" customHeight="false" outlineLevel="0" collapsed="false">
      <c r="A153" s="11"/>
      <c r="B153" s="12"/>
      <c r="C153" s="12"/>
      <c r="D153" s="12"/>
      <c r="E153" s="12"/>
      <c r="F153" s="12"/>
      <c r="G153" s="12"/>
      <c r="H153" s="12"/>
      <c r="I153" s="12"/>
      <c r="J153" s="17"/>
      <c r="K153" s="18"/>
      <c r="L153" s="17"/>
      <c r="M153" s="17"/>
      <c r="N153" s="17"/>
      <c r="O153" s="17"/>
      <c r="P153" s="17"/>
      <c r="Q153" s="17"/>
      <c r="R153" s="17"/>
      <c r="S153" s="19" t="str">
        <f aca="false">IF(OR(J153="",J153=0),"",(L153+M153+N153+O153)/J153)</f>
        <v/>
      </c>
      <c r="T153" s="12"/>
    </row>
    <row r="154" customFormat="false" ht="15" hidden="false" customHeight="false" outlineLevel="0" collapsed="false">
      <c r="A154" s="11"/>
      <c r="B154" s="12"/>
      <c r="C154" s="12"/>
      <c r="D154" s="12"/>
      <c r="E154" s="12"/>
      <c r="F154" s="12"/>
      <c r="G154" s="12"/>
      <c r="H154" s="12"/>
      <c r="I154" s="12"/>
      <c r="J154" s="17"/>
      <c r="K154" s="18"/>
      <c r="L154" s="17"/>
      <c r="M154" s="17"/>
      <c r="N154" s="17"/>
      <c r="O154" s="17"/>
      <c r="P154" s="17"/>
      <c r="Q154" s="17"/>
      <c r="R154" s="17"/>
      <c r="S154" s="19" t="str">
        <f aca="false">IF(OR(J154="",J154=0),"",(L154+M154+N154+O154)/J154)</f>
        <v/>
      </c>
      <c r="T154" s="12"/>
    </row>
    <row r="155" customFormat="false" ht="15" hidden="false" customHeight="false" outlineLevel="0" collapsed="false">
      <c r="A155" s="11"/>
      <c r="B155" s="12"/>
      <c r="C155" s="12"/>
      <c r="D155" s="12"/>
      <c r="E155" s="12"/>
      <c r="F155" s="12"/>
      <c r="G155" s="12"/>
      <c r="H155" s="12"/>
      <c r="I155" s="12"/>
      <c r="J155" s="17"/>
      <c r="K155" s="18"/>
      <c r="L155" s="17"/>
      <c r="M155" s="17"/>
      <c r="N155" s="17"/>
      <c r="O155" s="17"/>
      <c r="P155" s="17"/>
      <c r="Q155" s="17"/>
      <c r="R155" s="17"/>
      <c r="S155" s="19" t="str">
        <f aca="false">IF(OR(J155="",J155=0),"",(L155+M155+N155+O155)/J155)</f>
        <v/>
      </c>
      <c r="T155" s="12"/>
    </row>
    <row r="156" customFormat="false" ht="15" hidden="false" customHeight="false" outlineLevel="0" collapsed="false">
      <c r="A156" s="11"/>
      <c r="B156" s="12"/>
      <c r="C156" s="12"/>
      <c r="D156" s="12"/>
      <c r="E156" s="12"/>
      <c r="F156" s="12"/>
      <c r="G156" s="12"/>
      <c r="H156" s="12"/>
      <c r="I156" s="12"/>
      <c r="J156" s="17"/>
      <c r="K156" s="18"/>
      <c r="L156" s="17"/>
      <c r="M156" s="17"/>
      <c r="N156" s="17"/>
      <c r="O156" s="17"/>
      <c r="P156" s="17"/>
      <c r="Q156" s="17"/>
      <c r="R156" s="17"/>
      <c r="S156" s="19" t="str">
        <f aca="false">IF(OR(J156="",J156=0),"",(L156+M156+N156+O156)/J156)</f>
        <v/>
      </c>
      <c r="T156" s="12"/>
    </row>
    <row r="157" customFormat="false" ht="15" hidden="false" customHeight="false" outlineLevel="0" collapsed="false">
      <c r="A157" s="11"/>
      <c r="B157" s="12"/>
      <c r="C157" s="12"/>
      <c r="D157" s="12"/>
      <c r="E157" s="12"/>
      <c r="F157" s="12"/>
      <c r="G157" s="12"/>
      <c r="H157" s="12"/>
      <c r="I157" s="12"/>
      <c r="J157" s="17"/>
      <c r="K157" s="18"/>
      <c r="L157" s="17"/>
      <c r="M157" s="17"/>
      <c r="N157" s="17"/>
      <c r="O157" s="17"/>
      <c r="P157" s="17"/>
      <c r="Q157" s="17"/>
      <c r="R157" s="17"/>
      <c r="S157" s="19" t="str">
        <f aca="false">IF(OR(J157="",J157=0),"",(L157+M157+N157+O157)/J157)</f>
        <v/>
      </c>
      <c r="T157" s="12"/>
    </row>
    <row r="158" customFormat="false" ht="15" hidden="false" customHeight="false" outlineLevel="0" collapsed="false">
      <c r="A158" s="11"/>
      <c r="B158" s="12"/>
      <c r="C158" s="12"/>
      <c r="D158" s="12"/>
      <c r="E158" s="12"/>
      <c r="F158" s="12"/>
      <c r="G158" s="12"/>
      <c r="H158" s="12"/>
      <c r="I158" s="12"/>
      <c r="J158" s="17"/>
      <c r="K158" s="18"/>
      <c r="L158" s="17"/>
      <c r="M158" s="17"/>
      <c r="N158" s="17"/>
      <c r="O158" s="17"/>
      <c r="P158" s="17"/>
      <c r="Q158" s="17"/>
      <c r="R158" s="17"/>
      <c r="S158" s="19" t="str">
        <f aca="false">IF(OR(J158="",J158=0),"",(L158+M158+N158+O158)/J158)</f>
        <v/>
      </c>
      <c r="T158" s="12"/>
    </row>
    <row r="159" customFormat="false" ht="15" hidden="false" customHeight="false" outlineLevel="0" collapsed="false">
      <c r="A159" s="11"/>
      <c r="B159" s="12"/>
      <c r="C159" s="12"/>
      <c r="D159" s="12"/>
      <c r="E159" s="12"/>
      <c r="F159" s="12"/>
      <c r="G159" s="12"/>
      <c r="H159" s="12"/>
      <c r="I159" s="12"/>
      <c r="J159" s="17"/>
      <c r="K159" s="18"/>
      <c r="L159" s="17"/>
      <c r="M159" s="17"/>
      <c r="N159" s="17"/>
      <c r="O159" s="17"/>
      <c r="P159" s="17"/>
      <c r="Q159" s="17"/>
      <c r="R159" s="17"/>
      <c r="S159" s="19" t="str">
        <f aca="false">IF(OR(J159="",J159=0),"",(L159+M159+N159+O159)/J159)</f>
        <v/>
      </c>
      <c r="T159" s="12"/>
    </row>
    <row r="160" customFormat="false" ht="15" hidden="false" customHeight="false" outlineLevel="0" collapsed="false">
      <c r="A160" s="11"/>
      <c r="B160" s="12"/>
      <c r="C160" s="12"/>
      <c r="D160" s="12"/>
      <c r="E160" s="12"/>
      <c r="F160" s="12"/>
      <c r="G160" s="12"/>
      <c r="H160" s="12"/>
      <c r="I160" s="12"/>
      <c r="J160" s="17"/>
      <c r="K160" s="18"/>
      <c r="L160" s="17"/>
      <c r="M160" s="17"/>
      <c r="N160" s="17"/>
      <c r="O160" s="17"/>
      <c r="P160" s="17"/>
      <c r="Q160" s="17"/>
      <c r="R160" s="17"/>
      <c r="S160" s="19" t="str">
        <f aca="false">IF(OR(J160="",J160=0),"",(L160+M160+N160+O160)/J160)</f>
        <v/>
      </c>
      <c r="T160" s="12"/>
    </row>
    <row r="161" customFormat="false" ht="15" hidden="false" customHeight="false" outlineLevel="0" collapsed="false">
      <c r="A161" s="11"/>
      <c r="B161" s="12"/>
      <c r="C161" s="12"/>
      <c r="D161" s="12"/>
      <c r="E161" s="12"/>
      <c r="F161" s="12"/>
      <c r="G161" s="12"/>
      <c r="H161" s="12"/>
      <c r="I161" s="12"/>
      <c r="J161" s="17"/>
      <c r="K161" s="18"/>
      <c r="L161" s="17"/>
      <c r="M161" s="17"/>
      <c r="N161" s="17"/>
      <c r="O161" s="17"/>
      <c r="P161" s="17"/>
      <c r="Q161" s="17"/>
      <c r="R161" s="17"/>
      <c r="S161" s="19" t="str">
        <f aca="false">IF(OR(J161="",J161=0),"",(L161+M161+N161+O161)/J161)</f>
        <v/>
      </c>
      <c r="T161" s="12"/>
    </row>
    <row r="162" customFormat="false" ht="15" hidden="false" customHeight="false" outlineLevel="0" collapsed="false">
      <c r="A162" s="11"/>
      <c r="B162" s="12"/>
      <c r="C162" s="12"/>
      <c r="D162" s="12"/>
      <c r="E162" s="12"/>
      <c r="F162" s="12"/>
      <c r="G162" s="12"/>
      <c r="H162" s="12"/>
      <c r="I162" s="12"/>
      <c r="J162" s="17"/>
      <c r="K162" s="18"/>
      <c r="L162" s="17"/>
      <c r="M162" s="17"/>
      <c r="N162" s="17"/>
      <c r="O162" s="17"/>
      <c r="P162" s="17"/>
      <c r="Q162" s="17"/>
      <c r="R162" s="17"/>
      <c r="S162" s="19" t="str">
        <f aca="false">IF(OR(J162="",J162=0),"",(L162+M162+N162+O162)/J162)</f>
        <v/>
      </c>
      <c r="T162" s="12"/>
    </row>
    <row r="163" customFormat="false" ht="15" hidden="false" customHeight="false" outlineLevel="0" collapsed="false">
      <c r="A163" s="11"/>
      <c r="B163" s="12"/>
      <c r="C163" s="12"/>
      <c r="D163" s="12"/>
      <c r="E163" s="12"/>
      <c r="F163" s="12"/>
      <c r="G163" s="12"/>
      <c r="H163" s="12"/>
      <c r="I163" s="12"/>
      <c r="J163" s="17"/>
      <c r="K163" s="18"/>
      <c r="L163" s="17"/>
      <c r="M163" s="17"/>
      <c r="N163" s="17"/>
      <c r="O163" s="17"/>
      <c r="P163" s="17"/>
      <c r="Q163" s="17"/>
      <c r="R163" s="17"/>
      <c r="S163" s="19" t="str">
        <f aca="false">IF(OR(J163="",J163=0),"",(L163+M163+N163+O163)/J163)</f>
        <v/>
      </c>
      <c r="T163" s="12"/>
    </row>
    <row r="164" customFormat="false" ht="15" hidden="false" customHeight="false" outlineLevel="0" collapsed="false">
      <c r="A164" s="11"/>
      <c r="B164" s="12"/>
      <c r="C164" s="12"/>
      <c r="D164" s="12"/>
      <c r="E164" s="12"/>
      <c r="F164" s="12"/>
      <c r="G164" s="12"/>
      <c r="H164" s="12"/>
      <c r="I164" s="12"/>
      <c r="J164" s="17"/>
      <c r="K164" s="18"/>
      <c r="L164" s="17"/>
      <c r="M164" s="17"/>
      <c r="N164" s="17"/>
      <c r="O164" s="17"/>
      <c r="P164" s="17"/>
      <c r="Q164" s="17"/>
      <c r="R164" s="17"/>
      <c r="S164" s="19" t="str">
        <f aca="false">IF(OR(J164="",J164=0),"",(L164+M164+N164+O164)/J164)</f>
        <v/>
      </c>
      <c r="T164" s="12"/>
    </row>
    <row r="165" customFormat="false" ht="15" hidden="false" customHeight="false" outlineLevel="0" collapsed="false">
      <c r="A165" s="11"/>
      <c r="B165" s="12"/>
      <c r="C165" s="12"/>
      <c r="D165" s="12"/>
      <c r="E165" s="12"/>
      <c r="F165" s="12"/>
      <c r="G165" s="12"/>
      <c r="H165" s="12"/>
      <c r="I165" s="12"/>
      <c r="J165" s="17"/>
      <c r="K165" s="18"/>
      <c r="L165" s="17"/>
      <c r="M165" s="17"/>
      <c r="N165" s="17"/>
      <c r="O165" s="17"/>
      <c r="P165" s="17"/>
      <c r="Q165" s="17"/>
      <c r="R165" s="17"/>
      <c r="S165" s="19" t="str">
        <f aca="false">IF(OR(J165="",J165=0),"",(L165+M165+N165+O165)/J165)</f>
        <v/>
      </c>
      <c r="T165" s="12"/>
    </row>
    <row r="166" customFormat="false" ht="15" hidden="false" customHeight="false" outlineLevel="0" collapsed="false">
      <c r="A166" s="11"/>
      <c r="B166" s="12"/>
      <c r="C166" s="12"/>
      <c r="D166" s="12"/>
      <c r="E166" s="12"/>
      <c r="F166" s="12"/>
      <c r="G166" s="12"/>
      <c r="H166" s="12"/>
      <c r="I166" s="12"/>
      <c r="J166" s="17"/>
      <c r="K166" s="18"/>
      <c r="L166" s="17"/>
      <c r="M166" s="17"/>
      <c r="N166" s="17"/>
      <c r="O166" s="17"/>
      <c r="P166" s="17"/>
      <c r="Q166" s="17"/>
      <c r="R166" s="17"/>
      <c r="S166" s="19" t="str">
        <f aca="false">IF(OR(J166="",J166=0),"",(L166+M166+N166+O166)/J166)</f>
        <v/>
      </c>
      <c r="T166" s="12"/>
    </row>
    <row r="167" customFormat="false" ht="15" hidden="false" customHeight="false" outlineLevel="0" collapsed="false">
      <c r="A167" s="11"/>
      <c r="B167" s="12"/>
      <c r="C167" s="12"/>
      <c r="D167" s="12"/>
      <c r="E167" s="12"/>
      <c r="F167" s="12"/>
      <c r="G167" s="12"/>
      <c r="H167" s="12"/>
      <c r="I167" s="12"/>
      <c r="J167" s="17"/>
      <c r="K167" s="18"/>
      <c r="L167" s="17"/>
      <c r="M167" s="17"/>
      <c r="N167" s="17"/>
      <c r="O167" s="17"/>
      <c r="P167" s="17"/>
      <c r="Q167" s="17"/>
      <c r="R167" s="17"/>
      <c r="S167" s="19" t="str">
        <f aca="false">IF(OR(J167="",J167=0),"",(L167+M167+N167+O167)/J167)</f>
        <v/>
      </c>
      <c r="T167" s="12"/>
    </row>
    <row r="168" customFormat="false" ht="15" hidden="false" customHeight="false" outlineLevel="0" collapsed="false">
      <c r="A168" s="11"/>
      <c r="B168" s="12"/>
      <c r="C168" s="12"/>
      <c r="D168" s="12"/>
      <c r="E168" s="12"/>
      <c r="F168" s="12"/>
      <c r="G168" s="12"/>
      <c r="H168" s="12"/>
      <c r="I168" s="12"/>
      <c r="J168" s="17"/>
      <c r="K168" s="18"/>
      <c r="L168" s="17"/>
      <c r="M168" s="17"/>
      <c r="N168" s="17"/>
      <c r="O168" s="17"/>
      <c r="P168" s="17"/>
      <c r="Q168" s="17"/>
      <c r="R168" s="17"/>
      <c r="S168" s="19" t="str">
        <f aca="false">IF(OR(J168="",J168=0),"",(L168+M168+N168+O168)/J168)</f>
        <v/>
      </c>
      <c r="T168" s="12"/>
    </row>
    <row r="169" customFormat="false" ht="15" hidden="false" customHeight="false" outlineLevel="0" collapsed="false">
      <c r="A169" s="11"/>
      <c r="B169" s="12"/>
      <c r="C169" s="12"/>
      <c r="D169" s="12"/>
      <c r="E169" s="12"/>
      <c r="F169" s="12"/>
      <c r="G169" s="12"/>
      <c r="H169" s="12"/>
      <c r="I169" s="12"/>
      <c r="J169" s="17"/>
      <c r="K169" s="18"/>
      <c r="L169" s="17"/>
      <c r="M169" s="17"/>
      <c r="N169" s="17"/>
      <c r="O169" s="17"/>
      <c r="P169" s="17"/>
      <c r="Q169" s="17"/>
      <c r="R169" s="17"/>
      <c r="S169" s="19" t="str">
        <f aca="false">IF(OR(J169="",J169=0),"",(L169+M169+N169+O169)/J169)</f>
        <v/>
      </c>
      <c r="T169" s="12"/>
    </row>
    <row r="170" customFormat="false" ht="15" hidden="false" customHeight="false" outlineLevel="0" collapsed="false">
      <c r="A170" s="11"/>
      <c r="B170" s="12"/>
      <c r="C170" s="12"/>
      <c r="D170" s="12"/>
      <c r="E170" s="12"/>
      <c r="F170" s="12"/>
      <c r="G170" s="12"/>
      <c r="H170" s="12"/>
      <c r="I170" s="12"/>
      <c r="J170" s="17"/>
      <c r="K170" s="18"/>
      <c r="L170" s="17"/>
      <c r="M170" s="17"/>
      <c r="N170" s="17"/>
      <c r="O170" s="17"/>
      <c r="P170" s="17"/>
      <c r="Q170" s="17"/>
      <c r="R170" s="17"/>
      <c r="S170" s="19" t="str">
        <f aca="false">IF(OR(J170="",J170=0),"",(L170+M170+N170+O170)/J170)</f>
        <v/>
      </c>
      <c r="T170" s="12"/>
    </row>
    <row r="171" customFormat="false" ht="15" hidden="false" customHeight="false" outlineLevel="0" collapsed="false">
      <c r="A171" s="11"/>
      <c r="B171" s="12"/>
      <c r="C171" s="12"/>
      <c r="D171" s="12"/>
      <c r="E171" s="12"/>
      <c r="F171" s="12"/>
      <c r="G171" s="12"/>
      <c r="H171" s="12"/>
      <c r="I171" s="12"/>
      <c r="J171" s="17"/>
      <c r="K171" s="18"/>
      <c r="L171" s="17"/>
      <c r="M171" s="17"/>
      <c r="N171" s="17"/>
      <c r="O171" s="17"/>
      <c r="P171" s="17"/>
      <c r="Q171" s="17"/>
      <c r="R171" s="17"/>
      <c r="S171" s="19" t="str">
        <f aca="false">IF(OR(J171="",J171=0),"",(L171+M171+N171+O171)/J171)</f>
        <v/>
      </c>
      <c r="T171" s="12"/>
    </row>
    <row r="172" customFormat="false" ht="15" hidden="false" customHeight="false" outlineLevel="0" collapsed="false">
      <c r="A172" s="11"/>
      <c r="B172" s="12"/>
      <c r="C172" s="12"/>
      <c r="D172" s="12"/>
      <c r="E172" s="12"/>
      <c r="F172" s="12"/>
      <c r="G172" s="12"/>
      <c r="H172" s="12"/>
      <c r="I172" s="12"/>
      <c r="J172" s="17"/>
      <c r="K172" s="18"/>
      <c r="L172" s="17"/>
      <c r="M172" s="17"/>
      <c r="N172" s="17"/>
      <c r="O172" s="17"/>
      <c r="P172" s="17"/>
      <c r="Q172" s="17"/>
      <c r="R172" s="17"/>
      <c r="S172" s="19" t="str">
        <f aca="false">IF(OR(J172="",J172=0),"",(L172+M172+N172+O172)/J172)</f>
        <v/>
      </c>
      <c r="T172" s="12"/>
    </row>
    <row r="173" customFormat="false" ht="15" hidden="false" customHeight="false" outlineLevel="0" collapsed="false">
      <c r="A173" s="11"/>
      <c r="B173" s="12"/>
      <c r="C173" s="12"/>
      <c r="D173" s="12"/>
      <c r="E173" s="12"/>
      <c r="F173" s="12"/>
      <c r="G173" s="12"/>
      <c r="H173" s="12"/>
      <c r="I173" s="12"/>
      <c r="J173" s="17"/>
      <c r="K173" s="18"/>
      <c r="L173" s="17"/>
      <c r="M173" s="17"/>
      <c r="N173" s="17"/>
      <c r="O173" s="17"/>
      <c r="P173" s="17"/>
      <c r="Q173" s="17"/>
      <c r="R173" s="17"/>
      <c r="S173" s="19" t="str">
        <f aca="false">IF(OR(J173="",J173=0),"",(L173+M173+N173+O173)/J173)</f>
        <v/>
      </c>
      <c r="T173" s="12"/>
    </row>
    <row r="174" customFormat="false" ht="15" hidden="false" customHeight="false" outlineLevel="0" collapsed="false">
      <c r="A174" s="11"/>
      <c r="B174" s="12"/>
      <c r="C174" s="12"/>
      <c r="D174" s="12"/>
      <c r="E174" s="12"/>
      <c r="F174" s="12"/>
      <c r="G174" s="12"/>
      <c r="H174" s="12"/>
      <c r="I174" s="12"/>
      <c r="J174" s="17"/>
      <c r="K174" s="18"/>
      <c r="L174" s="17"/>
      <c r="M174" s="17"/>
      <c r="N174" s="17"/>
      <c r="O174" s="17"/>
      <c r="P174" s="17"/>
      <c r="Q174" s="17"/>
      <c r="R174" s="17"/>
      <c r="S174" s="19" t="str">
        <f aca="false">IF(OR(J174="",J174=0),"",(L174+M174+N174+O174)/J174)</f>
        <v/>
      </c>
      <c r="T174" s="12"/>
    </row>
    <row r="175" customFormat="false" ht="15" hidden="false" customHeight="false" outlineLevel="0" collapsed="false">
      <c r="A175" s="11"/>
      <c r="B175" s="12"/>
      <c r="C175" s="12"/>
      <c r="D175" s="12"/>
      <c r="E175" s="12"/>
      <c r="F175" s="12"/>
      <c r="G175" s="12"/>
      <c r="H175" s="12"/>
      <c r="I175" s="12"/>
      <c r="J175" s="17"/>
      <c r="K175" s="18"/>
      <c r="L175" s="17"/>
      <c r="M175" s="17"/>
      <c r="N175" s="17"/>
      <c r="O175" s="17"/>
      <c r="P175" s="17"/>
      <c r="Q175" s="17"/>
      <c r="R175" s="17"/>
      <c r="S175" s="19" t="str">
        <f aca="false">IF(OR(J175="",J175=0),"",(L175+M175+N175+O175)/J175)</f>
        <v/>
      </c>
      <c r="T175" s="12"/>
    </row>
    <row r="176" customFormat="false" ht="15" hidden="false" customHeight="false" outlineLevel="0" collapsed="false">
      <c r="A176" s="11"/>
      <c r="B176" s="12"/>
      <c r="C176" s="12"/>
      <c r="D176" s="12"/>
      <c r="E176" s="12"/>
      <c r="F176" s="12"/>
      <c r="G176" s="12"/>
      <c r="H176" s="12"/>
      <c r="I176" s="12"/>
      <c r="J176" s="17"/>
      <c r="K176" s="18"/>
      <c r="L176" s="17"/>
      <c r="M176" s="17"/>
      <c r="N176" s="17"/>
      <c r="O176" s="17"/>
      <c r="P176" s="17"/>
      <c r="Q176" s="17"/>
      <c r="R176" s="17"/>
      <c r="S176" s="19" t="str">
        <f aca="false">IF(OR(J176="",J176=0),"",(L176+M176+N176+O176)/J176)</f>
        <v/>
      </c>
      <c r="T176" s="12"/>
    </row>
    <row r="177" customFormat="false" ht="15" hidden="false" customHeight="false" outlineLevel="0" collapsed="false">
      <c r="A177" s="11"/>
      <c r="B177" s="12"/>
      <c r="C177" s="12"/>
      <c r="D177" s="12"/>
      <c r="E177" s="12"/>
      <c r="F177" s="12"/>
      <c r="G177" s="12"/>
      <c r="H177" s="12"/>
      <c r="I177" s="12"/>
      <c r="J177" s="17"/>
      <c r="K177" s="18"/>
      <c r="L177" s="17"/>
      <c r="M177" s="17"/>
      <c r="N177" s="17"/>
      <c r="O177" s="17"/>
      <c r="P177" s="17"/>
      <c r="Q177" s="17"/>
      <c r="R177" s="17"/>
      <c r="S177" s="19" t="str">
        <f aca="false">IF(OR(J177="",J177=0),"",(L177+M177+N177+O177)/J177)</f>
        <v/>
      </c>
      <c r="T177" s="12"/>
    </row>
    <row r="178" customFormat="false" ht="15" hidden="false" customHeight="false" outlineLevel="0" collapsed="false">
      <c r="A178" s="11"/>
      <c r="B178" s="12"/>
      <c r="C178" s="12"/>
      <c r="D178" s="12"/>
      <c r="E178" s="12"/>
      <c r="F178" s="12"/>
      <c r="G178" s="12"/>
      <c r="H178" s="12"/>
      <c r="I178" s="12"/>
      <c r="J178" s="17"/>
      <c r="K178" s="18"/>
      <c r="L178" s="17"/>
      <c r="M178" s="17"/>
      <c r="N178" s="17"/>
      <c r="O178" s="17"/>
      <c r="P178" s="17"/>
      <c r="Q178" s="17"/>
      <c r="R178" s="17"/>
      <c r="S178" s="19" t="str">
        <f aca="false">IF(OR(J178="",J178=0),"",(L178+M178+N178+O178)/J178)</f>
        <v/>
      </c>
      <c r="T178" s="12"/>
    </row>
    <row r="179" customFormat="false" ht="15" hidden="false" customHeight="false" outlineLevel="0" collapsed="false">
      <c r="A179" s="11"/>
      <c r="B179" s="12"/>
      <c r="C179" s="12"/>
      <c r="D179" s="12"/>
      <c r="E179" s="12"/>
      <c r="F179" s="12"/>
      <c r="G179" s="12"/>
      <c r="H179" s="12"/>
      <c r="I179" s="12"/>
      <c r="J179" s="17"/>
      <c r="K179" s="18"/>
      <c r="L179" s="17"/>
      <c r="M179" s="17"/>
      <c r="N179" s="17"/>
      <c r="O179" s="17"/>
      <c r="P179" s="17"/>
      <c r="Q179" s="17"/>
      <c r="R179" s="17"/>
      <c r="S179" s="19" t="str">
        <f aca="false">IF(OR(J179="",J179=0),"",(L179+M179+N179+O179)/J179)</f>
        <v/>
      </c>
      <c r="T179" s="12"/>
    </row>
    <row r="180" customFormat="false" ht="15" hidden="false" customHeight="false" outlineLevel="0" collapsed="false">
      <c r="A180" s="11"/>
      <c r="B180" s="12"/>
      <c r="C180" s="12"/>
      <c r="D180" s="12"/>
      <c r="E180" s="12"/>
      <c r="F180" s="12"/>
      <c r="G180" s="12"/>
      <c r="H180" s="12"/>
      <c r="I180" s="12"/>
      <c r="J180" s="17"/>
      <c r="K180" s="18"/>
      <c r="L180" s="17"/>
      <c r="M180" s="17"/>
      <c r="N180" s="17"/>
      <c r="O180" s="17"/>
      <c r="P180" s="17"/>
      <c r="Q180" s="17"/>
      <c r="R180" s="17"/>
      <c r="S180" s="19" t="str">
        <f aca="false">IF(OR(J180="",J180=0),"",(L180+M180+N180+O180)/J180)</f>
        <v/>
      </c>
      <c r="T180" s="12"/>
    </row>
    <row r="181" customFormat="false" ht="15" hidden="false" customHeight="false" outlineLevel="0" collapsed="false">
      <c r="A181" s="11"/>
      <c r="B181" s="12"/>
      <c r="C181" s="12"/>
      <c r="D181" s="12"/>
      <c r="E181" s="12"/>
      <c r="F181" s="12"/>
      <c r="G181" s="12"/>
      <c r="H181" s="12"/>
      <c r="I181" s="12"/>
      <c r="J181" s="17"/>
      <c r="K181" s="18"/>
      <c r="L181" s="17"/>
      <c r="M181" s="17"/>
      <c r="N181" s="17"/>
      <c r="O181" s="17"/>
      <c r="P181" s="17"/>
      <c r="Q181" s="17"/>
      <c r="R181" s="17"/>
      <c r="S181" s="19" t="str">
        <f aca="false">IF(OR(J181="",J181=0),"",(L181+M181+N181+O181)/J181)</f>
        <v/>
      </c>
      <c r="T181" s="12"/>
    </row>
    <row r="182" customFormat="false" ht="15" hidden="false" customHeight="false" outlineLevel="0" collapsed="false">
      <c r="A182" s="11"/>
      <c r="B182" s="12"/>
      <c r="C182" s="12"/>
      <c r="D182" s="12"/>
      <c r="E182" s="12"/>
      <c r="F182" s="12"/>
      <c r="G182" s="12"/>
      <c r="H182" s="12"/>
      <c r="I182" s="12"/>
      <c r="J182" s="17"/>
      <c r="K182" s="18"/>
      <c r="L182" s="17"/>
      <c r="M182" s="17"/>
      <c r="N182" s="17"/>
      <c r="O182" s="17"/>
      <c r="P182" s="17"/>
      <c r="Q182" s="17"/>
      <c r="R182" s="17"/>
      <c r="S182" s="19" t="str">
        <f aca="false">IF(OR(J182="",J182=0),"",(L182+M182+N182+O182)/J182)</f>
        <v/>
      </c>
      <c r="T182" s="12"/>
    </row>
    <row r="183" customFormat="false" ht="15" hidden="false" customHeight="false" outlineLevel="0" collapsed="false">
      <c r="A183" s="11"/>
      <c r="B183" s="12"/>
      <c r="C183" s="12"/>
      <c r="D183" s="12"/>
      <c r="E183" s="12"/>
      <c r="F183" s="12"/>
      <c r="G183" s="12"/>
      <c r="H183" s="12"/>
      <c r="I183" s="12"/>
      <c r="J183" s="17"/>
      <c r="K183" s="18"/>
      <c r="L183" s="17"/>
      <c r="M183" s="17"/>
      <c r="N183" s="17"/>
      <c r="O183" s="17"/>
      <c r="P183" s="17"/>
      <c r="Q183" s="17"/>
      <c r="R183" s="17"/>
      <c r="S183" s="19" t="str">
        <f aca="false">IF(OR(J183="",J183=0),"",(L183+M183+N183+O183)/J183)</f>
        <v/>
      </c>
      <c r="T183" s="12"/>
    </row>
    <row r="184" customFormat="false" ht="15" hidden="false" customHeight="false" outlineLevel="0" collapsed="false">
      <c r="A184" s="11"/>
      <c r="B184" s="12"/>
      <c r="C184" s="12"/>
      <c r="D184" s="12"/>
      <c r="E184" s="12"/>
      <c r="F184" s="12"/>
      <c r="G184" s="12"/>
      <c r="H184" s="12"/>
      <c r="I184" s="12"/>
      <c r="J184" s="17"/>
      <c r="K184" s="18"/>
      <c r="L184" s="17"/>
      <c r="M184" s="17"/>
      <c r="N184" s="17"/>
      <c r="O184" s="17"/>
      <c r="P184" s="17"/>
      <c r="Q184" s="17"/>
      <c r="R184" s="17"/>
      <c r="S184" s="19" t="str">
        <f aca="false">IF(OR(J184="",J184=0),"",(L184+M184+N184+O184)/J184)</f>
        <v/>
      </c>
      <c r="T184" s="12"/>
    </row>
    <row r="185" customFormat="false" ht="15" hidden="false" customHeight="false" outlineLevel="0" collapsed="false">
      <c r="A185" s="11"/>
      <c r="B185" s="12"/>
      <c r="C185" s="12"/>
      <c r="D185" s="12"/>
      <c r="E185" s="12"/>
      <c r="F185" s="12"/>
      <c r="G185" s="12"/>
      <c r="H185" s="12"/>
      <c r="I185" s="12"/>
      <c r="J185" s="17"/>
      <c r="K185" s="18"/>
      <c r="L185" s="17"/>
      <c r="M185" s="17"/>
      <c r="N185" s="17"/>
      <c r="O185" s="17"/>
      <c r="P185" s="17"/>
      <c r="Q185" s="17"/>
      <c r="R185" s="17"/>
      <c r="S185" s="19" t="str">
        <f aca="false">IF(OR(J185="",J185=0),"",(L185+M185+N185+O185)/J185)</f>
        <v/>
      </c>
      <c r="T185" s="12"/>
    </row>
    <row r="186" customFormat="false" ht="15" hidden="false" customHeight="false" outlineLevel="0" collapsed="false">
      <c r="A186" s="11"/>
      <c r="B186" s="12"/>
      <c r="C186" s="12"/>
      <c r="D186" s="12"/>
      <c r="E186" s="12"/>
      <c r="F186" s="12"/>
      <c r="G186" s="12"/>
      <c r="H186" s="12"/>
      <c r="I186" s="12"/>
      <c r="J186" s="17"/>
      <c r="K186" s="18"/>
      <c r="L186" s="17"/>
      <c r="M186" s="17"/>
      <c r="N186" s="17"/>
      <c r="O186" s="17"/>
      <c r="P186" s="17"/>
      <c r="Q186" s="17"/>
      <c r="R186" s="17"/>
      <c r="S186" s="19" t="str">
        <f aca="false">IF(OR(J186="",J186=0),"",(L186+M186+N186+O186)/J186)</f>
        <v/>
      </c>
      <c r="T186" s="12"/>
    </row>
    <row r="187" customFormat="false" ht="15" hidden="false" customHeight="false" outlineLevel="0" collapsed="false">
      <c r="A187" s="11"/>
      <c r="B187" s="12"/>
      <c r="C187" s="12"/>
      <c r="D187" s="12"/>
      <c r="E187" s="12"/>
      <c r="F187" s="12"/>
      <c r="G187" s="12"/>
      <c r="H187" s="12"/>
      <c r="I187" s="12"/>
      <c r="J187" s="17"/>
      <c r="K187" s="18"/>
      <c r="L187" s="17"/>
      <c r="M187" s="17"/>
      <c r="N187" s="17"/>
      <c r="O187" s="17"/>
      <c r="P187" s="17"/>
      <c r="Q187" s="17"/>
      <c r="R187" s="17"/>
      <c r="S187" s="19" t="str">
        <f aca="false">IF(OR(J187="",J187=0),"",(L187+M187+N187+O187)/J187)</f>
        <v/>
      </c>
      <c r="T187" s="12"/>
    </row>
    <row r="188" customFormat="false" ht="15" hidden="false" customHeight="false" outlineLevel="0" collapsed="false">
      <c r="A188" s="11"/>
      <c r="B188" s="12"/>
      <c r="C188" s="12"/>
      <c r="D188" s="12"/>
      <c r="E188" s="12"/>
      <c r="F188" s="12"/>
      <c r="G188" s="12"/>
      <c r="H188" s="12"/>
      <c r="I188" s="12"/>
      <c r="J188" s="17"/>
      <c r="K188" s="18"/>
      <c r="L188" s="17"/>
      <c r="M188" s="17"/>
      <c r="N188" s="17"/>
      <c r="O188" s="17"/>
      <c r="P188" s="17"/>
      <c r="Q188" s="17"/>
      <c r="R188" s="17"/>
      <c r="S188" s="19" t="str">
        <f aca="false">IF(OR(J188="",J188=0),"",(L188+M188+N188+O188)/J188)</f>
        <v/>
      </c>
      <c r="T188" s="12"/>
    </row>
    <row r="189" customFormat="false" ht="15" hidden="false" customHeight="false" outlineLevel="0" collapsed="false">
      <c r="A189" s="11"/>
      <c r="B189" s="12"/>
      <c r="C189" s="12"/>
      <c r="D189" s="12"/>
      <c r="E189" s="12"/>
      <c r="F189" s="12"/>
      <c r="G189" s="12"/>
      <c r="H189" s="12"/>
      <c r="I189" s="12"/>
      <c r="J189" s="17"/>
      <c r="K189" s="18"/>
      <c r="L189" s="17"/>
      <c r="M189" s="17"/>
      <c r="N189" s="17"/>
      <c r="O189" s="17"/>
      <c r="P189" s="17"/>
      <c r="Q189" s="17"/>
      <c r="R189" s="17"/>
      <c r="S189" s="19" t="str">
        <f aca="false">IF(OR(J189="",J189=0),"",(L189+M189+N189+O189)/J189)</f>
        <v/>
      </c>
      <c r="T189" s="12"/>
    </row>
    <row r="190" customFormat="false" ht="15" hidden="false" customHeight="false" outlineLevel="0" collapsed="false">
      <c r="A190" s="11"/>
      <c r="B190" s="12"/>
      <c r="C190" s="12"/>
      <c r="D190" s="12"/>
      <c r="E190" s="12"/>
      <c r="F190" s="12"/>
      <c r="G190" s="12"/>
      <c r="H190" s="12"/>
      <c r="I190" s="12"/>
      <c r="J190" s="17"/>
      <c r="K190" s="18"/>
      <c r="L190" s="17"/>
      <c r="M190" s="17"/>
      <c r="N190" s="17"/>
      <c r="O190" s="17"/>
      <c r="P190" s="17"/>
      <c r="Q190" s="17"/>
      <c r="R190" s="17"/>
      <c r="S190" s="19" t="str">
        <f aca="false">IF(OR(J190="",J190=0),"",(L190+M190+N190+O190)/J190)</f>
        <v/>
      </c>
      <c r="T190" s="12"/>
    </row>
    <row r="191" customFormat="false" ht="15" hidden="false" customHeight="false" outlineLevel="0" collapsed="false">
      <c r="A191" s="11"/>
      <c r="B191" s="12"/>
      <c r="C191" s="12"/>
      <c r="D191" s="12"/>
      <c r="E191" s="12"/>
      <c r="F191" s="12"/>
      <c r="G191" s="12"/>
      <c r="H191" s="12"/>
      <c r="I191" s="12"/>
      <c r="J191" s="17"/>
      <c r="K191" s="18"/>
      <c r="L191" s="17"/>
      <c r="M191" s="17"/>
      <c r="N191" s="17"/>
      <c r="O191" s="17"/>
      <c r="P191" s="17"/>
      <c r="Q191" s="17"/>
      <c r="R191" s="17"/>
      <c r="S191" s="19" t="str">
        <f aca="false">IF(OR(J191="",J191=0),"",(L191+M191+N191+O191)/J191)</f>
        <v/>
      </c>
      <c r="T191" s="12"/>
    </row>
    <row r="192" customFormat="false" ht="15" hidden="false" customHeight="false" outlineLevel="0" collapsed="false">
      <c r="A192" s="11"/>
      <c r="B192" s="12"/>
      <c r="C192" s="12"/>
      <c r="D192" s="12"/>
      <c r="E192" s="12"/>
      <c r="F192" s="12"/>
      <c r="G192" s="12"/>
      <c r="H192" s="12"/>
      <c r="I192" s="12"/>
      <c r="J192" s="17"/>
      <c r="K192" s="18"/>
      <c r="L192" s="17"/>
      <c r="M192" s="17"/>
      <c r="N192" s="17"/>
      <c r="O192" s="17"/>
      <c r="P192" s="17"/>
      <c r="Q192" s="17"/>
      <c r="R192" s="17"/>
      <c r="S192" s="19" t="str">
        <f aca="false">IF(OR(J192="",J192=0),"",(L192+M192+N192+O192)/J192)</f>
        <v/>
      </c>
      <c r="T192" s="12"/>
    </row>
    <row r="193" customFormat="false" ht="15" hidden="false" customHeight="false" outlineLevel="0" collapsed="false">
      <c r="A193" s="11"/>
      <c r="B193" s="12"/>
      <c r="C193" s="12"/>
      <c r="D193" s="12"/>
      <c r="E193" s="12"/>
      <c r="F193" s="12"/>
      <c r="G193" s="12"/>
      <c r="H193" s="12"/>
      <c r="I193" s="12"/>
      <c r="J193" s="17"/>
      <c r="K193" s="18"/>
      <c r="L193" s="17"/>
      <c r="M193" s="17"/>
      <c r="N193" s="17"/>
      <c r="O193" s="17"/>
      <c r="P193" s="17"/>
      <c r="Q193" s="17"/>
      <c r="R193" s="17"/>
      <c r="S193" s="19" t="str">
        <f aca="false">IF(OR(J193="",J193=0),"",(L193+M193+N193+O193)/J193)</f>
        <v/>
      </c>
      <c r="T193" s="12"/>
    </row>
    <row r="194" customFormat="false" ht="15" hidden="false" customHeight="false" outlineLevel="0" collapsed="false">
      <c r="A194" s="11"/>
      <c r="B194" s="12"/>
      <c r="C194" s="12"/>
      <c r="D194" s="12"/>
      <c r="E194" s="12"/>
      <c r="F194" s="12"/>
      <c r="G194" s="12"/>
      <c r="H194" s="12"/>
      <c r="I194" s="12"/>
      <c r="J194" s="17"/>
      <c r="K194" s="18"/>
      <c r="L194" s="17"/>
      <c r="M194" s="17"/>
      <c r="N194" s="17"/>
      <c r="O194" s="17"/>
      <c r="P194" s="17"/>
      <c r="Q194" s="17"/>
      <c r="R194" s="17"/>
      <c r="S194" s="19" t="str">
        <f aca="false">IF(OR(J194="",J194=0),"",(L194+M194+N194+O194)/J194)</f>
        <v/>
      </c>
      <c r="T194" s="12"/>
    </row>
    <row r="195" customFormat="false" ht="15" hidden="false" customHeight="false" outlineLevel="0" collapsed="false">
      <c r="A195" s="11"/>
      <c r="B195" s="12"/>
      <c r="C195" s="12"/>
      <c r="D195" s="12"/>
      <c r="E195" s="12"/>
      <c r="F195" s="12"/>
      <c r="G195" s="12"/>
      <c r="H195" s="12"/>
      <c r="I195" s="12"/>
      <c r="J195" s="17"/>
      <c r="K195" s="18"/>
      <c r="L195" s="17"/>
      <c r="M195" s="17"/>
      <c r="N195" s="17"/>
      <c r="O195" s="17"/>
      <c r="P195" s="17"/>
      <c r="Q195" s="17"/>
      <c r="R195" s="17"/>
      <c r="S195" s="19" t="str">
        <f aca="false">IF(OR(J195="",J195=0),"",(L195+M195+N195+O195)/J195)</f>
        <v/>
      </c>
      <c r="T195" s="12"/>
    </row>
    <row r="196" customFormat="false" ht="15" hidden="false" customHeight="false" outlineLevel="0" collapsed="false">
      <c r="A196" s="11"/>
      <c r="B196" s="12"/>
      <c r="C196" s="12"/>
      <c r="D196" s="12"/>
      <c r="E196" s="12"/>
      <c r="F196" s="12"/>
      <c r="G196" s="12"/>
      <c r="H196" s="12"/>
      <c r="I196" s="12"/>
      <c r="J196" s="17"/>
      <c r="K196" s="18"/>
      <c r="L196" s="17"/>
      <c r="M196" s="17"/>
      <c r="N196" s="17"/>
      <c r="O196" s="17"/>
      <c r="P196" s="17"/>
      <c r="Q196" s="17"/>
      <c r="R196" s="17"/>
      <c r="S196" s="19" t="str">
        <f aca="false">IF(OR(J196="",J196=0),"",(L196+M196+N196+O196)/J196)</f>
        <v/>
      </c>
      <c r="T196" s="12"/>
    </row>
    <row r="197" customFormat="false" ht="15" hidden="false" customHeight="false" outlineLevel="0" collapsed="false">
      <c r="A197" s="11"/>
      <c r="B197" s="12"/>
      <c r="C197" s="12"/>
      <c r="D197" s="12"/>
      <c r="E197" s="12"/>
      <c r="F197" s="12"/>
      <c r="G197" s="12"/>
      <c r="H197" s="12"/>
      <c r="I197" s="12"/>
      <c r="J197" s="17"/>
      <c r="K197" s="18"/>
      <c r="L197" s="17"/>
      <c r="M197" s="17"/>
      <c r="N197" s="17"/>
      <c r="O197" s="17"/>
      <c r="P197" s="17"/>
      <c r="Q197" s="17"/>
      <c r="R197" s="17"/>
      <c r="S197" s="19" t="str">
        <f aca="false">IF(OR(J197="",J197=0),"",(L197+M197+N197+O197)/J197)</f>
        <v/>
      </c>
      <c r="T197" s="12"/>
    </row>
    <row r="198" customFormat="false" ht="15" hidden="false" customHeight="false" outlineLevel="0" collapsed="false">
      <c r="A198" s="11"/>
      <c r="B198" s="12"/>
      <c r="C198" s="12"/>
      <c r="D198" s="12"/>
      <c r="E198" s="12"/>
      <c r="F198" s="12"/>
      <c r="G198" s="12"/>
      <c r="H198" s="12"/>
      <c r="I198" s="12"/>
      <c r="J198" s="17"/>
      <c r="K198" s="18"/>
      <c r="L198" s="17"/>
      <c r="M198" s="17"/>
      <c r="N198" s="17"/>
      <c r="O198" s="17"/>
      <c r="P198" s="17"/>
      <c r="Q198" s="17"/>
      <c r="R198" s="17"/>
      <c r="S198" s="19" t="str">
        <f aca="false">IF(OR(J198="",J198=0),"",(L198+M198+N198+O198)/J198)</f>
        <v/>
      </c>
      <c r="T198" s="12"/>
    </row>
    <row r="199" customFormat="false" ht="15" hidden="false" customHeight="false" outlineLevel="0" collapsed="false">
      <c r="A199" s="11"/>
      <c r="B199" s="12"/>
      <c r="C199" s="12"/>
      <c r="D199" s="12"/>
      <c r="E199" s="12"/>
      <c r="F199" s="12"/>
      <c r="G199" s="12"/>
      <c r="H199" s="12"/>
      <c r="I199" s="12"/>
      <c r="J199" s="17"/>
      <c r="K199" s="18"/>
      <c r="L199" s="17"/>
      <c r="M199" s="17"/>
      <c r="N199" s="17"/>
      <c r="O199" s="17"/>
      <c r="P199" s="17"/>
      <c r="Q199" s="17"/>
      <c r="R199" s="17"/>
      <c r="S199" s="19" t="str">
        <f aca="false">IF(OR(J199="",J199=0),"",(L199+M199+N199+O199)/J199)</f>
        <v/>
      </c>
      <c r="T199" s="12"/>
    </row>
    <row r="200" customFormat="false" ht="15" hidden="false" customHeight="false" outlineLevel="0" collapsed="false">
      <c r="A200" s="11"/>
      <c r="B200" s="12"/>
      <c r="C200" s="12"/>
      <c r="D200" s="12"/>
      <c r="E200" s="12"/>
      <c r="F200" s="12"/>
      <c r="G200" s="12"/>
      <c r="H200" s="12"/>
      <c r="I200" s="12"/>
      <c r="J200" s="17"/>
      <c r="K200" s="18"/>
      <c r="L200" s="17"/>
      <c r="M200" s="17"/>
      <c r="N200" s="17"/>
      <c r="O200" s="17"/>
      <c r="P200" s="17"/>
      <c r="Q200" s="17"/>
      <c r="R200" s="17"/>
      <c r="S200" s="19" t="str">
        <f aca="false">IF(OR(J200="",J200=0),"",(L200+M200+N200+O200)/J200)</f>
        <v/>
      </c>
      <c r="T200" s="12"/>
    </row>
    <row r="201" customFormat="false" ht="15" hidden="false" customHeight="false" outlineLevel="0" collapsed="false">
      <c r="A201" s="11"/>
      <c r="B201" s="12"/>
      <c r="C201" s="12"/>
      <c r="D201" s="12"/>
      <c r="E201" s="12"/>
      <c r="F201" s="12"/>
      <c r="G201" s="12"/>
      <c r="H201" s="12"/>
      <c r="I201" s="12"/>
      <c r="J201" s="17"/>
      <c r="K201" s="18"/>
      <c r="L201" s="17"/>
      <c r="M201" s="17"/>
      <c r="N201" s="17"/>
      <c r="O201" s="17"/>
      <c r="P201" s="17"/>
      <c r="Q201" s="17"/>
      <c r="R201" s="17"/>
      <c r="S201" s="19" t="str">
        <f aca="false">IF(OR(J201="",J201=0),"",(L201+M201+N201+O201)/J201)</f>
        <v/>
      </c>
      <c r="T201" s="12"/>
    </row>
    <row r="202" customFormat="false" ht="15" hidden="false" customHeight="false" outlineLevel="0" collapsed="false">
      <c r="A202" s="11"/>
      <c r="B202" s="12"/>
      <c r="C202" s="12"/>
      <c r="D202" s="12"/>
      <c r="E202" s="12"/>
      <c r="F202" s="12"/>
      <c r="G202" s="12"/>
      <c r="H202" s="12"/>
      <c r="I202" s="12"/>
      <c r="J202" s="17"/>
      <c r="K202" s="18"/>
      <c r="L202" s="17"/>
      <c r="M202" s="17"/>
      <c r="N202" s="17"/>
      <c r="O202" s="17"/>
      <c r="P202" s="17"/>
      <c r="Q202" s="17"/>
      <c r="R202" s="17"/>
      <c r="S202" s="19" t="str">
        <f aca="false">IF(OR(J202="",J202=0),"",(L202+M202+N202+O202)/J202)</f>
        <v/>
      </c>
      <c r="T202" s="12"/>
    </row>
    <row r="203" customFormat="false" ht="15" hidden="false" customHeight="false" outlineLevel="0" collapsed="false">
      <c r="A203" s="11"/>
      <c r="B203" s="12"/>
      <c r="C203" s="12"/>
      <c r="D203" s="12"/>
      <c r="E203" s="12"/>
      <c r="F203" s="12"/>
      <c r="G203" s="12"/>
      <c r="H203" s="12"/>
      <c r="I203" s="12"/>
      <c r="J203" s="17"/>
      <c r="K203" s="18"/>
      <c r="L203" s="17"/>
      <c r="M203" s="17"/>
      <c r="N203" s="17"/>
      <c r="O203" s="17"/>
      <c r="P203" s="17"/>
      <c r="Q203" s="17"/>
      <c r="R203" s="17"/>
      <c r="S203" s="19" t="str">
        <f aca="false">IF(OR(J203="",J203=0),"",(L203+M203+N203+O203)/J203)</f>
        <v/>
      </c>
      <c r="T203" s="12"/>
    </row>
    <row r="204" customFormat="false" ht="15" hidden="false" customHeight="false" outlineLevel="0" collapsed="false">
      <c r="A204" s="11"/>
      <c r="B204" s="12"/>
      <c r="C204" s="12"/>
      <c r="D204" s="12"/>
      <c r="E204" s="12"/>
      <c r="F204" s="12"/>
      <c r="G204" s="12"/>
      <c r="H204" s="12"/>
      <c r="I204" s="12"/>
      <c r="J204" s="17"/>
      <c r="K204" s="18"/>
      <c r="L204" s="17"/>
      <c r="M204" s="17"/>
      <c r="N204" s="17"/>
      <c r="O204" s="17"/>
      <c r="P204" s="17"/>
      <c r="Q204" s="17"/>
      <c r="R204" s="17"/>
      <c r="S204" s="19" t="str">
        <f aca="false">IF(OR(J204="",J204=0),"",(L204+M204+N204+O204)/J204)</f>
        <v/>
      </c>
      <c r="T204" s="12"/>
    </row>
    <row r="205" customFormat="false" ht="15" hidden="false" customHeight="false" outlineLevel="0" collapsed="false">
      <c r="A205" s="11"/>
      <c r="B205" s="12"/>
      <c r="C205" s="12"/>
      <c r="D205" s="12"/>
      <c r="E205" s="12"/>
      <c r="F205" s="12"/>
      <c r="G205" s="12"/>
      <c r="H205" s="12"/>
      <c r="I205" s="12"/>
      <c r="J205" s="17"/>
      <c r="K205" s="18"/>
      <c r="L205" s="17"/>
      <c r="M205" s="17"/>
      <c r="N205" s="17"/>
      <c r="O205" s="17"/>
      <c r="P205" s="17"/>
      <c r="Q205" s="17"/>
      <c r="R205" s="17"/>
      <c r="S205" s="19" t="str">
        <f aca="false">IF(OR(J205="",J205=0),"",(L205+M205+N205+O205)/J205)</f>
        <v/>
      </c>
      <c r="T205" s="12"/>
    </row>
    <row r="206" customFormat="false" ht="15" hidden="false" customHeight="false" outlineLevel="0" collapsed="false">
      <c r="A206" s="11"/>
      <c r="B206" s="12"/>
      <c r="C206" s="12"/>
      <c r="D206" s="12"/>
      <c r="E206" s="12"/>
      <c r="F206" s="12"/>
      <c r="G206" s="12"/>
      <c r="H206" s="12"/>
      <c r="I206" s="12"/>
      <c r="J206" s="17"/>
      <c r="K206" s="18"/>
      <c r="L206" s="17"/>
      <c r="M206" s="17"/>
      <c r="N206" s="17"/>
      <c r="O206" s="17"/>
      <c r="P206" s="17"/>
      <c r="Q206" s="17"/>
      <c r="R206" s="17"/>
      <c r="S206" s="19" t="str">
        <f aca="false">IF(OR(J206="",J206=0),"",(L206+M206+N206+O206)/J206)</f>
        <v/>
      </c>
      <c r="T206" s="12"/>
    </row>
    <row r="207" customFormat="false" ht="15" hidden="false" customHeight="false" outlineLevel="0" collapsed="false">
      <c r="A207" s="11"/>
      <c r="B207" s="12"/>
      <c r="C207" s="12"/>
      <c r="D207" s="12"/>
      <c r="E207" s="12"/>
      <c r="F207" s="12"/>
      <c r="G207" s="12"/>
      <c r="H207" s="12"/>
      <c r="I207" s="12"/>
      <c r="J207" s="17"/>
      <c r="K207" s="18"/>
      <c r="L207" s="17"/>
      <c r="M207" s="17"/>
      <c r="N207" s="17"/>
      <c r="O207" s="17"/>
      <c r="P207" s="17"/>
      <c r="Q207" s="17"/>
      <c r="R207" s="17"/>
      <c r="S207" s="19" t="str">
        <f aca="false">IF(OR(J207="",J207=0),"",(L207+M207+N207+O207)/J207)</f>
        <v/>
      </c>
      <c r="T207" s="12"/>
    </row>
    <row r="208" customFormat="false" ht="15" hidden="false" customHeight="false" outlineLevel="0" collapsed="false">
      <c r="A208" s="11"/>
      <c r="B208" s="12"/>
      <c r="C208" s="12"/>
      <c r="D208" s="12"/>
      <c r="E208" s="12"/>
      <c r="F208" s="12"/>
      <c r="G208" s="12"/>
      <c r="H208" s="12"/>
      <c r="I208" s="12"/>
      <c r="J208" s="17"/>
      <c r="K208" s="18"/>
      <c r="L208" s="17"/>
      <c r="M208" s="17"/>
      <c r="N208" s="17"/>
      <c r="O208" s="17"/>
      <c r="P208" s="17"/>
      <c r="Q208" s="17"/>
      <c r="R208" s="17"/>
      <c r="S208" s="19" t="str">
        <f aca="false">IF(OR(J208="",J208=0),"",(L208+M208+N208+O208)/J208)</f>
        <v/>
      </c>
      <c r="T208" s="12"/>
    </row>
    <row r="209" customFormat="false" ht="15" hidden="false" customHeight="false" outlineLevel="0" collapsed="false">
      <c r="A209" s="11"/>
      <c r="B209" s="12"/>
      <c r="C209" s="12"/>
      <c r="D209" s="12"/>
      <c r="E209" s="12"/>
      <c r="F209" s="12"/>
      <c r="G209" s="12"/>
      <c r="H209" s="12"/>
      <c r="I209" s="12"/>
      <c r="J209" s="17"/>
      <c r="K209" s="18"/>
      <c r="L209" s="17"/>
      <c r="M209" s="17"/>
      <c r="N209" s="17"/>
      <c r="O209" s="17"/>
      <c r="P209" s="17"/>
      <c r="Q209" s="17"/>
      <c r="R209" s="17"/>
      <c r="S209" s="19" t="str">
        <f aca="false">IF(OR(J209="",J209=0),"",(L209+M209+N209+O209)/J209)</f>
        <v/>
      </c>
      <c r="T209" s="12"/>
    </row>
    <row r="210" customFormat="false" ht="15" hidden="false" customHeight="false" outlineLevel="0" collapsed="false">
      <c r="A210" s="11"/>
      <c r="B210" s="12"/>
      <c r="C210" s="12"/>
      <c r="D210" s="12"/>
      <c r="E210" s="12"/>
      <c r="F210" s="12"/>
      <c r="G210" s="12"/>
      <c r="H210" s="12"/>
      <c r="I210" s="12"/>
      <c r="J210" s="17"/>
      <c r="K210" s="18"/>
      <c r="L210" s="17"/>
      <c r="M210" s="17"/>
      <c r="N210" s="17"/>
      <c r="O210" s="17"/>
      <c r="P210" s="17"/>
      <c r="Q210" s="17"/>
      <c r="R210" s="17"/>
      <c r="S210" s="19" t="str">
        <f aca="false">IF(OR(J210="",J210=0),"",(L210+M210+N210+O210)/J210)</f>
        <v/>
      </c>
      <c r="T210" s="12"/>
    </row>
    <row r="211" customFormat="false" ht="15" hidden="false" customHeight="false" outlineLevel="0" collapsed="false">
      <c r="A211" s="11"/>
      <c r="B211" s="12"/>
      <c r="C211" s="12"/>
      <c r="D211" s="12"/>
      <c r="E211" s="12"/>
      <c r="F211" s="12"/>
      <c r="G211" s="12"/>
      <c r="H211" s="12"/>
      <c r="I211" s="12"/>
      <c r="J211" s="17"/>
      <c r="K211" s="18"/>
      <c r="L211" s="17"/>
      <c r="M211" s="17"/>
      <c r="N211" s="17"/>
      <c r="O211" s="17"/>
      <c r="P211" s="17"/>
      <c r="Q211" s="17"/>
      <c r="R211" s="17"/>
      <c r="S211" s="19" t="str">
        <f aca="false">IF(OR(J211="",J211=0),"",(L211+M211+N211+O211)/J211)</f>
        <v/>
      </c>
      <c r="T211" s="12"/>
    </row>
    <row r="212" customFormat="false" ht="15" hidden="false" customHeight="false" outlineLevel="0" collapsed="false">
      <c r="A212" s="11"/>
      <c r="B212" s="12"/>
      <c r="C212" s="12"/>
      <c r="D212" s="12"/>
      <c r="E212" s="12"/>
      <c r="F212" s="12"/>
      <c r="G212" s="12"/>
      <c r="H212" s="12"/>
      <c r="I212" s="12"/>
      <c r="J212" s="17"/>
      <c r="K212" s="18"/>
      <c r="L212" s="17"/>
      <c r="M212" s="17"/>
      <c r="N212" s="17"/>
      <c r="O212" s="17"/>
      <c r="P212" s="17"/>
      <c r="Q212" s="17"/>
      <c r="R212" s="17"/>
      <c r="S212" s="19" t="str">
        <f aca="false">IF(OR(J212="",J212=0),"",(L212+M212+N212+O212)/J212)</f>
        <v/>
      </c>
      <c r="T212" s="12"/>
    </row>
    <row r="213" customFormat="false" ht="15" hidden="false" customHeight="false" outlineLevel="0" collapsed="false">
      <c r="A213" s="11"/>
      <c r="B213" s="12"/>
      <c r="C213" s="12"/>
      <c r="D213" s="12"/>
      <c r="E213" s="12"/>
      <c r="F213" s="12"/>
      <c r="G213" s="12"/>
      <c r="H213" s="12"/>
      <c r="I213" s="12"/>
      <c r="J213" s="17"/>
      <c r="K213" s="18"/>
      <c r="L213" s="17"/>
      <c r="M213" s="17"/>
      <c r="N213" s="17"/>
      <c r="O213" s="17"/>
      <c r="P213" s="17"/>
      <c r="Q213" s="17"/>
      <c r="R213" s="17"/>
      <c r="S213" s="19" t="str">
        <f aca="false">IF(OR(J213="",J213=0),"",(L213+M213+N213+O213)/J213)</f>
        <v/>
      </c>
      <c r="T213" s="12"/>
    </row>
    <row r="214" customFormat="false" ht="15" hidden="false" customHeight="false" outlineLevel="0" collapsed="false">
      <c r="A214" s="11"/>
      <c r="B214" s="12"/>
      <c r="C214" s="12"/>
      <c r="D214" s="12"/>
      <c r="E214" s="12"/>
      <c r="F214" s="12"/>
      <c r="G214" s="12"/>
      <c r="H214" s="12"/>
      <c r="I214" s="12"/>
      <c r="J214" s="17"/>
      <c r="K214" s="18"/>
      <c r="L214" s="17"/>
      <c r="M214" s="17"/>
      <c r="N214" s="17"/>
      <c r="O214" s="17"/>
      <c r="P214" s="17"/>
      <c r="Q214" s="17"/>
      <c r="R214" s="17"/>
      <c r="S214" s="19" t="str">
        <f aca="false">IF(OR(J214="",J214=0),"",(L214+M214+N214+O214)/J214)</f>
        <v/>
      </c>
      <c r="T214" s="12"/>
    </row>
    <row r="215" customFormat="false" ht="15" hidden="false" customHeight="false" outlineLevel="0" collapsed="false">
      <c r="A215" s="11"/>
      <c r="B215" s="12"/>
      <c r="C215" s="12"/>
      <c r="D215" s="12"/>
      <c r="E215" s="12"/>
      <c r="F215" s="12"/>
      <c r="G215" s="12"/>
      <c r="H215" s="12"/>
      <c r="I215" s="12"/>
      <c r="J215" s="17"/>
      <c r="K215" s="18"/>
      <c r="L215" s="17"/>
      <c r="M215" s="17"/>
      <c r="N215" s="17"/>
      <c r="O215" s="17"/>
      <c r="P215" s="17"/>
      <c r="Q215" s="17"/>
      <c r="R215" s="17"/>
      <c r="S215" s="19" t="str">
        <f aca="false">IF(OR(J215="",J215=0),"",(L215+M215+N215+O215)/J215)</f>
        <v/>
      </c>
      <c r="T215" s="12"/>
    </row>
    <row r="216" customFormat="false" ht="15" hidden="false" customHeight="false" outlineLevel="0" collapsed="false">
      <c r="A216" s="11"/>
      <c r="B216" s="12"/>
      <c r="C216" s="12"/>
      <c r="D216" s="12"/>
      <c r="E216" s="12"/>
      <c r="F216" s="12"/>
      <c r="G216" s="12"/>
      <c r="H216" s="12"/>
      <c r="I216" s="12"/>
      <c r="J216" s="17"/>
      <c r="K216" s="18"/>
      <c r="L216" s="17"/>
      <c r="M216" s="17"/>
      <c r="N216" s="17"/>
      <c r="O216" s="17"/>
      <c r="P216" s="17"/>
      <c r="Q216" s="17"/>
      <c r="R216" s="17"/>
      <c r="S216" s="19" t="str">
        <f aca="false">IF(OR(J216="",J216=0),"",(L216+M216+N216+O216)/J216)</f>
        <v/>
      </c>
      <c r="T216" s="12"/>
    </row>
    <row r="217" customFormat="false" ht="15" hidden="false" customHeight="false" outlineLevel="0" collapsed="false">
      <c r="A217" s="11"/>
      <c r="B217" s="12"/>
      <c r="C217" s="12"/>
      <c r="D217" s="12"/>
      <c r="E217" s="12"/>
      <c r="F217" s="12"/>
      <c r="G217" s="12"/>
      <c r="H217" s="12"/>
      <c r="I217" s="12"/>
      <c r="J217" s="17"/>
      <c r="K217" s="18"/>
      <c r="L217" s="17"/>
      <c r="M217" s="17"/>
      <c r="N217" s="17"/>
      <c r="O217" s="17"/>
      <c r="P217" s="17"/>
      <c r="Q217" s="17"/>
      <c r="R217" s="17"/>
      <c r="S217" s="19" t="str">
        <f aca="false">IF(OR(J217="",J217=0),"",(L217+M217+N217+O217)/J217)</f>
        <v/>
      </c>
      <c r="T217" s="12"/>
    </row>
    <row r="218" customFormat="false" ht="15" hidden="false" customHeight="false" outlineLevel="0" collapsed="false">
      <c r="A218" s="11"/>
      <c r="B218" s="12"/>
      <c r="C218" s="12"/>
      <c r="D218" s="12"/>
      <c r="E218" s="12"/>
      <c r="F218" s="12"/>
      <c r="G218" s="12"/>
      <c r="H218" s="12"/>
      <c r="I218" s="12"/>
      <c r="J218" s="17"/>
      <c r="K218" s="18"/>
      <c r="L218" s="17"/>
      <c r="M218" s="17"/>
      <c r="N218" s="17"/>
      <c r="O218" s="17"/>
      <c r="P218" s="17"/>
      <c r="Q218" s="17"/>
      <c r="R218" s="17"/>
      <c r="S218" s="19" t="str">
        <f aca="false">IF(OR(J218="",J218=0),"",(L218+M218+N218+O218)/J218)</f>
        <v/>
      </c>
      <c r="T218" s="12"/>
    </row>
    <row r="219" customFormat="false" ht="15" hidden="false" customHeight="false" outlineLevel="0" collapsed="false">
      <c r="A219" s="11"/>
      <c r="B219" s="12"/>
      <c r="C219" s="12"/>
      <c r="D219" s="12"/>
      <c r="E219" s="12"/>
      <c r="F219" s="12"/>
      <c r="G219" s="12"/>
      <c r="H219" s="12"/>
      <c r="I219" s="12"/>
      <c r="J219" s="17"/>
      <c r="K219" s="18"/>
      <c r="L219" s="17"/>
      <c r="M219" s="17"/>
      <c r="N219" s="17"/>
      <c r="O219" s="17"/>
      <c r="P219" s="17"/>
      <c r="Q219" s="17"/>
      <c r="R219" s="17"/>
      <c r="S219" s="19" t="str">
        <f aca="false">IF(OR(J219="",J219=0),"",(L219+M219+N219+O219)/J219)</f>
        <v/>
      </c>
      <c r="T219" s="12"/>
    </row>
    <row r="220" customFormat="false" ht="15" hidden="false" customHeight="false" outlineLevel="0" collapsed="false">
      <c r="A220" s="11"/>
      <c r="B220" s="12"/>
      <c r="C220" s="12"/>
      <c r="D220" s="12"/>
      <c r="E220" s="12"/>
      <c r="F220" s="12"/>
      <c r="G220" s="12"/>
      <c r="H220" s="12"/>
      <c r="I220" s="12"/>
      <c r="J220" s="17"/>
      <c r="K220" s="18"/>
      <c r="L220" s="17"/>
      <c r="M220" s="17"/>
      <c r="N220" s="17"/>
      <c r="O220" s="17"/>
      <c r="P220" s="17"/>
      <c r="Q220" s="17"/>
      <c r="R220" s="17"/>
      <c r="S220" s="19" t="str">
        <f aca="false">IF(OR(J220="",J220=0),"",(L220+M220+N220+O220)/J220)</f>
        <v/>
      </c>
      <c r="T220" s="12"/>
    </row>
    <row r="221" customFormat="false" ht="15" hidden="false" customHeight="false" outlineLevel="0" collapsed="false">
      <c r="A221" s="11"/>
      <c r="B221" s="12"/>
      <c r="C221" s="12"/>
      <c r="D221" s="12"/>
      <c r="E221" s="12"/>
      <c r="F221" s="12"/>
      <c r="G221" s="12"/>
      <c r="H221" s="12"/>
      <c r="I221" s="12"/>
      <c r="J221" s="17"/>
      <c r="K221" s="18"/>
      <c r="L221" s="17"/>
      <c r="M221" s="17"/>
      <c r="N221" s="17"/>
      <c r="O221" s="17"/>
      <c r="P221" s="17"/>
      <c r="Q221" s="17"/>
      <c r="R221" s="17"/>
      <c r="S221" s="19" t="str">
        <f aca="false">IF(OR(J221="",J221=0),"",(L221+M221+N221+O221)/J221)</f>
        <v/>
      </c>
      <c r="T221" s="12"/>
    </row>
    <row r="222" customFormat="false" ht="15" hidden="false" customHeight="false" outlineLevel="0" collapsed="false">
      <c r="A222" s="11"/>
      <c r="B222" s="12"/>
      <c r="C222" s="12"/>
      <c r="D222" s="12"/>
      <c r="E222" s="12"/>
      <c r="F222" s="12"/>
      <c r="G222" s="12"/>
      <c r="H222" s="12"/>
      <c r="I222" s="12"/>
      <c r="J222" s="17"/>
      <c r="K222" s="18"/>
      <c r="L222" s="17"/>
      <c r="M222" s="17"/>
      <c r="N222" s="17"/>
      <c r="O222" s="17"/>
      <c r="P222" s="17"/>
      <c r="Q222" s="17"/>
      <c r="R222" s="17"/>
      <c r="S222" s="19" t="str">
        <f aca="false">IF(OR(J222="",J222=0),"",(L222+M222+N222+O222)/J222)</f>
        <v/>
      </c>
      <c r="T222" s="12"/>
    </row>
    <row r="223" customFormat="false" ht="15" hidden="false" customHeight="false" outlineLevel="0" collapsed="false">
      <c r="A223" s="11"/>
      <c r="B223" s="12"/>
      <c r="C223" s="12"/>
      <c r="D223" s="12"/>
      <c r="E223" s="12"/>
      <c r="F223" s="12"/>
      <c r="G223" s="12"/>
      <c r="H223" s="12"/>
      <c r="I223" s="12"/>
      <c r="J223" s="17"/>
      <c r="K223" s="18"/>
      <c r="L223" s="17"/>
      <c r="M223" s="17"/>
      <c r="N223" s="17"/>
      <c r="O223" s="17"/>
      <c r="P223" s="17"/>
      <c r="Q223" s="17"/>
      <c r="R223" s="17"/>
      <c r="S223" s="19" t="str">
        <f aca="false">IF(OR(J223="",J223=0),"",(L223+M223+N223+O223)/J223)</f>
        <v/>
      </c>
      <c r="T223" s="12"/>
    </row>
    <row r="224" customFormat="false" ht="15" hidden="false" customHeight="false" outlineLevel="0" collapsed="false">
      <c r="A224" s="11"/>
      <c r="B224" s="12"/>
      <c r="C224" s="12"/>
      <c r="D224" s="12"/>
      <c r="E224" s="12"/>
      <c r="F224" s="12"/>
      <c r="G224" s="12"/>
      <c r="H224" s="12"/>
      <c r="I224" s="12"/>
      <c r="J224" s="17"/>
      <c r="K224" s="18"/>
      <c r="L224" s="17"/>
      <c r="M224" s="17"/>
      <c r="N224" s="17"/>
      <c r="O224" s="17"/>
      <c r="P224" s="17"/>
      <c r="Q224" s="17"/>
      <c r="R224" s="17"/>
      <c r="S224" s="19" t="str">
        <f aca="false">IF(OR(J224="",J224=0),"",(L224+M224+N224+O224)/J224)</f>
        <v/>
      </c>
      <c r="T224" s="12"/>
    </row>
    <row r="225" customFormat="false" ht="15" hidden="false" customHeight="false" outlineLevel="0" collapsed="false">
      <c r="A225" s="11"/>
      <c r="B225" s="12"/>
      <c r="C225" s="12"/>
      <c r="D225" s="12"/>
      <c r="E225" s="12"/>
      <c r="F225" s="12"/>
      <c r="G225" s="12"/>
      <c r="H225" s="12"/>
      <c r="I225" s="12"/>
      <c r="J225" s="17"/>
      <c r="K225" s="18"/>
      <c r="L225" s="17"/>
      <c r="M225" s="17"/>
      <c r="N225" s="17"/>
      <c r="O225" s="17"/>
      <c r="P225" s="17"/>
      <c r="Q225" s="17"/>
      <c r="R225" s="17"/>
      <c r="S225" s="19" t="str">
        <f aca="false">IF(OR(J225="",J225=0),"",(L225+M225+N225+O225)/J225)</f>
        <v/>
      </c>
      <c r="T225" s="12"/>
    </row>
    <row r="226" customFormat="false" ht="15" hidden="false" customHeight="false" outlineLevel="0" collapsed="false">
      <c r="A226" s="11"/>
      <c r="B226" s="12"/>
      <c r="C226" s="12"/>
      <c r="D226" s="12"/>
      <c r="E226" s="12"/>
      <c r="F226" s="12"/>
      <c r="G226" s="12"/>
      <c r="H226" s="12"/>
      <c r="I226" s="12"/>
      <c r="J226" s="17"/>
      <c r="K226" s="18"/>
      <c r="L226" s="17"/>
      <c r="M226" s="17"/>
      <c r="N226" s="17"/>
      <c r="O226" s="17"/>
      <c r="P226" s="17"/>
      <c r="Q226" s="17"/>
      <c r="R226" s="17"/>
      <c r="S226" s="19" t="str">
        <f aca="false">IF(OR(J226="",J226=0),"",(L226+M226+N226+O226)/J226)</f>
        <v/>
      </c>
      <c r="T226" s="12"/>
    </row>
    <row r="227" customFormat="false" ht="15" hidden="false" customHeight="false" outlineLevel="0" collapsed="false">
      <c r="A227" s="11"/>
      <c r="B227" s="12"/>
      <c r="C227" s="12"/>
      <c r="D227" s="12"/>
      <c r="E227" s="12"/>
      <c r="F227" s="12"/>
      <c r="G227" s="12"/>
      <c r="H227" s="12"/>
      <c r="I227" s="12"/>
      <c r="J227" s="17"/>
      <c r="K227" s="18"/>
      <c r="L227" s="17"/>
      <c r="M227" s="17"/>
      <c r="N227" s="17"/>
      <c r="O227" s="17"/>
      <c r="P227" s="17"/>
      <c r="Q227" s="17"/>
      <c r="R227" s="17"/>
      <c r="S227" s="19" t="str">
        <f aca="false">IF(OR(J227="",J227=0),"",(L227+M227+N227+O227)/J227)</f>
        <v/>
      </c>
      <c r="T227" s="12"/>
    </row>
    <row r="228" customFormat="false" ht="15" hidden="false" customHeight="false" outlineLevel="0" collapsed="false">
      <c r="A228" s="11"/>
      <c r="B228" s="12"/>
      <c r="C228" s="12"/>
      <c r="D228" s="12"/>
      <c r="E228" s="12"/>
      <c r="F228" s="12"/>
      <c r="G228" s="12"/>
      <c r="H228" s="12"/>
      <c r="I228" s="12"/>
      <c r="J228" s="17"/>
      <c r="K228" s="18"/>
      <c r="L228" s="17"/>
      <c r="M228" s="17"/>
      <c r="N228" s="17"/>
      <c r="O228" s="17"/>
      <c r="P228" s="17"/>
      <c r="Q228" s="17"/>
      <c r="R228" s="17"/>
      <c r="S228" s="19" t="str">
        <f aca="false">IF(OR(J228="",J228=0),"",(L228+M228+N228+O228)/J228)</f>
        <v/>
      </c>
      <c r="T228" s="12"/>
    </row>
    <row r="229" customFormat="false" ht="15" hidden="false" customHeight="false" outlineLevel="0" collapsed="false">
      <c r="A229" s="11"/>
      <c r="B229" s="12"/>
      <c r="C229" s="12"/>
      <c r="D229" s="12"/>
      <c r="E229" s="12"/>
      <c r="F229" s="12"/>
      <c r="G229" s="12"/>
      <c r="H229" s="12"/>
      <c r="I229" s="12"/>
      <c r="J229" s="17"/>
      <c r="K229" s="18"/>
      <c r="L229" s="17"/>
      <c r="M229" s="17"/>
      <c r="N229" s="17"/>
      <c r="O229" s="17"/>
      <c r="P229" s="17"/>
      <c r="Q229" s="17"/>
      <c r="R229" s="17"/>
      <c r="S229" s="19" t="str">
        <f aca="false">IF(OR(J229="",J229=0),"",(L229+M229+N229+O229)/J229)</f>
        <v/>
      </c>
      <c r="T229" s="12"/>
    </row>
    <row r="230" customFormat="false" ht="15" hidden="false" customHeight="false" outlineLevel="0" collapsed="false">
      <c r="A230" s="11"/>
      <c r="B230" s="12"/>
      <c r="C230" s="12"/>
      <c r="D230" s="12"/>
      <c r="E230" s="12"/>
      <c r="F230" s="12"/>
      <c r="G230" s="12"/>
      <c r="H230" s="12"/>
      <c r="I230" s="12"/>
      <c r="J230" s="17"/>
      <c r="K230" s="18"/>
      <c r="L230" s="17"/>
      <c r="M230" s="17"/>
      <c r="N230" s="17"/>
      <c r="O230" s="17"/>
      <c r="P230" s="17"/>
      <c r="Q230" s="17"/>
      <c r="R230" s="17"/>
      <c r="S230" s="19" t="str">
        <f aca="false">IF(OR(J230="",J230=0),"",(L230+M230+N230+O230)/J230)</f>
        <v/>
      </c>
      <c r="T230" s="12"/>
    </row>
    <row r="231" customFormat="false" ht="15" hidden="false" customHeight="false" outlineLevel="0" collapsed="false">
      <c r="A231" s="11"/>
      <c r="B231" s="12"/>
      <c r="C231" s="12"/>
      <c r="D231" s="12"/>
      <c r="E231" s="12"/>
      <c r="F231" s="12"/>
      <c r="G231" s="12"/>
      <c r="H231" s="12"/>
      <c r="I231" s="12"/>
      <c r="J231" s="17"/>
      <c r="K231" s="18"/>
      <c r="L231" s="17"/>
      <c r="M231" s="17"/>
      <c r="N231" s="17"/>
      <c r="O231" s="17"/>
      <c r="P231" s="17"/>
      <c r="Q231" s="17"/>
      <c r="R231" s="17"/>
      <c r="S231" s="19" t="str">
        <f aca="false">IF(OR(J231="",J231=0),"",(L231+M231+N231+O231)/J231)</f>
        <v/>
      </c>
      <c r="T231" s="12"/>
    </row>
    <row r="232" customFormat="false" ht="15" hidden="false" customHeight="false" outlineLevel="0" collapsed="false">
      <c r="A232" s="11"/>
      <c r="B232" s="12"/>
      <c r="C232" s="12"/>
      <c r="D232" s="12"/>
      <c r="E232" s="12"/>
      <c r="F232" s="12"/>
      <c r="G232" s="12"/>
      <c r="H232" s="12"/>
      <c r="I232" s="12"/>
      <c r="J232" s="17"/>
      <c r="K232" s="18"/>
      <c r="L232" s="17"/>
      <c r="M232" s="17"/>
      <c r="N232" s="17"/>
      <c r="O232" s="17"/>
      <c r="P232" s="17"/>
      <c r="Q232" s="17"/>
      <c r="R232" s="17"/>
      <c r="S232" s="19" t="str">
        <f aca="false">IF(OR(J232="",J232=0),"",(L232+M232+N232+O232)/J232)</f>
        <v/>
      </c>
      <c r="T232" s="12"/>
    </row>
    <row r="233" customFormat="false" ht="15" hidden="false" customHeight="false" outlineLevel="0" collapsed="false">
      <c r="A233" s="11"/>
      <c r="B233" s="12"/>
      <c r="C233" s="12"/>
      <c r="D233" s="12"/>
      <c r="E233" s="12"/>
      <c r="F233" s="12"/>
      <c r="G233" s="12"/>
      <c r="H233" s="12"/>
      <c r="I233" s="12"/>
      <c r="J233" s="17"/>
      <c r="K233" s="18"/>
      <c r="L233" s="17"/>
      <c r="M233" s="17"/>
      <c r="N233" s="17"/>
      <c r="O233" s="17"/>
      <c r="P233" s="17"/>
      <c r="Q233" s="17"/>
      <c r="R233" s="17"/>
      <c r="S233" s="19" t="str">
        <f aca="false">IF(OR(J233="",J233=0),"",(L233+M233+N233+O233)/J233)</f>
        <v/>
      </c>
      <c r="T233" s="12"/>
    </row>
    <row r="234" customFormat="false" ht="15" hidden="false" customHeight="false" outlineLevel="0" collapsed="false">
      <c r="A234" s="11"/>
      <c r="B234" s="12"/>
      <c r="C234" s="12"/>
      <c r="D234" s="12"/>
      <c r="E234" s="12"/>
      <c r="F234" s="12"/>
      <c r="G234" s="12"/>
      <c r="H234" s="12"/>
      <c r="I234" s="12"/>
      <c r="J234" s="17"/>
      <c r="K234" s="18"/>
      <c r="L234" s="17"/>
      <c r="M234" s="17"/>
      <c r="N234" s="17"/>
      <c r="O234" s="17"/>
      <c r="P234" s="17"/>
      <c r="Q234" s="17"/>
      <c r="R234" s="17"/>
      <c r="S234" s="19" t="str">
        <f aca="false">IF(OR(J234="",J234=0),"",(L234+M234+N234+O234)/J234)</f>
        <v/>
      </c>
      <c r="T234" s="12"/>
    </row>
    <row r="235" customFormat="false" ht="15" hidden="false" customHeight="false" outlineLevel="0" collapsed="false">
      <c r="A235" s="11"/>
      <c r="B235" s="12"/>
      <c r="C235" s="12"/>
      <c r="D235" s="12"/>
      <c r="E235" s="12"/>
      <c r="F235" s="12"/>
      <c r="G235" s="12"/>
      <c r="H235" s="12"/>
      <c r="I235" s="12"/>
      <c r="J235" s="17"/>
      <c r="K235" s="18"/>
      <c r="L235" s="17"/>
      <c r="M235" s="17"/>
      <c r="N235" s="17"/>
      <c r="O235" s="17"/>
      <c r="P235" s="17"/>
      <c r="Q235" s="17"/>
      <c r="R235" s="17"/>
      <c r="S235" s="19" t="str">
        <f aca="false">IF(OR(J235="",J235=0),"",(L235+M235+N235+O235)/J235)</f>
        <v/>
      </c>
      <c r="T235" s="12"/>
    </row>
    <row r="236" customFormat="false" ht="15" hidden="false" customHeight="false" outlineLevel="0" collapsed="false">
      <c r="A236" s="11"/>
      <c r="B236" s="12"/>
      <c r="C236" s="12"/>
      <c r="D236" s="12"/>
      <c r="E236" s="12"/>
      <c r="F236" s="12"/>
      <c r="G236" s="12"/>
      <c r="H236" s="12"/>
      <c r="I236" s="12"/>
      <c r="J236" s="17"/>
      <c r="K236" s="18"/>
      <c r="L236" s="17"/>
      <c r="M236" s="17"/>
      <c r="N236" s="17"/>
      <c r="O236" s="17"/>
      <c r="P236" s="17"/>
      <c r="Q236" s="17"/>
      <c r="R236" s="17"/>
      <c r="S236" s="19" t="str">
        <f aca="false">IF(OR(J236="",J236=0),"",(L236+M236+N236+O236)/J236)</f>
        <v/>
      </c>
      <c r="T236" s="12"/>
    </row>
    <row r="237" customFormat="false" ht="15" hidden="false" customHeight="false" outlineLevel="0" collapsed="false">
      <c r="A237" s="11"/>
      <c r="B237" s="12"/>
      <c r="C237" s="12"/>
      <c r="D237" s="12"/>
      <c r="E237" s="12"/>
      <c r="F237" s="12"/>
      <c r="G237" s="12"/>
      <c r="H237" s="12"/>
      <c r="I237" s="12"/>
      <c r="J237" s="17"/>
      <c r="K237" s="18"/>
      <c r="L237" s="17"/>
      <c r="M237" s="17"/>
      <c r="N237" s="17"/>
      <c r="O237" s="17"/>
      <c r="P237" s="17"/>
      <c r="Q237" s="17"/>
      <c r="R237" s="17"/>
      <c r="S237" s="19" t="str">
        <f aca="false">IF(OR(J237="",J237=0),"",(L237+M237+N237+O237)/J237)</f>
        <v/>
      </c>
      <c r="T237" s="12"/>
    </row>
    <row r="238" customFormat="false" ht="15" hidden="false" customHeight="false" outlineLevel="0" collapsed="false">
      <c r="A238" s="11"/>
      <c r="B238" s="12"/>
      <c r="C238" s="12"/>
      <c r="D238" s="12"/>
      <c r="E238" s="12"/>
      <c r="F238" s="12"/>
      <c r="G238" s="12"/>
      <c r="H238" s="12"/>
      <c r="I238" s="12"/>
      <c r="J238" s="17"/>
      <c r="K238" s="18"/>
      <c r="L238" s="17"/>
      <c r="M238" s="17"/>
      <c r="N238" s="17"/>
      <c r="O238" s="17"/>
      <c r="P238" s="17"/>
      <c r="Q238" s="17"/>
      <c r="R238" s="17"/>
      <c r="S238" s="19" t="str">
        <f aca="false">IF(OR(J238="",J238=0),"",(L238+M238+N238+O238)/J238)</f>
        <v/>
      </c>
      <c r="T238" s="12"/>
    </row>
    <row r="239" customFormat="false" ht="15" hidden="false" customHeight="false" outlineLevel="0" collapsed="false">
      <c r="A239" s="11"/>
      <c r="B239" s="12"/>
      <c r="C239" s="12"/>
      <c r="D239" s="12"/>
      <c r="E239" s="12"/>
      <c r="F239" s="12"/>
      <c r="G239" s="12"/>
      <c r="H239" s="12"/>
      <c r="I239" s="12"/>
      <c r="J239" s="17"/>
      <c r="K239" s="18"/>
      <c r="L239" s="17"/>
      <c r="M239" s="17"/>
      <c r="N239" s="17"/>
      <c r="O239" s="17"/>
      <c r="P239" s="17"/>
      <c r="Q239" s="17"/>
      <c r="R239" s="17"/>
      <c r="S239" s="19" t="str">
        <f aca="false">IF(OR(J239="",J239=0),"",(L239+M239+N239+O239)/J239)</f>
        <v/>
      </c>
      <c r="T239" s="12"/>
    </row>
    <row r="240" customFormat="false" ht="15" hidden="false" customHeight="false" outlineLevel="0" collapsed="false">
      <c r="A240" s="11"/>
      <c r="B240" s="12"/>
      <c r="C240" s="12"/>
      <c r="D240" s="12"/>
      <c r="E240" s="12"/>
      <c r="F240" s="12"/>
      <c r="G240" s="12"/>
      <c r="H240" s="12"/>
      <c r="I240" s="12"/>
      <c r="J240" s="17"/>
      <c r="K240" s="18"/>
      <c r="L240" s="17"/>
      <c r="M240" s="17"/>
      <c r="N240" s="17"/>
      <c r="O240" s="17"/>
      <c r="P240" s="17"/>
      <c r="Q240" s="17"/>
      <c r="R240" s="17"/>
      <c r="S240" s="19" t="str">
        <f aca="false">IF(OR(J240="",J240=0),"",(L240+M240+N240+O240)/J240)</f>
        <v/>
      </c>
      <c r="T240" s="12"/>
    </row>
    <row r="241" customFormat="false" ht="15" hidden="false" customHeight="false" outlineLevel="0" collapsed="false">
      <c r="A241" s="11"/>
      <c r="B241" s="12"/>
      <c r="C241" s="12"/>
      <c r="D241" s="12"/>
      <c r="E241" s="12"/>
      <c r="F241" s="12"/>
      <c r="G241" s="12"/>
      <c r="H241" s="12"/>
      <c r="I241" s="12"/>
      <c r="J241" s="17"/>
      <c r="K241" s="18"/>
      <c r="L241" s="17"/>
      <c r="M241" s="17"/>
      <c r="N241" s="17"/>
      <c r="O241" s="17"/>
      <c r="P241" s="17"/>
      <c r="Q241" s="17"/>
      <c r="R241" s="17"/>
      <c r="S241" s="19" t="str">
        <f aca="false">IF(OR(J241="",J241=0),"",(L241+M241+N241+O241)/J241)</f>
        <v/>
      </c>
      <c r="T241" s="12"/>
    </row>
    <row r="242" customFormat="false" ht="15" hidden="false" customHeight="false" outlineLevel="0" collapsed="false">
      <c r="A242" s="11"/>
      <c r="B242" s="12"/>
      <c r="C242" s="12"/>
      <c r="D242" s="12"/>
      <c r="E242" s="12"/>
      <c r="F242" s="12"/>
      <c r="G242" s="12"/>
      <c r="H242" s="12"/>
      <c r="I242" s="12"/>
      <c r="J242" s="17"/>
      <c r="K242" s="18"/>
      <c r="L242" s="17"/>
      <c r="M242" s="17"/>
      <c r="N242" s="17"/>
      <c r="O242" s="17"/>
      <c r="P242" s="17"/>
      <c r="Q242" s="17"/>
      <c r="R242" s="17"/>
      <c r="S242" s="19" t="str">
        <f aca="false">IF(OR(J242="",J242=0),"",(L242+M242+N242+O242)/J242)</f>
        <v/>
      </c>
      <c r="T242" s="12"/>
    </row>
    <row r="243" customFormat="false" ht="15" hidden="false" customHeight="false" outlineLevel="0" collapsed="false">
      <c r="A243" s="11"/>
      <c r="B243" s="12"/>
      <c r="C243" s="12"/>
      <c r="D243" s="12"/>
      <c r="E243" s="12"/>
      <c r="F243" s="12"/>
      <c r="G243" s="12"/>
      <c r="H243" s="12"/>
      <c r="I243" s="12"/>
      <c r="J243" s="17"/>
      <c r="K243" s="18"/>
      <c r="L243" s="17"/>
      <c r="M243" s="17"/>
      <c r="N243" s="17"/>
      <c r="O243" s="17"/>
      <c r="P243" s="17"/>
      <c r="Q243" s="17"/>
      <c r="R243" s="17"/>
      <c r="S243" s="19" t="str">
        <f aca="false">IF(OR(J243="",J243=0),"",(L243+M243+N243+O243)/J243)</f>
        <v/>
      </c>
      <c r="T243" s="12"/>
    </row>
    <row r="244" customFormat="false" ht="15" hidden="false" customHeight="false" outlineLevel="0" collapsed="false">
      <c r="A244" s="11"/>
      <c r="B244" s="12"/>
      <c r="C244" s="12"/>
      <c r="D244" s="12"/>
      <c r="E244" s="12"/>
      <c r="F244" s="12"/>
      <c r="G244" s="12"/>
      <c r="H244" s="12"/>
      <c r="I244" s="12"/>
      <c r="J244" s="17"/>
      <c r="K244" s="18"/>
      <c r="L244" s="17"/>
      <c r="M244" s="17"/>
      <c r="N244" s="17"/>
      <c r="O244" s="17"/>
      <c r="P244" s="17"/>
      <c r="Q244" s="17"/>
      <c r="R244" s="17"/>
      <c r="S244" s="19" t="str">
        <f aca="false">IF(OR(J244="",J244=0),"",(L244+M244+N244+O244)/J244)</f>
        <v/>
      </c>
      <c r="T244" s="12"/>
    </row>
    <row r="245" customFormat="false" ht="15" hidden="false" customHeight="false" outlineLevel="0" collapsed="false">
      <c r="A245" s="11"/>
      <c r="B245" s="12"/>
      <c r="C245" s="12"/>
      <c r="D245" s="12"/>
      <c r="E245" s="12"/>
      <c r="F245" s="12"/>
      <c r="G245" s="12"/>
      <c r="H245" s="12"/>
      <c r="I245" s="12"/>
      <c r="J245" s="17"/>
      <c r="K245" s="18"/>
      <c r="L245" s="17"/>
      <c r="M245" s="17"/>
      <c r="N245" s="17"/>
      <c r="O245" s="17"/>
      <c r="P245" s="17"/>
      <c r="Q245" s="17"/>
      <c r="R245" s="17"/>
      <c r="S245" s="19" t="str">
        <f aca="false">IF(OR(J245="",J245=0),"",(L245+M245+N245+O245)/J245)</f>
        <v/>
      </c>
      <c r="T245" s="12"/>
    </row>
    <row r="246" customFormat="false" ht="15" hidden="false" customHeight="false" outlineLevel="0" collapsed="false">
      <c r="A246" s="11"/>
      <c r="B246" s="12"/>
      <c r="C246" s="12"/>
      <c r="D246" s="12"/>
      <c r="E246" s="12"/>
      <c r="F246" s="12"/>
      <c r="G246" s="12"/>
      <c r="H246" s="12"/>
      <c r="I246" s="12"/>
      <c r="J246" s="17"/>
      <c r="K246" s="18"/>
      <c r="L246" s="17"/>
      <c r="M246" s="17"/>
      <c r="N246" s="17"/>
      <c r="O246" s="17"/>
      <c r="P246" s="17"/>
      <c r="Q246" s="17"/>
      <c r="R246" s="17"/>
      <c r="S246" s="19" t="str">
        <f aca="false">IF(OR(J246="",J246=0),"",(L246+M246+N246+O246)/J246)</f>
        <v/>
      </c>
      <c r="T246" s="12"/>
    </row>
    <row r="247" customFormat="false" ht="15" hidden="false" customHeight="false" outlineLevel="0" collapsed="false">
      <c r="A247" s="11"/>
      <c r="B247" s="12"/>
      <c r="C247" s="12"/>
      <c r="D247" s="12"/>
      <c r="E247" s="12"/>
      <c r="F247" s="12"/>
      <c r="G247" s="12"/>
      <c r="H247" s="12"/>
      <c r="I247" s="12"/>
      <c r="J247" s="17"/>
      <c r="K247" s="18"/>
      <c r="L247" s="17"/>
      <c r="M247" s="17"/>
      <c r="N247" s="17"/>
      <c r="O247" s="17"/>
      <c r="P247" s="17"/>
      <c r="Q247" s="17"/>
      <c r="R247" s="17"/>
      <c r="S247" s="19" t="str">
        <f aca="false">IF(OR(J247="",J247=0),"",(L247+M247+N247+O247)/J247)</f>
        <v/>
      </c>
      <c r="T247" s="12"/>
    </row>
    <row r="248" customFormat="false" ht="15" hidden="false" customHeight="false" outlineLevel="0" collapsed="false">
      <c r="A248" s="11"/>
      <c r="B248" s="12"/>
      <c r="C248" s="12"/>
      <c r="D248" s="12"/>
      <c r="E248" s="12"/>
      <c r="F248" s="12"/>
      <c r="G248" s="12"/>
      <c r="H248" s="12"/>
      <c r="I248" s="12"/>
      <c r="J248" s="17"/>
      <c r="K248" s="18"/>
      <c r="L248" s="17"/>
      <c r="M248" s="17"/>
      <c r="N248" s="17"/>
      <c r="O248" s="17"/>
      <c r="P248" s="17"/>
      <c r="Q248" s="17"/>
      <c r="R248" s="17"/>
      <c r="S248" s="19" t="str">
        <f aca="false">IF(OR(J248="",J248=0),"",(L248+M248+N248+O248)/J248)</f>
        <v/>
      </c>
      <c r="T248" s="12"/>
    </row>
    <row r="249" customFormat="false" ht="15" hidden="false" customHeight="false" outlineLevel="0" collapsed="false">
      <c r="A249" s="11"/>
      <c r="B249" s="12"/>
      <c r="C249" s="12"/>
      <c r="D249" s="12"/>
      <c r="E249" s="12"/>
      <c r="F249" s="12"/>
      <c r="G249" s="12"/>
      <c r="H249" s="12"/>
      <c r="I249" s="12"/>
      <c r="J249" s="17"/>
      <c r="K249" s="18"/>
      <c r="L249" s="17"/>
      <c r="M249" s="17"/>
      <c r="N249" s="17"/>
      <c r="O249" s="17"/>
      <c r="P249" s="17"/>
      <c r="Q249" s="17"/>
      <c r="R249" s="17"/>
      <c r="S249" s="19" t="str">
        <f aca="false">IF(OR(J249="",J249=0),"",(L249+M249+N249+O249)/J249)</f>
        <v/>
      </c>
      <c r="T249" s="12"/>
    </row>
    <row r="250" customFormat="false" ht="15" hidden="false" customHeight="false" outlineLevel="0" collapsed="false">
      <c r="A250" s="11"/>
      <c r="B250" s="12"/>
      <c r="C250" s="12"/>
      <c r="D250" s="12"/>
      <c r="E250" s="12"/>
      <c r="F250" s="12"/>
      <c r="G250" s="12"/>
      <c r="H250" s="12"/>
      <c r="I250" s="12"/>
      <c r="J250" s="17"/>
      <c r="K250" s="18"/>
      <c r="L250" s="17"/>
      <c r="M250" s="17"/>
      <c r="N250" s="17"/>
      <c r="O250" s="17"/>
      <c r="P250" s="17"/>
      <c r="Q250" s="17"/>
      <c r="R250" s="17"/>
      <c r="S250" s="19" t="str">
        <f aca="false">IF(OR(J250="",J250=0),"",(L250+M250+N250+O250)/J250)</f>
        <v/>
      </c>
      <c r="T250" s="12"/>
    </row>
    <row r="251" customFormat="false" ht="15" hidden="false" customHeight="false" outlineLevel="0" collapsed="false">
      <c r="A251" s="11"/>
      <c r="B251" s="12"/>
      <c r="C251" s="12"/>
      <c r="D251" s="12"/>
      <c r="E251" s="12"/>
      <c r="F251" s="12"/>
      <c r="G251" s="12"/>
      <c r="H251" s="12"/>
      <c r="I251" s="12"/>
      <c r="J251" s="17"/>
      <c r="K251" s="18"/>
      <c r="L251" s="17"/>
      <c r="M251" s="17"/>
      <c r="N251" s="17"/>
      <c r="O251" s="17"/>
      <c r="P251" s="17"/>
      <c r="Q251" s="17"/>
      <c r="R251" s="17"/>
      <c r="S251" s="19" t="str">
        <f aca="false">IF(OR(J251="",J251=0),"",(L251+M251+N251+O251)/J251)</f>
        <v/>
      </c>
      <c r="T251" s="12"/>
    </row>
    <row r="252" customFormat="false" ht="15" hidden="false" customHeight="false" outlineLevel="0" collapsed="false">
      <c r="A252" s="11"/>
      <c r="B252" s="12"/>
      <c r="C252" s="12"/>
      <c r="D252" s="12"/>
      <c r="E252" s="12"/>
      <c r="F252" s="12"/>
      <c r="G252" s="12"/>
      <c r="H252" s="12"/>
      <c r="I252" s="12"/>
      <c r="J252" s="17"/>
      <c r="K252" s="18"/>
      <c r="L252" s="17"/>
      <c r="M252" s="17"/>
      <c r="N252" s="17"/>
      <c r="O252" s="17"/>
      <c r="P252" s="17"/>
      <c r="Q252" s="17"/>
      <c r="R252" s="17"/>
      <c r="S252" s="19" t="str">
        <f aca="false">IF(OR(J252="",J252=0),"",(L252+M252+N252+O252)/J252)</f>
        <v/>
      </c>
      <c r="T252" s="12"/>
    </row>
    <row r="253" customFormat="false" ht="15" hidden="false" customHeight="false" outlineLevel="0" collapsed="false">
      <c r="A253" s="11"/>
      <c r="B253" s="12"/>
      <c r="C253" s="12"/>
      <c r="D253" s="12"/>
      <c r="E253" s="12"/>
      <c r="F253" s="12"/>
      <c r="G253" s="12"/>
      <c r="H253" s="12"/>
      <c r="I253" s="12"/>
      <c r="J253" s="17"/>
      <c r="K253" s="18"/>
      <c r="L253" s="17"/>
      <c r="M253" s="17"/>
      <c r="N253" s="17"/>
      <c r="O253" s="17"/>
      <c r="P253" s="17"/>
      <c r="Q253" s="17"/>
      <c r="R253" s="17"/>
      <c r="S253" s="19" t="str">
        <f aca="false">IF(OR(J253="",J253=0),"",(L253+M253+N253+O253)/J253)</f>
        <v/>
      </c>
      <c r="T253" s="12"/>
    </row>
    <row r="254" customFormat="false" ht="15" hidden="false" customHeight="false" outlineLevel="0" collapsed="false">
      <c r="A254" s="11"/>
      <c r="B254" s="12"/>
      <c r="C254" s="12"/>
      <c r="D254" s="12"/>
      <c r="E254" s="12"/>
      <c r="F254" s="12"/>
      <c r="G254" s="12"/>
      <c r="H254" s="12"/>
      <c r="I254" s="12"/>
      <c r="J254" s="17"/>
      <c r="K254" s="18"/>
      <c r="L254" s="17"/>
      <c r="M254" s="17"/>
      <c r="N254" s="17"/>
      <c r="O254" s="17"/>
      <c r="P254" s="17"/>
      <c r="Q254" s="17"/>
      <c r="R254" s="17"/>
      <c r="S254" s="19" t="str">
        <f aca="false">IF(OR(J254="",J254=0),"",(L254+M254+N254+O254)/J254)</f>
        <v/>
      </c>
      <c r="T254" s="12"/>
    </row>
    <row r="255" customFormat="false" ht="15" hidden="false" customHeight="false" outlineLevel="0" collapsed="false">
      <c r="A255" s="11"/>
      <c r="B255" s="12"/>
      <c r="C255" s="12"/>
      <c r="D255" s="12"/>
      <c r="E255" s="12"/>
      <c r="F255" s="12"/>
      <c r="G255" s="12"/>
      <c r="H255" s="12"/>
      <c r="I255" s="12"/>
      <c r="J255" s="17"/>
      <c r="K255" s="18"/>
      <c r="L255" s="17"/>
      <c r="M255" s="17"/>
      <c r="N255" s="17"/>
      <c r="O255" s="17"/>
      <c r="P255" s="17"/>
      <c r="Q255" s="17"/>
      <c r="R255" s="17"/>
      <c r="S255" s="19" t="str">
        <f aca="false">IF(OR(J255="",J255=0),"",(L255+M255+N255+O255)/J255)</f>
        <v/>
      </c>
      <c r="T255" s="12"/>
    </row>
    <row r="256" customFormat="false" ht="15" hidden="false" customHeight="false" outlineLevel="0" collapsed="false">
      <c r="A256" s="11"/>
      <c r="B256" s="12"/>
      <c r="C256" s="12"/>
      <c r="D256" s="12"/>
      <c r="E256" s="12"/>
      <c r="F256" s="12"/>
      <c r="G256" s="12"/>
      <c r="H256" s="12"/>
      <c r="I256" s="12"/>
      <c r="J256" s="17"/>
      <c r="K256" s="18"/>
      <c r="L256" s="17"/>
      <c r="M256" s="17"/>
      <c r="N256" s="17"/>
      <c r="O256" s="17"/>
      <c r="P256" s="17"/>
      <c r="Q256" s="17"/>
      <c r="R256" s="17"/>
      <c r="S256" s="19" t="str">
        <f aca="false">IF(OR(J256="",J256=0),"",(L256+M256+N256+O256)/J256)</f>
        <v/>
      </c>
      <c r="T256" s="12"/>
    </row>
    <row r="257" customFormat="false" ht="15" hidden="false" customHeight="false" outlineLevel="0" collapsed="false">
      <c r="A257" s="11"/>
      <c r="B257" s="12"/>
      <c r="C257" s="12"/>
      <c r="D257" s="12"/>
      <c r="E257" s="12"/>
      <c r="F257" s="12"/>
      <c r="G257" s="12"/>
      <c r="H257" s="12"/>
      <c r="I257" s="12"/>
      <c r="J257" s="17"/>
      <c r="K257" s="18"/>
      <c r="L257" s="17"/>
      <c r="M257" s="17"/>
      <c r="N257" s="17"/>
      <c r="O257" s="17"/>
      <c r="P257" s="17"/>
      <c r="Q257" s="17"/>
      <c r="R257" s="17"/>
      <c r="S257" s="19" t="str">
        <f aca="false">IF(OR(J257="",J257=0),"",(L257+M257+N257+O257)/J257)</f>
        <v/>
      </c>
      <c r="T257" s="12"/>
    </row>
    <row r="258" customFormat="false" ht="15" hidden="false" customHeight="false" outlineLevel="0" collapsed="false">
      <c r="A258" s="11"/>
      <c r="B258" s="12"/>
      <c r="C258" s="12"/>
      <c r="D258" s="12"/>
      <c r="E258" s="12"/>
      <c r="F258" s="12"/>
      <c r="G258" s="12"/>
      <c r="H258" s="12"/>
      <c r="I258" s="12"/>
      <c r="J258" s="17"/>
      <c r="K258" s="18"/>
      <c r="L258" s="17"/>
      <c r="M258" s="17"/>
      <c r="N258" s="17"/>
      <c r="O258" s="17"/>
      <c r="P258" s="17"/>
      <c r="Q258" s="17"/>
      <c r="R258" s="17"/>
      <c r="S258" s="19" t="str">
        <f aca="false">IF(OR(J258="",J258=0),"",(L258+M258+N258+O258)/J258)</f>
        <v/>
      </c>
      <c r="T258" s="12"/>
    </row>
    <row r="259" customFormat="false" ht="15" hidden="false" customHeight="false" outlineLevel="0" collapsed="false">
      <c r="A259" s="11"/>
      <c r="B259" s="12"/>
      <c r="C259" s="12"/>
      <c r="D259" s="12"/>
      <c r="E259" s="12"/>
      <c r="F259" s="12"/>
      <c r="G259" s="12"/>
      <c r="H259" s="12"/>
      <c r="I259" s="12"/>
      <c r="J259" s="17"/>
      <c r="K259" s="18"/>
      <c r="L259" s="17"/>
      <c r="M259" s="17"/>
      <c r="N259" s="17"/>
      <c r="O259" s="17"/>
      <c r="P259" s="17"/>
      <c r="Q259" s="17"/>
      <c r="R259" s="17"/>
      <c r="S259" s="19" t="str">
        <f aca="false">IF(OR(J259="",J259=0),"",(L259+M259+N259+O259)/J259)</f>
        <v/>
      </c>
      <c r="T259" s="12"/>
    </row>
    <row r="260" customFormat="false" ht="15" hidden="false" customHeight="false" outlineLevel="0" collapsed="false">
      <c r="A260" s="11"/>
      <c r="B260" s="12"/>
      <c r="C260" s="12"/>
      <c r="D260" s="12"/>
      <c r="E260" s="12"/>
      <c r="F260" s="12"/>
      <c r="G260" s="12"/>
      <c r="H260" s="12"/>
      <c r="I260" s="12"/>
      <c r="J260" s="17"/>
      <c r="K260" s="18"/>
      <c r="L260" s="17"/>
      <c r="M260" s="17"/>
      <c r="N260" s="17"/>
      <c r="O260" s="17"/>
      <c r="P260" s="17"/>
      <c r="Q260" s="17"/>
      <c r="R260" s="17"/>
      <c r="S260" s="19" t="str">
        <f aca="false">IF(OR(J260="",J260=0),"",(L260+M260+N260+O260)/J260)</f>
        <v/>
      </c>
      <c r="T260" s="12"/>
    </row>
    <row r="261" customFormat="false" ht="15" hidden="false" customHeight="false" outlineLevel="0" collapsed="false">
      <c r="A261" s="11"/>
      <c r="B261" s="12"/>
      <c r="C261" s="12"/>
      <c r="D261" s="12"/>
      <c r="E261" s="12"/>
      <c r="F261" s="12"/>
      <c r="G261" s="12"/>
      <c r="H261" s="12"/>
      <c r="I261" s="12"/>
      <c r="J261" s="17"/>
      <c r="K261" s="18"/>
      <c r="L261" s="17"/>
      <c r="M261" s="17"/>
      <c r="N261" s="17"/>
      <c r="O261" s="17"/>
      <c r="P261" s="17"/>
      <c r="Q261" s="17"/>
      <c r="R261" s="17"/>
      <c r="S261" s="19" t="str">
        <f aca="false">IF(OR(J261="",J261=0),"",(L261+M261+N261+O261)/J261)</f>
        <v/>
      </c>
      <c r="T261" s="12"/>
    </row>
    <row r="262" customFormat="false" ht="15" hidden="false" customHeight="false" outlineLevel="0" collapsed="false">
      <c r="A262" s="11"/>
      <c r="B262" s="12"/>
      <c r="C262" s="12"/>
      <c r="D262" s="12"/>
      <c r="E262" s="12"/>
      <c r="F262" s="12"/>
      <c r="G262" s="12"/>
      <c r="H262" s="12"/>
      <c r="I262" s="12"/>
      <c r="J262" s="17"/>
      <c r="K262" s="18"/>
      <c r="L262" s="17"/>
      <c r="M262" s="17"/>
      <c r="N262" s="17"/>
      <c r="O262" s="17"/>
      <c r="P262" s="17"/>
      <c r="Q262" s="17"/>
      <c r="R262" s="17"/>
      <c r="S262" s="19" t="str">
        <f aca="false">IF(OR(J262="",J262=0),"",(L262+M262+N262+O262)/J262)</f>
        <v/>
      </c>
      <c r="T262" s="12"/>
    </row>
    <row r="263" customFormat="false" ht="15" hidden="false" customHeight="false" outlineLevel="0" collapsed="false">
      <c r="A263" s="11"/>
      <c r="B263" s="12"/>
      <c r="C263" s="12"/>
      <c r="D263" s="12"/>
      <c r="E263" s="12"/>
      <c r="F263" s="12"/>
      <c r="G263" s="12"/>
      <c r="H263" s="12"/>
      <c r="I263" s="12"/>
      <c r="J263" s="17"/>
      <c r="K263" s="18"/>
      <c r="L263" s="17"/>
      <c r="M263" s="17"/>
      <c r="N263" s="17"/>
      <c r="O263" s="17"/>
      <c r="P263" s="17"/>
      <c r="Q263" s="17"/>
      <c r="R263" s="17"/>
      <c r="S263" s="19" t="str">
        <f aca="false">IF(OR(J263="",J263=0),"",(L263+M263+N263+O263)/J263)</f>
        <v/>
      </c>
      <c r="T263" s="12"/>
    </row>
    <row r="264" customFormat="false" ht="15" hidden="false" customHeight="false" outlineLevel="0" collapsed="false">
      <c r="A264" s="11"/>
      <c r="B264" s="12"/>
      <c r="C264" s="12"/>
      <c r="D264" s="12"/>
      <c r="E264" s="12"/>
      <c r="F264" s="12"/>
      <c r="G264" s="12"/>
      <c r="H264" s="12"/>
      <c r="I264" s="12"/>
      <c r="J264" s="17"/>
      <c r="K264" s="18"/>
      <c r="L264" s="17"/>
      <c r="M264" s="17"/>
      <c r="N264" s="17"/>
      <c r="O264" s="17"/>
      <c r="P264" s="17"/>
      <c r="Q264" s="17"/>
      <c r="R264" s="17"/>
      <c r="S264" s="19" t="str">
        <f aca="false">IF(OR(J264="",J264=0),"",(L264+M264+N264+O264)/J264)</f>
        <v/>
      </c>
      <c r="T264" s="12"/>
    </row>
    <row r="265" customFormat="false" ht="15" hidden="false" customHeight="false" outlineLevel="0" collapsed="false">
      <c r="A265" s="11"/>
      <c r="B265" s="12"/>
      <c r="C265" s="12"/>
      <c r="D265" s="12"/>
      <c r="E265" s="12"/>
      <c r="F265" s="12"/>
      <c r="G265" s="12"/>
      <c r="H265" s="12"/>
      <c r="I265" s="12"/>
      <c r="J265" s="17"/>
      <c r="K265" s="18"/>
      <c r="L265" s="17"/>
      <c r="M265" s="17"/>
      <c r="N265" s="17"/>
      <c r="O265" s="17"/>
      <c r="P265" s="17"/>
      <c r="Q265" s="17"/>
      <c r="R265" s="17"/>
      <c r="S265" s="19" t="str">
        <f aca="false">IF(OR(J265="",J265=0),"",(L265+M265+N265+O265)/J265)</f>
        <v/>
      </c>
      <c r="T265" s="12"/>
    </row>
    <row r="266" customFormat="false" ht="15" hidden="false" customHeight="false" outlineLevel="0" collapsed="false">
      <c r="A266" s="11"/>
      <c r="B266" s="12"/>
      <c r="C266" s="12"/>
      <c r="D266" s="12"/>
      <c r="E266" s="12"/>
      <c r="F266" s="12"/>
      <c r="G266" s="12"/>
      <c r="H266" s="12"/>
      <c r="I266" s="12"/>
      <c r="J266" s="17"/>
      <c r="K266" s="18"/>
      <c r="L266" s="17"/>
      <c r="M266" s="17"/>
      <c r="N266" s="17"/>
      <c r="O266" s="17"/>
      <c r="P266" s="17"/>
      <c r="Q266" s="17"/>
      <c r="R266" s="17"/>
      <c r="S266" s="19" t="str">
        <f aca="false">IF(OR(J266="",J266=0),"",(L266+M266+N266+O266)/J266)</f>
        <v/>
      </c>
      <c r="T266" s="12"/>
    </row>
    <row r="267" customFormat="false" ht="15" hidden="false" customHeight="false" outlineLevel="0" collapsed="false">
      <c r="A267" s="11"/>
      <c r="B267" s="12"/>
      <c r="C267" s="12"/>
      <c r="D267" s="12"/>
      <c r="E267" s="12"/>
      <c r="F267" s="12"/>
      <c r="G267" s="12"/>
      <c r="H267" s="12"/>
      <c r="I267" s="12"/>
      <c r="J267" s="17"/>
      <c r="K267" s="18"/>
      <c r="L267" s="17"/>
      <c r="M267" s="17"/>
      <c r="N267" s="17"/>
      <c r="O267" s="17"/>
      <c r="P267" s="17"/>
      <c r="Q267" s="17"/>
      <c r="R267" s="17"/>
      <c r="S267" s="19" t="str">
        <f aca="false">IF(OR(J267="",J267=0),"",(L267+M267+N267+O267)/J267)</f>
        <v/>
      </c>
      <c r="T267" s="12"/>
    </row>
    <row r="268" customFormat="false" ht="15" hidden="false" customHeight="false" outlineLevel="0" collapsed="false">
      <c r="A268" s="11"/>
      <c r="B268" s="12"/>
      <c r="C268" s="12"/>
      <c r="D268" s="12"/>
      <c r="E268" s="12"/>
      <c r="F268" s="12"/>
      <c r="G268" s="12"/>
      <c r="H268" s="12"/>
      <c r="I268" s="12"/>
      <c r="J268" s="17"/>
      <c r="K268" s="18"/>
      <c r="L268" s="17"/>
      <c r="M268" s="17"/>
      <c r="N268" s="17"/>
      <c r="O268" s="17"/>
      <c r="P268" s="17"/>
      <c r="Q268" s="17"/>
      <c r="R268" s="17"/>
      <c r="S268" s="19" t="str">
        <f aca="false">IF(OR(J268="",J268=0),"",(L268+M268+N268+O268)/J268)</f>
        <v/>
      </c>
      <c r="T268" s="12"/>
    </row>
    <row r="269" customFormat="false" ht="15" hidden="false" customHeight="false" outlineLevel="0" collapsed="false">
      <c r="A269" s="11"/>
      <c r="B269" s="12"/>
      <c r="C269" s="12"/>
      <c r="D269" s="12"/>
      <c r="E269" s="12"/>
      <c r="F269" s="12"/>
      <c r="G269" s="12"/>
      <c r="H269" s="12"/>
      <c r="I269" s="12"/>
      <c r="J269" s="17"/>
      <c r="K269" s="18"/>
      <c r="L269" s="17"/>
      <c r="M269" s="17"/>
      <c r="N269" s="17"/>
      <c r="O269" s="17"/>
      <c r="P269" s="17"/>
      <c r="Q269" s="17"/>
      <c r="R269" s="17"/>
      <c r="S269" s="19" t="str">
        <f aca="false">IF(OR(J269="",J269=0),"",(L269+M269+N269+O269)/J269)</f>
        <v/>
      </c>
      <c r="T269" s="12"/>
    </row>
    <row r="270" customFormat="false" ht="15" hidden="false" customHeight="false" outlineLevel="0" collapsed="false">
      <c r="A270" s="11"/>
      <c r="B270" s="12"/>
      <c r="C270" s="12"/>
      <c r="D270" s="12"/>
      <c r="E270" s="12"/>
      <c r="F270" s="12"/>
      <c r="G270" s="12"/>
      <c r="H270" s="12"/>
      <c r="I270" s="12"/>
      <c r="J270" s="17"/>
      <c r="K270" s="18"/>
      <c r="L270" s="17"/>
      <c r="M270" s="17"/>
      <c r="N270" s="17"/>
      <c r="O270" s="17"/>
      <c r="P270" s="17"/>
      <c r="Q270" s="17"/>
      <c r="R270" s="17"/>
      <c r="S270" s="19" t="str">
        <f aca="false">IF(OR(J270="",J270=0),"",(L270+M270+N270+O270)/J270)</f>
        <v/>
      </c>
      <c r="T270" s="12"/>
    </row>
    <row r="271" customFormat="false" ht="15" hidden="false" customHeight="false" outlineLevel="0" collapsed="false">
      <c r="A271" s="11"/>
      <c r="B271" s="12"/>
      <c r="C271" s="12"/>
      <c r="D271" s="12"/>
      <c r="E271" s="12"/>
      <c r="F271" s="12"/>
      <c r="G271" s="12"/>
      <c r="H271" s="12"/>
      <c r="I271" s="12"/>
      <c r="J271" s="17"/>
      <c r="K271" s="18"/>
      <c r="L271" s="17"/>
      <c r="M271" s="17"/>
      <c r="N271" s="17"/>
      <c r="O271" s="17"/>
      <c r="P271" s="17"/>
      <c r="Q271" s="17"/>
      <c r="R271" s="17"/>
      <c r="S271" s="19" t="str">
        <f aca="false">IF(OR(J271="",J271=0),"",(L271+M271+N271+O271)/J271)</f>
        <v/>
      </c>
      <c r="T271" s="12"/>
    </row>
    <row r="272" customFormat="false" ht="15" hidden="false" customHeight="false" outlineLevel="0" collapsed="false">
      <c r="A272" s="11"/>
      <c r="B272" s="12"/>
      <c r="C272" s="12"/>
      <c r="D272" s="12"/>
      <c r="E272" s="12"/>
      <c r="F272" s="12"/>
      <c r="G272" s="12"/>
      <c r="H272" s="12"/>
      <c r="I272" s="12"/>
      <c r="J272" s="17"/>
      <c r="K272" s="18"/>
      <c r="L272" s="17"/>
      <c r="M272" s="17"/>
      <c r="N272" s="17"/>
      <c r="O272" s="17"/>
      <c r="P272" s="17"/>
      <c r="Q272" s="17"/>
      <c r="R272" s="17"/>
      <c r="S272" s="19" t="str">
        <f aca="false">IF(OR(J272="",J272=0),"",(L272+M272+N272+O272)/J272)</f>
        <v/>
      </c>
      <c r="T272" s="12"/>
    </row>
    <row r="273" customFormat="false" ht="15" hidden="false" customHeight="false" outlineLevel="0" collapsed="false">
      <c r="A273" s="11"/>
      <c r="B273" s="12"/>
      <c r="C273" s="12"/>
      <c r="D273" s="12"/>
      <c r="E273" s="12"/>
      <c r="F273" s="12"/>
      <c r="G273" s="12"/>
      <c r="H273" s="12"/>
      <c r="I273" s="12"/>
      <c r="J273" s="17"/>
      <c r="K273" s="18"/>
      <c r="L273" s="17"/>
      <c r="M273" s="17"/>
      <c r="N273" s="17"/>
      <c r="O273" s="17"/>
      <c r="P273" s="17"/>
      <c r="Q273" s="17"/>
      <c r="R273" s="17"/>
      <c r="S273" s="19" t="str">
        <f aca="false">IF(OR(J273="",J273=0),"",(L273+M273+N273+O273)/J273)</f>
        <v/>
      </c>
      <c r="T273" s="12"/>
    </row>
    <row r="274" customFormat="false" ht="15" hidden="false" customHeight="false" outlineLevel="0" collapsed="false">
      <c r="A274" s="11"/>
      <c r="B274" s="12"/>
      <c r="C274" s="12"/>
      <c r="D274" s="12"/>
      <c r="E274" s="12"/>
      <c r="F274" s="12"/>
      <c r="G274" s="12"/>
      <c r="H274" s="12"/>
      <c r="I274" s="12"/>
      <c r="J274" s="17"/>
      <c r="K274" s="18"/>
      <c r="L274" s="17"/>
      <c r="M274" s="17"/>
      <c r="N274" s="17"/>
      <c r="O274" s="17"/>
      <c r="P274" s="17"/>
      <c r="Q274" s="17"/>
      <c r="R274" s="17"/>
      <c r="S274" s="19" t="str">
        <f aca="false">IF(OR(J274="",J274=0),"",(L274+M274+N274+O274)/J274)</f>
        <v/>
      </c>
      <c r="T274" s="12"/>
    </row>
    <row r="275" customFormat="false" ht="15" hidden="false" customHeight="false" outlineLevel="0" collapsed="false">
      <c r="A275" s="11"/>
      <c r="B275" s="12"/>
      <c r="C275" s="12"/>
      <c r="D275" s="12"/>
      <c r="E275" s="12"/>
      <c r="F275" s="12"/>
      <c r="G275" s="12"/>
      <c r="H275" s="12"/>
      <c r="I275" s="12"/>
      <c r="J275" s="17"/>
      <c r="K275" s="18"/>
      <c r="L275" s="17"/>
      <c r="M275" s="17"/>
      <c r="N275" s="17"/>
      <c r="O275" s="17"/>
      <c r="P275" s="17"/>
      <c r="Q275" s="17"/>
      <c r="R275" s="17"/>
      <c r="S275" s="19" t="str">
        <f aca="false">IF(OR(J275="",J275=0),"",(L275+M275+N275+O275)/J275)</f>
        <v/>
      </c>
      <c r="T275" s="12"/>
    </row>
    <row r="276" customFormat="false" ht="15" hidden="false" customHeight="false" outlineLevel="0" collapsed="false">
      <c r="A276" s="11"/>
      <c r="B276" s="12"/>
      <c r="C276" s="12"/>
      <c r="D276" s="12"/>
      <c r="E276" s="12"/>
      <c r="F276" s="12"/>
      <c r="G276" s="12"/>
      <c r="H276" s="12"/>
      <c r="I276" s="12"/>
      <c r="J276" s="17"/>
      <c r="K276" s="18"/>
      <c r="L276" s="17"/>
      <c r="M276" s="17"/>
      <c r="N276" s="17"/>
      <c r="O276" s="17"/>
      <c r="P276" s="17"/>
      <c r="Q276" s="17"/>
      <c r="R276" s="17"/>
      <c r="S276" s="19" t="str">
        <f aca="false">IF(OR(J276="",J276=0),"",(L276+M276+N276+O276)/J276)</f>
        <v/>
      </c>
      <c r="T276" s="12"/>
    </row>
    <row r="277" customFormat="false" ht="15" hidden="false" customHeight="false" outlineLevel="0" collapsed="false">
      <c r="A277" s="11"/>
      <c r="B277" s="12"/>
      <c r="C277" s="12"/>
      <c r="D277" s="12"/>
      <c r="E277" s="12"/>
      <c r="F277" s="12"/>
      <c r="G277" s="12"/>
      <c r="H277" s="12"/>
      <c r="I277" s="12"/>
      <c r="J277" s="17"/>
      <c r="K277" s="18"/>
      <c r="L277" s="17"/>
      <c r="M277" s="17"/>
      <c r="N277" s="17"/>
      <c r="O277" s="17"/>
      <c r="P277" s="17"/>
      <c r="Q277" s="17"/>
      <c r="R277" s="17"/>
      <c r="S277" s="19" t="str">
        <f aca="false">IF(OR(J277="",J277=0),"",(L277+M277+N277+O277)/J277)</f>
        <v/>
      </c>
      <c r="T277" s="12"/>
    </row>
    <row r="278" customFormat="false" ht="15" hidden="false" customHeight="false" outlineLevel="0" collapsed="false">
      <c r="A278" s="11"/>
      <c r="B278" s="12"/>
      <c r="C278" s="12"/>
      <c r="D278" s="12"/>
      <c r="E278" s="12"/>
      <c r="F278" s="12"/>
      <c r="G278" s="12"/>
      <c r="H278" s="12"/>
      <c r="I278" s="12"/>
      <c r="J278" s="17"/>
      <c r="K278" s="18"/>
      <c r="L278" s="17"/>
      <c r="M278" s="17"/>
      <c r="N278" s="17"/>
      <c r="O278" s="17"/>
      <c r="P278" s="17"/>
      <c r="Q278" s="17"/>
      <c r="R278" s="17"/>
      <c r="S278" s="19" t="str">
        <f aca="false">IF(OR(J278="",J278=0),"",(L278+M278+N278+O278)/J278)</f>
        <v/>
      </c>
      <c r="T278" s="12"/>
    </row>
    <row r="279" customFormat="false" ht="15" hidden="false" customHeight="false" outlineLevel="0" collapsed="false">
      <c r="A279" s="11"/>
      <c r="B279" s="12"/>
      <c r="C279" s="12"/>
      <c r="D279" s="12"/>
      <c r="E279" s="12"/>
      <c r="F279" s="12"/>
      <c r="G279" s="12"/>
      <c r="H279" s="12"/>
      <c r="I279" s="12"/>
      <c r="J279" s="17"/>
      <c r="K279" s="18"/>
      <c r="L279" s="17"/>
      <c r="M279" s="17"/>
      <c r="N279" s="17"/>
      <c r="O279" s="17"/>
      <c r="P279" s="17"/>
      <c r="Q279" s="17"/>
      <c r="R279" s="17"/>
      <c r="S279" s="19" t="str">
        <f aca="false">IF(OR(J279="",J279=0),"",(L279+M279+N279+O279)/J279)</f>
        <v/>
      </c>
      <c r="T279" s="12"/>
    </row>
    <row r="280" customFormat="false" ht="15" hidden="false" customHeight="false" outlineLevel="0" collapsed="false">
      <c r="A280" s="11"/>
      <c r="B280" s="12"/>
      <c r="C280" s="12"/>
      <c r="D280" s="12"/>
      <c r="E280" s="12"/>
      <c r="F280" s="12"/>
      <c r="G280" s="12"/>
      <c r="H280" s="12"/>
      <c r="I280" s="12"/>
      <c r="J280" s="17"/>
      <c r="K280" s="18"/>
      <c r="L280" s="17"/>
      <c r="M280" s="17"/>
      <c r="N280" s="17"/>
      <c r="O280" s="17"/>
      <c r="P280" s="17"/>
      <c r="Q280" s="17"/>
      <c r="R280" s="17"/>
      <c r="S280" s="19" t="str">
        <f aca="false">IF(OR(J280="",J280=0),"",(L280+M280+N280+O280)/J280)</f>
        <v/>
      </c>
      <c r="T280" s="12"/>
    </row>
    <row r="281" customFormat="false" ht="15" hidden="false" customHeight="false" outlineLevel="0" collapsed="false">
      <c r="A281" s="11"/>
      <c r="B281" s="12"/>
      <c r="C281" s="12"/>
      <c r="D281" s="12"/>
      <c r="E281" s="12"/>
      <c r="F281" s="12"/>
      <c r="G281" s="12"/>
      <c r="H281" s="12"/>
      <c r="I281" s="12"/>
      <c r="J281" s="17"/>
      <c r="K281" s="18"/>
      <c r="L281" s="17"/>
      <c r="M281" s="17"/>
      <c r="N281" s="17"/>
      <c r="O281" s="17"/>
      <c r="P281" s="17"/>
      <c r="Q281" s="17"/>
      <c r="R281" s="17"/>
      <c r="S281" s="19" t="str">
        <f aca="false">IF(OR(J281="",J281=0),"",(L281+M281+N281+O281)/J281)</f>
        <v/>
      </c>
      <c r="T281" s="12"/>
    </row>
    <row r="282" customFormat="false" ht="15" hidden="false" customHeight="false" outlineLevel="0" collapsed="false">
      <c r="A282" s="11"/>
      <c r="B282" s="12"/>
      <c r="C282" s="12"/>
      <c r="D282" s="12"/>
      <c r="E282" s="12"/>
      <c r="F282" s="12"/>
      <c r="G282" s="12"/>
      <c r="H282" s="12"/>
      <c r="I282" s="12"/>
      <c r="J282" s="17"/>
      <c r="K282" s="18"/>
      <c r="L282" s="17"/>
      <c r="M282" s="17"/>
      <c r="N282" s="17"/>
      <c r="O282" s="17"/>
      <c r="P282" s="17"/>
      <c r="Q282" s="17"/>
      <c r="R282" s="17"/>
      <c r="S282" s="19" t="str">
        <f aca="false">IF(OR(J282="",J282=0),"",(L282+M282+N282+O282)/J282)</f>
        <v/>
      </c>
      <c r="T282" s="12"/>
    </row>
    <row r="283" customFormat="false" ht="15" hidden="false" customHeight="false" outlineLevel="0" collapsed="false">
      <c r="A283" s="11"/>
      <c r="B283" s="12"/>
      <c r="C283" s="12"/>
      <c r="D283" s="12"/>
      <c r="E283" s="12"/>
      <c r="F283" s="12"/>
      <c r="G283" s="12"/>
      <c r="H283" s="12"/>
      <c r="I283" s="12"/>
      <c r="J283" s="17"/>
      <c r="K283" s="18"/>
      <c r="L283" s="17"/>
      <c r="M283" s="17"/>
      <c r="N283" s="17"/>
      <c r="O283" s="17"/>
      <c r="P283" s="17"/>
      <c r="Q283" s="17"/>
      <c r="R283" s="17"/>
      <c r="S283" s="19" t="str">
        <f aca="false">IF(OR(J283="",J283=0),"",(L283+M283+N283+O283)/J283)</f>
        <v/>
      </c>
      <c r="T283" s="12"/>
    </row>
    <row r="284" customFormat="false" ht="15" hidden="false" customHeight="false" outlineLevel="0" collapsed="false">
      <c r="A284" s="11"/>
      <c r="B284" s="12"/>
      <c r="C284" s="12"/>
      <c r="D284" s="12"/>
      <c r="E284" s="12"/>
      <c r="F284" s="12"/>
      <c r="G284" s="12"/>
      <c r="H284" s="12"/>
      <c r="I284" s="12"/>
      <c r="J284" s="17"/>
      <c r="K284" s="18"/>
      <c r="L284" s="17"/>
      <c r="M284" s="17"/>
      <c r="N284" s="17"/>
      <c r="O284" s="17"/>
      <c r="P284" s="17"/>
      <c r="Q284" s="17"/>
      <c r="R284" s="17"/>
      <c r="S284" s="19" t="str">
        <f aca="false">IF(OR(J284="",J284=0),"",(L284+M284+N284+O284)/J284)</f>
        <v/>
      </c>
      <c r="T284" s="12"/>
    </row>
    <row r="285" customFormat="false" ht="15" hidden="false" customHeight="false" outlineLevel="0" collapsed="false">
      <c r="A285" s="11"/>
      <c r="B285" s="12"/>
      <c r="C285" s="12"/>
      <c r="D285" s="12"/>
      <c r="E285" s="12"/>
      <c r="F285" s="12"/>
      <c r="G285" s="12"/>
      <c r="H285" s="12"/>
      <c r="I285" s="12"/>
      <c r="J285" s="17"/>
      <c r="K285" s="18"/>
      <c r="L285" s="17"/>
      <c r="M285" s="17"/>
      <c r="N285" s="17"/>
      <c r="O285" s="17"/>
      <c r="P285" s="17"/>
      <c r="Q285" s="17"/>
      <c r="R285" s="17"/>
      <c r="S285" s="19" t="str">
        <f aca="false">IF(OR(J285="",J285=0),"",(L285+M285+N285+O285)/J285)</f>
        <v/>
      </c>
      <c r="T285" s="12"/>
    </row>
    <row r="286" customFormat="false" ht="15" hidden="false" customHeight="false" outlineLevel="0" collapsed="false">
      <c r="A286" s="11"/>
      <c r="B286" s="12"/>
      <c r="C286" s="12"/>
      <c r="D286" s="12"/>
      <c r="E286" s="12"/>
      <c r="F286" s="12"/>
      <c r="G286" s="12"/>
      <c r="H286" s="12"/>
      <c r="I286" s="12"/>
      <c r="J286" s="17"/>
      <c r="K286" s="18"/>
      <c r="L286" s="17"/>
      <c r="M286" s="17"/>
      <c r="N286" s="17"/>
      <c r="O286" s="17"/>
      <c r="P286" s="17"/>
      <c r="Q286" s="17"/>
      <c r="R286" s="17"/>
      <c r="S286" s="19" t="str">
        <f aca="false">IF(OR(J286="",J286=0),"",(L286+M286+N286+O286)/J286)</f>
        <v/>
      </c>
      <c r="T286" s="12"/>
    </row>
    <row r="287" customFormat="false" ht="15" hidden="false" customHeight="false" outlineLevel="0" collapsed="false">
      <c r="A287" s="11"/>
      <c r="B287" s="12"/>
      <c r="C287" s="12"/>
      <c r="D287" s="12"/>
      <c r="E287" s="12"/>
      <c r="F287" s="12"/>
      <c r="G287" s="12"/>
      <c r="H287" s="12"/>
      <c r="I287" s="12"/>
      <c r="J287" s="17"/>
      <c r="K287" s="18"/>
      <c r="L287" s="17"/>
      <c r="M287" s="17"/>
      <c r="N287" s="17"/>
      <c r="O287" s="17"/>
      <c r="P287" s="17"/>
      <c r="Q287" s="17"/>
      <c r="R287" s="17"/>
      <c r="S287" s="19" t="str">
        <f aca="false">IF(OR(J287="",J287=0),"",(L287+M287+N287+O287)/J287)</f>
        <v/>
      </c>
      <c r="T287" s="12"/>
    </row>
    <row r="288" customFormat="false" ht="15" hidden="false" customHeight="false" outlineLevel="0" collapsed="false">
      <c r="A288" s="11"/>
      <c r="B288" s="12"/>
      <c r="C288" s="12"/>
      <c r="D288" s="12"/>
      <c r="E288" s="12"/>
      <c r="F288" s="12"/>
      <c r="G288" s="12"/>
      <c r="H288" s="12"/>
      <c r="I288" s="12"/>
      <c r="J288" s="17"/>
      <c r="K288" s="18"/>
      <c r="L288" s="17"/>
      <c r="M288" s="17"/>
      <c r="N288" s="17"/>
      <c r="O288" s="17"/>
      <c r="P288" s="17"/>
      <c r="Q288" s="17"/>
      <c r="R288" s="17"/>
      <c r="S288" s="19" t="str">
        <f aca="false">IF(OR(J288="",J288=0),"",(L288+M288+N288+O288)/J288)</f>
        <v/>
      </c>
      <c r="T288" s="12"/>
    </row>
    <row r="289" customFormat="false" ht="15" hidden="false" customHeight="false" outlineLevel="0" collapsed="false">
      <c r="A289" s="11"/>
      <c r="B289" s="12"/>
      <c r="C289" s="12"/>
      <c r="D289" s="12"/>
      <c r="E289" s="12"/>
      <c r="F289" s="12"/>
      <c r="G289" s="12"/>
      <c r="H289" s="12"/>
      <c r="I289" s="12"/>
      <c r="J289" s="17"/>
      <c r="K289" s="18"/>
      <c r="L289" s="17"/>
      <c r="M289" s="17"/>
      <c r="N289" s="17"/>
      <c r="O289" s="17"/>
      <c r="P289" s="17"/>
      <c r="Q289" s="17"/>
      <c r="R289" s="17"/>
      <c r="S289" s="19" t="str">
        <f aca="false">IF(OR(J289="",J289=0),"",(L289+M289+N289+O289)/J289)</f>
        <v/>
      </c>
      <c r="T289" s="12"/>
    </row>
    <row r="290" customFormat="false" ht="15" hidden="false" customHeight="false" outlineLevel="0" collapsed="false">
      <c r="A290" s="11"/>
      <c r="B290" s="12"/>
      <c r="C290" s="12"/>
      <c r="D290" s="12"/>
      <c r="E290" s="12"/>
      <c r="F290" s="12"/>
      <c r="G290" s="12"/>
      <c r="H290" s="12"/>
      <c r="I290" s="12"/>
      <c r="J290" s="17"/>
      <c r="K290" s="18"/>
      <c r="L290" s="17"/>
      <c r="M290" s="17"/>
      <c r="N290" s="17"/>
      <c r="O290" s="17"/>
      <c r="P290" s="17"/>
      <c r="Q290" s="17"/>
      <c r="R290" s="17"/>
      <c r="S290" s="19" t="str">
        <f aca="false">IF(OR(J290="",J290=0),"",(L290+M290+N290+O290)/J290)</f>
        <v/>
      </c>
      <c r="T290" s="12"/>
    </row>
    <row r="291" customFormat="false" ht="15" hidden="false" customHeight="false" outlineLevel="0" collapsed="false">
      <c r="A291" s="11"/>
      <c r="B291" s="12"/>
      <c r="C291" s="12"/>
      <c r="D291" s="12"/>
      <c r="E291" s="12"/>
      <c r="F291" s="12"/>
      <c r="G291" s="12"/>
      <c r="H291" s="12"/>
      <c r="I291" s="12"/>
      <c r="J291" s="17"/>
      <c r="K291" s="18"/>
      <c r="L291" s="17"/>
      <c r="M291" s="17"/>
      <c r="N291" s="17"/>
      <c r="O291" s="17"/>
      <c r="P291" s="17"/>
      <c r="Q291" s="17"/>
      <c r="R291" s="17"/>
      <c r="S291" s="19" t="str">
        <f aca="false">IF(OR(J291="",J291=0),"",(L291+M291+N291+O291)/J291)</f>
        <v/>
      </c>
      <c r="T291" s="12"/>
    </row>
    <row r="292" customFormat="false" ht="15" hidden="false" customHeight="false" outlineLevel="0" collapsed="false">
      <c r="A292" s="11"/>
      <c r="B292" s="12"/>
      <c r="C292" s="12"/>
      <c r="D292" s="12"/>
      <c r="E292" s="12"/>
      <c r="F292" s="12"/>
      <c r="G292" s="12"/>
      <c r="H292" s="12"/>
      <c r="I292" s="12"/>
      <c r="J292" s="17"/>
      <c r="K292" s="18"/>
      <c r="L292" s="17"/>
      <c r="M292" s="17"/>
      <c r="N292" s="17"/>
      <c r="O292" s="17"/>
      <c r="P292" s="17"/>
      <c r="Q292" s="17"/>
      <c r="R292" s="17"/>
      <c r="S292" s="19" t="str">
        <f aca="false">IF(OR(J292="",J292=0),"",(L292+M292+N292+O292)/J292)</f>
        <v/>
      </c>
      <c r="T292" s="12"/>
    </row>
    <row r="293" customFormat="false" ht="15" hidden="false" customHeight="false" outlineLevel="0" collapsed="false">
      <c r="A293" s="11"/>
      <c r="B293" s="12"/>
      <c r="C293" s="12"/>
      <c r="D293" s="12"/>
      <c r="E293" s="12"/>
      <c r="F293" s="12"/>
      <c r="G293" s="12"/>
      <c r="H293" s="12"/>
      <c r="I293" s="12"/>
      <c r="J293" s="17"/>
      <c r="K293" s="18"/>
      <c r="L293" s="17"/>
      <c r="M293" s="17"/>
      <c r="N293" s="17"/>
      <c r="O293" s="17"/>
      <c r="P293" s="17"/>
      <c r="Q293" s="17"/>
      <c r="R293" s="17"/>
      <c r="S293" s="19" t="str">
        <f aca="false">IF(OR(J293="",J293=0),"",(L293+M293+N293+O293)/J293)</f>
        <v/>
      </c>
      <c r="T293" s="12"/>
    </row>
    <row r="294" customFormat="false" ht="15" hidden="false" customHeight="false" outlineLevel="0" collapsed="false">
      <c r="A294" s="11"/>
      <c r="B294" s="12"/>
      <c r="C294" s="12"/>
      <c r="D294" s="12"/>
      <c r="E294" s="12"/>
      <c r="F294" s="12"/>
      <c r="G294" s="12"/>
      <c r="H294" s="12"/>
      <c r="I294" s="12"/>
      <c r="J294" s="17"/>
      <c r="K294" s="18"/>
      <c r="L294" s="17"/>
      <c r="M294" s="17"/>
      <c r="N294" s="17"/>
      <c r="O294" s="17"/>
      <c r="P294" s="17"/>
      <c r="Q294" s="17"/>
      <c r="R294" s="17"/>
      <c r="S294" s="19" t="str">
        <f aca="false">IF(OR(J294="",J294=0),"",(L294+M294+N294+O294)/J294)</f>
        <v/>
      </c>
      <c r="T294" s="12"/>
    </row>
    <row r="295" customFormat="false" ht="15" hidden="false" customHeight="false" outlineLevel="0" collapsed="false">
      <c r="A295" s="11"/>
      <c r="B295" s="12"/>
      <c r="C295" s="12"/>
      <c r="D295" s="12"/>
      <c r="E295" s="12"/>
      <c r="F295" s="12"/>
      <c r="G295" s="12"/>
      <c r="H295" s="12"/>
      <c r="I295" s="12"/>
      <c r="J295" s="17"/>
      <c r="K295" s="18"/>
      <c r="L295" s="17"/>
      <c r="M295" s="17"/>
      <c r="N295" s="17"/>
      <c r="O295" s="17"/>
      <c r="P295" s="17"/>
      <c r="Q295" s="17"/>
      <c r="R295" s="17"/>
      <c r="S295" s="19" t="str">
        <f aca="false">IF(OR(J295="",J295=0),"",(L295+M295+N295+O295)/J295)</f>
        <v/>
      </c>
      <c r="T295" s="12"/>
    </row>
    <row r="296" customFormat="false" ht="15" hidden="false" customHeight="false" outlineLevel="0" collapsed="false">
      <c r="A296" s="11"/>
      <c r="B296" s="12"/>
      <c r="C296" s="12"/>
      <c r="D296" s="12"/>
      <c r="E296" s="12"/>
      <c r="F296" s="12"/>
      <c r="G296" s="12"/>
      <c r="H296" s="12"/>
      <c r="I296" s="12"/>
      <c r="J296" s="17"/>
      <c r="K296" s="18"/>
      <c r="L296" s="17"/>
      <c r="M296" s="17"/>
      <c r="N296" s="17"/>
      <c r="O296" s="17"/>
      <c r="P296" s="17"/>
      <c r="Q296" s="17"/>
      <c r="R296" s="17"/>
      <c r="S296" s="19" t="str">
        <f aca="false">IF(OR(J296="",J296=0),"",(L296+M296+N296+O296)/J296)</f>
        <v/>
      </c>
      <c r="T296" s="12"/>
    </row>
    <row r="297" customFormat="false" ht="15" hidden="false" customHeight="false" outlineLevel="0" collapsed="false">
      <c r="A297" s="11"/>
      <c r="B297" s="12"/>
      <c r="C297" s="12"/>
      <c r="D297" s="12"/>
      <c r="E297" s="12"/>
      <c r="F297" s="12"/>
      <c r="G297" s="12"/>
      <c r="H297" s="12"/>
      <c r="I297" s="12"/>
      <c r="J297" s="17"/>
      <c r="K297" s="18"/>
      <c r="L297" s="17"/>
      <c r="M297" s="17"/>
      <c r="N297" s="17"/>
      <c r="O297" s="17"/>
      <c r="P297" s="17"/>
      <c r="Q297" s="17"/>
      <c r="R297" s="17"/>
      <c r="S297" s="19" t="str">
        <f aca="false">IF(OR(J297="",J297=0),"",(L297+M297+N297+O297)/J297)</f>
        <v/>
      </c>
      <c r="T297" s="12"/>
    </row>
    <row r="298" customFormat="false" ht="15" hidden="false" customHeight="false" outlineLevel="0" collapsed="false">
      <c r="A298" s="11"/>
      <c r="B298" s="12"/>
      <c r="C298" s="12"/>
      <c r="D298" s="12"/>
      <c r="E298" s="12"/>
      <c r="F298" s="12"/>
      <c r="G298" s="12"/>
      <c r="H298" s="12"/>
      <c r="I298" s="12"/>
      <c r="J298" s="17"/>
      <c r="K298" s="18"/>
      <c r="L298" s="17"/>
      <c r="M298" s="17"/>
      <c r="N298" s="17"/>
      <c r="O298" s="17"/>
      <c r="P298" s="17"/>
      <c r="Q298" s="17"/>
      <c r="R298" s="17"/>
      <c r="S298" s="19" t="str">
        <f aca="false">IF(OR(J298="",J298=0),"",(L298+M298+N298+O298)/J298)</f>
        <v/>
      </c>
      <c r="T298" s="12"/>
    </row>
    <row r="299" customFormat="false" ht="15" hidden="false" customHeight="false" outlineLevel="0" collapsed="false">
      <c r="A299" s="11"/>
      <c r="B299" s="12"/>
      <c r="C299" s="12"/>
      <c r="D299" s="12"/>
      <c r="E299" s="12"/>
      <c r="F299" s="12"/>
      <c r="G299" s="12"/>
      <c r="H299" s="12"/>
      <c r="I299" s="12"/>
      <c r="J299" s="17"/>
      <c r="K299" s="18"/>
      <c r="L299" s="17"/>
      <c r="M299" s="17"/>
      <c r="N299" s="17"/>
      <c r="O299" s="17"/>
      <c r="P299" s="17"/>
      <c r="Q299" s="17"/>
      <c r="R299" s="17"/>
      <c r="S299" s="19" t="str">
        <f aca="false">IF(OR(J299="",J299=0),"",(L299+M299+N299+O299)/J299)</f>
        <v/>
      </c>
      <c r="T299" s="12"/>
    </row>
    <row r="300" customFormat="false" ht="15" hidden="false" customHeight="false" outlineLevel="0" collapsed="false">
      <c r="A300" s="11"/>
      <c r="B300" s="12"/>
      <c r="C300" s="12"/>
      <c r="D300" s="12"/>
      <c r="E300" s="12"/>
      <c r="F300" s="12"/>
      <c r="G300" s="12"/>
      <c r="H300" s="12"/>
      <c r="I300" s="12"/>
      <c r="J300" s="17"/>
      <c r="K300" s="18"/>
      <c r="L300" s="17"/>
      <c r="M300" s="17"/>
      <c r="N300" s="17"/>
      <c r="O300" s="17"/>
      <c r="P300" s="17"/>
      <c r="Q300" s="17"/>
      <c r="R300" s="17"/>
      <c r="S300" s="19" t="str">
        <f aca="false">IF(OR(J300="",J300=0),"",(L300+M300+N300+O300)/J300)</f>
        <v/>
      </c>
      <c r="T300" s="12"/>
    </row>
    <row r="301" customFormat="false" ht="15" hidden="false" customHeight="false" outlineLevel="0" collapsed="false">
      <c r="A301" s="11"/>
      <c r="B301" s="12"/>
      <c r="C301" s="12"/>
      <c r="D301" s="12"/>
      <c r="E301" s="12"/>
      <c r="F301" s="12"/>
      <c r="G301" s="12"/>
      <c r="H301" s="12"/>
      <c r="I301" s="12"/>
      <c r="J301" s="17"/>
      <c r="K301" s="18"/>
      <c r="L301" s="17"/>
      <c r="M301" s="17"/>
      <c r="N301" s="17"/>
      <c r="O301" s="17"/>
      <c r="P301" s="17"/>
      <c r="Q301" s="17"/>
      <c r="R301" s="17"/>
      <c r="S301" s="19" t="str">
        <f aca="false">IF(OR(J301="",J301=0),"",(L301+M301+N301+O301)/J301)</f>
        <v/>
      </c>
      <c r="T301" s="12"/>
    </row>
    <row r="302" customFormat="false" ht="15" hidden="false" customHeight="false" outlineLevel="0" collapsed="false">
      <c r="A302" s="11"/>
      <c r="B302" s="12"/>
      <c r="C302" s="12"/>
      <c r="D302" s="12"/>
      <c r="E302" s="12"/>
      <c r="F302" s="12"/>
      <c r="G302" s="12"/>
      <c r="H302" s="12"/>
      <c r="I302" s="12"/>
      <c r="J302" s="17"/>
      <c r="K302" s="18"/>
      <c r="L302" s="17"/>
      <c r="M302" s="17"/>
      <c r="N302" s="17"/>
      <c r="O302" s="17"/>
      <c r="P302" s="17"/>
      <c r="Q302" s="17"/>
      <c r="R302" s="17"/>
      <c r="S302" s="19" t="str">
        <f aca="false">IF(OR(J302="",J302=0),"",(L302+M302+N302+O302)/J302)</f>
        <v/>
      </c>
      <c r="T302" s="12"/>
    </row>
    <row r="303" customFormat="false" ht="15" hidden="false" customHeight="false" outlineLevel="0" collapsed="false">
      <c r="A303" s="11"/>
      <c r="B303" s="12"/>
      <c r="C303" s="12"/>
      <c r="D303" s="12"/>
      <c r="E303" s="12"/>
      <c r="F303" s="12"/>
      <c r="G303" s="12"/>
      <c r="H303" s="12"/>
      <c r="I303" s="12"/>
      <c r="J303" s="17"/>
      <c r="K303" s="18"/>
      <c r="L303" s="17"/>
      <c r="M303" s="17"/>
      <c r="N303" s="17"/>
      <c r="O303" s="17"/>
      <c r="P303" s="17"/>
      <c r="Q303" s="17"/>
      <c r="R303" s="17"/>
      <c r="S303" s="19" t="str">
        <f aca="false">IF(OR(J303="",J303=0),"",(L303+M303+N303+O303)/J303)</f>
        <v/>
      </c>
      <c r="T303" s="12"/>
    </row>
    <row r="304" customFormat="false" ht="15" hidden="false" customHeight="false" outlineLevel="0" collapsed="false">
      <c r="A304" s="11"/>
      <c r="B304" s="12"/>
      <c r="C304" s="12"/>
      <c r="D304" s="12"/>
      <c r="E304" s="12"/>
      <c r="F304" s="12"/>
      <c r="G304" s="12"/>
      <c r="H304" s="12"/>
      <c r="I304" s="12"/>
      <c r="J304" s="17"/>
      <c r="K304" s="18"/>
      <c r="L304" s="17"/>
      <c r="M304" s="17"/>
      <c r="N304" s="17"/>
      <c r="O304" s="17"/>
      <c r="P304" s="17"/>
      <c r="Q304" s="17"/>
      <c r="R304" s="17"/>
      <c r="S304" s="19" t="str">
        <f aca="false">IF(OR(J304="",J304=0),"",(L304+M304+N304+O304)/J304)</f>
        <v/>
      </c>
      <c r="T304" s="12"/>
    </row>
    <row r="305" customFormat="false" ht="15" hidden="false" customHeight="false" outlineLevel="0" collapsed="false">
      <c r="A305" s="11"/>
      <c r="B305" s="12"/>
      <c r="C305" s="12"/>
      <c r="D305" s="12"/>
      <c r="E305" s="12"/>
      <c r="F305" s="12"/>
      <c r="G305" s="12"/>
      <c r="H305" s="12"/>
      <c r="I305" s="12"/>
      <c r="J305" s="17"/>
      <c r="K305" s="18"/>
      <c r="L305" s="17"/>
      <c r="M305" s="17"/>
      <c r="N305" s="17"/>
      <c r="O305" s="17"/>
      <c r="P305" s="17"/>
      <c r="Q305" s="17"/>
      <c r="R305" s="17"/>
      <c r="S305" s="19" t="str">
        <f aca="false">IF(OR(J305="",J305=0),"",(L305+M305+N305+O305)/J305)</f>
        <v/>
      </c>
      <c r="T305" s="12"/>
    </row>
    <row r="306" customFormat="false" ht="15" hidden="false" customHeight="false" outlineLevel="0" collapsed="false">
      <c r="A306" s="11"/>
      <c r="B306" s="12"/>
      <c r="C306" s="12"/>
      <c r="D306" s="12"/>
      <c r="E306" s="12"/>
      <c r="F306" s="12"/>
      <c r="G306" s="12"/>
      <c r="H306" s="12"/>
      <c r="I306" s="12"/>
      <c r="J306" s="17"/>
      <c r="K306" s="18"/>
      <c r="L306" s="17"/>
      <c r="M306" s="17"/>
      <c r="N306" s="17"/>
      <c r="O306" s="17"/>
      <c r="P306" s="17"/>
      <c r="Q306" s="17"/>
      <c r="R306" s="17"/>
      <c r="S306" s="19" t="str">
        <f aca="false">IF(OR(J306="",J306=0),"",(L306+M306+N306+O306)/J306)</f>
        <v/>
      </c>
      <c r="T306" s="12"/>
    </row>
    <row r="307" customFormat="false" ht="15" hidden="false" customHeight="false" outlineLevel="0" collapsed="false">
      <c r="A307" s="11"/>
      <c r="B307" s="12"/>
      <c r="C307" s="12"/>
      <c r="D307" s="12"/>
      <c r="E307" s="12"/>
      <c r="F307" s="12"/>
      <c r="G307" s="12"/>
      <c r="H307" s="12"/>
      <c r="I307" s="12"/>
      <c r="J307" s="17"/>
      <c r="K307" s="18"/>
      <c r="L307" s="17"/>
      <c r="M307" s="17"/>
      <c r="N307" s="17"/>
      <c r="O307" s="17"/>
      <c r="P307" s="17"/>
      <c r="Q307" s="17"/>
      <c r="R307" s="17"/>
      <c r="S307" s="19" t="str">
        <f aca="false">IF(OR(J307="",J307=0),"",(L307+M307+N307+O307)/J307)</f>
        <v/>
      </c>
      <c r="T307" s="12"/>
    </row>
    <row r="308" customFormat="false" ht="15" hidden="false" customHeight="false" outlineLevel="0" collapsed="false">
      <c r="A308" s="11"/>
      <c r="B308" s="12"/>
      <c r="C308" s="12"/>
      <c r="D308" s="12"/>
      <c r="E308" s="12"/>
      <c r="F308" s="12"/>
      <c r="G308" s="12"/>
      <c r="H308" s="12"/>
      <c r="I308" s="12"/>
      <c r="J308" s="17"/>
      <c r="K308" s="18"/>
      <c r="L308" s="17"/>
      <c r="M308" s="17"/>
      <c r="N308" s="17"/>
      <c r="O308" s="17"/>
      <c r="P308" s="17"/>
      <c r="Q308" s="17"/>
      <c r="R308" s="17"/>
      <c r="S308" s="19" t="str">
        <f aca="false">IF(OR(J308="",J308=0),"",(L308+M308+N308+O308)/J308)</f>
        <v/>
      </c>
      <c r="T308" s="12"/>
    </row>
    <row r="309" customFormat="false" ht="15" hidden="false" customHeight="false" outlineLevel="0" collapsed="false">
      <c r="A309" s="11"/>
      <c r="B309" s="12"/>
      <c r="C309" s="12"/>
      <c r="D309" s="12"/>
      <c r="E309" s="12"/>
      <c r="F309" s="12"/>
      <c r="G309" s="12"/>
      <c r="H309" s="12"/>
      <c r="I309" s="12"/>
      <c r="J309" s="17"/>
      <c r="K309" s="18"/>
      <c r="L309" s="17"/>
      <c r="M309" s="17"/>
      <c r="N309" s="17"/>
      <c r="O309" s="17"/>
      <c r="P309" s="17"/>
      <c r="Q309" s="17"/>
      <c r="R309" s="17"/>
      <c r="S309" s="19" t="str">
        <f aca="false">IF(OR(J309="",J309=0),"",(L309+M309+N309+O309)/J309)</f>
        <v/>
      </c>
      <c r="T309" s="12"/>
    </row>
    <row r="310" customFormat="false" ht="15" hidden="false" customHeight="false" outlineLevel="0" collapsed="false">
      <c r="A310" s="11"/>
      <c r="B310" s="12"/>
      <c r="C310" s="12"/>
      <c r="D310" s="12"/>
      <c r="E310" s="12"/>
      <c r="F310" s="12"/>
      <c r="G310" s="12"/>
      <c r="H310" s="12"/>
      <c r="I310" s="12"/>
      <c r="J310" s="17"/>
      <c r="K310" s="18"/>
      <c r="L310" s="17"/>
      <c r="M310" s="17"/>
      <c r="N310" s="17"/>
      <c r="O310" s="17"/>
      <c r="P310" s="17"/>
      <c r="Q310" s="17"/>
      <c r="R310" s="17"/>
      <c r="S310" s="19" t="str">
        <f aca="false">IF(OR(J310="",J310=0),"",(L310+M310+N310+O310)/J310)</f>
        <v/>
      </c>
      <c r="T310" s="12"/>
    </row>
    <row r="311" customFormat="false" ht="15" hidden="false" customHeight="false" outlineLevel="0" collapsed="false">
      <c r="A311" s="11"/>
      <c r="B311" s="12"/>
      <c r="C311" s="12"/>
      <c r="D311" s="12"/>
      <c r="E311" s="12"/>
      <c r="F311" s="12"/>
      <c r="G311" s="12"/>
      <c r="H311" s="12"/>
      <c r="I311" s="12"/>
      <c r="J311" s="17"/>
      <c r="K311" s="18"/>
      <c r="L311" s="17"/>
      <c r="M311" s="17"/>
      <c r="N311" s="17"/>
      <c r="O311" s="17"/>
      <c r="P311" s="17"/>
      <c r="Q311" s="17"/>
      <c r="R311" s="17"/>
      <c r="S311" s="19" t="str">
        <f aca="false">IF(OR(J311="",J311=0),"",(L311+M311+N311+O311)/J311)</f>
        <v/>
      </c>
      <c r="T311" s="12"/>
    </row>
    <row r="312" customFormat="false" ht="15" hidden="false" customHeight="false" outlineLevel="0" collapsed="false">
      <c r="A312" s="11"/>
      <c r="B312" s="12"/>
      <c r="C312" s="12"/>
      <c r="D312" s="12"/>
      <c r="E312" s="12"/>
      <c r="F312" s="12"/>
      <c r="G312" s="12"/>
      <c r="H312" s="12"/>
      <c r="I312" s="12"/>
      <c r="J312" s="17"/>
      <c r="K312" s="18"/>
      <c r="L312" s="17"/>
      <c r="M312" s="17"/>
      <c r="N312" s="17"/>
      <c r="O312" s="17"/>
      <c r="P312" s="17"/>
      <c r="Q312" s="17"/>
      <c r="R312" s="17"/>
      <c r="S312" s="19" t="str">
        <f aca="false">IF(OR(J312="",J312=0),"",(L312+M312+N312+O312)/J312)</f>
        <v/>
      </c>
      <c r="T312" s="12"/>
    </row>
    <row r="313" customFormat="false" ht="15" hidden="false" customHeight="false" outlineLevel="0" collapsed="false">
      <c r="A313" s="11"/>
      <c r="B313" s="12"/>
      <c r="C313" s="12"/>
      <c r="D313" s="12"/>
      <c r="E313" s="12"/>
      <c r="F313" s="12"/>
      <c r="G313" s="12"/>
      <c r="H313" s="12"/>
      <c r="I313" s="12"/>
      <c r="J313" s="17"/>
      <c r="K313" s="18"/>
      <c r="L313" s="17"/>
      <c r="M313" s="17"/>
      <c r="N313" s="17"/>
      <c r="O313" s="17"/>
      <c r="P313" s="17"/>
      <c r="Q313" s="17"/>
      <c r="R313" s="17"/>
      <c r="S313" s="19" t="str">
        <f aca="false">IF(OR(J313="",J313=0),"",(L313+M313+N313+O313)/J313)</f>
        <v/>
      </c>
      <c r="T313" s="12"/>
    </row>
    <row r="314" customFormat="false" ht="15" hidden="false" customHeight="false" outlineLevel="0" collapsed="false">
      <c r="A314" s="11"/>
      <c r="B314" s="12"/>
      <c r="C314" s="12"/>
      <c r="D314" s="12"/>
      <c r="E314" s="12"/>
      <c r="F314" s="12"/>
      <c r="G314" s="12"/>
      <c r="H314" s="12"/>
      <c r="I314" s="12"/>
      <c r="J314" s="17"/>
      <c r="K314" s="18"/>
      <c r="L314" s="17"/>
      <c r="M314" s="17"/>
      <c r="N314" s="17"/>
      <c r="O314" s="17"/>
      <c r="P314" s="17"/>
      <c r="Q314" s="17"/>
      <c r="R314" s="17"/>
      <c r="S314" s="19" t="str">
        <f aca="false">IF(OR(J314="",J314=0),"",(L314+M314+N314+O314)/J314)</f>
        <v/>
      </c>
      <c r="T314" s="12"/>
    </row>
    <row r="315" customFormat="false" ht="15" hidden="false" customHeight="false" outlineLevel="0" collapsed="false">
      <c r="A315" s="11"/>
      <c r="B315" s="12"/>
      <c r="C315" s="12"/>
      <c r="D315" s="12"/>
      <c r="E315" s="12"/>
      <c r="F315" s="12"/>
      <c r="G315" s="12"/>
      <c r="H315" s="12"/>
      <c r="I315" s="12"/>
      <c r="J315" s="17"/>
      <c r="K315" s="18"/>
      <c r="L315" s="17"/>
      <c r="M315" s="17"/>
      <c r="N315" s="17"/>
      <c r="O315" s="17"/>
      <c r="P315" s="17"/>
      <c r="Q315" s="17"/>
      <c r="R315" s="17"/>
      <c r="S315" s="19" t="str">
        <f aca="false">IF(OR(J315="",J315=0),"",(L315+M315+N315+O315)/J315)</f>
        <v/>
      </c>
      <c r="T315" s="12"/>
    </row>
    <row r="316" customFormat="false" ht="15" hidden="false" customHeight="false" outlineLevel="0" collapsed="false">
      <c r="A316" s="11"/>
      <c r="B316" s="12"/>
      <c r="C316" s="12"/>
      <c r="D316" s="12"/>
      <c r="E316" s="12"/>
      <c r="F316" s="12"/>
      <c r="G316" s="12"/>
      <c r="H316" s="12"/>
      <c r="I316" s="12"/>
      <c r="J316" s="17"/>
      <c r="K316" s="18"/>
      <c r="L316" s="17"/>
      <c r="M316" s="17"/>
      <c r="N316" s="17"/>
      <c r="O316" s="17"/>
      <c r="P316" s="17"/>
      <c r="Q316" s="17"/>
      <c r="R316" s="17"/>
      <c r="S316" s="19" t="str">
        <f aca="false">IF(OR(J316="",J316=0),"",(L316+M316+N316+O316)/J316)</f>
        <v/>
      </c>
      <c r="T316" s="12"/>
    </row>
    <row r="317" customFormat="false" ht="15" hidden="false" customHeight="false" outlineLevel="0" collapsed="false">
      <c r="A317" s="11"/>
      <c r="B317" s="12"/>
      <c r="C317" s="12"/>
      <c r="D317" s="12"/>
      <c r="E317" s="12"/>
      <c r="F317" s="12"/>
      <c r="G317" s="12"/>
      <c r="H317" s="12"/>
      <c r="I317" s="12"/>
      <c r="J317" s="17"/>
      <c r="K317" s="18"/>
      <c r="L317" s="17"/>
      <c r="M317" s="17"/>
      <c r="N317" s="17"/>
      <c r="O317" s="17"/>
      <c r="P317" s="17"/>
      <c r="Q317" s="17"/>
      <c r="R317" s="17"/>
      <c r="S317" s="19" t="str">
        <f aca="false">IF(OR(J317="",J317=0),"",(L317+M317+N317+O317)/J317)</f>
        <v/>
      </c>
      <c r="T317" s="12"/>
    </row>
    <row r="318" customFormat="false" ht="15" hidden="false" customHeight="false" outlineLevel="0" collapsed="false">
      <c r="A318" s="11"/>
      <c r="B318" s="12"/>
      <c r="C318" s="12"/>
      <c r="D318" s="12"/>
      <c r="E318" s="12"/>
      <c r="F318" s="12"/>
      <c r="G318" s="12"/>
      <c r="H318" s="12"/>
      <c r="I318" s="12"/>
      <c r="J318" s="17"/>
      <c r="K318" s="18"/>
      <c r="L318" s="17"/>
      <c r="M318" s="17"/>
      <c r="N318" s="17"/>
      <c r="O318" s="17"/>
      <c r="P318" s="17"/>
      <c r="Q318" s="17"/>
      <c r="R318" s="17"/>
      <c r="S318" s="19" t="str">
        <f aca="false">IF(OR(J318="",J318=0),"",(L318+M318+N318+O318)/J318)</f>
        <v/>
      </c>
      <c r="T318" s="12"/>
    </row>
    <row r="319" customFormat="false" ht="15" hidden="false" customHeight="false" outlineLevel="0" collapsed="false">
      <c r="A319" s="11"/>
      <c r="B319" s="12"/>
      <c r="C319" s="12"/>
      <c r="D319" s="12"/>
      <c r="E319" s="12"/>
      <c r="F319" s="12"/>
      <c r="G319" s="12"/>
      <c r="H319" s="12"/>
      <c r="I319" s="12"/>
      <c r="J319" s="17"/>
      <c r="K319" s="18"/>
      <c r="L319" s="17"/>
      <c r="M319" s="17"/>
      <c r="N319" s="17"/>
      <c r="O319" s="17"/>
      <c r="P319" s="17"/>
      <c r="Q319" s="17"/>
      <c r="R319" s="17"/>
      <c r="S319" s="19" t="str">
        <f aca="false">IF(OR(J319="",J319=0),"",(L319+M319+N319+O319)/J319)</f>
        <v/>
      </c>
      <c r="T319" s="12"/>
    </row>
    <row r="320" customFormat="false" ht="15" hidden="false" customHeight="false" outlineLevel="0" collapsed="false">
      <c r="A320" s="11"/>
      <c r="B320" s="12"/>
      <c r="C320" s="12"/>
      <c r="D320" s="12"/>
      <c r="E320" s="12"/>
      <c r="F320" s="12"/>
      <c r="G320" s="12"/>
      <c r="H320" s="12"/>
      <c r="I320" s="12"/>
      <c r="J320" s="17"/>
      <c r="K320" s="18"/>
      <c r="L320" s="17"/>
      <c r="M320" s="17"/>
      <c r="N320" s="17"/>
      <c r="O320" s="17"/>
      <c r="P320" s="17"/>
      <c r="Q320" s="17"/>
      <c r="R320" s="17"/>
      <c r="S320" s="19" t="str">
        <f aca="false">IF(OR(J320="",J320=0),"",(L320+M320+N320+O320)/J320)</f>
        <v/>
      </c>
      <c r="T320" s="12"/>
    </row>
    <row r="321" customFormat="false" ht="15" hidden="false" customHeight="false" outlineLevel="0" collapsed="false">
      <c r="A321" s="11"/>
      <c r="B321" s="12"/>
      <c r="C321" s="12"/>
      <c r="D321" s="12"/>
      <c r="E321" s="12"/>
      <c r="F321" s="12"/>
      <c r="G321" s="12"/>
      <c r="H321" s="12"/>
      <c r="I321" s="12"/>
      <c r="J321" s="17"/>
      <c r="K321" s="18"/>
      <c r="L321" s="17"/>
      <c r="M321" s="17"/>
      <c r="N321" s="17"/>
      <c r="O321" s="17"/>
      <c r="P321" s="17"/>
      <c r="Q321" s="17"/>
      <c r="R321" s="17"/>
      <c r="S321" s="19" t="str">
        <f aca="false">IF(OR(J321="",J321=0),"",(L321+M321+N321+O321)/J321)</f>
        <v/>
      </c>
      <c r="T321" s="12"/>
    </row>
    <row r="322" customFormat="false" ht="15" hidden="false" customHeight="false" outlineLevel="0" collapsed="false">
      <c r="A322" s="11"/>
      <c r="B322" s="12"/>
      <c r="C322" s="12"/>
      <c r="D322" s="12"/>
      <c r="E322" s="12"/>
      <c r="F322" s="12"/>
      <c r="G322" s="12"/>
      <c r="H322" s="12"/>
      <c r="I322" s="12"/>
      <c r="J322" s="17"/>
      <c r="K322" s="18"/>
      <c r="L322" s="17"/>
      <c r="M322" s="17"/>
      <c r="N322" s="17"/>
      <c r="O322" s="17"/>
      <c r="P322" s="17"/>
      <c r="Q322" s="17"/>
      <c r="R322" s="17"/>
      <c r="S322" s="19" t="str">
        <f aca="false">IF(OR(J322="",J322=0),"",(L322+M322+N322+O322)/J322)</f>
        <v/>
      </c>
      <c r="T322" s="12"/>
    </row>
    <row r="323" customFormat="false" ht="15" hidden="false" customHeight="false" outlineLevel="0" collapsed="false">
      <c r="A323" s="11"/>
      <c r="B323" s="12"/>
      <c r="C323" s="12"/>
      <c r="D323" s="12"/>
      <c r="E323" s="12"/>
      <c r="F323" s="12"/>
      <c r="G323" s="12"/>
      <c r="H323" s="12"/>
      <c r="I323" s="12"/>
      <c r="J323" s="17"/>
      <c r="K323" s="18"/>
      <c r="L323" s="17"/>
      <c r="M323" s="17"/>
      <c r="N323" s="17"/>
      <c r="O323" s="17"/>
      <c r="P323" s="17"/>
      <c r="Q323" s="17"/>
      <c r="R323" s="17"/>
      <c r="S323" s="19" t="str">
        <f aca="false">IF(OR(J323="",J323=0),"",(L323+M323+N323+O323)/J323)</f>
        <v/>
      </c>
      <c r="T323" s="12"/>
    </row>
    <row r="324" customFormat="false" ht="15" hidden="false" customHeight="false" outlineLevel="0" collapsed="false">
      <c r="A324" s="11"/>
      <c r="B324" s="12"/>
      <c r="C324" s="12"/>
      <c r="D324" s="12"/>
      <c r="E324" s="12"/>
      <c r="F324" s="12"/>
      <c r="G324" s="12"/>
      <c r="H324" s="12"/>
      <c r="I324" s="12"/>
      <c r="J324" s="17"/>
      <c r="K324" s="18"/>
      <c r="L324" s="17"/>
      <c r="M324" s="17"/>
      <c r="N324" s="17"/>
      <c r="O324" s="17"/>
      <c r="P324" s="17"/>
      <c r="Q324" s="17"/>
      <c r="R324" s="17"/>
      <c r="S324" s="19" t="str">
        <f aca="false">IF(OR(J324="",J324=0),"",(L324+M324+N324+O324)/J324)</f>
        <v/>
      </c>
      <c r="T324" s="12"/>
    </row>
    <row r="325" customFormat="false" ht="15" hidden="false" customHeight="false" outlineLevel="0" collapsed="false">
      <c r="A325" s="11"/>
      <c r="B325" s="12"/>
      <c r="C325" s="12"/>
      <c r="D325" s="12"/>
      <c r="E325" s="12"/>
      <c r="F325" s="12"/>
      <c r="G325" s="12"/>
      <c r="H325" s="12"/>
      <c r="I325" s="12"/>
      <c r="J325" s="17"/>
      <c r="K325" s="18"/>
      <c r="L325" s="17"/>
      <c r="M325" s="17"/>
      <c r="N325" s="17"/>
      <c r="O325" s="17"/>
      <c r="P325" s="17"/>
      <c r="Q325" s="17"/>
      <c r="R325" s="17"/>
      <c r="S325" s="19" t="str">
        <f aca="false">IF(OR(J325="",J325=0),"",(L325+M325+N325+O325)/J325)</f>
        <v/>
      </c>
      <c r="T325" s="12"/>
    </row>
    <row r="326" customFormat="false" ht="15" hidden="false" customHeight="false" outlineLevel="0" collapsed="false">
      <c r="A326" s="11"/>
      <c r="B326" s="12"/>
      <c r="C326" s="12"/>
      <c r="D326" s="12"/>
      <c r="E326" s="12"/>
      <c r="F326" s="12"/>
      <c r="G326" s="12"/>
      <c r="H326" s="12"/>
      <c r="I326" s="12"/>
      <c r="J326" s="17"/>
      <c r="K326" s="18"/>
      <c r="L326" s="17"/>
      <c r="M326" s="17"/>
      <c r="N326" s="17"/>
      <c r="O326" s="17"/>
      <c r="P326" s="17"/>
      <c r="Q326" s="17"/>
      <c r="R326" s="17"/>
      <c r="S326" s="19" t="str">
        <f aca="false">IF(OR(J326="",J326=0),"",(L326+M326+N326+O326)/J326)</f>
        <v/>
      </c>
      <c r="T326" s="12"/>
    </row>
    <row r="327" customFormat="false" ht="15" hidden="false" customHeight="false" outlineLevel="0" collapsed="false">
      <c r="A327" s="11"/>
      <c r="B327" s="12"/>
      <c r="C327" s="12"/>
      <c r="D327" s="12"/>
      <c r="E327" s="12"/>
      <c r="F327" s="12"/>
      <c r="G327" s="12"/>
      <c r="H327" s="12"/>
      <c r="I327" s="12"/>
      <c r="J327" s="17"/>
      <c r="K327" s="18"/>
      <c r="L327" s="17"/>
      <c r="M327" s="17"/>
      <c r="N327" s="17"/>
      <c r="O327" s="17"/>
      <c r="P327" s="17"/>
      <c r="Q327" s="17"/>
      <c r="R327" s="17"/>
      <c r="S327" s="19" t="str">
        <f aca="false">IF(OR(J327="",J327=0),"",(L327+M327+N327+O327)/J327)</f>
        <v/>
      </c>
      <c r="T327" s="12"/>
    </row>
    <row r="328" customFormat="false" ht="15" hidden="false" customHeight="false" outlineLevel="0" collapsed="false">
      <c r="A328" s="11"/>
      <c r="B328" s="12"/>
      <c r="C328" s="12"/>
      <c r="D328" s="12"/>
      <c r="E328" s="12"/>
      <c r="F328" s="12"/>
      <c r="G328" s="12"/>
      <c r="H328" s="12"/>
      <c r="I328" s="12"/>
      <c r="J328" s="17"/>
      <c r="K328" s="18"/>
      <c r="L328" s="17"/>
      <c r="M328" s="17"/>
      <c r="N328" s="17"/>
      <c r="O328" s="17"/>
      <c r="P328" s="17"/>
      <c r="Q328" s="17"/>
      <c r="R328" s="17"/>
      <c r="S328" s="19" t="str">
        <f aca="false">IF(OR(J328="",J328=0),"",(L328+M328+N328+O328)/J328)</f>
        <v/>
      </c>
      <c r="T328" s="12"/>
    </row>
    <row r="329" customFormat="false" ht="15" hidden="false" customHeight="false" outlineLevel="0" collapsed="false">
      <c r="A329" s="11"/>
      <c r="B329" s="12"/>
      <c r="C329" s="12"/>
      <c r="D329" s="12"/>
      <c r="E329" s="12"/>
      <c r="F329" s="12"/>
      <c r="G329" s="12"/>
      <c r="H329" s="12"/>
      <c r="I329" s="12"/>
      <c r="J329" s="17"/>
      <c r="K329" s="18"/>
      <c r="L329" s="17"/>
      <c r="M329" s="17"/>
      <c r="N329" s="17"/>
      <c r="O329" s="17"/>
      <c r="P329" s="17"/>
      <c r="Q329" s="17"/>
      <c r="R329" s="17"/>
      <c r="S329" s="19" t="str">
        <f aca="false">IF(OR(J329="",J329=0),"",(L329+M329+N329+O329)/J329)</f>
        <v/>
      </c>
      <c r="T329" s="12"/>
    </row>
    <row r="330" customFormat="false" ht="15" hidden="false" customHeight="false" outlineLevel="0" collapsed="false">
      <c r="A330" s="11"/>
      <c r="B330" s="12"/>
      <c r="C330" s="12"/>
      <c r="D330" s="12"/>
      <c r="E330" s="12"/>
      <c r="F330" s="12"/>
      <c r="G330" s="12"/>
      <c r="H330" s="12"/>
      <c r="I330" s="12"/>
      <c r="J330" s="17"/>
      <c r="K330" s="18"/>
      <c r="L330" s="17"/>
      <c r="M330" s="17"/>
      <c r="N330" s="17"/>
      <c r="O330" s="17"/>
      <c r="P330" s="17"/>
      <c r="Q330" s="17"/>
      <c r="R330" s="17"/>
      <c r="S330" s="19" t="str">
        <f aca="false">IF(OR(J330="",J330=0),"",(L330+M330+N330+O330)/J330)</f>
        <v/>
      </c>
      <c r="T330" s="12"/>
    </row>
    <row r="331" customFormat="false" ht="15" hidden="false" customHeight="false" outlineLevel="0" collapsed="false">
      <c r="A331" s="11"/>
      <c r="B331" s="12"/>
      <c r="C331" s="12"/>
      <c r="D331" s="12"/>
      <c r="E331" s="12"/>
      <c r="F331" s="12"/>
      <c r="G331" s="12"/>
      <c r="H331" s="12"/>
      <c r="I331" s="12"/>
      <c r="J331" s="17"/>
      <c r="K331" s="18"/>
      <c r="L331" s="17"/>
      <c r="M331" s="17"/>
      <c r="N331" s="17"/>
      <c r="O331" s="17"/>
      <c r="P331" s="17"/>
      <c r="Q331" s="17"/>
      <c r="R331" s="17"/>
      <c r="S331" s="19" t="str">
        <f aca="false">IF(OR(J331="",J331=0),"",(L331+M331+N331+O331)/J331)</f>
        <v/>
      </c>
      <c r="T331" s="12"/>
    </row>
    <row r="332" customFormat="false" ht="15" hidden="false" customHeight="false" outlineLevel="0" collapsed="false">
      <c r="A332" s="11"/>
      <c r="B332" s="12"/>
      <c r="C332" s="12"/>
      <c r="D332" s="12"/>
      <c r="E332" s="12"/>
      <c r="F332" s="12"/>
      <c r="G332" s="12"/>
      <c r="H332" s="12"/>
      <c r="I332" s="12"/>
      <c r="J332" s="17"/>
      <c r="K332" s="18"/>
      <c r="L332" s="17"/>
      <c r="M332" s="17"/>
      <c r="N332" s="17"/>
      <c r="O332" s="17"/>
      <c r="P332" s="17"/>
      <c r="Q332" s="17"/>
      <c r="R332" s="17"/>
      <c r="S332" s="19" t="str">
        <f aca="false">IF(OR(J332="",J332=0),"",(L332+M332+N332+O332)/J332)</f>
        <v/>
      </c>
      <c r="T332" s="12"/>
    </row>
    <row r="333" customFormat="false" ht="15" hidden="false" customHeight="false" outlineLevel="0" collapsed="false">
      <c r="A333" s="11"/>
      <c r="B333" s="12"/>
      <c r="C333" s="12"/>
      <c r="D333" s="12"/>
      <c r="E333" s="12"/>
      <c r="F333" s="12"/>
      <c r="G333" s="12"/>
      <c r="H333" s="12"/>
      <c r="I333" s="12"/>
      <c r="J333" s="17"/>
      <c r="K333" s="18"/>
      <c r="L333" s="17"/>
      <c r="M333" s="17"/>
      <c r="N333" s="17"/>
      <c r="O333" s="17"/>
      <c r="P333" s="17"/>
      <c r="Q333" s="17"/>
      <c r="R333" s="17"/>
      <c r="S333" s="19" t="str">
        <f aca="false">IF(OR(J333="",J333=0),"",(L333+M333+N333+O333)/J333)</f>
        <v/>
      </c>
      <c r="T333" s="12"/>
    </row>
    <row r="334" customFormat="false" ht="15" hidden="false" customHeight="false" outlineLevel="0" collapsed="false">
      <c r="A334" s="11"/>
      <c r="B334" s="12"/>
      <c r="C334" s="12"/>
      <c r="D334" s="12"/>
      <c r="E334" s="12"/>
      <c r="F334" s="12"/>
      <c r="G334" s="12"/>
      <c r="H334" s="12"/>
      <c r="I334" s="12"/>
      <c r="J334" s="17"/>
      <c r="K334" s="18"/>
      <c r="L334" s="17"/>
      <c r="M334" s="17"/>
      <c r="N334" s="17"/>
      <c r="O334" s="17"/>
      <c r="P334" s="17"/>
      <c r="Q334" s="17"/>
      <c r="R334" s="17"/>
      <c r="S334" s="19" t="str">
        <f aca="false">IF(OR(J334="",J334=0),"",(L334+M334+N334+O334)/J334)</f>
        <v/>
      </c>
      <c r="T334" s="12"/>
    </row>
    <row r="335" customFormat="false" ht="15" hidden="false" customHeight="false" outlineLevel="0" collapsed="false">
      <c r="A335" s="11"/>
      <c r="B335" s="12"/>
      <c r="C335" s="12"/>
      <c r="D335" s="12"/>
      <c r="E335" s="12"/>
      <c r="F335" s="12"/>
      <c r="G335" s="12"/>
      <c r="H335" s="12"/>
      <c r="I335" s="12"/>
      <c r="J335" s="17"/>
      <c r="K335" s="18"/>
      <c r="L335" s="17"/>
      <c r="M335" s="17"/>
      <c r="N335" s="17"/>
      <c r="O335" s="17"/>
      <c r="P335" s="17"/>
      <c r="Q335" s="17"/>
      <c r="R335" s="17"/>
      <c r="S335" s="19" t="str">
        <f aca="false">IF(OR(J335="",J335=0),"",(L335+M335+N335+O335)/J335)</f>
        <v/>
      </c>
      <c r="T335" s="12"/>
    </row>
    <row r="336" customFormat="false" ht="15" hidden="false" customHeight="false" outlineLevel="0" collapsed="false">
      <c r="A336" s="11"/>
      <c r="B336" s="12"/>
      <c r="C336" s="12"/>
      <c r="D336" s="12"/>
      <c r="E336" s="12"/>
      <c r="F336" s="12"/>
      <c r="G336" s="12"/>
      <c r="H336" s="12"/>
      <c r="I336" s="12"/>
      <c r="J336" s="17"/>
      <c r="K336" s="18"/>
      <c r="L336" s="17"/>
      <c r="M336" s="17"/>
      <c r="N336" s="17"/>
      <c r="O336" s="17"/>
      <c r="P336" s="17"/>
      <c r="Q336" s="17"/>
      <c r="R336" s="17"/>
      <c r="S336" s="19" t="str">
        <f aca="false">IF(OR(J336="",J336=0),"",(L336+M336+N336+O336)/J336)</f>
        <v/>
      </c>
      <c r="T336" s="12"/>
    </row>
    <row r="337" customFormat="false" ht="15" hidden="false" customHeight="false" outlineLevel="0" collapsed="false">
      <c r="A337" s="11"/>
      <c r="B337" s="12"/>
      <c r="C337" s="12"/>
      <c r="D337" s="12"/>
      <c r="E337" s="12"/>
      <c r="F337" s="12"/>
      <c r="G337" s="12"/>
      <c r="H337" s="12"/>
      <c r="I337" s="12"/>
      <c r="J337" s="17"/>
      <c r="K337" s="18"/>
      <c r="L337" s="17"/>
      <c r="M337" s="17"/>
      <c r="N337" s="17"/>
      <c r="O337" s="17"/>
      <c r="P337" s="17"/>
      <c r="Q337" s="17"/>
      <c r="R337" s="17"/>
      <c r="S337" s="19" t="str">
        <f aca="false">IF(OR(J337="",J337=0),"",(L337+M337+N337+O337)/J337)</f>
        <v/>
      </c>
      <c r="T337" s="12"/>
    </row>
    <row r="338" customFormat="false" ht="15" hidden="false" customHeight="false" outlineLevel="0" collapsed="false">
      <c r="A338" s="11"/>
      <c r="B338" s="12"/>
      <c r="C338" s="12"/>
      <c r="D338" s="12"/>
      <c r="E338" s="12"/>
      <c r="F338" s="12"/>
      <c r="G338" s="12"/>
      <c r="H338" s="12"/>
      <c r="I338" s="12"/>
      <c r="J338" s="17"/>
      <c r="K338" s="18"/>
      <c r="L338" s="17"/>
      <c r="M338" s="17"/>
      <c r="N338" s="17"/>
      <c r="O338" s="17"/>
      <c r="P338" s="17"/>
      <c r="Q338" s="17"/>
      <c r="R338" s="17"/>
      <c r="S338" s="19" t="str">
        <f aca="false">IF(OR(J338="",J338=0),"",(L338+M338+N338+O338)/J338)</f>
        <v/>
      </c>
      <c r="T338" s="12"/>
    </row>
    <row r="339" customFormat="false" ht="15" hidden="false" customHeight="false" outlineLevel="0" collapsed="false">
      <c r="A339" s="11"/>
      <c r="B339" s="12"/>
      <c r="C339" s="12"/>
      <c r="D339" s="12"/>
      <c r="E339" s="12"/>
      <c r="F339" s="12"/>
      <c r="G339" s="12"/>
      <c r="H339" s="12"/>
      <c r="I339" s="12"/>
      <c r="J339" s="17"/>
      <c r="K339" s="18"/>
      <c r="L339" s="17"/>
      <c r="M339" s="17"/>
      <c r="N339" s="17"/>
      <c r="O339" s="17"/>
      <c r="P339" s="17"/>
      <c r="Q339" s="17"/>
      <c r="R339" s="17"/>
      <c r="S339" s="19" t="str">
        <f aca="false">IF(OR(J339="",J339=0),"",(L339+M339+N339+O339)/J339)</f>
        <v/>
      </c>
      <c r="T339" s="12"/>
    </row>
    <row r="340" customFormat="false" ht="15" hidden="false" customHeight="false" outlineLevel="0" collapsed="false">
      <c r="A340" s="11"/>
      <c r="B340" s="12"/>
      <c r="C340" s="12"/>
      <c r="D340" s="12"/>
      <c r="E340" s="12"/>
      <c r="F340" s="12"/>
      <c r="G340" s="12"/>
      <c r="H340" s="12"/>
      <c r="I340" s="12"/>
      <c r="J340" s="17"/>
      <c r="K340" s="18"/>
      <c r="L340" s="17"/>
      <c r="M340" s="17"/>
      <c r="N340" s="17"/>
      <c r="O340" s="17"/>
      <c r="P340" s="17"/>
      <c r="Q340" s="17"/>
      <c r="R340" s="17"/>
      <c r="S340" s="19" t="str">
        <f aca="false">IF(OR(J340="",J340=0),"",(L340+M340+N340+O340)/J340)</f>
        <v/>
      </c>
      <c r="T340" s="12"/>
    </row>
    <row r="341" customFormat="false" ht="15" hidden="false" customHeight="false" outlineLevel="0" collapsed="false">
      <c r="A341" s="11"/>
      <c r="B341" s="12"/>
      <c r="C341" s="12"/>
      <c r="D341" s="12"/>
      <c r="E341" s="12"/>
      <c r="F341" s="12"/>
      <c r="G341" s="12"/>
      <c r="H341" s="12"/>
      <c r="I341" s="12"/>
      <c r="J341" s="17"/>
      <c r="K341" s="18"/>
      <c r="L341" s="17"/>
      <c r="M341" s="17"/>
      <c r="N341" s="17"/>
      <c r="O341" s="17"/>
      <c r="P341" s="17"/>
      <c r="Q341" s="17"/>
      <c r="R341" s="17"/>
      <c r="S341" s="19" t="str">
        <f aca="false">IF(OR(J341="",J341=0),"",(L341+M341+N341+O341)/J341)</f>
        <v/>
      </c>
      <c r="T341" s="12"/>
    </row>
    <row r="342" customFormat="false" ht="15" hidden="false" customHeight="false" outlineLevel="0" collapsed="false">
      <c r="A342" s="11"/>
      <c r="B342" s="12"/>
      <c r="C342" s="12"/>
      <c r="D342" s="12"/>
      <c r="E342" s="12"/>
      <c r="F342" s="12"/>
      <c r="G342" s="12"/>
      <c r="H342" s="12"/>
      <c r="I342" s="12"/>
      <c r="J342" s="17"/>
      <c r="K342" s="18"/>
      <c r="L342" s="17"/>
      <c r="M342" s="17"/>
      <c r="N342" s="17"/>
      <c r="O342" s="17"/>
      <c r="P342" s="17"/>
      <c r="Q342" s="17"/>
      <c r="R342" s="17"/>
      <c r="S342" s="19" t="str">
        <f aca="false">IF(OR(J342="",J342=0),"",(L342+M342+N342+O342)/J342)</f>
        <v/>
      </c>
      <c r="T342" s="12"/>
    </row>
    <row r="343" customFormat="false" ht="15" hidden="false" customHeight="false" outlineLevel="0" collapsed="false">
      <c r="A343" s="11"/>
      <c r="B343" s="12"/>
      <c r="C343" s="12"/>
      <c r="D343" s="12"/>
      <c r="E343" s="12"/>
      <c r="F343" s="12"/>
      <c r="G343" s="12"/>
      <c r="H343" s="12"/>
      <c r="I343" s="12"/>
      <c r="J343" s="17"/>
      <c r="K343" s="18"/>
      <c r="L343" s="17"/>
      <c r="M343" s="17"/>
      <c r="N343" s="17"/>
      <c r="O343" s="17"/>
      <c r="P343" s="17"/>
      <c r="Q343" s="17"/>
      <c r="R343" s="17"/>
      <c r="S343" s="19" t="str">
        <f aca="false">IF(OR(J343="",J343=0),"",(L343+M343+N343+O343)/J343)</f>
        <v/>
      </c>
      <c r="T343" s="12"/>
    </row>
    <row r="344" customFormat="false" ht="15" hidden="false" customHeight="false" outlineLevel="0" collapsed="false">
      <c r="A344" s="11"/>
      <c r="B344" s="12"/>
      <c r="C344" s="12"/>
      <c r="D344" s="12"/>
      <c r="E344" s="12"/>
      <c r="F344" s="12"/>
      <c r="G344" s="12"/>
      <c r="H344" s="12"/>
      <c r="I344" s="12"/>
      <c r="J344" s="17"/>
      <c r="K344" s="18"/>
      <c r="L344" s="17"/>
      <c r="M344" s="17"/>
      <c r="N344" s="17"/>
      <c r="O344" s="17"/>
      <c r="P344" s="17"/>
      <c r="Q344" s="17"/>
      <c r="R344" s="17"/>
      <c r="S344" s="19" t="str">
        <f aca="false">IF(OR(J344="",J344=0),"",(L344+M344+N344+O344)/J344)</f>
        <v/>
      </c>
      <c r="T344" s="12"/>
    </row>
    <row r="345" customFormat="false" ht="15" hidden="false" customHeight="false" outlineLevel="0" collapsed="false">
      <c r="A345" s="11"/>
      <c r="B345" s="12"/>
      <c r="C345" s="12"/>
      <c r="D345" s="12"/>
      <c r="E345" s="12"/>
      <c r="F345" s="12"/>
      <c r="G345" s="12"/>
      <c r="H345" s="12"/>
      <c r="I345" s="12"/>
      <c r="J345" s="17"/>
      <c r="K345" s="18"/>
      <c r="L345" s="17"/>
      <c r="M345" s="17"/>
      <c r="N345" s="17"/>
      <c r="O345" s="17"/>
      <c r="P345" s="17"/>
      <c r="Q345" s="17"/>
      <c r="R345" s="17"/>
      <c r="S345" s="19" t="str">
        <f aca="false">IF(OR(J345="",J345=0),"",(L345+M345+N345+O345)/J345)</f>
        <v/>
      </c>
      <c r="T345" s="12"/>
    </row>
    <row r="346" customFormat="false" ht="15" hidden="false" customHeight="false" outlineLevel="0" collapsed="false">
      <c r="A346" s="11"/>
      <c r="B346" s="12"/>
      <c r="C346" s="12"/>
      <c r="D346" s="12"/>
      <c r="E346" s="12"/>
      <c r="F346" s="12"/>
      <c r="G346" s="12"/>
      <c r="H346" s="12"/>
      <c r="I346" s="12"/>
      <c r="J346" s="17"/>
      <c r="K346" s="18"/>
      <c r="L346" s="17"/>
      <c r="M346" s="17"/>
      <c r="N346" s="17"/>
      <c r="O346" s="17"/>
      <c r="P346" s="17"/>
      <c r="Q346" s="17"/>
      <c r="R346" s="17"/>
      <c r="S346" s="19" t="str">
        <f aca="false">IF(OR(J346="",J346=0),"",(L346+M346+N346+O346)/J346)</f>
        <v/>
      </c>
      <c r="T346" s="12"/>
    </row>
    <row r="347" customFormat="false" ht="15" hidden="false" customHeight="false" outlineLevel="0" collapsed="false">
      <c r="A347" s="11"/>
      <c r="B347" s="12"/>
      <c r="C347" s="12"/>
      <c r="D347" s="12"/>
      <c r="E347" s="12"/>
      <c r="F347" s="12"/>
      <c r="G347" s="12"/>
      <c r="H347" s="12"/>
      <c r="I347" s="12"/>
      <c r="J347" s="17"/>
      <c r="K347" s="18"/>
      <c r="L347" s="17"/>
      <c r="M347" s="17"/>
      <c r="N347" s="17"/>
      <c r="O347" s="17"/>
      <c r="P347" s="17"/>
      <c r="Q347" s="17"/>
      <c r="R347" s="17"/>
      <c r="S347" s="19" t="str">
        <f aca="false">IF(OR(J347="",J347=0),"",(L347+M347+N347+O347)/J347)</f>
        <v/>
      </c>
      <c r="T347" s="12"/>
    </row>
    <row r="348" customFormat="false" ht="15" hidden="false" customHeight="false" outlineLevel="0" collapsed="false">
      <c r="A348" s="11"/>
      <c r="B348" s="12"/>
      <c r="C348" s="12"/>
      <c r="D348" s="12"/>
      <c r="E348" s="12"/>
      <c r="F348" s="12"/>
      <c r="G348" s="12"/>
      <c r="H348" s="12"/>
      <c r="I348" s="12"/>
      <c r="J348" s="17"/>
      <c r="K348" s="18"/>
      <c r="L348" s="17"/>
      <c r="M348" s="17"/>
      <c r="N348" s="17"/>
      <c r="O348" s="17"/>
      <c r="P348" s="17"/>
      <c r="Q348" s="17"/>
      <c r="R348" s="17"/>
      <c r="S348" s="19" t="str">
        <f aca="false">IF(OR(J348="",J348=0),"",(L348+M348+N348+O348)/J348)</f>
        <v/>
      </c>
      <c r="T348" s="12"/>
    </row>
    <row r="349" customFormat="false" ht="15" hidden="false" customHeight="false" outlineLevel="0" collapsed="false">
      <c r="A349" s="11"/>
      <c r="B349" s="12"/>
      <c r="C349" s="12"/>
      <c r="D349" s="12"/>
      <c r="E349" s="12"/>
      <c r="F349" s="12"/>
      <c r="G349" s="12"/>
      <c r="H349" s="12"/>
      <c r="I349" s="12"/>
      <c r="J349" s="17"/>
      <c r="K349" s="18"/>
      <c r="L349" s="17"/>
      <c r="M349" s="17"/>
      <c r="N349" s="17"/>
      <c r="O349" s="17"/>
      <c r="P349" s="17"/>
      <c r="Q349" s="17"/>
      <c r="R349" s="17"/>
      <c r="S349" s="19" t="str">
        <f aca="false">IF(OR(J349="",J349=0),"",(L349+M349+N349+O349)/J349)</f>
        <v/>
      </c>
      <c r="T349" s="12"/>
    </row>
    <row r="350" customFormat="false" ht="15" hidden="false" customHeight="false" outlineLevel="0" collapsed="false">
      <c r="A350" s="11"/>
      <c r="B350" s="12"/>
      <c r="C350" s="12"/>
      <c r="D350" s="12"/>
      <c r="E350" s="12"/>
      <c r="F350" s="12"/>
      <c r="G350" s="12"/>
      <c r="H350" s="12"/>
      <c r="I350" s="12"/>
      <c r="J350" s="17"/>
      <c r="K350" s="18"/>
      <c r="L350" s="17"/>
      <c r="M350" s="17"/>
      <c r="N350" s="17"/>
      <c r="O350" s="17"/>
      <c r="P350" s="17"/>
      <c r="Q350" s="17"/>
      <c r="R350" s="17"/>
      <c r="S350" s="19" t="str">
        <f aca="false">IF(OR(J350="",J350=0),"",(L350+M350+N350+O350)/J350)</f>
        <v/>
      </c>
      <c r="T350" s="12"/>
    </row>
    <row r="351" customFormat="false" ht="15" hidden="false" customHeight="false" outlineLevel="0" collapsed="false">
      <c r="A351" s="11"/>
      <c r="B351" s="12"/>
      <c r="C351" s="12"/>
      <c r="D351" s="12"/>
      <c r="E351" s="12"/>
      <c r="F351" s="12"/>
      <c r="G351" s="12"/>
      <c r="H351" s="12"/>
      <c r="I351" s="12"/>
      <c r="J351" s="17"/>
      <c r="K351" s="18"/>
      <c r="L351" s="17"/>
      <c r="M351" s="17"/>
      <c r="N351" s="17"/>
      <c r="O351" s="17"/>
      <c r="P351" s="17"/>
      <c r="Q351" s="17"/>
      <c r="R351" s="17"/>
      <c r="S351" s="19" t="str">
        <f aca="false">IF(OR(J351="",J351=0),"",(L351+M351+N351+O351)/J351)</f>
        <v/>
      </c>
      <c r="T351" s="12"/>
    </row>
    <row r="352" customFormat="false" ht="15" hidden="false" customHeight="false" outlineLevel="0" collapsed="false">
      <c r="A352" s="11"/>
      <c r="B352" s="12"/>
      <c r="C352" s="12"/>
      <c r="D352" s="12"/>
      <c r="E352" s="12"/>
      <c r="F352" s="12"/>
      <c r="G352" s="12"/>
      <c r="H352" s="12"/>
      <c r="I352" s="12"/>
      <c r="J352" s="17"/>
      <c r="K352" s="18"/>
      <c r="L352" s="17"/>
      <c r="M352" s="17"/>
      <c r="N352" s="17"/>
      <c r="O352" s="17"/>
      <c r="P352" s="17"/>
      <c r="Q352" s="17"/>
      <c r="R352" s="17"/>
      <c r="S352" s="19" t="str">
        <f aca="false">IF(OR(J352="",J352=0),"",(L352+M352+N352+O352)/J352)</f>
        <v/>
      </c>
      <c r="T352" s="12"/>
    </row>
    <row r="353" customFormat="false" ht="15" hidden="false" customHeight="false" outlineLevel="0" collapsed="false">
      <c r="A353" s="11"/>
      <c r="B353" s="12"/>
      <c r="C353" s="12"/>
      <c r="D353" s="12"/>
      <c r="E353" s="12"/>
      <c r="F353" s="12"/>
      <c r="G353" s="12"/>
      <c r="H353" s="12"/>
      <c r="I353" s="12"/>
      <c r="J353" s="17"/>
      <c r="K353" s="18"/>
      <c r="L353" s="17"/>
      <c r="M353" s="17"/>
      <c r="N353" s="17"/>
      <c r="O353" s="17"/>
      <c r="P353" s="17"/>
      <c r="Q353" s="17"/>
      <c r="R353" s="17"/>
      <c r="S353" s="19" t="str">
        <f aca="false">IF(OR(J353="",J353=0),"",(L353+M353+N353+O353)/J353)</f>
        <v/>
      </c>
      <c r="T353" s="12"/>
    </row>
    <row r="354" customFormat="false" ht="15" hidden="false" customHeight="false" outlineLevel="0" collapsed="false">
      <c r="A354" s="11"/>
      <c r="B354" s="12"/>
      <c r="C354" s="12"/>
      <c r="D354" s="12"/>
      <c r="E354" s="12"/>
      <c r="F354" s="12"/>
      <c r="G354" s="12"/>
      <c r="H354" s="12"/>
      <c r="I354" s="12"/>
      <c r="J354" s="17"/>
      <c r="K354" s="18"/>
      <c r="L354" s="17"/>
      <c r="M354" s="17"/>
      <c r="N354" s="17"/>
      <c r="O354" s="17"/>
      <c r="P354" s="17"/>
      <c r="Q354" s="17"/>
      <c r="R354" s="17"/>
      <c r="S354" s="19" t="str">
        <f aca="false">IF(OR(J354="",J354=0),"",(L354+M354+N354+O354)/J354)</f>
        <v/>
      </c>
      <c r="T354" s="12"/>
    </row>
    <row r="355" customFormat="false" ht="15" hidden="false" customHeight="false" outlineLevel="0" collapsed="false">
      <c r="A355" s="11"/>
      <c r="B355" s="12"/>
      <c r="C355" s="12"/>
      <c r="D355" s="12"/>
      <c r="E355" s="12"/>
      <c r="F355" s="12"/>
      <c r="G355" s="12"/>
      <c r="H355" s="12"/>
      <c r="I355" s="12"/>
      <c r="J355" s="17"/>
      <c r="K355" s="18"/>
      <c r="L355" s="17"/>
      <c r="M355" s="17"/>
      <c r="N355" s="17"/>
      <c r="O355" s="17"/>
      <c r="P355" s="17"/>
      <c r="Q355" s="17"/>
      <c r="R355" s="17"/>
      <c r="S355" s="19" t="str">
        <f aca="false">IF(OR(J355="",J355=0),"",(L355+M355+N355+O355)/J355)</f>
        <v/>
      </c>
      <c r="T355" s="12"/>
    </row>
    <row r="356" customFormat="false" ht="15" hidden="false" customHeight="false" outlineLevel="0" collapsed="false">
      <c r="A356" s="11"/>
      <c r="B356" s="12"/>
      <c r="C356" s="12"/>
      <c r="D356" s="12"/>
      <c r="E356" s="12"/>
      <c r="F356" s="12"/>
      <c r="G356" s="12"/>
      <c r="H356" s="12"/>
      <c r="I356" s="12"/>
      <c r="J356" s="17"/>
      <c r="K356" s="18"/>
      <c r="L356" s="17"/>
      <c r="M356" s="17"/>
      <c r="N356" s="17"/>
      <c r="O356" s="17"/>
      <c r="P356" s="17"/>
      <c r="Q356" s="17"/>
      <c r="R356" s="17"/>
      <c r="S356" s="19" t="str">
        <f aca="false">IF(OR(J356="",J356=0),"",(L356+M356+N356+O356)/J356)</f>
        <v/>
      </c>
      <c r="T356" s="12"/>
    </row>
    <row r="357" customFormat="false" ht="15" hidden="false" customHeight="false" outlineLevel="0" collapsed="false">
      <c r="A357" s="11"/>
      <c r="B357" s="12"/>
      <c r="C357" s="12"/>
      <c r="D357" s="12"/>
      <c r="E357" s="12"/>
      <c r="F357" s="12"/>
      <c r="G357" s="12"/>
      <c r="H357" s="12"/>
      <c r="I357" s="12"/>
      <c r="J357" s="17"/>
      <c r="K357" s="18"/>
      <c r="L357" s="17"/>
      <c r="M357" s="17"/>
      <c r="N357" s="17"/>
      <c r="O357" s="17"/>
      <c r="P357" s="17"/>
      <c r="Q357" s="17"/>
      <c r="R357" s="17"/>
      <c r="S357" s="19" t="str">
        <f aca="false">IF(OR(J357="",J357=0),"",(L357+M357+N357+O357)/J357)</f>
        <v/>
      </c>
      <c r="T357" s="12"/>
    </row>
    <row r="358" customFormat="false" ht="15" hidden="false" customHeight="false" outlineLevel="0" collapsed="false">
      <c r="A358" s="11"/>
      <c r="B358" s="12"/>
      <c r="C358" s="12"/>
      <c r="D358" s="12"/>
      <c r="E358" s="12"/>
      <c r="F358" s="12"/>
      <c r="G358" s="12"/>
      <c r="H358" s="12"/>
      <c r="I358" s="12"/>
      <c r="J358" s="17"/>
      <c r="K358" s="18"/>
      <c r="L358" s="17"/>
      <c r="M358" s="17"/>
      <c r="N358" s="17"/>
      <c r="O358" s="17"/>
      <c r="P358" s="17"/>
      <c r="Q358" s="17"/>
      <c r="R358" s="17"/>
      <c r="S358" s="19" t="str">
        <f aca="false">IF(OR(J358="",J358=0),"",(L358+M358+N358+O358)/J358)</f>
        <v/>
      </c>
      <c r="T358" s="12"/>
    </row>
    <row r="359" customFormat="false" ht="15" hidden="false" customHeight="false" outlineLevel="0" collapsed="false">
      <c r="A359" s="11"/>
      <c r="B359" s="12"/>
      <c r="C359" s="12"/>
      <c r="D359" s="12"/>
      <c r="E359" s="12"/>
      <c r="F359" s="12"/>
      <c r="G359" s="12"/>
      <c r="H359" s="12"/>
      <c r="I359" s="12"/>
      <c r="J359" s="17"/>
      <c r="K359" s="18"/>
      <c r="L359" s="17"/>
      <c r="M359" s="17"/>
      <c r="N359" s="17"/>
      <c r="O359" s="17"/>
      <c r="P359" s="17"/>
      <c r="Q359" s="17"/>
      <c r="R359" s="17"/>
      <c r="S359" s="19" t="str">
        <f aca="false">IF(OR(J359="",J359=0),"",(L359+M359+N359+O359)/J359)</f>
        <v/>
      </c>
      <c r="T359" s="12"/>
    </row>
    <row r="360" customFormat="false" ht="15" hidden="false" customHeight="false" outlineLevel="0" collapsed="false">
      <c r="A360" s="11"/>
      <c r="B360" s="12"/>
      <c r="C360" s="12"/>
      <c r="D360" s="12"/>
      <c r="E360" s="12"/>
      <c r="F360" s="12"/>
      <c r="G360" s="12"/>
      <c r="H360" s="12"/>
      <c r="I360" s="12"/>
      <c r="J360" s="17"/>
      <c r="K360" s="18"/>
      <c r="L360" s="17"/>
      <c r="M360" s="17"/>
      <c r="N360" s="17"/>
      <c r="O360" s="17"/>
      <c r="P360" s="17"/>
      <c r="Q360" s="17"/>
      <c r="R360" s="17"/>
      <c r="S360" s="19" t="str">
        <f aca="false">IF(OR(J360="",J360=0),"",(L360+M360+N360+O360)/J360)</f>
        <v/>
      </c>
      <c r="T360" s="12"/>
    </row>
    <row r="361" customFormat="false" ht="15" hidden="false" customHeight="false" outlineLevel="0" collapsed="false">
      <c r="A361" s="11"/>
      <c r="B361" s="12"/>
      <c r="C361" s="12"/>
      <c r="D361" s="12"/>
      <c r="E361" s="12"/>
      <c r="F361" s="12"/>
      <c r="G361" s="12"/>
      <c r="H361" s="12"/>
      <c r="I361" s="12"/>
      <c r="J361" s="17"/>
      <c r="K361" s="18"/>
      <c r="L361" s="17"/>
      <c r="M361" s="17"/>
      <c r="N361" s="17"/>
      <c r="O361" s="17"/>
      <c r="P361" s="17"/>
      <c r="Q361" s="17"/>
      <c r="R361" s="17"/>
      <c r="S361" s="19" t="str">
        <f aca="false">IF(OR(J361="",J361=0),"",(L361+M361+N361+O361)/J361)</f>
        <v/>
      </c>
      <c r="T361" s="12"/>
    </row>
    <row r="362" customFormat="false" ht="15" hidden="false" customHeight="false" outlineLevel="0" collapsed="false">
      <c r="A362" s="11"/>
      <c r="B362" s="12"/>
      <c r="C362" s="12"/>
      <c r="D362" s="12"/>
      <c r="E362" s="12"/>
      <c r="F362" s="12"/>
      <c r="G362" s="12"/>
      <c r="H362" s="12"/>
      <c r="I362" s="12"/>
      <c r="J362" s="17"/>
      <c r="K362" s="18"/>
      <c r="L362" s="17"/>
      <c r="M362" s="17"/>
      <c r="N362" s="17"/>
      <c r="O362" s="17"/>
      <c r="P362" s="17"/>
      <c r="Q362" s="17"/>
      <c r="R362" s="17"/>
      <c r="S362" s="19" t="str">
        <f aca="false">IF(OR(J362="",J362=0),"",(L362+M362+N362+O362)/J362)</f>
        <v/>
      </c>
      <c r="T362" s="12"/>
    </row>
    <row r="363" customFormat="false" ht="15" hidden="false" customHeight="false" outlineLevel="0" collapsed="false">
      <c r="A363" s="11"/>
      <c r="B363" s="12"/>
      <c r="C363" s="12"/>
      <c r="D363" s="12"/>
      <c r="E363" s="12"/>
      <c r="F363" s="12"/>
      <c r="G363" s="12"/>
      <c r="H363" s="12"/>
      <c r="I363" s="12"/>
      <c r="J363" s="17"/>
      <c r="K363" s="18"/>
      <c r="L363" s="17"/>
      <c r="M363" s="17"/>
      <c r="N363" s="17"/>
      <c r="O363" s="17"/>
      <c r="P363" s="17"/>
      <c r="Q363" s="17"/>
      <c r="R363" s="17"/>
      <c r="S363" s="19" t="str">
        <f aca="false">IF(OR(J363="",J363=0),"",(L363+M363+N363+O363)/J363)</f>
        <v/>
      </c>
      <c r="T363" s="12"/>
    </row>
    <row r="364" customFormat="false" ht="15" hidden="false" customHeight="false" outlineLevel="0" collapsed="false">
      <c r="A364" s="11"/>
      <c r="B364" s="12"/>
      <c r="C364" s="12"/>
      <c r="D364" s="12"/>
      <c r="E364" s="12"/>
      <c r="F364" s="12"/>
      <c r="G364" s="12"/>
      <c r="H364" s="12"/>
      <c r="I364" s="12"/>
      <c r="J364" s="17"/>
      <c r="K364" s="18"/>
      <c r="L364" s="17"/>
      <c r="M364" s="17"/>
      <c r="N364" s="17"/>
      <c r="O364" s="17"/>
      <c r="P364" s="17"/>
      <c r="Q364" s="17"/>
      <c r="R364" s="17"/>
      <c r="S364" s="19" t="str">
        <f aca="false">IF(OR(J364="",J364=0),"",(L364+M364+N364+O364)/J364)</f>
        <v/>
      </c>
      <c r="T364" s="12"/>
    </row>
    <row r="365" customFormat="false" ht="15" hidden="false" customHeight="false" outlineLevel="0" collapsed="false">
      <c r="A365" s="11"/>
      <c r="B365" s="12"/>
      <c r="C365" s="12"/>
      <c r="D365" s="12"/>
      <c r="E365" s="12"/>
      <c r="F365" s="12"/>
      <c r="G365" s="12"/>
      <c r="H365" s="12"/>
      <c r="I365" s="12"/>
      <c r="J365" s="17"/>
      <c r="K365" s="18"/>
      <c r="L365" s="17"/>
      <c r="M365" s="17"/>
      <c r="N365" s="17"/>
      <c r="O365" s="17"/>
      <c r="P365" s="17"/>
      <c r="Q365" s="17"/>
      <c r="R365" s="17"/>
      <c r="S365" s="19" t="str">
        <f aca="false">IF(OR(J365="",J365=0),"",(L365+M365+N365+O365)/J365)</f>
        <v/>
      </c>
      <c r="T365" s="12"/>
    </row>
    <row r="366" customFormat="false" ht="15" hidden="false" customHeight="false" outlineLevel="0" collapsed="false">
      <c r="A366" s="11"/>
      <c r="B366" s="12"/>
      <c r="C366" s="12"/>
      <c r="D366" s="12"/>
      <c r="E366" s="12"/>
      <c r="F366" s="12"/>
      <c r="G366" s="12"/>
      <c r="H366" s="12"/>
      <c r="I366" s="12"/>
      <c r="J366" s="17"/>
      <c r="K366" s="18"/>
      <c r="L366" s="17"/>
      <c r="M366" s="17"/>
      <c r="N366" s="17"/>
      <c r="O366" s="17"/>
      <c r="P366" s="17"/>
      <c r="Q366" s="17"/>
      <c r="R366" s="17"/>
      <c r="S366" s="19" t="str">
        <f aca="false">IF(OR(J366="",J366=0),"",(L366+M366+N366+O366)/J366)</f>
        <v/>
      </c>
      <c r="T366" s="12"/>
    </row>
    <row r="367" customFormat="false" ht="15" hidden="false" customHeight="false" outlineLevel="0" collapsed="false">
      <c r="A367" s="11"/>
      <c r="B367" s="12"/>
      <c r="C367" s="12"/>
      <c r="D367" s="12"/>
      <c r="E367" s="12"/>
      <c r="F367" s="12"/>
      <c r="G367" s="12"/>
      <c r="H367" s="12"/>
      <c r="I367" s="12"/>
      <c r="J367" s="17"/>
      <c r="K367" s="18"/>
      <c r="L367" s="17"/>
      <c r="M367" s="17"/>
      <c r="N367" s="17"/>
      <c r="O367" s="17"/>
      <c r="P367" s="17"/>
      <c r="Q367" s="17"/>
      <c r="R367" s="17"/>
      <c r="S367" s="19" t="str">
        <f aca="false">IF(OR(J367="",J367=0),"",(L367+M367+N367+O367)/J367)</f>
        <v/>
      </c>
      <c r="T367" s="12"/>
    </row>
    <row r="368" customFormat="false" ht="15" hidden="false" customHeight="false" outlineLevel="0" collapsed="false">
      <c r="A368" s="11"/>
      <c r="B368" s="12"/>
      <c r="C368" s="12"/>
      <c r="D368" s="12"/>
      <c r="E368" s="12"/>
      <c r="F368" s="12"/>
      <c r="G368" s="12"/>
      <c r="H368" s="12"/>
      <c r="I368" s="12"/>
      <c r="J368" s="17"/>
      <c r="K368" s="18"/>
      <c r="L368" s="17"/>
      <c r="M368" s="17"/>
      <c r="N368" s="17"/>
      <c r="O368" s="17"/>
      <c r="P368" s="17"/>
      <c r="Q368" s="17"/>
      <c r="R368" s="17"/>
      <c r="S368" s="19" t="str">
        <f aca="false">IF(OR(J368="",J368=0),"",(L368+M368+N368+O368)/J368)</f>
        <v/>
      </c>
      <c r="T368" s="12"/>
    </row>
    <row r="369" customFormat="false" ht="15" hidden="false" customHeight="false" outlineLevel="0" collapsed="false">
      <c r="A369" s="11"/>
      <c r="B369" s="12"/>
      <c r="C369" s="12"/>
      <c r="D369" s="12"/>
      <c r="E369" s="12"/>
      <c r="F369" s="12"/>
      <c r="G369" s="12"/>
      <c r="H369" s="12"/>
      <c r="I369" s="12"/>
      <c r="J369" s="17"/>
      <c r="K369" s="18"/>
      <c r="L369" s="17"/>
      <c r="M369" s="17"/>
      <c r="N369" s="17"/>
      <c r="O369" s="17"/>
      <c r="P369" s="17"/>
      <c r="Q369" s="17"/>
      <c r="R369" s="17"/>
      <c r="S369" s="19" t="str">
        <f aca="false">IF(OR(J369="",J369=0),"",(L369+M369+N369+O369)/J369)</f>
        <v/>
      </c>
      <c r="T369" s="12"/>
    </row>
    <row r="370" customFormat="false" ht="15" hidden="false" customHeight="false" outlineLevel="0" collapsed="false">
      <c r="A370" s="11"/>
      <c r="B370" s="12"/>
      <c r="C370" s="12"/>
      <c r="D370" s="12"/>
      <c r="E370" s="12"/>
      <c r="F370" s="12"/>
      <c r="G370" s="12"/>
      <c r="H370" s="12"/>
      <c r="I370" s="12"/>
      <c r="J370" s="17"/>
      <c r="K370" s="18"/>
      <c r="L370" s="17"/>
      <c r="M370" s="17"/>
      <c r="N370" s="17"/>
      <c r="O370" s="17"/>
      <c r="P370" s="17"/>
      <c r="Q370" s="17"/>
      <c r="R370" s="17"/>
      <c r="S370" s="19" t="str">
        <f aca="false">IF(OR(J370="",J370=0),"",(L370+M370+N370+O370)/J370)</f>
        <v/>
      </c>
      <c r="T370" s="12"/>
    </row>
    <row r="371" customFormat="false" ht="15" hidden="false" customHeight="false" outlineLevel="0" collapsed="false">
      <c r="A371" s="11"/>
      <c r="B371" s="12"/>
      <c r="C371" s="12"/>
      <c r="D371" s="12"/>
      <c r="E371" s="12"/>
      <c r="F371" s="12"/>
      <c r="G371" s="12"/>
      <c r="H371" s="12"/>
      <c r="I371" s="12"/>
      <c r="J371" s="17"/>
      <c r="K371" s="18"/>
      <c r="L371" s="17"/>
      <c r="M371" s="17"/>
      <c r="N371" s="17"/>
      <c r="O371" s="17"/>
      <c r="P371" s="17"/>
      <c r="Q371" s="17"/>
      <c r="R371" s="17"/>
      <c r="S371" s="19" t="str">
        <f aca="false">IF(OR(J371="",J371=0),"",(L371+M371+N371+O371)/J371)</f>
        <v/>
      </c>
      <c r="T371" s="12"/>
    </row>
    <row r="372" customFormat="false" ht="15" hidden="false" customHeight="false" outlineLevel="0" collapsed="false">
      <c r="A372" s="11"/>
      <c r="B372" s="12"/>
      <c r="C372" s="12"/>
      <c r="D372" s="12"/>
      <c r="E372" s="12"/>
      <c r="F372" s="12"/>
      <c r="G372" s="12"/>
      <c r="H372" s="12"/>
      <c r="I372" s="12"/>
      <c r="J372" s="17"/>
      <c r="K372" s="18"/>
      <c r="L372" s="17"/>
      <c r="M372" s="17"/>
      <c r="N372" s="17"/>
      <c r="O372" s="17"/>
      <c r="P372" s="17"/>
      <c r="Q372" s="17"/>
      <c r="R372" s="17"/>
      <c r="S372" s="19" t="str">
        <f aca="false">IF(OR(J372="",J372=0),"",(L372+M372+N372+O372)/J372)</f>
        <v/>
      </c>
      <c r="T372" s="12"/>
    </row>
    <row r="373" customFormat="false" ht="15" hidden="false" customHeight="false" outlineLevel="0" collapsed="false">
      <c r="A373" s="11"/>
      <c r="B373" s="12"/>
      <c r="C373" s="12"/>
      <c r="D373" s="12"/>
      <c r="E373" s="12"/>
      <c r="F373" s="12"/>
      <c r="G373" s="12"/>
      <c r="H373" s="12"/>
      <c r="I373" s="12"/>
      <c r="J373" s="17"/>
      <c r="K373" s="18"/>
      <c r="L373" s="17"/>
      <c r="M373" s="17"/>
      <c r="N373" s="17"/>
      <c r="O373" s="17"/>
      <c r="P373" s="17"/>
      <c r="Q373" s="17"/>
      <c r="R373" s="17"/>
      <c r="S373" s="19" t="str">
        <f aca="false">IF(OR(J373="",J373=0),"",(L373+M373+N373+O373)/J373)</f>
        <v/>
      </c>
      <c r="T373" s="12"/>
    </row>
    <row r="374" customFormat="false" ht="15" hidden="false" customHeight="false" outlineLevel="0" collapsed="false">
      <c r="A374" s="11"/>
      <c r="B374" s="12"/>
      <c r="C374" s="12"/>
      <c r="D374" s="12"/>
      <c r="E374" s="12"/>
      <c r="F374" s="12"/>
      <c r="G374" s="12"/>
      <c r="H374" s="12"/>
      <c r="I374" s="12"/>
      <c r="J374" s="17"/>
      <c r="K374" s="18"/>
      <c r="L374" s="17"/>
      <c r="M374" s="17"/>
      <c r="N374" s="17"/>
      <c r="O374" s="17"/>
      <c r="P374" s="17"/>
      <c r="Q374" s="17"/>
      <c r="R374" s="17"/>
      <c r="S374" s="19" t="str">
        <f aca="false">IF(OR(J374="",J374=0),"",(L374+M374+N374+O374)/J374)</f>
        <v/>
      </c>
      <c r="T374" s="12"/>
    </row>
    <row r="375" customFormat="false" ht="15" hidden="false" customHeight="false" outlineLevel="0" collapsed="false">
      <c r="A375" s="11"/>
      <c r="B375" s="12"/>
      <c r="C375" s="12"/>
      <c r="D375" s="12"/>
      <c r="E375" s="12"/>
      <c r="F375" s="12"/>
      <c r="G375" s="12"/>
      <c r="H375" s="12"/>
      <c r="I375" s="12"/>
      <c r="J375" s="17"/>
      <c r="K375" s="18"/>
      <c r="L375" s="17"/>
      <c r="M375" s="17"/>
      <c r="N375" s="17"/>
      <c r="O375" s="17"/>
      <c r="P375" s="17"/>
      <c r="Q375" s="17"/>
      <c r="R375" s="17"/>
      <c r="S375" s="19" t="str">
        <f aca="false">IF(OR(J375="",J375=0),"",(L375+M375+N375+O375)/J375)</f>
        <v/>
      </c>
      <c r="T375" s="12"/>
    </row>
    <row r="376" customFormat="false" ht="15" hidden="false" customHeight="false" outlineLevel="0" collapsed="false">
      <c r="A376" s="11"/>
      <c r="B376" s="12"/>
      <c r="C376" s="12"/>
      <c r="D376" s="12"/>
      <c r="E376" s="12"/>
      <c r="F376" s="12"/>
      <c r="G376" s="12"/>
      <c r="H376" s="12"/>
      <c r="I376" s="12"/>
      <c r="J376" s="17"/>
      <c r="K376" s="18"/>
      <c r="L376" s="17"/>
      <c r="M376" s="17"/>
      <c r="N376" s="17"/>
      <c r="O376" s="17"/>
      <c r="P376" s="17"/>
      <c r="Q376" s="17"/>
      <c r="R376" s="17"/>
      <c r="S376" s="19" t="str">
        <f aca="false">IF(OR(J376="",J376=0),"",(L376+M376+N376+O376)/J376)</f>
        <v/>
      </c>
      <c r="T376" s="12"/>
    </row>
    <row r="377" customFormat="false" ht="15" hidden="false" customHeight="false" outlineLevel="0" collapsed="false">
      <c r="A377" s="11"/>
      <c r="B377" s="12"/>
      <c r="C377" s="12"/>
      <c r="D377" s="12"/>
      <c r="E377" s="12"/>
      <c r="F377" s="12"/>
      <c r="G377" s="12"/>
      <c r="H377" s="12"/>
      <c r="I377" s="12"/>
      <c r="J377" s="17"/>
      <c r="K377" s="18"/>
      <c r="L377" s="17"/>
      <c r="M377" s="17"/>
      <c r="N377" s="17"/>
      <c r="O377" s="17"/>
      <c r="P377" s="17"/>
      <c r="Q377" s="17"/>
      <c r="R377" s="17"/>
      <c r="S377" s="19" t="str">
        <f aca="false">IF(OR(J377="",J377=0),"",(L377+M377+N377+O377)/J377)</f>
        <v/>
      </c>
      <c r="T377" s="12"/>
    </row>
    <row r="378" customFormat="false" ht="15" hidden="false" customHeight="false" outlineLevel="0" collapsed="false">
      <c r="A378" s="11"/>
      <c r="B378" s="12"/>
      <c r="C378" s="12"/>
      <c r="D378" s="12"/>
      <c r="E378" s="12"/>
      <c r="F378" s="12"/>
      <c r="G378" s="12"/>
      <c r="H378" s="12"/>
      <c r="I378" s="12"/>
      <c r="J378" s="17"/>
      <c r="K378" s="18"/>
      <c r="L378" s="17"/>
      <c r="M378" s="17"/>
      <c r="N378" s="17"/>
      <c r="O378" s="17"/>
      <c r="P378" s="17"/>
      <c r="Q378" s="17"/>
      <c r="R378" s="17"/>
      <c r="S378" s="19" t="str">
        <f aca="false">IF(OR(J378="",J378=0),"",(L378+M378+N378+O378)/J378)</f>
        <v/>
      </c>
      <c r="T378" s="12"/>
    </row>
    <row r="379" customFormat="false" ht="15" hidden="false" customHeight="false" outlineLevel="0" collapsed="false">
      <c r="A379" s="11"/>
      <c r="B379" s="12"/>
      <c r="C379" s="12"/>
      <c r="D379" s="12"/>
      <c r="E379" s="12"/>
      <c r="F379" s="12"/>
      <c r="G379" s="12"/>
      <c r="H379" s="12"/>
      <c r="I379" s="12"/>
      <c r="J379" s="17"/>
      <c r="K379" s="18"/>
      <c r="L379" s="17"/>
      <c r="M379" s="17"/>
      <c r="N379" s="17"/>
      <c r="O379" s="17"/>
      <c r="P379" s="17"/>
      <c r="Q379" s="17"/>
      <c r="R379" s="17"/>
      <c r="S379" s="19" t="str">
        <f aca="false">IF(OR(J379="",J379=0),"",(L379+M379+N379+O379)/J379)</f>
        <v/>
      </c>
      <c r="T379" s="12"/>
    </row>
    <row r="380" customFormat="false" ht="15" hidden="false" customHeight="false" outlineLevel="0" collapsed="false">
      <c r="A380" s="11"/>
      <c r="B380" s="12"/>
      <c r="C380" s="12"/>
      <c r="D380" s="12"/>
      <c r="E380" s="12"/>
      <c r="F380" s="12"/>
      <c r="G380" s="12"/>
      <c r="H380" s="12"/>
      <c r="I380" s="12"/>
      <c r="J380" s="17"/>
      <c r="K380" s="18"/>
      <c r="L380" s="17"/>
      <c r="M380" s="17"/>
      <c r="N380" s="17"/>
      <c r="O380" s="17"/>
      <c r="P380" s="17"/>
      <c r="Q380" s="17"/>
      <c r="R380" s="17"/>
      <c r="S380" s="19" t="str">
        <f aca="false">IF(OR(J380="",J380=0),"",(L380+M380+N380+O380)/J380)</f>
        <v/>
      </c>
      <c r="T380" s="12"/>
    </row>
    <row r="381" customFormat="false" ht="15" hidden="false" customHeight="false" outlineLevel="0" collapsed="false">
      <c r="A381" s="11"/>
      <c r="B381" s="12"/>
      <c r="C381" s="12"/>
      <c r="D381" s="12"/>
      <c r="E381" s="12"/>
      <c r="F381" s="12"/>
      <c r="G381" s="12"/>
      <c r="H381" s="12"/>
      <c r="I381" s="12"/>
      <c r="J381" s="17"/>
      <c r="K381" s="18"/>
      <c r="L381" s="17"/>
      <c r="M381" s="17"/>
      <c r="N381" s="17"/>
      <c r="O381" s="17"/>
      <c r="P381" s="17"/>
      <c r="Q381" s="17"/>
      <c r="R381" s="17"/>
      <c r="S381" s="19" t="str">
        <f aca="false">IF(OR(J381="",J381=0),"",(L381+M381+N381+O381)/J381)</f>
        <v/>
      </c>
      <c r="T381" s="12"/>
    </row>
    <row r="382" customFormat="false" ht="15" hidden="false" customHeight="false" outlineLevel="0" collapsed="false">
      <c r="A382" s="11"/>
      <c r="B382" s="12"/>
      <c r="C382" s="12"/>
      <c r="D382" s="12"/>
      <c r="E382" s="12"/>
      <c r="F382" s="12"/>
      <c r="G382" s="12"/>
      <c r="H382" s="12"/>
      <c r="I382" s="12"/>
      <c r="J382" s="17"/>
      <c r="K382" s="18"/>
      <c r="L382" s="17"/>
      <c r="M382" s="17"/>
      <c r="N382" s="17"/>
      <c r="O382" s="17"/>
      <c r="P382" s="17"/>
      <c r="Q382" s="17"/>
      <c r="R382" s="17"/>
      <c r="S382" s="19" t="str">
        <f aca="false">IF(OR(J382="",J382=0),"",(L382+M382+N382+O382)/J382)</f>
        <v/>
      </c>
      <c r="T382" s="12"/>
    </row>
    <row r="383" customFormat="false" ht="15" hidden="false" customHeight="false" outlineLevel="0" collapsed="false">
      <c r="A383" s="11"/>
      <c r="B383" s="12"/>
      <c r="C383" s="12"/>
      <c r="D383" s="12"/>
      <c r="E383" s="12"/>
      <c r="F383" s="12"/>
      <c r="G383" s="12"/>
      <c r="H383" s="12"/>
      <c r="I383" s="12"/>
      <c r="J383" s="17"/>
      <c r="K383" s="18"/>
      <c r="L383" s="17"/>
      <c r="M383" s="17"/>
      <c r="N383" s="17"/>
      <c r="O383" s="17"/>
      <c r="P383" s="17"/>
      <c r="Q383" s="17"/>
      <c r="R383" s="17"/>
      <c r="S383" s="19" t="str">
        <f aca="false">IF(OR(J383="",J383=0),"",(L383+M383+N383+O383)/J383)</f>
        <v/>
      </c>
      <c r="T383" s="12"/>
    </row>
    <row r="384" customFormat="false" ht="15" hidden="false" customHeight="false" outlineLevel="0" collapsed="false">
      <c r="A384" s="11"/>
      <c r="B384" s="12"/>
      <c r="C384" s="12"/>
      <c r="D384" s="12"/>
      <c r="E384" s="12"/>
      <c r="F384" s="12"/>
      <c r="G384" s="12"/>
      <c r="H384" s="12"/>
      <c r="I384" s="12"/>
      <c r="J384" s="17"/>
      <c r="K384" s="18"/>
      <c r="L384" s="17"/>
      <c r="M384" s="17"/>
      <c r="N384" s="17"/>
      <c r="O384" s="17"/>
      <c r="P384" s="17"/>
      <c r="Q384" s="17"/>
      <c r="R384" s="17"/>
      <c r="S384" s="19" t="str">
        <f aca="false">IF(OR(J384="",J384=0),"",(L384+M384+N384+O384)/J384)</f>
        <v/>
      </c>
      <c r="T384" s="12"/>
    </row>
    <row r="385" customFormat="false" ht="15" hidden="false" customHeight="false" outlineLevel="0" collapsed="false">
      <c r="A385" s="11"/>
      <c r="B385" s="12"/>
      <c r="C385" s="12"/>
      <c r="D385" s="12"/>
      <c r="E385" s="12"/>
      <c r="F385" s="12"/>
      <c r="G385" s="12"/>
      <c r="H385" s="12"/>
      <c r="I385" s="12"/>
      <c r="J385" s="17"/>
      <c r="K385" s="18"/>
      <c r="L385" s="17"/>
      <c r="M385" s="17"/>
      <c r="N385" s="17"/>
      <c r="O385" s="17"/>
      <c r="P385" s="17"/>
      <c r="Q385" s="17"/>
      <c r="R385" s="17"/>
      <c r="S385" s="19" t="str">
        <f aca="false">IF(OR(J385="",J385=0),"",(L385+M385+N385+O385)/J385)</f>
        <v/>
      </c>
      <c r="T385" s="12"/>
    </row>
    <row r="386" customFormat="false" ht="15" hidden="false" customHeight="false" outlineLevel="0" collapsed="false">
      <c r="A386" s="11"/>
      <c r="B386" s="12"/>
      <c r="C386" s="12"/>
      <c r="D386" s="12"/>
      <c r="E386" s="12"/>
      <c r="F386" s="12"/>
      <c r="G386" s="12"/>
      <c r="H386" s="12"/>
      <c r="I386" s="12"/>
      <c r="J386" s="17"/>
      <c r="K386" s="18"/>
      <c r="L386" s="17"/>
      <c r="M386" s="17"/>
      <c r="N386" s="17"/>
      <c r="O386" s="17"/>
      <c r="P386" s="17"/>
      <c r="Q386" s="17"/>
      <c r="R386" s="17"/>
      <c r="S386" s="19" t="str">
        <f aca="false">IF(OR(J386="",J386=0),"",(L386+M386+N386+O386)/J386)</f>
        <v/>
      </c>
      <c r="T386" s="12"/>
    </row>
    <row r="387" customFormat="false" ht="15" hidden="false" customHeight="false" outlineLevel="0" collapsed="false">
      <c r="A387" s="11"/>
      <c r="B387" s="12"/>
      <c r="C387" s="12"/>
      <c r="D387" s="12"/>
      <c r="E387" s="12"/>
      <c r="F387" s="12"/>
      <c r="G387" s="12"/>
      <c r="H387" s="12"/>
      <c r="I387" s="12"/>
      <c r="J387" s="17"/>
      <c r="K387" s="18"/>
      <c r="L387" s="17"/>
      <c r="M387" s="17"/>
      <c r="N387" s="17"/>
      <c r="O387" s="17"/>
      <c r="P387" s="17"/>
      <c r="Q387" s="17"/>
      <c r="R387" s="17"/>
      <c r="S387" s="19" t="str">
        <f aca="false">IF(OR(J387="",J387=0),"",(L387+M387+N387+O387)/J387)</f>
        <v/>
      </c>
      <c r="T387" s="12"/>
    </row>
    <row r="388" customFormat="false" ht="15" hidden="false" customHeight="false" outlineLevel="0" collapsed="false">
      <c r="A388" s="11"/>
      <c r="B388" s="12"/>
      <c r="C388" s="12"/>
      <c r="D388" s="12"/>
      <c r="E388" s="12"/>
      <c r="F388" s="12"/>
      <c r="G388" s="12"/>
      <c r="H388" s="12"/>
      <c r="I388" s="12"/>
      <c r="J388" s="17"/>
      <c r="K388" s="18"/>
      <c r="L388" s="17"/>
      <c r="M388" s="17"/>
      <c r="N388" s="17"/>
      <c r="O388" s="17"/>
      <c r="P388" s="17"/>
      <c r="Q388" s="17"/>
      <c r="R388" s="17"/>
      <c r="S388" s="19" t="str">
        <f aca="false">IF(OR(J388="",J388=0),"",(L388+M388+N388+O388)/J388)</f>
        <v/>
      </c>
      <c r="T388" s="12"/>
    </row>
    <row r="389" customFormat="false" ht="15" hidden="false" customHeight="false" outlineLevel="0" collapsed="false">
      <c r="A389" s="11"/>
      <c r="B389" s="12"/>
      <c r="C389" s="12"/>
      <c r="D389" s="12"/>
      <c r="E389" s="12"/>
      <c r="F389" s="12"/>
      <c r="G389" s="12"/>
      <c r="H389" s="12"/>
      <c r="I389" s="12"/>
      <c r="J389" s="17"/>
      <c r="K389" s="18"/>
      <c r="L389" s="17"/>
      <c r="M389" s="17"/>
      <c r="N389" s="17"/>
      <c r="O389" s="17"/>
      <c r="P389" s="17"/>
      <c r="Q389" s="17"/>
      <c r="R389" s="17"/>
      <c r="S389" s="19" t="str">
        <f aca="false">IF(OR(J389="",J389=0),"",(L389+M389+N389+O389)/J389)</f>
        <v/>
      </c>
      <c r="T389" s="12"/>
    </row>
    <row r="390" customFormat="false" ht="15" hidden="false" customHeight="false" outlineLevel="0" collapsed="false">
      <c r="A390" s="11"/>
      <c r="B390" s="12"/>
      <c r="C390" s="12"/>
      <c r="D390" s="12"/>
      <c r="E390" s="12"/>
      <c r="F390" s="12"/>
      <c r="G390" s="12"/>
      <c r="H390" s="12"/>
      <c r="I390" s="12"/>
      <c r="J390" s="17"/>
      <c r="K390" s="18"/>
      <c r="L390" s="17"/>
      <c r="M390" s="17"/>
      <c r="N390" s="17"/>
      <c r="O390" s="17"/>
      <c r="P390" s="17"/>
      <c r="Q390" s="17"/>
      <c r="R390" s="17"/>
      <c r="S390" s="19" t="str">
        <f aca="false">IF(OR(J390="",J390=0),"",(L390+M390+N390+O390)/J390)</f>
        <v/>
      </c>
      <c r="T390" s="12"/>
    </row>
    <row r="391" customFormat="false" ht="15" hidden="false" customHeight="false" outlineLevel="0" collapsed="false">
      <c r="A391" s="11"/>
      <c r="B391" s="12"/>
      <c r="C391" s="12"/>
      <c r="D391" s="12"/>
      <c r="E391" s="12"/>
      <c r="F391" s="12"/>
      <c r="G391" s="12"/>
      <c r="H391" s="12"/>
      <c r="I391" s="12"/>
      <c r="J391" s="17"/>
      <c r="K391" s="18"/>
      <c r="L391" s="17"/>
      <c r="M391" s="17"/>
      <c r="N391" s="17"/>
      <c r="O391" s="17"/>
      <c r="P391" s="17"/>
      <c r="Q391" s="17"/>
      <c r="R391" s="17"/>
      <c r="S391" s="19" t="str">
        <f aca="false">IF(OR(J391="",J391=0),"",(L391+M391+N391+O391)/J391)</f>
        <v/>
      </c>
      <c r="T391" s="12"/>
    </row>
    <row r="392" customFormat="false" ht="15" hidden="false" customHeight="false" outlineLevel="0" collapsed="false">
      <c r="A392" s="11"/>
      <c r="B392" s="12"/>
      <c r="C392" s="12"/>
      <c r="D392" s="12"/>
      <c r="E392" s="12"/>
      <c r="F392" s="12"/>
      <c r="G392" s="12"/>
      <c r="H392" s="12"/>
      <c r="I392" s="12"/>
      <c r="J392" s="17"/>
      <c r="K392" s="18"/>
      <c r="L392" s="17"/>
      <c r="M392" s="17"/>
      <c r="N392" s="17"/>
      <c r="O392" s="17"/>
      <c r="P392" s="17"/>
      <c r="Q392" s="17"/>
      <c r="R392" s="17"/>
      <c r="S392" s="19" t="str">
        <f aca="false">IF(OR(J392="",J392=0),"",(L392+M392+N392+O392)/J392)</f>
        <v/>
      </c>
      <c r="T392" s="12"/>
    </row>
    <row r="393" customFormat="false" ht="15" hidden="false" customHeight="false" outlineLevel="0" collapsed="false">
      <c r="A393" s="11"/>
      <c r="B393" s="12"/>
      <c r="C393" s="12"/>
      <c r="D393" s="12"/>
      <c r="E393" s="12"/>
      <c r="F393" s="12"/>
      <c r="G393" s="12"/>
      <c r="H393" s="12"/>
      <c r="I393" s="12"/>
      <c r="J393" s="17"/>
      <c r="K393" s="18"/>
      <c r="L393" s="17"/>
      <c r="M393" s="17"/>
      <c r="N393" s="17"/>
      <c r="O393" s="17"/>
      <c r="P393" s="17"/>
      <c r="Q393" s="17"/>
      <c r="R393" s="17"/>
      <c r="S393" s="19" t="str">
        <f aca="false">IF(OR(J393="",J393=0),"",(L393+M393+N393+O393)/J393)</f>
        <v/>
      </c>
      <c r="T393" s="12"/>
    </row>
    <row r="394" customFormat="false" ht="15" hidden="false" customHeight="false" outlineLevel="0" collapsed="false">
      <c r="A394" s="11"/>
      <c r="B394" s="12"/>
      <c r="C394" s="12"/>
      <c r="D394" s="12"/>
      <c r="E394" s="12"/>
      <c r="F394" s="12"/>
      <c r="G394" s="12"/>
      <c r="H394" s="12"/>
      <c r="I394" s="12"/>
      <c r="J394" s="17"/>
      <c r="K394" s="18"/>
      <c r="L394" s="17"/>
      <c r="M394" s="17"/>
      <c r="N394" s="17"/>
      <c r="O394" s="17"/>
      <c r="P394" s="17"/>
      <c r="Q394" s="17"/>
      <c r="R394" s="17"/>
      <c r="S394" s="19" t="str">
        <f aca="false">IF(OR(J394="",J394=0),"",(L394+M394+N394+O394)/J394)</f>
        <v/>
      </c>
      <c r="T394" s="12"/>
    </row>
    <row r="395" customFormat="false" ht="15" hidden="false" customHeight="false" outlineLevel="0" collapsed="false">
      <c r="A395" s="11"/>
      <c r="B395" s="12"/>
      <c r="C395" s="12"/>
      <c r="D395" s="12"/>
      <c r="E395" s="12"/>
      <c r="F395" s="12"/>
      <c r="G395" s="12"/>
      <c r="H395" s="12"/>
      <c r="I395" s="12"/>
      <c r="J395" s="17"/>
      <c r="K395" s="18"/>
      <c r="L395" s="17"/>
      <c r="M395" s="17"/>
      <c r="N395" s="17"/>
      <c r="O395" s="17"/>
      <c r="P395" s="17"/>
      <c r="Q395" s="17"/>
      <c r="R395" s="17"/>
      <c r="S395" s="19" t="str">
        <f aca="false">IF(OR(J395="",J395=0),"",(L395+M395+N395+O395)/J395)</f>
        <v/>
      </c>
      <c r="T395" s="12"/>
    </row>
    <row r="396" customFormat="false" ht="15" hidden="false" customHeight="false" outlineLevel="0" collapsed="false">
      <c r="A396" s="11"/>
      <c r="B396" s="12"/>
      <c r="C396" s="12"/>
      <c r="D396" s="12"/>
      <c r="E396" s="12"/>
      <c r="F396" s="12"/>
      <c r="G396" s="12"/>
      <c r="H396" s="12"/>
      <c r="I396" s="12"/>
      <c r="J396" s="17"/>
      <c r="K396" s="18"/>
      <c r="L396" s="17"/>
      <c r="M396" s="17"/>
      <c r="N396" s="17"/>
      <c r="O396" s="17"/>
      <c r="P396" s="17"/>
      <c r="Q396" s="17"/>
      <c r="R396" s="17"/>
      <c r="S396" s="19" t="str">
        <f aca="false">IF(OR(J396="",J396=0),"",(L396+M396+N396+O396)/J396)</f>
        <v/>
      </c>
      <c r="T396" s="12"/>
    </row>
    <row r="397" customFormat="false" ht="15" hidden="false" customHeight="false" outlineLevel="0" collapsed="false">
      <c r="A397" s="11"/>
      <c r="B397" s="12"/>
      <c r="C397" s="12"/>
      <c r="D397" s="12"/>
      <c r="E397" s="12"/>
      <c r="F397" s="12"/>
      <c r="G397" s="12"/>
      <c r="H397" s="12"/>
      <c r="I397" s="12"/>
      <c r="J397" s="17"/>
      <c r="K397" s="18"/>
      <c r="L397" s="17"/>
      <c r="M397" s="17"/>
      <c r="N397" s="17"/>
      <c r="O397" s="17"/>
      <c r="P397" s="17"/>
      <c r="Q397" s="17"/>
      <c r="R397" s="17"/>
      <c r="S397" s="19" t="str">
        <f aca="false">IF(OR(J397="",J397=0),"",(L397+M397+N397+O397)/J397)</f>
        <v/>
      </c>
      <c r="T397" s="12"/>
    </row>
    <row r="398" customFormat="false" ht="15" hidden="false" customHeight="false" outlineLevel="0" collapsed="false">
      <c r="A398" s="11"/>
      <c r="B398" s="12"/>
      <c r="C398" s="12"/>
      <c r="D398" s="12"/>
      <c r="E398" s="12"/>
      <c r="F398" s="12"/>
      <c r="G398" s="12"/>
      <c r="H398" s="12"/>
      <c r="I398" s="12"/>
      <c r="J398" s="17"/>
      <c r="K398" s="18"/>
      <c r="L398" s="17"/>
      <c r="M398" s="17"/>
      <c r="N398" s="17"/>
      <c r="O398" s="17"/>
      <c r="P398" s="17"/>
      <c r="Q398" s="17"/>
      <c r="R398" s="17"/>
      <c r="S398" s="19" t="str">
        <f aca="false">IF(OR(J398="",J398=0),"",(L398+M398+N398+O398)/J398)</f>
        <v/>
      </c>
      <c r="T398" s="12"/>
    </row>
    <row r="399" customFormat="false" ht="15" hidden="false" customHeight="false" outlineLevel="0" collapsed="false">
      <c r="A399" s="11"/>
      <c r="B399" s="12"/>
      <c r="C399" s="12"/>
      <c r="D399" s="12"/>
      <c r="E399" s="12"/>
      <c r="F399" s="12"/>
      <c r="G399" s="12"/>
      <c r="H399" s="12"/>
      <c r="I399" s="12"/>
      <c r="J399" s="17"/>
      <c r="K399" s="18"/>
      <c r="L399" s="17"/>
      <c r="M399" s="17"/>
      <c r="N399" s="17"/>
      <c r="O399" s="17"/>
      <c r="P399" s="17"/>
      <c r="Q399" s="17"/>
      <c r="R399" s="17"/>
      <c r="S399" s="19" t="str">
        <f aca="false">IF(OR(J399="",J399=0),"",(L399+M399+N399+O399)/J399)</f>
        <v/>
      </c>
      <c r="T399" s="12"/>
    </row>
    <row r="400" customFormat="false" ht="15" hidden="false" customHeight="false" outlineLevel="0" collapsed="false">
      <c r="A400" s="11"/>
      <c r="B400" s="12"/>
      <c r="C400" s="12"/>
      <c r="D400" s="12"/>
      <c r="E400" s="12"/>
      <c r="F400" s="12"/>
      <c r="G400" s="12"/>
      <c r="H400" s="12"/>
      <c r="I400" s="12"/>
      <c r="J400" s="17"/>
      <c r="K400" s="18"/>
      <c r="L400" s="17"/>
      <c r="M400" s="17"/>
      <c r="N400" s="17"/>
      <c r="O400" s="17"/>
      <c r="P400" s="17"/>
      <c r="Q400" s="17"/>
      <c r="R400" s="17"/>
      <c r="S400" s="19" t="str">
        <f aca="false">IF(OR(J400="",J400=0),"",(L400+M400+N400+O400)/J400)</f>
        <v/>
      </c>
      <c r="T400" s="12"/>
    </row>
    <row r="401" customFormat="false" ht="15" hidden="false" customHeight="false" outlineLevel="0" collapsed="false">
      <c r="A401" s="11"/>
      <c r="B401" s="12"/>
      <c r="C401" s="12"/>
      <c r="D401" s="12"/>
      <c r="E401" s="12"/>
      <c r="F401" s="12"/>
      <c r="G401" s="12"/>
      <c r="H401" s="12"/>
      <c r="I401" s="12"/>
      <c r="J401" s="17"/>
      <c r="K401" s="18"/>
      <c r="L401" s="17"/>
      <c r="M401" s="17"/>
      <c r="N401" s="17"/>
      <c r="O401" s="17"/>
      <c r="P401" s="17"/>
      <c r="Q401" s="17"/>
      <c r="R401" s="17"/>
      <c r="S401" s="19" t="str">
        <f aca="false">IF(OR(J401="",J401=0),"",(L401+M401+N401+O401)/J401)</f>
        <v/>
      </c>
      <c r="T401" s="12"/>
    </row>
  </sheetData>
  <autoFilter ref="A1:T401"/>
  <dataValidations count="3">
    <dataValidation allowBlank="true" errorStyle="stop" operator="between" showDropDown="false" showErrorMessage="false" showInputMessage="false" sqref="B2:B401" type="list">
      <formula1>Variables!$G$2:$G$4</formula1>
      <formula2>0</formula2>
    </dataValidation>
    <dataValidation allowBlank="true" errorStyle="stop" operator="between" showDropDown="false" showErrorMessage="false" showInputMessage="false" sqref="E2:E401" type="list">
      <formula1>Variables!$H$2:$H$4</formula1>
      <formula2>0</formula2>
    </dataValidation>
    <dataValidation allowBlank="true" errorStyle="stop" operator="between" showDropDown="false" showErrorMessage="false" showInputMessage="false" sqref="G2:G401" type="list">
      <formula1>Variables!$J$2:$J$3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4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28"/>
    <col collapsed="false" customWidth="true" hidden="false" outlineLevel="0" max="5" min="5" style="0" width="18"/>
    <col collapsed="false" customWidth="true" hidden="false" outlineLevel="0" max="7" min="6" style="0" width="26"/>
    <col collapsed="false" customWidth="true" hidden="false" outlineLevel="0" max="9" min="8" style="0" width="9"/>
    <col collapsed="false" customWidth="true" hidden="false" outlineLevel="0" max="11" min="10" style="0" width="8"/>
    <col collapsed="false" customWidth="true" hidden="false" outlineLevel="0" max="13" min="12" style="0" width="9"/>
    <col collapsed="false" customWidth="true" hidden="false" outlineLevel="0" max="15" min="14" style="0" width="8"/>
    <col collapsed="false" customWidth="true" hidden="false" outlineLevel="0" max="17" min="16" style="0" width="9"/>
    <col collapsed="false" customWidth="true" hidden="false" outlineLevel="0" max="18" min="18" style="0" width="11"/>
    <col collapsed="false" customWidth="true" hidden="false" outlineLevel="0" max="19" min="19" style="0" width="16"/>
    <col collapsed="false" customWidth="true" hidden="false" outlineLevel="0" max="20" min="20" style="0" width="13"/>
    <col collapsed="false" customWidth="true" hidden="false" outlineLevel="0" max="21" min="21" style="0" width="28"/>
  </cols>
  <sheetData>
    <row r="1" customFormat="false" ht="33.75" hidden="false" customHeight="true" outlineLevel="0" collapsed="false">
      <c r="A1" s="7" t="s">
        <v>63</v>
      </c>
      <c r="B1" s="7" t="s">
        <v>64</v>
      </c>
      <c r="C1" s="7" t="s">
        <v>21</v>
      </c>
      <c r="D1" s="7" t="s">
        <v>65</v>
      </c>
      <c r="E1" s="7" t="s">
        <v>66</v>
      </c>
      <c r="F1" s="7" t="s">
        <v>67</v>
      </c>
      <c r="G1" s="7" t="s">
        <v>68</v>
      </c>
      <c r="H1" s="7" t="s">
        <v>69</v>
      </c>
      <c r="I1" s="7" t="s">
        <v>70</v>
      </c>
      <c r="J1" s="7" t="s">
        <v>71</v>
      </c>
      <c r="K1" s="7" t="s">
        <v>72</v>
      </c>
      <c r="L1" s="7" t="s">
        <v>73</v>
      </c>
      <c r="M1" s="7" t="s">
        <v>74</v>
      </c>
      <c r="N1" s="7" t="s">
        <v>75</v>
      </c>
      <c r="O1" s="7" t="s">
        <v>76</v>
      </c>
      <c r="P1" s="7" t="s">
        <v>77</v>
      </c>
      <c r="Q1" s="7" t="s">
        <v>78</v>
      </c>
      <c r="R1" s="7" t="s">
        <v>79</v>
      </c>
      <c r="S1" s="7" t="s">
        <v>80</v>
      </c>
      <c r="T1" s="7" t="s">
        <v>81</v>
      </c>
      <c r="U1" s="7" t="s">
        <v>30</v>
      </c>
    </row>
    <row r="2" customFormat="false" ht="15" hidden="false" customHeight="false" outlineLevel="0" collapsed="false">
      <c r="A2" s="9" t="s">
        <v>59</v>
      </c>
      <c r="B2" s="8" t="n">
        <v>46319</v>
      </c>
      <c r="C2" s="9" t="s">
        <v>31</v>
      </c>
      <c r="D2" s="9" t="s">
        <v>58</v>
      </c>
      <c r="E2" s="9" t="s">
        <v>35</v>
      </c>
      <c r="F2" s="9" t="s">
        <v>82</v>
      </c>
      <c r="G2" s="9" t="s">
        <v>83</v>
      </c>
      <c r="H2" s="14" t="n">
        <v>900</v>
      </c>
      <c r="I2" s="15" t="n">
        <v>0.32</v>
      </c>
      <c r="J2" s="14" t="n">
        <v>10</v>
      </c>
      <c r="K2" s="14" t="n">
        <v>12</v>
      </c>
      <c r="L2" s="14" t="n">
        <v>950</v>
      </c>
      <c r="M2" s="15" t="n">
        <v>0.39</v>
      </c>
      <c r="N2" s="14" t="n">
        <v>18</v>
      </c>
      <c r="O2" s="14" t="n">
        <v>15</v>
      </c>
      <c r="P2" s="20" t="str">
        <f aca="false">IF(OR(H2="",L2=""),"",IF(AND(H2&gt;=Variables!$E$2,L2&gt;=Variables!$E$2),"Yes","No"))</f>
        <v>Yes</v>
      </c>
      <c r="Q2" s="16" t="n">
        <f aca="false">IF(OR(I2="",M2="",I2=0),"",(M2-I2)/I2)</f>
        <v>0.21875</v>
      </c>
      <c r="R2" s="20" t="str">
        <f aca="false">IF(P2="","",IF(P2="No","Extend 24 h",IF(Q2&gt;=Variables!$E$3,"B","A")))</f>
        <v>B</v>
      </c>
      <c r="S2" s="20" t="str">
        <f aca="false">IF(R2="B","Yes: add to Constants",IF(R2="A","No",""))</f>
        <v>Yes: add to Constants</v>
      </c>
      <c r="T2" s="8" t="n">
        <v>46320</v>
      </c>
      <c r="U2" s="9"/>
    </row>
    <row r="3" customFormat="false" ht="15" hidden="false" customHeight="false" outlineLevel="0" collapsed="false">
      <c r="A3" s="12"/>
      <c r="B3" s="11"/>
      <c r="C3" s="12"/>
      <c r="D3" s="12"/>
      <c r="E3" s="12"/>
      <c r="F3" s="12"/>
      <c r="G3" s="12"/>
      <c r="H3" s="17"/>
      <c r="I3" s="18"/>
      <c r="J3" s="17"/>
      <c r="K3" s="17"/>
      <c r="L3" s="17"/>
      <c r="M3" s="18"/>
      <c r="N3" s="17"/>
      <c r="O3" s="17"/>
      <c r="P3" s="21" t="str">
        <f aca="false">IF(OR(H3="",L3=""),"",IF(AND(H3&gt;=Variables!$E$2,L3&gt;=Variables!$E$2),"Yes","No"))</f>
        <v/>
      </c>
      <c r="Q3" s="19" t="str">
        <f aca="false">IF(OR(I3="",M3="",I3=0),"",(M3-I3)/I3)</f>
        <v/>
      </c>
      <c r="R3" s="21" t="str">
        <f aca="false">IF(P3="","",IF(P3="No","Extend 24 h",IF(Q3&gt;=Variables!$E$3,"B","A")))</f>
        <v/>
      </c>
      <c r="S3" s="21" t="str">
        <f aca="false">IF(R3="B","Yes: add to Constants",IF(R3="A","No",""))</f>
        <v/>
      </c>
      <c r="T3" s="11"/>
      <c r="U3" s="12"/>
    </row>
    <row r="4" customFormat="false" ht="15" hidden="false" customHeight="false" outlineLevel="0" collapsed="false">
      <c r="A4" s="12"/>
      <c r="B4" s="11"/>
      <c r="C4" s="12"/>
      <c r="D4" s="12"/>
      <c r="E4" s="12"/>
      <c r="F4" s="12"/>
      <c r="G4" s="12"/>
      <c r="H4" s="17"/>
      <c r="I4" s="18"/>
      <c r="J4" s="17"/>
      <c r="K4" s="17"/>
      <c r="L4" s="17"/>
      <c r="M4" s="18"/>
      <c r="N4" s="17"/>
      <c r="O4" s="17"/>
      <c r="P4" s="21" t="str">
        <f aca="false">IF(OR(H4="",L4=""),"",IF(AND(H4&gt;=Variables!$E$2,L4&gt;=Variables!$E$2),"Yes","No"))</f>
        <v/>
      </c>
      <c r="Q4" s="19" t="str">
        <f aca="false">IF(OR(I4="",M4="",I4=0),"",(M4-I4)/I4)</f>
        <v/>
      </c>
      <c r="R4" s="21" t="str">
        <f aca="false">IF(P4="","",IF(P4="No","Extend 24 h",IF(Q4&gt;=Variables!$E$3,"B","A")))</f>
        <v/>
      </c>
      <c r="S4" s="21" t="str">
        <f aca="false">IF(R4="B","Yes: add to Constants",IF(R4="A","No",""))</f>
        <v/>
      </c>
      <c r="T4" s="11"/>
      <c r="U4" s="12"/>
    </row>
    <row r="5" customFormat="false" ht="15" hidden="false" customHeight="false" outlineLevel="0" collapsed="false">
      <c r="A5" s="12"/>
      <c r="B5" s="11"/>
      <c r="C5" s="12"/>
      <c r="D5" s="12"/>
      <c r="E5" s="12"/>
      <c r="F5" s="12"/>
      <c r="G5" s="12"/>
      <c r="H5" s="17"/>
      <c r="I5" s="18"/>
      <c r="J5" s="17"/>
      <c r="K5" s="17"/>
      <c r="L5" s="17"/>
      <c r="M5" s="18"/>
      <c r="N5" s="17"/>
      <c r="O5" s="17"/>
      <c r="P5" s="21" t="str">
        <f aca="false">IF(OR(H5="",L5=""),"",IF(AND(H5&gt;=Variables!$E$2,L5&gt;=Variables!$E$2),"Yes","No"))</f>
        <v/>
      </c>
      <c r="Q5" s="19" t="str">
        <f aca="false">IF(OR(I5="",M5="",I5=0),"",(M5-I5)/I5)</f>
        <v/>
      </c>
      <c r="R5" s="21" t="str">
        <f aca="false">IF(P5="","",IF(P5="No","Extend 24 h",IF(Q5&gt;=Variables!$E$3,"B","A")))</f>
        <v/>
      </c>
      <c r="S5" s="21" t="str">
        <f aca="false">IF(R5="B","Yes: add to Constants",IF(R5="A","No",""))</f>
        <v/>
      </c>
      <c r="T5" s="11"/>
      <c r="U5" s="12"/>
    </row>
    <row r="6" customFormat="false" ht="15" hidden="false" customHeight="false" outlineLevel="0" collapsed="false">
      <c r="A6" s="12"/>
      <c r="B6" s="11"/>
      <c r="C6" s="12"/>
      <c r="D6" s="12"/>
      <c r="E6" s="12"/>
      <c r="F6" s="12"/>
      <c r="G6" s="12"/>
      <c r="H6" s="17"/>
      <c r="I6" s="18"/>
      <c r="J6" s="17"/>
      <c r="K6" s="17"/>
      <c r="L6" s="17"/>
      <c r="M6" s="18"/>
      <c r="N6" s="17"/>
      <c r="O6" s="17"/>
      <c r="P6" s="21" t="str">
        <f aca="false">IF(OR(H6="",L6=""),"",IF(AND(H6&gt;=Variables!$E$2,L6&gt;=Variables!$E$2),"Yes","No"))</f>
        <v/>
      </c>
      <c r="Q6" s="19" t="str">
        <f aca="false">IF(OR(I6="",M6="",I6=0),"",(M6-I6)/I6)</f>
        <v/>
      </c>
      <c r="R6" s="21" t="str">
        <f aca="false">IF(P6="","",IF(P6="No","Extend 24 h",IF(Q6&gt;=Variables!$E$3,"B","A")))</f>
        <v/>
      </c>
      <c r="S6" s="21" t="str">
        <f aca="false">IF(R6="B","Yes: add to Constants",IF(R6="A","No",""))</f>
        <v/>
      </c>
      <c r="T6" s="11"/>
      <c r="U6" s="12"/>
    </row>
    <row r="7" customFormat="false" ht="15" hidden="false" customHeight="false" outlineLevel="0" collapsed="false">
      <c r="A7" s="12"/>
      <c r="B7" s="11"/>
      <c r="C7" s="12"/>
      <c r="D7" s="12"/>
      <c r="E7" s="12"/>
      <c r="F7" s="12"/>
      <c r="G7" s="12"/>
      <c r="H7" s="17"/>
      <c r="I7" s="18"/>
      <c r="J7" s="17"/>
      <c r="K7" s="17"/>
      <c r="L7" s="17"/>
      <c r="M7" s="18"/>
      <c r="N7" s="17"/>
      <c r="O7" s="17"/>
      <c r="P7" s="21" t="str">
        <f aca="false">IF(OR(H7="",L7=""),"",IF(AND(H7&gt;=Variables!$E$2,L7&gt;=Variables!$E$2),"Yes","No"))</f>
        <v/>
      </c>
      <c r="Q7" s="19" t="str">
        <f aca="false">IF(OR(I7="",M7="",I7=0),"",(M7-I7)/I7)</f>
        <v/>
      </c>
      <c r="R7" s="21" t="str">
        <f aca="false">IF(P7="","",IF(P7="No","Extend 24 h",IF(Q7&gt;=Variables!$E$3,"B","A")))</f>
        <v/>
      </c>
      <c r="S7" s="21" t="str">
        <f aca="false">IF(R7="B","Yes: add to Constants",IF(R7="A","No",""))</f>
        <v/>
      </c>
      <c r="T7" s="11"/>
      <c r="U7" s="12"/>
    </row>
    <row r="8" customFormat="false" ht="15" hidden="false" customHeight="false" outlineLevel="0" collapsed="false">
      <c r="A8" s="12"/>
      <c r="B8" s="11"/>
      <c r="C8" s="12"/>
      <c r="D8" s="12"/>
      <c r="E8" s="12"/>
      <c r="F8" s="12"/>
      <c r="G8" s="12"/>
      <c r="H8" s="17"/>
      <c r="I8" s="18"/>
      <c r="J8" s="17"/>
      <c r="K8" s="17"/>
      <c r="L8" s="17"/>
      <c r="M8" s="18"/>
      <c r="N8" s="17"/>
      <c r="O8" s="17"/>
      <c r="P8" s="21" t="str">
        <f aca="false">IF(OR(H8="",L8=""),"",IF(AND(H8&gt;=Variables!$E$2,L8&gt;=Variables!$E$2),"Yes","No"))</f>
        <v/>
      </c>
      <c r="Q8" s="19" t="str">
        <f aca="false">IF(OR(I8="",M8="",I8=0),"",(M8-I8)/I8)</f>
        <v/>
      </c>
      <c r="R8" s="21" t="str">
        <f aca="false">IF(P8="","",IF(P8="No","Extend 24 h",IF(Q8&gt;=Variables!$E$3,"B","A")))</f>
        <v/>
      </c>
      <c r="S8" s="21" t="str">
        <f aca="false">IF(R8="B","Yes: add to Constants",IF(R8="A","No",""))</f>
        <v/>
      </c>
      <c r="T8" s="11"/>
      <c r="U8" s="12"/>
    </row>
    <row r="9" customFormat="false" ht="15" hidden="false" customHeight="false" outlineLevel="0" collapsed="false">
      <c r="A9" s="12"/>
      <c r="B9" s="11"/>
      <c r="C9" s="12"/>
      <c r="D9" s="12"/>
      <c r="E9" s="12"/>
      <c r="F9" s="12"/>
      <c r="G9" s="12"/>
      <c r="H9" s="17"/>
      <c r="I9" s="18"/>
      <c r="J9" s="17"/>
      <c r="K9" s="17"/>
      <c r="L9" s="17"/>
      <c r="M9" s="18"/>
      <c r="N9" s="17"/>
      <c r="O9" s="17"/>
      <c r="P9" s="21" t="str">
        <f aca="false">IF(OR(H9="",L9=""),"",IF(AND(H9&gt;=Variables!$E$2,L9&gt;=Variables!$E$2),"Yes","No"))</f>
        <v/>
      </c>
      <c r="Q9" s="19" t="str">
        <f aca="false">IF(OR(I9="",M9="",I9=0),"",(M9-I9)/I9)</f>
        <v/>
      </c>
      <c r="R9" s="21" t="str">
        <f aca="false">IF(P9="","",IF(P9="No","Extend 24 h",IF(Q9&gt;=Variables!$E$3,"B","A")))</f>
        <v/>
      </c>
      <c r="S9" s="21" t="str">
        <f aca="false">IF(R9="B","Yes: add to Constants",IF(R9="A","No",""))</f>
        <v/>
      </c>
      <c r="T9" s="11"/>
      <c r="U9" s="12"/>
    </row>
    <row r="10" customFormat="false" ht="15" hidden="false" customHeight="false" outlineLevel="0" collapsed="false">
      <c r="A10" s="12"/>
      <c r="B10" s="11"/>
      <c r="C10" s="12"/>
      <c r="D10" s="12"/>
      <c r="E10" s="12"/>
      <c r="F10" s="12"/>
      <c r="G10" s="12"/>
      <c r="H10" s="17"/>
      <c r="I10" s="18"/>
      <c r="J10" s="17"/>
      <c r="K10" s="17"/>
      <c r="L10" s="17"/>
      <c r="M10" s="18"/>
      <c r="N10" s="17"/>
      <c r="O10" s="17"/>
      <c r="P10" s="21" t="str">
        <f aca="false">IF(OR(H10="",L10=""),"",IF(AND(H10&gt;=Variables!$E$2,L10&gt;=Variables!$E$2),"Yes","No"))</f>
        <v/>
      </c>
      <c r="Q10" s="19" t="str">
        <f aca="false">IF(OR(I10="",M10="",I10=0),"",(M10-I10)/I10)</f>
        <v/>
      </c>
      <c r="R10" s="21" t="str">
        <f aca="false">IF(P10="","",IF(P10="No","Extend 24 h",IF(Q10&gt;=Variables!$E$3,"B","A")))</f>
        <v/>
      </c>
      <c r="S10" s="21" t="str">
        <f aca="false">IF(R10="B","Yes: add to Constants",IF(R10="A","No",""))</f>
        <v/>
      </c>
      <c r="T10" s="11"/>
      <c r="U10" s="12"/>
    </row>
    <row r="11" customFormat="false" ht="15" hidden="false" customHeight="false" outlineLevel="0" collapsed="false">
      <c r="A11" s="12"/>
      <c r="B11" s="11"/>
      <c r="C11" s="12"/>
      <c r="D11" s="12"/>
      <c r="E11" s="12"/>
      <c r="F11" s="12"/>
      <c r="G11" s="12"/>
      <c r="H11" s="17"/>
      <c r="I11" s="18"/>
      <c r="J11" s="17"/>
      <c r="K11" s="17"/>
      <c r="L11" s="17"/>
      <c r="M11" s="18"/>
      <c r="N11" s="17"/>
      <c r="O11" s="17"/>
      <c r="P11" s="21" t="str">
        <f aca="false">IF(OR(H11="",L11=""),"",IF(AND(H11&gt;=Variables!$E$2,L11&gt;=Variables!$E$2),"Yes","No"))</f>
        <v/>
      </c>
      <c r="Q11" s="19" t="str">
        <f aca="false">IF(OR(I11="",M11="",I11=0),"",(M11-I11)/I11)</f>
        <v/>
      </c>
      <c r="R11" s="21" t="str">
        <f aca="false">IF(P11="","",IF(P11="No","Extend 24 h",IF(Q11&gt;=Variables!$E$3,"B","A")))</f>
        <v/>
      </c>
      <c r="S11" s="21" t="str">
        <f aca="false">IF(R11="B","Yes: add to Constants",IF(R11="A","No",""))</f>
        <v/>
      </c>
      <c r="T11" s="11"/>
      <c r="U11" s="12"/>
    </row>
    <row r="12" customFormat="false" ht="15" hidden="false" customHeight="false" outlineLevel="0" collapsed="false">
      <c r="A12" s="12"/>
      <c r="B12" s="11"/>
      <c r="C12" s="12"/>
      <c r="D12" s="12"/>
      <c r="E12" s="12"/>
      <c r="F12" s="12"/>
      <c r="G12" s="12"/>
      <c r="H12" s="17"/>
      <c r="I12" s="18"/>
      <c r="J12" s="17"/>
      <c r="K12" s="17"/>
      <c r="L12" s="17"/>
      <c r="M12" s="18"/>
      <c r="N12" s="17"/>
      <c r="O12" s="17"/>
      <c r="P12" s="21" t="str">
        <f aca="false">IF(OR(H12="",L12=""),"",IF(AND(H12&gt;=Variables!$E$2,L12&gt;=Variables!$E$2),"Yes","No"))</f>
        <v/>
      </c>
      <c r="Q12" s="19" t="str">
        <f aca="false">IF(OR(I12="",M12="",I12=0),"",(M12-I12)/I12)</f>
        <v/>
      </c>
      <c r="R12" s="21" t="str">
        <f aca="false">IF(P12="","",IF(P12="No","Extend 24 h",IF(Q12&gt;=Variables!$E$3,"B","A")))</f>
        <v/>
      </c>
      <c r="S12" s="21" t="str">
        <f aca="false">IF(R12="B","Yes: add to Constants",IF(R12="A","No",""))</f>
        <v/>
      </c>
      <c r="T12" s="11"/>
      <c r="U12" s="12"/>
    </row>
    <row r="13" customFormat="false" ht="15" hidden="false" customHeight="false" outlineLevel="0" collapsed="false">
      <c r="A13" s="12"/>
      <c r="B13" s="11"/>
      <c r="C13" s="12"/>
      <c r="D13" s="12"/>
      <c r="E13" s="12"/>
      <c r="F13" s="12"/>
      <c r="G13" s="12"/>
      <c r="H13" s="17"/>
      <c r="I13" s="18"/>
      <c r="J13" s="17"/>
      <c r="K13" s="17"/>
      <c r="L13" s="17"/>
      <c r="M13" s="18"/>
      <c r="N13" s="17"/>
      <c r="O13" s="17"/>
      <c r="P13" s="21" t="str">
        <f aca="false">IF(OR(H13="",L13=""),"",IF(AND(H13&gt;=Variables!$E$2,L13&gt;=Variables!$E$2),"Yes","No"))</f>
        <v/>
      </c>
      <c r="Q13" s="19" t="str">
        <f aca="false">IF(OR(I13="",M13="",I13=0),"",(M13-I13)/I13)</f>
        <v/>
      </c>
      <c r="R13" s="21" t="str">
        <f aca="false">IF(P13="","",IF(P13="No","Extend 24 h",IF(Q13&gt;=Variables!$E$3,"B","A")))</f>
        <v/>
      </c>
      <c r="S13" s="21" t="str">
        <f aca="false">IF(R13="B","Yes: add to Constants",IF(R13="A","No",""))</f>
        <v/>
      </c>
      <c r="T13" s="11"/>
      <c r="U13" s="12"/>
    </row>
    <row r="14" customFormat="false" ht="15" hidden="false" customHeight="false" outlineLevel="0" collapsed="false">
      <c r="A14" s="12"/>
      <c r="B14" s="11"/>
      <c r="C14" s="12"/>
      <c r="D14" s="12"/>
      <c r="E14" s="12"/>
      <c r="F14" s="12"/>
      <c r="G14" s="12"/>
      <c r="H14" s="17"/>
      <c r="I14" s="18"/>
      <c r="J14" s="17"/>
      <c r="K14" s="17"/>
      <c r="L14" s="17"/>
      <c r="M14" s="18"/>
      <c r="N14" s="17"/>
      <c r="O14" s="17"/>
      <c r="P14" s="21" t="str">
        <f aca="false">IF(OR(H14="",L14=""),"",IF(AND(H14&gt;=Variables!$E$2,L14&gt;=Variables!$E$2),"Yes","No"))</f>
        <v/>
      </c>
      <c r="Q14" s="19" t="str">
        <f aca="false">IF(OR(I14="",M14="",I14=0),"",(M14-I14)/I14)</f>
        <v/>
      </c>
      <c r="R14" s="21" t="str">
        <f aca="false">IF(P14="","",IF(P14="No","Extend 24 h",IF(Q14&gt;=Variables!$E$3,"B","A")))</f>
        <v/>
      </c>
      <c r="S14" s="21" t="str">
        <f aca="false">IF(R14="B","Yes: add to Constants",IF(R14="A","No",""))</f>
        <v/>
      </c>
      <c r="T14" s="11"/>
      <c r="U14" s="12"/>
    </row>
    <row r="15" customFormat="false" ht="15" hidden="false" customHeight="false" outlineLevel="0" collapsed="false">
      <c r="A15" s="12"/>
      <c r="B15" s="11"/>
      <c r="C15" s="12"/>
      <c r="D15" s="12"/>
      <c r="E15" s="12"/>
      <c r="F15" s="12"/>
      <c r="G15" s="12"/>
      <c r="H15" s="17"/>
      <c r="I15" s="18"/>
      <c r="J15" s="17"/>
      <c r="K15" s="17"/>
      <c r="L15" s="17"/>
      <c r="M15" s="18"/>
      <c r="N15" s="17"/>
      <c r="O15" s="17"/>
      <c r="P15" s="21" t="str">
        <f aca="false">IF(OR(H15="",L15=""),"",IF(AND(H15&gt;=Variables!$E$2,L15&gt;=Variables!$E$2),"Yes","No"))</f>
        <v/>
      </c>
      <c r="Q15" s="19" t="str">
        <f aca="false">IF(OR(I15="",M15="",I15=0),"",(M15-I15)/I15)</f>
        <v/>
      </c>
      <c r="R15" s="21" t="str">
        <f aca="false">IF(P15="","",IF(P15="No","Extend 24 h",IF(Q15&gt;=Variables!$E$3,"B","A")))</f>
        <v/>
      </c>
      <c r="S15" s="21" t="str">
        <f aca="false">IF(R15="B","Yes: add to Constants",IF(R15="A","No",""))</f>
        <v/>
      </c>
      <c r="T15" s="11"/>
      <c r="U15" s="12"/>
    </row>
    <row r="16" customFormat="false" ht="15" hidden="false" customHeight="false" outlineLevel="0" collapsed="false">
      <c r="A16" s="12"/>
      <c r="B16" s="11"/>
      <c r="C16" s="12"/>
      <c r="D16" s="12"/>
      <c r="E16" s="12"/>
      <c r="F16" s="12"/>
      <c r="G16" s="12"/>
      <c r="H16" s="17"/>
      <c r="I16" s="18"/>
      <c r="J16" s="17"/>
      <c r="K16" s="17"/>
      <c r="L16" s="17"/>
      <c r="M16" s="18"/>
      <c r="N16" s="17"/>
      <c r="O16" s="17"/>
      <c r="P16" s="21" t="str">
        <f aca="false">IF(OR(H16="",L16=""),"",IF(AND(H16&gt;=Variables!$E$2,L16&gt;=Variables!$E$2),"Yes","No"))</f>
        <v/>
      </c>
      <c r="Q16" s="19" t="str">
        <f aca="false">IF(OR(I16="",M16="",I16=0),"",(M16-I16)/I16)</f>
        <v/>
      </c>
      <c r="R16" s="21" t="str">
        <f aca="false">IF(P16="","",IF(P16="No","Extend 24 h",IF(Q16&gt;=Variables!$E$3,"B","A")))</f>
        <v/>
      </c>
      <c r="S16" s="21" t="str">
        <f aca="false">IF(R16="B","Yes: add to Constants",IF(R16="A","No",""))</f>
        <v/>
      </c>
      <c r="T16" s="11"/>
      <c r="U16" s="12"/>
    </row>
    <row r="17" customFormat="false" ht="15" hidden="false" customHeight="false" outlineLevel="0" collapsed="false">
      <c r="A17" s="12"/>
      <c r="B17" s="11"/>
      <c r="C17" s="12"/>
      <c r="D17" s="12"/>
      <c r="E17" s="12"/>
      <c r="F17" s="12"/>
      <c r="G17" s="12"/>
      <c r="H17" s="17"/>
      <c r="I17" s="18"/>
      <c r="J17" s="17"/>
      <c r="K17" s="17"/>
      <c r="L17" s="17"/>
      <c r="M17" s="18"/>
      <c r="N17" s="17"/>
      <c r="O17" s="17"/>
      <c r="P17" s="21" t="str">
        <f aca="false">IF(OR(H17="",L17=""),"",IF(AND(H17&gt;=Variables!$E$2,L17&gt;=Variables!$E$2),"Yes","No"))</f>
        <v/>
      </c>
      <c r="Q17" s="19" t="str">
        <f aca="false">IF(OR(I17="",M17="",I17=0),"",(M17-I17)/I17)</f>
        <v/>
      </c>
      <c r="R17" s="21" t="str">
        <f aca="false">IF(P17="","",IF(P17="No","Extend 24 h",IF(Q17&gt;=Variables!$E$3,"B","A")))</f>
        <v/>
      </c>
      <c r="S17" s="21" t="str">
        <f aca="false">IF(R17="B","Yes: add to Constants",IF(R17="A","No",""))</f>
        <v/>
      </c>
      <c r="T17" s="11"/>
      <c r="U17" s="12"/>
    </row>
    <row r="18" customFormat="false" ht="15" hidden="false" customHeight="false" outlineLevel="0" collapsed="false">
      <c r="A18" s="12"/>
      <c r="B18" s="11"/>
      <c r="C18" s="12"/>
      <c r="D18" s="12"/>
      <c r="E18" s="12"/>
      <c r="F18" s="12"/>
      <c r="G18" s="12"/>
      <c r="H18" s="17"/>
      <c r="I18" s="18"/>
      <c r="J18" s="17"/>
      <c r="K18" s="17"/>
      <c r="L18" s="17"/>
      <c r="M18" s="18"/>
      <c r="N18" s="17"/>
      <c r="O18" s="17"/>
      <c r="P18" s="21" t="str">
        <f aca="false">IF(OR(H18="",L18=""),"",IF(AND(H18&gt;=Variables!$E$2,L18&gt;=Variables!$E$2),"Yes","No"))</f>
        <v/>
      </c>
      <c r="Q18" s="19" t="str">
        <f aca="false">IF(OR(I18="",M18="",I18=0),"",(M18-I18)/I18)</f>
        <v/>
      </c>
      <c r="R18" s="21" t="str">
        <f aca="false">IF(P18="","",IF(P18="No","Extend 24 h",IF(Q18&gt;=Variables!$E$3,"B","A")))</f>
        <v/>
      </c>
      <c r="S18" s="21" t="str">
        <f aca="false">IF(R18="B","Yes: add to Constants",IF(R18="A","No",""))</f>
        <v/>
      </c>
      <c r="T18" s="11"/>
      <c r="U18" s="12"/>
    </row>
    <row r="19" customFormat="false" ht="15" hidden="false" customHeight="false" outlineLevel="0" collapsed="false">
      <c r="A19" s="12"/>
      <c r="B19" s="11"/>
      <c r="C19" s="12"/>
      <c r="D19" s="12"/>
      <c r="E19" s="12"/>
      <c r="F19" s="12"/>
      <c r="G19" s="12"/>
      <c r="H19" s="17"/>
      <c r="I19" s="18"/>
      <c r="J19" s="17"/>
      <c r="K19" s="17"/>
      <c r="L19" s="17"/>
      <c r="M19" s="18"/>
      <c r="N19" s="17"/>
      <c r="O19" s="17"/>
      <c r="P19" s="21" t="str">
        <f aca="false">IF(OR(H19="",L19=""),"",IF(AND(H19&gt;=Variables!$E$2,L19&gt;=Variables!$E$2),"Yes","No"))</f>
        <v/>
      </c>
      <c r="Q19" s="19" t="str">
        <f aca="false">IF(OR(I19="",M19="",I19=0),"",(M19-I19)/I19)</f>
        <v/>
      </c>
      <c r="R19" s="21" t="str">
        <f aca="false">IF(P19="","",IF(P19="No","Extend 24 h",IF(Q19&gt;=Variables!$E$3,"B","A")))</f>
        <v/>
      </c>
      <c r="S19" s="21" t="str">
        <f aca="false">IF(R19="B","Yes: add to Constants",IF(R19="A","No",""))</f>
        <v/>
      </c>
      <c r="T19" s="11"/>
      <c r="U19" s="12"/>
    </row>
    <row r="20" customFormat="false" ht="15" hidden="false" customHeight="false" outlineLevel="0" collapsed="false">
      <c r="A20" s="12"/>
      <c r="B20" s="11"/>
      <c r="C20" s="12"/>
      <c r="D20" s="12"/>
      <c r="E20" s="12"/>
      <c r="F20" s="12"/>
      <c r="G20" s="12"/>
      <c r="H20" s="17"/>
      <c r="I20" s="18"/>
      <c r="J20" s="17"/>
      <c r="K20" s="17"/>
      <c r="L20" s="17"/>
      <c r="M20" s="18"/>
      <c r="N20" s="17"/>
      <c r="O20" s="17"/>
      <c r="P20" s="21" t="str">
        <f aca="false">IF(OR(H20="",L20=""),"",IF(AND(H20&gt;=Variables!$E$2,L20&gt;=Variables!$E$2),"Yes","No"))</f>
        <v/>
      </c>
      <c r="Q20" s="19" t="str">
        <f aca="false">IF(OR(I20="",M20="",I20=0),"",(M20-I20)/I20)</f>
        <v/>
      </c>
      <c r="R20" s="21" t="str">
        <f aca="false">IF(P20="","",IF(P20="No","Extend 24 h",IF(Q20&gt;=Variables!$E$3,"B","A")))</f>
        <v/>
      </c>
      <c r="S20" s="21" t="str">
        <f aca="false">IF(R20="B","Yes: add to Constants",IF(R20="A","No",""))</f>
        <v/>
      </c>
      <c r="T20" s="11"/>
      <c r="U20" s="12"/>
    </row>
    <row r="21" customFormat="false" ht="15" hidden="false" customHeight="false" outlineLevel="0" collapsed="false">
      <c r="A21" s="12"/>
      <c r="B21" s="11"/>
      <c r="C21" s="12"/>
      <c r="D21" s="12"/>
      <c r="E21" s="12"/>
      <c r="F21" s="12"/>
      <c r="G21" s="12"/>
      <c r="H21" s="17"/>
      <c r="I21" s="18"/>
      <c r="J21" s="17"/>
      <c r="K21" s="17"/>
      <c r="L21" s="17"/>
      <c r="M21" s="18"/>
      <c r="N21" s="17"/>
      <c r="O21" s="17"/>
      <c r="P21" s="21" t="str">
        <f aca="false">IF(OR(H21="",L21=""),"",IF(AND(H21&gt;=Variables!$E$2,L21&gt;=Variables!$E$2),"Yes","No"))</f>
        <v/>
      </c>
      <c r="Q21" s="19" t="str">
        <f aca="false">IF(OR(I21="",M21="",I21=0),"",(M21-I21)/I21)</f>
        <v/>
      </c>
      <c r="R21" s="21" t="str">
        <f aca="false">IF(P21="","",IF(P21="No","Extend 24 h",IF(Q21&gt;=Variables!$E$3,"B","A")))</f>
        <v/>
      </c>
      <c r="S21" s="21" t="str">
        <f aca="false">IF(R21="B","Yes: add to Constants",IF(R21="A","No",""))</f>
        <v/>
      </c>
      <c r="T21" s="11"/>
      <c r="U21" s="12"/>
    </row>
    <row r="22" customFormat="false" ht="15" hidden="false" customHeight="false" outlineLevel="0" collapsed="false">
      <c r="A22" s="12"/>
      <c r="B22" s="11"/>
      <c r="C22" s="12"/>
      <c r="D22" s="12"/>
      <c r="E22" s="12"/>
      <c r="F22" s="12"/>
      <c r="G22" s="12"/>
      <c r="H22" s="17"/>
      <c r="I22" s="18"/>
      <c r="J22" s="17"/>
      <c r="K22" s="17"/>
      <c r="L22" s="17"/>
      <c r="M22" s="18"/>
      <c r="N22" s="17"/>
      <c r="O22" s="17"/>
      <c r="P22" s="21" t="str">
        <f aca="false">IF(OR(H22="",L22=""),"",IF(AND(H22&gt;=Variables!$E$2,L22&gt;=Variables!$E$2),"Yes","No"))</f>
        <v/>
      </c>
      <c r="Q22" s="19" t="str">
        <f aca="false">IF(OR(I22="",M22="",I22=0),"",(M22-I22)/I22)</f>
        <v/>
      </c>
      <c r="R22" s="21" t="str">
        <f aca="false">IF(P22="","",IF(P22="No","Extend 24 h",IF(Q22&gt;=Variables!$E$3,"B","A")))</f>
        <v/>
      </c>
      <c r="S22" s="21" t="str">
        <f aca="false">IF(R22="B","Yes: add to Constants",IF(R22="A","No",""))</f>
        <v/>
      </c>
      <c r="T22" s="11"/>
      <c r="U22" s="12"/>
    </row>
    <row r="23" customFormat="false" ht="15" hidden="false" customHeight="false" outlineLevel="0" collapsed="false">
      <c r="A23" s="12"/>
      <c r="B23" s="11"/>
      <c r="C23" s="12"/>
      <c r="D23" s="12"/>
      <c r="E23" s="12"/>
      <c r="F23" s="12"/>
      <c r="G23" s="12"/>
      <c r="H23" s="17"/>
      <c r="I23" s="18"/>
      <c r="J23" s="17"/>
      <c r="K23" s="17"/>
      <c r="L23" s="17"/>
      <c r="M23" s="18"/>
      <c r="N23" s="17"/>
      <c r="O23" s="17"/>
      <c r="P23" s="21" t="str">
        <f aca="false">IF(OR(H23="",L23=""),"",IF(AND(H23&gt;=Variables!$E$2,L23&gt;=Variables!$E$2),"Yes","No"))</f>
        <v/>
      </c>
      <c r="Q23" s="19" t="str">
        <f aca="false">IF(OR(I23="",M23="",I23=0),"",(M23-I23)/I23)</f>
        <v/>
      </c>
      <c r="R23" s="21" t="str">
        <f aca="false">IF(P23="","",IF(P23="No","Extend 24 h",IF(Q23&gt;=Variables!$E$3,"B","A")))</f>
        <v/>
      </c>
      <c r="S23" s="21" t="str">
        <f aca="false">IF(R23="B","Yes: add to Constants",IF(R23="A","No",""))</f>
        <v/>
      </c>
      <c r="T23" s="11"/>
      <c r="U23" s="12"/>
    </row>
    <row r="24" customFormat="false" ht="15" hidden="false" customHeight="false" outlineLevel="0" collapsed="false">
      <c r="A24" s="12"/>
      <c r="B24" s="11"/>
      <c r="C24" s="12"/>
      <c r="D24" s="12"/>
      <c r="E24" s="12"/>
      <c r="F24" s="12"/>
      <c r="G24" s="12"/>
      <c r="H24" s="17"/>
      <c r="I24" s="18"/>
      <c r="J24" s="17"/>
      <c r="K24" s="17"/>
      <c r="L24" s="17"/>
      <c r="M24" s="18"/>
      <c r="N24" s="17"/>
      <c r="O24" s="17"/>
      <c r="P24" s="21" t="str">
        <f aca="false">IF(OR(H24="",L24=""),"",IF(AND(H24&gt;=Variables!$E$2,L24&gt;=Variables!$E$2),"Yes","No"))</f>
        <v/>
      </c>
      <c r="Q24" s="19" t="str">
        <f aca="false">IF(OR(I24="",M24="",I24=0),"",(M24-I24)/I24)</f>
        <v/>
      </c>
      <c r="R24" s="21" t="str">
        <f aca="false">IF(P24="","",IF(P24="No","Extend 24 h",IF(Q24&gt;=Variables!$E$3,"B","A")))</f>
        <v/>
      </c>
      <c r="S24" s="21" t="str">
        <f aca="false">IF(R24="B","Yes: add to Constants",IF(R24="A","No",""))</f>
        <v/>
      </c>
      <c r="T24" s="11"/>
      <c r="U24" s="12"/>
    </row>
    <row r="25" customFormat="false" ht="15" hidden="false" customHeight="false" outlineLevel="0" collapsed="false">
      <c r="A25" s="12"/>
      <c r="B25" s="11"/>
      <c r="C25" s="12"/>
      <c r="D25" s="12"/>
      <c r="E25" s="12"/>
      <c r="F25" s="12"/>
      <c r="G25" s="12"/>
      <c r="H25" s="17"/>
      <c r="I25" s="18"/>
      <c r="J25" s="17"/>
      <c r="K25" s="17"/>
      <c r="L25" s="17"/>
      <c r="M25" s="18"/>
      <c r="N25" s="17"/>
      <c r="O25" s="17"/>
      <c r="P25" s="21" t="str">
        <f aca="false">IF(OR(H25="",L25=""),"",IF(AND(H25&gt;=Variables!$E$2,L25&gt;=Variables!$E$2),"Yes","No"))</f>
        <v/>
      </c>
      <c r="Q25" s="19" t="str">
        <f aca="false">IF(OR(I25="",M25="",I25=0),"",(M25-I25)/I25)</f>
        <v/>
      </c>
      <c r="R25" s="21" t="str">
        <f aca="false">IF(P25="","",IF(P25="No","Extend 24 h",IF(Q25&gt;=Variables!$E$3,"B","A")))</f>
        <v/>
      </c>
      <c r="S25" s="21" t="str">
        <f aca="false">IF(R25="B","Yes: add to Constants",IF(R25="A","No",""))</f>
        <v/>
      </c>
      <c r="T25" s="11"/>
      <c r="U25" s="12"/>
    </row>
    <row r="26" customFormat="false" ht="15" hidden="false" customHeight="false" outlineLevel="0" collapsed="false">
      <c r="A26" s="12"/>
      <c r="B26" s="11"/>
      <c r="C26" s="12"/>
      <c r="D26" s="12"/>
      <c r="E26" s="12"/>
      <c r="F26" s="12"/>
      <c r="G26" s="12"/>
      <c r="H26" s="17"/>
      <c r="I26" s="18"/>
      <c r="J26" s="17"/>
      <c r="K26" s="17"/>
      <c r="L26" s="17"/>
      <c r="M26" s="18"/>
      <c r="N26" s="17"/>
      <c r="O26" s="17"/>
      <c r="P26" s="21" t="str">
        <f aca="false">IF(OR(H26="",L26=""),"",IF(AND(H26&gt;=Variables!$E$2,L26&gt;=Variables!$E$2),"Yes","No"))</f>
        <v/>
      </c>
      <c r="Q26" s="19" t="str">
        <f aca="false">IF(OR(I26="",M26="",I26=0),"",(M26-I26)/I26)</f>
        <v/>
      </c>
      <c r="R26" s="21" t="str">
        <f aca="false">IF(P26="","",IF(P26="No","Extend 24 h",IF(Q26&gt;=Variables!$E$3,"B","A")))</f>
        <v/>
      </c>
      <c r="S26" s="21" t="str">
        <f aca="false">IF(R26="B","Yes: add to Constants",IF(R26="A","No",""))</f>
        <v/>
      </c>
      <c r="T26" s="11"/>
      <c r="U26" s="12"/>
    </row>
    <row r="27" customFormat="false" ht="15" hidden="false" customHeight="false" outlineLevel="0" collapsed="false">
      <c r="A27" s="12"/>
      <c r="B27" s="11"/>
      <c r="C27" s="12"/>
      <c r="D27" s="12"/>
      <c r="E27" s="12"/>
      <c r="F27" s="12"/>
      <c r="G27" s="12"/>
      <c r="H27" s="17"/>
      <c r="I27" s="18"/>
      <c r="J27" s="17"/>
      <c r="K27" s="17"/>
      <c r="L27" s="17"/>
      <c r="M27" s="18"/>
      <c r="N27" s="17"/>
      <c r="O27" s="17"/>
      <c r="P27" s="21" t="str">
        <f aca="false">IF(OR(H27="",L27=""),"",IF(AND(H27&gt;=Variables!$E$2,L27&gt;=Variables!$E$2),"Yes","No"))</f>
        <v/>
      </c>
      <c r="Q27" s="19" t="str">
        <f aca="false">IF(OR(I27="",M27="",I27=0),"",(M27-I27)/I27)</f>
        <v/>
      </c>
      <c r="R27" s="21" t="str">
        <f aca="false">IF(P27="","",IF(P27="No","Extend 24 h",IF(Q27&gt;=Variables!$E$3,"B","A")))</f>
        <v/>
      </c>
      <c r="S27" s="21" t="str">
        <f aca="false">IF(R27="B","Yes: add to Constants",IF(R27="A","No",""))</f>
        <v/>
      </c>
      <c r="T27" s="11"/>
      <c r="U27" s="12"/>
    </row>
    <row r="28" customFormat="false" ht="15" hidden="false" customHeight="false" outlineLevel="0" collapsed="false">
      <c r="A28" s="12"/>
      <c r="B28" s="11"/>
      <c r="C28" s="12"/>
      <c r="D28" s="12"/>
      <c r="E28" s="12"/>
      <c r="F28" s="12"/>
      <c r="G28" s="12"/>
      <c r="H28" s="17"/>
      <c r="I28" s="18"/>
      <c r="J28" s="17"/>
      <c r="K28" s="17"/>
      <c r="L28" s="17"/>
      <c r="M28" s="18"/>
      <c r="N28" s="17"/>
      <c r="O28" s="17"/>
      <c r="P28" s="21" t="str">
        <f aca="false">IF(OR(H28="",L28=""),"",IF(AND(H28&gt;=Variables!$E$2,L28&gt;=Variables!$E$2),"Yes","No"))</f>
        <v/>
      </c>
      <c r="Q28" s="19" t="str">
        <f aca="false">IF(OR(I28="",M28="",I28=0),"",(M28-I28)/I28)</f>
        <v/>
      </c>
      <c r="R28" s="21" t="str">
        <f aca="false">IF(P28="","",IF(P28="No","Extend 24 h",IF(Q28&gt;=Variables!$E$3,"B","A")))</f>
        <v/>
      </c>
      <c r="S28" s="21" t="str">
        <f aca="false">IF(R28="B","Yes: add to Constants",IF(R28="A","No",""))</f>
        <v/>
      </c>
      <c r="T28" s="11"/>
      <c r="U28" s="12"/>
    </row>
    <row r="29" customFormat="false" ht="15" hidden="false" customHeight="false" outlineLevel="0" collapsed="false">
      <c r="A29" s="12"/>
      <c r="B29" s="11"/>
      <c r="C29" s="12"/>
      <c r="D29" s="12"/>
      <c r="E29" s="12"/>
      <c r="F29" s="12"/>
      <c r="G29" s="12"/>
      <c r="H29" s="17"/>
      <c r="I29" s="18"/>
      <c r="J29" s="17"/>
      <c r="K29" s="17"/>
      <c r="L29" s="17"/>
      <c r="M29" s="18"/>
      <c r="N29" s="17"/>
      <c r="O29" s="17"/>
      <c r="P29" s="21" t="str">
        <f aca="false">IF(OR(H29="",L29=""),"",IF(AND(H29&gt;=Variables!$E$2,L29&gt;=Variables!$E$2),"Yes","No"))</f>
        <v/>
      </c>
      <c r="Q29" s="19" t="str">
        <f aca="false">IF(OR(I29="",M29="",I29=0),"",(M29-I29)/I29)</f>
        <v/>
      </c>
      <c r="R29" s="21" t="str">
        <f aca="false">IF(P29="","",IF(P29="No","Extend 24 h",IF(Q29&gt;=Variables!$E$3,"B","A")))</f>
        <v/>
      </c>
      <c r="S29" s="21" t="str">
        <f aca="false">IF(R29="B","Yes: add to Constants",IF(R29="A","No",""))</f>
        <v/>
      </c>
      <c r="T29" s="11"/>
      <c r="U29" s="12"/>
    </row>
    <row r="30" customFormat="false" ht="15" hidden="false" customHeight="false" outlineLevel="0" collapsed="false">
      <c r="A30" s="12"/>
      <c r="B30" s="11"/>
      <c r="C30" s="12"/>
      <c r="D30" s="12"/>
      <c r="E30" s="12"/>
      <c r="F30" s="12"/>
      <c r="G30" s="12"/>
      <c r="H30" s="17"/>
      <c r="I30" s="18"/>
      <c r="J30" s="17"/>
      <c r="K30" s="17"/>
      <c r="L30" s="17"/>
      <c r="M30" s="18"/>
      <c r="N30" s="17"/>
      <c r="O30" s="17"/>
      <c r="P30" s="21" t="str">
        <f aca="false">IF(OR(H30="",L30=""),"",IF(AND(H30&gt;=Variables!$E$2,L30&gt;=Variables!$E$2),"Yes","No"))</f>
        <v/>
      </c>
      <c r="Q30" s="19" t="str">
        <f aca="false">IF(OR(I30="",M30="",I30=0),"",(M30-I30)/I30)</f>
        <v/>
      </c>
      <c r="R30" s="21" t="str">
        <f aca="false">IF(P30="","",IF(P30="No","Extend 24 h",IF(Q30&gt;=Variables!$E$3,"B","A")))</f>
        <v/>
      </c>
      <c r="S30" s="21" t="str">
        <f aca="false">IF(R30="B","Yes: add to Constants",IF(R30="A","No",""))</f>
        <v/>
      </c>
      <c r="T30" s="11"/>
      <c r="U30" s="12"/>
    </row>
    <row r="31" customFormat="false" ht="15" hidden="false" customHeight="false" outlineLevel="0" collapsed="false">
      <c r="A31" s="12"/>
      <c r="B31" s="11"/>
      <c r="C31" s="12"/>
      <c r="D31" s="12"/>
      <c r="E31" s="12"/>
      <c r="F31" s="12"/>
      <c r="G31" s="12"/>
      <c r="H31" s="17"/>
      <c r="I31" s="18"/>
      <c r="J31" s="17"/>
      <c r="K31" s="17"/>
      <c r="L31" s="17"/>
      <c r="M31" s="18"/>
      <c r="N31" s="17"/>
      <c r="O31" s="17"/>
      <c r="P31" s="21" t="str">
        <f aca="false">IF(OR(H31="",L31=""),"",IF(AND(H31&gt;=Variables!$E$2,L31&gt;=Variables!$E$2),"Yes","No"))</f>
        <v/>
      </c>
      <c r="Q31" s="19" t="str">
        <f aca="false">IF(OR(I31="",M31="",I31=0),"",(M31-I31)/I31)</f>
        <v/>
      </c>
      <c r="R31" s="21" t="str">
        <f aca="false">IF(P31="","",IF(P31="No","Extend 24 h",IF(Q31&gt;=Variables!$E$3,"B","A")))</f>
        <v/>
      </c>
      <c r="S31" s="21" t="str">
        <f aca="false">IF(R31="B","Yes: add to Constants",IF(R31="A","No",""))</f>
        <v/>
      </c>
      <c r="T31" s="11"/>
      <c r="U31" s="12"/>
    </row>
    <row r="32" customFormat="false" ht="15" hidden="false" customHeight="false" outlineLevel="0" collapsed="false">
      <c r="A32" s="12"/>
      <c r="B32" s="11"/>
      <c r="C32" s="12"/>
      <c r="D32" s="12"/>
      <c r="E32" s="12"/>
      <c r="F32" s="12"/>
      <c r="G32" s="12"/>
      <c r="H32" s="17"/>
      <c r="I32" s="18"/>
      <c r="J32" s="17"/>
      <c r="K32" s="17"/>
      <c r="L32" s="17"/>
      <c r="M32" s="18"/>
      <c r="N32" s="17"/>
      <c r="O32" s="17"/>
      <c r="P32" s="21" t="str">
        <f aca="false">IF(OR(H32="",L32=""),"",IF(AND(H32&gt;=Variables!$E$2,L32&gt;=Variables!$E$2),"Yes","No"))</f>
        <v/>
      </c>
      <c r="Q32" s="19" t="str">
        <f aca="false">IF(OR(I32="",M32="",I32=0),"",(M32-I32)/I32)</f>
        <v/>
      </c>
      <c r="R32" s="21" t="str">
        <f aca="false">IF(P32="","",IF(P32="No","Extend 24 h",IF(Q32&gt;=Variables!$E$3,"B","A")))</f>
        <v/>
      </c>
      <c r="S32" s="21" t="str">
        <f aca="false">IF(R32="B","Yes: add to Constants",IF(R32="A","No",""))</f>
        <v/>
      </c>
      <c r="T32" s="11"/>
      <c r="U32" s="12"/>
    </row>
    <row r="33" customFormat="false" ht="15" hidden="false" customHeight="false" outlineLevel="0" collapsed="false">
      <c r="A33" s="12"/>
      <c r="B33" s="11"/>
      <c r="C33" s="12"/>
      <c r="D33" s="12"/>
      <c r="E33" s="12"/>
      <c r="F33" s="12"/>
      <c r="G33" s="12"/>
      <c r="H33" s="17"/>
      <c r="I33" s="18"/>
      <c r="J33" s="17"/>
      <c r="K33" s="17"/>
      <c r="L33" s="17"/>
      <c r="M33" s="18"/>
      <c r="N33" s="17"/>
      <c r="O33" s="17"/>
      <c r="P33" s="21" t="str">
        <f aca="false">IF(OR(H33="",L33=""),"",IF(AND(H33&gt;=Variables!$E$2,L33&gt;=Variables!$E$2),"Yes","No"))</f>
        <v/>
      </c>
      <c r="Q33" s="19" t="str">
        <f aca="false">IF(OR(I33="",M33="",I33=0),"",(M33-I33)/I33)</f>
        <v/>
      </c>
      <c r="R33" s="21" t="str">
        <f aca="false">IF(P33="","",IF(P33="No","Extend 24 h",IF(Q33&gt;=Variables!$E$3,"B","A")))</f>
        <v/>
      </c>
      <c r="S33" s="21" t="str">
        <f aca="false">IF(R33="B","Yes: add to Constants",IF(R33="A","No",""))</f>
        <v/>
      </c>
      <c r="T33" s="11"/>
      <c r="U33" s="12"/>
    </row>
    <row r="34" customFormat="false" ht="15" hidden="false" customHeight="false" outlineLevel="0" collapsed="false">
      <c r="A34" s="12"/>
      <c r="B34" s="11"/>
      <c r="C34" s="12"/>
      <c r="D34" s="12"/>
      <c r="E34" s="12"/>
      <c r="F34" s="12"/>
      <c r="G34" s="12"/>
      <c r="H34" s="17"/>
      <c r="I34" s="18"/>
      <c r="J34" s="17"/>
      <c r="K34" s="17"/>
      <c r="L34" s="17"/>
      <c r="M34" s="18"/>
      <c r="N34" s="17"/>
      <c r="O34" s="17"/>
      <c r="P34" s="21" t="str">
        <f aca="false">IF(OR(H34="",L34=""),"",IF(AND(H34&gt;=Variables!$E$2,L34&gt;=Variables!$E$2),"Yes","No"))</f>
        <v/>
      </c>
      <c r="Q34" s="19" t="str">
        <f aca="false">IF(OR(I34="",M34="",I34=0),"",(M34-I34)/I34)</f>
        <v/>
      </c>
      <c r="R34" s="21" t="str">
        <f aca="false">IF(P34="","",IF(P34="No","Extend 24 h",IF(Q34&gt;=Variables!$E$3,"B","A")))</f>
        <v/>
      </c>
      <c r="S34" s="21" t="str">
        <f aca="false">IF(R34="B","Yes: add to Constants",IF(R34="A","No",""))</f>
        <v/>
      </c>
      <c r="T34" s="11"/>
      <c r="U34" s="12"/>
    </row>
    <row r="35" customFormat="false" ht="15" hidden="false" customHeight="false" outlineLevel="0" collapsed="false">
      <c r="A35" s="12"/>
      <c r="B35" s="11"/>
      <c r="C35" s="12"/>
      <c r="D35" s="12"/>
      <c r="E35" s="12"/>
      <c r="F35" s="12"/>
      <c r="G35" s="12"/>
      <c r="H35" s="17"/>
      <c r="I35" s="18"/>
      <c r="J35" s="17"/>
      <c r="K35" s="17"/>
      <c r="L35" s="17"/>
      <c r="M35" s="18"/>
      <c r="N35" s="17"/>
      <c r="O35" s="17"/>
      <c r="P35" s="21" t="str">
        <f aca="false">IF(OR(H35="",L35=""),"",IF(AND(H35&gt;=Variables!$E$2,L35&gt;=Variables!$E$2),"Yes","No"))</f>
        <v/>
      </c>
      <c r="Q35" s="19" t="str">
        <f aca="false">IF(OR(I35="",M35="",I35=0),"",(M35-I35)/I35)</f>
        <v/>
      </c>
      <c r="R35" s="21" t="str">
        <f aca="false">IF(P35="","",IF(P35="No","Extend 24 h",IF(Q35&gt;=Variables!$E$3,"B","A")))</f>
        <v/>
      </c>
      <c r="S35" s="21" t="str">
        <f aca="false">IF(R35="B","Yes: add to Constants",IF(R35="A","No",""))</f>
        <v/>
      </c>
      <c r="T35" s="11"/>
      <c r="U35" s="12"/>
    </row>
    <row r="36" customFormat="false" ht="15" hidden="false" customHeight="false" outlineLevel="0" collapsed="false">
      <c r="A36" s="12"/>
      <c r="B36" s="11"/>
      <c r="C36" s="12"/>
      <c r="D36" s="12"/>
      <c r="E36" s="12"/>
      <c r="F36" s="12"/>
      <c r="G36" s="12"/>
      <c r="H36" s="17"/>
      <c r="I36" s="18"/>
      <c r="J36" s="17"/>
      <c r="K36" s="17"/>
      <c r="L36" s="17"/>
      <c r="M36" s="18"/>
      <c r="N36" s="17"/>
      <c r="O36" s="17"/>
      <c r="P36" s="21" t="str">
        <f aca="false">IF(OR(H36="",L36=""),"",IF(AND(H36&gt;=Variables!$E$2,L36&gt;=Variables!$E$2),"Yes","No"))</f>
        <v/>
      </c>
      <c r="Q36" s="19" t="str">
        <f aca="false">IF(OR(I36="",M36="",I36=0),"",(M36-I36)/I36)</f>
        <v/>
      </c>
      <c r="R36" s="21" t="str">
        <f aca="false">IF(P36="","",IF(P36="No","Extend 24 h",IF(Q36&gt;=Variables!$E$3,"B","A")))</f>
        <v/>
      </c>
      <c r="S36" s="21" t="str">
        <f aca="false">IF(R36="B","Yes: add to Constants",IF(R36="A","No",""))</f>
        <v/>
      </c>
      <c r="T36" s="11"/>
      <c r="U36" s="12"/>
    </row>
    <row r="37" customFormat="false" ht="15" hidden="false" customHeight="false" outlineLevel="0" collapsed="false">
      <c r="A37" s="12"/>
      <c r="B37" s="11"/>
      <c r="C37" s="12"/>
      <c r="D37" s="12"/>
      <c r="E37" s="12"/>
      <c r="F37" s="12"/>
      <c r="G37" s="12"/>
      <c r="H37" s="17"/>
      <c r="I37" s="18"/>
      <c r="J37" s="17"/>
      <c r="K37" s="17"/>
      <c r="L37" s="17"/>
      <c r="M37" s="18"/>
      <c r="N37" s="17"/>
      <c r="O37" s="17"/>
      <c r="P37" s="21" t="str">
        <f aca="false">IF(OR(H37="",L37=""),"",IF(AND(H37&gt;=Variables!$E$2,L37&gt;=Variables!$E$2),"Yes","No"))</f>
        <v/>
      </c>
      <c r="Q37" s="19" t="str">
        <f aca="false">IF(OR(I37="",M37="",I37=0),"",(M37-I37)/I37)</f>
        <v/>
      </c>
      <c r="R37" s="21" t="str">
        <f aca="false">IF(P37="","",IF(P37="No","Extend 24 h",IF(Q37&gt;=Variables!$E$3,"B","A")))</f>
        <v/>
      </c>
      <c r="S37" s="21" t="str">
        <f aca="false">IF(R37="B","Yes: add to Constants",IF(R37="A","No",""))</f>
        <v/>
      </c>
      <c r="T37" s="11"/>
      <c r="U37" s="12"/>
    </row>
    <row r="38" customFormat="false" ht="15" hidden="false" customHeight="false" outlineLevel="0" collapsed="false">
      <c r="A38" s="12"/>
      <c r="B38" s="11"/>
      <c r="C38" s="12"/>
      <c r="D38" s="12"/>
      <c r="E38" s="12"/>
      <c r="F38" s="12"/>
      <c r="G38" s="12"/>
      <c r="H38" s="17"/>
      <c r="I38" s="18"/>
      <c r="J38" s="17"/>
      <c r="K38" s="17"/>
      <c r="L38" s="17"/>
      <c r="M38" s="18"/>
      <c r="N38" s="17"/>
      <c r="O38" s="17"/>
      <c r="P38" s="21" t="str">
        <f aca="false">IF(OR(H38="",L38=""),"",IF(AND(H38&gt;=Variables!$E$2,L38&gt;=Variables!$E$2),"Yes","No"))</f>
        <v/>
      </c>
      <c r="Q38" s="19" t="str">
        <f aca="false">IF(OR(I38="",M38="",I38=0),"",(M38-I38)/I38)</f>
        <v/>
      </c>
      <c r="R38" s="21" t="str">
        <f aca="false">IF(P38="","",IF(P38="No","Extend 24 h",IF(Q38&gt;=Variables!$E$3,"B","A")))</f>
        <v/>
      </c>
      <c r="S38" s="21" t="str">
        <f aca="false">IF(R38="B","Yes: add to Constants",IF(R38="A","No",""))</f>
        <v/>
      </c>
      <c r="T38" s="11"/>
      <c r="U38" s="12"/>
    </row>
    <row r="39" customFormat="false" ht="15" hidden="false" customHeight="false" outlineLevel="0" collapsed="false">
      <c r="A39" s="12"/>
      <c r="B39" s="11"/>
      <c r="C39" s="12"/>
      <c r="D39" s="12"/>
      <c r="E39" s="12"/>
      <c r="F39" s="12"/>
      <c r="G39" s="12"/>
      <c r="H39" s="17"/>
      <c r="I39" s="18"/>
      <c r="J39" s="17"/>
      <c r="K39" s="17"/>
      <c r="L39" s="17"/>
      <c r="M39" s="18"/>
      <c r="N39" s="17"/>
      <c r="O39" s="17"/>
      <c r="P39" s="21" t="str">
        <f aca="false">IF(OR(H39="",L39=""),"",IF(AND(H39&gt;=Variables!$E$2,L39&gt;=Variables!$E$2),"Yes","No"))</f>
        <v/>
      </c>
      <c r="Q39" s="19" t="str">
        <f aca="false">IF(OR(I39="",M39="",I39=0),"",(M39-I39)/I39)</f>
        <v/>
      </c>
      <c r="R39" s="21" t="str">
        <f aca="false">IF(P39="","",IF(P39="No","Extend 24 h",IF(Q39&gt;=Variables!$E$3,"B","A")))</f>
        <v/>
      </c>
      <c r="S39" s="21" t="str">
        <f aca="false">IF(R39="B","Yes: add to Constants",IF(R39="A","No",""))</f>
        <v/>
      </c>
      <c r="T39" s="11"/>
      <c r="U39" s="12"/>
    </row>
    <row r="40" customFormat="false" ht="15" hidden="false" customHeight="false" outlineLevel="0" collapsed="false">
      <c r="A40" s="12"/>
      <c r="B40" s="11"/>
      <c r="C40" s="12"/>
      <c r="D40" s="12"/>
      <c r="E40" s="12"/>
      <c r="F40" s="12"/>
      <c r="G40" s="12"/>
      <c r="H40" s="17"/>
      <c r="I40" s="18"/>
      <c r="J40" s="17"/>
      <c r="K40" s="17"/>
      <c r="L40" s="17"/>
      <c r="M40" s="18"/>
      <c r="N40" s="17"/>
      <c r="O40" s="17"/>
      <c r="P40" s="21" t="str">
        <f aca="false">IF(OR(H40="",L40=""),"",IF(AND(H40&gt;=Variables!$E$2,L40&gt;=Variables!$E$2),"Yes","No"))</f>
        <v/>
      </c>
      <c r="Q40" s="19" t="str">
        <f aca="false">IF(OR(I40="",M40="",I40=0),"",(M40-I40)/I40)</f>
        <v/>
      </c>
      <c r="R40" s="21" t="str">
        <f aca="false">IF(P40="","",IF(P40="No","Extend 24 h",IF(Q40&gt;=Variables!$E$3,"B","A")))</f>
        <v/>
      </c>
      <c r="S40" s="21" t="str">
        <f aca="false">IF(R40="B","Yes: add to Constants",IF(R40="A","No",""))</f>
        <v/>
      </c>
      <c r="T40" s="11"/>
      <c r="U40" s="12"/>
    </row>
    <row r="41" customFormat="false" ht="15" hidden="false" customHeight="false" outlineLevel="0" collapsed="false">
      <c r="A41" s="12"/>
      <c r="B41" s="11"/>
      <c r="C41" s="12"/>
      <c r="D41" s="12"/>
      <c r="E41" s="12"/>
      <c r="F41" s="12"/>
      <c r="G41" s="12"/>
      <c r="H41" s="17"/>
      <c r="I41" s="18"/>
      <c r="J41" s="17"/>
      <c r="K41" s="17"/>
      <c r="L41" s="17"/>
      <c r="M41" s="18"/>
      <c r="N41" s="17"/>
      <c r="O41" s="17"/>
      <c r="P41" s="21" t="str">
        <f aca="false">IF(OR(H41="",L41=""),"",IF(AND(H41&gt;=Variables!$E$2,L41&gt;=Variables!$E$2),"Yes","No"))</f>
        <v/>
      </c>
      <c r="Q41" s="19" t="str">
        <f aca="false">IF(OR(I41="",M41="",I41=0),"",(M41-I41)/I41)</f>
        <v/>
      </c>
      <c r="R41" s="21" t="str">
        <f aca="false">IF(P41="","",IF(P41="No","Extend 24 h",IF(Q41&gt;=Variables!$E$3,"B","A")))</f>
        <v/>
      </c>
      <c r="S41" s="21" t="str">
        <f aca="false">IF(R41="B","Yes: add to Constants",IF(R41="A","No",""))</f>
        <v/>
      </c>
      <c r="T41" s="11"/>
      <c r="U41" s="12"/>
    </row>
    <row r="42" customFormat="false" ht="15" hidden="false" customHeight="false" outlineLevel="0" collapsed="false">
      <c r="A42" s="12"/>
      <c r="B42" s="11"/>
      <c r="C42" s="12"/>
      <c r="D42" s="12"/>
      <c r="E42" s="12"/>
      <c r="F42" s="12"/>
      <c r="G42" s="12"/>
      <c r="H42" s="17"/>
      <c r="I42" s="18"/>
      <c r="J42" s="17"/>
      <c r="K42" s="17"/>
      <c r="L42" s="17"/>
      <c r="M42" s="18"/>
      <c r="N42" s="17"/>
      <c r="O42" s="17"/>
      <c r="P42" s="21" t="str">
        <f aca="false">IF(OR(H42="",L42=""),"",IF(AND(H42&gt;=Variables!$E$2,L42&gt;=Variables!$E$2),"Yes","No"))</f>
        <v/>
      </c>
      <c r="Q42" s="19" t="str">
        <f aca="false">IF(OR(I42="",M42="",I42=0),"",(M42-I42)/I42)</f>
        <v/>
      </c>
      <c r="R42" s="21" t="str">
        <f aca="false">IF(P42="","",IF(P42="No","Extend 24 h",IF(Q42&gt;=Variables!$E$3,"B","A")))</f>
        <v/>
      </c>
      <c r="S42" s="21" t="str">
        <f aca="false">IF(R42="B","Yes: add to Constants",IF(R42="A","No",""))</f>
        <v/>
      </c>
      <c r="T42" s="11"/>
      <c r="U42" s="12"/>
    </row>
    <row r="43" customFormat="false" ht="15" hidden="false" customHeight="false" outlineLevel="0" collapsed="false">
      <c r="A43" s="12"/>
      <c r="B43" s="11"/>
      <c r="C43" s="12"/>
      <c r="D43" s="12"/>
      <c r="E43" s="12"/>
      <c r="F43" s="12"/>
      <c r="G43" s="12"/>
      <c r="H43" s="17"/>
      <c r="I43" s="18"/>
      <c r="J43" s="17"/>
      <c r="K43" s="17"/>
      <c r="L43" s="17"/>
      <c r="M43" s="18"/>
      <c r="N43" s="17"/>
      <c r="O43" s="17"/>
      <c r="P43" s="21" t="str">
        <f aca="false">IF(OR(H43="",L43=""),"",IF(AND(H43&gt;=Variables!$E$2,L43&gt;=Variables!$E$2),"Yes","No"))</f>
        <v/>
      </c>
      <c r="Q43" s="19" t="str">
        <f aca="false">IF(OR(I43="",M43="",I43=0),"",(M43-I43)/I43)</f>
        <v/>
      </c>
      <c r="R43" s="21" t="str">
        <f aca="false">IF(P43="","",IF(P43="No","Extend 24 h",IF(Q43&gt;=Variables!$E$3,"B","A")))</f>
        <v/>
      </c>
      <c r="S43" s="21" t="str">
        <f aca="false">IF(R43="B","Yes: add to Constants",IF(R43="A","No",""))</f>
        <v/>
      </c>
      <c r="T43" s="11"/>
      <c r="U43" s="12"/>
    </row>
    <row r="44" customFormat="false" ht="15" hidden="false" customHeight="false" outlineLevel="0" collapsed="false">
      <c r="A44" s="12"/>
      <c r="B44" s="11"/>
      <c r="C44" s="12"/>
      <c r="D44" s="12"/>
      <c r="E44" s="12"/>
      <c r="F44" s="12"/>
      <c r="G44" s="12"/>
      <c r="H44" s="17"/>
      <c r="I44" s="18"/>
      <c r="J44" s="17"/>
      <c r="K44" s="17"/>
      <c r="L44" s="17"/>
      <c r="M44" s="18"/>
      <c r="N44" s="17"/>
      <c r="O44" s="17"/>
      <c r="P44" s="21" t="str">
        <f aca="false">IF(OR(H44="",L44=""),"",IF(AND(H44&gt;=Variables!$E$2,L44&gt;=Variables!$E$2),"Yes","No"))</f>
        <v/>
      </c>
      <c r="Q44" s="19" t="str">
        <f aca="false">IF(OR(I44="",M44="",I44=0),"",(M44-I44)/I44)</f>
        <v/>
      </c>
      <c r="R44" s="21" t="str">
        <f aca="false">IF(P44="","",IF(P44="No","Extend 24 h",IF(Q44&gt;=Variables!$E$3,"B","A")))</f>
        <v/>
      </c>
      <c r="S44" s="21" t="str">
        <f aca="false">IF(R44="B","Yes: add to Constants",IF(R44="A","No",""))</f>
        <v/>
      </c>
      <c r="T44" s="11"/>
      <c r="U44" s="12"/>
    </row>
    <row r="45" customFormat="false" ht="15" hidden="false" customHeight="false" outlineLevel="0" collapsed="false">
      <c r="A45" s="12"/>
      <c r="B45" s="11"/>
      <c r="C45" s="12"/>
      <c r="D45" s="12"/>
      <c r="E45" s="12"/>
      <c r="F45" s="12"/>
      <c r="G45" s="12"/>
      <c r="H45" s="17"/>
      <c r="I45" s="18"/>
      <c r="J45" s="17"/>
      <c r="K45" s="17"/>
      <c r="L45" s="17"/>
      <c r="M45" s="18"/>
      <c r="N45" s="17"/>
      <c r="O45" s="17"/>
      <c r="P45" s="21" t="str">
        <f aca="false">IF(OR(H45="",L45=""),"",IF(AND(H45&gt;=Variables!$E$2,L45&gt;=Variables!$E$2),"Yes","No"))</f>
        <v/>
      </c>
      <c r="Q45" s="19" t="str">
        <f aca="false">IF(OR(I45="",M45="",I45=0),"",(M45-I45)/I45)</f>
        <v/>
      </c>
      <c r="R45" s="21" t="str">
        <f aca="false">IF(P45="","",IF(P45="No","Extend 24 h",IF(Q45&gt;=Variables!$E$3,"B","A")))</f>
        <v/>
      </c>
      <c r="S45" s="21" t="str">
        <f aca="false">IF(R45="B","Yes: add to Constants",IF(R45="A","No",""))</f>
        <v/>
      </c>
      <c r="T45" s="11"/>
      <c r="U45" s="12"/>
    </row>
    <row r="46" customFormat="false" ht="15" hidden="false" customHeight="false" outlineLevel="0" collapsed="false">
      <c r="A46" s="12"/>
      <c r="B46" s="11"/>
      <c r="C46" s="12"/>
      <c r="D46" s="12"/>
      <c r="E46" s="12"/>
      <c r="F46" s="12"/>
      <c r="G46" s="12"/>
      <c r="H46" s="17"/>
      <c r="I46" s="18"/>
      <c r="J46" s="17"/>
      <c r="K46" s="17"/>
      <c r="L46" s="17"/>
      <c r="M46" s="18"/>
      <c r="N46" s="17"/>
      <c r="O46" s="17"/>
      <c r="P46" s="21" t="str">
        <f aca="false">IF(OR(H46="",L46=""),"",IF(AND(H46&gt;=Variables!$E$2,L46&gt;=Variables!$E$2),"Yes","No"))</f>
        <v/>
      </c>
      <c r="Q46" s="19" t="str">
        <f aca="false">IF(OR(I46="",M46="",I46=0),"",(M46-I46)/I46)</f>
        <v/>
      </c>
      <c r="R46" s="21" t="str">
        <f aca="false">IF(P46="","",IF(P46="No","Extend 24 h",IF(Q46&gt;=Variables!$E$3,"B","A")))</f>
        <v/>
      </c>
      <c r="S46" s="21" t="str">
        <f aca="false">IF(R46="B","Yes: add to Constants",IF(R46="A","No",""))</f>
        <v/>
      </c>
      <c r="T46" s="11"/>
      <c r="U46" s="12"/>
    </row>
    <row r="47" customFormat="false" ht="15" hidden="false" customHeight="false" outlineLevel="0" collapsed="false">
      <c r="A47" s="12"/>
      <c r="B47" s="11"/>
      <c r="C47" s="12"/>
      <c r="D47" s="12"/>
      <c r="E47" s="12"/>
      <c r="F47" s="12"/>
      <c r="G47" s="12"/>
      <c r="H47" s="17"/>
      <c r="I47" s="18"/>
      <c r="J47" s="17"/>
      <c r="K47" s="17"/>
      <c r="L47" s="17"/>
      <c r="M47" s="18"/>
      <c r="N47" s="17"/>
      <c r="O47" s="17"/>
      <c r="P47" s="21" t="str">
        <f aca="false">IF(OR(H47="",L47=""),"",IF(AND(H47&gt;=Variables!$E$2,L47&gt;=Variables!$E$2),"Yes","No"))</f>
        <v/>
      </c>
      <c r="Q47" s="19" t="str">
        <f aca="false">IF(OR(I47="",M47="",I47=0),"",(M47-I47)/I47)</f>
        <v/>
      </c>
      <c r="R47" s="21" t="str">
        <f aca="false">IF(P47="","",IF(P47="No","Extend 24 h",IF(Q47&gt;=Variables!$E$3,"B","A")))</f>
        <v/>
      </c>
      <c r="S47" s="21" t="str">
        <f aca="false">IF(R47="B","Yes: add to Constants",IF(R47="A","No",""))</f>
        <v/>
      </c>
      <c r="T47" s="11"/>
      <c r="U47" s="12"/>
    </row>
    <row r="48" customFormat="false" ht="15" hidden="false" customHeight="false" outlineLevel="0" collapsed="false">
      <c r="A48" s="12"/>
      <c r="B48" s="11"/>
      <c r="C48" s="12"/>
      <c r="D48" s="12"/>
      <c r="E48" s="12"/>
      <c r="F48" s="12"/>
      <c r="G48" s="12"/>
      <c r="H48" s="17"/>
      <c r="I48" s="18"/>
      <c r="J48" s="17"/>
      <c r="K48" s="17"/>
      <c r="L48" s="17"/>
      <c r="M48" s="18"/>
      <c r="N48" s="17"/>
      <c r="O48" s="17"/>
      <c r="P48" s="21" t="str">
        <f aca="false">IF(OR(H48="",L48=""),"",IF(AND(H48&gt;=Variables!$E$2,L48&gt;=Variables!$E$2),"Yes","No"))</f>
        <v/>
      </c>
      <c r="Q48" s="19" t="str">
        <f aca="false">IF(OR(I48="",M48="",I48=0),"",(M48-I48)/I48)</f>
        <v/>
      </c>
      <c r="R48" s="21" t="str">
        <f aca="false">IF(P48="","",IF(P48="No","Extend 24 h",IF(Q48&gt;=Variables!$E$3,"B","A")))</f>
        <v/>
      </c>
      <c r="S48" s="21" t="str">
        <f aca="false">IF(R48="B","Yes: add to Constants",IF(R48="A","No",""))</f>
        <v/>
      </c>
      <c r="T48" s="11"/>
      <c r="U48" s="12"/>
    </row>
    <row r="49" customFormat="false" ht="15" hidden="false" customHeight="false" outlineLevel="0" collapsed="false">
      <c r="A49" s="12"/>
      <c r="B49" s="11"/>
      <c r="C49" s="12"/>
      <c r="D49" s="12"/>
      <c r="E49" s="12"/>
      <c r="F49" s="12"/>
      <c r="G49" s="12"/>
      <c r="H49" s="17"/>
      <c r="I49" s="18"/>
      <c r="J49" s="17"/>
      <c r="K49" s="17"/>
      <c r="L49" s="17"/>
      <c r="M49" s="18"/>
      <c r="N49" s="17"/>
      <c r="O49" s="17"/>
      <c r="P49" s="21" t="str">
        <f aca="false">IF(OR(H49="",L49=""),"",IF(AND(H49&gt;=Variables!$E$2,L49&gt;=Variables!$E$2),"Yes","No"))</f>
        <v/>
      </c>
      <c r="Q49" s="19" t="str">
        <f aca="false">IF(OR(I49="",M49="",I49=0),"",(M49-I49)/I49)</f>
        <v/>
      </c>
      <c r="R49" s="21" t="str">
        <f aca="false">IF(P49="","",IF(P49="No","Extend 24 h",IF(Q49&gt;=Variables!$E$3,"B","A")))</f>
        <v/>
      </c>
      <c r="S49" s="21" t="str">
        <f aca="false">IF(R49="B","Yes: add to Constants",IF(R49="A","No",""))</f>
        <v/>
      </c>
      <c r="T49" s="11"/>
      <c r="U49" s="12"/>
    </row>
    <row r="50" customFormat="false" ht="15" hidden="false" customHeight="false" outlineLevel="0" collapsed="false">
      <c r="A50" s="12"/>
      <c r="B50" s="11"/>
      <c r="C50" s="12"/>
      <c r="D50" s="12"/>
      <c r="E50" s="12"/>
      <c r="F50" s="12"/>
      <c r="G50" s="12"/>
      <c r="H50" s="17"/>
      <c r="I50" s="18"/>
      <c r="J50" s="17"/>
      <c r="K50" s="17"/>
      <c r="L50" s="17"/>
      <c r="M50" s="18"/>
      <c r="N50" s="17"/>
      <c r="O50" s="17"/>
      <c r="P50" s="21" t="str">
        <f aca="false">IF(OR(H50="",L50=""),"",IF(AND(H50&gt;=Variables!$E$2,L50&gt;=Variables!$E$2),"Yes","No"))</f>
        <v/>
      </c>
      <c r="Q50" s="19" t="str">
        <f aca="false">IF(OR(I50="",M50="",I50=0),"",(M50-I50)/I50)</f>
        <v/>
      </c>
      <c r="R50" s="21" t="str">
        <f aca="false">IF(P50="","",IF(P50="No","Extend 24 h",IF(Q50&gt;=Variables!$E$3,"B","A")))</f>
        <v/>
      </c>
      <c r="S50" s="21" t="str">
        <f aca="false">IF(R50="B","Yes: add to Constants",IF(R50="A","No",""))</f>
        <v/>
      </c>
      <c r="T50" s="11"/>
      <c r="U50" s="12"/>
    </row>
    <row r="51" customFormat="false" ht="15" hidden="false" customHeight="false" outlineLevel="0" collapsed="false">
      <c r="A51" s="12"/>
      <c r="B51" s="11"/>
      <c r="C51" s="12"/>
      <c r="D51" s="12"/>
      <c r="E51" s="12"/>
      <c r="F51" s="12"/>
      <c r="G51" s="12"/>
      <c r="H51" s="17"/>
      <c r="I51" s="18"/>
      <c r="J51" s="17"/>
      <c r="K51" s="17"/>
      <c r="L51" s="17"/>
      <c r="M51" s="18"/>
      <c r="N51" s="17"/>
      <c r="O51" s="17"/>
      <c r="P51" s="21" t="str">
        <f aca="false">IF(OR(H51="",L51=""),"",IF(AND(H51&gt;=Variables!$E$2,L51&gt;=Variables!$E$2),"Yes","No"))</f>
        <v/>
      </c>
      <c r="Q51" s="19" t="str">
        <f aca="false">IF(OR(I51="",M51="",I51=0),"",(M51-I51)/I51)</f>
        <v/>
      </c>
      <c r="R51" s="21" t="str">
        <f aca="false">IF(P51="","",IF(P51="No","Extend 24 h",IF(Q51&gt;=Variables!$E$3,"B","A")))</f>
        <v/>
      </c>
      <c r="S51" s="21" t="str">
        <f aca="false">IF(R51="B","Yes: add to Constants",IF(R51="A","No",""))</f>
        <v/>
      </c>
      <c r="T51" s="11"/>
      <c r="U51" s="12"/>
    </row>
    <row r="52" customFormat="false" ht="15" hidden="false" customHeight="false" outlineLevel="0" collapsed="false">
      <c r="A52" s="12"/>
      <c r="B52" s="11"/>
      <c r="C52" s="12"/>
      <c r="D52" s="12"/>
      <c r="E52" s="12"/>
      <c r="F52" s="12"/>
      <c r="G52" s="12"/>
      <c r="H52" s="17"/>
      <c r="I52" s="18"/>
      <c r="J52" s="17"/>
      <c r="K52" s="17"/>
      <c r="L52" s="17"/>
      <c r="M52" s="18"/>
      <c r="N52" s="17"/>
      <c r="O52" s="17"/>
      <c r="P52" s="21" t="str">
        <f aca="false">IF(OR(H52="",L52=""),"",IF(AND(H52&gt;=Variables!$E$2,L52&gt;=Variables!$E$2),"Yes","No"))</f>
        <v/>
      </c>
      <c r="Q52" s="19" t="str">
        <f aca="false">IF(OR(I52="",M52="",I52=0),"",(M52-I52)/I52)</f>
        <v/>
      </c>
      <c r="R52" s="21" t="str">
        <f aca="false">IF(P52="","",IF(P52="No","Extend 24 h",IF(Q52&gt;=Variables!$E$3,"B","A")))</f>
        <v/>
      </c>
      <c r="S52" s="21" t="str">
        <f aca="false">IF(R52="B","Yes: add to Constants",IF(R52="A","No",""))</f>
        <v/>
      </c>
      <c r="T52" s="11"/>
      <c r="U52" s="12"/>
    </row>
    <row r="53" customFormat="false" ht="15" hidden="false" customHeight="false" outlineLevel="0" collapsed="false">
      <c r="A53" s="12"/>
      <c r="B53" s="11"/>
      <c r="C53" s="12"/>
      <c r="D53" s="12"/>
      <c r="E53" s="12"/>
      <c r="F53" s="12"/>
      <c r="G53" s="12"/>
      <c r="H53" s="17"/>
      <c r="I53" s="18"/>
      <c r="J53" s="17"/>
      <c r="K53" s="17"/>
      <c r="L53" s="17"/>
      <c r="M53" s="18"/>
      <c r="N53" s="17"/>
      <c r="O53" s="17"/>
      <c r="P53" s="21" t="str">
        <f aca="false">IF(OR(H53="",L53=""),"",IF(AND(H53&gt;=Variables!$E$2,L53&gt;=Variables!$E$2),"Yes","No"))</f>
        <v/>
      </c>
      <c r="Q53" s="19" t="str">
        <f aca="false">IF(OR(I53="",M53="",I53=0),"",(M53-I53)/I53)</f>
        <v/>
      </c>
      <c r="R53" s="21" t="str">
        <f aca="false">IF(P53="","",IF(P53="No","Extend 24 h",IF(Q53&gt;=Variables!$E$3,"B","A")))</f>
        <v/>
      </c>
      <c r="S53" s="21" t="str">
        <f aca="false">IF(R53="B","Yes: add to Constants",IF(R53="A","No",""))</f>
        <v/>
      </c>
      <c r="T53" s="11"/>
      <c r="U53" s="12"/>
    </row>
    <row r="54" customFormat="false" ht="15" hidden="false" customHeight="false" outlineLevel="0" collapsed="false">
      <c r="A54" s="12"/>
      <c r="B54" s="11"/>
      <c r="C54" s="12"/>
      <c r="D54" s="12"/>
      <c r="E54" s="12"/>
      <c r="F54" s="12"/>
      <c r="G54" s="12"/>
      <c r="H54" s="17"/>
      <c r="I54" s="18"/>
      <c r="J54" s="17"/>
      <c r="K54" s="17"/>
      <c r="L54" s="17"/>
      <c r="M54" s="18"/>
      <c r="N54" s="17"/>
      <c r="O54" s="17"/>
      <c r="P54" s="21" t="str">
        <f aca="false">IF(OR(H54="",L54=""),"",IF(AND(H54&gt;=Variables!$E$2,L54&gt;=Variables!$E$2),"Yes","No"))</f>
        <v/>
      </c>
      <c r="Q54" s="19" t="str">
        <f aca="false">IF(OR(I54="",M54="",I54=0),"",(M54-I54)/I54)</f>
        <v/>
      </c>
      <c r="R54" s="21" t="str">
        <f aca="false">IF(P54="","",IF(P54="No","Extend 24 h",IF(Q54&gt;=Variables!$E$3,"B","A")))</f>
        <v/>
      </c>
      <c r="S54" s="21" t="str">
        <f aca="false">IF(R54="B","Yes: add to Constants",IF(R54="A","No",""))</f>
        <v/>
      </c>
      <c r="T54" s="11"/>
      <c r="U54" s="12"/>
    </row>
    <row r="55" customFormat="false" ht="15" hidden="false" customHeight="false" outlineLevel="0" collapsed="false">
      <c r="A55" s="12"/>
      <c r="B55" s="11"/>
      <c r="C55" s="12"/>
      <c r="D55" s="12"/>
      <c r="E55" s="12"/>
      <c r="F55" s="12"/>
      <c r="G55" s="12"/>
      <c r="H55" s="17"/>
      <c r="I55" s="18"/>
      <c r="J55" s="17"/>
      <c r="K55" s="17"/>
      <c r="L55" s="17"/>
      <c r="M55" s="18"/>
      <c r="N55" s="17"/>
      <c r="O55" s="17"/>
      <c r="P55" s="21" t="str">
        <f aca="false">IF(OR(H55="",L55=""),"",IF(AND(H55&gt;=Variables!$E$2,L55&gt;=Variables!$E$2),"Yes","No"))</f>
        <v/>
      </c>
      <c r="Q55" s="19" t="str">
        <f aca="false">IF(OR(I55="",M55="",I55=0),"",(M55-I55)/I55)</f>
        <v/>
      </c>
      <c r="R55" s="21" t="str">
        <f aca="false">IF(P55="","",IF(P55="No","Extend 24 h",IF(Q55&gt;=Variables!$E$3,"B","A")))</f>
        <v/>
      </c>
      <c r="S55" s="21" t="str">
        <f aca="false">IF(R55="B","Yes: add to Constants",IF(R55="A","No",""))</f>
        <v/>
      </c>
      <c r="T55" s="11"/>
      <c r="U55" s="12"/>
    </row>
    <row r="56" customFormat="false" ht="15" hidden="false" customHeight="false" outlineLevel="0" collapsed="false">
      <c r="A56" s="12"/>
      <c r="B56" s="11"/>
      <c r="C56" s="12"/>
      <c r="D56" s="12"/>
      <c r="E56" s="12"/>
      <c r="F56" s="12"/>
      <c r="G56" s="12"/>
      <c r="H56" s="17"/>
      <c r="I56" s="18"/>
      <c r="J56" s="17"/>
      <c r="K56" s="17"/>
      <c r="L56" s="17"/>
      <c r="M56" s="18"/>
      <c r="N56" s="17"/>
      <c r="O56" s="17"/>
      <c r="P56" s="21" t="str">
        <f aca="false">IF(OR(H56="",L56=""),"",IF(AND(H56&gt;=Variables!$E$2,L56&gt;=Variables!$E$2),"Yes","No"))</f>
        <v/>
      </c>
      <c r="Q56" s="19" t="str">
        <f aca="false">IF(OR(I56="",M56="",I56=0),"",(M56-I56)/I56)</f>
        <v/>
      </c>
      <c r="R56" s="21" t="str">
        <f aca="false">IF(P56="","",IF(P56="No","Extend 24 h",IF(Q56&gt;=Variables!$E$3,"B","A")))</f>
        <v/>
      </c>
      <c r="S56" s="21" t="str">
        <f aca="false">IF(R56="B","Yes: add to Constants",IF(R56="A","No",""))</f>
        <v/>
      </c>
      <c r="T56" s="11"/>
      <c r="U56" s="12"/>
    </row>
    <row r="57" customFormat="false" ht="15" hidden="false" customHeight="false" outlineLevel="0" collapsed="false">
      <c r="A57" s="12"/>
      <c r="B57" s="11"/>
      <c r="C57" s="12"/>
      <c r="D57" s="12"/>
      <c r="E57" s="12"/>
      <c r="F57" s="12"/>
      <c r="G57" s="12"/>
      <c r="H57" s="17"/>
      <c r="I57" s="18"/>
      <c r="J57" s="17"/>
      <c r="K57" s="17"/>
      <c r="L57" s="17"/>
      <c r="M57" s="18"/>
      <c r="N57" s="17"/>
      <c r="O57" s="17"/>
      <c r="P57" s="21" t="str">
        <f aca="false">IF(OR(H57="",L57=""),"",IF(AND(H57&gt;=Variables!$E$2,L57&gt;=Variables!$E$2),"Yes","No"))</f>
        <v/>
      </c>
      <c r="Q57" s="19" t="str">
        <f aca="false">IF(OR(I57="",M57="",I57=0),"",(M57-I57)/I57)</f>
        <v/>
      </c>
      <c r="R57" s="21" t="str">
        <f aca="false">IF(P57="","",IF(P57="No","Extend 24 h",IF(Q57&gt;=Variables!$E$3,"B","A")))</f>
        <v/>
      </c>
      <c r="S57" s="21" t="str">
        <f aca="false">IF(R57="B","Yes: add to Constants",IF(R57="A","No",""))</f>
        <v/>
      </c>
      <c r="T57" s="11"/>
      <c r="U57" s="12"/>
    </row>
    <row r="58" customFormat="false" ht="15" hidden="false" customHeight="false" outlineLevel="0" collapsed="false">
      <c r="A58" s="12"/>
      <c r="B58" s="11"/>
      <c r="C58" s="12"/>
      <c r="D58" s="12"/>
      <c r="E58" s="12"/>
      <c r="F58" s="12"/>
      <c r="G58" s="12"/>
      <c r="H58" s="17"/>
      <c r="I58" s="18"/>
      <c r="J58" s="17"/>
      <c r="K58" s="17"/>
      <c r="L58" s="17"/>
      <c r="M58" s="18"/>
      <c r="N58" s="17"/>
      <c r="O58" s="17"/>
      <c r="P58" s="21" t="str">
        <f aca="false">IF(OR(H58="",L58=""),"",IF(AND(H58&gt;=Variables!$E$2,L58&gt;=Variables!$E$2),"Yes","No"))</f>
        <v/>
      </c>
      <c r="Q58" s="19" t="str">
        <f aca="false">IF(OR(I58="",M58="",I58=0),"",(M58-I58)/I58)</f>
        <v/>
      </c>
      <c r="R58" s="21" t="str">
        <f aca="false">IF(P58="","",IF(P58="No","Extend 24 h",IF(Q58&gt;=Variables!$E$3,"B","A")))</f>
        <v/>
      </c>
      <c r="S58" s="21" t="str">
        <f aca="false">IF(R58="B","Yes: add to Constants",IF(R58="A","No",""))</f>
        <v/>
      </c>
      <c r="T58" s="11"/>
      <c r="U58" s="12"/>
    </row>
    <row r="59" customFormat="false" ht="15" hidden="false" customHeight="false" outlineLevel="0" collapsed="false">
      <c r="A59" s="12"/>
      <c r="B59" s="11"/>
      <c r="C59" s="12"/>
      <c r="D59" s="12"/>
      <c r="E59" s="12"/>
      <c r="F59" s="12"/>
      <c r="G59" s="12"/>
      <c r="H59" s="17"/>
      <c r="I59" s="18"/>
      <c r="J59" s="17"/>
      <c r="K59" s="17"/>
      <c r="L59" s="17"/>
      <c r="M59" s="18"/>
      <c r="N59" s="17"/>
      <c r="O59" s="17"/>
      <c r="P59" s="21" t="str">
        <f aca="false">IF(OR(H59="",L59=""),"",IF(AND(H59&gt;=Variables!$E$2,L59&gt;=Variables!$E$2),"Yes","No"))</f>
        <v/>
      </c>
      <c r="Q59" s="19" t="str">
        <f aca="false">IF(OR(I59="",M59="",I59=0),"",(M59-I59)/I59)</f>
        <v/>
      </c>
      <c r="R59" s="21" t="str">
        <f aca="false">IF(P59="","",IF(P59="No","Extend 24 h",IF(Q59&gt;=Variables!$E$3,"B","A")))</f>
        <v/>
      </c>
      <c r="S59" s="21" t="str">
        <f aca="false">IF(R59="B","Yes: add to Constants",IF(R59="A","No",""))</f>
        <v/>
      </c>
      <c r="T59" s="11"/>
      <c r="U59" s="12"/>
    </row>
    <row r="60" customFormat="false" ht="15" hidden="false" customHeight="false" outlineLevel="0" collapsed="false">
      <c r="A60" s="12"/>
      <c r="B60" s="11"/>
      <c r="C60" s="12"/>
      <c r="D60" s="12"/>
      <c r="E60" s="12"/>
      <c r="F60" s="12"/>
      <c r="G60" s="12"/>
      <c r="H60" s="17"/>
      <c r="I60" s="18"/>
      <c r="J60" s="17"/>
      <c r="K60" s="17"/>
      <c r="L60" s="17"/>
      <c r="M60" s="18"/>
      <c r="N60" s="17"/>
      <c r="O60" s="17"/>
      <c r="P60" s="21" t="str">
        <f aca="false">IF(OR(H60="",L60=""),"",IF(AND(H60&gt;=Variables!$E$2,L60&gt;=Variables!$E$2),"Yes","No"))</f>
        <v/>
      </c>
      <c r="Q60" s="19" t="str">
        <f aca="false">IF(OR(I60="",M60="",I60=0),"",(M60-I60)/I60)</f>
        <v/>
      </c>
      <c r="R60" s="21" t="str">
        <f aca="false">IF(P60="","",IF(P60="No","Extend 24 h",IF(Q60&gt;=Variables!$E$3,"B","A")))</f>
        <v/>
      </c>
      <c r="S60" s="21" t="str">
        <f aca="false">IF(R60="B","Yes: add to Constants",IF(R60="A","No",""))</f>
        <v/>
      </c>
      <c r="T60" s="11"/>
      <c r="U60" s="12"/>
    </row>
    <row r="61" customFormat="false" ht="15" hidden="false" customHeight="false" outlineLevel="0" collapsed="false">
      <c r="A61" s="12"/>
      <c r="B61" s="11"/>
      <c r="C61" s="12"/>
      <c r="D61" s="12"/>
      <c r="E61" s="12"/>
      <c r="F61" s="12"/>
      <c r="G61" s="12"/>
      <c r="H61" s="17"/>
      <c r="I61" s="18"/>
      <c r="J61" s="17"/>
      <c r="K61" s="17"/>
      <c r="L61" s="17"/>
      <c r="M61" s="18"/>
      <c r="N61" s="17"/>
      <c r="O61" s="17"/>
      <c r="P61" s="21" t="str">
        <f aca="false">IF(OR(H61="",L61=""),"",IF(AND(H61&gt;=Variables!$E$2,L61&gt;=Variables!$E$2),"Yes","No"))</f>
        <v/>
      </c>
      <c r="Q61" s="19" t="str">
        <f aca="false">IF(OR(I61="",M61="",I61=0),"",(M61-I61)/I61)</f>
        <v/>
      </c>
      <c r="R61" s="21" t="str">
        <f aca="false">IF(P61="","",IF(P61="No","Extend 24 h",IF(Q61&gt;=Variables!$E$3,"B","A")))</f>
        <v/>
      </c>
      <c r="S61" s="21" t="str">
        <f aca="false">IF(R61="B","Yes: add to Constants",IF(R61="A","No",""))</f>
        <v/>
      </c>
      <c r="T61" s="11"/>
      <c r="U61" s="12"/>
    </row>
    <row r="62" customFormat="false" ht="15" hidden="false" customHeight="false" outlineLevel="0" collapsed="false">
      <c r="A62" s="12"/>
      <c r="B62" s="11"/>
      <c r="C62" s="12"/>
      <c r="D62" s="12"/>
      <c r="E62" s="12"/>
      <c r="F62" s="12"/>
      <c r="G62" s="12"/>
      <c r="H62" s="17"/>
      <c r="I62" s="18"/>
      <c r="J62" s="17"/>
      <c r="K62" s="17"/>
      <c r="L62" s="17"/>
      <c r="M62" s="18"/>
      <c r="N62" s="17"/>
      <c r="O62" s="17"/>
      <c r="P62" s="21" t="str">
        <f aca="false">IF(OR(H62="",L62=""),"",IF(AND(H62&gt;=Variables!$E$2,L62&gt;=Variables!$E$2),"Yes","No"))</f>
        <v/>
      </c>
      <c r="Q62" s="19" t="str">
        <f aca="false">IF(OR(I62="",M62="",I62=0),"",(M62-I62)/I62)</f>
        <v/>
      </c>
      <c r="R62" s="21" t="str">
        <f aca="false">IF(P62="","",IF(P62="No","Extend 24 h",IF(Q62&gt;=Variables!$E$3,"B","A")))</f>
        <v/>
      </c>
      <c r="S62" s="21" t="str">
        <f aca="false">IF(R62="B","Yes: add to Constants",IF(R62="A","No",""))</f>
        <v/>
      </c>
      <c r="T62" s="11"/>
      <c r="U62" s="12"/>
    </row>
    <row r="63" customFormat="false" ht="15" hidden="false" customHeight="false" outlineLevel="0" collapsed="false">
      <c r="A63" s="12"/>
      <c r="B63" s="11"/>
      <c r="C63" s="12"/>
      <c r="D63" s="12"/>
      <c r="E63" s="12"/>
      <c r="F63" s="12"/>
      <c r="G63" s="12"/>
      <c r="H63" s="17"/>
      <c r="I63" s="18"/>
      <c r="J63" s="17"/>
      <c r="K63" s="17"/>
      <c r="L63" s="17"/>
      <c r="M63" s="18"/>
      <c r="N63" s="17"/>
      <c r="O63" s="17"/>
      <c r="P63" s="21" t="str">
        <f aca="false">IF(OR(H63="",L63=""),"",IF(AND(H63&gt;=Variables!$E$2,L63&gt;=Variables!$E$2),"Yes","No"))</f>
        <v/>
      </c>
      <c r="Q63" s="19" t="str">
        <f aca="false">IF(OR(I63="",M63="",I63=0),"",(M63-I63)/I63)</f>
        <v/>
      </c>
      <c r="R63" s="21" t="str">
        <f aca="false">IF(P63="","",IF(P63="No","Extend 24 h",IF(Q63&gt;=Variables!$E$3,"B","A")))</f>
        <v/>
      </c>
      <c r="S63" s="21" t="str">
        <f aca="false">IF(R63="B","Yes: add to Constants",IF(R63="A","No",""))</f>
        <v/>
      </c>
      <c r="T63" s="11"/>
      <c r="U63" s="12"/>
    </row>
    <row r="64" customFormat="false" ht="15" hidden="false" customHeight="false" outlineLevel="0" collapsed="false">
      <c r="A64" s="12"/>
      <c r="B64" s="11"/>
      <c r="C64" s="12"/>
      <c r="D64" s="12"/>
      <c r="E64" s="12"/>
      <c r="F64" s="12"/>
      <c r="G64" s="12"/>
      <c r="H64" s="17"/>
      <c r="I64" s="18"/>
      <c r="J64" s="17"/>
      <c r="K64" s="17"/>
      <c r="L64" s="17"/>
      <c r="M64" s="18"/>
      <c r="N64" s="17"/>
      <c r="O64" s="17"/>
      <c r="P64" s="21" t="str">
        <f aca="false">IF(OR(H64="",L64=""),"",IF(AND(H64&gt;=Variables!$E$2,L64&gt;=Variables!$E$2),"Yes","No"))</f>
        <v/>
      </c>
      <c r="Q64" s="19" t="str">
        <f aca="false">IF(OR(I64="",M64="",I64=0),"",(M64-I64)/I64)</f>
        <v/>
      </c>
      <c r="R64" s="21" t="str">
        <f aca="false">IF(P64="","",IF(P64="No","Extend 24 h",IF(Q64&gt;=Variables!$E$3,"B","A")))</f>
        <v/>
      </c>
      <c r="S64" s="21" t="str">
        <f aca="false">IF(R64="B","Yes: add to Constants",IF(R64="A","No",""))</f>
        <v/>
      </c>
      <c r="T64" s="11"/>
      <c r="U64" s="12"/>
    </row>
    <row r="65" customFormat="false" ht="15" hidden="false" customHeight="false" outlineLevel="0" collapsed="false">
      <c r="A65" s="12"/>
      <c r="B65" s="11"/>
      <c r="C65" s="12"/>
      <c r="D65" s="12"/>
      <c r="E65" s="12"/>
      <c r="F65" s="12"/>
      <c r="G65" s="12"/>
      <c r="H65" s="17"/>
      <c r="I65" s="18"/>
      <c r="J65" s="17"/>
      <c r="K65" s="17"/>
      <c r="L65" s="17"/>
      <c r="M65" s="18"/>
      <c r="N65" s="17"/>
      <c r="O65" s="17"/>
      <c r="P65" s="21" t="str">
        <f aca="false">IF(OR(H65="",L65=""),"",IF(AND(H65&gt;=Variables!$E$2,L65&gt;=Variables!$E$2),"Yes","No"))</f>
        <v/>
      </c>
      <c r="Q65" s="19" t="str">
        <f aca="false">IF(OR(I65="",M65="",I65=0),"",(M65-I65)/I65)</f>
        <v/>
      </c>
      <c r="R65" s="21" t="str">
        <f aca="false">IF(P65="","",IF(P65="No","Extend 24 h",IF(Q65&gt;=Variables!$E$3,"B","A")))</f>
        <v/>
      </c>
      <c r="S65" s="21" t="str">
        <f aca="false">IF(R65="B","Yes: add to Constants",IF(R65="A","No",""))</f>
        <v/>
      </c>
      <c r="T65" s="11"/>
      <c r="U65" s="12"/>
    </row>
    <row r="66" customFormat="false" ht="15" hidden="false" customHeight="false" outlineLevel="0" collapsed="false">
      <c r="A66" s="12"/>
      <c r="B66" s="11"/>
      <c r="C66" s="12"/>
      <c r="D66" s="12"/>
      <c r="E66" s="12"/>
      <c r="F66" s="12"/>
      <c r="G66" s="12"/>
      <c r="H66" s="17"/>
      <c r="I66" s="18"/>
      <c r="J66" s="17"/>
      <c r="K66" s="17"/>
      <c r="L66" s="17"/>
      <c r="M66" s="18"/>
      <c r="N66" s="17"/>
      <c r="O66" s="17"/>
      <c r="P66" s="21" t="str">
        <f aca="false">IF(OR(H66="",L66=""),"",IF(AND(H66&gt;=Variables!$E$2,L66&gt;=Variables!$E$2),"Yes","No"))</f>
        <v/>
      </c>
      <c r="Q66" s="19" t="str">
        <f aca="false">IF(OR(I66="",M66="",I66=0),"",(M66-I66)/I66)</f>
        <v/>
      </c>
      <c r="R66" s="21" t="str">
        <f aca="false">IF(P66="","",IF(P66="No","Extend 24 h",IF(Q66&gt;=Variables!$E$3,"B","A")))</f>
        <v/>
      </c>
      <c r="S66" s="21" t="str">
        <f aca="false">IF(R66="B","Yes: add to Constants",IF(R66="A","No",""))</f>
        <v/>
      </c>
      <c r="T66" s="11"/>
      <c r="U66" s="12"/>
    </row>
    <row r="67" customFormat="false" ht="15" hidden="false" customHeight="false" outlineLevel="0" collapsed="false">
      <c r="A67" s="12"/>
      <c r="B67" s="11"/>
      <c r="C67" s="12"/>
      <c r="D67" s="12"/>
      <c r="E67" s="12"/>
      <c r="F67" s="12"/>
      <c r="G67" s="12"/>
      <c r="H67" s="17"/>
      <c r="I67" s="18"/>
      <c r="J67" s="17"/>
      <c r="K67" s="17"/>
      <c r="L67" s="17"/>
      <c r="M67" s="18"/>
      <c r="N67" s="17"/>
      <c r="O67" s="17"/>
      <c r="P67" s="21" t="str">
        <f aca="false">IF(OR(H67="",L67=""),"",IF(AND(H67&gt;=Variables!$E$2,L67&gt;=Variables!$E$2),"Yes","No"))</f>
        <v/>
      </c>
      <c r="Q67" s="19" t="str">
        <f aca="false">IF(OR(I67="",M67="",I67=0),"",(M67-I67)/I67)</f>
        <v/>
      </c>
      <c r="R67" s="21" t="str">
        <f aca="false">IF(P67="","",IF(P67="No","Extend 24 h",IF(Q67&gt;=Variables!$E$3,"B","A")))</f>
        <v/>
      </c>
      <c r="S67" s="21" t="str">
        <f aca="false">IF(R67="B","Yes: add to Constants",IF(R67="A","No",""))</f>
        <v/>
      </c>
      <c r="T67" s="11"/>
      <c r="U67" s="12"/>
    </row>
    <row r="68" customFormat="false" ht="15" hidden="false" customHeight="false" outlineLevel="0" collapsed="false">
      <c r="A68" s="12"/>
      <c r="B68" s="11"/>
      <c r="C68" s="12"/>
      <c r="D68" s="12"/>
      <c r="E68" s="12"/>
      <c r="F68" s="12"/>
      <c r="G68" s="12"/>
      <c r="H68" s="17"/>
      <c r="I68" s="18"/>
      <c r="J68" s="17"/>
      <c r="K68" s="17"/>
      <c r="L68" s="17"/>
      <c r="M68" s="18"/>
      <c r="N68" s="17"/>
      <c r="O68" s="17"/>
      <c r="P68" s="21" t="str">
        <f aca="false">IF(OR(H68="",L68=""),"",IF(AND(H68&gt;=Variables!$E$2,L68&gt;=Variables!$E$2),"Yes","No"))</f>
        <v/>
      </c>
      <c r="Q68" s="19" t="str">
        <f aca="false">IF(OR(I68="",M68="",I68=0),"",(M68-I68)/I68)</f>
        <v/>
      </c>
      <c r="R68" s="21" t="str">
        <f aca="false">IF(P68="","",IF(P68="No","Extend 24 h",IF(Q68&gt;=Variables!$E$3,"B","A")))</f>
        <v/>
      </c>
      <c r="S68" s="21" t="str">
        <f aca="false">IF(R68="B","Yes: add to Constants",IF(R68="A","No",""))</f>
        <v/>
      </c>
      <c r="T68" s="11"/>
      <c r="U68" s="12"/>
    </row>
    <row r="69" customFormat="false" ht="15" hidden="false" customHeight="false" outlineLevel="0" collapsed="false">
      <c r="A69" s="12"/>
      <c r="B69" s="11"/>
      <c r="C69" s="12"/>
      <c r="D69" s="12"/>
      <c r="E69" s="12"/>
      <c r="F69" s="12"/>
      <c r="G69" s="12"/>
      <c r="H69" s="17"/>
      <c r="I69" s="18"/>
      <c r="J69" s="17"/>
      <c r="K69" s="17"/>
      <c r="L69" s="17"/>
      <c r="M69" s="18"/>
      <c r="N69" s="17"/>
      <c r="O69" s="17"/>
      <c r="P69" s="21" t="str">
        <f aca="false">IF(OR(H69="",L69=""),"",IF(AND(H69&gt;=Variables!$E$2,L69&gt;=Variables!$E$2),"Yes","No"))</f>
        <v/>
      </c>
      <c r="Q69" s="19" t="str">
        <f aca="false">IF(OR(I69="",M69="",I69=0),"",(M69-I69)/I69)</f>
        <v/>
      </c>
      <c r="R69" s="21" t="str">
        <f aca="false">IF(P69="","",IF(P69="No","Extend 24 h",IF(Q69&gt;=Variables!$E$3,"B","A")))</f>
        <v/>
      </c>
      <c r="S69" s="21" t="str">
        <f aca="false">IF(R69="B","Yes: add to Constants",IF(R69="A","No",""))</f>
        <v/>
      </c>
      <c r="T69" s="11"/>
      <c r="U69" s="12"/>
    </row>
    <row r="70" customFormat="false" ht="15" hidden="false" customHeight="false" outlineLevel="0" collapsed="false">
      <c r="A70" s="12"/>
      <c r="B70" s="11"/>
      <c r="C70" s="12"/>
      <c r="D70" s="12"/>
      <c r="E70" s="12"/>
      <c r="F70" s="12"/>
      <c r="G70" s="12"/>
      <c r="H70" s="17"/>
      <c r="I70" s="18"/>
      <c r="J70" s="17"/>
      <c r="K70" s="17"/>
      <c r="L70" s="17"/>
      <c r="M70" s="18"/>
      <c r="N70" s="17"/>
      <c r="O70" s="17"/>
      <c r="P70" s="21" t="str">
        <f aca="false">IF(OR(H70="",L70=""),"",IF(AND(H70&gt;=Variables!$E$2,L70&gt;=Variables!$E$2),"Yes","No"))</f>
        <v/>
      </c>
      <c r="Q70" s="19" t="str">
        <f aca="false">IF(OR(I70="",M70="",I70=0),"",(M70-I70)/I70)</f>
        <v/>
      </c>
      <c r="R70" s="21" t="str">
        <f aca="false">IF(P70="","",IF(P70="No","Extend 24 h",IF(Q70&gt;=Variables!$E$3,"B","A")))</f>
        <v/>
      </c>
      <c r="S70" s="21" t="str">
        <f aca="false">IF(R70="B","Yes: add to Constants",IF(R70="A","No",""))</f>
        <v/>
      </c>
      <c r="T70" s="11"/>
      <c r="U70" s="12"/>
    </row>
    <row r="71" customFormat="false" ht="15" hidden="false" customHeight="false" outlineLevel="0" collapsed="false">
      <c r="A71" s="12"/>
      <c r="B71" s="11"/>
      <c r="C71" s="12"/>
      <c r="D71" s="12"/>
      <c r="E71" s="12"/>
      <c r="F71" s="12"/>
      <c r="G71" s="12"/>
      <c r="H71" s="17"/>
      <c r="I71" s="18"/>
      <c r="J71" s="17"/>
      <c r="K71" s="17"/>
      <c r="L71" s="17"/>
      <c r="M71" s="18"/>
      <c r="N71" s="17"/>
      <c r="O71" s="17"/>
      <c r="P71" s="21" t="str">
        <f aca="false">IF(OR(H71="",L71=""),"",IF(AND(H71&gt;=Variables!$E$2,L71&gt;=Variables!$E$2),"Yes","No"))</f>
        <v/>
      </c>
      <c r="Q71" s="19" t="str">
        <f aca="false">IF(OR(I71="",M71="",I71=0),"",(M71-I71)/I71)</f>
        <v/>
      </c>
      <c r="R71" s="21" t="str">
        <f aca="false">IF(P71="","",IF(P71="No","Extend 24 h",IF(Q71&gt;=Variables!$E$3,"B","A")))</f>
        <v/>
      </c>
      <c r="S71" s="21" t="str">
        <f aca="false">IF(R71="B","Yes: add to Constants",IF(R71="A","No",""))</f>
        <v/>
      </c>
      <c r="T71" s="11"/>
      <c r="U71" s="12"/>
    </row>
    <row r="72" customFormat="false" ht="15" hidden="false" customHeight="false" outlineLevel="0" collapsed="false">
      <c r="A72" s="12"/>
      <c r="B72" s="11"/>
      <c r="C72" s="12"/>
      <c r="D72" s="12"/>
      <c r="E72" s="12"/>
      <c r="F72" s="12"/>
      <c r="G72" s="12"/>
      <c r="H72" s="17"/>
      <c r="I72" s="18"/>
      <c r="J72" s="17"/>
      <c r="K72" s="17"/>
      <c r="L72" s="17"/>
      <c r="M72" s="18"/>
      <c r="N72" s="17"/>
      <c r="O72" s="17"/>
      <c r="P72" s="21" t="str">
        <f aca="false">IF(OR(H72="",L72=""),"",IF(AND(H72&gt;=Variables!$E$2,L72&gt;=Variables!$E$2),"Yes","No"))</f>
        <v/>
      </c>
      <c r="Q72" s="19" t="str">
        <f aca="false">IF(OR(I72="",M72="",I72=0),"",(M72-I72)/I72)</f>
        <v/>
      </c>
      <c r="R72" s="21" t="str">
        <f aca="false">IF(P72="","",IF(P72="No","Extend 24 h",IF(Q72&gt;=Variables!$E$3,"B","A")))</f>
        <v/>
      </c>
      <c r="S72" s="21" t="str">
        <f aca="false">IF(R72="B","Yes: add to Constants",IF(R72="A","No",""))</f>
        <v/>
      </c>
      <c r="T72" s="11"/>
      <c r="U72" s="12"/>
    </row>
    <row r="73" customFormat="false" ht="15" hidden="false" customHeight="false" outlineLevel="0" collapsed="false">
      <c r="A73" s="12"/>
      <c r="B73" s="11"/>
      <c r="C73" s="12"/>
      <c r="D73" s="12"/>
      <c r="E73" s="12"/>
      <c r="F73" s="12"/>
      <c r="G73" s="12"/>
      <c r="H73" s="17"/>
      <c r="I73" s="18"/>
      <c r="J73" s="17"/>
      <c r="K73" s="17"/>
      <c r="L73" s="17"/>
      <c r="M73" s="18"/>
      <c r="N73" s="17"/>
      <c r="O73" s="17"/>
      <c r="P73" s="21" t="str">
        <f aca="false">IF(OR(H73="",L73=""),"",IF(AND(H73&gt;=Variables!$E$2,L73&gt;=Variables!$E$2),"Yes","No"))</f>
        <v/>
      </c>
      <c r="Q73" s="19" t="str">
        <f aca="false">IF(OR(I73="",M73="",I73=0),"",(M73-I73)/I73)</f>
        <v/>
      </c>
      <c r="R73" s="21" t="str">
        <f aca="false">IF(P73="","",IF(P73="No","Extend 24 h",IF(Q73&gt;=Variables!$E$3,"B","A")))</f>
        <v/>
      </c>
      <c r="S73" s="21" t="str">
        <f aca="false">IF(R73="B","Yes: add to Constants",IF(R73="A","No",""))</f>
        <v/>
      </c>
      <c r="T73" s="11"/>
      <c r="U73" s="12"/>
    </row>
    <row r="74" customFormat="false" ht="15" hidden="false" customHeight="false" outlineLevel="0" collapsed="false">
      <c r="A74" s="12"/>
      <c r="B74" s="11"/>
      <c r="C74" s="12"/>
      <c r="D74" s="12"/>
      <c r="E74" s="12"/>
      <c r="F74" s="12"/>
      <c r="G74" s="12"/>
      <c r="H74" s="17"/>
      <c r="I74" s="18"/>
      <c r="J74" s="17"/>
      <c r="K74" s="17"/>
      <c r="L74" s="17"/>
      <c r="M74" s="18"/>
      <c r="N74" s="17"/>
      <c r="O74" s="17"/>
      <c r="P74" s="21" t="str">
        <f aca="false">IF(OR(H74="",L74=""),"",IF(AND(H74&gt;=Variables!$E$2,L74&gt;=Variables!$E$2),"Yes","No"))</f>
        <v/>
      </c>
      <c r="Q74" s="19" t="str">
        <f aca="false">IF(OR(I74="",M74="",I74=0),"",(M74-I74)/I74)</f>
        <v/>
      </c>
      <c r="R74" s="21" t="str">
        <f aca="false">IF(P74="","",IF(P74="No","Extend 24 h",IF(Q74&gt;=Variables!$E$3,"B","A")))</f>
        <v/>
      </c>
      <c r="S74" s="21" t="str">
        <f aca="false">IF(R74="B","Yes: add to Constants",IF(R74="A","No",""))</f>
        <v/>
      </c>
      <c r="T74" s="11"/>
      <c r="U74" s="12"/>
    </row>
    <row r="75" customFormat="false" ht="15" hidden="false" customHeight="false" outlineLevel="0" collapsed="false">
      <c r="A75" s="12"/>
      <c r="B75" s="11"/>
      <c r="C75" s="12"/>
      <c r="D75" s="12"/>
      <c r="E75" s="12"/>
      <c r="F75" s="12"/>
      <c r="G75" s="12"/>
      <c r="H75" s="17"/>
      <c r="I75" s="18"/>
      <c r="J75" s="17"/>
      <c r="K75" s="17"/>
      <c r="L75" s="17"/>
      <c r="M75" s="18"/>
      <c r="N75" s="17"/>
      <c r="O75" s="17"/>
      <c r="P75" s="21" t="str">
        <f aca="false">IF(OR(H75="",L75=""),"",IF(AND(H75&gt;=Variables!$E$2,L75&gt;=Variables!$E$2),"Yes","No"))</f>
        <v/>
      </c>
      <c r="Q75" s="19" t="str">
        <f aca="false">IF(OR(I75="",M75="",I75=0),"",(M75-I75)/I75)</f>
        <v/>
      </c>
      <c r="R75" s="21" t="str">
        <f aca="false">IF(P75="","",IF(P75="No","Extend 24 h",IF(Q75&gt;=Variables!$E$3,"B","A")))</f>
        <v/>
      </c>
      <c r="S75" s="21" t="str">
        <f aca="false">IF(R75="B","Yes: add to Constants",IF(R75="A","No",""))</f>
        <v/>
      </c>
      <c r="T75" s="11"/>
      <c r="U75" s="12"/>
    </row>
    <row r="76" customFormat="false" ht="15" hidden="false" customHeight="false" outlineLevel="0" collapsed="false">
      <c r="A76" s="12"/>
      <c r="B76" s="11"/>
      <c r="C76" s="12"/>
      <c r="D76" s="12"/>
      <c r="E76" s="12"/>
      <c r="F76" s="12"/>
      <c r="G76" s="12"/>
      <c r="H76" s="17"/>
      <c r="I76" s="18"/>
      <c r="J76" s="17"/>
      <c r="K76" s="17"/>
      <c r="L76" s="17"/>
      <c r="M76" s="18"/>
      <c r="N76" s="17"/>
      <c r="O76" s="17"/>
      <c r="P76" s="21" t="str">
        <f aca="false">IF(OR(H76="",L76=""),"",IF(AND(H76&gt;=Variables!$E$2,L76&gt;=Variables!$E$2),"Yes","No"))</f>
        <v/>
      </c>
      <c r="Q76" s="19" t="str">
        <f aca="false">IF(OR(I76="",M76="",I76=0),"",(M76-I76)/I76)</f>
        <v/>
      </c>
      <c r="R76" s="21" t="str">
        <f aca="false">IF(P76="","",IF(P76="No","Extend 24 h",IF(Q76&gt;=Variables!$E$3,"B","A")))</f>
        <v/>
      </c>
      <c r="S76" s="21" t="str">
        <f aca="false">IF(R76="B","Yes: add to Constants",IF(R76="A","No",""))</f>
        <v/>
      </c>
      <c r="T76" s="11"/>
      <c r="U76" s="12"/>
    </row>
    <row r="77" customFormat="false" ht="15" hidden="false" customHeight="false" outlineLevel="0" collapsed="false">
      <c r="A77" s="12"/>
      <c r="B77" s="11"/>
      <c r="C77" s="12"/>
      <c r="D77" s="12"/>
      <c r="E77" s="12"/>
      <c r="F77" s="12"/>
      <c r="G77" s="12"/>
      <c r="H77" s="17"/>
      <c r="I77" s="18"/>
      <c r="J77" s="17"/>
      <c r="K77" s="17"/>
      <c r="L77" s="17"/>
      <c r="M77" s="18"/>
      <c r="N77" s="17"/>
      <c r="O77" s="17"/>
      <c r="P77" s="21" t="str">
        <f aca="false">IF(OR(H77="",L77=""),"",IF(AND(H77&gt;=Variables!$E$2,L77&gt;=Variables!$E$2),"Yes","No"))</f>
        <v/>
      </c>
      <c r="Q77" s="19" t="str">
        <f aca="false">IF(OR(I77="",M77="",I77=0),"",(M77-I77)/I77)</f>
        <v/>
      </c>
      <c r="R77" s="21" t="str">
        <f aca="false">IF(P77="","",IF(P77="No","Extend 24 h",IF(Q77&gt;=Variables!$E$3,"B","A")))</f>
        <v/>
      </c>
      <c r="S77" s="21" t="str">
        <f aca="false">IF(R77="B","Yes: add to Constants",IF(R77="A","No",""))</f>
        <v/>
      </c>
      <c r="T77" s="11"/>
      <c r="U77" s="12"/>
    </row>
    <row r="78" customFormat="false" ht="15" hidden="false" customHeight="false" outlineLevel="0" collapsed="false">
      <c r="A78" s="12"/>
      <c r="B78" s="11"/>
      <c r="C78" s="12"/>
      <c r="D78" s="12"/>
      <c r="E78" s="12"/>
      <c r="F78" s="12"/>
      <c r="G78" s="12"/>
      <c r="H78" s="17"/>
      <c r="I78" s="18"/>
      <c r="J78" s="17"/>
      <c r="K78" s="17"/>
      <c r="L78" s="17"/>
      <c r="M78" s="18"/>
      <c r="N78" s="17"/>
      <c r="O78" s="17"/>
      <c r="P78" s="21" t="str">
        <f aca="false">IF(OR(H78="",L78=""),"",IF(AND(H78&gt;=Variables!$E$2,L78&gt;=Variables!$E$2),"Yes","No"))</f>
        <v/>
      </c>
      <c r="Q78" s="19" t="str">
        <f aca="false">IF(OR(I78="",M78="",I78=0),"",(M78-I78)/I78)</f>
        <v/>
      </c>
      <c r="R78" s="21" t="str">
        <f aca="false">IF(P78="","",IF(P78="No","Extend 24 h",IF(Q78&gt;=Variables!$E$3,"B","A")))</f>
        <v/>
      </c>
      <c r="S78" s="21" t="str">
        <f aca="false">IF(R78="B","Yes: add to Constants",IF(R78="A","No",""))</f>
        <v/>
      </c>
      <c r="T78" s="11"/>
      <c r="U78" s="12"/>
    </row>
    <row r="79" customFormat="false" ht="15" hidden="false" customHeight="false" outlineLevel="0" collapsed="false">
      <c r="A79" s="12"/>
      <c r="B79" s="11"/>
      <c r="C79" s="12"/>
      <c r="D79" s="12"/>
      <c r="E79" s="12"/>
      <c r="F79" s="12"/>
      <c r="G79" s="12"/>
      <c r="H79" s="17"/>
      <c r="I79" s="18"/>
      <c r="J79" s="17"/>
      <c r="K79" s="17"/>
      <c r="L79" s="17"/>
      <c r="M79" s="18"/>
      <c r="N79" s="17"/>
      <c r="O79" s="17"/>
      <c r="P79" s="21" t="str">
        <f aca="false">IF(OR(H79="",L79=""),"",IF(AND(H79&gt;=Variables!$E$2,L79&gt;=Variables!$E$2),"Yes","No"))</f>
        <v/>
      </c>
      <c r="Q79" s="19" t="str">
        <f aca="false">IF(OR(I79="",M79="",I79=0),"",(M79-I79)/I79)</f>
        <v/>
      </c>
      <c r="R79" s="21" t="str">
        <f aca="false">IF(P79="","",IF(P79="No","Extend 24 h",IF(Q79&gt;=Variables!$E$3,"B","A")))</f>
        <v/>
      </c>
      <c r="S79" s="21" t="str">
        <f aca="false">IF(R79="B","Yes: add to Constants",IF(R79="A","No",""))</f>
        <v/>
      </c>
      <c r="T79" s="11"/>
      <c r="U79" s="12"/>
    </row>
    <row r="80" customFormat="false" ht="15" hidden="false" customHeight="false" outlineLevel="0" collapsed="false">
      <c r="A80" s="12"/>
      <c r="B80" s="11"/>
      <c r="C80" s="12"/>
      <c r="D80" s="12"/>
      <c r="E80" s="12"/>
      <c r="F80" s="12"/>
      <c r="G80" s="12"/>
      <c r="H80" s="17"/>
      <c r="I80" s="18"/>
      <c r="J80" s="17"/>
      <c r="K80" s="17"/>
      <c r="L80" s="17"/>
      <c r="M80" s="18"/>
      <c r="N80" s="17"/>
      <c r="O80" s="17"/>
      <c r="P80" s="21" t="str">
        <f aca="false">IF(OR(H80="",L80=""),"",IF(AND(H80&gt;=Variables!$E$2,L80&gt;=Variables!$E$2),"Yes","No"))</f>
        <v/>
      </c>
      <c r="Q80" s="19" t="str">
        <f aca="false">IF(OR(I80="",M80="",I80=0),"",(M80-I80)/I80)</f>
        <v/>
      </c>
      <c r="R80" s="21" t="str">
        <f aca="false">IF(P80="","",IF(P80="No","Extend 24 h",IF(Q80&gt;=Variables!$E$3,"B","A")))</f>
        <v/>
      </c>
      <c r="S80" s="21" t="str">
        <f aca="false">IF(R80="B","Yes: add to Constants",IF(R80="A","No",""))</f>
        <v/>
      </c>
      <c r="T80" s="11"/>
      <c r="U80" s="12"/>
    </row>
    <row r="81" customFormat="false" ht="15" hidden="false" customHeight="false" outlineLevel="0" collapsed="false">
      <c r="A81" s="12"/>
      <c r="B81" s="11"/>
      <c r="C81" s="12"/>
      <c r="D81" s="12"/>
      <c r="E81" s="12"/>
      <c r="F81" s="12"/>
      <c r="G81" s="12"/>
      <c r="H81" s="17"/>
      <c r="I81" s="18"/>
      <c r="J81" s="17"/>
      <c r="K81" s="17"/>
      <c r="L81" s="17"/>
      <c r="M81" s="18"/>
      <c r="N81" s="17"/>
      <c r="O81" s="17"/>
      <c r="P81" s="21" t="str">
        <f aca="false">IF(OR(H81="",L81=""),"",IF(AND(H81&gt;=Variables!$E$2,L81&gt;=Variables!$E$2),"Yes","No"))</f>
        <v/>
      </c>
      <c r="Q81" s="19" t="str">
        <f aca="false">IF(OR(I81="",M81="",I81=0),"",(M81-I81)/I81)</f>
        <v/>
      </c>
      <c r="R81" s="21" t="str">
        <f aca="false">IF(P81="","",IF(P81="No","Extend 24 h",IF(Q81&gt;=Variables!$E$3,"B","A")))</f>
        <v/>
      </c>
      <c r="S81" s="21" t="str">
        <f aca="false">IF(R81="B","Yes: add to Constants",IF(R81="A","No",""))</f>
        <v/>
      </c>
      <c r="T81" s="11"/>
      <c r="U81" s="12"/>
    </row>
    <row r="82" customFormat="false" ht="15" hidden="false" customHeight="false" outlineLevel="0" collapsed="false">
      <c r="A82" s="12"/>
      <c r="B82" s="11"/>
      <c r="C82" s="12"/>
      <c r="D82" s="12"/>
      <c r="E82" s="12"/>
      <c r="F82" s="12"/>
      <c r="G82" s="12"/>
      <c r="H82" s="17"/>
      <c r="I82" s="18"/>
      <c r="J82" s="17"/>
      <c r="K82" s="17"/>
      <c r="L82" s="17"/>
      <c r="M82" s="18"/>
      <c r="N82" s="17"/>
      <c r="O82" s="17"/>
      <c r="P82" s="21" t="str">
        <f aca="false">IF(OR(H82="",L82=""),"",IF(AND(H82&gt;=Variables!$E$2,L82&gt;=Variables!$E$2),"Yes","No"))</f>
        <v/>
      </c>
      <c r="Q82" s="19" t="str">
        <f aca="false">IF(OR(I82="",M82="",I82=0),"",(M82-I82)/I82)</f>
        <v/>
      </c>
      <c r="R82" s="21" t="str">
        <f aca="false">IF(P82="","",IF(P82="No","Extend 24 h",IF(Q82&gt;=Variables!$E$3,"B","A")))</f>
        <v/>
      </c>
      <c r="S82" s="21" t="str">
        <f aca="false">IF(R82="B","Yes: add to Constants",IF(R82="A","No",""))</f>
        <v/>
      </c>
      <c r="T82" s="11"/>
      <c r="U82" s="12"/>
    </row>
    <row r="83" customFormat="false" ht="15" hidden="false" customHeight="false" outlineLevel="0" collapsed="false">
      <c r="A83" s="12"/>
      <c r="B83" s="11"/>
      <c r="C83" s="12"/>
      <c r="D83" s="12"/>
      <c r="E83" s="12"/>
      <c r="F83" s="12"/>
      <c r="G83" s="12"/>
      <c r="H83" s="17"/>
      <c r="I83" s="18"/>
      <c r="J83" s="17"/>
      <c r="K83" s="17"/>
      <c r="L83" s="17"/>
      <c r="M83" s="18"/>
      <c r="N83" s="17"/>
      <c r="O83" s="17"/>
      <c r="P83" s="21" t="str">
        <f aca="false">IF(OR(H83="",L83=""),"",IF(AND(H83&gt;=Variables!$E$2,L83&gt;=Variables!$E$2),"Yes","No"))</f>
        <v/>
      </c>
      <c r="Q83" s="19" t="str">
        <f aca="false">IF(OR(I83="",M83="",I83=0),"",(M83-I83)/I83)</f>
        <v/>
      </c>
      <c r="R83" s="21" t="str">
        <f aca="false">IF(P83="","",IF(P83="No","Extend 24 h",IF(Q83&gt;=Variables!$E$3,"B","A")))</f>
        <v/>
      </c>
      <c r="S83" s="21" t="str">
        <f aca="false">IF(R83="B","Yes: add to Constants",IF(R83="A","No",""))</f>
        <v/>
      </c>
      <c r="T83" s="11"/>
      <c r="U83" s="12"/>
    </row>
    <row r="84" customFormat="false" ht="15" hidden="false" customHeight="false" outlineLevel="0" collapsed="false">
      <c r="A84" s="12"/>
      <c r="B84" s="11"/>
      <c r="C84" s="12"/>
      <c r="D84" s="12"/>
      <c r="E84" s="12"/>
      <c r="F84" s="12"/>
      <c r="G84" s="12"/>
      <c r="H84" s="17"/>
      <c r="I84" s="18"/>
      <c r="J84" s="17"/>
      <c r="K84" s="17"/>
      <c r="L84" s="17"/>
      <c r="M84" s="18"/>
      <c r="N84" s="17"/>
      <c r="O84" s="17"/>
      <c r="P84" s="21" t="str">
        <f aca="false">IF(OR(H84="",L84=""),"",IF(AND(H84&gt;=Variables!$E$2,L84&gt;=Variables!$E$2),"Yes","No"))</f>
        <v/>
      </c>
      <c r="Q84" s="19" t="str">
        <f aca="false">IF(OR(I84="",M84="",I84=0),"",(M84-I84)/I84)</f>
        <v/>
      </c>
      <c r="R84" s="21" t="str">
        <f aca="false">IF(P84="","",IF(P84="No","Extend 24 h",IF(Q84&gt;=Variables!$E$3,"B","A")))</f>
        <v/>
      </c>
      <c r="S84" s="21" t="str">
        <f aca="false">IF(R84="B","Yes: add to Constants",IF(R84="A","No",""))</f>
        <v/>
      </c>
      <c r="T84" s="11"/>
      <c r="U84" s="12"/>
    </row>
    <row r="85" customFormat="false" ht="15" hidden="false" customHeight="false" outlineLevel="0" collapsed="false">
      <c r="A85" s="12"/>
      <c r="B85" s="11"/>
      <c r="C85" s="12"/>
      <c r="D85" s="12"/>
      <c r="E85" s="12"/>
      <c r="F85" s="12"/>
      <c r="G85" s="12"/>
      <c r="H85" s="17"/>
      <c r="I85" s="18"/>
      <c r="J85" s="17"/>
      <c r="K85" s="17"/>
      <c r="L85" s="17"/>
      <c r="M85" s="18"/>
      <c r="N85" s="17"/>
      <c r="O85" s="17"/>
      <c r="P85" s="21" t="str">
        <f aca="false">IF(OR(H85="",L85=""),"",IF(AND(H85&gt;=Variables!$E$2,L85&gt;=Variables!$E$2),"Yes","No"))</f>
        <v/>
      </c>
      <c r="Q85" s="19" t="str">
        <f aca="false">IF(OR(I85="",M85="",I85=0),"",(M85-I85)/I85)</f>
        <v/>
      </c>
      <c r="R85" s="21" t="str">
        <f aca="false">IF(P85="","",IF(P85="No","Extend 24 h",IF(Q85&gt;=Variables!$E$3,"B","A")))</f>
        <v/>
      </c>
      <c r="S85" s="21" t="str">
        <f aca="false">IF(R85="B","Yes: add to Constants",IF(R85="A","No",""))</f>
        <v/>
      </c>
      <c r="T85" s="11"/>
      <c r="U85" s="12"/>
    </row>
    <row r="86" customFormat="false" ht="15" hidden="false" customHeight="false" outlineLevel="0" collapsed="false">
      <c r="A86" s="12"/>
      <c r="B86" s="11"/>
      <c r="C86" s="12"/>
      <c r="D86" s="12"/>
      <c r="E86" s="12"/>
      <c r="F86" s="12"/>
      <c r="G86" s="12"/>
      <c r="H86" s="17"/>
      <c r="I86" s="18"/>
      <c r="J86" s="17"/>
      <c r="K86" s="17"/>
      <c r="L86" s="17"/>
      <c r="M86" s="18"/>
      <c r="N86" s="17"/>
      <c r="O86" s="17"/>
      <c r="P86" s="21" t="str">
        <f aca="false">IF(OR(H86="",L86=""),"",IF(AND(H86&gt;=Variables!$E$2,L86&gt;=Variables!$E$2),"Yes","No"))</f>
        <v/>
      </c>
      <c r="Q86" s="19" t="str">
        <f aca="false">IF(OR(I86="",M86="",I86=0),"",(M86-I86)/I86)</f>
        <v/>
      </c>
      <c r="R86" s="21" t="str">
        <f aca="false">IF(P86="","",IF(P86="No","Extend 24 h",IF(Q86&gt;=Variables!$E$3,"B","A")))</f>
        <v/>
      </c>
      <c r="S86" s="21" t="str">
        <f aca="false">IF(R86="B","Yes: add to Constants",IF(R86="A","No",""))</f>
        <v/>
      </c>
      <c r="T86" s="11"/>
      <c r="U86" s="12"/>
    </row>
    <row r="87" customFormat="false" ht="15" hidden="false" customHeight="false" outlineLevel="0" collapsed="false">
      <c r="A87" s="12"/>
      <c r="B87" s="11"/>
      <c r="C87" s="12"/>
      <c r="D87" s="12"/>
      <c r="E87" s="12"/>
      <c r="F87" s="12"/>
      <c r="G87" s="12"/>
      <c r="H87" s="17"/>
      <c r="I87" s="18"/>
      <c r="J87" s="17"/>
      <c r="K87" s="17"/>
      <c r="L87" s="17"/>
      <c r="M87" s="18"/>
      <c r="N87" s="17"/>
      <c r="O87" s="17"/>
      <c r="P87" s="21" t="str">
        <f aca="false">IF(OR(H87="",L87=""),"",IF(AND(H87&gt;=Variables!$E$2,L87&gt;=Variables!$E$2),"Yes","No"))</f>
        <v/>
      </c>
      <c r="Q87" s="19" t="str">
        <f aca="false">IF(OR(I87="",M87="",I87=0),"",(M87-I87)/I87)</f>
        <v/>
      </c>
      <c r="R87" s="21" t="str">
        <f aca="false">IF(P87="","",IF(P87="No","Extend 24 h",IF(Q87&gt;=Variables!$E$3,"B","A")))</f>
        <v/>
      </c>
      <c r="S87" s="21" t="str">
        <f aca="false">IF(R87="B","Yes: add to Constants",IF(R87="A","No",""))</f>
        <v/>
      </c>
      <c r="T87" s="11"/>
      <c r="U87" s="12"/>
    </row>
    <row r="88" customFormat="false" ht="15" hidden="false" customHeight="false" outlineLevel="0" collapsed="false">
      <c r="A88" s="12"/>
      <c r="B88" s="11"/>
      <c r="C88" s="12"/>
      <c r="D88" s="12"/>
      <c r="E88" s="12"/>
      <c r="F88" s="12"/>
      <c r="G88" s="12"/>
      <c r="H88" s="17"/>
      <c r="I88" s="18"/>
      <c r="J88" s="17"/>
      <c r="K88" s="17"/>
      <c r="L88" s="17"/>
      <c r="M88" s="18"/>
      <c r="N88" s="17"/>
      <c r="O88" s="17"/>
      <c r="P88" s="21" t="str">
        <f aca="false">IF(OR(H88="",L88=""),"",IF(AND(H88&gt;=Variables!$E$2,L88&gt;=Variables!$E$2),"Yes","No"))</f>
        <v/>
      </c>
      <c r="Q88" s="19" t="str">
        <f aca="false">IF(OR(I88="",M88="",I88=0),"",(M88-I88)/I88)</f>
        <v/>
      </c>
      <c r="R88" s="21" t="str">
        <f aca="false">IF(P88="","",IF(P88="No","Extend 24 h",IF(Q88&gt;=Variables!$E$3,"B","A")))</f>
        <v/>
      </c>
      <c r="S88" s="21" t="str">
        <f aca="false">IF(R88="B","Yes: add to Constants",IF(R88="A","No",""))</f>
        <v/>
      </c>
      <c r="T88" s="11"/>
      <c r="U88" s="12"/>
    </row>
    <row r="89" customFormat="false" ht="15" hidden="false" customHeight="false" outlineLevel="0" collapsed="false">
      <c r="A89" s="12"/>
      <c r="B89" s="11"/>
      <c r="C89" s="12"/>
      <c r="D89" s="12"/>
      <c r="E89" s="12"/>
      <c r="F89" s="12"/>
      <c r="G89" s="12"/>
      <c r="H89" s="17"/>
      <c r="I89" s="18"/>
      <c r="J89" s="17"/>
      <c r="K89" s="17"/>
      <c r="L89" s="17"/>
      <c r="M89" s="18"/>
      <c r="N89" s="17"/>
      <c r="O89" s="17"/>
      <c r="P89" s="21" t="str">
        <f aca="false">IF(OR(H89="",L89=""),"",IF(AND(H89&gt;=Variables!$E$2,L89&gt;=Variables!$E$2),"Yes","No"))</f>
        <v/>
      </c>
      <c r="Q89" s="19" t="str">
        <f aca="false">IF(OR(I89="",M89="",I89=0),"",(M89-I89)/I89)</f>
        <v/>
      </c>
      <c r="R89" s="21" t="str">
        <f aca="false">IF(P89="","",IF(P89="No","Extend 24 h",IF(Q89&gt;=Variables!$E$3,"B","A")))</f>
        <v/>
      </c>
      <c r="S89" s="21" t="str">
        <f aca="false">IF(R89="B","Yes: add to Constants",IF(R89="A","No",""))</f>
        <v/>
      </c>
      <c r="T89" s="11"/>
      <c r="U89" s="12"/>
    </row>
    <row r="90" customFormat="false" ht="15" hidden="false" customHeight="false" outlineLevel="0" collapsed="false">
      <c r="A90" s="12"/>
      <c r="B90" s="11"/>
      <c r="C90" s="12"/>
      <c r="D90" s="12"/>
      <c r="E90" s="12"/>
      <c r="F90" s="12"/>
      <c r="G90" s="12"/>
      <c r="H90" s="17"/>
      <c r="I90" s="18"/>
      <c r="J90" s="17"/>
      <c r="K90" s="17"/>
      <c r="L90" s="17"/>
      <c r="M90" s="18"/>
      <c r="N90" s="17"/>
      <c r="O90" s="17"/>
      <c r="P90" s="21" t="str">
        <f aca="false">IF(OR(H90="",L90=""),"",IF(AND(H90&gt;=Variables!$E$2,L90&gt;=Variables!$E$2),"Yes","No"))</f>
        <v/>
      </c>
      <c r="Q90" s="19" t="str">
        <f aca="false">IF(OR(I90="",M90="",I90=0),"",(M90-I90)/I90)</f>
        <v/>
      </c>
      <c r="R90" s="21" t="str">
        <f aca="false">IF(P90="","",IF(P90="No","Extend 24 h",IF(Q90&gt;=Variables!$E$3,"B","A")))</f>
        <v/>
      </c>
      <c r="S90" s="21" t="str">
        <f aca="false">IF(R90="B","Yes: add to Constants",IF(R90="A","No",""))</f>
        <v/>
      </c>
      <c r="T90" s="11"/>
      <c r="U90" s="12"/>
    </row>
    <row r="91" customFormat="false" ht="15" hidden="false" customHeight="false" outlineLevel="0" collapsed="false">
      <c r="A91" s="12"/>
      <c r="B91" s="11"/>
      <c r="C91" s="12"/>
      <c r="D91" s="12"/>
      <c r="E91" s="12"/>
      <c r="F91" s="12"/>
      <c r="G91" s="12"/>
      <c r="H91" s="17"/>
      <c r="I91" s="18"/>
      <c r="J91" s="17"/>
      <c r="K91" s="17"/>
      <c r="L91" s="17"/>
      <c r="M91" s="18"/>
      <c r="N91" s="17"/>
      <c r="O91" s="17"/>
      <c r="P91" s="21" t="str">
        <f aca="false">IF(OR(H91="",L91=""),"",IF(AND(H91&gt;=Variables!$E$2,L91&gt;=Variables!$E$2),"Yes","No"))</f>
        <v/>
      </c>
      <c r="Q91" s="19" t="str">
        <f aca="false">IF(OR(I91="",M91="",I91=0),"",(M91-I91)/I91)</f>
        <v/>
      </c>
      <c r="R91" s="21" t="str">
        <f aca="false">IF(P91="","",IF(P91="No","Extend 24 h",IF(Q91&gt;=Variables!$E$3,"B","A")))</f>
        <v/>
      </c>
      <c r="S91" s="21" t="str">
        <f aca="false">IF(R91="B","Yes: add to Constants",IF(R91="A","No",""))</f>
        <v/>
      </c>
      <c r="T91" s="11"/>
      <c r="U91" s="12"/>
    </row>
    <row r="92" customFormat="false" ht="15" hidden="false" customHeight="false" outlineLevel="0" collapsed="false">
      <c r="A92" s="12"/>
      <c r="B92" s="11"/>
      <c r="C92" s="12"/>
      <c r="D92" s="12"/>
      <c r="E92" s="12"/>
      <c r="F92" s="12"/>
      <c r="G92" s="12"/>
      <c r="H92" s="17"/>
      <c r="I92" s="18"/>
      <c r="J92" s="17"/>
      <c r="K92" s="17"/>
      <c r="L92" s="17"/>
      <c r="M92" s="18"/>
      <c r="N92" s="17"/>
      <c r="O92" s="17"/>
      <c r="P92" s="21" t="str">
        <f aca="false">IF(OR(H92="",L92=""),"",IF(AND(H92&gt;=Variables!$E$2,L92&gt;=Variables!$E$2),"Yes","No"))</f>
        <v/>
      </c>
      <c r="Q92" s="19" t="str">
        <f aca="false">IF(OR(I92="",M92="",I92=0),"",(M92-I92)/I92)</f>
        <v/>
      </c>
      <c r="R92" s="21" t="str">
        <f aca="false">IF(P92="","",IF(P92="No","Extend 24 h",IF(Q92&gt;=Variables!$E$3,"B","A")))</f>
        <v/>
      </c>
      <c r="S92" s="21" t="str">
        <f aca="false">IF(R92="B","Yes: add to Constants",IF(R92="A","No",""))</f>
        <v/>
      </c>
      <c r="T92" s="11"/>
      <c r="U92" s="12"/>
    </row>
    <row r="93" customFormat="false" ht="15" hidden="false" customHeight="false" outlineLevel="0" collapsed="false">
      <c r="A93" s="12"/>
      <c r="B93" s="11"/>
      <c r="C93" s="12"/>
      <c r="D93" s="12"/>
      <c r="E93" s="12"/>
      <c r="F93" s="12"/>
      <c r="G93" s="12"/>
      <c r="H93" s="17"/>
      <c r="I93" s="18"/>
      <c r="J93" s="17"/>
      <c r="K93" s="17"/>
      <c r="L93" s="17"/>
      <c r="M93" s="18"/>
      <c r="N93" s="17"/>
      <c r="O93" s="17"/>
      <c r="P93" s="21" t="str">
        <f aca="false">IF(OR(H93="",L93=""),"",IF(AND(H93&gt;=Variables!$E$2,L93&gt;=Variables!$E$2),"Yes","No"))</f>
        <v/>
      </c>
      <c r="Q93" s="19" t="str">
        <f aca="false">IF(OR(I93="",M93="",I93=0),"",(M93-I93)/I93)</f>
        <v/>
      </c>
      <c r="R93" s="21" t="str">
        <f aca="false">IF(P93="","",IF(P93="No","Extend 24 h",IF(Q93&gt;=Variables!$E$3,"B","A")))</f>
        <v/>
      </c>
      <c r="S93" s="21" t="str">
        <f aca="false">IF(R93="B","Yes: add to Constants",IF(R93="A","No",""))</f>
        <v/>
      </c>
      <c r="T93" s="11"/>
      <c r="U93" s="12"/>
    </row>
    <row r="94" customFormat="false" ht="15" hidden="false" customHeight="false" outlineLevel="0" collapsed="false">
      <c r="A94" s="12"/>
      <c r="B94" s="11"/>
      <c r="C94" s="12"/>
      <c r="D94" s="12"/>
      <c r="E94" s="12"/>
      <c r="F94" s="12"/>
      <c r="G94" s="12"/>
      <c r="H94" s="17"/>
      <c r="I94" s="18"/>
      <c r="J94" s="17"/>
      <c r="K94" s="17"/>
      <c r="L94" s="17"/>
      <c r="M94" s="18"/>
      <c r="N94" s="17"/>
      <c r="O94" s="17"/>
      <c r="P94" s="21" t="str">
        <f aca="false">IF(OR(H94="",L94=""),"",IF(AND(H94&gt;=Variables!$E$2,L94&gt;=Variables!$E$2),"Yes","No"))</f>
        <v/>
      </c>
      <c r="Q94" s="19" t="str">
        <f aca="false">IF(OR(I94="",M94="",I94=0),"",(M94-I94)/I94)</f>
        <v/>
      </c>
      <c r="R94" s="21" t="str">
        <f aca="false">IF(P94="","",IF(P94="No","Extend 24 h",IF(Q94&gt;=Variables!$E$3,"B","A")))</f>
        <v/>
      </c>
      <c r="S94" s="21" t="str">
        <f aca="false">IF(R94="B","Yes: add to Constants",IF(R94="A","No",""))</f>
        <v/>
      </c>
      <c r="T94" s="11"/>
      <c r="U94" s="12"/>
    </row>
    <row r="95" customFormat="false" ht="15" hidden="false" customHeight="false" outlineLevel="0" collapsed="false">
      <c r="A95" s="12"/>
      <c r="B95" s="11"/>
      <c r="C95" s="12"/>
      <c r="D95" s="12"/>
      <c r="E95" s="12"/>
      <c r="F95" s="12"/>
      <c r="G95" s="12"/>
      <c r="H95" s="17"/>
      <c r="I95" s="18"/>
      <c r="J95" s="17"/>
      <c r="K95" s="17"/>
      <c r="L95" s="17"/>
      <c r="M95" s="18"/>
      <c r="N95" s="17"/>
      <c r="O95" s="17"/>
      <c r="P95" s="21" t="str">
        <f aca="false">IF(OR(H95="",L95=""),"",IF(AND(H95&gt;=Variables!$E$2,L95&gt;=Variables!$E$2),"Yes","No"))</f>
        <v/>
      </c>
      <c r="Q95" s="19" t="str">
        <f aca="false">IF(OR(I95="",M95="",I95=0),"",(M95-I95)/I95)</f>
        <v/>
      </c>
      <c r="R95" s="21" t="str">
        <f aca="false">IF(P95="","",IF(P95="No","Extend 24 h",IF(Q95&gt;=Variables!$E$3,"B","A")))</f>
        <v/>
      </c>
      <c r="S95" s="21" t="str">
        <f aca="false">IF(R95="B","Yes: add to Constants",IF(R95="A","No",""))</f>
        <v/>
      </c>
      <c r="T95" s="11"/>
      <c r="U95" s="12"/>
    </row>
    <row r="96" customFormat="false" ht="15" hidden="false" customHeight="false" outlineLevel="0" collapsed="false">
      <c r="A96" s="12"/>
      <c r="B96" s="11"/>
      <c r="C96" s="12"/>
      <c r="D96" s="12"/>
      <c r="E96" s="12"/>
      <c r="F96" s="12"/>
      <c r="G96" s="12"/>
      <c r="H96" s="17"/>
      <c r="I96" s="18"/>
      <c r="J96" s="17"/>
      <c r="K96" s="17"/>
      <c r="L96" s="17"/>
      <c r="M96" s="18"/>
      <c r="N96" s="17"/>
      <c r="O96" s="17"/>
      <c r="P96" s="21" t="str">
        <f aca="false">IF(OR(H96="",L96=""),"",IF(AND(H96&gt;=Variables!$E$2,L96&gt;=Variables!$E$2),"Yes","No"))</f>
        <v/>
      </c>
      <c r="Q96" s="19" t="str">
        <f aca="false">IF(OR(I96="",M96="",I96=0),"",(M96-I96)/I96)</f>
        <v/>
      </c>
      <c r="R96" s="21" t="str">
        <f aca="false">IF(P96="","",IF(P96="No","Extend 24 h",IF(Q96&gt;=Variables!$E$3,"B","A")))</f>
        <v/>
      </c>
      <c r="S96" s="21" t="str">
        <f aca="false">IF(R96="B","Yes: add to Constants",IF(R96="A","No",""))</f>
        <v/>
      </c>
      <c r="T96" s="11"/>
      <c r="U96" s="12"/>
    </row>
    <row r="97" customFormat="false" ht="15" hidden="false" customHeight="false" outlineLevel="0" collapsed="false">
      <c r="A97" s="12"/>
      <c r="B97" s="11"/>
      <c r="C97" s="12"/>
      <c r="D97" s="12"/>
      <c r="E97" s="12"/>
      <c r="F97" s="12"/>
      <c r="G97" s="12"/>
      <c r="H97" s="17"/>
      <c r="I97" s="18"/>
      <c r="J97" s="17"/>
      <c r="K97" s="17"/>
      <c r="L97" s="17"/>
      <c r="M97" s="18"/>
      <c r="N97" s="17"/>
      <c r="O97" s="17"/>
      <c r="P97" s="21" t="str">
        <f aca="false">IF(OR(H97="",L97=""),"",IF(AND(H97&gt;=Variables!$E$2,L97&gt;=Variables!$E$2),"Yes","No"))</f>
        <v/>
      </c>
      <c r="Q97" s="19" t="str">
        <f aca="false">IF(OR(I97="",M97="",I97=0),"",(M97-I97)/I97)</f>
        <v/>
      </c>
      <c r="R97" s="21" t="str">
        <f aca="false">IF(P97="","",IF(P97="No","Extend 24 h",IF(Q97&gt;=Variables!$E$3,"B","A")))</f>
        <v/>
      </c>
      <c r="S97" s="21" t="str">
        <f aca="false">IF(R97="B","Yes: add to Constants",IF(R97="A","No",""))</f>
        <v/>
      </c>
      <c r="T97" s="11"/>
      <c r="U97" s="12"/>
    </row>
    <row r="98" customFormat="false" ht="15" hidden="false" customHeight="false" outlineLevel="0" collapsed="false">
      <c r="A98" s="12"/>
      <c r="B98" s="11"/>
      <c r="C98" s="12"/>
      <c r="D98" s="12"/>
      <c r="E98" s="12"/>
      <c r="F98" s="12"/>
      <c r="G98" s="12"/>
      <c r="H98" s="17"/>
      <c r="I98" s="18"/>
      <c r="J98" s="17"/>
      <c r="K98" s="17"/>
      <c r="L98" s="17"/>
      <c r="M98" s="18"/>
      <c r="N98" s="17"/>
      <c r="O98" s="17"/>
      <c r="P98" s="21" t="str">
        <f aca="false">IF(OR(H98="",L98=""),"",IF(AND(H98&gt;=Variables!$E$2,L98&gt;=Variables!$E$2),"Yes","No"))</f>
        <v/>
      </c>
      <c r="Q98" s="19" t="str">
        <f aca="false">IF(OR(I98="",M98="",I98=0),"",(M98-I98)/I98)</f>
        <v/>
      </c>
      <c r="R98" s="21" t="str">
        <f aca="false">IF(P98="","",IF(P98="No","Extend 24 h",IF(Q98&gt;=Variables!$E$3,"B","A")))</f>
        <v/>
      </c>
      <c r="S98" s="21" t="str">
        <f aca="false">IF(R98="B","Yes: add to Constants",IF(R98="A","No",""))</f>
        <v/>
      </c>
      <c r="T98" s="11"/>
      <c r="U98" s="12"/>
    </row>
    <row r="99" customFormat="false" ht="15" hidden="false" customHeight="false" outlineLevel="0" collapsed="false">
      <c r="A99" s="12"/>
      <c r="B99" s="11"/>
      <c r="C99" s="12"/>
      <c r="D99" s="12"/>
      <c r="E99" s="12"/>
      <c r="F99" s="12"/>
      <c r="G99" s="12"/>
      <c r="H99" s="17"/>
      <c r="I99" s="18"/>
      <c r="J99" s="17"/>
      <c r="K99" s="17"/>
      <c r="L99" s="17"/>
      <c r="M99" s="18"/>
      <c r="N99" s="17"/>
      <c r="O99" s="17"/>
      <c r="P99" s="21" t="str">
        <f aca="false">IF(OR(H99="",L99=""),"",IF(AND(H99&gt;=Variables!$E$2,L99&gt;=Variables!$E$2),"Yes","No"))</f>
        <v/>
      </c>
      <c r="Q99" s="19" t="str">
        <f aca="false">IF(OR(I99="",M99="",I99=0),"",(M99-I99)/I99)</f>
        <v/>
      </c>
      <c r="R99" s="21" t="str">
        <f aca="false">IF(P99="","",IF(P99="No","Extend 24 h",IF(Q99&gt;=Variables!$E$3,"B","A")))</f>
        <v/>
      </c>
      <c r="S99" s="21" t="str">
        <f aca="false">IF(R99="B","Yes: add to Constants",IF(R99="A","No",""))</f>
        <v/>
      </c>
      <c r="T99" s="11"/>
      <c r="U99" s="12"/>
    </row>
    <row r="100" customFormat="false" ht="15" hidden="false" customHeight="false" outlineLevel="0" collapsed="false">
      <c r="A100" s="12"/>
      <c r="B100" s="11"/>
      <c r="C100" s="12"/>
      <c r="D100" s="12"/>
      <c r="E100" s="12"/>
      <c r="F100" s="12"/>
      <c r="G100" s="12"/>
      <c r="H100" s="17"/>
      <c r="I100" s="18"/>
      <c r="J100" s="17"/>
      <c r="K100" s="17"/>
      <c r="L100" s="17"/>
      <c r="M100" s="18"/>
      <c r="N100" s="17"/>
      <c r="O100" s="17"/>
      <c r="P100" s="21" t="str">
        <f aca="false">IF(OR(H100="",L100=""),"",IF(AND(H100&gt;=Variables!$E$2,L100&gt;=Variables!$E$2),"Yes","No"))</f>
        <v/>
      </c>
      <c r="Q100" s="19" t="str">
        <f aca="false">IF(OR(I100="",M100="",I100=0),"",(M100-I100)/I100)</f>
        <v/>
      </c>
      <c r="R100" s="21" t="str">
        <f aca="false">IF(P100="","",IF(P100="No","Extend 24 h",IF(Q100&gt;=Variables!$E$3,"B","A")))</f>
        <v/>
      </c>
      <c r="S100" s="21" t="str">
        <f aca="false">IF(R100="B","Yes: add to Constants",IF(R100="A","No",""))</f>
        <v/>
      </c>
      <c r="T100" s="11"/>
      <c r="U100" s="12"/>
    </row>
    <row r="101" customFormat="false" ht="15" hidden="false" customHeight="false" outlineLevel="0" collapsed="false">
      <c r="A101" s="12"/>
      <c r="B101" s="11"/>
      <c r="C101" s="12"/>
      <c r="D101" s="12"/>
      <c r="E101" s="12"/>
      <c r="F101" s="12"/>
      <c r="G101" s="12"/>
      <c r="H101" s="17"/>
      <c r="I101" s="18"/>
      <c r="J101" s="17"/>
      <c r="K101" s="17"/>
      <c r="L101" s="17"/>
      <c r="M101" s="18"/>
      <c r="N101" s="17"/>
      <c r="O101" s="17"/>
      <c r="P101" s="21" t="str">
        <f aca="false">IF(OR(H101="",L101=""),"",IF(AND(H101&gt;=Variables!$E$2,L101&gt;=Variables!$E$2),"Yes","No"))</f>
        <v/>
      </c>
      <c r="Q101" s="19" t="str">
        <f aca="false">IF(OR(I101="",M101="",I101=0),"",(M101-I101)/I101)</f>
        <v/>
      </c>
      <c r="R101" s="21" t="str">
        <f aca="false">IF(P101="","",IF(P101="No","Extend 24 h",IF(Q101&gt;=Variables!$E$3,"B","A")))</f>
        <v/>
      </c>
      <c r="S101" s="21" t="str">
        <f aca="false">IF(R101="B","Yes: add to Constants",IF(R101="A","No",""))</f>
        <v/>
      </c>
      <c r="T101" s="11"/>
      <c r="U101" s="12"/>
    </row>
    <row r="102" customFormat="false" ht="15" hidden="false" customHeight="false" outlineLevel="0" collapsed="false">
      <c r="A102" s="12"/>
      <c r="B102" s="11"/>
      <c r="C102" s="12"/>
      <c r="D102" s="12"/>
      <c r="E102" s="12"/>
      <c r="F102" s="12"/>
      <c r="G102" s="12"/>
      <c r="H102" s="17"/>
      <c r="I102" s="18"/>
      <c r="J102" s="17"/>
      <c r="K102" s="17"/>
      <c r="L102" s="17"/>
      <c r="M102" s="18"/>
      <c r="N102" s="17"/>
      <c r="O102" s="17"/>
      <c r="P102" s="21" t="str">
        <f aca="false">IF(OR(H102="",L102=""),"",IF(AND(H102&gt;=Variables!$E$2,L102&gt;=Variables!$E$2),"Yes","No"))</f>
        <v/>
      </c>
      <c r="Q102" s="19" t="str">
        <f aca="false">IF(OR(I102="",M102="",I102=0),"",(M102-I102)/I102)</f>
        <v/>
      </c>
      <c r="R102" s="21" t="str">
        <f aca="false">IF(P102="","",IF(P102="No","Extend 24 h",IF(Q102&gt;=Variables!$E$3,"B","A")))</f>
        <v/>
      </c>
      <c r="S102" s="21" t="str">
        <f aca="false">IF(R102="B","Yes: add to Constants",IF(R102="A","No",""))</f>
        <v/>
      </c>
      <c r="T102" s="11"/>
      <c r="U102" s="12"/>
    </row>
    <row r="103" customFormat="false" ht="15" hidden="false" customHeight="false" outlineLevel="0" collapsed="false">
      <c r="A103" s="12"/>
      <c r="B103" s="11"/>
      <c r="C103" s="12"/>
      <c r="D103" s="12"/>
      <c r="E103" s="12"/>
      <c r="F103" s="12"/>
      <c r="G103" s="12"/>
      <c r="H103" s="17"/>
      <c r="I103" s="18"/>
      <c r="J103" s="17"/>
      <c r="K103" s="17"/>
      <c r="L103" s="17"/>
      <c r="M103" s="18"/>
      <c r="N103" s="17"/>
      <c r="O103" s="17"/>
      <c r="P103" s="21" t="str">
        <f aca="false">IF(OR(H103="",L103=""),"",IF(AND(H103&gt;=Variables!$E$2,L103&gt;=Variables!$E$2),"Yes","No"))</f>
        <v/>
      </c>
      <c r="Q103" s="19" t="str">
        <f aca="false">IF(OR(I103="",M103="",I103=0),"",(M103-I103)/I103)</f>
        <v/>
      </c>
      <c r="R103" s="21" t="str">
        <f aca="false">IF(P103="","",IF(P103="No","Extend 24 h",IF(Q103&gt;=Variables!$E$3,"B","A")))</f>
        <v/>
      </c>
      <c r="S103" s="21" t="str">
        <f aca="false">IF(R103="B","Yes: add to Constants",IF(R103="A","No",""))</f>
        <v/>
      </c>
      <c r="T103" s="11"/>
      <c r="U103" s="12"/>
    </row>
    <row r="104" customFormat="false" ht="15" hidden="false" customHeight="false" outlineLevel="0" collapsed="false">
      <c r="A104" s="12"/>
      <c r="B104" s="11"/>
      <c r="C104" s="12"/>
      <c r="D104" s="12"/>
      <c r="E104" s="12"/>
      <c r="F104" s="12"/>
      <c r="G104" s="12"/>
      <c r="H104" s="17"/>
      <c r="I104" s="18"/>
      <c r="J104" s="17"/>
      <c r="K104" s="17"/>
      <c r="L104" s="17"/>
      <c r="M104" s="18"/>
      <c r="N104" s="17"/>
      <c r="O104" s="17"/>
      <c r="P104" s="21" t="str">
        <f aca="false">IF(OR(H104="",L104=""),"",IF(AND(H104&gt;=Variables!$E$2,L104&gt;=Variables!$E$2),"Yes","No"))</f>
        <v/>
      </c>
      <c r="Q104" s="19" t="str">
        <f aca="false">IF(OR(I104="",M104="",I104=0),"",(M104-I104)/I104)</f>
        <v/>
      </c>
      <c r="R104" s="21" t="str">
        <f aca="false">IF(P104="","",IF(P104="No","Extend 24 h",IF(Q104&gt;=Variables!$E$3,"B","A")))</f>
        <v/>
      </c>
      <c r="S104" s="21" t="str">
        <f aca="false">IF(R104="B","Yes: add to Constants",IF(R104="A","No",""))</f>
        <v/>
      </c>
      <c r="T104" s="11"/>
      <c r="U104" s="12"/>
    </row>
    <row r="105" customFormat="false" ht="15" hidden="false" customHeight="false" outlineLevel="0" collapsed="false">
      <c r="A105" s="12"/>
      <c r="B105" s="11"/>
      <c r="C105" s="12"/>
      <c r="D105" s="12"/>
      <c r="E105" s="12"/>
      <c r="F105" s="12"/>
      <c r="G105" s="12"/>
      <c r="H105" s="17"/>
      <c r="I105" s="18"/>
      <c r="J105" s="17"/>
      <c r="K105" s="17"/>
      <c r="L105" s="17"/>
      <c r="M105" s="18"/>
      <c r="N105" s="17"/>
      <c r="O105" s="17"/>
      <c r="P105" s="21" t="str">
        <f aca="false">IF(OR(H105="",L105=""),"",IF(AND(H105&gt;=Variables!$E$2,L105&gt;=Variables!$E$2),"Yes","No"))</f>
        <v/>
      </c>
      <c r="Q105" s="19" t="str">
        <f aca="false">IF(OR(I105="",M105="",I105=0),"",(M105-I105)/I105)</f>
        <v/>
      </c>
      <c r="R105" s="21" t="str">
        <f aca="false">IF(P105="","",IF(P105="No","Extend 24 h",IF(Q105&gt;=Variables!$E$3,"B","A")))</f>
        <v/>
      </c>
      <c r="S105" s="21" t="str">
        <f aca="false">IF(R105="B","Yes: add to Constants",IF(R105="A","No",""))</f>
        <v/>
      </c>
      <c r="T105" s="11"/>
      <c r="U105" s="12"/>
    </row>
    <row r="106" customFormat="false" ht="15" hidden="false" customHeight="false" outlineLevel="0" collapsed="false">
      <c r="A106" s="12"/>
      <c r="B106" s="11"/>
      <c r="C106" s="12"/>
      <c r="D106" s="12"/>
      <c r="E106" s="12"/>
      <c r="F106" s="12"/>
      <c r="G106" s="12"/>
      <c r="H106" s="17"/>
      <c r="I106" s="18"/>
      <c r="J106" s="17"/>
      <c r="K106" s="17"/>
      <c r="L106" s="17"/>
      <c r="M106" s="18"/>
      <c r="N106" s="17"/>
      <c r="O106" s="17"/>
      <c r="P106" s="21" t="str">
        <f aca="false">IF(OR(H106="",L106=""),"",IF(AND(H106&gt;=Variables!$E$2,L106&gt;=Variables!$E$2),"Yes","No"))</f>
        <v/>
      </c>
      <c r="Q106" s="19" t="str">
        <f aca="false">IF(OR(I106="",M106="",I106=0),"",(M106-I106)/I106)</f>
        <v/>
      </c>
      <c r="R106" s="21" t="str">
        <f aca="false">IF(P106="","",IF(P106="No","Extend 24 h",IF(Q106&gt;=Variables!$E$3,"B","A")))</f>
        <v/>
      </c>
      <c r="S106" s="21" t="str">
        <f aca="false">IF(R106="B","Yes: add to Constants",IF(R106="A","No",""))</f>
        <v/>
      </c>
      <c r="T106" s="11"/>
      <c r="U106" s="12"/>
    </row>
    <row r="107" customFormat="false" ht="15" hidden="false" customHeight="false" outlineLevel="0" collapsed="false">
      <c r="A107" s="12"/>
      <c r="B107" s="11"/>
      <c r="C107" s="12"/>
      <c r="D107" s="12"/>
      <c r="E107" s="12"/>
      <c r="F107" s="12"/>
      <c r="G107" s="12"/>
      <c r="H107" s="17"/>
      <c r="I107" s="18"/>
      <c r="J107" s="17"/>
      <c r="K107" s="17"/>
      <c r="L107" s="17"/>
      <c r="M107" s="18"/>
      <c r="N107" s="17"/>
      <c r="O107" s="17"/>
      <c r="P107" s="21" t="str">
        <f aca="false">IF(OR(H107="",L107=""),"",IF(AND(H107&gt;=Variables!$E$2,L107&gt;=Variables!$E$2),"Yes","No"))</f>
        <v/>
      </c>
      <c r="Q107" s="19" t="str">
        <f aca="false">IF(OR(I107="",M107="",I107=0),"",(M107-I107)/I107)</f>
        <v/>
      </c>
      <c r="R107" s="21" t="str">
        <f aca="false">IF(P107="","",IF(P107="No","Extend 24 h",IF(Q107&gt;=Variables!$E$3,"B","A")))</f>
        <v/>
      </c>
      <c r="S107" s="21" t="str">
        <f aca="false">IF(R107="B","Yes: add to Constants",IF(R107="A","No",""))</f>
        <v/>
      </c>
      <c r="T107" s="11"/>
      <c r="U107" s="12"/>
    </row>
    <row r="108" customFormat="false" ht="15" hidden="false" customHeight="false" outlineLevel="0" collapsed="false">
      <c r="A108" s="12"/>
      <c r="B108" s="11"/>
      <c r="C108" s="12"/>
      <c r="D108" s="12"/>
      <c r="E108" s="12"/>
      <c r="F108" s="12"/>
      <c r="G108" s="12"/>
      <c r="H108" s="17"/>
      <c r="I108" s="18"/>
      <c r="J108" s="17"/>
      <c r="K108" s="17"/>
      <c r="L108" s="17"/>
      <c r="M108" s="18"/>
      <c r="N108" s="17"/>
      <c r="O108" s="17"/>
      <c r="P108" s="21" t="str">
        <f aca="false">IF(OR(H108="",L108=""),"",IF(AND(H108&gt;=Variables!$E$2,L108&gt;=Variables!$E$2),"Yes","No"))</f>
        <v/>
      </c>
      <c r="Q108" s="19" t="str">
        <f aca="false">IF(OR(I108="",M108="",I108=0),"",(M108-I108)/I108)</f>
        <v/>
      </c>
      <c r="R108" s="21" t="str">
        <f aca="false">IF(P108="","",IF(P108="No","Extend 24 h",IF(Q108&gt;=Variables!$E$3,"B","A")))</f>
        <v/>
      </c>
      <c r="S108" s="21" t="str">
        <f aca="false">IF(R108="B","Yes: add to Constants",IF(R108="A","No",""))</f>
        <v/>
      </c>
      <c r="T108" s="11"/>
      <c r="U108" s="12"/>
    </row>
    <row r="109" customFormat="false" ht="15" hidden="false" customHeight="false" outlineLevel="0" collapsed="false">
      <c r="A109" s="12"/>
      <c r="B109" s="11"/>
      <c r="C109" s="12"/>
      <c r="D109" s="12"/>
      <c r="E109" s="12"/>
      <c r="F109" s="12"/>
      <c r="G109" s="12"/>
      <c r="H109" s="17"/>
      <c r="I109" s="18"/>
      <c r="J109" s="17"/>
      <c r="K109" s="17"/>
      <c r="L109" s="17"/>
      <c r="M109" s="18"/>
      <c r="N109" s="17"/>
      <c r="O109" s="17"/>
      <c r="P109" s="21" t="str">
        <f aca="false">IF(OR(H109="",L109=""),"",IF(AND(H109&gt;=Variables!$E$2,L109&gt;=Variables!$E$2),"Yes","No"))</f>
        <v/>
      </c>
      <c r="Q109" s="19" t="str">
        <f aca="false">IF(OR(I109="",M109="",I109=0),"",(M109-I109)/I109)</f>
        <v/>
      </c>
      <c r="R109" s="21" t="str">
        <f aca="false">IF(P109="","",IF(P109="No","Extend 24 h",IF(Q109&gt;=Variables!$E$3,"B","A")))</f>
        <v/>
      </c>
      <c r="S109" s="21" t="str">
        <f aca="false">IF(R109="B","Yes: add to Constants",IF(R109="A","No",""))</f>
        <v/>
      </c>
      <c r="T109" s="11"/>
      <c r="U109" s="12"/>
    </row>
    <row r="110" customFormat="false" ht="15" hidden="false" customHeight="false" outlineLevel="0" collapsed="false">
      <c r="A110" s="12"/>
      <c r="B110" s="11"/>
      <c r="C110" s="12"/>
      <c r="D110" s="12"/>
      <c r="E110" s="12"/>
      <c r="F110" s="12"/>
      <c r="G110" s="12"/>
      <c r="H110" s="17"/>
      <c r="I110" s="18"/>
      <c r="J110" s="17"/>
      <c r="K110" s="17"/>
      <c r="L110" s="17"/>
      <c r="M110" s="18"/>
      <c r="N110" s="17"/>
      <c r="O110" s="17"/>
      <c r="P110" s="21" t="str">
        <f aca="false">IF(OR(H110="",L110=""),"",IF(AND(H110&gt;=Variables!$E$2,L110&gt;=Variables!$E$2),"Yes","No"))</f>
        <v/>
      </c>
      <c r="Q110" s="19" t="str">
        <f aca="false">IF(OR(I110="",M110="",I110=0),"",(M110-I110)/I110)</f>
        <v/>
      </c>
      <c r="R110" s="21" t="str">
        <f aca="false">IF(P110="","",IF(P110="No","Extend 24 h",IF(Q110&gt;=Variables!$E$3,"B","A")))</f>
        <v/>
      </c>
      <c r="S110" s="21" t="str">
        <f aca="false">IF(R110="B","Yes: add to Constants",IF(R110="A","No",""))</f>
        <v/>
      </c>
      <c r="T110" s="11"/>
      <c r="U110" s="12"/>
    </row>
    <row r="111" customFormat="false" ht="15" hidden="false" customHeight="false" outlineLevel="0" collapsed="false">
      <c r="A111" s="12"/>
      <c r="B111" s="11"/>
      <c r="C111" s="12"/>
      <c r="D111" s="12"/>
      <c r="E111" s="12"/>
      <c r="F111" s="12"/>
      <c r="G111" s="12"/>
      <c r="H111" s="17"/>
      <c r="I111" s="18"/>
      <c r="J111" s="17"/>
      <c r="K111" s="17"/>
      <c r="L111" s="17"/>
      <c r="M111" s="18"/>
      <c r="N111" s="17"/>
      <c r="O111" s="17"/>
      <c r="P111" s="21" t="str">
        <f aca="false">IF(OR(H111="",L111=""),"",IF(AND(H111&gt;=Variables!$E$2,L111&gt;=Variables!$E$2),"Yes","No"))</f>
        <v/>
      </c>
      <c r="Q111" s="19" t="str">
        <f aca="false">IF(OR(I111="",M111="",I111=0),"",(M111-I111)/I111)</f>
        <v/>
      </c>
      <c r="R111" s="21" t="str">
        <f aca="false">IF(P111="","",IF(P111="No","Extend 24 h",IF(Q111&gt;=Variables!$E$3,"B","A")))</f>
        <v/>
      </c>
      <c r="S111" s="21" t="str">
        <f aca="false">IF(R111="B","Yes: add to Constants",IF(R111="A","No",""))</f>
        <v/>
      </c>
      <c r="T111" s="11"/>
      <c r="U111" s="12"/>
    </row>
    <row r="112" customFormat="false" ht="15" hidden="false" customHeight="false" outlineLevel="0" collapsed="false">
      <c r="A112" s="12"/>
      <c r="B112" s="11"/>
      <c r="C112" s="12"/>
      <c r="D112" s="12"/>
      <c r="E112" s="12"/>
      <c r="F112" s="12"/>
      <c r="G112" s="12"/>
      <c r="H112" s="17"/>
      <c r="I112" s="18"/>
      <c r="J112" s="17"/>
      <c r="K112" s="17"/>
      <c r="L112" s="17"/>
      <c r="M112" s="18"/>
      <c r="N112" s="17"/>
      <c r="O112" s="17"/>
      <c r="P112" s="21" t="str">
        <f aca="false">IF(OR(H112="",L112=""),"",IF(AND(H112&gt;=Variables!$E$2,L112&gt;=Variables!$E$2),"Yes","No"))</f>
        <v/>
      </c>
      <c r="Q112" s="19" t="str">
        <f aca="false">IF(OR(I112="",M112="",I112=0),"",(M112-I112)/I112)</f>
        <v/>
      </c>
      <c r="R112" s="21" t="str">
        <f aca="false">IF(P112="","",IF(P112="No","Extend 24 h",IF(Q112&gt;=Variables!$E$3,"B","A")))</f>
        <v/>
      </c>
      <c r="S112" s="21" t="str">
        <f aca="false">IF(R112="B","Yes: add to Constants",IF(R112="A","No",""))</f>
        <v/>
      </c>
      <c r="T112" s="11"/>
      <c r="U112" s="12"/>
    </row>
    <row r="113" customFormat="false" ht="15" hidden="false" customHeight="false" outlineLevel="0" collapsed="false">
      <c r="A113" s="12"/>
      <c r="B113" s="11"/>
      <c r="C113" s="12"/>
      <c r="D113" s="12"/>
      <c r="E113" s="12"/>
      <c r="F113" s="12"/>
      <c r="G113" s="12"/>
      <c r="H113" s="17"/>
      <c r="I113" s="18"/>
      <c r="J113" s="17"/>
      <c r="K113" s="17"/>
      <c r="L113" s="17"/>
      <c r="M113" s="18"/>
      <c r="N113" s="17"/>
      <c r="O113" s="17"/>
      <c r="P113" s="21" t="str">
        <f aca="false">IF(OR(H113="",L113=""),"",IF(AND(H113&gt;=Variables!$E$2,L113&gt;=Variables!$E$2),"Yes","No"))</f>
        <v/>
      </c>
      <c r="Q113" s="19" t="str">
        <f aca="false">IF(OR(I113="",M113="",I113=0),"",(M113-I113)/I113)</f>
        <v/>
      </c>
      <c r="R113" s="21" t="str">
        <f aca="false">IF(P113="","",IF(P113="No","Extend 24 h",IF(Q113&gt;=Variables!$E$3,"B","A")))</f>
        <v/>
      </c>
      <c r="S113" s="21" t="str">
        <f aca="false">IF(R113="B","Yes: add to Constants",IF(R113="A","No",""))</f>
        <v/>
      </c>
      <c r="T113" s="11"/>
      <c r="U113" s="12"/>
    </row>
    <row r="114" customFormat="false" ht="15" hidden="false" customHeight="false" outlineLevel="0" collapsed="false">
      <c r="A114" s="12"/>
      <c r="B114" s="11"/>
      <c r="C114" s="12"/>
      <c r="D114" s="12"/>
      <c r="E114" s="12"/>
      <c r="F114" s="12"/>
      <c r="G114" s="12"/>
      <c r="H114" s="17"/>
      <c r="I114" s="18"/>
      <c r="J114" s="17"/>
      <c r="K114" s="17"/>
      <c r="L114" s="17"/>
      <c r="M114" s="18"/>
      <c r="N114" s="17"/>
      <c r="O114" s="17"/>
      <c r="P114" s="21" t="str">
        <f aca="false">IF(OR(H114="",L114=""),"",IF(AND(H114&gt;=Variables!$E$2,L114&gt;=Variables!$E$2),"Yes","No"))</f>
        <v/>
      </c>
      <c r="Q114" s="19" t="str">
        <f aca="false">IF(OR(I114="",M114="",I114=0),"",(M114-I114)/I114)</f>
        <v/>
      </c>
      <c r="R114" s="21" t="str">
        <f aca="false">IF(P114="","",IF(P114="No","Extend 24 h",IF(Q114&gt;=Variables!$E$3,"B","A")))</f>
        <v/>
      </c>
      <c r="S114" s="21" t="str">
        <f aca="false">IF(R114="B","Yes: add to Constants",IF(R114="A","No",""))</f>
        <v/>
      </c>
      <c r="T114" s="11"/>
      <c r="U114" s="12"/>
    </row>
    <row r="115" customFormat="false" ht="15" hidden="false" customHeight="false" outlineLevel="0" collapsed="false">
      <c r="A115" s="12"/>
      <c r="B115" s="11"/>
      <c r="C115" s="12"/>
      <c r="D115" s="12"/>
      <c r="E115" s="12"/>
      <c r="F115" s="12"/>
      <c r="G115" s="12"/>
      <c r="H115" s="17"/>
      <c r="I115" s="18"/>
      <c r="J115" s="17"/>
      <c r="K115" s="17"/>
      <c r="L115" s="17"/>
      <c r="M115" s="18"/>
      <c r="N115" s="17"/>
      <c r="O115" s="17"/>
      <c r="P115" s="21" t="str">
        <f aca="false">IF(OR(H115="",L115=""),"",IF(AND(H115&gt;=Variables!$E$2,L115&gt;=Variables!$E$2),"Yes","No"))</f>
        <v/>
      </c>
      <c r="Q115" s="19" t="str">
        <f aca="false">IF(OR(I115="",M115="",I115=0),"",(M115-I115)/I115)</f>
        <v/>
      </c>
      <c r="R115" s="21" t="str">
        <f aca="false">IF(P115="","",IF(P115="No","Extend 24 h",IF(Q115&gt;=Variables!$E$3,"B","A")))</f>
        <v/>
      </c>
      <c r="S115" s="21" t="str">
        <f aca="false">IF(R115="B","Yes: add to Constants",IF(R115="A","No",""))</f>
        <v/>
      </c>
      <c r="T115" s="11"/>
      <c r="U115" s="12"/>
    </row>
    <row r="116" customFormat="false" ht="15" hidden="false" customHeight="false" outlineLevel="0" collapsed="false">
      <c r="A116" s="12"/>
      <c r="B116" s="11"/>
      <c r="C116" s="12"/>
      <c r="D116" s="12"/>
      <c r="E116" s="12"/>
      <c r="F116" s="12"/>
      <c r="G116" s="12"/>
      <c r="H116" s="17"/>
      <c r="I116" s="18"/>
      <c r="J116" s="17"/>
      <c r="K116" s="17"/>
      <c r="L116" s="17"/>
      <c r="M116" s="18"/>
      <c r="N116" s="17"/>
      <c r="O116" s="17"/>
      <c r="P116" s="21" t="str">
        <f aca="false">IF(OR(H116="",L116=""),"",IF(AND(H116&gt;=Variables!$E$2,L116&gt;=Variables!$E$2),"Yes","No"))</f>
        <v/>
      </c>
      <c r="Q116" s="19" t="str">
        <f aca="false">IF(OR(I116="",M116="",I116=0),"",(M116-I116)/I116)</f>
        <v/>
      </c>
      <c r="R116" s="21" t="str">
        <f aca="false">IF(P116="","",IF(P116="No","Extend 24 h",IF(Q116&gt;=Variables!$E$3,"B","A")))</f>
        <v/>
      </c>
      <c r="S116" s="21" t="str">
        <f aca="false">IF(R116="B","Yes: add to Constants",IF(R116="A","No",""))</f>
        <v/>
      </c>
      <c r="T116" s="11"/>
      <c r="U116" s="12"/>
    </row>
    <row r="117" customFormat="false" ht="15" hidden="false" customHeight="false" outlineLevel="0" collapsed="false">
      <c r="A117" s="12"/>
      <c r="B117" s="11"/>
      <c r="C117" s="12"/>
      <c r="D117" s="12"/>
      <c r="E117" s="12"/>
      <c r="F117" s="12"/>
      <c r="G117" s="12"/>
      <c r="H117" s="17"/>
      <c r="I117" s="18"/>
      <c r="J117" s="17"/>
      <c r="K117" s="17"/>
      <c r="L117" s="17"/>
      <c r="M117" s="18"/>
      <c r="N117" s="17"/>
      <c r="O117" s="17"/>
      <c r="P117" s="21" t="str">
        <f aca="false">IF(OR(H117="",L117=""),"",IF(AND(H117&gt;=Variables!$E$2,L117&gt;=Variables!$E$2),"Yes","No"))</f>
        <v/>
      </c>
      <c r="Q117" s="19" t="str">
        <f aca="false">IF(OR(I117="",M117="",I117=0),"",(M117-I117)/I117)</f>
        <v/>
      </c>
      <c r="R117" s="21" t="str">
        <f aca="false">IF(P117="","",IF(P117="No","Extend 24 h",IF(Q117&gt;=Variables!$E$3,"B","A")))</f>
        <v/>
      </c>
      <c r="S117" s="21" t="str">
        <f aca="false">IF(R117="B","Yes: add to Constants",IF(R117="A","No",""))</f>
        <v/>
      </c>
      <c r="T117" s="11"/>
      <c r="U117" s="12"/>
    </row>
    <row r="118" customFormat="false" ht="15" hidden="false" customHeight="false" outlineLevel="0" collapsed="false">
      <c r="A118" s="12"/>
      <c r="B118" s="11"/>
      <c r="C118" s="12"/>
      <c r="D118" s="12"/>
      <c r="E118" s="12"/>
      <c r="F118" s="12"/>
      <c r="G118" s="12"/>
      <c r="H118" s="17"/>
      <c r="I118" s="18"/>
      <c r="J118" s="17"/>
      <c r="K118" s="17"/>
      <c r="L118" s="17"/>
      <c r="M118" s="18"/>
      <c r="N118" s="17"/>
      <c r="O118" s="17"/>
      <c r="P118" s="21" t="str">
        <f aca="false">IF(OR(H118="",L118=""),"",IF(AND(H118&gt;=Variables!$E$2,L118&gt;=Variables!$E$2),"Yes","No"))</f>
        <v/>
      </c>
      <c r="Q118" s="19" t="str">
        <f aca="false">IF(OR(I118="",M118="",I118=0),"",(M118-I118)/I118)</f>
        <v/>
      </c>
      <c r="R118" s="21" t="str">
        <f aca="false">IF(P118="","",IF(P118="No","Extend 24 h",IF(Q118&gt;=Variables!$E$3,"B","A")))</f>
        <v/>
      </c>
      <c r="S118" s="21" t="str">
        <f aca="false">IF(R118="B","Yes: add to Constants",IF(R118="A","No",""))</f>
        <v/>
      </c>
      <c r="T118" s="11"/>
      <c r="U118" s="12"/>
    </row>
    <row r="119" customFormat="false" ht="15" hidden="false" customHeight="false" outlineLevel="0" collapsed="false">
      <c r="A119" s="12"/>
      <c r="B119" s="11"/>
      <c r="C119" s="12"/>
      <c r="D119" s="12"/>
      <c r="E119" s="12"/>
      <c r="F119" s="12"/>
      <c r="G119" s="12"/>
      <c r="H119" s="17"/>
      <c r="I119" s="18"/>
      <c r="J119" s="17"/>
      <c r="K119" s="17"/>
      <c r="L119" s="17"/>
      <c r="M119" s="18"/>
      <c r="N119" s="17"/>
      <c r="O119" s="17"/>
      <c r="P119" s="21" t="str">
        <f aca="false">IF(OR(H119="",L119=""),"",IF(AND(H119&gt;=Variables!$E$2,L119&gt;=Variables!$E$2),"Yes","No"))</f>
        <v/>
      </c>
      <c r="Q119" s="19" t="str">
        <f aca="false">IF(OR(I119="",M119="",I119=0),"",(M119-I119)/I119)</f>
        <v/>
      </c>
      <c r="R119" s="21" t="str">
        <f aca="false">IF(P119="","",IF(P119="No","Extend 24 h",IF(Q119&gt;=Variables!$E$3,"B","A")))</f>
        <v/>
      </c>
      <c r="S119" s="21" t="str">
        <f aca="false">IF(R119="B","Yes: add to Constants",IF(R119="A","No",""))</f>
        <v/>
      </c>
      <c r="T119" s="11"/>
      <c r="U119" s="12"/>
    </row>
    <row r="120" customFormat="false" ht="15" hidden="false" customHeight="false" outlineLevel="0" collapsed="false">
      <c r="A120" s="12"/>
      <c r="B120" s="11"/>
      <c r="C120" s="12"/>
      <c r="D120" s="12"/>
      <c r="E120" s="12"/>
      <c r="F120" s="12"/>
      <c r="G120" s="12"/>
      <c r="H120" s="17"/>
      <c r="I120" s="18"/>
      <c r="J120" s="17"/>
      <c r="K120" s="17"/>
      <c r="L120" s="17"/>
      <c r="M120" s="18"/>
      <c r="N120" s="17"/>
      <c r="O120" s="17"/>
      <c r="P120" s="21" t="str">
        <f aca="false">IF(OR(H120="",L120=""),"",IF(AND(H120&gt;=Variables!$E$2,L120&gt;=Variables!$E$2),"Yes","No"))</f>
        <v/>
      </c>
      <c r="Q120" s="19" t="str">
        <f aca="false">IF(OR(I120="",M120="",I120=0),"",(M120-I120)/I120)</f>
        <v/>
      </c>
      <c r="R120" s="21" t="str">
        <f aca="false">IF(P120="","",IF(P120="No","Extend 24 h",IF(Q120&gt;=Variables!$E$3,"B","A")))</f>
        <v/>
      </c>
      <c r="S120" s="21" t="str">
        <f aca="false">IF(R120="B","Yes: add to Constants",IF(R120="A","No",""))</f>
        <v/>
      </c>
      <c r="T120" s="11"/>
      <c r="U120" s="12"/>
    </row>
    <row r="121" customFormat="false" ht="15" hidden="false" customHeight="false" outlineLevel="0" collapsed="false">
      <c r="A121" s="12"/>
      <c r="B121" s="11"/>
      <c r="C121" s="12"/>
      <c r="D121" s="12"/>
      <c r="E121" s="12"/>
      <c r="F121" s="12"/>
      <c r="G121" s="12"/>
      <c r="H121" s="17"/>
      <c r="I121" s="18"/>
      <c r="J121" s="17"/>
      <c r="K121" s="17"/>
      <c r="L121" s="17"/>
      <c r="M121" s="18"/>
      <c r="N121" s="17"/>
      <c r="O121" s="17"/>
      <c r="P121" s="21" t="str">
        <f aca="false">IF(OR(H121="",L121=""),"",IF(AND(H121&gt;=Variables!$E$2,L121&gt;=Variables!$E$2),"Yes","No"))</f>
        <v/>
      </c>
      <c r="Q121" s="19" t="str">
        <f aca="false">IF(OR(I121="",M121="",I121=0),"",(M121-I121)/I121)</f>
        <v/>
      </c>
      <c r="R121" s="21" t="str">
        <f aca="false">IF(P121="","",IF(P121="No","Extend 24 h",IF(Q121&gt;=Variables!$E$3,"B","A")))</f>
        <v/>
      </c>
      <c r="S121" s="21" t="str">
        <f aca="false">IF(R121="B","Yes: add to Constants",IF(R121="A","No",""))</f>
        <v/>
      </c>
      <c r="T121" s="11"/>
      <c r="U121" s="12"/>
    </row>
    <row r="122" customFormat="false" ht="15" hidden="false" customHeight="false" outlineLevel="0" collapsed="false">
      <c r="A122" s="12"/>
      <c r="B122" s="11"/>
      <c r="C122" s="12"/>
      <c r="D122" s="12"/>
      <c r="E122" s="12"/>
      <c r="F122" s="12"/>
      <c r="G122" s="12"/>
      <c r="H122" s="17"/>
      <c r="I122" s="18"/>
      <c r="J122" s="17"/>
      <c r="K122" s="17"/>
      <c r="L122" s="17"/>
      <c r="M122" s="18"/>
      <c r="N122" s="17"/>
      <c r="O122" s="17"/>
      <c r="P122" s="21" t="str">
        <f aca="false">IF(OR(H122="",L122=""),"",IF(AND(H122&gt;=Variables!$E$2,L122&gt;=Variables!$E$2),"Yes","No"))</f>
        <v/>
      </c>
      <c r="Q122" s="19" t="str">
        <f aca="false">IF(OR(I122="",M122="",I122=0),"",(M122-I122)/I122)</f>
        <v/>
      </c>
      <c r="R122" s="21" t="str">
        <f aca="false">IF(P122="","",IF(P122="No","Extend 24 h",IF(Q122&gt;=Variables!$E$3,"B","A")))</f>
        <v/>
      </c>
      <c r="S122" s="21" t="str">
        <f aca="false">IF(R122="B","Yes: add to Constants",IF(R122="A","No",""))</f>
        <v/>
      </c>
      <c r="T122" s="11"/>
      <c r="U122" s="12"/>
    </row>
    <row r="123" customFormat="false" ht="15" hidden="false" customHeight="false" outlineLevel="0" collapsed="false">
      <c r="A123" s="12"/>
      <c r="B123" s="11"/>
      <c r="C123" s="12"/>
      <c r="D123" s="12"/>
      <c r="E123" s="12"/>
      <c r="F123" s="12"/>
      <c r="G123" s="12"/>
      <c r="H123" s="17"/>
      <c r="I123" s="18"/>
      <c r="J123" s="17"/>
      <c r="K123" s="17"/>
      <c r="L123" s="17"/>
      <c r="M123" s="18"/>
      <c r="N123" s="17"/>
      <c r="O123" s="17"/>
      <c r="P123" s="21" t="str">
        <f aca="false">IF(OR(H123="",L123=""),"",IF(AND(H123&gt;=Variables!$E$2,L123&gt;=Variables!$E$2),"Yes","No"))</f>
        <v/>
      </c>
      <c r="Q123" s="19" t="str">
        <f aca="false">IF(OR(I123="",M123="",I123=0),"",(M123-I123)/I123)</f>
        <v/>
      </c>
      <c r="R123" s="21" t="str">
        <f aca="false">IF(P123="","",IF(P123="No","Extend 24 h",IF(Q123&gt;=Variables!$E$3,"B","A")))</f>
        <v/>
      </c>
      <c r="S123" s="21" t="str">
        <f aca="false">IF(R123="B","Yes: add to Constants",IF(R123="A","No",""))</f>
        <v/>
      </c>
      <c r="T123" s="11"/>
      <c r="U123" s="12"/>
    </row>
    <row r="124" customFormat="false" ht="15" hidden="false" customHeight="false" outlineLevel="0" collapsed="false">
      <c r="A124" s="12"/>
      <c r="B124" s="11"/>
      <c r="C124" s="12"/>
      <c r="D124" s="12"/>
      <c r="E124" s="12"/>
      <c r="F124" s="12"/>
      <c r="G124" s="12"/>
      <c r="H124" s="17"/>
      <c r="I124" s="18"/>
      <c r="J124" s="17"/>
      <c r="K124" s="17"/>
      <c r="L124" s="17"/>
      <c r="M124" s="18"/>
      <c r="N124" s="17"/>
      <c r="O124" s="17"/>
      <c r="P124" s="21" t="str">
        <f aca="false">IF(OR(H124="",L124=""),"",IF(AND(H124&gt;=Variables!$E$2,L124&gt;=Variables!$E$2),"Yes","No"))</f>
        <v/>
      </c>
      <c r="Q124" s="19" t="str">
        <f aca="false">IF(OR(I124="",M124="",I124=0),"",(M124-I124)/I124)</f>
        <v/>
      </c>
      <c r="R124" s="21" t="str">
        <f aca="false">IF(P124="","",IF(P124="No","Extend 24 h",IF(Q124&gt;=Variables!$E$3,"B","A")))</f>
        <v/>
      </c>
      <c r="S124" s="21" t="str">
        <f aca="false">IF(R124="B","Yes: add to Constants",IF(R124="A","No",""))</f>
        <v/>
      </c>
      <c r="T124" s="11"/>
      <c r="U124" s="12"/>
    </row>
    <row r="125" customFormat="false" ht="15" hidden="false" customHeight="false" outlineLevel="0" collapsed="false">
      <c r="A125" s="12"/>
      <c r="B125" s="11"/>
      <c r="C125" s="12"/>
      <c r="D125" s="12"/>
      <c r="E125" s="12"/>
      <c r="F125" s="12"/>
      <c r="G125" s="12"/>
      <c r="H125" s="17"/>
      <c r="I125" s="18"/>
      <c r="J125" s="17"/>
      <c r="K125" s="17"/>
      <c r="L125" s="17"/>
      <c r="M125" s="18"/>
      <c r="N125" s="17"/>
      <c r="O125" s="17"/>
      <c r="P125" s="21" t="str">
        <f aca="false">IF(OR(H125="",L125=""),"",IF(AND(H125&gt;=Variables!$E$2,L125&gt;=Variables!$E$2),"Yes","No"))</f>
        <v/>
      </c>
      <c r="Q125" s="19" t="str">
        <f aca="false">IF(OR(I125="",M125="",I125=0),"",(M125-I125)/I125)</f>
        <v/>
      </c>
      <c r="R125" s="21" t="str">
        <f aca="false">IF(P125="","",IF(P125="No","Extend 24 h",IF(Q125&gt;=Variables!$E$3,"B","A")))</f>
        <v/>
      </c>
      <c r="S125" s="21" t="str">
        <f aca="false">IF(R125="B","Yes: add to Constants",IF(R125="A","No",""))</f>
        <v/>
      </c>
      <c r="T125" s="11"/>
      <c r="U125" s="12"/>
    </row>
    <row r="126" customFormat="false" ht="15" hidden="false" customHeight="false" outlineLevel="0" collapsed="false">
      <c r="A126" s="12"/>
      <c r="B126" s="11"/>
      <c r="C126" s="12"/>
      <c r="D126" s="12"/>
      <c r="E126" s="12"/>
      <c r="F126" s="12"/>
      <c r="G126" s="12"/>
      <c r="H126" s="17"/>
      <c r="I126" s="18"/>
      <c r="J126" s="17"/>
      <c r="K126" s="17"/>
      <c r="L126" s="17"/>
      <c r="M126" s="18"/>
      <c r="N126" s="17"/>
      <c r="O126" s="17"/>
      <c r="P126" s="21" t="str">
        <f aca="false">IF(OR(H126="",L126=""),"",IF(AND(H126&gt;=Variables!$E$2,L126&gt;=Variables!$E$2),"Yes","No"))</f>
        <v/>
      </c>
      <c r="Q126" s="19" t="str">
        <f aca="false">IF(OR(I126="",M126="",I126=0),"",(M126-I126)/I126)</f>
        <v/>
      </c>
      <c r="R126" s="21" t="str">
        <f aca="false">IF(P126="","",IF(P126="No","Extend 24 h",IF(Q126&gt;=Variables!$E$3,"B","A")))</f>
        <v/>
      </c>
      <c r="S126" s="21" t="str">
        <f aca="false">IF(R126="B","Yes: add to Constants",IF(R126="A","No",""))</f>
        <v/>
      </c>
      <c r="T126" s="11"/>
      <c r="U126" s="12"/>
    </row>
    <row r="127" customFormat="false" ht="15" hidden="false" customHeight="false" outlineLevel="0" collapsed="false">
      <c r="A127" s="12"/>
      <c r="B127" s="11"/>
      <c r="C127" s="12"/>
      <c r="D127" s="12"/>
      <c r="E127" s="12"/>
      <c r="F127" s="12"/>
      <c r="G127" s="12"/>
      <c r="H127" s="17"/>
      <c r="I127" s="18"/>
      <c r="J127" s="17"/>
      <c r="K127" s="17"/>
      <c r="L127" s="17"/>
      <c r="M127" s="18"/>
      <c r="N127" s="17"/>
      <c r="O127" s="17"/>
      <c r="P127" s="21" t="str">
        <f aca="false">IF(OR(H127="",L127=""),"",IF(AND(H127&gt;=Variables!$E$2,L127&gt;=Variables!$E$2),"Yes","No"))</f>
        <v/>
      </c>
      <c r="Q127" s="19" t="str">
        <f aca="false">IF(OR(I127="",M127="",I127=0),"",(M127-I127)/I127)</f>
        <v/>
      </c>
      <c r="R127" s="21" t="str">
        <f aca="false">IF(P127="","",IF(P127="No","Extend 24 h",IF(Q127&gt;=Variables!$E$3,"B","A")))</f>
        <v/>
      </c>
      <c r="S127" s="21" t="str">
        <f aca="false">IF(R127="B","Yes: add to Constants",IF(R127="A","No",""))</f>
        <v/>
      </c>
      <c r="T127" s="11"/>
      <c r="U127" s="12"/>
    </row>
    <row r="128" customFormat="false" ht="15" hidden="false" customHeight="false" outlineLevel="0" collapsed="false">
      <c r="A128" s="12"/>
      <c r="B128" s="11"/>
      <c r="C128" s="12"/>
      <c r="D128" s="12"/>
      <c r="E128" s="12"/>
      <c r="F128" s="12"/>
      <c r="G128" s="12"/>
      <c r="H128" s="17"/>
      <c r="I128" s="18"/>
      <c r="J128" s="17"/>
      <c r="K128" s="17"/>
      <c r="L128" s="17"/>
      <c r="M128" s="18"/>
      <c r="N128" s="17"/>
      <c r="O128" s="17"/>
      <c r="P128" s="21" t="str">
        <f aca="false">IF(OR(H128="",L128=""),"",IF(AND(H128&gt;=Variables!$E$2,L128&gt;=Variables!$E$2),"Yes","No"))</f>
        <v/>
      </c>
      <c r="Q128" s="19" t="str">
        <f aca="false">IF(OR(I128="",M128="",I128=0),"",(M128-I128)/I128)</f>
        <v/>
      </c>
      <c r="R128" s="21" t="str">
        <f aca="false">IF(P128="","",IF(P128="No","Extend 24 h",IF(Q128&gt;=Variables!$E$3,"B","A")))</f>
        <v/>
      </c>
      <c r="S128" s="21" t="str">
        <f aca="false">IF(R128="B","Yes: add to Constants",IF(R128="A","No",""))</f>
        <v/>
      </c>
      <c r="T128" s="11"/>
      <c r="U128" s="12"/>
    </row>
    <row r="129" customFormat="false" ht="15" hidden="false" customHeight="false" outlineLevel="0" collapsed="false">
      <c r="A129" s="12"/>
      <c r="B129" s="11"/>
      <c r="C129" s="12"/>
      <c r="D129" s="12"/>
      <c r="E129" s="12"/>
      <c r="F129" s="12"/>
      <c r="G129" s="12"/>
      <c r="H129" s="17"/>
      <c r="I129" s="18"/>
      <c r="J129" s="17"/>
      <c r="K129" s="17"/>
      <c r="L129" s="17"/>
      <c r="M129" s="18"/>
      <c r="N129" s="17"/>
      <c r="O129" s="17"/>
      <c r="P129" s="21" t="str">
        <f aca="false">IF(OR(H129="",L129=""),"",IF(AND(H129&gt;=Variables!$E$2,L129&gt;=Variables!$E$2),"Yes","No"))</f>
        <v/>
      </c>
      <c r="Q129" s="19" t="str">
        <f aca="false">IF(OR(I129="",M129="",I129=0),"",(M129-I129)/I129)</f>
        <v/>
      </c>
      <c r="R129" s="21" t="str">
        <f aca="false">IF(P129="","",IF(P129="No","Extend 24 h",IF(Q129&gt;=Variables!$E$3,"B","A")))</f>
        <v/>
      </c>
      <c r="S129" s="21" t="str">
        <f aca="false">IF(R129="B","Yes: add to Constants",IF(R129="A","No",""))</f>
        <v/>
      </c>
      <c r="T129" s="11"/>
      <c r="U129" s="12"/>
    </row>
    <row r="130" customFormat="false" ht="15" hidden="false" customHeight="false" outlineLevel="0" collapsed="false">
      <c r="A130" s="12"/>
      <c r="B130" s="11"/>
      <c r="C130" s="12"/>
      <c r="D130" s="12"/>
      <c r="E130" s="12"/>
      <c r="F130" s="12"/>
      <c r="G130" s="12"/>
      <c r="H130" s="17"/>
      <c r="I130" s="18"/>
      <c r="J130" s="17"/>
      <c r="K130" s="17"/>
      <c r="L130" s="17"/>
      <c r="M130" s="18"/>
      <c r="N130" s="17"/>
      <c r="O130" s="17"/>
      <c r="P130" s="21" t="str">
        <f aca="false">IF(OR(H130="",L130=""),"",IF(AND(H130&gt;=Variables!$E$2,L130&gt;=Variables!$E$2),"Yes","No"))</f>
        <v/>
      </c>
      <c r="Q130" s="19" t="str">
        <f aca="false">IF(OR(I130="",M130="",I130=0),"",(M130-I130)/I130)</f>
        <v/>
      </c>
      <c r="R130" s="21" t="str">
        <f aca="false">IF(P130="","",IF(P130="No","Extend 24 h",IF(Q130&gt;=Variables!$E$3,"B","A")))</f>
        <v/>
      </c>
      <c r="S130" s="21" t="str">
        <f aca="false">IF(R130="B","Yes: add to Constants",IF(R130="A","No",""))</f>
        <v/>
      </c>
      <c r="T130" s="11"/>
      <c r="U130" s="12"/>
    </row>
    <row r="131" customFormat="false" ht="15" hidden="false" customHeight="false" outlineLevel="0" collapsed="false">
      <c r="A131" s="12"/>
      <c r="B131" s="11"/>
      <c r="C131" s="12"/>
      <c r="D131" s="12"/>
      <c r="E131" s="12"/>
      <c r="F131" s="12"/>
      <c r="G131" s="12"/>
      <c r="H131" s="17"/>
      <c r="I131" s="18"/>
      <c r="J131" s="17"/>
      <c r="K131" s="17"/>
      <c r="L131" s="17"/>
      <c r="M131" s="18"/>
      <c r="N131" s="17"/>
      <c r="O131" s="17"/>
      <c r="P131" s="21" t="str">
        <f aca="false">IF(OR(H131="",L131=""),"",IF(AND(H131&gt;=Variables!$E$2,L131&gt;=Variables!$E$2),"Yes","No"))</f>
        <v/>
      </c>
      <c r="Q131" s="19" t="str">
        <f aca="false">IF(OR(I131="",M131="",I131=0),"",(M131-I131)/I131)</f>
        <v/>
      </c>
      <c r="R131" s="21" t="str">
        <f aca="false">IF(P131="","",IF(P131="No","Extend 24 h",IF(Q131&gt;=Variables!$E$3,"B","A")))</f>
        <v/>
      </c>
      <c r="S131" s="21" t="str">
        <f aca="false">IF(R131="B","Yes: add to Constants",IF(R131="A","No",""))</f>
        <v/>
      </c>
      <c r="T131" s="11"/>
      <c r="U131" s="12"/>
    </row>
    <row r="132" customFormat="false" ht="15" hidden="false" customHeight="false" outlineLevel="0" collapsed="false">
      <c r="A132" s="12"/>
      <c r="B132" s="11"/>
      <c r="C132" s="12"/>
      <c r="D132" s="12"/>
      <c r="E132" s="12"/>
      <c r="F132" s="12"/>
      <c r="G132" s="12"/>
      <c r="H132" s="17"/>
      <c r="I132" s="18"/>
      <c r="J132" s="17"/>
      <c r="K132" s="17"/>
      <c r="L132" s="17"/>
      <c r="M132" s="18"/>
      <c r="N132" s="17"/>
      <c r="O132" s="17"/>
      <c r="P132" s="21" t="str">
        <f aca="false">IF(OR(H132="",L132=""),"",IF(AND(H132&gt;=Variables!$E$2,L132&gt;=Variables!$E$2),"Yes","No"))</f>
        <v/>
      </c>
      <c r="Q132" s="19" t="str">
        <f aca="false">IF(OR(I132="",M132="",I132=0),"",(M132-I132)/I132)</f>
        <v/>
      </c>
      <c r="R132" s="21" t="str">
        <f aca="false">IF(P132="","",IF(P132="No","Extend 24 h",IF(Q132&gt;=Variables!$E$3,"B","A")))</f>
        <v/>
      </c>
      <c r="S132" s="21" t="str">
        <f aca="false">IF(R132="B","Yes: add to Constants",IF(R132="A","No",""))</f>
        <v/>
      </c>
      <c r="T132" s="11"/>
      <c r="U132" s="12"/>
    </row>
    <row r="133" customFormat="false" ht="15" hidden="false" customHeight="false" outlineLevel="0" collapsed="false">
      <c r="A133" s="12"/>
      <c r="B133" s="11"/>
      <c r="C133" s="12"/>
      <c r="D133" s="12"/>
      <c r="E133" s="12"/>
      <c r="F133" s="12"/>
      <c r="G133" s="12"/>
      <c r="H133" s="17"/>
      <c r="I133" s="18"/>
      <c r="J133" s="17"/>
      <c r="K133" s="17"/>
      <c r="L133" s="17"/>
      <c r="M133" s="18"/>
      <c r="N133" s="17"/>
      <c r="O133" s="17"/>
      <c r="P133" s="21" t="str">
        <f aca="false">IF(OR(H133="",L133=""),"",IF(AND(H133&gt;=Variables!$E$2,L133&gt;=Variables!$E$2),"Yes","No"))</f>
        <v/>
      </c>
      <c r="Q133" s="19" t="str">
        <f aca="false">IF(OR(I133="",M133="",I133=0),"",(M133-I133)/I133)</f>
        <v/>
      </c>
      <c r="R133" s="21" t="str">
        <f aca="false">IF(P133="","",IF(P133="No","Extend 24 h",IF(Q133&gt;=Variables!$E$3,"B","A")))</f>
        <v/>
      </c>
      <c r="S133" s="21" t="str">
        <f aca="false">IF(R133="B","Yes: add to Constants",IF(R133="A","No",""))</f>
        <v/>
      </c>
      <c r="T133" s="11"/>
      <c r="U133" s="12"/>
    </row>
    <row r="134" customFormat="false" ht="15" hidden="false" customHeight="false" outlineLevel="0" collapsed="false">
      <c r="A134" s="12"/>
      <c r="B134" s="11"/>
      <c r="C134" s="12"/>
      <c r="D134" s="12"/>
      <c r="E134" s="12"/>
      <c r="F134" s="12"/>
      <c r="G134" s="12"/>
      <c r="H134" s="17"/>
      <c r="I134" s="18"/>
      <c r="J134" s="17"/>
      <c r="K134" s="17"/>
      <c r="L134" s="17"/>
      <c r="M134" s="18"/>
      <c r="N134" s="17"/>
      <c r="O134" s="17"/>
      <c r="P134" s="21" t="str">
        <f aca="false">IF(OR(H134="",L134=""),"",IF(AND(H134&gt;=Variables!$E$2,L134&gt;=Variables!$E$2),"Yes","No"))</f>
        <v/>
      </c>
      <c r="Q134" s="19" t="str">
        <f aca="false">IF(OR(I134="",M134="",I134=0),"",(M134-I134)/I134)</f>
        <v/>
      </c>
      <c r="R134" s="21" t="str">
        <f aca="false">IF(P134="","",IF(P134="No","Extend 24 h",IF(Q134&gt;=Variables!$E$3,"B","A")))</f>
        <v/>
      </c>
      <c r="S134" s="21" t="str">
        <f aca="false">IF(R134="B","Yes: add to Constants",IF(R134="A","No",""))</f>
        <v/>
      </c>
      <c r="T134" s="11"/>
      <c r="U134" s="12"/>
    </row>
    <row r="135" customFormat="false" ht="15" hidden="false" customHeight="false" outlineLevel="0" collapsed="false">
      <c r="A135" s="12"/>
      <c r="B135" s="11"/>
      <c r="C135" s="12"/>
      <c r="D135" s="12"/>
      <c r="E135" s="12"/>
      <c r="F135" s="12"/>
      <c r="G135" s="12"/>
      <c r="H135" s="17"/>
      <c r="I135" s="18"/>
      <c r="J135" s="17"/>
      <c r="K135" s="17"/>
      <c r="L135" s="17"/>
      <c r="M135" s="18"/>
      <c r="N135" s="17"/>
      <c r="O135" s="17"/>
      <c r="P135" s="21" t="str">
        <f aca="false">IF(OR(H135="",L135=""),"",IF(AND(H135&gt;=Variables!$E$2,L135&gt;=Variables!$E$2),"Yes","No"))</f>
        <v/>
      </c>
      <c r="Q135" s="19" t="str">
        <f aca="false">IF(OR(I135="",M135="",I135=0),"",(M135-I135)/I135)</f>
        <v/>
      </c>
      <c r="R135" s="21" t="str">
        <f aca="false">IF(P135="","",IF(P135="No","Extend 24 h",IF(Q135&gt;=Variables!$E$3,"B","A")))</f>
        <v/>
      </c>
      <c r="S135" s="21" t="str">
        <f aca="false">IF(R135="B","Yes: add to Constants",IF(R135="A","No",""))</f>
        <v/>
      </c>
      <c r="T135" s="11"/>
      <c r="U135" s="12"/>
    </row>
    <row r="136" customFormat="false" ht="15" hidden="false" customHeight="false" outlineLevel="0" collapsed="false">
      <c r="A136" s="12"/>
      <c r="B136" s="11"/>
      <c r="C136" s="12"/>
      <c r="D136" s="12"/>
      <c r="E136" s="12"/>
      <c r="F136" s="12"/>
      <c r="G136" s="12"/>
      <c r="H136" s="17"/>
      <c r="I136" s="18"/>
      <c r="J136" s="17"/>
      <c r="K136" s="17"/>
      <c r="L136" s="17"/>
      <c r="M136" s="18"/>
      <c r="N136" s="17"/>
      <c r="O136" s="17"/>
      <c r="P136" s="21" t="str">
        <f aca="false">IF(OR(H136="",L136=""),"",IF(AND(H136&gt;=Variables!$E$2,L136&gt;=Variables!$E$2),"Yes","No"))</f>
        <v/>
      </c>
      <c r="Q136" s="19" t="str">
        <f aca="false">IF(OR(I136="",M136="",I136=0),"",(M136-I136)/I136)</f>
        <v/>
      </c>
      <c r="R136" s="21" t="str">
        <f aca="false">IF(P136="","",IF(P136="No","Extend 24 h",IF(Q136&gt;=Variables!$E$3,"B","A")))</f>
        <v/>
      </c>
      <c r="S136" s="21" t="str">
        <f aca="false">IF(R136="B","Yes: add to Constants",IF(R136="A","No",""))</f>
        <v/>
      </c>
      <c r="T136" s="11"/>
      <c r="U136" s="12"/>
    </row>
    <row r="137" customFormat="false" ht="15" hidden="false" customHeight="false" outlineLevel="0" collapsed="false">
      <c r="A137" s="12"/>
      <c r="B137" s="11"/>
      <c r="C137" s="12"/>
      <c r="D137" s="12"/>
      <c r="E137" s="12"/>
      <c r="F137" s="12"/>
      <c r="G137" s="12"/>
      <c r="H137" s="17"/>
      <c r="I137" s="18"/>
      <c r="J137" s="17"/>
      <c r="K137" s="17"/>
      <c r="L137" s="17"/>
      <c r="M137" s="18"/>
      <c r="N137" s="17"/>
      <c r="O137" s="17"/>
      <c r="P137" s="21" t="str">
        <f aca="false">IF(OR(H137="",L137=""),"",IF(AND(H137&gt;=Variables!$E$2,L137&gt;=Variables!$E$2),"Yes","No"))</f>
        <v/>
      </c>
      <c r="Q137" s="19" t="str">
        <f aca="false">IF(OR(I137="",M137="",I137=0),"",(M137-I137)/I137)</f>
        <v/>
      </c>
      <c r="R137" s="21" t="str">
        <f aca="false">IF(P137="","",IF(P137="No","Extend 24 h",IF(Q137&gt;=Variables!$E$3,"B","A")))</f>
        <v/>
      </c>
      <c r="S137" s="21" t="str">
        <f aca="false">IF(R137="B","Yes: add to Constants",IF(R137="A","No",""))</f>
        <v/>
      </c>
      <c r="T137" s="11"/>
      <c r="U137" s="12"/>
    </row>
    <row r="138" customFormat="false" ht="15" hidden="false" customHeight="false" outlineLevel="0" collapsed="false">
      <c r="A138" s="12"/>
      <c r="B138" s="11"/>
      <c r="C138" s="12"/>
      <c r="D138" s="12"/>
      <c r="E138" s="12"/>
      <c r="F138" s="12"/>
      <c r="G138" s="12"/>
      <c r="H138" s="17"/>
      <c r="I138" s="18"/>
      <c r="J138" s="17"/>
      <c r="K138" s="17"/>
      <c r="L138" s="17"/>
      <c r="M138" s="18"/>
      <c r="N138" s="17"/>
      <c r="O138" s="17"/>
      <c r="P138" s="21" t="str">
        <f aca="false">IF(OR(H138="",L138=""),"",IF(AND(H138&gt;=Variables!$E$2,L138&gt;=Variables!$E$2),"Yes","No"))</f>
        <v/>
      </c>
      <c r="Q138" s="19" t="str">
        <f aca="false">IF(OR(I138="",M138="",I138=0),"",(M138-I138)/I138)</f>
        <v/>
      </c>
      <c r="R138" s="21" t="str">
        <f aca="false">IF(P138="","",IF(P138="No","Extend 24 h",IF(Q138&gt;=Variables!$E$3,"B","A")))</f>
        <v/>
      </c>
      <c r="S138" s="21" t="str">
        <f aca="false">IF(R138="B","Yes: add to Constants",IF(R138="A","No",""))</f>
        <v/>
      </c>
      <c r="T138" s="11"/>
      <c r="U138" s="12"/>
    </row>
    <row r="139" customFormat="false" ht="15" hidden="false" customHeight="false" outlineLevel="0" collapsed="false">
      <c r="A139" s="12"/>
      <c r="B139" s="11"/>
      <c r="C139" s="12"/>
      <c r="D139" s="12"/>
      <c r="E139" s="12"/>
      <c r="F139" s="12"/>
      <c r="G139" s="12"/>
      <c r="H139" s="17"/>
      <c r="I139" s="18"/>
      <c r="J139" s="17"/>
      <c r="K139" s="17"/>
      <c r="L139" s="17"/>
      <c r="M139" s="18"/>
      <c r="N139" s="17"/>
      <c r="O139" s="17"/>
      <c r="P139" s="21" t="str">
        <f aca="false">IF(OR(H139="",L139=""),"",IF(AND(H139&gt;=Variables!$E$2,L139&gt;=Variables!$E$2),"Yes","No"))</f>
        <v/>
      </c>
      <c r="Q139" s="19" t="str">
        <f aca="false">IF(OR(I139="",M139="",I139=0),"",(M139-I139)/I139)</f>
        <v/>
      </c>
      <c r="R139" s="21" t="str">
        <f aca="false">IF(P139="","",IF(P139="No","Extend 24 h",IF(Q139&gt;=Variables!$E$3,"B","A")))</f>
        <v/>
      </c>
      <c r="S139" s="21" t="str">
        <f aca="false">IF(R139="B","Yes: add to Constants",IF(R139="A","No",""))</f>
        <v/>
      </c>
      <c r="T139" s="11"/>
      <c r="U139" s="12"/>
    </row>
    <row r="140" customFormat="false" ht="15" hidden="false" customHeight="false" outlineLevel="0" collapsed="false">
      <c r="A140" s="12"/>
      <c r="B140" s="11"/>
      <c r="C140" s="12"/>
      <c r="D140" s="12"/>
      <c r="E140" s="12"/>
      <c r="F140" s="12"/>
      <c r="G140" s="12"/>
      <c r="H140" s="17"/>
      <c r="I140" s="18"/>
      <c r="J140" s="17"/>
      <c r="K140" s="17"/>
      <c r="L140" s="17"/>
      <c r="M140" s="18"/>
      <c r="N140" s="17"/>
      <c r="O140" s="17"/>
      <c r="P140" s="21" t="str">
        <f aca="false">IF(OR(H140="",L140=""),"",IF(AND(H140&gt;=Variables!$E$2,L140&gt;=Variables!$E$2),"Yes","No"))</f>
        <v/>
      </c>
      <c r="Q140" s="19" t="str">
        <f aca="false">IF(OR(I140="",M140="",I140=0),"",(M140-I140)/I140)</f>
        <v/>
      </c>
      <c r="R140" s="21" t="str">
        <f aca="false">IF(P140="","",IF(P140="No","Extend 24 h",IF(Q140&gt;=Variables!$E$3,"B","A")))</f>
        <v/>
      </c>
      <c r="S140" s="21" t="str">
        <f aca="false">IF(R140="B","Yes: add to Constants",IF(R140="A","No",""))</f>
        <v/>
      </c>
      <c r="T140" s="11"/>
      <c r="U140" s="12"/>
    </row>
    <row r="141" customFormat="false" ht="15" hidden="false" customHeight="false" outlineLevel="0" collapsed="false">
      <c r="A141" s="12"/>
      <c r="B141" s="11"/>
      <c r="C141" s="12"/>
      <c r="D141" s="12"/>
      <c r="E141" s="12"/>
      <c r="F141" s="12"/>
      <c r="G141" s="12"/>
      <c r="H141" s="17"/>
      <c r="I141" s="18"/>
      <c r="J141" s="17"/>
      <c r="K141" s="17"/>
      <c r="L141" s="17"/>
      <c r="M141" s="18"/>
      <c r="N141" s="17"/>
      <c r="O141" s="17"/>
      <c r="P141" s="21" t="str">
        <f aca="false">IF(OR(H141="",L141=""),"",IF(AND(H141&gt;=Variables!$E$2,L141&gt;=Variables!$E$2),"Yes","No"))</f>
        <v/>
      </c>
      <c r="Q141" s="19" t="str">
        <f aca="false">IF(OR(I141="",M141="",I141=0),"",(M141-I141)/I141)</f>
        <v/>
      </c>
      <c r="R141" s="21" t="str">
        <f aca="false">IF(P141="","",IF(P141="No","Extend 24 h",IF(Q141&gt;=Variables!$E$3,"B","A")))</f>
        <v/>
      </c>
      <c r="S141" s="21" t="str">
        <f aca="false">IF(R141="B","Yes: add to Constants",IF(R141="A","No",""))</f>
        <v/>
      </c>
      <c r="T141" s="11"/>
      <c r="U141" s="12"/>
    </row>
    <row r="142" customFormat="false" ht="15" hidden="false" customHeight="false" outlineLevel="0" collapsed="false">
      <c r="A142" s="12"/>
      <c r="B142" s="11"/>
      <c r="C142" s="12"/>
      <c r="D142" s="12"/>
      <c r="E142" s="12"/>
      <c r="F142" s="12"/>
      <c r="G142" s="12"/>
      <c r="H142" s="17"/>
      <c r="I142" s="18"/>
      <c r="J142" s="17"/>
      <c r="K142" s="17"/>
      <c r="L142" s="17"/>
      <c r="M142" s="18"/>
      <c r="N142" s="17"/>
      <c r="O142" s="17"/>
      <c r="P142" s="21" t="str">
        <f aca="false">IF(OR(H142="",L142=""),"",IF(AND(H142&gt;=Variables!$E$2,L142&gt;=Variables!$E$2),"Yes","No"))</f>
        <v/>
      </c>
      <c r="Q142" s="19" t="str">
        <f aca="false">IF(OR(I142="",M142="",I142=0),"",(M142-I142)/I142)</f>
        <v/>
      </c>
      <c r="R142" s="21" t="str">
        <f aca="false">IF(P142="","",IF(P142="No","Extend 24 h",IF(Q142&gt;=Variables!$E$3,"B","A")))</f>
        <v/>
      </c>
      <c r="S142" s="21" t="str">
        <f aca="false">IF(R142="B","Yes: add to Constants",IF(R142="A","No",""))</f>
        <v/>
      </c>
      <c r="T142" s="11"/>
      <c r="U142" s="12"/>
    </row>
    <row r="143" customFormat="false" ht="15" hidden="false" customHeight="false" outlineLevel="0" collapsed="false">
      <c r="A143" s="12"/>
      <c r="B143" s="11"/>
      <c r="C143" s="12"/>
      <c r="D143" s="12"/>
      <c r="E143" s="12"/>
      <c r="F143" s="12"/>
      <c r="G143" s="12"/>
      <c r="H143" s="17"/>
      <c r="I143" s="18"/>
      <c r="J143" s="17"/>
      <c r="K143" s="17"/>
      <c r="L143" s="17"/>
      <c r="M143" s="18"/>
      <c r="N143" s="17"/>
      <c r="O143" s="17"/>
      <c r="P143" s="21" t="str">
        <f aca="false">IF(OR(H143="",L143=""),"",IF(AND(H143&gt;=Variables!$E$2,L143&gt;=Variables!$E$2),"Yes","No"))</f>
        <v/>
      </c>
      <c r="Q143" s="19" t="str">
        <f aca="false">IF(OR(I143="",M143="",I143=0),"",(M143-I143)/I143)</f>
        <v/>
      </c>
      <c r="R143" s="21" t="str">
        <f aca="false">IF(P143="","",IF(P143="No","Extend 24 h",IF(Q143&gt;=Variables!$E$3,"B","A")))</f>
        <v/>
      </c>
      <c r="S143" s="21" t="str">
        <f aca="false">IF(R143="B","Yes: add to Constants",IF(R143="A","No",""))</f>
        <v/>
      </c>
      <c r="T143" s="11"/>
      <c r="U143" s="12"/>
    </row>
    <row r="144" customFormat="false" ht="15" hidden="false" customHeight="false" outlineLevel="0" collapsed="false">
      <c r="A144" s="12"/>
      <c r="B144" s="11"/>
      <c r="C144" s="12"/>
      <c r="D144" s="12"/>
      <c r="E144" s="12"/>
      <c r="F144" s="12"/>
      <c r="G144" s="12"/>
      <c r="H144" s="17"/>
      <c r="I144" s="18"/>
      <c r="J144" s="17"/>
      <c r="K144" s="17"/>
      <c r="L144" s="17"/>
      <c r="M144" s="18"/>
      <c r="N144" s="17"/>
      <c r="O144" s="17"/>
      <c r="P144" s="21" t="str">
        <f aca="false">IF(OR(H144="",L144=""),"",IF(AND(H144&gt;=Variables!$E$2,L144&gt;=Variables!$E$2),"Yes","No"))</f>
        <v/>
      </c>
      <c r="Q144" s="19" t="str">
        <f aca="false">IF(OR(I144="",M144="",I144=0),"",(M144-I144)/I144)</f>
        <v/>
      </c>
      <c r="R144" s="21" t="str">
        <f aca="false">IF(P144="","",IF(P144="No","Extend 24 h",IF(Q144&gt;=Variables!$E$3,"B","A")))</f>
        <v/>
      </c>
      <c r="S144" s="21" t="str">
        <f aca="false">IF(R144="B","Yes: add to Constants",IF(R144="A","No",""))</f>
        <v/>
      </c>
      <c r="T144" s="11"/>
      <c r="U144" s="12"/>
    </row>
    <row r="145" customFormat="false" ht="15" hidden="false" customHeight="false" outlineLevel="0" collapsed="false">
      <c r="A145" s="12"/>
      <c r="B145" s="11"/>
      <c r="C145" s="12"/>
      <c r="D145" s="12"/>
      <c r="E145" s="12"/>
      <c r="F145" s="12"/>
      <c r="G145" s="12"/>
      <c r="H145" s="17"/>
      <c r="I145" s="18"/>
      <c r="J145" s="17"/>
      <c r="K145" s="17"/>
      <c r="L145" s="17"/>
      <c r="M145" s="18"/>
      <c r="N145" s="17"/>
      <c r="O145" s="17"/>
      <c r="P145" s="21" t="str">
        <f aca="false">IF(OR(H145="",L145=""),"",IF(AND(H145&gt;=Variables!$E$2,L145&gt;=Variables!$E$2),"Yes","No"))</f>
        <v/>
      </c>
      <c r="Q145" s="19" t="str">
        <f aca="false">IF(OR(I145="",M145="",I145=0),"",(M145-I145)/I145)</f>
        <v/>
      </c>
      <c r="R145" s="21" t="str">
        <f aca="false">IF(P145="","",IF(P145="No","Extend 24 h",IF(Q145&gt;=Variables!$E$3,"B","A")))</f>
        <v/>
      </c>
      <c r="S145" s="21" t="str">
        <f aca="false">IF(R145="B","Yes: add to Constants",IF(R145="A","No",""))</f>
        <v/>
      </c>
      <c r="T145" s="11"/>
      <c r="U145" s="12"/>
    </row>
    <row r="146" customFormat="false" ht="15" hidden="false" customHeight="false" outlineLevel="0" collapsed="false">
      <c r="A146" s="12"/>
      <c r="B146" s="11"/>
      <c r="C146" s="12"/>
      <c r="D146" s="12"/>
      <c r="E146" s="12"/>
      <c r="F146" s="12"/>
      <c r="G146" s="12"/>
      <c r="H146" s="17"/>
      <c r="I146" s="18"/>
      <c r="J146" s="17"/>
      <c r="K146" s="17"/>
      <c r="L146" s="17"/>
      <c r="M146" s="18"/>
      <c r="N146" s="17"/>
      <c r="O146" s="17"/>
      <c r="P146" s="21" t="str">
        <f aca="false">IF(OR(H146="",L146=""),"",IF(AND(H146&gt;=Variables!$E$2,L146&gt;=Variables!$E$2),"Yes","No"))</f>
        <v/>
      </c>
      <c r="Q146" s="19" t="str">
        <f aca="false">IF(OR(I146="",M146="",I146=0),"",(M146-I146)/I146)</f>
        <v/>
      </c>
      <c r="R146" s="21" t="str">
        <f aca="false">IF(P146="","",IF(P146="No","Extend 24 h",IF(Q146&gt;=Variables!$E$3,"B","A")))</f>
        <v/>
      </c>
      <c r="S146" s="21" t="str">
        <f aca="false">IF(R146="B","Yes: add to Constants",IF(R146="A","No",""))</f>
        <v/>
      </c>
      <c r="T146" s="11"/>
      <c r="U146" s="12"/>
    </row>
    <row r="147" customFormat="false" ht="15" hidden="false" customHeight="false" outlineLevel="0" collapsed="false">
      <c r="A147" s="12"/>
      <c r="B147" s="11"/>
      <c r="C147" s="12"/>
      <c r="D147" s="12"/>
      <c r="E147" s="12"/>
      <c r="F147" s="12"/>
      <c r="G147" s="12"/>
      <c r="H147" s="17"/>
      <c r="I147" s="18"/>
      <c r="J147" s="17"/>
      <c r="K147" s="17"/>
      <c r="L147" s="17"/>
      <c r="M147" s="18"/>
      <c r="N147" s="17"/>
      <c r="O147" s="17"/>
      <c r="P147" s="21" t="str">
        <f aca="false">IF(OR(H147="",L147=""),"",IF(AND(H147&gt;=Variables!$E$2,L147&gt;=Variables!$E$2),"Yes","No"))</f>
        <v/>
      </c>
      <c r="Q147" s="19" t="str">
        <f aca="false">IF(OR(I147="",M147="",I147=0),"",(M147-I147)/I147)</f>
        <v/>
      </c>
      <c r="R147" s="21" t="str">
        <f aca="false">IF(P147="","",IF(P147="No","Extend 24 h",IF(Q147&gt;=Variables!$E$3,"B","A")))</f>
        <v/>
      </c>
      <c r="S147" s="21" t="str">
        <f aca="false">IF(R147="B","Yes: add to Constants",IF(R147="A","No",""))</f>
        <v/>
      </c>
      <c r="T147" s="11"/>
      <c r="U147" s="12"/>
    </row>
    <row r="148" customFormat="false" ht="15" hidden="false" customHeight="false" outlineLevel="0" collapsed="false">
      <c r="A148" s="12"/>
      <c r="B148" s="11"/>
      <c r="C148" s="12"/>
      <c r="D148" s="12"/>
      <c r="E148" s="12"/>
      <c r="F148" s="12"/>
      <c r="G148" s="12"/>
      <c r="H148" s="17"/>
      <c r="I148" s="18"/>
      <c r="J148" s="17"/>
      <c r="K148" s="17"/>
      <c r="L148" s="17"/>
      <c r="M148" s="18"/>
      <c r="N148" s="17"/>
      <c r="O148" s="17"/>
      <c r="P148" s="21" t="str">
        <f aca="false">IF(OR(H148="",L148=""),"",IF(AND(H148&gt;=Variables!$E$2,L148&gt;=Variables!$E$2),"Yes","No"))</f>
        <v/>
      </c>
      <c r="Q148" s="19" t="str">
        <f aca="false">IF(OR(I148="",M148="",I148=0),"",(M148-I148)/I148)</f>
        <v/>
      </c>
      <c r="R148" s="21" t="str">
        <f aca="false">IF(P148="","",IF(P148="No","Extend 24 h",IF(Q148&gt;=Variables!$E$3,"B","A")))</f>
        <v/>
      </c>
      <c r="S148" s="21" t="str">
        <f aca="false">IF(R148="B","Yes: add to Constants",IF(R148="A","No",""))</f>
        <v/>
      </c>
      <c r="T148" s="11"/>
      <c r="U148" s="12"/>
    </row>
    <row r="149" customFormat="false" ht="15" hidden="false" customHeight="false" outlineLevel="0" collapsed="false">
      <c r="A149" s="12"/>
      <c r="B149" s="11"/>
      <c r="C149" s="12"/>
      <c r="D149" s="12"/>
      <c r="E149" s="12"/>
      <c r="F149" s="12"/>
      <c r="G149" s="12"/>
      <c r="H149" s="17"/>
      <c r="I149" s="18"/>
      <c r="J149" s="17"/>
      <c r="K149" s="17"/>
      <c r="L149" s="17"/>
      <c r="M149" s="18"/>
      <c r="N149" s="17"/>
      <c r="O149" s="17"/>
      <c r="P149" s="21" t="str">
        <f aca="false">IF(OR(H149="",L149=""),"",IF(AND(H149&gt;=Variables!$E$2,L149&gt;=Variables!$E$2),"Yes","No"))</f>
        <v/>
      </c>
      <c r="Q149" s="19" t="str">
        <f aca="false">IF(OR(I149="",M149="",I149=0),"",(M149-I149)/I149)</f>
        <v/>
      </c>
      <c r="R149" s="21" t="str">
        <f aca="false">IF(P149="","",IF(P149="No","Extend 24 h",IF(Q149&gt;=Variables!$E$3,"B","A")))</f>
        <v/>
      </c>
      <c r="S149" s="21" t="str">
        <f aca="false">IF(R149="B","Yes: add to Constants",IF(R149="A","No",""))</f>
        <v/>
      </c>
      <c r="T149" s="11"/>
      <c r="U149" s="12"/>
    </row>
    <row r="150" customFormat="false" ht="15" hidden="false" customHeight="false" outlineLevel="0" collapsed="false">
      <c r="A150" s="12"/>
      <c r="B150" s="11"/>
      <c r="C150" s="12"/>
      <c r="D150" s="12"/>
      <c r="E150" s="12"/>
      <c r="F150" s="12"/>
      <c r="G150" s="12"/>
      <c r="H150" s="17"/>
      <c r="I150" s="18"/>
      <c r="J150" s="17"/>
      <c r="K150" s="17"/>
      <c r="L150" s="17"/>
      <c r="M150" s="18"/>
      <c r="N150" s="17"/>
      <c r="O150" s="17"/>
      <c r="P150" s="21" t="str">
        <f aca="false">IF(OR(H150="",L150=""),"",IF(AND(H150&gt;=Variables!$E$2,L150&gt;=Variables!$E$2),"Yes","No"))</f>
        <v/>
      </c>
      <c r="Q150" s="19" t="str">
        <f aca="false">IF(OR(I150="",M150="",I150=0),"",(M150-I150)/I150)</f>
        <v/>
      </c>
      <c r="R150" s="21" t="str">
        <f aca="false">IF(P150="","",IF(P150="No","Extend 24 h",IF(Q150&gt;=Variables!$E$3,"B","A")))</f>
        <v/>
      </c>
      <c r="S150" s="21" t="str">
        <f aca="false">IF(R150="B","Yes: add to Constants",IF(R150="A","No",""))</f>
        <v/>
      </c>
      <c r="T150" s="11"/>
      <c r="U150" s="12"/>
    </row>
    <row r="151" customFormat="false" ht="15" hidden="false" customHeight="false" outlineLevel="0" collapsed="false">
      <c r="A151" s="12"/>
      <c r="B151" s="11"/>
      <c r="C151" s="12"/>
      <c r="D151" s="12"/>
      <c r="E151" s="12"/>
      <c r="F151" s="12"/>
      <c r="G151" s="12"/>
      <c r="H151" s="17"/>
      <c r="I151" s="18"/>
      <c r="J151" s="17"/>
      <c r="K151" s="17"/>
      <c r="L151" s="17"/>
      <c r="M151" s="18"/>
      <c r="N151" s="17"/>
      <c r="O151" s="17"/>
      <c r="P151" s="21" t="str">
        <f aca="false">IF(OR(H151="",L151=""),"",IF(AND(H151&gt;=Variables!$E$2,L151&gt;=Variables!$E$2),"Yes","No"))</f>
        <v/>
      </c>
      <c r="Q151" s="19" t="str">
        <f aca="false">IF(OR(I151="",M151="",I151=0),"",(M151-I151)/I151)</f>
        <v/>
      </c>
      <c r="R151" s="21" t="str">
        <f aca="false">IF(P151="","",IF(P151="No","Extend 24 h",IF(Q151&gt;=Variables!$E$3,"B","A")))</f>
        <v/>
      </c>
      <c r="S151" s="21" t="str">
        <f aca="false">IF(R151="B","Yes: add to Constants",IF(R151="A","No",""))</f>
        <v/>
      </c>
      <c r="T151" s="11"/>
      <c r="U151" s="12"/>
    </row>
    <row r="152" customFormat="false" ht="15" hidden="false" customHeight="false" outlineLevel="0" collapsed="false">
      <c r="A152" s="12"/>
      <c r="B152" s="11"/>
      <c r="C152" s="12"/>
      <c r="D152" s="12"/>
      <c r="E152" s="12"/>
      <c r="F152" s="12"/>
      <c r="G152" s="12"/>
      <c r="H152" s="17"/>
      <c r="I152" s="18"/>
      <c r="J152" s="17"/>
      <c r="K152" s="17"/>
      <c r="L152" s="17"/>
      <c r="M152" s="18"/>
      <c r="N152" s="17"/>
      <c r="O152" s="17"/>
      <c r="P152" s="21" t="str">
        <f aca="false">IF(OR(H152="",L152=""),"",IF(AND(H152&gt;=Variables!$E$2,L152&gt;=Variables!$E$2),"Yes","No"))</f>
        <v/>
      </c>
      <c r="Q152" s="19" t="str">
        <f aca="false">IF(OR(I152="",M152="",I152=0),"",(M152-I152)/I152)</f>
        <v/>
      </c>
      <c r="R152" s="21" t="str">
        <f aca="false">IF(P152="","",IF(P152="No","Extend 24 h",IF(Q152&gt;=Variables!$E$3,"B","A")))</f>
        <v/>
      </c>
      <c r="S152" s="21" t="str">
        <f aca="false">IF(R152="B","Yes: add to Constants",IF(R152="A","No",""))</f>
        <v/>
      </c>
      <c r="T152" s="11"/>
      <c r="U152" s="12"/>
    </row>
    <row r="153" customFormat="false" ht="15" hidden="false" customHeight="false" outlineLevel="0" collapsed="false">
      <c r="A153" s="12"/>
      <c r="B153" s="11"/>
      <c r="C153" s="12"/>
      <c r="D153" s="12"/>
      <c r="E153" s="12"/>
      <c r="F153" s="12"/>
      <c r="G153" s="12"/>
      <c r="H153" s="17"/>
      <c r="I153" s="18"/>
      <c r="J153" s="17"/>
      <c r="K153" s="17"/>
      <c r="L153" s="17"/>
      <c r="M153" s="18"/>
      <c r="N153" s="17"/>
      <c r="O153" s="17"/>
      <c r="P153" s="21" t="str">
        <f aca="false">IF(OR(H153="",L153=""),"",IF(AND(H153&gt;=Variables!$E$2,L153&gt;=Variables!$E$2),"Yes","No"))</f>
        <v/>
      </c>
      <c r="Q153" s="19" t="str">
        <f aca="false">IF(OR(I153="",M153="",I153=0),"",(M153-I153)/I153)</f>
        <v/>
      </c>
      <c r="R153" s="21" t="str">
        <f aca="false">IF(P153="","",IF(P153="No","Extend 24 h",IF(Q153&gt;=Variables!$E$3,"B","A")))</f>
        <v/>
      </c>
      <c r="S153" s="21" t="str">
        <f aca="false">IF(R153="B","Yes: add to Constants",IF(R153="A","No",""))</f>
        <v/>
      </c>
      <c r="T153" s="11"/>
      <c r="U153" s="12"/>
    </row>
    <row r="154" customFormat="false" ht="15" hidden="false" customHeight="false" outlineLevel="0" collapsed="false">
      <c r="A154" s="12"/>
      <c r="B154" s="11"/>
      <c r="C154" s="12"/>
      <c r="D154" s="12"/>
      <c r="E154" s="12"/>
      <c r="F154" s="12"/>
      <c r="G154" s="12"/>
      <c r="H154" s="17"/>
      <c r="I154" s="18"/>
      <c r="J154" s="17"/>
      <c r="K154" s="17"/>
      <c r="L154" s="17"/>
      <c r="M154" s="18"/>
      <c r="N154" s="17"/>
      <c r="O154" s="17"/>
      <c r="P154" s="21" t="str">
        <f aca="false">IF(OR(H154="",L154=""),"",IF(AND(H154&gt;=Variables!$E$2,L154&gt;=Variables!$E$2),"Yes","No"))</f>
        <v/>
      </c>
      <c r="Q154" s="19" t="str">
        <f aca="false">IF(OR(I154="",M154="",I154=0),"",(M154-I154)/I154)</f>
        <v/>
      </c>
      <c r="R154" s="21" t="str">
        <f aca="false">IF(P154="","",IF(P154="No","Extend 24 h",IF(Q154&gt;=Variables!$E$3,"B","A")))</f>
        <v/>
      </c>
      <c r="S154" s="21" t="str">
        <f aca="false">IF(R154="B","Yes: add to Constants",IF(R154="A","No",""))</f>
        <v/>
      </c>
      <c r="T154" s="11"/>
      <c r="U154" s="12"/>
    </row>
    <row r="155" customFormat="false" ht="15" hidden="false" customHeight="false" outlineLevel="0" collapsed="false">
      <c r="A155" s="12"/>
      <c r="B155" s="11"/>
      <c r="C155" s="12"/>
      <c r="D155" s="12"/>
      <c r="E155" s="12"/>
      <c r="F155" s="12"/>
      <c r="G155" s="12"/>
      <c r="H155" s="17"/>
      <c r="I155" s="18"/>
      <c r="J155" s="17"/>
      <c r="K155" s="17"/>
      <c r="L155" s="17"/>
      <c r="M155" s="18"/>
      <c r="N155" s="17"/>
      <c r="O155" s="17"/>
      <c r="P155" s="21" t="str">
        <f aca="false">IF(OR(H155="",L155=""),"",IF(AND(H155&gt;=Variables!$E$2,L155&gt;=Variables!$E$2),"Yes","No"))</f>
        <v/>
      </c>
      <c r="Q155" s="19" t="str">
        <f aca="false">IF(OR(I155="",M155="",I155=0),"",(M155-I155)/I155)</f>
        <v/>
      </c>
      <c r="R155" s="21" t="str">
        <f aca="false">IF(P155="","",IF(P155="No","Extend 24 h",IF(Q155&gt;=Variables!$E$3,"B","A")))</f>
        <v/>
      </c>
      <c r="S155" s="21" t="str">
        <f aca="false">IF(R155="B","Yes: add to Constants",IF(R155="A","No",""))</f>
        <v/>
      </c>
      <c r="T155" s="11"/>
      <c r="U155" s="12"/>
    </row>
    <row r="156" customFormat="false" ht="15" hidden="false" customHeight="false" outlineLevel="0" collapsed="false">
      <c r="A156" s="12"/>
      <c r="B156" s="11"/>
      <c r="C156" s="12"/>
      <c r="D156" s="12"/>
      <c r="E156" s="12"/>
      <c r="F156" s="12"/>
      <c r="G156" s="12"/>
      <c r="H156" s="17"/>
      <c r="I156" s="18"/>
      <c r="J156" s="17"/>
      <c r="K156" s="17"/>
      <c r="L156" s="17"/>
      <c r="M156" s="18"/>
      <c r="N156" s="17"/>
      <c r="O156" s="17"/>
      <c r="P156" s="21" t="str">
        <f aca="false">IF(OR(H156="",L156=""),"",IF(AND(H156&gt;=Variables!$E$2,L156&gt;=Variables!$E$2),"Yes","No"))</f>
        <v/>
      </c>
      <c r="Q156" s="19" t="str">
        <f aca="false">IF(OR(I156="",M156="",I156=0),"",(M156-I156)/I156)</f>
        <v/>
      </c>
      <c r="R156" s="21" t="str">
        <f aca="false">IF(P156="","",IF(P156="No","Extend 24 h",IF(Q156&gt;=Variables!$E$3,"B","A")))</f>
        <v/>
      </c>
      <c r="S156" s="21" t="str">
        <f aca="false">IF(R156="B","Yes: add to Constants",IF(R156="A","No",""))</f>
        <v/>
      </c>
      <c r="T156" s="11"/>
      <c r="U156" s="12"/>
    </row>
    <row r="157" customFormat="false" ht="15" hidden="false" customHeight="false" outlineLevel="0" collapsed="false">
      <c r="A157" s="12"/>
      <c r="B157" s="11"/>
      <c r="C157" s="12"/>
      <c r="D157" s="12"/>
      <c r="E157" s="12"/>
      <c r="F157" s="12"/>
      <c r="G157" s="12"/>
      <c r="H157" s="17"/>
      <c r="I157" s="18"/>
      <c r="J157" s="17"/>
      <c r="K157" s="17"/>
      <c r="L157" s="17"/>
      <c r="M157" s="18"/>
      <c r="N157" s="17"/>
      <c r="O157" s="17"/>
      <c r="P157" s="21" t="str">
        <f aca="false">IF(OR(H157="",L157=""),"",IF(AND(H157&gt;=Variables!$E$2,L157&gt;=Variables!$E$2),"Yes","No"))</f>
        <v/>
      </c>
      <c r="Q157" s="19" t="str">
        <f aca="false">IF(OR(I157="",M157="",I157=0),"",(M157-I157)/I157)</f>
        <v/>
      </c>
      <c r="R157" s="21" t="str">
        <f aca="false">IF(P157="","",IF(P157="No","Extend 24 h",IF(Q157&gt;=Variables!$E$3,"B","A")))</f>
        <v/>
      </c>
      <c r="S157" s="21" t="str">
        <f aca="false">IF(R157="B","Yes: add to Constants",IF(R157="A","No",""))</f>
        <v/>
      </c>
      <c r="T157" s="11"/>
      <c r="U157" s="12"/>
    </row>
    <row r="158" customFormat="false" ht="15" hidden="false" customHeight="false" outlineLevel="0" collapsed="false">
      <c r="A158" s="12"/>
      <c r="B158" s="11"/>
      <c r="C158" s="12"/>
      <c r="D158" s="12"/>
      <c r="E158" s="12"/>
      <c r="F158" s="12"/>
      <c r="G158" s="12"/>
      <c r="H158" s="17"/>
      <c r="I158" s="18"/>
      <c r="J158" s="17"/>
      <c r="K158" s="17"/>
      <c r="L158" s="17"/>
      <c r="M158" s="18"/>
      <c r="N158" s="17"/>
      <c r="O158" s="17"/>
      <c r="P158" s="21" t="str">
        <f aca="false">IF(OR(H158="",L158=""),"",IF(AND(H158&gt;=Variables!$E$2,L158&gt;=Variables!$E$2),"Yes","No"))</f>
        <v/>
      </c>
      <c r="Q158" s="19" t="str">
        <f aca="false">IF(OR(I158="",M158="",I158=0),"",(M158-I158)/I158)</f>
        <v/>
      </c>
      <c r="R158" s="21" t="str">
        <f aca="false">IF(P158="","",IF(P158="No","Extend 24 h",IF(Q158&gt;=Variables!$E$3,"B","A")))</f>
        <v/>
      </c>
      <c r="S158" s="21" t="str">
        <f aca="false">IF(R158="B","Yes: add to Constants",IF(R158="A","No",""))</f>
        <v/>
      </c>
      <c r="T158" s="11"/>
      <c r="U158" s="12"/>
    </row>
    <row r="159" customFormat="false" ht="15" hidden="false" customHeight="false" outlineLevel="0" collapsed="false">
      <c r="A159" s="12"/>
      <c r="B159" s="11"/>
      <c r="C159" s="12"/>
      <c r="D159" s="12"/>
      <c r="E159" s="12"/>
      <c r="F159" s="12"/>
      <c r="G159" s="12"/>
      <c r="H159" s="17"/>
      <c r="I159" s="18"/>
      <c r="J159" s="17"/>
      <c r="K159" s="17"/>
      <c r="L159" s="17"/>
      <c r="M159" s="18"/>
      <c r="N159" s="17"/>
      <c r="O159" s="17"/>
      <c r="P159" s="21" t="str">
        <f aca="false">IF(OR(H159="",L159=""),"",IF(AND(H159&gt;=Variables!$E$2,L159&gt;=Variables!$E$2),"Yes","No"))</f>
        <v/>
      </c>
      <c r="Q159" s="19" t="str">
        <f aca="false">IF(OR(I159="",M159="",I159=0),"",(M159-I159)/I159)</f>
        <v/>
      </c>
      <c r="R159" s="21" t="str">
        <f aca="false">IF(P159="","",IF(P159="No","Extend 24 h",IF(Q159&gt;=Variables!$E$3,"B","A")))</f>
        <v/>
      </c>
      <c r="S159" s="21" t="str">
        <f aca="false">IF(R159="B","Yes: add to Constants",IF(R159="A","No",""))</f>
        <v/>
      </c>
      <c r="T159" s="11"/>
      <c r="U159" s="12"/>
    </row>
    <row r="160" customFormat="false" ht="15" hidden="false" customHeight="false" outlineLevel="0" collapsed="false">
      <c r="A160" s="12"/>
      <c r="B160" s="11"/>
      <c r="C160" s="12"/>
      <c r="D160" s="12"/>
      <c r="E160" s="12"/>
      <c r="F160" s="12"/>
      <c r="G160" s="12"/>
      <c r="H160" s="17"/>
      <c r="I160" s="18"/>
      <c r="J160" s="17"/>
      <c r="K160" s="17"/>
      <c r="L160" s="17"/>
      <c r="M160" s="18"/>
      <c r="N160" s="17"/>
      <c r="O160" s="17"/>
      <c r="P160" s="21" t="str">
        <f aca="false">IF(OR(H160="",L160=""),"",IF(AND(H160&gt;=Variables!$E$2,L160&gt;=Variables!$E$2),"Yes","No"))</f>
        <v/>
      </c>
      <c r="Q160" s="19" t="str">
        <f aca="false">IF(OR(I160="",M160="",I160=0),"",(M160-I160)/I160)</f>
        <v/>
      </c>
      <c r="R160" s="21" t="str">
        <f aca="false">IF(P160="","",IF(P160="No","Extend 24 h",IF(Q160&gt;=Variables!$E$3,"B","A")))</f>
        <v/>
      </c>
      <c r="S160" s="21" t="str">
        <f aca="false">IF(R160="B","Yes: add to Constants",IF(R160="A","No",""))</f>
        <v/>
      </c>
      <c r="T160" s="11"/>
      <c r="U160" s="12"/>
    </row>
    <row r="161" customFormat="false" ht="15" hidden="false" customHeight="false" outlineLevel="0" collapsed="false">
      <c r="A161" s="12"/>
      <c r="B161" s="11"/>
      <c r="C161" s="12"/>
      <c r="D161" s="12"/>
      <c r="E161" s="12"/>
      <c r="F161" s="12"/>
      <c r="G161" s="12"/>
      <c r="H161" s="17"/>
      <c r="I161" s="18"/>
      <c r="J161" s="17"/>
      <c r="K161" s="17"/>
      <c r="L161" s="17"/>
      <c r="M161" s="18"/>
      <c r="N161" s="17"/>
      <c r="O161" s="17"/>
      <c r="P161" s="21" t="str">
        <f aca="false">IF(OR(H161="",L161=""),"",IF(AND(H161&gt;=Variables!$E$2,L161&gt;=Variables!$E$2),"Yes","No"))</f>
        <v/>
      </c>
      <c r="Q161" s="19" t="str">
        <f aca="false">IF(OR(I161="",M161="",I161=0),"",(M161-I161)/I161)</f>
        <v/>
      </c>
      <c r="R161" s="21" t="str">
        <f aca="false">IF(P161="","",IF(P161="No","Extend 24 h",IF(Q161&gt;=Variables!$E$3,"B","A")))</f>
        <v/>
      </c>
      <c r="S161" s="21" t="str">
        <f aca="false">IF(R161="B","Yes: add to Constants",IF(R161="A","No",""))</f>
        <v/>
      </c>
      <c r="T161" s="11"/>
      <c r="U161" s="12"/>
    </row>
    <row r="162" customFormat="false" ht="15" hidden="false" customHeight="false" outlineLevel="0" collapsed="false">
      <c r="A162" s="12"/>
      <c r="B162" s="11"/>
      <c r="C162" s="12"/>
      <c r="D162" s="12"/>
      <c r="E162" s="12"/>
      <c r="F162" s="12"/>
      <c r="G162" s="12"/>
      <c r="H162" s="17"/>
      <c r="I162" s="18"/>
      <c r="J162" s="17"/>
      <c r="K162" s="17"/>
      <c r="L162" s="17"/>
      <c r="M162" s="18"/>
      <c r="N162" s="17"/>
      <c r="O162" s="17"/>
      <c r="P162" s="21" t="str">
        <f aca="false">IF(OR(H162="",L162=""),"",IF(AND(H162&gt;=Variables!$E$2,L162&gt;=Variables!$E$2),"Yes","No"))</f>
        <v/>
      </c>
      <c r="Q162" s="19" t="str">
        <f aca="false">IF(OR(I162="",M162="",I162=0),"",(M162-I162)/I162)</f>
        <v/>
      </c>
      <c r="R162" s="21" t="str">
        <f aca="false">IF(P162="","",IF(P162="No","Extend 24 h",IF(Q162&gt;=Variables!$E$3,"B","A")))</f>
        <v/>
      </c>
      <c r="S162" s="21" t="str">
        <f aca="false">IF(R162="B","Yes: add to Constants",IF(R162="A","No",""))</f>
        <v/>
      </c>
      <c r="T162" s="11"/>
      <c r="U162" s="12"/>
    </row>
    <row r="163" customFormat="false" ht="15" hidden="false" customHeight="false" outlineLevel="0" collapsed="false">
      <c r="A163" s="12"/>
      <c r="B163" s="11"/>
      <c r="C163" s="12"/>
      <c r="D163" s="12"/>
      <c r="E163" s="12"/>
      <c r="F163" s="12"/>
      <c r="G163" s="12"/>
      <c r="H163" s="17"/>
      <c r="I163" s="18"/>
      <c r="J163" s="17"/>
      <c r="K163" s="17"/>
      <c r="L163" s="17"/>
      <c r="M163" s="18"/>
      <c r="N163" s="17"/>
      <c r="O163" s="17"/>
      <c r="P163" s="21" t="str">
        <f aca="false">IF(OR(H163="",L163=""),"",IF(AND(H163&gt;=Variables!$E$2,L163&gt;=Variables!$E$2),"Yes","No"))</f>
        <v/>
      </c>
      <c r="Q163" s="19" t="str">
        <f aca="false">IF(OR(I163="",M163="",I163=0),"",(M163-I163)/I163)</f>
        <v/>
      </c>
      <c r="R163" s="21" t="str">
        <f aca="false">IF(P163="","",IF(P163="No","Extend 24 h",IF(Q163&gt;=Variables!$E$3,"B","A")))</f>
        <v/>
      </c>
      <c r="S163" s="21" t="str">
        <f aca="false">IF(R163="B","Yes: add to Constants",IF(R163="A","No",""))</f>
        <v/>
      </c>
      <c r="T163" s="11"/>
      <c r="U163" s="12"/>
    </row>
    <row r="164" customFormat="false" ht="15" hidden="false" customHeight="false" outlineLevel="0" collapsed="false">
      <c r="A164" s="12"/>
      <c r="B164" s="11"/>
      <c r="C164" s="12"/>
      <c r="D164" s="12"/>
      <c r="E164" s="12"/>
      <c r="F164" s="12"/>
      <c r="G164" s="12"/>
      <c r="H164" s="17"/>
      <c r="I164" s="18"/>
      <c r="J164" s="17"/>
      <c r="K164" s="17"/>
      <c r="L164" s="17"/>
      <c r="M164" s="18"/>
      <c r="N164" s="17"/>
      <c r="O164" s="17"/>
      <c r="P164" s="21" t="str">
        <f aca="false">IF(OR(H164="",L164=""),"",IF(AND(H164&gt;=Variables!$E$2,L164&gt;=Variables!$E$2),"Yes","No"))</f>
        <v/>
      </c>
      <c r="Q164" s="19" t="str">
        <f aca="false">IF(OR(I164="",M164="",I164=0),"",(M164-I164)/I164)</f>
        <v/>
      </c>
      <c r="R164" s="21" t="str">
        <f aca="false">IF(P164="","",IF(P164="No","Extend 24 h",IF(Q164&gt;=Variables!$E$3,"B","A")))</f>
        <v/>
      </c>
      <c r="S164" s="21" t="str">
        <f aca="false">IF(R164="B","Yes: add to Constants",IF(R164="A","No",""))</f>
        <v/>
      </c>
      <c r="T164" s="11"/>
      <c r="U164" s="12"/>
    </row>
    <row r="165" customFormat="false" ht="15" hidden="false" customHeight="false" outlineLevel="0" collapsed="false">
      <c r="A165" s="12"/>
      <c r="B165" s="11"/>
      <c r="C165" s="12"/>
      <c r="D165" s="12"/>
      <c r="E165" s="12"/>
      <c r="F165" s="12"/>
      <c r="G165" s="12"/>
      <c r="H165" s="17"/>
      <c r="I165" s="18"/>
      <c r="J165" s="17"/>
      <c r="K165" s="17"/>
      <c r="L165" s="17"/>
      <c r="M165" s="18"/>
      <c r="N165" s="17"/>
      <c r="O165" s="17"/>
      <c r="P165" s="21" t="str">
        <f aca="false">IF(OR(H165="",L165=""),"",IF(AND(H165&gt;=Variables!$E$2,L165&gt;=Variables!$E$2),"Yes","No"))</f>
        <v/>
      </c>
      <c r="Q165" s="19" t="str">
        <f aca="false">IF(OR(I165="",M165="",I165=0),"",(M165-I165)/I165)</f>
        <v/>
      </c>
      <c r="R165" s="21" t="str">
        <f aca="false">IF(P165="","",IF(P165="No","Extend 24 h",IF(Q165&gt;=Variables!$E$3,"B","A")))</f>
        <v/>
      </c>
      <c r="S165" s="21" t="str">
        <f aca="false">IF(R165="B","Yes: add to Constants",IF(R165="A","No",""))</f>
        <v/>
      </c>
      <c r="T165" s="11"/>
      <c r="U165" s="12"/>
    </row>
    <row r="166" customFormat="false" ht="15" hidden="false" customHeight="false" outlineLevel="0" collapsed="false">
      <c r="A166" s="12"/>
      <c r="B166" s="11"/>
      <c r="C166" s="12"/>
      <c r="D166" s="12"/>
      <c r="E166" s="12"/>
      <c r="F166" s="12"/>
      <c r="G166" s="12"/>
      <c r="H166" s="17"/>
      <c r="I166" s="18"/>
      <c r="J166" s="17"/>
      <c r="K166" s="17"/>
      <c r="L166" s="17"/>
      <c r="M166" s="18"/>
      <c r="N166" s="17"/>
      <c r="O166" s="17"/>
      <c r="P166" s="21" t="str">
        <f aca="false">IF(OR(H166="",L166=""),"",IF(AND(H166&gt;=Variables!$E$2,L166&gt;=Variables!$E$2),"Yes","No"))</f>
        <v/>
      </c>
      <c r="Q166" s="19" t="str">
        <f aca="false">IF(OR(I166="",M166="",I166=0),"",(M166-I166)/I166)</f>
        <v/>
      </c>
      <c r="R166" s="21" t="str">
        <f aca="false">IF(P166="","",IF(P166="No","Extend 24 h",IF(Q166&gt;=Variables!$E$3,"B","A")))</f>
        <v/>
      </c>
      <c r="S166" s="21" t="str">
        <f aca="false">IF(R166="B","Yes: add to Constants",IF(R166="A","No",""))</f>
        <v/>
      </c>
      <c r="T166" s="11"/>
      <c r="U166" s="12"/>
    </row>
    <row r="167" customFormat="false" ht="15" hidden="false" customHeight="false" outlineLevel="0" collapsed="false">
      <c r="A167" s="12"/>
      <c r="B167" s="11"/>
      <c r="C167" s="12"/>
      <c r="D167" s="12"/>
      <c r="E167" s="12"/>
      <c r="F167" s="12"/>
      <c r="G167" s="12"/>
      <c r="H167" s="17"/>
      <c r="I167" s="18"/>
      <c r="J167" s="17"/>
      <c r="K167" s="17"/>
      <c r="L167" s="17"/>
      <c r="M167" s="18"/>
      <c r="N167" s="17"/>
      <c r="O167" s="17"/>
      <c r="P167" s="21" t="str">
        <f aca="false">IF(OR(H167="",L167=""),"",IF(AND(H167&gt;=Variables!$E$2,L167&gt;=Variables!$E$2),"Yes","No"))</f>
        <v/>
      </c>
      <c r="Q167" s="19" t="str">
        <f aca="false">IF(OR(I167="",M167="",I167=0),"",(M167-I167)/I167)</f>
        <v/>
      </c>
      <c r="R167" s="21" t="str">
        <f aca="false">IF(P167="","",IF(P167="No","Extend 24 h",IF(Q167&gt;=Variables!$E$3,"B","A")))</f>
        <v/>
      </c>
      <c r="S167" s="21" t="str">
        <f aca="false">IF(R167="B","Yes: add to Constants",IF(R167="A","No",""))</f>
        <v/>
      </c>
      <c r="T167" s="11"/>
      <c r="U167" s="12"/>
    </row>
    <row r="168" customFormat="false" ht="15" hidden="false" customHeight="false" outlineLevel="0" collapsed="false">
      <c r="A168" s="12"/>
      <c r="B168" s="11"/>
      <c r="C168" s="12"/>
      <c r="D168" s="12"/>
      <c r="E168" s="12"/>
      <c r="F168" s="12"/>
      <c r="G168" s="12"/>
      <c r="H168" s="17"/>
      <c r="I168" s="18"/>
      <c r="J168" s="17"/>
      <c r="K168" s="17"/>
      <c r="L168" s="17"/>
      <c r="M168" s="18"/>
      <c r="N168" s="17"/>
      <c r="O168" s="17"/>
      <c r="P168" s="21" t="str">
        <f aca="false">IF(OR(H168="",L168=""),"",IF(AND(H168&gt;=Variables!$E$2,L168&gt;=Variables!$E$2),"Yes","No"))</f>
        <v/>
      </c>
      <c r="Q168" s="19" t="str">
        <f aca="false">IF(OR(I168="",M168="",I168=0),"",(M168-I168)/I168)</f>
        <v/>
      </c>
      <c r="R168" s="21" t="str">
        <f aca="false">IF(P168="","",IF(P168="No","Extend 24 h",IF(Q168&gt;=Variables!$E$3,"B","A")))</f>
        <v/>
      </c>
      <c r="S168" s="21" t="str">
        <f aca="false">IF(R168="B","Yes: add to Constants",IF(R168="A","No",""))</f>
        <v/>
      </c>
      <c r="T168" s="11"/>
      <c r="U168" s="12"/>
    </row>
    <row r="169" customFormat="false" ht="15" hidden="false" customHeight="false" outlineLevel="0" collapsed="false">
      <c r="A169" s="12"/>
      <c r="B169" s="11"/>
      <c r="C169" s="12"/>
      <c r="D169" s="12"/>
      <c r="E169" s="12"/>
      <c r="F169" s="12"/>
      <c r="G169" s="12"/>
      <c r="H169" s="17"/>
      <c r="I169" s="18"/>
      <c r="J169" s="17"/>
      <c r="K169" s="17"/>
      <c r="L169" s="17"/>
      <c r="M169" s="18"/>
      <c r="N169" s="17"/>
      <c r="O169" s="17"/>
      <c r="P169" s="21" t="str">
        <f aca="false">IF(OR(H169="",L169=""),"",IF(AND(H169&gt;=Variables!$E$2,L169&gt;=Variables!$E$2),"Yes","No"))</f>
        <v/>
      </c>
      <c r="Q169" s="19" t="str">
        <f aca="false">IF(OR(I169="",M169="",I169=0),"",(M169-I169)/I169)</f>
        <v/>
      </c>
      <c r="R169" s="21" t="str">
        <f aca="false">IF(P169="","",IF(P169="No","Extend 24 h",IF(Q169&gt;=Variables!$E$3,"B","A")))</f>
        <v/>
      </c>
      <c r="S169" s="21" t="str">
        <f aca="false">IF(R169="B","Yes: add to Constants",IF(R169="A","No",""))</f>
        <v/>
      </c>
      <c r="T169" s="11"/>
      <c r="U169" s="12"/>
    </row>
    <row r="170" customFormat="false" ht="15" hidden="false" customHeight="false" outlineLevel="0" collapsed="false">
      <c r="A170" s="12"/>
      <c r="B170" s="11"/>
      <c r="C170" s="12"/>
      <c r="D170" s="12"/>
      <c r="E170" s="12"/>
      <c r="F170" s="12"/>
      <c r="G170" s="12"/>
      <c r="H170" s="17"/>
      <c r="I170" s="18"/>
      <c r="J170" s="17"/>
      <c r="K170" s="17"/>
      <c r="L170" s="17"/>
      <c r="M170" s="18"/>
      <c r="N170" s="17"/>
      <c r="O170" s="17"/>
      <c r="P170" s="21" t="str">
        <f aca="false">IF(OR(H170="",L170=""),"",IF(AND(H170&gt;=Variables!$E$2,L170&gt;=Variables!$E$2),"Yes","No"))</f>
        <v/>
      </c>
      <c r="Q170" s="19" t="str">
        <f aca="false">IF(OR(I170="",M170="",I170=0),"",(M170-I170)/I170)</f>
        <v/>
      </c>
      <c r="R170" s="21" t="str">
        <f aca="false">IF(P170="","",IF(P170="No","Extend 24 h",IF(Q170&gt;=Variables!$E$3,"B","A")))</f>
        <v/>
      </c>
      <c r="S170" s="21" t="str">
        <f aca="false">IF(R170="B","Yes: add to Constants",IF(R170="A","No",""))</f>
        <v/>
      </c>
      <c r="T170" s="11"/>
      <c r="U170" s="12"/>
    </row>
    <row r="171" customFormat="false" ht="15" hidden="false" customHeight="false" outlineLevel="0" collapsed="false">
      <c r="A171" s="12"/>
      <c r="B171" s="11"/>
      <c r="C171" s="12"/>
      <c r="D171" s="12"/>
      <c r="E171" s="12"/>
      <c r="F171" s="12"/>
      <c r="G171" s="12"/>
      <c r="H171" s="17"/>
      <c r="I171" s="18"/>
      <c r="J171" s="17"/>
      <c r="K171" s="17"/>
      <c r="L171" s="17"/>
      <c r="M171" s="18"/>
      <c r="N171" s="17"/>
      <c r="O171" s="17"/>
      <c r="P171" s="21" t="str">
        <f aca="false">IF(OR(H171="",L171=""),"",IF(AND(H171&gt;=Variables!$E$2,L171&gt;=Variables!$E$2),"Yes","No"))</f>
        <v/>
      </c>
      <c r="Q171" s="19" t="str">
        <f aca="false">IF(OR(I171="",M171="",I171=0),"",(M171-I171)/I171)</f>
        <v/>
      </c>
      <c r="R171" s="21" t="str">
        <f aca="false">IF(P171="","",IF(P171="No","Extend 24 h",IF(Q171&gt;=Variables!$E$3,"B","A")))</f>
        <v/>
      </c>
      <c r="S171" s="21" t="str">
        <f aca="false">IF(R171="B","Yes: add to Constants",IF(R171="A","No",""))</f>
        <v/>
      </c>
      <c r="T171" s="11"/>
      <c r="U171" s="12"/>
    </row>
    <row r="172" customFormat="false" ht="15" hidden="false" customHeight="false" outlineLevel="0" collapsed="false">
      <c r="A172" s="12"/>
      <c r="B172" s="11"/>
      <c r="C172" s="12"/>
      <c r="D172" s="12"/>
      <c r="E172" s="12"/>
      <c r="F172" s="12"/>
      <c r="G172" s="12"/>
      <c r="H172" s="17"/>
      <c r="I172" s="18"/>
      <c r="J172" s="17"/>
      <c r="K172" s="17"/>
      <c r="L172" s="17"/>
      <c r="M172" s="18"/>
      <c r="N172" s="17"/>
      <c r="O172" s="17"/>
      <c r="P172" s="21" t="str">
        <f aca="false">IF(OR(H172="",L172=""),"",IF(AND(H172&gt;=Variables!$E$2,L172&gt;=Variables!$E$2),"Yes","No"))</f>
        <v/>
      </c>
      <c r="Q172" s="19" t="str">
        <f aca="false">IF(OR(I172="",M172="",I172=0),"",(M172-I172)/I172)</f>
        <v/>
      </c>
      <c r="R172" s="21" t="str">
        <f aca="false">IF(P172="","",IF(P172="No","Extend 24 h",IF(Q172&gt;=Variables!$E$3,"B","A")))</f>
        <v/>
      </c>
      <c r="S172" s="21" t="str">
        <f aca="false">IF(R172="B","Yes: add to Constants",IF(R172="A","No",""))</f>
        <v/>
      </c>
      <c r="T172" s="11"/>
      <c r="U172" s="12"/>
    </row>
    <row r="173" customFormat="false" ht="15" hidden="false" customHeight="false" outlineLevel="0" collapsed="false">
      <c r="A173" s="12"/>
      <c r="B173" s="11"/>
      <c r="C173" s="12"/>
      <c r="D173" s="12"/>
      <c r="E173" s="12"/>
      <c r="F173" s="12"/>
      <c r="G173" s="12"/>
      <c r="H173" s="17"/>
      <c r="I173" s="18"/>
      <c r="J173" s="17"/>
      <c r="K173" s="17"/>
      <c r="L173" s="17"/>
      <c r="M173" s="18"/>
      <c r="N173" s="17"/>
      <c r="O173" s="17"/>
      <c r="P173" s="21" t="str">
        <f aca="false">IF(OR(H173="",L173=""),"",IF(AND(H173&gt;=Variables!$E$2,L173&gt;=Variables!$E$2),"Yes","No"))</f>
        <v/>
      </c>
      <c r="Q173" s="19" t="str">
        <f aca="false">IF(OR(I173="",M173="",I173=0),"",(M173-I173)/I173)</f>
        <v/>
      </c>
      <c r="R173" s="21" t="str">
        <f aca="false">IF(P173="","",IF(P173="No","Extend 24 h",IF(Q173&gt;=Variables!$E$3,"B","A")))</f>
        <v/>
      </c>
      <c r="S173" s="21" t="str">
        <f aca="false">IF(R173="B","Yes: add to Constants",IF(R173="A","No",""))</f>
        <v/>
      </c>
      <c r="T173" s="11"/>
      <c r="U173" s="12"/>
    </row>
    <row r="174" customFormat="false" ht="15" hidden="false" customHeight="false" outlineLevel="0" collapsed="false">
      <c r="A174" s="12"/>
      <c r="B174" s="11"/>
      <c r="C174" s="12"/>
      <c r="D174" s="12"/>
      <c r="E174" s="12"/>
      <c r="F174" s="12"/>
      <c r="G174" s="12"/>
      <c r="H174" s="17"/>
      <c r="I174" s="18"/>
      <c r="J174" s="17"/>
      <c r="K174" s="17"/>
      <c r="L174" s="17"/>
      <c r="M174" s="18"/>
      <c r="N174" s="17"/>
      <c r="O174" s="17"/>
      <c r="P174" s="21" t="str">
        <f aca="false">IF(OR(H174="",L174=""),"",IF(AND(H174&gt;=Variables!$E$2,L174&gt;=Variables!$E$2),"Yes","No"))</f>
        <v/>
      </c>
      <c r="Q174" s="19" t="str">
        <f aca="false">IF(OR(I174="",M174="",I174=0),"",(M174-I174)/I174)</f>
        <v/>
      </c>
      <c r="R174" s="21" t="str">
        <f aca="false">IF(P174="","",IF(P174="No","Extend 24 h",IF(Q174&gt;=Variables!$E$3,"B","A")))</f>
        <v/>
      </c>
      <c r="S174" s="21" t="str">
        <f aca="false">IF(R174="B","Yes: add to Constants",IF(R174="A","No",""))</f>
        <v/>
      </c>
      <c r="T174" s="11"/>
      <c r="U174" s="12"/>
    </row>
    <row r="175" customFormat="false" ht="15" hidden="false" customHeight="false" outlineLevel="0" collapsed="false">
      <c r="A175" s="12"/>
      <c r="B175" s="11"/>
      <c r="C175" s="12"/>
      <c r="D175" s="12"/>
      <c r="E175" s="12"/>
      <c r="F175" s="12"/>
      <c r="G175" s="12"/>
      <c r="H175" s="17"/>
      <c r="I175" s="18"/>
      <c r="J175" s="17"/>
      <c r="K175" s="17"/>
      <c r="L175" s="17"/>
      <c r="M175" s="18"/>
      <c r="N175" s="17"/>
      <c r="O175" s="17"/>
      <c r="P175" s="21" t="str">
        <f aca="false">IF(OR(H175="",L175=""),"",IF(AND(H175&gt;=Variables!$E$2,L175&gt;=Variables!$E$2),"Yes","No"))</f>
        <v/>
      </c>
      <c r="Q175" s="19" t="str">
        <f aca="false">IF(OR(I175="",M175="",I175=0),"",(M175-I175)/I175)</f>
        <v/>
      </c>
      <c r="R175" s="21" t="str">
        <f aca="false">IF(P175="","",IF(P175="No","Extend 24 h",IF(Q175&gt;=Variables!$E$3,"B","A")))</f>
        <v/>
      </c>
      <c r="S175" s="21" t="str">
        <f aca="false">IF(R175="B","Yes: add to Constants",IF(R175="A","No",""))</f>
        <v/>
      </c>
      <c r="T175" s="11"/>
      <c r="U175" s="12"/>
    </row>
    <row r="176" customFormat="false" ht="15" hidden="false" customHeight="false" outlineLevel="0" collapsed="false">
      <c r="A176" s="12"/>
      <c r="B176" s="11"/>
      <c r="C176" s="12"/>
      <c r="D176" s="12"/>
      <c r="E176" s="12"/>
      <c r="F176" s="12"/>
      <c r="G176" s="12"/>
      <c r="H176" s="17"/>
      <c r="I176" s="18"/>
      <c r="J176" s="17"/>
      <c r="K176" s="17"/>
      <c r="L176" s="17"/>
      <c r="M176" s="18"/>
      <c r="N176" s="17"/>
      <c r="O176" s="17"/>
      <c r="P176" s="21" t="str">
        <f aca="false">IF(OR(H176="",L176=""),"",IF(AND(H176&gt;=Variables!$E$2,L176&gt;=Variables!$E$2),"Yes","No"))</f>
        <v/>
      </c>
      <c r="Q176" s="19" t="str">
        <f aca="false">IF(OR(I176="",M176="",I176=0),"",(M176-I176)/I176)</f>
        <v/>
      </c>
      <c r="R176" s="21" t="str">
        <f aca="false">IF(P176="","",IF(P176="No","Extend 24 h",IF(Q176&gt;=Variables!$E$3,"B","A")))</f>
        <v/>
      </c>
      <c r="S176" s="21" t="str">
        <f aca="false">IF(R176="B","Yes: add to Constants",IF(R176="A","No",""))</f>
        <v/>
      </c>
      <c r="T176" s="11"/>
      <c r="U176" s="12"/>
    </row>
    <row r="177" customFormat="false" ht="15" hidden="false" customHeight="false" outlineLevel="0" collapsed="false">
      <c r="A177" s="12"/>
      <c r="B177" s="11"/>
      <c r="C177" s="12"/>
      <c r="D177" s="12"/>
      <c r="E177" s="12"/>
      <c r="F177" s="12"/>
      <c r="G177" s="12"/>
      <c r="H177" s="17"/>
      <c r="I177" s="18"/>
      <c r="J177" s="17"/>
      <c r="K177" s="17"/>
      <c r="L177" s="17"/>
      <c r="M177" s="18"/>
      <c r="N177" s="17"/>
      <c r="O177" s="17"/>
      <c r="P177" s="21" t="str">
        <f aca="false">IF(OR(H177="",L177=""),"",IF(AND(H177&gt;=Variables!$E$2,L177&gt;=Variables!$E$2),"Yes","No"))</f>
        <v/>
      </c>
      <c r="Q177" s="19" t="str">
        <f aca="false">IF(OR(I177="",M177="",I177=0),"",(M177-I177)/I177)</f>
        <v/>
      </c>
      <c r="R177" s="21" t="str">
        <f aca="false">IF(P177="","",IF(P177="No","Extend 24 h",IF(Q177&gt;=Variables!$E$3,"B","A")))</f>
        <v/>
      </c>
      <c r="S177" s="21" t="str">
        <f aca="false">IF(R177="B","Yes: add to Constants",IF(R177="A","No",""))</f>
        <v/>
      </c>
      <c r="T177" s="11"/>
      <c r="U177" s="12"/>
    </row>
    <row r="178" customFormat="false" ht="15" hidden="false" customHeight="false" outlineLevel="0" collapsed="false">
      <c r="A178" s="12"/>
      <c r="B178" s="11"/>
      <c r="C178" s="12"/>
      <c r="D178" s="12"/>
      <c r="E178" s="12"/>
      <c r="F178" s="12"/>
      <c r="G178" s="12"/>
      <c r="H178" s="17"/>
      <c r="I178" s="18"/>
      <c r="J178" s="17"/>
      <c r="K178" s="17"/>
      <c r="L178" s="17"/>
      <c r="M178" s="18"/>
      <c r="N178" s="17"/>
      <c r="O178" s="17"/>
      <c r="P178" s="21" t="str">
        <f aca="false">IF(OR(H178="",L178=""),"",IF(AND(H178&gt;=Variables!$E$2,L178&gt;=Variables!$E$2),"Yes","No"))</f>
        <v/>
      </c>
      <c r="Q178" s="19" t="str">
        <f aca="false">IF(OR(I178="",M178="",I178=0),"",(M178-I178)/I178)</f>
        <v/>
      </c>
      <c r="R178" s="21" t="str">
        <f aca="false">IF(P178="","",IF(P178="No","Extend 24 h",IF(Q178&gt;=Variables!$E$3,"B","A")))</f>
        <v/>
      </c>
      <c r="S178" s="21" t="str">
        <f aca="false">IF(R178="B","Yes: add to Constants",IF(R178="A","No",""))</f>
        <v/>
      </c>
      <c r="T178" s="11"/>
      <c r="U178" s="12"/>
    </row>
    <row r="179" customFormat="false" ht="15" hidden="false" customHeight="false" outlineLevel="0" collapsed="false">
      <c r="A179" s="12"/>
      <c r="B179" s="11"/>
      <c r="C179" s="12"/>
      <c r="D179" s="12"/>
      <c r="E179" s="12"/>
      <c r="F179" s="12"/>
      <c r="G179" s="12"/>
      <c r="H179" s="17"/>
      <c r="I179" s="18"/>
      <c r="J179" s="17"/>
      <c r="K179" s="17"/>
      <c r="L179" s="17"/>
      <c r="M179" s="18"/>
      <c r="N179" s="17"/>
      <c r="O179" s="17"/>
      <c r="P179" s="21" t="str">
        <f aca="false">IF(OR(H179="",L179=""),"",IF(AND(H179&gt;=Variables!$E$2,L179&gt;=Variables!$E$2),"Yes","No"))</f>
        <v/>
      </c>
      <c r="Q179" s="19" t="str">
        <f aca="false">IF(OR(I179="",M179="",I179=0),"",(M179-I179)/I179)</f>
        <v/>
      </c>
      <c r="R179" s="21" t="str">
        <f aca="false">IF(P179="","",IF(P179="No","Extend 24 h",IF(Q179&gt;=Variables!$E$3,"B","A")))</f>
        <v/>
      </c>
      <c r="S179" s="21" t="str">
        <f aca="false">IF(R179="B","Yes: add to Constants",IF(R179="A","No",""))</f>
        <v/>
      </c>
      <c r="T179" s="11"/>
      <c r="U179" s="12"/>
    </row>
    <row r="180" customFormat="false" ht="15" hidden="false" customHeight="false" outlineLevel="0" collapsed="false">
      <c r="A180" s="12"/>
      <c r="B180" s="11"/>
      <c r="C180" s="12"/>
      <c r="D180" s="12"/>
      <c r="E180" s="12"/>
      <c r="F180" s="12"/>
      <c r="G180" s="12"/>
      <c r="H180" s="17"/>
      <c r="I180" s="18"/>
      <c r="J180" s="17"/>
      <c r="K180" s="17"/>
      <c r="L180" s="17"/>
      <c r="M180" s="18"/>
      <c r="N180" s="17"/>
      <c r="O180" s="17"/>
      <c r="P180" s="21" t="str">
        <f aca="false">IF(OR(H180="",L180=""),"",IF(AND(H180&gt;=Variables!$E$2,L180&gt;=Variables!$E$2),"Yes","No"))</f>
        <v/>
      </c>
      <c r="Q180" s="19" t="str">
        <f aca="false">IF(OR(I180="",M180="",I180=0),"",(M180-I180)/I180)</f>
        <v/>
      </c>
      <c r="R180" s="21" t="str">
        <f aca="false">IF(P180="","",IF(P180="No","Extend 24 h",IF(Q180&gt;=Variables!$E$3,"B","A")))</f>
        <v/>
      </c>
      <c r="S180" s="21" t="str">
        <f aca="false">IF(R180="B","Yes: add to Constants",IF(R180="A","No",""))</f>
        <v/>
      </c>
      <c r="T180" s="11"/>
      <c r="U180" s="12"/>
    </row>
    <row r="181" customFormat="false" ht="15" hidden="false" customHeight="false" outlineLevel="0" collapsed="false">
      <c r="A181" s="12"/>
      <c r="B181" s="11"/>
      <c r="C181" s="12"/>
      <c r="D181" s="12"/>
      <c r="E181" s="12"/>
      <c r="F181" s="12"/>
      <c r="G181" s="12"/>
      <c r="H181" s="17"/>
      <c r="I181" s="18"/>
      <c r="J181" s="17"/>
      <c r="K181" s="17"/>
      <c r="L181" s="17"/>
      <c r="M181" s="18"/>
      <c r="N181" s="17"/>
      <c r="O181" s="17"/>
      <c r="P181" s="21" t="str">
        <f aca="false">IF(OR(H181="",L181=""),"",IF(AND(H181&gt;=Variables!$E$2,L181&gt;=Variables!$E$2),"Yes","No"))</f>
        <v/>
      </c>
      <c r="Q181" s="19" t="str">
        <f aca="false">IF(OR(I181="",M181="",I181=0),"",(M181-I181)/I181)</f>
        <v/>
      </c>
      <c r="R181" s="21" t="str">
        <f aca="false">IF(P181="","",IF(P181="No","Extend 24 h",IF(Q181&gt;=Variables!$E$3,"B","A")))</f>
        <v/>
      </c>
      <c r="S181" s="21" t="str">
        <f aca="false">IF(R181="B","Yes: add to Constants",IF(R181="A","No",""))</f>
        <v/>
      </c>
      <c r="T181" s="11"/>
      <c r="U181" s="12"/>
    </row>
    <row r="182" customFormat="false" ht="15" hidden="false" customHeight="false" outlineLevel="0" collapsed="false">
      <c r="A182" s="12"/>
      <c r="B182" s="11"/>
      <c r="C182" s="12"/>
      <c r="D182" s="12"/>
      <c r="E182" s="12"/>
      <c r="F182" s="12"/>
      <c r="G182" s="12"/>
      <c r="H182" s="17"/>
      <c r="I182" s="18"/>
      <c r="J182" s="17"/>
      <c r="K182" s="17"/>
      <c r="L182" s="17"/>
      <c r="M182" s="18"/>
      <c r="N182" s="17"/>
      <c r="O182" s="17"/>
      <c r="P182" s="21" t="str">
        <f aca="false">IF(OR(H182="",L182=""),"",IF(AND(H182&gt;=Variables!$E$2,L182&gt;=Variables!$E$2),"Yes","No"))</f>
        <v/>
      </c>
      <c r="Q182" s="19" t="str">
        <f aca="false">IF(OR(I182="",M182="",I182=0),"",(M182-I182)/I182)</f>
        <v/>
      </c>
      <c r="R182" s="21" t="str">
        <f aca="false">IF(P182="","",IF(P182="No","Extend 24 h",IF(Q182&gt;=Variables!$E$3,"B","A")))</f>
        <v/>
      </c>
      <c r="S182" s="21" t="str">
        <f aca="false">IF(R182="B","Yes: add to Constants",IF(R182="A","No",""))</f>
        <v/>
      </c>
      <c r="T182" s="11"/>
      <c r="U182" s="12"/>
    </row>
    <row r="183" customFormat="false" ht="15" hidden="false" customHeight="false" outlineLevel="0" collapsed="false">
      <c r="A183" s="12"/>
      <c r="B183" s="11"/>
      <c r="C183" s="12"/>
      <c r="D183" s="12"/>
      <c r="E183" s="12"/>
      <c r="F183" s="12"/>
      <c r="G183" s="12"/>
      <c r="H183" s="17"/>
      <c r="I183" s="18"/>
      <c r="J183" s="17"/>
      <c r="K183" s="17"/>
      <c r="L183" s="17"/>
      <c r="M183" s="18"/>
      <c r="N183" s="17"/>
      <c r="O183" s="17"/>
      <c r="P183" s="21" t="str">
        <f aca="false">IF(OR(H183="",L183=""),"",IF(AND(H183&gt;=Variables!$E$2,L183&gt;=Variables!$E$2),"Yes","No"))</f>
        <v/>
      </c>
      <c r="Q183" s="19" t="str">
        <f aca="false">IF(OR(I183="",M183="",I183=0),"",(M183-I183)/I183)</f>
        <v/>
      </c>
      <c r="R183" s="21" t="str">
        <f aca="false">IF(P183="","",IF(P183="No","Extend 24 h",IF(Q183&gt;=Variables!$E$3,"B","A")))</f>
        <v/>
      </c>
      <c r="S183" s="21" t="str">
        <f aca="false">IF(R183="B","Yes: add to Constants",IF(R183="A","No",""))</f>
        <v/>
      </c>
      <c r="T183" s="11"/>
      <c r="U183" s="12"/>
    </row>
    <row r="184" customFormat="false" ht="15" hidden="false" customHeight="false" outlineLevel="0" collapsed="false">
      <c r="A184" s="12"/>
      <c r="B184" s="11"/>
      <c r="C184" s="12"/>
      <c r="D184" s="12"/>
      <c r="E184" s="12"/>
      <c r="F184" s="12"/>
      <c r="G184" s="12"/>
      <c r="H184" s="17"/>
      <c r="I184" s="18"/>
      <c r="J184" s="17"/>
      <c r="K184" s="17"/>
      <c r="L184" s="17"/>
      <c r="M184" s="18"/>
      <c r="N184" s="17"/>
      <c r="O184" s="17"/>
      <c r="P184" s="21" t="str">
        <f aca="false">IF(OR(H184="",L184=""),"",IF(AND(H184&gt;=Variables!$E$2,L184&gt;=Variables!$E$2),"Yes","No"))</f>
        <v/>
      </c>
      <c r="Q184" s="19" t="str">
        <f aca="false">IF(OR(I184="",M184="",I184=0),"",(M184-I184)/I184)</f>
        <v/>
      </c>
      <c r="R184" s="21" t="str">
        <f aca="false">IF(P184="","",IF(P184="No","Extend 24 h",IF(Q184&gt;=Variables!$E$3,"B","A")))</f>
        <v/>
      </c>
      <c r="S184" s="21" t="str">
        <f aca="false">IF(R184="B","Yes: add to Constants",IF(R184="A","No",""))</f>
        <v/>
      </c>
      <c r="T184" s="11"/>
      <c r="U184" s="12"/>
    </row>
    <row r="185" customFormat="false" ht="15" hidden="false" customHeight="false" outlineLevel="0" collapsed="false">
      <c r="A185" s="12"/>
      <c r="B185" s="11"/>
      <c r="C185" s="12"/>
      <c r="D185" s="12"/>
      <c r="E185" s="12"/>
      <c r="F185" s="12"/>
      <c r="G185" s="12"/>
      <c r="H185" s="17"/>
      <c r="I185" s="18"/>
      <c r="J185" s="17"/>
      <c r="K185" s="17"/>
      <c r="L185" s="17"/>
      <c r="M185" s="18"/>
      <c r="N185" s="17"/>
      <c r="O185" s="17"/>
      <c r="P185" s="21" t="str">
        <f aca="false">IF(OR(H185="",L185=""),"",IF(AND(H185&gt;=Variables!$E$2,L185&gt;=Variables!$E$2),"Yes","No"))</f>
        <v/>
      </c>
      <c r="Q185" s="19" t="str">
        <f aca="false">IF(OR(I185="",M185="",I185=0),"",(M185-I185)/I185)</f>
        <v/>
      </c>
      <c r="R185" s="21" t="str">
        <f aca="false">IF(P185="","",IF(P185="No","Extend 24 h",IF(Q185&gt;=Variables!$E$3,"B","A")))</f>
        <v/>
      </c>
      <c r="S185" s="21" t="str">
        <f aca="false">IF(R185="B","Yes: add to Constants",IF(R185="A","No",""))</f>
        <v/>
      </c>
      <c r="T185" s="11"/>
      <c r="U185" s="12"/>
    </row>
    <row r="186" customFormat="false" ht="15" hidden="false" customHeight="false" outlineLevel="0" collapsed="false">
      <c r="A186" s="12"/>
      <c r="B186" s="11"/>
      <c r="C186" s="12"/>
      <c r="D186" s="12"/>
      <c r="E186" s="12"/>
      <c r="F186" s="12"/>
      <c r="G186" s="12"/>
      <c r="H186" s="17"/>
      <c r="I186" s="18"/>
      <c r="J186" s="17"/>
      <c r="K186" s="17"/>
      <c r="L186" s="17"/>
      <c r="M186" s="18"/>
      <c r="N186" s="17"/>
      <c r="O186" s="17"/>
      <c r="P186" s="21" t="str">
        <f aca="false">IF(OR(H186="",L186=""),"",IF(AND(H186&gt;=Variables!$E$2,L186&gt;=Variables!$E$2),"Yes","No"))</f>
        <v/>
      </c>
      <c r="Q186" s="19" t="str">
        <f aca="false">IF(OR(I186="",M186="",I186=0),"",(M186-I186)/I186)</f>
        <v/>
      </c>
      <c r="R186" s="21" t="str">
        <f aca="false">IF(P186="","",IF(P186="No","Extend 24 h",IF(Q186&gt;=Variables!$E$3,"B","A")))</f>
        <v/>
      </c>
      <c r="S186" s="21" t="str">
        <f aca="false">IF(R186="B","Yes: add to Constants",IF(R186="A","No",""))</f>
        <v/>
      </c>
      <c r="T186" s="11"/>
      <c r="U186" s="12"/>
    </row>
    <row r="187" customFormat="false" ht="15" hidden="false" customHeight="false" outlineLevel="0" collapsed="false">
      <c r="A187" s="12"/>
      <c r="B187" s="11"/>
      <c r="C187" s="12"/>
      <c r="D187" s="12"/>
      <c r="E187" s="12"/>
      <c r="F187" s="12"/>
      <c r="G187" s="12"/>
      <c r="H187" s="17"/>
      <c r="I187" s="18"/>
      <c r="J187" s="17"/>
      <c r="K187" s="17"/>
      <c r="L187" s="17"/>
      <c r="M187" s="18"/>
      <c r="N187" s="17"/>
      <c r="O187" s="17"/>
      <c r="P187" s="21" t="str">
        <f aca="false">IF(OR(H187="",L187=""),"",IF(AND(H187&gt;=Variables!$E$2,L187&gt;=Variables!$E$2),"Yes","No"))</f>
        <v/>
      </c>
      <c r="Q187" s="19" t="str">
        <f aca="false">IF(OR(I187="",M187="",I187=0),"",(M187-I187)/I187)</f>
        <v/>
      </c>
      <c r="R187" s="21" t="str">
        <f aca="false">IF(P187="","",IF(P187="No","Extend 24 h",IF(Q187&gt;=Variables!$E$3,"B","A")))</f>
        <v/>
      </c>
      <c r="S187" s="21" t="str">
        <f aca="false">IF(R187="B","Yes: add to Constants",IF(R187="A","No",""))</f>
        <v/>
      </c>
      <c r="T187" s="11"/>
      <c r="U187" s="12"/>
    </row>
    <row r="188" customFormat="false" ht="15" hidden="false" customHeight="false" outlineLevel="0" collapsed="false">
      <c r="A188" s="12"/>
      <c r="B188" s="11"/>
      <c r="C188" s="12"/>
      <c r="D188" s="12"/>
      <c r="E188" s="12"/>
      <c r="F188" s="12"/>
      <c r="G188" s="12"/>
      <c r="H188" s="17"/>
      <c r="I188" s="18"/>
      <c r="J188" s="17"/>
      <c r="K188" s="17"/>
      <c r="L188" s="17"/>
      <c r="M188" s="18"/>
      <c r="N188" s="17"/>
      <c r="O188" s="17"/>
      <c r="P188" s="21" t="str">
        <f aca="false">IF(OR(H188="",L188=""),"",IF(AND(H188&gt;=Variables!$E$2,L188&gt;=Variables!$E$2),"Yes","No"))</f>
        <v/>
      </c>
      <c r="Q188" s="19" t="str">
        <f aca="false">IF(OR(I188="",M188="",I188=0),"",(M188-I188)/I188)</f>
        <v/>
      </c>
      <c r="R188" s="21" t="str">
        <f aca="false">IF(P188="","",IF(P188="No","Extend 24 h",IF(Q188&gt;=Variables!$E$3,"B","A")))</f>
        <v/>
      </c>
      <c r="S188" s="21" t="str">
        <f aca="false">IF(R188="B","Yes: add to Constants",IF(R188="A","No",""))</f>
        <v/>
      </c>
      <c r="T188" s="11"/>
      <c r="U188" s="12"/>
    </row>
    <row r="189" customFormat="false" ht="15" hidden="false" customHeight="false" outlineLevel="0" collapsed="false">
      <c r="A189" s="12"/>
      <c r="B189" s="11"/>
      <c r="C189" s="12"/>
      <c r="D189" s="12"/>
      <c r="E189" s="12"/>
      <c r="F189" s="12"/>
      <c r="G189" s="12"/>
      <c r="H189" s="17"/>
      <c r="I189" s="18"/>
      <c r="J189" s="17"/>
      <c r="K189" s="17"/>
      <c r="L189" s="17"/>
      <c r="M189" s="18"/>
      <c r="N189" s="17"/>
      <c r="O189" s="17"/>
      <c r="P189" s="21" t="str">
        <f aca="false">IF(OR(H189="",L189=""),"",IF(AND(H189&gt;=Variables!$E$2,L189&gt;=Variables!$E$2),"Yes","No"))</f>
        <v/>
      </c>
      <c r="Q189" s="19" t="str">
        <f aca="false">IF(OR(I189="",M189="",I189=0),"",(M189-I189)/I189)</f>
        <v/>
      </c>
      <c r="R189" s="21" t="str">
        <f aca="false">IF(P189="","",IF(P189="No","Extend 24 h",IF(Q189&gt;=Variables!$E$3,"B","A")))</f>
        <v/>
      </c>
      <c r="S189" s="21" t="str">
        <f aca="false">IF(R189="B","Yes: add to Constants",IF(R189="A","No",""))</f>
        <v/>
      </c>
      <c r="T189" s="11"/>
      <c r="U189" s="12"/>
    </row>
    <row r="190" customFormat="false" ht="15" hidden="false" customHeight="false" outlineLevel="0" collapsed="false">
      <c r="A190" s="12"/>
      <c r="B190" s="11"/>
      <c r="C190" s="12"/>
      <c r="D190" s="12"/>
      <c r="E190" s="12"/>
      <c r="F190" s="12"/>
      <c r="G190" s="12"/>
      <c r="H190" s="17"/>
      <c r="I190" s="18"/>
      <c r="J190" s="17"/>
      <c r="K190" s="17"/>
      <c r="L190" s="17"/>
      <c r="M190" s="18"/>
      <c r="N190" s="17"/>
      <c r="O190" s="17"/>
      <c r="P190" s="21" t="str">
        <f aca="false">IF(OR(H190="",L190=""),"",IF(AND(H190&gt;=Variables!$E$2,L190&gt;=Variables!$E$2),"Yes","No"))</f>
        <v/>
      </c>
      <c r="Q190" s="19" t="str">
        <f aca="false">IF(OR(I190="",M190="",I190=0),"",(M190-I190)/I190)</f>
        <v/>
      </c>
      <c r="R190" s="21" t="str">
        <f aca="false">IF(P190="","",IF(P190="No","Extend 24 h",IF(Q190&gt;=Variables!$E$3,"B","A")))</f>
        <v/>
      </c>
      <c r="S190" s="21" t="str">
        <f aca="false">IF(R190="B","Yes: add to Constants",IF(R190="A","No",""))</f>
        <v/>
      </c>
      <c r="T190" s="11"/>
      <c r="U190" s="12"/>
    </row>
    <row r="191" customFormat="false" ht="15" hidden="false" customHeight="false" outlineLevel="0" collapsed="false">
      <c r="A191" s="12"/>
      <c r="B191" s="11"/>
      <c r="C191" s="12"/>
      <c r="D191" s="12"/>
      <c r="E191" s="12"/>
      <c r="F191" s="12"/>
      <c r="G191" s="12"/>
      <c r="H191" s="17"/>
      <c r="I191" s="18"/>
      <c r="J191" s="17"/>
      <c r="K191" s="17"/>
      <c r="L191" s="17"/>
      <c r="M191" s="18"/>
      <c r="N191" s="17"/>
      <c r="O191" s="17"/>
      <c r="P191" s="21" t="str">
        <f aca="false">IF(OR(H191="",L191=""),"",IF(AND(H191&gt;=Variables!$E$2,L191&gt;=Variables!$E$2),"Yes","No"))</f>
        <v/>
      </c>
      <c r="Q191" s="19" t="str">
        <f aca="false">IF(OR(I191="",M191="",I191=0),"",(M191-I191)/I191)</f>
        <v/>
      </c>
      <c r="R191" s="21" t="str">
        <f aca="false">IF(P191="","",IF(P191="No","Extend 24 h",IF(Q191&gt;=Variables!$E$3,"B","A")))</f>
        <v/>
      </c>
      <c r="S191" s="21" t="str">
        <f aca="false">IF(R191="B","Yes: add to Constants",IF(R191="A","No",""))</f>
        <v/>
      </c>
      <c r="T191" s="11"/>
      <c r="U191" s="12"/>
    </row>
    <row r="192" customFormat="false" ht="15" hidden="false" customHeight="false" outlineLevel="0" collapsed="false">
      <c r="A192" s="12"/>
      <c r="B192" s="11"/>
      <c r="C192" s="12"/>
      <c r="D192" s="12"/>
      <c r="E192" s="12"/>
      <c r="F192" s="12"/>
      <c r="G192" s="12"/>
      <c r="H192" s="17"/>
      <c r="I192" s="18"/>
      <c r="J192" s="17"/>
      <c r="K192" s="17"/>
      <c r="L192" s="17"/>
      <c r="M192" s="18"/>
      <c r="N192" s="17"/>
      <c r="O192" s="17"/>
      <c r="P192" s="21" t="str">
        <f aca="false">IF(OR(H192="",L192=""),"",IF(AND(H192&gt;=Variables!$E$2,L192&gt;=Variables!$E$2),"Yes","No"))</f>
        <v/>
      </c>
      <c r="Q192" s="19" t="str">
        <f aca="false">IF(OR(I192="",M192="",I192=0),"",(M192-I192)/I192)</f>
        <v/>
      </c>
      <c r="R192" s="21" t="str">
        <f aca="false">IF(P192="","",IF(P192="No","Extend 24 h",IF(Q192&gt;=Variables!$E$3,"B","A")))</f>
        <v/>
      </c>
      <c r="S192" s="21" t="str">
        <f aca="false">IF(R192="B","Yes: add to Constants",IF(R192="A","No",""))</f>
        <v/>
      </c>
      <c r="T192" s="11"/>
      <c r="U192" s="12"/>
    </row>
    <row r="193" customFormat="false" ht="15" hidden="false" customHeight="false" outlineLevel="0" collapsed="false">
      <c r="A193" s="12"/>
      <c r="B193" s="11"/>
      <c r="C193" s="12"/>
      <c r="D193" s="12"/>
      <c r="E193" s="12"/>
      <c r="F193" s="12"/>
      <c r="G193" s="12"/>
      <c r="H193" s="17"/>
      <c r="I193" s="18"/>
      <c r="J193" s="17"/>
      <c r="K193" s="17"/>
      <c r="L193" s="17"/>
      <c r="M193" s="18"/>
      <c r="N193" s="17"/>
      <c r="O193" s="17"/>
      <c r="P193" s="21" t="str">
        <f aca="false">IF(OR(H193="",L193=""),"",IF(AND(H193&gt;=Variables!$E$2,L193&gt;=Variables!$E$2),"Yes","No"))</f>
        <v/>
      </c>
      <c r="Q193" s="19" t="str">
        <f aca="false">IF(OR(I193="",M193="",I193=0),"",(M193-I193)/I193)</f>
        <v/>
      </c>
      <c r="R193" s="21" t="str">
        <f aca="false">IF(P193="","",IF(P193="No","Extend 24 h",IF(Q193&gt;=Variables!$E$3,"B","A")))</f>
        <v/>
      </c>
      <c r="S193" s="21" t="str">
        <f aca="false">IF(R193="B","Yes: add to Constants",IF(R193="A","No",""))</f>
        <v/>
      </c>
      <c r="T193" s="11"/>
      <c r="U193" s="12"/>
    </row>
    <row r="194" customFormat="false" ht="15" hidden="false" customHeight="false" outlineLevel="0" collapsed="false">
      <c r="A194" s="12"/>
      <c r="B194" s="11"/>
      <c r="C194" s="12"/>
      <c r="D194" s="12"/>
      <c r="E194" s="12"/>
      <c r="F194" s="12"/>
      <c r="G194" s="12"/>
      <c r="H194" s="17"/>
      <c r="I194" s="18"/>
      <c r="J194" s="17"/>
      <c r="K194" s="17"/>
      <c r="L194" s="17"/>
      <c r="M194" s="18"/>
      <c r="N194" s="17"/>
      <c r="O194" s="17"/>
      <c r="P194" s="21" t="str">
        <f aca="false">IF(OR(H194="",L194=""),"",IF(AND(H194&gt;=Variables!$E$2,L194&gt;=Variables!$E$2),"Yes","No"))</f>
        <v/>
      </c>
      <c r="Q194" s="19" t="str">
        <f aca="false">IF(OR(I194="",M194="",I194=0),"",(M194-I194)/I194)</f>
        <v/>
      </c>
      <c r="R194" s="21" t="str">
        <f aca="false">IF(P194="","",IF(P194="No","Extend 24 h",IF(Q194&gt;=Variables!$E$3,"B","A")))</f>
        <v/>
      </c>
      <c r="S194" s="21" t="str">
        <f aca="false">IF(R194="B","Yes: add to Constants",IF(R194="A","No",""))</f>
        <v/>
      </c>
      <c r="T194" s="11"/>
      <c r="U194" s="12"/>
    </row>
    <row r="195" customFormat="false" ht="15" hidden="false" customHeight="false" outlineLevel="0" collapsed="false">
      <c r="A195" s="12"/>
      <c r="B195" s="11"/>
      <c r="C195" s="12"/>
      <c r="D195" s="12"/>
      <c r="E195" s="12"/>
      <c r="F195" s="12"/>
      <c r="G195" s="12"/>
      <c r="H195" s="17"/>
      <c r="I195" s="18"/>
      <c r="J195" s="17"/>
      <c r="K195" s="17"/>
      <c r="L195" s="17"/>
      <c r="M195" s="18"/>
      <c r="N195" s="17"/>
      <c r="O195" s="17"/>
      <c r="P195" s="21" t="str">
        <f aca="false">IF(OR(H195="",L195=""),"",IF(AND(H195&gt;=Variables!$E$2,L195&gt;=Variables!$E$2),"Yes","No"))</f>
        <v/>
      </c>
      <c r="Q195" s="19" t="str">
        <f aca="false">IF(OR(I195="",M195="",I195=0),"",(M195-I195)/I195)</f>
        <v/>
      </c>
      <c r="R195" s="21" t="str">
        <f aca="false">IF(P195="","",IF(P195="No","Extend 24 h",IF(Q195&gt;=Variables!$E$3,"B","A")))</f>
        <v/>
      </c>
      <c r="S195" s="21" t="str">
        <f aca="false">IF(R195="B","Yes: add to Constants",IF(R195="A","No",""))</f>
        <v/>
      </c>
      <c r="T195" s="11"/>
      <c r="U195" s="12"/>
    </row>
    <row r="196" customFormat="false" ht="15" hidden="false" customHeight="false" outlineLevel="0" collapsed="false">
      <c r="A196" s="12"/>
      <c r="B196" s="11"/>
      <c r="C196" s="12"/>
      <c r="D196" s="12"/>
      <c r="E196" s="12"/>
      <c r="F196" s="12"/>
      <c r="G196" s="12"/>
      <c r="H196" s="17"/>
      <c r="I196" s="18"/>
      <c r="J196" s="17"/>
      <c r="K196" s="17"/>
      <c r="L196" s="17"/>
      <c r="M196" s="18"/>
      <c r="N196" s="17"/>
      <c r="O196" s="17"/>
      <c r="P196" s="21" t="str">
        <f aca="false">IF(OR(H196="",L196=""),"",IF(AND(H196&gt;=Variables!$E$2,L196&gt;=Variables!$E$2),"Yes","No"))</f>
        <v/>
      </c>
      <c r="Q196" s="19" t="str">
        <f aca="false">IF(OR(I196="",M196="",I196=0),"",(M196-I196)/I196)</f>
        <v/>
      </c>
      <c r="R196" s="21" t="str">
        <f aca="false">IF(P196="","",IF(P196="No","Extend 24 h",IF(Q196&gt;=Variables!$E$3,"B","A")))</f>
        <v/>
      </c>
      <c r="S196" s="21" t="str">
        <f aca="false">IF(R196="B","Yes: add to Constants",IF(R196="A","No",""))</f>
        <v/>
      </c>
      <c r="T196" s="11"/>
      <c r="U196" s="12"/>
    </row>
    <row r="197" customFormat="false" ht="15" hidden="false" customHeight="false" outlineLevel="0" collapsed="false">
      <c r="A197" s="12"/>
      <c r="B197" s="11"/>
      <c r="C197" s="12"/>
      <c r="D197" s="12"/>
      <c r="E197" s="12"/>
      <c r="F197" s="12"/>
      <c r="G197" s="12"/>
      <c r="H197" s="17"/>
      <c r="I197" s="18"/>
      <c r="J197" s="17"/>
      <c r="K197" s="17"/>
      <c r="L197" s="17"/>
      <c r="M197" s="18"/>
      <c r="N197" s="17"/>
      <c r="O197" s="17"/>
      <c r="P197" s="21" t="str">
        <f aca="false">IF(OR(H197="",L197=""),"",IF(AND(H197&gt;=Variables!$E$2,L197&gt;=Variables!$E$2),"Yes","No"))</f>
        <v/>
      </c>
      <c r="Q197" s="19" t="str">
        <f aca="false">IF(OR(I197="",M197="",I197=0),"",(M197-I197)/I197)</f>
        <v/>
      </c>
      <c r="R197" s="21" t="str">
        <f aca="false">IF(P197="","",IF(P197="No","Extend 24 h",IF(Q197&gt;=Variables!$E$3,"B","A")))</f>
        <v/>
      </c>
      <c r="S197" s="21" t="str">
        <f aca="false">IF(R197="B","Yes: add to Constants",IF(R197="A","No",""))</f>
        <v/>
      </c>
      <c r="T197" s="11"/>
      <c r="U197" s="12"/>
    </row>
    <row r="198" customFormat="false" ht="15" hidden="false" customHeight="false" outlineLevel="0" collapsed="false">
      <c r="A198" s="12"/>
      <c r="B198" s="11"/>
      <c r="C198" s="12"/>
      <c r="D198" s="12"/>
      <c r="E198" s="12"/>
      <c r="F198" s="12"/>
      <c r="G198" s="12"/>
      <c r="H198" s="17"/>
      <c r="I198" s="18"/>
      <c r="J198" s="17"/>
      <c r="K198" s="17"/>
      <c r="L198" s="17"/>
      <c r="M198" s="18"/>
      <c r="N198" s="17"/>
      <c r="O198" s="17"/>
      <c r="P198" s="21" t="str">
        <f aca="false">IF(OR(H198="",L198=""),"",IF(AND(H198&gt;=Variables!$E$2,L198&gt;=Variables!$E$2),"Yes","No"))</f>
        <v/>
      </c>
      <c r="Q198" s="19" t="str">
        <f aca="false">IF(OR(I198="",M198="",I198=0),"",(M198-I198)/I198)</f>
        <v/>
      </c>
      <c r="R198" s="21" t="str">
        <f aca="false">IF(P198="","",IF(P198="No","Extend 24 h",IF(Q198&gt;=Variables!$E$3,"B","A")))</f>
        <v/>
      </c>
      <c r="S198" s="21" t="str">
        <f aca="false">IF(R198="B","Yes: add to Constants",IF(R198="A","No",""))</f>
        <v/>
      </c>
      <c r="T198" s="11"/>
      <c r="U198" s="12"/>
    </row>
    <row r="199" customFormat="false" ht="15" hidden="false" customHeight="false" outlineLevel="0" collapsed="false">
      <c r="A199" s="12"/>
      <c r="B199" s="11"/>
      <c r="C199" s="12"/>
      <c r="D199" s="12"/>
      <c r="E199" s="12"/>
      <c r="F199" s="12"/>
      <c r="G199" s="12"/>
      <c r="H199" s="17"/>
      <c r="I199" s="18"/>
      <c r="J199" s="17"/>
      <c r="K199" s="17"/>
      <c r="L199" s="17"/>
      <c r="M199" s="18"/>
      <c r="N199" s="17"/>
      <c r="O199" s="17"/>
      <c r="P199" s="21" t="str">
        <f aca="false">IF(OR(H199="",L199=""),"",IF(AND(H199&gt;=Variables!$E$2,L199&gt;=Variables!$E$2),"Yes","No"))</f>
        <v/>
      </c>
      <c r="Q199" s="19" t="str">
        <f aca="false">IF(OR(I199="",M199="",I199=0),"",(M199-I199)/I199)</f>
        <v/>
      </c>
      <c r="R199" s="21" t="str">
        <f aca="false">IF(P199="","",IF(P199="No","Extend 24 h",IF(Q199&gt;=Variables!$E$3,"B","A")))</f>
        <v/>
      </c>
      <c r="S199" s="21" t="str">
        <f aca="false">IF(R199="B","Yes: add to Constants",IF(R199="A","No",""))</f>
        <v/>
      </c>
      <c r="T199" s="11"/>
      <c r="U199" s="12"/>
    </row>
    <row r="200" customFormat="false" ht="15" hidden="false" customHeight="false" outlineLevel="0" collapsed="false">
      <c r="A200" s="12"/>
      <c r="B200" s="11"/>
      <c r="C200" s="12"/>
      <c r="D200" s="12"/>
      <c r="E200" s="12"/>
      <c r="F200" s="12"/>
      <c r="G200" s="12"/>
      <c r="H200" s="17"/>
      <c r="I200" s="18"/>
      <c r="J200" s="17"/>
      <c r="K200" s="17"/>
      <c r="L200" s="17"/>
      <c r="M200" s="18"/>
      <c r="N200" s="17"/>
      <c r="O200" s="17"/>
      <c r="P200" s="21" t="str">
        <f aca="false">IF(OR(H200="",L200=""),"",IF(AND(H200&gt;=Variables!$E$2,L200&gt;=Variables!$E$2),"Yes","No"))</f>
        <v/>
      </c>
      <c r="Q200" s="19" t="str">
        <f aca="false">IF(OR(I200="",M200="",I200=0),"",(M200-I200)/I200)</f>
        <v/>
      </c>
      <c r="R200" s="21" t="str">
        <f aca="false">IF(P200="","",IF(P200="No","Extend 24 h",IF(Q200&gt;=Variables!$E$3,"B","A")))</f>
        <v/>
      </c>
      <c r="S200" s="21" t="str">
        <f aca="false">IF(R200="B","Yes: add to Constants",IF(R200="A","No",""))</f>
        <v/>
      </c>
      <c r="T200" s="11"/>
      <c r="U200" s="12"/>
    </row>
    <row r="201" customFormat="false" ht="15" hidden="false" customHeight="false" outlineLevel="0" collapsed="false">
      <c r="A201" s="12"/>
      <c r="B201" s="11"/>
      <c r="C201" s="12"/>
      <c r="D201" s="12"/>
      <c r="E201" s="12"/>
      <c r="F201" s="12"/>
      <c r="G201" s="12"/>
      <c r="H201" s="17"/>
      <c r="I201" s="18"/>
      <c r="J201" s="17"/>
      <c r="K201" s="17"/>
      <c r="L201" s="17"/>
      <c r="M201" s="18"/>
      <c r="N201" s="17"/>
      <c r="O201" s="17"/>
      <c r="P201" s="21" t="str">
        <f aca="false">IF(OR(H201="",L201=""),"",IF(AND(H201&gt;=Variables!$E$2,L201&gt;=Variables!$E$2),"Yes","No"))</f>
        <v/>
      </c>
      <c r="Q201" s="19" t="str">
        <f aca="false">IF(OR(I201="",M201="",I201=0),"",(M201-I201)/I201)</f>
        <v/>
      </c>
      <c r="R201" s="21" t="str">
        <f aca="false">IF(P201="","",IF(P201="No","Extend 24 h",IF(Q201&gt;=Variables!$E$3,"B","A")))</f>
        <v/>
      </c>
      <c r="S201" s="21" t="str">
        <f aca="false">IF(R201="B","Yes: add to Constants",IF(R201="A","No",""))</f>
        <v/>
      </c>
      <c r="T201" s="11"/>
      <c r="U201" s="12"/>
    </row>
    <row r="202" customFormat="false" ht="15" hidden="false" customHeight="false" outlineLevel="0" collapsed="false">
      <c r="A202" s="12"/>
      <c r="B202" s="11"/>
      <c r="C202" s="12"/>
      <c r="D202" s="12"/>
      <c r="E202" s="12"/>
      <c r="F202" s="12"/>
      <c r="G202" s="12"/>
      <c r="H202" s="17"/>
      <c r="I202" s="18"/>
      <c r="J202" s="17"/>
      <c r="K202" s="17"/>
      <c r="L202" s="17"/>
      <c r="M202" s="18"/>
      <c r="N202" s="17"/>
      <c r="O202" s="17"/>
      <c r="P202" s="21" t="str">
        <f aca="false">IF(OR(H202="",L202=""),"",IF(AND(H202&gt;=Variables!$E$2,L202&gt;=Variables!$E$2),"Yes","No"))</f>
        <v/>
      </c>
      <c r="Q202" s="19" t="str">
        <f aca="false">IF(OR(I202="",M202="",I202=0),"",(M202-I202)/I202)</f>
        <v/>
      </c>
      <c r="R202" s="21" t="str">
        <f aca="false">IF(P202="","",IF(P202="No","Extend 24 h",IF(Q202&gt;=Variables!$E$3,"B","A")))</f>
        <v/>
      </c>
      <c r="S202" s="21" t="str">
        <f aca="false">IF(R202="B","Yes: add to Constants",IF(R202="A","No",""))</f>
        <v/>
      </c>
      <c r="T202" s="11"/>
      <c r="U202" s="12"/>
    </row>
    <row r="203" customFormat="false" ht="15" hidden="false" customHeight="false" outlineLevel="0" collapsed="false">
      <c r="A203" s="12"/>
      <c r="B203" s="11"/>
      <c r="C203" s="12"/>
      <c r="D203" s="12"/>
      <c r="E203" s="12"/>
      <c r="F203" s="12"/>
      <c r="G203" s="12"/>
      <c r="H203" s="17"/>
      <c r="I203" s="18"/>
      <c r="J203" s="17"/>
      <c r="K203" s="17"/>
      <c r="L203" s="17"/>
      <c r="M203" s="18"/>
      <c r="N203" s="17"/>
      <c r="O203" s="17"/>
      <c r="P203" s="21" t="str">
        <f aca="false">IF(OR(H203="",L203=""),"",IF(AND(H203&gt;=Variables!$E$2,L203&gt;=Variables!$E$2),"Yes","No"))</f>
        <v/>
      </c>
      <c r="Q203" s="19" t="str">
        <f aca="false">IF(OR(I203="",M203="",I203=0),"",(M203-I203)/I203)</f>
        <v/>
      </c>
      <c r="R203" s="21" t="str">
        <f aca="false">IF(P203="","",IF(P203="No","Extend 24 h",IF(Q203&gt;=Variables!$E$3,"B","A")))</f>
        <v/>
      </c>
      <c r="S203" s="21" t="str">
        <f aca="false">IF(R203="B","Yes: add to Constants",IF(R203="A","No",""))</f>
        <v/>
      </c>
      <c r="T203" s="11"/>
      <c r="U203" s="12"/>
    </row>
    <row r="204" customFormat="false" ht="15" hidden="false" customHeight="false" outlineLevel="0" collapsed="false">
      <c r="A204" s="12"/>
      <c r="B204" s="11"/>
      <c r="C204" s="12"/>
      <c r="D204" s="12"/>
      <c r="E204" s="12"/>
      <c r="F204" s="12"/>
      <c r="G204" s="12"/>
      <c r="H204" s="17"/>
      <c r="I204" s="18"/>
      <c r="J204" s="17"/>
      <c r="K204" s="17"/>
      <c r="L204" s="17"/>
      <c r="M204" s="18"/>
      <c r="N204" s="17"/>
      <c r="O204" s="17"/>
      <c r="P204" s="21" t="str">
        <f aca="false">IF(OR(H204="",L204=""),"",IF(AND(H204&gt;=Variables!$E$2,L204&gt;=Variables!$E$2),"Yes","No"))</f>
        <v/>
      </c>
      <c r="Q204" s="19" t="str">
        <f aca="false">IF(OR(I204="",M204="",I204=0),"",(M204-I204)/I204)</f>
        <v/>
      </c>
      <c r="R204" s="21" t="str">
        <f aca="false">IF(P204="","",IF(P204="No","Extend 24 h",IF(Q204&gt;=Variables!$E$3,"B","A")))</f>
        <v/>
      </c>
      <c r="S204" s="21" t="str">
        <f aca="false">IF(R204="B","Yes: add to Constants",IF(R204="A","No",""))</f>
        <v/>
      </c>
      <c r="T204" s="11"/>
      <c r="U204" s="12"/>
    </row>
    <row r="205" customFormat="false" ht="15" hidden="false" customHeight="false" outlineLevel="0" collapsed="false">
      <c r="A205" s="12"/>
      <c r="B205" s="11"/>
      <c r="C205" s="12"/>
      <c r="D205" s="12"/>
      <c r="E205" s="12"/>
      <c r="F205" s="12"/>
      <c r="G205" s="12"/>
      <c r="H205" s="17"/>
      <c r="I205" s="18"/>
      <c r="J205" s="17"/>
      <c r="K205" s="17"/>
      <c r="L205" s="17"/>
      <c r="M205" s="18"/>
      <c r="N205" s="17"/>
      <c r="O205" s="17"/>
      <c r="P205" s="21" t="str">
        <f aca="false">IF(OR(H205="",L205=""),"",IF(AND(H205&gt;=Variables!$E$2,L205&gt;=Variables!$E$2),"Yes","No"))</f>
        <v/>
      </c>
      <c r="Q205" s="19" t="str">
        <f aca="false">IF(OR(I205="",M205="",I205=0),"",(M205-I205)/I205)</f>
        <v/>
      </c>
      <c r="R205" s="21" t="str">
        <f aca="false">IF(P205="","",IF(P205="No","Extend 24 h",IF(Q205&gt;=Variables!$E$3,"B","A")))</f>
        <v/>
      </c>
      <c r="S205" s="21" t="str">
        <f aca="false">IF(R205="B","Yes: add to Constants",IF(R205="A","No",""))</f>
        <v/>
      </c>
      <c r="T205" s="11"/>
      <c r="U205" s="12"/>
    </row>
    <row r="206" customFormat="false" ht="15" hidden="false" customHeight="false" outlineLevel="0" collapsed="false">
      <c r="A206" s="12"/>
      <c r="B206" s="11"/>
      <c r="C206" s="12"/>
      <c r="D206" s="12"/>
      <c r="E206" s="12"/>
      <c r="F206" s="12"/>
      <c r="G206" s="12"/>
      <c r="H206" s="17"/>
      <c r="I206" s="18"/>
      <c r="J206" s="17"/>
      <c r="K206" s="17"/>
      <c r="L206" s="17"/>
      <c r="M206" s="18"/>
      <c r="N206" s="17"/>
      <c r="O206" s="17"/>
      <c r="P206" s="21" t="str">
        <f aca="false">IF(OR(H206="",L206=""),"",IF(AND(H206&gt;=Variables!$E$2,L206&gt;=Variables!$E$2),"Yes","No"))</f>
        <v/>
      </c>
      <c r="Q206" s="19" t="str">
        <f aca="false">IF(OR(I206="",M206="",I206=0),"",(M206-I206)/I206)</f>
        <v/>
      </c>
      <c r="R206" s="21" t="str">
        <f aca="false">IF(P206="","",IF(P206="No","Extend 24 h",IF(Q206&gt;=Variables!$E$3,"B","A")))</f>
        <v/>
      </c>
      <c r="S206" s="21" t="str">
        <f aca="false">IF(R206="B","Yes: add to Constants",IF(R206="A","No",""))</f>
        <v/>
      </c>
      <c r="T206" s="11"/>
      <c r="U206" s="12"/>
    </row>
    <row r="207" customFormat="false" ht="15" hidden="false" customHeight="false" outlineLevel="0" collapsed="false">
      <c r="A207" s="12"/>
      <c r="B207" s="11"/>
      <c r="C207" s="12"/>
      <c r="D207" s="12"/>
      <c r="E207" s="12"/>
      <c r="F207" s="12"/>
      <c r="G207" s="12"/>
      <c r="H207" s="17"/>
      <c r="I207" s="18"/>
      <c r="J207" s="17"/>
      <c r="K207" s="17"/>
      <c r="L207" s="17"/>
      <c r="M207" s="18"/>
      <c r="N207" s="17"/>
      <c r="O207" s="17"/>
      <c r="P207" s="21" t="str">
        <f aca="false">IF(OR(H207="",L207=""),"",IF(AND(H207&gt;=Variables!$E$2,L207&gt;=Variables!$E$2),"Yes","No"))</f>
        <v/>
      </c>
      <c r="Q207" s="19" t="str">
        <f aca="false">IF(OR(I207="",M207="",I207=0),"",(M207-I207)/I207)</f>
        <v/>
      </c>
      <c r="R207" s="21" t="str">
        <f aca="false">IF(P207="","",IF(P207="No","Extend 24 h",IF(Q207&gt;=Variables!$E$3,"B","A")))</f>
        <v/>
      </c>
      <c r="S207" s="21" t="str">
        <f aca="false">IF(R207="B","Yes: add to Constants",IF(R207="A","No",""))</f>
        <v/>
      </c>
      <c r="T207" s="11"/>
      <c r="U207" s="12"/>
    </row>
    <row r="208" customFormat="false" ht="15" hidden="false" customHeight="false" outlineLevel="0" collapsed="false">
      <c r="A208" s="12"/>
      <c r="B208" s="11"/>
      <c r="C208" s="12"/>
      <c r="D208" s="12"/>
      <c r="E208" s="12"/>
      <c r="F208" s="12"/>
      <c r="G208" s="12"/>
      <c r="H208" s="17"/>
      <c r="I208" s="18"/>
      <c r="J208" s="17"/>
      <c r="K208" s="17"/>
      <c r="L208" s="17"/>
      <c r="M208" s="18"/>
      <c r="N208" s="17"/>
      <c r="O208" s="17"/>
      <c r="P208" s="21" t="str">
        <f aca="false">IF(OR(H208="",L208=""),"",IF(AND(H208&gt;=Variables!$E$2,L208&gt;=Variables!$E$2),"Yes","No"))</f>
        <v/>
      </c>
      <c r="Q208" s="19" t="str">
        <f aca="false">IF(OR(I208="",M208="",I208=0),"",(M208-I208)/I208)</f>
        <v/>
      </c>
      <c r="R208" s="21" t="str">
        <f aca="false">IF(P208="","",IF(P208="No","Extend 24 h",IF(Q208&gt;=Variables!$E$3,"B","A")))</f>
        <v/>
      </c>
      <c r="S208" s="21" t="str">
        <f aca="false">IF(R208="B","Yes: add to Constants",IF(R208="A","No",""))</f>
        <v/>
      </c>
      <c r="T208" s="11"/>
      <c r="U208" s="12"/>
    </row>
    <row r="209" customFormat="false" ht="15" hidden="false" customHeight="false" outlineLevel="0" collapsed="false">
      <c r="A209" s="12"/>
      <c r="B209" s="11"/>
      <c r="C209" s="12"/>
      <c r="D209" s="12"/>
      <c r="E209" s="12"/>
      <c r="F209" s="12"/>
      <c r="G209" s="12"/>
      <c r="H209" s="17"/>
      <c r="I209" s="18"/>
      <c r="J209" s="17"/>
      <c r="K209" s="17"/>
      <c r="L209" s="17"/>
      <c r="M209" s="18"/>
      <c r="N209" s="17"/>
      <c r="O209" s="17"/>
      <c r="P209" s="21" t="str">
        <f aca="false">IF(OR(H209="",L209=""),"",IF(AND(H209&gt;=Variables!$E$2,L209&gt;=Variables!$E$2),"Yes","No"))</f>
        <v/>
      </c>
      <c r="Q209" s="19" t="str">
        <f aca="false">IF(OR(I209="",M209="",I209=0),"",(M209-I209)/I209)</f>
        <v/>
      </c>
      <c r="R209" s="21" t="str">
        <f aca="false">IF(P209="","",IF(P209="No","Extend 24 h",IF(Q209&gt;=Variables!$E$3,"B","A")))</f>
        <v/>
      </c>
      <c r="S209" s="21" t="str">
        <f aca="false">IF(R209="B","Yes: add to Constants",IF(R209="A","No",""))</f>
        <v/>
      </c>
      <c r="T209" s="11"/>
      <c r="U209" s="12"/>
    </row>
    <row r="210" customFormat="false" ht="15" hidden="false" customHeight="false" outlineLevel="0" collapsed="false">
      <c r="A210" s="12"/>
      <c r="B210" s="11"/>
      <c r="C210" s="12"/>
      <c r="D210" s="12"/>
      <c r="E210" s="12"/>
      <c r="F210" s="12"/>
      <c r="G210" s="12"/>
      <c r="H210" s="17"/>
      <c r="I210" s="18"/>
      <c r="J210" s="17"/>
      <c r="K210" s="17"/>
      <c r="L210" s="17"/>
      <c r="M210" s="18"/>
      <c r="N210" s="17"/>
      <c r="O210" s="17"/>
      <c r="P210" s="21" t="str">
        <f aca="false">IF(OR(H210="",L210=""),"",IF(AND(H210&gt;=Variables!$E$2,L210&gt;=Variables!$E$2),"Yes","No"))</f>
        <v/>
      </c>
      <c r="Q210" s="19" t="str">
        <f aca="false">IF(OR(I210="",M210="",I210=0),"",(M210-I210)/I210)</f>
        <v/>
      </c>
      <c r="R210" s="21" t="str">
        <f aca="false">IF(P210="","",IF(P210="No","Extend 24 h",IF(Q210&gt;=Variables!$E$3,"B","A")))</f>
        <v/>
      </c>
      <c r="S210" s="21" t="str">
        <f aca="false">IF(R210="B","Yes: add to Constants",IF(R210="A","No",""))</f>
        <v/>
      </c>
      <c r="T210" s="11"/>
      <c r="U210" s="12"/>
    </row>
    <row r="211" customFormat="false" ht="15" hidden="false" customHeight="false" outlineLevel="0" collapsed="false">
      <c r="A211" s="12"/>
      <c r="B211" s="11"/>
      <c r="C211" s="12"/>
      <c r="D211" s="12"/>
      <c r="E211" s="12"/>
      <c r="F211" s="12"/>
      <c r="G211" s="12"/>
      <c r="H211" s="17"/>
      <c r="I211" s="18"/>
      <c r="J211" s="17"/>
      <c r="K211" s="17"/>
      <c r="L211" s="17"/>
      <c r="M211" s="18"/>
      <c r="N211" s="17"/>
      <c r="O211" s="17"/>
      <c r="P211" s="21" t="str">
        <f aca="false">IF(OR(H211="",L211=""),"",IF(AND(H211&gt;=Variables!$E$2,L211&gt;=Variables!$E$2),"Yes","No"))</f>
        <v/>
      </c>
      <c r="Q211" s="19" t="str">
        <f aca="false">IF(OR(I211="",M211="",I211=0),"",(M211-I211)/I211)</f>
        <v/>
      </c>
      <c r="R211" s="21" t="str">
        <f aca="false">IF(P211="","",IF(P211="No","Extend 24 h",IF(Q211&gt;=Variables!$E$3,"B","A")))</f>
        <v/>
      </c>
      <c r="S211" s="21" t="str">
        <f aca="false">IF(R211="B","Yes: add to Constants",IF(R211="A","No",""))</f>
        <v/>
      </c>
      <c r="T211" s="11"/>
      <c r="U211" s="12"/>
    </row>
    <row r="212" customFormat="false" ht="15" hidden="false" customHeight="false" outlineLevel="0" collapsed="false">
      <c r="A212" s="12"/>
      <c r="B212" s="11"/>
      <c r="C212" s="12"/>
      <c r="D212" s="12"/>
      <c r="E212" s="12"/>
      <c r="F212" s="12"/>
      <c r="G212" s="12"/>
      <c r="H212" s="17"/>
      <c r="I212" s="18"/>
      <c r="J212" s="17"/>
      <c r="K212" s="17"/>
      <c r="L212" s="17"/>
      <c r="M212" s="18"/>
      <c r="N212" s="17"/>
      <c r="O212" s="17"/>
      <c r="P212" s="21" t="str">
        <f aca="false">IF(OR(H212="",L212=""),"",IF(AND(H212&gt;=Variables!$E$2,L212&gt;=Variables!$E$2),"Yes","No"))</f>
        <v/>
      </c>
      <c r="Q212" s="19" t="str">
        <f aca="false">IF(OR(I212="",M212="",I212=0),"",(M212-I212)/I212)</f>
        <v/>
      </c>
      <c r="R212" s="21" t="str">
        <f aca="false">IF(P212="","",IF(P212="No","Extend 24 h",IF(Q212&gt;=Variables!$E$3,"B","A")))</f>
        <v/>
      </c>
      <c r="S212" s="21" t="str">
        <f aca="false">IF(R212="B","Yes: add to Constants",IF(R212="A","No",""))</f>
        <v/>
      </c>
      <c r="T212" s="11"/>
      <c r="U212" s="12"/>
    </row>
    <row r="213" customFormat="false" ht="15" hidden="false" customHeight="false" outlineLevel="0" collapsed="false">
      <c r="A213" s="12"/>
      <c r="B213" s="11"/>
      <c r="C213" s="12"/>
      <c r="D213" s="12"/>
      <c r="E213" s="12"/>
      <c r="F213" s="12"/>
      <c r="G213" s="12"/>
      <c r="H213" s="17"/>
      <c r="I213" s="18"/>
      <c r="J213" s="17"/>
      <c r="K213" s="17"/>
      <c r="L213" s="17"/>
      <c r="M213" s="18"/>
      <c r="N213" s="17"/>
      <c r="O213" s="17"/>
      <c r="P213" s="21" t="str">
        <f aca="false">IF(OR(H213="",L213=""),"",IF(AND(H213&gt;=Variables!$E$2,L213&gt;=Variables!$E$2),"Yes","No"))</f>
        <v/>
      </c>
      <c r="Q213" s="19" t="str">
        <f aca="false">IF(OR(I213="",M213="",I213=0),"",(M213-I213)/I213)</f>
        <v/>
      </c>
      <c r="R213" s="21" t="str">
        <f aca="false">IF(P213="","",IF(P213="No","Extend 24 h",IF(Q213&gt;=Variables!$E$3,"B","A")))</f>
        <v/>
      </c>
      <c r="S213" s="21" t="str">
        <f aca="false">IF(R213="B","Yes: add to Constants",IF(R213="A","No",""))</f>
        <v/>
      </c>
      <c r="T213" s="11"/>
      <c r="U213" s="12"/>
    </row>
    <row r="214" customFormat="false" ht="15" hidden="false" customHeight="false" outlineLevel="0" collapsed="false">
      <c r="A214" s="12"/>
      <c r="B214" s="11"/>
      <c r="C214" s="12"/>
      <c r="D214" s="12"/>
      <c r="E214" s="12"/>
      <c r="F214" s="12"/>
      <c r="G214" s="12"/>
      <c r="H214" s="17"/>
      <c r="I214" s="18"/>
      <c r="J214" s="17"/>
      <c r="K214" s="17"/>
      <c r="L214" s="17"/>
      <c r="M214" s="18"/>
      <c r="N214" s="17"/>
      <c r="O214" s="17"/>
      <c r="P214" s="21" t="str">
        <f aca="false">IF(OR(H214="",L214=""),"",IF(AND(H214&gt;=Variables!$E$2,L214&gt;=Variables!$E$2),"Yes","No"))</f>
        <v/>
      </c>
      <c r="Q214" s="19" t="str">
        <f aca="false">IF(OR(I214="",M214="",I214=0),"",(M214-I214)/I214)</f>
        <v/>
      </c>
      <c r="R214" s="21" t="str">
        <f aca="false">IF(P214="","",IF(P214="No","Extend 24 h",IF(Q214&gt;=Variables!$E$3,"B","A")))</f>
        <v/>
      </c>
      <c r="S214" s="21" t="str">
        <f aca="false">IF(R214="B","Yes: add to Constants",IF(R214="A","No",""))</f>
        <v/>
      </c>
      <c r="T214" s="11"/>
      <c r="U214" s="12"/>
    </row>
    <row r="215" customFormat="false" ht="15" hidden="false" customHeight="false" outlineLevel="0" collapsed="false">
      <c r="A215" s="12"/>
      <c r="B215" s="11"/>
      <c r="C215" s="12"/>
      <c r="D215" s="12"/>
      <c r="E215" s="12"/>
      <c r="F215" s="12"/>
      <c r="G215" s="12"/>
      <c r="H215" s="17"/>
      <c r="I215" s="18"/>
      <c r="J215" s="17"/>
      <c r="K215" s="17"/>
      <c r="L215" s="17"/>
      <c r="M215" s="18"/>
      <c r="N215" s="17"/>
      <c r="O215" s="17"/>
      <c r="P215" s="21" t="str">
        <f aca="false">IF(OR(H215="",L215=""),"",IF(AND(H215&gt;=Variables!$E$2,L215&gt;=Variables!$E$2),"Yes","No"))</f>
        <v/>
      </c>
      <c r="Q215" s="19" t="str">
        <f aca="false">IF(OR(I215="",M215="",I215=0),"",(M215-I215)/I215)</f>
        <v/>
      </c>
      <c r="R215" s="21" t="str">
        <f aca="false">IF(P215="","",IF(P215="No","Extend 24 h",IF(Q215&gt;=Variables!$E$3,"B","A")))</f>
        <v/>
      </c>
      <c r="S215" s="21" t="str">
        <f aca="false">IF(R215="B","Yes: add to Constants",IF(R215="A","No",""))</f>
        <v/>
      </c>
      <c r="T215" s="11"/>
      <c r="U215" s="12"/>
    </row>
    <row r="216" customFormat="false" ht="15" hidden="false" customHeight="false" outlineLevel="0" collapsed="false">
      <c r="A216" s="12"/>
      <c r="B216" s="11"/>
      <c r="C216" s="12"/>
      <c r="D216" s="12"/>
      <c r="E216" s="12"/>
      <c r="F216" s="12"/>
      <c r="G216" s="12"/>
      <c r="H216" s="17"/>
      <c r="I216" s="18"/>
      <c r="J216" s="17"/>
      <c r="K216" s="17"/>
      <c r="L216" s="17"/>
      <c r="M216" s="18"/>
      <c r="N216" s="17"/>
      <c r="O216" s="17"/>
      <c r="P216" s="21" t="str">
        <f aca="false">IF(OR(H216="",L216=""),"",IF(AND(H216&gt;=Variables!$E$2,L216&gt;=Variables!$E$2),"Yes","No"))</f>
        <v/>
      </c>
      <c r="Q216" s="19" t="str">
        <f aca="false">IF(OR(I216="",M216="",I216=0),"",(M216-I216)/I216)</f>
        <v/>
      </c>
      <c r="R216" s="21" t="str">
        <f aca="false">IF(P216="","",IF(P216="No","Extend 24 h",IF(Q216&gt;=Variables!$E$3,"B","A")))</f>
        <v/>
      </c>
      <c r="S216" s="21" t="str">
        <f aca="false">IF(R216="B","Yes: add to Constants",IF(R216="A","No",""))</f>
        <v/>
      </c>
      <c r="T216" s="11"/>
      <c r="U216" s="12"/>
    </row>
    <row r="217" customFormat="false" ht="15" hidden="false" customHeight="false" outlineLevel="0" collapsed="false">
      <c r="A217" s="12"/>
      <c r="B217" s="11"/>
      <c r="C217" s="12"/>
      <c r="D217" s="12"/>
      <c r="E217" s="12"/>
      <c r="F217" s="12"/>
      <c r="G217" s="12"/>
      <c r="H217" s="17"/>
      <c r="I217" s="18"/>
      <c r="J217" s="17"/>
      <c r="K217" s="17"/>
      <c r="L217" s="17"/>
      <c r="M217" s="18"/>
      <c r="N217" s="17"/>
      <c r="O217" s="17"/>
      <c r="P217" s="21" t="str">
        <f aca="false">IF(OR(H217="",L217=""),"",IF(AND(H217&gt;=Variables!$E$2,L217&gt;=Variables!$E$2),"Yes","No"))</f>
        <v/>
      </c>
      <c r="Q217" s="19" t="str">
        <f aca="false">IF(OR(I217="",M217="",I217=0),"",(M217-I217)/I217)</f>
        <v/>
      </c>
      <c r="R217" s="21" t="str">
        <f aca="false">IF(P217="","",IF(P217="No","Extend 24 h",IF(Q217&gt;=Variables!$E$3,"B","A")))</f>
        <v/>
      </c>
      <c r="S217" s="21" t="str">
        <f aca="false">IF(R217="B","Yes: add to Constants",IF(R217="A","No",""))</f>
        <v/>
      </c>
      <c r="T217" s="11"/>
      <c r="U217" s="12"/>
    </row>
    <row r="218" customFormat="false" ht="15" hidden="false" customHeight="false" outlineLevel="0" collapsed="false">
      <c r="A218" s="12"/>
      <c r="B218" s="11"/>
      <c r="C218" s="12"/>
      <c r="D218" s="12"/>
      <c r="E218" s="12"/>
      <c r="F218" s="12"/>
      <c r="G218" s="12"/>
      <c r="H218" s="17"/>
      <c r="I218" s="18"/>
      <c r="J218" s="17"/>
      <c r="K218" s="17"/>
      <c r="L218" s="17"/>
      <c r="M218" s="18"/>
      <c r="N218" s="17"/>
      <c r="O218" s="17"/>
      <c r="P218" s="21" t="str">
        <f aca="false">IF(OR(H218="",L218=""),"",IF(AND(H218&gt;=Variables!$E$2,L218&gt;=Variables!$E$2),"Yes","No"))</f>
        <v/>
      </c>
      <c r="Q218" s="19" t="str">
        <f aca="false">IF(OR(I218="",M218="",I218=0),"",(M218-I218)/I218)</f>
        <v/>
      </c>
      <c r="R218" s="21" t="str">
        <f aca="false">IF(P218="","",IF(P218="No","Extend 24 h",IF(Q218&gt;=Variables!$E$3,"B","A")))</f>
        <v/>
      </c>
      <c r="S218" s="21" t="str">
        <f aca="false">IF(R218="B","Yes: add to Constants",IF(R218="A","No",""))</f>
        <v/>
      </c>
      <c r="T218" s="11"/>
      <c r="U218" s="12"/>
    </row>
    <row r="219" customFormat="false" ht="15" hidden="false" customHeight="false" outlineLevel="0" collapsed="false">
      <c r="A219" s="12"/>
      <c r="B219" s="11"/>
      <c r="C219" s="12"/>
      <c r="D219" s="12"/>
      <c r="E219" s="12"/>
      <c r="F219" s="12"/>
      <c r="G219" s="12"/>
      <c r="H219" s="17"/>
      <c r="I219" s="18"/>
      <c r="J219" s="17"/>
      <c r="K219" s="17"/>
      <c r="L219" s="17"/>
      <c r="M219" s="18"/>
      <c r="N219" s="17"/>
      <c r="O219" s="17"/>
      <c r="P219" s="21" t="str">
        <f aca="false">IF(OR(H219="",L219=""),"",IF(AND(H219&gt;=Variables!$E$2,L219&gt;=Variables!$E$2),"Yes","No"))</f>
        <v/>
      </c>
      <c r="Q219" s="19" t="str">
        <f aca="false">IF(OR(I219="",M219="",I219=0),"",(M219-I219)/I219)</f>
        <v/>
      </c>
      <c r="R219" s="21" t="str">
        <f aca="false">IF(P219="","",IF(P219="No","Extend 24 h",IF(Q219&gt;=Variables!$E$3,"B","A")))</f>
        <v/>
      </c>
      <c r="S219" s="21" t="str">
        <f aca="false">IF(R219="B","Yes: add to Constants",IF(R219="A","No",""))</f>
        <v/>
      </c>
      <c r="T219" s="11"/>
      <c r="U219" s="12"/>
    </row>
    <row r="220" customFormat="false" ht="15" hidden="false" customHeight="false" outlineLevel="0" collapsed="false">
      <c r="A220" s="12"/>
      <c r="B220" s="11"/>
      <c r="C220" s="12"/>
      <c r="D220" s="12"/>
      <c r="E220" s="12"/>
      <c r="F220" s="12"/>
      <c r="G220" s="12"/>
      <c r="H220" s="17"/>
      <c r="I220" s="18"/>
      <c r="J220" s="17"/>
      <c r="K220" s="17"/>
      <c r="L220" s="17"/>
      <c r="M220" s="18"/>
      <c r="N220" s="17"/>
      <c r="O220" s="17"/>
      <c r="P220" s="21" t="str">
        <f aca="false">IF(OR(H220="",L220=""),"",IF(AND(H220&gt;=Variables!$E$2,L220&gt;=Variables!$E$2),"Yes","No"))</f>
        <v/>
      </c>
      <c r="Q220" s="19" t="str">
        <f aca="false">IF(OR(I220="",M220="",I220=0),"",(M220-I220)/I220)</f>
        <v/>
      </c>
      <c r="R220" s="21" t="str">
        <f aca="false">IF(P220="","",IF(P220="No","Extend 24 h",IF(Q220&gt;=Variables!$E$3,"B","A")))</f>
        <v/>
      </c>
      <c r="S220" s="21" t="str">
        <f aca="false">IF(R220="B","Yes: add to Constants",IF(R220="A","No",""))</f>
        <v/>
      </c>
      <c r="T220" s="11"/>
      <c r="U220" s="12"/>
    </row>
    <row r="221" customFormat="false" ht="15" hidden="false" customHeight="false" outlineLevel="0" collapsed="false">
      <c r="A221" s="12"/>
      <c r="B221" s="11"/>
      <c r="C221" s="12"/>
      <c r="D221" s="12"/>
      <c r="E221" s="12"/>
      <c r="F221" s="12"/>
      <c r="G221" s="12"/>
      <c r="H221" s="17"/>
      <c r="I221" s="18"/>
      <c r="J221" s="17"/>
      <c r="K221" s="17"/>
      <c r="L221" s="17"/>
      <c r="M221" s="18"/>
      <c r="N221" s="17"/>
      <c r="O221" s="17"/>
      <c r="P221" s="21" t="str">
        <f aca="false">IF(OR(H221="",L221=""),"",IF(AND(H221&gt;=Variables!$E$2,L221&gt;=Variables!$E$2),"Yes","No"))</f>
        <v/>
      </c>
      <c r="Q221" s="19" t="str">
        <f aca="false">IF(OR(I221="",M221="",I221=0),"",(M221-I221)/I221)</f>
        <v/>
      </c>
      <c r="R221" s="21" t="str">
        <f aca="false">IF(P221="","",IF(P221="No","Extend 24 h",IF(Q221&gt;=Variables!$E$3,"B","A")))</f>
        <v/>
      </c>
      <c r="S221" s="21" t="str">
        <f aca="false">IF(R221="B","Yes: add to Constants",IF(R221="A","No",""))</f>
        <v/>
      </c>
      <c r="T221" s="11"/>
      <c r="U221" s="12"/>
    </row>
    <row r="222" customFormat="false" ht="15" hidden="false" customHeight="false" outlineLevel="0" collapsed="false">
      <c r="A222" s="12"/>
      <c r="B222" s="11"/>
      <c r="C222" s="12"/>
      <c r="D222" s="12"/>
      <c r="E222" s="12"/>
      <c r="F222" s="12"/>
      <c r="G222" s="12"/>
      <c r="H222" s="17"/>
      <c r="I222" s="18"/>
      <c r="J222" s="17"/>
      <c r="K222" s="17"/>
      <c r="L222" s="17"/>
      <c r="M222" s="18"/>
      <c r="N222" s="17"/>
      <c r="O222" s="17"/>
      <c r="P222" s="21" t="str">
        <f aca="false">IF(OR(H222="",L222=""),"",IF(AND(H222&gt;=Variables!$E$2,L222&gt;=Variables!$E$2),"Yes","No"))</f>
        <v/>
      </c>
      <c r="Q222" s="19" t="str">
        <f aca="false">IF(OR(I222="",M222="",I222=0),"",(M222-I222)/I222)</f>
        <v/>
      </c>
      <c r="R222" s="21" t="str">
        <f aca="false">IF(P222="","",IF(P222="No","Extend 24 h",IF(Q222&gt;=Variables!$E$3,"B","A")))</f>
        <v/>
      </c>
      <c r="S222" s="21" t="str">
        <f aca="false">IF(R222="B","Yes: add to Constants",IF(R222="A","No",""))</f>
        <v/>
      </c>
      <c r="T222" s="11"/>
      <c r="U222" s="12"/>
    </row>
    <row r="223" customFormat="false" ht="15" hidden="false" customHeight="false" outlineLevel="0" collapsed="false">
      <c r="A223" s="12"/>
      <c r="B223" s="11"/>
      <c r="C223" s="12"/>
      <c r="D223" s="12"/>
      <c r="E223" s="12"/>
      <c r="F223" s="12"/>
      <c r="G223" s="12"/>
      <c r="H223" s="17"/>
      <c r="I223" s="18"/>
      <c r="J223" s="17"/>
      <c r="K223" s="17"/>
      <c r="L223" s="17"/>
      <c r="M223" s="18"/>
      <c r="N223" s="17"/>
      <c r="O223" s="17"/>
      <c r="P223" s="21" t="str">
        <f aca="false">IF(OR(H223="",L223=""),"",IF(AND(H223&gt;=Variables!$E$2,L223&gt;=Variables!$E$2),"Yes","No"))</f>
        <v/>
      </c>
      <c r="Q223" s="19" t="str">
        <f aca="false">IF(OR(I223="",M223="",I223=0),"",(M223-I223)/I223)</f>
        <v/>
      </c>
      <c r="R223" s="21" t="str">
        <f aca="false">IF(P223="","",IF(P223="No","Extend 24 h",IF(Q223&gt;=Variables!$E$3,"B","A")))</f>
        <v/>
      </c>
      <c r="S223" s="21" t="str">
        <f aca="false">IF(R223="B","Yes: add to Constants",IF(R223="A","No",""))</f>
        <v/>
      </c>
      <c r="T223" s="11"/>
      <c r="U223" s="12"/>
    </row>
    <row r="224" customFormat="false" ht="15" hidden="false" customHeight="false" outlineLevel="0" collapsed="false">
      <c r="A224" s="12"/>
      <c r="B224" s="11"/>
      <c r="C224" s="12"/>
      <c r="D224" s="12"/>
      <c r="E224" s="12"/>
      <c r="F224" s="12"/>
      <c r="G224" s="12"/>
      <c r="H224" s="17"/>
      <c r="I224" s="18"/>
      <c r="J224" s="17"/>
      <c r="K224" s="17"/>
      <c r="L224" s="17"/>
      <c r="M224" s="18"/>
      <c r="N224" s="17"/>
      <c r="O224" s="17"/>
      <c r="P224" s="21" t="str">
        <f aca="false">IF(OR(H224="",L224=""),"",IF(AND(H224&gt;=Variables!$E$2,L224&gt;=Variables!$E$2),"Yes","No"))</f>
        <v/>
      </c>
      <c r="Q224" s="19" t="str">
        <f aca="false">IF(OR(I224="",M224="",I224=0),"",(M224-I224)/I224)</f>
        <v/>
      </c>
      <c r="R224" s="21" t="str">
        <f aca="false">IF(P224="","",IF(P224="No","Extend 24 h",IF(Q224&gt;=Variables!$E$3,"B","A")))</f>
        <v/>
      </c>
      <c r="S224" s="21" t="str">
        <f aca="false">IF(R224="B","Yes: add to Constants",IF(R224="A","No",""))</f>
        <v/>
      </c>
      <c r="T224" s="11"/>
      <c r="U224" s="12"/>
    </row>
    <row r="225" customFormat="false" ht="15" hidden="false" customHeight="false" outlineLevel="0" collapsed="false">
      <c r="A225" s="12"/>
      <c r="B225" s="11"/>
      <c r="C225" s="12"/>
      <c r="D225" s="12"/>
      <c r="E225" s="12"/>
      <c r="F225" s="12"/>
      <c r="G225" s="12"/>
      <c r="H225" s="17"/>
      <c r="I225" s="18"/>
      <c r="J225" s="17"/>
      <c r="K225" s="17"/>
      <c r="L225" s="17"/>
      <c r="M225" s="18"/>
      <c r="N225" s="17"/>
      <c r="O225" s="17"/>
      <c r="P225" s="21" t="str">
        <f aca="false">IF(OR(H225="",L225=""),"",IF(AND(H225&gt;=Variables!$E$2,L225&gt;=Variables!$E$2),"Yes","No"))</f>
        <v/>
      </c>
      <c r="Q225" s="19" t="str">
        <f aca="false">IF(OR(I225="",M225="",I225=0),"",(M225-I225)/I225)</f>
        <v/>
      </c>
      <c r="R225" s="21" t="str">
        <f aca="false">IF(P225="","",IF(P225="No","Extend 24 h",IF(Q225&gt;=Variables!$E$3,"B","A")))</f>
        <v/>
      </c>
      <c r="S225" s="21" t="str">
        <f aca="false">IF(R225="B","Yes: add to Constants",IF(R225="A","No",""))</f>
        <v/>
      </c>
      <c r="T225" s="11"/>
      <c r="U225" s="12"/>
    </row>
    <row r="226" customFormat="false" ht="15" hidden="false" customHeight="false" outlineLevel="0" collapsed="false">
      <c r="A226" s="12"/>
      <c r="B226" s="11"/>
      <c r="C226" s="12"/>
      <c r="D226" s="12"/>
      <c r="E226" s="12"/>
      <c r="F226" s="12"/>
      <c r="G226" s="12"/>
      <c r="H226" s="17"/>
      <c r="I226" s="18"/>
      <c r="J226" s="17"/>
      <c r="K226" s="17"/>
      <c r="L226" s="17"/>
      <c r="M226" s="18"/>
      <c r="N226" s="17"/>
      <c r="O226" s="17"/>
      <c r="P226" s="21" t="str">
        <f aca="false">IF(OR(H226="",L226=""),"",IF(AND(H226&gt;=Variables!$E$2,L226&gt;=Variables!$E$2),"Yes","No"))</f>
        <v/>
      </c>
      <c r="Q226" s="19" t="str">
        <f aca="false">IF(OR(I226="",M226="",I226=0),"",(M226-I226)/I226)</f>
        <v/>
      </c>
      <c r="R226" s="21" t="str">
        <f aca="false">IF(P226="","",IF(P226="No","Extend 24 h",IF(Q226&gt;=Variables!$E$3,"B","A")))</f>
        <v/>
      </c>
      <c r="S226" s="21" t="str">
        <f aca="false">IF(R226="B","Yes: add to Constants",IF(R226="A","No",""))</f>
        <v/>
      </c>
      <c r="T226" s="11"/>
      <c r="U226" s="12"/>
    </row>
    <row r="227" customFormat="false" ht="15" hidden="false" customHeight="false" outlineLevel="0" collapsed="false">
      <c r="A227" s="12"/>
      <c r="B227" s="11"/>
      <c r="C227" s="12"/>
      <c r="D227" s="12"/>
      <c r="E227" s="12"/>
      <c r="F227" s="12"/>
      <c r="G227" s="12"/>
      <c r="H227" s="17"/>
      <c r="I227" s="18"/>
      <c r="J227" s="17"/>
      <c r="K227" s="17"/>
      <c r="L227" s="17"/>
      <c r="M227" s="18"/>
      <c r="N227" s="17"/>
      <c r="O227" s="17"/>
      <c r="P227" s="21" t="str">
        <f aca="false">IF(OR(H227="",L227=""),"",IF(AND(H227&gt;=Variables!$E$2,L227&gt;=Variables!$E$2),"Yes","No"))</f>
        <v/>
      </c>
      <c r="Q227" s="19" t="str">
        <f aca="false">IF(OR(I227="",M227="",I227=0),"",(M227-I227)/I227)</f>
        <v/>
      </c>
      <c r="R227" s="21" t="str">
        <f aca="false">IF(P227="","",IF(P227="No","Extend 24 h",IF(Q227&gt;=Variables!$E$3,"B","A")))</f>
        <v/>
      </c>
      <c r="S227" s="21" t="str">
        <f aca="false">IF(R227="B","Yes: add to Constants",IF(R227="A","No",""))</f>
        <v/>
      </c>
      <c r="T227" s="11"/>
      <c r="U227" s="12"/>
    </row>
    <row r="228" customFormat="false" ht="15" hidden="false" customHeight="false" outlineLevel="0" collapsed="false">
      <c r="A228" s="12"/>
      <c r="B228" s="11"/>
      <c r="C228" s="12"/>
      <c r="D228" s="12"/>
      <c r="E228" s="12"/>
      <c r="F228" s="12"/>
      <c r="G228" s="12"/>
      <c r="H228" s="17"/>
      <c r="I228" s="18"/>
      <c r="J228" s="17"/>
      <c r="K228" s="17"/>
      <c r="L228" s="17"/>
      <c r="M228" s="18"/>
      <c r="N228" s="17"/>
      <c r="O228" s="17"/>
      <c r="P228" s="21" t="str">
        <f aca="false">IF(OR(H228="",L228=""),"",IF(AND(H228&gt;=Variables!$E$2,L228&gt;=Variables!$E$2),"Yes","No"))</f>
        <v/>
      </c>
      <c r="Q228" s="19" t="str">
        <f aca="false">IF(OR(I228="",M228="",I228=0),"",(M228-I228)/I228)</f>
        <v/>
      </c>
      <c r="R228" s="21" t="str">
        <f aca="false">IF(P228="","",IF(P228="No","Extend 24 h",IF(Q228&gt;=Variables!$E$3,"B","A")))</f>
        <v/>
      </c>
      <c r="S228" s="21" t="str">
        <f aca="false">IF(R228="B","Yes: add to Constants",IF(R228="A","No",""))</f>
        <v/>
      </c>
      <c r="T228" s="11"/>
      <c r="U228" s="12"/>
    </row>
    <row r="229" customFormat="false" ht="15" hidden="false" customHeight="false" outlineLevel="0" collapsed="false">
      <c r="A229" s="12"/>
      <c r="B229" s="11"/>
      <c r="C229" s="12"/>
      <c r="D229" s="12"/>
      <c r="E229" s="12"/>
      <c r="F229" s="12"/>
      <c r="G229" s="12"/>
      <c r="H229" s="17"/>
      <c r="I229" s="18"/>
      <c r="J229" s="17"/>
      <c r="K229" s="17"/>
      <c r="L229" s="17"/>
      <c r="M229" s="18"/>
      <c r="N229" s="17"/>
      <c r="O229" s="17"/>
      <c r="P229" s="21" t="str">
        <f aca="false">IF(OR(H229="",L229=""),"",IF(AND(H229&gt;=Variables!$E$2,L229&gt;=Variables!$E$2),"Yes","No"))</f>
        <v/>
      </c>
      <c r="Q229" s="19" t="str">
        <f aca="false">IF(OR(I229="",M229="",I229=0),"",(M229-I229)/I229)</f>
        <v/>
      </c>
      <c r="R229" s="21" t="str">
        <f aca="false">IF(P229="","",IF(P229="No","Extend 24 h",IF(Q229&gt;=Variables!$E$3,"B","A")))</f>
        <v/>
      </c>
      <c r="S229" s="21" t="str">
        <f aca="false">IF(R229="B","Yes: add to Constants",IF(R229="A","No",""))</f>
        <v/>
      </c>
      <c r="T229" s="11"/>
      <c r="U229" s="12"/>
    </row>
    <row r="230" customFormat="false" ht="15" hidden="false" customHeight="false" outlineLevel="0" collapsed="false">
      <c r="A230" s="12"/>
      <c r="B230" s="11"/>
      <c r="C230" s="12"/>
      <c r="D230" s="12"/>
      <c r="E230" s="12"/>
      <c r="F230" s="12"/>
      <c r="G230" s="12"/>
      <c r="H230" s="17"/>
      <c r="I230" s="18"/>
      <c r="J230" s="17"/>
      <c r="K230" s="17"/>
      <c r="L230" s="17"/>
      <c r="M230" s="18"/>
      <c r="N230" s="17"/>
      <c r="O230" s="17"/>
      <c r="P230" s="21" t="str">
        <f aca="false">IF(OR(H230="",L230=""),"",IF(AND(H230&gt;=Variables!$E$2,L230&gt;=Variables!$E$2),"Yes","No"))</f>
        <v/>
      </c>
      <c r="Q230" s="19" t="str">
        <f aca="false">IF(OR(I230="",M230="",I230=0),"",(M230-I230)/I230)</f>
        <v/>
      </c>
      <c r="R230" s="21" t="str">
        <f aca="false">IF(P230="","",IF(P230="No","Extend 24 h",IF(Q230&gt;=Variables!$E$3,"B","A")))</f>
        <v/>
      </c>
      <c r="S230" s="21" t="str">
        <f aca="false">IF(R230="B","Yes: add to Constants",IF(R230="A","No",""))</f>
        <v/>
      </c>
      <c r="T230" s="11"/>
      <c r="U230" s="12"/>
    </row>
    <row r="231" customFormat="false" ht="15" hidden="false" customHeight="false" outlineLevel="0" collapsed="false">
      <c r="A231" s="12"/>
      <c r="B231" s="11"/>
      <c r="C231" s="12"/>
      <c r="D231" s="12"/>
      <c r="E231" s="12"/>
      <c r="F231" s="12"/>
      <c r="G231" s="12"/>
      <c r="H231" s="17"/>
      <c r="I231" s="18"/>
      <c r="J231" s="17"/>
      <c r="K231" s="17"/>
      <c r="L231" s="17"/>
      <c r="M231" s="18"/>
      <c r="N231" s="17"/>
      <c r="O231" s="17"/>
      <c r="P231" s="21" t="str">
        <f aca="false">IF(OR(H231="",L231=""),"",IF(AND(H231&gt;=Variables!$E$2,L231&gt;=Variables!$E$2),"Yes","No"))</f>
        <v/>
      </c>
      <c r="Q231" s="19" t="str">
        <f aca="false">IF(OR(I231="",M231="",I231=0),"",(M231-I231)/I231)</f>
        <v/>
      </c>
      <c r="R231" s="21" t="str">
        <f aca="false">IF(P231="","",IF(P231="No","Extend 24 h",IF(Q231&gt;=Variables!$E$3,"B","A")))</f>
        <v/>
      </c>
      <c r="S231" s="21" t="str">
        <f aca="false">IF(R231="B","Yes: add to Constants",IF(R231="A","No",""))</f>
        <v/>
      </c>
      <c r="T231" s="11"/>
      <c r="U231" s="12"/>
    </row>
    <row r="232" customFormat="false" ht="15" hidden="false" customHeight="false" outlineLevel="0" collapsed="false">
      <c r="A232" s="12"/>
      <c r="B232" s="11"/>
      <c r="C232" s="12"/>
      <c r="D232" s="12"/>
      <c r="E232" s="12"/>
      <c r="F232" s="12"/>
      <c r="G232" s="12"/>
      <c r="H232" s="17"/>
      <c r="I232" s="18"/>
      <c r="J232" s="17"/>
      <c r="K232" s="17"/>
      <c r="L232" s="17"/>
      <c r="M232" s="18"/>
      <c r="N232" s="17"/>
      <c r="O232" s="17"/>
      <c r="P232" s="21" t="str">
        <f aca="false">IF(OR(H232="",L232=""),"",IF(AND(H232&gt;=Variables!$E$2,L232&gt;=Variables!$E$2),"Yes","No"))</f>
        <v/>
      </c>
      <c r="Q232" s="19" t="str">
        <f aca="false">IF(OR(I232="",M232="",I232=0),"",(M232-I232)/I232)</f>
        <v/>
      </c>
      <c r="R232" s="21" t="str">
        <f aca="false">IF(P232="","",IF(P232="No","Extend 24 h",IF(Q232&gt;=Variables!$E$3,"B","A")))</f>
        <v/>
      </c>
      <c r="S232" s="21" t="str">
        <f aca="false">IF(R232="B","Yes: add to Constants",IF(R232="A","No",""))</f>
        <v/>
      </c>
      <c r="T232" s="11"/>
      <c r="U232" s="12"/>
    </row>
    <row r="233" customFormat="false" ht="15" hidden="false" customHeight="false" outlineLevel="0" collapsed="false">
      <c r="A233" s="12"/>
      <c r="B233" s="11"/>
      <c r="C233" s="12"/>
      <c r="D233" s="12"/>
      <c r="E233" s="12"/>
      <c r="F233" s="12"/>
      <c r="G233" s="12"/>
      <c r="H233" s="17"/>
      <c r="I233" s="18"/>
      <c r="J233" s="17"/>
      <c r="K233" s="17"/>
      <c r="L233" s="17"/>
      <c r="M233" s="18"/>
      <c r="N233" s="17"/>
      <c r="O233" s="17"/>
      <c r="P233" s="21" t="str">
        <f aca="false">IF(OR(H233="",L233=""),"",IF(AND(H233&gt;=Variables!$E$2,L233&gt;=Variables!$E$2),"Yes","No"))</f>
        <v/>
      </c>
      <c r="Q233" s="19" t="str">
        <f aca="false">IF(OR(I233="",M233="",I233=0),"",(M233-I233)/I233)</f>
        <v/>
      </c>
      <c r="R233" s="21" t="str">
        <f aca="false">IF(P233="","",IF(P233="No","Extend 24 h",IF(Q233&gt;=Variables!$E$3,"B","A")))</f>
        <v/>
      </c>
      <c r="S233" s="21" t="str">
        <f aca="false">IF(R233="B","Yes: add to Constants",IF(R233="A","No",""))</f>
        <v/>
      </c>
      <c r="T233" s="11"/>
      <c r="U233" s="12"/>
    </row>
    <row r="234" customFormat="false" ht="15" hidden="false" customHeight="false" outlineLevel="0" collapsed="false">
      <c r="A234" s="12"/>
      <c r="B234" s="11"/>
      <c r="C234" s="12"/>
      <c r="D234" s="12"/>
      <c r="E234" s="12"/>
      <c r="F234" s="12"/>
      <c r="G234" s="12"/>
      <c r="H234" s="17"/>
      <c r="I234" s="18"/>
      <c r="J234" s="17"/>
      <c r="K234" s="17"/>
      <c r="L234" s="17"/>
      <c r="M234" s="18"/>
      <c r="N234" s="17"/>
      <c r="O234" s="17"/>
      <c r="P234" s="21" t="str">
        <f aca="false">IF(OR(H234="",L234=""),"",IF(AND(H234&gt;=Variables!$E$2,L234&gt;=Variables!$E$2),"Yes","No"))</f>
        <v/>
      </c>
      <c r="Q234" s="19" t="str">
        <f aca="false">IF(OR(I234="",M234="",I234=0),"",(M234-I234)/I234)</f>
        <v/>
      </c>
      <c r="R234" s="21" t="str">
        <f aca="false">IF(P234="","",IF(P234="No","Extend 24 h",IF(Q234&gt;=Variables!$E$3,"B","A")))</f>
        <v/>
      </c>
      <c r="S234" s="21" t="str">
        <f aca="false">IF(R234="B","Yes: add to Constants",IF(R234="A","No",""))</f>
        <v/>
      </c>
      <c r="T234" s="11"/>
      <c r="U234" s="12"/>
    </row>
    <row r="235" customFormat="false" ht="15" hidden="false" customHeight="false" outlineLevel="0" collapsed="false">
      <c r="A235" s="12"/>
      <c r="B235" s="11"/>
      <c r="C235" s="12"/>
      <c r="D235" s="12"/>
      <c r="E235" s="12"/>
      <c r="F235" s="12"/>
      <c r="G235" s="12"/>
      <c r="H235" s="17"/>
      <c r="I235" s="18"/>
      <c r="J235" s="17"/>
      <c r="K235" s="17"/>
      <c r="L235" s="17"/>
      <c r="M235" s="18"/>
      <c r="N235" s="17"/>
      <c r="O235" s="17"/>
      <c r="P235" s="21" t="str">
        <f aca="false">IF(OR(H235="",L235=""),"",IF(AND(H235&gt;=Variables!$E$2,L235&gt;=Variables!$E$2),"Yes","No"))</f>
        <v/>
      </c>
      <c r="Q235" s="19" t="str">
        <f aca="false">IF(OR(I235="",M235="",I235=0),"",(M235-I235)/I235)</f>
        <v/>
      </c>
      <c r="R235" s="21" t="str">
        <f aca="false">IF(P235="","",IF(P235="No","Extend 24 h",IF(Q235&gt;=Variables!$E$3,"B","A")))</f>
        <v/>
      </c>
      <c r="S235" s="21" t="str">
        <f aca="false">IF(R235="B","Yes: add to Constants",IF(R235="A","No",""))</f>
        <v/>
      </c>
      <c r="T235" s="11"/>
      <c r="U235" s="12"/>
    </row>
    <row r="236" customFormat="false" ht="15" hidden="false" customHeight="false" outlineLevel="0" collapsed="false">
      <c r="A236" s="12"/>
      <c r="B236" s="11"/>
      <c r="C236" s="12"/>
      <c r="D236" s="12"/>
      <c r="E236" s="12"/>
      <c r="F236" s="12"/>
      <c r="G236" s="12"/>
      <c r="H236" s="17"/>
      <c r="I236" s="18"/>
      <c r="J236" s="17"/>
      <c r="K236" s="17"/>
      <c r="L236" s="17"/>
      <c r="M236" s="18"/>
      <c r="N236" s="17"/>
      <c r="O236" s="17"/>
      <c r="P236" s="21" t="str">
        <f aca="false">IF(OR(H236="",L236=""),"",IF(AND(H236&gt;=Variables!$E$2,L236&gt;=Variables!$E$2),"Yes","No"))</f>
        <v/>
      </c>
      <c r="Q236" s="19" t="str">
        <f aca="false">IF(OR(I236="",M236="",I236=0),"",(M236-I236)/I236)</f>
        <v/>
      </c>
      <c r="R236" s="21" t="str">
        <f aca="false">IF(P236="","",IF(P236="No","Extend 24 h",IF(Q236&gt;=Variables!$E$3,"B","A")))</f>
        <v/>
      </c>
      <c r="S236" s="21" t="str">
        <f aca="false">IF(R236="B","Yes: add to Constants",IF(R236="A","No",""))</f>
        <v/>
      </c>
      <c r="T236" s="11"/>
      <c r="U236" s="12"/>
    </row>
    <row r="237" customFormat="false" ht="15" hidden="false" customHeight="false" outlineLevel="0" collapsed="false">
      <c r="A237" s="12"/>
      <c r="B237" s="11"/>
      <c r="C237" s="12"/>
      <c r="D237" s="12"/>
      <c r="E237" s="12"/>
      <c r="F237" s="12"/>
      <c r="G237" s="12"/>
      <c r="H237" s="17"/>
      <c r="I237" s="18"/>
      <c r="J237" s="17"/>
      <c r="K237" s="17"/>
      <c r="L237" s="17"/>
      <c r="M237" s="18"/>
      <c r="N237" s="17"/>
      <c r="O237" s="17"/>
      <c r="P237" s="21" t="str">
        <f aca="false">IF(OR(H237="",L237=""),"",IF(AND(H237&gt;=Variables!$E$2,L237&gt;=Variables!$E$2),"Yes","No"))</f>
        <v/>
      </c>
      <c r="Q237" s="19" t="str">
        <f aca="false">IF(OR(I237="",M237="",I237=0),"",(M237-I237)/I237)</f>
        <v/>
      </c>
      <c r="R237" s="21" t="str">
        <f aca="false">IF(P237="","",IF(P237="No","Extend 24 h",IF(Q237&gt;=Variables!$E$3,"B","A")))</f>
        <v/>
      </c>
      <c r="S237" s="21" t="str">
        <f aca="false">IF(R237="B","Yes: add to Constants",IF(R237="A","No",""))</f>
        <v/>
      </c>
      <c r="T237" s="11"/>
      <c r="U237" s="12"/>
    </row>
    <row r="238" customFormat="false" ht="15" hidden="false" customHeight="false" outlineLevel="0" collapsed="false">
      <c r="A238" s="12"/>
      <c r="B238" s="11"/>
      <c r="C238" s="12"/>
      <c r="D238" s="12"/>
      <c r="E238" s="12"/>
      <c r="F238" s="12"/>
      <c r="G238" s="12"/>
      <c r="H238" s="17"/>
      <c r="I238" s="18"/>
      <c r="J238" s="17"/>
      <c r="K238" s="17"/>
      <c r="L238" s="17"/>
      <c r="M238" s="18"/>
      <c r="N238" s="17"/>
      <c r="O238" s="17"/>
      <c r="P238" s="21" t="str">
        <f aca="false">IF(OR(H238="",L238=""),"",IF(AND(H238&gt;=Variables!$E$2,L238&gt;=Variables!$E$2),"Yes","No"))</f>
        <v/>
      </c>
      <c r="Q238" s="19" t="str">
        <f aca="false">IF(OR(I238="",M238="",I238=0),"",(M238-I238)/I238)</f>
        <v/>
      </c>
      <c r="R238" s="21" t="str">
        <f aca="false">IF(P238="","",IF(P238="No","Extend 24 h",IF(Q238&gt;=Variables!$E$3,"B","A")))</f>
        <v/>
      </c>
      <c r="S238" s="21" t="str">
        <f aca="false">IF(R238="B","Yes: add to Constants",IF(R238="A","No",""))</f>
        <v/>
      </c>
      <c r="T238" s="11"/>
      <c r="U238" s="12"/>
    </row>
    <row r="239" customFormat="false" ht="15" hidden="false" customHeight="false" outlineLevel="0" collapsed="false">
      <c r="A239" s="12"/>
      <c r="B239" s="11"/>
      <c r="C239" s="12"/>
      <c r="D239" s="12"/>
      <c r="E239" s="12"/>
      <c r="F239" s="12"/>
      <c r="G239" s="12"/>
      <c r="H239" s="17"/>
      <c r="I239" s="18"/>
      <c r="J239" s="17"/>
      <c r="K239" s="17"/>
      <c r="L239" s="17"/>
      <c r="M239" s="18"/>
      <c r="N239" s="17"/>
      <c r="O239" s="17"/>
      <c r="P239" s="21" t="str">
        <f aca="false">IF(OR(H239="",L239=""),"",IF(AND(H239&gt;=Variables!$E$2,L239&gt;=Variables!$E$2),"Yes","No"))</f>
        <v/>
      </c>
      <c r="Q239" s="19" t="str">
        <f aca="false">IF(OR(I239="",M239="",I239=0),"",(M239-I239)/I239)</f>
        <v/>
      </c>
      <c r="R239" s="21" t="str">
        <f aca="false">IF(P239="","",IF(P239="No","Extend 24 h",IF(Q239&gt;=Variables!$E$3,"B","A")))</f>
        <v/>
      </c>
      <c r="S239" s="21" t="str">
        <f aca="false">IF(R239="B","Yes: add to Constants",IF(R239="A","No",""))</f>
        <v/>
      </c>
      <c r="T239" s="11"/>
      <c r="U239" s="12"/>
    </row>
    <row r="240" customFormat="false" ht="15" hidden="false" customHeight="false" outlineLevel="0" collapsed="false">
      <c r="A240" s="12"/>
      <c r="B240" s="11"/>
      <c r="C240" s="12"/>
      <c r="D240" s="12"/>
      <c r="E240" s="12"/>
      <c r="F240" s="12"/>
      <c r="G240" s="12"/>
      <c r="H240" s="17"/>
      <c r="I240" s="18"/>
      <c r="J240" s="17"/>
      <c r="K240" s="17"/>
      <c r="L240" s="17"/>
      <c r="M240" s="18"/>
      <c r="N240" s="17"/>
      <c r="O240" s="17"/>
      <c r="P240" s="21" t="str">
        <f aca="false">IF(OR(H240="",L240=""),"",IF(AND(H240&gt;=Variables!$E$2,L240&gt;=Variables!$E$2),"Yes","No"))</f>
        <v/>
      </c>
      <c r="Q240" s="19" t="str">
        <f aca="false">IF(OR(I240="",M240="",I240=0),"",(M240-I240)/I240)</f>
        <v/>
      </c>
      <c r="R240" s="21" t="str">
        <f aca="false">IF(P240="","",IF(P240="No","Extend 24 h",IF(Q240&gt;=Variables!$E$3,"B","A")))</f>
        <v/>
      </c>
      <c r="S240" s="21" t="str">
        <f aca="false">IF(R240="B","Yes: add to Constants",IF(R240="A","No",""))</f>
        <v/>
      </c>
      <c r="T240" s="11"/>
      <c r="U240" s="12"/>
    </row>
    <row r="241" customFormat="false" ht="15" hidden="false" customHeight="false" outlineLevel="0" collapsed="false">
      <c r="A241" s="12"/>
      <c r="B241" s="11"/>
      <c r="C241" s="12"/>
      <c r="D241" s="12"/>
      <c r="E241" s="12"/>
      <c r="F241" s="12"/>
      <c r="G241" s="12"/>
      <c r="H241" s="17"/>
      <c r="I241" s="18"/>
      <c r="J241" s="17"/>
      <c r="K241" s="17"/>
      <c r="L241" s="17"/>
      <c r="M241" s="18"/>
      <c r="N241" s="17"/>
      <c r="O241" s="17"/>
      <c r="P241" s="21" t="str">
        <f aca="false">IF(OR(H241="",L241=""),"",IF(AND(H241&gt;=Variables!$E$2,L241&gt;=Variables!$E$2),"Yes","No"))</f>
        <v/>
      </c>
      <c r="Q241" s="19" t="str">
        <f aca="false">IF(OR(I241="",M241="",I241=0),"",(M241-I241)/I241)</f>
        <v/>
      </c>
      <c r="R241" s="21" t="str">
        <f aca="false">IF(P241="","",IF(P241="No","Extend 24 h",IF(Q241&gt;=Variables!$E$3,"B","A")))</f>
        <v/>
      </c>
      <c r="S241" s="21" t="str">
        <f aca="false">IF(R241="B","Yes: add to Constants",IF(R241="A","No",""))</f>
        <v/>
      </c>
      <c r="T241" s="11"/>
      <c r="U241" s="12"/>
    </row>
    <row r="242" customFormat="false" ht="15" hidden="false" customHeight="false" outlineLevel="0" collapsed="false">
      <c r="A242" s="12"/>
      <c r="B242" s="11"/>
      <c r="C242" s="12"/>
      <c r="D242" s="12"/>
      <c r="E242" s="12"/>
      <c r="F242" s="12"/>
      <c r="G242" s="12"/>
      <c r="H242" s="17"/>
      <c r="I242" s="18"/>
      <c r="J242" s="17"/>
      <c r="K242" s="17"/>
      <c r="L242" s="17"/>
      <c r="M242" s="18"/>
      <c r="N242" s="17"/>
      <c r="O242" s="17"/>
      <c r="P242" s="21" t="str">
        <f aca="false">IF(OR(H242="",L242=""),"",IF(AND(H242&gt;=Variables!$E$2,L242&gt;=Variables!$E$2),"Yes","No"))</f>
        <v/>
      </c>
      <c r="Q242" s="19" t="str">
        <f aca="false">IF(OR(I242="",M242="",I242=0),"",(M242-I242)/I242)</f>
        <v/>
      </c>
      <c r="R242" s="21" t="str">
        <f aca="false">IF(P242="","",IF(P242="No","Extend 24 h",IF(Q242&gt;=Variables!$E$3,"B","A")))</f>
        <v/>
      </c>
      <c r="S242" s="21" t="str">
        <f aca="false">IF(R242="B","Yes: add to Constants",IF(R242="A","No",""))</f>
        <v/>
      </c>
      <c r="T242" s="11"/>
      <c r="U242" s="12"/>
    </row>
    <row r="243" customFormat="false" ht="15" hidden="false" customHeight="false" outlineLevel="0" collapsed="false">
      <c r="A243" s="12"/>
      <c r="B243" s="11"/>
      <c r="C243" s="12"/>
      <c r="D243" s="12"/>
      <c r="E243" s="12"/>
      <c r="F243" s="12"/>
      <c r="G243" s="12"/>
      <c r="H243" s="17"/>
      <c r="I243" s="18"/>
      <c r="J243" s="17"/>
      <c r="K243" s="17"/>
      <c r="L243" s="17"/>
      <c r="M243" s="18"/>
      <c r="N243" s="17"/>
      <c r="O243" s="17"/>
      <c r="P243" s="21" t="str">
        <f aca="false">IF(OR(H243="",L243=""),"",IF(AND(H243&gt;=Variables!$E$2,L243&gt;=Variables!$E$2),"Yes","No"))</f>
        <v/>
      </c>
      <c r="Q243" s="19" t="str">
        <f aca="false">IF(OR(I243="",M243="",I243=0),"",(M243-I243)/I243)</f>
        <v/>
      </c>
      <c r="R243" s="21" t="str">
        <f aca="false">IF(P243="","",IF(P243="No","Extend 24 h",IF(Q243&gt;=Variables!$E$3,"B","A")))</f>
        <v/>
      </c>
      <c r="S243" s="21" t="str">
        <f aca="false">IF(R243="B","Yes: add to Constants",IF(R243="A","No",""))</f>
        <v/>
      </c>
      <c r="T243" s="11"/>
      <c r="U243" s="12"/>
    </row>
    <row r="244" customFormat="false" ht="15" hidden="false" customHeight="false" outlineLevel="0" collapsed="false">
      <c r="A244" s="12"/>
      <c r="B244" s="11"/>
      <c r="C244" s="12"/>
      <c r="D244" s="12"/>
      <c r="E244" s="12"/>
      <c r="F244" s="12"/>
      <c r="G244" s="12"/>
      <c r="H244" s="17"/>
      <c r="I244" s="18"/>
      <c r="J244" s="17"/>
      <c r="K244" s="17"/>
      <c r="L244" s="17"/>
      <c r="M244" s="18"/>
      <c r="N244" s="17"/>
      <c r="O244" s="17"/>
      <c r="P244" s="21" t="str">
        <f aca="false">IF(OR(H244="",L244=""),"",IF(AND(H244&gt;=Variables!$E$2,L244&gt;=Variables!$E$2),"Yes","No"))</f>
        <v/>
      </c>
      <c r="Q244" s="19" t="str">
        <f aca="false">IF(OR(I244="",M244="",I244=0),"",(M244-I244)/I244)</f>
        <v/>
      </c>
      <c r="R244" s="21" t="str">
        <f aca="false">IF(P244="","",IF(P244="No","Extend 24 h",IF(Q244&gt;=Variables!$E$3,"B","A")))</f>
        <v/>
      </c>
      <c r="S244" s="21" t="str">
        <f aca="false">IF(R244="B","Yes: add to Constants",IF(R244="A","No",""))</f>
        <v/>
      </c>
      <c r="T244" s="11"/>
      <c r="U244" s="12"/>
    </row>
    <row r="245" customFormat="false" ht="15" hidden="false" customHeight="false" outlineLevel="0" collapsed="false">
      <c r="A245" s="12"/>
      <c r="B245" s="11"/>
      <c r="C245" s="12"/>
      <c r="D245" s="12"/>
      <c r="E245" s="12"/>
      <c r="F245" s="12"/>
      <c r="G245" s="12"/>
      <c r="H245" s="17"/>
      <c r="I245" s="18"/>
      <c r="J245" s="17"/>
      <c r="K245" s="17"/>
      <c r="L245" s="17"/>
      <c r="M245" s="18"/>
      <c r="N245" s="17"/>
      <c r="O245" s="17"/>
      <c r="P245" s="21" t="str">
        <f aca="false">IF(OR(H245="",L245=""),"",IF(AND(H245&gt;=Variables!$E$2,L245&gt;=Variables!$E$2),"Yes","No"))</f>
        <v/>
      </c>
      <c r="Q245" s="19" t="str">
        <f aca="false">IF(OR(I245="",M245="",I245=0),"",(M245-I245)/I245)</f>
        <v/>
      </c>
      <c r="R245" s="21" t="str">
        <f aca="false">IF(P245="","",IF(P245="No","Extend 24 h",IF(Q245&gt;=Variables!$E$3,"B","A")))</f>
        <v/>
      </c>
      <c r="S245" s="21" t="str">
        <f aca="false">IF(R245="B","Yes: add to Constants",IF(R245="A","No",""))</f>
        <v/>
      </c>
      <c r="T245" s="11"/>
      <c r="U245" s="12"/>
    </row>
    <row r="246" customFormat="false" ht="15" hidden="false" customHeight="false" outlineLevel="0" collapsed="false">
      <c r="A246" s="12"/>
      <c r="B246" s="11"/>
      <c r="C246" s="12"/>
      <c r="D246" s="12"/>
      <c r="E246" s="12"/>
      <c r="F246" s="12"/>
      <c r="G246" s="12"/>
      <c r="H246" s="17"/>
      <c r="I246" s="18"/>
      <c r="J246" s="17"/>
      <c r="K246" s="17"/>
      <c r="L246" s="17"/>
      <c r="M246" s="18"/>
      <c r="N246" s="17"/>
      <c r="O246" s="17"/>
      <c r="P246" s="21" t="str">
        <f aca="false">IF(OR(H246="",L246=""),"",IF(AND(H246&gt;=Variables!$E$2,L246&gt;=Variables!$E$2),"Yes","No"))</f>
        <v/>
      </c>
      <c r="Q246" s="19" t="str">
        <f aca="false">IF(OR(I246="",M246="",I246=0),"",(M246-I246)/I246)</f>
        <v/>
      </c>
      <c r="R246" s="21" t="str">
        <f aca="false">IF(P246="","",IF(P246="No","Extend 24 h",IF(Q246&gt;=Variables!$E$3,"B","A")))</f>
        <v/>
      </c>
      <c r="S246" s="21" t="str">
        <f aca="false">IF(R246="B","Yes: add to Constants",IF(R246="A","No",""))</f>
        <v/>
      </c>
      <c r="T246" s="11"/>
      <c r="U246" s="12"/>
    </row>
    <row r="247" customFormat="false" ht="15" hidden="false" customHeight="false" outlineLevel="0" collapsed="false">
      <c r="A247" s="12"/>
      <c r="B247" s="11"/>
      <c r="C247" s="12"/>
      <c r="D247" s="12"/>
      <c r="E247" s="12"/>
      <c r="F247" s="12"/>
      <c r="G247" s="12"/>
      <c r="H247" s="17"/>
      <c r="I247" s="18"/>
      <c r="J247" s="17"/>
      <c r="K247" s="17"/>
      <c r="L247" s="17"/>
      <c r="M247" s="18"/>
      <c r="N247" s="17"/>
      <c r="O247" s="17"/>
      <c r="P247" s="21" t="str">
        <f aca="false">IF(OR(H247="",L247=""),"",IF(AND(H247&gt;=Variables!$E$2,L247&gt;=Variables!$E$2),"Yes","No"))</f>
        <v/>
      </c>
      <c r="Q247" s="19" t="str">
        <f aca="false">IF(OR(I247="",M247="",I247=0),"",(M247-I247)/I247)</f>
        <v/>
      </c>
      <c r="R247" s="21" t="str">
        <f aca="false">IF(P247="","",IF(P247="No","Extend 24 h",IF(Q247&gt;=Variables!$E$3,"B","A")))</f>
        <v/>
      </c>
      <c r="S247" s="21" t="str">
        <f aca="false">IF(R247="B","Yes: add to Constants",IF(R247="A","No",""))</f>
        <v/>
      </c>
      <c r="T247" s="11"/>
      <c r="U247" s="12"/>
    </row>
    <row r="248" customFormat="false" ht="15" hidden="false" customHeight="false" outlineLevel="0" collapsed="false">
      <c r="A248" s="12"/>
      <c r="B248" s="11"/>
      <c r="C248" s="12"/>
      <c r="D248" s="12"/>
      <c r="E248" s="12"/>
      <c r="F248" s="12"/>
      <c r="G248" s="12"/>
      <c r="H248" s="17"/>
      <c r="I248" s="18"/>
      <c r="J248" s="17"/>
      <c r="K248" s="17"/>
      <c r="L248" s="17"/>
      <c r="M248" s="18"/>
      <c r="N248" s="17"/>
      <c r="O248" s="17"/>
      <c r="P248" s="21" t="str">
        <f aca="false">IF(OR(H248="",L248=""),"",IF(AND(H248&gt;=Variables!$E$2,L248&gt;=Variables!$E$2),"Yes","No"))</f>
        <v/>
      </c>
      <c r="Q248" s="19" t="str">
        <f aca="false">IF(OR(I248="",M248="",I248=0),"",(M248-I248)/I248)</f>
        <v/>
      </c>
      <c r="R248" s="21" t="str">
        <f aca="false">IF(P248="","",IF(P248="No","Extend 24 h",IF(Q248&gt;=Variables!$E$3,"B","A")))</f>
        <v/>
      </c>
      <c r="S248" s="21" t="str">
        <f aca="false">IF(R248="B","Yes: add to Constants",IF(R248="A","No",""))</f>
        <v/>
      </c>
      <c r="T248" s="11"/>
      <c r="U248" s="12"/>
    </row>
    <row r="249" customFormat="false" ht="15" hidden="false" customHeight="false" outlineLevel="0" collapsed="false">
      <c r="A249" s="12"/>
      <c r="B249" s="11"/>
      <c r="C249" s="12"/>
      <c r="D249" s="12"/>
      <c r="E249" s="12"/>
      <c r="F249" s="12"/>
      <c r="G249" s="12"/>
      <c r="H249" s="17"/>
      <c r="I249" s="18"/>
      <c r="J249" s="17"/>
      <c r="K249" s="17"/>
      <c r="L249" s="17"/>
      <c r="M249" s="18"/>
      <c r="N249" s="17"/>
      <c r="O249" s="17"/>
      <c r="P249" s="21" t="str">
        <f aca="false">IF(OR(H249="",L249=""),"",IF(AND(H249&gt;=Variables!$E$2,L249&gt;=Variables!$E$2),"Yes","No"))</f>
        <v/>
      </c>
      <c r="Q249" s="19" t="str">
        <f aca="false">IF(OR(I249="",M249="",I249=0),"",(M249-I249)/I249)</f>
        <v/>
      </c>
      <c r="R249" s="21" t="str">
        <f aca="false">IF(P249="","",IF(P249="No","Extend 24 h",IF(Q249&gt;=Variables!$E$3,"B","A")))</f>
        <v/>
      </c>
      <c r="S249" s="21" t="str">
        <f aca="false">IF(R249="B","Yes: add to Constants",IF(R249="A","No",""))</f>
        <v/>
      </c>
      <c r="T249" s="11"/>
      <c r="U249" s="12"/>
    </row>
    <row r="250" customFormat="false" ht="15" hidden="false" customHeight="false" outlineLevel="0" collapsed="false">
      <c r="A250" s="12"/>
      <c r="B250" s="11"/>
      <c r="C250" s="12"/>
      <c r="D250" s="12"/>
      <c r="E250" s="12"/>
      <c r="F250" s="12"/>
      <c r="G250" s="12"/>
      <c r="H250" s="17"/>
      <c r="I250" s="18"/>
      <c r="J250" s="17"/>
      <c r="K250" s="17"/>
      <c r="L250" s="17"/>
      <c r="M250" s="18"/>
      <c r="N250" s="17"/>
      <c r="O250" s="17"/>
      <c r="P250" s="21" t="str">
        <f aca="false">IF(OR(H250="",L250=""),"",IF(AND(H250&gt;=Variables!$E$2,L250&gt;=Variables!$E$2),"Yes","No"))</f>
        <v/>
      </c>
      <c r="Q250" s="19" t="str">
        <f aca="false">IF(OR(I250="",M250="",I250=0),"",(M250-I250)/I250)</f>
        <v/>
      </c>
      <c r="R250" s="21" t="str">
        <f aca="false">IF(P250="","",IF(P250="No","Extend 24 h",IF(Q250&gt;=Variables!$E$3,"B","A")))</f>
        <v/>
      </c>
      <c r="S250" s="21" t="str">
        <f aca="false">IF(R250="B","Yes: add to Constants",IF(R250="A","No",""))</f>
        <v/>
      </c>
      <c r="T250" s="11"/>
      <c r="U250" s="12"/>
    </row>
    <row r="251" customFormat="false" ht="15" hidden="false" customHeight="false" outlineLevel="0" collapsed="false">
      <c r="A251" s="12"/>
      <c r="B251" s="11"/>
      <c r="C251" s="12"/>
      <c r="D251" s="12"/>
      <c r="E251" s="12"/>
      <c r="F251" s="12"/>
      <c r="G251" s="12"/>
      <c r="H251" s="17"/>
      <c r="I251" s="18"/>
      <c r="J251" s="17"/>
      <c r="K251" s="17"/>
      <c r="L251" s="17"/>
      <c r="M251" s="18"/>
      <c r="N251" s="17"/>
      <c r="O251" s="17"/>
      <c r="P251" s="21" t="str">
        <f aca="false">IF(OR(H251="",L251=""),"",IF(AND(H251&gt;=Variables!$E$2,L251&gt;=Variables!$E$2),"Yes","No"))</f>
        <v/>
      </c>
      <c r="Q251" s="19" t="str">
        <f aca="false">IF(OR(I251="",M251="",I251=0),"",(M251-I251)/I251)</f>
        <v/>
      </c>
      <c r="R251" s="21" t="str">
        <f aca="false">IF(P251="","",IF(P251="No","Extend 24 h",IF(Q251&gt;=Variables!$E$3,"B","A")))</f>
        <v/>
      </c>
      <c r="S251" s="21" t="str">
        <f aca="false">IF(R251="B","Yes: add to Constants",IF(R251="A","No",""))</f>
        <v/>
      </c>
      <c r="T251" s="11"/>
      <c r="U251" s="12"/>
    </row>
    <row r="252" customFormat="false" ht="15" hidden="false" customHeight="false" outlineLevel="0" collapsed="false">
      <c r="A252" s="12"/>
      <c r="B252" s="11"/>
      <c r="C252" s="12"/>
      <c r="D252" s="12"/>
      <c r="E252" s="12"/>
      <c r="F252" s="12"/>
      <c r="G252" s="12"/>
      <c r="H252" s="17"/>
      <c r="I252" s="18"/>
      <c r="J252" s="17"/>
      <c r="K252" s="17"/>
      <c r="L252" s="17"/>
      <c r="M252" s="18"/>
      <c r="N252" s="17"/>
      <c r="O252" s="17"/>
      <c r="P252" s="21" t="str">
        <f aca="false">IF(OR(H252="",L252=""),"",IF(AND(H252&gt;=Variables!$E$2,L252&gt;=Variables!$E$2),"Yes","No"))</f>
        <v/>
      </c>
      <c r="Q252" s="19" t="str">
        <f aca="false">IF(OR(I252="",M252="",I252=0),"",(M252-I252)/I252)</f>
        <v/>
      </c>
      <c r="R252" s="21" t="str">
        <f aca="false">IF(P252="","",IF(P252="No","Extend 24 h",IF(Q252&gt;=Variables!$E$3,"B","A")))</f>
        <v/>
      </c>
      <c r="S252" s="21" t="str">
        <f aca="false">IF(R252="B","Yes: add to Constants",IF(R252="A","No",""))</f>
        <v/>
      </c>
      <c r="T252" s="11"/>
      <c r="U252" s="12"/>
    </row>
    <row r="253" customFormat="false" ht="15" hidden="false" customHeight="false" outlineLevel="0" collapsed="false">
      <c r="A253" s="12"/>
      <c r="B253" s="11"/>
      <c r="C253" s="12"/>
      <c r="D253" s="12"/>
      <c r="E253" s="12"/>
      <c r="F253" s="12"/>
      <c r="G253" s="12"/>
      <c r="H253" s="17"/>
      <c r="I253" s="18"/>
      <c r="J253" s="17"/>
      <c r="K253" s="17"/>
      <c r="L253" s="17"/>
      <c r="M253" s="18"/>
      <c r="N253" s="17"/>
      <c r="O253" s="17"/>
      <c r="P253" s="21" t="str">
        <f aca="false">IF(OR(H253="",L253=""),"",IF(AND(H253&gt;=Variables!$E$2,L253&gt;=Variables!$E$2),"Yes","No"))</f>
        <v/>
      </c>
      <c r="Q253" s="19" t="str">
        <f aca="false">IF(OR(I253="",M253="",I253=0),"",(M253-I253)/I253)</f>
        <v/>
      </c>
      <c r="R253" s="21" t="str">
        <f aca="false">IF(P253="","",IF(P253="No","Extend 24 h",IF(Q253&gt;=Variables!$E$3,"B","A")))</f>
        <v/>
      </c>
      <c r="S253" s="21" t="str">
        <f aca="false">IF(R253="B","Yes: add to Constants",IF(R253="A","No",""))</f>
        <v/>
      </c>
      <c r="T253" s="11"/>
      <c r="U253" s="12"/>
    </row>
    <row r="254" customFormat="false" ht="15" hidden="false" customHeight="false" outlineLevel="0" collapsed="false">
      <c r="A254" s="12"/>
      <c r="B254" s="11"/>
      <c r="C254" s="12"/>
      <c r="D254" s="12"/>
      <c r="E254" s="12"/>
      <c r="F254" s="12"/>
      <c r="G254" s="12"/>
      <c r="H254" s="17"/>
      <c r="I254" s="18"/>
      <c r="J254" s="17"/>
      <c r="K254" s="17"/>
      <c r="L254" s="17"/>
      <c r="M254" s="18"/>
      <c r="N254" s="17"/>
      <c r="O254" s="17"/>
      <c r="P254" s="21" t="str">
        <f aca="false">IF(OR(H254="",L254=""),"",IF(AND(H254&gt;=Variables!$E$2,L254&gt;=Variables!$E$2),"Yes","No"))</f>
        <v/>
      </c>
      <c r="Q254" s="19" t="str">
        <f aca="false">IF(OR(I254="",M254="",I254=0),"",(M254-I254)/I254)</f>
        <v/>
      </c>
      <c r="R254" s="21" t="str">
        <f aca="false">IF(P254="","",IF(P254="No","Extend 24 h",IF(Q254&gt;=Variables!$E$3,"B","A")))</f>
        <v/>
      </c>
      <c r="S254" s="21" t="str">
        <f aca="false">IF(R254="B","Yes: add to Constants",IF(R254="A","No",""))</f>
        <v/>
      </c>
      <c r="T254" s="11"/>
      <c r="U254" s="12"/>
    </row>
    <row r="255" customFormat="false" ht="15" hidden="false" customHeight="false" outlineLevel="0" collapsed="false">
      <c r="A255" s="12"/>
      <c r="B255" s="11"/>
      <c r="C255" s="12"/>
      <c r="D255" s="12"/>
      <c r="E255" s="12"/>
      <c r="F255" s="12"/>
      <c r="G255" s="12"/>
      <c r="H255" s="17"/>
      <c r="I255" s="18"/>
      <c r="J255" s="17"/>
      <c r="K255" s="17"/>
      <c r="L255" s="17"/>
      <c r="M255" s="18"/>
      <c r="N255" s="17"/>
      <c r="O255" s="17"/>
      <c r="P255" s="21" t="str">
        <f aca="false">IF(OR(H255="",L255=""),"",IF(AND(H255&gt;=Variables!$E$2,L255&gt;=Variables!$E$2),"Yes","No"))</f>
        <v/>
      </c>
      <c r="Q255" s="19" t="str">
        <f aca="false">IF(OR(I255="",M255="",I255=0),"",(M255-I255)/I255)</f>
        <v/>
      </c>
      <c r="R255" s="21" t="str">
        <f aca="false">IF(P255="","",IF(P255="No","Extend 24 h",IF(Q255&gt;=Variables!$E$3,"B","A")))</f>
        <v/>
      </c>
      <c r="S255" s="21" t="str">
        <f aca="false">IF(R255="B","Yes: add to Constants",IF(R255="A","No",""))</f>
        <v/>
      </c>
      <c r="T255" s="11"/>
      <c r="U255" s="12"/>
    </row>
    <row r="256" customFormat="false" ht="15" hidden="false" customHeight="false" outlineLevel="0" collapsed="false">
      <c r="A256" s="12"/>
      <c r="B256" s="11"/>
      <c r="C256" s="12"/>
      <c r="D256" s="12"/>
      <c r="E256" s="12"/>
      <c r="F256" s="12"/>
      <c r="G256" s="12"/>
      <c r="H256" s="17"/>
      <c r="I256" s="18"/>
      <c r="J256" s="17"/>
      <c r="K256" s="17"/>
      <c r="L256" s="17"/>
      <c r="M256" s="18"/>
      <c r="N256" s="17"/>
      <c r="O256" s="17"/>
      <c r="P256" s="21" t="str">
        <f aca="false">IF(OR(H256="",L256=""),"",IF(AND(H256&gt;=Variables!$E$2,L256&gt;=Variables!$E$2),"Yes","No"))</f>
        <v/>
      </c>
      <c r="Q256" s="19" t="str">
        <f aca="false">IF(OR(I256="",M256="",I256=0),"",(M256-I256)/I256)</f>
        <v/>
      </c>
      <c r="R256" s="21" t="str">
        <f aca="false">IF(P256="","",IF(P256="No","Extend 24 h",IF(Q256&gt;=Variables!$E$3,"B","A")))</f>
        <v/>
      </c>
      <c r="S256" s="21" t="str">
        <f aca="false">IF(R256="B","Yes: add to Constants",IF(R256="A","No",""))</f>
        <v/>
      </c>
      <c r="T256" s="11"/>
      <c r="U256" s="12"/>
    </row>
    <row r="257" customFormat="false" ht="15" hidden="false" customHeight="false" outlineLevel="0" collapsed="false">
      <c r="A257" s="12"/>
      <c r="B257" s="11"/>
      <c r="C257" s="12"/>
      <c r="D257" s="12"/>
      <c r="E257" s="12"/>
      <c r="F257" s="12"/>
      <c r="G257" s="12"/>
      <c r="H257" s="17"/>
      <c r="I257" s="18"/>
      <c r="J257" s="17"/>
      <c r="K257" s="17"/>
      <c r="L257" s="17"/>
      <c r="M257" s="18"/>
      <c r="N257" s="17"/>
      <c r="O257" s="17"/>
      <c r="P257" s="21" t="str">
        <f aca="false">IF(OR(H257="",L257=""),"",IF(AND(H257&gt;=Variables!$E$2,L257&gt;=Variables!$E$2),"Yes","No"))</f>
        <v/>
      </c>
      <c r="Q257" s="19" t="str">
        <f aca="false">IF(OR(I257="",M257="",I257=0),"",(M257-I257)/I257)</f>
        <v/>
      </c>
      <c r="R257" s="21" t="str">
        <f aca="false">IF(P257="","",IF(P257="No","Extend 24 h",IF(Q257&gt;=Variables!$E$3,"B","A")))</f>
        <v/>
      </c>
      <c r="S257" s="21" t="str">
        <f aca="false">IF(R257="B","Yes: add to Constants",IF(R257="A","No",""))</f>
        <v/>
      </c>
      <c r="T257" s="11"/>
      <c r="U257" s="12"/>
    </row>
    <row r="258" customFormat="false" ht="15" hidden="false" customHeight="false" outlineLevel="0" collapsed="false">
      <c r="A258" s="12"/>
      <c r="B258" s="11"/>
      <c r="C258" s="12"/>
      <c r="D258" s="12"/>
      <c r="E258" s="12"/>
      <c r="F258" s="12"/>
      <c r="G258" s="12"/>
      <c r="H258" s="17"/>
      <c r="I258" s="18"/>
      <c r="J258" s="17"/>
      <c r="K258" s="17"/>
      <c r="L258" s="17"/>
      <c r="M258" s="18"/>
      <c r="N258" s="17"/>
      <c r="O258" s="17"/>
      <c r="P258" s="21" t="str">
        <f aca="false">IF(OR(H258="",L258=""),"",IF(AND(H258&gt;=Variables!$E$2,L258&gt;=Variables!$E$2),"Yes","No"))</f>
        <v/>
      </c>
      <c r="Q258" s="19" t="str">
        <f aca="false">IF(OR(I258="",M258="",I258=0),"",(M258-I258)/I258)</f>
        <v/>
      </c>
      <c r="R258" s="21" t="str">
        <f aca="false">IF(P258="","",IF(P258="No","Extend 24 h",IF(Q258&gt;=Variables!$E$3,"B","A")))</f>
        <v/>
      </c>
      <c r="S258" s="21" t="str">
        <f aca="false">IF(R258="B","Yes: add to Constants",IF(R258="A","No",""))</f>
        <v/>
      </c>
      <c r="T258" s="11"/>
      <c r="U258" s="12"/>
    </row>
    <row r="259" customFormat="false" ht="15" hidden="false" customHeight="false" outlineLevel="0" collapsed="false">
      <c r="A259" s="12"/>
      <c r="B259" s="11"/>
      <c r="C259" s="12"/>
      <c r="D259" s="12"/>
      <c r="E259" s="12"/>
      <c r="F259" s="12"/>
      <c r="G259" s="12"/>
      <c r="H259" s="17"/>
      <c r="I259" s="18"/>
      <c r="J259" s="17"/>
      <c r="K259" s="17"/>
      <c r="L259" s="17"/>
      <c r="M259" s="18"/>
      <c r="N259" s="17"/>
      <c r="O259" s="17"/>
      <c r="P259" s="21" t="str">
        <f aca="false">IF(OR(H259="",L259=""),"",IF(AND(H259&gt;=Variables!$E$2,L259&gt;=Variables!$E$2),"Yes","No"))</f>
        <v/>
      </c>
      <c r="Q259" s="19" t="str">
        <f aca="false">IF(OR(I259="",M259="",I259=0),"",(M259-I259)/I259)</f>
        <v/>
      </c>
      <c r="R259" s="21" t="str">
        <f aca="false">IF(P259="","",IF(P259="No","Extend 24 h",IF(Q259&gt;=Variables!$E$3,"B","A")))</f>
        <v/>
      </c>
      <c r="S259" s="21" t="str">
        <f aca="false">IF(R259="B","Yes: add to Constants",IF(R259="A","No",""))</f>
        <v/>
      </c>
      <c r="T259" s="11"/>
      <c r="U259" s="12"/>
    </row>
    <row r="260" customFormat="false" ht="15" hidden="false" customHeight="false" outlineLevel="0" collapsed="false">
      <c r="A260" s="12"/>
      <c r="B260" s="11"/>
      <c r="C260" s="12"/>
      <c r="D260" s="12"/>
      <c r="E260" s="12"/>
      <c r="F260" s="12"/>
      <c r="G260" s="12"/>
      <c r="H260" s="17"/>
      <c r="I260" s="18"/>
      <c r="J260" s="17"/>
      <c r="K260" s="17"/>
      <c r="L260" s="17"/>
      <c r="M260" s="18"/>
      <c r="N260" s="17"/>
      <c r="O260" s="17"/>
      <c r="P260" s="21" t="str">
        <f aca="false">IF(OR(H260="",L260=""),"",IF(AND(H260&gt;=Variables!$E$2,L260&gt;=Variables!$E$2),"Yes","No"))</f>
        <v/>
      </c>
      <c r="Q260" s="19" t="str">
        <f aca="false">IF(OR(I260="",M260="",I260=0),"",(M260-I260)/I260)</f>
        <v/>
      </c>
      <c r="R260" s="21" t="str">
        <f aca="false">IF(P260="","",IF(P260="No","Extend 24 h",IF(Q260&gt;=Variables!$E$3,"B","A")))</f>
        <v/>
      </c>
      <c r="S260" s="21" t="str">
        <f aca="false">IF(R260="B","Yes: add to Constants",IF(R260="A","No",""))</f>
        <v/>
      </c>
      <c r="T260" s="11"/>
      <c r="U260" s="12"/>
    </row>
    <row r="261" customFormat="false" ht="15" hidden="false" customHeight="false" outlineLevel="0" collapsed="false">
      <c r="A261" s="12"/>
      <c r="B261" s="11"/>
      <c r="C261" s="12"/>
      <c r="D261" s="12"/>
      <c r="E261" s="12"/>
      <c r="F261" s="12"/>
      <c r="G261" s="12"/>
      <c r="H261" s="17"/>
      <c r="I261" s="18"/>
      <c r="J261" s="17"/>
      <c r="K261" s="17"/>
      <c r="L261" s="17"/>
      <c r="M261" s="18"/>
      <c r="N261" s="17"/>
      <c r="O261" s="17"/>
      <c r="P261" s="21" t="str">
        <f aca="false">IF(OR(H261="",L261=""),"",IF(AND(H261&gt;=Variables!$E$2,L261&gt;=Variables!$E$2),"Yes","No"))</f>
        <v/>
      </c>
      <c r="Q261" s="19" t="str">
        <f aca="false">IF(OR(I261="",M261="",I261=0),"",(M261-I261)/I261)</f>
        <v/>
      </c>
      <c r="R261" s="21" t="str">
        <f aca="false">IF(P261="","",IF(P261="No","Extend 24 h",IF(Q261&gt;=Variables!$E$3,"B","A")))</f>
        <v/>
      </c>
      <c r="S261" s="21" t="str">
        <f aca="false">IF(R261="B","Yes: add to Constants",IF(R261="A","No",""))</f>
        <v/>
      </c>
      <c r="T261" s="11"/>
      <c r="U261" s="12"/>
    </row>
    <row r="262" customFormat="false" ht="15" hidden="false" customHeight="false" outlineLevel="0" collapsed="false">
      <c r="A262" s="12"/>
      <c r="B262" s="11"/>
      <c r="C262" s="12"/>
      <c r="D262" s="12"/>
      <c r="E262" s="12"/>
      <c r="F262" s="12"/>
      <c r="G262" s="12"/>
      <c r="H262" s="17"/>
      <c r="I262" s="18"/>
      <c r="J262" s="17"/>
      <c r="K262" s="17"/>
      <c r="L262" s="17"/>
      <c r="M262" s="18"/>
      <c r="N262" s="17"/>
      <c r="O262" s="17"/>
      <c r="P262" s="21" t="str">
        <f aca="false">IF(OR(H262="",L262=""),"",IF(AND(H262&gt;=Variables!$E$2,L262&gt;=Variables!$E$2),"Yes","No"))</f>
        <v/>
      </c>
      <c r="Q262" s="19" t="str">
        <f aca="false">IF(OR(I262="",M262="",I262=0),"",(M262-I262)/I262)</f>
        <v/>
      </c>
      <c r="R262" s="21" t="str">
        <f aca="false">IF(P262="","",IF(P262="No","Extend 24 h",IF(Q262&gt;=Variables!$E$3,"B","A")))</f>
        <v/>
      </c>
      <c r="S262" s="21" t="str">
        <f aca="false">IF(R262="B","Yes: add to Constants",IF(R262="A","No",""))</f>
        <v/>
      </c>
      <c r="T262" s="11"/>
      <c r="U262" s="12"/>
    </row>
    <row r="263" customFormat="false" ht="15" hidden="false" customHeight="false" outlineLevel="0" collapsed="false">
      <c r="A263" s="12"/>
      <c r="B263" s="11"/>
      <c r="C263" s="12"/>
      <c r="D263" s="12"/>
      <c r="E263" s="12"/>
      <c r="F263" s="12"/>
      <c r="G263" s="12"/>
      <c r="H263" s="17"/>
      <c r="I263" s="18"/>
      <c r="J263" s="17"/>
      <c r="K263" s="17"/>
      <c r="L263" s="17"/>
      <c r="M263" s="18"/>
      <c r="N263" s="17"/>
      <c r="O263" s="17"/>
      <c r="P263" s="21" t="str">
        <f aca="false">IF(OR(H263="",L263=""),"",IF(AND(H263&gt;=Variables!$E$2,L263&gt;=Variables!$E$2),"Yes","No"))</f>
        <v/>
      </c>
      <c r="Q263" s="19" t="str">
        <f aca="false">IF(OR(I263="",M263="",I263=0),"",(M263-I263)/I263)</f>
        <v/>
      </c>
      <c r="R263" s="21" t="str">
        <f aca="false">IF(P263="","",IF(P263="No","Extend 24 h",IF(Q263&gt;=Variables!$E$3,"B","A")))</f>
        <v/>
      </c>
      <c r="S263" s="21" t="str">
        <f aca="false">IF(R263="B","Yes: add to Constants",IF(R263="A","No",""))</f>
        <v/>
      </c>
      <c r="T263" s="11"/>
      <c r="U263" s="12"/>
    </row>
    <row r="264" customFormat="false" ht="15" hidden="false" customHeight="false" outlineLevel="0" collapsed="false">
      <c r="A264" s="12"/>
      <c r="B264" s="11"/>
      <c r="C264" s="12"/>
      <c r="D264" s="12"/>
      <c r="E264" s="12"/>
      <c r="F264" s="12"/>
      <c r="G264" s="12"/>
      <c r="H264" s="17"/>
      <c r="I264" s="18"/>
      <c r="J264" s="17"/>
      <c r="K264" s="17"/>
      <c r="L264" s="17"/>
      <c r="M264" s="18"/>
      <c r="N264" s="17"/>
      <c r="O264" s="17"/>
      <c r="P264" s="21" t="str">
        <f aca="false">IF(OR(H264="",L264=""),"",IF(AND(H264&gt;=Variables!$E$2,L264&gt;=Variables!$E$2),"Yes","No"))</f>
        <v/>
      </c>
      <c r="Q264" s="19" t="str">
        <f aca="false">IF(OR(I264="",M264="",I264=0),"",(M264-I264)/I264)</f>
        <v/>
      </c>
      <c r="R264" s="21" t="str">
        <f aca="false">IF(P264="","",IF(P264="No","Extend 24 h",IF(Q264&gt;=Variables!$E$3,"B","A")))</f>
        <v/>
      </c>
      <c r="S264" s="21" t="str">
        <f aca="false">IF(R264="B","Yes: add to Constants",IF(R264="A","No",""))</f>
        <v/>
      </c>
      <c r="T264" s="11"/>
      <c r="U264" s="12"/>
    </row>
    <row r="265" customFormat="false" ht="15" hidden="false" customHeight="false" outlineLevel="0" collapsed="false">
      <c r="A265" s="12"/>
      <c r="B265" s="11"/>
      <c r="C265" s="12"/>
      <c r="D265" s="12"/>
      <c r="E265" s="12"/>
      <c r="F265" s="12"/>
      <c r="G265" s="12"/>
      <c r="H265" s="17"/>
      <c r="I265" s="18"/>
      <c r="J265" s="17"/>
      <c r="K265" s="17"/>
      <c r="L265" s="17"/>
      <c r="M265" s="18"/>
      <c r="N265" s="17"/>
      <c r="O265" s="17"/>
      <c r="P265" s="21" t="str">
        <f aca="false">IF(OR(H265="",L265=""),"",IF(AND(H265&gt;=Variables!$E$2,L265&gt;=Variables!$E$2),"Yes","No"))</f>
        <v/>
      </c>
      <c r="Q265" s="19" t="str">
        <f aca="false">IF(OR(I265="",M265="",I265=0),"",(M265-I265)/I265)</f>
        <v/>
      </c>
      <c r="R265" s="21" t="str">
        <f aca="false">IF(P265="","",IF(P265="No","Extend 24 h",IF(Q265&gt;=Variables!$E$3,"B","A")))</f>
        <v/>
      </c>
      <c r="S265" s="21" t="str">
        <f aca="false">IF(R265="B","Yes: add to Constants",IF(R265="A","No",""))</f>
        <v/>
      </c>
      <c r="T265" s="11"/>
      <c r="U265" s="12"/>
    </row>
    <row r="266" customFormat="false" ht="15" hidden="false" customHeight="false" outlineLevel="0" collapsed="false">
      <c r="A266" s="12"/>
      <c r="B266" s="11"/>
      <c r="C266" s="12"/>
      <c r="D266" s="12"/>
      <c r="E266" s="12"/>
      <c r="F266" s="12"/>
      <c r="G266" s="12"/>
      <c r="H266" s="17"/>
      <c r="I266" s="18"/>
      <c r="J266" s="17"/>
      <c r="K266" s="17"/>
      <c r="L266" s="17"/>
      <c r="M266" s="18"/>
      <c r="N266" s="17"/>
      <c r="O266" s="17"/>
      <c r="P266" s="21" t="str">
        <f aca="false">IF(OR(H266="",L266=""),"",IF(AND(H266&gt;=Variables!$E$2,L266&gt;=Variables!$E$2),"Yes","No"))</f>
        <v/>
      </c>
      <c r="Q266" s="19" t="str">
        <f aca="false">IF(OR(I266="",M266="",I266=0),"",(M266-I266)/I266)</f>
        <v/>
      </c>
      <c r="R266" s="21" t="str">
        <f aca="false">IF(P266="","",IF(P266="No","Extend 24 h",IF(Q266&gt;=Variables!$E$3,"B","A")))</f>
        <v/>
      </c>
      <c r="S266" s="21" t="str">
        <f aca="false">IF(R266="B","Yes: add to Constants",IF(R266="A","No",""))</f>
        <v/>
      </c>
      <c r="T266" s="11"/>
      <c r="U266" s="12"/>
    </row>
    <row r="267" customFormat="false" ht="15" hidden="false" customHeight="false" outlineLevel="0" collapsed="false">
      <c r="A267" s="12"/>
      <c r="B267" s="11"/>
      <c r="C267" s="12"/>
      <c r="D267" s="12"/>
      <c r="E267" s="12"/>
      <c r="F267" s="12"/>
      <c r="G267" s="12"/>
      <c r="H267" s="17"/>
      <c r="I267" s="18"/>
      <c r="J267" s="17"/>
      <c r="K267" s="17"/>
      <c r="L267" s="17"/>
      <c r="M267" s="18"/>
      <c r="N267" s="17"/>
      <c r="O267" s="17"/>
      <c r="P267" s="21" t="str">
        <f aca="false">IF(OR(H267="",L267=""),"",IF(AND(H267&gt;=Variables!$E$2,L267&gt;=Variables!$E$2),"Yes","No"))</f>
        <v/>
      </c>
      <c r="Q267" s="19" t="str">
        <f aca="false">IF(OR(I267="",M267="",I267=0),"",(M267-I267)/I267)</f>
        <v/>
      </c>
      <c r="R267" s="21" t="str">
        <f aca="false">IF(P267="","",IF(P267="No","Extend 24 h",IF(Q267&gt;=Variables!$E$3,"B","A")))</f>
        <v/>
      </c>
      <c r="S267" s="21" t="str">
        <f aca="false">IF(R267="B","Yes: add to Constants",IF(R267="A","No",""))</f>
        <v/>
      </c>
      <c r="T267" s="11"/>
      <c r="U267" s="12"/>
    </row>
    <row r="268" customFormat="false" ht="15" hidden="false" customHeight="false" outlineLevel="0" collapsed="false">
      <c r="A268" s="12"/>
      <c r="B268" s="11"/>
      <c r="C268" s="12"/>
      <c r="D268" s="12"/>
      <c r="E268" s="12"/>
      <c r="F268" s="12"/>
      <c r="G268" s="12"/>
      <c r="H268" s="17"/>
      <c r="I268" s="18"/>
      <c r="J268" s="17"/>
      <c r="K268" s="17"/>
      <c r="L268" s="17"/>
      <c r="M268" s="18"/>
      <c r="N268" s="17"/>
      <c r="O268" s="17"/>
      <c r="P268" s="21" t="str">
        <f aca="false">IF(OR(H268="",L268=""),"",IF(AND(H268&gt;=Variables!$E$2,L268&gt;=Variables!$E$2),"Yes","No"))</f>
        <v/>
      </c>
      <c r="Q268" s="19" t="str">
        <f aca="false">IF(OR(I268="",M268="",I268=0),"",(M268-I268)/I268)</f>
        <v/>
      </c>
      <c r="R268" s="21" t="str">
        <f aca="false">IF(P268="","",IF(P268="No","Extend 24 h",IF(Q268&gt;=Variables!$E$3,"B","A")))</f>
        <v/>
      </c>
      <c r="S268" s="21" t="str">
        <f aca="false">IF(R268="B","Yes: add to Constants",IF(R268="A","No",""))</f>
        <v/>
      </c>
      <c r="T268" s="11"/>
      <c r="U268" s="12"/>
    </row>
    <row r="269" customFormat="false" ht="15" hidden="false" customHeight="false" outlineLevel="0" collapsed="false">
      <c r="A269" s="12"/>
      <c r="B269" s="11"/>
      <c r="C269" s="12"/>
      <c r="D269" s="12"/>
      <c r="E269" s="12"/>
      <c r="F269" s="12"/>
      <c r="G269" s="12"/>
      <c r="H269" s="17"/>
      <c r="I269" s="18"/>
      <c r="J269" s="17"/>
      <c r="K269" s="17"/>
      <c r="L269" s="17"/>
      <c r="M269" s="18"/>
      <c r="N269" s="17"/>
      <c r="O269" s="17"/>
      <c r="P269" s="21" t="str">
        <f aca="false">IF(OR(H269="",L269=""),"",IF(AND(H269&gt;=Variables!$E$2,L269&gt;=Variables!$E$2),"Yes","No"))</f>
        <v/>
      </c>
      <c r="Q269" s="19" t="str">
        <f aca="false">IF(OR(I269="",M269="",I269=0),"",(M269-I269)/I269)</f>
        <v/>
      </c>
      <c r="R269" s="21" t="str">
        <f aca="false">IF(P269="","",IF(P269="No","Extend 24 h",IF(Q269&gt;=Variables!$E$3,"B","A")))</f>
        <v/>
      </c>
      <c r="S269" s="21" t="str">
        <f aca="false">IF(R269="B","Yes: add to Constants",IF(R269="A","No",""))</f>
        <v/>
      </c>
      <c r="T269" s="11"/>
      <c r="U269" s="12"/>
    </row>
    <row r="270" customFormat="false" ht="15" hidden="false" customHeight="false" outlineLevel="0" collapsed="false">
      <c r="A270" s="12"/>
      <c r="B270" s="11"/>
      <c r="C270" s="12"/>
      <c r="D270" s="12"/>
      <c r="E270" s="12"/>
      <c r="F270" s="12"/>
      <c r="G270" s="12"/>
      <c r="H270" s="17"/>
      <c r="I270" s="18"/>
      <c r="J270" s="17"/>
      <c r="K270" s="17"/>
      <c r="L270" s="17"/>
      <c r="M270" s="18"/>
      <c r="N270" s="17"/>
      <c r="O270" s="17"/>
      <c r="P270" s="21" t="str">
        <f aca="false">IF(OR(H270="",L270=""),"",IF(AND(H270&gt;=Variables!$E$2,L270&gt;=Variables!$E$2),"Yes","No"))</f>
        <v/>
      </c>
      <c r="Q270" s="19" t="str">
        <f aca="false">IF(OR(I270="",M270="",I270=0),"",(M270-I270)/I270)</f>
        <v/>
      </c>
      <c r="R270" s="21" t="str">
        <f aca="false">IF(P270="","",IF(P270="No","Extend 24 h",IF(Q270&gt;=Variables!$E$3,"B","A")))</f>
        <v/>
      </c>
      <c r="S270" s="21" t="str">
        <f aca="false">IF(R270="B","Yes: add to Constants",IF(R270="A","No",""))</f>
        <v/>
      </c>
      <c r="T270" s="11"/>
      <c r="U270" s="12"/>
    </row>
    <row r="271" customFormat="false" ht="15" hidden="false" customHeight="false" outlineLevel="0" collapsed="false">
      <c r="A271" s="12"/>
      <c r="B271" s="11"/>
      <c r="C271" s="12"/>
      <c r="D271" s="12"/>
      <c r="E271" s="12"/>
      <c r="F271" s="12"/>
      <c r="G271" s="12"/>
      <c r="H271" s="17"/>
      <c r="I271" s="18"/>
      <c r="J271" s="17"/>
      <c r="K271" s="17"/>
      <c r="L271" s="17"/>
      <c r="M271" s="18"/>
      <c r="N271" s="17"/>
      <c r="O271" s="17"/>
      <c r="P271" s="21" t="str">
        <f aca="false">IF(OR(H271="",L271=""),"",IF(AND(H271&gt;=Variables!$E$2,L271&gt;=Variables!$E$2),"Yes","No"))</f>
        <v/>
      </c>
      <c r="Q271" s="19" t="str">
        <f aca="false">IF(OR(I271="",M271="",I271=0),"",(M271-I271)/I271)</f>
        <v/>
      </c>
      <c r="R271" s="21" t="str">
        <f aca="false">IF(P271="","",IF(P271="No","Extend 24 h",IF(Q271&gt;=Variables!$E$3,"B","A")))</f>
        <v/>
      </c>
      <c r="S271" s="21" t="str">
        <f aca="false">IF(R271="B","Yes: add to Constants",IF(R271="A","No",""))</f>
        <v/>
      </c>
      <c r="T271" s="11"/>
      <c r="U271" s="12"/>
    </row>
    <row r="272" customFormat="false" ht="15" hidden="false" customHeight="false" outlineLevel="0" collapsed="false">
      <c r="A272" s="12"/>
      <c r="B272" s="11"/>
      <c r="C272" s="12"/>
      <c r="D272" s="12"/>
      <c r="E272" s="12"/>
      <c r="F272" s="12"/>
      <c r="G272" s="12"/>
      <c r="H272" s="17"/>
      <c r="I272" s="18"/>
      <c r="J272" s="17"/>
      <c r="K272" s="17"/>
      <c r="L272" s="17"/>
      <c r="M272" s="18"/>
      <c r="N272" s="17"/>
      <c r="O272" s="17"/>
      <c r="P272" s="21" t="str">
        <f aca="false">IF(OR(H272="",L272=""),"",IF(AND(H272&gt;=Variables!$E$2,L272&gt;=Variables!$E$2),"Yes","No"))</f>
        <v/>
      </c>
      <c r="Q272" s="19" t="str">
        <f aca="false">IF(OR(I272="",M272="",I272=0),"",(M272-I272)/I272)</f>
        <v/>
      </c>
      <c r="R272" s="21" t="str">
        <f aca="false">IF(P272="","",IF(P272="No","Extend 24 h",IF(Q272&gt;=Variables!$E$3,"B","A")))</f>
        <v/>
      </c>
      <c r="S272" s="21" t="str">
        <f aca="false">IF(R272="B","Yes: add to Constants",IF(R272="A","No",""))</f>
        <v/>
      </c>
      <c r="T272" s="11"/>
      <c r="U272" s="12"/>
    </row>
    <row r="273" customFormat="false" ht="15" hidden="false" customHeight="false" outlineLevel="0" collapsed="false">
      <c r="A273" s="12"/>
      <c r="B273" s="11"/>
      <c r="C273" s="12"/>
      <c r="D273" s="12"/>
      <c r="E273" s="12"/>
      <c r="F273" s="12"/>
      <c r="G273" s="12"/>
      <c r="H273" s="17"/>
      <c r="I273" s="18"/>
      <c r="J273" s="17"/>
      <c r="K273" s="17"/>
      <c r="L273" s="17"/>
      <c r="M273" s="18"/>
      <c r="N273" s="17"/>
      <c r="O273" s="17"/>
      <c r="P273" s="21" t="str">
        <f aca="false">IF(OR(H273="",L273=""),"",IF(AND(H273&gt;=Variables!$E$2,L273&gt;=Variables!$E$2),"Yes","No"))</f>
        <v/>
      </c>
      <c r="Q273" s="19" t="str">
        <f aca="false">IF(OR(I273="",M273="",I273=0),"",(M273-I273)/I273)</f>
        <v/>
      </c>
      <c r="R273" s="21" t="str">
        <f aca="false">IF(P273="","",IF(P273="No","Extend 24 h",IF(Q273&gt;=Variables!$E$3,"B","A")))</f>
        <v/>
      </c>
      <c r="S273" s="21" t="str">
        <f aca="false">IF(R273="B","Yes: add to Constants",IF(R273="A","No",""))</f>
        <v/>
      </c>
      <c r="T273" s="11"/>
      <c r="U273" s="12"/>
    </row>
    <row r="274" customFormat="false" ht="15" hidden="false" customHeight="false" outlineLevel="0" collapsed="false">
      <c r="A274" s="12"/>
      <c r="B274" s="11"/>
      <c r="C274" s="12"/>
      <c r="D274" s="12"/>
      <c r="E274" s="12"/>
      <c r="F274" s="12"/>
      <c r="G274" s="12"/>
      <c r="H274" s="17"/>
      <c r="I274" s="18"/>
      <c r="J274" s="17"/>
      <c r="K274" s="17"/>
      <c r="L274" s="17"/>
      <c r="M274" s="18"/>
      <c r="N274" s="17"/>
      <c r="O274" s="17"/>
      <c r="P274" s="21" t="str">
        <f aca="false">IF(OR(H274="",L274=""),"",IF(AND(H274&gt;=Variables!$E$2,L274&gt;=Variables!$E$2),"Yes","No"))</f>
        <v/>
      </c>
      <c r="Q274" s="19" t="str">
        <f aca="false">IF(OR(I274="",M274="",I274=0),"",(M274-I274)/I274)</f>
        <v/>
      </c>
      <c r="R274" s="21" t="str">
        <f aca="false">IF(P274="","",IF(P274="No","Extend 24 h",IF(Q274&gt;=Variables!$E$3,"B","A")))</f>
        <v/>
      </c>
      <c r="S274" s="21" t="str">
        <f aca="false">IF(R274="B","Yes: add to Constants",IF(R274="A","No",""))</f>
        <v/>
      </c>
      <c r="T274" s="11"/>
      <c r="U274" s="12"/>
    </row>
    <row r="275" customFormat="false" ht="15" hidden="false" customHeight="false" outlineLevel="0" collapsed="false">
      <c r="A275" s="12"/>
      <c r="B275" s="11"/>
      <c r="C275" s="12"/>
      <c r="D275" s="12"/>
      <c r="E275" s="12"/>
      <c r="F275" s="12"/>
      <c r="G275" s="12"/>
      <c r="H275" s="17"/>
      <c r="I275" s="18"/>
      <c r="J275" s="17"/>
      <c r="K275" s="17"/>
      <c r="L275" s="17"/>
      <c r="M275" s="18"/>
      <c r="N275" s="17"/>
      <c r="O275" s="17"/>
      <c r="P275" s="21" t="str">
        <f aca="false">IF(OR(H275="",L275=""),"",IF(AND(H275&gt;=Variables!$E$2,L275&gt;=Variables!$E$2),"Yes","No"))</f>
        <v/>
      </c>
      <c r="Q275" s="19" t="str">
        <f aca="false">IF(OR(I275="",M275="",I275=0),"",(M275-I275)/I275)</f>
        <v/>
      </c>
      <c r="R275" s="21" t="str">
        <f aca="false">IF(P275="","",IF(P275="No","Extend 24 h",IF(Q275&gt;=Variables!$E$3,"B","A")))</f>
        <v/>
      </c>
      <c r="S275" s="21" t="str">
        <f aca="false">IF(R275="B","Yes: add to Constants",IF(R275="A","No",""))</f>
        <v/>
      </c>
      <c r="T275" s="11"/>
      <c r="U275" s="12"/>
    </row>
    <row r="276" customFormat="false" ht="15" hidden="false" customHeight="false" outlineLevel="0" collapsed="false">
      <c r="A276" s="12"/>
      <c r="B276" s="11"/>
      <c r="C276" s="12"/>
      <c r="D276" s="12"/>
      <c r="E276" s="12"/>
      <c r="F276" s="12"/>
      <c r="G276" s="12"/>
      <c r="H276" s="17"/>
      <c r="I276" s="18"/>
      <c r="J276" s="17"/>
      <c r="K276" s="17"/>
      <c r="L276" s="17"/>
      <c r="M276" s="18"/>
      <c r="N276" s="17"/>
      <c r="O276" s="17"/>
      <c r="P276" s="21" t="str">
        <f aca="false">IF(OR(H276="",L276=""),"",IF(AND(H276&gt;=Variables!$E$2,L276&gt;=Variables!$E$2),"Yes","No"))</f>
        <v/>
      </c>
      <c r="Q276" s="19" t="str">
        <f aca="false">IF(OR(I276="",M276="",I276=0),"",(M276-I276)/I276)</f>
        <v/>
      </c>
      <c r="R276" s="21" t="str">
        <f aca="false">IF(P276="","",IF(P276="No","Extend 24 h",IF(Q276&gt;=Variables!$E$3,"B","A")))</f>
        <v/>
      </c>
      <c r="S276" s="21" t="str">
        <f aca="false">IF(R276="B","Yes: add to Constants",IF(R276="A","No",""))</f>
        <v/>
      </c>
      <c r="T276" s="11"/>
      <c r="U276" s="12"/>
    </row>
    <row r="277" customFormat="false" ht="15" hidden="false" customHeight="false" outlineLevel="0" collapsed="false">
      <c r="A277" s="12"/>
      <c r="B277" s="11"/>
      <c r="C277" s="12"/>
      <c r="D277" s="12"/>
      <c r="E277" s="12"/>
      <c r="F277" s="12"/>
      <c r="G277" s="12"/>
      <c r="H277" s="17"/>
      <c r="I277" s="18"/>
      <c r="J277" s="17"/>
      <c r="K277" s="17"/>
      <c r="L277" s="17"/>
      <c r="M277" s="18"/>
      <c r="N277" s="17"/>
      <c r="O277" s="17"/>
      <c r="P277" s="21" t="str">
        <f aca="false">IF(OR(H277="",L277=""),"",IF(AND(H277&gt;=Variables!$E$2,L277&gt;=Variables!$E$2),"Yes","No"))</f>
        <v/>
      </c>
      <c r="Q277" s="19" t="str">
        <f aca="false">IF(OR(I277="",M277="",I277=0),"",(M277-I277)/I277)</f>
        <v/>
      </c>
      <c r="R277" s="21" t="str">
        <f aca="false">IF(P277="","",IF(P277="No","Extend 24 h",IF(Q277&gt;=Variables!$E$3,"B","A")))</f>
        <v/>
      </c>
      <c r="S277" s="21" t="str">
        <f aca="false">IF(R277="B","Yes: add to Constants",IF(R277="A","No",""))</f>
        <v/>
      </c>
      <c r="T277" s="11"/>
      <c r="U277" s="12"/>
    </row>
    <row r="278" customFormat="false" ht="15" hidden="false" customHeight="false" outlineLevel="0" collapsed="false">
      <c r="A278" s="12"/>
      <c r="B278" s="11"/>
      <c r="C278" s="12"/>
      <c r="D278" s="12"/>
      <c r="E278" s="12"/>
      <c r="F278" s="12"/>
      <c r="G278" s="12"/>
      <c r="H278" s="17"/>
      <c r="I278" s="18"/>
      <c r="J278" s="17"/>
      <c r="K278" s="17"/>
      <c r="L278" s="17"/>
      <c r="M278" s="18"/>
      <c r="N278" s="17"/>
      <c r="O278" s="17"/>
      <c r="P278" s="21" t="str">
        <f aca="false">IF(OR(H278="",L278=""),"",IF(AND(H278&gt;=Variables!$E$2,L278&gt;=Variables!$E$2),"Yes","No"))</f>
        <v/>
      </c>
      <c r="Q278" s="19" t="str">
        <f aca="false">IF(OR(I278="",M278="",I278=0),"",(M278-I278)/I278)</f>
        <v/>
      </c>
      <c r="R278" s="21" t="str">
        <f aca="false">IF(P278="","",IF(P278="No","Extend 24 h",IF(Q278&gt;=Variables!$E$3,"B","A")))</f>
        <v/>
      </c>
      <c r="S278" s="21" t="str">
        <f aca="false">IF(R278="B","Yes: add to Constants",IF(R278="A","No",""))</f>
        <v/>
      </c>
      <c r="T278" s="11"/>
      <c r="U278" s="12"/>
    </row>
    <row r="279" customFormat="false" ht="15" hidden="false" customHeight="false" outlineLevel="0" collapsed="false">
      <c r="A279" s="12"/>
      <c r="B279" s="11"/>
      <c r="C279" s="12"/>
      <c r="D279" s="12"/>
      <c r="E279" s="12"/>
      <c r="F279" s="12"/>
      <c r="G279" s="12"/>
      <c r="H279" s="17"/>
      <c r="I279" s="18"/>
      <c r="J279" s="17"/>
      <c r="K279" s="17"/>
      <c r="L279" s="17"/>
      <c r="M279" s="18"/>
      <c r="N279" s="17"/>
      <c r="O279" s="17"/>
      <c r="P279" s="21" t="str">
        <f aca="false">IF(OR(H279="",L279=""),"",IF(AND(H279&gt;=Variables!$E$2,L279&gt;=Variables!$E$2),"Yes","No"))</f>
        <v/>
      </c>
      <c r="Q279" s="19" t="str">
        <f aca="false">IF(OR(I279="",M279="",I279=0),"",(M279-I279)/I279)</f>
        <v/>
      </c>
      <c r="R279" s="21" t="str">
        <f aca="false">IF(P279="","",IF(P279="No","Extend 24 h",IF(Q279&gt;=Variables!$E$3,"B","A")))</f>
        <v/>
      </c>
      <c r="S279" s="21" t="str">
        <f aca="false">IF(R279="B","Yes: add to Constants",IF(R279="A","No",""))</f>
        <v/>
      </c>
      <c r="T279" s="11"/>
      <c r="U279" s="12"/>
    </row>
    <row r="280" customFormat="false" ht="15" hidden="false" customHeight="false" outlineLevel="0" collapsed="false">
      <c r="A280" s="12"/>
      <c r="B280" s="11"/>
      <c r="C280" s="12"/>
      <c r="D280" s="12"/>
      <c r="E280" s="12"/>
      <c r="F280" s="12"/>
      <c r="G280" s="12"/>
      <c r="H280" s="17"/>
      <c r="I280" s="18"/>
      <c r="J280" s="17"/>
      <c r="K280" s="17"/>
      <c r="L280" s="17"/>
      <c r="M280" s="18"/>
      <c r="N280" s="17"/>
      <c r="O280" s="17"/>
      <c r="P280" s="21" t="str">
        <f aca="false">IF(OR(H280="",L280=""),"",IF(AND(H280&gt;=Variables!$E$2,L280&gt;=Variables!$E$2),"Yes","No"))</f>
        <v/>
      </c>
      <c r="Q280" s="19" t="str">
        <f aca="false">IF(OR(I280="",M280="",I280=0),"",(M280-I280)/I280)</f>
        <v/>
      </c>
      <c r="R280" s="21" t="str">
        <f aca="false">IF(P280="","",IF(P280="No","Extend 24 h",IF(Q280&gt;=Variables!$E$3,"B","A")))</f>
        <v/>
      </c>
      <c r="S280" s="21" t="str">
        <f aca="false">IF(R280="B","Yes: add to Constants",IF(R280="A","No",""))</f>
        <v/>
      </c>
      <c r="T280" s="11"/>
      <c r="U280" s="12"/>
    </row>
    <row r="281" customFormat="false" ht="15" hidden="false" customHeight="false" outlineLevel="0" collapsed="false">
      <c r="A281" s="12"/>
      <c r="B281" s="11"/>
      <c r="C281" s="12"/>
      <c r="D281" s="12"/>
      <c r="E281" s="12"/>
      <c r="F281" s="12"/>
      <c r="G281" s="12"/>
      <c r="H281" s="17"/>
      <c r="I281" s="18"/>
      <c r="J281" s="17"/>
      <c r="K281" s="17"/>
      <c r="L281" s="17"/>
      <c r="M281" s="18"/>
      <c r="N281" s="17"/>
      <c r="O281" s="17"/>
      <c r="P281" s="21" t="str">
        <f aca="false">IF(OR(H281="",L281=""),"",IF(AND(H281&gt;=Variables!$E$2,L281&gt;=Variables!$E$2),"Yes","No"))</f>
        <v/>
      </c>
      <c r="Q281" s="19" t="str">
        <f aca="false">IF(OR(I281="",M281="",I281=0),"",(M281-I281)/I281)</f>
        <v/>
      </c>
      <c r="R281" s="21" t="str">
        <f aca="false">IF(P281="","",IF(P281="No","Extend 24 h",IF(Q281&gt;=Variables!$E$3,"B","A")))</f>
        <v/>
      </c>
      <c r="S281" s="21" t="str">
        <f aca="false">IF(R281="B","Yes: add to Constants",IF(R281="A","No",""))</f>
        <v/>
      </c>
      <c r="T281" s="11"/>
      <c r="U281" s="12"/>
    </row>
    <row r="282" customFormat="false" ht="15" hidden="false" customHeight="false" outlineLevel="0" collapsed="false">
      <c r="A282" s="12"/>
      <c r="B282" s="11"/>
      <c r="C282" s="12"/>
      <c r="D282" s="12"/>
      <c r="E282" s="12"/>
      <c r="F282" s="12"/>
      <c r="G282" s="12"/>
      <c r="H282" s="17"/>
      <c r="I282" s="18"/>
      <c r="J282" s="17"/>
      <c r="K282" s="17"/>
      <c r="L282" s="17"/>
      <c r="M282" s="18"/>
      <c r="N282" s="17"/>
      <c r="O282" s="17"/>
      <c r="P282" s="21" t="str">
        <f aca="false">IF(OR(H282="",L282=""),"",IF(AND(H282&gt;=Variables!$E$2,L282&gt;=Variables!$E$2),"Yes","No"))</f>
        <v/>
      </c>
      <c r="Q282" s="19" t="str">
        <f aca="false">IF(OR(I282="",M282="",I282=0),"",(M282-I282)/I282)</f>
        <v/>
      </c>
      <c r="R282" s="21" t="str">
        <f aca="false">IF(P282="","",IF(P282="No","Extend 24 h",IF(Q282&gt;=Variables!$E$3,"B","A")))</f>
        <v/>
      </c>
      <c r="S282" s="21" t="str">
        <f aca="false">IF(R282="B","Yes: add to Constants",IF(R282="A","No",""))</f>
        <v/>
      </c>
      <c r="T282" s="11"/>
      <c r="U282" s="12"/>
    </row>
    <row r="283" customFormat="false" ht="15" hidden="false" customHeight="false" outlineLevel="0" collapsed="false">
      <c r="A283" s="12"/>
      <c r="B283" s="11"/>
      <c r="C283" s="12"/>
      <c r="D283" s="12"/>
      <c r="E283" s="12"/>
      <c r="F283" s="12"/>
      <c r="G283" s="12"/>
      <c r="H283" s="17"/>
      <c r="I283" s="18"/>
      <c r="J283" s="17"/>
      <c r="K283" s="17"/>
      <c r="L283" s="17"/>
      <c r="M283" s="18"/>
      <c r="N283" s="17"/>
      <c r="O283" s="17"/>
      <c r="P283" s="21" t="str">
        <f aca="false">IF(OR(H283="",L283=""),"",IF(AND(H283&gt;=Variables!$E$2,L283&gt;=Variables!$E$2),"Yes","No"))</f>
        <v/>
      </c>
      <c r="Q283" s="19" t="str">
        <f aca="false">IF(OR(I283="",M283="",I283=0),"",(M283-I283)/I283)</f>
        <v/>
      </c>
      <c r="R283" s="21" t="str">
        <f aca="false">IF(P283="","",IF(P283="No","Extend 24 h",IF(Q283&gt;=Variables!$E$3,"B","A")))</f>
        <v/>
      </c>
      <c r="S283" s="21" t="str">
        <f aca="false">IF(R283="B","Yes: add to Constants",IF(R283="A","No",""))</f>
        <v/>
      </c>
      <c r="T283" s="11"/>
      <c r="U283" s="12"/>
    </row>
    <row r="284" customFormat="false" ht="15" hidden="false" customHeight="false" outlineLevel="0" collapsed="false">
      <c r="A284" s="12"/>
      <c r="B284" s="11"/>
      <c r="C284" s="12"/>
      <c r="D284" s="12"/>
      <c r="E284" s="12"/>
      <c r="F284" s="12"/>
      <c r="G284" s="12"/>
      <c r="H284" s="17"/>
      <c r="I284" s="18"/>
      <c r="J284" s="17"/>
      <c r="K284" s="17"/>
      <c r="L284" s="17"/>
      <c r="M284" s="18"/>
      <c r="N284" s="17"/>
      <c r="O284" s="17"/>
      <c r="P284" s="21" t="str">
        <f aca="false">IF(OR(H284="",L284=""),"",IF(AND(H284&gt;=Variables!$E$2,L284&gt;=Variables!$E$2),"Yes","No"))</f>
        <v/>
      </c>
      <c r="Q284" s="19" t="str">
        <f aca="false">IF(OR(I284="",M284="",I284=0),"",(M284-I284)/I284)</f>
        <v/>
      </c>
      <c r="R284" s="21" t="str">
        <f aca="false">IF(P284="","",IF(P284="No","Extend 24 h",IF(Q284&gt;=Variables!$E$3,"B","A")))</f>
        <v/>
      </c>
      <c r="S284" s="21" t="str">
        <f aca="false">IF(R284="B","Yes: add to Constants",IF(R284="A","No",""))</f>
        <v/>
      </c>
      <c r="T284" s="11"/>
      <c r="U284" s="12"/>
    </row>
    <row r="285" customFormat="false" ht="15" hidden="false" customHeight="false" outlineLevel="0" collapsed="false">
      <c r="A285" s="12"/>
      <c r="B285" s="11"/>
      <c r="C285" s="12"/>
      <c r="D285" s="12"/>
      <c r="E285" s="12"/>
      <c r="F285" s="12"/>
      <c r="G285" s="12"/>
      <c r="H285" s="17"/>
      <c r="I285" s="18"/>
      <c r="J285" s="17"/>
      <c r="K285" s="17"/>
      <c r="L285" s="17"/>
      <c r="M285" s="18"/>
      <c r="N285" s="17"/>
      <c r="O285" s="17"/>
      <c r="P285" s="21" t="str">
        <f aca="false">IF(OR(H285="",L285=""),"",IF(AND(H285&gt;=Variables!$E$2,L285&gt;=Variables!$E$2),"Yes","No"))</f>
        <v/>
      </c>
      <c r="Q285" s="19" t="str">
        <f aca="false">IF(OR(I285="",M285="",I285=0),"",(M285-I285)/I285)</f>
        <v/>
      </c>
      <c r="R285" s="21" t="str">
        <f aca="false">IF(P285="","",IF(P285="No","Extend 24 h",IF(Q285&gt;=Variables!$E$3,"B","A")))</f>
        <v/>
      </c>
      <c r="S285" s="21" t="str">
        <f aca="false">IF(R285="B","Yes: add to Constants",IF(R285="A","No",""))</f>
        <v/>
      </c>
      <c r="T285" s="11"/>
      <c r="U285" s="12"/>
    </row>
    <row r="286" customFormat="false" ht="15" hidden="false" customHeight="false" outlineLevel="0" collapsed="false">
      <c r="A286" s="12"/>
      <c r="B286" s="11"/>
      <c r="C286" s="12"/>
      <c r="D286" s="12"/>
      <c r="E286" s="12"/>
      <c r="F286" s="12"/>
      <c r="G286" s="12"/>
      <c r="H286" s="17"/>
      <c r="I286" s="18"/>
      <c r="J286" s="17"/>
      <c r="K286" s="17"/>
      <c r="L286" s="17"/>
      <c r="M286" s="18"/>
      <c r="N286" s="17"/>
      <c r="O286" s="17"/>
      <c r="P286" s="21" t="str">
        <f aca="false">IF(OR(H286="",L286=""),"",IF(AND(H286&gt;=Variables!$E$2,L286&gt;=Variables!$E$2),"Yes","No"))</f>
        <v/>
      </c>
      <c r="Q286" s="19" t="str">
        <f aca="false">IF(OR(I286="",M286="",I286=0),"",(M286-I286)/I286)</f>
        <v/>
      </c>
      <c r="R286" s="21" t="str">
        <f aca="false">IF(P286="","",IF(P286="No","Extend 24 h",IF(Q286&gt;=Variables!$E$3,"B","A")))</f>
        <v/>
      </c>
      <c r="S286" s="21" t="str">
        <f aca="false">IF(R286="B","Yes: add to Constants",IF(R286="A","No",""))</f>
        <v/>
      </c>
      <c r="T286" s="11"/>
      <c r="U286" s="12"/>
    </row>
    <row r="287" customFormat="false" ht="15" hidden="false" customHeight="false" outlineLevel="0" collapsed="false">
      <c r="A287" s="12"/>
      <c r="B287" s="11"/>
      <c r="C287" s="12"/>
      <c r="D287" s="12"/>
      <c r="E287" s="12"/>
      <c r="F287" s="12"/>
      <c r="G287" s="12"/>
      <c r="H287" s="17"/>
      <c r="I287" s="18"/>
      <c r="J287" s="17"/>
      <c r="K287" s="17"/>
      <c r="L287" s="17"/>
      <c r="M287" s="18"/>
      <c r="N287" s="17"/>
      <c r="O287" s="17"/>
      <c r="P287" s="21" t="str">
        <f aca="false">IF(OR(H287="",L287=""),"",IF(AND(H287&gt;=Variables!$E$2,L287&gt;=Variables!$E$2),"Yes","No"))</f>
        <v/>
      </c>
      <c r="Q287" s="19" t="str">
        <f aca="false">IF(OR(I287="",M287="",I287=0),"",(M287-I287)/I287)</f>
        <v/>
      </c>
      <c r="R287" s="21" t="str">
        <f aca="false">IF(P287="","",IF(P287="No","Extend 24 h",IF(Q287&gt;=Variables!$E$3,"B","A")))</f>
        <v/>
      </c>
      <c r="S287" s="21" t="str">
        <f aca="false">IF(R287="B","Yes: add to Constants",IF(R287="A","No",""))</f>
        <v/>
      </c>
      <c r="T287" s="11"/>
      <c r="U287" s="12"/>
    </row>
    <row r="288" customFormat="false" ht="15" hidden="false" customHeight="false" outlineLevel="0" collapsed="false">
      <c r="A288" s="12"/>
      <c r="B288" s="11"/>
      <c r="C288" s="12"/>
      <c r="D288" s="12"/>
      <c r="E288" s="12"/>
      <c r="F288" s="12"/>
      <c r="G288" s="12"/>
      <c r="H288" s="17"/>
      <c r="I288" s="18"/>
      <c r="J288" s="17"/>
      <c r="K288" s="17"/>
      <c r="L288" s="17"/>
      <c r="M288" s="18"/>
      <c r="N288" s="17"/>
      <c r="O288" s="17"/>
      <c r="P288" s="21" t="str">
        <f aca="false">IF(OR(H288="",L288=""),"",IF(AND(H288&gt;=Variables!$E$2,L288&gt;=Variables!$E$2),"Yes","No"))</f>
        <v/>
      </c>
      <c r="Q288" s="19" t="str">
        <f aca="false">IF(OR(I288="",M288="",I288=0),"",(M288-I288)/I288)</f>
        <v/>
      </c>
      <c r="R288" s="21" t="str">
        <f aca="false">IF(P288="","",IF(P288="No","Extend 24 h",IF(Q288&gt;=Variables!$E$3,"B","A")))</f>
        <v/>
      </c>
      <c r="S288" s="21" t="str">
        <f aca="false">IF(R288="B","Yes: add to Constants",IF(R288="A","No",""))</f>
        <v/>
      </c>
      <c r="T288" s="11"/>
      <c r="U288" s="12"/>
    </row>
    <row r="289" customFormat="false" ht="15" hidden="false" customHeight="false" outlineLevel="0" collapsed="false">
      <c r="A289" s="12"/>
      <c r="B289" s="11"/>
      <c r="C289" s="12"/>
      <c r="D289" s="12"/>
      <c r="E289" s="12"/>
      <c r="F289" s="12"/>
      <c r="G289" s="12"/>
      <c r="H289" s="17"/>
      <c r="I289" s="18"/>
      <c r="J289" s="17"/>
      <c r="K289" s="17"/>
      <c r="L289" s="17"/>
      <c r="M289" s="18"/>
      <c r="N289" s="17"/>
      <c r="O289" s="17"/>
      <c r="P289" s="21" t="str">
        <f aca="false">IF(OR(H289="",L289=""),"",IF(AND(H289&gt;=Variables!$E$2,L289&gt;=Variables!$E$2),"Yes","No"))</f>
        <v/>
      </c>
      <c r="Q289" s="19" t="str">
        <f aca="false">IF(OR(I289="",M289="",I289=0),"",(M289-I289)/I289)</f>
        <v/>
      </c>
      <c r="R289" s="21" t="str">
        <f aca="false">IF(P289="","",IF(P289="No","Extend 24 h",IF(Q289&gt;=Variables!$E$3,"B","A")))</f>
        <v/>
      </c>
      <c r="S289" s="21" t="str">
        <f aca="false">IF(R289="B","Yes: add to Constants",IF(R289="A","No",""))</f>
        <v/>
      </c>
      <c r="T289" s="11"/>
      <c r="U289" s="12"/>
    </row>
    <row r="290" customFormat="false" ht="15" hidden="false" customHeight="false" outlineLevel="0" collapsed="false">
      <c r="A290" s="12"/>
      <c r="B290" s="11"/>
      <c r="C290" s="12"/>
      <c r="D290" s="12"/>
      <c r="E290" s="12"/>
      <c r="F290" s="12"/>
      <c r="G290" s="12"/>
      <c r="H290" s="17"/>
      <c r="I290" s="18"/>
      <c r="J290" s="17"/>
      <c r="K290" s="17"/>
      <c r="L290" s="17"/>
      <c r="M290" s="18"/>
      <c r="N290" s="17"/>
      <c r="O290" s="17"/>
      <c r="P290" s="21" t="str">
        <f aca="false">IF(OR(H290="",L290=""),"",IF(AND(H290&gt;=Variables!$E$2,L290&gt;=Variables!$E$2),"Yes","No"))</f>
        <v/>
      </c>
      <c r="Q290" s="19" t="str">
        <f aca="false">IF(OR(I290="",M290="",I290=0),"",(M290-I290)/I290)</f>
        <v/>
      </c>
      <c r="R290" s="21" t="str">
        <f aca="false">IF(P290="","",IF(P290="No","Extend 24 h",IF(Q290&gt;=Variables!$E$3,"B","A")))</f>
        <v/>
      </c>
      <c r="S290" s="21" t="str">
        <f aca="false">IF(R290="B","Yes: add to Constants",IF(R290="A","No",""))</f>
        <v/>
      </c>
      <c r="T290" s="11"/>
      <c r="U290" s="12"/>
    </row>
    <row r="291" customFormat="false" ht="15" hidden="false" customHeight="false" outlineLevel="0" collapsed="false">
      <c r="A291" s="12"/>
      <c r="B291" s="11"/>
      <c r="C291" s="12"/>
      <c r="D291" s="12"/>
      <c r="E291" s="12"/>
      <c r="F291" s="12"/>
      <c r="G291" s="12"/>
      <c r="H291" s="17"/>
      <c r="I291" s="18"/>
      <c r="J291" s="17"/>
      <c r="K291" s="17"/>
      <c r="L291" s="17"/>
      <c r="M291" s="18"/>
      <c r="N291" s="17"/>
      <c r="O291" s="17"/>
      <c r="P291" s="21" t="str">
        <f aca="false">IF(OR(H291="",L291=""),"",IF(AND(H291&gt;=Variables!$E$2,L291&gt;=Variables!$E$2),"Yes","No"))</f>
        <v/>
      </c>
      <c r="Q291" s="19" t="str">
        <f aca="false">IF(OR(I291="",M291="",I291=0),"",(M291-I291)/I291)</f>
        <v/>
      </c>
      <c r="R291" s="21" t="str">
        <f aca="false">IF(P291="","",IF(P291="No","Extend 24 h",IF(Q291&gt;=Variables!$E$3,"B","A")))</f>
        <v/>
      </c>
      <c r="S291" s="21" t="str">
        <f aca="false">IF(R291="B","Yes: add to Constants",IF(R291="A","No",""))</f>
        <v/>
      </c>
      <c r="T291" s="11"/>
      <c r="U291" s="12"/>
    </row>
    <row r="292" customFormat="false" ht="15" hidden="false" customHeight="false" outlineLevel="0" collapsed="false">
      <c r="A292" s="12"/>
      <c r="B292" s="11"/>
      <c r="C292" s="12"/>
      <c r="D292" s="12"/>
      <c r="E292" s="12"/>
      <c r="F292" s="12"/>
      <c r="G292" s="12"/>
      <c r="H292" s="17"/>
      <c r="I292" s="18"/>
      <c r="J292" s="17"/>
      <c r="K292" s="17"/>
      <c r="L292" s="17"/>
      <c r="M292" s="18"/>
      <c r="N292" s="17"/>
      <c r="O292" s="17"/>
      <c r="P292" s="21" t="str">
        <f aca="false">IF(OR(H292="",L292=""),"",IF(AND(H292&gt;=Variables!$E$2,L292&gt;=Variables!$E$2),"Yes","No"))</f>
        <v/>
      </c>
      <c r="Q292" s="19" t="str">
        <f aca="false">IF(OR(I292="",M292="",I292=0),"",(M292-I292)/I292)</f>
        <v/>
      </c>
      <c r="R292" s="21" t="str">
        <f aca="false">IF(P292="","",IF(P292="No","Extend 24 h",IF(Q292&gt;=Variables!$E$3,"B","A")))</f>
        <v/>
      </c>
      <c r="S292" s="21" t="str">
        <f aca="false">IF(R292="B","Yes: add to Constants",IF(R292="A","No",""))</f>
        <v/>
      </c>
      <c r="T292" s="11"/>
      <c r="U292" s="12"/>
    </row>
    <row r="293" customFormat="false" ht="15" hidden="false" customHeight="false" outlineLevel="0" collapsed="false">
      <c r="A293" s="12"/>
      <c r="B293" s="11"/>
      <c r="C293" s="12"/>
      <c r="D293" s="12"/>
      <c r="E293" s="12"/>
      <c r="F293" s="12"/>
      <c r="G293" s="12"/>
      <c r="H293" s="17"/>
      <c r="I293" s="18"/>
      <c r="J293" s="17"/>
      <c r="K293" s="17"/>
      <c r="L293" s="17"/>
      <c r="M293" s="18"/>
      <c r="N293" s="17"/>
      <c r="O293" s="17"/>
      <c r="P293" s="21" t="str">
        <f aca="false">IF(OR(H293="",L293=""),"",IF(AND(H293&gt;=Variables!$E$2,L293&gt;=Variables!$E$2),"Yes","No"))</f>
        <v/>
      </c>
      <c r="Q293" s="19" t="str">
        <f aca="false">IF(OR(I293="",M293="",I293=0),"",(M293-I293)/I293)</f>
        <v/>
      </c>
      <c r="R293" s="21" t="str">
        <f aca="false">IF(P293="","",IF(P293="No","Extend 24 h",IF(Q293&gt;=Variables!$E$3,"B","A")))</f>
        <v/>
      </c>
      <c r="S293" s="21" t="str">
        <f aca="false">IF(R293="B","Yes: add to Constants",IF(R293="A","No",""))</f>
        <v/>
      </c>
      <c r="T293" s="11"/>
      <c r="U293" s="12"/>
    </row>
    <row r="294" customFormat="false" ht="15" hidden="false" customHeight="false" outlineLevel="0" collapsed="false">
      <c r="A294" s="12"/>
      <c r="B294" s="11"/>
      <c r="C294" s="12"/>
      <c r="D294" s="12"/>
      <c r="E294" s="12"/>
      <c r="F294" s="12"/>
      <c r="G294" s="12"/>
      <c r="H294" s="17"/>
      <c r="I294" s="18"/>
      <c r="J294" s="17"/>
      <c r="K294" s="17"/>
      <c r="L294" s="17"/>
      <c r="M294" s="18"/>
      <c r="N294" s="17"/>
      <c r="O294" s="17"/>
      <c r="P294" s="21" t="str">
        <f aca="false">IF(OR(H294="",L294=""),"",IF(AND(H294&gt;=Variables!$E$2,L294&gt;=Variables!$E$2),"Yes","No"))</f>
        <v/>
      </c>
      <c r="Q294" s="19" t="str">
        <f aca="false">IF(OR(I294="",M294="",I294=0),"",(M294-I294)/I294)</f>
        <v/>
      </c>
      <c r="R294" s="21" t="str">
        <f aca="false">IF(P294="","",IF(P294="No","Extend 24 h",IF(Q294&gt;=Variables!$E$3,"B","A")))</f>
        <v/>
      </c>
      <c r="S294" s="21" t="str">
        <f aca="false">IF(R294="B","Yes: add to Constants",IF(R294="A","No",""))</f>
        <v/>
      </c>
      <c r="T294" s="11"/>
      <c r="U294" s="12"/>
    </row>
    <row r="295" customFormat="false" ht="15" hidden="false" customHeight="false" outlineLevel="0" collapsed="false">
      <c r="A295" s="12"/>
      <c r="B295" s="11"/>
      <c r="C295" s="12"/>
      <c r="D295" s="12"/>
      <c r="E295" s="12"/>
      <c r="F295" s="12"/>
      <c r="G295" s="12"/>
      <c r="H295" s="17"/>
      <c r="I295" s="18"/>
      <c r="J295" s="17"/>
      <c r="K295" s="17"/>
      <c r="L295" s="17"/>
      <c r="M295" s="18"/>
      <c r="N295" s="17"/>
      <c r="O295" s="17"/>
      <c r="P295" s="21" t="str">
        <f aca="false">IF(OR(H295="",L295=""),"",IF(AND(H295&gt;=Variables!$E$2,L295&gt;=Variables!$E$2),"Yes","No"))</f>
        <v/>
      </c>
      <c r="Q295" s="19" t="str">
        <f aca="false">IF(OR(I295="",M295="",I295=0),"",(M295-I295)/I295)</f>
        <v/>
      </c>
      <c r="R295" s="21" t="str">
        <f aca="false">IF(P295="","",IF(P295="No","Extend 24 h",IF(Q295&gt;=Variables!$E$3,"B","A")))</f>
        <v/>
      </c>
      <c r="S295" s="21" t="str">
        <f aca="false">IF(R295="B","Yes: add to Constants",IF(R295="A","No",""))</f>
        <v/>
      </c>
      <c r="T295" s="11"/>
      <c r="U295" s="12"/>
    </row>
    <row r="296" customFormat="false" ht="15" hidden="false" customHeight="false" outlineLevel="0" collapsed="false">
      <c r="A296" s="12"/>
      <c r="B296" s="11"/>
      <c r="C296" s="12"/>
      <c r="D296" s="12"/>
      <c r="E296" s="12"/>
      <c r="F296" s="12"/>
      <c r="G296" s="12"/>
      <c r="H296" s="17"/>
      <c r="I296" s="18"/>
      <c r="J296" s="17"/>
      <c r="K296" s="17"/>
      <c r="L296" s="17"/>
      <c r="M296" s="18"/>
      <c r="N296" s="17"/>
      <c r="O296" s="17"/>
      <c r="P296" s="21" t="str">
        <f aca="false">IF(OR(H296="",L296=""),"",IF(AND(H296&gt;=Variables!$E$2,L296&gt;=Variables!$E$2),"Yes","No"))</f>
        <v/>
      </c>
      <c r="Q296" s="19" t="str">
        <f aca="false">IF(OR(I296="",M296="",I296=0),"",(M296-I296)/I296)</f>
        <v/>
      </c>
      <c r="R296" s="21" t="str">
        <f aca="false">IF(P296="","",IF(P296="No","Extend 24 h",IF(Q296&gt;=Variables!$E$3,"B","A")))</f>
        <v/>
      </c>
      <c r="S296" s="21" t="str">
        <f aca="false">IF(R296="B","Yes: add to Constants",IF(R296="A","No",""))</f>
        <v/>
      </c>
      <c r="T296" s="11"/>
      <c r="U296" s="12"/>
    </row>
    <row r="297" customFormat="false" ht="15" hidden="false" customHeight="false" outlineLevel="0" collapsed="false">
      <c r="A297" s="12"/>
      <c r="B297" s="11"/>
      <c r="C297" s="12"/>
      <c r="D297" s="12"/>
      <c r="E297" s="12"/>
      <c r="F297" s="12"/>
      <c r="G297" s="12"/>
      <c r="H297" s="17"/>
      <c r="I297" s="18"/>
      <c r="J297" s="17"/>
      <c r="K297" s="17"/>
      <c r="L297" s="17"/>
      <c r="M297" s="18"/>
      <c r="N297" s="17"/>
      <c r="O297" s="17"/>
      <c r="P297" s="21" t="str">
        <f aca="false">IF(OR(H297="",L297=""),"",IF(AND(H297&gt;=Variables!$E$2,L297&gt;=Variables!$E$2),"Yes","No"))</f>
        <v/>
      </c>
      <c r="Q297" s="19" t="str">
        <f aca="false">IF(OR(I297="",M297="",I297=0),"",(M297-I297)/I297)</f>
        <v/>
      </c>
      <c r="R297" s="21" t="str">
        <f aca="false">IF(P297="","",IF(P297="No","Extend 24 h",IF(Q297&gt;=Variables!$E$3,"B","A")))</f>
        <v/>
      </c>
      <c r="S297" s="21" t="str">
        <f aca="false">IF(R297="B","Yes: add to Constants",IF(R297="A","No",""))</f>
        <v/>
      </c>
      <c r="T297" s="11"/>
      <c r="U297" s="12"/>
    </row>
    <row r="298" customFormat="false" ht="15" hidden="false" customHeight="false" outlineLevel="0" collapsed="false">
      <c r="A298" s="12"/>
      <c r="B298" s="11"/>
      <c r="C298" s="12"/>
      <c r="D298" s="12"/>
      <c r="E298" s="12"/>
      <c r="F298" s="12"/>
      <c r="G298" s="12"/>
      <c r="H298" s="17"/>
      <c r="I298" s="18"/>
      <c r="J298" s="17"/>
      <c r="K298" s="17"/>
      <c r="L298" s="17"/>
      <c r="M298" s="18"/>
      <c r="N298" s="17"/>
      <c r="O298" s="17"/>
      <c r="P298" s="21" t="str">
        <f aca="false">IF(OR(H298="",L298=""),"",IF(AND(H298&gt;=Variables!$E$2,L298&gt;=Variables!$E$2),"Yes","No"))</f>
        <v/>
      </c>
      <c r="Q298" s="19" t="str">
        <f aca="false">IF(OR(I298="",M298="",I298=0),"",(M298-I298)/I298)</f>
        <v/>
      </c>
      <c r="R298" s="21" t="str">
        <f aca="false">IF(P298="","",IF(P298="No","Extend 24 h",IF(Q298&gt;=Variables!$E$3,"B","A")))</f>
        <v/>
      </c>
      <c r="S298" s="21" t="str">
        <f aca="false">IF(R298="B","Yes: add to Constants",IF(R298="A","No",""))</f>
        <v/>
      </c>
      <c r="T298" s="11"/>
      <c r="U298" s="12"/>
    </row>
    <row r="299" customFormat="false" ht="15" hidden="false" customHeight="false" outlineLevel="0" collapsed="false">
      <c r="A299" s="12"/>
      <c r="B299" s="11"/>
      <c r="C299" s="12"/>
      <c r="D299" s="12"/>
      <c r="E299" s="12"/>
      <c r="F299" s="12"/>
      <c r="G299" s="12"/>
      <c r="H299" s="17"/>
      <c r="I299" s="18"/>
      <c r="J299" s="17"/>
      <c r="K299" s="17"/>
      <c r="L299" s="17"/>
      <c r="M299" s="18"/>
      <c r="N299" s="17"/>
      <c r="O299" s="17"/>
      <c r="P299" s="21" t="str">
        <f aca="false">IF(OR(H299="",L299=""),"",IF(AND(H299&gt;=Variables!$E$2,L299&gt;=Variables!$E$2),"Yes","No"))</f>
        <v/>
      </c>
      <c r="Q299" s="19" t="str">
        <f aca="false">IF(OR(I299="",M299="",I299=0),"",(M299-I299)/I299)</f>
        <v/>
      </c>
      <c r="R299" s="21" t="str">
        <f aca="false">IF(P299="","",IF(P299="No","Extend 24 h",IF(Q299&gt;=Variables!$E$3,"B","A")))</f>
        <v/>
      </c>
      <c r="S299" s="21" t="str">
        <f aca="false">IF(R299="B","Yes: add to Constants",IF(R299="A","No",""))</f>
        <v/>
      </c>
      <c r="T299" s="11"/>
      <c r="U299" s="12"/>
    </row>
    <row r="300" customFormat="false" ht="15" hidden="false" customHeight="false" outlineLevel="0" collapsed="false">
      <c r="A300" s="12"/>
      <c r="B300" s="11"/>
      <c r="C300" s="12"/>
      <c r="D300" s="12"/>
      <c r="E300" s="12"/>
      <c r="F300" s="12"/>
      <c r="G300" s="12"/>
      <c r="H300" s="17"/>
      <c r="I300" s="18"/>
      <c r="J300" s="17"/>
      <c r="K300" s="17"/>
      <c r="L300" s="17"/>
      <c r="M300" s="18"/>
      <c r="N300" s="17"/>
      <c r="O300" s="17"/>
      <c r="P300" s="21" t="str">
        <f aca="false">IF(OR(H300="",L300=""),"",IF(AND(H300&gt;=Variables!$E$2,L300&gt;=Variables!$E$2),"Yes","No"))</f>
        <v/>
      </c>
      <c r="Q300" s="19" t="str">
        <f aca="false">IF(OR(I300="",M300="",I300=0),"",(M300-I300)/I300)</f>
        <v/>
      </c>
      <c r="R300" s="21" t="str">
        <f aca="false">IF(P300="","",IF(P300="No","Extend 24 h",IF(Q300&gt;=Variables!$E$3,"B","A")))</f>
        <v/>
      </c>
      <c r="S300" s="21" t="str">
        <f aca="false">IF(R300="B","Yes: add to Constants",IF(R300="A","No",""))</f>
        <v/>
      </c>
      <c r="T300" s="11"/>
      <c r="U300" s="12"/>
    </row>
    <row r="301" customFormat="false" ht="15" hidden="false" customHeight="false" outlineLevel="0" collapsed="false">
      <c r="A301" s="12"/>
      <c r="B301" s="11"/>
      <c r="C301" s="12"/>
      <c r="D301" s="12"/>
      <c r="E301" s="12"/>
      <c r="F301" s="12"/>
      <c r="G301" s="12"/>
      <c r="H301" s="17"/>
      <c r="I301" s="18"/>
      <c r="J301" s="17"/>
      <c r="K301" s="17"/>
      <c r="L301" s="17"/>
      <c r="M301" s="18"/>
      <c r="N301" s="17"/>
      <c r="O301" s="17"/>
      <c r="P301" s="21" t="str">
        <f aca="false">IF(OR(H301="",L301=""),"",IF(AND(H301&gt;=Variables!$E$2,L301&gt;=Variables!$E$2),"Yes","No"))</f>
        <v/>
      </c>
      <c r="Q301" s="19" t="str">
        <f aca="false">IF(OR(I301="",M301="",I301=0),"",(M301-I301)/I301)</f>
        <v/>
      </c>
      <c r="R301" s="21" t="str">
        <f aca="false">IF(P301="","",IF(P301="No","Extend 24 h",IF(Q301&gt;=Variables!$E$3,"B","A")))</f>
        <v/>
      </c>
      <c r="S301" s="21" t="str">
        <f aca="false">IF(R301="B","Yes: add to Constants",IF(R301="A","No",""))</f>
        <v/>
      </c>
      <c r="T301" s="11"/>
      <c r="U301" s="12"/>
    </row>
    <row r="302" customFormat="false" ht="15" hidden="false" customHeight="false" outlineLevel="0" collapsed="false">
      <c r="A302" s="12"/>
      <c r="B302" s="11"/>
      <c r="C302" s="12"/>
      <c r="D302" s="12"/>
      <c r="E302" s="12"/>
      <c r="F302" s="12"/>
      <c r="G302" s="12"/>
      <c r="H302" s="17"/>
      <c r="I302" s="18"/>
      <c r="J302" s="17"/>
      <c r="K302" s="17"/>
      <c r="L302" s="17"/>
      <c r="M302" s="18"/>
      <c r="N302" s="17"/>
      <c r="O302" s="17"/>
      <c r="P302" s="21" t="str">
        <f aca="false">IF(OR(H302="",L302=""),"",IF(AND(H302&gt;=Variables!$E$2,L302&gt;=Variables!$E$2),"Yes","No"))</f>
        <v/>
      </c>
      <c r="Q302" s="19" t="str">
        <f aca="false">IF(OR(I302="",M302="",I302=0),"",(M302-I302)/I302)</f>
        <v/>
      </c>
      <c r="R302" s="21" t="str">
        <f aca="false">IF(P302="","",IF(P302="No","Extend 24 h",IF(Q302&gt;=Variables!$E$3,"B","A")))</f>
        <v/>
      </c>
      <c r="S302" s="21" t="str">
        <f aca="false">IF(R302="B","Yes: add to Constants",IF(R302="A","No",""))</f>
        <v/>
      </c>
      <c r="T302" s="11"/>
      <c r="U302" s="12"/>
    </row>
    <row r="303" customFormat="false" ht="15" hidden="false" customHeight="false" outlineLevel="0" collapsed="false">
      <c r="A303" s="12"/>
      <c r="B303" s="11"/>
      <c r="C303" s="12"/>
      <c r="D303" s="12"/>
      <c r="E303" s="12"/>
      <c r="F303" s="12"/>
      <c r="G303" s="12"/>
      <c r="H303" s="17"/>
      <c r="I303" s="18"/>
      <c r="J303" s="17"/>
      <c r="K303" s="17"/>
      <c r="L303" s="17"/>
      <c r="M303" s="18"/>
      <c r="N303" s="17"/>
      <c r="O303" s="17"/>
      <c r="P303" s="21" t="str">
        <f aca="false">IF(OR(H303="",L303=""),"",IF(AND(H303&gt;=Variables!$E$2,L303&gt;=Variables!$E$2),"Yes","No"))</f>
        <v/>
      </c>
      <c r="Q303" s="19" t="str">
        <f aca="false">IF(OR(I303="",M303="",I303=0),"",(M303-I303)/I303)</f>
        <v/>
      </c>
      <c r="R303" s="21" t="str">
        <f aca="false">IF(P303="","",IF(P303="No","Extend 24 h",IF(Q303&gt;=Variables!$E$3,"B","A")))</f>
        <v/>
      </c>
      <c r="S303" s="21" t="str">
        <f aca="false">IF(R303="B","Yes: add to Constants",IF(R303="A","No",""))</f>
        <v/>
      </c>
      <c r="T303" s="11"/>
      <c r="U303" s="12"/>
    </row>
    <row r="304" customFormat="false" ht="15" hidden="false" customHeight="false" outlineLevel="0" collapsed="false">
      <c r="A304" s="12"/>
      <c r="B304" s="11"/>
      <c r="C304" s="12"/>
      <c r="D304" s="12"/>
      <c r="E304" s="12"/>
      <c r="F304" s="12"/>
      <c r="G304" s="12"/>
      <c r="H304" s="17"/>
      <c r="I304" s="18"/>
      <c r="J304" s="17"/>
      <c r="K304" s="17"/>
      <c r="L304" s="17"/>
      <c r="M304" s="18"/>
      <c r="N304" s="17"/>
      <c r="O304" s="17"/>
      <c r="P304" s="21" t="str">
        <f aca="false">IF(OR(H304="",L304=""),"",IF(AND(H304&gt;=Variables!$E$2,L304&gt;=Variables!$E$2),"Yes","No"))</f>
        <v/>
      </c>
      <c r="Q304" s="19" t="str">
        <f aca="false">IF(OR(I304="",M304="",I304=0),"",(M304-I304)/I304)</f>
        <v/>
      </c>
      <c r="R304" s="21" t="str">
        <f aca="false">IF(P304="","",IF(P304="No","Extend 24 h",IF(Q304&gt;=Variables!$E$3,"B","A")))</f>
        <v/>
      </c>
      <c r="S304" s="21" t="str">
        <f aca="false">IF(R304="B","Yes: add to Constants",IF(R304="A","No",""))</f>
        <v/>
      </c>
      <c r="T304" s="11"/>
      <c r="U304" s="12"/>
    </row>
    <row r="305" customFormat="false" ht="15" hidden="false" customHeight="false" outlineLevel="0" collapsed="false">
      <c r="A305" s="12"/>
      <c r="B305" s="11"/>
      <c r="C305" s="12"/>
      <c r="D305" s="12"/>
      <c r="E305" s="12"/>
      <c r="F305" s="12"/>
      <c r="G305" s="12"/>
      <c r="H305" s="17"/>
      <c r="I305" s="18"/>
      <c r="J305" s="17"/>
      <c r="K305" s="17"/>
      <c r="L305" s="17"/>
      <c r="M305" s="18"/>
      <c r="N305" s="17"/>
      <c r="O305" s="17"/>
      <c r="P305" s="21" t="str">
        <f aca="false">IF(OR(H305="",L305=""),"",IF(AND(H305&gt;=Variables!$E$2,L305&gt;=Variables!$E$2),"Yes","No"))</f>
        <v/>
      </c>
      <c r="Q305" s="19" t="str">
        <f aca="false">IF(OR(I305="",M305="",I305=0),"",(M305-I305)/I305)</f>
        <v/>
      </c>
      <c r="R305" s="21" t="str">
        <f aca="false">IF(P305="","",IF(P305="No","Extend 24 h",IF(Q305&gt;=Variables!$E$3,"B","A")))</f>
        <v/>
      </c>
      <c r="S305" s="21" t="str">
        <f aca="false">IF(R305="B","Yes: add to Constants",IF(R305="A","No",""))</f>
        <v/>
      </c>
      <c r="T305" s="11"/>
      <c r="U305" s="12"/>
    </row>
    <row r="306" customFormat="false" ht="15" hidden="false" customHeight="false" outlineLevel="0" collapsed="false">
      <c r="A306" s="12"/>
      <c r="B306" s="11"/>
      <c r="C306" s="12"/>
      <c r="D306" s="12"/>
      <c r="E306" s="12"/>
      <c r="F306" s="12"/>
      <c r="G306" s="12"/>
      <c r="H306" s="17"/>
      <c r="I306" s="18"/>
      <c r="J306" s="17"/>
      <c r="K306" s="17"/>
      <c r="L306" s="17"/>
      <c r="M306" s="18"/>
      <c r="N306" s="17"/>
      <c r="O306" s="17"/>
      <c r="P306" s="21" t="str">
        <f aca="false">IF(OR(H306="",L306=""),"",IF(AND(H306&gt;=Variables!$E$2,L306&gt;=Variables!$E$2),"Yes","No"))</f>
        <v/>
      </c>
      <c r="Q306" s="19" t="str">
        <f aca="false">IF(OR(I306="",M306="",I306=0),"",(M306-I306)/I306)</f>
        <v/>
      </c>
      <c r="R306" s="21" t="str">
        <f aca="false">IF(P306="","",IF(P306="No","Extend 24 h",IF(Q306&gt;=Variables!$E$3,"B","A")))</f>
        <v/>
      </c>
      <c r="S306" s="21" t="str">
        <f aca="false">IF(R306="B","Yes: add to Constants",IF(R306="A","No",""))</f>
        <v/>
      </c>
      <c r="T306" s="11"/>
      <c r="U306" s="12"/>
    </row>
    <row r="307" customFormat="false" ht="15" hidden="false" customHeight="false" outlineLevel="0" collapsed="false">
      <c r="A307" s="12"/>
      <c r="B307" s="11"/>
      <c r="C307" s="12"/>
      <c r="D307" s="12"/>
      <c r="E307" s="12"/>
      <c r="F307" s="12"/>
      <c r="G307" s="12"/>
      <c r="H307" s="17"/>
      <c r="I307" s="18"/>
      <c r="J307" s="17"/>
      <c r="K307" s="17"/>
      <c r="L307" s="17"/>
      <c r="M307" s="18"/>
      <c r="N307" s="17"/>
      <c r="O307" s="17"/>
      <c r="P307" s="21" t="str">
        <f aca="false">IF(OR(H307="",L307=""),"",IF(AND(H307&gt;=Variables!$E$2,L307&gt;=Variables!$E$2),"Yes","No"))</f>
        <v/>
      </c>
      <c r="Q307" s="19" t="str">
        <f aca="false">IF(OR(I307="",M307="",I307=0),"",(M307-I307)/I307)</f>
        <v/>
      </c>
      <c r="R307" s="21" t="str">
        <f aca="false">IF(P307="","",IF(P307="No","Extend 24 h",IF(Q307&gt;=Variables!$E$3,"B","A")))</f>
        <v/>
      </c>
      <c r="S307" s="21" t="str">
        <f aca="false">IF(R307="B","Yes: add to Constants",IF(R307="A","No",""))</f>
        <v/>
      </c>
      <c r="T307" s="11"/>
      <c r="U307" s="12"/>
    </row>
    <row r="308" customFormat="false" ht="15" hidden="false" customHeight="false" outlineLevel="0" collapsed="false">
      <c r="A308" s="12"/>
      <c r="B308" s="11"/>
      <c r="C308" s="12"/>
      <c r="D308" s="12"/>
      <c r="E308" s="12"/>
      <c r="F308" s="12"/>
      <c r="G308" s="12"/>
      <c r="H308" s="17"/>
      <c r="I308" s="18"/>
      <c r="J308" s="17"/>
      <c r="K308" s="17"/>
      <c r="L308" s="17"/>
      <c r="M308" s="18"/>
      <c r="N308" s="17"/>
      <c r="O308" s="17"/>
      <c r="P308" s="21" t="str">
        <f aca="false">IF(OR(H308="",L308=""),"",IF(AND(H308&gt;=Variables!$E$2,L308&gt;=Variables!$E$2),"Yes","No"))</f>
        <v/>
      </c>
      <c r="Q308" s="19" t="str">
        <f aca="false">IF(OR(I308="",M308="",I308=0),"",(M308-I308)/I308)</f>
        <v/>
      </c>
      <c r="R308" s="21" t="str">
        <f aca="false">IF(P308="","",IF(P308="No","Extend 24 h",IF(Q308&gt;=Variables!$E$3,"B","A")))</f>
        <v/>
      </c>
      <c r="S308" s="21" t="str">
        <f aca="false">IF(R308="B","Yes: add to Constants",IF(R308="A","No",""))</f>
        <v/>
      </c>
      <c r="T308" s="11"/>
      <c r="U308" s="12"/>
    </row>
    <row r="309" customFormat="false" ht="15" hidden="false" customHeight="false" outlineLevel="0" collapsed="false">
      <c r="A309" s="12"/>
      <c r="B309" s="11"/>
      <c r="C309" s="12"/>
      <c r="D309" s="12"/>
      <c r="E309" s="12"/>
      <c r="F309" s="12"/>
      <c r="G309" s="12"/>
      <c r="H309" s="17"/>
      <c r="I309" s="18"/>
      <c r="J309" s="17"/>
      <c r="K309" s="17"/>
      <c r="L309" s="17"/>
      <c r="M309" s="18"/>
      <c r="N309" s="17"/>
      <c r="O309" s="17"/>
      <c r="P309" s="21" t="str">
        <f aca="false">IF(OR(H309="",L309=""),"",IF(AND(H309&gt;=Variables!$E$2,L309&gt;=Variables!$E$2),"Yes","No"))</f>
        <v/>
      </c>
      <c r="Q309" s="19" t="str">
        <f aca="false">IF(OR(I309="",M309="",I309=0),"",(M309-I309)/I309)</f>
        <v/>
      </c>
      <c r="R309" s="21" t="str">
        <f aca="false">IF(P309="","",IF(P309="No","Extend 24 h",IF(Q309&gt;=Variables!$E$3,"B","A")))</f>
        <v/>
      </c>
      <c r="S309" s="21" t="str">
        <f aca="false">IF(R309="B","Yes: add to Constants",IF(R309="A","No",""))</f>
        <v/>
      </c>
      <c r="T309" s="11"/>
      <c r="U309" s="12"/>
    </row>
    <row r="310" customFormat="false" ht="15" hidden="false" customHeight="false" outlineLevel="0" collapsed="false">
      <c r="A310" s="12"/>
      <c r="B310" s="11"/>
      <c r="C310" s="12"/>
      <c r="D310" s="12"/>
      <c r="E310" s="12"/>
      <c r="F310" s="12"/>
      <c r="G310" s="12"/>
      <c r="H310" s="17"/>
      <c r="I310" s="18"/>
      <c r="J310" s="17"/>
      <c r="K310" s="17"/>
      <c r="L310" s="17"/>
      <c r="M310" s="18"/>
      <c r="N310" s="17"/>
      <c r="O310" s="17"/>
      <c r="P310" s="21" t="str">
        <f aca="false">IF(OR(H310="",L310=""),"",IF(AND(H310&gt;=Variables!$E$2,L310&gt;=Variables!$E$2),"Yes","No"))</f>
        <v/>
      </c>
      <c r="Q310" s="19" t="str">
        <f aca="false">IF(OR(I310="",M310="",I310=0),"",(M310-I310)/I310)</f>
        <v/>
      </c>
      <c r="R310" s="21" t="str">
        <f aca="false">IF(P310="","",IF(P310="No","Extend 24 h",IF(Q310&gt;=Variables!$E$3,"B","A")))</f>
        <v/>
      </c>
      <c r="S310" s="21" t="str">
        <f aca="false">IF(R310="B","Yes: add to Constants",IF(R310="A","No",""))</f>
        <v/>
      </c>
      <c r="T310" s="11"/>
      <c r="U310" s="12"/>
    </row>
    <row r="311" customFormat="false" ht="15" hidden="false" customHeight="false" outlineLevel="0" collapsed="false">
      <c r="A311" s="12"/>
      <c r="B311" s="11"/>
      <c r="C311" s="12"/>
      <c r="D311" s="12"/>
      <c r="E311" s="12"/>
      <c r="F311" s="12"/>
      <c r="G311" s="12"/>
      <c r="H311" s="17"/>
      <c r="I311" s="18"/>
      <c r="J311" s="17"/>
      <c r="K311" s="17"/>
      <c r="L311" s="17"/>
      <c r="M311" s="18"/>
      <c r="N311" s="17"/>
      <c r="O311" s="17"/>
      <c r="P311" s="21" t="str">
        <f aca="false">IF(OR(H311="",L311=""),"",IF(AND(H311&gt;=Variables!$E$2,L311&gt;=Variables!$E$2),"Yes","No"))</f>
        <v/>
      </c>
      <c r="Q311" s="19" t="str">
        <f aca="false">IF(OR(I311="",M311="",I311=0),"",(M311-I311)/I311)</f>
        <v/>
      </c>
      <c r="R311" s="21" t="str">
        <f aca="false">IF(P311="","",IF(P311="No","Extend 24 h",IF(Q311&gt;=Variables!$E$3,"B","A")))</f>
        <v/>
      </c>
      <c r="S311" s="21" t="str">
        <f aca="false">IF(R311="B","Yes: add to Constants",IF(R311="A","No",""))</f>
        <v/>
      </c>
      <c r="T311" s="11"/>
      <c r="U311" s="12"/>
    </row>
    <row r="312" customFormat="false" ht="15" hidden="false" customHeight="false" outlineLevel="0" collapsed="false">
      <c r="A312" s="12"/>
      <c r="B312" s="11"/>
      <c r="C312" s="12"/>
      <c r="D312" s="12"/>
      <c r="E312" s="12"/>
      <c r="F312" s="12"/>
      <c r="G312" s="12"/>
      <c r="H312" s="17"/>
      <c r="I312" s="18"/>
      <c r="J312" s="17"/>
      <c r="K312" s="17"/>
      <c r="L312" s="17"/>
      <c r="M312" s="18"/>
      <c r="N312" s="17"/>
      <c r="O312" s="17"/>
      <c r="P312" s="21" t="str">
        <f aca="false">IF(OR(H312="",L312=""),"",IF(AND(H312&gt;=Variables!$E$2,L312&gt;=Variables!$E$2),"Yes","No"))</f>
        <v/>
      </c>
      <c r="Q312" s="19" t="str">
        <f aca="false">IF(OR(I312="",M312="",I312=0),"",(M312-I312)/I312)</f>
        <v/>
      </c>
      <c r="R312" s="21" t="str">
        <f aca="false">IF(P312="","",IF(P312="No","Extend 24 h",IF(Q312&gt;=Variables!$E$3,"B","A")))</f>
        <v/>
      </c>
      <c r="S312" s="21" t="str">
        <f aca="false">IF(R312="B","Yes: add to Constants",IF(R312="A","No",""))</f>
        <v/>
      </c>
      <c r="T312" s="11"/>
      <c r="U312" s="12"/>
    </row>
    <row r="313" customFormat="false" ht="15" hidden="false" customHeight="false" outlineLevel="0" collapsed="false">
      <c r="A313" s="12"/>
      <c r="B313" s="11"/>
      <c r="C313" s="12"/>
      <c r="D313" s="12"/>
      <c r="E313" s="12"/>
      <c r="F313" s="12"/>
      <c r="G313" s="12"/>
      <c r="H313" s="17"/>
      <c r="I313" s="18"/>
      <c r="J313" s="17"/>
      <c r="K313" s="17"/>
      <c r="L313" s="17"/>
      <c r="M313" s="18"/>
      <c r="N313" s="17"/>
      <c r="O313" s="17"/>
      <c r="P313" s="21" t="str">
        <f aca="false">IF(OR(H313="",L313=""),"",IF(AND(H313&gt;=Variables!$E$2,L313&gt;=Variables!$E$2),"Yes","No"))</f>
        <v/>
      </c>
      <c r="Q313" s="19" t="str">
        <f aca="false">IF(OR(I313="",M313="",I313=0),"",(M313-I313)/I313)</f>
        <v/>
      </c>
      <c r="R313" s="21" t="str">
        <f aca="false">IF(P313="","",IF(P313="No","Extend 24 h",IF(Q313&gt;=Variables!$E$3,"B","A")))</f>
        <v/>
      </c>
      <c r="S313" s="21" t="str">
        <f aca="false">IF(R313="B","Yes: add to Constants",IF(R313="A","No",""))</f>
        <v/>
      </c>
      <c r="T313" s="11"/>
      <c r="U313" s="12"/>
    </row>
    <row r="314" customFormat="false" ht="15" hidden="false" customHeight="false" outlineLevel="0" collapsed="false">
      <c r="A314" s="12"/>
      <c r="B314" s="11"/>
      <c r="C314" s="12"/>
      <c r="D314" s="12"/>
      <c r="E314" s="12"/>
      <c r="F314" s="12"/>
      <c r="G314" s="12"/>
      <c r="H314" s="17"/>
      <c r="I314" s="18"/>
      <c r="J314" s="17"/>
      <c r="K314" s="17"/>
      <c r="L314" s="17"/>
      <c r="M314" s="18"/>
      <c r="N314" s="17"/>
      <c r="O314" s="17"/>
      <c r="P314" s="21" t="str">
        <f aca="false">IF(OR(H314="",L314=""),"",IF(AND(H314&gt;=Variables!$E$2,L314&gt;=Variables!$E$2),"Yes","No"))</f>
        <v/>
      </c>
      <c r="Q314" s="19" t="str">
        <f aca="false">IF(OR(I314="",M314="",I314=0),"",(M314-I314)/I314)</f>
        <v/>
      </c>
      <c r="R314" s="21" t="str">
        <f aca="false">IF(P314="","",IF(P314="No","Extend 24 h",IF(Q314&gt;=Variables!$E$3,"B","A")))</f>
        <v/>
      </c>
      <c r="S314" s="21" t="str">
        <f aca="false">IF(R314="B","Yes: add to Constants",IF(R314="A","No",""))</f>
        <v/>
      </c>
      <c r="T314" s="11"/>
      <c r="U314" s="12"/>
    </row>
    <row r="315" customFormat="false" ht="15" hidden="false" customHeight="false" outlineLevel="0" collapsed="false">
      <c r="A315" s="12"/>
      <c r="B315" s="11"/>
      <c r="C315" s="12"/>
      <c r="D315" s="12"/>
      <c r="E315" s="12"/>
      <c r="F315" s="12"/>
      <c r="G315" s="12"/>
      <c r="H315" s="17"/>
      <c r="I315" s="18"/>
      <c r="J315" s="17"/>
      <c r="K315" s="17"/>
      <c r="L315" s="17"/>
      <c r="M315" s="18"/>
      <c r="N315" s="17"/>
      <c r="O315" s="17"/>
      <c r="P315" s="21" t="str">
        <f aca="false">IF(OR(H315="",L315=""),"",IF(AND(H315&gt;=Variables!$E$2,L315&gt;=Variables!$E$2),"Yes","No"))</f>
        <v/>
      </c>
      <c r="Q315" s="19" t="str">
        <f aca="false">IF(OR(I315="",M315="",I315=0),"",(M315-I315)/I315)</f>
        <v/>
      </c>
      <c r="R315" s="21" t="str">
        <f aca="false">IF(P315="","",IF(P315="No","Extend 24 h",IF(Q315&gt;=Variables!$E$3,"B","A")))</f>
        <v/>
      </c>
      <c r="S315" s="21" t="str">
        <f aca="false">IF(R315="B","Yes: add to Constants",IF(R315="A","No",""))</f>
        <v/>
      </c>
      <c r="T315" s="11"/>
      <c r="U315" s="12"/>
    </row>
    <row r="316" customFormat="false" ht="15" hidden="false" customHeight="false" outlineLevel="0" collapsed="false">
      <c r="A316" s="12"/>
      <c r="B316" s="11"/>
      <c r="C316" s="12"/>
      <c r="D316" s="12"/>
      <c r="E316" s="12"/>
      <c r="F316" s="12"/>
      <c r="G316" s="12"/>
      <c r="H316" s="17"/>
      <c r="I316" s="18"/>
      <c r="J316" s="17"/>
      <c r="K316" s="17"/>
      <c r="L316" s="17"/>
      <c r="M316" s="18"/>
      <c r="N316" s="17"/>
      <c r="O316" s="17"/>
      <c r="P316" s="21" t="str">
        <f aca="false">IF(OR(H316="",L316=""),"",IF(AND(H316&gt;=Variables!$E$2,L316&gt;=Variables!$E$2),"Yes","No"))</f>
        <v/>
      </c>
      <c r="Q316" s="19" t="str">
        <f aca="false">IF(OR(I316="",M316="",I316=0),"",(M316-I316)/I316)</f>
        <v/>
      </c>
      <c r="R316" s="21" t="str">
        <f aca="false">IF(P316="","",IF(P316="No","Extend 24 h",IF(Q316&gt;=Variables!$E$3,"B","A")))</f>
        <v/>
      </c>
      <c r="S316" s="21" t="str">
        <f aca="false">IF(R316="B","Yes: add to Constants",IF(R316="A","No",""))</f>
        <v/>
      </c>
      <c r="T316" s="11"/>
      <c r="U316" s="12"/>
    </row>
    <row r="317" customFormat="false" ht="15" hidden="false" customHeight="false" outlineLevel="0" collapsed="false">
      <c r="A317" s="12"/>
      <c r="B317" s="11"/>
      <c r="C317" s="12"/>
      <c r="D317" s="12"/>
      <c r="E317" s="12"/>
      <c r="F317" s="12"/>
      <c r="G317" s="12"/>
      <c r="H317" s="17"/>
      <c r="I317" s="18"/>
      <c r="J317" s="17"/>
      <c r="K317" s="17"/>
      <c r="L317" s="17"/>
      <c r="M317" s="18"/>
      <c r="N317" s="17"/>
      <c r="O317" s="17"/>
      <c r="P317" s="21" t="str">
        <f aca="false">IF(OR(H317="",L317=""),"",IF(AND(H317&gt;=Variables!$E$2,L317&gt;=Variables!$E$2),"Yes","No"))</f>
        <v/>
      </c>
      <c r="Q317" s="19" t="str">
        <f aca="false">IF(OR(I317="",M317="",I317=0),"",(M317-I317)/I317)</f>
        <v/>
      </c>
      <c r="R317" s="21" t="str">
        <f aca="false">IF(P317="","",IF(P317="No","Extend 24 h",IF(Q317&gt;=Variables!$E$3,"B","A")))</f>
        <v/>
      </c>
      <c r="S317" s="21" t="str">
        <f aca="false">IF(R317="B","Yes: add to Constants",IF(R317="A","No",""))</f>
        <v/>
      </c>
      <c r="T317" s="11"/>
      <c r="U317" s="12"/>
    </row>
    <row r="318" customFormat="false" ht="15" hidden="false" customHeight="false" outlineLevel="0" collapsed="false">
      <c r="A318" s="12"/>
      <c r="B318" s="11"/>
      <c r="C318" s="12"/>
      <c r="D318" s="12"/>
      <c r="E318" s="12"/>
      <c r="F318" s="12"/>
      <c r="G318" s="12"/>
      <c r="H318" s="17"/>
      <c r="I318" s="18"/>
      <c r="J318" s="17"/>
      <c r="K318" s="17"/>
      <c r="L318" s="17"/>
      <c r="M318" s="18"/>
      <c r="N318" s="17"/>
      <c r="O318" s="17"/>
      <c r="P318" s="21" t="str">
        <f aca="false">IF(OR(H318="",L318=""),"",IF(AND(H318&gt;=Variables!$E$2,L318&gt;=Variables!$E$2),"Yes","No"))</f>
        <v/>
      </c>
      <c r="Q318" s="19" t="str">
        <f aca="false">IF(OR(I318="",M318="",I318=0),"",(M318-I318)/I318)</f>
        <v/>
      </c>
      <c r="R318" s="21" t="str">
        <f aca="false">IF(P318="","",IF(P318="No","Extend 24 h",IF(Q318&gt;=Variables!$E$3,"B","A")))</f>
        <v/>
      </c>
      <c r="S318" s="21" t="str">
        <f aca="false">IF(R318="B","Yes: add to Constants",IF(R318="A","No",""))</f>
        <v/>
      </c>
      <c r="T318" s="11"/>
      <c r="U318" s="12"/>
    </row>
    <row r="319" customFormat="false" ht="15" hidden="false" customHeight="false" outlineLevel="0" collapsed="false">
      <c r="A319" s="12"/>
      <c r="B319" s="11"/>
      <c r="C319" s="12"/>
      <c r="D319" s="12"/>
      <c r="E319" s="12"/>
      <c r="F319" s="12"/>
      <c r="G319" s="12"/>
      <c r="H319" s="17"/>
      <c r="I319" s="18"/>
      <c r="J319" s="17"/>
      <c r="K319" s="17"/>
      <c r="L319" s="17"/>
      <c r="M319" s="18"/>
      <c r="N319" s="17"/>
      <c r="O319" s="17"/>
      <c r="P319" s="21" t="str">
        <f aca="false">IF(OR(H319="",L319=""),"",IF(AND(H319&gt;=Variables!$E$2,L319&gt;=Variables!$E$2),"Yes","No"))</f>
        <v/>
      </c>
      <c r="Q319" s="19" t="str">
        <f aca="false">IF(OR(I319="",M319="",I319=0),"",(M319-I319)/I319)</f>
        <v/>
      </c>
      <c r="R319" s="21" t="str">
        <f aca="false">IF(P319="","",IF(P319="No","Extend 24 h",IF(Q319&gt;=Variables!$E$3,"B","A")))</f>
        <v/>
      </c>
      <c r="S319" s="21" t="str">
        <f aca="false">IF(R319="B","Yes: add to Constants",IF(R319="A","No",""))</f>
        <v/>
      </c>
      <c r="T319" s="11"/>
      <c r="U319" s="12"/>
    </row>
    <row r="320" customFormat="false" ht="15" hidden="false" customHeight="false" outlineLevel="0" collapsed="false">
      <c r="A320" s="12"/>
      <c r="B320" s="11"/>
      <c r="C320" s="12"/>
      <c r="D320" s="12"/>
      <c r="E320" s="12"/>
      <c r="F320" s="12"/>
      <c r="G320" s="12"/>
      <c r="H320" s="17"/>
      <c r="I320" s="18"/>
      <c r="J320" s="17"/>
      <c r="K320" s="17"/>
      <c r="L320" s="17"/>
      <c r="M320" s="18"/>
      <c r="N320" s="17"/>
      <c r="O320" s="17"/>
      <c r="P320" s="21" t="str">
        <f aca="false">IF(OR(H320="",L320=""),"",IF(AND(H320&gt;=Variables!$E$2,L320&gt;=Variables!$E$2),"Yes","No"))</f>
        <v/>
      </c>
      <c r="Q320" s="19" t="str">
        <f aca="false">IF(OR(I320="",M320="",I320=0),"",(M320-I320)/I320)</f>
        <v/>
      </c>
      <c r="R320" s="21" t="str">
        <f aca="false">IF(P320="","",IF(P320="No","Extend 24 h",IF(Q320&gt;=Variables!$E$3,"B","A")))</f>
        <v/>
      </c>
      <c r="S320" s="21" t="str">
        <f aca="false">IF(R320="B","Yes: add to Constants",IF(R320="A","No",""))</f>
        <v/>
      </c>
      <c r="T320" s="11"/>
      <c r="U320" s="12"/>
    </row>
    <row r="321" customFormat="false" ht="15" hidden="false" customHeight="false" outlineLevel="0" collapsed="false">
      <c r="A321" s="12"/>
      <c r="B321" s="11"/>
      <c r="C321" s="12"/>
      <c r="D321" s="12"/>
      <c r="E321" s="12"/>
      <c r="F321" s="12"/>
      <c r="G321" s="12"/>
      <c r="H321" s="17"/>
      <c r="I321" s="18"/>
      <c r="J321" s="17"/>
      <c r="K321" s="17"/>
      <c r="L321" s="17"/>
      <c r="M321" s="18"/>
      <c r="N321" s="17"/>
      <c r="O321" s="17"/>
      <c r="P321" s="21" t="str">
        <f aca="false">IF(OR(H321="",L321=""),"",IF(AND(H321&gt;=Variables!$E$2,L321&gt;=Variables!$E$2),"Yes","No"))</f>
        <v/>
      </c>
      <c r="Q321" s="19" t="str">
        <f aca="false">IF(OR(I321="",M321="",I321=0),"",(M321-I321)/I321)</f>
        <v/>
      </c>
      <c r="R321" s="21" t="str">
        <f aca="false">IF(P321="","",IF(P321="No","Extend 24 h",IF(Q321&gt;=Variables!$E$3,"B","A")))</f>
        <v/>
      </c>
      <c r="S321" s="21" t="str">
        <f aca="false">IF(R321="B","Yes: add to Constants",IF(R321="A","No",""))</f>
        <v/>
      </c>
      <c r="T321" s="11"/>
      <c r="U321" s="12"/>
    </row>
    <row r="322" customFormat="false" ht="15" hidden="false" customHeight="false" outlineLevel="0" collapsed="false">
      <c r="A322" s="12"/>
      <c r="B322" s="11"/>
      <c r="C322" s="12"/>
      <c r="D322" s="12"/>
      <c r="E322" s="12"/>
      <c r="F322" s="12"/>
      <c r="G322" s="12"/>
      <c r="H322" s="17"/>
      <c r="I322" s="18"/>
      <c r="J322" s="17"/>
      <c r="K322" s="17"/>
      <c r="L322" s="17"/>
      <c r="M322" s="18"/>
      <c r="N322" s="17"/>
      <c r="O322" s="17"/>
      <c r="P322" s="21" t="str">
        <f aca="false">IF(OR(H322="",L322=""),"",IF(AND(H322&gt;=Variables!$E$2,L322&gt;=Variables!$E$2),"Yes","No"))</f>
        <v/>
      </c>
      <c r="Q322" s="19" t="str">
        <f aca="false">IF(OR(I322="",M322="",I322=0),"",(M322-I322)/I322)</f>
        <v/>
      </c>
      <c r="R322" s="21" t="str">
        <f aca="false">IF(P322="","",IF(P322="No","Extend 24 h",IF(Q322&gt;=Variables!$E$3,"B","A")))</f>
        <v/>
      </c>
      <c r="S322" s="21" t="str">
        <f aca="false">IF(R322="B","Yes: add to Constants",IF(R322="A","No",""))</f>
        <v/>
      </c>
      <c r="T322" s="11"/>
      <c r="U322" s="12"/>
    </row>
    <row r="323" customFormat="false" ht="15" hidden="false" customHeight="false" outlineLevel="0" collapsed="false">
      <c r="A323" s="12"/>
      <c r="B323" s="11"/>
      <c r="C323" s="12"/>
      <c r="D323" s="12"/>
      <c r="E323" s="12"/>
      <c r="F323" s="12"/>
      <c r="G323" s="12"/>
      <c r="H323" s="17"/>
      <c r="I323" s="18"/>
      <c r="J323" s="17"/>
      <c r="K323" s="17"/>
      <c r="L323" s="17"/>
      <c r="M323" s="18"/>
      <c r="N323" s="17"/>
      <c r="O323" s="17"/>
      <c r="P323" s="21" t="str">
        <f aca="false">IF(OR(H323="",L323=""),"",IF(AND(H323&gt;=Variables!$E$2,L323&gt;=Variables!$E$2),"Yes","No"))</f>
        <v/>
      </c>
      <c r="Q323" s="19" t="str">
        <f aca="false">IF(OR(I323="",M323="",I323=0),"",(M323-I323)/I323)</f>
        <v/>
      </c>
      <c r="R323" s="21" t="str">
        <f aca="false">IF(P323="","",IF(P323="No","Extend 24 h",IF(Q323&gt;=Variables!$E$3,"B","A")))</f>
        <v/>
      </c>
      <c r="S323" s="21" t="str">
        <f aca="false">IF(R323="B","Yes: add to Constants",IF(R323="A","No",""))</f>
        <v/>
      </c>
      <c r="T323" s="11"/>
      <c r="U323" s="12"/>
    </row>
    <row r="324" customFormat="false" ht="15" hidden="false" customHeight="false" outlineLevel="0" collapsed="false">
      <c r="A324" s="12"/>
      <c r="B324" s="11"/>
      <c r="C324" s="12"/>
      <c r="D324" s="12"/>
      <c r="E324" s="12"/>
      <c r="F324" s="12"/>
      <c r="G324" s="12"/>
      <c r="H324" s="17"/>
      <c r="I324" s="18"/>
      <c r="J324" s="17"/>
      <c r="K324" s="17"/>
      <c r="L324" s="17"/>
      <c r="M324" s="18"/>
      <c r="N324" s="17"/>
      <c r="O324" s="17"/>
      <c r="P324" s="21" t="str">
        <f aca="false">IF(OR(H324="",L324=""),"",IF(AND(H324&gt;=Variables!$E$2,L324&gt;=Variables!$E$2),"Yes","No"))</f>
        <v/>
      </c>
      <c r="Q324" s="19" t="str">
        <f aca="false">IF(OR(I324="",M324="",I324=0),"",(M324-I324)/I324)</f>
        <v/>
      </c>
      <c r="R324" s="21" t="str">
        <f aca="false">IF(P324="","",IF(P324="No","Extend 24 h",IF(Q324&gt;=Variables!$E$3,"B","A")))</f>
        <v/>
      </c>
      <c r="S324" s="21" t="str">
        <f aca="false">IF(R324="B","Yes: add to Constants",IF(R324="A","No",""))</f>
        <v/>
      </c>
      <c r="T324" s="11"/>
      <c r="U324" s="12"/>
    </row>
    <row r="325" customFormat="false" ht="15" hidden="false" customHeight="false" outlineLevel="0" collapsed="false">
      <c r="A325" s="12"/>
      <c r="B325" s="11"/>
      <c r="C325" s="12"/>
      <c r="D325" s="12"/>
      <c r="E325" s="12"/>
      <c r="F325" s="12"/>
      <c r="G325" s="12"/>
      <c r="H325" s="17"/>
      <c r="I325" s="18"/>
      <c r="J325" s="17"/>
      <c r="K325" s="17"/>
      <c r="L325" s="17"/>
      <c r="M325" s="18"/>
      <c r="N325" s="17"/>
      <c r="O325" s="17"/>
      <c r="P325" s="21" t="str">
        <f aca="false">IF(OR(H325="",L325=""),"",IF(AND(H325&gt;=Variables!$E$2,L325&gt;=Variables!$E$2),"Yes","No"))</f>
        <v/>
      </c>
      <c r="Q325" s="19" t="str">
        <f aca="false">IF(OR(I325="",M325="",I325=0),"",(M325-I325)/I325)</f>
        <v/>
      </c>
      <c r="R325" s="21" t="str">
        <f aca="false">IF(P325="","",IF(P325="No","Extend 24 h",IF(Q325&gt;=Variables!$E$3,"B","A")))</f>
        <v/>
      </c>
      <c r="S325" s="21" t="str">
        <f aca="false">IF(R325="B","Yes: add to Constants",IF(R325="A","No",""))</f>
        <v/>
      </c>
      <c r="T325" s="11"/>
      <c r="U325" s="12"/>
    </row>
    <row r="326" customFormat="false" ht="15" hidden="false" customHeight="false" outlineLevel="0" collapsed="false">
      <c r="A326" s="12"/>
      <c r="B326" s="11"/>
      <c r="C326" s="12"/>
      <c r="D326" s="12"/>
      <c r="E326" s="12"/>
      <c r="F326" s="12"/>
      <c r="G326" s="12"/>
      <c r="H326" s="17"/>
      <c r="I326" s="18"/>
      <c r="J326" s="17"/>
      <c r="K326" s="17"/>
      <c r="L326" s="17"/>
      <c r="M326" s="18"/>
      <c r="N326" s="17"/>
      <c r="O326" s="17"/>
      <c r="P326" s="21" t="str">
        <f aca="false">IF(OR(H326="",L326=""),"",IF(AND(H326&gt;=Variables!$E$2,L326&gt;=Variables!$E$2),"Yes","No"))</f>
        <v/>
      </c>
      <c r="Q326" s="19" t="str">
        <f aca="false">IF(OR(I326="",M326="",I326=0),"",(M326-I326)/I326)</f>
        <v/>
      </c>
      <c r="R326" s="21" t="str">
        <f aca="false">IF(P326="","",IF(P326="No","Extend 24 h",IF(Q326&gt;=Variables!$E$3,"B","A")))</f>
        <v/>
      </c>
      <c r="S326" s="21" t="str">
        <f aca="false">IF(R326="B","Yes: add to Constants",IF(R326="A","No",""))</f>
        <v/>
      </c>
      <c r="T326" s="11"/>
      <c r="U326" s="12"/>
    </row>
    <row r="327" customFormat="false" ht="15" hidden="false" customHeight="false" outlineLevel="0" collapsed="false">
      <c r="A327" s="12"/>
      <c r="B327" s="11"/>
      <c r="C327" s="12"/>
      <c r="D327" s="12"/>
      <c r="E327" s="12"/>
      <c r="F327" s="12"/>
      <c r="G327" s="12"/>
      <c r="H327" s="17"/>
      <c r="I327" s="18"/>
      <c r="J327" s="17"/>
      <c r="K327" s="17"/>
      <c r="L327" s="17"/>
      <c r="M327" s="18"/>
      <c r="N327" s="17"/>
      <c r="O327" s="17"/>
      <c r="P327" s="21" t="str">
        <f aca="false">IF(OR(H327="",L327=""),"",IF(AND(H327&gt;=Variables!$E$2,L327&gt;=Variables!$E$2),"Yes","No"))</f>
        <v/>
      </c>
      <c r="Q327" s="19" t="str">
        <f aca="false">IF(OR(I327="",M327="",I327=0),"",(M327-I327)/I327)</f>
        <v/>
      </c>
      <c r="R327" s="21" t="str">
        <f aca="false">IF(P327="","",IF(P327="No","Extend 24 h",IF(Q327&gt;=Variables!$E$3,"B","A")))</f>
        <v/>
      </c>
      <c r="S327" s="21" t="str">
        <f aca="false">IF(R327="B","Yes: add to Constants",IF(R327="A","No",""))</f>
        <v/>
      </c>
      <c r="T327" s="11"/>
      <c r="U327" s="12"/>
    </row>
    <row r="328" customFormat="false" ht="15" hidden="false" customHeight="false" outlineLevel="0" collapsed="false">
      <c r="A328" s="12"/>
      <c r="B328" s="11"/>
      <c r="C328" s="12"/>
      <c r="D328" s="12"/>
      <c r="E328" s="12"/>
      <c r="F328" s="12"/>
      <c r="G328" s="12"/>
      <c r="H328" s="17"/>
      <c r="I328" s="18"/>
      <c r="J328" s="17"/>
      <c r="K328" s="17"/>
      <c r="L328" s="17"/>
      <c r="M328" s="18"/>
      <c r="N328" s="17"/>
      <c r="O328" s="17"/>
      <c r="P328" s="21" t="str">
        <f aca="false">IF(OR(H328="",L328=""),"",IF(AND(H328&gt;=Variables!$E$2,L328&gt;=Variables!$E$2),"Yes","No"))</f>
        <v/>
      </c>
      <c r="Q328" s="19" t="str">
        <f aca="false">IF(OR(I328="",M328="",I328=0),"",(M328-I328)/I328)</f>
        <v/>
      </c>
      <c r="R328" s="21" t="str">
        <f aca="false">IF(P328="","",IF(P328="No","Extend 24 h",IF(Q328&gt;=Variables!$E$3,"B","A")))</f>
        <v/>
      </c>
      <c r="S328" s="21" t="str">
        <f aca="false">IF(R328="B","Yes: add to Constants",IF(R328="A","No",""))</f>
        <v/>
      </c>
      <c r="T328" s="11"/>
      <c r="U328" s="12"/>
    </row>
    <row r="329" customFormat="false" ht="15" hidden="false" customHeight="false" outlineLevel="0" collapsed="false">
      <c r="A329" s="12"/>
      <c r="B329" s="11"/>
      <c r="C329" s="12"/>
      <c r="D329" s="12"/>
      <c r="E329" s="12"/>
      <c r="F329" s="12"/>
      <c r="G329" s="12"/>
      <c r="H329" s="17"/>
      <c r="I329" s="18"/>
      <c r="J329" s="17"/>
      <c r="K329" s="17"/>
      <c r="L329" s="17"/>
      <c r="M329" s="18"/>
      <c r="N329" s="17"/>
      <c r="O329" s="17"/>
      <c r="P329" s="21" t="str">
        <f aca="false">IF(OR(H329="",L329=""),"",IF(AND(H329&gt;=Variables!$E$2,L329&gt;=Variables!$E$2),"Yes","No"))</f>
        <v/>
      </c>
      <c r="Q329" s="19" t="str">
        <f aca="false">IF(OR(I329="",M329="",I329=0),"",(M329-I329)/I329)</f>
        <v/>
      </c>
      <c r="R329" s="21" t="str">
        <f aca="false">IF(P329="","",IF(P329="No","Extend 24 h",IF(Q329&gt;=Variables!$E$3,"B","A")))</f>
        <v/>
      </c>
      <c r="S329" s="21" t="str">
        <f aca="false">IF(R329="B","Yes: add to Constants",IF(R329="A","No",""))</f>
        <v/>
      </c>
      <c r="T329" s="11"/>
      <c r="U329" s="12"/>
    </row>
    <row r="330" customFormat="false" ht="15" hidden="false" customHeight="false" outlineLevel="0" collapsed="false">
      <c r="A330" s="12"/>
      <c r="B330" s="11"/>
      <c r="C330" s="12"/>
      <c r="D330" s="12"/>
      <c r="E330" s="12"/>
      <c r="F330" s="12"/>
      <c r="G330" s="12"/>
      <c r="H330" s="17"/>
      <c r="I330" s="18"/>
      <c r="J330" s="17"/>
      <c r="K330" s="17"/>
      <c r="L330" s="17"/>
      <c r="M330" s="18"/>
      <c r="N330" s="17"/>
      <c r="O330" s="17"/>
      <c r="P330" s="21" t="str">
        <f aca="false">IF(OR(H330="",L330=""),"",IF(AND(H330&gt;=Variables!$E$2,L330&gt;=Variables!$E$2),"Yes","No"))</f>
        <v/>
      </c>
      <c r="Q330" s="19" t="str">
        <f aca="false">IF(OR(I330="",M330="",I330=0),"",(M330-I330)/I330)</f>
        <v/>
      </c>
      <c r="R330" s="21" t="str">
        <f aca="false">IF(P330="","",IF(P330="No","Extend 24 h",IF(Q330&gt;=Variables!$E$3,"B","A")))</f>
        <v/>
      </c>
      <c r="S330" s="21" t="str">
        <f aca="false">IF(R330="B","Yes: add to Constants",IF(R330="A","No",""))</f>
        <v/>
      </c>
      <c r="T330" s="11"/>
      <c r="U330" s="12"/>
    </row>
    <row r="331" customFormat="false" ht="15" hidden="false" customHeight="false" outlineLevel="0" collapsed="false">
      <c r="A331" s="12"/>
      <c r="B331" s="11"/>
      <c r="C331" s="12"/>
      <c r="D331" s="12"/>
      <c r="E331" s="12"/>
      <c r="F331" s="12"/>
      <c r="G331" s="12"/>
      <c r="H331" s="17"/>
      <c r="I331" s="18"/>
      <c r="J331" s="17"/>
      <c r="K331" s="17"/>
      <c r="L331" s="17"/>
      <c r="M331" s="18"/>
      <c r="N331" s="17"/>
      <c r="O331" s="17"/>
      <c r="P331" s="21" t="str">
        <f aca="false">IF(OR(H331="",L331=""),"",IF(AND(H331&gt;=Variables!$E$2,L331&gt;=Variables!$E$2),"Yes","No"))</f>
        <v/>
      </c>
      <c r="Q331" s="19" t="str">
        <f aca="false">IF(OR(I331="",M331="",I331=0),"",(M331-I331)/I331)</f>
        <v/>
      </c>
      <c r="R331" s="21" t="str">
        <f aca="false">IF(P331="","",IF(P331="No","Extend 24 h",IF(Q331&gt;=Variables!$E$3,"B","A")))</f>
        <v/>
      </c>
      <c r="S331" s="21" t="str">
        <f aca="false">IF(R331="B","Yes: add to Constants",IF(R331="A","No",""))</f>
        <v/>
      </c>
      <c r="T331" s="11"/>
      <c r="U331" s="12"/>
    </row>
    <row r="332" customFormat="false" ht="15" hidden="false" customHeight="false" outlineLevel="0" collapsed="false">
      <c r="A332" s="12"/>
      <c r="B332" s="11"/>
      <c r="C332" s="12"/>
      <c r="D332" s="12"/>
      <c r="E332" s="12"/>
      <c r="F332" s="12"/>
      <c r="G332" s="12"/>
      <c r="H332" s="17"/>
      <c r="I332" s="18"/>
      <c r="J332" s="17"/>
      <c r="K332" s="17"/>
      <c r="L332" s="17"/>
      <c r="M332" s="18"/>
      <c r="N332" s="17"/>
      <c r="O332" s="17"/>
      <c r="P332" s="21" t="str">
        <f aca="false">IF(OR(H332="",L332=""),"",IF(AND(H332&gt;=Variables!$E$2,L332&gt;=Variables!$E$2),"Yes","No"))</f>
        <v/>
      </c>
      <c r="Q332" s="19" t="str">
        <f aca="false">IF(OR(I332="",M332="",I332=0),"",(M332-I332)/I332)</f>
        <v/>
      </c>
      <c r="R332" s="21" t="str">
        <f aca="false">IF(P332="","",IF(P332="No","Extend 24 h",IF(Q332&gt;=Variables!$E$3,"B","A")))</f>
        <v/>
      </c>
      <c r="S332" s="21" t="str">
        <f aca="false">IF(R332="B","Yes: add to Constants",IF(R332="A","No",""))</f>
        <v/>
      </c>
      <c r="T332" s="11"/>
      <c r="U332" s="12"/>
    </row>
    <row r="333" customFormat="false" ht="15" hidden="false" customHeight="false" outlineLevel="0" collapsed="false">
      <c r="A333" s="12"/>
      <c r="B333" s="11"/>
      <c r="C333" s="12"/>
      <c r="D333" s="12"/>
      <c r="E333" s="12"/>
      <c r="F333" s="12"/>
      <c r="G333" s="12"/>
      <c r="H333" s="17"/>
      <c r="I333" s="18"/>
      <c r="J333" s="17"/>
      <c r="K333" s="17"/>
      <c r="L333" s="17"/>
      <c r="M333" s="18"/>
      <c r="N333" s="17"/>
      <c r="O333" s="17"/>
      <c r="P333" s="21" t="str">
        <f aca="false">IF(OR(H333="",L333=""),"",IF(AND(H333&gt;=Variables!$E$2,L333&gt;=Variables!$E$2),"Yes","No"))</f>
        <v/>
      </c>
      <c r="Q333" s="19" t="str">
        <f aca="false">IF(OR(I333="",M333="",I333=0),"",(M333-I333)/I333)</f>
        <v/>
      </c>
      <c r="R333" s="21" t="str">
        <f aca="false">IF(P333="","",IF(P333="No","Extend 24 h",IF(Q333&gt;=Variables!$E$3,"B","A")))</f>
        <v/>
      </c>
      <c r="S333" s="21" t="str">
        <f aca="false">IF(R333="B","Yes: add to Constants",IF(R333="A","No",""))</f>
        <v/>
      </c>
      <c r="T333" s="11"/>
      <c r="U333" s="12"/>
    </row>
    <row r="334" customFormat="false" ht="15" hidden="false" customHeight="false" outlineLevel="0" collapsed="false">
      <c r="A334" s="12"/>
      <c r="B334" s="11"/>
      <c r="C334" s="12"/>
      <c r="D334" s="12"/>
      <c r="E334" s="12"/>
      <c r="F334" s="12"/>
      <c r="G334" s="12"/>
      <c r="H334" s="17"/>
      <c r="I334" s="18"/>
      <c r="J334" s="17"/>
      <c r="K334" s="17"/>
      <c r="L334" s="17"/>
      <c r="M334" s="18"/>
      <c r="N334" s="17"/>
      <c r="O334" s="17"/>
      <c r="P334" s="21" t="str">
        <f aca="false">IF(OR(H334="",L334=""),"",IF(AND(H334&gt;=Variables!$E$2,L334&gt;=Variables!$E$2),"Yes","No"))</f>
        <v/>
      </c>
      <c r="Q334" s="19" t="str">
        <f aca="false">IF(OR(I334="",M334="",I334=0),"",(M334-I334)/I334)</f>
        <v/>
      </c>
      <c r="R334" s="21" t="str">
        <f aca="false">IF(P334="","",IF(P334="No","Extend 24 h",IF(Q334&gt;=Variables!$E$3,"B","A")))</f>
        <v/>
      </c>
      <c r="S334" s="21" t="str">
        <f aca="false">IF(R334="B","Yes: add to Constants",IF(R334="A","No",""))</f>
        <v/>
      </c>
      <c r="T334" s="11"/>
      <c r="U334" s="12"/>
    </row>
    <row r="335" customFormat="false" ht="15" hidden="false" customHeight="false" outlineLevel="0" collapsed="false">
      <c r="A335" s="12"/>
      <c r="B335" s="11"/>
      <c r="C335" s="12"/>
      <c r="D335" s="12"/>
      <c r="E335" s="12"/>
      <c r="F335" s="12"/>
      <c r="G335" s="12"/>
      <c r="H335" s="17"/>
      <c r="I335" s="18"/>
      <c r="J335" s="17"/>
      <c r="K335" s="17"/>
      <c r="L335" s="17"/>
      <c r="M335" s="18"/>
      <c r="N335" s="17"/>
      <c r="O335" s="17"/>
      <c r="P335" s="21" t="str">
        <f aca="false">IF(OR(H335="",L335=""),"",IF(AND(H335&gt;=Variables!$E$2,L335&gt;=Variables!$E$2),"Yes","No"))</f>
        <v/>
      </c>
      <c r="Q335" s="19" t="str">
        <f aca="false">IF(OR(I335="",M335="",I335=0),"",(M335-I335)/I335)</f>
        <v/>
      </c>
      <c r="R335" s="21" t="str">
        <f aca="false">IF(P335="","",IF(P335="No","Extend 24 h",IF(Q335&gt;=Variables!$E$3,"B","A")))</f>
        <v/>
      </c>
      <c r="S335" s="21" t="str">
        <f aca="false">IF(R335="B","Yes: add to Constants",IF(R335="A","No",""))</f>
        <v/>
      </c>
      <c r="T335" s="11"/>
      <c r="U335" s="12"/>
    </row>
    <row r="336" customFormat="false" ht="15" hidden="false" customHeight="false" outlineLevel="0" collapsed="false">
      <c r="A336" s="12"/>
      <c r="B336" s="11"/>
      <c r="C336" s="12"/>
      <c r="D336" s="12"/>
      <c r="E336" s="12"/>
      <c r="F336" s="12"/>
      <c r="G336" s="12"/>
      <c r="H336" s="17"/>
      <c r="I336" s="18"/>
      <c r="J336" s="17"/>
      <c r="K336" s="17"/>
      <c r="L336" s="17"/>
      <c r="M336" s="18"/>
      <c r="N336" s="17"/>
      <c r="O336" s="17"/>
      <c r="P336" s="21" t="str">
        <f aca="false">IF(OR(H336="",L336=""),"",IF(AND(H336&gt;=Variables!$E$2,L336&gt;=Variables!$E$2),"Yes","No"))</f>
        <v/>
      </c>
      <c r="Q336" s="19" t="str">
        <f aca="false">IF(OR(I336="",M336="",I336=0),"",(M336-I336)/I336)</f>
        <v/>
      </c>
      <c r="R336" s="21" t="str">
        <f aca="false">IF(P336="","",IF(P336="No","Extend 24 h",IF(Q336&gt;=Variables!$E$3,"B","A")))</f>
        <v/>
      </c>
      <c r="S336" s="21" t="str">
        <f aca="false">IF(R336="B","Yes: add to Constants",IF(R336="A","No",""))</f>
        <v/>
      </c>
      <c r="T336" s="11"/>
      <c r="U336" s="12"/>
    </row>
    <row r="337" customFormat="false" ht="15" hidden="false" customHeight="false" outlineLevel="0" collapsed="false">
      <c r="A337" s="12"/>
      <c r="B337" s="11"/>
      <c r="C337" s="12"/>
      <c r="D337" s="12"/>
      <c r="E337" s="12"/>
      <c r="F337" s="12"/>
      <c r="G337" s="12"/>
      <c r="H337" s="17"/>
      <c r="I337" s="18"/>
      <c r="J337" s="17"/>
      <c r="K337" s="17"/>
      <c r="L337" s="17"/>
      <c r="M337" s="18"/>
      <c r="N337" s="17"/>
      <c r="O337" s="17"/>
      <c r="P337" s="21" t="str">
        <f aca="false">IF(OR(H337="",L337=""),"",IF(AND(H337&gt;=Variables!$E$2,L337&gt;=Variables!$E$2),"Yes","No"))</f>
        <v/>
      </c>
      <c r="Q337" s="19" t="str">
        <f aca="false">IF(OR(I337="",M337="",I337=0),"",(M337-I337)/I337)</f>
        <v/>
      </c>
      <c r="R337" s="21" t="str">
        <f aca="false">IF(P337="","",IF(P337="No","Extend 24 h",IF(Q337&gt;=Variables!$E$3,"B","A")))</f>
        <v/>
      </c>
      <c r="S337" s="21" t="str">
        <f aca="false">IF(R337="B","Yes: add to Constants",IF(R337="A","No",""))</f>
        <v/>
      </c>
      <c r="T337" s="11"/>
      <c r="U337" s="12"/>
    </row>
    <row r="338" customFormat="false" ht="15" hidden="false" customHeight="false" outlineLevel="0" collapsed="false">
      <c r="A338" s="12"/>
      <c r="B338" s="11"/>
      <c r="C338" s="12"/>
      <c r="D338" s="12"/>
      <c r="E338" s="12"/>
      <c r="F338" s="12"/>
      <c r="G338" s="12"/>
      <c r="H338" s="17"/>
      <c r="I338" s="18"/>
      <c r="J338" s="17"/>
      <c r="K338" s="17"/>
      <c r="L338" s="17"/>
      <c r="M338" s="18"/>
      <c r="N338" s="17"/>
      <c r="O338" s="17"/>
      <c r="P338" s="21" t="str">
        <f aca="false">IF(OR(H338="",L338=""),"",IF(AND(H338&gt;=Variables!$E$2,L338&gt;=Variables!$E$2),"Yes","No"))</f>
        <v/>
      </c>
      <c r="Q338" s="19" t="str">
        <f aca="false">IF(OR(I338="",M338="",I338=0),"",(M338-I338)/I338)</f>
        <v/>
      </c>
      <c r="R338" s="21" t="str">
        <f aca="false">IF(P338="","",IF(P338="No","Extend 24 h",IF(Q338&gt;=Variables!$E$3,"B","A")))</f>
        <v/>
      </c>
      <c r="S338" s="21" t="str">
        <f aca="false">IF(R338="B","Yes: add to Constants",IF(R338="A","No",""))</f>
        <v/>
      </c>
      <c r="T338" s="11"/>
      <c r="U338" s="12"/>
    </row>
    <row r="339" customFormat="false" ht="15" hidden="false" customHeight="false" outlineLevel="0" collapsed="false">
      <c r="A339" s="12"/>
      <c r="B339" s="11"/>
      <c r="C339" s="12"/>
      <c r="D339" s="12"/>
      <c r="E339" s="12"/>
      <c r="F339" s="12"/>
      <c r="G339" s="12"/>
      <c r="H339" s="17"/>
      <c r="I339" s="18"/>
      <c r="J339" s="17"/>
      <c r="K339" s="17"/>
      <c r="L339" s="17"/>
      <c r="M339" s="18"/>
      <c r="N339" s="17"/>
      <c r="O339" s="17"/>
      <c r="P339" s="21" t="str">
        <f aca="false">IF(OR(H339="",L339=""),"",IF(AND(H339&gt;=Variables!$E$2,L339&gt;=Variables!$E$2),"Yes","No"))</f>
        <v/>
      </c>
      <c r="Q339" s="19" t="str">
        <f aca="false">IF(OR(I339="",M339="",I339=0),"",(M339-I339)/I339)</f>
        <v/>
      </c>
      <c r="R339" s="21" t="str">
        <f aca="false">IF(P339="","",IF(P339="No","Extend 24 h",IF(Q339&gt;=Variables!$E$3,"B","A")))</f>
        <v/>
      </c>
      <c r="S339" s="21" t="str">
        <f aca="false">IF(R339="B","Yes: add to Constants",IF(R339="A","No",""))</f>
        <v/>
      </c>
      <c r="T339" s="11"/>
      <c r="U339" s="12"/>
    </row>
    <row r="340" customFormat="false" ht="15" hidden="false" customHeight="false" outlineLevel="0" collapsed="false">
      <c r="A340" s="12"/>
      <c r="B340" s="11"/>
      <c r="C340" s="12"/>
      <c r="D340" s="12"/>
      <c r="E340" s="12"/>
      <c r="F340" s="12"/>
      <c r="G340" s="12"/>
      <c r="H340" s="17"/>
      <c r="I340" s="18"/>
      <c r="J340" s="17"/>
      <c r="K340" s="17"/>
      <c r="L340" s="17"/>
      <c r="M340" s="18"/>
      <c r="N340" s="17"/>
      <c r="O340" s="17"/>
      <c r="P340" s="21" t="str">
        <f aca="false">IF(OR(H340="",L340=""),"",IF(AND(H340&gt;=Variables!$E$2,L340&gt;=Variables!$E$2),"Yes","No"))</f>
        <v/>
      </c>
      <c r="Q340" s="19" t="str">
        <f aca="false">IF(OR(I340="",M340="",I340=0),"",(M340-I340)/I340)</f>
        <v/>
      </c>
      <c r="R340" s="21" t="str">
        <f aca="false">IF(P340="","",IF(P340="No","Extend 24 h",IF(Q340&gt;=Variables!$E$3,"B","A")))</f>
        <v/>
      </c>
      <c r="S340" s="21" t="str">
        <f aca="false">IF(R340="B","Yes: add to Constants",IF(R340="A","No",""))</f>
        <v/>
      </c>
      <c r="T340" s="11"/>
      <c r="U340" s="12"/>
    </row>
    <row r="341" customFormat="false" ht="15" hidden="false" customHeight="false" outlineLevel="0" collapsed="false">
      <c r="A341" s="12"/>
      <c r="B341" s="11"/>
      <c r="C341" s="12"/>
      <c r="D341" s="12"/>
      <c r="E341" s="12"/>
      <c r="F341" s="12"/>
      <c r="G341" s="12"/>
      <c r="H341" s="17"/>
      <c r="I341" s="18"/>
      <c r="J341" s="17"/>
      <c r="K341" s="17"/>
      <c r="L341" s="17"/>
      <c r="M341" s="18"/>
      <c r="N341" s="17"/>
      <c r="O341" s="17"/>
      <c r="P341" s="21" t="str">
        <f aca="false">IF(OR(H341="",L341=""),"",IF(AND(H341&gt;=Variables!$E$2,L341&gt;=Variables!$E$2),"Yes","No"))</f>
        <v/>
      </c>
      <c r="Q341" s="19" t="str">
        <f aca="false">IF(OR(I341="",M341="",I341=0),"",(M341-I341)/I341)</f>
        <v/>
      </c>
      <c r="R341" s="21" t="str">
        <f aca="false">IF(P341="","",IF(P341="No","Extend 24 h",IF(Q341&gt;=Variables!$E$3,"B","A")))</f>
        <v/>
      </c>
      <c r="S341" s="21" t="str">
        <f aca="false">IF(R341="B","Yes: add to Constants",IF(R341="A","No",""))</f>
        <v/>
      </c>
      <c r="T341" s="11"/>
      <c r="U341" s="12"/>
    </row>
    <row r="342" customFormat="false" ht="15" hidden="false" customHeight="false" outlineLevel="0" collapsed="false">
      <c r="A342" s="12"/>
      <c r="B342" s="11"/>
      <c r="C342" s="12"/>
      <c r="D342" s="12"/>
      <c r="E342" s="12"/>
      <c r="F342" s="12"/>
      <c r="G342" s="12"/>
      <c r="H342" s="17"/>
      <c r="I342" s="18"/>
      <c r="J342" s="17"/>
      <c r="K342" s="17"/>
      <c r="L342" s="17"/>
      <c r="M342" s="18"/>
      <c r="N342" s="17"/>
      <c r="O342" s="17"/>
      <c r="P342" s="21" t="str">
        <f aca="false">IF(OR(H342="",L342=""),"",IF(AND(H342&gt;=Variables!$E$2,L342&gt;=Variables!$E$2),"Yes","No"))</f>
        <v/>
      </c>
      <c r="Q342" s="19" t="str">
        <f aca="false">IF(OR(I342="",M342="",I342=0),"",(M342-I342)/I342)</f>
        <v/>
      </c>
      <c r="R342" s="21" t="str">
        <f aca="false">IF(P342="","",IF(P342="No","Extend 24 h",IF(Q342&gt;=Variables!$E$3,"B","A")))</f>
        <v/>
      </c>
      <c r="S342" s="21" t="str">
        <f aca="false">IF(R342="B","Yes: add to Constants",IF(R342="A","No",""))</f>
        <v/>
      </c>
      <c r="T342" s="11"/>
      <c r="U342" s="12"/>
    </row>
    <row r="343" customFormat="false" ht="15" hidden="false" customHeight="false" outlineLevel="0" collapsed="false">
      <c r="A343" s="12"/>
      <c r="B343" s="11"/>
      <c r="C343" s="12"/>
      <c r="D343" s="12"/>
      <c r="E343" s="12"/>
      <c r="F343" s="12"/>
      <c r="G343" s="12"/>
      <c r="H343" s="17"/>
      <c r="I343" s="18"/>
      <c r="J343" s="17"/>
      <c r="K343" s="17"/>
      <c r="L343" s="17"/>
      <c r="M343" s="18"/>
      <c r="N343" s="17"/>
      <c r="O343" s="17"/>
      <c r="P343" s="21" t="str">
        <f aca="false">IF(OR(H343="",L343=""),"",IF(AND(H343&gt;=Variables!$E$2,L343&gt;=Variables!$E$2),"Yes","No"))</f>
        <v/>
      </c>
      <c r="Q343" s="19" t="str">
        <f aca="false">IF(OR(I343="",M343="",I343=0),"",(M343-I343)/I343)</f>
        <v/>
      </c>
      <c r="R343" s="21" t="str">
        <f aca="false">IF(P343="","",IF(P343="No","Extend 24 h",IF(Q343&gt;=Variables!$E$3,"B","A")))</f>
        <v/>
      </c>
      <c r="S343" s="21" t="str">
        <f aca="false">IF(R343="B","Yes: add to Constants",IF(R343="A","No",""))</f>
        <v/>
      </c>
      <c r="T343" s="11"/>
      <c r="U343" s="12"/>
    </row>
    <row r="344" customFormat="false" ht="15" hidden="false" customHeight="false" outlineLevel="0" collapsed="false">
      <c r="A344" s="12"/>
      <c r="B344" s="11"/>
      <c r="C344" s="12"/>
      <c r="D344" s="12"/>
      <c r="E344" s="12"/>
      <c r="F344" s="12"/>
      <c r="G344" s="12"/>
      <c r="H344" s="17"/>
      <c r="I344" s="18"/>
      <c r="J344" s="17"/>
      <c r="K344" s="17"/>
      <c r="L344" s="17"/>
      <c r="M344" s="18"/>
      <c r="N344" s="17"/>
      <c r="O344" s="17"/>
      <c r="P344" s="21" t="str">
        <f aca="false">IF(OR(H344="",L344=""),"",IF(AND(H344&gt;=Variables!$E$2,L344&gt;=Variables!$E$2),"Yes","No"))</f>
        <v/>
      </c>
      <c r="Q344" s="19" t="str">
        <f aca="false">IF(OR(I344="",M344="",I344=0),"",(M344-I344)/I344)</f>
        <v/>
      </c>
      <c r="R344" s="21" t="str">
        <f aca="false">IF(P344="","",IF(P344="No","Extend 24 h",IF(Q344&gt;=Variables!$E$3,"B","A")))</f>
        <v/>
      </c>
      <c r="S344" s="21" t="str">
        <f aca="false">IF(R344="B","Yes: add to Constants",IF(R344="A","No",""))</f>
        <v/>
      </c>
      <c r="T344" s="11"/>
      <c r="U344" s="12"/>
    </row>
    <row r="345" customFormat="false" ht="15" hidden="false" customHeight="false" outlineLevel="0" collapsed="false">
      <c r="A345" s="12"/>
      <c r="B345" s="11"/>
      <c r="C345" s="12"/>
      <c r="D345" s="12"/>
      <c r="E345" s="12"/>
      <c r="F345" s="12"/>
      <c r="G345" s="12"/>
      <c r="H345" s="17"/>
      <c r="I345" s="18"/>
      <c r="J345" s="17"/>
      <c r="K345" s="17"/>
      <c r="L345" s="17"/>
      <c r="M345" s="18"/>
      <c r="N345" s="17"/>
      <c r="O345" s="17"/>
      <c r="P345" s="21" t="str">
        <f aca="false">IF(OR(H345="",L345=""),"",IF(AND(H345&gt;=Variables!$E$2,L345&gt;=Variables!$E$2),"Yes","No"))</f>
        <v/>
      </c>
      <c r="Q345" s="19" t="str">
        <f aca="false">IF(OR(I345="",M345="",I345=0),"",(M345-I345)/I345)</f>
        <v/>
      </c>
      <c r="R345" s="21" t="str">
        <f aca="false">IF(P345="","",IF(P345="No","Extend 24 h",IF(Q345&gt;=Variables!$E$3,"B","A")))</f>
        <v/>
      </c>
      <c r="S345" s="21" t="str">
        <f aca="false">IF(R345="B","Yes: add to Constants",IF(R345="A","No",""))</f>
        <v/>
      </c>
      <c r="T345" s="11"/>
      <c r="U345" s="12"/>
    </row>
    <row r="346" customFormat="false" ht="15" hidden="false" customHeight="false" outlineLevel="0" collapsed="false">
      <c r="A346" s="12"/>
      <c r="B346" s="11"/>
      <c r="C346" s="12"/>
      <c r="D346" s="12"/>
      <c r="E346" s="12"/>
      <c r="F346" s="12"/>
      <c r="G346" s="12"/>
      <c r="H346" s="17"/>
      <c r="I346" s="18"/>
      <c r="J346" s="17"/>
      <c r="K346" s="17"/>
      <c r="L346" s="17"/>
      <c r="M346" s="18"/>
      <c r="N346" s="17"/>
      <c r="O346" s="17"/>
      <c r="P346" s="21" t="str">
        <f aca="false">IF(OR(H346="",L346=""),"",IF(AND(H346&gt;=Variables!$E$2,L346&gt;=Variables!$E$2),"Yes","No"))</f>
        <v/>
      </c>
      <c r="Q346" s="19" t="str">
        <f aca="false">IF(OR(I346="",M346="",I346=0),"",(M346-I346)/I346)</f>
        <v/>
      </c>
      <c r="R346" s="21" t="str">
        <f aca="false">IF(P346="","",IF(P346="No","Extend 24 h",IF(Q346&gt;=Variables!$E$3,"B","A")))</f>
        <v/>
      </c>
      <c r="S346" s="21" t="str">
        <f aca="false">IF(R346="B","Yes: add to Constants",IF(R346="A","No",""))</f>
        <v/>
      </c>
      <c r="T346" s="11"/>
      <c r="U346" s="12"/>
    </row>
    <row r="347" customFormat="false" ht="15" hidden="false" customHeight="false" outlineLevel="0" collapsed="false">
      <c r="A347" s="12"/>
      <c r="B347" s="11"/>
      <c r="C347" s="12"/>
      <c r="D347" s="12"/>
      <c r="E347" s="12"/>
      <c r="F347" s="12"/>
      <c r="G347" s="12"/>
      <c r="H347" s="17"/>
      <c r="I347" s="18"/>
      <c r="J347" s="17"/>
      <c r="K347" s="17"/>
      <c r="L347" s="17"/>
      <c r="M347" s="18"/>
      <c r="N347" s="17"/>
      <c r="O347" s="17"/>
      <c r="P347" s="21" t="str">
        <f aca="false">IF(OR(H347="",L347=""),"",IF(AND(H347&gt;=Variables!$E$2,L347&gt;=Variables!$E$2),"Yes","No"))</f>
        <v/>
      </c>
      <c r="Q347" s="19" t="str">
        <f aca="false">IF(OR(I347="",M347="",I347=0),"",(M347-I347)/I347)</f>
        <v/>
      </c>
      <c r="R347" s="21" t="str">
        <f aca="false">IF(P347="","",IF(P347="No","Extend 24 h",IF(Q347&gt;=Variables!$E$3,"B","A")))</f>
        <v/>
      </c>
      <c r="S347" s="21" t="str">
        <f aca="false">IF(R347="B","Yes: add to Constants",IF(R347="A","No",""))</f>
        <v/>
      </c>
      <c r="T347" s="11"/>
      <c r="U347" s="12"/>
    </row>
    <row r="348" customFormat="false" ht="15" hidden="false" customHeight="false" outlineLevel="0" collapsed="false">
      <c r="A348" s="12"/>
      <c r="B348" s="11"/>
      <c r="C348" s="12"/>
      <c r="D348" s="12"/>
      <c r="E348" s="12"/>
      <c r="F348" s="12"/>
      <c r="G348" s="12"/>
      <c r="H348" s="17"/>
      <c r="I348" s="18"/>
      <c r="J348" s="17"/>
      <c r="K348" s="17"/>
      <c r="L348" s="17"/>
      <c r="M348" s="18"/>
      <c r="N348" s="17"/>
      <c r="O348" s="17"/>
      <c r="P348" s="21" t="str">
        <f aca="false">IF(OR(H348="",L348=""),"",IF(AND(H348&gt;=Variables!$E$2,L348&gt;=Variables!$E$2),"Yes","No"))</f>
        <v/>
      </c>
      <c r="Q348" s="19" t="str">
        <f aca="false">IF(OR(I348="",M348="",I348=0),"",(M348-I348)/I348)</f>
        <v/>
      </c>
      <c r="R348" s="21" t="str">
        <f aca="false">IF(P348="","",IF(P348="No","Extend 24 h",IF(Q348&gt;=Variables!$E$3,"B","A")))</f>
        <v/>
      </c>
      <c r="S348" s="21" t="str">
        <f aca="false">IF(R348="B","Yes: add to Constants",IF(R348="A","No",""))</f>
        <v/>
      </c>
      <c r="T348" s="11"/>
      <c r="U348" s="12"/>
    </row>
    <row r="349" customFormat="false" ht="15" hidden="false" customHeight="false" outlineLevel="0" collapsed="false">
      <c r="A349" s="12"/>
      <c r="B349" s="11"/>
      <c r="C349" s="12"/>
      <c r="D349" s="12"/>
      <c r="E349" s="12"/>
      <c r="F349" s="12"/>
      <c r="G349" s="12"/>
      <c r="H349" s="17"/>
      <c r="I349" s="18"/>
      <c r="J349" s="17"/>
      <c r="K349" s="17"/>
      <c r="L349" s="17"/>
      <c r="M349" s="18"/>
      <c r="N349" s="17"/>
      <c r="O349" s="17"/>
      <c r="P349" s="21" t="str">
        <f aca="false">IF(OR(H349="",L349=""),"",IF(AND(H349&gt;=Variables!$E$2,L349&gt;=Variables!$E$2),"Yes","No"))</f>
        <v/>
      </c>
      <c r="Q349" s="19" t="str">
        <f aca="false">IF(OR(I349="",M349="",I349=0),"",(M349-I349)/I349)</f>
        <v/>
      </c>
      <c r="R349" s="21" t="str">
        <f aca="false">IF(P349="","",IF(P349="No","Extend 24 h",IF(Q349&gt;=Variables!$E$3,"B","A")))</f>
        <v/>
      </c>
      <c r="S349" s="21" t="str">
        <f aca="false">IF(R349="B","Yes: add to Constants",IF(R349="A","No",""))</f>
        <v/>
      </c>
      <c r="T349" s="11"/>
      <c r="U349" s="12"/>
    </row>
    <row r="350" customFormat="false" ht="15" hidden="false" customHeight="false" outlineLevel="0" collapsed="false">
      <c r="A350" s="12"/>
      <c r="B350" s="11"/>
      <c r="C350" s="12"/>
      <c r="D350" s="12"/>
      <c r="E350" s="12"/>
      <c r="F350" s="12"/>
      <c r="G350" s="12"/>
      <c r="H350" s="17"/>
      <c r="I350" s="18"/>
      <c r="J350" s="17"/>
      <c r="K350" s="17"/>
      <c r="L350" s="17"/>
      <c r="M350" s="18"/>
      <c r="N350" s="17"/>
      <c r="O350" s="17"/>
      <c r="P350" s="21" t="str">
        <f aca="false">IF(OR(H350="",L350=""),"",IF(AND(H350&gt;=Variables!$E$2,L350&gt;=Variables!$E$2),"Yes","No"))</f>
        <v/>
      </c>
      <c r="Q350" s="19" t="str">
        <f aca="false">IF(OR(I350="",M350="",I350=0),"",(M350-I350)/I350)</f>
        <v/>
      </c>
      <c r="R350" s="21" t="str">
        <f aca="false">IF(P350="","",IF(P350="No","Extend 24 h",IF(Q350&gt;=Variables!$E$3,"B","A")))</f>
        <v/>
      </c>
      <c r="S350" s="21" t="str">
        <f aca="false">IF(R350="B","Yes: add to Constants",IF(R350="A","No",""))</f>
        <v/>
      </c>
      <c r="T350" s="11"/>
      <c r="U350" s="12"/>
    </row>
    <row r="351" customFormat="false" ht="15" hidden="false" customHeight="false" outlineLevel="0" collapsed="false">
      <c r="A351" s="12"/>
      <c r="B351" s="11"/>
      <c r="C351" s="12"/>
      <c r="D351" s="12"/>
      <c r="E351" s="12"/>
      <c r="F351" s="12"/>
      <c r="G351" s="12"/>
      <c r="H351" s="17"/>
      <c r="I351" s="18"/>
      <c r="J351" s="17"/>
      <c r="K351" s="17"/>
      <c r="L351" s="17"/>
      <c r="M351" s="18"/>
      <c r="N351" s="17"/>
      <c r="O351" s="17"/>
      <c r="P351" s="21" t="str">
        <f aca="false">IF(OR(H351="",L351=""),"",IF(AND(H351&gt;=Variables!$E$2,L351&gt;=Variables!$E$2),"Yes","No"))</f>
        <v/>
      </c>
      <c r="Q351" s="19" t="str">
        <f aca="false">IF(OR(I351="",M351="",I351=0),"",(M351-I351)/I351)</f>
        <v/>
      </c>
      <c r="R351" s="21" t="str">
        <f aca="false">IF(P351="","",IF(P351="No","Extend 24 h",IF(Q351&gt;=Variables!$E$3,"B","A")))</f>
        <v/>
      </c>
      <c r="S351" s="21" t="str">
        <f aca="false">IF(R351="B","Yes: add to Constants",IF(R351="A","No",""))</f>
        <v/>
      </c>
      <c r="T351" s="11"/>
      <c r="U351" s="12"/>
    </row>
    <row r="352" customFormat="false" ht="15" hidden="false" customHeight="false" outlineLevel="0" collapsed="false">
      <c r="A352" s="12"/>
      <c r="B352" s="11"/>
      <c r="C352" s="12"/>
      <c r="D352" s="12"/>
      <c r="E352" s="12"/>
      <c r="F352" s="12"/>
      <c r="G352" s="12"/>
      <c r="H352" s="17"/>
      <c r="I352" s="18"/>
      <c r="J352" s="17"/>
      <c r="K352" s="17"/>
      <c r="L352" s="17"/>
      <c r="M352" s="18"/>
      <c r="N352" s="17"/>
      <c r="O352" s="17"/>
      <c r="P352" s="21" t="str">
        <f aca="false">IF(OR(H352="",L352=""),"",IF(AND(H352&gt;=Variables!$E$2,L352&gt;=Variables!$E$2),"Yes","No"))</f>
        <v/>
      </c>
      <c r="Q352" s="19" t="str">
        <f aca="false">IF(OR(I352="",M352="",I352=0),"",(M352-I352)/I352)</f>
        <v/>
      </c>
      <c r="R352" s="21" t="str">
        <f aca="false">IF(P352="","",IF(P352="No","Extend 24 h",IF(Q352&gt;=Variables!$E$3,"B","A")))</f>
        <v/>
      </c>
      <c r="S352" s="21" t="str">
        <f aca="false">IF(R352="B","Yes: add to Constants",IF(R352="A","No",""))</f>
        <v/>
      </c>
      <c r="T352" s="11"/>
      <c r="U352" s="12"/>
    </row>
    <row r="353" customFormat="false" ht="15" hidden="false" customHeight="false" outlineLevel="0" collapsed="false">
      <c r="A353" s="12"/>
      <c r="B353" s="11"/>
      <c r="C353" s="12"/>
      <c r="D353" s="12"/>
      <c r="E353" s="12"/>
      <c r="F353" s="12"/>
      <c r="G353" s="12"/>
      <c r="H353" s="17"/>
      <c r="I353" s="18"/>
      <c r="J353" s="17"/>
      <c r="K353" s="17"/>
      <c r="L353" s="17"/>
      <c r="M353" s="18"/>
      <c r="N353" s="17"/>
      <c r="O353" s="17"/>
      <c r="P353" s="21" t="str">
        <f aca="false">IF(OR(H353="",L353=""),"",IF(AND(H353&gt;=Variables!$E$2,L353&gt;=Variables!$E$2),"Yes","No"))</f>
        <v/>
      </c>
      <c r="Q353" s="19" t="str">
        <f aca="false">IF(OR(I353="",M353="",I353=0),"",(M353-I353)/I353)</f>
        <v/>
      </c>
      <c r="R353" s="21" t="str">
        <f aca="false">IF(P353="","",IF(P353="No","Extend 24 h",IF(Q353&gt;=Variables!$E$3,"B","A")))</f>
        <v/>
      </c>
      <c r="S353" s="21" t="str">
        <f aca="false">IF(R353="B","Yes: add to Constants",IF(R353="A","No",""))</f>
        <v/>
      </c>
      <c r="T353" s="11"/>
      <c r="U353" s="12"/>
    </row>
    <row r="354" customFormat="false" ht="15" hidden="false" customHeight="false" outlineLevel="0" collapsed="false">
      <c r="A354" s="12"/>
      <c r="B354" s="11"/>
      <c r="C354" s="12"/>
      <c r="D354" s="12"/>
      <c r="E354" s="12"/>
      <c r="F354" s="12"/>
      <c r="G354" s="12"/>
      <c r="H354" s="17"/>
      <c r="I354" s="18"/>
      <c r="J354" s="17"/>
      <c r="K354" s="17"/>
      <c r="L354" s="17"/>
      <c r="M354" s="18"/>
      <c r="N354" s="17"/>
      <c r="O354" s="17"/>
      <c r="P354" s="21" t="str">
        <f aca="false">IF(OR(H354="",L354=""),"",IF(AND(H354&gt;=Variables!$E$2,L354&gt;=Variables!$E$2),"Yes","No"))</f>
        <v/>
      </c>
      <c r="Q354" s="19" t="str">
        <f aca="false">IF(OR(I354="",M354="",I354=0),"",(M354-I354)/I354)</f>
        <v/>
      </c>
      <c r="R354" s="21" t="str">
        <f aca="false">IF(P354="","",IF(P354="No","Extend 24 h",IF(Q354&gt;=Variables!$E$3,"B","A")))</f>
        <v/>
      </c>
      <c r="S354" s="21" t="str">
        <f aca="false">IF(R354="B","Yes: add to Constants",IF(R354="A","No",""))</f>
        <v/>
      </c>
      <c r="T354" s="11"/>
      <c r="U354" s="12"/>
    </row>
    <row r="355" customFormat="false" ht="15" hidden="false" customHeight="false" outlineLevel="0" collapsed="false">
      <c r="A355" s="12"/>
      <c r="B355" s="11"/>
      <c r="C355" s="12"/>
      <c r="D355" s="12"/>
      <c r="E355" s="12"/>
      <c r="F355" s="12"/>
      <c r="G355" s="12"/>
      <c r="H355" s="17"/>
      <c r="I355" s="18"/>
      <c r="J355" s="17"/>
      <c r="K355" s="17"/>
      <c r="L355" s="17"/>
      <c r="M355" s="18"/>
      <c r="N355" s="17"/>
      <c r="O355" s="17"/>
      <c r="P355" s="21" t="str">
        <f aca="false">IF(OR(H355="",L355=""),"",IF(AND(H355&gt;=Variables!$E$2,L355&gt;=Variables!$E$2),"Yes","No"))</f>
        <v/>
      </c>
      <c r="Q355" s="19" t="str">
        <f aca="false">IF(OR(I355="",M355="",I355=0),"",(M355-I355)/I355)</f>
        <v/>
      </c>
      <c r="R355" s="21" t="str">
        <f aca="false">IF(P355="","",IF(P355="No","Extend 24 h",IF(Q355&gt;=Variables!$E$3,"B","A")))</f>
        <v/>
      </c>
      <c r="S355" s="21" t="str">
        <f aca="false">IF(R355="B","Yes: add to Constants",IF(R355="A","No",""))</f>
        <v/>
      </c>
      <c r="T355" s="11"/>
      <c r="U355" s="12"/>
    </row>
    <row r="356" customFormat="false" ht="15" hidden="false" customHeight="false" outlineLevel="0" collapsed="false">
      <c r="A356" s="12"/>
      <c r="B356" s="11"/>
      <c r="C356" s="12"/>
      <c r="D356" s="12"/>
      <c r="E356" s="12"/>
      <c r="F356" s="12"/>
      <c r="G356" s="12"/>
      <c r="H356" s="17"/>
      <c r="I356" s="18"/>
      <c r="J356" s="17"/>
      <c r="K356" s="17"/>
      <c r="L356" s="17"/>
      <c r="M356" s="18"/>
      <c r="N356" s="17"/>
      <c r="O356" s="17"/>
      <c r="P356" s="21" t="str">
        <f aca="false">IF(OR(H356="",L356=""),"",IF(AND(H356&gt;=Variables!$E$2,L356&gt;=Variables!$E$2),"Yes","No"))</f>
        <v/>
      </c>
      <c r="Q356" s="19" t="str">
        <f aca="false">IF(OR(I356="",M356="",I356=0),"",(M356-I356)/I356)</f>
        <v/>
      </c>
      <c r="R356" s="21" t="str">
        <f aca="false">IF(P356="","",IF(P356="No","Extend 24 h",IF(Q356&gt;=Variables!$E$3,"B","A")))</f>
        <v/>
      </c>
      <c r="S356" s="21" t="str">
        <f aca="false">IF(R356="B","Yes: add to Constants",IF(R356="A","No",""))</f>
        <v/>
      </c>
      <c r="T356" s="11"/>
      <c r="U356" s="12"/>
    </row>
    <row r="357" customFormat="false" ht="15" hidden="false" customHeight="false" outlineLevel="0" collapsed="false">
      <c r="A357" s="12"/>
      <c r="B357" s="11"/>
      <c r="C357" s="12"/>
      <c r="D357" s="12"/>
      <c r="E357" s="12"/>
      <c r="F357" s="12"/>
      <c r="G357" s="12"/>
      <c r="H357" s="17"/>
      <c r="I357" s="18"/>
      <c r="J357" s="17"/>
      <c r="K357" s="17"/>
      <c r="L357" s="17"/>
      <c r="M357" s="18"/>
      <c r="N357" s="17"/>
      <c r="O357" s="17"/>
      <c r="P357" s="21" t="str">
        <f aca="false">IF(OR(H357="",L357=""),"",IF(AND(H357&gt;=Variables!$E$2,L357&gt;=Variables!$E$2),"Yes","No"))</f>
        <v/>
      </c>
      <c r="Q357" s="19" t="str">
        <f aca="false">IF(OR(I357="",M357="",I357=0),"",(M357-I357)/I357)</f>
        <v/>
      </c>
      <c r="R357" s="21" t="str">
        <f aca="false">IF(P357="","",IF(P357="No","Extend 24 h",IF(Q357&gt;=Variables!$E$3,"B","A")))</f>
        <v/>
      </c>
      <c r="S357" s="21" t="str">
        <f aca="false">IF(R357="B","Yes: add to Constants",IF(R357="A","No",""))</f>
        <v/>
      </c>
      <c r="T357" s="11"/>
      <c r="U357" s="12"/>
    </row>
    <row r="358" customFormat="false" ht="15" hidden="false" customHeight="false" outlineLevel="0" collapsed="false">
      <c r="A358" s="12"/>
      <c r="B358" s="11"/>
      <c r="C358" s="12"/>
      <c r="D358" s="12"/>
      <c r="E358" s="12"/>
      <c r="F358" s="12"/>
      <c r="G358" s="12"/>
      <c r="H358" s="17"/>
      <c r="I358" s="18"/>
      <c r="J358" s="17"/>
      <c r="K358" s="17"/>
      <c r="L358" s="17"/>
      <c r="M358" s="18"/>
      <c r="N358" s="17"/>
      <c r="O358" s="17"/>
      <c r="P358" s="21" t="str">
        <f aca="false">IF(OR(H358="",L358=""),"",IF(AND(H358&gt;=Variables!$E$2,L358&gt;=Variables!$E$2),"Yes","No"))</f>
        <v/>
      </c>
      <c r="Q358" s="19" t="str">
        <f aca="false">IF(OR(I358="",M358="",I358=0),"",(M358-I358)/I358)</f>
        <v/>
      </c>
      <c r="R358" s="21" t="str">
        <f aca="false">IF(P358="","",IF(P358="No","Extend 24 h",IF(Q358&gt;=Variables!$E$3,"B","A")))</f>
        <v/>
      </c>
      <c r="S358" s="21" t="str">
        <f aca="false">IF(R358="B","Yes: add to Constants",IF(R358="A","No",""))</f>
        <v/>
      </c>
      <c r="T358" s="11"/>
      <c r="U358" s="12"/>
    </row>
    <row r="359" customFormat="false" ht="15" hidden="false" customHeight="false" outlineLevel="0" collapsed="false">
      <c r="A359" s="12"/>
      <c r="B359" s="11"/>
      <c r="C359" s="12"/>
      <c r="D359" s="12"/>
      <c r="E359" s="12"/>
      <c r="F359" s="12"/>
      <c r="G359" s="12"/>
      <c r="H359" s="17"/>
      <c r="I359" s="18"/>
      <c r="J359" s="17"/>
      <c r="K359" s="17"/>
      <c r="L359" s="17"/>
      <c r="M359" s="18"/>
      <c r="N359" s="17"/>
      <c r="O359" s="17"/>
      <c r="P359" s="21" t="str">
        <f aca="false">IF(OR(H359="",L359=""),"",IF(AND(H359&gt;=Variables!$E$2,L359&gt;=Variables!$E$2),"Yes","No"))</f>
        <v/>
      </c>
      <c r="Q359" s="19" t="str">
        <f aca="false">IF(OR(I359="",M359="",I359=0),"",(M359-I359)/I359)</f>
        <v/>
      </c>
      <c r="R359" s="21" t="str">
        <f aca="false">IF(P359="","",IF(P359="No","Extend 24 h",IF(Q359&gt;=Variables!$E$3,"B","A")))</f>
        <v/>
      </c>
      <c r="S359" s="21" t="str">
        <f aca="false">IF(R359="B","Yes: add to Constants",IF(R359="A","No",""))</f>
        <v/>
      </c>
      <c r="T359" s="11"/>
      <c r="U359" s="12"/>
    </row>
    <row r="360" customFormat="false" ht="15" hidden="false" customHeight="false" outlineLevel="0" collapsed="false">
      <c r="A360" s="12"/>
      <c r="B360" s="11"/>
      <c r="C360" s="12"/>
      <c r="D360" s="12"/>
      <c r="E360" s="12"/>
      <c r="F360" s="12"/>
      <c r="G360" s="12"/>
      <c r="H360" s="17"/>
      <c r="I360" s="18"/>
      <c r="J360" s="17"/>
      <c r="K360" s="17"/>
      <c r="L360" s="17"/>
      <c r="M360" s="18"/>
      <c r="N360" s="17"/>
      <c r="O360" s="17"/>
      <c r="P360" s="21" t="str">
        <f aca="false">IF(OR(H360="",L360=""),"",IF(AND(H360&gt;=Variables!$E$2,L360&gt;=Variables!$E$2),"Yes","No"))</f>
        <v/>
      </c>
      <c r="Q360" s="19" t="str">
        <f aca="false">IF(OR(I360="",M360="",I360=0),"",(M360-I360)/I360)</f>
        <v/>
      </c>
      <c r="R360" s="21" t="str">
        <f aca="false">IF(P360="","",IF(P360="No","Extend 24 h",IF(Q360&gt;=Variables!$E$3,"B","A")))</f>
        <v/>
      </c>
      <c r="S360" s="21" t="str">
        <f aca="false">IF(R360="B","Yes: add to Constants",IF(R360="A","No",""))</f>
        <v/>
      </c>
      <c r="T360" s="11"/>
      <c r="U360" s="12"/>
    </row>
    <row r="361" customFormat="false" ht="15" hidden="false" customHeight="false" outlineLevel="0" collapsed="false">
      <c r="A361" s="12"/>
      <c r="B361" s="11"/>
      <c r="C361" s="12"/>
      <c r="D361" s="12"/>
      <c r="E361" s="12"/>
      <c r="F361" s="12"/>
      <c r="G361" s="12"/>
      <c r="H361" s="17"/>
      <c r="I361" s="18"/>
      <c r="J361" s="17"/>
      <c r="K361" s="17"/>
      <c r="L361" s="17"/>
      <c r="M361" s="18"/>
      <c r="N361" s="17"/>
      <c r="O361" s="17"/>
      <c r="P361" s="21" t="str">
        <f aca="false">IF(OR(H361="",L361=""),"",IF(AND(H361&gt;=Variables!$E$2,L361&gt;=Variables!$E$2),"Yes","No"))</f>
        <v/>
      </c>
      <c r="Q361" s="19" t="str">
        <f aca="false">IF(OR(I361="",M361="",I361=0),"",(M361-I361)/I361)</f>
        <v/>
      </c>
      <c r="R361" s="21" t="str">
        <f aca="false">IF(P361="","",IF(P361="No","Extend 24 h",IF(Q361&gt;=Variables!$E$3,"B","A")))</f>
        <v/>
      </c>
      <c r="S361" s="21" t="str">
        <f aca="false">IF(R361="B","Yes: add to Constants",IF(R361="A","No",""))</f>
        <v/>
      </c>
      <c r="T361" s="11"/>
      <c r="U361" s="12"/>
    </row>
    <row r="362" customFormat="false" ht="15" hidden="false" customHeight="false" outlineLevel="0" collapsed="false">
      <c r="A362" s="12"/>
      <c r="B362" s="11"/>
      <c r="C362" s="12"/>
      <c r="D362" s="12"/>
      <c r="E362" s="12"/>
      <c r="F362" s="12"/>
      <c r="G362" s="12"/>
      <c r="H362" s="17"/>
      <c r="I362" s="18"/>
      <c r="J362" s="17"/>
      <c r="K362" s="17"/>
      <c r="L362" s="17"/>
      <c r="M362" s="18"/>
      <c r="N362" s="17"/>
      <c r="O362" s="17"/>
      <c r="P362" s="21" t="str">
        <f aca="false">IF(OR(H362="",L362=""),"",IF(AND(H362&gt;=Variables!$E$2,L362&gt;=Variables!$E$2),"Yes","No"))</f>
        <v/>
      </c>
      <c r="Q362" s="19" t="str">
        <f aca="false">IF(OR(I362="",M362="",I362=0),"",(M362-I362)/I362)</f>
        <v/>
      </c>
      <c r="R362" s="21" t="str">
        <f aca="false">IF(P362="","",IF(P362="No","Extend 24 h",IF(Q362&gt;=Variables!$E$3,"B","A")))</f>
        <v/>
      </c>
      <c r="S362" s="21" t="str">
        <f aca="false">IF(R362="B","Yes: add to Constants",IF(R362="A","No",""))</f>
        <v/>
      </c>
      <c r="T362" s="11"/>
      <c r="U362" s="12"/>
    </row>
    <row r="363" customFormat="false" ht="15" hidden="false" customHeight="false" outlineLevel="0" collapsed="false">
      <c r="A363" s="12"/>
      <c r="B363" s="11"/>
      <c r="C363" s="12"/>
      <c r="D363" s="12"/>
      <c r="E363" s="12"/>
      <c r="F363" s="12"/>
      <c r="G363" s="12"/>
      <c r="H363" s="17"/>
      <c r="I363" s="18"/>
      <c r="J363" s="17"/>
      <c r="K363" s="17"/>
      <c r="L363" s="17"/>
      <c r="M363" s="18"/>
      <c r="N363" s="17"/>
      <c r="O363" s="17"/>
      <c r="P363" s="21" t="str">
        <f aca="false">IF(OR(H363="",L363=""),"",IF(AND(H363&gt;=Variables!$E$2,L363&gt;=Variables!$E$2),"Yes","No"))</f>
        <v/>
      </c>
      <c r="Q363" s="19" t="str">
        <f aca="false">IF(OR(I363="",M363="",I363=0),"",(M363-I363)/I363)</f>
        <v/>
      </c>
      <c r="R363" s="21" t="str">
        <f aca="false">IF(P363="","",IF(P363="No","Extend 24 h",IF(Q363&gt;=Variables!$E$3,"B","A")))</f>
        <v/>
      </c>
      <c r="S363" s="21" t="str">
        <f aca="false">IF(R363="B","Yes: add to Constants",IF(R363="A","No",""))</f>
        <v/>
      </c>
      <c r="T363" s="11"/>
      <c r="U363" s="12"/>
    </row>
    <row r="364" customFormat="false" ht="15" hidden="false" customHeight="false" outlineLevel="0" collapsed="false">
      <c r="A364" s="12"/>
      <c r="B364" s="11"/>
      <c r="C364" s="12"/>
      <c r="D364" s="12"/>
      <c r="E364" s="12"/>
      <c r="F364" s="12"/>
      <c r="G364" s="12"/>
      <c r="H364" s="17"/>
      <c r="I364" s="18"/>
      <c r="J364" s="17"/>
      <c r="K364" s="17"/>
      <c r="L364" s="17"/>
      <c r="M364" s="18"/>
      <c r="N364" s="17"/>
      <c r="O364" s="17"/>
      <c r="P364" s="21" t="str">
        <f aca="false">IF(OR(H364="",L364=""),"",IF(AND(H364&gt;=Variables!$E$2,L364&gt;=Variables!$E$2),"Yes","No"))</f>
        <v/>
      </c>
      <c r="Q364" s="19" t="str">
        <f aca="false">IF(OR(I364="",M364="",I364=0),"",(M364-I364)/I364)</f>
        <v/>
      </c>
      <c r="R364" s="21" t="str">
        <f aca="false">IF(P364="","",IF(P364="No","Extend 24 h",IF(Q364&gt;=Variables!$E$3,"B","A")))</f>
        <v/>
      </c>
      <c r="S364" s="21" t="str">
        <f aca="false">IF(R364="B","Yes: add to Constants",IF(R364="A","No",""))</f>
        <v/>
      </c>
      <c r="T364" s="11"/>
      <c r="U364" s="12"/>
    </row>
    <row r="365" customFormat="false" ht="15" hidden="false" customHeight="false" outlineLevel="0" collapsed="false">
      <c r="A365" s="12"/>
      <c r="B365" s="11"/>
      <c r="C365" s="12"/>
      <c r="D365" s="12"/>
      <c r="E365" s="12"/>
      <c r="F365" s="12"/>
      <c r="G365" s="12"/>
      <c r="H365" s="17"/>
      <c r="I365" s="18"/>
      <c r="J365" s="17"/>
      <c r="K365" s="17"/>
      <c r="L365" s="17"/>
      <c r="M365" s="18"/>
      <c r="N365" s="17"/>
      <c r="O365" s="17"/>
      <c r="P365" s="21" t="str">
        <f aca="false">IF(OR(H365="",L365=""),"",IF(AND(H365&gt;=Variables!$E$2,L365&gt;=Variables!$E$2),"Yes","No"))</f>
        <v/>
      </c>
      <c r="Q365" s="19" t="str">
        <f aca="false">IF(OR(I365="",M365="",I365=0),"",(M365-I365)/I365)</f>
        <v/>
      </c>
      <c r="R365" s="21" t="str">
        <f aca="false">IF(P365="","",IF(P365="No","Extend 24 h",IF(Q365&gt;=Variables!$E$3,"B","A")))</f>
        <v/>
      </c>
      <c r="S365" s="21" t="str">
        <f aca="false">IF(R365="B","Yes: add to Constants",IF(R365="A","No",""))</f>
        <v/>
      </c>
      <c r="T365" s="11"/>
      <c r="U365" s="12"/>
    </row>
    <row r="366" customFormat="false" ht="15" hidden="false" customHeight="false" outlineLevel="0" collapsed="false">
      <c r="A366" s="12"/>
      <c r="B366" s="11"/>
      <c r="C366" s="12"/>
      <c r="D366" s="12"/>
      <c r="E366" s="12"/>
      <c r="F366" s="12"/>
      <c r="G366" s="12"/>
      <c r="H366" s="17"/>
      <c r="I366" s="18"/>
      <c r="J366" s="17"/>
      <c r="K366" s="17"/>
      <c r="L366" s="17"/>
      <c r="M366" s="18"/>
      <c r="N366" s="17"/>
      <c r="O366" s="17"/>
      <c r="P366" s="21" t="str">
        <f aca="false">IF(OR(H366="",L366=""),"",IF(AND(H366&gt;=Variables!$E$2,L366&gt;=Variables!$E$2),"Yes","No"))</f>
        <v/>
      </c>
      <c r="Q366" s="19" t="str">
        <f aca="false">IF(OR(I366="",M366="",I366=0),"",(M366-I366)/I366)</f>
        <v/>
      </c>
      <c r="R366" s="21" t="str">
        <f aca="false">IF(P366="","",IF(P366="No","Extend 24 h",IF(Q366&gt;=Variables!$E$3,"B","A")))</f>
        <v/>
      </c>
      <c r="S366" s="21" t="str">
        <f aca="false">IF(R366="B","Yes: add to Constants",IF(R366="A","No",""))</f>
        <v/>
      </c>
      <c r="T366" s="11"/>
      <c r="U366" s="12"/>
    </row>
    <row r="367" customFormat="false" ht="15" hidden="false" customHeight="false" outlineLevel="0" collapsed="false">
      <c r="A367" s="12"/>
      <c r="B367" s="11"/>
      <c r="C367" s="12"/>
      <c r="D367" s="12"/>
      <c r="E367" s="12"/>
      <c r="F367" s="12"/>
      <c r="G367" s="12"/>
      <c r="H367" s="17"/>
      <c r="I367" s="18"/>
      <c r="J367" s="17"/>
      <c r="K367" s="17"/>
      <c r="L367" s="17"/>
      <c r="M367" s="18"/>
      <c r="N367" s="17"/>
      <c r="O367" s="17"/>
      <c r="P367" s="21" t="str">
        <f aca="false">IF(OR(H367="",L367=""),"",IF(AND(H367&gt;=Variables!$E$2,L367&gt;=Variables!$E$2),"Yes","No"))</f>
        <v/>
      </c>
      <c r="Q367" s="19" t="str">
        <f aca="false">IF(OR(I367="",M367="",I367=0),"",(M367-I367)/I367)</f>
        <v/>
      </c>
      <c r="R367" s="21" t="str">
        <f aca="false">IF(P367="","",IF(P367="No","Extend 24 h",IF(Q367&gt;=Variables!$E$3,"B","A")))</f>
        <v/>
      </c>
      <c r="S367" s="21" t="str">
        <f aca="false">IF(R367="B","Yes: add to Constants",IF(R367="A","No",""))</f>
        <v/>
      </c>
      <c r="T367" s="11"/>
      <c r="U367" s="12"/>
    </row>
    <row r="368" customFormat="false" ht="15" hidden="false" customHeight="false" outlineLevel="0" collapsed="false">
      <c r="A368" s="12"/>
      <c r="B368" s="11"/>
      <c r="C368" s="12"/>
      <c r="D368" s="12"/>
      <c r="E368" s="12"/>
      <c r="F368" s="12"/>
      <c r="G368" s="12"/>
      <c r="H368" s="17"/>
      <c r="I368" s="18"/>
      <c r="J368" s="17"/>
      <c r="K368" s="17"/>
      <c r="L368" s="17"/>
      <c r="M368" s="18"/>
      <c r="N368" s="17"/>
      <c r="O368" s="17"/>
      <c r="P368" s="21" t="str">
        <f aca="false">IF(OR(H368="",L368=""),"",IF(AND(H368&gt;=Variables!$E$2,L368&gt;=Variables!$E$2),"Yes","No"))</f>
        <v/>
      </c>
      <c r="Q368" s="19" t="str">
        <f aca="false">IF(OR(I368="",M368="",I368=0),"",(M368-I368)/I368)</f>
        <v/>
      </c>
      <c r="R368" s="21" t="str">
        <f aca="false">IF(P368="","",IF(P368="No","Extend 24 h",IF(Q368&gt;=Variables!$E$3,"B","A")))</f>
        <v/>
      </c>
      <c r="S368" s="21" t="str">
        <f aca="false">IF(R368="B","Yes: add to Constants",IF(R368="A","No",""))</f>
        <v/>
      </c>
      <c r="T368" s="11"/>
      <c r="U368" s="12"/>
    </row>
    <row r="369" customFormat="false" ht="15" hidden="false" customHeight="false" outlineLevel="0" collapsed="false">
      <c r="A369" s="12"/>
      <c r="B369" s="11"/>
      <c r="C369" s="12"/>
      <c r="D369" s="12"/>
      <c r="E369" s="12"/>
      <c r="F369" s="12"/>
      <c r="G369" s="12"/>
      <c r="H369" s="17"/>
      <c r="I369" s="18"/>
      <c r="J369" s="17"/>
      <c r="K369" s="17"/>
      <c r="L369" s="17"/>
      <c r="M369" s="18"/>
      <c r="N369" s="17"/>
      <c r="O369" s="17"/>
      <c r="P369" s="21" t="str">
        <f aca="false">IF(OR(H369="",L369=""),"",IF(AND(H369&gt;=Variables!$E$2,L369&gt;=Variables!$E$2),"Yes","No"))</f>
        <v/>
      </c>
      <c r="Q369" s="19" t="str">
        <f aca="false">IF(OR(I369="",M369="",I369=0),"",(M369-I369)/I369)</f>
        <v/>
      </c>
      <c r="R369" s="21" t="str">
        <f aca="false">IF(P369="","",IF(P369="No","Extend 24 h",IF(Q369&gt;=Variables!$E$3,"B","A")))</f>
        <v/>
      </c>
      <c r="S369" s="21" t="str">
        <f aca="false">IF(R369="B","Yes: add to Constants",IF(R369="A","No",""))</f>
        <v/>
      </c>
      <c r="T369" s="11"/>
      <c r="U369" s="12"/>
    </row>
    <row r="370" customFormat="false" ht="15" hidden="false" customHeight="false" outlineLevel="0" collapsed="false">
      <c r="A370" s="12"/>
      <c r="B370" s="11"/>
      <c r="C370" s="12"/>
      <c r="D370" s="12"/>
      <c r="E370" s="12"/>
      <c r="F370" s="12"/>
      <c r="G370" s="12"/>
      <c r="H370" s="17"/>
      <c r="I370" s="18"/>
      <c r="J370" s="17"/>
      <c r="K370" s="17"/>
      <c r="L370" s="17"/>
      <c r="M370" s="18"/>
      <c r="N370" s="17"/>
      <c r="O370" s="17"/>
      <c r="P370" s="21" t="str">
        <f aca="false">IF(OR(H370="",L370=""),"",IF(AND(H370&gt;=Variables!$E$2,L370&gt;=Variables!$E$2),"Yes","No"))</f>
        <v/>
      </c>
      <c r="Q370" s="19" t="str">
        <f aca="false">IF(OR(I370="",M370="",I370=0),"",(M370-I370)/I370)</f>
        <v/>
      </c>
      <c r="R370" s="21" t="str">
        <f aca="false">IF(P370="","",IF(P370="No","Extend 24 h",IF(Q370&gt;=Variables!$E$3,"B","A")))</f>
        <v/>
      </c>
      <c r="S370" s="21" t="str">
        <f aca="false">IF(R370="B","Yes: add to Constants",IF(R370="A","No",""))</f>
        <v/>
      </c>
      <c r="T370" s="11"/>
      <c r="U370" s="12"/>
    </row>
    <row r="371" customFormat="false" ht="15" hidden="false" customHeight="false" outlineLevel="0" collapsed="false">
      <c r="A371" s="12"/>
      <c r="B371" s="11"/>
      <c r="C371" s="12"/>
      <c r="D371" s="12"/>
      <c r="E371" s="12"/>
      <c r="F371" s="12"/>
      <c r="G371" s="12"/>
      <c r="H371" s="17"/>
      <c r="I371" s="18"/>
      <c r="J371" s="17"/>
      <c r="K371" s="17"/>
      <c r="L371" s="17"/>
      <c r="M371" s="18"/>
      <c r="N371" s="17"/>
      <c r="O371" s="17"/>
      <c r="P371" s="21" t="str">
        <f aca="false">IF(OR(H371="",L371=""),"",IF(AND(H371&gt;=Variables!$E$2,L371&gt;=Variables!$E$2),"Yes","No"))</f>
        <v/>
      </c>
      <c r="Q371" s="19" t="str">
        <f aca="false">IF(OR(I371="",M371="",I371=0),"",(M371-I371)/I371)</f>
        <v/>
      </c>
      <c r="R371" s="21" t="str">
        <f aca="false">IF(P371="","",IF(P371="No","Extend 24 h",IF(Q371&gt;=Variables!$E$3,"B","A")))</f>
        <v/>
      </c>
      <c r="S371" s="21" t="str">
        <f aca="false">IF(R371="B","Yes: add to Constants",IF(R371="A","No",""))</f>
        <v/>
      </c>
      <c r="T371" s="11"/>
      <c r="U371" s="12"/>
    </row>
    <row r="372" customFormat="false" ht="15" hidden="false" customHeight="false" outlineLevel="0" collapsed="false">
      <c r="A372" s="12"/>
      <c r="B372" s="11"/>
      <c r="C372" s="12"/>
      <c r="D372" s="12"/>
      <c r="E372" s="12"/>
      <c r="F372" s="12"/>
      <c r="G372" s="12"/>
      <c r="H372" s="17"/>
      <c r="I372" s="18"/>
      <c r="J372" s="17"/>
      <c r="K372" s="17"/>
      <c r="L372" s="17"/>
      <c r="M372" s="18"/>
      <c r="N372" s="17"/>
      <c r="O372" s="17"/>
      <c r="P372" s="21" t="str">
        <f aca="false">IF(OR(H372="",L372=""),"",IF(AND(H372&gt;=Variables!$E$2,L372&gt;=Variables!$E$2),"Yes","No"))</f>
        <v/>
      </c>
      <c r="Q372" s="19" t="str">
        <f aca="false">IF(OR(I372="",M372="",I372=0),"",(M372-I372)/I372)</f>
        <v/>
      </c>
      <c r="R372" s="21" t="str">
        <f aca="false">IF(P372="","",IF(P372="No","Extend 24 h",IF(Q372&gt;=Variables!$E$3,"B","A")))</f>
        <v/>
      </c>
      <c r="S372" s="21" t="str">
        <f aca="false">IF(R372="B","Yes: add to Constants",IF(R372="A","No",""))</f>
        <v/>
      </c>
      <c r="T372" s="11"/>
      <c r="U372" s="12"/>
    </row>
    <row r="373" customFormat="false" ht="15" hidden="false" customHeight="false" outlineLevel="0" collapsed="false">
      <c r="A373" s="12"/>
      <c r="B373" s="11"/>
      <c r="C373" s="12"/>
      <c r="D373" s="12"/>
      <c r="E373" s="12"/>
      <c r="F373" s="12"/>
      <c r="G373" s="12"/>
      <c r="H373" s="17"/>
      <c r="I373" s="18"/>
      <c r="J373" s="17"/>
      <c r="K373" s="17"/>
      <c r="L373" s="17"/>
      <c r="M373" s="18"/>
      <c r="N373" s="17"/>
      <c r="O373" s="17"/>
      <c r="P373" s="21" t="str">
        <f aca="false">IF(OR(H373="",L373=""),"",IF(AND(H373&gt;=Variables!$E$2,L373&gt;=Variables!$E$2),"Yes","No"))</f>
        <v/>
      </c>
      <c r="Q373" s="19" t="str">
        <f aca="false">IF(OR(I373="",M373="",I373=0),"",(M373-I373)/I373)</f>
        <v/>
      </c>
      <c r="R373" s="21" t="str">
        <f aca="false">IF(P373="","",IF(P373="No","Extend 24 h",IF(Q373&gt;=Variables!$E$3,"B","A")))</f>
        <v/>
      </c>
      <c r="S373" s="21" t="str">
        <f aca="false">IF(R373="B","Yes: add to Constants",IF(R373="A","No",""))</f>
        <v/>
      </c>
      <c r="T373" s="11"/>
      <c r="U373" s="12"/>
    </row>
    <row r="374" customFormat="false" ht="15" hidden="false" customHeight="false" outlineLevel="0" collapsed="false">
      <c r="A374" s="12"/>
      <c r="B374" s="11"/>
      <c r="C374" s="12"/>
      <c r="D374" s="12"/>
      <c r="E374" s="12"/>
      <c r="F374" s="12"/>
      <c r="G374" s="12"/>
      <c r="H374" s="17"/>
      <c r="I374" s="18"/>
      <c r="J374" s="17"/>
      <c r="K374" s="17"/>
      <c r="L374" s="17"/>
      <c r="M374" s="18"/>
      <c r="N374" s="17"/>
      <c r="O374" s="17"/>
      <c r="P374" s="21" t="str">
        <f aca="false">IF(OR(H374="",L374=""),"",IF(AND(H374&gt;=Variables!$E$2,L374&gt;=Variables!$E$2),"Yes","No"))</f>
        <v/>
      </c>
      <c r="Q374" s="19" t="str">
        <f aca="false">IF(OR(I374="",M374="",I374=0),"",(M374-I374)/I374)</f>
        <v/>
      </c>
      <c r="R374" s="21" t="str">
        <f aca="false">IF(P374="","",IF(P374="No","Extend 24 h",IF(Q374&gt;=Variables!$E$3,"B","A")))</f>
        <v/>
      </c>
      <c r="S374" s="21" t="str">
        <f aca="false">IF(R374="B","Yes: add to Constants",IF(R374="A","No",""))</f>
        <v/>
      </c>
      <c r="T374" s="11"/>
      <c r="U374" s="12"/>
    </row>
    <row r="375" customFormat="false" ht="15" hidden="false" customHeight="false" outlineLevel="0" collapsed="false">
      <c r="A375" s="12"/>
      <c r="B375" s="11"/>
      <c r="C375" s="12"/>
      <c r="D375" s="12"/>
      <c r="E375" s="12"/>
      <c r="F375" s="12"/>
      <c r="G375" s="12"/>
      <c r="H375" s="17"/>
      <c r="I375" s="18"/>
      <c r="J375" s="17"/>
      <c r="K375" s="17"/>
      <c r="L375" s="17"/>
      <c r="M375" s="18"/>
      <c r="N375" s="17"/>
      <c r="O375" s="17"/>
      <c r="P375" s="21" t="str">
        <f aca="false">IF(OR(H375="",L375=""),"",IF(AND(H375&gt;=Variables!$E$2,L375&gt;=Variables!$E$2),"Yes","No"))</f>
        <v/>
      </c>
      <c r="Q375" s="19" t="str">
        <f aca="false">IF(OR(I375="",M375="",I375=0),"",(M375-I375)/I375)</f>
        <v/>
      </c>
      <c r="R375" s="21" t="str">
        <f aca="false">IF(P375="","",IF(P375="No","Extend 24 h",IF(Q375&gt;=Variables!$E$3,"B","A")))</f>
        <v/>
      </c>
      <c r="S375" s="21" t="str">
        <f aca="false">IF(R375="B","Yes: add to Constants",IF(R375="A","No",""))</f>
        <v/>
      </c>
      <c r="T375" s="11"/>
      <c r="U375" s="12"/>
    </row>
    <row r="376" customFormat="false" ht="15" hidden="false" customHeight="false" outlineLevel="0" collapsed="false">
      <c r="A376" s="12"/>
      <c r="B376" s="11"/>
      <c r="C376" s="12"/>
      <c r="D376" s="12"/>
      <c r="E376" s="12"/>
      <c r="F376" s="12"/>
      <c r="G376" s="12"/>
      <c r="H376" s="17"/>
      <c r="I376" s="18"/>
      <c r="J376" s="17"/>
      <c r="K376" s="17"/>
      <c r="L376" s="17"/>
      <c r="M376" s="18"/>
      <c r="N376" s="17"/>
      <c r="O376" s="17"/>
      <c r="P376" s="21" t="str">
        <f aca="false">IF(OR(H376="",L376=""),"",IF(AND(H376&gt;=Variables!$E$2,L376&gt;=Variables!$E$2),"Yes","No"))</f>
        <v/>
      </c>
      <c r="Q376" s="19" t="str">
        <f aca="false">IF(OR(I376="",M376="",I376=0),"",(M376-I376)/I376)</f>
        <v/>
      </c>
      <c r="R376" s="21" t="str">
        <f aca="false">IF(P376="","",IF(P376="No","Extend 24 h",IF(Q376&gt;=Variables!$E$3,"B","A")))</f>
        <v/>
      </c>
      <c r="S376" s="21" t="str">
        <f aca="false">IF(R376="B","Yes: add to Constants",IF(R376="A","No",""))</f>
        <v/>
      </c>
      <c r="T376" s="11"/>
      <c r="U376" s="12"/>
    </row>
    <row r="377" customFormat="false" ht="15" hidden="false" customHeight="false" outlineLevel="0" collapsed="false">
      <c r="A377" s="12"/>
      <c r="B377" s="11"/>
      <c r="C377" s="12"/>
      <c r="D377" s="12"/>
      <c r="E377" s="12"/>
      <c r="F377" s="12"/>
      <c r="G377" s="12"/>
      <c r="H377" s="17"/>
      <c r="I377" s="18"/>
      <c r="J377" s="17"/>
      <c r="K377" s="17"/>
      <c r="L377" s="17"/>
      <c r="M377" s="18"/>
      <c r="N377" s="17"/>
      <c r="O377" s="17"/>
      <c r="P377" s="21" t="str">
        <f aca="false">IF(OR(H377="",L377=""),"",IF(AND(H377&gt;=Variables!$E$2,L377&gt;=Variables!$E$2),"Yes","No"))</f>
        <v/>
      </c>
      <c r="Q377" s="19" t="str">
        <f aca="false">IF(OR(I377="",M377="",I377=0),"",(M377-I377)/I377)</f>
        <v/>
      </c>
      <c r="R377" s="21" t="str">
        <f aca="false">IF(P377="","",IF(P377="No","Extend 24 h",IF(Q377&gt;=Variables!$E$3,"B","A")))</f>
        <v/>
      </c>
      <c r="S377" s="21" t="str">
        <f aca="false">IF(R377="B","Yes: add to Constants",IF(R377="A","No",""))</f>
        <v/>
      </c>
      <c r="T377" s="11"/>
      <c r="U377" s="12"/>
    </row>
    <row r="378" customFormat="false" ht="15" hidden="false" customHeight="false" outlineLevel="0" collapsed="false">
      <c r="A378" s="12"/>
      <c r="B378" s="11"/>
      <c r="C378" s="12"/>
      <c r="D378" s="12"/>
      <c r="E378" s="12"/>
      <c r="F378" s="12"/>
      <c r="G378" s="12"/>
      <c r="H378" s="17"/>
      <c r="I378" s="18"/>
      <c r="J378" s="17"/>
      <c r="K378" s="17"/>
      <c r="L378" s="17"/>
      <c r="M378" s="18"/>
      <c r="N378" s="17"/>
      <c r="O378" s="17"/>
      <c r="P378" s="21" t="str">
        <f aca="false">IF(OR(H378="",L378=""),"",IF(AND(H378&gt;=Variables!$E$2,L378&gt;=Variables!$E$2),"Yes","No"))</f>
        <v/>
      </c>
      <c r="Q378" s="19" t="str">
        <f aca="false">IF(OR(I378="",M378="",I378=0),"",(M378-I378)/I378)</f>
        <v/>
      </c>
      <c r="R378" s="21" t="str">
        <f aca="false">IF(P378="","",IF(P378="No","Extend 24 h",IF(Q378&gt;=Variables!$E$3,"B","A")))</f>
        <v/>
      </c>
      <c r="S378" s="21" t="str">
        <f aca="false">IF(R378="B","Yes: add to Constants",IF(R378="A","No",""))</f>
        <v/>
      </c>
      <c r="T378" s="11"/>
      <c r="U378" s="12"/>
    </row>
    <row r="379" customFormat="false" ht="15" hidden="false" customHeight="false" outlineLevel="0" collapsed="false">
      <c r="A379" s="12"/>
      <c r="B379" s="11"/>
      <c r="C379" s="12"/>
      <c r="D379" s="12"/>
      <c r="E379" s="12"/>
      <c r="F379" s="12"/>
      <c r="G379" s="12"/>
      <c r="H379" s="17"/>
      <c r="I379" s="18"/>
      <c r="J379" s="17"/>
      <c r="K379" s="17"/>
      <c r="L379" s="17"/>
      <c r="M379" s="18"/>
      <c r="N379" s="17"/>
      <c r="O379" s="17"/>
      <c r="P379" s="21" t="str">
        <f aca="false">IF(OR(H379="",L379=""),"",IF(AND(H379&gt;=Variables!$E$2,L379&gt;=Variables!$E$2),"Yes","No"))</f>
        <v/>
      </c>
      <c r="Q379" s="19" t="str">
        <f aca="false">IF(OR(I379="",M379="",I379=0),"",(M379-I379)/I379)</f>
        <v/>
      </c>
      <c r="R379" s="21" t="str">
        <f aca="false">IF(P379="","",IF(P379="No","Extend 24 h",IF(Q379&gt;=Variables!$E$3,"B","A")))</f>
        <v/>
      </c>
      <c r="S379" s="21" t="str">
        <f aca="false">IF(R379="B","Yes: add to Constants",IF(R379="A","No",""))</f>
        <v/>
      </c>
      <c r="T379" s="11"/>
      <c r="U379" s="12"/>
    </row>
    <row r="380" customFormat="false" ht="15" hidden="false" customHeight="false" outlineLevel="0" collapsed="false">
      <c r="A380" s="12"/>
      <c r="B380" s="11"/>
      <c r="C380" s="12"/>
      <c r="D380" s="12"/>
      <c r="E380" s="12"/>
      <c r="F380" s="12"/>
      <c r="G380" s="12"/>
      <c r="H380" s="17"/>
      <c r="I380" s="18"/>
      <c r="J380" s="17"/>
      <c r="K380" s="17"/>
      <c r="L380" s="17"/>
      <c r="M380" s="18"/>
      <c r="N380" s="17"/>
      <c r="O380" s="17"/>
      <c r="P380" s="21" t="str">
        <f aca="false">IF(OR(H380="",L380=""),"",IF(AND(H380&gt;=Variables!$E$2,L380&gt;=Variables!$E$2),"Yes","No"))</f>
        <v/>
      </c>
      <c r="Q380" s="19" t="str">
        <f aca="false">IF(OR(I380="",M380="",I380=0),"",(M380-I380)/I380)</f>
        <v/>
      </c>
      <c r="R380" s="21" t="str">
        <f aca="false">IF(P380="","",IF(P380="No","Extend 24 h",IF(Q380&gt;=Variables!$E$3,"B","A")))</f>
        <v/>
      </c>
      <c r="S380" s="21" t="str">
        <f aca="false">IF(R380="B","Yes: add to Constants",IF(R380="A","No",""))</f>
        <v/>
      </c>
      <c r="T380" s="11"/>
      <c r="U380" s="12"/>
    </row>
    <row r="381" customFormat="false" ht="15" hidden="false" customHeight="false" outlineLevel="0" collapsed="false">
      <c r="A381" s="12"/>
      <c r="B381" s="11"/>
      <c r="C381" s="12"/>
      <c r="D381" s="12"/>
      <c r="E381" s="12"/>
      <c r="F381" s="12"/>
      <c r="G381" s="12"/>
      <c r="H381" s="17"/>
      <c r="I381" s="18"/>
      <c r="J381" s="17"/>
      <c r="K381" s="17"/>
      <c r="L381" s="17"/>
      <c r="M381" s="18"/>
      <c r="N381" s="17"/>
      <c r="O381" s="17"/>
      <c r="P381" s="21" t="str">
        <f aca="false">IF(OR(H381="",L381=""),"",IF(AND(H381&gt;=Variables!$E$2,L381&gt;=Variables!$E$2),"Yes","No"))</f>
        <v/>
      </c>
      <c r="Q381" s="19" t="str">
        <f aca="false">IF(OR(I381="",M381="",I381=0),"",(M381-I381)/I381)</f>
        <v/>
      </c>
      <c r="R381" s="21" t="str">
        <f aca="false">IF(P381="","",IF(P381="No","Extend 24 h",IF(Q381&gt;=Variables!$E$3,"B","A")))</f>
        <v/>
      </c>
      <c r="S381" s="21" t="str">
        <f aca="false">IF(R381="B","Yes: add to Constants",IF(R381="A","No",""))</f>
        <v/>
      </c>
      <c r="T381" s="11"/>
      <c r="U381" s="12"/>
    </row>
    <row r="382" customFormat="false" ht="15" hidden="false" customHeight="false" outlineLevel="0" collapsed="false">
      <c r="A382" s="12"/>
      <c r="B382" s="11"/>
      <c r="C382" s="12"/>
      <c r="D382" s="12"/>
      <c r="E382" s="12"/>
      <c r="F382" s="12"/>
      <c r="G382" s="12"/>
      <c r="H382" s="17"/>
      <c r="I382" s="18"/>
      <c r="J382" s="17"/>
      <c r="K382" s="17"/>
      <c r="L382" s="17"/>
      <c r="M382" s="18"/>
      <c r="N382" s="17"/>
      <c r="O382" s="17"/>
      <c r="P382" s="21" t="str">
        <f aca="false">IF(OR(H382="",L382=""),"",IF(AND(H382&gt;=Variables!$E$2,L382&gt;=Variables!$E$2),"Yes","No"))</f>
        <v/>
      </c>
      <c r="Q382" s="19" t="str">
        <f aca="false">IF(OR(I382="",M382="",I382=0),"",(M382-I382)/I382)</f>
        <v/>
      </c>
      <c r="R382" s="21" t="str">
        <f aca="false">IF(P382="","",IF(P382="No","Extend 24 h",IF(Q382&gt;=Variables!$E$3,"B","A")))</f>
        <v/>
      </c>
      <c r="S382" s="21" t="str">
        <f aca="false">IF(R382="B","Yes: add to Constants",IF(R382="A","No",""))</f>
        <v/>
      </c>
      <c r="T382" s="11"/>
      <c r="U382" s="12"/>
    </row>
    <row r="383" customFormat="false" ht="15" hidden="false" customHeight="false" outlineLevel="0" collapsed="false">
      <c r="A383" s="12"/>
      <c r="B383" s="11"/>
      <c r="C383" s="12"/>
      <c r="D383" s="12"/>
      <c r="E383" s="12"/>
      <c r="F383" s="12"/>
      <c r="G383" s="12"/>
      <c r="H383" s="17"/>
      <c r="I383" s="18"/>
      <c r="J383" s="17"/>
      <c r="K383" s="17"/>
      <c r="L383" s="17"/>
      <c r="M383" s="18"/>
      <c r="N383" s="17"/>
      <c r="O383" s="17"/>
      <c r="P383" s="21" t="str">
        <f aca="false">IF(OR(H383="",L383=""),"",IF(AND(H383&gt;=Variables!$E$2,L383&gt;=Variables!$E$2),"Yes","No"))</f>
        <v/>
      </c>
      <c r="Q383" s="19" t="str">
        <f aca="false">IF(OR(I383="",M383="",I383=0),"",(M383-I383)/I383)</f>
        <v/>
      </c>
      <c r="R383" s="21" t="str">
        <f aca="false">IF(P383="","",IF(P383="No","Extend 24 h",IF(Q383&gt;=Variables!$E$3,"B","A")))</f>
        <v/>
      </c>
      <c r="S383" s="21" t="str">
        <f aca="false">IF(R383="B","Yes: add to Constants",IF(R383="A","No",""))</f>
        <v/>
      </c>
      <c r="T383" s="11"/>
      <c r="U383" s="12"/>
    </row>
    <row r="384" customFormat="false" ht="15" hidden="false" customHeight="false" outlineLevel="0" collapsed="false">
      <c r="A384" s="12"/>
      <c r="B384" s="11"/>
      <c r="C384" s="12"/>
      <c r="D384" s="12"/>
      <c r="E384" s="12"/>
      <c r="F384" s="12"/>
      <c r="G384" s="12"/>
      <c r="H384" s="17"/>
      <c r="I384" s="18"/>
      <c r="J384" s="17"/>
      <c r="K384" s="17"/>
      <c r="L384" s="17"/>
      <c r="M384" s="18"/>
      <c r="N384" s="17"/>
      <c r="O384" s="17"/>
      <c r="P384" s="21" t="str">
        <f aca="false">IF(OR(H384="",L384=""),"",IF(AND(H384&gt;=Variables!$E$2,L384&gt;=Variables!$E$2),"Yes","No"))</f>
        <v/>
      </c>
      <c r="Q384" s="19" t="str">
        <f aca="false">IF(OR(I384="",M384="",I384=0),"",(M384-I384)/I384)</f>
        <v/>
      </c>
      <c r="R384" s="21" t="str">
        <f aca="false">IF(P384="","",IF(P384="No","Extend 24 h",IF(Q384&gt;=Variables!$E$3,"B","A")))</f>
        <v/>
      </c>
      <c r="S384" s="21" t="str">
        <f aca="false">IF(R384="B","Yes: add to Constants",IF(R384="A","No",""))</f>
        <v/>
      </c>
      <c r="T384" s="11"/>
      <c r="U384" s="12"/>
    </row>
    <row r="385" customFormat="false" ht="15" hidden="false" customHeight="false" outlineLevel="0" collapsed="false">
      <c r="A385" s="12"/>
      <c r="B385" s="11"/>
      <c r="C385" s="12"/>
      <c r="D385" s="12"/>
      <c r="E385" s="12"/>
      <c r="F385" s="12"/>
      <c r="G385" s="12"/>
      <c r="H385" s="17"/>
      <c r="I385" s="18"/>
      <c r="J385" s="17"/>
      <c r="K385" s="17"/>
      <c r="L385" s="17"/>
      <c r="M385" s="18"/>
      <c r="N385" s="17"/>
      <c r="O385" s="17"/>
      <c r="P385" s="21" t="str">
        <f aca="false">IF(OR(H385="",L385=""),"",IF(AND(H385&gt;=Variables!$E$2,L385&gt;=Variables!$E$2),"Yes","No"))</f>
        <v/>
      </c>
      <c r="Q385" s="19" t="str">
        <f aca="false">IF(OR(I385="",M385="",I385=0),"",(M385-I385)/I385)</f>
        <v/>
      </c>
      <c r="R385" s="21" t="str">
        <f aca="false">IF(P385="","",IF(P385="No","Extend 24 h",IF(Q385&gt;=Variables!$E$3,"B","A")))</f>
        <v/>
      </c>
      <c r="S385" s="21" t="str">
        <f aca="false">IF(R385="B","Yes: add to Constants",IF(R385="A","No",""))</f>
        <v/>
      </c>
      <c r="T385" s="11"/>
      <c r="U385" s="12"/>
    </row>
    <row r="386" customFormat="false" ht="15" hidden="false" customHeight="false" outlineLevel="0" collapsed="false">
      <c r="A386" s="12"/>
      <c r="B386" s="11"/>
      <c r="C386" s="12"/>
      <c r="D386" s="12"/>
      <c r="E386" s="12"/>
      <c r="F386" s="12"/>
      <c r="G386" s="12"/>
      <c r="H386" s="17"/>
      <c r="I386" s="18"/>
      <c r="J386" s="17"/>
      <c r="K386" s="17"/>
      <c r="L386" s="17"/>
      <c r="M386" s="18"/>
      <c r="N386" s="17"/>
      <c r="O386" s="17"/>
      <c r="P386" s="21" t="str">
        <f aca="false">IF(OR(H386="",L386=""),"",IF(AND(H386&gt;=Variables!$E$2,L386&gt;=Variables!$E$2),"Yes","No"))</f>
        <v/>
      </c>
      <c r="Q386" s="19" t="str">
        <f aca="false">IF(OR(I386="",M386="",I386=0),"",(M386-I386)/I386)</f>
        <v/>
      </c>
      <c r="R386" s="21" t="str">
        <f aca="false">IF(P386="","",IF(P386="No","Extend 24 h",IF(Q386&gt;=Variables!$E$3,"B","A")))</f>
        <v/>
      </c>
      <c r="S386" s="21" t="str">
        <f aca="false">IF(R386="B","Yes: add to Constants",IF(R386="A","No",""))</f>
        <v/>
      </c>
      <c r="T386" s="11"/>
      <c r="U386" s="12"/>
    </row>
    <row r="387" customFormat="false" ht="15" hidden="false" customHeight="false" outlineLevel="0" collapsed="false">
      <c r="A387" s="12"/>
      <c r="B387" s="11"/>
      <c r="C387" s="12"/>
      <c r="D387" s="12"/>
      <c r="E387" s="12"/>
      <c r="F387" s="12"/>
      <c r="G387" s="12"/>
      <c r="H387" s="17"/>
      <c r="I387" s="18"/>
      <c r="J387" s="17"/>
      <c r="K387" s="17"/>
      <c r="L387" s="17"/>
      <c r="M387" s="18"/>
      <c r="N387" s="17"/>
      <c r="O387" s="17"/>
      <c r="P387" s="21" t="str">
        <f aca="false">IF(OR(H387="",L387=""),"",IF(AND(H387&gt;=Variables!$E$2,L387&gt;=Variables!$E$2),"Yes","No"))</f>
        <v/>
      </c>
      <c r="Q387" s="19" t="str">
        <f aca="false">IF(OR(I387="",M387="",I387=0),"",(M387-I387)/I387)</f>
        <v/>
      </c>
      <c r="R387" s="21" t="str">
        <f aca="false">IF(P387="","",IF(P387="No","Extend 24 h",IF(Q387&gt;=Variables!$E$3,"B","A")))</f>
        <v/>
      </c>
      <c r="S387" s="21" t="str">
        <f aca="false">IF(R387="B","Yes: add to Constants",IF(R387="A","No",""))</f>
        <v/>
      </c>
      <c r="T387" s="11"/>
      <c r="U387" s="12"/>
    </row>
    <row r="388" customFormat="false" ht="15" hidden="false" customHeight="false" outlineLevel="0" collapsed="false">
      <c r="A388" s="12"/>
      <c r="B388" s="11"/>
      <c r="C388" s="12"/>
      <c r="D388" s="12"/>
      <c r="E388" s="12"/>
      <c r="F388" s="12"/>
      <c r="G388" s="12"/>
      <c r="H388" s="17"/>
      <c r="I388" s="18"/>
      <c r="J388" s="17"/>
      <c r="K388" s="17"/>
      <c r="L388" s="17"/>
      <c r="M388" s="18"/>
      <c r="N388" s="17"/>
      <c r="O388" s="17"/>
      <c r="P388" s="21" t="str">
        <f aca="false">IF(OR(H388="",L388=""),"",IF(AND(H388&gt;=Variables!$E$2,L388&gt;=Variables!$E$2),"Yes","No"))</f>
        <v/>
      </c>
      <c r="Q388" s="19" t="str">
        <f aca="false">IF(OR(I388="",M388="",I388=0),"",(M388-I388)/I388)</f>
        <v/>
      </c>
      <c r="R388" s="21" t="str">
        <f aca="false">IF(P388="","",IF(P388="No","Extend 24 h",IF(Q388&gt;=Variables!$E$3,"B","A")))</f>
        <v/>
      </c>
      <c r="S388" s="21" t="str">
        <f aca="false">IF(R388="B","Yes: add to Constants",IF(R388="A","No",""))</f>
        <v/>
      </c>
      <c r="T388" s="11"/>
      <c r="U388" s="12"/>
    </row>
    <row r="389" customFormat="false" ht="15" hidden="false" customHeight="false" outlineLevel="0" collapsed="false">
      <c r="A389" s="12"/>
      <c r="B389" s="11"/>
      <c r="C389" s="12"/>
      <c r="D389" s="12"/>
      <c r="E389" s="12"/>
      <c r="F389" s="12"/>
      <c r="G389" s="12"/>
      <c r="H389" s="17"/>
      <c r="I389" s="18"/>
      <c r="J389" s="17"/>
      <c r="K389" s="17"/>
      <c r="L389" s="17"/>
      <c r="M389" s="18"/>
      <c r="N389" s="17"/>
      <c r="O389" s="17"/>
      <c r="P389" s="21" t="str">
        <f aca="false">IF(OR(H389="",L389=""),"",IF(AND(H389&gt;=Variables!$E$2,L389&gt;=Variables!$E$2),"Yes","No"))</f>
        <v/>
      </c>
      <c r="Q389" s="19" t="str">
        <f aca="false">IF(OR(I389="",M389="",I389=0),"",(M389-I389)/I389)</f>
        <v/>
      </c>
      <c r="R389" s="21" t="str">
        <f aca="false">IF(P389="","",IF(P389="No","Extend 24 h",IF(Q389&gt;=Variables!$E$3,"B","A")))</f>
        <v/>
      </c>
      <c r="S389" s="21" t="str">
        <f aca="false">IF(R389="B","Yes: add to Constants",IF(R389="A","No",""))</f>
        <v/>
      </c>
      <c r="T389" s="11"/>
      <c r="U389" s="12"/>
    </row>
    <row r="390" customFormat="false" ht="15" hidden="false" customHeight="false" outlineLevel="0" collapsed="false">
      <c r="A390" s="12"/>
      <c r="B390" s="11"/>
      <c r="C390" s="12"/>
      <c r="D390" s="12"/>
      <c r="E390" s="12"/>
      <c r="F390" s="12"/>
      <c r="G390" s="12"/>
      <c r="H390" s="17"/>
      <c r="I390" s="18"/>
      <c r="J390" s="17"/>
      <c r="K390" s="17"/>
      <c r="L390" s="17"/>
      <c r="M390" s="18"/>
      <c r="N390" s="17"/>
      <c r="O390" s="17"/>
      <c r="P390" s="21" t="str">
        <f aca="false">IF(OR(H390="",L390=""),"",IF(AND(H390&gt;=Variables!$E$2,L390&gt;=Variables!$E$2),"Yes","No"))</f>
        <v/>
      </c>
      <c r="Q390" s="19" t="str">
        <f aca="false">IF(OR(I390="",M390="",I390=0),"",(M390-I390)/I390)</f>
        <v/>
      </c>
      <c r="R390" s="21" t="str">
        <f aca="false">IF(P390="","",IF(P390="No","Extend 24 h",IF(Q390&gt;=Variables!$E$3,"B","A")))</f>
        <v/>
      </c>
      <c r="S390" s="21" t="str">
        <f aca="false">IF(R390="B","Yes: add to Constants",IF(R390="A","No",""))</f>
        <v/>
      </c>
      <c r="T390" s="11"/>
      <c r="U390" s="12"/>
    </row>
    <row r="391" customFormat="false" ht="15" hidden="false" customHeight="false" outlineLevel="0" collapsed="false">
      <c r="A391" s="12"/>
      <c r="B391" s="11"/>
      <c r="C391" s="12"/>
      <c r="D391" s="12"/>
      <c r="E391" s="12"/>
      <c r="F391" s="12"/>
      <c r="G391" s="12"/>
      <c r="H391" s="17"/>
      <c r="I391" s="18"/>
      <c r="J391" s="17"/>
      <c r="K391" s="17"/>
      <c r="L391" s="17"/>
      <c r="M391" s="18"/>
      <c r="N391" s="17"/>
      <c r="O391" s="17"/>
      <c r="P391" s="21" t="str">
        <f aca="false">IF(OR(H391="",L391=""),"",IF(AND(H391&gt;=Variables!$E$2,L391&gt;=Variables!$E$2),"Yes","No"))</f>
        <v/>
      </c>
      <c r="Q391" s="19" t="str">
        <f aca="false">IF(OR(I391="",M391="",I391=0),"",(M391-I391)/I391)</f>
        <v/>
      </c>
      <c r="R391" s="21" t="str">
        <f aca="false">IF(P391="","",IF(P391="No","Extend 24 h",IF(Q391&gt;=Variables!$E$3,"B","A")))</f>
        <v/>
      </c>
      <c r="S391" s="21" t="str">
        <f aca="false">IF(R391="B","Yes: add to Constants",IF(R391="A","No",""))</f>
        <v/>
      </c>
      <c r="T391" s="11"/>
      <c r="U391" s="12"/>
    </row>
    <row r="392" customFormat="false" ht="15" hidden="false" customHeight="false" outlineLevel="0" collapsed="false">
      <c r="A392" s="12"/>
      <c r="B392" s="11"/>
      <c r="C392" s="12"/>
      <c r="D392" s="12"/>
      <c r="E392" s="12"/>
      <c r="F392" s="12"/>
      <c r="G392" s="12"/>
      <c r="H392" s="17"/>
      <c r="I392" s="18"/>
      <c r="J392" s="17"/>
      <c r="K392" s="17"/>
      <c r="L392" s="17"/>
      <c r="M392" s="18"/>
      <c r="N392" s="17"/>
      <c r="O392" s="17"/>
      <c r="P392" s="21" t="str">
        <f aca="false">IF(OR(H392="",L392=""),"",IF(AND(H392&gt;=Variables!$E$2,L392&gt;=Variables!$E$2),"Yes","No"))</f>
        <v/>
      </c>
      <c r="Q392" s="19" t="str">
        <f aca="false">IF(OR(I392="",M392="",I392=0),"",(M392-I392)/I392)</f>
        <v/>
      </c>
      <c r="R392" s="21" t="str">
        <f aca="false">IF(P392="","",IF(P392="No","Extend 24 h",IF(Q392&gt;=Variables!$E$3,"B","A")))</f>
        <v/>
      </c>
      <c r="S392" s="21" t="str">
        <f aca="false">IF(R392="B","Yes: add to Constants",IF(R392="A","No",""))</f>
        <v/>
      </c>
      <c r="T392" s="11"/>
      <c r="U392" s="12"/>
    </row>
    <row r="393" customFormat="false" ht="15" hidden="false" customHeight="false" outlineLevel="0" collapsed="false">
      <c r="A393" s="12"/>
      <c r="B393" s="11"/>
      <c r="C393" s="12"/>
      <c r="D393" s="12"/>
      <c r="E393" s="12"/>
      <c r="F393" s="12"/>
      <c r="G393" s="12"/>
      <c r="H393" s="17"/>
      <c r="I393" s="18"/>
      <c r="J393" s="17"/>
      <c r="K393" s="17"/>
      <c r="L393" s="17"/>
      <c r="M393" s="18"/>
      <c r="N393" s="17"/>
      <c r="O393" s="17"/>
      <c r="P393" s="21" t="str">
        <f aca="false">IF(OR(H393="",L393=""),"",IF(AND(H393&gt;=Variables!$E$2,L393&gt;=Variables!$E$2),"Yes","No"))</f>
        <v/>
      </c>
      <c r="Q393" s="19" t="str">
        <f aca="false">IF(OR(I393="",M393="",I393=0),"",(M393-I393)/I393)</f>
        <v/>
      </c>
      <c r="R393" s="21" t="str">
        <f aca="false">IF(P393="","",IF(P393="No","Extend 24 h",IF(Q393&gt;=Variables!$E$3,"B","A")))</f>
        <v/>
      </c>
      <c r="S393" s="21" t="str">
        <f aca="false">IF(R393="B","Yes: add to Constants",IF(R393="A","No",""))</f>
        <v/>
      </c>
      <c r="T393" s="11"/>
      <c r="U393" s="12"/>
    </row>
    <row r="394" customFormat="false" ht="15" hidden="false" customHeight="false" outlineLevel="0" collapsed="false">
      <c r="A394" s="12"/>
      <c r="B394" s="11"/>
      <c r="C394" s="12"/>
      <c r="D394" s="12"/>
      <c r="E394" s="12"/>
      <c r="F394" s="12"/>
      <c r="G394" s="12"/>
      <c r="H394" s="17"/>
      <c r="I394" s="18"/>
      <c r="J394" s="17"/>
      <c r="K394" s="17"/>
      <c r="L394" s="17"/>
      <c r="M394" s="18"/>
      <c r="N394" s="17"/>
      <c r="O394" s="17"/>
      <c r="P394" s="21" t="str">
        <f aca="false">IF(OR(H394="",L394=""),"",IF(AND(H394&gt;=Variables!$E$2,L394&gt;=Variables!$E$2),"Yes","No"))</f>
        <v/>
      </c>
      <c r="Q394" s="19" t="str">
        <f aca="false">IF(OR(I394="",M394="",I394=0),"",(M394-I394)/I394)</f>
        <v/>
      </c>
      <c r="R394" s="21" t="str">
        <f aca="false">IF(P394="","",IF(P394="No","Extend 24 h",IF(Q394&gt;=Variables!$E$3,"B","A")))</f>
        <v/>
      </c>
      <c r="S394" s="21" t="str">
        <f aca="false">IF(R394="B","Yes: add to Constants",IF(R394="A","No",""))</f>
        <v/>
      </c>
      <c r="T394" s="11"/>
      <c r="U394" s="12"/>
    </row>
    <row r="395" customFormat="false" ht="15" hidden="false" customHeight="false" outlineLevel="0" collapsed="false">
      <c r="A395" s="12"/>
      <c r="B395" s="11"/>
      <c r="C395" s="12"/>
      <c r="D395" s="12"/>
      <c r="E395" s="12"/>
      <c r="F395" s="12"/>
      <c r="G395" s="12"/>
      <c r="H395" s="17"/>
      <c r="I395" s="18"/>
      <c r="J395" s="17"/>
      <c r="K395" s="17"/>
      <c r="L395" s="17"/>
      <c r="M395" s="18"/>
      <c r="N395" s="17"/>
      <c r="O395" s="17"/>
      <c r="P395" s="21" t="str">
        <f aca="false">IF(OR(H395="",L395=""),"",IF(AND(H395&gt;=Variables!$E$2,L395&gt;=Variables!$E$2),"Yes","No"))</f>
        <v/>
      </c>
      <c r="Q395" s="19" t="str">
        <f aca="false">IF(OR(I395="",M395="",I395=0),"",(M395-I395)/I395)</f>
        <v/>
      </c>
      <c r="R395" s="21" t="str">
        <f aca="false">IF(P395="","",IF(P395="No","Extend 24 h",IF(Q395&gt;=Variables!$E$3,"B","A")))</f>
        <v/>
      </c>
      <c r="S395" s="21" t="str">
        <f aca="false">IF(R395="B","Yes: add to Constants",IF(R395="A","No",""))</f>
        <v/>
      </c>
      <c r="T395" s="11"/>
      <c r="U395" s="12"/>
    </row>
    <row r="396" customFormat="false" ht="15" hidden="false" customHeight="false" outlineLevel="0" collapsed="false">
      <c r="A396" s="12"/>
      <c r="B396" s="11"/>
      <c r="C396" s="12"/>
      <c r="D396" s="12"/>
      <c r="E396" s="12"/>
      <c r="F396" s="12"/>
      <c r="G396" s="12"/>
      <c r="H396" s="17"/>
      <c r="I396" s="18"/>
      <c r="J396" s="17"/>
      <c r="K396" s="17"/>
      <c r="L396" s="17"/>
      <c r="M396" s="18"/>
      <c r="N396" s="17"/>
      <c r="O396" s="17"/>
      <c r="P396" s="21" t="str">
        <f aca="false">IF(OR(H396="",L396=""),"",IF(AND(H396&gt;=Variables!$E$2,L396&gt;=Variables!$E$2),"Yes","No"))</f>
        <v/>
      </c>
      <c r="Q396" s="19" t="str">
        <f aca="false">IF(OR(I396="",M396="",I396=0),"",(M396-I396)/I396)</f>
        <v/>
      </c>
      <c r="R396" s="21" t="str">
        <f aca="false">IF(P396="","",IF(P396="No","Extend 24 h",IF(Q396&gt;=Variables!$E$3,"B","A")))</f>
        <v/>
      </c>
      <c r="S396" s="21" t="str">
        <f aca="false">IF(R396="B","Yes: add to Constants",IF(R396="A","No",""))</f>
        <v/>
      </c>
      <c r="T396" s="11"/>
      <c r="U396" s="12"/>
    </row>
    <row r="397" customFormat="false" ht="15" hidden="false" customHeight="false" outlineLevel="0" collapsed="false">
      <c r="A397" s="12"/>
      <c r="B397" s="11"/>
      <c r="C397" s="12"/>
      <c r="D397" s="12"/>
      <c r="E397" s="12"/>
      <c r="F397" s="12"/>
      <c r="G397" s="12"/>
      <c r="H397" s="17"/>
      <c r="I397" s="18"/>
      <c r="J397" s="17"/>
      <c r="K397" s="17"/>
      <c r="L397" s="17"/>
      <c r="M397" s="18"/>
      <c r="N397" s="17"/>
      <c r="O397" s="17"/>
      <c r="P397" s="21" t="str">
        <f aca="false">IF(OR(H397="",L397=""),"",IF(AND(H397&gt;=Variables!$E$2,L397&gt;=Variables!$E$2),"Yes","No"))</f>
        <v/>
      </c>
      <c r="Q397" s="19" t="str">
        <f aca="false">IF(OR(I397="",M397="",I397=0),"",(M397-I397)/I397)</f>
        <v/>
      </c>
      <c r="R397" s="21" t="str">
        <f aca="false">IF(P397="","",IF(P397="No","Extend 24 h",IF(Q397&gt;=Variables!$E$3,"B","A")))</f>
        <v/>
      </c>
      <c r="S397" s="21" t="str">
        <f aca="false">IF(R397="B","Yes: add to Constants",IF(R397="A","No",""))</f>
        <v/>
      </c>
      <c r="T397" s="11"/>
      <c r="U397" s="12"/>
    </row>
    <row r="398" customFormat="false" ht="15" hidden="false" customHeight="false" outlineLevel="0" collapsed="false">
      <c r="A398" s="12"/>
      <c r="B398" s="11"/>
      <c r="C398" s="12"/>
      <c r="D398" s="12"/>
      <c r="E398" s="12"/>
      <c r="F398" s="12"/>
      <c r="G398" s="12"/>
      <c r="H398" s="17"/>
      <c r="I398" s="18"/>
      <c r="J398" s="17"/>
      <c r="K398" s="17"/>
      <c r="L398" s="17"/>
      <c r="M398" s="18"/>
      <c r="N398" s="17"/>
      <c r="O398" s="17"/>
      <c r="P398" s="21" t="str">
        <f aca="false">IF(OR(H398="",L398=""),"",IF(AND(H398&gt;=Variables!$E$2,L398&gt;=Variables!$E$2),"Yes","No"))</f>
        <v/>
      </c>
      <c r="Q398" s="19" t="str">
        <f aca="false">IF(OR(I398="",M398="",I398=0),"",(M398-I398)/I398)</f>
        <v/>
      </c>
      <c r="R398" s="21" t="str">
        <f aca="false">IF(P398="","",IF(P398="No","Extend 24 h",IF(Q398&gt;=Variables!$E$3,"B","A")))</f>
        <v/>
      </c>
      <c r="S398" s="21" t="str">
        <f aca="false">IF(R398="B","Yes: add to Constants",IF(R398="A","No",""))</f>
        <v/>
      </c>
      <c r="T398" s="11"/>
      <c r="U398" s="12"/>
    </row>
    <row r="399" customFormat="false" ht="15" hidden="false" customHeight="false" outlineLevel="0" collapsed="false">
      <c r="A399" s="12"/>
      <c r="B399" s="11"/>
      <c r="C399" s="12"/>
      <c r="D399" s="12"/>
      <c r="E399" s="12"/>
      <c r="F399" s="12"/>
      <c r="G399" s="12"/>
      <c r="H399" s="17"/>
      <c r="I399" s="18"/>
      <c r="J399" s="17"/>
      <c r="K399" s="17"/>
      <c r="L399" s="17"/>
      <c r="M399" s="18"/>
      <c r="N399" s="17"/>
      <c r="O399" s="17"/>
      <c r="P399" s="21" t="str">
        <f aca="false">IF(OR(H399="",L399=""),"",IF(AND(H399&gt;=Variables!$E$2,L399&gt;=Variables!$E$2),"Yes","No"))</f>
        <v/>
      </c>
      <c r="Q399" s="19" t="str">
        <f aca="false">IF(OR(I399="",M399="",I399=0),"",(M399-I399)/I399)</f>
        <v/>
      </c>
      <c r="R399" s="21" t="str">
        <f aca="false">IF(P399="","",IF(P399="No","Extend 24 h",IF(Q399&gt;=Variables!$E$3,"B","A")))</f>
        <v/>
      </c>
      <c r="S399" s="21" t="str">
        <f aca="false">IF(R399="B","Yes: add to Constants",IF(R399="A","No",""))</f>
        <v/>
      </c>
      <c r="T399" s="11"/>
      <c r="U399" s="12"/>
    </row>
    <row r="400" customFormat="false" ht="15" hidden="false" customHeight="false" outlineLevel="0" collapsed="false">
      <c r="A400" s="12"/>
      <c r="B400" s="11"/>
      <c r="C400" s="12"/>
      <c r="D400" s="12"/>
      <c r="E400" s="12"/>
      <c r="F400" s="12"/>
      <c r="G400" s="12"/>
      <c r="H400" s="17"/>
      <c r="I400" s="18"/>
      <c r="J400" s="17"/>
      <c r="K400" s="17"/>
      <c r="L400" s="17"/>
      <c r="M400" s="18"/>
      <c r="N400" s="17"/>
      <c r="O400" s="17"/>
      <c r="P400" s="21" t="str">
        <f aca="false">IF(OR(H400="",L400=""),"",IF(AND(H400&gt;=Variables!$E$2,L400&gt;=Variables!$E$2),"Yes","No"))</f>
        <v/>
      </c>
      <c r="Q400" s="19" t="str">
        <f aca="false">IF(OR(I400="",M400="",I400=0),"",(M400-I400)/I400)</f>
        <v/>
      </c>
      <c r="R400" s="21" t="str">
        <f aca="false">IF(P400="","",IF(P400="No","Extend 24 h",IF(Q400&gt;=Variables!$E$3,"B","A")))</f>
        <v/>
      </c>
      <c r="S400" s="21" t="str">
        <f aca="false">IF(R400="B","Yes: add to Constants",IF(R400="A","No",""))</f>
        <v/>
      </c>
      <c r="T400" s="11"/>
      <c r="U400" s="12"/>
    </row>
    <row r="401" customFormat="false" ht="15" hidden="false" customHeight="false" outlineLevel="0" collapsed="false">
      <c r="A401" s="12"/>
      <c r="B401" s="11"/>
      <c r="C401" s="12"/>
      <c r="D401" s="12"/>
      <c r="E401" s="12"/>
      <c r="F401" s="12"/>
      <c r="G401" s="12"/>
      <c r="H401" s="17"/>
      <c r="I401" s="18"/>
      <c r="J401" s="17"/>
      <c r="K401" s="17"/>
      <c r="L401" s="17"/>
      <c r="M401" s="18"/>
      <c r="N401" s="17"/>
      <c r="O401" s="17"/>
      <c r="P401" s="21" t="str">
        <f aca="false">IF(OR(H401="",L401=""),"",IF(AND(H401&gt;=Variables!$E$2,L401&gt;=Variables!$E$2),"Yes","No"))</f>
        <v/>
      </c>
      <c r="Q401" s="19" t="str">
        <f aca="false">IF(OR(I401="",M401="",I401=0),"",(M401-I401)/I401)</f>
        <v/>
      </c>
      <c r="R401" s="21" t="str">
        <f aca="false">IF(P401="","",IF(P401="No","Extend 24 h",IF(Q401&gt;=Variables!$E$3,"B","A")))</f>
        <v/>
      </c>
      <c r="S401" s="21" t="str">
        <f aca="false">IF(R401="B","Yes: add to Constants",IF(R401="A","No",""))</f>
        <v/>
      </c>
      <c r="T401" s="11"/>
      <c r="U401" s="12"/>
    </row>
  </sheetData>
  <autoFilter ref="A1:U401"/>
  <dataValidations count="2">
    <dataValidation allowBlank="true" errorStyle="stop" operator="between" showDropDown="false" showErrorMessage="false" showInputMessage="false" sqref="C2:C401" type="list">
      <formula1>Variables!$G$2:$G$4</formula1>
      <formula2>0</formula2>
    </dataValidation>
    <dataValidation allowBlank="true" errorStyle="stop" operator="between" showDropDown="false" showErrorMessage="false" showInputMessage="false" sqref="E2:E401" type="list">
      <formula1>Variables!$A$2:$A$30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46"/>
    <col collapsed="false" customWidth="true" hidden="false" outlineLevel="0" max="6" min="5" style="0" width="18"/>
    <col collapsed="false" customWidth="true" hidden="false" outlineLevel="0" max="8" min="7" style="0" width="10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30"/>
  </cols>
  <sheetData>
    <row r="1" customFormat="false" ht="33.75" hidden="false" customHeight="true" outlineLevel="0" collapsed="false">
      <c r="A1" s="7" t="s">
        <v>84</v>
      </c>
      <c r="B1" s="7" t="s">
        <v>85</v>
      </c>
      <c r="C1" s="7" t="s">
        <v>86</v>
      </c>
      <c r="D1" s="7" t="s">
        <v>87</v>
      </c>
      <c r="E1" s="7" t="s">
        <v>88</v>
      </c>
      <c r="F1" s="7" t="s">
        <v>89</v>
      </c>
      <c r="G1" s="7" t="s">
        <v>90</v>
      </c>
      <c r="H1" s="7" t="s">
        <v>29</v>
      </c>
      <c r="I1" s="7" t="s">
        <v>91</v>
      </c>
      <c r="J1" s="7" t="s">
        <v>92</v>
      </c>
      <c r="K1" s="7" t="s">
        <v>30</v>
      </c>
    </row>
    <row r="2" customFormat="false" ht="15" hidden="false" customHeight="false" outlineLevel="0" collapsed="false">
      <c r="A2" s="9" t="n">
        <v>1</v>
      </c>
      <c r="B2" s="8" t="n">
        <v>46320</v>
      </c>
      <c r="C2" s="9" t="s">
        <v>35</v>
      </c>
      <c r="D2" s="9" t="s">
        <v>93</v>
      </c>
      <c r="E2" s="9" t="s">
        <v>31</v>
      </c>
      <c r="F2" s="9" t="s">
        <v>59</v>
      </c>
      <c r="G2" s="16" t="n">
        <f aca="false">IF(F2="","",IFERROR(INDEX('AB Tests'!$Q:$Q,MATCH(F2,'AB Tests'!$A:$A,0)),""))</f>
        <v>0.21875</v>
      </c>
      <c r="H2" s="9" t="s">
        <v>94</v>
      </c>
      <c r="I2" s="8"/>
      <c r="J2" s="9"/>
      <c r="K2" s="9"/>
    </row>
    <row r="3" customFormat="false" ht="15" hidden="false" customHeight="false" outlineLevel="0" collapsed="false">
      <c r="A3" s="12"/>
      <c r="B3" s="11"/>
      <c r="C3" s="12"/>
      <c r="D3" s="12"/>
      <c r="E3" s="12"/>
      <c r="F3" s="12"/>
      <c r="G3" s="19" t="str">
        <f aca="false">IF(F3="","",IFERROR(INDEX('AB Tests'!$Q:$Q,MATCH(F3,'AB Tests'!$A:$A,0)),""))</f>
        <v/>
      </c>
      <c r="H3" s="12"/>
      <c r="I3" s="11"/>
      <c r="J3" s="12"/>
      <c r="K3" s="12"/>
    </row>
    <row r="4" customFormat="false" ht="15" hidden="false" customHeight="false" outlineLevel="0" collapsed="false">
      <c r="A4" s="12"/>
      <c r="B4" s="11"/>
      <c r="C4" s="12"/>
      <c r="D4" s="12"/>
      <c r="E4" s="12"/>
      <c r="F4" s="12"/>
      <c r="G4" s="19" t="str">
        <f aca="false">IF(F4="","",IFERROR(INDEX('AB Tests'!$Q:$Q,MATCH(F4,'AB Tests'!$A:$A,0)),""))</f>
        <v/>
      </c>
      <c r="H4" s="12"/>
      <c r="I4" s="11"/>
      <c r="J4" s="12"/>
      <c r="K4" s="12"/>
    </row>
    <row r="5" customFormat="false" ht="15" hidden="false" customHeight="false" outlineLevel="0" collapsed="false">
      <c r="A5" s="12"/>
      <c r="B5" s="11"/>
      <c r="C5" s="12"/>
      <c r="D5" s="12"/>
      <c r="E5" s="12"/>
      <c r="F5" s="12"/>
      <c r="G5" s="19" t="str">
        <f aca="false">IF(F5="","",IFERROR(INDEX('AB Tests'!$Q:$Q,MATCH(F5,'AB Tests'!$A:$A,0)),""))</f>
        <v/>
      </c>
      <c r="H5" s="12"/>
      <c r="I5" s="11"/>
      <c r="J5" s="12"/>
      <c r="K5" s="12"/>
    </row>
    <row r="6" customFormat="false" ht="15" hidden="false" customHeight="false" outlineLevel="0" collapsed="false">
      <c r="A6" s="12"/>
      <c r="B6" s="11"/>
      <c r="C6" s="12"/>
      <c r="D6" s="12"/>
      <c r="E6" s="12"/>
      <c r="F6" s="12"/>
      <c r="G6" s="19" t="str">
        <f aca="false">IF(F6="","",IFERROR(INDEX('AB Tests'!$Q:$Q,MATCH(F6,'AB Tests'!$A:$A,0)),""))</f>
        <v/>
      </c>
      <c r="H6" s="12"/>
      <c r="I6" s="11"/>
      <c r="J6" s="12"/>
      <c r="K6" s="12"/>
    </row>
    <row r="7" customFormat="false" ht="15" hidden="false" customHeight="false" outlineLevel="0" collapsed="false">
      <c r="A7" s="12"/>
      <c r="B7" s="11"/>
      <c r="C7" s="12"/>
      <c r="D7" s="12"/>
      <c r="E7" s="12"/>
      <c r="F7" s="12"/>
      <c r="G7" s="19" t="str">
        <f aca="false">IF(F7="","",IFERROR(INDEX('AB Tests'!$Q:$Q,MATCH(F7,'AB Tests'!$A:$A,0)),""))</f>
        <v/>
      </c>
      <c r="H7" s="12"/>
      <c r="I7" s="11"/>
      <c r="J7" s="12"/>
      <c r="K7" s="12"/>
    </row>
    <row r="8" customFormat="false" ht="15" hidden="false" customHeight="false" outlineLevel="0" collapsed="false">
      <c r="A8" s="12"/>
      <c r="B8" s="11"/>
      <c r="C8" s="12"/>
      <c r="D8" s="12"/>
      <c r="E8" s="12"/>
      <c r="F8" s="12"/>
      <c r="G8" s="19" t="str">
        <f aca="false">IF(F8="","",IFERROR(INDEX('AB Tests'!$Q:$Q,MATCH(F8,'AB Tests'!$A:$A,0)),""))</f>
        <v/>
      </c>
      <c r="H8" s="12"/>
      <c r="I8" s="11"/>
      <c r="J8" s="12"/>
      <c r="K8" s="12"/>
    </row>
    <row r="9" customFormat="false" ht="15" hidden="false" customHeight="false" outlineLevel="0" collapsed="false">
      <c r="A9" s="12"/>
      <c r="B9" s="11"/>
      <c r="C9" s="12"/>
      <c r="D9" s="12"/>
      <c r="E9" s="12"/>
      <c r="F9" s="12"/>
      <c r="G9" s="19" t="str">
        <f aca="false">IF(F9="","",IFERROR(INDEX('AB Tests'!$Q:$Q,MATCH(F9,'AB Tests'!$A:$A,0)),""))</f>
        <v/>
      </c>
      <c r="H9" s="12"/>
      <c r="I9" s="11"/>
      <c r="J9" s="12"/>
      <c r="K9" s="12"/>
    </row>
    <row r="10" customFormat="false" ht="15" hidden="false" customHeight="false" outlineLevel="0" collapsed="false">
      <c r="A10" s="12"/>
      <c r="B10" s="11"/>
      <c r="C10" s="12"/>
      <c r="D10" s="12"/>
      <c r="E10" s="12"/>
      <c r="F10" s="12"/>
      <c r="G10" s="19" t="str">
        <f aca="false">IF(F10="","",IFERROR(INDEX('AB Tests'!$Q:$Q,MATCH(F10,'AB Tests'!$A:$A,0)),""))</f>
        <v/>
      </c>
      <c r="H10" s="12"/>
      <c r="I10" s="11"/>
      <c r="J10" s="12"/>
      <c r="K10" s="12"/>
    </row>
    <row r="11" customFormat="false" ht="15" hidden="false" customHeight="false" outlineLevel="0" collapsed="false">
      <c r="A11" s="12"/>
      <c r="B11" s="11"/>
      <c r="C11" s="12"/>
      <c r="D11" s="12"/>
      <c r="E11" s="12"/>
      <c r="F11" s="12"/>
      <c r="G11" s="19" t="str">
        <f aca="false">IF(F11="","",IFERROR(INDEX('AB Tests'!$Q:$Q,MATCH(F11,'AB Tests'!$A:$A,0)),""))</f>
        <v/>
      </c>
      <c r="H11" s="12"/>
      <c r="I11" s="11"/>
      <c r="J11" s="12"/>
      <c r="K11" s="12"/>
    </row>
    <row r="12" customFormat="false" ht="15" hidden="false" customHeight="false" outlineLevel="0" collapsed="false">
      <c r="A12" s="12"/>
      <c r="B12" s="11"/>
      <c r="C12" s="12"/>
      <c r="D12" s="12"/>
      <c r="E12" s="12"/>
      <c r="F12" s="12"/>
      <c r="G12" s="19" t="str">
        <f aca="false">IF(F12="","",IFERROR(INDEX('AB Tests'!$Q:$Q,MATCH(F12,'AB Tests'!$A:$A,0)),""))</f>
        <v/>
      </c>
      <c r="H12" s="12"/>
      <c r="I12" s="11"/>
      <c r="J12" s="12"/>
      <c r="K12" s="12"/>
    </row>
    <row r="13" customFormat="false" ht="15" hidden="false" customHeight="false" outlineLevel="0" collapsed="false">
      <c r="A13" s="12"/>
      <c r="B13" s="11"/>
      <c r="C13" s="12"/>
      <c r="D13" s="12"/>
      <c r="E13" s="12"/>
      <c r="F13" s="12"/>
      <c r="G13" s="19" t="str">
        <f aca="false">IF(F13="","",IFERROR(INDEX('AB Tests'!$Q:$Q,MATCH(F13,'AB Tests'!$A:$A,0)),""))</f>
        <v/>
      </c>
      <c r="H13" s="12"/>
      <c r="I13" s="11"/>
      <c r="J13" s="12"/>
      <c r="K13" s="12"/>
    </row>
    <row r="14" customFormat="false" ht="15" hidden="false" customHeight="false" outlineLevel="0" collapsed="false">
      <c r="A14" s="12"/>
      <c r="B14" s="11"/>
      <c r="C14" s="12"/>
      <c r="D14" s="12"/>
      <c r="E14" s="12"/>
      <c r="F14" s="12"/>
      <c r="G14" s="19" t="str">
        <f aca="false">IF(F14="","",IFERROR(INDEX('AB Tests'!$Q:$Q,MATCH(F14,'AB Tests'!$A:$A,0)),""))</f>
        <v/>
      </c>
      <c r="H14" s="12"/>
      <c r="I14" s="11"/>
      <c r="J14" s="12"/>
      <c r="K14" s="12"/>
    </row>
    <row r="15" customFormat="false" ht="15" hidden="false" customHeight="false" outlineLevel="0" collapsed="false">
      <c r="A15" s="12"/>
      <c r="B15" s="11"/>
      <c r="C15" s="12"/>
      <c r="D15" s="12"/>
      <c r="E15" s="12"/>
      <c r="F15" s="12"/>
      <c r="G15" s="19" t="str">
        <f aca="false">IF(F15="","",IFERROR(INDEX('AB Tests'!$Q:$Q,MATCH(F15,'AB Tests'!$A:$A,0)),""))</f>
        <v/>
      </c>
      <c r="H15" s="12"/>
      <c r="I15" s="11"/>
      <c r="J15" s="12"/>
      <c r="K15" s="12"/>
    </row>
    <row r="16" customFormat="false" ht="15" hidden="false" customHeight="false" outlineLevel="0" collapsed="false">
      <c r="A16" s="12"/>
      <c r="B16" s="11"/>
      <c r="C16" s="12"/>
      <c r="D16" s="12"/>
      <c r="E16" s="12"/>
      <c r="F16" s="12"/>
      <c r="G16" s="19" t="str">
        <f aca="false">IF(F16="","",IFERROR(INDEX('AB Tests'!$Q:$Q,MATCH(F16,'AB Tests'!$A:$A,0)),""))</f>
        <v/>
      </c>
      <c r="H16" s="12"/>
      <c r="I16" s="11"/>
      <c r="J16" s="12"/>
      <c r="K16" s="12"/>
    </row>
    <row r="17" customFormat="false" ht="15" hidden="false" customHeight="false" outlineLevel="0" collapsed="false">
      <c r="A17" s="12"/>
      <c r="B17" s="11"/>
      <c r="C17" s="12"/>
      <c r="D17" s="12"/>
      <c r="E17" s="12"/>
      <c r="F17" s="12"/>
      <c r="G17" s="19" t="str">
        <f aca="false">IF(F17="","",IFERROR(INDEX('AB Tests'!$Q:$Q,MATCH(F17,'AB Tests'!$A:$A,0)),""))</f>
        <v/>
      </c>
      <c r="H17" s="12"/>
      <c r="I17" s="11"/>
      <c r="J17" s="12"/>
      <c r="K17" s="12"/>
    </row>
    <row r="18" customFormat="false" ht="15" hidden="false" customHeight="false" outlineLevel="0" collapsed="false">
      <c r="A18" s="12"/>
      <c r="B18" s="11"/>
      <c r="C18" s="12"/>
      <c r="D18" s="12"/>
      <c r="E18" s="12"/>
      <c r="F18" s="12"/>
      <c r="G18" s="19" t="str">
        <f aca="false">IF(F18="","",IFERROR(INDEX('AB Tests'!$Q:$Q,MATCH(F18,'AB Tests'!$A:$A,0)),""))</f>
        <v/>
      </c>
      <c r="H18" s="12"/>
      <c r="I18" s="11"/>
      <c r="J18" s="12"/>
      <c r="K18" s="12"/>
    </row>
    <row r="19" customFormat="false" ht="15" hidden="false" customHeight="false" outlineLevel="0" collapsed="false">
      <c r="A19" s="12"/>
      <c r="B19" s="11"/>
      <c r="C19" s="12"/>
      <c r="D19" s="12"/>
      <c r="E19" s="12"/>
      <c r="F19" s="12"/>
      <c r="G19" s="19" t="str">
        <f aca="false">IF(F19="","",IFERROR(INDEX('AB Tests'!$Q:$Q,MATCH(F19,'AB Tests'!$A:$A,0)),""))</f>
        <v/>
      </c>
      <c r="H19" s="12"/>
      <c r="I19" s="11"/>
      <c r="J19" s="12"/>
      <c r="K19" s="12"/>
    </row>
    <row r="20" customFormat="false" ht="15" hidden="false" customHeight="false" outlineLevel="0" collapsed="false">
      <c r="A20" s="12"/>
      <c r="B20" s="11"/>
      <c r="C20" s="12"/>
      <c r="D20" s="12"/>
      <c r="E20" s="12"/>
      <c r="F20" s="12"/>
      <c r="G20" s="19" t="str">
        <f aca="false">IF(F20="","",IFERROR(INDEX('AB Tests'!$Q:$Q,MATCH(F20,'AB Tests'!$A:$A,0)),""))</f>
        <v/>
      </c>
      <c r="H20" s="12"/>
      <c r="I20" s="11"/>
      <c r="J20" s="12"/>
      <c r="K20" s="12"/>
    </row>
    <row r="21" customFormat="false" ht="15" hidden="false" customHeight="false" outlineLevel="0" collapsed="false">
      <c r="A21" s="12"/>
      <c r="B21" s="11"/>
      <c r="C21" s="12"/>
      <c r="D21" s="12"/>
      <c r="E21" s="12"/>
      <c r="F21" s="12"/>
      <c r="G21" s="19" t="str">
        <f aca="false">IF(F21="","",IFERROR(INDEX('AB Tests'!$Q:$Q,MATCH(F21,'AB Tests'!$A:$A,0)),""))</f>
        <v/>
      </c>
      <c r="H21" s="12"/>
      <c r="I21" s="11"/>
      <c r="J21" s="12"/>
      <c r="K21" s="12"/>
    </row>
    <row r="22" customFormat="false" ht="15" hidden="false" customHeight="false" outlineLevel="0" collapsed="false">
      <c r="A22" s="12"/>
      <c r="B22" s="11"/>
      <c r="C22" s="12"/>
      <c r="D22" s="12"/>
      <c r="E22" s="12"/>
      <c r="F22" s="12"/>
      <c r="G22" s="19" t="str">
        <f aca="false">IF(F22="","",IFERROR(INDEX('AB Tests'!$Q:$Q,MATCH(F22,'AB Tests'!$A:$A,0)),""))</f>
        <v/>
      </c>
      <c r="H22" s="12"/>
      <c r="I22" s="11"/>
      <c r="J22" s="12"/>
      <c r="K22" s="12"/>
    </row>
    <row r="23" customFormat="false" ht="15" hidden="false" customHeight="false" outlineLevel="0" collapsed="false">
      <c r="A23" s="12"/>
      <c r="B23" s="11"/>
      <c r="C23" s="12"/>
      <c r="D23" s="12"/>
      <c r="E23" s="12"/>
      <c r="F23" s="12"/>
      <c r="G23" s="19" t="str">
        <f aca="false">IF(F23="","",IFERROR(INDEX('AB Tests'!$Q:$Q,MATCH(F23,'AB Tests'!$A:$A,0)),""))</f>
        <v/>
      </c>
      <c r="H23" s="12"/>
      <c r="I23" s="11"/>
      <c r="J23" s="12"/>
      <c r="K23" s="12"/>
    </row>
    <row r="24" customFormat="false" ht="15" hidden="false" customHeight="false" outlineLevel="0" collapsed="false">
      <c r="A24" s="12"/>
      <c r="B24" s="11"/>
      <c r="C24" s="12"/>
      <c r="D24" s="12"/>
      <c r="E24" s="12"/>
      <c r="F24" s="12"/>
      <c r="G24" s="19" t="str">
        <f aca="false">IF(F24="","",IFERROR(INDEX('AB Tests'!$Q:$Q,MATCH(F24,'AB Tests'!$A:$A,0)),""))</f>
        <v/>
      </c>
      <c r="H24" s="12"/>
      <c r="I24" s="11"/>
      <c r="J24" s="12"/>
      <c r="K24" s="12"/>
    </row>
    <row r="25" customFormat="false" ht="15" hidden="false" customHeight="false" outlineLevel="0" collapsed="false">
      <c r="A25" s="12"/>
      <c r="B25" s="11"/>
      <c r="C25" s="12"/>
      <c r="D25" s="12"/>
      <c r="E25" s="12"/>
      <c r="F25" s="12"/>
      <c r="G25" s="19" t="str">
        <f aca="false">IF(F25="","",IFERROR(INDEX('AB Tests'!$Q:$Q,MATCH(F25,'AB Tests'!$A:$A,0)),""))</f>
        <v/>
      </c>
      <c r="H25" s="12"/>
      <c r="I25" s="11"/>
      <c r="J25" s="12"/>
      <c r="K25" s="12"/>
    </row>
    <row r="26" customFormat="false" ht="15" hidden="false" customHeight="false" outlineLevel="0" collapsed="false">
      <c r="A26" s="12"/>
      <c r="B26" s="11"/>
      <c r="C26" s="12"/>
      <c r="D26" s="12"/>
      <c r="E26" s="12"/>
      <c r="F26" s="12"/>
      <c r="G26" s="19" t="str">
        <f aca="false">IF(F26="","",IFERROR(INDEX('AB Tests'!$Q:$Q,MATCH(F26,'AB Tests'!$A:$A,0)),""))</f>
        <v/>
      </c>
      <c r="H26" s="12"/>
      <c r="I26" s="11"/>
      <c r="J26" s="12"/>
      <c r="K26" s="12"/>
    </row>
    <row r="27" customFormat="false" ht="15" hidden="false" customHeight="false" outlineLevel="0" collapsed="false">
      <c r="A27" s="12"/>
      <c r="B27" s="11"/>
      <c r="C27" s="12"/>
      <c r="D27" s="12"/>
      <c r="E27" s="12"/>
      <c r="F27" s="12"/>
      <c r="G27" s="19" t="str">
        <f aca="false">IF(F27="","",IFERROR(INDEX('AB Tests'!$Q:$Q,MATCH(F27,'AB Tests'!$A:$A,0)),""))</f>
        <v/>
      </c>
      <c r="H27" s="12"/>
      <c r="I27" s="11"/>
      <c r="J27" s="12"/>
      <c r="K27" s="12"/>
    </row>
    <row r="28" customFormat="false" ht="15" hidden="false" customHeight="false" outlineLevel="0" collapsed="false">
      <c r="A28" s="12"/>
      <c r="B28" s="11"/>
      <c r="C28" s="12"/>
      <c r="D28" s="12"/>
      <c r="E28" s="12"/>
      <c r="F28" s="12"/>
      <c r="G28" s="19" t="str">
        <f aca="false">IF(F28="","",IFERROR(INDEX('AB Tests'!$Q:$Q,MATCH(F28,'AB Tests'!$A:$A,0)),""))</f>
        <v/>
      </c>
      <c r="H28" s="12"/>
      <c r="I28" s="11"/>
      <c r="J28" s="12"/>
      <c r="K28" s="12"/>
    </row>
    <row r="29" customFormat="false" ht="15" hidden="false" customHeight="false" outlineLevel="0" collapsed="false">
      <c r="A29" s="12"/>
      <c r="B29" s="11"/>
      <c r="C29" s="12"/>
      <c r="D29" s="12"/>
      <c r="E29" s="12"/>
      <c r="F29" s="12"/>
      <c r="G29" s="19" t="str">
        <f aca="false">IF(F29="","",IFERROR(INDEX('AB Tests'!$Q:$Q,MATCH(F29,'AB Tests'!$A:$A,0)),""))</f>
        <v/>
      </c>
      <c r="H29" s="12"/>
      <c r="I29" s="11"/>
      <c r="J29" s="12"/>
      <c r="K29" s="12"/>
    </row>
    <row r="30" customFormat="false" ht="15" hidden="false" customHeight="false" outlineLevel="0" collapsed="false">
      <c r="A30" s="12"/>
      <c r="B30" s="11"/>
      <c r="C30" s="12"/>
      <c r="D30" s="12"/>
      <c r="E30" s="12"/>
      <c r="F30" s="12"/>
      <c r="G30" s="19" t="str">
        <f aca="false">IF(F30="","",IFERROR(INDEX('AB Tests'!$Q:$Q,MATCH(F30,'AB Tests'!$A:$A,0)),""))</f>
        <v/>
      </c>
      <c r="H30" s="12"/>
      <c r="I30" s="11"/>
      <c r="J30" s="12"/>
      <c r="K30" s="12"/>
    </row>
    <row r="31" customFormat="false" ht="15" hidden="false" customHeight="false" outlineLevel="0" collapsed="false">
      <c r="A31" s="12"/>
      <c r="B31" s="11"/>
      <c r="C31" s="12"/>
      <c r="D31" s="12"/>
      <c r="E31" s="12"/>
      <c r="F31" s="12"/>
      <c r="G31" s="19" t="str">
        <f aca="false">IF(F31="","",IFERROR(INDEX('AB Tests'!$Q:$Q,MATCH(F31,'AB Tests'!$A:$A,0)),""))</f>
        <v/>
      </c>
      <c r="H31" s="12"/>
      <c r="I31" s="11"/>
      <c r="J31" s="12"/>
      <c r="K31" s="12"/>
    </row>
    <row r="32" customFormat="false" ht="15" hidden="false" customHeight="false" outlineLevel="0" collapsed="false">
      <c r="A32" s="12"/>
      <c r="B32" s="11"/>
      <c r="C32" s="12"/>
      <c r="D32" s="12"/>
      <c r="E32" s="12"/>
      <c r="F32" s="12"/>
      <c r="G32" s="19" t="str">
        <f aca="false">IF(F32="","",IFERROR(INDEX('AB Tests'!$Q:$Q,MATCH(F32,'AB Tests'!$A:$A,0)),""))</f>
        <v/>
      </c>
      <c r="H32" s="12"/>
      <c r="I32" s="11"/>
      <c r="J32" s="12"/>
      <c r="K32" s="12"/>
    </row>
    <row r="33" customFormat="false" ht="15" hidden="false" customHeight="false" outlineLevel="0" collapsed="false">
      <c r="A33" s="12"/>
      <c r="B33" s="11"/>
      <c r="C33" s="12"/>
      <c r="D33" s="12"/>
      <c r="E33" s="12"/>
      <c r="F33" s="12"/>
      <c r="G33" s="19" t="str">
        <f aca="false">IF(F33="","",IFERROR(INDEX('AB Tests'!$Q:$Q,MATCH(F33,'AB Tests'!$A:$A,0)),""))</f>
        <v/>
      </c>
      <c r="H33" s="12"/>
      <c r="I33" s="11"/>
      <c r="J33" s="12"/>
      <c r="K33" s="12"/>
    </row>
    <row r="34" customFormat="false" ht="15" hidden="false" customHeight="false" outlineLevel="0" collapsed="false">
      <c r="A34" s="12"/>
      <c r="B34" s="11"/>
      <c r="C34" s="12"/>
      <c r="D34" s="12"/>
      <c r="E34" s="12"/>
      <c r="F34" s="12"/>
      <c r="G34" s="19" t="str">
        <f aca="false">IF(F34="","",IFERROR(INDEX('AB Tests'!$Q:$Q,MATCH(F34,'AB Tests'!$A:$A,0)),""))</f>
        <v/>
      </c>
      <c r="H34" s="12"/>
      <c r="I34" s="11"/>
      <c r="J34" s="12"/>
      <c r="K34" s="12"/>
    </row>
    <row r="35" customFormat="false" ht="15" hidden="false" customHeight="false" outlineLevel="0" collapsed="false">
      <c r="A35" s="12"/>
      <c r="B35" s="11"/>
      <c r="C35" s="12"/>
      <c r="D35" s="12"/>
      <c r="E35" s="12"/>
      <c r="F35" s="12"/>
      <c r="G35" s="19" t="str">
        <f aca="false">IF(F35="","",IFERROR(INDEX('AB Tests'!$Q:$Q,MATCH(F35,'AB Tests'!$A:$A,0)),""))</f>
        <v/>
      </c>
      <c r="H35" s="12"/>
      <c r="I35" s="11"/>
      <c r="J35" s="12"/>
      <c r="K35" s="12"/>
    </row>
    <row r="36" customFormat="false" ht="15" hidden="false" customHeight="false" outlineLevel="0" collapsed="false">
      <c r="A36" s="12"/>
      <c r="B36" s="11"/>
      <c r="C36" s="12"/>
      <c r="D36" s="12"/>
      <c r="E36" s="12"/>
      <c r="F36" s="12"/>
      <c r="G36" s="19" t="str">
        <f aca="false">IF(F36="","",IFERROR(INDEX('AB Tests'!$Q:$Q,MATCH(F36,'AB Tests'!$A:$A,0)),""))</f>
        <v/>
      </c>
      <c r="H36" s="12"/>
      <c r="I36" s="11"/>
      <c r="J36" s="12"/>
      <c r="K36" s="12"/>
    </row>
    <row r="37" customFormat="false" ht="15" hidden="false" customHeight="false" outlineLevel="0" collapsed="false">
      <c r="A37" s="12"/>
      <c r="B37" s="11"/>
      <c r="C37" s="12"/>
      <c r="D37" s="12"/>
      <c r="E37" s="12"/>
      <c r="F37" s="12"/>
      <c r="G37" s="19" t="str">
        <f aca="false">IF(F37="","",IFERROR(INDEX('AB Tests'!$Q:$Q,MATCH(F37,'AB Tests'!$A:$A,0)),""))</f>
        <v/>
      </c>
      <c r="H37" s="12"/>
      <c r="I37" s="11"/>
      <c r="J37" s="12"/>
      <c r="K37" s="12"/>
    </row>
    <row r="38" customFormat="false" ht="15" hidden="false" customHeight="false" outlineLevel="0" collapsed="false">
      <c r="A38" s="12"/>
      <c r="B38" s="11"/>
      <c r="C38" s="12"/>
      <c r="D38" s="12"/>
      <c r="E38" s="12"/>
      <c r="F38" s="12"/>
      <c r="G38" s="19" t="str">
        <f aca="false">IF(F38="","",IFERROR(INDEX('AB Tests'!$Q:$Q,MATCH(F38,'AB Tests'!$A:$A,0)),""))</f>
        <v/>
      </c>
      <c r="H38" s="12"/>
      <c r="I38" s="11"/>
      <c r="J38" s="12"/>
      <c r="K38" s="12"/>
    </row>
    <row r="39" customFormat="false" ht="15" hidden="false" customHeight="false" outlineLevel="0" collapsed="false">
      <c r="A39" s="12"/>
      <c r="B39" s="11"/>
      <c r="C39" s="12"/>
      <c r="D39" s="12"/>
      <c r="E39" s="12"/>
      <c r="F39" s="12"/>
      <c r="G39" s="19" t="str">
        <f aca="false">IF(F39="","",IFERROR(INDEX('AB Tests'!$Q:$Q,MATCH(F39,'AB Tests'!$A:$A,0)),""))</f>
        <v/>
      </c>
      <c r="H39" s="12"/>
      <c r="I39" s="11"/>
      <c r="J39" s="12"/>
      <c r="K39" s="12"/>
    </row>
    <row r="40" customFormat="false" ht="15" hidden="false" customHeight="false" outlineLevel="0" collapsed="false">
      <c r="A40" s="12"/>
      <c r="B40" s="11"/>
      <c r="C40" s="12"/>
      <c r="D40" s="12"/>
      <c r="E40" s="12"/>
      <c r="F40" s="12"/>
      <c r="G40" s="19" t="str">
        <f aca="false">IF(F40="","",IFERROR(INDEX('AB Tests'!$Q:$Q,MATCH(F40,'AB Tests'!$A:$A,0)),""))</f>
        <v/>
      </c>
      <c r="H40" s="12"/>
      <c r="I40" s="11"/>
      <c r="J40" s="12"/>
      <c r="K40" s="12"/>
    </row>
    <row r="41" customFormat="false" ht="15" hidden="false" customHeight="false" outlineLevel="0" collapsed="false">
      <c r="A41" s="12"/>
      <c r="B41" s="11"/>
      <c r="C41" s="12"/>
      <c r="D41" s="12"/>
      <c r="E41" s="12"/>
      <c r="F41" s="12"/>
      <c r="G41" s="19" t="str">
        <f aca="false">IF(F41="","",IFERROR(INDEX('AB Tests'!$Q:$Q,MATCH(F41,'AB Tests'!$A:$A,0)),""))</f>
        <v/>
      </c>
      <c r="H41" s="12"/>
      <c r="I41" s="11"/>
      <c r="J41" s="12"/>
      <c r="K41" s="12"/>
    </row>
    <row r="42" customFormat="false" ht="15" hidden="false" customHeight="false" outlineLevel="0" collapsed="false">
      <c r="A42" s="12"/>
      <c r="B42" s="11"/>
      <c r="C42" s="12"/>
      <c r="D42" s="12"/>
      <c r="E42" s="12"/>
      <c r="F42" s="12"/>
      <c r="G42" s="19" t="str">
        <f aca="false">IF(F42="","",IFERROR(INDEX('AB Tests'!$Q:$Q,MATCH(F42,'AB Tests'!$A:$A,0)),""))</f>
        <v/>
      </c>
      <c r="H42" s="12"/>
      <c r="I42" s="11"/>
      <c r="J42" s="12"/>
      <c r="K42" s="12"/>
    </row>
    <row r="43" customFormat="false" ht="15" hidden="false" customHeight="false" outlineLevel="0" collapsed="false">
      <c r="A43" s="12"/>
      <c r="B43" s="11"/>
      <c r="C43" s="12"/>
      <c r="D43" s="12"/>
      <c r="E43" s="12"/>
      <c r="F43" s="12"/>
      <c r="G43" s="19" t="str">
        <f aca="false">IF(F43="","",IFERROR(INDEX('AB Tests'!$Q:$Q,MATCH(F43,'AB Tests'!$A:$A,0)),""))</f>
        <v/>
      </c>
      <c r="H43" s="12"/>
      <c r="I43" s="11"/>
      <c r="J43" s="12"/>
      <c r="K43" s="12"/>
    </row>
    <row r="44" customFormat="false" ht="15" hidden="false" customHeight="false" outlineLevel="0" collapsed="false">
      <c r="A44" s="12"/>
      <c r="B44" s="11"/>
      <c r="C44" s="12"/>
      <c r="D44" s="12"/>
      <c r="E44" s="12"/>
      <c r="F44" s="12"/>
      <c r="G44" s="19" t="str">
        <f aca="false">IF(F44="","",IFERROR(INDEX('AB Tests'!$Q:$Q,MATCH(F44,'AB Tests'!$A:$A,0)),""))</f>
        <v/>
      </c>
      <c r="H44" s="12"/>
      <c r="I44" s="11"/>
      <c r="J44" s="12"/>
      <c r="K44" s="12"/>
    </row>
    <row r="45" customFormat="false" ht="15" hidden="false" customHeight="false" outlineLevel="0" collapsed="false">
      <c r="A45" s="12"/>
      <c r="B45" s="11"/>
      <c r="C45" s="12"/>
      <c r="D45" s="12"/>
      <c r="E45" s="12"/>
      <c r="F45" s="12"/>
      <c r="G45" s="19" t="str">
        <f aca="false">IF(F45="","",IFERROR(INDEX('AB Tests'!$Q:$Q,MATCH(F45,'AB Tests'!$A:$A,0)),""))</f>
        <v/>
      </c>
      <c r="H45" s="12"/>
      <c r="I45" s="11"/>
      <c r="J45" s="12"/>
      <c r="K45" s="12"/>
    </row>
    <row r="46" customFormat="false" ht="15" hidden="false" customHeight="false" outlineLevel="0" collapsed="false">
      <c r="A46" s="12"/>
      <c r="B46" s="11"/>
      <c r="C46" s="12"/>
      <c r="D46" s="12"/>
      <c r="E46" s="12"/>
      <c r="F46" s="12"/>
      <c r="G46" s="19" t="str">
        <f aca="false">IF(F46="","",IFERROR(INDEX('AB Tests'!$Q:$Q,MATCH(F46,'AB Tests'!$A:$A,0)),""))</f>
        <v/>
      </c>
      <c r="H46" s="12"/>
      <c r="I46" s="11"/>
      <c r="J46" s="12"/>
      <c r="K46" s="12"/>
    </row>
    <row r="47" customFormat="false" ht="15" hidden="false" customHeight="false" outlineLevel="0" collapsed="false">
      <c r="A47" s="12"/>
      <c r="B47" s="11"/>
      <c r="C47" s="12"/>
      <c r="D47" s="12"/>
      <c r="E47" s="12"/>
      <c r="F47" s="12"/>
      <c r="G47" s="19" t="str">
        <f aca="false">IF(F47="","",IFERROR(INDEX('AB Tests'!$Q:$Q,MATCH(F47,'AB Tests'!$A:$A,0)),""))</f>
        <v/>
      </c>
      <c r="H47" s="12"/>
      <c r="I47" s="11"/>
      <c r="J47" s="12"/>
      <c r="K47" s="12"/>
    </row>
    <row r="48" customFormat="false" ht="15" hidden="false" customHeight="false" outlineLevel="0" collapsed="false">
      <c r="A48" s="12"/>
      <c r="B48" s="11"/>
      <c r="C48" s="12"/>
      <c r="D48" s="12"/>
      <c r="E48" s="12"/>
      <c r="F48" s="12"/>
      <c r="G48" s="19" t="str">
        <f aca="false">IF(F48="","",IFERROR(INDEX('AB Tests'!$Q:$Q,MATCH(F48,'AB Tests'!$A:$A,0)),""))</f>
        <v/>
      </c>
      <c r="H48" s="12"/>
      <c r="I48" s="11"/>
      <c r="J48" s="12"/>
      <c r="K48" s="12"/>
    </row>
    <row r="49" customFormat="false" ht="15" hidden="false" customHeight="false" outlineLevel="0" collapsed="false">
      <c r="A49" s="12"/>
      <c r="B49" s="11"/>
      <c r="C49" s="12"/>
      <c r="D49" s="12"/>
      <c r="E49" s="12"/>
      <c r="F49" s="12"/>
      <c r="G49" s="19" t="str">
        <f aca="false">IF(F49="","",IFERROR(INDEX('AB Tests'!$Q:$Q,MATCH(F49,'AB Tests'!$A:$A,0)),""))</f>
        <v/>
      </c>
      <c r="H49" s="12"/>
      <c r="I49" s="11"/>
      <c r="J49" s="12"/>
      <c r="K49" s="12"/>
    </row>
    <row r="50" customFormat="false" ht="15" hidden="false" customHeight="false" outlineLevel="0" collapsed="false">
      <c r="A50" s="12"/>
      <c r="B50" s="11"/>
      <c r="C50" s="12"/>
      <c r="D50" s="12"/>
      <c r="E50" s="12"/>
      <c r="F50" s="12"/>
      <c r="G50" s="19" t="str">
        <f aca="false">IF(F50="","",IFERROR(INDEX('AB Tests'!$Q:$Q,MATCH(F50,'AB Tests'!$A:$A,0)),""))</f>
        <v/>
      </c>
      <c r="H50" s="12"/>
      <c r="I50" s="11"/>
      <c r="J50" s="12"/>
      <c r="K50" s="12"/>
    </row>
    <row r="51" customFormat="false" ht="15" hidden="false" customHeight="false" outlineLevel="0" collapsed="false">
      <c r="A51" s="12"/>
      <c r="B51" s="11"/>
      <c r="C51" s="12"/>
      <c r="D51" s="12"/>
      <c r="E51" s="12"/>
      <c r="F51" s="12"/>
      <c r="G51" s="19" t="str">
        <f aca="false">IF(F51="","",IFERROR(INDEX('AB Tests'!$Q:$Q,MATCH(F51,'AB Tests'!$A:$A,0)),""))</f>
        <v/>
      </c>
      <c r="H51" s="12"/>
      <c r="I51" s="11"/>
      <c r="J51" s="12"/>
      <c r="K51" s="12"/>
    </row>
    <row r="52" customFormat="false" ht="15" hidden="false" customHeight="false" outlineLevel="0" collapsed="false">
      <c r="A52" s="12"/>
      <c r="B52" s="11"/>
      <c r="C52" s="12"/>
      <c r="D52" s="12"/>
      <c r="E52" s="12"/>
      <c r="F52" s="12"/>
      <c r="G52" s="19" t="str">
        <f aca="false">IF(F52="","",IFERROR(INDEX('AB Tests'!$Q:$Q,MATCH(F52,'AB Tests'!$A:$A,0)),""))</f>
        <v/>
      </c>
      <c r="H52" s="12"/>
      <c r="I52" s="11"/>
      <c r="J52" s="12"/>
      <c r="K52" s="12"/>
    </row>
    <row r="53" customFormat="false" ht="15" hidden="false" customHeight="false" outlineLevel="0" collapsed="false">
      <c r="A53" s="12"/>
      <c r="B53" s="11"/>
      <c r="C53" s="12"/>
      <c r="D53" s="12"/>
      <c r="E53" s="12"/>
      <c r="F53" s="12"/>
      <c r="G53" s="19" t="str">
        <f aca="false">IF(F53="","",IFERROR(INDEX('AB Tests'!$Q:$Q,MATCH(F53,'AB Tests'!$A:$A,0)),""))</f>
        <v/>
      </c>
      <c r="H53" s="12"/>
      <c r="I53" s="11"/>
      <c r="J53" s="12"/>
      <c r="K53" s="12"/>
    </row>
    <row r="54" customFormat="false" ht="15" hidden="false" customHeight="false" outlineLevel="0" collapsed="false">
      <c r="A54" s="12"/>
      <c r="B54" s="11"/>
      <c r="C54" s="12"/>
      <c r="D54" s="12"/>
      <c r="E54" s="12"/>
      <c r="F54" s="12"/>
      <c r="G54" s="19" t="str">
        <f aca="false">IF(F54="","",IFERROR(INDEX('AB Tests'!$Q:$Q,MATCH(F54,'AB Tests'!$A:$A,0)),""))</f>
        <v/>
      </c>
      <c r="H54" s="12"/>
      <c r="I54" s="11"/>
      <c r="J54" s="12"/>
      <c r="K54" s="12"/>
    </row>
    <row r="55" customFormat="false" ht="15" hidden="false" customHeight="false" outlineLevel="0" collapsed="false">
      <c r="A55" s="12"/>
      <c r="B55" s="11"/>
      <c r="C55" s="12"/>
      <c r="D55" s="12"/>
      <c r="E55" s="12"/>
      <c r="F55" s="12"/>
      <c r="G55" s="19" t="str">
        <f aca="false">IF(F55="","",IFERROR(INDEX('AB Tests'!$Q:$Q,MATCH(F55,'AB Tests'!$A:$A,0)),""))</f>
        <v/>
      </c>
      <c r="H55" s="12"/>
      <c r="I55" s="11"/>
      <c r="J55" s="12"/>
      <c r="K55" s="12"/>
    </row>
    <row r="56" customFormat="false" ht="15" hidden="false" customHeight="false" outlineLevel="0" collapsed="false">
      <c r="A56" s="12"/>
      <c r="B56" s="11"/>
      <c r="C56" s="12"/>
      <c r="D56" s="12"/>
      <c r="E56" s="12"/>
      <c r="F56" s="12"/>
      <c r="G56" s="19" t="str">
        <f aca="false">IF(F56="","",IFERROR(INDEX('AB Tests'!$Q:$Q,MATCH(F56,'AB Tests'!$A:$A,0)),""))</f>
        <v/>
      </c>
      <c r="H56" s="12"/>
      <c r="I56" s="11"/>
      <c r="J56" s="12"/>
      <c r="K56" s="12"/>
    </row>
    <row r="57" customFormat="false" ht="15" hidden="false" customHeight="false" outlineLevel="0" collapsed="false">
      <c r="A57" s="12"/>
      <c r="B57" s="11"/>
      <c r="C57" s="12"/>
      <c r="D57" s="12"/>
      <c r="E57" s="12"/>
      <c r="F57" s="12"/>
      <c r="G57" s="19" t="str">
        <f aca="false">IF(F57="","",IFERROR(INDEX('AB Tests'!$Q:$Q,MATCH(F57,'AB Tests'!$A:$A,0)),""))</f>
        <v/>
      </c>
      <c r="H57" s="12"/>
      <c r="I57" s="11"/>
      <c r="J57" s="12"/>
      <c r="K57" s="12"/>
    </row>
    <row r="58" customFormat="false" ht="15" hidden="false" customHeight="false" outlineLevel="0" collapsed="false">
      <c r="A58" s="12"/>
      <c r="B58" s="11"/>
      <c r="C58" s="12"/>
      <c r="D58" s="12"/>
      <c r="E58" s="12"/>
      <c r="F58" s="12"/>
      <c r="G58" s="19" t="str">
        <f aca="false">IF(F58="","",IFERROR(INDEX('AB Tests'!$Q:$Q,MATCH(F58,'AB Tests'!$A:$A,0)),""))</f>
        <v/>
      </c>
      <c r="H58" s="12"/>
      <c r="I58" s="11"/>
      <c r="J58" s="12"/>
      <c r="K58" s="12"/>
    </row>
    <row r="59" customFormat="false" ht="15" hidden="false" customHeight="false" outlineLevel="0" collapsed="false">
      <c r="A59" s="12"/>
      <c r="B59" s="11"/>
      <c r="C59" s="12"/>
      <c r="D59" s="12"/>
      <c r="E59" s="12"/>
      <c r="F59" s="12"/>
      <c r="G59" s="19" t="str">
        <f aca="false">IF(F59="","",IFERROR(INDEX('AB Tests'!$Q:$Q,MATCH(F59,'AB Tests'!$A:$A,0)),""))</f>
        <v/>
      </c>
      <c r="H59" s="12"/>
      <c r="I59" s="11"/>
      <c r="J59" s="12"/>
      <c r="K59" s="12"/>
    </row>
    <row r="60" customFormat="false" ht="15" hidden="false" customHeight="false" outlineLevel="0" collapsed="false">
      <c r="A60" s="12"/>
      <c r="B60" s="11"/>
      <c r="C60" s="12"/>
      <c r="D60" s="12"/>
      <c r="E60" s="12"/>
      <c r="F60" s="12"/>
      <c r="G60" s="19" t="str">
        <f aca="false">IF(F60="","",IFERROR(INDEX('AB Tests'!$Q:$Q,MATCH(F60,'AB Tests'!$A:$A,0)),""))</f>
        <v/>
      </c>
      <c r="H60" s="12"/>
      <c r="I60" s="11"/>
      <c r="J60" s="12"/>
      <c r="K60" s="12"/>
    </row>
    <row r="61" customFormat="false" ht="15" hidden="false" customHeight="false" outlineLevel="0" collapsed="false">
      <c r="A61" s="12"/>
      <c r="B61" s="11"/>
      <c r="C61" s="12"/>
      <c r="D61" s="12"/>
      <c r="E61" s="12"/>
      <c r="F61" s="12"/>
      <c r="G61" s="19" t="str">
        <f aca="false">IF(F61="","",IFERROR(INDEX('AB Tests'!$Q:$Q,MATCH(F61,'AB Tests'!$A:$A,0)),""))</f>
        <v/>
      </c>
      <c r="H61" s="12"/>
      <c r="I61" s="11"/>
      <c r="J61" s="12"/>
      <c r="K61" s="12"/>
    </row>
    <row r="62" customFormat="false" ht="15" hidden="false" customHeight="false" outlineLevel="0" collapsed="false">
      <c r="A62" s="12"/>
      <c r="B62" s="11"/>
      <c r="C62" s="12"/>
      <c r="D62" s="12"/>
      <c r="E62" s="12"/>
      <c r="F62" s="12"/>
      <c r="G62" s="19" t="str">
        <f aca="false">IF(F62="","",IFERROR(INDEX('AB Tests'!$Q:$Q,MATCH(F62,'AB Tests'!$A:$A,0)),""))</f>
        <v/>
      </c>
      <c r="H62" s="12"/>
      <c r="I62" s="11"/>
      <c r="J62" s="12"/>
      <c r="K62" s="12"/>
    </row>
    <row r="63" customFormat="false" ht="15" hidden="false" customHeight="false" outlineLevel="0" collapsed="false">
      <c r="A63" s="12"/>
      <c r="B63" s="11"/>
      <c r="C63" s="12"/>
      <c r="D63" s="12"/>
      <c r="E63" s="12"/>
      <c r="F63" s="12"/>
      <c r="G63" s="19" t="str">
        <f aca="false">IF(F63="","",IFERROR(INDEX('AB Tests'!$Q:$Q,MATCH(F63,'AB Tests'!$A:$A,0)),""))</f>
        <v/>
      </c>
      <c r="H63" s="12"/>
      <c r="I63" s="11"/>
      <c r="J63" s="12"/>
      <c r="K63" s="12"/>
    </row>
    <row r="64" customFormat="false" ht="15" hidden="false" customHeight="false" outlineLevel="0" collapsed="false">
      <c r="A64" s="12"/>
      <c r="B64" s="11"/>
      <c r="C64" s="12"/>
      <c r="D64" s="12"/>
      <c r="E64" s="12"/>
      <c r="F64" s="12"/>
      <c r="G64" s="19" t="str">
        <f aca="false">IF(F64="","",IFERROR(INDEX('AB Tests'!$Q:$Q,MATCH(F64,'AB Tests'!$A:$A,0)),""))</f>
        <v/>
      </c>
      <c r="H64" s="12"/>
      <c r="I64" s="11"/>
      <c r="J64" s="12"/>
      <c r="K64" s="12"/>
    </row>
    <row r="65" customFormat="false" ht="15" hidden="false" customHeight="false" outlineLevel="0" collapsed="false">
      <c r="A65" s="12"/>
      <c r="B65" s="11"/>
      <c r="C65" s="12"/>
      <c r="D65" s="12"/>
      <c r="E65" s="12"/>
      <c r="F65" s="12"/>
      <c r="G65" s="19" t="str">
        <f aca="false">IF(F65="","",IFERROR(INDEX('AB Tests'!$Q:$Q,MATCH(F65,'AB Tests'!$A:$A,0)),""))</f>
        <v/>
      </c>
      <c r="H65" s="12"/>
      <c r="I65" s="11"/>
      <c r="J65" s="12"/>
      <c r="K65" s="12"/>
    </row>
    <row r="66" customFormat="false" ht="15" hidden="false" customHeight="false" outlineLevel="0" collapsed="false">
      <c r="A66" s="12"/>
      <c r="B66" s="11"/>
      <c r="C66" s="12"/>
      <c r="D66" s="12"/>
      <c r="E66" s="12"/>
      <c r="F66" s="12"/>
      <c r="G66" s="19" t="str">
        <f aca="false">IF(F66="","",IFERROR(INDEX('AB Tests'!$Q:$Q,MATCH(F66,'AB Tests'!$A:$A,0)),""))</f>
        <v/>
      </c>
      <c r="H66" s="12"/>
      <c r="I66" s="11"/>
      <c r="J66" s="12"/>
      <c r="K66" s="12"/>
    </row>
    <row r="67" customFormat="false" ht="15" hidden="false" customHeight="false" outlineLevel="0" collapsed="false">
      <c r="A67" s="12"/>
      <c r="B67" s="11"/>
      <c r="C67" s="12"/>
      <c r="D67" s="12"/>
      <c r="E67" s="12"/>
      <c r="F67" s="12"/>
      <c r="G67" s="19" t="str">
        <f aca="false">IF(F67="","",IFERROR(INDEX('AB Tests'!$Q:$Q,MATCH(F67,'AB Tests'!$A:$A,0)),""))</f>
        <v/>
      </c>
      <c r="H67" s="12"/>
      <c r="I67" s="11"/>
      <c r="J67" s="12"/>
      <c r="K67" s="12"/>
    </row>
    <row r="68" customFormat="false" ht="15" hidden="false" customHeight="false" outlineLevel="0" collapsed="false">
      <c r="A68" s="12"/>
      <c r="B68" s="11"/>
      <c r="C68" s="12"/>
      <c r="D68" s="12"/>
      <c r="E68" s="12"/>
      <c r="F68" s="12"/>
      <c r="G68" s="19" t="str">
        <f aca="false">IF(F68="","",IFERROR(INDEX('AB Tests'!$Q:$Q,MATCH(F68,'AB Tests'!$A:$A,0)),""))</f>
        <v/>
      </c>
      <c r="H68" s="12"/>
      <c r="I68" s="11"/>
      <c r="J68" s="12"/>
      <c r="K68" s="12"/>
    </row>
    <row r="69" customFormat="false" ht="15" hidden="false" customHeight="false" outlineLevel="0" collapsed="false">
      <c r="A69" s="12"/>
      <c r="B69" s="11"/>
      <c r="C69" s="12"/>
      <c r="D69" s="12"/>
      <c r="E69" s="12"/>
      <c r="F69" s="12"/>
      <c r="G69" s="19" t="str">
        <f aca="false">IF(F69="","",IFERROR(INDEX('AB Tests'!$Q:$Q,MATCH(F69,'AB Tests'!$A:$A,0)),""))</f>
        <v/>
      </c>
      <c r="H69" s="12"/>
      <c r="I69" s="11"/>
      <c r="J69" s="12"/>
      <c r="K69" s="12"/>
    </row>
    <row r="70" customFormat="false" ht="15" hidden="false" customHeight="false" outlineLevel="0" collapsed="false">
      <c r="A70" s="12"/>
      <c r="B70" s="11"/>
      <c r="C70" s="12"/>
      <c r="D70" s="12"/>
      <c r="E70" s="12"/>
      <c r="F70" s="12"/>
      <c r="G70" s="19" t="str">
        <f aca="false">IF(F70="","",IFERROR(INDEX('AB Tests'!$Q:$Q,MATCH(F70,'AB Tests'!$A:$A,0)),""))</f>
        <v/>
      </c>
      <c r="H70" s="12"/>
      <c r="I70" s="11"/>
      <c r="J70" s="12"/>
      <c r="K70" s="12"/>
    </row>
    <row r="71" customFormat="false" ht="15" hidden="false" customHeight="false" outlineLevel="0" collapsed="false">
      <c r="A71" s="12"/>
      <c r="B71" s="11"/>
      <c r="C71" s="12"/>
      <c r="D71" s="12"/>
      <c r="E71" s="12"/>
      <c r="F71" s="12"/>
      <c r="G71" s="19" t="str">
        <f aca="false">IF(F71="","",IFERROR(INDEX('AB Tests'!$Q:$Q,MATCH(F71,'AB Tests'!$A:$A,0)),""))</f>
        <v/>
      </c>
      <c r="H71" s="12"/>
      <c r="I71" s="11"/>
      <c r="J71" s="12"/>
      <c r="K71" s="12"/>
    </row>
    <row r="72" customFormat="false" ht="15" hidden="false" customHeight="false" outlineLevel="0" collapsed="false">
      <c r="A72" s="12"/>
      <c r="B72" s="11"/>
      <c r="C72" s="12"/>
      <c r="D72" s="12"/>
      <c r="E72" s="12"/>
      <c r="F72" s="12"/>
      <c r="G72" s="19" t="str">
        <f aca="false">IF(F72="","",IFERROR(INDEX('AB Tests'!$Q:$Q,MATCH(F72,'AB Tests'!$A:$A,0)),""))</f>
        <v/>
      </c>
      <c r="H72" s="12"/>
      <c r="I72" s="11"/>
      <c r="J72" s="12"/>
      <c r="K72" s="12"/>
    </row>
    <row r="73" customFormat="false" ht="15" hidden="false" customHeight="false" outlineLevel="0" collapsed="false">
      <c r="A73" s="12"/>
      <c r="B73" s="11"/>
      <c r="C73" s="12"/>
      <c r="D73" s="12"/>
      <c r="E73" s="12"/>
      <c r="F73" s="12"/>
      <c r="G73" s="19" t="str">
        <f aca="false">IF(F73="","",IFERROR(INDEX('AB Tests'!$Q:$Q,MATCH(F73,'AB Tests'!$A:$A,0)),""))</f>
        <v/>
      </c>
      <c r="H73" s="12"/>
      <c r="I73" s="11"/>
      <c r="J73" s="12"/>
      <c r="K73" s="12"/>
    </row>
    <row r="74" customFormat="false" ht="15" hidden="false" customHeight="false" outlineLevel="0" collapsed="false">
      <c r="A74" s="12"/>
      <c r="B74" s="11"/>
      <c r="C74" s="12"/>
      <c r="D74" s="12"/>
      <c r="E74" s="12"/>
      <c r="F74" s="12"/>
      <c r="G74" s="19" t="str">
        <f aca="false">IF(F74="","",IFERROR(INDEX('AB Tests'!$Q:$Q,MATCH(F74,'AB Tests'!$A:$A,0)),""))</f>
        <v/>
      </c>
      <c r="H74" s="12"/>
      <c r="I74" s="11"/>
      <c r="J74" s="12"/>
      <c r="K74" s="12"/>
    </row>
    <row r="75" customFormat="false" ht="15" hidden="false" customHeight="false" outlineLevel="0" collapsed="false">
      <c r="A75" s="12"/>
      <c r="B75" s="11"/>
      <c r="C75" s="12"/>
      <c r="D75" s="12"/>
      <c r="E75" s="12"/>
      <c r="F75" s="12"/>
      <c r="G75" s="19" t="str">
        <f aca="false">IF(F75="","",IFERROR(INDEX('AB Tests'!$Q:$Q,MATCH(F75,'AB Tests'!$A:$A,0)),""))</f>
        <v/>
      </c>
      <c r="H75" s="12"/>
      <c r="I75" s="11"/>
      <c r="J75" s="12"/>
      <c r="K75" s="12"/>
    </row>
    <row r="76" customFormat="false" ht="15" hidden="false" customHeight="false" outlineLevel="0" collapsed="false">
      <c r="A76" s="12"/>
      <c r="B76" s="11"/>
      <c r="C76" s="12"/>
      <c r="D76" s="12"/>
      <c r="E76" s="12"/>
      <c r="F76" s="12"/>
      <c r="G76" s="19" t="str">
        <f aca="false">IF(F76="","",IFERROR(INDEX('AB Tests'!$Q:$Q,MATCH(F76,'AB Tests'!$A:$A,0)),""))</f>
        <v/>
      </c>
      <c r="H76" s="12"/>
      <c r="I76" s="11"/>
      <c r="J76" s="12"/>
      <c r="K76" s="12"/>
    </row>
    <row r="77" customFormat="false" ht="15" hidden="false" customHeight="false" outlineLevel="0" collapsed="false">
      <c r="A77" s="12"/>
      <c r="B77" s="11"/>
      <c r="C77" s="12"/>
      <c r="D77" s="12"/>
      <c r="E77" s="12"/>
      <c r="F77" s="12"/>
      <c r="G77" s="19" t="str">
        <f aca="false">IF(F77="","",IFERROR(INDEX('AB Tests'!$Q:$Q,MATCH(F77,'AB Tests'!$A:$A,0)),""))</f>
        <v/>
      </c>
      <c r="H77" s="12"/>
      <c r="I77" s="11"/>
      <c r="J77" s="12"/>
      <c r="K77" s="12"/>
    </row>
    <row r="78" customFormat="false" ht="15" hidden="false" customHeight="false" outlineLevel="0" collapsed="false">
      <c r="A78" s="12"/>
      <c r="B78" s="11"/>
      <c r="C78" s="12"/>
      <c r="D78" s="12"/>
      <c r="E78" s="12"/>
      <c r="F78" s="12"/>
      <c r="G78" s="19" t="str">
        <f aca="false">IF(F78="","",IFERROR(INDEX('AB Tests'!$Q:$Q,MATCH(F78,'AB Tests'!$A:$A,0)),""))</f>
        <v/>
      </c>
      <c r="H78" s="12"/>
      <c r="I78" s="11"/>
      <c r="J78" s="12"/>
      <c r="K78" s="12"/>
    </row>
    <row r="79" customFormat="false" ht="15" hidden="false" customHeight="false" outlineLevel="0" collapsed="false">
      <c r="A79" s="12"/>
      <c r="B79" s="11"/>
      <c r="C79" s="12"/>
      <c r="D79" s="12"/>
      <c r="E79" s="12"/>
      <c r="F79" s="12"/>
      <c r="G79" s="19" t="str">
        <f aca="false">IF(F79="","",IFERROR(INDEX('AB Tests'!$Q:$Q,MATCH(F79,'AB Tests'!$A:$A,0)),""))</f>
        <v/>
      </c>
      <c r="H79" s="12"/>
      <c r="I79" s="11"/>
      <c r="J79" s="12"/>
      <c r="K79" s="12"/>
    </row>
    <row r="80" customFormat="false" ht="15" hidden="false" customHeight="false" outlineLevel="0" collapsed="false">
      <c r="A80" s="12"/>
      <c r="B80" s="11"/>
      <c r="C80" s="12"/>
      <c r="D80" s="12"/>
      <c r="E80" s="12"/>
      <c r="F80" s="12"/>
      <c r="G80" s="19" t="str">
        <f aca="false">IF(F80="","",IFERROR(INDEX('AB Tests'!$Q:$Q,MATCH(F80,'AB Tests'!$A:$A,0)),""))</f>
        <v/>
      </c>
      <c r="H80" s="12"/>
      <c r="I80" s="11"/>
      <c r="J80" s="12"/>
      <c r="K80" s="12"/>
    </row>
    <row r="81" customFormat="false" ht="15" hidden="false" customHeight="false" outlineLevel="0" collapsed="false">
      <c r="A81" s="12"/>
      <c r="B81" s="11"/>
      <c r="C81" s="12"/>
      <c r="D81" s="12"/>
      <c r="E81" s="12"/>
      <c r="F81" s="12"/>
      <c r="G81" s="19" t="str">
        <f aca="false">IF(F81="","",IFERROR(INDEX('AB Tests'!$Q:$Q,MATCH(F81,'AB Tests'!$A:$A,0)),""))</f>
        <v/>
      </c>
      <c r="H81" s="12"/>
      <c r="I81" s="11"/>
      <c r="J81" s="12"/>
      <c r="K81" s="12"/>
    </row>
    <row r="82" customFormat="false" ht="15" hidden="false" customHeight="false" outlineLevel="0" collapsed="false">
      <c r="A82" s="12"/>
      <c r="B82" s="11"/>
      <c r="C82" s="12"/>
      <c r="D82" s="12"/>
      <c r="E82" s="12"/>
      <c r="F82" s="12"/>
      <c r="G82" s="19" t="str">
        <f aca="false">IF(F82="","",IFERROR(INDEX('AB Tests'!$Q:$Q,MATCH(F82,'AB Tests'!$A:$A,0)),""))</f>
        <v/>
      </c>
      <c r="H82" s="12"/>
      <c r="I82" s="11"/>
      <c r="J82" s="12"/>
      <c r="K82" s="12"/>
    </row>
    <row r="83" customFormat="false" ht="15" hidden="false" customHeight="false" outlineLevel="0" collapsed="false">
      <c r="A83" s="12"/>
      <c r="B83" s="11"/>
      <c r="C83" s="12"/>
      <c r="D83" s="12"/>
      <c r="E83" s="12"/>
      <c r="F83" s="12"/>
      <c r="G83" s="19" t="str">
        <f aca="false">IF(F83="","",IFERROR(INDEX('AB Tests'!$Q:$Q,MATCH(F83,'AB Tests'!$A:$A,0)),""))</f>
        <v/>
      </c>
      <c r="H83" s="12"/>
      <c r="I83" s="11"/>
      <c r="J83" s="12"/>
      <c r="K83" s="12"/>
    </row>
    <row r="84" customFormat="false" ht="15" hidden="false" customHeight="false" outlineLevel="0" collapsed="false">
      <c r="A84" s="12"/>
      <c r="B84" s="11"/>
      <c r="C84" s="12"/>
      <c r="D84" s="12"/>
      <c r="E84" s="12"/>
      <c r="F84" s="12"/>
      <c r="G84" s="19" t="str">
        <f aca="false">IF(F84="","",IFERROR(INDEX('AB Tests'!$Q:$Q,MATCH(F84,'AB Tests'!$A:$A,0)),""))</f>
        <v/>
      </c>
      <c r="H84" s="12"/>
      <c r="I84" s="11"/>
      <c r="J84" s="12"/>
      <c r="K84" s="12"/>
    </row>
    <row r="85" customFormat="false" ht="15" hidden="false" customHeight="false" outlineLevel="0" collapsed="false">
      <c r="A85" s="12"/>
      <c r="B85" s="11"/>
      <c r="C85" s="12"/>
      <c r="D85" s="12"/>
      <c r="E85" s="12"/>
      <c r="F85" s="12"/>
      <c r="G85" s="19" t="str">
        <f aca="false">IF(F85="","",IFERROR(INDEX('AB Tests'!$Q:$Q,MATCH(F85,'AB Tests'!$A:$A,0)),""))</f>
        <v/>
      </c>
      <c r="H85" s="12"/>
      <c r="I85" s="11"/>
      <c r="J85" s="12"/>
      <c r="K85" s="12"/>
    </row>
    <row r="86" customFormat="false" ht="15" hidden="false" customHeight="false" outlineLevel="0" collapsed="false">
      <c r="A86" s="12"/>
      <c r="B86" s="11"/>
      <c r="C86" s="12"/>
      <c r="D86" s="12"/>
      <c r="E86" s="12"/>
      <c r="F86" s="12"/>
      <c r="G86" s="19" t="str">
        <f aca="false">IF(F86="","",IFERROR(INDEX('AB Tests'!$Q:$Q,MATCH(F86,'AB Tests'!$A:$A,0)),""))</f>
        <v/>
      </c>
      <c r="H86" s="12"/>
      <c r="I86" s="11"/>
      <c r="J86" s="12"/>
      <c r="K86" s="12"/>
    </row>
    <row r="87" customFormat="false" ht="15" hidden="false" customHeight="false" outlineLevel="0" collapsed="false">
      <c r="A87" s="12"/>
      <c r="B87" s="11"/>
      <c r="C87" s="12"/>
      <c r="D87" s="12"/>
      <c r="E87" s="12"/>
      <c r="F87" s="12"/>
      <c r="G87" s="19" t="str">
        <f aca="false">IF(F87="","",IFERROR(INDEX('AB Tests'!$Q:$Q,MATCH(F87,'AB Tests'!$A:$A,0)),""))</f>
        <v/>
      </c>
      <c r="H87" s="12"/>
      <c r="I87" s="11"/>
      <c r="J87" s="12"/>
      <c r="K87" s="12"/>
    </row>
    <row r="88" customFormat="false" ht="15" hidden="false" customHeight="false" outlineLevel="0" collapsed="false">
      <c r="A88" s="12"/>
      <c r="B88" s="11"/>
      <c r="C88" s="12"/>
      <c r="D88" s="12"/>
      <c r="E88" s="12"/>
      <c r="F88" s="12"/>
      <c r="G88" s="19" t="str">
        <f aca="false">IF(F88="","",IFERROR(INDEX('AB Tests'!$Q:$Q,MATCH(F88,'AB Tests'!$A:$A,0)),""))</f>
        <v/>
      </c>
      <c r="H88" s="12"/>
      <c r="I88" s="11"/>
      <c r="J88" s="12"/>
      <c r="K88" s="12"/>
    </row>
    <row r="89" customFormat="false" ht="15" hidden="false" customHeight="false" outlineLevel="0" collapsed="false">
      <c r="A89" s="12"/>
      <c r="B89" s="11"/>
      <c r="C89" s="12"/>
      <c r="D89" s="12"/>
      <c r="E89" s="12"/>
      <c r="F89" s="12"/>
      <c r="G89" s="19" t="str">
        <f aca="false">IF(F89="","",IFERROR(INDEX('AB Tests'!$Q:$Q,MATCH(F89,'AB Tests'!$A:$A,0)),""))</f>
        <v/>
      </c>
      <c r="H89" s="12"/>
      <c r="I89" s="11"/>
      <c r="J89" s="12"/>
      <c r="K89" s="12"/>
    </row>
    <row r="90" customFormat="false" ht="15" hidden="false" customHeight="false" outlineLevel="0" collapsed="false">
      <c r="A90" s="12"/>
      <c r="B90" s="11"/>
      <c r="C90" s="12"/>
      <c r="D90" s="12"/>
      <c r="E90" s="12"/>
      <c r="F90" s="12"/>
      <c r="G90" s="19" t="str">
        <f aca="false">IF(F90="","",IFERROR(INDEX('AB Tests'!$Q:$Q,MATCH(F90,'AB Tests'!$A:$A,0)),""))</f>
        <v/>
      </c>
      <c r="H90" s="12"/>
      <c r="I90" s="11"/>
      <c r="J90" s="12"/>
      <c r="K90" s="12"/>
    </row>
    <row r="91" customFormat="false" ht="15" hidden="false" customHeight="false" outlineLevel="0" collapsed="false">
      <c r="A91" s="12"/>
      <c r="B91" s="11"/>
      <c r="C91" s="12"/>
      <c r="D91" s="12"/>
      <c r="E91" s="12"/>
      <c r="F91" s="12"/>
      <c r="G91" s="19" t="str">
        <f aca="false">IF(F91="","",IFERROR(INDEX('AB Tests'!$Q:$Q,MATCH(F91,'AB Tests'!$A:$A,0)),""))</f>
        <v/>
      </c>
      <c r="H91" s="12"/>
      <c r="I91" s="11"/>
      <c r="J91" s="12"/>
      <c r="K91" s="12"/>
    </row>
    <row r="92" customFormat="false" ht="15" hidden="false" customHeight="false" outlineLevel="0" collapsed="false">
      <c r="A92" s="12"/>
      <c r="B92" s="11"/>
      <c r="C92" s="12"/>
      <c r="D92" s="12"/>
      <c r="E92" s="12"/>
      <c r="F92" s="12"/>
      <c r="G92" s="19" t="str">
        <f aca="false">IF(F92="","",IFERROR(INDEX('AB Tests'!$Q:$Q,MATCH(F92,'AB Tests'!$A:$A,0)),""))</f>
        <v/>
      </c>
      <c r="H92" s="12"/>
      <c r="I92" s="11"/>
      <c r="J92" s="12"/>
      <c r="K92" s="12"/>
    </row>
    <row r="93" customFormat="false" ht="15" hidden="false" customHeight="false" outlineLevel="0" collapsed="false">
      <c r="A93" s="12"/>
      <c r="B93" s="11"/>
      <c r="C93" s="12"/>
      <c r="D93" s="12"/>
      <c r="E93" s="12"/>
      <c r="F93" s="12"/>
      <c r="G93" s="19" t="str">
        <f aca="false">IF(F93="","",IFERROR(INDEX('AB Tests'!$Q:$Q,MATCH(F93,'AB Tests'!$A:$A,0)),""))</f>
        <v/>
      </c>
      <c r="H93" s="12"/>
      <c r="I93" s="11"/>
      <c r="J93" s="12"/>
      <c r="K93" s="12"/>
    </row>
    <row r="94" customFormat="false" ht="15" hidden="false" customHeight="false" outlineLevel="0" collapsed="false">
      <c r="A94" s="12"/>
      <c r="B94" s="11"/>
      <c r="C94" s="12"/>
      <c r="D94" s="12"/>
      <c r="E94" s="12"/>
      <c r="F94" s="12"/>
      <c r="G94" s="19" t="str">
        <f aca="false">IF(F94="","",IFERROR(INDEX('AB Tests'!$Q:$Q,MATCH(F94,'AB Tests'!$A:$A,0)),""))</f>
        <v/>
      </c>
      <c r="H94" s="12"/>
      <c r="I94" s="11"/>
      <c r="J94" s="12"/>
      <c r="K94" s="12"/>
    </row>
    <row r="95" customFormat="false" ht="15" hidden="false" customHeight="false" outlineLevel="0" collapsed="false">
      <c r="A95" s="12"/>
      <c r="B95" s="11"/>
      <c r="C95" s="12"/>
      <c r="D95" s="12"/>
      <c r="E95" s="12"/>
      <c r="F95" s="12"/>
      <c r="G95" s="19" t="str">
        <f aca="false">IF(F95="","",IFERROR(INDEX('AB Tests'!$Q:$Q,MATCH(F95,'AB Tests'!$A:$A,0)),""))</f>
        <v/>
      </c>
      <c r="H95" s="12"/>
      <c r="I95" s="11"/>
      <c r="J95" s="12"/>
      <c r="K95" s="12"/>
    </row>
    <row r="96" customFormat="false" ht="15" hidden="false" customHeight="false" outlineLevel="0" collapsed="false">
      <c r="A96" s="12"/>
      <c r="B96" s="11"/>
      <c r="C96" s="12"/>
      <c r="D96" s="12"/>
      <c r="E96" s="12"/>
      <c r="F96" s="12"/>
      <c r="G96" s="19" t="str">
        <f aca="false">IF(F96="","",IFERROR(INDEX('AB Tests'!$Q:$Q,MATCH(F96,'AB Tests'!$A:$A,0)),""))</f>
        <v/>
      </c>
      <c r="H96" s="12"/>
      <c r="I96" s="11"/>
      <c r="J96" s="12"/>
      <c r="K96" s="12"/>
    </row>
    <row r="97" customFormat="false" ht="15" hidden="false" customHeight="false" outlineLevel="0" collapsed="false">
      <c r="A97" s="12"/>
      <c r="B97" s="11"/>
      <c r="C97" s="12"/>
      <c r="D97" s="12"/>
      <c r="E97" s="12"/>
      <c r="F97" s="12"/>
      <c r="G97" s="19" t="str">
        <f aca="false">IF(F97="","",IFERROR(INDEX('AB Tests'!$Q:$Q,MATCH(F97,'AB Tests'!$A:$A,0)),""))</f>
        <v/>
      </c>
      <c r="H97" s="12"/>
      <c r="I97" s="11"/>
      <c r="J97" s="12"/>
      <c r="K97" s="12"/>
    </row>
    <row r="98" customFormat="false" ht="15" hidden="false" customHeight="false" outlineLevel="0" collapsed="false">
      <c r="A98" s="12"/>
      <c r="B98" s="11"/>
      <c r="C98" s="12"/>
      <c r="D98" s="12"/>
      <c r="E98" s="12"/>
      <c r="F98" s="12"/>
      <c r="G98" s="19" t="str">
        <f aca="false">IF(F98="","",IFERROR(INDEX('AB Tests'!$Q:$Q,MATCH(F98,'AB Tests'!$A:$A,0)),""))</f>
        <v/>
      </c>
      <c r="H98" s="12"/>
      <c r="I98" s="11"/>
      <c r="J98" s="12"/>
      <c r="K98" s="12"/>
    </row>
    <row r="99" customFormat="false" ht="15" hidden="false" customHeight="false" outlineLevel="0" collapsed="false">
      <c r="A99" s="12"/>
      <c r="B99" s="11"/>
      <c r="C99" s="12"/>
      <c r="D99" s="12"/>
      <c r="E99" s="12"/>
      <c r="F99" s="12"/>
      <c r="G99" s="19" t="str">
        <f aca="false">IF(F99="","",IFERROR(INDEX('AB Tests'!$Q:$Q,MATCH(F99,'AB Tests'!$A:$A,0)),""))</f>
        <v/>
      </c>
      <c r="H99" s="12"/>
      <c r="I99" s="11"/>
      <c r="J99" s="12"/>
      <c r="K99" s="12"/>
    </row>
    <row r="100" customFormat="false" ht="15" hidden="false" customHeight="false" outlineLevel="0" collapsed="false">
      <c r="A100" s="12"/>
      <c r="B100" s="11"/>
      <c r="C100" s="12"/>
      <c r="D100" s="12"/>
      <c r="E100" s="12"/>
      <c r="F100" s="12"/>
      <c r="G100" s="19" t="str">
        <f aca="false">IF(F100="","",IFERROR(INDEX('AB Tests'!$Q:$Q,MATCH(F100,'AB Tests'!$A:$A,0)),""))</f>
        <v/>
      </c>
      <c r="H100" s="12"/>
      <c r="I100" s="11"/>
      <c r="J100" s="12"/>
      <c r="K100" s="12"/>
    </row>
    <row r="101" customFormat="false" ht="15" hidden="false" customHeight="false" outlineLevel="0" collapsed="false">
      <c r="A101" s="12"/>
      <c r="B101" s="11"/>
      <c r="C101" s="12"/>
      <c r="D101" s="12"/>
      <c r="E101" s="12"/>
      <c r="F101" s="12"/>
      <c r="G101" s="19" t="str">
        <f aca="false">IF(F101="","",IFERROR(INDEX('AB Tests'!$Q:$Q,MATCH(F101,'AB Tests'!$A:$A,0)),""))</f>
        <v/>
      </c>
      <c r="H101" s="12"/>
      <c r="I101" s="11"/>
      <c r="J101" s="12"/>
      <c r="K101" s="12"/>
    </row>
    <row r="102" customFormat="false" ht="15" hidden="false" customHeight="false" outlineLevel="0" collapsed="false">
      <c r="A102" s="12"/>
      <c r="B102" s="11"/>
      <c r="C102" s="12"/>
      <c r="D102" s="12"/>
      <c r="E102" s="12"/>
      <c r="F102" s="12"/>
      <c r="G102" s="19" t="str">
        <f aca="false">IF(F102="","",IFERROR(INDEX('AB Tests'!$Q:$Q,MATCH(F102,'AB Tests'!$A:$A,0)),""))</f>
        <v/>
      </c>
      <c r="H102" s="12"/>
      <c r="I102" s="11"/>
      <c r="J102" s="12"/>
      <c r="K102" s="12"/>
    </row>
    <row r="103" customFormat="false" ht="15" hidden="false" customHeight="false" outlineLevel="0" collapsed="false">
      <c r="A103" s="12"/>
      <c r="B103" s="11"/>
      <c r="C103" s="12"/>
      <c r="D103" s="12"/>
      <c r="E103" s="12"/>
      <c r="F103" s="12"/>
      <c r="G103" s="19" t="str">
        <f aca="false">IF(F103="","",IFERROR(INDEX('AB Tests'!$Q:$Q,MATCH(F103,'AB Tests'!$A:$A,0)),""))</f>
        <v/>
      </c>
      <c r="H103" s="12"/>
      <c r="I103" s="11"/>
      <c r="J103" s="12"/>
      <c r="K103" s="12"/>
    </row>
    <row r="104" customFormat="false" ht="15" hidden="false" customHeight="false" outlineLevel="0" collapsed="false">
      <c r="A104" s="12"/>
      <c r="B104" s="11"/>
      <c r="C104" s="12"/>
      <c r="D104" s="12"/>
      <c r="E104" s="12"/>
      <c r="F104" s="12"/>
      <c r="G104" s="19" t="str">
        <f aca="false">IF(F104="","",IFERROR(INDEX('AB Tests'!$Q:$Q,MATCH(F104,'AB Tests'!$A:$A,0)),""))</f>
        <v/>
      </c>
      <c r="H104" s="12"/>
      <c r="I104" s="11"/>
      <c r="J104" s="12"/>
      <c r="K104" s="12"/>
    </row>
    <row r="105" customFormat="false" ht="15" hidden="false" customHeight="false" outlineLevel="0" collapsed="false">
      <c r="A105" s="12"/>
      <c r="B105" s="11"/>
      <c r="C105" s="12"/>
      <c r="D105" s="12"/>
      <c r="E105" s="12"/>
      <c r="F105" s="12"/>
      <c r="G105" s="19" t="str">
        <f aca="false">IF(F105="","",IFERROR(INDEX('AB Tests'!$Q:$Q,MATCH(F105,'AB Tests'!$A:$A,0)),""))</f>
        <v/>
      </c>
      <c r="H105" s="12"/>
      <c r="I105" s="11"/>
      <c r="J105" s="12"/>
      <c r="K105" s="12"/>
    </row>
    <row r="106" customFormat="false" ht="15" hidden="false" customHeight="false" outlineLevel="0" collapsed="false">
      <c r="A106" s="12"/>
      <c r="B106" s="11"/>
      <c r="C106" s="12"/>
      <c r="D106" s="12"/>
      <c r="E106" s="12"/>
      <c r="F106" s="12"/>
      <c r="G106" s="19" t="str">
        <f aca="false">IF(F106="","",IFERROR(INDEX('AB Tests'!$Q:$Q,MATCH(F106,'AB Tests'!$A:$A,0)),""))</f>
        <v/>
      </c>
      <c r="H106" s="12"/>
      <c r="I106" s="11"/>
      <c r="J106" s="12"/>
      <c r="K106" s="12"/>
    </row>
    <row r="107" customFormat="false" ht="15" hidden="false" customHeight="false" outlineLevel="0" collapsed="false">
      <c r="A107" s="12"/>
      <c r="B107" s="11"/>
      <c r="C107" s="12"/>
      <c r="D107" s="12"/>
      <c r="E107" s="12"/>
      <c r="F107" s="12"/>
      <c r="G107" s="19" t="str">
        <f aca="false">IF(F107="","",IFERROR(INDEX('AB Tests'!$Q:$Q,MATCH(F107,'AB Tests'!$A:$A,0)),""))</f>
        <v/>
      </c>
      <c r="H107" s="12"/>
      <c r="I107" s="11"/>
      <c r="J107" s="12"/>
      <c r="K107" s="12"/>
    </row>
    <row r="108" customFormat="false" ht="15" hidden="false" customHeight="false" outlineLevel="0" collapsed="false">
      <c r="A108" s="12"/>
      <c r="B108" s="11"/>
      <c r="C108" s="12"/>
      <c r="D108" s="12"/>
      <c r="E108" s="12"/>
      <c r="F108" s="12"/>
      <c r="G108" s="19" t="str">
        <f aca="false">IF(F108="","",IFERROR(INDEX('AB Tests'!$Q:$Q,MATCH(F108,'AB Tests'!$A:$A,0)),""))</f>
        <v/>
      </c>
      <c r="H108" s="12"/>
      <c r="I108" s="11"/>
      <c r="J108" s="12"/>
      <c r="K108" s="12"/>
    </row>
    <row r="109" customFormat="false" ht="15" hidden="false" customHeight="false" outlineLevel="0" collapsed="false">
      <c r="A109" s="12"/>
      <c r="B109" s="11"/>
      <c r="C109" s="12"/>
      <c r="D109" s="12"/>
      <c r="E109" s="12"/>
      <c r="F109" s="12"/>
      <c r="G109" s="19" t="str">
        <f aca="false">IF(F109="","",IFERROR(INDEX('AB Tests'!$Q:$Q,MATCH(F109,'AB Tests'!$A:$A,0)),""))</f>
        <v/>
      </c>
      <c r="H109" s="12"/>
      <c r="I109" s="11"/>
      <c r="J109" s="12"/>
      <c r="K109" s="12"/>
    </row>
    <row r="110" customFormat="false" ht="15" hidden="false" customHeight="false" outlineLevel="0" collapsed="false">
      <c r="A110" s="12"/>
      <c r="B110" s="11"/>
      <c r="C110" s="12"/>
      <c r="D110" s="12"/>
      <c r="E110" s="12"/>
      <c r="F110" s="12"/>
      <c r="G110" s="19" t="str">
        <f aca="false">IF(F110="","",IFERROR(INDEX('AB Tests'!$Q:$Q,MATCH(F110,'AB Tests'!$A:$A,0)),""))</f>
        <v/>
      </c>
      <c r="H110" s="12"/>
      <c r="I110" s="11"/>
      <c r="J110" s="12"/>
      <c r="K110" s="12"/>
    </row>
    <row r="111" customFormat="false" ht="15" hidden="false" customHeight="false" outlineLevel="0" collapsed="false">
      <c r="A111" s="12"/>
      <c r="B111" s="11"/>
      <c r="C111" s="12"/>
      <c r="D111" s="12"/>
      <c r="E111" s="12"/>
      <c r="F111" s="12"/>
      <c r="G111" s="19" t="str">
        <f aca="false">IF(F111="","",IFERROR(INDEX('AB Tests'!$Q:$Q,MATCH(F111,'AB Tests'!$A:$A,0)),""))</f>
        <v/>
      </c>
      <c r="H111" s="12"/>
      <c r="I111" s="11"/>
      <c r="J111" s="12"/>
      <c r="K111" s="12"/>
    </row>
    <row r="112" customFormat="false" ht="15" hidden="false" customHeight="false" outlineLevel="0" collapsed="false">
      <c r="A112" s="12"/>
      <c r="B112" s="11"/>
      <c r="C112" s="12"/>
      <c r="D112" s="12"/>
      <c r="E112" s="12"/>
      <c r="F112" s="12"/>
      <c r="G112" s="19" t="str">
        <f aca="false">IF(F112="","",IFERROR(INDEX('AB Tests'!$Q:$Q,MATCH(F112,'AB Tests'!$A:$A,0)),""))</f>
        <v/>
      </c>
      <c r="H112" s="12"/>
      <c r="I112" s="11"/>
      <c r="J112" s="12"/>
      <c r="K112" s="12"/>
    </row>
    <row r="113" customFormat="false" ht="15" hidden="false" customHeight="false" outlineLevel="0" collapsed="false">
      <c r="A113" s="12"/>
      <c r="B113" s="11"/>
      <c r="C113" s="12"/>
      <c r="D113" s="12"/>
      <c r="E113" s="12"/>
      <c r="F113" s="12"/>
      <c r="G113" s="19" t="str">
        <f aca="false">IF(F113="","",IFERROR(INDEX('AB Tests'!$Q:$Q,MATCH(F113,'AB Tests'!$A:$A,0)),""))</f>
        <v/>
      </c>
      <c r="H113" s="12"/>
      <c r="I113" s="11"/>
      <c r="J113" s="12"/>
      <c r="K113" s="12"/>
    </row>
    <row r="114" customFormat="false" ht="15" hidden="false" customHeight="false" outlineLevel="0" collapsed="false">
      <c r="A114" s="12"/>
      <c r="B114" s="11"/>
      <c r="C114" s="12"/>
      <c r="D114" s="12"/>
      <c r="E114" s="12"/>
      <c r="F114" s="12"/>
      <c r="G114" s="19" t="str">
        <f aca="false">IF(F114="","",IFERROR(INDEX('AB Tests'!$Q:$Q,MATCH(F114,'AB Tests'!$A:$A,0)),""))</f>
        <v/>
      </c>
      <c r="H114" s="12"/>
      <c r="I114" s="11"/>
      <c r="J114" s="12"/>
      <c r="K114" s="12"/>
    </row>
    <row r="115" customFormat="false" ht="15" hidden="false" customHeight="false" outlineLevel="0" collapsed="false">
      <c r="A115" s="12"/>
      <c r="B115" s="11"/>
      <c r="C115" s="12"/>
      <c r="D115" s="12"/>
      <c r="E115" s="12"/>
      <c r="F115" s="12"/>
      <c r="G115" s="19" t="str">
        <f aca="false">IF(F115="","",IFERROR(INDEX('AB Tests'!$Q:$Q,MATCH(F115,'AB Tests'!$A:$A,0)),""))</f>
        <v/>
      </c>
      <c r="H115" s="12"/>
      <c r="I115" s="11"/>
      <c r="J115" s="12"/>
      <c r="K115" s="12"/>
    </row>
    <row r="116" customFormat="false" ht="15" hidden="false" customHeight="false" outlineLevel="0" collapsed="false">
      <c r="A116" s="12"/>
      <c r="B116" s="11"/>
      <c r="C116" s="12"/>
      <c r="D116" s="12"/>
      <c r="E116" s="12"/>
      <c r="F116" s="12"/>
      <c r="G116" s="19" t="str">
        <f aca="false">IF(F116="","",IFERROR(INDEX('AB Tests'!$Q:$Q,MATCH(F116,'AB Tests'!$A:$A,0)),""))</f>
        <v/>
      </c>
      <c r="H116" s="12"/>
      <c r="I116" s="11"/>
      <c r="J116" s="12"/>
      <c r="K116" s="12"/>
    </row>
    <row r="117" customFormat="false" ht="15" hidden="false" customHeight="false" outlineLevel="0" collapsed="false">
      <c r="A117" s="12"/>
      <c r="B117" s="11"/>
      <c r="C117" s="12"/>
      <c r="D117" s="12"/>
      <c r="E117" s="12"/>
      <c r="F117" s="12"/>
      <c r="G117" s="19" t="str">
        <f aca="false">IF(F117="","",IFERROR(INDEX('AB Tests'!$Q:$Q,MATCH(F117,'AB Tests'!$A:$A,0)),""))</f>
        <v/>
      </c>
      <c r="H117" s="12"/>
      <c r="I117" s="11"/>
      <c r="J117" s="12"/>
      <c r="K117" s="12"/>
    </row>
    <row r="118" customFormat="false" ht="15" hidden="false" customHeight="false" outlineLevel="0" collapsed="false">
      <c r="A118" s="12"/>
      <c r="B118" s="11"/>
      <c r="C118" s="12"/>
      <c r="D118" s="12"/>
      <c r="E118" s="12"/>
      <c r="F118" s="12"/>
      <c r="G118" s="19" t="str">
        <f aca="false">IF(F118="","",IFERROR(INDEX('AB Tests'!$Q:$Q,MATCH(F118,'AB Tests'!$A:$A,0)),""))</f>
        <v/>
      </c>
      <c r="H118" s="12"/>
      <c r="I118" s="11"/>
      <c r="J118" s="12"/>
      <c r="K118" s="12"/>
    </row>
    <row r="119" customFormat="false" ht="15" hidden="false" customHeight="false" outlineLevel="0" collapsed="false">
      <c r="A119" s="12"/>
      <c r="B119" s="11"/>
      <c r="C119" s="12"/>
      <c r="D119" s="12"/>
      <c r="E119" s="12"/>
      <c r="F119" s="12"/>
      <c r="G119" s="19" t="str">
        <f aca="false">IF(F119="","",IFERROR(INDEX('AB Tests'!$Q:$Q,MATCH(F119,'AB Tests'!$A:$A,0)),""))</f>
        <v/>
      </c>
      <c r="H119" s="12"/>
      <c r="I119" s="11"/>
      <c r="J119" s="12"/>
      <c r="K119" s="12"/>
    </row>
    <row r="120" customFormat="false" ht="15" hidden="false" customHeight="false" outlineLevel="0" collapsed="false">
      <c r="A120" s="12"/>
      <c r="B120" s="11"/>
      <c r="C120" s="12"/>
      <c r="D120" s="12"/>
      <c r="E120" s="12"/>
      <c r="F120" s="12"/>
      <c r="G120" s="19" t="str">
        <f aca="false">IF(F120="","",IFERROR(INDEX('AB Tests'!$Q:$Q,MATCH(F120,'AB Tests'!$A:$A,0)),""))</f>
        <v/>
      </c>
      <c r="H120" s="12"/>
      <c r="I120" s="11"/>
      <c r="J120" s="12"/>
      <c r="K120" s="12"/>
    </row>
    <row r="121" customFormat="false" ht="15" hidden="false" customHeight="false" outlineLevel="0" collapsed="false">
      <c r="A121" s="12"/>
      <c r="B121" s="11"/>
      <c r="C121" s="12"/>
      <c r="D121" s="12"/>
      <c r="E121" s="12"/>
      <c r="F121" s="12"/>
      <c r="G121" s="19" t="str">
        <f aca="false">IF(F121="","",IFERROR(INDEX('AB Tests'!$Q:$Q,MATCH(F121,'AB Tests'!$A:$A,0)),""))</f>
        <v/>
      </c>
      <c r="H121" s="12"/>
      <c r="I121" s="11"/>
      <c r="J121" s="12"/>
      <c r="K121" s="12"/>
    </row>
    <row r="122" customFormat="false" ht="15" hidden="false" customHeight="false" outlineLevel="0" collapsed="false">
      <c r="A122" s="12"/>
      <c r="B122" s="11"/>
      <c r="C122" s="12"/>
      <c r="D122" s="12"/>
      <c r="E122" s="12"/>
      <c r="F122" s="12"/>
      <c r="G122" s="19" t="str">
        <f aca="false">IF(F122="","",IFERROR(INDEX('AB Tests'!$Q:$Q,MATCH(F122,'AB Tests'!$A:$A,0)),""))</f>
        <v/>
      </c>
      <c r="H122" s="12"/>
      <c r="I122" s="11"/>
      <c r="J122" s="12"/>
      <c r="K122" s="12"/>
    </row>
    <row r="123" customFormat="false" ht="15" hidden="false" customHeight="false" outlineLevel="0" collapsed="false">
      <c r="A123" s="12"/>
      <c r="B123" s="11"/>
      <c r="C123" s="12"/>
      <c r="D123" s="12"/>
      <c r="E123" s="12"/>
      <c r="F123" s="12"/>
      <c r="G123" s="19" t="str">
        <f aca="false">IF(F123="","",IFERROR(INDEX('AB Tests'!$Q:$Q,MATCH(F123,'AB Tests'!$A:$A,0)),""))</f>
        <v/>
      </c>
      <c r="H123" s="12"/>
      <c r="I123" s="11"/>
      <c r="J123" s="12"/>
      <c r="K123" s="12"/>
    </row>
    <row r="124" customFormat="false" ht="15" hidden="false" customHeight="false" outlineLevel="0" collapsed="false">
      <c r="A124" s="12"/>
      <c r="B124" s="11"/>
      <c r="C124" s="12"/>
      <c r="D124" s="12"/>
      <c r="E124" s="12"/>
      <c r="F124" s="12"/>
      <c r="G124" s="19" t="str">
        <f aca="false">IF(F124="","",IFERROR(INDEX('AB Tests'!$Q:$Q,MATCH(F124,'AB Tests'!$A:$A,0)),""))</f>
        <v/>
      </c>
      <c r="H124" s="12"/>
      <c r="I124" s="11"/>
      <c r="J124" s="12"/>
      <c r="K124" s="12"/>
    </row>
    <row r="125" customFormat="false" ht="15" hidden="false" customHeight="false" outlineLevel="0" collapsed="false">
      <c r="A125" s="12"/>
      <c r="B125" s="11"/>
      <c r="C125" s="12"/>
      <c r="D125" s="12"/>
      <c r="E125" s="12"/>
      <c r="F125" s="12"/>
      <c r="G125" s="19" t="str">
        <f aca="false">IF(F125="","",IFERROR(INDEX('AB Tests'!$Q:$Q,MATCH(F125,'AB Tests'!$A:$A,0)),""))</f>
        <v/>
      </c>
      <c r="H125" s="12"/>
      <c r="I125" s="11"/>
      <c r="J125" s="12"/>
      <c r="K125" s="12"/>
    </row>
    <row r="126" customFormat="false" ht="15" hidden="false" customHeight="false" outlineLevel="0" collapsed="false">
      <c r="A126" s="12"/>
      <c r="B126" s="11"/>
      <c r="C126" s="12"/>
      <c r="D126" s="12"/>
      <c r="E126" s="12"/>
      <c r="F126" s="12"/>
      <c r="G126" s="19" t="str">
        <f aca="false">IF(F126="","",IFERROR(INDEX('AB Tests'!$Q:$Q,MATCH(F126,'AB Tests'!$A:$A,0)),""))</f>
        <v/>
      </c>
      <c r="H126" s="12"/>
      <c r="I126" s="11"/>
      <c r="J126" s="12"/>
      <c r="K126" s="12"/>
    </row>
    <row r="127" customFormat="false" ht="15" hidden="false" customHeight="false" outlineLevel="0" collapsed="false">
      <c r="A127" s="12"/>
      <c r="B127" s="11"/>
      <c r="C127" s="12"/>
      <c r="D127" s="12"/>
      <c r="E127" s="12"/>
      <c r="F127" s="12"/>
      <c r="G127" s="19" t="str">
        <f aca="false">IF(F127="","",IFERROR(INDEX('AB Tests'!$Q:$Q,MATCH(F127,'AB Tests'!$A:$A,0)),""))</f>
        <v/>
      </c>
      <c r="H127" s="12"/>
      <c r="I127" s="11"/>
      <c r="J127" s="12"/>
      <c r="K127" s="12"/>
    </row>
    <row r="128" customFormat="false" ht="15" hidden="false" customHeight="false" outlineLevel="0" collapsed="false">
      <c r="A128" s="12"/>
      <c r="B128" s="11"/>
      <c r="C128" s="12"/>
      <c r="D128" s="12"/>
      <c r="E128" s="12"/>
      <c r="F128" s="12"/>
      <c r="G128" s="19" t="str">
        <f aca="false">IF(F128="","",IFERROR(INDEX('AB Tests'!$Q:$Q,MATCH(F128,'AB Tests'!$A:$A,0)),""))</f>
        <v/>
      </c>
      <c r="H128" s="12"/>
      <c r="I128" s="11"/>
      <c r="J128" s="12"/>
      <c r="K128" s="12"/>
    </row>
    <row r="129" customFormat="false" ht="15" hidden="false" customHeight="false" outlineLevel="0" collapsed="false">
      <c r="A129" s="12"/>
      <c r="B129" s="11"/>
      <c r="C129" s="12"/>
      <c r="D129" s="12"/>
      <c r="E129" s="12"/>
      <c r="F129" s="12"/>
      <c r="G129" s="19" t="str">
        <f aca="false">IF(F129="","",IFERROR(INDEX('AB Tests'!$Q:$Q,MATCH(F129,'AB Tests'!$A:$A,0)),""))</f>
        <v/>
      </c>
      <c r="H129" s="12"/>
      <c r="I129" s="11"/>
      <c r="J129" s="12"/>
      <c r="K129" s="12"/>
    </row>
    <row r="130" customFormat="false" ht="15" hidden="false" customHeight="false" outlineLevel="0" collapsed="false">
      <c r="A130" s="12"/>
      <c r="B130" s="11"/>
      <c r="C130" s="12"/>
      <c r="D130" s="12"/>
      <c r="E130" s="12"/>
      <c r="F130" s="12"/>
      <c r="G130" s="19" t="str">
        <f aca="false">IF(F130="","",IFERROR(INDEX('AB Tests'!$Q:$Q,MATCH(F130,'AB Tests'!$A:$A,0)),""))</f>
        <v/>
      </c>
      <c r="H130" s="12"/>
      <c r="I130" s="11"/>
      <c r="J130" s="12"/>
      <c r="K130" s="12"/>
    </row>
    <row r="131" customFormat="false" ht="15" hidden="false" customHeight="false" outlineLevel="0" collapsed="false">
      <c r="A131" s="12"/>
      <c r="B131" s="11"/>
      <c r="C131" s="12"/>
      <c r="D131" s="12"/>
      <c r="E131" s="12"/>
      <c r="F131" s="12"/>
      <c r="G131" s="19" t="str">
        <f aca="false">IF(F131="","",IFERROR(INDEX('AB Tests'!$Q:$Q,MATCH(F131,'AB Tests'!$A:$A,0)),""))</f>
        <v/>
      </c>
      <c r="H131" s="12"/>
      <c r="I131" s="11"/>
      <c r="J131" s="12"/>
      <c r="K131" s="12"/>
    </row>
    <row r="132" customFormat="false" ht="15" hidden="false" customHeight="false" outlineLevel="0" collapsed="false">
      <c r="A132" s="12"/>
      <c r="B132" s="11"/>
      <c r="C132" s="12"/>
      <c r="D132" s="12"/>
      <c r="E132" s="12"/>
      <c r="F132" s="12"/>
      <c r="G132" s="19" t="str">
        <f aca="false">IF(F132="","",IFERROR(INDEX('AB Tests'!$Q:$Q,MATCH(F132,'AB Tests'!$A:$A,0)),""))</f>
        <v/>
      </c>
      <c r="H132" s="12"/>
      <c r="I132" s="11"/>
      <c r="J132" s="12"/>
      <c r="K132" s="12"/>
    </row>
    <row r="133" customFormat="false" ht="15" hidden="false" customHeight="false" outlineLevel="0" collapsed="false">
      <c r="A133" s="12"/>
      <c r="B133" s="11"/>
      <c r="C133" s="12"/>
      <c r="D133" s="12"/>
      <c r="E133" s="12"/>
      <c r="F133" s="12"/>
      <c r="G133" s="19" t="str">
        <f aca="false">IF(F133="","",IFERROR(INDEX('AB Tests'!$Q:$Q,MATCH(F133,'AB Tests'!$A:$A,0)),""))</f>
        <v/>
      </c>
      <c r="H133" s="12"/>
      <c r="I133" s="11"/>
      <c r="J133" s="12"/>
      <c r="K133" s="12"/>
    </row>
    <row r="134" customFormat="false" ht="15" hidden="false" customHeight="false" outlineLevel="0" collapsed="false">
      <c r="A134" s="12"/>
      <c r="B134" s="11"/>
      <c r="C134" s="12"/>
      <c r="D134" s="12"/>
      <c r="E134" s="12"/>
      <c r="F134" s="12"/>
      <c r="G134" s="19" t="str">
        <f aca="false">IF(F134="","",IFERROR(INDEX('AB Tests'!$Q:$Q,MATCH(F134,'AB Tests'!$A:$A,0)),""))</f>
        <v/>
      </c>
      <c r="H134" s="12"/>
      <c r="I134" s="11"/>
      <c r="J134" s="12"/>
      <c r="K134" s="12"/>
    </row>
    <row r="135" customFormat="false" ht="15" hidden="false" customHeight="false" outlineLevel="0" collapsed="false">
      <c r="A135" s="12"/>
      <c r="B135" s="11"/>
      <c r="C135" s="12"/>
      <c r="D135" s="12"/>
      <c r="E135" s="12"/>
      <c r="F135" s="12"/>
      <c r="G135" s="19" t="str">
        <f aca="false">IF(F135="","",IFERROR(INDEX('AB Tests'!$Q:$Q,MATCH(F135,'AB Tests'!$A:$A,0)),""))</f>
        <v/>
      </c>
      <c r="H135" s="12"/>
      <c r="I135" s="11"/>
      <c r="J135" s="12"/>
      <c r="K135" s="12"/>
    </row>
    <row r="136" customFormat="false" ht="15" hidden="false" customHeight="false" outlineLevel="0" collapsed="false">
      <c r="A136" s="12"/>
      <c r="B136" s="11"/>
      <c r="C136" s="12"/>
      <c r="D136" s="12"/>
      <c r="E136" s="12"/>
      <c r="F136" s="12"/>
      <c r="G136" s="19" t="str">
        <f aca="false">IF(F136="","",IFERROR(INDEX('AB Tests'!$Q:$Q,MATCH(F136,'AB Tests'!$A:$A,0)),""))</f>
        <v/>
      </c>
      <c r="H136" s="12"/>
      <c r="I136" s="11"/>
      <c r="J136" s="12"/>
      <c r="K136" s="12"/>
    </row>
    <row r="137" customFormat="false" ht="15" hidden="false" customHeight="false" outlineLevel="0" collapsed="false">
      <c r="A137" s="12"/>
      <c r="B137" s="11"/>
      <c r="C137" s="12"/>
      <c r="D137" s="12"/>
      <c r="E137" s="12"/>
      <c r="F137" s="12"/>
      <c r="G137" s="19" t="str">
        <f aca="false">IF(F137="","",IFERROR(INDEX('AB Tests'!$Q:$Q,MATCH(F137,'AB Tests'!$A:$A,0)),""))</f>
        <v/>
      </c>
      <c r="H137" s="12"/>
      <c r="I137" s="11"/>
      <c r="J137" s="12"/>
      <c r="K137" s="12"/>
    </row>
    <row r="138" customFormat="false" ht="15" hidden="false" customHeight="false" outlineLevel="0" collapsed="false">
      <c r="A138" s="12"/>
      <c r="B138" s="11"/>
      <c r="C138" s="12"/>
      <c r="D138" s="12"/>
      <c r="E138" s="12"/>
      <c r="F138" s="12"/>
      <c r="G138" s="19" t="str">
        <f aca="false">IF(F138="","",IFERROR(INDEX('AB Tests'!$Q:$Q,MATCH(F138,'AB Tests'!$A:$A,0)),""))</f>
        <v/>
      </c>
      <c r="H138" s="12"/>
      <c r="I138" s="11"/>
      <c r="J138" s="12"/>
      <c r="K138" s="12"/>
    </row>
    <row r="139" customFormat="false" ht="15" hidden="false" customHeight="false" outlineLevel="0" collapsed="false">
      <c r="A139" s="12"/>
      <c r="B139" s="11"/>
      <c r="C139" s="12"/>
      <c r="D139" s="12"/>
      <c r="E139" s="12"/>
      <c r="F139" s="12"/>
      <c r="G139" s="19" t="str">
        <f aca="false">IF(F139="","",IFERROR(INDEX('AB Tests'!$Q:$Q,MATCH(F139,'AB Tests'!$A:$A,0)),""))</f>
        <v/>
      </c>
      <c r="H139" s="12"/>
      <c r="I139" s="11"/>
      <c r="J139" s="12"/>
      <c r="K139" s="12"/>
    </row>
    <row r="140" customFormat="false" ht="15" hidden="false" customHeight="false" outlineLevel="0" collapsed="false">
      <c r="A140" s="12"/>
      <c r="B140" s="11"/>
      <c r="C140" s="12"/>
      <c r="D140" s="12"/>
      <c r="E140" s="12"/>
      <c r="F140" s="12"/>
      <c r="G140" s="19" t="str">
        <f aca="false">IF(F140="","",IFERROR(INDEX('AB Tests'!$Q:$Q,MATCH(F140,'AB Tests'!$A:$A,0)),""))</f>
        <v/>
      </c>
      <c r="H140" s="12"/>
      <c r="I140" s="11"/>
      <c r="J140" s="12"/>
      <c r="K140" s="12"/>
    </row>
    <row r="141" customFormat="false" ht="15" hidden="false" customHeight="false" outlineLevel="0" collapsed="false">
      <c r="A141" s="12"/>
      <c r="B141" s="11"/>
      <c r="C141" s="12"/>
      <c r="D141" s="12"/>
      <c r="E141" s="12"/>
      <c r="F141" s="12"/>
      <c r="G141" s="19" t="str">
        <f aca="false">IF(F141="","",IFERROR(INDEX('AB Tests'!$Q:$Q,MATCH(F141,'AB Tests'!$A:$A,0)),""))</f>
        <v/>
      </c>
      <c r="H141" s="12"/>
      <c r="I141" s="11"/>
      <c r="J141" s="12"/>
      <c r="K141" s="12"/>
    </row>
    <row r="142" customFormat="false" ht="15" hidden="false" customHeight="false" outlineLevel="0" collapsed="false">
      <c r="A142" s="12"/>
      <c r="B142" s="11"/>
      <c r="C142" s="12"/>
      <c r="D142" s="12"/>
      <c r="E142" s="12"/>
      <c r="F142" s="12"/>
      <c r="G142" s="19" t="str">
        <f aca="false">IF(F142="","",IFERROR(INDEX('AB Tests'!$Q:$Q,MATCH(F142,'AB Tests'!$A:$A,0)),""))</f>
        <v/>
      </c>
      <c r="H142" s="12"/>
      <c r="I142" s="11"/>
      <c r="J142" s="12"/>
      <c r="K142" s="12"/>
    </row>
    <row r="143" customFormat="false" ht="15" hidden="false" customHeight="false" outlineLevel="0" collapsed="false">
      <c r="A143" s="12"/>
      <c r="B143" s="11"/>
      <c r="C143" s="12"/>
      <c r="D143" s="12"/>
      <c r="E143" s="12"/>
      <c r="F143" s="12"/>
      <c r="G143" s="19" t="str">
        <f aca="false">IF(F143="","",IFERROR(INDEX('AB Tests'!$Q:$Q,MATCH(F143,'AB Tests'!$A:$A,0)),""))</f>
        <v/>
      </c>
      <c r="H143" s="12"/>
      <c r="I143" s="11"/>
      <c r="J143" s="12"/>
      <c r="K143" s="12"/>
    </row>
    <row r="144" customFormat="false" ht="15" hidden="false" customHeight="false" outlineLevel="0" collapsed="false">
      <c r="A144" s="12"/>
      <c r="B144" s="11"/>
      <c r="C144" s="12"/>
      <c r="D144" s="12"/>
      <c r="E144" s="12"/>
      <c r="F144" s="12"/>
      <c r="G144" s="19" t="str">
        <f aca="false">IF(F144="","",IFERROR(INDEX('AB Tests'!$Q:$Q,MATCH(F144,'AB Tests'!$A:$A,0)),""))</f>
        <v/>
      </c>
      <c r="H144" s="12"/>
      <c r="I144" s="11"/>
      <c r="J144" s="12"/>
      <c r="K144" s="12"/>
    </row>
    <row r="145" customFormat="false" ht="15" hidden="false" customHeight="false" outlineLevel="0" collapsed="false">
      <c r="A145" s="12"/>
      <c r="B145" s="11"/>
      <c r="C145" s="12"/>
      <c r="D145" s="12"/>
      <c r="E145" s="12"/>
      <c r="F145" s="12"/>
      <c r="G145" s="19" t="str">
        <f aca="false">IF(F145="","",IFERROR(INDEX('AB Tests'!$Q:$Q,MATCH(F145,'AB Tests'!$A:$A,0)),""))</f>
        <v/>
      </c>
      <c r="H145" s="12"/>
      <c r="I145" s="11"/>
      <c r="J145" s="12"/>
      <c r="K145" s="12"/>
    </row>
    <row r="146" customFormat="false" ht="15" hidden="false" customHeight="false" outlineLevel="0" collapsed="false">
      <c r="A146" s="12"/>
      <c r="B146" s="11"/>
      <c r="C146" s="12"/>
      <c r="D146" s="12"/>
      <c r="E146" s="12"/>
      <c r="F146" s="12"/>
      <c r="G146" s="19" t="str">
        <f aca="false">IF(F146="","",IFERROR(INDEX('AB Tests'!$Q:$Q,MATCH(F146,'AB Tests'!$A:$A,0)),""))</f>
        <v/>
      </c>
      <c r="H146" s="12"/>
      <c r="I146" s="11"/>
      <c r="J146" s="12"/>
      <c r="K146" s="12"/>
    </row>
    <row r="147" customFormat="false" ht="15" hidden="false" customHeight="false" outlineLevel="0" collapsed="false">
      <c r="A147" s="12"/>
      <c r="B147" s="11"/>
      <c r="C147" s="12"/>
      <c r="D147" s="12"/>
      <c r="E147" s="12"/>
      <c r="F147" s="12"/>
      <c r="G147" s="19" t="str">
        <f aca="false">IF(F147="","",IFERROR(INDEX('AB Tests'!$Q:$Q,MATCH(F147,'AB Tests'!$A:$A,0)),""))</f>
        <v/>
      </c>
      <c r="H147" s="12"/>
      <c r="I147" s="11"/>
      <c r="J147" s="12"/>
      <c r="K147" s="12"/>
    </row>
    <row r="148" customFormat="false" ht="15" hidden="false" customHeight="false" outlineLevel="0" collapsed="false">
      <c r="A148" s="12"/>
      <c r="B148" s="11"/>
      <c r="C148" s="12"/>
      <c r="D148" s="12"/>
      <c r="E148" s="12"/>
      <c r="F148" s="12"/>
      <c r="G148" s="19" t="str">
        <f aca="false">IF(F148="","",IFERROR(INDEX('AB Tests'!$Q:$Q,MATCH(F148,'AB Tests'!$A:$A,0)),""))</f>
        <v/>
      </c>
      <c r="H148" s="12"/>
      <c r="I148" s="11"/>
      <c r="J148" s="12"/>
      <c r="K148" s="12"/>
    </row>
    <row r="149" customFormat="false" ht="15" hidden="false" customHeight="false" outlineLevel="0" collapsed="false">
      <c r="A149" s="12"/>
      <c r="B149" s="11"/>
      <c r="C149" s="12"/>
      <c r="D149" s="12"/>
      <c r="E149" s="12"/>
      <c r="F149" s="12"/>
      <c r="G149" s="19" t="str">
        <f aca="false">IF(F149="","",IFERROR(INDEX('AB Tests'!$Q:$Q,MATCH(F149,'AB Tests'!$A:$A,0)),""))</f>
        <v/>
      </c>
      <c r="H149" s="12"/>
      <c r="I149" s="11"/>
      <c r="J149" s="12"/>
      <c r="K149" s="12"/>
    </row>
    <row r="150" customFormat="false" ht="15" hidden="false" customHeight="false" outlineLevel="0" collapsed="false">
      <c r="A150" s="12"/>
      <c r="B150" s="11"/>
      <c r="C150" s="12"/>
      <c r="D150" s="12"/>
      <c r="E150" s="12"/>
      <c r="F150" s="12"/>
      <c r="G150" s="19" t="str">
        <f aca="false">IF(F150="","",IFERROR(INDEX('AB Tests'!$Q:$Q,MATCH(F150,'AB Tests'!$A:$A,0)),""))</f>
        <v/>
      </c>
      <c r="H150" s="12"/>
      <c r="I150" s="11"/>
      <c r="J150" s="12"/>
      <c r="K150" s="12"/>
    </row>
    <row r="151" customFormat="false" ht="15" hidden="false" customHeight="false" outlineLevel="0" collapsed="false">
      <c r="A151" s="12"/>
      <c r="B151" s="11"/>
      <c r="C151" s="12"/>
      <c r="D151" s="12"/>
      <c r="E151" s="12"/>
      <c r="F151" s="12"/>
      <c r="G151" s="19" t="str">
        <f aca="false">IF(F151="","",IFERROR(INDEX('AB Tests'!$Q:$Q,MATCH(F151,'AB Tests'!$A:$A,0)),""))</f>
        <v/>
      </c>
      <c r="H151" s="12"/>
      <c r="I151" s="11"/>
      <c r="J151" s="12"/>
      <c r="K151" s="12"/>
    </row>
  </sheetData>
  <autoFilter ref="A1:K151"/>
  <dataValidations count="2">
    <dataValidation allowBlank="true" errorStyle="stop" operator="between" showDropDown="false" showErrorMessage="false" showInputMessage="false" sqref="C2:C151" type="list">
      <formula1>Variables!$A$2:$A$30</formula1>
      <formula2>0</formula2>
    </dataValidation>
    <dataValidation allowBlank="true" errorStyle="stop" operator="between" showDropDown="false" showErrorMessage="false" showInputMessage="false" sqref="H2:H151" type="list">
      <formula1>Variables!$K$2:$K$3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3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0"/>
    <col collapsed="false" customWidth="true" hidden="false" outlineLevel="0" max="10" min="9" style="0" width="11"/>
    <col collapsed="false" customWidth="true" hidden="false" outlineLevel="0" max="14" min="11" style="0" width="9"/>
  </cols>
  <sheetData>
    <row r="1" customFormat="false" ht="33.75" hidden="false" customHeight="true" outlineLevel="0" collapsed="false">
      <c r="A1" s="7" t="s">
        <v>95</v>
      </c>
      <c r="B1" s="7" t="s">
        <v>96</v>
      </c>
      <c r="C1" s="7" t="s">
        <v>21</v>
      </c>
      <c r="D1" s="7" t="s">
        <v>97</v>
      </c>
      <c r="E1" s="7" t="s">
        <v>98</v>
      </c>
      <c r="F1" s="7" t="s">
        <v>99</v>
      </c>
      <c r="G1" s="7" t="s">
        <v>100</v>
      </c>
      <c r="H1" s="7" t="s">
        <v>101</v>
      </c>
      <c r="I1" s="7" t="s">
        <v>102</v>
      </c>
      <c r="J1" s="7" t="s">
        <v>103</v>
      </c>
      <c r="K1" s="7" t="s">
        <v>104</v>
      </c>
      <c r="L1" s="7" t="s">
        <v>52</v>
      </c>
      <c r="M1" s="7" t="s">
        <v>54</v>
      </c>
      <c r="N1" s="7" t="s">
        <v>55</v>
      </c>
    </row>
    <row r="2" customFormat="false" ht="15" hidden="false" customHeight="false" outlineLevel="0" collapsed="false">
      <c r="A2" s="11" t="n">
        <v>46321</v>
      </c>
      <c r="B2" s="22" t="n">
        <f aca="false">IF(A2="","",A2+6)</f>
        <v>46327</v>
      </c>
      <c r="C2" s="12" t="s">
        <v>38</v>
      </c>
      <c r="D2" s="23" t="n">
        <f aca="false">IF(A2="","",COUNTIFS(Uploads!$B:$B,$C2,Uploads!$A:$A,"&gt;="&amp;$A2,Uploads!$A:$A,"&lt;="&amp;$B2))</f>
        <v>0</v>
      </c>
      <c r="E2" s="23" t="n">
        <f aca="false">IF(A2="","",Variables!$E$4*7)</f>
        <v>21</v>
      </c>
      <c r="F2" s="19" t="n">
        <f aca="false">IF(OR(A2="",E2=0),"",D2/E2)</f>
        <v>0</v>
      </c>
      <c r="G2" s="23" t="n">
        <f aca="false">IF(A2="","",COUNTIFS('AB Tests'!$C:$C,$C2,'AB Tests'!$B:$B,"&gt;="&amp;$A2,'AB Tests'!$B:$B,"&lt;="&amp;$B2))</f>
        <v>0</v>
      </c>
      <c r="H2" s="23" t="n">
        <f aca="false">IF(A2="","",COUNTIFS('AB Tests'!$C:$C,$C2,'AB Tests'!$B:$B,"&gt;="&amp;$A2,'AB Tests'!$B:$B,"&lt;="&amp;$B2,'AB Tests'!$R:$R,"B"))</f>
        <v>0</v>
      </c>
      <c r="I2" s="23" t="n">
        <f aca="false">IF(A2="","",SUMIFS(Uploads!$J:$J,Uploads!$B:$B,$C2,Uploads!$A:$A,"&gt;="&amp;$A2,Uploads!$A:$A,"&lt;="&amp;$B2))</f>
        <v>0</v>
      </c>
      <c r="J2" s="23" t="str">
        <f aca="false">IF(OR(A2="",D2=0),"",I2/D2)</f>
        <v/>
      </c>
      <c r="K2" s="19" t="str">
        <f aca="false">IF(A2="","",IFERROR(AVERAGEIFS(Uploads!$K:$K,Uploads!$B:$B,$C2,Uploads!$A:$A,"&gt;="&amp;$A2,Uploads!$A:$A,"&lt;="&amp;$B2),""))</f>
        <v/>
      </c>
      <c r="L2" s="23" t="n">
        <f aca="false">IF(A2="","",SUMIFS(Uploads!$N:$N,Uploads!$B:$B,$C2,Uploads!$A:$A,"&gt;="&amp;$A2,Uploads!$A:$A,"&lt;="&amp;$B2))</f>
        <v>0</v>
      </c>
      <c r="M2" s="23" t="n">
        <f aca="false">IF(A2="","",SUMIFS(Uploads!$P:$P,Uploads!$B:$B,$C2,Uploads!$A:$A,"&gt;="&amp;$A2,Uploads!$A:$A,"&lt;="&amp;$B2))</f>
        <v>0</v>
      </c>
      <c r="N2" s="23" t="n">
        <f aca="false">IF(A2="","",SUMIFS(Uploads!$Q:$Q,Uploads!$B:$B,$C2,Uploads!$A:$A,"&gt;="&amp;$A2,Uploads!$A:$A,"&lt;="&amp;$B2))</f>
        <v>0</v>
      </c>
    </row>
    <row r="3" customFormat="false" ht="15" hidden="false" customHeight="false" outlineLevel="0" collapsed="false">
      <c r="A3" s="11" t="n">
        <v>46321</v>
      </c>
      <c r="B3" s="22" t="n">
        <f aca="false">IF(A3="","",A3+6)</f>
        <v>46327</v>
      </c>
      <c r="C3" s="12" t="s">
        <v>41</v>
      </c>
      <c r="D3" s="23" t="n">
        <f aca="false">IF(A3="","",COUNTIFS(Uploads!$B:$B,$C3,Uploads!$A:$A,"&gt;="&amp;$A3,Uploads!$A:$A,"&lt;="&amp;$B3))</f>
        <v>0</v>
      </c>
      <c r="E3" s="23" t="n">
        <f aca="false">IF(A3="","",Variables!$E$4*7)</f>
        <v>21</v>
      </c>
      <c r="F3" s="19" t="n">
        <f aca="false">IF(OR(A3="",E3=0),"",D3/E3)</f>
        <v>0</v>
      </c>
      <c r="G3" s="23" t="n">
        <f aca="false">IF(A3="","",COUNTIFS('AB Tests'!$C:$C,$C3,'AB Tests'!$B:$B,"&gt;="&amp;$A3,'AB Tests'!$B:$B,"&lt;="&amp;$B3))</f>
        <v>0</v>
      </c>
      <c r="H3" s="23" t="n">
        <f aca="false">IF(A3="","",COUNTIFS('AB Tests'!$C:$C,$C3,'AB Tests'!$B:$B,"&gt;="&amp;$A3,'AB Tests'!$B:$B,"&lt;="&amp;$B3,'AB Tests'!$R:$R,"B"))</f>
        <v>0</v>
      </c>
      <c r="I3" s="23" t="n">
        <f aca="false">IF(A3="","",SUMIFS(Uploads!$J:$J,Uploads!$B:$B,$C3,Uploads!$A:$A,"&gt;="&amp;$A3,Uploads!$A:$A,"&lt;="&amp;$B3))</f>
        <v>0</v>
      </c>
      <c r="J3" s="23" t="str">
        <f aca="false">IF(OR(A3="",D3=0),"",I3/D3)</f>
        <v/>
      </c>
      <c r="K3" s="19" t="str">
        <f aca="false">IF(A3="","",IFERROR(AVERAGEIFS(Uploads!$K:$K,Uploads!$B:$B,$C3,Uploads!$A:$A,"&gt;="&amp;$A3,Uploads!$A:$A,"&lt;="&amp;$B3),""))</f>
        <v/>
      </c>
      <c r="L3" s="23" t="n">
        <f aca="false">IF(A3="","",SUMIFS(Uploads!$N:$N,Uploads!$B:$B,$C3,Uploads!$A:$A,"&gt;="&amp;$A3,Uploads!$A:$A,"&lt;="&amp;$B3))</f>
        <v>0</v>
      </c>
      <c r="M3" s="23" t="n">
        <f aca="false">IF(A3="","",SUMIFS(Uploads!$P:$P,Uploads!$B:$B,$C3,Uploads!$A:$A,"&gt;="&amp;$A3,Uploads!$A:$A,"&lt;="&amp;$B3))</f>
        <v>0</v>
      </c>
      <c r="N3" s="23" t="n">
        <f aca="false">IF(A3="","",SUMIFS(Uploads!$Q:$Q,Uploads!$B:$B,$C3,Uploads!$A:$A,"&gt;="&amp;$A3,Uploads!$A:$A,"&lt;="&amp;$B3))</f>
        <v>0</v>
      </c>
    </row>
    <row r="4" customFormat="false" ht="15" hidden="false" customHeight="false" outlineLevel="0" collapsed="false">
      <c r="A4" s="11" t="n">
        <v>46321</v>
      </c>
      <c r="B4" s="22" t="n">
        <f aca="false">IF(A4="","",A4+6)</f>
        <v>46327</v>
      </c>
      <c r="C4" s="12" t="s">
        <v>31</v>
      </c>
      <c r="D4" s="23" t="n">
        <f aca="false">IF(A4="","",COUNTIFS(Uploads!$B:$B,$C4,Uploads!$A:$A,"&gt;="&amp;$A4,Uploads!$A:$A,"&lt;="&amp;$B4))</f>
        <v>0</v>
      </c>
      <c r="E4" s="23" t="n">
        <f aca="false">IF(A4="","",Variables!$E$4*7)</f>
        <v>21</v>
      </c>
      <c r="F4" s="19" t="n">
        <f aca="false">IF(OR(A4="",E4=0),"",D4/E4)</f>
        <v>0</v>
      </c>
      <c r="G4" s="23" t="n">
        <f aca="false">IF(A4="","",COUNTIFS('AB Tests'!$C:$C,$C4,'AB Tests'!$B:$B,"&gt;="&amp;$A4,'AB Tests'!$B:$B,"&lt;="&amp;$B4))</f>
        <v>0</v>
      </c>
      <c r="H4" s="23" t="n">
        <f aca="false">IF(A4="","",COUNTIFS('AB Tests'!$C:$C,$C4,'AB Tests'!$B:$B,"&gt;="&amp;$A4,'AB Tests'!$B:$B,"&lt;="&amp;$B4,'AB Tests'!$R:$R,"B"))</f>
        <v>0</v>
      </c>
      <c r="I4" s="23" t="n">
        <f aca="false">IF(A4="","",SUMIFS(Uploads!$J:$J,Uploads!$B:$B,$C4,Uploads!$A:$A,"&gt;="&amp;$A4,Uploads!$A:$A,"&lt;="&amp;$B4))</f>
        <v>0</v>
      </c>
      <c r="J4" s="23" t="str">
        <f aca="false">IF(OR(A4="",D4=0),"",I4/D4)</f>
        <v/>
      </c>
      <c r="K4" s="19" t="str">
        <f aca="false">IF(A4="","",IFERROR(AVERAGEIFS(Uploads!$K:$K,Uploads!$B:$B,$C4,Uploads!$A:$A,"&gt;="&amp;$A4,Uploads!$A:$A,"&lt;="&amp;$B4),""))</f>
        <v/>
      </c>
      <c r="L4" s="23" t="n">
        <f aca="false">IF(A4="","",SUMIFS(Uploads!$N:$N,Uploads!$B:$B,$C4,Uploads!$A:$A,"&gt;="&amp;$A4,Uploads!$A:$A,"&lt;="&amp;$B4))</f>
        <v>0</v>
      </c>
      <c r="M4" s="23" t="n">
        <f aca="false">IF(A4="","",SUMIFS(Uploads!$P:$P,Uploads!$B:$B,$C4,Uploads!$A:$A,"&gt;="&amp;$A4,Uploads!$A:$A,"&lt;="&amp;$B4))</f>
        <v>0</v>
      </c>
      <c r="N4" s="23" t="n">
        <f aca="false">IF(A4="","",SUMIFS(Uploads!$Q:$Q,Uploads!$B:$B,$C4,Uploads!$A:$A,"&gt;="&amp;$A4,Uploads!$A:$A,"&lt;="&amp;$B4))</f>
        <v>0</v>
      </c>
    </row>
    <row r="5" customFormat="false" ht="15" hidden="false" customHeight="false" outlineLevel="0" collapsed="false">
      <c r="A5" s="11" t="n">
        <v>46328</v>
      </c>
      <c r="B5" s="22" t="n">
        <f aca="false">IF(A5="","",A5+6)</f>
        <v>46334</v>
      </c>
      <c r="C5" s="12" t="s">
        <v>38</v>
      </c>
      <c r="D5" s="23" t="n">
        <f aca="false">IF(A5="","",COUNTIFS(Uploads!$B:$B,$C5,Uploads!$A:$A,"&gt;="&amp;$A5,Uploads!$A:$A,"&lt;="&amp;$B5))</f>
        <v>0</v>
      </c>
      <c r="E5" s="23" t="n">
        <f aca="false">IF(A5="","",Variables!$E$4*7)</f>
        <v>21</v>
      </c>
      <c r="F5" s="19" t="n">
        <f aca="false">IF(OR(A5="",E5=0),"",D5/E5)</f>
        <v>0</v>
      </c>
      <c r="G5" s="23" t="n">
        <f aca="false">IF(A5="","",COUNTIFS('AB Tests'!$C:$C,$C5,'AB Tests'!$B:$B,"&gt;="&amp;$A5,'AB Tests'!$B:$B,"&lt;="&amp;$B5))</f>
        <v>0</v>
      </c>
      <c r="H5" s="23" t="n">
        <f aca="false">IF(A5="","",COUNTIFS('AB Tests'!$C:$C,$C5,'AB Tests'!$B:$B,"&gt;="&amp;$A5,'AB Tests'!$B:$B,"&lt;="&amp;$B5,'AB Tests'!$R:$R,"B"))</f>
        <v>0</v>
      </c>
      <c r="I5" s="23" t="n">
        <f aca="false">IF(A5="","",SUMIFS(Uploads!$J:$J,Uploads!$B:$B,$C5,Uploads!$A:$A,"&gt;="&amp;$A5,Uploads!$A:$A,"&lt;="&amp;$B5))</f>
        <v>0</v>
      </c>
      <c r="J5" s="23" t="str">
        <f aca="false">IF(OR(A5="",D5=0),"",I5/D5)</f>
        <v/>
      </c>
      <c r="K5" s="19" t="str">
        <f aca="false">IF(A5="","",IFERROR(AVERAGEIFS(Uploads!$K:$K,Uploads!$B:$B,$C5,Uploads!$A:$A,"&gt;="&amp;$A5,Uploads!$A:$A,"&lt;="&amp;$B5),""))</f>
        <v/>
      </c>
      <c r="L5" s="23" t="n">
        <f aca="false">IF(A5="","",SUMIFS(Uploads!$N:$N,Uploads!$B:$B,$C5,Uploads!$A:$A,"&gt;="&amp;$A5,Uploads!$A:$A,"&lt;="&amp;$B5))</f>
        <v>0</v>
      </c>
      <c r="M5" s="23" t="n">
        <f aca="false">IF(A5="","",SUMIFS(Uploads!$P:$P,Uploads!$B:$B,$C5,Uploads!$A:$A,"&gt;="&amp;$A5,Uploads!$A:$A,"&lt;="&amp;$B5))</f>
        <v>0</v>
      </c>
      <c r="N5" s="23" t="n">
        <f aca="false">IF(A5="","",SUMIFS(Uploads!$Q:$Q,Uploads!$B:$B,$C5,Uploads!$A:$A,"&gt;="&amp;$A5,Uploads!$A:$A,"&lt;="&amp;$B5))</f>
        <v>0</v>
      </c>
    </row>
    <row r="6" customFormat="false" ht="15" hidden="false" customHeight="false" outlineLevel="0" collapsed="false">
      <c r="A6" s="11" t="n">
        <v>46328</v>
      </c>
      <c r="B6" s="22" t="n">
        <f aca="false">IF(A6="","",A6+6)</f>
        <v>46334</v>
      </c>
      <c r="C6" s="12" t="s">
        <v>41</v>
      </c>
      <c r="D6" s="23" t="n">
        <f aca="false">IF(A6="","",COUNTIFS(Uploads!$B:$B,$C6,Uploads!$A:$A,"&gt;="&amp;$A6,Uploads!$A:$A,"&lt;="&amp;$B6))</f>
        <v>0</v>
      </c>
      <c r="E6" s="23" t="n">
        <f aca="false">IF(A6="","",Variables!$E$4*7)</f>
        <v>21</v>
      </c>
      <c r="F6" s="19" t="n">
        <f aca="false">IF(OR(A6="",E6=0),"",D6/E6)</f>
        <v>0</v>
      </c>
      <c r="G6" s="23" t="n">
        <f aca="false">IF(A6="","",COUNTIFS('AB Tests'!$C:$C,$C6,'AB Tests'!$B:$B,"&gt;="&amp;$A6,'AB Tests'!$B:$B,"&lt;="&amp;$B6))</f>
        <v>0</v>
      </c>
      <c r="H6" s="23" t="n">
        <f aca="false">IF(A6="","",COUNTIFS('AB Tests'!$C:$C,$C6,'AB Tests'!$B:$B,"&gt;="&amp;$A6,'AB Tests'!$B:$B,"&lt;="&amp;$B6,'AB Tests'!$R:$R,"B"))</f>
        <v>0</v>
      </c>
      <c r="I6" s="23" t="n">
        <f aca="false">IF(A6="","",SUMIFS(Uploads!$J:$J,Uploads!$B:$B,$C6,Uploads!$A:$A,"&gt;="&amp;$A6,Uploads!$A:$A,"&lt;="&amp;$B6))</f>
        <v>0</v>
      </c>
      <c r="J6" s="23" t="str">
        <f aca="false">IF(OR(A6="",D6=0),"",I6/D6)</f>
        <v/>
      </c>
      <c r="K6" s="19" t="str">
        <f aca="false">IF(A6="","",IFERROR(AVERAGEIFS(Uploads!$K:$K,Uploads!$B:$B,$C6,Uploads!$A:$A,"&gt;="&amp;$A6,Uploads!$A:$A,"&lt;="&amp;$B6),""))</f>
        <v/>
      </c>
      <c r="L6" s="23" t="n">
        <f aca="false">IF(A6="","",SUMIFS(Uploads!$N:$N,Uploads!$B:$B,$C6,Uploads!$A:$A,"&gt;="&amp;$A6,Uploads!$A:$A,"&lt;="&amp;$B6))</f>
        <v>0</v>
      </c>
      <c r="M6" s="23" t="n">
        <f aca="false">IF(A6="","",SUMIFS(Uploads!$P:$P,Uploads!$B:$B,$C6,Uploads!$A:$A,"&gt;="&amp;$A6,Uploads!$A:$A,"&lt;="&amp;$B6))</f>
        <v>0</v>
      </c>
      <c r="N6" s="23" t="n">
        <f aca="false">IF(A6="","",SUMIFS(Uploads!$Q:$Q,Uploads!$B:$B,$C6,Uploads!$A:$A,"&gt;="&amp;$A6,Uploads!$A:$A,"&lt;="&amp;$B6))</f>
        <v>0</v>
      </c>
    </row>
    <row r="7" customFormat="false" ht="15" hidden="false" customHeight="false" outlineLevel="0" collapsed="false">
      <c r="A7" s="11" t="n">
        <v>46328</v>
      </c>
      <c r="B7" s="22" t="n">
        <f aca="false">IF(A7="","",A7+6)</f>
        <v>46334</v>
      </c>
      <c r="C7" s="12" t="s">
        <v>31</v>
      </c>
      <c r="D7" s="23" t="n">
        <f aca="false">IF(A7="","",COUNTIFS(Uploads!$B:$B,$C7,Uploads!$A:$A,"&gt;="&amp;$A7,Uploads!$A:$A,"&lt;="&amp;$B7))</f>
        <v>0</v>
      </c>
      <c r="E7" s="23" t="n">
        <f aca="false">IF(A7="","",Variables!$E$4*7)</f>
        <v>21</v>
      </c>
      <c r="F7" s="19" t="n">
        <f aca="false">IF(OR(A7="",E7=0),"",D7/E7)</f>
        <v>0</v>
      </c>
      <c r="G7" s="23" t="n">
        <f aca="false">IF(A7="","",COUNTIFS('AB Tests'!$C:$C,$C7,'AB Tests'!$B:$B,"&gt;="&amp;$A7,'AB Tests'!$B:$B,"&lt;="&amp;$B7))</f>
        <v>0</v>
      </c>
      <c r="H7" s="23" t="n">
        <f aca="false">IF(A7="","",COUNTIFS('AB Tests'!$C:$C,$C7,'AB Tests'!$B:$B,"&gt;="&amp;$A7,'AB Tests'!$B:$B,"&lt;="&amp;$B7,'AB Tests'!$R:$R,"B"))</f>
        <v>0</v>
      </c>
      <c r="I7" s="23" t="n">
        <f aca="false">IF(A7="","",SUMIFS(Uploads!$J:$J,Uploads!$B:$B,$C7,Uploads!$A:$A,"&gt;="&amp;$A7,Uploads!$A:$A,"&lt;="&amp;$B7))</f>
        <v>0</v>
      </c>
      <c r="J7" s="23" t="str">
        <f aca="false">IF(OR(A7="",D7=0),"",I7/D7)</f>
        <v/>
      </c>
      <c r="K7" s="19" t="str">
        <f aca="false">IF(A7="","",IFERROR(AVERAGEIFS(Uploads!$K:$K,Uploads!$B:$B,$C7,Uploads!$A:$A,"&gt;="&amp;$A7,Uploads!$A:$A,"&lt;="&amp;$B7),""))</f>
        <v/>
      </c>
      <c r="L7" s="23" t="n">
        <f aca="false">IF(A7="","",SUMIFS(Uploads!$N:$N,Uploads!$B:$B,$C7,Uploads!$A:$A,"&gt;="&amp;$A7,Uploads!$A:$A,"&lt;="&amp;$B7))</f>
        <v>0</v>
      </c>
      <c r="M7" s="23" t="n">
        <f aca="false">IF(A7="","",SUMIFS(Uploads!$P:$P,Uploads!$B:$B,$C7,Uploads!$A:$A,"&gt;="&amp;$A7,Uploads!$A:$A,"&lt;="&amp;$B7))</f>
        <v>0</v>
      </c>
      <c r="N7" s="23" t="n">
        <f aca="false">IF(A7="","",SUMIFS(Uploads!$Q:$Q,Uploads!$B:$B,$C7,Uploads!$A:$A,"&gt;="&amp;$A7,Uploads!$A:$A,"&lt;="&amp;$B7))</f>
        <v>0</v>
      </c>
    </row>
    <row r="8" customFormat="false" ht="15" hidden="false" customHeight="false" outlineLevel="0" collapsed="false">
      <c r="A8" s="11" t="n">
        <v>46335</v>
      </c>
      <c r="B8" s="22" t="n">
        <f aca="false">IF(A8="","",A8+6)</f>
        <v>46341</v>
      </c>
      <c r="C8" s="12" t="s">
        <v>38</v>
      </c>
      <c r="D8" s="23" t="n">
        <f aca="false">IF(A8="","",COUNTIFS(Uploads!$B:$B,$C8,Uploads!$A:$A,"&gt;="&amp;$A8,Uploads!$A:$A,"&lt;="&amp;$B8))</f>
        <v>0</v>
      </c>
      <c r="E8" s="23" t="n">
        <f aca="false">IF(A8="","",Variables!$E$4*7)</f>
        <v>21</v>
      </c>
      <c r="F8" s="19" t="n">
        <f aca="false">IF(OR(A8="",E8=0),"",D8/E8)</f>
        <v>0</v>
      </c>
      <c r="G8" s="23" t="n">
        <f aca="false">IF(A8="","",COUNTIFS('AB Tests'!$C:$C,$C8,'AB Tests'!$B:$B,"&gt;="&amp;$A8,'AB Tests'!$B:$B,"&lt;="&amp;$B8))</f>
        <v>0</v>
      </c>
      <c r="H8" s="23" t="n">
        <f aca="false">IF(A8="","",COUNTIFS('AB Tests'!$C:$C,$C8,'AB Tests'!$B:$B,"&gt;="&amp;$A8,'AB Tests'!$B:$B,"&lt;="&amp;$B8,'AB Tests'!$R:$R,"B"))</f>
        <v>0</v>
      </c>
      <c r="I8" s="23" t="n">
        <f aca="false">IF(A8="","",SUMIFS(Uploads!$J:$J,Uploads!$B:$B,$C8,Uploads!$A:$A,"&gt;="&amp;$A8,Uploads!$A:$A,"&lt;="&amp;$B8))</f>
        <v>0</v>
      </c>
      <c r="J8" s="23" t="str">
        <f aca="false">IF(OR(A8="",D8=0),"",I8/D8)</f>
        <v/>
      </c>
      <c r="K8" s="19" t="str">
        <f aca="false">IF(A8="","",IFERROR(AVERAGEIFS(Uploads!$K:$K,Uploads!$B:$B,$C8,Uploads!$A:$A,"&gt;="&amp;$A8,Uploads!$A:$A,"&lt;="&amp;$B8),""))</f>
        <v/>
      </c>
      <c r="L8" s="23" t="n">
        <f aca="false">IF(A8="","",SUMIFS(Uploads!$N:$N,Uploads!$B:$B,$C8,Uploads!$A:$A,"&gt;="&amp;$A8,Uploads!$A:$A,"&lt;="&amp;$B8))</f>
        <v>0</v>
      </c>
      <c r="M8" s="23" t="n">
        <f aca="false">IF(A8="","",SUMIFS(Uploads!$P:$P,Uploads!$B:$B,$C8,Uploads!$A:$A,"&gt;="&amp;$A8,Uploads!$A:$A,"&lt;="&amp;$B8))</f>
        <v>0</v>
      </c>
      <c r="N8" s="23" t="n">
        <f aca="false">IF(A8="","",SUMIFS(Uploads!$Q:$Q,Uploads!$B:$B,$C8,Uploads!$A:$A,"&gt;="&amp;$A8,Uploads!$A:$A,"&lt;="&amp;$B8))</f>
        <v>0</v>
      </c>
    </row>
    <row r="9" customFormat="false" ht="15" hidden="false" customHeight="false" outlineLevel="0" collapsed="false">
      <c r="A9" s="11" t="n">
        <v>46335</v>
      </c>
      <c r="B9" s="22" t="n">
        <f aca="false">IF(A9="","",A9+6)</f>
        <v>46341</v>
      </c>
      <c r="C9" s="12" t="s">
        <v>41</v>
      </c>
      <c r="D9" s="23" t="n">
        <f aca="false">IF(A9="","",COUNTIFS(Uploads!$B:$B,$C9,Uploads!$A:$A,"&gt;="&amp;$A9,Uploads!$A:$A,"&lt;="&amp;$B9))</f>
        <v>0</v>
      </c>
      <c r="E9" s="23" t="n">
        <f aca="false">IF(A9="","",Variables!$E$4*7)</f>
        <v>21</v>
      </c>
      <c r="F9" s="19" t="n">
        <f aca="false">IF(OR(A9="",E9=0),"",D9/E9)</f>
        <v>0</v>
      </c>
      <c r="G9" s="23" t="n">
        <f aca="false">IF(A9="","",COUNTIFS('AB Tests'!$C:$C,$C9,'AB Tests'!$B:$B,"&gt;="&amp;$A9,'AB Tests'!$B:$B,"&lt;="&amp;$B9))</f>
        <v>0</v>
      </c>
      <c r="H9" s="23" t="n">
        <f aca="false">IF(A9="","",COUNTIFS('AB Tests'!$C:$C,$C9,'AB Tests'!$B:$B,"&gt;="&amp;$A9,'AB Tests'!$B:$B,"&lt;="&amp;$B9,'AB Tests'!$R:$R,"B"))</f>
        <v>0</v>
      </c>
      <c r="I9" s="23" t="n">
        <f aca="false">IF(A9="","",SUMIFS(Uploads!$J:$J,Uploads!$B:$B,$C9,Uploads!$A:$A,"&gt;="&amp;$A9,Uploads!$A:$A,"&lt;="&amp;$B9))</f>
        <v>0</v>
      </c>
      <c r="J9" s="23" t="str">
        <f aca="false">IF(OR(A9="",D9=0),"",I9/D9)</f>
        <v/>
      </c>
      <c r="K9" s="19" t="str">
        <f aca="false">IF(A9="","",IFERROR(AVERAGEIFS(Uploads!$K:$K,Uploads!$B:$B,$C9,Uploads!$A:$A,"&gt;="&amp;$A9,Uploads!$A:$A,"&lt;="&amp;$B9),""))</f>
        <v/>
      </c>
      <c r="L9" s="23" t="n">
        <f aca="false">IF(A9="","",SUMIFS(Uploads!$N:$N,Uploads!$B:$B,$C9,Uploads!$A:$A,"&gt;="&amp;$A9,Uploads!$A:$A,"&lt;="&amp;$B9))</f>
        <v>0</v>
      </c>
      <c r="M9" s="23" t="n">
        <f aca="false">IF(A9="","",SUMIFS(Uploads!$P:$P,Uploads!$B:$B,$C9,Uploads!$A:$A,"&gt;="&amp;$A9,Uploads!$A:$A,"&lt;="&amp;$B9))</f>
        <v>0</v>
      </c>
      <c r="N9" s="23" t="n">
        <f aca="false">IF(A9="","",SUMIFS(Uploads!$Q:$Q,Uploads!$B:$B,$C9,Uploads!$A:$A,"&gt;="&amp;$A9,Uploads!$A:$A,"&lt;="&amp;$B9))</f>
        <v>0</v>
      </c>
    </row>
    <row r="10" customFormat="false" ht="15" hidden="false" customHeight="false" outlineLevel="0" collapsed="false">
      <c r="A10" s="11" t="n">
        <v>46335</v>
      </c>
      <c r="B10" s="22" t="n">
        <f aca="false">IF(A10="","",A10+6)</f>
        <v>46341</v>
      </c>
      <c r="C10" s="12" t="s">
        <v>31</v>
      </c>
      <c r="D10" s="23" t="n">
        <f aca="false">IF(A10="","",COUNTIFS(Uploads!$B:$B,$C10,Uploads!$A:$A,"&gt;="&amp;$A10,Uploads!$A:$A,"&lt;="&amp;$B10))</f>
        <v>0</v>
      </c>
      <c r="E10" s="23" t="n">
        <f aca="false">IF(A10="","",Variables!$E$4*7)</f>
        <v>21</v>
      </c>
      <c r="F10" s="19" t="n">
        <f aca="false">IF(OR(A10="",E10=0),"",D10/E10)</f>
        <v>0</v>
      </c>
      <c r="G10" s="23" t="n">
        <f aca="false">IF(A10="","",COUNTIFS('AB Tests'!$C:$C,$C10,'AB Tests'!$B:$B,"&gt;="&amp;$A10,'AB Tests'!$B:$B,"&lt;="&amp;$B10))</f>
        <v>0</v>
      </c>
      <c r="H10" s="23" t="n">
        <f aca="false">IF(A10="","",COUNTIFS('AB Tests'!$C:$C,$C10,'AB Tests'!$B:$B,"&gt;="&amp;$A10,'AB Tests'!$B:$B,"&lt;="&amp;$B10,'AB Tests'!$R:$R,"B"))</f>
        <v>0</v>
      </c>
      <c r="I10" s="23" t="n">
        <f aca="false">IF(A10="","",SUMIFS(Uploads!$J:$J,Uploads!$B:$B,$C10,Uploads!$A:$A,"&gt;="&amp;$A10,Uploads!$A:$A,"&lt;="&amp;$B10))</f>
        <v>0</v>
      </c>
      <c r="J10" s="23" t="str">
        <f aca="false">IF(OR(A10="",D10=0),"",I10/D10)</f>
        <v/>
      </c>
      <c r="K10" s="19" t="str">
        <f aca="false">IF(A10="","",IFERROR(AVERAGEIFS(Uploads!$K:$K,Uploads!$B:$B,$C10,Uploads!$A:$A,"&gt;="&amp;$A10,Uploads!$A:$A,"&lt;="&amp;$B10),""))</f>
        <v/>
      </c>
      <c r="L10" s="23" t="n">
        <f aca="false">IF(A10="","",SUMIFS(Uploads!$N:$N,Uploads!$B:$B,$C10,Uploads!$A:$A,"&gt;="&amp;$A10,Uploads!$A:$A,"&lt;="&amp;$B10))</f>
        <v>0</v>
      </c>
      <c r="M10" s="23" t="n">
        <f aca="false">IF(A10="","",SUMIFS(Uploads!$P:$P,Uploads!$B:$B,$C10,Uploads!$A:$A,"&gt;="&amp;$A10,Uploads!$A:$A,"&lt;="&amp;$B10))</f>
        <v>0</v>
      </c>
      <c r="N10" s="23" t="n">
        <f aca="false">IF(A10="","",SUMIFS(Uploads!$Q:$Q,Uploads!$B:$B,$C10,Uploads!$A:$A,"&gt;="&amp;$A10,Uploads!$A:$A,"&lt;="&amp;$B10))</f>
        <v>0</v>
      </c>
    </row>
    <row r="11" customFormat="false" ht="15" hidden="false" customHeight="false" outlineLevel="0" collapsed="false">
      <c r="A11" s="11" t="n">
        <v>46342</v>
      </c>
      <c r="B11" s="22" t="n">
        <f aca="false">IF(A11="","",A11+6)</f>
        <v>46348</v>
      </c>
      <c r="C11" s="12" t="s">
        <v>38</v>
      </c>
      <c r="D11" s="23" t="n">
        <f aca="false">IF(A11="","",COUNTIFS(Uploads!$B:$B,$C11,Uploads!$A:$A,"&gt;="&amp;$A11,Uploads!$A:$A,"&lt;="&amp;$B11))</f>
        <v>0</v>
      </c>
      <c r="E11" s="23" t="n">
        <f aca="false">IF(A11="","",Variables!$E$4*7)</f>
        <v>21</v>
      </c>
      <c r="F11" s="19" t="n">
        <f aca="false">IF(OR(A11="",E11=0),"",D11/E11)</f>
        <v>0</v>
      </c>
      <c r="G11" s="23" t="n">
        <f aca="false">IF(A11="","",COUNTIFS('AB Tests'!$C:$C,$C11,'AB Tests'!$B:$B,"&gt;="&amp;$A11,'AB Tests'!$B:$B,"&lt;="&amp;$B11))</f>
        <v>0</v>
      </c>
      <c r="H11" s="23" t="n">
        <f aca="false">IF(A11="","",COUNTIFS('AB Tests'!$C:$C,$C11,'AB Tests'!$B:$B,"&gt;="&amp;$A11,'AB Tests'!$B:$B,"&lt;="&amp;$B11,'AB Tests'!$R:$R,"B"))</f>
        <v>0</v>
      </c>
      <c r="I11" s="23" t="n">
        <f aca="false">IF(A11="","",SUMIFS(Uploads!$J:$J,Uploads!$B:$B,$C11,Uploads!$A:$A,"&gt;="&amp;$A11,Uploads!$A:$A,"&lt;="&amp;$B11))</f>
        <v>0</v>
      </c>
      <c r="J11" s="23" t="str">
        <f aca="false">IF(OR(A11="",D11=0),"",I11/D11)</f>
        <v/>
      </c>
      <c r="K11" s="19" t="str">
        <f aca="false">IF(A11="","",IFERROR(AVERAGEIFS(Uploads!$K:$K,Uploads!$B:$B,$C11,Uploads!$A:$A,"&gt;="&amp;$A11,Uploads!$A:$A,"&lt;="&amp;$B11),""))</f>
        <v/>
      </c>
      <c r="L11" s="23" t="n">
        <f aca="false">IF(A11="","",SUMIFS(Uploads!$N:$N,Uploads!$B:$B,$C11,Uploads!$A:$A,"&gt;="&amp;$A11,Uploads!$A:$A,"&lt;="&amp;$B11))</f>
        <v>0</v>
      </c>
      <c r="M11" s="23" t="n">
        <f aca="false">IF(A11="","",SUMIFS(Uploads!$P:$P,Uploads!$B:$B,$C11,Uploads!$A:$A,"&gt;="&amp;$A11,Uploads!$A:$A,"&lt;="&amp;$B11))</f>
        <v>0</v>
      </c>
      <c r="N11" s="23" t="n">
        <f aca="false">IF(A11="","",SUMIFS(Uploads!$Q:$Q,Uploads!$B:$B,$C11,Uploads!$A:$A,"&gt;="&amp;$A11,Uploads!$A:$A,"&lt;="&amp;$B11))</f>
        <v>0</v>
      </c>
    </row>
    <row r="12" customFormat="false" ht="15" hidden="false" customHeight="false" outlineLevel="0" collapsed="false">
      <c r="A12" s="11" t="n">
        <v>46342</v>
      </c>
      <c r="B12" s="22" t="n">
        <f aca="false">IF(A12="","",A12+6)</f>
        <v>46348</v>
      </c>
      <c r="C12" s="12" t="s">
        <v>41</v>
      </c>
      <c r="D12" s="23" t="n">
        <f aca="false">IF(A12="","",COUNTIFS(Uploads!$B:$B,$C12,Uploads!$A:$A,"&gt;="&amp;$A12,Uploads!$A:$A,"&lt;="&amp;$B12))</f>
        <v>0</v>
      </c>
      <c r="E12" s="23" t="n">
        <f aca="false">IF(A12="","",Variables!$E$4*7)</f>
        <v>21</v>
      </c>
      <c r="F12" s="19" t="n">
        <f aca="false">IF(OR(A12="",E12=0),"",D12/E12)</f>
        <v>0</v>
      </c>
      <c r="G12" s="23" t="n">
        <f aca="false">IF(A12="","",COUNTIFS('AB Tests'!$C:$C,$C12,'AB Tests'!$B:$B,"&gt;="&amp;$A12,'AB Tests'!$B:$B,"&lt;="&amp;$B12))</f>
        <v>0</v>
      </c>
      <c r="H12" s="23" t="n">
        <f aca="false">IF(A12="","",COUNTIFS('AB Tests'!$C:$C,$C12,'AB Tests'!$B:$B,"&gt;="&amp;$A12,'AB Tests'!$B:$B,"&lt;="&amp;$B12,'AB Tests'!$R:$R,"B"))</f>
        <v>0</v>
      </c>
      <c r="I12" s="23" t="n">
        <f aca="false">IF(A12="","",SUMIFS(Uploads!$J:$J,Uploads!$B:$B,$C12,Uploads!$A:$A,"&gt;="&amp;$A12,Uploads!$A:$A,"&lt;="&amp;$B12))</f>
        <v>0</v>
      </c>
      <c r="J12" s="23" t="str">
        <f aca="false">IF(OR(A12="",D12=0),"",I12/D12)</f>
        <v/>
      </c>
      <c r="K12" s="19" t="str">
        <f aca="false">IF(A12="","",IFERROR(AVERAGEIFS(Uploads!$K:$K,Uploads!$B:$B,$C12,Uploads!$A:$A,"&gt;="&amp;$A12,Uploads!$A:$A,"&lt;="&amp;$B12),""))</f>
        <v/>
      </c>
      <c r="L12" s="23" t="n">
        <f aca="false">IF(A12="","",SUMIFS(Uploads!$N:$N,Uploads!$B:$B,$C12,Uploads!$A:$A,"&gt;="&amp;$A12,Uploads!$A:$A,"&lt;="&amp;$B12))</f>
        <v>0</v>
      </c>
      <c r="M12" s="23" t="n">
        <f aca="false">IF(A12="","",SUMIFS(Uploads!$P:$P,Uploads!$B:$B,$C12,Uploads!$A:$A,"&gt;="&amp;$A12,Uploads!$A:$A,"&lt;="&amp;$B12))</f>
        <v>0</v>
      </c>
      <c r="N12" s="23" t="n">
        <f aca="false">IF(A12="","",SUMIFS(Uploads!$Q:$Q,Uploads!$B:$B,$C12,Uploads!$A:$A,"&gt;="&amp;$A12,Uploads!$A:$A,"&lt;="&amp;$B12))</f>
        <v>0</v>
      </c>
    </row>
    <row r="13" customFormat="false" ht="15" hidden="false" customHeight="false" outlineLevel="0" collapsed="false">
      <c r="A13" s="11" t="n">
        <v>46342</v>
      </c>
      <c r="B13" s="22" t="n">
        <f aca="false">IF(A13="","",A13+6)</f>
        <v>46348</v>
      </c>
      <c r="C13" s="12" t="s">
        <v>31</v>
      </c>
      <c r="D13" s="23" t="n">
        <f aca="false">IF(A13="","",COUNTIFS(Uploads!$B:$B,$C13,Uploads!$A:$A,"&gt;="&amp;$A13,Uploads!$A:$A,"&lt;="&amp;$B13))</f>
        <v>0</v>
      </c>
      <c r="E13" s="23" t="n">
        <f aca="false">IF(A13="","",Variables!$E$4*7)</f>
        <v>21</v>
      </c>
      <c r="F13" s="19" t="n">
        <f aca="false">IF(OR(A13="",E13=0),"",D13/E13)</f>
        <v>0</v>
      </c>
      <c r="G13" s="23" t="n">
        <f aca="false">IF(A13="","",COUNTIFS('AB Tests'!$C:$C,$C13,'AB Tests'!$B:$B,"&gt;="&amp;$A13,'AB Tests'!$B:$B,"&lt;="&amp;$B13))</f>
        <v>0</v>
      </c>
      <c r="H13" s="23" t="n">
        <f aca="false">IF(A13="","",COUNTIFS('AB Tests'!$C:$C,$C13,'AB Tests'!$B:$B,"&gt;="&amp;$A13,'AB Tests'!$B:$B,"&lt;="&amp;$B13,'AB Tests'!$R:$R,"B"))</f>
        <v>0</v>
      </c>
      <c r="I13" s="23" t="n">
        <f aca="false">IF(A13="","",SUMIFS(Uploads!$J:$J,Uploads!$B:$B,$C13,Uploads!$A:$A,"&gt;="&amp;$A13,Uploads!$A:$A,"&lt;="&amp;$B13))</f>
        <v>0</v>
      </c>
      <c r="J13" s="23" t="str">
        <f aca="false">IF(OR(A13="",D13=0),"",I13/D13)</f>
        <v/>
      </c>
      <c r="K13" s="19" t="str">
        <f aca="false">IF(A13="","",IFERROR(AVERAGEIFS(Uploads!$K:$K,Uploads!$B:$B,$C13,Uploads!$A:$A,"&gt;="&amp;$A13,Uploads!$A:$A,"&lt;="&amp;$B13),""))</f>
        <v/>
      </c>
      <c r="L13" s="23" t="n">
        <f aca="false">IF(A13="","",SUMIFS(Uploads!$N:$N,Uploads!$B:$B,$C13,Uploads!$A:$A,"&gt;="&amp;$A13,Uploads!$A:$A,"&lt;="&amp;$B13))</f>
        <v>0</v>
      </c>
      <c r="M13" s="23" t="n">
        <f aca="false">IF(A13="","",SUMIFS(Uploads!$P:$P,Uploads!$B:$B,$C13,Uploads!$A:$A,"&gt;="&amp;$A13,Uploads!$A:$A,"&lt;="&amp;$B13))</f>
        <v>0</v>
      </c>
      <c r="N13" s="23" t="n">
        <f aca="false">IF(A13="","",SUMIFS(Uploads!$Q:$Q,Uploads!$B:$B,$C13,Uploads!$A:$A,"&gt;="&amp;$A13,Uploads!$A:$A,"&lt;="&amp;$B13))</f>
        <v>0</v>
      </c>
    </row>
    <row r="14" customFormat="false" ht="15" hidden="false" customHeight="false" outlineLevel="0" collapsed="false">
      <c r="A14" s="11" t="n">
        <v>46349</v>
      </c>
      <c r="B14" s="22" t="n">
        <f aca="false">IF(A14="","",A14+6)</f>
        <v>46355</v>
      </c>
      <c r="C14" s="12" t="s">
        <v>38</v>
      </c>
      <c r="D14" s="23" t="n">
        <f aca="false">IF(A14="","",COUNTIFS(Uploads!$B:$B,$C14,Uploads!$A:$A,"&gt;="&amp;$A14,Uploads!$A:$A,"&lt;="&amp;$B14))</f>
        <v>0</v>
      </c>
      <c r="E14" s="23" t="n">
        <f aca="false">IF(A14="","",Variables!$E$4*7)</f>
        <v>21</v>
      </c>
      <c r="F14" s="19" t="n">
        <f aca="false">IF(OR(A14="",E14=0),"",D14/E14)</f>
        <v>0</v>
      </c>
      <c r="G14" s="23" t="n">
        <f aca="false">IF(A14="","",COUNTIFS('AB Tests'!$C:$C,$C14,'AB Tests'!$B:$B,"&gt;="&amp;$A14,'AB Tests'!$B:$B,"&lt;="&amp;$B14))</f>
        <v>0</v>
      </c>
      <c r="H14" s="23" t="n">
        <f aca="false">IF(A14="","",COUNTIFS('AB Tests'!$C:$C,$C14,'AB Tests'!$B:$B,"&gt;="&amp;$A14,'AB Tests'!$B:$B,"&lt;="&amp;$B14,'AB Tests'!$R:$R,"B"))</f>
        <v>0</v>
      </c>
      <c r="I14" s="23" t="n">
        <f aca="false">IF(A14="","",SUMIFS(Uploads!$J:$J,Uploads!$B:$B,$C14,Uploads!$A:$A,"&gt;="&amp;$A14,Uploads!$A:$A,"&lt;="&amp;$B14))</f>
        <v>0</v>
      </c>
      <c r="J14" s="23" t="str">
        <f aca="false">IF(OR(A14="",D14=0),"",I14/D14)</f>
        <v/>
      </c>
      <c r="K14" s="19" t="str">
        <f aca="false">IF(A14="","",IFERROR(AVERAGEIFS(Uploads!$K:$K,Uploads!$B:$B,$C14,Uploads!$A:$A,"&gt;="&amp;$A14,Uploads!$A:$A,"&lt;="&amp;$B14),""))</f>
        <v/>
      </c>
      <c r="L14" s="23" t="n">
        <f aca="false">IF(A14="","",SUMIFS(Uploads!$N:$N,Uploads!$B:$B,$C14,Uploads!$A:$A,"&gt;="&amp;$A14,Uploads!$A:$A,"&lt;="&amp;$B14))</f>
        <v>0</v>
      </c>
      <c r="M14" s="23" t="n">
        <f aca="false">IF(A14="","",SUMIFS(Uploads!$P:$P,Uploads!$B:$B,$C14,Uploads!$A:$A,"&gt;="&amp;$A14,Uploads!$A:$A,"&lt;="&amp;$B14))</f>
        <v>0</v>
      </c>
      <c r="N14" s="23" t="n">
        <f aca="false">IF(A14="","",SUMIFS(Uploads!$Q:$Q,Uploads!$B:$B,$C14,Uploads!$A:$A,"&gt;="&amp;$A14,Uploads!$A:$A,"&lt;="&amp;$B14))</f>
        <v>0</v>
      </c>
    </row>
    <row r="15" customFormat="false" ht="15" hidden="false" customHeight="false" outlineLevel="0" collapsed="false">
      <c r="A15" s="11" t="n">
        <v>46349</v>
      </c>
      <c r="B15" s="22" t="n">
        <f aca="false">IF(A15="","",A15+6)</f>
        <v>46355</v>
      </c>
      <c r="C15" s="12" t="s">
        <v>41</v>
      </c>
      <c r="D15" s="23" t="n">
        <f aca="false">IF(A15="","",COUNTIFS(Uploads!$B:$B,$C15,Uploads!$A:$A,"&gt;="&amp;$A15,Uploads!$A:$A,"&lt;="&amp;$B15))</f>
        <v>0</v>
      </c>
      <c r="E15" s="23" t="n">
        <f aca="false">IF(A15="","",Variables!$E$4*7)</f>
        <v>21</v>
      </c>
      <c r="F15" s="19" t="n">
        <f aca="false">IF(OR(A15="",E15=0),"",D15/E15)</f>
        <v>0</v>
      </c>
      <c r="G15" s="23" t="n">
        <f aca="false">IF(A15="","",COUNTIFS('AB Tests'!$C:$C,$C15,'AB Tests'!$B:$B,"&gt;="&amp;$A15,'AB Tests'!$B:$B,"&lt;="&amp;$B15))</f>
        <v>0</v>
      </c>
      <c r="H15" s="23" t="n">
        <f aca="false">IF(A15="","",COUNTIFS('AB Tests'!$C:$C,$C15,'AB Tests'!$B:$B,"&gt;="&amp;$A15,'AB Tests'!$B:$B,"&lt;="&amp;$B15,'AB Tests'!$R:$R,"B"))</f>
        <v>0</v>
      </c>
      <c r="I15" s="23" t="n">
        <f aca="false">IF(A15="","",SUMIFS(Uploads!$J:$J,Uploads!$B:$B,$C15,Uploads!$A:$A,"&gt;="&amp;$A15,Uploads!$A:$A,"&lt;="&amp;$B15))</f>
        <v>0</v>
      </c>
      <c r="J15" s="23" t="str">
        <f aca="false">IF(OR(A15="",D15=0),"",I15/D15)</f>
        <v/>
      </c>
      <c r="K15" s="19" t="str">
        <f aca="false">IF(A15="","",IFERROR(AVERAGEIFS(Uploads!$K:$K,Uploads!$B:$B,$C15,Uploads!$A:$A,"&gt;="&amp;$A15,Uploads!$A:$A,"&lt;="&amp;$B15),""))</f>
        <v/>
      </c>
      <c r="L15" s="23" t="n">
        <f aca="false">IF(A15="","",SUMIFS(Uploads!$N:$N,Uploads!$B:$B,$C15,Uploads!$A:$A,"&gt;="&amp;$A15,Uploads!$A:$A,"&lt;="&amp;$B15))</f>
        <v>0</v>
      </c>
      <c r="M15" s="23" t="n">
        <f aca="false">IF(A15="","",SUMIFS(Uploads!$P:$P,Uploads!$B:$B,$C15,Uploads!$A:$A,"&gt;="&amp;$A15,Uploads!$A:$A,"&lt;="&amp;$B15))</f>
        <v>0</v>
      </c>
      <c r="N15" s="23" t="n">
        <f aca="false">IF(A15="","",SUMIFS(Uploads!$Q:$Q,Uploads!$B:$B,$C15,Uploads!$A:$A,"&gt;="&amp;$A15,Uploads!$A:$A,"&lt;="&amp;$B15))</f>
        <v>0</v>
      </c>
    </row>
    <row r="16" customFormat="false" ht="15" hidden="false" customHeight="false" outlineLevel="0" collapsed="false">
      <c r="A16" s="11" t="n">
        <v>46349</v>
      </c>
      <c r="B16" s="22" t="n">
        <f aca="false">IF(A16="","",A16+6)</f>
        <v>46355</v>
      </c>
      <c r="C16" s="12" t="s">
        <v>31</v>
      </c>
      <c r="D16" s="23" t="n">
        <f aca="false">IF(A16="","",COUNTIFS(Uploads!$B:$B,$C16,Uploads!$A:$A,"&gt;="&amp;$A16,Uploads!$A:$A,"&lt;="&amp;$B16))</f>
        <v>0</v>
      </c>
      <c r="E16" s="23" t="n">
        <f aca="false">IF(A16="","",Variables!$E$4*7)</f>
        <v>21</v>
      </c>
      <c r="F16" s="19" t="n">
        <f aca="false">IF(OR(A16="",E16=0),"",D16/E16)</f>
        <v>0</v>
      </c>
      <c r="G16" s="23" t="n">
        <f aca="false">IF(A16="","",COUNTIFS('AB Tests'!$C:$C,$C16,'AB Tests'!$B:$B,"&gt;="&amp;$A16,'AB Tests'!$B:$B,"&lt;="&amp;$B16))</f>
        <v>0</v>
      </c>
      <c r="H16" s="23" t="n">
        <f aca="false">IF(A16="","",COUNTIFS('AB Tests'!$C:$C,$C16,'AB Tests'!$B:$B,"&gt;="&amp;$A16,'AB Tests'!$B:$B,"&lt;="&amp;$B16,'AB Tests'!$R:$R,"B"))</f>
        <v>0</v>
      </c>
      <c r="I16" s="23" t="n">
        <f aca="false">IF(A16="","",SUMIFS(Uploads!$J:$J,Uploads!$B:$B,$C16,Uploads!$A:$A,"&gt;="&amp;$A16,Uploads!$A:$A,"&lt;="&amp;$B16))</f>
        <v>0</v>
      </c>
      <c r="J16" s="23" t="str">
        <f aca="false">IF(OR(A16="",D16=0),"",I16/D16)</f>
        <v/>
      </c>
      <c r="K16" s="19" t="str">
        <f aca="false">IF(A16="","",IFERROR(AVERAGEIFS(Uploads!$K:$K,Uploads!$B:$B,$C16,Uploads!$A:$A,"&gt;="&amp;$A16,Uploads!$A:$A,"&lt;="&amp;$B16),""))</f>
        <v/>
      </c>
      <c r="L16" s="23" t="n">
        <f aca="false">IF(A16="","",SUMIFS(Uploads!$N:$N,Uploads!$B:$B,$C16,Uploads!$A:$A,"&gt;="&amp;$A16,Uploads!$A:$A,"&lt;="&amp;$B16))</f>
        <v>0</v>
      </c>
      <c r="M16" s="23" t="n">
        <f aca="false">IF(A16="","",SUMIFS(Uploads!$P:$P,Uploads!$B:$B,$C16,Uploads!$A:$A,"&gt;="&amp;$A16,Uploads!$A:$A,"&lt;="&amp;$B16))</f>
        <v>0</v>
      </c>
      <c r="N16" s="23" t="n">
        <f aca="false">IF(A16="","",SUMIFS(Uploads!$Q:$Q,Uploads!$B:$B,$C16,Uploads!$A:$A,"&gt;="&amp;$A16,Uploads!$A:$A,"&lt;="&amp;$B16))</f>
        <v>0</v>
      </c>
    </row>
    <row r="17" customFormat="false" ht="15" hidden="false" customHeight="false" outlineLevel="0" collapsed="false">
      <c r="A17" s="11" t="n">
        <v>46356</v>
      </c>
      <c r="B17" s="22" t="n">
        <f aca="false">IF(A17="","",A17+6)</f>
        <v>46362</v>
      </c>
      <c r="C17" s="12" t="s">
        <v>38</v>
      </c>
      <c r="D17" s="23" t="n">
        <f aca="false">IF(A17="","",COUNTIFS(Uploads!$B:$B,$C17,Uploads!$A:$A,"&gt;="&amp;$A17,Uploads!$A:$A,"&lt;="&amp;$B17))</f>
        <v>0</v>
      </c>
      <c r="E17" s="23" t="n">
        <f aca="false">IF(A17="","",Variables!$E$4*7)</f>
        <v>21</v>
      </c>
      <c r="F17" s="19" t="n">
        <f aca="false">IF(OR(A17="",E17=0),"",D17/E17)</f>
        <v>0</v>
      </c>
      <c r="G17" s="23" t="n">
        <f aca="false">IF(A17="","",COUNTIFS('AB Tests'!$C:$C,$C17,'AB Tests'!$B:$B,"&gt;="&amp;$A17,'AB Tests'!$B:$B,"&lt;="&amp;$B17))</f>
        <v>0</v>
      </c>
      <c r="H17" s="23" t="n">
        <f aca="false">IF(A17="","",COUNTIFS('AB Tests'!$C:$C,$C17,'AB Tests'!$B:$B,"&gt;="&amp;$A17,'AB Tests'!$B:$B,"&lt;="&amp;$B17,'AB Tests'!$R:$R,"B"))</f>
        <v>0</v>
      </c>
      <c r="I17" s="23" t="n">
        <f aca="false">IF(A17="","",SUMIFS(Uploads!$J:$J,Uploads!$B:$B,$C17,Uploads!$A:$A,"&gt;="&amp;$A17,Uploads!$A:$A,"&lt;="&amp;$B17))</f>
        <v>0</v>
      </c>
      <c r="J17" s="23" t="str">
        <f aca="false">IF(OR(A17="",D17=0),"",I17/D17)</f>
        <v/>
      </c>
      <c r="K17" s="19" t="str">
        <f aca="false">IF(A17="","",IFERROR(AVERAGEIFS(Uploads!$K:$K,Uploads!$B:$B,$C17,Uploads!$A:$A,"&gt;="&amp;$A17,Uploads!$A:$A,"&lt;="&amp;$B17),""))</f>
        <v/>
      </c>
      <c r="L17" s="23" t="n">
        <f aca="false">IF(A17="","",SUMIFS(Uploads!$N:$N,Uploads!$B:$B,$C17,Uploads!$A:$A,"&gt;="&amp;$A17,Uploads!$A:$A,"&lt;="&amp;$B17))</f>
        <v>0</v>
      </c>
      <c r="M17" s="23" t="n">
        <f aca="false">IF(A17="","",SUMIFS(Uploads!$P:$P,Uploads!$B:$B,$C17,Uploads!$A:$A,"&gt;="&amp;$A17,Uploads!$A:$A,"&lt;="&amp;$B17))</f>
        <v>0</v>
      </c>
      <c r="N17" s="23" t="n">
        <f aca="false">IF(A17="","",SUMIFS(Uploads!$Q:$Q,Uploads!$B:$B,$C17,Uploads!$A:$A,"&gt;="&amp;$A17,Uploads!$A:$A,"&lt;="&amp;$B17))</f>
        <v>0</v>
      </c>
    </row>
    <row r="18" customFormat="false" ht="15" hidden="false" customHeight="false" outlineLevel="0" collapsed="false">
      <c r="A18" s="11" t="n">
        <v>46356</v>
      </c>
      <c r="B18" s="22" t="n">
        <f aca="false">IF(A18="","",A18+6)</f>
        <v>46362</v>
      </c>
      <c r="C18" s="12" t="s">
        <v>41</v>
      </c>
      <c r="D18" s="23" t="n">
        <f aca="false">IF(A18="","",COUNTIFS(Uploads!$B:$B,$C18,Uploads!$A:$A,"&gt;="&amp;$A18,Uploads!$A:$A,"&lt;="&amp;$B18))</f>
        <v>0</v>
      </c>
      <c r="E18" s="23" t="n">
        <f aca="false">IF(A18="","",Variables!$E$4*7)</f>
        <v>21</v>
      </c>
      <c r="F18" s="19" t="n">
        <f aca="false">IF(OR(A18="",E18=0),"",D18/E18)</f>
        <v>0</v>
      </c>
      <c r="G18" s="23" t="n">
        <f aca="false">IF(A18="","",COUNTIFS('AB Tests'!$C:$C,$C18,'AB Tests'!$B:$B,"&gt;="&amp;$A18,'AB Tests'!$B:$B,"&lt;="&amp;$B18))</f>
        <v>0</v>
      </c>
      <c r="H18" s="23" t="n">
        <f aca="false">IF(A18="","",COUNTIFS('AB Tests'!$C:$C,$C18,'AB Tests'!$B:$B,"&gt;="&amp;$A18,'AB Tests'!$B:$B,"&lt;="&amp;$B18,'AB Tests'!$R:$R,"B"))</f>
        <v>0</v>
      </c>
      <c r="I18" s="23" t="n">
        <f aca="false">IF(A18="","",SUMIFS(Uploads!$J:$J,Uploads!$B:$B,$C18,Uploads!$A:$A,"&gt;="&amp;$A18,Uploads!$A:$A,"&lt;="&amp;$B18))</f>
        <v>0</v>
      </c>
      <c r="J18" s="23" t="str">
        <f aca="false">IF(OR(A18="",D18=0),"",I18/D18)</f>
        <v/>
      </c>
      <c r="K18" s="19" t="str">
        <f aca="false">IF(A18="","",IFERROR(AVERAGEIFS(Uploads!$K:$K,Uploads!$B:$B,$C18,Uploads!$A:$A,"&gt;="&amp;$A18,Uploads!$A:$A,"&lt;="&amp;$B18),""))</f>
        <v/>
      </c>
      <c r="L18" s="23" t="n">
        <f aca="false">IF(A18="","",SUMIFS(Uploads!$N:$N,Uploads!$B:$B,$C18,Uploads!$A:$A,"&gt;="&amp;$A18,Uploads!$A:$A,"&lt;="&amp;$B18))</f>
        <v>0</v>
      </c>
      <c r="M18" s="23" t="n">
        <f aca="false">IF(A18="","",SUMIFS(Uploads!$P:$P,Uploads!$B:$B,$C18,Uploads!$A:$A,"&gt;="&amp;$A18,Uploads!$A:$A,"&lt;="&amp;$B18))</f>
        <v>0</v>
      </c>
      <c r="N18" s="23" t="n">
        <f aca="false">IF(A18="","",SUMIFS(Uploads!$Q:$Q,Uploads!$B:$B,$C18,Uploads!$A:$A,"&gt;="&amp;$A18,Uploads!$A:$A,"&lt;="&amp;$B18))</f>
        <v>0</v>
      </c>
    </row>
    <row r="19" customFormat="false" ht="15" hidden="false" customHeight="false" outlineLevel="0" collapsed="false">
      <c r="A19" s="11" t="n">
        <v>46356</v>
      </c>
      <c r="B19" s="22" t="n">
        <f aca="false">IF(A19="","",A19+6)</f>
        <v>46362</v>
      </c>
      <c r="C19" s="12" t="s">
        <v>31</v>
      </c>
      <c r="D19" s="23" t="n">
        <f aca="false">IF(A19="","",COUNTIFS(Uploads!$B:$B,$C19,Uploads!$A:$A,"&gt;="&amp;$A19,Uploads!$A:$A,"&lt;="&amp;$B19))</f>
        <v>0</v>
      </c>
      <c r="E19" s="23" t="n">
        <f aca="false">IF(A19="","",Variables!$E$4*7)</f>
        <v>21</v>
      </c>
      <c r="F19" s="19" t="n">
        <f aca="false">IF(OR(A19="",E19=0),"",D19/E19)</f>
        <v>0</v>
      </c>
      <c r="G19" s="23" t="n">
        <f aca="false">IF(A19="","",COUNTIFS('AB Tests'!$C:$C,$C19,'AB Tests'!$B:$B,"&gt;="&amp;$A19,'AB Tests'!$B:$B,"&lt;="&amp;$B19))</f>
        <v>0</v>
      </c>
      <c r="H19" s="23" t="n">
        <f aca="false">IF(A19="","",COUNTIFS('AB Tests'!$C:$C,$C19,'AB Tests'!$B:$B,"&gt;="&amp;$A19,'AB Tests'!$B:$B,"&lt;="&amp;$B19,'AB Tests'!$R:$R,"B"))</f>
        <v>0</v>
      </c>
      <c r="I19" s="23" t="n">
        <f aca="false">IF(A19="","",SUMIFS(Uploads!$J:$J,Uploads!$B:$B,$C19,Uploads!$A:$A,"&gt;="&amp;$A19,Uploads!$A:$A,"&lt;="&amp;$B19))</f>
        <v>0</v>
      </c>
      <c r="J19" s="23" t="str">
        <f aca="false">IF(OR(A19="",D19=0),"",I19/D19)</f>
        <v/>
      </c>
      <c r="K19" s="19" t="str">
        <f aca="false">IF(A19="","",IFERROR(AVERAGEIFS(Uploads!$K:$K,Uploads!$B:$B,$C19,Uploads!$A:$A,"&gt;="&amp;$A19,Uploads!$A:$A,"&lt;="&amp;$B19),""))</f>
        <v/>
      </c>
      <c r="L19" s="23" t="n">
        <f aca="false">IF(A19="","",SUMIFS(Uploads!$N:$N,Uploads!$B:$B,$C19,Uploads!$A:$A,"&gt;="&amp;$A19,Uploads!$A:$A,"&lt;="&amp;$B19))</f>
        <v>0</v>
      </c>
      <c r="M19" s="23" t="n">
        <f aca="false">IF(A19="","",SUMIFS(Uploads!$P:$P,Uploads!$B:$B,$C19,Uploads!$A:$A,"&gt;="&amp;$A19,Uploads!$A:$A,"&lt;="&amp;$B19))</f>
        <v>0</v>
      </c>
      <c r="N19" s="23" t="n">
        <f aca="false">IF(A19="","",SUMIFS(Uploads!$Q:$Q,Uploads!$B:$B,$C19,Uploads!$A:$A,"&gt;="&amp;$A19,Uploads!$A:$A,"&lt;="&amp;$B19))</f>
        <v>0</v>
      </c>
    </row>
    <row r="20" customFormat="false" ht="15" hidden="false" customHeight="false" outlineLevel="0" collapsed="false">
      <c r="A20" s="11" t="n">
        <v>46363</v>
      </c>
      <c r="B20" s="22" t="n">
        <f aca="false">IF(A20="","",A20+6)</f>
        <v>46369</v>
      </c>
      <c r="C20" s="12" t="s">
        <v>38</v>
      </c>
      <c r="D20" s="23" t="n">
        <f aca="false">IF(A20="","",COUNTIFS(Uploads!$B:$B,$C20,Uploads!$A:$A,"&gt;="&amp;$A20,Uploads!$A:$A,"&lt;="&amp;$B20))</f>
        <v>0</v>
      </c>
      <c r="E20" s="23" t="n">
        <f aca="false">IF(A20="","",Variables!$E$4*7)</f>
        <v>21</v>
      </c>
      <c r="F20" s="19" t="n">
        <f aca="false">IF(OR(A20="",E20=0),"",D20/E20)</f>
        <v>0</v>
      </c>
      <c r="G20" s="23" t="n">
        <f aca="false">IF(A20="","",COUNTIFS('AB Tests'!$C:$C,$C20,'AB Tests'!$B:$B,"&gt;="&amp;$A20,'AB Tests'!$B:$B,"&lt;="&amp;$B20))</f>
        <v>0</v>
      </c>
      <c r="H20" s="23" t="n">
        <f aca="false">IF(A20="","",COUNTIFS('AB Tests'!$C:$C,$C20,'AB Tests'!$B:$B,"&gt;="&amp;$A20,'AB Tests'!$B:$B,"&lt;="&amp;$B20,'AB Tests'!$R:$R,"B"))</f>
        <v>0</v>
      </c>
      <c r="I20" s="23" t="n">
        <f aca="false">IF(A20="","",SUMIFS(Uploads!$J:$J,Uploads!$B:$B,$C20,Uploads!$A:$A,"&gt;="&amp;$A20,Uploads!$A:$A,"&lt;="&amp;$B20))</f>
        <v>0</v>
      </c>
      <c r="J20" s="23" t="str">
        <f aca="false">IF(OR(A20="",D20=0),"",I20/D20)</f>
        <v/>
      </c>
      <c r="K20" s="19" t="str">
        <f aca="false">IF(A20="","",IFERROR(AVERAGEIFS(Uploads!$K:$K,Uploads!$B:$B,$C20,Uploads!$A:$A,"&gt;="&amp;$A20,Uploads!$A:$A,"&lt;="&amp;$B20),""))</f>
        <v/>
      </c>
      <c r="L20" s="23" t="n">
        <f aca="false">IF(A20="","",SUMIFS(Uploads!$N:$N,Uploads!$B:$B,$C20,Uploads!$A:$A,"&gt;="&amp;$A20,Uploads!$A:$A,"&lt;="&amp;$B20))</f>
        <v>0</v>
      </c>
      <c r="M20" s="23" t="n">
        <f aca="false">IF(A20="","",SUMIFS(Uploads!$P:$P,Uploads!$B:$B,$C20,Uploads!$A:$A,"&gt;="&amp;$A20,Uploads!$A:$A,"&lt;="&amp;$B20))</f>
        <v>0</v>
      </c>
      <c r="N20" s="23" t="n">
        <f aca="false">IF(A20="","",SUMIFS(Uploads!$Q:$Q,Uploads!$B:$B,$C20,Uploads!$A:$A,"&gt;="&amp;$A20,Uploads!$A:$A,"&lt;="&amp;$B20))</f>
        <v>0</v>
      </c>
    </row>
    <row r="21" customFormat="false" ht="15" hidden="false" customHeight="false" outlineLevel="0" collapsed="false">
      <c r="A21" s="11" t="n">
        <v>46363</v>
      </c>
      <c r="B21" s="22" t="n">
        <f aca="false">IF(A21="","",A21+6)</f>
        <v>46369</v>
      </c>
      <c r="C21" s="12" t="s">
        <v>41</v>
      </c>
      <c r="D21" s="23" t="n">
        <f aca="false">IF(A21="","",COUNTIFS(Uploads!$B:$B,$C21,Uploads!$A:$A,"&gt;="&amp;$A21,Uploads!$A:$A,"&lt;="&amp;$B21))</f>
        <v>0</v>
      </c>
      <c r="E21" s="23" t="n">
        <f aca="false">IF(A21="","",Variables!$E$4*7)</f>
        <v>21</v>
      </c>
      <c r="F21" s="19" t="n">
        <f aca="false">IF(OR(A21="",E21=0),"",D21/E21)</f>
        <v>0</v>
      </c>
      <c r="G21" s="23" t="n">
        <f aca="false">IF(A21="","",COUNTIFS('AB Tests'!$C:$C,$C21,'AB Tests'!$B:$B,"&gt;="&amp;$A21,'AB Tests'!$B:$B,"&lt;="&amp;$B21))</f>
        <v>0</v>
      </c>
      <c r="H21" s="23" t="n">
        <f aca="false">IF(A21="","",COUNTIFS('AB Tests'!$C:$C,$C21,'AB Tests'!$B:$B,"&gt;="&amp;$A21,'AB Tests'!$B:$B,"&lt;="&amp;$B21,'AB Tests'!$R:$R,"B"))</f>
        <v>0</v>
      </c>
      <c r="I21" s="23" t="n">
        <f aca="false">IF(A21="","",SUMIFS(Uploads!$J:$J,Uploads!$B:$B,$C21,Uploads!$A:$A,"&gt;="&amp;$A21,Uploads!$A:$A,"&lt;="&amp;$B21))</f>
        <v>0</v>
      </c>
      <c r="J21" s="23" t="str">
        <f aca="false">IF(OR(A21="",D21=0),"",I21/D21)</f>
        <v/>
      </c>
      <c r="K21" s="19" t="str">
        <f aca="false">IF(A21="","",IFERROR(AVERAGEIFS(Uploads!$K:$K,Uploads!$B:$B,$C21,Uploads!$A:$A,"&gt;="&amp;$A21,Uploads!$A:$A,"&lt;="&amp;$B21),""))</f>
        <v/>
      </c>
      <c r="L21" s="23" t="n">
        <f aca="false">IF(A21="","",SUMIFS(Uploads!$N:$N,Uploads!$B:$B,$C21,Uploads!$A:$A,"&gt;="&amp;$A21,Uploads!$A:$A,"&lt;="&amp;$B21))</f>
        <v>0</v>
      </c>
      <c r="M21" s="23" t="n">
        <f aca="false">IF(A21="","",SUMIFS(Uploads!$P:$P,Uploads!$B:$B,$C21,Uploads!$A:$A,"&gt;="&amp;$A21,Uploads!$A:$A,"&lt;="&amp;$B21))</f>
        <v>0</v>
      </c>
      <c r="N21" s="23" t="n">
        <f aca="false">IF(A21="","",SUMIFS(Uploads!$Q:$Q,Uploads!$B:$B,$C21,Uploads!$A:$A,"&gt;="&amp;$A21,Uploads!$A:$A,"&lt;="&amp;$B21))</f>
        <v>0</v>
      </c>
    </row>
    <row r="22" customFormat="false" ht="15" hidden="false" customHeight="false" outlineLevel="0" collapsed="false">
      <c r="A22" s="11" t="n">
        <v>46363</v>
      </c>
      <c r="B22" s="22" t="n">
        <f aca="false">IF(A22="","",A22+6)</f>
        <v>46369</v>
      </c>
      <c r="C22" s="12" t="s">
        <v>31</v>
      </c>
      <c r="D22" s="23" t="n">
        <f aca="false">IF(A22="","",COUNTIFS(Uploads!$B:$B,$C22,Uploads!$A:$A,"&gt;="&amp;$A22,Uploads!$A:$A,"&lt;="&amp;$B22))</f>
        <v>0</v>
      </c>
      <c r="E22" s="23" t="n">
        <f aca="false">IF(A22="","",Variables!$E$4*7)</f>
        <v>21</v>
      </c>
      <c r="F22" s="19" t="n">
        <f aca="false">IF(OR(A22="",E22=0),"",D22/E22)</f>
        <v>0</v>
      </c>
      <c r="G22" s="23" t="n">
        <f aca="false">IF(A22="","",COUNTIFS('AB Tests'!$C:$C,$C22,'AB Tests'!$B:$B,"&gt;="&amp;$A22,'AB Tests'!$B:$B,"&lt;="&amp;$B22))</f>
        <v>0</v>
      </c>
      <c r="H22" s="23" t="n">
        <f aca="false">IF(A22="","",COUNTIFS('AB Tests'!$C:$C,$C22,'AB Tests'!$B:$B,"&gt;="&amp;$A22,'AB Tests'!$B:$B,"&lt;="&amp;$B22,'AB Tests'!$R:$R,"B"))</f>
        <v>0</v>
      </c>
      <c r="I22" s="23" t="n">
        <f aca="false">IF(A22="","",SUMIFS(Uploads!$J:$J,Uploads!$B:$B,$C22,Uploads!$A:$A,"&gt;="&amp;$A22,Uploads!$A:$A,"&lt;="&amp;$B22))</f>
        <v>0</v>
      </c>
      <c r="J22" s="23" t="str">
        <f aca="false">IF(OR(A22="",D22=0),"",I22/D22)</f>
        <v/>
      </c>
      <c r="K22" s="19" t="str">
        <f aca="false">IF(A22="","",IFERROR(AVERAGEIFS(Uploads!$K:$K,Uploads!$B:$B,$C22,Uploads!$A:$A,"&gt;="&amp;$A22,Uploads!$A:$A,"&lt;="&amp;$B22),""))</f>
        <v/>
      </c>
      <c r="L22" s="23" t="n">
        <f aca="false">IF(A22="","",SUMIFS(Uploads!$N:$N,Uploads!$B:$B,$C22,Uploads!$A:$A,"&gt;="&amp;$A22,Uploads!$A:$A,"&lt;="&amp;$B22))</f>
        <v>0</v>
      </c>
      <c r="M22" s="23" t="n">
        <f aca="false">IF(A22="","",SUMIFS(Uploads!$P:$P,Uploads!$B:$B,$C22,Uploads!$A:$A,"&gt;="&amp;$A22,Uploads!$A:$A,"&lt;="&amp;$B22))</f>
        <v>0</v>
      </c>
      <c r="N22" s="23" t="n">
        <f aca="false">IF(A22="","",SUMIFS(Uploads!$Q:$Q,Uploads!$B:$B,$C22,Uploads!$A:$A,"&gt;="&amp;$A22,Uploads!$A:$A,"&lt;="&amp;$B22))</f>
        <v>0</v>
      </c>
    </row>
    <row r="23" customFormat="false" ht="15" hidden="false" customHeight="false" outlineLevel="0" collapsed="false">
      <c r="A23" s="11" t="n">
        <v>46370</v>
      </c>
      <c r="B23" s="22" t="n">
        <f aca="false">IF(A23="","",A23+6)</f>
        <v>46376</v>
      </c>
      <c r="C23" s="12" t="s">
        <v>38</v>
      </c>
      <c r="D23" s="23" t="n">
        <f aca="false">IF(A23="","",COUNTIFS(Uploads!$B:$B,$C23,Uploads!$A:$A,"&gt;="&amp;$A23,Uploads!$A:$A,"&lt;="&amp;$B23))</f>
        <v>0</v>
      </c>
      <c r="E23" s="23" t="n">
        <f aca="false">IF(A23="","",Variables!$E$4*7)</f>
        <v>21</v>
      </c>
      <c r="F23" s="19" t="n">
        <f aca="false">IF(OR(A23="",E23=0),"",D23/E23)</f>
        <v>0</v>
      </c>
      <c r="G23" s="23" t="n">
        <f aca="false">IF(A23="","",COUNTIFS('AB Tests'!$C:$C,$C23,'AB Tests'!$B:$B,"&gt;="&amp;$A23,'AB Tests'!$B:$B,"&lt;="&amp;$B23))</f>
        <v>0</v>
      </c>
      <c r="H23" s="23" t="n">
        <f aca="false">IF(A23="","",COUNTIFS('AB Tests'!$C:$C,$C23,'AB Tests'!$B:$B,"&gt;="&amp;$A23,'AB Tests'!$B:$B,"&lt;="&amp;$B23,'AB Tests'!$R:$R,"B"))</f>
        <v>0</v>
      </c>
      <c r="I23" s="23" t="n">
        <f aca="false">IF(A23="","",SUMIFS(Uploads!$J:$J,Uploads!$B:$B,$C23,Uploads!$A:$A,"&gt;="&amp;$A23,Uploads!$A:$A,"&lt;="&amp;$B23))</f>
        <v>0</v>
      </c>
      <c r="J23" s="23" t="str">
        <f aca="false">IF(OR(A23="",D23=0),"",I23/D23)</f>
        <v/>
      </c>
      <c r="K23" s="19" t="str">
        <f aca="false">IF(A23="","",IFERROR(AVERAGEIFS(Uploads!$K:$K,Uploads!$B:$B,$C23,Uploads!$A:$A,"&gt;="&amp;$A23,Uploads!$A:$A,"&lt;="&amp;$B23),""))</f>
        <v/>
      </c>
      <c r="L23" s="23" t="n">
        <f aca="false">IF(A23="","",SUMIFS(Uploads!$N:$N,Uploads!$B:$B,$C23,Uploads!$A:$A,"&gt;="&amp;$A23,Uploads!$A:$A,"&lt;="&amp;$B23))</f>
        <v>0</v>
      </c>
      <c r="M23" s="23" t="n">
        <f aca="false">IF(A23="","",SUMIFS(Uploads!$P:$P,Uploads!$B:$B,$C23,Uploads!$A:$A,"&gt;="&amp;$A23,Uploads!$A:$A,"&lt;="&amp;$B23))</f>
        <v>0</v>
      </c>
      <c r="N23" s="23" t="n">
        <f aca="false">IF(A23="","",SUMIFS(Uploads!$Q:$Q,Uploads!$B:$B,$C23,Uploads!$A:$A,"&gt;="&amp;$A23,Uploads!$A:$A,"&lt;="&amp;$B23))</f>
        <v>0</v>
      </c>
    </row>
    <row r="24" customFormat="false" ht="15" hidden="false" customHeight="false" outlineLevel="0" collapsed="false">
      <c r="A24" s="11" t="n">
        <v>46370</v>
      </c>
      <c r="B24" s="22" t="n">
        <f aca="false">IF(A24="","",A24+6)</f>
        <v>46376</v>
      </c>
      <c r="C24" s="12" t="s">
        <v>41</v>
      </c>
      <c r="D24" s="23" t="n">
        <f aca="false">IF(A24="","",COUNTIFS(Uploads!$B:$B,$C24,Uploads!$A:$A,"&gt;="&amp;$A24,Uploads!$A:$A,"&lt;="&amp;$B24))</f>
        <v>0</v>
      </c>
      <c r="E24" s="23" t="n">
        <f aca="false">IF(A24="","",Variables!$E$4*7)</f>
        <v>21</v>
      </c>
      <c r="F24" s="19" t="n">
        <f aca="false">IF(OR(A24="",E24=0),"",D24/E24)</f>
        <v>0</v>
      </c>
      <c r="G24" s="23" t="n">
        <f aca="false">IF(A24="","",COUNTIFS('AB Tests'!$C:$C,$C24,'AB Tests'!$B:$B,"&gt;="&amp;$A24,'AB Tests'!$B:$B,"&lt;="&amp;$B24))</f>
        <v>0</v>
      </c>
      <c r="H24" s="23" t="n">
        <f aca="false">IF(A24="","",COUNTIFS('AB Tests'!$C:$C,$C24,'AB Tests'!$B:$B,"&gt;="&amp;$A24,'AB Tests'!$B:$B,"&lt;="&amp;$B24,'AB Tests'!$R:$R,"B"))</f>
        <v>0</v>
      </c>
      <c r="I24" s="23" t="n">
        <f aca="false">IF(A24="","",SUMIFS(Uploads!$J:$J,Uploads!$B:$B,$C24,Uploads!$A:$A,"&gt;="&amp;$A24,Uploads!$A:$A,"&lt;="&amp;$B24))</f>
        <v>0</v>
      </c>
      <c r="J24" s="23" t="str">
        <f aca="false">IF(OR(A24="",D24=0),"",I24/D24)</f>
        <v/>
      </c>
      <c r="K24" s="19" t="str">
        <f aca="false">IF(A24="","",IFERROR(AVERAGEIFS(Uploads!$K:$K,Uploads!$B:$B,$C24,Uploads!$A:$A,"&gt;="&amp;$A24,Uploads!$A:$A,"&lt;="&amp;$B24),""))</f>
        <v/>
      </c>
      <c r="L24" s="23" t="n">
        <f aca="false">IF(A24="","",SUMIFS(Uploads!$N:$N,Uploads!$B:$B,$C24,Uploads!$A:$A,"&gt;="&amp;$A24,Uploads!$A:$A,"&lt;="&amp;$B24))</f>
        <v>0</v>
      </c>
      <c r="M24" s="23" t="n">
        <f aca="false">IF(A24="","",SUMIFS(Uploads!$P:$P,Uploads!$B:$B,$C24,Uploads!$A:$A,"&gt;="&amp;$A24,Uploads!$A:$A,"&lt;="&amp;$B24))</f>
        <v>0</v>
      </c>
      <c r="N24" s="23" t="n">
        <f aca="false">IF(A24="","",SUMIFS(Uploads!$Q:$Q,Uploads!$B:$B,$C24,Uploads!$A:$A,"&gt;="&amp;$A24,Uploads!$A:$A,"&lt;="&amp;$B24))</f>
        <v>0</v>
      </c>
    </row>
    <row r="25" customFormat="false" ht="15" hidden="false" customHeight="false" outlineLevel="0" collapsed="false">
      <c r="A25" s="11" t="n">
        <v>46370</v>
      </c>
      <c r="B25" s="22" t="n">
        <f aca="false">IF(A25="","",A25+6)</f>
        <v>46376</v>
      </c>
      <c r="C25" s="12" t="s">
        <v>31</v>
      </c>
      <c r="D25" s="23" t="n">
        <f aca="false">IF(A25="","",COUNTIFS(Uploads!$B:$B,$C25,Uploads!$A:$A,"&gt;="&amp;$A25,Uploads!$A:$A,"&lt;="&amp;$B25))</f>
        <v>0</v>
      </c>
      <c r="E25" s="23" t="n">
        <f aca="false">IF(A25="","",Variables!$E$4*7)</f>
        <v>21</v>
      </c>
      <c r="F25" s="19" t="n">
        <f aca="false">IF(OR(A25="",E25=0),"",D25/E25)</f>
        <v>0</v>
      </c>
      <c r="G25" s="23" t="n">
        <f aca="false">IF(A25="","",COUNTIFS('AB Tests'!$C:$C,$C25,'AB Tests'!$B:$B,"&gt;="&amp;$A25,'AB Tests'!$B:$B,"&lt;="&amp;$B25))</f>
        <v>0</v>
      </c>
      <c r="H25" s="23" t="n">
        <f aca="false">IF(A25="","",COUNTIFS('AB Tests'!$C:$C,$C25,'AB Tests'!$B:$B,"&gt;="&amp;$A25,'AB Tests'!$B:$B,"&lt;="&amp;$B25,'AB Tests'!$R:$R,"B"))</f>
        <v>0</v>
      </c>
      <c r="I25" s="23" t="n">
        <f aca="false">IF(A25="","",SUMIFS(Uploads!$J:$J,Uploads!$B:$B,$C25,Uploads!$A:$A,"&gt;="&amp;$A25,Uploads!$A:$A,"&lt;="&amp;$B25))</f>
        <v>0</v>
      </c>
      <c r="J25" s="23" t="str">
        <f aca="false">IF(OR(A25="",D25=0),"",I25/D25)</f>
        <v/>
      </c>
      <c r="K25" s="19" t="str">
        <f aca="false">IF(A25="","",IFERROR(AVERAGEIFS(Uploads!$K:$K,Uploads!$B:$B,$C25,Uploads!$A:$A,"&gt;="&amp;$A25,Uploads!$A:$A,"&lt;="&amp;$B25),""))</f>
        <v/>
      </c>
      <c r="L25" s="23" t="n">
        <f aca="false">IF(A25="","",SUMIFS(Uploads!$N:$N,Uploads!$B:$B,$C25,Uploads!$A:$A,"&gt;="&amp;$A25,Uploads!$A:$A,"&lt;="&amp;$B25))</f>
        <v>0</v>
      </c>
      <c r="M25" s="23" t="n">
        <f aca="false">IF(A25="","",SUMIFS(Uploads!$P:$P,Uploads!$B:$B,$C25,Uploads!$A:$A,"&gt;="&amp;$A25,Uploads!$A:$A,"&lt;="&amp;$B25))</f>
        <v>0</v>
      </c>
      <c r="N25" s="23" t="n">
        <f aca="false">IF(A25="","",SUMIFS(Uploads!$Q:$Q,Uploads!$B:$B,$C25,Uploads!$A:$A,"&gt;="&amp;$A25,Uploads!$A:$A,"&lt;="&amp;$B25))</f>
        <v>0</v>
      </c>
    </row>
    <row r="26" customFormat="false" ht="15" hidden="false" customHeight="false" outlineLevel="0" collapsed="false">
      <c r="A26" s="11" t="n">
        <v>46377</v>
      </c>
      <c r="B26" s="22" t="n">
        <f aca="false">IF(A26="","",A26+6)</f>
        <v>46383</v>
      </c>
      <c r="C26" s="12" t="s">
        <v>38</v>
      </c>
      <c r="D26" s="23" t="n">
        <f aca="false">IF(A26="","",COUNTIFS(Uploads!$B:$B,$C26,Uploads!$A:$A,"&gt;="&amp;$A26,Uploads!$A:$A,"&lt;="&amp;$B26))</f>
        <v>0</v>
      </c>
      <c r="E26" s="23" t="n">
        <f aca="false">IF(A26="","",Variables!$E$4*7)</f>
        <v>21</v>
      </c>
      <c r="F26" s="19" t="n">
        <f aca="false">IF(OR(A26="",E26=0),"",D26/E26)</f>
        <v>0</v>
      </c>
      <c r="G26" s="23" t="n">
        <f aca="false">IF(A26="","",COUNTIFS('AB Tests'!$C:$C,$C26,'AB Tests'!$B:$B,"&gt;="&amp;$A26,'AB Tests'!$B:$B,"&lt;="&amp;$B26))</f>
        <v>0</v>
      </c>
      <c r="H26" s="23" t="n">
        <f aca="false">IF(A26="","",COUNTIFS('AB Tests'!$C:$C,$C26,'AB Tests'!$B:$B,"&gt;="&amp;$A26,'AB Tests'!$B:$B,"&lt;="&amp;$B26,'AB Tests'!$R:$R,"B"))</f>
        <v>0</v>
      </c>
      <c r="I26" s="23" t="n">
        <f aca="false">IF(A26="","",SUMIFS(Uploads!$J:$J,Uploads!$B:$B,$C26,Uploads!$A:$A,"&gt;="&amp;$A26,Uploads!$A:$A,"&lt;="&amp;$B26))</f>
        <v>0</v>
      </c>
      <c r="J26" s="23" t="str">
        <f aca="false">IF(OR(A26="",D26=0),"",I26/D26)</f>
        <v/>
      </c>
      <c r="K26" s="19" t="str">
        <f aca="false">IF(A26="","",IFERROR(AVERAGEIFS(Uploads!$K:$K,Uploads!$B:$B,$C26,Uploads!$A:$A,"&gt;="&amp;$A26,Uploads!$A:$A,"&lt;="&amp;$B26),""))</f>
        <v/>
      </c>
      <c r="L26" s="23" t="n">
        <f aca="false">IF(A26="","",SUMIFS(Uploads!$N:$N,Uploads!$B:$B,$C26,Uploads!$A:$A,"&gt;="&amp;$A26,Uploads!$A:$A,"&lt;="&amp;$B26))</f>
        <v>0</v>
      </c>
      <c r="M26" s="23" t="n">
        <f aca="false">IF(A26="","",SUMIFS(Uploads!$P:$P,Uploads!$B:$B,$C26,Uploads!$A:$A,"&gt;="&amp;$A26,Uploads!$A:$A,"&lt;="&amp;$B26))</f>
        <v>0</v>
      </c>
      <c r="N26" s="23" t="n">
        <f aca="false">IF(A26="","",SUMIFS(Uploads!$Q:$Q,Uploads!$B:$B,$C26,Uploads!$A:$A,"&gt;="&amp;$A26,Uploads!$A:$A,"&lt;="&amp;$B26))</f>
        <v>0</v>
      </c>
    </row>
    <row r="27" customFormat="false" ht="15" hidden="false" customHeight="false" outlineLevel="0" collapsed="false">
      <c r="A27" s="11" t="n">
        <v>46377</v>
      </c>
      <c r="B27" s="22" t="n">
        <f aca="false">IF(A27="","",A27+6)</f>
        <v>46383</v>
      </c>
      <c r="C27" s="12" t="s">
        <v>41</v>
      </c>
      <c r="D27" s="23" t="n">
        <f aca="false">IF(A27="","",COUNTIFS(Uploads!$B:$B,$C27,Uploads!$A:$A,"&gt;="&amp;$A27,Uploads!$A:$A,"&lt;="&amp;$B27))</f>
        <v>0</v>
      </c>
      <c r="E27" s="23" t="n">
        <f aca="false">IF(A27="","",Variables!$E$4*7)</f>
        <v>21</v>
      </c>
      <c r="F27" s="19" t="n">
        <f aca="false">IF(OR(A27="",E27=0),"",D27/E27)</f>
        <v>0</v>
      </c>
      <c r="G27" s="23" t="n">
        <f aca="false">IF(A27="","",COUNTIFS('AB Tests'!$C:$C,$C27,'AB Tests'!$B:$B,"&gt;="&amp;$A27,'AB Tests'!$B:$B,"&lt;="&amp;$B27))</f>
        <v>0</v>
      </c>
      <c r="H27" s="23" t="n">
        <f aca="false">IF(A27="","",COUNTIFS('AB Tests'!$C:$C,$C27,'AB Tests'!$B:$B,"&gt;="&amp;$A27,'AB Tests'!$B:$B,"&lt;="&amp;$B27,'AB Tests'!$R:$R,"B"))</f>
        <v>0</v>
      </c>
      <c r="I27" s="23" t="n">
        <f aca="false">IF(A27="","",SUMIFS(Uploads!$J:$J,Uploads!$B:$B,$C27,Uploads!$A:$A,"&gt;="&amp;$A27,Uploads!$A:$A,"&lt;="&amp;$B27))</f>
        <v>0</v>
      </c>
      <c r="J27" s="23" t="str">
        <f aca="false">IF(OR(A27="",D27=0),"",I27/D27)</f>
        <v/>
      </c>
      <c r="K27" s="19" t="str">
        <f aca="false">IF(A27="","",IFERROR(AVERAGEIFS(Uploads!$K:$K,Uploads!$B:$B,$C27,Uploads!$A:$A,"&gt;="&amp;$A27,Uploads!$A:$A,"&lt;="&amp;$B27),""))</f>
        <v/>
      </c>
      <c r="L27" s="23" t="n">
        <f aca="false">IF(A27="","",SUMIFS(Uploads!$N:$N,Uploads!$B:$B,$C27,Uploads!$A:$A,"&gt;="&amp;$A27,Uploads!$A:$A,"&lt;="&amp;$B27))</f>
        <v>0</v>
      </c>
      <c r="M27" s="23" t="n">
        <f aca="false">IF(A27="","",SUMIFS(Uploads!$P:$P,Uploads!$B:$B,$C27,Uploads!$A:$A,"&gt;="&amp;$A27,Uploads!$A:$A,"&lt;="&amp;$B27))</f>
        <v>0</v>
      </c>
      <c r="N27" s="23" t="n">
        <f aca="false">IF(A27="","",SUMIFS(Uploads!$Q:$Q,Uploads!$B:$B,$C27,Uploads!$A:$A,"&gt;="&amp;$A27,Uploads!$A:$A,"&lt;="&amp;$B27))</f>
        <v>0</v>
      </c>
    </row>
    <row r="28" customFormat="false" ht="15" hidden="false" customHeight="false" outlineLevel="0" collapsed="false">
      <c r="A28" s="11" t="n">
        <v>46377</v>
      </c>
      <c r="B28" s="22" t="n">
        <f aca="false">IF(A28="","",A28+6)</f>
        <v>46383</v>
      </c>
      <c r="C28" s="12" t="s">
        <v>31</v>
      </c>
      <c r="D28" s="23" t="n">
        <f aca="false">IF(A28="","",COUNTIFS(Uploads!$B:$B,$C28,Uploads!$A:$A,"&gt;="&amp;$A28,Uploads!$A:$A,"&lt;="&amp;$B28))</f>
        <v>0</v>
      </c>
      <c r="E28" s="23" t="n">
        <f aca="false">IF(A28="","",Variables!$E$4*7)</f>
        <v>21</v>
      </c>
      <c r="F28" s="19" t="n">
        <f aca="false">IF(OR(A28="",E28=0),"",D28/E28)</f>
        <v>0</v>
      </c>
      <c r="G28" s="23" t="n">
        <f aca="false">IF(A28="","",COUNTIFS('AB Tests'!$C:$C,$C28,'AB Tests'!$B:$B,"&gt;="&amp;$A28,'AB Tests'!$B:$B,"&lt;="&amp;$B28))</f>
        <v>0</v>
      </c>
      <c r="H28" s="23" t="n">
        <f aca="false">IF(A28="","",COUNTIFS('AB Tests'!$C:$C,$C28,'AB Tests'!$B:$B,"&gt;="&amp;$A28,'AB Tests'!$B:$B,"&lt;="&amp;$B28,'AB Tests'!$R:$R,"B"))</f>
        <v>0</v>
      </c>
      <c r="I28" s="23" t="n">
        <f aca="false">IF(A28="","",SUMIFS(Uploads!$J:$J,Uploads!$B:$B,$C28,Uploads!$A:$A,"&gt;="&amp;$A28,Uploads!$A:$A,"&lt;="&amp;$B28))</f>
        <v>0</v>
      </c>
      <c r="J28" s="23" t="str">
        <f aca="false">IF(OR(A28="",D28=0),"",I28/D28)</f>
        <v/>
      </c>
      <c r="K28" s="19" t="str">
        <f aca="false">IF(A28="","",IFERROR(AVERAGEIFS(Uploads!$K:$K,Uploads!$B:$B,$C28,Uploads!$A:$A,"&gt;="&amp;$A28,Uploads!$A:$A,"&lt;="&amp;$B28),""))</f>
        <v/>
      </c>
      <c r="L28" s="23" t="n">
        <f aca="false">IF(A28="","",SUMIFS(Uploads!$N:$N,Uploads!$B:$B,$C28,Uploads!$A:$A,"&gt;="&amp;$A28,Uploads!$A:$A,"&lt;="&amp;$B28))</f>
        <v>0</v>
      </c>
      <c r="M28" s="23" t="n">
        <f aca="false">IF(A28="","",SUMIFS(Uploads!$P:$P,Uploads!$B:$B,$C28,Uploads!$A:$A,"&gt;="&amp;$A28,Uploads!$A:$A,"&lt;="&amp;$B28))</f>
        <v>0</v>
      </c>
      <c r="N28" s="23" t="n">
        <f aca="false">IF(A28="","",SUMIFS(Uploads!$Q:$Q,Uploads!$B:$B,$C28,Uploads!$A:$A,"&gt;="&amp;$A28,Uploads!$A:$A,"&lt;="&amp;$B28))</f>
        <v>0</v>
      </c>
    </row>
    <row r="29" customFormat="false" ht="15" hidden="false" customHeight="false" outlineLevel="0" collapsed="false">
      <c r="A29" s="11" t="n">
        <v>46384</v>
      </c>
      <c r="B29" s="22" t="n">
        <f aca="false">IF(A29="","",A29+6)</f>
        <v>46390</v>
      </c>
      <c r="C29" s="12" t="s">
        <v>38</v>
      </c>
      <c r="D29" s="23" t="n">
        <f aca="false">IF(A29="","",COUNTIFS(Uploads!$B:$B,$C29,Uploads!$A:$A,"&gt;="&amp;$A29,Uploads!$A:$A,"&lt;="&amp;$B29))</f>
        <v>0</v>
      </c>
      <c r="E29" s="23" t="n">
        <f aca="false">IF(A29="","",Variables!$E$4*7)</f>
        <v>21</v>
      </c>
      <c r="F29" s="19" t="n">
        <f aca="false">IF(OR(A29="",E29=0),"",D29/E29)</f>
        <v>0</v>
      </c>
      <c r="G29" s="23" t="n">
        <f aca="false">IF(A29="","",COUNTIFS('AB Tests'!$C:$C,$C29,'AB Tests'!$B:$B,"&gt;="&amp;$A29,'AB Tests'!$B:$B,"&lt;="&amp;$B29))</f>
        <v>0</v>
      </c>
      <c r="H29" s="23" t="n">
        <f aca="false">IF(A29="","",COUNTIFS('AB Tests'!$C:$C,$C29,'AB Tests'!$B:$B,"&gt;="&amp;$A29,'AB Tests'!$B:$B,"&lt;="&amp;$B29,'AB Tests'!$R:$R,"B"))</f>
        <v>0</v>
      </c>
      <c r="I29" s="23" t="n">
        <f aca="false">IF(A29="","",SUMIFS(Uploads!$J:$J,Uploads!$B:$B,$C29,Uploads!$A:$A,"&gt;="&amp;$A29,Uploads!$A:$A,"&lt;="&amp;$B29))</f>
        <v>0</v>
      </c>
      <c r="J29" s="23" t="str">
        <f aca="false">IF(OR(A29="",D29=0),"",I29/D29)</f>
        <v/>
      </c>
      <c r="K29" s="19" t="str">
        <f aca="false">IF(A29="","",IFERROR(AVERAGEIFS(Uploads!$K:$K,Uploads!$B:$B,$C29,Uploads!$A:$A,"&gt;="&amp;$A29,Uploads!$A:$A,"&lt;="&amp;$B29),""))</f>
        <v/>
      </c>
      <c r="L29" s="23" t="n">
        <f aca="false">IF(A29="","",SUMIFS(Uploads!$N:$N,Uploads!$B:$B,$C29,Uploads!$A:$A,"&gt;="&amp;$A29,Uploads!$A:$A,"&lt;="&amp;$B29))</f>
        <v>0</v>
      </c>
      <c r="M29" s="23" t="n">
        <f aca="false">IF(A29="","",SUMIFS(Uploads!$P:$P,Uploads!$B:$B,$C29,Uploads!$A:$A,"&gt;="&amp;$A29,Uploads!$A:$A,"&lt;="&amp;$B29))</f>
        <v>0</v>
      </c>
      <c r="N29" s="23" t="n">
        <f aca="false">IF(A29="","",SUMIFS(Uploads!$Q:$Q,Uploads!$B:$B,$C29,Uploads!$A:$A,"&gt;="&amp;$A29,Uploads!$A:$A,"&lt;="&amp;$B29))</f>
        <v>0</v>
      </c>
    </row>
    <row r="30" customFormat="false" ht="15" hidden="false" customHeight="false" outlineLevel="0" collapsed="false">
      <c r="A30" s="11" t="n">
        <v>46384</v>
      </c>
      <c r="B30" s="22" t="n">
        <f aca="false">IF(A30="","",A30+6)</f>
        <v>46390</v>
      </c>
      <c r="C30" s="12" t="s">
        <v>41</v>
      </c>
      <c r="D30" s="23" t="n">
        <f aca="false">IF(A30="","",COUNTIFS(Uploads!$B:$B,$C30,Uploads!$A:$A,"&gt;="&amp;$A30,Uploads!$A:$A,"&lt;="&amp;$B30))</f>
        <v>0</v>
      </c>
      <c r="E30" s="23" t="n">
        <f aca="false">IF(A30="","",Variables!$E$4*7)</f>
        <v>21</v>
      </c>
      <c r="F30" s="19" t="n">
        <f aca="false">IF(OR(A30="",E30=0),"",D30/E30)</f>
        <v>0</v>
      </c>
      <c r="G30" s="23" t="n">
        <f aca="false">IF(A30="","",COUNTIFS('AB Tests'!$C:$C,$C30,'AB Tests'!$B:$B,"&gt;="&amp;$A30,'AB Tests'!$B:$B,"&lt;="&amp;$B30))</f>
        <v>0</v>
      </c>
      <c r="H30" s="23" t="n">
        <f aca="false">IF(A30="","",COUNTIFS('AB Tests'!$C:$C,$C30,'AB Tests'!$B:$B,"&gt;="&amp;$A30,'AB Tests'!$B:$B,"&lt;="&amp;$B30,'AB Tests'!$R:$R,"B"))</f>
        <v>0</v>
      </c>
      <c r="I30" s="23" t="n">
        <f aca="false">IF(A30="","",SUMIFS(Uploads!$J:$J,Uploads!$B:$B,$C30,Uploads!$A:$A,"&gt;="&amp;$A30,Uploads!$A:$A,"&lt;="&amp;$B30))</f>
        <v>0</v>
      </c>
      <c r="J30" s="23" t="str">
        <f aca="false">IF(OR(A30="",D30=0),"",I30/D30)</f>
        <v/>
      </c>
      <c r="K30" s="19" t="str">
        <f aca="false">IF(A30="","",IFERROR(AVERAGEIFS(Uploads!$K:$K,Uploads!$B:$B,$C30,Uploads!$A:$A,"&gt;="&amp;$A30,Uploads!$A:$A,"&lt;="&amp;$B30),""))</f>
        <v/>
      </c>
      <c r="L30" s="23" t="n">
        <f aca="false">IF(A30="","",SUMIFS(Uploads!$N:$N,Uploads!$B:$B,$C30,Uploads!$A:$A,"&gt;="&amp;$A30,Uploads!$A:$A,"&lt;="&amp;$B30))</f>
        <v>0</v>
      </c>
      <c r="M30" s="23" t="n">
        <f aca="false">IF(A30="","",SUMIFS(Uploads!$P:$P,Uploads!$B:$B,$C30,Uploads!$A:$A,"&gt;="&amp;$A30,Uploads!$A:$A,"&lt;="&amp;$B30))</f>
        <v>0</v>
      </c>
      <c r="N30" s="23" t="n">
        <f aca="false">IF(A30="","",SUMIFS(Uploads!$Q:$Q,Uploads!$B:$B,$C30,Uploads!$A:$A,"&gt;="&amp;$A30,Uploads!$A:$A,"&lt;="&amp;$B30))</f>
        <v>0</v>
      </c>
    </row>
    <row r="31" customFormat="false" ht="15" hidden="false" customHeight="false" outlineLevel="0" collapsed="false">
      <c r="A31" s="11" t="n">
        <v>46384</v>
      </c>
      <c r="B31" s="22" t="n">
        <f aca="false">IF(A31="","",A31+6)</f>
        <v>46390</v>
      </c>
      <c r="C31" s="12" t="s">
        <v>31</v>
      </c>
      <c r="D31" s="23" t="n">
        <f aca="false">IF(A31="","",COUNTIFS(Uploads!$B:$B,$C31,Uploads!$A:$A,"&gt;="&amp;$A31,Uploads!$A:$A,"&lt;="&amp;$B31))</f>
        <v>0</v>
      </c>
      <c r="E31" s="23" t="n">
        <f aca="false">IF(A31="","",Variables!$E$4*7)</f>
        <v>21</v>
      </c>
      <c r="F31" s="19" t="n">
        <f aca="false">IF(OR(A31="",E31=0),"",D31/E31)</f>
        <v>0</v>
      </c>
      <c r="G31" s="23" t="n">
        <f aca="false">IF(A31="","",COUNTIFS('AB Tests'!$C:$C,$C31,'AB Tests'!$B:$B,"&gt;="&amp;$A31,'AB Tests'!$B:$B,"&lt;="&amp;$B31))</f>
        <v>0</v>
      </c>
      <c r="H31" s="23" t="n">
        <f aca="false">IF(A31="","",COUNTIFS('AB Tests'!$C:$C,$C31,'AB Tests'!$B:$B,"&gt;="&amp;$A31,'AB Tests'!$B:$B,"&lt;="&amp;$B31,'AB Tests'!$R:$R,"B"))</f>
        <v>0</v>
      </c>
      <c r="I31" s="23" t="n">
        <f aca="false">IF(A31="","",SUMIFS(Uploads!$J:$J,Uploads!$B:$B,$C31,Uploads!$A:$A,"&gt;="&amp;$A31,Uploads!$A:$A,"&lt;="&amp;$B31))</f>
        <v>0</v>
      </c>
      <c r="J31" s="23" t="str">
        <f aca="false">IF(OR(A31="",D31=0),"",I31/D31)</f>
        <v/>
      </c>
      <c r="K31" s="19" t="str">
        <f aca="false">IF(A31="","",IFERROR(AVERAGEIFS(Uploads!$K:$K,Uploads!$B:$B,$C31,Uploads!$A:$A,"&gt;="&amp;$A31,Uploads!$A:$A,"&lt;="&amp;$B31),""))</f>
        <v/>
      </c>
      <c r="L31" s="23" t="n">
        <f aca="false">IF(A31="","",SUMIFS(Uploads!$N:$N,Uploads!$B:$B,$C31,Uploads!$A:$A,"&gt;="&amp;$A31,Uploads!$A:$A,"&lt;="&amp;$B31))</f>
        <v>0</v>
      </c>
      <c r="M31" s="23" t="n">
        <f aca="false">IF(A31="","",SUMIFS(Uploads!$P:$P,Uploads!$B:$B,$C31,Uploads!$A:$A,"&gt;="&amp;$A31,Uploads!$A:$A,"&lt;="&amp;$B31))</f>
        <v>0</v>
      </c>
      <c r="N31" s="23" t="n">
        <f aca="false">IF(A31="","",SUMIFS(Uploads!$Q:$Q,Uploads!$B:$B,$C31,Uploads!$A:$A,"&gt;="&amp;$A31,Uploads!$A:$A,"&lt;="&amp;$B31))</f>
        <v>0</v>
      </c>
    </row>
    <row r="32" customFormat="false" ht="15" hidden="false" customHeight="false" outlineLevel="0" collapsed="false">
      <c r="A32" s="11" t="n">
        <v>46391</v>
      </c>
      <c r="B32" s="22" t="n">
        <f aca="false">IF(A32="","",A32+6)</f>
        <v>46397</v>
      </c>
      <c r="C32" s="12" t="s">
        <v>38</v>
      </c>
      <c r="D32" s="23" t="n">
        <f aca="false">IF(A32="","",COUNTIFS(Uploads!$B:$B,$C32,Uploads!$A:$A,"&gt;="&amp;$A32,Uploads!$A:$A,"&lt;="&amp;$B32))</f>
        <v>0</v>
      </c>
      <c r="E32" s="23" t="n">
        <f aca="false">IF(A32="","",Variables!$E$4*7)</f>
        <v>21</v>
      </c>
      <c r="F32" s="19" t="n">
        <f aca="false">IF(OR(A32="",E32=0),"",D32/E32)</f>
        <v>0</v>
      </c>
      <c r="G32" s="23" t="n">
        <f aca="false">IF(A32="","",COUNTIFS('AB Tests'!$C:$C,$C32,'AB Tests'!$B:$B,"&gt;="&amp;$A32,'AB Tests'!$B:$B,"&lt;="&amp;$B32))</f>
        <v>0</v>
      </c>
      <c r="H32" s="23" t="n">
        <f aca="false">IF(A32="","",COUNTIFS('AB Tests'!$C:$C,$C32,'AB Tests'!$B:$B,"&gt;="&amp;$A32,'AB Tests'!$B:$B,"&lt;="&amp;$B32,'AB Tests'!$R:$R,"B"))</f>
        <v>0</v>
      </c>
      <c r="I32" s="23" t="n">
        <f aca="false">IF(A32="","",SUMIFS(Uploads!$J:$J,Uploads!$B:$B,$C32,Uploads!$A:$A,"&gt;="&amp;$A32,Uploads!$A:$A,"&lt;="&amp;$B32))</f>
        <v>0</v>
      </c>
      <c r="J32" s="23" t="str">
        <f aca="false">IF(OR(A32="",D32=0),"",I32/D32)</f>
        <v/>
      </c>
      <c r="K32" s="19" t="str">
        <f aca="false">IF(A32="","",IFERROR(AVERAGEIFS(Uploads!$K:$K,Uploads!$B:$B,$C32,Uploads!$A:$A,"&gt;="&amp;$A32,Uploads!$A:$A,"&lt;="&amp;$B32),""))</f>
        <v/>
      </c>
      <c r="L32" s="23" t="n">
        <f aca="false">IF(A32="","",SUMIFS(Uploads!$N:$N,Uploads!$B:$B,$C32,Uploads!$A:$A,"&gt;="&amp;$A32,Uploads!$A:$A,"&lt;="&amp;$B32))</f>
        <v>0</v>
      </c>
      <c r="M32" s="23" t="n">
        <f aca="false">IF(A32="","",SUMIFS(Uploads!$P:$P,Uploads!$B:$B,$C32,Uploads!$A:$A,"&gt;="&amp;$A32,Uploads!$A:$A,"&lt;="&amp;$B32))</f>
        <v>0</v>
      </c>
      <c r="N32" s="23" t="n">
        <f aca="false">IF(A32="","",SUMIFS(Uploads!$Q:$Q,Uploads!$B:$B,$C32,Uploads!$A:$A,"&gt;="&amp;$A32,Uploads!$A:$A,"&lt;="&amp;$B32))</f>
        <v>0</v>
      </c>
    </row>
    <row r="33" customFormat="false" ht="15" hidden="false" customHeight="false" outlineLevel="0" collapsed="false">
      <c r="A33" s="11" t="n">
        <v>46391</v>
      </c>
      <c r="B33" s="22" t="n">
        <f aca="false">IF(A33="","",A33+6)</f>
        <v>46397</v>
      </c>
      <c r="C33" s="12" t="s">
        <v>41</v>
      </c>
      <c r="D33" s="23" t="n">
        <f aca="false">IF(A33="","",COUNTIFS(Uploads!$B:$B,$C33,Uploads!$A:$A,"&gt;="&amp;$A33,Uploads!$A:$A,"&lt;="&amp;$B33))</f>
        <v>0</v>
      </c>
      <c r="E33" s="23" t="n">
        <f aca="false">IF(A33="","",Variables!$E$4*7)</f>
        <v>21</v>
      </c>
      <c r="F33" s="19" t="n">
        <f aca="false">IF(OR(A33="",E33=0),"",D33/E33)</f>
        <v>0</v>
      </c>
      <c r="G33" s="23" t="n">
        <f aca="false">IF(A33="","",COUNTIFS('AB Tests'!$C:$C,$C33,'AB Tests'!$B:$B,"&gt;="&amp;$A33,'AB Tests'!$B:$B,"&lt;="&amp;$B33))</f>
        <v>0</v>
      </c>
      <c r="H33" s="23" t="n">
        <f aca="false">IF(A33="","",COUNTIFS('AB Tests'!$C:$C,$C33,'AB Tests'!$B:$B,"&gt;="&amp;$A33,'AB Tests'!$B:$B,"&lt;="&amp;$B33,'AB Tests'!$R:$R,"B"))</f>
        <v>0</v>
      </c>
      <c r="I33" s="23" t="n">
        <f aca="false">IF(A33="","",SUMIFS(Uploads!$J:$J,Uploads!$B:$B,$C33,Uploads!$A:$A,"&gt;="&amp;$A33,Uploads!$A:$A,"&lt;="&amp;$B33))</f>
        <v>0</v>
      </c>
      <c r="J33" s="23" t="str">
        <f aca="false">IF(OR(A33="",D33=0),"",I33/D33)</f>
        <v/>
      </c>
      <c r="K33" s="19" t="str">
        <f aca="false">IF(A33="","",IFERROR(AVERAGEIFS(Uploads!$K:$K,Uploads!$B:$B,$C33,Uploads!$A:$A,"&gt;="&amp;$A33,Uploads!$A:$A,"&lt;="&amp;$B33),""))</f>
        <v/>
      </c>
      <c r="L33" s="23" t="n">
        <f aca="false">IF(A33="","",SUMIFS(Uploads!$N:$N,Uploads!$B:$B,$C33,Uploads!$A:$A,"&gt;="&amp;$A33,Uploads!$A:$A,"&lt;="&amp;$B33))</f>
        <v>0</v>
      </c>
      <c r="M33" s="23" t="n">
        <f aca="false">IF(A33="","",SUMIFS(Uploads!$P:$P,Uploads!$B:$B,$C33,Uploads!$A:$A,"&gt;="&amp;$A33,Uploads!$A:$A,"&lt;="&amp;$B33))</f>
        <v>0</v>
      </c>
      <c r="N33" s="23" t="n">
        <f aca="false">IF(A33="","",SUMIFS(Uploads!$Q:$Q,Uploads!$B:$B,$C33,Uploads!$A:$A,"&gt;="&amp;$A33,Uploads!$A:$A,"&lt;="&amp;$B33))</f>
        <v>0</v>
      </c>
    </row>
    <row r="34" customFormat="false" ht="15" hidden="false" customHeight="false" outlineLevel="0" collapsed="false">
      <c r="A34" s="11" t="n">
        <v>46391</v>
      </c>
      <c r="B34" s="22" t="n">
        <f aca="false">IF(A34="","",A34+6)</f>
        <v>46397</v>
      </c>
      <c r="C34" s="12" t="s">
        <v>31</v>
      </c>
      <c r="D34" s="23" t="n">
        <f aca="false">IF(A34="","",COUNTIFS(Uploads!$B:$B,$C34,Uploads!$A:$A,"&gt;="&amp;$A34,Uploads!$A:$A,"&lt;="&amp;$B34))</f>
        <v>0</v>
      </c>
      <c r="E34" s="23" t="n">
        <f aca="false">IF(A34="","",Variables!$E$4*7)</f>
        <v>21</v>
      </c>
      <c r="F34" s="19" t="n">
        <f aca="false">IF(OR(A34="",E34=0),"",D34/E34)</f>
        <v>0</v>
      </c>
      <c r="G34" s="23" t="n">
        <f aca="false">IF(A34="","",COUNTIFS('AB Tests'!$C:$C,$C34,'AB Tests'!$B:$B,"&gt;="&amp;$A34,'AB Tests'!$B:$B,"&lt;="&amp;$B34))</f>
        <v>0</v>
      </c>
      <c r="H34" s="23" t="n">
        <f aca="false">IF(A34="","",COUNTIFS('AB Tests'!$C:$C,$C34,'AB Tests'!$B:$B,"&gt;="&amp;$A34,'AB Tests'!$B:$B,"&lt;="&amp;$B34,'AB Tests'!$R:$R,"B"))</f>
        <v>0</v>
      </c>
      <c r="I34" s="23" t="n">
        <f aca="false">IF(A34="","",SUMIFS(Uploads!$J:$J,Uploads!$B:$B,$C34,Uploads!$A:$A,"&gt;="&amp;$A34,Uploads!$A:$A,"&lt;="&amp;$B34))</f>
        <v>0</v>
      </c>
      <c r="J34" s="23" t="str">
        <f aca="false">IF(OR(A34="",D34=0),"",I34/D34)</f>
        <v/>
      </c>
      <c r="K34" s="19" t="str">
        <f aca="false">IF(A34="","",IFERROR(AVERAGEIFS(Uploads!$K:$K,Uploads!$B:$B,$C34,Uploads!$A:$A,"&gt;="&amp;$A34,Uploads!$A:$A,"&lt;="&amp;$B34),""))</f>
        <v/>
      </c>
      <c r="L34" s="23" t="n">
        <f aca="false">IF(A34="","",SUMIFS(Uploads!$N:$N,Uploads!$B:$B,$C34,Uploads!$A:$A,"&gt;="&amp;$A34,Uploads!$A:$A,"&lt;="&amp;$B34))</f>
        <v>0</v>
      </c>
      <c r="M34" s="23" t="n">
        <f aca="false">IF(A34="","",SUMIFS(Uploads!$P:$P,Uploads!$B:$B,$C34,Uploads!$A:$A,"&gt;="&amp;$A34,Uploads!$A:$A,"&lt;="&amp;$B34))</f>
        <v>0</v>
      </c>
      <c r="N34" s="23" t="n">
        <f aca="false">IF(A34="","",SUMIFS(Uploads!$Q:$Q,Uploads!$B:$B,$C34,Uploads!$A:$A,"&gt;="&amp;$A34,Uploads!$A:$A,"&lt;="&amp;$B34))</f>
        <v>0</v>
      </c>
    </row>
    <row r="35" customFormat="false" ht="15" hidden="false" customHeight="false" outlineLevel="0" collapsed="false">
      <c r="A35" s="11" t="n">
        <v>46398</v>
      </c>
      <c r="B35" s="22" t="n">
        <f aca="false">IF(A35="","",A35+6)</f>
        <v>46404</v>
      </c>
      <c r="C35" s="12" t="s">
        <v>38</v>
      </c>
      <c r="D35" s="23" t="n">
        <f aca="false">IF(A35="","",COUNTIFS(Uploads!$B:$B,$C35,Uploads!$A:$A,"&gt;="&amp;$A35,Uploads!$A:$A,"&lt;="&amp;$B35))</f>
        <v>0</v>
      </c>
      <c r="E35" s="23" t="n">
        <f aca="false">IF(A35="","",Variables!$E$4*7)</f>
        <v>21</v>
      </c>
      <c r="F35" s="19" t="n">
        <f aca="false">IF(OR(A35="",E35=0),"",D35/E35)</f>
        <v>0</v>
      </c>
      <c r="G35" s="23" t="n">
        <f aca="false">IF(A35="","",COUNTIFS('AB Tests'!$C:$C,$C35,'AB Tests'!$B:$B,"&gt;="&amp;$A35,'AB Tests'!$B:$B,"&lt;="&amp;$B35))</f>
        <v>0</v>
      </c>
      <c r="H35" s="23" t="n">
        <f aca="false">IF(A35="","",COUNTIFS('AB Tests'!$C:$C,$C35,'AB Tests'!$B:$B,"&gt;="&amp;$A35,'AB Tests'!$B:$B,"&lt;="&amp;$B35,'AB Tests'!$R:$R,"B"))</f>
        <v>0</v>
      </c>
      <c r="I35" s="23" t="n">
        <f aca="false">IF(A35="","",SUMIFS(Uploads!$J:$J,Uploads!$B:$B,$C35,Uploads!$A:$A,"&gt;="&amp;$A35,Uploads!$A:$A,"&lt;="&amp;$B35))</f>
        <v>0</v>
      </c>
      <c r="J35" s="23" t="str">
        <f aca="false">IF(OR(A35="",D35=0),"",I35/D35)</f>
        <v/>
      </c>
      <c r="K35" s="19" t="str">
        <f aca="false">IF(A35="","",IFERROR(AVERAGEIFS(Uploads!$K:$K,Uploads!$B:$B,$C35,Uploads!$A:$A,"&gt;="&amp;$A35,Uploads!$A:$A,"&lt;="&amp;$B35),""))</f>
        <v/>
      </c>
      <c r="L35" s="23" t="n">
        <f aca="false">IF(A35="","",SUMIFS(Uploads!$N:$N,Uploads!$B:$B,$C35,Uploads!$A:$A,"&gt;="&amp;$A35,Uploads!$A:$A,"&lt;="&amp;$B35))</f>
        <v>0</v>
      </c>
      <c r="M35" s="23" t="n">
        <f aca="false">IF(A35="","",SUMIFS(Uploads!$P:$P,Uploads!$B:$B,$C35,Uploads!$A:$A,"&gt;="&amp;$A35,Uploads!$A:$A,"&lt;="&amp;$B35))</f>
        <v>0</v>
      </c>
      <c r="N35" s="23" t="n">
        <f aca="false">IF(A35="","",SUMIFS(Uploads!$Q:$Q,Uploads!$B:$B,$C35,Uploads!$A:$A,"&gt;="&amp;$A35,Uploads!$A:$A,"&lt;="&amp;$B35))</f>
        <v>0</v>
      </c>
    </row>
    <row r="36" customFormat="false" ht="15" hidden="false" customHeight="false" outlineLevel="0" collapsed="false">
      <c r="A36" s="11" t="n">
        <v>46398</v>
      </c>
      <c r="B36" s="22" t="n">
        <f aca="false">IF(A36="","",A36+6)</f>
        <v>46404</v>
      </c>
      <c r="C36" s="12" t="s">
        <v>41</v>
      </c>
      <c r="D36" s="23" t="n">
        <f aca="false">IF(A36="","",COUNTIFS(Uploads!$B:$B,$C36,Uploads!$A:$A,"&gt;="&amp;$A36,Uploads!$A:$A,"&lt;="&amp;$B36))</f>
        <v>0</v>
      </c>
      <c r="E36" s="23" t="n">
        <f aca="false">IF(A36="","",Variables!$E$4*7)</f>
        <v>21</v>
      </c>
      <c r="F36" s="19" t="n">
        <f aca="false">IF(OR(A36="",E36=0),"",D36/E36)</f>
        <v>0</v>
      </c>
      <c r="G36" s="23" t="n">
        <f aca="false">IF(A36="","",COUNTIFS('AB Tests'!$C:$C,$C36,'AB Tests'!$B:$B,"&gt;="&amp;$A36,'AB Tests'!$B:$B,"&lt;="&amp;$B36))</f>
        <v>0</v>
      </c>
      <c r="H36" s="23" t="n">
        <f aca="false">IF(A36="","",COUNTIFS('AB Tests'!$C:$C,$C36,'AB Tests'!$B:$B,"&gt;="&amp;$A36,'AB Tests'!$B:$B,"&lt;="&amp;$B36,'AB Tests'!$R:$R,"B"))</f>
        <v>0</v>
      </c>
      <c r="I36" s="23" t="n">
        <f aca="false">IF(A36="","",SUMIFS(Uploads!$J:$J,Uploads!$B:$B,$C36,Uploads!$A:$A,"&gt;="&amp;$A36,Uploads!$A:$A,"&lt;="&amp;$B36))</f>
        <v>0</v>
      </c>
      <c r="J36" s="23" t="str">
        <f aca="false">IF(OR(A36="",D36=0),"",I36/D36)</f>
        <v/>
      </c>
      <c r="K36" s="19" t="str">
        <f aca="false">IF(A36="","",IFERROR(AVERAGEIFS(Uploads!$K:$K,Uploads!$B:$B,$C36,Uploads!$A:$A,"&gt;="&amp;$A36,Uploads!$A:$A,"&lt;="&amp;$B36),""))</f>
        <v/>
      </c>
      <c r="L36" s="23" t="n">
        <f aca="false">IF(A36="","",SUMIFS(Uploads!$N:$N,Uploads!$B:$B,$C36,Uploads!$A:$A,"&gt;="&amp;$A36,Uploads!$A:$A,"&lt;="&amp;$B36))</f>
        <v>0</v>
      </c>
      <c r="M36" s="23" t="n">
        <f aca="false">IF(A36="","",SUMIFS(Uploads!$P:$P,Uploads!$B:$B,$C36,Uploads!$A:$A,"&gt;="&amp;$A36,Uploads!$A:$A,"&lt;="&amp;$B36))</f>
        <v>0</v>
      </c>
      <c r="N36" s="23" t="n">
        <f aca="false">IF(A36="","",SUMIFS(Uploads!$Q:$Q,Uploads!$B:$B,$C36,Uploads!$A:$A,"&gt;="&amp;$A36,Uploads!$A:$A,"&lt;="&amp;$B36))</f>
        <v>0</v>
      </c>
    </row>
    <row r="37" customFormat="false" ht="15" hidden="false" customHeight="false" outlineLevel="0" collapsed="false">
      <c r="A37" s="11" t="n">
        <v>46398</v>
      </c>
      <c r="B37" s="22" t="n">
        <f aca="false">IF(A37="","",A37+6)</f>
        <v>46404</v>
      </c>
      <c r="C37" s="12" t="s">
        <v>31</v>
      </c>
      <c r="D37" s="23" t="n">
        <f aca="false">IF(A37="","",COUNTIFS(Uploads!$B:$B,$C37,Uploads!$A:$A,"&gt;="&amp;$A37,Uploads!$A:$A,"&lt;="&amp;$B37))</f>
        <v>0</v>
      </c>
      <c r="E37" s="23" t="n">
        <f aca="false">IF(A37="","",Variables!$E$4*7)</f>
        <v>21</v>
      </c>
      <c r="F37" s="19" t="n">
        <f aca="false">IF(OR(A37="",E37=0),"",D37/E37)</f>
        <v>0</v>
      </c>
      <c r="G37" s="23" t="n">
        <f aca="false">IF(A37="","",COUNTIFS('AB Tests'!$C:$C,$C37,'AB Tests'!$B:$B,"&gt;="&amp;$A37,'AB Tests'!$B:$B,"&lt;="&amp;$B37))</f>
        <v>0</v>
      </c>
      <c r="H37" s="23" t="n">
        <f aca="false">IF(A37="","",COUNTIFS('AB Tests'!$C:$C,$C37,'AB Tests'!$B:$B,"&gt;="&amp;$A37,'AB Tests'!$B:$B,"&lt;="&amp;$B37,'AB Tests'!$R:$R,"B"))</f>
        <v>0</v>
      </c>
      <c r="I37" s="23" t="n">
        <f aca="false">IF(A37="","",SUMIFS(Uploads!$J:$J,Uploads!$B:$B,$C37,Uploads!$A:$A,"&gt;="&amp;$A37,Uploads!$A:$A,"&lt;="&amp;$B37))</f>
        <v>0</v>
      </c>
      <c r="J37" s="23" t="str">
        <f aca="false">IF(OR(A37="",D37=0),"",I37/D37)</f>
        <v/>
      </c>
      <c r="K37" s="19" t="str">
        <f aca="false">IF(A37="","",IFERROR(AVERAGEIFS(Uploads!$K:$K,Uploads!$B:$B,$C37,Uploads!$A:$A,"&gt;="&amp;$A37,Uploads!$A:$A,"&lt;="&amp;$B37),""))</f>
        <v/>
      </c>
      <c r="L37" s="23" t="n">
        <f aca="false">IF(A37="","",SUMIFS(Uploads!$N:$N,Uploads!$B:$B,$C37,Uploads!$A:$A,"&gt;="&amp;$A37,Uploads!$A:$A,"&lt;="&amp;$B37))</f>
        <v>0</v>
      </c>
      <c r="M37" s="23" t="n">
        <f aca="false">IF(A37="","",SUMIFS(Uploads!$P:$P,Uploads!$B:$B,$C37,Uploads!$A:$A,"&gt;="&amp;$A37,Uploads!$A:$A,"&lt;="&amp;$B37))</f>
        <v>0</v>
      </c>
      <c r="N37" s="23" t="n">
        <f aca="false">IF(A37="","",SUMIFS(Uploads!$Q:$Q,Uploads!$B:$B,$C37,Uploads!$A:$A,"&gt;="&amp;$A37,Uploads!$A:$A,"&lt;="&amp;$B37))</f>
        <v>0</v>
      </c>
    </row>
    <row r="38" customFormat="false" ht="15" hidden="false" customHeight="false" outlineLevel="0" collapsed="false">
      <c r="A38" s="11"/>
      <c r="B38" s="22" t="str">
        <f aca="false">IF(A38="","",A38+6)</f>
        <v/>
      </c>
      <c r="C38" s="12"/>
      <c r="D38" s="23" t="str">
        <f aca="false">IF(A38="","",COUNTIFS(Uploads!$B:$B,$C38,Uploads!$A:$A,"&gt;="&amp;$A38,Uploads!$A:$A,"&lt;="&amp;$B38))</f>
        <v/>
      </c>
      <c r="E38" s="23" t="str">
        <f aca="false">IF(A38="","",Variables!$E$4*7)</f>
        <v/>
      </c>
      <c r="F38" s="19" t="str">
        <f aca="false">IF(OR(A38="",E38=0),"",D38/E38)</f>
        <v/>
      </c>
      <c r="G38" s="23" t="str">
        <f aca="false">IF(A38="","",COUNTIFS('AB Tests'!$C:$C,$C38,'AB Tests'!$B:$B,"&gt;="&amp;$A38,'AB Tests'!$B:$B,"&lt;="&amp;$B38))</f>
        <v/>
      </c>
      <c r="H38" s="23" t="str">
        <f aca="false">IF(A38="","",COUNTIFS('AB Tests'!$C:$C,$C38,'AB Tests'!$B:$B,"&gt;="&amp;$A38,'AB Tests'!$B:$B,"&lt;="&amp;$B38,'AB Tests'!$R:$R,"B"))</f>
        <v/>
      </c>
      <c r="I38" s="23" t="str">
        <f aca="false">IF(A38="","",SUMIFS(Uploads!$J:$J,Uploads!$B:$B,$C38,Uploads!$A:$A,"&gt;="&amp;$A38,Uploads!$A:$A,"&lt;="&amp;$B38))</f>
        <v/>
      </c>
      <c r="J38" s="23" t="str">
        <f aca="false">IF(OR(A38="",D38=0),"",I38/D38)</f>
        <v/>
      </c>
      <c r="K38" s="19" t="str">
        <f aca="false">IF(A38="","",IFERROR(AVERAGEIFS(Uploads!$K:$K,Uploads!$B:$B,$C38,Uploads!$A:$A,"&gt;="&amp;$A38,Uploads!$A:$A,"&lt;="&amp;$B38),""))</f>
        <v/>
      </c>
      <c r="L38" s="23" t="str">
        <f aca="false">IF(A38="","",SUMIFS(Uploads!$N:$N,Uploads!$B:$B,$C38,Uploads!$A:$A,"&gt;="&amp;$A38,Uploads!$A:$A,"&lt;="&amp;$B38))</f>
        <v/>
      </c>
      <c r="M38" s="23" t="str">
        <f aca="false">IF(A38="","",SUMIFS(Uploads!$P:$P,Uploads!$B:$B,$C38,Uploads!$A:$A,"&gt;="&amp;$A38,Uploads!$A:$A,"&lt;="&amp;$B38))</f>
        <v/>
      </c>
      <c r="N38" s="23" t="str">
        <f aca="false">IF(A38="","",SUMIFS(Uploads!$Q:$Q,Uploads!$B:$B,$C38,Uploads!$A:$A,"&gt;="&amp;$A38,Uploads!$A:$A,"&lt;="&amp;$B38))</f>
        <v/>
      </c>
    </row>
    <row r="39" customFormat="false" ht="15" hidden="false" customHeight="false" outlineLevel="0" collapsed="false">
      <c r="A39" s="11"/>
      <c r="B39" s="22" t="str">
        <f aca="false">IF(A39="","",A39+6)</f>
        <v/>
      </c>
      <c r="C39" s="12"/>
      <c r="D39" s="23" t="str">
        <f aca="false">IF(A39="","",COUNTIFS(Uploads!$B:$B,$C39,Uploads!$A:$A,"&gt;="&amp;$A39,Uploads!$A:$A,"&lt;="&amp;$B39))</f>
        <v/>
      </c>
      <c r="E39" s="23" t="str">
        <f aca="false">IF(A39="","",Variables!$E$4*7)</f>
        <v/>
      </c>
      <c r="F39" s="19" t="str">
        <f aca="false">IF(OR(A39="",E39=0),"",D39/E39)</f>
        <v/>
      </c>
      <c r="G39" s="23" t="str">
        <f aca="false">IF(A39="","",COUNTIFS('AB Tests'!$C:$C,$C39,'AB Tests'!$B:$B,"&gt;="&amp;$A39,'AB Tests'!$B:$B,"&lt;="&amp;$B39))</f>
        <v/>
      </c>
      <c r="H39" s="23" t="str">
        <f aca="false">IF(A39="","",COUNTIFS('AB Tests'!$C:$C,$C39,'AB Tests'!$B:$B,"&gt;="&amp;$A39,'AB Tests'!$B:$B,"&lt;="&amp;$B39,'AB Tests'!$R:$R,"B"))</f>
        <v/>
      </c>
      <c r="I39" s="23" t="str">
        <f aca="false">IF(A39="","",SUMIFS(Uploads!$J:$J,Uploads!$B:$B,$C39,Uploads!$A:$A,"&gt;="&amp;$A39,Uploads!$A:$A,"&lt;="&amp;$B39))</f>
        <v/>
      </c>
      <c r="J39" s="23" t="str">
        <f aca="false">IF(OR(A39="",D39=0),"",I39/D39)</f>
        <v/>
      </c>
      <c r="K39" s="19" t="str">
        <f aca="false">IF(A39="","",IFERROR(AVERAGEIFS(Uploads!$K:$K,Uploads!$B:$B,$C39,Uploads!$A:$A,"&gt;="&amp;$A39,Uploads!$A:$A,"&lt;="&amp;$B39),""))</f>
        <v/>
      </c>
      <c r="L39" s="23" t="str">
        <f aca="false">IF(A39="","",SUMIFS(Uploads!$N:$N,Uploads!$B:$B,$C39,Uploads!$A:$A,"&gt;="&amp;$A39,Uploads!$A:$A,"&lt;="&amp;$B39))</f>
        <v/>
      </c>
      <c r="M39" s="23" t="str">
        <f aca="false">IF(A39="","",SUMIFS(Uploads!$P:$P,Uploads!$B:$B,$C39,Uploads!$A:$A,"&gt;="&amp;$A39,Uploads!$A:$A,"&lt;="&amp;$B39))</f>
        <v/>
      </c>
      <c r="N39" s="23" t="str">
        <f aca="false">IF(A39="","",SUMIFS(Uploads!$Q:$Q,Uploads!$B:$B,$C39,Uploads!$A:$A,"&gt;="&amp;$A39,Uploads!$A:$A,"&lt;="&amp;$B39))</f>
        <v/>
      </c>
    </row>
    <row r="40" customFormat="false" ht="15" hidden="false" customHeight="false" outlineLevel="0" collapsed="false">
      <c r="A40" s="11"/>
      <c r="B40" s="22" t="str">
        <f aca="false">IF(A40="","",A40+6)</f>
        <v/>
      </c>
      <c r="C40" s="12"/>
      <c r="D40" s="23" t="str">
        <f aca="false">IF(A40="","",COUNTIFS(Uploads!$B:$B,$C40,Uploads!$A:$A,"&gt;="&amp;$A40,Uploads!$A:$A,"&lt;="&amp;$B40))</f>
        <v/>
      </c>
      <c r="E40" s="23" t="str">
        <f aca="false">IF(A40="","",Variables!$E$4*7)</f>
        <v/>
      </c>
      <c r="F40" s="19" t="str">
        <f aca="false">IF(OR(A40="",E40=0),"",D40/E40)</f>
        <v/>
      </c>
      <c r="G40" s="23" t="str">
        <f aca="false">IF(A40="","",COUNTIFS('AB Tests'!$C:$C,$C40,'AB Tests'!$B:$B,"&gt;="&amp;$A40,'AB Tests'!$B:$B,"&lt;="&amp;$B40))</f>
        <v/>
      </c>
      <c r="H40" s="23" t="str">
        <f aca="false">IF(A40="","",COUNTIFS('AB Tests'!$C:$C,$C40,'AB Tests'!$B:$B,"&gt;="&amp;$A40,'AB Tests'!$B:$B,"&lt;="&amp;$B40,'AB Tests'!$R:$R,"B"))</f>
        <v/>
      </c>
      <c r="I40" s="23" t="str">
        <f aca="false">IF(A40="","",SUMIFS(Uploads!$J:$J,Uploads!$B:$B,$C40,Uploads!$A:$A,"&gt;="&amp;$A40,Uploads!$A:$A,"&lt;="&amp;$B40))</f>
        <v/>
      </c>
      <c r="J40" s="23" t="str">
        <f aca="false">IF(OR(A40="",D40=0),"",I40/D40)</f>
        <v/>
      </c>
      <c r="K40" s="19" t="str">
        <f aca="false">IF(A40="","",IFERROR(AVERAGEIFS(Uploads!$K:$K,Uploads!$B:$B,$C40,Uploads!$A:$A,"&gt;="&amp;$A40,Uploads!$A:$A,"&lt;="&amp;$B40),""))</f>
        <v/>
      </c>
      <c r="L40" s="23" t="str">
        <f aca="false">IF(A40="","",SUMIFS(Uploads!$N:$N,Uploads!$B:$B,$C40,Uploads!$A:$A,"&gt;="&amp;$A40,Uploads!$A:$A,"&lt;="&amp;$B40))</f>
        <v/>
      </c>
      <c r="M40" s="23" t="str">
        <f aca="false">IF(A40="","",SUMIFS(Uploads!$P:$P,Uploads!$B:$B,$C40,Uploads!$A:$A,"&gt;="&amp;$A40,Uploads!$A:$A,"&lt;="&amp;$B40))</f>
        <v/>
      </c>
      <c r="N40" s="23" t="str">
        <f aca="false">IF(A40="","",SUMIFS(Uploads!$Q:$Q,Uploads!$B:$B,$C40,Uploads!$A:$A,"&gt;="&amp;$A40,Uploads!$A:$A,"&lt;="&amp;$B40))</f>
        <v/>
      </c>
    </row>
    <row r="41" customFormat="false" ht="15" hidden="false" customHeight="false" outlineLevel="0" collapsed="false">
      <c r="A41" s="11"/>
      <c r="B41" s="22" t="str">
        <f aca="false">IF(A41="","",A41+6)</f>
        <v/>
      </c>
      <c r="C41" s="12"/>
      <c r="D41" s="23" t="str">
        <f aca="false">IF(A41="","",COUNTIFS(Uploads!$B:$B,$C41,Uploads!$A:$A,"&gt;="&amp;$A41,Uploads!$A:$A,"&lt;="&amp;$B41))</f>
        <v/>
      </c>
      <c r="E41" s="23" t="str">
        <f aca="false">IF(A41="","",Variables!$E$4*7)</f>
        <v/>
      </c>
      <c r="F41" s="19" t="str">
        <f aca="false">IF(OR(A41="",E41=0),"",D41/E41)</f>
        <v/>
      </c>
      <c r="G41" s="23" t="str">
        <f aca="false">IF(A41="","",COUNTIFS('AB Tests'!$C:$C,$C41,'AB Tests'!$B:$B,"&gt;="&amp;$A41,'AB Tests'!$B:$B,"&lt;="&amp;$B41))</f>
        <v/>
      </c>
      <c r="H41" s="23" t="str">
        <f aca="false">IF(A41="","",COUNTIFS('AB Tests'!$C:$C,$C41,'AB Tests'!$B:$B,"&gt;="&amp;$A41,'AB Tests'!$B:$B,"&lt;="&amp;$B41,'AB Tests'!$R:$R,"B"))</f>
        <v/>
      </c>
      <c r="I41" s="23" t="str">
        <f aca="false">IF(A41="","",SUMIFS(Uploads!$J:$J,Uploads!$B:$B,$C41,Uploads!$A:$A,"&gt;="&amp;$A41,Uploads!$A:$A,"&lt;="&amp;$B41))</f>
        <v/>
      </c>
      <c r="J41" s="23" t="str">
        <f aca="false">IF(OR(A41="",D41=0),"",I41/D41)</f>
        <v/>
      </c>
      <c r="K41" s="19" t="str">
        <f aca="false">IF(A41="","",IFERROR(AVERAGEIFS(Uploads!$K:$K,Uploads!$B:$B,$C41,Uploads!$A:$A,"&gt;="&amp;$A41,Uploads!$A:$A,"&lt;="&amp;$B41),""))</f>
        <v/>
      </c>
      <c r="L41" s="23" t="str">
        <f aca="false">IF(A41="","",SUMIFS(Uploads!$N:$N,Uploads!$B:$B,$C41,Uploads!$A:$A,"&gt;="&amp;$A41,Uploads!$A:$A,"&lt;="&amp;$B41))</f>
        <v/>
      </c>
      <c r="M41" s="23" t="str">
        <f aca="false">IF(A41="","",SUMIFS(Uploads!$P:$P,Uploads!$B:$B,$C41,Uploads!$A:$A,"&gt;="&amp;$A41,Uploads!$A:$A,"&lt;="&amp;$B41))</f>
        <v/>
      </c>
      <c r="N41" s="23" t="str">
        <f aca="false">IF(A41="","",SUMIFS(Uploads!$Q:$Q,Uploads!$B:$B,$C41,Uploads!$A:$A,"&gt;="&amp;$A41,Uploads!$A:$A,"&lt;="&amp;$B41))</f>
        <v/>
      </c>
    </row>
    <row r="42" customFormat="false" ht="15" hidden="false" customHeight="false" outlineLevel="0" collapsed="false">
      <c r="A42" s="11"/>
      <c r="B42" s="22" t="str">
        <f aca="false">IF(A42="","",A42+6)</f>
        <v/>
      </c>
      <c r="C42" s="12"/>
      <c r="D42" s="23" t="str">
        <f aca="false">IF(A42="","",COUNTIFS(Uploads!$B:$B,$C42,Uploads!$A:$A,"&gt;="&amp;$A42,Uploads!$A:$A,"&lt;="&amp;$B42))</f>
        <v/>
      </c>
      <c r="E42" s="23" t="str">
        <f aca="false">IF(A42="","",Variables!$E$4*7)</f>
        <v/>
      </c>
      <c r="F42" s="19" t="str">
        <f aca="false">IF(OR(A42="",E42=0),"",D42/E42)</f>
        <v/>
      </c>
      <c r="G42" s="23" t="str">
        <f aca="false">IF(A42="","",COUNTIFS('AB Tests'!$C:$C,$C42,'AB Tests'!$B:$B,"&gt;="&amp;$A42,'AB Tests'!$B:$B,"&lt;="&amp;$B42))</f>
        <v/>
      </c>
      <c r="H42" s="23" t="str">
        <f aca="false">IF(A42="","",COUNTIFS('AB Tests'!$C:$C,$C42,'AB Tests'!$B:$B,"&gt;="&amp;$A42,'AB Tests'!$B:$B,"&lt;="&amp;$B42,'AB Tests'!$R:$R,"B"))</f>
        <v/>
      </c>
      <c r="I42" s="23" t="str">
        <f aca="false">IF(A42="","",SUMIFS(Uploads!$J:$J,Uploads!$B:$B,$C42,Uploads!$A:$A,"&gt;="&amp;$A42,Uploads!$A:$A,"&lt;="&amp;$B42))</f>
        <v/>
      </c>
      <c r="J42" s="23" t="str">
        <f aca="false">IF(OR(A42="",D42=0),"",I42/D42)</f>
        <v/>
      </c>
      <c r="K42" s="19" t="str">
        <f aca="false">IF(A42="","",IFERROR(AVERAGEIFS(Uploads!$K:$K,Uploads!$B:$B,$C42,Uploads!$A:$A,"&gt;="&amp;$A42,Uploads!$A:$A,"&lt;="&amp;$B42),""))</f>
        <v/>
      </c>
      <c r="L42" s="23" t="str">
        <f aca="false">IF(A42="","",SUMIFS(Uploads!$N:$N,Uploads!$B:$B,$C42,Uploads!$A:$A,"&gt;="&amp;$A42,Uploads!$A:$A,"&lt;="&amp;$B42))</f>
        <v/>
      </c>
      <c r="M42" s="23" t="str">
        <f aca="false">IF(A42="","",SUMIFS(Uploads!$P:$P,Uploads!$B:$B,$C42,Uploads!$A:$A,"&gt;="&amp;$A42,Uploads!$A:$A,"&lt;="&amp;$B42))</f>
        <v/>
      </c>
      <c r="N42" s="23" t="str">
        <f aca="false">IF(A42="","",SUMIFS(Uploads!$Q:$Q,Uploads!$B:$B,$C42,Uploads!$A:$A,"&gt;="&amp;$A42,Uploads!$A:$A,"&lt;="&amp;$B42))</f>
        <v/>
      </c>
    </row>
    <row r="43" customFormat="false" ht="15" hidden="false" customHeight="false" outlineLevel="0" collapsed="false">
      <c r="A43" s="11"/>
      <c r="B43" s="22" t="str">
        <f aca="false">IF(A43="","",A43+6)</f>
        <v/>
      </c>
      <c r="C43" s="12"/>
      <c r="D43" s="23" t="str">
        <f aca="false">IF(A43="","",COUNTIFS(Uploads!$B:$B,$C43,Uploads!$A:$A,"&gt;="&amp;$A43,Uploads!$A:$A,"&lt;="&amp;$B43))</f>
        <v/>
      </c>
      <c r="E43" s="23" t="str">
        <f aca="false">IF(A43="","",Variables!$E$4*7)</f>
        <v/>
      </c>
      <c r="F43" s="19" t="str">
        <f aca="false">IF(OR(A43="",E43=0),"",D43/E43)</f>
        <v/>
      </c>
      <c r="G43" s="23" t="str">
        <f aca="false">IF(A43="","",COUNTIFS('AB Tests'!$C:$C,$C43,'AB Tests'!$B:$B,"&gt;="&amp;$A43,'AB Tests'!$B:$B,"&lt;="&amp;$B43))</f>
        <v/>
      </c>
      <c r="H43" s="23" t="str">
        <f aca="false">IF(A43="","",COUNTIFS('AB Tests'!$C:$C,$C43,'AB Tests'!$B:$B,"&gt;="&amp;$A43,'AB Tests'!$B:$B,"&lt;="&amp;$B43,'AB Tests'!$R:$R,"B"))</f>
        <v/>
      </c>
      <c r="I43" s="23" t="str">
        <f aca="false">IF(A43="","",SUMIFS(Uploads!$J:$J,Uploads!$B:$B,$C43,Uploads!$A:$A,"&gt;="&amp;$A43,Uploads!$A:$A,"&lt;="&amp;$B43))</f>
        <v/>
      </c>
      <c r="J43" s="23" t="str">
        <f aca="false">IF(OR(A43="",D43=0),"",I43/D43)</f>
        <v/>
      </c>
      <c r="K43" s="19" t="str">
        <f aca="false">IF(A43="","",IFERROR(AVERAGEIFS(Uploads!$K:$K,Uploads!$B:$B,$C43,Uploads!$A:$A,"&gt;="&amp;$A43,Uploads!$A:$A,"&lt;="&amp;$B43),""))</f>
        <v/>
      </c>
      <c r="L43" s="23" t="str">
        <f aca="false">IF(A43="","",SUMIFS(Uploads!$N:$N,Uploads!$B:$B,$C43,Uploads!$A:$A,"&gt;="&amp;$A43,Uploads!$A:$A,"&lt;="&amp;$B43))</f>
        <v/>
      </c>
      <c r="M43" s="23" t="str">
        <f aca="false">IF(A43="","",SUMIFS(Uploads!$P:$P,Uploads!$B:$B,$C43,Uploads!$A:$A,"&gt;="&amp;$A43,Uploads!$A:$A,"&lt;="&amp;$B43))</f>
        <v/>
      </c>
      <c r="N43" s="23" t="str">
        <f aca="false">IF(A43="","",SUMIFS(Uploads!$Q:$Q,Uploads!$B:$B,$C43,Uploads!$A:$A,"&gt;="&amp;$A43,Uploads!$A:$A,"&lt;="&amp;$B43))</f>
        <v/>
      </c>
    </row>
    <row r="44" customFormat="false" ht="15" hidden="false" customHeight="false" outlineLevel="0" collapsed="false">
      <c r="A44" s="11"/>
      <c r="B44" s="22" t="str">
        <f aca="false">IF(A44="","",A44+6)</f>
        <v/>
      </c>
      <c r="C44" s="12"/>
      <c r="D44" s="23" t="str">
        <f aca="false">IF(A44="","",COUNTIFS(Uploads!$B:$B,$C44,Uploads!$A:$A,"&gt;="&amp;$A44,Uploads!$A:$A,"&lt;="&amp;$B44))</f>
        <v/>
      </c>
      <c r="E44" s="23" t="str">
        <f aca="false">IF(A44="","",Variables!$E$4*7)</f>
        <v/>
      </c>
      <c r="F44" s="19" t="str">
        <f aca="false">IF(OR(A44="",E44=0),"",D44/E44)</f>
        <v/>
      </c>
      <c r="G44" s="23" t="str">
        <f aca="false">IF(A44="","",COUNTIFS('AB Tests'!$C:$C,$C44,'AB Tests'!$B:$B,"&gt;="&amp;$A44,'AB Tests'!$B:$B,"&lt;="&amp;$B44))</f>
        <v/>
      </c>
      <c r="H44" s="23" t="str">
        <f aca="false">IF(A44="","",COUNTIFS('AB Tests'!$C:$C,$C44,'AB Tests'!$B:$B,"&gt;="&amp;$A44,'AB Tests'!$B:$B,"&lt;="&amp;$B44,'AB Tests'!$R:$R,"B"))</f>
        <v/>
      </c>
      <c r="I44" s="23" t="str">
        <f aca="false">IF(A44="","",SUMIFS(Uploads!$J:$J,Uploads!$B:$B,$C44,Uploads!$A:$A,"&gt;="&amp;$A44,Uploads!$A:$A,"&lt;="&amp;$B44))</f>
        <v/>
      </c>
      <c r="J44" s="23" t="str">
        <f aca="false">IF(OR(A44="",D44=0),"",I44/D44)</f>
        <v/>
      </c>
      <c r="K44" s="19" t="str">
        <f aca="false">IF(A44="","",IFERROR(AVERAGEIFS(Uploads!$K:$K,Uploads!$B:$B,$C44,Uploads!$A:$A,"&gt;="&amp;$A44,Uploads!$A:$A,"&lt;="&amp;$B44),""))</f>
        <v/>
      </c>
      <c r="L44" s="23" t="str">
        <f aca="false">IF(A44="","",SUMIFS(Uploads!$N:$N,Uploads!$B:$B,$C44,Uploads!$A:$A,"&gt;="&amp;$A44,Uploads!$A:$A,"&lt;="&amp;$B44))</f>
        <v/>
      </c>
      <c r="M44" s="23" t="str">
        <f aca="false">IF(A44="","",SUMIFS(Uploads!$P:$P,Uploads!$B:$B,$C44,Uploads!$A:$A,"&gt;="&amp;$A44,Uploads!$A:$A,"&lt;="&amp;$B44))</f>
        <v/>
      </c>
      <c r="N44" s="23" t="str">
        <f aca="false">IF(A44="","",SUMIFS(Uploads!$Q:$Q,Uploads!$B:$B,$C44,Uploads!$A:$A,"&gt;="&amp;$A44,Uploads!$A:$A,"&lt;="&amp;$B44))</f>
        <v/>
      </c>
    </row>
    <row r="45" customFormat="false" ht="15" hidden="false" customHeight="false" outlineLevel="0" collapsed="false">
      <c r="A45" s="11"/>
      <c r="B45" s="22" t="str">
        <f aca="false">IF(A45="","",A45+6)</f>
        <v/>
      </c>
      <c r="C45" s="12"/>
      <c r="D45" s="23" t="str">
        <f aca="false">IF(A45="","",COUNTIFS(Uploads!$B:$B,$C45,Uploads!$A:$A,"&gt;="&amp;$A45,Uploads!$A:$A,"&lt;="&amp;$B45))</f>
        <v/>
      </c>
      <c r="E45" s="23" t="str">
        <f aca="false">IF(A45="","",Variables!$E$4*7)</f>
        <v/>
      </c>
      <c r="F45" s="19" t="str">
        <f aca="false">IF(OR(A45="",E45=0),"",D45/E45)</f>
        <v/>
      </c>
      <c r="G45" s="23" t="str">
        <f aca="false">IF(A45="","",COUNTIFS('AB Tests'!$C:$C,$C45,'AB Tests'!$B:$B,"&gt;="&amp;$A45,'AB Tests'!$B:$B,"&lt;="&amp;$B45))</f>
        <v/>
      </c>
      <c r="H45" s="23" t="str">
        <f aca="false">IF(A45="","",COUNTIFS('AB Tests'!$C:$C,$C45,'AB Tests'!$B:$B,"&gt;="&amp;$A45,'AB Tests'!$B:$B,"&lt;="&amp;$B45,'AB Tests'!$R:$R,"B"))</f>
        <v/>
      </c>
      <c r="I45" s="23" t="str">
        <f aca="false">IF(A45="","",SUMIFS(Uploads!$J:$J,Uploads!$B:$B,$C45,Uploads!$A:$A,"&gt;="&amp;$A45,Uploads!$A:$A,"&lt;="&amp;$B45))</f>
        <v/>
      </c>
      <c r="J45" s="23" t="str">
        <f aca="false">IF(OR(A45="",D45=0),"",I45/D45)</f>
        <v/>
      </c>
      <c r="K45" s="19" t="str">
        <f aca="false">IF(A45="","",IFERROR(AVERAGEIFS(Uploads!$K:$K,Uploads!$B:$B,$C45,Uploads!$A:$A,"&gt;="&amp;$A45,Uploads!$A:$A,"&lt;="&amp;$B45),""))</f>
        <v/>
      </c>
      <c r="L45" s="23" t="str">
        <f aca="false">IF(A45="","",SUMIFS(Uploads!$N:$N,Uploads!$B:$B,$C45,Uploads!$A:$A,"&gt;="&amp;$A45,Uploads!$A:$A,"&lt;="&amp;$B45))</f>
        <v/>
      </c>
      <c r="M45" s="23" t="str">
        <f aca="false">IF(A45="","",SUMIFS(Uploads!$P:$P,Uploads!$B:$B,$C45,Uploads!$A:$A,"&gt;="&amp;$A45,Uploads!$A:$A,"&lt;="&amp;$B45))</f>
        <v/>
      </c>
      <c r="N45" s="23" t="str">
        <f aca="false">IF(A45="","",SUMIFS(Uploads!$Q:$Q,Uploads!$B:$B,$C45,Uploads!$A:$A,"&gt;="&amp;$A45,Uploads!$A:$A,"&lt;="&amp;$B45))</f>
        <v/>
      </c>
    </row>
    <row r="46" customFormat="false" ht="15" hidden="false" customHeight="false" outlineLevel="0" collapsed="false">
      <c r="A46" s="11"/>
      <c r="B46" s="22" t="str">
        <f aca="false">IF(A46="","",A46+6)</f>
        <v/>
      </c>
      <c r="C46" s="12"/>
      <c r="D46" s="23" t="str">
        <f aca="false">IF(A46="","",COUNTIFS(Uploads!$B:$B,$C46,Uploads!$A:$A,"&gt;="&amp;$A46,Uploads!$A:$A,"&lt;="&amp;$B46))</f>
        <v/>
      </c>
      <c r="E46" s="23" t="str">
        <f aca="false">IF(A46="","",Variables!$E$4*7)</f>
        <v/>
      </c>
      <c r="F46" s="19" t="str">
        <f aca="false">IF(OR(A46="",E46=0),"",D46/E46)</f>
        <v/>
      </c>
      <c r="G46" s="23" t="str">
        <f aca="false">IF(A46="","",COUNTIFS('AB Tests'!$C:$C,$C46,'AB Tests'!$B:$B,"&gt;="&amp;$A46,'AB Tests'!$B:$B,"&lt;="&amp;$B46))</f>
        <v/>
      </c>
      <c r="H46" s="23" t="str">
        <f aca="false">IF(A46="","",COUNTIFS('AB Tests'!$C:$C,$C46,'AB Tests'!$B:$B,"&gt;="&amp;$A46,'AB Tests'!$B:$B,"&lt;="&amp;$B46,'AB Tests'!$R:$R,"B"))</f>
        <v/>
      </c>
      <c r="I46" s="23" t="str">
        <f aca="false">IF(A46="","",SUMIFS(Uploads!$J:$J,Uploads!$B:$B,$C46,Uploads!$A:$A,"&gt;="&amp;$A46,Uploads!$A:$A,"&lt;="&amp;$B46))</f>
        <v/>
      </c>
      <c r="J46" s="23" t="str">
        <f aca="false">IF(OR(A46="",D46=0),"",I46/D46)</f>
        <v/>
      </c>
      <c r="K46" s="19" t="str">
        <f aca="false">IF(A46="","",IFERROR(AVERAGEIFS(Uploads!$K:$K,Uploads!$B:$B,$C46,Uploads!$A:$A,"&gt;="&amp;$A46,Uploads!$A:$A,"&lt;="&amp;$B46),""))</f>
        <v/>
      </c>
      <c r="L46" s="23" t="str">
        <f aca="false">IF(A46="","",SUMIFS(Uploads!$N:$N,Uploads!$B:$B,$C46,Uploads!$A:$A,"&gt;="&amp;$A46,Uploads!$A:$A,"&lt;="&amp;$B46))</f>
        <v/>
      </c>
      <c r="M46" s="23" t="str">
        <f aca="false">IF(A46="","",SUMIFS(Uploads!$P:$P,Uploads!$B:$B,$C46,Uploads!$A:$A,"&gt;="&amp;$A46,Uploads!$A:$A,"&lt;="&amp;$B46))</f>
        <v/>
      </c>
      <c r="N46" s="23" t="str">
        <f aca="false">IF(A46="","",SUMIFS(Uploads!$Q:$Q,Uploads!$B:$B,$C46,Uploads!$A:$A,"&gt;="&amp;$A46,Uploads!$A:$A,"&lt;="&amp;$B46))</f>
        <v/>
      </c>
    </row>
    <row r="47" customFormat="false" ht="15" hidden="false" customHeight="false" outlineLevel="0" collapsed="false">
      <c r="A47" s="11"/>
      <c r="B47" s="22" t="str">
        <f aca="false">IF(A47="","",A47+6)</f>
        <v/>
      </c>
      <c r="C47" s="12"/>
      <c r="D47" s="23" t="str">
        <f aca="false">IF(A47="","",COUNTIFS(Uploads!$B:$B,$C47,Uploads!$A:$A,"&gt;="&amp;$A47,Uploads!$A:$A,"&lt;="&amp;$B47))</f>
        <v/>
      </c>
      <c r="E47" s="23" t="str">
        <f aca="false">IF(A47="","",Variables!$E$4*7)</f>
        <v/>
      </c>
      <c r="F47" s="19" t="str">
        <f aca="false">IF(OR(A47="",E47=0),"",D47/E47)</f>
        <v/>
      </c>
      <c r="G47" s="23" t="str">
        <f aca="false">IF(A47="","",COUNTIFS('AB Tests'!$C:$C,$C47,'AB Tests'!$B:$B,"&gt;="&amp;$A47,'AB Tests'!$B:$B,"&lt;="&amp;$B47))</f>
        <v/>
      </c>
      <c r="H47" s="23" t="str">
        <f aca="false">IF(A47="","",COUNTIFS('AB Tests'!$C:$C,$C47,'AB Tests'!$B:$B,"&gt;="&amp;$A47,'AB Tests'!$B:$B,"&lt;="&amp;$B47,'AB Tests'!$R:$R,"B"))</f>
        <v/>
      </c>
      <c r="I47" s="23" t="str">
        <f aca="false">IF(A47="","",SUMIFS(Uploads!$J:$J,Uploads!$B:$B,$C47,Uploads!$A:$A,"&gt;="&amp;$A47,Uploads!$A:$A,"&lt;="&amp;$B47))</f>
        <v/>
      </c>
      <c r="J47" s="23" t="str">
        <f aca="false">IF(OR(A47="",D47=0),"",I47/D47)</f>
        <v/>
      </c>
      <c r="K47" s="19" t="str">
        <f aca="false">IF(A47="","",IFERROR(AVERAGEIFS(Uploads!$K:$K,Uploads!$B:$B,$C47,Uploads!$A:$A,"&gt;="&amp;$A47,Uploads!$A:$A,"&lt;="&amp;$B47),""))</f>
        <v/>
      </c>
      <c r="L47" s="23" t="str">
        <f aca="false">IF(A47="","",SUMIFS(Uploads!$N:$N,Uploads!$B:$B,$C47,Uploads!$A:$A,"&gt;="&amp;$A47,Uploads!$A:$A,"&lt;="&amp;$B47))</f>
        <v/>
      </c>
      <c r="M47" s="23" t="str">
        <f aca="false">IF(A47="","",SUMIFS(Uploads!$P:$P,Uploads!$B:$B,$C47,Uploads!$A:$A,"&gt;="&amp;$A47,Uploads!$A:$A,"&lt;="&amp;$B47))</f>
        <v/>
      </c>
      <c r="N47" s="23" t="str">
        <f aca="false">IF(A47="","",SUMIFS(Uploads!$Q:$Q,Uploads!$B:$B,$C47,Uploads!$A:$A,"&gt;="&amp;$A47,Uploads!$A:$A,"&lt;="&amp;$B47))</f>
        <v/>
      </c>
    </row>
    <row r="48" customFormat="false" ht="15" hidden="false" customHeight="false" outlineLevel="0" collapsed="false">
      <c r="A48" s="11"/>
      <c r="B48" s="22" t="str">
        <f aca="false">IF(A48="","",A48+6)</f>
        <v/>
      </c>
      <c r="C48" s="12"/>
      <c r="D48" s="23" t="str">
        <f aca="false">IF(A48="","",COUNTIFS(Uploads!$B:$B,$C48,Uploads!$A:$A,"&gt;="&amp;$A48,Uploads!$A:$A,"&lt;="&amp;$B48))</f>
        <v/>
      </c>
      <c r="E48" s="23" t="str">
        <f aca="false">IF(A48="","",Variables!$E$4*7)</f>
        <v/>
      </c>
      <c r="F48" s="19" t="str">
        <f aca="false">IF(OR(A48="",E48=0),"",D48/E48)</f>
        <v/>
      </c>
      <c r="G48" s="23" t="str">
        <f aca="false">IF(A48="","",COUNTIFS('AB Tests'!$C:$C,$C48,'AB Tests'!$B:$B,"&gt;="&amp;$A48,'AB Tests'!$B:$B,"&lt;="&amp;$B48))</f>
        <v/>
      </c>
      <c r="H48" s="23" t="str">
        <f aca="false">IF(A48="","",COUNTIFS('AB Tests'!$C:$C,$C48,'AB Tests'!$B:$B,"&gt;="&amp;$A48,'AB Tests'!$B:$B,"&lt;="&amp;$B48,'AB Tests'!$R:$R,"B"))</f>
        <v/>
      </c>
      <c r="I48" s="23" t="str">
        <f aca="false">IF(A48="","",SUMIFS(Uploads!$J:$J,Uploads!$B:$B,$C48,Uploads!$A:$A,"&gt;="&amp;$A48,Uploads!$A:$A,"&lt;="&amp;$B48))</f>
        <v/>
      </c>
      <c r="J48" s="23" t="str">
        <f aca="false">IF(OR(A48="",D48=0),"",I48/D48)</f>
        <v/>
      </c>
      <c r="K48" s="19" t="str">
        <f aca="false">IF(A48="","",IFERROR(AVERAGEIFS(Uploads!$K:$K,Uploads!$B:$B,$C48,Uploads!$A:$A,"&gt;="&amp;$A48,Uploads!$A:$A,"&lt;="&amp;$B48),""))</f>
        <v/>
      </c>
      <c r="L48" s="23" t="str">
        <f aca="false">IF(A48="","",SUMIFS(Uploads!$N:$N,Uploads!$B:$B,$C48,Uploads!$A:$A,"&gt;="&amp;$A48,Uploads!$A:$A,"&lt;="&amp;$B48))</f>
        <v/>
      </c>
      <c r="M48" s="23" t="str">
        <f aca="false">IF(A48="","",SUMIFS(Uploads!$P:$P,Uploads!$B:$B,$C48,Uploads!$A:$A,"&gt;="&amp;$A48,Uploads!$A:$A,"&lt;="&amp;$B48))</f>
        <v/>
      </c>
      <c r="N48" s="23" t="str">
        <f aca="false">IF(A48="","",SUMIFS(Uploads!$Q:$Q,Uploads!$B:$B,$C48,Uploads!$A:$A,"&gt;="&amp;$A48,Uploads!$A:$A,"&lt;="&amp;$B48))</f>
        <v/>
      </c>
    </row>
    <row r="49" customFormat="false" ht="15" hidden="false" customHeight="false" outlineLevel="0" collapsed="false">
      <c r="A49" s="11"/>
      <c r="B49" s="22" t="str">
        <f aca="false">IF(A49="","",A49+6)</f>
        <v/>
      </c>
      <c r="C49" s="12"/>
      <c r="D49" s="23" t="str">
        <f aca="false">IF(A49="","",COUNTIFS(Uploads!$B:$B,$C49,Uploads!$A:$A,"&gt;="&amp;$A49,Uploads!$A:$A,"&lt;="&amp;$B49))</f>
        <v/>
      </c>
      <c r="E49" s="23" t="str">
        <f aca="false">IF(A49="","",Variables!$E$4*7)</f>
        <v/>
      </c>
      <c r="F49" s="19" t="str">
        <f aca="false">IF(OR(A49="",E49=0),"",D49/E49)</f>
        <v/>
      </c>
      <c r="G49" s="23" t="str">
        <f aca="false">IF(A49="","",COUNTIFS('AB Tests'!$C:$C,$C49,'AB Tests'!$B:$B,"&gt;="&amp;$A49,'AB Tests'!$B:$B,"&lt;="&amp;$B49))</f>
        <v/>
      </c>
      <c r="H49" s="23" t="str">
        <f aca="false">IF(A49="","",COUNTIFS('AB Tests'!$C:$C,$C49,'AB Tests'!$B:$B,"&gt;="&amp;$A49,'AB Tests'!$B:$B,"&lt;="&amp;$B49,'AB Tests'!$R:$R,"B"))</f>
        <v/>
      </c>
      <c r="I49" s="23" t="str">
        <f aca="false">IF(A49="","",SUMIFS(Uploads!$J:$J,Uploads!$B:$B,$C49,Uploads!$A:$A,"&gt;="&amp;$A49,Uploads!$A:$A,"&lt;="&amp;$B49))</f>
        <v/>
      </c>
      <c r="J49" s="23" t="str">
        <f aca="false">IF(OR(A49="",D49=0),"",I49/D49)</f>
        <v/>
      </c>
      <c r="K49" s="19" t="str">
        <f aca="false">IF(A49="","",IFERROR(AVERAGEIFS(Uploads!$K:$K,Uploads!$B:$B,$C49,Uploads!$A:$A,"&gt;="&amp;$A49,Uploads!$A:$A,"&lt;="&amp;$B49),""))</f>
        <v/>
      </c>
      <c r="L49" s="23" t="str">
        <f aca="false">IF(A49="","",SUMIFS(Uploads!$N:$N,Uploads!$B:$B,$C49,Uploads!$A:$A,"&gt;="&amp;$A49,Uploads!$A:$A,"&lt;="&amp;$B49))</f>
        <v/>
      </c>
      <c r="M49" s="23" t="str">
        <f aca="false">IF(A49="","",SUMIFS(Uploads!$P:$P,Uploads!$B:$B,$C49,Uploads!$A:$A,"&gt;="&amp;$A49,Uploads!$A:$A,"&lt;="&amp;$B49))</f>
        <v/>
      </c>
      <c r="N49" s="23" t="str">
        <f aca="false">IF(A49="","",SUMIFS(Uploads!$Q:$Q,Uploads!$B:$B,$C49,Uploads!$A:$A,"&gt;="&amp;$A49,Uploads!$A:$A,"&lt;="&amp;$B49))</f>
        <v/>
      </c>
    </row>
    <row r="50" customFormat="false" ht="15" hidden="false" customHeight="false" outlineLevel="0" collapsed="false">
      <c r="A50" s="11"/>
      <c r="B50" s="22" t="str">
        <f aca="false">IF(A50="","",A50+6)</f>
        <v/>
      </c>
      <c r="C50" s="12"/>
      <c r="D50" s="23" t="str">
        <f aca="false">IF(A50="","",COUNTIFS(Uploads!$B:$B,$C50,Uploads!$A:$A,"&gt;="&amp;$A50,Uploads!$A:$A,"&lt;="&amp;$B50))</f>
        <v/>
      </c>
      <c r="E50" s="23" t="str">
        <f aca="false">IF(A50="","",Variables!$E$4*7)</f>
        <v/>
      </c>
      <c r="F50" s="19" t="str">
        <f aca="false">IF(OR(A50="",E50=0),"",D50/E50)</f>
        <v/>
      </c>
      <c r="G50" s="23" t="str">
        <f aca="false">IF(A50="","",COUNTIFS('AB Tests'!$C:$C,$C50,'AB Tests'!$B:$B,"&gt;="&amp;$A50,'AB Tests'!$B:$B,"&lt;="&amp;$B50))</f>
        <v/>
      </c>
      <c r="H50" s="23" t="str">
        <f aca="false">IF(A50="","",COUNTIFS('AB Tests'!$C:$C,$C50,'AB Tests'!$B:$B,"&gt;="&amp;$A50,'AB Tests'!$B:$B,"&lt;="&amp;$B50,'AB Tests'!$R:$R,"B"))</f>
        <v/>
      </c>
      <c r="I50" s="23" t="str">
        <f aca="false">IF(A50="","",SUMIFS(Uploads!$J:$J,Uploads!$B:$B,$C50,Uploads!$A:$A,"&gt;="&amp;$A50,Uploads!$A:$A,"&lt;="&amp;$B50))</f>
        <v/>
      </c>
      <c r="J50" s="23" t="str">
        <f aca="false">IF(OR(A50="",D50=0),"",I50/D50)</f>
        <v/>
      </c>
      <c r="K50" s="19" t="str">
        <f aca="false">IF(A50="","",IFERROR(AVERAGEIFS(Uploads!$K:$K,Uploads!$B:$B,$C50,Uploads!$A:$A,"&gt;="&amp;$A50,Uploads!$A:$A,"&lt;="&amp;$B50),""))</f>
        <v/>
      </c>
      <c r="L50" s="23" t="str">
        <f aca="false">IF(A50="","",SUMIFS(Uploads!$N:$N,Uploads!$B:$B,$C50,Uploads!$A:$A,"&gt;="&amp;$A50,Uploads!$A:$A,"&lt;="&amp;$B50))</f>
        <v/>
      </c>
      <c r="M50" s="23" t="str">
        <f aca="false">IF(A50="","",SUMIFS(Uploads!$P:$P,Uploads!$B:$B,$C50,Uploads!$A:$A,"&gt;="&amp;$A50,Uploads!$A:$A,"&lt;="&amp;$B50))</f>
        <v/>
      </c>
      <c r="N50" s="23" t="str">
        <f aca="false">IF(A50="","",SUMIFS(Uploads!$Q:$Q,Uploads!$B:$B,$C50,Uploads!$A:$A,"&gt;="&amp;$A50,Uploads!$A:$A,"&lt;="&amp;$B50))</f>
        <v/>
      </c>
    </row>
    <row r="51" customFormat="false" ht="15" hidden="false" customHeight="false" outlineLevel="0" collapsed="false">
      <c r="A51" s="11"/>
      <c r="B51" s="22" t="str">
        <f aca="false">IF(A51="","",A51+6)</f>
        <v/>
      </c>
      <c r="C51" s="12"/>
      <c r="D51" s="23" t="str">
        <f aca="false">IF(A51="","",COUNTIFS(Uploads!$B:$B,$C51,Uploads!$A:$A,"&gt;="&amp;$A51,Uploads!$A:$A,"&lt;="&amp;$B51))</f>
        <v/>
      </c>
      <c r="E51" s="23" t="str">
        <f aca="false">IF(A51="","",Variables!$E$4*7)</f>
        <v/>
      </c>
      <c r="F51" s="19" t="str">
        <f aca="false">IF(OR(A51="",E51=0),"",D51/E51)</f>
        <v/>
      </c>
      <c r="G51" s="23" t="str">
        <f aca="false">IF(A51="","",COUNTIFS('AB Tests'!$C:$C,$C51,'AB Tests'!$B:$B,"&gt;="&amp;$A51,'AB Tests'!$B:$B,"&lt;="&amp;$B51))</f>
        <v/>
      </c>
      <c r="H51" s="23" t="str">
        <f aca="false">IF(A51="","",COUNTIFS('AB Tests'!$C:$C,$C51,'AB Tests'!$B:$B,"&gt;="&amp;$A51,'AB Tests'!$B:$B,"&lt;="&amp;$B51,'AB Tests'!$R:$R,"B"))</f>
        <v/>
      </c>
      <c r="I51" s="23" t="str">
        <f aca="false">IF(A51="","",SUMIFS(Uploads!$J:$J,Uploads!$B:$B,$C51,Uploads!$A:$A,"&gt;="&amp;$A51,Uploads!$A:$A,"&lt;="&amp;$B51))</f>
        <v/>
      </c>
      <c r="J51" s="23" t="str">
        <f aca="false">IF(OR(A51="",D51=0),"",I51/D51)</f>
        <v/>
      </c>
      <c r="K51" s="19" t="str">
        <f aca="false">IF(A51="","",IFERROR(AVERAGEIFS(Uploads!$K:$K,Uploads!$B:$B,$C51,Uploads!$A:$A,"&gt;="&amp;$A51,Uploads!$A:$A,"&lt;="&amp;$B51),""))</f>
        <v/>
      </c>
      <c r="L51" s="23" t="str">
        <f aca="false">IF(A51="","",SUMIFS(Uploads!$N:$N,Uploads!$B:$B,$C51,Uploads!$A:$A,"&gt;="&amp;$A51,Uploads!$A:$A,"&lt;="&amp;$B51))</f>
        <v/>
      </c>
      <c r="M51" s="23" t="str">
        <f aca="false">IF(A51="","",SUMIFS(Uploads!$P:$P,Uploads!$B:$B,$C51,Uploads!$A:$A,"&gt;="&amp;$A51,Uploads!$A:$A,"&lt;="&amp;$B51))</f>
        <v/>
      </c>
      <c r="N51" s="23" t="str">
        <f aca="false">IF(A51="","",SUMIFS(Uploads!$Q:$Q,Uploads!$B:$B,$C51,Uploads!$A:$A,"&gt;="&amp;$A51,Uploads!$A:$A,"&lt;="&amp;$B51))</f>
        <v/>
      </c>
    </row>
    <row r="52" customFormat="false" ht="15" hidden="false" customHeight="false" outlineLevel="0" collapsed="false">
      <c r="A52" s="11"/>
      <c r="B52" s="22" t="str">
        <f aca="false">IF(A52="","",A52+6)</f>
        <v/>
      </c>
      <c r="C52" s="12"/>
      <c r="D52" s="23" t="str">
        <f aca="false">IF(A52="","",COUNTIFS(Uploads!$B:$B,$C52,Uploads!$A:$A,"&gt;="&amp;$A52,Uploads!$A:$A,"&lt;="&amp;$B52))</f>
        <v/>
      </c>
      <c r="E52" s="23" t="str">
        <f aca="false">IF(A52="","",Variables!$E$4*7)</f>
        <v/>
      </c>
      <c r="F52" s="19" t="str">
        <f aca="false">IF(OR(A52="",E52=0),"",D52/E52)</f>
        <v/>
      </c>
      <c r="G52" s="23" t="str">
        <f aca="false">IF(A52="","",COUNTIFS('AB Tests'!$C:$C,$C52,'AB Tests'!$B:$B,"&gt;="&amp;$A52,'AB Tests'!$B:$B,"&lt;="&amp;$B52))</f>
        <v/>
      </c>
      <c r="H52" s="23" t="str">
        <f aca="false">IF(A52="","",COUNTIFS('AB Tests'!$C:$C,$C52,'AB Tests'!$B:$B,"&gt;="&amp;$A52,'AB Tests'!$B:$B,"&lt;="&amp;$B52,'AB Tests'!$R:$R,"B"))</f>
        <v/>
      </c>
      <c r="I52" s="23" t="str">
        <f aca="false">IF(A52="","",SUMIFS(Uploads!$J:$J,Uploads!$B:$B,$C52,Uploads!$A:$A,"&gt;="&amp;$A52,Uploads!$A:$A,"&lt;="&amp;$B52))</f>
        <v/>
      </c>
      <c r="J52" s="23" t="str">
        <f aca="false">IF(OR(A52="",D52=0),"",I52/D52)</f>
        <v/>
      </c>
      <c r="K52" s="19" t="str">
        <f aca="false">IF(A52="","",IFERROR(AVERAGEIFS(Uploads!$K:$K,Uploads!$B:$B,$C52,Uploads!$A:$A,"&gt;="&amp;$A52,Uploads!$A:$A,"&lt;="&amp;$B52),""))</f>
        <v/>
      </c>
      <c r="L52" s="23" t="str">
        <f aca="false">IF(A52="","",SUMIFS(Uploads!$N:$N,Uploads!$B:$B,$C52,Uploads!$A:$A,"&gt;="&amp;$A52,Uploads!$A:$A,"&lt;="&amp;$B52))</f>
        <v/>
      </c>
      <c r="M52" s="23" t="str">
        <f aca="false">IF(A52="","",SUMIFS(Uploads!$P:$P,Uploads!$B:$B,$C52,Uploads!$A:$A,"&gt;="&amp;$A52,Uploads!$A:$A,"&lt;="&amp;$B52))</f>
        <v/>
      </c>
      <c r="N52" s="23" t="str">
        <f aca="false">IF(A52="","",SUMIFS(Uploads!$Q:$Q,Uploads!$B:$B,$C52,Uploads!$A:$A,"&gt;="&amp;$A52,Uploads!$A:$A,"&lt;="&amp;$B52))</f>
        <v/>
      </c>
    </row>
    <row r="53" customFormat="false" ht="15" hidden="false" customHeight="false" outlineLevel="0" collapsed="false">
      <c r="A53" s="11"/>
      <c r="B53" s="22" t="str">
        <f aca="false">IF(A53="","",A53+6)</f>
        <v/>
      </c>
      <c r="C53" s="12"/>
      <c r="D53" s="23" t="str">
        <f aca="false">IF(A53="","",COUNTIFS(Uploads!$B:$B,$C53,Uploads!$A:$A,"&gt;="&amp;$A53,Uploads!$A:$A,"&lt;="&amp;$B53))</f>
        <v/>
      </c>
      <c r="E53" s="23" t="str">
        <f aca="false">IF(A53="","",Variables!$E$4*7)</f>
        <v/>
      </c>
      <c r="F53" s="19" t="str">
        <f aca="false">IF(OR(A53="",E53=0),"",D53/E53)</f>
        <v/>
      </c>
      <c r="G53" s="23" t="str">
        <f aca="false">IF(A53="","",COUNTIFS('AB Tests'!$C:$C,$C53,'AB Tests'!$B:$B,"&gt;="&amp;$A53,'AB Tests'!$B:$B,"&lt;="&amp;$B53))</f>
        <v/>
      </c>
      <c r="H53" s="23" t="str">
        <f aca="false">IF(A53="","",COUNTIFS('AB Tests'!$C:$C,$C53,'AB Tests'!$B:$B,"&gt;="&amp;$A53,'AB Tests'!$B:$B,"&lt;="&amp;$B53,'AB Tests'!$R:$R,"B"))</f>
        <v/>
      </c>
      <c r="I53" s="23" t="str">
        <f aca="false">IF(A53="","",SUMIFS(Uploads!$J:$J,Uploads!$B:$B,$C53,Uploads!$A:$A,"&gt;="&amp;$A53,Uploads!$A:$A,"&lt;="&amp;$B53))</f>
        <v/>
      </c>
      <c r="J53" s="23" t="str">
        <f aca="false">IF(OR(A53="",D53=0),"",I53/D53)</f>
        <v/>
      </c>
      <c r="K53" s="19" t="str">
        <f aca="false">IF(A53="","",IFERROR(AVERAGEIFS(Uploads!$K:$K,Uploads!$B:$B,$C53,Uploads!$A:$A,"&gt;="&amp;$A53,Uploads!$A:$A,"&lt;="&amp;$B53),""))</f>
        <v/>
      </c>
      <c r="L53" s="23" t="str">
        <f aca="false">IF(A53="","",SUMIFS(Uploads!$N:$N,Uploads!$B:$B,$C53,Uploads!$A:$A,"&gt;="&amp;$A53,Uploads!$A:$A,"&lt;="&amp;$B53))</f>
        <v/>
      </c>
      <c r="M53" s="23" t="str">
        <f aca="false">IF(A53="","",SUMIFS(Uploads!$P:$P,Uploads!$B:$B,$C53,Uploads!$A:$A,"&gt;="&amp;$A53,Uploads!$A:$A,"&lt;="&amp;$B53))</f>
        <v/>
      </c>
      <c r="N53" s="23" t="str">
        <f aca="false">IF(A53="","",SUMIFS(Uploads!$Q:$Q,Uploads!$B:$B,$C53,Uploads!$A:$A,"&gt;="&amp;$A53,Uploads!$A:$A,"&lt;="&amp;$B53))</f>
        <v/>
      </c>
    </row>
    <row r="54" customFormat="false" ht="15" hidden="false" customHeight="false" outlineLevel="0" collapsed="false">
      <c r="A54" s="11"/>
      <c r="B54" s="22" t="str">
        <f aca="false">IF(A54="","",A54+6)</f>
        <v/>
      </c>
      <c r="C54" s="12"/>
      <c r="D54" s="23" t="str">
        <f aca="false">IF(A54="","",COUNTIFS(Uploads!$B:$B,$C54,Uploads!$A:$A,"&gt;="&amp;$A54,Uploads!$A:$A,"&lt;="&amp;$B54))</f>
        <v/>
      </c>
      <c r="E54" s="23" t="str">
        <f aca="false">IF(A54="","",Variables!$E$4*7)</f>
        <v/>
      </c>
      <c r="F54" s="19" t="str">
        <f aca="false">IF(OR(A54="",E54=0),"",D54/E54)</f>
        <v/>
      </c>
      <c r="G54" s="23" t="str">
        <f aca="false">IF(A54="","",COUNTIFS('AB Tests'!$C:$C,$C54,'AB Tests'!$B:$B,"&gt;="&amp;$A54,'AB Tests'!$B:$B,"&lt;="&amp;$B54))</f>
        <v/>
      </c>
      <c r="H54" s="23" t="str">
        <f aca="false">IF(A54="","",COUNTIFS('AB Tests'!$C:$C,$C54,'AB Tests'!$B:$B,"&gt;="&amp;$A54,'AB Tests'!$B:$B,"&lt;="&amp;$B54,'AB Tests'!$R:$R,"B"))</f>
        <v/>
      </c>
      <c r="I54" s="23" t="str">
        <f aca="false">IF(A54="","",SUMIFS(Uploads!$J:$J,Uploads!$B:$B,$C54,Uploads!$A:$A,"&gt;="&amp;$A54,Uploads!$A:$A,"&lt;="&amp;$B54))</f>
        <v/>
      </c>
      <c r="J54" s="23" t="str">
        <f aca="false">IF(OR(A54="",D54=0),"",I54/D54)</f>
        <v/>
      </c>
      <c r="K54" s="19" t="str">
        <f aca="false">IF(A54="","",IFERROR(AVERAGEIFS(Uploads!$K:$K,Uploads!$B:$B,$C54,Uploads!$A:$A,"&gt;="&amp;$A54,Uploads!$A:$A,"&lt;="&amp;$B54),""))</f>
        <v/>
      </c>
      <c r="L54" s="23" t="str">
        <f aca="false">IF(A54="","",SUMIFS(Uploads!$N:$N,Uploads!$B:$B,$C54,Uploads!$A:$A,"&gt;="&amp;$A54,Uploads!$A:$A,"&lt;="&amp;$B54))</f>
        <v/>
      </c>
      <c r="M54" s="23" t="str">
        <f aca="false">IF(A54="","",SUMIFS(Uploads!$P:$P,Uploads!$B:$B,$C54,Uploads!$A:$A,"&gt;="&amp;$A54,Uploads!$A:$A,"&lt;="&amp;$B54))</f>
        <v/>
      </c>
      <c r="N54" s="23" t="str">
        <f aca="false">IF(A54="","",SUMIFS(Uploads!$Q:$Q,Uploads!$B:$B,$C54,Uploads!$A:$A,"&gt;="&amp;$A54,Uploads!$A:$A,"&lt;="&amp;$B54))</f>
        <v/>
      </c>
    </row>
    <row r="55" customFormat="false" ht="15" hidden="false" customHeight="false" outlineLevel="0" collapsed="false">
      <c r="A55" s="11"/>
      <c r="B55" s="22" t="str">
        <f aca="false">IF(A55="","",A55+6)</f>
        <v/>
      </c>
      <c r="C55" s="12"/>
      <c r="D55" s="23" t="str">
        <f aca="false">IF(A55="","",COUNTIFS(Uploads!$B:$B,$C55,Uploads!$A:$A,"&gt;="&amp;$A55,Uploads!$A:$A,"&lt;="&amp;$B55))</f>
        <v/>
      </c>
      <c r="E55" s="23" t="str">
        <f aca="false">IF(A55="","",Variables!$E$4*7)</f>
        <v/>
      </c>
      <c r="F55" s="19" t="str">
        <f aca="false">IF(OR(A55="",E55=0),"",D55/E55)</f>
        <v/>
      </c>
      <c r="G55" s="23" t="str">
        <f aca="false">IF(A55="","",COUNTIFS('AB Tests'!$C:$C,$C55,'AB Tests'!$B:$B,"&gt;="&amp;$A55,'AB Tests'!$B:$B,"&lt;="&amp;$B55))</f>
        <v/>
      </c>
      <c r="H55" s="23" t="str">
        <f aca="false">IF(A55="","",COUNTIFS('AB Tests'!$C:$C,$C55,'AB Tests'!$B:$B,"&gt;="&amp;$A55,'AB Tests'!$B:$B,"&lt;="&amp;$B55,'AB Tests'!$R:$R,"B"))</f>
        <v/>
      </c>
      <c r="I55" s="23" t="str">
        <f aca="false">IF(A55="","",SUMIFS(Uploads!$J:$J,Uploads!$B:$B,$C55,Uploads!$A:$A,"&gt;="&amp;$A55,Uploads!$A:$A,"&lt;="&amp;$B55))</f>
        <v/>
      </c>
      <c r="J55" s="23" t="str">
        <f aca="false">IF(OR(A55="",D55=0),"",I55/D55)</f>
        <v/>
      </c>
      <c r="K55" s="19" t="str">
        <f aca="false">IF(A55="","",IFERROR(AVERAGEIFS(Uploads!$K:$K,Uploads!$B:$B,$C55,Uploads!$A:$A,"&gt;="&amp;$A55,Uploads!$A:$A,"&lt;="&amp;$B55),""))</f>
        <v/>
      </c>
      <c r="L55" s="23" t="str">
        <f aca="false">IF(A55="","",SUMIFS(Uploads!$N:$N,Uploads!$B:$B,$C55,Uploads!$A:$A,"&gt;="&amp;$A55,Uploads!$A:$A,"&lt;="&amp;$B55))</f>
        <v/>
      </c>
      <c r="M55" s="23" t="str">
        <f aca="false">IF(A55="","",SUMIFS(Uploads!$P:$P,Uploads!$B:$B,$C55,Uploads!$A:$A,"&gt;="&amp;$A55,Uploads!$A:$A,"&lt;="&amp;$B55))</f>
        <v/>
      </c>
      <c r="N55" s="23" t="str">
        <f aca="false">IF(A55="","",SUMIFS(Uploads!$Q:$Q,Uploads!$B:$B,$C55,Uploads!$A:$A,"&gt;="&amp;$A55,Uploads!$A:$A,"&lt;="&amp;$B55))</f>
        <v/>
      </c>
    </row>
    <row r="56" customFormat="false" ht="15" hidden="false" customHeight="false" outlineLevel="0" collapsed="false">
      <c r="A56" s="11"/>
      <c r="B56" s="22" t="str">
        <f aca="false">IF(A56="","",A56+6)</f>
        <v/>
      </c>
      <c r="C56" s="12"/>
      <c r="D56" s="23" t="str">
        <f aca="false">IF(A56="","",COUNTIFS(Uploads!$B:$B,$C56,Uploads!$A:$A,"&gt;="&amp;$A56,Uploads!$A:$A,"&lt;="&amp;$B56))</f>
        <v/>
      </c>
      <c r="E56" s="23" t="str">
        <f aca="false">IF(A56="","",Variables!$E$4*7)</f>
        <v/>
      </c>
      <c r="F56" s="19" t="str">
        <f aca="false">IF(OR(A56="",E56=0),"",D56/E56)</f>
        <v/>
      </c>
      <c r="G56" s="23" t="str">
        <f aca="false">IF(A56="","",COUNTIFS('AB Tests'!$C:$C,$C56,'AB Tests'!$B:$B,"&gt;="&amp;$A56,'AB Tests'!$B:$B,"&lt;="&amp;$B56))</f>
        <v/>
      </c>
      <c r="H56" s="23" t="str">
        <f aca="false">IF(A56="","",COUNTIFS('AB Tests'!$C:$C,$C56,'AB Tests'!$B:$B,"&gt;="&amp;$A56,'AB Tests'!$B:$B,"&lt;="&amp;$B56,'AB Tests'!$R:$R,"B"))</f>
        <v/>
      </c>
      <c r="I56" s="23" t="str">
        <f aca="false">IF(A56="","",SUMIFS(Uploads!$J:$J,Uploads!$B:$B,$C56,Uploads!$A:$A,"&gt;="&amp;$A56,Uploads!$A:$A,"&lt;="&amp;$B56))</f>
        <v/>
      </c>
      <c r="J56" s="23" t="str">
        <f aca="false">IF(OR(A56="",D56=0),"",I56/D56)</f>
        <v/>
      </c>
      <c r="K56" s="19" t="str">
        <f aca="false">IF(A56="","",IFERROR(AVERAGEIFS(Uploads!$K:$K,Uploads!$B:$B,$C56,Uploads!$A:$A,"&gt;="&amp;$A56,Uploads!$A:$A,"&lt;="&amp;$B56),""))</f>
        <v/>
      </c>
      <c r="L56" s="23" t="str">
        <f aca="false">IF(A56="","",SUMIFS(Uploads!$N:$N,Uploads!$B:$B,$C56,Uploads!$A:$A,"&gt;="&amp;$A56,Uploads!$A:$A,"&lt;="&amp;$B56))</f>
        <v/>
      </c>
      <c r="M56" s="23" t="str">
        <f aca="false">IF(A56="","",SUMIFS(Uploads!$P:$P,Uploads!$B:$B,$C56,Uploads!$A:$A,"&gt;="&amp;$A56,Uploads!$A:$A,"&lt;="&amp;$B56))</f>
        <v/>
      </c>
      <c r="N56" s="23" t="str">
        <f aca="false">IF(A56="","",SUMIFS(Uploads!$Q:$Q,Uploads!$B:$B,$C56,Uploads!$A:$A,"&gt;="&amp;$A56,Uploads!$A:$A,"&lt;="&amp;$B56))</f>
        <v/>
      </c>
    </row>
    <row r="57" customFormat="false" ht="15" hidden="false" customHeight="false" outlineLevel="0" collapsed="false">
      <c r="A57" s="11"/>
      <c r="B57" s="22" t="str">
        <f aca="false">IF(A57="","",A57+6)</f>
        <v/>
      </c>
      <c r="C57" s="12"/>
      <c r="D57" s="23" t="str">
        <f aca="false">IF(A57="","",COUNTIFS(Uploads!$B:$B,$C57,Uploads!$A:$A,"&gt;="&amp;$A57,Uploads!$A:$A,"&lt;="&amp;$B57))</f>
        <v/>
      </c>
      <c r="E57" s="23" t="str">
        <f aca="false">IF(A57="","",Variables!$E$4*7)</f>
        <v/>
      </c>
      <c r="F57" s="19" t="str">
        <f aca="false">IF(OR(A57="",E57=0),"",D57/E57)</f>
        <v/>
      </c>
      <c r="G57" s="23" t="str">
        <f aca="false">IF(A57="","",COUNTIFS('AB Tests'!$C:$C,$C57,'AB Tests'!$B:$B,"&gt;="&amp;$A57,'AB Tests'!$B:$B,"&lt;="&amp;$B57))</f>
        <v/>
      </c>
      <c r="H57" s="23" t="str">
        <f aca="false">IF(A57="","",COUNTIFS('AB Tests'!$C:$C,$C57,'AB Tests'!$B:$B,"&gt;="&amp;$A57,'AB Tests'!$B:$B,"&lt;="&amp;$B57,'AB Tests'!$R:$R,"B"))</f>
        <v/>
      </c>
      <c r="I57" s="23" t="str">
        <f aca="false">IF(A57="","",SUMIFS(Uploads!$J:$J,Uploads!$B:$B,$C57,Uploads!$A:$A,"&gt;="&amp;$A57,Uploads!$A:$A,"&lt;="&amp;$B57))</f>
        <v/>
      </c>
      <c r="J57" s="23" t="str">
        <f aca="false">IF(OR(A57="",D57=0),"",I57/D57)</f>
        <v/>
      </c>
      <c r="K57" s="19" t="str">
        <f aca="false">IF(A57="","",IFERROR(AVERAGEIFS(Uploads!$K:$K,Uploads!$B:$B,$C57,Uploads!$A:$A,"&gt;="&amp;$A57,Uploads!$A:$A,"&lt;="&amp;$B57),""))</f>
        <v/>
      </c>
      <c r="L57" s="23" t="str">
        <f aca="false">IF(A57="","",SUMIFS(Uploads!$N:$N,Uploads!$B:$B,$C57,Uploads!$A:$A,"&gt;="&amp;$A57,Uploads!$A:$A,"&lt;="&amp;$B57))</f>
        <v/>
      </c>
      <c r="M57" s="23" t="str">
        <f aca="false">IF(A57="","",SUMIFS(Uploads!$P:$P,Uploads!$B:$B,$C57,Uploads!$A:$A,"&gt;="&amp;$A57,Uploads!$A:$A,"&lt;="&amp;$B57))</f>
        <v/>
      </c>
      <c r="N57" s="23" t="str">
        <f aca="false">IF(A57="","",SUMIFS(Uploads!$Q:$Q,Uploads!$B:$B,$C57,Uploads!$A:$A,"&gt;="&amp;$A57,Uploads!$A:$A,"&lt;="&amp;$B57))</f>
        <v/>
      </c>
    </row>
    <row r="58" customFormat="false" ht="15" hidden="false" customHeight="false" outlineLevel="0" collapsed="false">
      <c r="A58" s="11"/>
      <c r="B58" s="22" t="str">
        <f aca="false">IF(A58="","",A58+6)</f>
        <v/>
      </c>
      <c r="C58" s="12"/>
      <c r="D58" s="23" t="str">
        <f aca="false">IF(A58="","",COUNTIFS(Uploads!$B:$B,$C58,Uploads!$A:$A,"&gt;="&amp;$A58,Uploads!$A:$A,"&lt;="&amp;$B58))</f>
        <v/>
      </c>
      <c r="E58" s="23" t="str">
        <f aca="false">IF(A58="","",Variables!$E$4*7)</f>
        <v/>
      </c>
      <c r="F58" s="19" t="str">
        <f aca="false">IF(OR(A58="",E58=0),"",D58/E58)</f>
        <v/>
      </c>
      <c r="G58" s="23" t="str">
        <f aca="false">IF(A58="","",COUNTIFS('AB Tests'!$C:$C,$C58,'AB Tests'!$B:$B,"&gt;="&amp;$A58,'AB Tests'!$B:$B,"&lt;="&amp;$B58))</f>
        <v/>
      </c>
      <c r="H58" s="23" t="str">
        <f aca="false">IF(A58="","",COUNTIFS('AB Tests'!$C:$C,$C58,'AB Tests'!$B:$B,"&gt;="&amp;$A58,'AB Tests'!$B:$B,"&lt;="&amp;$B58,'AB Tests'!$R:$R,"B"))</f>
        <v/>
      </c>
      <c r="I58" s="23" t="str">
        <f aca="false">IF(A58="","",SUMIFS(Uploads!$J:$J,Uploads!$B:$B,$C58,Uploads!$A:$A,"&gt;="&amp;$A58,Uploads!$A:$A,"&lt;="&amp;$B58))</f>
        <v/>
      </c>
      <c r="J58" s="23" t="str">
        <f aca="false">IF(OR(A58="",D58=0),"",I58/D58)</f>
        <v/>
      </c>
      <c r="K58" s="19" t="str">
        <f aca="false">IF(A58="","",IFERROR(AVERAGEIFS(Uploads!$K:$K,Uploads!$B:$B,$C58,Uploads!$A:$A,"&gt;="&amp;$A58,Uploads!$A:$A,"&lt;="&amp;$B58),""))</f>
        <v/>
      </c>
      <c r="L58" s="23" t="str">
        <f aca="false">IF(A58="","",SUMIFS(Uploads!$N:$N,Uploads!$B:$B,$C58,Uploads!$A:$A,"&gt;="&amp;$A58,Uploads!$A:$A,"&lt;="&amp;$B58))</f>
        <v/>
      </c>
      <c r="M58" s="23" t="str">
        <f aca="false">IF(A58="","",SUMIFS(Uploads!$P:$P,Uploads!$B:$B,$C58,Uploads!$A:$A,"&gt;="&amp;$A58,Uploads!$A:$A,"&lt;="&amp;$B58))</f>
        <v/>
      </c>
      <c r="N58" s="23" t="str">
        <f aca="false">IF(A58="","",SUMIFS(Uploads!$Q:$Q,Uploads!$B:$B,$C58,Uploads!$A:$A,"&gt;="&amp;$A58,Uploads!$A:$A,"&lt;="&amp;$B58))</f>
        <v/>
      </c>
    </row>
    <row r="59" customFormat="false" ht="15" hidden="false" customHeight="false" outlineLevel="0" collapsed="false">
      <c r="A59" s="11"/>
      <c r="B59" s="22" t="str">
        <f aca="false">IF(A59="","",A59+6)</f>
        <v/>
      </c>
      <c r="C59" s="12"/>
      <c r="D59" s="23" t="str">
        <f aca="false">IF(A59="","",COUNTIFS(Uploads!$B:$B,$C59,Uploads!$A:$A,"&gt;="&amp;$A59,Uploads!$A:$A,"&lt;="&amp;$B59))</f>
        <v/>
      </c>
      <c r="E59" s="23" t="str">
        <f aca="false">IF(A59="","",Variables!$E$4*7)</f>
        <v/>
      </c>
      <c r="F59" s="19" t="str">
        <f aca="false">IF(OR(A59="",E59=0),"",D59/E59)</f>
        <v/>
      </c>
      <c r="G59" s="23" t="str">
        <f aca="false">IF(A59="","",COUNTIFS('AB Tests'!$C:$C,$C59,'AB Tests'!$B:$B,"&gt;="&amp;$A59,'AB Tests'!$B:$B,"&lt;="&amp;$B59))</f>
        <v/>
      </c>
      <c r="H59" s="23" t="str">
        <f aca="false">IF(A59="","",COUNTIFS('AB Tests'!$C:$C,$C59,'AB Tests'!$B:$B,"&gt;="&amp;$A59,'AB Tests'!$B:$B,"&lt;="&amp;$B59,'AB Tests'!$R:$R,"B"))</f>
        <v/>
      </c>
      <c r="I59" s="23" t="str">
        <f aca="false">IF(A59="","",SUMIFS(Uploads!$J:$J,Uploads!$B:$B,$C59,Uploads!$A:$A,"&gt;="&amp;$A59,Uploads!$A:$A,"&lt;="&amp;$B59))</f>
        <v/>
      </c>
      <c r="J59" s="23" t="str">
        <f aca="false">IF(OR(A59="",D59=0),"",I59/D59)</f>
        <v/>
      </c>
      <c r="K59" s="19" t="str">
        <f aca="false">IF(A59="","",IFERROR(AVERAGEIFS(Uploads!$K:$K,Uploads!$B:$B,$C59,Uploads!$A:$A,"&gt;="&amp;$A59,Uploads!$A:$A,"&lt;="&amp;$B59),""))</f>
        <v/>
      </c>
      <c r="L59" s="23" t="str">
        <f aca="false">IF(A59="","",SUMIFS(Uploads!$N:$N,Uploads!$B:$B,$C59,Uploads!$A:$A,"&gt;="&amp;$A59,Uploads!$A:$A,"&lt;="&amp;$B59))</f>
        <v/>
      </c>
      <c r="M59" s="23" t="str">
        <f aca="false">IF(A59="","",SUMIFS(Uploads!$P:$P,Uploads!$B:$B,$C59,Uploads!$A:$A,"&gt;="&amp;$A59,Uploads!$A:$A,"&lt;="&amp;$B59))</f>
        <v/>
      </c>
      <c r="N59" s="23" t="str">
        <f aca="false">IF(A59="","",SUMIFS(Uploads!$Q:$Q,Uploads!$B:$B,$C59,Uploads!$A:$A,"&gt;="&amp;$A59,Uploads!$A:$A,"&lt;="&amp;$B59))</f>
        <v/>
      </c>
    </row>
    <row r="60" customFormat="false" ht="15" hidden="false" customHeight="false" outlineLevel="0" collapsed="false">
      <c r="A60" s="11"/>
      <c r="B60" s="22" t="str">
        <f aca="false">IF(A60="","",A60+6)</f>
        <v/>
      </c>
      <c r="C60" s="12"/>
      <c r="D60" s="23" t="str">
        <f aca="false">IF(A60="","",COUNTIFS(Uploads!$B:$B,$C60,Uploads!$A:$A,"&gt;="&amp;$A60,Uploads!$A:$A,"&lt;="&amp;$B60))</f>
        <v/>
      </c>
      <c r="E60" s="23" t="str">
        <f aca="false">IF(A60="","",Variables!$E$4*7)</f>
        <v/>
      </c>
      <c r="F60" s="19" t="str">
        <f aca="false">IF(OR(A60="",E60=0),"",D60/E60)</f>
        <v/>
      </c>
      <c r="G60" s="23" t="str">
        <f aca="false">IF(A60="","",COUNTIFS('AB Tests'!$C:$C,$C60,'AB Tests'!$B:$B,"&gt;="&amp;$A60,'AB Tests'!$B:$B,"&lt;="&amp;$B60))</f>
        <v/>
      </c>
      <c r="H60" s="23" t="str">
        <f aca="false">IF(A60="","",COUNTIFS('AB Tests'!$C:$C,$C60,'AB Tests'!$B:$B,"&gt;="&amp;$A60,'AB Tests'!$B:$B,"&lt;="&amp;$B60,'AB Tests'!$R:$R,"B"))</f>
        <v/>
      </c>
      <c r="I60" s="23" t="str">
        <f aca="false">IF(A60="","",SUMIFS(Uploads!$J:$J,Uploads!$B:$B,$C60,Uploads!$A:$A,"&gt;="&amp;$A60,Uploads!$A:$A,"&lt;="&amp;$B60))</f>
        <v/>
      </c>
      <c r="J60" s="23" t="str">
        <f aca="false">IF(OR(A60="",D60=0),"",I60/D60)</f>
        <v/>
      </c>
      <c r="K60" s="19" t="str">
        <f aca="false">IF(A60="","",IFERROR(AVERAGEIFS(Uploads!$K:$K,Uploads!$B:$B,$C60,Uploads!$A:$A,"&gt;="&amp;$A60,Uploads!$A:$A,"&lt;="&amp;$B60),""))</f>
        <v/>
      </c>
      <c r="L60" s="23" t="str">
        <f aca="false">IF(A60="","",SUMIFS(Uploads!$N:$N,Uploads!$B:$B,$C60,Uploads!$A:$A,"&gt;="&amp;$A60,Uploads!$A:$A,"&lt;="&amp;$B60))</f>
        <v/>
      </c>
      <c r="M60" s="23" t="str">
        <f aca="false">IF(A60="","",SUMIFS(Uploads!$P:$P,Uploads!$B:$B,$C60,Uploads!$A:$A,"&gt;="&amp;$A60,Uploads!$A:$A,"&lt;="&amp;$B60))</f>
        <v/>
      </c>
      <c r="N60" s="23" t="str">
        <f aca="false">IF(A60="","",SUMIFS(Uploads!$Q:$Q,Uploads!$B:$B,$C60,Uploads!$A:$A,"&gt;="&amp;$A60,Uploads!$A:$A,"&lt;="&amp;$B60))</f>
        <v/>
      </c>
    </row>
    <row r="61" customFormat="false" ht="15" hidden="false" customHeight="false" outlineLevel="0" collapsed="false">
      <c r="A61" s="11"/>
      <c r="B61" s="22" t="str">
        <f aca="false">IF(A61="","",A61+6)</f>
        <v/>
      </c>
      <c r="C61" s="12"/>
      <c r="D61" s="23" t="str">
        <f aca="false">IF(A61="","",COUNTIFS(Uploads!$B:$B,$C61,Uploads!$A:$A,"&gt;="&amp;$A61,Uploads!$A:$A,"&lt;="&amp;$B61))</f>
        <v/>
      </c>
      <c r="E61" s="23" t="str">
        <f aca="false">IF(A61="","",Variables!$E$4*7)</f>
        <v/>
      </c>
      <c r="F61" s="19" t="str">
        <f aca="false">IF(OR(A61="",E61=0),"",D61/E61)</f>
        <v/>
      </c>
      <c r="G61" s="23" t="str">
        <f aca="false">IF(A61="","",COUNTIFS('AB Tests'!$C:$C,$C61,'AB Tests'!$B:$B,"&gt;="&amp;$A61,'AB Tests'!$B:$B,"&lt;="&amp;$B61))</f>
        <v/>
      </c>
      <c r="H61" s="23" t="str">
        <f aca="false">IF(A61="","",COUNTIFS('AB Tests'!$C:$C,$C61,'AB Tests'!$B:$B,"&gt;="&amp;$A61,'AB Tests'!$B:$B,"&lt;="&amp;$B61,'AB Tests'!$R:$R,"B"))</f>
        <v/>
      </c>
      <c r="I61" s="23" t="str">
        <f aca="false">IF(A61="","",SUMIFS(Uploads!$J:$J,Uploads!$B:$B,$C61,Uploads!$A:$A,"&gt;="&amp;$A61,Uploads!$A:$A,"&lt;="&amp;$B61))</f>
        <v/>
      </c>
      <c r="J61" s="23" t="str">
        <f aca="false">IF(OR(A61="",D61=0),"",I61/D61)</f>
        <v/>
      </c>
      <c r="K61" s="19" t="str">
        <f aca="false">IF(A61="","",IFERROR(AVERAGEIFS(Uploads!$K:$K,Uploads!$B:$B,$C61,Uploads!$A:$A,"&gt;="&amp;$A61,Uploads!$A:$A,"&lt;="&amp;$B61),""))</f>
        <v/>
      </c>
      <c r="L61" s="23" t="str">
        <f aca="false">IF(A61="","",SUMIFS(Uploads!$N:$N,Uploads!$B:$B,$C61,Uploads!$A:$A,"&gt;="&amp;$A61,Uploads!$A:$A,"&lt;="&amp;$B61))</f>
        <v/>
      </c>
      <c r="M61" s="23" t="str">
        <f aca="false">IF(A61="","",SUMIFS(Uploads!$P:$P,Uploads!$B:$B,$C61,Uploads!$A:$A,"&gt;="&amp;$A61,Uploads!$A:$A,"&lt;="&amp;$B61))</f>
        <v/>
      </c>
      <c r="N61" s="23" t="str">
        <f aca="false">IF(A61="","",SUMIFS(Uploads!$Q:$Q,Uploads!$B:$B,$C61,Uploads!$A:$A,"&gt;="&amp;$A61,Uploads!$A:$A,"&lt;="&amp;$B61))</f>
        <v/>
      </c>
    </row>
  </sheetData>
  <autoFilter ref="A1:N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1" min="10" style="0" width="11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30"/>
  </cols>
  <sheetData>
    <row r="1" customFormat="false" ht="33.75" hidden="false" customHeight="true" outlineLevel="0" collapsed="false">
      <c r="A1" s="7" t="s">
        <v>95</v>
      </c>
      <c r="B1" s="7" t="s">
        <v>96</v>
      </c>
      <c r="C1" s="7" t="s">
        <v>105</v>
      </c>
      <c r="D1" s="7" t="s">
        <v>106</v>
      </c>
      <c r="E1" s="7" t="s">
        <v>107</v>
      </c>
      <c r="F1" s="7" t="s">
        <v>108</v>
      </c>
      <c r="G1" s="7" t="s">
        <v>109</v>
      </c>
      <c r="H1" s="7" t="s">
        <v>110</v>
      </c>
      <c r="I1" s="7" t="s">
        <v>111</v>
      </c>
      <c r="J1" s="7" t="s">
        <v>112</v>
      </c>
      <c r="K1" s="7" t="s">
        <v>113</v>
      </c>
      <c r="L1" s="7" t="s">
        <v>114</v>
      </c>
      <c r="M1" s="7" t="s">
        <v>115</v>
      </c>
      <c r="N1" s="7" t="s">
        <v>30</v>
      </c>
    </row>
    <row r="2" customFormat="false" ht="15" hidden="false" customHeight="false" outlineLevel="0" collapsed="false">
      <c r="A2" s="11" t="n">
        <v>46321</v>
      </c>
      <c r="B2" s="22" t="n">
        <f aca="false">IF(A2="","",A2+6)</f>
        <v>46327</v>
      </c>
      <c r="C2" s="17"/>
      <c r="D2" s="19" t="str">
        <f aca="false">IF(A2="","",IFERROR(COUNTIFS(Uploads!$G:$G,"Y",Uploads!$A:$A,"&gt;="&amp;$A2,Uploads!$A:$A,"&lt;="&amp;$B2)/COUNTIFS(Uploads!$G:$G,"&lt;&gt;",Uploads!$A:$A,"&gt;="&amp;$A2,Uploads!$A:$A,"&lt;="&amp;$B2),""))</f>
        <v/>
      </c>
      <c r="E2" s="17"/>
      <c r="F2" s="23" t="n">
        <f aca="false">IF(A2="","",COUNTIFS(Uploads!$H:$H,"Azeem",Uploads!$A:$A,"&gt;="&amp;$A2,Uploads!$A:$A,"&lt;="&amp;$B2))</f>
        <v>0</v>
      </c>
      <c r="G2" s="17"/>
      <c r="H2" s="23" t="n">
        <f aca="false">IF(A2="","",COUNTIFS('AB Tests'!$B:$B,"&gt;="&amp;$A2,'AB Tests'!$B:$B,"&lt;="&amp;$B2))</f>
        <v>0</v>
      </c>
      <c r="I2" s="17"/>
      <c r="J2" s="19" t="str">
        <f aca="false">IF(OR(A2="",H2=0),"",I2/H2)</f>
        <v/>
      </c>
      <c r="K2" s="23" t="n">
        <f aca="false">IF(A2="","",COUNTIFS(Uploads!$A:$A,"&gt;="&amp;$A2,Uploads!$A:$A,"&lt;="&amp;$B2))</f>
        <v>0</v>
      </c>
      <c r="L2" s="23" t="n">
        <f aca="false">IF(A2="","",Variables!$E$4*3*7)</f>
        <v>63</v>
      </c>
      <c r="M2" s="12"/>
      <c r="N2" s="12"/>
    </row>
    <row r="3" customFormat="false" ht="15" hidden="false" customHeight="false" outlineLevel="0" collapsed="false">
      <c r="A3" s="11" t="n">
        <v>46328</v>
      </c>
      <c r="B3" s="22" t="n">
        <f aca="false">IF(A3="","",A3+6)</f>
        <v>46334</v>
      </c>
      <c r="C3" s="17"/>
      <c r="D3" s="19" t="str">
        <f aca="false">IF(A3="","",IFERROR(COUNTIFS(Uploads!$G:$G,"Y",Uploads!$A:$A,"&gt;="&amp;$A3,Uploads!$A:$A,"&lt;="&amp;$B3)/COUNTIFS(Uploads!$G:$G,"&lt;&gt;",Uploads!$A:$A,"&gt;="&amp;$A3,Uploads!$A:$A,"&lt;="&amp;$B3),""))</f>
        <v/>
      </c>
      <c r="E3" s="17"/>
      <c r="F3" s="23" t="n">
        <f aca="false">IF(A3="","",COUNTIFS(Uploads!$H:$H,"Azeem",Uploads!$A:$A,"&gt;="&amp;$A3,Uploads!$A:$A,"&lt;="&amp;$B3))</f>
        <v>0</v>
      </c>
      <c r="G3" s="17"/>
      <c r="H3" s="23" t="n">
        <f aca="false">IF(A3="","",COUNTIFS('AB Tests'!$B:$B,"&gt;="&amp;$A3,'AB Tests'!$B:$B,"&lt;="&amp;$B3))</f>
        <v>0</v>
      </c>
      <c r="I3" s="17"/>
      <c r="J3" s="19" t="str">
        <f aca="false">IF(OR(A3="",H3=0),"",I3/H3)</f>
        <v/>
      </c>
      <c r="K3" s="23" t="n">
        <f aca="false">IF(A3="","",COUNTIFS(Uploads!$A:$A,"&gt;="&amp;$A3,Uploads!$A:$A,"&lt;="&amp;$B3))</f>
        <v>0</v>
      </c>
      <c r="L3" s="23" t="n">
        <f aca="false">IF(A3="","",Variables!$E$4*3*7)</f>
        <v>63</v>
      </c>
      <c r="M3" s="12"/>
      <c r="N3" s="12"/>
    </row>
    <row r="4" customFormat="false" ht="15" hidden="false" customHeight="false" outlineLevel="0" collapsed="false">
      <c r="A4" s="11" t="n">
        <v>46335</v>
      </c>
      <c r="B4" s="22" t="n">
        <f aca="false">IF(A4="","",A4+6)</f>
        <v>46341</v>
      </c>
      <c r="C4" s="17"/>
      <c r="D4" s="19" t="str">
        <f aca="false">IF(A4="","",IFERROR(COUNTIFS(Uploads!$G:$G,"Y",Uploads!$A:$A,"&gt;="&amp;$A4,Uploads!$A:$A,"&lt;="&amp;$B4)/COUNTIFS(Uploads!$G:$G,"&lt;&gt;",Uploads!$A:$A,"&gt;="&amp;$A4,Uploads!$A:$A,"&lt;="&amp;$B4),""))</f>
        <v/>
      </c>
      <c r="E4" s="17"/>
      <c r="F4" s="23" t="n">
        <f aca="false">IF(A4="","",COUNTIFS(Uploads!$H:$H,"Azeem",Uploads!$A:$A,"&gt;="&amp;$A4,Uploads!$A:$A,"&lt;="&amp;$B4))</f>
        <v>0</v>
      </c>
      <c r="G4" s="17"/>
      <c r="H4" s="23" t="n">
        <f aca="false">IF(A4="","",COUNTIFS('AB Tests'!$B:$B,"&gt;="&amp;$A4,'AB Tests'!$B:$B,"&lt;="&amp;$B4))</f>
        <v>0</v>
      </c>
      <c r="I4" s="17"/>
      <c r="J4" s="19" t="str">
        <f aca="false">IF(OR(A4="",H4=0),"",I4/H4)</f>
        <v/>
      </c>
      <c r="K4" s="23" t="n">
        <f aca="false">IF(A4="","",COUNTIFS(Uploads!$A:$A,"&gt;="&amp;$A4,Uploads!$A:$A,"&lt;="&amp;$B4))</f>
        <v>0</v>
      </c>
      <c r="L4" s="23" t="n">
        <f aca="false">IF(A4="","",Variables!$E$4*3*7)</f>
        <v>63</v>
      </c>
      <c r="M4" s="12"/>
      <c r="N4" s="12"/>
    </row>
    <row r="5" customFormat="false" ht="15" hidden="false" customHeight="false" outlineLevel="0" collapsed="false">
      <c r="A5" s="11" t="n">
        <v>46342</v>
      </c>
      <c r="B5" s="22" t="n">
        <f aca="false">IF(A5="","",A5+6)</f>
        <v>46348</v>
      </c>
      <c r="C5" s="17"/>
      <c r="D5" s="19" t="str">
        <f aca="false">IF(A5="","",IFERROR(COUNTIFS(Uploads!$G:$G,"Y",Uploads!$A:$A,"&gt;="&amp;$A5,Uploads!$A:$A,"&lt;="&amp;$B5)/COUNTIFS(Uploads!$G:$G,"&lt;&gt;",Uploads!$A:$A,"&gt;="&amp;$A5,Uploads!$A:$A,"&lt;="&amp;$B5),""))</f>
        <v/>
      </c>
      <c r="E5" s="17"/>
      <c r="F5" s="23" t="n">
        <f aca="false">IF(A5="","",COUNTIFS(Uploads!$H:$H,"Azeem",Uploads!$A:$A,"&gt;="&amp;$A5,Uploads!$A:$A,"&lt;="&amp;$B5))</f>
        <v>0</v>
      </c>
      <c r="G5" s="17"/>
      <c r="H5" s="23" t="n">
        <f aca="false">IF(A5="","",COUNTIFS('AB Tests'!$B:$B,"&gt;="&amp;$A5,'AB Tests'!$B:$B,"&lt;="&amp;$B5))</f>
        <v>0</v>
      </c>
      <c r="I5" s="17"/>
      <c r="J5" s="19" t="str">
        <f aca="false">IF(OR(A5="",H5=0),"",I5/H5)</f>
        <v/>
      </c>
      <c r="K5" s="23" t="n">
        <f aca="false">IF(A5="","",COUNTIFS(Uploads!$A:$A,"&gt;="&amp;$A5,Uploads!$A:$A,"&lt;="&amp;$B5))</f>
        <v>0</v>
      </c>
      <c r="L5" s="23" t="n">
        <f aca="false">IF(A5="","",Variables!$E$4*3*7)</f>
        <v>63</v>
      </c>
      <c r="M5" s="12"/>
      <c r="N5" s="12"/>
    </row>
    <row r="6" customFormat="false" ht="15" hidden="false" customHeight="false" outlineLevel="0" collapsed="false">
      <c r="A6" s="11" t="n">
        <v>46349</v>
      </c>
      <c r="B6" s="22" t="n">
        <f aca="false">IF(A6="","",A6+6)</f>
        <v>46355</v>
      </c>
      <c r="C6" s="17"/>
      <c r="D6" s="19" t="str">
        <f aca="false">IF(A6="","",IFERROR(COUNTIFS(Uploads!$G:$G,"Y",Uploads!$A:$A,"&gt;="&amp;$A6,Uploads!$A:$A,"&lt;="&amp;$B6)/COUNTIFS(Uploads!$G:$G,"&lt;&gt;",Uploads!$A:$A,"&gt;="&amp;$A6,Uploads!$A:$A,"&lt;="&amp;$B6),""))</f>
        <v/>
      </c>
      <c r="E6" s="17"/>
      <c r="F6" s="23" t="n">
        <f aca="false">IF(A6="","",COUNTIFS(Uploads!$H:$H,"Azeem",Uploads!$A:$A,"&gt;="&amp;$A6,Uploads!$A:$A,"&lt;="&amp;$B6))</f>
        <v>0</v>
      </c>
      <c r="G6" s="17"/>
      <c r="H6" s="23" t="n">
        <f aca="false">IF(A6="","",COUNTIFS('AB Tests'!$B:$B,"&gt;="&amp;$A6,'AB Tests'!$B:$B,"&lt;="&amp;$B6))</f>
        <v>0</v>
      </c>
      <c r="I6" s="17"/>
      <c r="J6" s="19" t="str">
        <f aca="false">IF(OR(A6="",H6=0),"",I6/H6)</f>
        <v/>
      </c>
      <c r="K6" s="23" t="n">
        <f aca="false">IF(A6="","",COUNTIFS(Uploads!$A:$A,"&gt;="&amp;$A6,Uploads!$A:$A,"&lt;="&amp;$B6))</f>
        <v>0</v>
      </c>
      <c r="L6" s="23" t="n">
        <f aca="false">IF(A6="","",Variables!$E$4*3*7)</f>
        <v>63</v>
      </c>
      <c r="M6" s="12"/>
      <c r="N6" s="12"/>
    </row>
    <row r="7" customFormat="false" ht="15" hidden="false" customHeight="false" outlineLevel="0" collapsed="false">
      <c r="A7" s="11" t="n">
        <v>46356</v>
      </c>
      <c r="B7" s="22" t="n">
        <f aca="false">IF(A7="","",A7+6)</f>
        <v>46362</v>
      </c>
      <c r="C7" s="17"/>
      <c r="D7" s="19" t="str">
        <f aca="false">IF(A7="","",IFERROR(COUNTIFS(Uploads!$G:$G,"Y",Uploads!$A:$A,"&gt;="&amp;$A7,Uploads!$A:$A,"&lt;="&amp;$B7)/COUNTIFS(Uploads!$G:$G,"&lt;&gt;",Uploads!$A:$A,"&gt;="&amp;$A7,Uploads!$A:$A,"&lt;="&amp;$B7),""))</f>
        <v/>
      </c>
      <c r="E7" s="17"/>
      <c r="F7" s="23" t="n">
        <f aca="false">IF(A7="","",COUNTIFS(Uploads!$H:$H,"Azeem",Uploads!$A:$A,"&gt;="&amp;$A7,Uploads!$A:$A,"&lt;="&amp;$B7))</f>
        <v>0</v>
      </c>
      <c r="G7" s="17"/>
      <c r="H7" s="23" t="n">
        <f aca="false">IF(A7="","",COUNTIFS('AB Tests'!$B:$B,"&gt;="&amp;$A7,'AB Tests'!$B:$B,"&lt;="&amp;$B7))</f>
        <v>0</v>
      </c>
      <c r="I7" s="17"/>
      <c r="J7" s="19" t="str">
        <f aca="false">IF(OR(A7="",H7=0),"",I7/H7)</f>
        <v/>
      </c>
      <c r="K7" s="23" t="n">
        <f aca="false">IF(A7="","",COUNTIFS(Uploads!$A:$A,"&gt;="&amp;$A7,Uploads!$A:$A,"&lt;="&amp;$B7))</f>
        <v>0</v>
      </c>
      <c r="L7" s="23" t="n">
        <f aca="false">IF(A7="","",Variables!$E$4*3*7)</f>
        <v>63</v>
      </c>
      <c r="M7" s="12"/>
      <c r="N7" s="12"/>
    </row>
    <row r="8" customFormat="false" ht="15" hidden="false" customHeight="false" outlineLevel="0" collapsed="false">
      <c r="A8" s="11" t="n">
        <v>46363</v>
      </c>
      <c r="B8" s="22" t="n">
        <f aca="false">IF(A8="","",A8+6)</f>
        <v>46369</v>
      </c>
      <c r="C8" s="17"/>
      <c r="D8" s="19" t="str">
        <f aca="false">IF(A8="","",IFERROR(COUNTIFS(Uploads!$G:$G,"Y",Uploads!$A:$A,"&gt;="&amp;$A8,Uploads!$A:$A,"&lt;="&amp;$B8)/COUNTIFS(Uploads!$G:$G,"&lt;&gt;",Uploads!$A:$A,"&gt;="&amp;$A8,Uploads!$A:$A,"&lt;="&amp;$B8),""))</f>
        <v/>
      </c>
      <c r="E8" s="17"/>
      <c r="F8" s="23" t="n">
        <f aca="false">IF(A8="","",COUNTIFS(Uploads!$H:$H,"Azeem",Uploads!$A:$A,"&gt;="&amp;$A8,Uploads!$A:$A,"&lt;="&amp;$B8))</f>
        <v>0</v>
      </c>
      <c r="G8" s="17"/>
      <c r="H8" s="23" t="n">
        <f aca="false">IF(A8="","",COUNTIFS('AB Tests'!$B:$B,"&gt;="&amp;$A8,'AB Tests'!$B:$B,"&lt;="&amp;$B8))</f>
        <v>0</v>
      </c>
      <c r="I8" s="17"/>
      <c r="J8" s="19" t="str">
        <f aca="false">IF(OR(A8="",H8=0),"",I8/H8)</f>
        <v/>
      </c>
      <c r="K8" s="23" t="n">
        <f aca="false">IF(A8="","",COUNTIFS(Uploads!$A:$A,"&gt;="&amp;$A8,Uploads!$A:$A,"&lt;="&amp;$B8))</f>
        <v>0</v>
      </c>
      <c r="L8" s="23" t="n">
        <f aca="false">IF(A8="","",Variables!$E$4*3*7)</f>
        <v>63</v>
      </c>
      <c r="M8" s="12"/>
      <c r="N8" s="12"/>
    </row>
    <row r="9" customFormat="false" ht="15" hidden="false" customHeight="false" outlineLevel="0" collapsed="false">
      <c r="A9" s="11" t="n">
        <v>46370</v>
      </c>
      <c r="B9" s="22" t="n">
        <f aca="false">IF(A9="","",A9+6)</f>
        <v>46376</v>
      </c>
      <c r="C9" s="17"/>
      <c r="D9" s="19" t="str">
        <f aca="false">IF(A9="","",IFERROR(COUNTIFS(Uploads!$G:$G,"Y",Uploads!$A:$A,"&gt;="&amp;$A9,Uploads!$A:$A,"&lt;="&amp;$B9)/COUNTIFS(Uploads!$G:$G,"&lt;&gt;",Uploads!$A:$A,"&gt;="&amp;$A9,Uploads!$A:$A,"&lt;="&amp;$B9),""))</f>
        <v/>
      </c>
      <c r="E9" s="17"/>
      <c r="F9" s="23" t="n">
        <f aca="false">IF(A9="","",COUNTIFS(Uploads!$H:$H,"Azeem",Uploads!$A:$A,"&gt;="&amp;$A9,Uploads!$A:$A,"&lt;="&amp;$B9))</f>
        <v>0</v>
      </c>
      <c r="G9" s="17"/>
      <c r="H9" s="23" t="n">
        <f aca="false">IF(A9="","",COUNTIFS('AB Tests'!$B:$B,"&gt;="&amp;$A9,'AB Tests'!$B:$B,"&lt;="&amp;$B9))</f>
        <v>0</v>
      </c>
      <c r="I9" s="17"/>
      <c r="J9" s="19" t="str">
        <f aca="false">IF(OR(A9="",H9=0),"",I9/H9)</f>
        <v/>
      </c>
      <c r="K9" s="23" t="n">
        <f aca="false">IF(A9="","",COUNTIFS(Uploads!$A:$A,"&gt;="&amp;$A9,Uploads!$A:$A,"&lt;="&amp;$B9))</f>
        <v>0</v>
      </c>
      <c r="L9" s="23" t="n">
        <f aca="false">IF(A9="","",Variables!$E$4*3*7)</f>
        <v>63</v>
      </c>
      <c r="M9" s="12"/>
      <c r="N9" s="12"/>
    </row>
    <row r="10" customFormat="false" ht="15" hidden="false" customHeight="false" outlineLevel="0" collapsed="false">
      <c r="A10" s="11" t="n">
        <v>46377</v>
      </c>
      <c r="B10" s="22" t="n">
        <f aca="false">IF(A10="","",A10+6)</f>
        <v>46383</v>
      </c>
      <c r="C10" s="17"/>
      <c r="D10" s="19" t="str">
        <f aca="false">IF(A10="","",IFERROR(COUNTIFS(Uploads!$G:$G,"Y",Uploads!$A:$A,"&gt;="&amp;$A10,Uploads!$A:$A,"&lt;="&amp;$B10)/COUNTIFS(Uploads!$G:$G,"&lt;&gt;",Uploads!$A:$A,"&gt;="&amp;$A10,Uploads!$A:$A,"&lt;="&amp;$B10),""))</f>
        <v/>
      </c>
      <c r="E10" s="17"/>
      <c r="F10" s="23" t="n">
        <f aca="false">IF(A10="","",COUNTIFS(Uploads!$H:$H,"Azeem",Uploads!$A:$A,"&gt;="&amp;$A10,Uploads!$A:$A,"&lt;="&amp;$B10))</f>
        <v>0</v>
      </c>
      <c r="G10" s="17"/>
      <c r="H10" s="23" t="n">
        <f aca="false">IF(A10="","",COUNTIFS('AB Tests'!$B:$B,"&gt;="&amp;$A10,'AB Tests'!$B:$B,"&lt;="&amp;$B10))</f>
        <v>0</v>
      </c>
      <c r="I10" s="17"/>
      <c r="J10" s="19" t="str">
        <f aca="false">IF(OR(A10="",H10=0),"",I10/H10)</f>
        <v/>
      </c>
      <c r="K10" s="23" t="n">
        <f aca="false">IF(A10="","",COUNTIFS(Uploads!$A:$A,"&gt;="&amp;$A10,Uploads!$A:$A,"&lt;="&amp;$B10))</f>
        <v>0</v>
      </c>
      <c r="L10" s="23" t="n">
        <f aca="false">IF(A10="","",Variables!$E$4*3*7)</f>
        <v>63</v>
      </c>
      <c r="M10" s="12"/>
      <c r="N10" s="12"/>
    </row>
    <row r="11" customFormat="false" ht="15" hidden="false" customHeight="false" outlineLevel="0" collapsed="false">
      <c r="A11" s="11" t="n">
        <v>46384</v>
      </c>
      <c r="B11" s="22" t="n">
        <f aca="false">IF(A11="","",A11+6)</f>
        <v>46390</v>
      </c>
      <c r="C11" s="17"/>
      <c r="D11" s="19" t="str">
        <f aca="false">IF(A11="","",IFERROR(COUNTIFS(Uploads!$G:$G,"Y",Uploads!$A:$A,"&gt;="&amp;$A11,Uploads!$A:$A,"&lt;="&amp;$B11)/COUNTIFS(Uploads!$G:$G,"&lt;&gt;",Uploads!$A:$A,"&gt;="&amp;$A11,Uploads!$A:$A,"&lt;="&amp;$B11),""))</f>
        <v/>
      </c>
      <c r="E11" s="17"/>
      <c r="F11" s="23" t="n">
        <f aca="false">IF(A11="","",COUNTIFS(Uploads!$H:$H,"Azeem",Uploads!$A:$A,"&gt;="&amp;$A11,Uploads!$A:$A,"&lt;="&amp;$B11))</f>
        <v>0</v>
      </c>
      <c r="G11" s="17"/>
      <c r="H11" s="23" t="n">
        <f aca="false">IF(A11="","",COUNTIFS('AB Tests'!$B:$B,"&gt;="&amp;$A11,'AB Tests'!$B:$B,"&lt;="&amp;$B11))</f>
        <v>0</v>
      </c>
      <c r="I11" s="17"/>
      <c r="J11" s="19" t="str">
        <f aca="false">IF(OR(A11="",H11=0),"",I11/H11)</f>
        <v/>
      </c>
      <c r="K11" s="23" t="n">
        <f aca="false">IF(A11="","",COUNTIFS(Uploads!$A:$A,"&gt;="&amp;$A11,Uploads!$A:$A,"&lt;="&amp;$B11))</f>
        <v>0</v>
      </c>
      <c r="L11" s="23" t="n">
        <f aca="false">IF(A11="","",Variables!$E$4*3*7)</f>
        <v>63</v>
      </c>
      <c r="M11" s="12"/>
      <c r="N11" s="12"/>
    </row>
    <row r="12" customFormat="false" ht="15" hidden="false" customHeight="false" outlineLevel="0" collapsed="false">
      <c r="A12" s="11" t="n">
        <v>46391</v>
      </c>
      <c r="B12" s="22" t="n">
        <f aca="false">IF(A12="","",A12+6)</f>
        <v>46397</v>
      </c>
      <c r="C12" s="17"/>
      <c r="D12" s="19" t="str">
        <f aca="false">IF(A12="","",IFERROR(COUNTIFS(Uploads!$G:$G,"Y",Uploads!$A:$A,"&gt;="&amp;$A12,Uploads!$A:$A,"&lt;="&amp;$B12)/COUNTIFS(Uploads!$G:$G,"&lt;&gt;",Uploads!$A:$A,"&gt;="&amp;$A12,Uploads!$A:$A,"&lt;="&amp;$B12),""))</f>
        <v/>
      </c>
      <c r="E12" s="17"/>
      <c r="F12" s="23" t="n">
        <f aca="false">IF(A12="","",COUNTIFS(Uploads!$H:$H,"Azeem",Uploads!$A:$A,"&gt;="&amp;$A12,Uploads!$A:$A,"&lt;="&amp;$B12))</f>
        <v>0</v>
      </c>
      <c r="G12" s="17"/>
      <c r="H12" s="23" t="n">
        <f aca="false">IF(A12="","",COUNTIFS('AB Tests'!$B:$B,"&gt;="&amp;$A12,'AB Tests'!$B:$B,"&lt;="&amp;$B12))</f>
        <v>0</v>
      </c>
      <c r="I12" s="17"/>
      <c r="J12" s="19" t="str">
        <f aca="false">IF(OR(A12="",H12=0),"",I12/H12)</f>
        <v/>
      </c>
      <c r="K12" s="23" t="n">
        <f aca="false">IF(A12="","",COUNTIFS(Uploads!$A:$A,"&gt;="&amp;$A12,Uploads!$A:$A,"&lt;="&amp;$B12))</f>
        <v>0</v>
      </c>
      <c r="L12" s="23" t="n">
        <f aca="false">IF(A12="","",Variables!$E$4*3*7)</f>
        <v>63</v>
      </c>
      <c r="M12" s="12"/>
      <c r="N12" s="12"/>
    </row>
    <row r="13" customFormat="false" ht="15" hidden="false" customHeight="false" outlineLevel="0" collapsed="false">
      <c r="A13" s="11" t="n">
        <v>46398</v>
      </c>
      <c r="B13" s="22" t="n">
        <f aca="false">IF(A13="","",A13+6)</f>
        <v>46404</v>
      </c>
      <c r="C13" s="17"/>
      <c r="D13" s="19" t="str">
        <f aca="false">IF(A13="","",IFERROR(COUNTIFS(Uploads!$G:$G,"Y",Uploads!$A:$A,"&gt;="&amp;$A13,Uploads!$A:$A,"&lt;="&amp;$B13)/COUNTIFS(Uploads!$G:$G,"&lt;&gt;",Uploads!$A:$A,"&gt;="&amp;$A13,Uploads!$A:$A,"&lt;="&amp;$B13),""))</f>
        <v/>
      </c>
      <c r="E13" s="17"/>
      <c r="F13" s="23" t="n">
        <f aca="false">IF(A13="","",COUNTIFS(Uploads!$H:$H,"Azeem",Uploads!$A:$A,"&gt;="&amp;$A13,Uploads!$A:$A,"&lt;="&amp;$B13))</f>
        <v>0</v>
      </c>
      <c r="G13" s="17"/>
      <c r="H13" s="23" t="n">
        <f aca="false">IF(A13="","",COUNTIFS('AB Tests'!$B:$B,"&gt;="&amp;$A13,'AB Tests'!$B:$B,"&lt;="&amp;$B13))</f>
        <v>0</v>
      </c>
      <c r="I13" s="17"/>
      <c r="J13" s="19" t="str">
        <f aca="false">IF(OR(A13="",H13=0),"",I13/H13)</f>
        <v/>
      </c>
      <c r="K13" s="23" t="n">
        <f aca="false">IF(A13="","",COUNTIFS(Uploads!$A:$A,"&gt;="&amp;$A13,Uploads!$A:$A,"&lt;="&amp;$B13))</f>
        <v>0</v>
      </c>
      <c r="L13" s="23" t="n">
        <f aca="false">IF(A13="","",Variables!$E$4*3*7)</f>
        <v>63</v>
      </c>
      <c r="M13" s="12"/>
      <c r="N13" s="12"/>
    </row>
    <row r="14" customFormat="false" ht="15" hidden="false" customHeight="false" outlineLevel="0" collapsed="false">
      <c r="A14" s="11"/>
      <c r="B14" s="22" t="str">
        <f aca="false">IF(A14="","",A14+6)</f>
        <v/>
      </c>
      <c r="C14" s="17"/>
      <c r="D14" s="19" t="str">
        <f aca="false">IF(A14="","",IFERROR(COUNTIFS(Uploads!$G:$G,"Y",Uploads!$A:$A,"&gt;="&amp;$A14,Uploads!$A:$A,"&lt;="&amp;$B14)/COUNTIFS(Uploads!$G:$G,"&lt;&gt;",Uploads!$A:$A,"&gt;="&amp;$A14,Uploads!$A:$A,"&lt;="&amp;$B14),""))</f>
        <v/>
      </c>
      <c r="E14" s="17"/>
      <c r="F14" s="23" t="str">
        <f aca="false">IF(A14="","",COUNTIFS(Uploads!$H:$H,"Azeem",Uploads!$A:$A,"&gt;="&amp;$A14,Uploads!$A:$A,"&lt;="&amp;$B14))</f>
        <v/>
      </c>
      <c r="G14" s="17"/>
      <c r="H14" s="23" t="str">
        <f aca="false">IF(A14="","",COUNTIFS('AB Tests'!$B:$B,"&gt;="&amp;$A14,'AB Tests'!$B:$B,"&lt;="&amp;$B14))</f>
        <v/>
      </c>
      <c r="I14" s="17"/>
      <c r="J14" s="19" t="str">
        <f aca="false">IF(OR(A14="",H14=0),"",I14/H14)</f>
        <v/>
      </c>
      <c r="K14" s="23" t="str">
        <f aca="false">IF(A14="","",COUNTIFS(Uploads!$A:$A,"&gt;="&amp;$A14,Uploads!$A:$A,"&lt;="&amp;$B14))</f>
        <v/>
      </c>
      <c r="L14" s="23" t="str">
        <f aca="false">IF(A14="","",Variables!$E$4*3*7)</f>
        <v/>
      </c>
      <c r="M14" s="12"/>
      <c r="N14" s="12"/>
    </row>
    <row r="15" customFormat="false" ht="15" hidden="false" customHeight="false" outlineLevel="0" collapsed="false">
      <c r="A15" s="11"/>
      <c r="B15" s="22" t="str">
        <f aca="false">IF(A15="","",A15+6)</f>
        <v/>
      </c>
      <c r="C15" s="17"/>
      <c r="D15" s="19" t="str">
        <f aca="false">IF(A15="","",IFERROR(COUNTIFS(Uploads!$G:$G,"Y",Uploads!$A:$A,"&gt;="&amp;$A15,Uploads!$A:$A,"&lt;="&amp;$B15)/COUNTIFS(Uploads!$G:$G,"&lt;&gt;",Uploads!$A:$A,"&gt;="&amp;$A15,Uploads!$A:$A,"&lt;="&amp;$B15),""))</f>
        <v/>
      </c>
      <c r="E15" s="17"/>
      <c r="F15" s="23" t="str">
        <f aca="false">IF(A15="","",COUNTIFS(Uploads!$H:$H,"Azeem",Uploads!$A:$A,"&gt;="&amp;$A15,Uploads!$A:$A,"&lt;="&amp;$B15))</f>
        <v/>
      </c>
      <c r="G15" s="17"/>
      <c r="H15" s="23" t="str">
        <f aca="false">IF(A15="","",COUNTIFS('AB Tests'!$B:$B,"&gt;="&amp;$A15,'AB Tests'!$B:$B,"&lt;="&amp;$B15))</f>
        <v/>
      </c>
      <c r="I15" s="17"/>
      <c r="J15" s="19" t="str">
        <f aca="false">IF(OR(A15="",H15=0),"",I15/H15)</f>
        <v/>
      </c>
      <c r="K15" s="23" t="str">
        <f aca="false">IF(A15="","",COUNTIFS(Uploads!$A:$A,"&gt;="&amp;$A15,Uploads!$A:$A,"&lt;="&amp;$B15))</f>
        <v/>
      </c>
      <c r="L15" s="23" t="str">
        <f aca="false">IF(A15="","",Variables!$E$4*3*7)</f>
        <v/>
      </c>
      <c r="M15" s="12"/>
      <c r="N15" s="12"/>
    </row>
    <row r="16" customFormat="false" ht="15" hidden="false" customHeight="false" outlineLevel="0" collapsed="false">
      <c r="A16" s="11"/>
      <c r="B16" s="22" t="str">
        <f aca="false">IF(A16="","",A16+6)</f>
        <v/>
      </c>
      <c r="C16" s="17"/>
      <c r="D16" s="19" t="str">
        <f aca="false">IF(A16="","",IFERROR(COUNTIFS(Uploads!$G:$G,"Y",Uploads!$A:$A,"&gt;="&amp;$A16,Uploads!$A:$A,"&lt;="&amp;$B16)/COUNTIFS(Uploads!$G:$G,"&lt;&gt;",Uploads!$A:$A,"&gt;="&amp;$A16,Uploads!$A:$A,"&lt;="&amp;$B16),""))</f>
        <v/>
      </c>
      <c r="E16" s="17"/>
      <c r="F16" s="23" t="str">
        <f aca="false">IF(A16="","",COUNTIFS(Uploads!$H:$H,"Azeem",Uploads!$A:$A,"&gt;="&amp;$A16,Uploads!$A:$A,"&lt;="&amp;$B16))</f>
        <v/>
      </c>
      <c r="G16" s="17"/>
      <c r="H16" s="23" t="str">
        <f aca="false">IF(A16="","",COUNTIFS('AB Tests'!$B:$B,"&gt;="&amp;$A16,'AB Tests'!$B:$B,"&lt;="&amp;$B16))</f>
        <v/>
      </c>
      <c r="I16" s="17"/>
      <c r="J16" s="19" t="str">
        <f aca="false">IF(OR(A16="",H16=0),"",I16/H16)</f>
        <v/>
      </c>
      <c r="K16" s="23" t="str">
        <f aca="false">IF(A16="","",COUNTIFS(Uploads!$A:$A,"&gt;="&amp;$A16,Uploads!$A:$A,"&lt;="&amp;$B16))</f>
        <v/>
      </c>
      <c r="L16" s="23" t="str">
        <f aca="false">IF(A16="","",Variables!$E$4*3*7)</f>
        <v/>
      </c>
      <c r="M16" s="12"/>
      <c r="N16" s="12"/>
    </row>
    <row r="17" customFormat="false" ht="15" hidden="false" customHeight="false" outlineLevel="0" collapsed="false">
      <c r="A17" s="11"/>
      <c r="B17" s="22" t="str">
        <f aca="false">IF(A17="","",A17+6)</f>
        <v/>
      </c>
      <c r="C17" s="17"/>
      <c r="D17" s="19" t="str">
        <f aca="false">IF(A17="","",IFERROR(COUNTIFS(Uploads!$G:$G,"Y",Uploads!$A:$A,"&gt;="&amp;$A17,Uploads!$A:$A,"&lt;="&amp;$B17)/COUNTIFS(Uploads!$G:$G,"&lt;&gt;",Uploads!$A:$A,"&gt;="&amp;$A17,Uploads!$A:$A,"&lt;="&amp;$B17),""))</f>
        <v/>
      </c>
      <c r="E17" s="17"/>
      <c r="F17" s="23" t="str">
        <f aca="false">IF(A17="","",COUNTIFS(Uploads!$H:$H,"Azeem",Uploads!$A:$A,"&gt;="&amp;$A17,Uploads!$A:$A,"&lt;="&amp;$B17))</f>
        <v/>
      </c>
      <c r="G17" s="17"/>
      <c r="H17" s="23" t="str">
        <f aca="false">IF(A17="","",COUNTIFS('AB Tests'!$B:$B,"&gt;="&amp;$A17,'AB Tests'!$B:$B,"&lt;="&amp;$B17))</f>
        <v/>
      </c>
      <c r="I17" s="17"/>
      <c r="J17" s="19" t="str">
        <f aca="false">IF(OR(A17="",H17=0),"",I17/H17)</f>
        <v/>
      </c>
      <c r="K17" s="23" t="str">
        <f aca="false">IF(A17="","",COUNTIFS(Uploads!$A:$A,"&gt;="&amp;$A17,Uploads!$A:$A,"&lt;="&amp;$B17))</f>
        <v/>
      </c>
      <c r="L17" s="23" t="str">
        <f aca="false">IF(A17="","",Variables!$E$4*3*7)</f>
        <v/>
      </c>
      <c r="M17" s="12"/>
      <c r="N17" s="12"/>
    </row>
    <row r="18" customFormat="false" ht="15" hidden="false" customHeight="false" outlineLevel="0" collapsed="false">
      <c r="A18" s="11"/>
      <c r="B18" s="22" t="str">
        <f aca="false">IF(A18="","",A18+6)</f>
        <v/>
      </c>
      <c r="C18" s="17"/>
      <c r="D18" s="19" t="str">
        <f aca="false">IF(A18="","",IFERROR(COUNTIFS(Uploads!$G:$G,"Y",Uploads!$A:$A,"&gt;="&amp;$A18,Uploads!$A:$A,"&lt;="&amp;$B18)/COUNTIFS(Uploads!$G:$G,"&lt;&gt;",Uploads!$A:$A,"&gt;="&amp;$A18,Uploads!$A:$A,"&lt;="&amp;$B18),""))</f>
        <v/>
      </c>
      <c r="E18" s="17"/>
      <c r="F18" s="23" t="str">
        <f aca="false">IF(A18="","",COUNTIFS(Uploads!$H:$H,"Azeem",Uploads!$A:$A,"&gt;="&amp;$A18,Uploads!$A:$A,"&lt;="&amp;$B18))</f>
        <v/>
      </c>
      <c r="G18" s="17"/>
      <c r="H18" s="23" t="str">
        <f aca="false">IF(A18="","",COUNTIFS('AB Tests'!$B:$B,"&gt;="&amp;$A18,'AB Tests'!$B:$B,"&lt;="&amp;$B18))</f>
        <v/>
      </c>
      <c r="I18" s="17"/>
      <c r="J18" s="19" t="str">
        <f aca="false">IF(OR(A18="",H18=0),"",I18/H18)</f>
        <v/>
      </c>
      <c r="K18" s="23" t="str">
        <f aca="false">IF(A18="","",COUNTIFS(Uploads!$A:$A,"&gt;="&amp;$A18,Uploads!$A:$A,"&lt;="&amp;$B18))</f>
        <v/>
      </c>
      <c r="L18" s="23" t="str">
        <f aca="false">IF(A18="","",Variables!$E$4*3*7)</f>
        <v/>
      </c>
      <c r="M18" s="12"/>
      <c r="N18" s="12"/>
    </row>
    <row r="19" customFormat="false" ht="15" hidden="false" customHeight="false" outlineLevel="0" collapsed="false">
      <c r="A19" s="11"/>
      <c r="B19" s="22" t="str">
        <f aca="false">IF(A19="","",A19+6)</f>
        <v/>
      </c>
      <c r="C19" s="17"/>
      <c r="D19" s="19" t="str">
        <f aca="false">IF(A19="","",IFERROR(COUNTIFS(Uploads!$G:$G,"Y",Uploads!$A:$A,"&gt;="&amp;$A19,Uploads!$A:$A,"&lt;="&amp;$B19)/COUNTIFS(Uploads!$G:$G,"&lt;&gt;",Uploads!$A:$A,"&gt;="&amp;$A19,Uploads!$A:$A,"&lt;="&amp;$B19),""))</f>
        <v/>
      </c>
      <c r="E19" s="17"/>
      <c r="F19" s="23" t="str">
        <f aca="false">IF(A19="","",COUNTIFS(Uploads!$H:$H,"Azeem",Uploads!$A:$A,"&gt;="&amp;$A19,Uploads!$A:$A,"&lt;="&amp;$B19))</f>
        <v/>
      </c>
      <c r="G19" s="17"/>
      <c r="H19" s="23" t="str">
        <f aca="false">IF(A19="","",COUNTIFS('AB Tests'!$B:$B,"&gt;="&amp;$A19,'AB Tests'!$B:$B,"&lt;="&amp;$B19))</f>
        <v/>
      </c>
      <c r="I19" s="17"/>
      <c r="J19" s="19" t="str">
        <f aca="false">IF(OR(A19="",H19=0),"",I19/H19)</f>
        <v/>
      </c>
      <c r="K19" s="23" t="str">
        <f aca="false">IF(A19="","",COUNTIFS(Uploads!$A:$A,"&gt;="&amp;$A19,Uploads!$A:$A,"&lt;="&amp;$B19))</f>
        <v/>
      </c>
      <c r="L19" s="23" t="str">
        <f aca="false">IF(A19="","",Variables!$E$4*3*7)</f>
        <v/>
      </c>
      <c r="M19" s="12"/>
      <c r="N19" s="12"/>
    </row>
    <row r="20" customFormat="false" ht="15" hidden="false" customHeight="false" outlineLevel="0" collapsed="false">
      <c r="A20" s="11"/>
      <c r="B20" s="22" t="str">
        <f aca="false">IF(A20="","",A20+6)</f>
        <v/>
      </c>
      <c r="C20" s="17"/>
      <c r="D20" s="19" t="str">
        <f aca="false">IF(A20="","",IFERROR(COUNTIFS(Uploads!$G:$G,"Y",Uploads!$A:$A,"&gt;="&amp;$A20,Uploads!$A:$A,"&lt;="&amp;$B20)/COUNTIFS(Uploads!$G:$G,"&lt;&gt;",Uploads!$A:$A,"&gt;="&amp;$A20,Uploads!$A:$A,"&lt;="&amp;$B20),""))</f>
        <v/>
      </c>
      <c r="E20" s="17"/>
      <c r="F20" s="23" t="str">
        <f aca="false">IF(A20="","",COUNTIFS(Uploads!$H:$H,"Azeem",Uploads!$A:$A,"&gt;="&amp;$A20,Uploads!$A:$A,"&lt;="&amp;$B20))</f>
        <v/>
      </c>
      <c r="G20" s="17"/>
      <c r="H20" s="23" t="str">
        <f aca="false">IF(A20="","",COUNTIFS('AB Tests'!$B:$B,"&gt;="&amp;$A20,'AB Tests'!$B:$B,"&lt;="&amp;$B20))</f>
        <v/>
      </c>
      <c r="I20" s="17"/>
      <c r="J20" s="19" t="str">
        <f aca="false">IF(OR(A20="",H20=0),"",I20/H20)</f>
        <v/>
      </c>
      <c r="K20" s="23" t="str">
        <f aca="false">IF(A20="","",COUNTIFS(Uploads!$A:$A,"&gt;="&amp;$A20,Uploads!$A:$A,"&lt;="&amp;$B20))</f>
        <v/>
      </c>
      <c r="L20" s="23" t="str">
        <f aca="false">IF(A20="","",Variables!$E$4*3*7)</f>
        <v/>
      </c>
      <c r="M20" s="12"/>
      <c r="N20" s="12"/>
    </row>
    <row r="21" customFormat="false" ht="15" hidden="false" customHeight="false" outlineLevel="0" collapsed="false">
      <c r="A21" s="11"/>
      <c r="B21" s="22" t="str">
        <f aca="false">IF(A21="","",A21+6)</f>
        <v/>
      </c>
      <c r="C21" s="17"/>
      <c r="D21" s="19" t="str">
        <f aca="false">IF(A21="","",IFERROR(COUNTIFS(Uploads!$G:$G,"Y",Uploads!$A:$A,"&gt;="&amp;$A21,Uploads!$A:$A,"&lt;="&amp;$B21)/COUNTIFS(Uploads!$G:$G,"&lt;&gt;",Uploads!$A:$A,"&gt;="&amp;$A21,Uploads!$A:$A,"&lt;="&amp;$B21),""))</f>
        <v/>
      </c>
      <c r="E21" s="17"/>
      <c r="F21" s="23" t="str">
        <f aca="false">IF(A21="","",COUNTIFS(Uploads!$H:$H,"Azeem",Uploads!$A:$A,"&gt;="&amp;$A21,Uploads!$A:$A,"&lt;="&amp;$B21))</f>
        <v/>
      </c>
      <c r="G21" s="17"/>
      <c r="H21" s="23" t="str">
        <f aca="false">IF(A21="","",COUNTIFS('AB Tests'!$B:$B,"&gt;="&amp;$A21,'AB Tests'!$B:$B,"&lt;="&amp;$B21))</f>
        <v/>
      </c>
      <c r="I21" s="17"/>
      <c r="J21" s="19" t="str">
        <f aca="false">IF(OR(A21="",H21=0),"",I21/H21)</f>
        <v/>
      </c>
      <c r="K21" s="23" t="str">
        <f aca="false">IF(A21="","",COUNTIFS(Uploads!$A:$A,"&gt;="&amp;$A21,Uploads!$A:$A,"&lt;="&amp;$B21))</f>
        <v/>
      </c>
      <c r="L21" s="23" t="str">
        <f aca="false">IF(A21="","",Variables!$E$4*3*7)</f>
        <v/>
      </c>
      <c r="M21" s="12"/>
      <c r="N21" s="12"/>
    </row>
    <row r="22" customFormat="false" ht="15" hidden="false" customHeight="false" outlineLevel="0" collapsed="false">
      <c r="A22" s="11"/>
      <c r="B22" s="22" t="str">
        <f aca="false">IF(A22="","",A22+6)</f>
        <v/>
      </c>
      <c r="C22" s="17"/>
      <c r="D22" s="19" t="str">
        <f aca="false">IF(A22="","",IFERROR(COUNTIFS(Uploads!$G:$G,"Y",Uploads!$A:$A,"&gt;="&amp;$A22,Uploads!$A:$A,"&lt;="&amp;$B22)/COUNTIFS(Uploads!$G:$G,"&lt;&gt;",Uploads!$A:$A,"&gt;="&amp;$A22,Uploads!$A:$A,"&lt;="&amp;$B22),""))</f>
        <v/>
      </c>
      <c r="E22" s="17"/>
      <c r="F22" s="23" t="str">
        <f aca="false">IF(A22="","",COUNTIFS(Uploads!$H:$H,"Azeem",Uploads!$A:$A,"&gt;="&amp;$A22,Uploads!$A:$A,"&lt;="&amp;$B22))</f>
        <v/>
      </c>
      <c r="G22" s="17"/>
      <c r="H22" s="23" t="str">
        <f aca="false">IF(A22="","",COUNTIFS('AB Tests'!$B:$B,"&gt;="&amp;$A22,'AB Tests'!$B:$B,"&lt;="&amp;$B22))</f>
        <v/>
      </c>
      <c r="I22" s="17"/>
      <c r="J22" s="19" t="str">
        <f aca="false">IF(OR(A22="",H22=0),"",I22/H22)</f>
        <v/>
      </c>
      <c r="K22" s="23" t="str">
        <f aca="false">IF(A22="","",COUNTIFS(Uploads!$A:$A,"&gt;="&amp;$A22,Uploads!$A:$A,"&lt;="&amp;$B22))</f>
        <v/>
      </c>
      <c r="L22" s="23" t="str">
        <f aca="false">IF(A22="","",Variables!$E$4*3*7)</f>
        <v/>
      </c>
      <c r="M22" s="12"/>
      <c r="N22" s="12"/>
    </row>
    <row r="23" customFormat="false" ht="15" hidden="false" customHeight="false" outlineLevel="0" collapsed="false">
      <c r="A23" s="11"/>
      <c r="B23" s="22" t="str">
        <f aca="false">IF(A23="","",A23+6)</f>
        <v/>
      </c>
      <c r="C23" s="17"/>
      <c r="D23" s="19" t="str">
        <f aca="false">IF(A23="","",IFERROR(COUNTIFS(Uploads!$G:$G,"Y",Uploads!$A:$A,"&gt;="&amp;$A23,Uploads!$A:$A,"&lt;="&amp;$B23)/COUNTIFS(Uploads!$G:$G,"&lt;&gt;",Uploads!$A:$A,"&gt;="&amp;$A23,Uploads!$A:$A,"&lt;="&amp;$B23),""))</f>
        <v/>
      </c>
      <c r="E23" s="17"/>
      <c r="F23" s="23" t="str">
        <f aca="false">IF(A23="","",COUNTIFS(Uploads!$H:$H,"Azeem",Uploads!$A:$A,"&gt;="&amp;$A23,Uploads!$A:$A,"&lt;="&amp;$B23))</f>
        <v/>
      </c>
      <c r="G23" s="17"/>
      <c r="H23" s="23" t="str">
        <f aca="false">IF(A23="","",COUNTIFS('AB Tests'!$B:$B,"&gt;="&amp;$A23,'AB Tests'!$B:$B,"&lt;="&amp;$B23))</f>
        <v/>
      </c>
      <c r="I23" s="17"/>
      <c r="J23" s="19" t="str">
        <f aca="false">IF(OR(A23="",H23=0),"",I23/H23)</f>
        <v/>
      </c>
      <c r="K23" s="23" t="str">
        <f aca="false">IF(A23="","",COUNTIFS(Uploads!$A:$A,"&gt;="&amp;$A23,Uploads!$A:$A,"&lt;="&amp;$B23))</f>
        <v/>
      </c>
      <c r="L23" s="23" t="str">
        <f aca="false">IF(A23="","",Variables!$E$4*3*7)</f>
        <v/>
      </c>
      <c r="M23" s="12"/>
      <c r="N23" s="12"/>
    </row>
    <row r="24" customFormat="false" ht="15" hidden="false" customHeight="false" outlineLevel="0" collapsed="false">
      <c r="A24" s="11"/>
      <c r="B24" s="22" t="str">
        <f aca="false">IF(A24="","",A24+6)</f>
        <v/>
      </c>
      <c r="C24" s="17"/>
      <c r="D24" s="19" t="str">
        <f aca="false">IF(A24="","",IFERROR(COUNTIFS(Uploads!$G:$G,"Y",Uploads!$A:$A,"&gt;="&amp;$A24,Uploads!$A:$A,"&lt;="&amp;$B24)/COUNTIFS(Uploads!$G:$G,"&lt;&gt;",Uploads!$A:$A,"&gt;="&amp;$A24,Uploads!$A:$A,"&lt;="&amp;$B24),""))</f>
        <v/>
      </c>
      <c r="E24" s="17"/>
      <c r="F24" s="23" t="str">
        <f aca="false">IF(A24="","",COUNTIFS(Uploads!$H:$H,"Azeem",Uploads!$A:$A,"&gt;="&amp;$A24,Uploads!$A:$A,"&lt;="&amp;$B24))</f>
        <v/>
      </c>
      <c r="G24" s="17"/>
      <c r="H24" s="23" t="str">
        <f aca="false">IF(A24="","",COUNTIFS('AB Tests'!$B:$B,"&gt;="&amp;$A24,'AB Tests'!$B:$B,"&lt;="&amp;$B24))</f>
        <v/>
      </c>
      <c r="I24" s="17"/>
      <c r="J24" s="19" t="str">
        <f aca="false">IF(OR(A24="",H24=0),"",I24/H24)</f>
        <v/>
      </c>
      <c r="K24" s="23" t="str">
        <f aca="false">IF(A24="","",COUNTIFS(Uploads!$A:$A,"&gt;="&amp;$A24,Uploads!$A:$A,"&lt;="&amp;$B24))</f>
        <v/>
      </c>
      <c r="L24" s="23" t="str">
        <f aca="false">IF(A24="","",Variables!$E$4*3*7)</f>
        <v/>
      </c>
      <c r="M24" s="12"/>
      <c r="N24" s="12"/>
    </row>
    <row r="25" customFormat="false" ht="15" hidden="false" customHeight="false" outlineLevel="0" collapsed="false">
      <c r="A25" s="11"/>
      <c r="B25" s="22" t="str">
        <f aca="false">IF(A25="","",A25+6)</f>
        <v/>
      </c>
      <c r="C25" s="17"/>
      <c r="D25" s="19" t="str">
        <f aca="false">IF(A25="","",IFERROR(COUNTIFS(Uploads!$G:$G,"Y",Uploads!$A:$A,"&gt;="&amp;$A25,Uploads!$A:$A,"&lt;="&amp;$B25)/COUNTIFS(Uploads!$G:$G,"&lt;&gt;",Uploads!$A:$A,"&gt;="&amp;$A25,Uploads!$A:$A,"&lt;="&amp;$B25),""))</f>
        <v/>
      </c>
      <c r="E25" s="17"/>
      <c r="F25" s="23" t="str">
        <f aca="false">IF(A25="","",COUNTIFS(Uploads!$H:$H,"Azeem",Uploads!$A:$A,"&gt;="&amp;$A25,Uploads!$A:$A,"&lt;="&amp;$B25))</f>
        <v/>
      </c>
      <c r="G25" s="17"/>
      <c r="H25" s="23" t="str">
        <f aca="false">IF(A25="","",COUNTIFS('AB Tests'!$B:$B,"&gt;="&amp;$A25,'AB Tests'!$B:$B,"&lt;="&amp;$B25))</f>
        <v/>
      </c>
      <c r="I25" s="17"/>
      <c r="J25" s="19" t="str">
        <f aca="false">IF(OR(A25="",H25=0),"",I25/H25)</f>
        <v/>
      </c>
      <c r="K25" s="23" t="str">
        <f aca="false">IF(A25="","",COUNTIFS(Uploads!$A:$A,"&gt;="&amp;$A25,Uploads!$A:$A,"&lt;="&amp;$B25))</f>
        <v/>
      </c>
      <c r="L25" s="23" t="str">
        <f aca="false">IF(A25="","",Variables!$E$4*3*7)</f>
        <v/>
      </c>
      <c r="M25" s="12"/>
      <c r="N25" s="12"/>
    </row>
    <row r="26" customFormat="false" ht="15" hidden="false" customHeight="false" outlineLevel="0" collapsed="false">
      <c r="A26" s="11"/>
      <c r="B26" s="22" t="str">
        <f aca="false">IF(A26="","",A26+6)</f>
        <v/>
      </c>
      <c r="C26" s="17"/>
      <c r="D26" s="19" t="str">
        <f aca="false">IF(A26="","",IFERROR(COUNTIFS(Uploads!$G:$G,"Y",Uploads!$A:$A,"&gt;="&amp;$A26,Uploads!$A:$A,"&lt;="&amp;$B26)/COUNTIFS(Uploads!$G:$G,"&lt;&gt;",Uploads!$A:$A,"&gt;="&amp;$A26,Uploads!$A:$A,"&lt;="&amp;$B26),""))</f>
        <v/>
      </c>
      <c r="E26" s="17"/>
      <c r="F26" s="23" t="str">
        <f aca="false">IF(A26="","",COUNTIFS(Uploads!$H:$H,"Azeem",Uploads!$A:$A,"&gt;="&amp;$A26,Uploads!$A:$A,"&lt;="&amp;$B26))</f>
        <v/>
      </c>
      <c r="G26" s="17"/>
      <c r="H26" s="23" t="str">
        <f aca="false">IF(A26="","",COUNTIFS('AB Tests'!$B:$B,"&gt;="&amp;$A26,'AB Tests'!$B:$B,"&lt;="&amp;$B26))</f>
        <v/>
      </c>
      <c r="I26" s="17"/>
      <c r="J26" s="19" t="str">
        <f aca="false">IF(OR(A26="",H26=0),"",I26/H26)</f>
        <v/>
      </c>
      <c r="K26" s="23" t="str">
        <f aca="false">IF(A26="","",COUNTIFS(Uploads!$A:$A,"&gt;="&amp;$A26,Uploads!$A:$A,"&lt;="&amp;$B26))</f>
        <v/>
      </c>
      <c r="L26" s="23" t="str">
        <f aca="false">IF(A26="","",Variables!$E$4*3*7)</f>
        <v/>
      </c>
      <c r="M26" s="12"/>
      <c r="N26" s="12"/>
    </row>
    <row r="27" customFormat="false" ht="15" hidden="false" customHeight="false" outlineLevel="0" collapsed="false">
      <c r="A27" s="11"/>
      <c r="B27" s="22" t="str">
        <f aca="false">IF(A27="","",A27+6)</f>
        <v/>
      </c>
      <c r="C27" s="17"/>
      <c r="D27" s="19" t="str">
        <f aca="false">IF(A27="","",IFERROR(COUNTIFS(Uploads!$G:$G,"Y",Uploads!$A:$A,"&gt;="&amp;$A27,Uploads!$A:$A,"&lt;="&amp;$B27)/COUNTIFS(Uploads!$G:$G,"&lt;&gt;",Uploads!$A:$A,"&gt;="&amp;$A27,Uploads!$A:$A,"&lt;="&amp;$B27),""))</f>
        <v/>
      </c>
      <c r="E27" s="17"/>
      <c r="F27" s="23" t="str">
        <f aca="false">IF(A27="","",COUNTIFS(Uploads!$H:$H,"Azeem",Uploads!$A:$A,"&gt;="&amp;$A27,Uploads!$A:$A,"&lt;="&amp;$B27))</f>
        <v/>
      </c>
      <c r="G27" s="17"/>
      <c r="H27" s="23" t="str">
        <f aca="false">IF(A27="","",COUNTIFS('AB Tests'!$B:$B,"&gt;="&amp;$A27,'AB Tests'!$B:$B,"&lt;="&amp;$B27))</f>
        <v/>
      </c>
      <c r="I27" s="17"/>
      <c r="J27" s="19" t="str">
        <f aca="false">IF(OR(A27="",H27=0),"",I27/H27)</f>
        <v/>
      </c>
      <c r="K27" s="23" t="str">
        <f aca="false">IF(A27="","",COUNTIFS(Uploads!$A:$A,"&gt;="&amp;$A27,Uploads!$A:$A,"&lt;="&amp;$B27))</f>
        <v/>
      </c>
      <c r="L27" s="23" t="str">
        <f aca="false">IF(A27="","",Variables!$E$4*3*7)</f>
        <v/>
      </c>
      <c r="M27" s="12"/>
      <c r="N27" s="12"/>
    </row>
    <row r="28" customFormat="false" ht="15" hidden="false" customHeight="false" outlineLevel="0" collapsed="false">
      <c r="A28" s="11"/>
      <c r="B28" s="22" t="str">
        <f aca="false">IF(A28="","",A28+6)</f>
        <v/>
      </c>
      <c r="C28" s="17"/>
      <c r="D28" s="19" t="str">
        <f aca="false">IF(A28="","",IFERROR(COUNTIFS(Uploads!$G:$G,"Y",Uploads!$A:$A,"&gt;="&amp;$A28,Uploads!$A:$A,"&lt;="&amp;$B28)/COUNTIFS(Uploads!$G:$G,"&lt;&gt;",Uploads!$A:$A,"&gt;="&amp;$A28,Uploads!$A:$A,"&lt;="&amp;$B28),""))</f>
        <v/>
      </c>
      <c r="E28" s="17"/>
      <c r="F28" s="23" t="str">
        <f aca="false">IF(A28="","",COUNTIFS(Uploads!$H:$H,"Azeem",Uploads!$A:$A,"&gt;="&amp;$A28,Uploads!$A:$A,"&lt;="&amp;$B28))</f>
        <v/>
      </c>
      <c r="G28" s="17"/>
      <c r="H28" s="23" t="str">
        <f aca="false">IF(A28="","",COUNTIFS('AB Tests'!$B:$B,"&gt;="&amp;$A28,'AB Tests'!$B:$B,"&lt;="&amp;$B28))</f>
        <v/>
      </c>
      <c r="I28" s="17"/>
      <c r="J28" s="19" t="str">
        <f aca="false">IF(OR(A28="",H28=0),"",I28/H28)</f>
        <v/>
      </c>
      <c r="K28" s="23" t="str">
        <f aca="false">IF(A28="","",COUNTIFS(Uploads!$A:$A,"&gt;="&amp;$A28,Uploads!$A:$A,"&lt;="&amp;$B28))</f>
        <v/>
      </c>
      <c r="L28" s="23" t="str">
        <f aca="false">IF(A28="","",Variables!$E$4*3*7)</f>
        <v/>
      </c>
      <c r="M28" s="12"/>
      <c r="N28" s="12"/>
    </row>
    <row r="29" customFormat="false" ht="15" hidden="false" customHeight="false" outlineLevel="0" collapsed="false">
      <c r="A29" s="11"/>
      <c r="B29" s="22" t="str">
        <f aca="false">IF(A29="","",A29+6)</f>
        <v/>
      </c>
      <c r="C29" s="17"/>
      <c r="D29" s="19" t="str">
        <f aca="false">IF(A29="","",IFERROR(COUNTIFS(Uploads!$G:$G,"Y",Uploads!$A:$A,"&gt;="&amp;$A29,Uploads!$A:$A,"&lt;="&amp;$B29)/COUNTIFS(Uploads!$G:$G,"&lt;&gt;",Uploads!$A:$A,"&gt;="&amp;$A29,Uploads!$A:$A,"&lt;="&amp;$B29),""))</f>
        <v/>
      </c>
      <c r="E29" s="17"/>
      <c r="F29" s="23" t="str">
        <f aca="false">IF(A29="","",COUNTIFS(Uploads!$H:$H,"Azeem",Uploads!$A:$A,"&gt;="&amp;$A29,Uploads!$A:$A,"&lt;="&amp;$B29))</f>
        <v/>
      </c>
      <c r="G29" s="17"/>
      <c r="H29" s="23" t="str">
        <f aca="false">IF(A29="","",COUNTIFS('AB Tests'!$B:$B,"&gt;="&amp;$A29,'AB Tests'!$B:$B,"&lt;="&amp;$B29))</f>
        <v/>
      </c>
      <c r="I29" s="17"/>
      <c r="J29" s="19" t="str">
        <f aca="false">IF(OR(A29="",H29=0),"",I29/H29)</f>
        <v/>
      </c>
      <c r="K29" s="23" t="str">
        <f aca="false">IF(A29="","",COUNTIFS(Uploads!$A:$A,"&gt;="&amp;$A29,Uploads!$A:$A,"&lt;="&amp;$B29))</f>
        <v/>
      </c>
      <c r="L29" s="23" t="str">
        <f aca="false">IF(A29="","",Variables!$E$4*3*7)</f>
        <v/>
      </c>
      <c r="M29" s="12"/>
      <c r="N29" s="12"/>
    </row>
    <row r="30" customFormat="false" ht="15" hidden="false" customHeight="false" outlineLevel="0" collapsed="false">
      <c r="A30" s="11"/>
      <c r="B30" s="22" t="str">
        <f aca="false">IF(A30="","",A30+6)</f>
        <v/>
      </c>
      <c r="C30" s="17"/>
      <c r="D30" s="19" t="str">
        <f aca="false">IF(A30="","",IFERROR(COUNTIFS(Uploads!$G:$G,"Y",Uploads!$A:$A,"&gt;="&amp;$A30,Uploads!$A:$A,"&lt;="&amp;$B30)/COUNTIFS(Uploads!$G:$G,"&lt;&gt;",Uploads!$A:$A,"&gt;="&amp;$A30,Uploads!$A:$A,"&lt;="&amp;$B30),""))</f>
        <v/>
      </c>
      <c r="E30" s="17"/>
      <c r="F30" s="23" t="str">
        <f aca="false">IF(A30="","",COUNTIFS(Uploads!$H:$H,"Azeem",Uploads!$A:$A,"&gt;="&amp;$A30,Uploads!$A:$A,"&lt;="&amp;$B30))</f>
        <v/>
      </c>
      <c r="G30" s="17"/>
      <c r="H30" s="23" t="str">
        <f aca="false">IF(A30="","",COUNTIFS('AB Tests'!$B:$B,"&gt;="&amp;$A30,'AB Tests'!$B:$B,"&lt;="&amp;$B30))</f>
        <v/>
      </c>
      <c r="I30" s="17"/>
      <c r="J30" s="19" t="str">
        <f aca="false">IF(OR(A30="",H30=0),"",I30/H30)</f>
        <v/>
      </c>
      <c r="K30" s="23" t="str">
        <f aca="false">IF(A30="","",COUNTIFS(Uploads!$A:$A,"&gt;="&amp;$A30,Uploads!$A:$A,"&lt;="&amp;$B30))</f>
        <v/>
      </c>
      <c r="L30" s="23" t="str">
        <f aca="false">IF(A30="","",Variables!$E$4*3*7)</f>
        <v/>
      </c>
      <c r="M30" s="12"/>
      <c r="N30" s="12"/>
    </row>
    <row r="31" customFormat="false" ht="15" hidden="false" customHeight="false" outlineLevel="0" collapsed="false">
      <c r="A31" s="11"/>
      <c r="B31" s="22" t="str">
        <f aca="false">IF(A31="","",A31+6)</f>
        <v/>
      </c>
      <c r="C31" s="17"/>
      <c r="D31" s="19" t="str">
        <f aca="false">IF(A31="","",IFERROR(COUNTIFS(Uploads!$G:$G,"Y",Uploads!$A:$A,"&gt;="&amp;$A31,Uploads!$A:$A,"&lt;="&amp;$B31)/COUNTIFS(Uploads!$G:$G,"&lt;&gt;",Uploads!$A:$A,"&gt;="&amp;$A31,Uploads!$A:$A,"&lt;="&amp;$B31),""))</f>
        <v/>
      </c>
      <c r="E31" s="17"/>
      <c r="F31" s="23" t="str">
        <f aca="false">IF(A31="","",COUNTIFS(Uploads!$H:$H,"Azeem",Uploads!$A:$A,"&gt;="&amp;$A31,Uploads!$A:$A,"&lt;="&amp;$B31))</f>
        <v/>
      </c>
      <c r="G31" s="17"/>
      <c r="H31" s="23" t="str">
        <f aca="false">IF(A31="","",COUNTIFS('AB Tests'!$B:$B,"&gt;="&amp;$A31,'AB Tests'!$B:$B,"&lt;="&amp;$B31))</f>
        <v/>
      </c>
      <c r="I31" s="17"/>
      <c r="J31" s="19" t="str">
        <f aca="false">IF(OR(A31="",H31=0),"",I31/H31)</f>
        <v/>
      </c>
      <c r="K31" s="23" t="str">
        <f aca="false">IF(A31="","",COUNTIFS(Uploads!$A:$A,"&gt;="&amp;$A31,Uploads!$A:$A,"&lt;="&amp;$B31))</f>
        <v/>
      </c>
      <c r="L31" s="23" t="str">
        <f aca="false">IF(A31="","",Variables!$E$4*3*7)</f>
        <v/>
      </c>
      <c r="M31" s="12"/>
      <c r="N31" s="12"/>
    </row>
  </sheetData>
  <autoFilter ref="A1:N31"/>
  <dataValidations count="1">
    <dataValidation allowBlank="true" errorStyle="stop" operator="between" showDropDown="false" showErrorMessage="false" showInputMessage="false" sqref="M2:M31" type="list">
      <formula1>Variables!$J$2:$J$3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3"/>
    <col collapsed="false" customWidth="true" hidden="false" outlineLevel="0" max="4" min="4" style="0" width="48"/>
    <col collapsed="false" customWidth="true" hidden="false" outlineLevel="0" max="5" min="5" style="0" width="10"/>
    <col collapsed="false" customWidth="true" hidden="false" outlineLevel="0" max="6" min="6" style="0" width="3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9"/>
    <col collapsed="false" customWidth="true" hidden="false" outlineLevel="0" max="11" min="11" style="0" width="16"/>
  </cols>
  <sheetData>
    <row r="1" customFormat="false" ht="15" hidden="false" customHeight="false" outlineLevel="0" collapsed="false">
      <c r="A1" s="24" t="s">
        <v>116</v>
      </c>
      <c r="B1" s="24" t="s">
        <v>117</v>
      </c>
      <c r="D1" s="24" t="s">
        <v>118</v>
      </c>
      <c r="E1" s="24" t="s">
        <v>119</v>
      </c>
      <c r="G1" s="24" t="s">
        <v>120</v>
      </c>
      <c r="H1" s="24" t="s">
        <v>121</v>
      </c>
      <c r="I1" s="24" t="s">
        <v>29</v>
      </c>
      <c r="J1" s="24" t="s">
        <v>122</v>
      </c>
      <c r="K1" s="24" t="s">
        <v>123</v>
      </c>
    </row>
    <row r="2" customFormat="false" ht="15" hidden="false" customHeight="false" outlineLevel="0" collapsed="false">
      <c r="A2" s="25" t="s">
        <v>35</v>
      </c>
      <c r="B2" s="25" t="s">
        <v>124</v>
      </c>
      <c r="D2" s="25" t="s">
        <v>125</v>
      </c>
      <c r="E2" s="4" t="n">
        <v>500</v>
      </c>
      <c r="G2" s="25" t="s">
        <v>38</v>
      </c>
      <c r="H2" s="25" t="s">
        <v>34</v>
      </c>
      <c r="I2" s="25" t="s">
        <v>39</v>
      </c>
      <c r="J2" s="25" t="s">
        <v>32</v>
      </c>
      <c r="K2" s="25" t="s">
        <v>94</v>
      </c>
    </row>
    <row r="3" customFormat="false" ht="15" hidden="false" customHeight="false" outlineLevel="0" collapsed="false">
      <c r="A3" s="25" t="s">
        <v>126</v>
      </c>
      <c r="B3" s="25" t="s">
        <v>127</v>
      </c>
      <c r="D3" s="25" t="s">
        <v>128</v>
      </c>
      <c r="E3" s="26" t="n">
        <v>0.1</v>
      </c>
      <c r="G3" s="25" t="s">
        <v>41</v>
      </c>
      <c r="H3" s="25" t="s">
        <v>129</v>
      </c>
      <c r="I3" s="25" t="s">
        <v>130</v>
      </c>
      <c r="J3" s="25" t="s">
        <v>40</v>
      </c>
      <c r="K3" s="25" t="s">
        <v>131</v>
      </c>
    </row>
    <row r="4" customFormat="false" ht="15" hidden="false" customHeight="false" outlineLevel="0" collapsed="false">
      <c r="A4" s="25" t="s">
        <v>132</v>
      </c>
      <c r="B4" s="25" t="s">
        <v>133</v>
      </c>
      <c r="D4" s="25" t="s">
        <v>134</v>
      </c>
      <c r="E4" s="4" t="n">
        <v>3</v>
      </c>
      <c r="G4" s="25" t="s">
        <v>31</v>
      </c>
      <c r="H4" s="25" t="s">
        <v>135</v>
      </c>
      <c r="I4" s="25" t="s">
        <v>136</v>
      </c>
    </row>
    <row r="5" customFormat="false" ht="15" hidden="false" customHeight="false" outlineLevel="0" collapsed="false">
      <c r="A5" s="25" t="s">
        <v>137</v>
      </c>
      <c r="B5" s="25" t="s">
        <v>138</v>
      </c>
      <c r="D5" s="25" t="s">
        <v>139</v>
      </c>
      <c r="E5" s="4" t="n">
        <v>2</v>
      </c>
      <c r="I5" s="25" t="s">
        <v>37</v>
      </c>
    </row>
    <row r="6" customFormat="false" ht="15" hidden="false" customHeight="false" outlineLevel="0" collapsed="false">
      <c r="A6" s="25" t="s">
        <v>140</v>
      </c>
      <c r="B6" s="25" t="s">
        <v>141</v>
      </c>
      <c r="I6" s="25" t="s">
        <v>142</v>
      </c>
    </row>
    <row r="7" customFormat="false" ht="15" hidden="false" customHeight="false" outlineLevel="0" collapsed="false">
      <c r="A7" s="25" t="s">
        <v>143</v>
      </c>
      <c r="B7" s="25" t="s">
        <v>144</v>
      </c>
    </row>
    <row r="8" customFormat="false" ht="15" hidden="false" customHeight="false" outlineLevel="0" collapsed="false">
      <c r="A8" s="25" t="s">
        <v>145</v>
      </c>
      <c r="B8" s="25" t="s">
        <v>146</v>
      </c>
    </row>
    <row r="9" customFormat="false" ht="15" hidden="false" customHeight="false" outlineLevel="0" collapsed="false">
      <c r="A9" s="25" t="s">
        <v>147</v>
      </c>
      <c r="B9" s="25" t="s">
        <v>148</v>
      </c>
    </row>
    <row r="10" customFormat="false" ht="15" hidden="false" customHeight="false" outlineLevel="0" collapsed="false">
      <c r="A10" s="25" t="s">
        <v>149</v>
      </c>
      <c r="B10" s="25" t="s">
        <v>150</v>
      </c>
    </row>
    <row r="11" customFormat="false" ht="15" hidden="false" customHeight="false" outlineLevel="0" collapsed="false">
      <c r="A11" s="25" t="s">
        <v>151</v>
      </c>
      <c r="B11" s="25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2026-10-26T18:51:48Z</dcterms:created>
  <dc:creator>openpyxl</dc:creator>
  <dc:description/>
  <dc:language>en-US</dc:language>
  <cp:lastModifiedBy/>
  <dcterms:modified xsi:type="dcterms:W3CDTF">2026-10-26T18:51:49Z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