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ales Daily KPIs" sheetId="2" state="visible" r:id="rId4"/>
    <sheet name="Sales Weekly KPIs" sheetId="3" state="visible" r:id="rId5"/>
    <sheet name="Pipeline" sheetId="4" state="visible" r:id="rId6"/>
    <sheet name="Pipeline Summary" sheetId="5" state="visible" r:id="rId7"/>
    <sheet name="Lists" sheetId="6" state="visible" r:id="rId8"/>
    <sheet name="Targets" sheetId="7" state="visible" r:id="rId9"/>
  </sheets>
  <definedNames>
    <definedName function="false" hidden="true" localSheetId="3" name="_xlnm._FilterDatabase" vbProcedure="false">Pipeline!$A$1:$U$501</definedName>
    <definedName function="false" hidden="true" localSheetId="1" name="_xlnm._FilterDatabase" vbProcedure="false">'Sales Daily KPIs'!$A$1:$K$601</definedName>
    <definedName function="false" hidden="true" localSheetId="2" name="_xlnm._FilterDatabase" vbProcedure="false">'Sales Weekly KPIs'!$A$1:$N$121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Calls + WhatsApps + walk-ins + DMs</t>
        </r>
      </text>
    </comment>
    <comment ref="F1" authorId="0">
      <text>
        <r>
          <rPr>
            <sz val="10"/>
            <rFont val="Arial"/>
            <family val="2"/>
          </rPr>
          <t xml:space="preserve">TODAY + OVERDUE count for you on the Pipeline Summary tab, at start of day</t>
        </r>
      </text>
    </comment>
    <comment ref="H1" authorId="0">
      <text>
        <r>
          <rPr>
            <sz val="10"/>
            <rFont val="Arial"/>
            <family val="2"/>
          </rPr>
          <t xml:space="preserve">Target 100%</t>
        </r>
      </text>
    </comment>
    <comment ref="J1" authorId="0">
      <text>
        <r>
          <rPr>
            <sz val="10"/>
            <rFont val="Arial"/>
            <family val="2"/>
          </rPr>
          <t xml:space="preserve">Calls, meetings booked, meetings done, follow-ups cleared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2 closed deals per rep per week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From the package fee</t>
        </r>
      </text>
    </comment>
    <comment ref="M1" authorId="0">
      <text>
        <r>
          <rPr>
            <sz val="10"/>
            <rFont val="Arial"/>
            <family val="2"/>
          </rPr>
          <t xml:space="preserve">Green / Yellow / Red - see How to use</t>
        </r>
      </text>
    </comment>
    <comment ref="R1" authorId="0">
      <text>
        <r>
          <rPr>
            <sz val="10"/>
            <rFont val="Arial"/>
            <family val="2"/>
          </rPr>
          <t xml:space="preserve">Turns TODAY or OVERDUE by itself</t>
        </r>
      </text>
    </comment>
  </commentList>
</comments>
</file>

<file path=xl/sharedStrings.xml><?xml version="1.0" encoding="utf-8"?>
<sst xmlns="http://schemas.openxmlformats.org/spreadsheetml/2006/main" count="216" uniqueCount="121">
  <si>
    <t xml:space="preserve">Yontro Sales: KPIs and Pipeline</t>
  </si>
  <si>
    <t xml:space="preserve">Who uses it: the sales team (Usama and sales agents). Each rep filters the Pipeline tab by their name. Sahill: owner.</t>
  </si>
  <si>
    <t xml:space="preserve">Tabs: Sales Daily KPIs (each rep fills their row by 19:00), Sales Weekly KPIs (calculated), Pipeline, Pipeline Summary, Targets (set by Sahill).</t>
  </si>
  <si>
    <t xml:space="preserve">Daily targets: 100 calls and outreaches, 4 meetings booked for the next day, 2 meetings done, all pipeline follow-ups cleared. Weekly: 2 closed deals per rep.</t>
  </si>
  <si>
    <t xml:space="preserve">Accounting and growth targets are in a separate confidential file that only Sahill can see.</t>
  </si>
  <si>
    <t xml:space="preserve">Traffic light - how likely the deal is to close:</t>
  </si>
  <si>
    <t xml:space="preserve">Green = decision maker engaged, has seen the free video, expected to sign within 7 days.</t>
  </si>
  <si>
    <t xml:space="preserve">Yellow = interested, but something is stopping them. Name the blocker and the next action that removes it.</t>
  </si>
  <si>
    <t xml:space="preserve">Red = unlikely right now: no reply, no budget, or said no. Follow up monthly.</t>
  </si>
  <si>
    <t xml:space="preserve">Rules:</t>
  </si>
  <si>
    <t xml:space="preserve">Every open deal has a traffic light, a blocker (or 'None') and a next follow-up date. No date = the deal is forgotten.</t>
  </si>
  <si>
    <t xml:space="preserve">The Follow-up column turns TODAY or OVERDUE by itself. Clear all of these before 13:00 every day.</t>
  </si>
  <si>
    <t xml:space="preserve">Won deals: set Stage to Won and hand over to Lianna the same day (SOP 1).</t>
  </si>
  <si>
    <t xml:space="preserve">Pipeline Summary tab: counts per rep by traffic light, blockers, and follow-ups due - calculated by itself. Use its TODAY + OVERDUE count for 'Follow-ups due' in the daily KPIs.</t>
  </si>
  <si>
    <t xml:space="preserve">Light orange cell = Lianna types here (input).</t>
  </si>
  <si>
    <t xml:space="preserve">Grey cell = formula, calculates by itself. Do not type over it.</t>
  </si>
  <si>
    <t xml:space="preserve">Grey italic row 2 on each tab = EXAMPLE showing the format. Delete it once real data starts.</t>
  </si>
  <si>
    <t xml:space="preserve">Date</t>
  </si>
  <si>
    <t xml:space="preserve">Sales rep</t>
  </si>
  <si>
    <t xml:space="preserve">Calls and outreaches (target 100)</t>
  </si>
  <si>
    <t xml:space="preserve">Meetings booked for next day (target 4)</t>
  </si>
  <si>
    <t xml:space="preserve">Meetings done today (target 2)</t>
  </si>
  <si>
    <t xml:space="preserve">Follow-ups due from pipeline</t>
  </si>
  <si>
    <t xml:space="preserve">Follow-ups done</t>
  </si>
  <si>
    <t xml:space="preserve">Follow-ups cleared %</t>
  </si>
  <si>
    <t xml:space="preserve">Deals closed today</t>
  </si>
  <si>
    <t xml:space="preserve">Daily targets hit (of 4)</t>
  </si>
  <si>
    <t xml:space="preserve">Notes / what stopped the target</t>
  </si>
  <si>
    <t xml:space="preserve">Usama Rehman</t>
  </si>
  <si>
    <t xml:space="preserve">EXAMPLE row - delete</t>
  </si>
  <si>
    <t xml:space="preserve">Week start</t>
  </si>
  <si>
    <t xml:space="preserve">Week end</t>
  </si>
  <si>
    <t xml:space="preserve">Days reported</t>
  </si>
  <si>
    <t xml:space="preserve">Calls and outreaches</t>
  </si>
  <si>
    <t xml:space="preserve">Target</t>
  </si>
  <si>
    <t xml:space="preserve">Meetings booked</t>
  </si>
  <si>
    <t xml:space="preserve">Meetings done</t>
  </si>
  <si>
    <t xml:space="preserve">Deals closed</t>
  </si>
  <si>
    <t xml:space="preserve">Notes</t>
  </si>
  <si>
    <t xml:space="preserve">Date added</t>
  </si>
  <si>
    <t xml:space="preserve">Business</t>
  </si>
  <si>
    <t xml:space="preserve">Niche</t>
  </si>
  <si>
    <t xml:space="preserve">Area</t>
  </si>
  <si>
    <t xml:space="preserve">Contact name</t>
  </si>
  <si>
    <t xml:space="preserve">WhatsApp</t>
  </si>
  <si>
    <t xml:space="preserve">Instagram</t>
  </si>
  <si>
    <t xml:space="preserve">Source</t>
  </si>
  <si>
    <t xml:space="preserve">Stage</t>
  </si>
  <si>
    <t xml:space="preserve">Package interested</t>
  </si>
  <si>
    <t xml:space="preserve">Monthly value (AED)</t>
  </si>
  <si>
    <t xml:space="preserve">Likelihood (traffic light)</t>
  </si>
  <si>
    <t xml:space="preserve">What's stopping them</t>
  </si>
  <si>
    <t xml:space="preserve">Blocker detail</t>
  </si>
  <si>
    <t xml:space="preserve">Next action</t>
  </si>
  <si>
    <t xml:space="preserve">Next follow-up date</t>
  </si>
  <si>
    <t xml:space="preserve">Follow-up</t>
  </si>
  <si>
    <t xml:space="preserve">Last contact</t>
  </si>
  <si>
    <t xml:space="preserve">Expected close date</t>
  </si>
  <si>
    <t xml:space="preserve">EXAMPLE Phone Hub</t>
  </si>
  <si>
    <t xml:space="preserve">Mobile phones</t>
  </si>
  <si>
    <t xml:space="preserve">Karama</t>
  </si>
  <si>
    <t xml:space="preserve">Ali K.</t>
  </si>
  <si>
    <t xml:space="preserve">+971 55 000 0000</t>
  </si>
  <si>
    <t xml:space="preserve">@examplephonehub</t>
  </si>
  <si>
    <t xml:space="preserve">Cold call</t>
  </si>
  <si>
    <t xml:space="preserve">Free video delivered</t>
  </si>
  <si>
    <t xml:space="preserve">Growth</t>
  </si>
  <si>
    <t xml:space="preserve">Yellow</t>
  </si>
  <si>
    <t xml:space="preserve">Price</t>
  </si>
  <si>
    <t xml:space="preserve">Likes the video, thinks Growth is too much this month</t>
  </si>
  <si>
    <t xml:space="preserve">Show Launch, then upgrade path after month 1</t>
  </si>
  <si>
    <t xml:space="preserve">Delete this row</t>
  </si>
  <si>
    <t xml:space="preserve">Mobile shop (name to add)</t>
  </si>
  <si>
    <t xml:space="preserve">Spa (name to add)</t>
  </si>
  <si>
    <t xml:space="preserve">Spa</t>
  </si>
  <si>
    <t xml:space="preserve">Rep</t>
  </si>
  <si>
    <t xml:space="preserve">Green</t>
  </si>
  <si>
    <t xml:space="preserve">Red</t>
  </si>
  <si>
    <t xml:space="preserve">Open deals</t>
  </si>
  <si>
    <t xml:space="preserve">Open value (AED / month)</t>
  </si>
  <si>
    <t xml:space="preserve">Follow-ups TODAY</t>
  </si>
  <si>
    <t xml:space="preserve">Follow-ups OVERDUE</t>
  </si>
  <si>
    <t xml:space="preserve">Won (all time)</t>
  </si>
  <si>
    <t xml:space="preserve">Sales Agent 1</t>
  </si>
  <si>
    <t xml:space="preserve">Sales Agent 2</t>
  </si>
  <si>
    <t xml:space="preserve">All reps</t>
  </si>
  <si>
    <t xml:space="preserve">What's stopping open deals</t>
  </si>
  <si>
    <t xml:space="preserve">Of which Yellow</t>
  </si>
  <si>
    <t xml:space="preserve">Timing</t>
  </si>
  <si>
    <t xml:space="preserve">Decision maker not involved</t>
  </si>
  <si>
    <t xml:space="preserve">Wants to see results first</t>
  </si>
  <si>
    <t xml:space="preserve">Already has an agency</t>
  </si>
  <si>
    <t xml:space="preserve">Doesn't want to be on camera</t>
  </si>
  <si>
    <t xml:space="preserve">No reply</t>
  </si>
  <si>
    <t xml:space="preserve">Other</t>
  </si>
  <si>
    <t xml:space="preserve">None</t>
  </si>
  <si>
    <t xml:space="preserve">Reps</t>
  </si>
  <si>
    <t xml:space="preserve">Likelihood</t>
  </si>
  <si>
    <t xml:space="preserve">Package</t>
  </si>
  <si>
    <t xml:space="preserve">Package fee (AED)</t>
  </si>
  <si>
    <t xml:space="preserve">New lead</t>
  </si>
  <si>
    <t xml:space="preserve">Launch</t>
  </si>
  <si>
    <t xml:space="preserve">Contacted</t>
  </si>
  <si>
    <t xml:space="preserve">Meeting booked</t>
  </si>
  <si>
    <t xml:space="preserve">Walk-in</t>
  </si>
  <si>
    <t xml:space="preserve">Scale</t>
  </si>
  <si>
    <t xml:space="preserve">Meeting done</t>
  </si>
  <si>
    <t xml:space="preserve">Referral</t>
  </si>
  <si>
    <t xml:space="preserve">Not decided</t>
  </si>
  <si>
    <t xml:space="preserve">Free video booked</t>
  </si>
  <si>
    <t xml:space="preserve">Proposal sent</t>
  </si>
  <si>
    <t xml:space="preserve">Won</t>
  </si>
  <si>
    <t xml:space="preserve">Lost</t>
  </si>
  <si>
    <t xml:space="preserve">Value</t>
  </si>
  <si>
    <t xml:space="preserve">Calls and outreaches per rep per day</t>
  </si>
  <si>
    <t xml:space="preserve">Sahill</t>
  </si>
  <si>
    <t xml:space="preserve">Meetings booked for next day per rep per day</t>
  </si>
  <si>
    <t xml:space="preserve">Meetings done per rep per day</t>
  </si>
  <si>
    <t xml:space="preserve">Closed deals per rep per week</t>
  </si>
  <si>
    <t xml:space="preserve">Working days per week</t>
  </si>
  <si>
    <t xml:space="preserve">Monday to Saturday (website hours)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</si>
</sst>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#,##0"/>
    <numFmt numFmtId="167" formatCode="0.0%"/>
    <numFmt numFmtId="168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4E5"/>
        <bgColor rgb="FFEDEDED"/>
      </patternFill>
    </fill>
    <fill>
      <patternFill patternType="solid">
        <fgColor rgb="FFEDEDED"/>
        <bgColor rgb="FFFFF4E5"/>
      </patternFill>
    </fill>
    <fill>
      <patternFill patternType="solid">
        <fgColor rgb="FF0B0B0B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0B0B0B"/>
          <bgColor rgb="FF000000"/>
        </patternFill>
      </fill>
    </dxf>
    <dxf>
      <fill>
        <patternFill patternType="solid">
          <fgColor rgb="FFFFF4E5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4E5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0B0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23.85" hidden="false" customHeight="false" outlineLevel="0" collapsed="false">
      <c r="B5" s="2" t="s">
        <v>2</v>
      </c>
    </row>
    <row r="6" customFormat="false" ht="23.8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23.85" hidden="false" customHeight="false" outlineLevel="0" collapsed="false">
      <c r="B18" s="2" t="s">
        <v>13</v>
      </c>
    </row>
    <row r="20" customFormat="false" ht="15" hidden="false" customHeight="false" outlineLevel="0" collapsed="false">
      <c r="B20" s="4" t="s">
        <v>14</v>
      </c>
    </row>
    <row r="21" customFormat="false" ht="15" hidden="false" customHeight="false" outlineLevel="0" collapsed="false">
      <c r="B21" s="5" t="s">
        <v>15</v>
      </c>
    </row>
    <row r="22" customFormat="false" ht="15" hidden="false" customHeight="false" outlineLevel="0" collapsed="false">
      <c r="B22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5" min="3" style="0" width="12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34"/>
  </cols>
  <sheetData>
    <row r="1" customFormat="false" ht="33.75" hidden="false" customHeight="true" outlineLevel="0" collapsed="false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</row>
    <row r="2" customFormat="false" ht="15" hidden="false" customHeight="false" outlineLevel="0" collapsed="false">
      <c r="A2" s="8" t="n">
        <v>46344</v>
      </c>
      <c r="B2" s="9" t="s">
        <v>28</v>
      </c>
      <c r="C2" s="10" t="n">
        <v>104</v>
      </c>
      <c r="D2" s="10" t="n">
        <v>4</v>
      </c>
      <c r="E2" s="10" t="n">
        <v>2</v>
      </c>
      <c r="F2" s="10" t="n">
        <v>6</v>
      </c>
      <c r="G2" s="10" t="n">
        <v>6</v>
      </c>
      <c r="H2" s="11" t="n">
        <f aca="false">IF(OR(F2="",F2=0),IF(G2="","",1),MIN(1,G2/F2))</f>
        <v>1</v>
      </c>
      <c r="I2" s="10" t="n">
        <v>0</v>
      </c>
      <c r="J2" s="12" t="str">
        <f aca="false">IF(C2="","",(C2&gt;=Targets!$B$2)+(D2&gt;=Targets!$B$3)+(E2&gt;=Targets!$B$4)+(N(H2)&gt;=1))&amp;"/4"</f>
        <v>4/4</v>
      </c>
      <c r="K2" s="9" t="s">
        <v>29</v>
      </c>
    </row>
    <row r="3" customFormat="false" ht="15" hidden="false" customHeight="false" outlineLevel="0" collapsed="false">
      <c r="A3" s="13" t="n">
        <v>46345</v>
      </c>
      <c r="B3" s="14" t="s">
        <v>28</v>
      </c>
      <c r="C3" s="15"/>
      <c r="D3" s="15"/>
      <c r="E3" s="15"/>
      <c r="F3" s="15"/>
      <c r="G3" s="15"/>
      <c r="H3" s="16" t="str">
        <f aca="false">IF(OR(F3="",F3=0),IF(G3="","",1),MIN(1,G3/F3))</f>
        <v/>
      </c>
      <c r="I3" s="15"/>
      <c r="J3" s="17" t="str">
        <f aca="false">IF(C3="","",(C3&gt;=Targets!$B$2)+(D3&gt;=Targets!$B$3)+(E3&gt;=Targets!$B$4)+(N(H3)&gt;=1))&amp;"/4"</f>
        <v>/4</v>
      </c>
      <c r="K3" s="14"/>
    </row>
    <row r="4" customFormat="false" ht="15" hidden="false" customHeight="false" outlineLevel="0" collapsed="false">
      <c r="A4" s="13" t="n">
        <v>46346</v>
      </c>
      <c r="B4" s="14" t="s">
        <v>28</v>
      </c>
      <c r="C4" s="15"/>
      <c r="D4" s="15"/>
      <c r="E4" s="15"/>
      <c r="F4" s="15"/>
      <c r="G4" s="15"/>
      <c r="H4" s="16" t="str">
        <f aca="false">IF(OR(F4="",F4=0),IF(G4="","",1),MIN(1,G4/F4))</f>
        <v/>
      </c>
      <c r="I4" s="15"/>
      <c r="J4" s="17" t="str">
        <f aca="false">IF(C4="","",(C4&gt;=Targets!$B$2)+(D4&gt;=Targets!$B$3)+(E4&gt;=Targets!$B$4)+(N(H4)&gt;=1))&amp;"/4"</f>
        <v>/4</v>
      </c>
      <c r="K4" s="14"/>
    </row>
    <row r="5" customFormat="false" ht="15" hidden="false" customHeight="false" outlineLevel="0" collapsed="false">
      <c r="A5" s="13" t="n">
        <v>46347</v>
      </c>
      <c r="B5" s="14" t="s">
        <v>28</v>
      </c>
      <c r="C5" s="15"/>
      <c r="D5" s="15"/>
      <c r="E5" s="15"/>
      <c r="F5" s="15"/>
      <c r="G5" s="15"/>
      <c r="H5" s="16" t="str">
        <f aca="false">IF(OR(F5="",F5=0),IF(G5="","",1),MIN(1,G5/F5))</f>
        <v/>
      </c>
      <c r="I5" s="15"/>
      <c r="J5" s="17" t="str">
        <f aca="false">IF(C5="","",(C5&gt;=Targets!$B$2)+(D5&gt;=Targets!$B$3)+(E5&gt;=Targets!$B$4)+(N(H5)&gt;=1))&amp;"/4"</f>
        <v>/4</v>
      </c>
      <c r="K5" s="14"/>
    </row>
    <row r="6" customFormat="false" ht="15" hidden="false" customHeight="false" outlineLevel="0" collapsed="false">
      <c r="A6" s="13" t="n">
        <v>46349</v>
      </c>
      <c r="B6" s="14" t="s">
        <v>28</v>
      </c>
      <c r="C6" s="15"/>
      <c r="D6" s="15"/>
      <c r="E6" s="15"/>
      <c r="F6" s="15"/>
      <c r="G6" s="15"/>
      <c r="H6" s="16" t="str">
        <f aca="false">IF(OR(F6="",F6=0),IF(G6="","",1),MIN(1,G6/F6))</f>
        <v/>
      </c>
      <c r="I6" s="15"/>
      <c r="J6" s="17" t="str">
        <f aca="false">IF(C6="","",(C6&gt;=Targets!$B$2)+(D6&gt;=Targets!$B$3)+(E6&gt;=Targets!$B$4)+(N(H6)&gt;=1))&amp;"/4"</f>
        <v>/4</v>
      </c>
      <c r="K6" s="14"/>
    </row>
    <row r="7" customFormat="false" ht="15" hidden="false" customHeight="false" outlineLevel="0" collapsed="false">
      <c r="A7" s="13" t="n">
        <v>46350</v>
      </c>
      <c r="B7" s="14" t="s">
        <v>28</v>
      </c>
      <c r="C7" s="15"/>
      <c r="D7" s="15"/>
      <c r="E7" s="15"/>
      <c r="F7" s="15"/>
      <c r="G7" s="15"/>
      <c r="H7" s="16" t="str">
        <f aca="false">IF(OR(F7="",F7=0),IF(G7="","",1),MIN(1,G7/F7))</f>
        <v/>
      </c>
      <c r="I7" s="15"/>
      <c r="J7" s="17" t="str">
        <f aca="false">IF(C7="","",(C7&gt;=Targets!$B$2)+(D7&gt;=Targets!$B$3)+(E7&gt;=Targets!$B$4)+(N(H7)&gt;=1))&amp;"/4"</f>
        <v>/4</v>
      </c>
      <c r="K7" s="14"/>
    </row>
    <row r="8" customFormat="false" ht="15" hidden="false" customHeight="false" outlineLevel="0" collapsed="false">
      <c r="A8" s="13" t="n">
        <v>46351</v>
      </c>
      <c r="B8" s="14" t="s">
        <v>28</v>
      </c>
      <c r="C8" s="15"/>
      <c r="D8" s="15"/>
      <c r="E8" s="15"/>
      <c r="F8" s="15"/>
      <c r="G8" s="15"/>
      <c r="H8" s="16" t="str">
        <f aca="false">IF(OR(F8="",F8=0),IF(G8="","",1),MIN(1,G8/F8))</f>
        <v/>
      </c>
      <c r="I8" s="15"/>
      <c r="J8" s="17" t="str">
        <f aca="false">IF(C8="","",(C8&gt;=Targets!$B$2)+(D8&gt;=Targets!$B$3)+(E8&gt;=Targets!$B$4)+(N(H8)&gt;=1))&amp;"/4"</f>
        <v>/4</v>
      </c>
      <c r="K8" s="14"/>
    </row>
    <row r="9" customFormat="false" ht="15" hidden="false" customHeight="false" outlineLevel="0" collapsed="false">
      <c r="A9" s="13" t="n">
        <v>46352</v>
      </c>
      <c r="B9" s="14" t="s">
        <v>28</v>
      </c>
      <c r="C9" s="15"/>
      <c r="D9" s="15"/>
      <c r="E9" s="15"/>
      <c r="F9" s="15"/>
      <c r="G9" s="15"/>
      <c r="H9" s="16" t="str">
        <f aca="false">IF(OR(F9="",F9=0),IF(G9="","",1),MIN(1,G9/F9))</f>
        <v/>
      </c>
      <c r="I9" s="15"/>
      <c r="J9" s="17" t="str">
        <f aca="false">IF(C9="","",(C9&gt;=Targets!$B$2)+(D9&gt;=Targets!$B$3)+(E9&gt;=Targets!$B$4)+(N(H9)&gt;=1))&amp;"/4"</f>
        <v>/4</v>
      </c>
      <c r="K9" s="14"/>
    </row>
    <row r="10" customFormat="false" ht="15" hidden="false" customHeight="false" outlineLevel="0" collapsed="false">
      <c r="A10" s="13" t="n">
        <v>46353</v>
      </c>
      <c r="B10" s="14" t="s">
        <v>28</v>
      </c>
      <c r="C10" s="15"/>
      <c r="D10" s="15"/>
      <c r="E10" s="15"/>
      <c r="F10" s="15"/>
      <c r="G10" s="15"/>
      <c r="H10" s="16" t="str">
        <f aca="false">IF(OR(F10="",F10=0),IF(G10="","",1),MIN(1,G10/F10))</f>
        <v/>
      </c>
      <c r="I10" s="15"/>
      <c r="J10" s="17" t="str">
        <f aca="false">IF(C10="","",(C10&gt;=Targets!$B$2)+(D10&gt;=Targets!$B$3)+(E10&gt;=Targets!$B$4)+(N(H10)&gt;=1))&amp;"/4"</f>
        <v>/4</v>
      </c>
      <c r="K10" s="14"/>
    </row>
    <row r="11" customFormat="false" ht="15" hidden="false" customHeight="false" outlineLevel="0" collapsed="false">
      <c r="A11" s="13" t="n">
        <v>46354</v>
      </c>
      <c r="B11" s="14" t="s">
        <v>28</v>
      </c>
      <c r="C11" s="15"/>
      <c r="D11" s="15"/>
      <c r="E11" s="15"/>
      <c r="F11" s="15"/>
      <c r="G11" s="15"/>
      <c r="H11" s="16" t="str">
        <f aca="false">IF(OR(F11="",F11=0),IF(G11="","",1),MIN(1,G11/F11))</f>
        <v/>
      </c>
      <c r="I11" s="15"/>
      <c r="J11" s="17" t="str">
        <f aca="false">IF(C11="","",(C11&gt;=Targets!$B$2)+(D11&gt;=Targets!$B$3)+(E11&gt;=Targets!$B$4)+(N(H11)&gt;=1))&amp;"/4"</f>
        <v>/4</v>
      </c>
      <c r="K11" s="14"/>
    </row>
    <row r="12" customFormat="false" ht="15" hidden="false" customHeight="false" outlineLevel="0" collapsed="false">
      <c r="A12" s="13" t="n">
        <v>46356</v>
      </c>
      <c r="B12" s="14" t="s">
        <v>28</v>
      </c>
      <c r="C12" s="15"/>
      <c r="D12" s="15"/>
      <c r="E12" s="15"/>
      <c r="F12" s="15"/>
      <c r="G12" s="15"/>
      <c r="H12" s="16" t="str">
        <f aca="false">IF(OR(F12="",F12=0),IF(G12="","",1),MIN(1,G12/F12))</f>
        <v/>
      </c>
      <c r="I12" s="15"/>
      <c r="J12" s="17" t="str">
        <f aca="false">IF(C12="","",(C12&gt;=Targets!$B$2)+(D12&gt;=Targets!$B$3)+(E12&gt;=Targets!$B$4)+(N(H12)&gt;=1))&amp;"/4"</f>
        <v>/4</v>
      </c>
      <c r="K12" s="14"/>
    </row>
    <row r="13" customFormat="false" ht="15" hidden="false" customHeight="false" outlineLevel="0" collapsed="false">
      <c r="A13" s="13" t="n">
        <v>46357</v>
      </c>
      <c r="B13" s="14" t="s">
        <v>28</v>
      </c>
      <c r="C13" s="15"/>
      <c r="D13" s="15"/>
      <c r="E13" s="15"/>
      <c r="F13" s="15"/>
      <c r="G13" s="15"/>
      <c r="H13" s="16" t="str">
        <f aca="false">IF(OR(F13="",F13=0),IF(G13="","",1),MIN(1,G13/F13))</f>
        <v/>
      </c>
      <c r="I13" s="15"/>
      <c r="J13" s="17" t="str">
        <f aca="false">IF(C13="","",(C13&gt;=Targets!$B$2)+(D13&gt;=Targets!$B$3)+(E13&gt;=Targets!$B$4)+(N(H13)&gt;=1))&amp;"/4"</f>
        <v>/4</v>
      </c>
      <c r="K13" s="14"/>
    </row>
    <row r="14" customFormat="false" ht="15" hidden="false" customHeight="false" outlineLevel="0" collapsed="false">
      <c r="A14" s="13" t="n">
        <v>46358</v>
      </c>
      <c r="B14" s="14" t="s">
        <v>28</v>
      </c>
      <c r="C14" s="15"/>
      <c r="D14" s="15"/>
      <c r="E14" s="15"/>
      <c r="F14" s="15"/>
      <c r="G14" s="15"/>
      <c r="H14" s="16" t="str">
        <f aca="false">IF(OR(F14="",F14=0),IF(G14="","",1),MIN(1,G14/F14))</f>
        <v/>
      </c>
      <c r="I14" s="15"/>
      <c r="J14" s="17" t="str">
        <f aca="false">IF(C14="","",(C14&gt;=Targets!$B$2)+(D14&gt;=Targets!$B$3)+(E14&gt;=Targets!$B$4)+(N(H14)&gt;=1))&amp;"/4"</f>
        <v>/4</v>
      </c>
      <c r="K14" s="14"/>
    </row>
    <row r="15" customFormat="false" ht="15" hidden="false" customHeight="false" outlineLevel="0" collapsed="false">
      <c r="A15" s="13" t="n">
        <v>46359</v>
      </c>
      <c r="B15" s="14" t="s">
        <v>28</v>
      </c>
      <c r="C15" s="15"/>
      <c r="D15" s="15"/>
      <c r="E15" s="15"/>
      <c r="F15" s="15"/>
      <c r="G15" s="15"/>
      <c r="H15" s="16" t="str">
        <f aca="false">IF(OR(F15="",F15=0),IF(G15="","",1),MIN(1,G15/F15))</f>
        <v/>
      </c>
      <c r="I15" s="15"/>
      <c r="J15" s="17" t="str">
        <f aca="false">IF(C15="","",(C15&gt;=Targets!$B$2)+(D15&gt;=Targets!$B$3)+(E15&gt;=Targets!$B$4)+(N(H15)&gt;=1))&amp;"/4"</f>
        <v>/4</v>
      </c>
      <c r="K15" s="14"/>
    </row>
    <row r="16" customFormat="false" ht="15" hidden="false" customHeight="false" outlineLevel="0" collapsed="false">
      <c r="A16" s="13" t="n">
        <v>46360</v>
      </c>
      <c r="B16" s="14" t="s">
        <v>28</v>
      </c>
      <c r="C16" s="15"/>
      <c r="D16" s="15"/>
      <c r="E16" s="15"/>
      <c r="F16" s="15"/>
      <c r="G16" s="15"/>
      <c r="H16" s="16" t="str">
        <f aca="false">IF(OR(F16="",F16=0),IF(G16="","",1),MIN(1,G16/F16))</f>
        <v/>
      </c>
      <c r="I16" s="15"/>
      <c r="J16" s="17" t="str">
        <f aca="false">IF(C16="","",(C16&gt;=Targets!$B$2)+(D16&gt;=Targets!$B$3)+(E16&gt;=Targets!$B$4)+(N(H16)&gt;=1))&amp;"/4"</f>
        <v>/4</v>
      </c>
      <c r="K16" s="14"/>
    </row>
    <row r="17" customFormat="false" ht="15" hidden="false" customHeight="false" outlineLevel="0" collapsed="false">
      <c r="A17" s="13" t="n">
        <v>46361</v>
      </c>
      <c r="B17" s="14" t="s">
        <v>28</v>
      </c>
      <c r="C17" s="15"/>
      <c r="D17" s="15"/>
      <c r="E17" s="15"/>
      <c r="F17" s="15"/>
      <c r="G17" s="15"/>
      <c r="H17" s="16" t="str">
        <f aca="false">IF(OR(F17="",F17=0),IF(G17="","",1),MIN(1,G17/F17))</f>
        <v/>
      </c>
      <c r="I17" s="15"/>
      <c r="J17" s="17" t="str">
        <f aca="false">IF(C17="","",(C17&gt;=Targets!$B$2)+(D17&gt;=Targets!$B$3)+(E17&gt;=Targets!$B$4)+(N(H17)&gt;=1))&amp;"/4"</f>
        <v>/4</v>
      </c>
      <c r="K17" s="14"/>
    </row>
    <row r="18" customFormat="false" ht="15" hidden="false" customHeight="false" outlineLevel="0" collapsed="false">
      <c r="A18" s="13" t="n">
        <v>46363</v>
      </c>
      <c r="B18" s="14" t="s">
        <v>28</v>
      </c>
      <c r="C18" s="15"/>
      <c r="D18" s="15"/>
      <c r="E18" s="15"/>
      <c r="F18" s="15"/>
      <c r="G18" s="15"/>
      <c r="H18" s="16" t="str">
        <f aca="false">IF(OR(F18="",F18=0),IF(G18="","",1),MIN(1,G18/F18))</f>
        <v/>
      </c>
      <c r="I18" s="15"/>
      <c r="J18" s="17" t="str">
        <f aca="false">IF(C18="","",(C18&gt;=Targets!$B$2)+(D18&gt;=Targets!$B$3)+(E18&gt;=Targets!$B$4)+(N(H18)&gt;=1))&amp;"/4"</f>
        <v>/4</v>
      </c>
      <c r="K18" s="14"/>
    </row>
    <row r="19" customFormat="false" ht="15" hidden="false" customHeight="false" outlineLevel="0" collapsed="false">
      <c r="A19" s="13" t="n">
        <v>46364</v>
      </c>
      <c r="B19" s="14" t="s">
        <v>28</v>
      </c>
      <c r="C19" s="15"/>
      <c r="D19" s="15"/>
      <c r="E19" s="15"/>
      <c r="F19" s="15"/>
      <c r="G19" s="15"/>
      <c r="H19" s="16" t="str">
        <f aca="false">IF(OR(F19="",F19=0),IF(G19="","",1),MIN(1,G19/F19))</f>
        <v/>
      </c>
      <c r="I19" s="15"/>
      <c r="J19" s="17" t="str">
        <f aca="false">IF(C19="","",(C19&gt;=Targets!$B$2)+(D19&gt;=Targets!$B$3)+(E19&gt;=Targets!$B$4)+(N(H19)&gt;=1))&amp;"/4"</f>
        <v>/4</v>
      </c>
      <c r="K19" s="14"/>
    </row>
    <row r="20" customFormat="false" ht="15" hidden="false" customHeight="false" outlineLevel="0" collapsed="false">
      <c r="A20" s="13" t="n">
        <v>46365</v>
      </c>
      <c r="B20" s="14" t="s">
        <v>28</v>
      </c>
      <c r="C20" s="15"/>
      <c r="D20" s="15"/>
      <c r="E20" s="15"/>
      <c r="F20" s="15"/>
      <c r="G20" s="15"/>
      <c r="H20" s="16" t="str">
        <f aca="false">IF(OR(F20="",F20=0),IF(G20="","",1),MIN(1,G20/F20))</f>
        <v/>
      </c>
      <c r="I20" s="15"/>
      <c r="J20" s="17" t="str">
        <f aca="false">IF(C20="","",(C20&gt;=Targets!$B$2)+(D20&gt;=Targets!$B$3)+(E20&gt;=Targets!$B$4)+(N(H20)&gt;=1))&amp;"/4"</f>
        <v>/4</v>
      </c>
      <c r="K20" s="14"/>
    </row>
    <row r="21" customFormat="false" ht="15" hidden="false" customHeight="false" outlineLevel="0" collapsed="false">
      <c r="A21" s="13" t="n">
        <v>46366</v>
      </c>
      <c r="B21" s="14" t="s">
        <v>28</v>
      </c>
      <c r="C21" s="15"/>
      <c r="D21" s="15"/>
      <c r="E21" s="15"/>
      <c r="F21" s="15"/>
      <c r="G21" s="15"/>
      <c r="H21" s="16" t="str">
        <f aca="false">IF(OR(F21="",F21=0),IF(G21="","",1),MIN(1,G21/F21))</f>
        <v/>
      </c>
      <c r="I21" s="15"/>
      <c r="J21" s="17" t="str">
        <f aca="false">IF(C21="","",(C21&gt;=Targets!$B$2)+(D21&gt;=Targets!$B$3)+(E21&gt;=Targets!$B$4)+(N(H21)&gt;=1))&amp;"/4"</f>
        <v>/4</v>
      </c>
      <c r="K21" s="14"/>
    </row>
    <row r="22" customFormat="false" ht="15" hidden="false" customHeight="false" outlineLevel="0" collapsed="false">
      <c r="A22" s="13" t="n">
        <v>46367</v>
      </c>
      <c r="B22" s="14" t="s">
        <v>28</v>
      </c>
      <c r="C22" s="15"/>
      <c r="D22" s="15"/>
      <c r="E22" s="15"/>
      <c r="F22" s="15"/>
      <c r="G22" s="15"/>
      <c r="H22" s="16" t="str">
        <f aca="false">IF(OR(F22="",F22=0),IF(G22="","",1),MIN(1,G22/F22))</f>
        <v/>
      </c>
      <c r="I22" s="15"/>
      <c r="J22" s="17" t="str">
        <f aca="false">IF(C22="","",(C22&gt;=Targets!$B$2)+(D22&gt;=Targets!$B$3)+(E22&gt;=Targets!$B$4)+(N(H22)&gt;=1))&amp;"/4"</f>
        <v>/4</v>
      </c>
      <c r="K22" s="14"/>
    </row>
    <row r="23" customFormat="false" ht="15" hidden="false" customHeight="false" outlineLevel="0" collapsed="false">
      <c r="A23" s="13" t="n">
        <v>46368</v>
      </c>
      <c r="B23" s="14" t="s">
        <v>28</v>
      </c>
      <c r="C23" s="15"/>
      <c r="D23" s="15"/>
      <c r="E23" s="15"/>
      <c r="F23" s="15"/>
      <c r="G23" s="15"/>
      <c r="H23" s="16" t="str">
        <f aca="false">IF(OR(F23="",F23=0),IF(G23="","",1),MIN(1,G23/F23))</f>
        <v/>
      </c>
      <c r="I23" s="15"/>
      <c r="J23" s="17" t="str">
        <f aca="false">IF(C23="","",(C23&gt;=Targets!$B$2)+(D23&gt;=Targets!$B$3)+(E23&gt;=Targets!$B$4)+(N(H23)&gt;=1))&amp;"/4"</f>
        <v>/4</v>
      </c>
      <c r="K23" s="14"/>
    </row>
    <row r="24" customFormat="false" ht="15" hidden="false" customHeight="false" outlineLevel="0" collapsed="false">
      <c r="A24" s="13" t="n">
        <v>46370</v>
      </c>
      <c r="B24" s="14" t="s">
        <v>28</v>
      </c>
      <c r="C24" s="15"/>
      <c r="D24" s="15"/>
      <c r="E24" s="15"/>
      <c r="F24" s="15"/>
      <c r="G24" s="15"/>
      <c r="H24" s="16" t="str">
        <f aca="false">IF(OR(F24="",F24=0),IF(G24="","",1),MIN(1,G24/F24))</f>
        <v/>
      </c>
      <c r="I24" s="15"/>
      <c r="J24" s="17" t="str">
        <f aca="false">IF(C24="","",(C24&gt;=Targets!$B$2)+(D24&gt;=Targets!$B$3)+(E24&gt;=Targets!$B$4)+(N(H24)&gt;=1))&amp;"/4"</f>
        <v>/4</v>
      </c>
      <c r="K24" s="14"/>
    </row>
    <row r="25" customFormat="false" ht="15" hidden="false" customHeight="false" outlineLevel="0" collapsed="false">
      <c r="A25" s="13" t="n">
        <v>46371</v>
      </c>
      <c r="B25" s="14" t="s">
        <v>28</v>
      </c>
      <c r="C25" s="15"/>
      <c r="D25" s="15"/>
      <c r="E25" s="15"/>
      <c r="F25" s="15"/>
      <c r="G25" s="15"/>
      <c r="H25" s="16" t="str">
        <f aca="false">IF(OR(F25="",F25=0),IF(G25="","",1),MIN(1,G25/F25))</f>
        <v/>
      </c>
      <c r="I25" s="15"/>
      <c r="J25" s="17" t="str">
        <f aca="false">IF(C25="","",(C25&gt;=Targets!$B$2)+(D25&gt;=Targets!$B$3)+(E25&gt;=Targets!$B$4)+(N(H25)&gt;=1))&amp;"/4"</f>
        <v>/4</v>
      </c>
      <c r="K25" s="14"/>
    </row>
    <row r="26" customFormat="false" ht="15" hidden="false" customHeight="false" outlineLevel="0" collapsed="false">
      <c r="A26" s="13" t="n">
        <v>46372</v>
      </c>
      <c r="B26" s="14" t="s">
        <v>28</v>
      </c>
      <c r="C26" s="15"/>
      <c r="D26" s="15"/>
      <c r="E26" s="15"/>
      <c r="F26" s="15"/>
      <c r="G26" s="15"/>
      <c r="H26" s="16" t="str">
        <f aca="false">IF(OR(F26="",F26=0),IF(G26="","",1),MIN(1,G26/F26))</f>
        <v/>
      </c>
      <c r="I26" s="15"/>
      <c r="J26" s="17" t="str">
        <f aca="false">IF(C26="","",(C26&gt;=Targets!$B$2)+(D26&gt;=Targets!$B$3)+(E26&gt;=Targets!$B$4)+(N(H26)&gt;=1))&amp;"/4"</f>
        <v>/4</v>
      </c>
      <c r="K26" s="14"/>
    </row>
    <row r="27" customFormat="false" ht="15" hidden="false" customHeight="false" outlineLevel="0" collapsed="false">
      <c r="A27" s="13" t="n">
        <v>46373</v>
      </c>
      <c r="B27" s="14" t="s">
        <v>28</v>
      </c>
      <c r="C27" s="15"/>
      <c r="D27" s="15"/>
      <c r="E27" s="15"/>
      <c r="F27" s="15"/>
      <c r="G27" s="15"/>
      <c r="H27" s="16" t="str">
        <f aca="false">IF(OR(F27="",F27=0),IF(G27="","",1),MIN(1,G27/F27))</f>
        <v/>
      </c>
      <c r="I27" s="15"/>
      <c r="J27" s="17" t="str">
        <f aca="false">IF(C27="","",(C27&gt;=Targets!$B$2)+(D27&gt;=Targets!$B$3)+(E27&gt;=Targets!$B$4)+(N(H27)&gt;=1))&amp;"/4"</f>
        <v>/4</v>
      </c>
      <c r="K27" s="14"/>
    </row>
    <row r="28" customFormat="false" ht="15" hidden="false" customHeight="false" outlineLevel="0" collapsed="false">
      <c r="A28" s="13" t="n">
        <v>46374</v>
      </c>
      <c r="B28" s="14" t="s">
        <v>28</v>
      </c>
      <c r="C28" s="15"/>
      <c r="D28" s="15"/>
      <c r="E28" s="15"/>
      <c r="F28" s="15"/>
      <c r="G28" s="15"/>
      <c r="H28" s="16" t="str">
        <f aca="false">IF(OR(F28="",F28=0),IF(G28="","",1),MIN(1,G28/F28))</f>
        <v/>
      </c>
      <c r="I28" s="15"/>
      <c r="J28" s="17" t="str">
        <f aca="false">IF(C28="","",(C28&gt;=Targets!$B$2)+(D28&gt;=Targets!$B$3)+(E28&gt;=Targets!$B$4)+(N(H28)&gt;=1))&amp;"/4"</f>
        <v>/4</v>
      </c>
      <c r="K28" s="14"/>
    </row>
    <row r="29" customFormat="false" ht="15" hidden="false" customHeight="false" outlineLevel="0" collapsed="false">
      <c r="A29" s="13" t="n">
        <v>46375</v>
      </c>
      <c r="B29" s="14" t="s">
        <v>28</v>
      </c>
      <c r="C29" s="15"/>
      <c r="D29" s="15"/>
      <c r="E29" s="15"/>
      <c r="F29" s="15"/>
      <c r="G29" s="15"/>
      <c r="H29" s="16" t="str">
        <f aca="false">IF(OR(F29="",F29=0),IF(G29="","",1),MIN(1,G29/F29))</f>
        <v/>
      </c>
      <c r="I29" s="15"/>
      <c r="J29" s="17" t="str">
        <f aca="false">IF(C29="","",(C29&gt;=Targets!$B$2)+(D29&gt;=Targets!$B$3)+(E29&gt;=Targets!$B$4)+(N(H29)&gt;=1))&amp;"/4"</f>
        <v>/4</v>
      </c>
      <c r="K29" s="14"/>
    </row>
    <row r="30" customFormat="false" ht="15" hidden="false" customHeight="false" outlineLevel="0" collapsed="false">
      <c r="A30" s="13" t="n">
        <v>46377</v>
      </c>
      <c r="B30" s="14" t="s">
        <v>28</v>
      </c>
      <c r="C30" s="15"/>
      <c r="D30" s="15"/>
      <c r="E30" s="15"/>
      <c r="F30" s="15"/>
      <c r="G30" s="15"/>
      <c r="H30" s="16" t="str">
        <f aca="false">IF(OR(F30="",F30=0),IF(G30="","",1),MIN(1,G30/F30))</f>
        <v/>
      </c>
      <c r="I30" s="15"/>
      <c r="J30" s="17" t="str">
        <f aca="false">IF(C30="","",(C30&gt;=Targets!$B$2)+(D30&gt;=Targets!$B$3)+(E30&gt;=Targets!$B$4)+(N(H30)&gt;=1))&amp;"/4"</f>
        <v>/4</v>
      </c>
      <c r="K30" s="14"/>
    </row>
    <row r="31" customFormat="false" ht="15" hidden="false" customHeight="false" outlineLevel="0" collapsed="false">
      <c r="A31" s="13" t="n">
        <v>46378</v>
      </c>
      <c r="B31" s="14" t="s">
        <v>28</v>
      </c>
      <c r="C31" s="15"/>
      <c r="D31" s="15"/>
      <c r="E31" s="15"/>
      <c r="F31" s="15"/>
      <c r="G31" s="15"/>
      <c r="H31" s="16" t="str">
        <f aca="false">IF(OR(F31="",F31=0),IF(G31="","",1),MIN(1,G31/F31))</f>
        <v/>
      </c>
      <c r="I31" s="15"/>
      <c r="J31" s="17" t="str">
        <f aca="false">IF(C31="","",(C31&gt;=Targets!$B$2)+(D31&gt;=Targets!$B$3)+(E31&gt;=Targets!$B$4)+(N(H31)&gt;=1))&amp;"/4"</f>
        <v>/4</v>
      </c>
      <c r="K31" s="14"/>
    </row>
    <row r="32" customFormat="false" ht="15" hidden="false" customHeight="false" outlineLevel="0" collapsed="false">
      <c r="A32" s="13" t="n">
        <v>46379</v>
      </c>
      <c r="B32" s="14" t="s">
        <v>28</v>
      </c>
      <c r="C32" s="15"/>
      <c r="D32" s="15"/>
      <c r="E32" s="15"/>
      <c r="F32" s="15"/>
      <c r="G32" s="15"/>
      <c r="H32" s="16" t="str">
        <f aca="false">IF(OR(F32="",F32=0),IF(G32="","",1),MIN(1,G32/F32))</f>
        <v/>
      </c>
      <c r="I32" s="15"/>
      <c r="J32" s="17" t="str">
        <f aca="false">IF(C32="","",(C32&gt;=Targets!$B$2)+(D32&gt;=Targets!$B$3)+(E32&gt;=Targets!$B$4)+(N(H32)&gt;=1))&amp;"/4"</f>
        <v>/4</v>
      </c>
      <c r="K32" s="14"/>
    </row>
    <row r="33" customFormat="false" ht="15" hidden="false" customHeight="false" outlineLevel="0" collapsed="false">
      <c r="A33" s="13" t="n">
        <v>46380</v>
      </c>
      <c r="B33" s="14" t="s">
        <v>28</v>
      </c>
      <c r="C33" s="15"/>
      <c r="D33" s="15"/>
      <c r="E33" s="15"/>
      <c r="F33" s="15"/>
      <c r="G33" s="15"/>
      <c r="H33" s="16" t="str">
        <f aca="false">IF(OR(F33="",F33=0),IF(G33="","",1),MIN(1,G33/F33))</f>
        <v/>
      </c>
      <c r="I33" s="15"/>
      <c r="J33" s="17" t="str">
        <f aca="false">IF(C33="","",(C33&gt;=Targets!$B$2)+(D33&gt;=Targets!$B$3)+(E33&gt;=Targets!$B$4)+(N(H33)&gt;=1))&amp;"/4"</f>
        <v>/4</v>
      </c>
      <c r="K33" s="14"/>
    </row>
    <row r="34" customFormat="false" ht="15" hidden="false" customHeight="false" outlineLevel="0" collapsed="false">
      <c r="A34" s="13" t="n">
        <v>46381</v>
      </c>
      <c r="B34" s="14" t="s">
        <v>28</v>
      </c>
      <c r="C34" s="15"/>
      <c r="D34" s="15"/>
      <c r="E34" s="15"/>
      <c r="F34" s="15"/>
      <c r="G34" s="15"/>
      <c r="H34" s="16" t="str">
        <f aca="false">IF(OR(F34="",F34=0),IF(G34="","",1),MIN(1,G34/F34))</f>
        <v/>
      </c>
      <c r="I34" s="15"/>
      <c r="J34" s="17" t="str">
        <f aca="false">IF(C34="","",(C34&gt;=Targets!$B$2)+(D34&gt;=Targets!$B$3)+(E34&gt;=Targets!$B$4)+(N(H34)&gt;=1))&amp;"/4"</f>
        <v>/4</v>
      </c>
      <c r="K34" s="14"/>
    </row>
    <row r="35" customFormat="false" ht="15" hidden="false" customHeight="false" outlineLevel="0" collapsed="false">
      <c r="A35" s="13" t="n">
        <v>46382</v>
      </c>
      <c r="B35" s="14" t="s">
        <v>28</v>
      </c>
      <c r="C35" s="15"/>
      <c r="D35" s="15"/>
      <c r="E35" s="15"/>
      <c r="F35" s="15"/>
      <c r="G35" s="15"/>
      <c r="H35" s="16" t="str">
        <f aca="false">IF(OR(F35="",F35=0),IF(G35="","",1),MIN(1,G35/F35))</f>
        <v/>
      </c>
      <c r="I35" s="15"/>
      <c r="J35" s="17" t="str">
        <f aca="false">IF(C35="","",(C35&gt;=Targets!$B$2)+(D35&gt;=Targets!$B$3)+(E35&gt;=Targets!$B$4)+(N(H35)&gt;=1))&amp;"/4"</f>
        <v>/4</v>
      </c>
      <c r="K35" s="14"/>
    </row>
    <row r="36" customFormat="false" ht="15" hidden="false" customHeight="false" outlineLevel="0" collapsed="false">
      <c r="A36" s="13" t="n">
        <v>46384</v>
      </c>
      <c r="B36" s="14" t="s">
        <v>28</v>
      </c>
      <c r="C36" s="15"/>
      <c r="D36" s="15"/>
      <c r="E36" s="15"/>
      <c r="F36" s="15"/>
      <c r="G36" s="15"/>
      <c r="H36" s="16" t="str">
        <f aca="false">IF(OR(F36="",F36=0),IF(G36="","",1),MIN(1,G36/F36))</f>
        <v/>
      </c>
      <c r="I36" s="15"/>
      <c r="J36" s="17" t="str">
        <f aca="false">IF(C36="","",(C36&gt;=Targets!$B$2)+(D36&gt;=Targets!$B$3)+(E36&gt;=Targets!$B$4)+(N(H36)&gt;=1))&amp;"/4"</f>
        <v>/4</v>
      </c>
      <c r="K36" s="14"/>
    </row>
    <row r="37" customFormat="false" ht="15" hidden="false" customHeight="false" outlineLevel="0" collapsed="false">
      <c r="A37" s="13" t="n">
        <v>46385</v>
      </c>
      <c r="B37" s="14" t="s">
        <v>28</v>
      </c>
      <c r="C37" s="15"/>
      <c r="D37" s="15"/>
      <c r="E37" s="15"/>
      <c r="F37" s="15"/>
      <c r="G37" s="15"/>
      <c r="H37" s="16" t="str">
        <f aca="false">IF(OR(F37="",F37=0),IF(G37="","",1),MIN(1,G37/F37))</f>
        <v/>
      </c>
      <c r="I37" s="15"/>
      <c r="J37" s="17" t="str">
        <f aca="false">IF(C37="","",(C37&gt;=Targets!$B$2)+(D37&gt;=Targets!$B$3)+(E37&gt;=Targets!$B$4)+(N(H37)&gt;=1))&amp;"/4"</f>
        <v>/4</v>
      </c>
      <c r="K37" s="14"/>
    </row>
    <row r="38" customFormat="false" ht="15" hidden="false" customHeight="false" outlineLevel="0" collapsed="false">
      <c r="A38" s="13" t="n">
        <v>46386</v>
      </c>
      <c r="B38" s="14" t="s">
        <v>28</v>
      </c>
      <c r="C38" s="15"/>
      <c r="D38" s="15"/>
      <c r="E38" s="15"/>
      <c r="F38" s="15"/>
      <c r="G38" s="15"/>
      <c r="H38" s="16" t="str">
        <f aca="false">IF(OR(F38="",F38=0),IF(G38="","",1),MIN(1,G38/F38))</f>
        <v/>
      </c>
      <c r="I38" s="15"/>
      <c r="J38" s="17" t="str">
        <f aca="false">IF(C38="","",(C38&gt;=Targets!$B$2)+(D38&gt;=Targets!$B$3)+(E38&gt;=Targets!$B$4)+(N(H38)&gt;=1))&amp;"/4"</f>
        <v>/4</v>
      </c>
      <c r="K38" s="14"/>
    </row>
    <row r="39" customFormat="false" ht="15" hidden="false" customHeight="false" outlineLevel="0" collapsed="false">
      <c r="A39" s="13" t="n">
        <v>46387</v>
      </c>
      <c r="B39" s="14" t="s">
        <v>28</v>
      </c>
      <c r="C39" s="15"/>
      <c r="D39" s="15"/>
      <c r="E39" s="15"/>
      <c r="F39" s="15"/>
      <c r="G39" s="15"/>
      <c r="H39" s="16" t="str">
        <f aca="false">IF(OR(F39="",F39=0),IF(G39="","",1),MIN(1,G39/F39))</f>
        <v/>
      </c>
      <c r="I39" s="15"/>
      <c r="J39" s="17" t="str">
        <f aca="false">IF(C39="","",(C39&gt;=Targets!$B$2)+(D39&gt;=Targets!$B$3)+(E39&gt;=Targets!$B$4)+(N(H39)&gt;=1))&amp;"/4"</f>
        <v>/4</v>
      </c>
      <c r="K39" s="14"/>
    </row>
    <row r="40" customFormat="false" ht="15" hidden="false" customHeight="false" outlineLevel="0" collapsed="false">
      <c r="A40" s="13"/>
      <c r="B40" s="14"/>
      <c r="C40" s="15"/>
      <c r="D40" s="15"/>
      <c r="E40" s="15"/>
      <c r="F40" s="15"/>
      <c r="G40" s="15"/>
      <c r="H40" s="16" t="str">
        <f aca="false">IF(OR(F40="",F40=0),IF(G40="","",1),MIN(1,G40/F40))</f>
        <v/>
      </c>
      <c r="I40" s="15"/>
      <c r="J40" s="17" t="str">
        <f aca="false">IF(C40="","",(C40&gt;=Targets!$B$2)+(D40&gt;=Targets!$B$3)+(E40&gt;=Targets!$B$4)+(N(H40)&gt;=1))&amp;"/4"</f>
        <v>/4</v>
      </c>
      <c r="K40" s="14"/>
    </row>
    <row r="41" customFormat="false" ht="15" hidden="false" customHeight="false" outlineLevel="0" collapsed="false">
      <c r="A41" s="13"/>
      <c r="B41" s="14"/>
      <c r="C41" s="15"/>
      <c r="D41" s="15"/>
      <c r="E41" s="15"/>
      <c r="F41" s="15"/>
      <c r="G41" s="15"/>
      <c r="H41" s="16" t="str">
        <f aca="false">IF(OR(F41="",F41=0),IF(G41="","",1),MIN(1,G41/F41))</f>
        <v/>
      </c>
      <c r="I41" s="15"/>
      <c r="J41" s="17" t="str">
        <f aca="false">IF(C41="","",(C41&gt;=Targets!$B$2)+(D41&gt;=Targets!$B$3)+(E41&gt;=Targets!$B$4)+(N(H41)&gt;=1))&amp;"/4"</f>
        <v>/4</v>
      </c>
      <c r="K41" s="14"/>
    </row>
    <row r="42" customFormat="false" ht="15" hidden="false" customHeight="false" outlineLevel="0" collapsed="false">
      <c r="A42" s="13"/>
      <c r="B42" s="14"/>
      <c r="C42" s="15"/>
      <c r="D42" s="15"/>
      <c r="E42" s="15"/>
      <c r="F42" s="15"/>
      <c r="G42" s="15"/>
      <c r="H42" s="16" t="str">
        <f aca="false">IF(OR(F42="",F42=0),IF(G42="","",1),MIN(1,G42/F42))</f>
        <v/>
      </c>
      <c r="I42" s="15"/>
      <c r="J42" s="17" t="str">
        <f aca="false">IF(C42="","",(C42&gt;=Targets!$B$2)+(D42&gt;=Targets!$B$3)+(E42&gt;=Targets!$B$4)+(N(H42)&gt;=1))&amp;"/4"</f>
        <v>/4</v>
      </c>
      <c r="K42" s="14"/>
    </row>
    <row r="43" customFormat="false" ht="15" hidden="false" customHeight="false" outlineLevel="0" collapsed="false">
      <c r="A43" s="13"/>
      <c r="B43" s="14"/>
      <c r="C43" s="15"/>
      <c r="D43" s="15"/>
      <c r="E43" s="15"/>
      <c r="F43" s="15"/>
      <c r="G43" s="15"/>
      <c r="H43" s="16" t="str">
        <f aca="false">IF(OR(F43="",F43=0),IF(G43="","",1),MIN(1,G43/F43))</f>
        <v/>
      </c>
      <c r="I43" s="15"/>
      <c r="J43" s="17" t="str">
        <f aca="false">IF(C43="","",(C43&gt;=Targets!$B$2)+(D43&gt;=Targets!$B$3)+(E43&gt;=Targets!$B$4)+(N(H43)&gt;=1))&amp;"/4"</f>
        <v>/4</v>
      </c>
      <c r="K43" s="14"/>
    </row>
    <row r="44" customFormat="false" ht="15" hidden="false" customHeight="false" outlineLevel="0" collapsed="false">
      <c r="A44" s="13"/>
      <c r="B44" s="14"/>
      <c r="C44" s="15"/>
      <c r="D44" s="15"/>
      <c r="E44" s="15"/>
      <c r="F44" s="15"/>
      <c r="G44" s="15"/>
      <c r="H44" s="16" t="str">
        <f aca="false">IF(OR(F44="",F44=0),IF(G44="","",1),MIN(1,G44/F44))</f>
        <v/>
      </c>
      <c r="I44" s="15"/>
      <c r="J44" s="17" t="str">
        <f aca="false">IF(C44="","",(C44&gt;=Targets!$B$2)+(D44&gt;=Targets!$B$3)+(E44&gt;=Targets!$B$4)+(N(H44)&gt;=1))&amp;"/4"</f>
        <v>/4</v>
      </c>
      <c r="K44" s="14"/>
    </row>
    <row r="45" customFormat="false" ht="15" hidden="false" customHeight="false" outlineLevel="0" collapsed="false">
      <c r="A45" s="13"/>
      <c r="B45" s="14"/>
      <c r="C45" s="15"/>
      <c r="D45" s="15"/>
      <c r="E45" s="15"/>
      <c r="F45" s="15"/>
      <c r="G45" s="15"/>
      <c r="H45" s="16" t="str">
        <f aca="false">IF(OR(F45="",F45=0),IF(G45="","",1),MIN(1,G45/F45))</f>
        <v/>
      </c>
      <c r="I45" s="15"/>
      <c r="J45" s="17" t="str">
        <f aca="false">IF(C45="","",(C45&gt;=Targets!$B$2)+(D45&gt;=Targets!$B$3)+(E45&gt;=Targets!$B$4)+(N(H45)&gt;=1))&amp;"/4"</f>
        <v>/4</v>
      </c>
      <c r="K45" s="14"/>
    </row>
    <row r="46" customFormat="false" ht="15" hidden="false" customHeight="false" outlineLevel="0" collapsed="false">
      <c r="A46" s="13"/>
      <c r="B46" s="14"/>
      <c r="C46" s="15"/>
      <c r="D46" s="15"/>
      <c r="E46" s="15"/>
      <c r="F46" s="15"/>
      <c r="G46" s="15"/>
      <c r="H46" s="16" t="str">
        <f aca="false">IF(OR(F46="",F46=0),IF(G46="","",1),MIN(1,G46/F46))</f>
        <v/>
      </c>
      <c r="I46" s="15"/>
      <c r="J46" s="17" t="str">
        <f aca="false">IF(C46="","",(C46&gt;=Targets!$B$2)+(D46&gt;=Targets!$B$3)+(E46&gt;=Targets!$B$4)+(N(H46)&gt;=1))&amp;"/4"</f>
        <v>/4</v>
      </c>
      <c r="K46" s="14"/>
    </row>
    <row r="47" customFormat="false" ht="15" hidden="false" customHeight="false" outlineLevel="0" collapsed="false">
      <c r="A47" s="13"/>
      <c r="B47" s="14"/>
      <c r="C47" s="15"/>
      <c r="D47" s="15"/>
      <c r="E47" s="15"/>
      <c r="F47" s="15"/>
      <c r="G47" s="15"/>
      <c r="H47" s="16" t="str">
        <f aca="false">IF(OR(F47="",F47=0),IF(G47="","",1),MIN(1,G47/F47))</f>
        <v/>
      </c>
      <c r="I47" s="15"/>
      <c r="J47" s="17" t="str">
        <f aca="false">IF(C47="","",(C47&gt;=Targets!$B$2)+(D47&gt;=Targets!$B$3)+(E47&gt;=Targets!$B$4)+(N(H47)&gt;=1))&amp;"/4"</f>
        <v>/4</v>
      </c>
      <c r="K47" s="14"/>
    </row>
    <row r="48" customFormat="false" ht="15" hidden="false" customHeight="false" outlineLevel="0" collapsed="false">
      <c r="A48" s="13"/>
      <c r="B48" s="14"/>
      <c r="C48" s="15"/>
      <c r="D48" s="15"/>
      <c r="E48" s="15"/>
      <c r="F48" s="15"/>
      <c r="G48" s="15"/>
      <c r="H48" s="16" t="str">
        <f aca="false">IF(OR(F48="",F48=0),IF(G48="","",1),MIN(1,G48/F48))</f>
        <v/>
      </c>
      <c r="I48" s="15"/>
      <c r="J48" s="17" t="str">
        <f aca="false">IF(C48="","",(C48&gt;=Targets!$B$2)+(D48&gt;=Targets!$B$3)+(E48&gt;=Targets!$B$4)+(N(H48)&gt;=1))&amp;"/4"</f>
        <v>/4</v>
      </c>
      <c r="K48" s="14"/>
    </row>
    <row r="49" customFormat="false" ht="15" hidden="false" customHeight="false" outlineLevel="0" collapsed="false">
      <c r="A49" s="13"/>
      <c r="B49" s="14"/>
      <c r="C49" s="15"/>
      <c r="D49" s="15"/>
      <c r="E49" s="15"/>
      <c r="F49" s="15"/>
      <c r="G49" s="15"/>
      <c r="H49" s="16" t="str">
        <f aca="false">IF(OR(F49="",F49=0),IF(G49="","",1),MIN(1,G49/F49))</f>
        <v/>
      </c>
      <c r="I49" s="15"/>
      <c r="J49" s="17" t="str">
        <f aca="false">IF(C49="","",(C49&gt;=Targets!$B$2)+(D49&gt;=Targets!$B$3)+(E49&gt;=Targets!$B$4)+(N(H49)&gt;=1))&amp;"/4"</f>
        <v>/4</v>
      </c>
      <c r="K49" s="14"/>
    </row>
    <row r="50" customFormat="false" ht="15" hidden="false" customHeight="false" outlineLevel="0" collapsed="false">
      <c r="A50" s="13"/>
      <c r="B50" s="14"/>
      <c r="C50" s="15"/>
      <c r="D50" s="15"/>
      <c r="E50" s="15"/>
      <c r="F50" s="15"/>
      <c r="G50" s="15"/>
      <c r="H50" s="16" t="str">
        <f aca="false">IF(OR(F50="",F50=0),IF(G50="","",1),MIN(1,G50/F50))</f>
        <v/>
      </c>
      <c r="I50" s="15"/>
      <c r="J50" s="17" t="str">
        <f aca="false">IF(C50="","",(C50&gt;=Targets!$B$2)+(D50&gt;=Targets!$B$3)+(E50&gt;=Targets!$B$4)+(N(H50)&gt;=1))&amp;"/4"</f>
        <v>/4</v>
      </c>
      <c r="K50" s="14"/>
    </row>
    <row r="51" customFormat="false" ht="15" hidden="false" customHeight="false" outlineLevel="0" collapsed="false">
      <c r="A51" s="13"/>
      <c r="B51" s="14"/>
      <c r="C51" s="15"/>
      <c r="D51" s="15"/>
      <c r="E51" s="15"/>
      <c r="F51" s="15"/>
      <c r="G51" s="15"/>
      <c r="H51" s="16" t="str">
        <f aca="false">IF(OR(F51="",F51=0),IF(G51="","",1),MIN(1,G51/F51))</f>
        <v/>
      </c>
      <c r="I51" s="15"/>
      <c r="J51" s="17" t="str">
        <f aca="false">IF(C51="","",(C51&gt;=Targets!$B$2)+(D51&gt;=Targets!$B$3)+(E51&gt;=Targets!$B$4)+(N(H51)&gt;=1))&amp;"/4"</f>
        <v>/4</v>
      </c>
      <c r="K51" s="14"/>
    </row>
    <row r="52" customFormat="false" ht="15" hidden="false" customHeight="false" outlineLevel="0" collapsed="false">
      <c r="A52" s="13"/>
      <c r="B52" s="14"/>
      <c r="C52" s="15"/>
      <c r="D52" s="15"/>
      <c r="E52" s="15"/>
      <c r="F52" s="15"/>
      <c r="G52" s="15"/>
      <c r="H52" s="16" t="str">
        <f aca="false">IF(OR(F52="",F52=0),IF(G52="","",1),MIN(1,G52/F52))</f>
        <v/>
      </c>
      <c r="I52" s="15"/>
      <c r="J52" s="17" t="str">
        <f aca="false">IF(C52="","",(C52&gt;=Targets!$B$2)+(D52&gt;=Targets!$B$3)+(E52&gt;=Targets!$B$4)+(N(H52)&gt;=1))&amp;"/4"</f>
        <v>/4</v>
      </c>
      <c r="K52" s="14"/>
    </row>
    <row r="53" customFormat="false" ht="15" hidden="false" customHeight="false" outlineLevel="0" collapsed="false">
      <c r="A53" s="13"/>
      <c r="B53" s="14"/>
      <c r="C53" s="15"/>
      <c r="D53" s="15"/>
      <c r="E53" s="15"/>
      <c r="F53" s="15"/>
      <c r="G53" s="15"/>
      <c r="H53" s="16" t="str">
        <f aca="false">IF(OR(F53="",F53=0),IF(G53="","",1),MIN(1,G53/F53))</f>
        <v/>
      </c>
      <c r="I53" s="15"/>
      <c r="J53" s="17" t="str">
        <f aca="false">IF(C53="","",(C53&gt;=Targets!$B$2)+(D53&gt;=Targets!$B$3)+(E53&gt;=Targets!$B$4)+(N(H53)&gt;=1))&amp;"/4"</f>
        <v>/4</v>
      </c>
      <c r="K53" s="14"/>
    </row>
    <row r="54" customFormat="false" ht="15" hidden="false" customHeight="false" outlineLevel="0" collapsed="false">
      <c r="A54" s="13"/>
      <c r="B54" s="14"/>
      <c r="C54" s="15"/>
      <c r="D54" s="15"/>
      <c r="E54" s="15"/>
      <c r="F54" s="15"/>
      <c r="G54" s="15"/>
      <c r="H54" s="16" t="str">
        <f aca="false">IF(OR(F54="",F54=0),IF(G54="","",1),MIN(1,G54/F54))</f>
        <v/>
      </c>
      <c r="I54" s="15"/>
      <c r="J54" s="17" t="str">
        <f aca="false">IF(C54="","",(C54&gt;=Targets!$B$2)+(D54&gt;=Targets!$B$3)+(E54&gt;=Targets!$B$4)+(N(H54)&gt;=1))&amp;"/4"</f>
        <v>/4</v>
      </c>
      <c r="K54" s="14"/>
    </row>
    <row r="55" customFormat="false" ht="15" hidden="false" customHeight="false" outlineLevel="0" collapsed="false">
      <c r="A55" s="13"/>
      <c r="B55" s="14"/>
      <c r="C55" s="15"/>
      <c r="D55" s="15"/>
      <c r="E55" s="15"/>
      <c r="F55" s="15"/>
      <c r="G55" s="15"/>
      <c r="H55" s="16" t="str">
        <f aca="false">IF(OR(F55="",F55=0),IF(G55="","",1),MIN(1,G55/F55))</f>
        <v/>
      </c>
      <c r="I55" s="15"/>
      <c r="J55" s="17" t="str">
        <f aca="false">IF(C55="","",(C55&gt;=Targets!$B$2)+(D55&gt;=Targets!$B$3)+(E55&gt;=Targets!$B$4)+(N(H55)&gt;=1))&amp;"/4"</f>
        <v>/4</v>
      </c>
      <c r="K55" s="14"/>
    </row>
    <row r="56" customFormat="false" ht="15" hidden="false" customHeight="false" outlineLevel="0" collapsed="false">
      <c r="A56" s="13"/>
      <c r="B56" s="14"/>
      <c r="C56" s="15"/>
      <c r="D56" s="15"/>
      <c r="E56" s="15"/>
      <c r="F56" s="15"/>
      <c r="G56" s="15"/>
      <c r="H56" s="16" t="str">
        <f aca="false">IF(OR(F56="",F56=0),IF(G56="","",1),MIN(1,G56/F56))</f>
        <v/>
      </c>
      <c r="I56" s="15"/>
      <c r="J56" s="17" t="str">
        <f aca="false">IF(C56="","",(C56&gt;=Targets!$B$2)+(D56&gt;=Targets!$B$3)+(E56&gt;=Targets!$B$4)+(N(H56)&gt;=1))&amp;"/4"</f>
        <v>/4</v>
      </c>
      <c r="K56" s="14"/>
    </row>
    <row r="57" customFormat="false" ht="15" hidden="false" customHeight="false" outlineLevel="0" collapsed="false">
      <c r="A57" s="13"/>
      <c r="B57" s="14"/>
      <c r="C57" s="15"/>
      <c r="D57" s="15"/>
      <c r="E57" s="15"/>
      <c r="F57" s="15"/>
      <c r="G57" s="15"/>
      <c r="H57" s="16" t="str">
        <f aca="false">IF(OR(F57="",F57=0),IF(G57="","",1),MIN(1,G57/F57))</f>
        <v/>
      </c>
      <c r="I57" s="15"/>
      <c r="J57" s="17" t="str">
        <f aca="false">IF(C57="","",(C57&gt;=Targets!$B$2)+(D57&gt;=Targets!$B$3)+(E57&gt;=Targets!$B$4)+(N(H57)&gt;=1))&amp;"/4"</f>
        <v>/4</v>
      </c>
      <c r="K57" s="14"/>
    </row>
    <row r="58" customFormat="false" ht="15" hidden="false" customHeight="false" outlineLevel="0" collapsed="false">
      <c r="A58" s="13"/>
      <c r="B58" s="14"/>
      <c r="C58" s="15"/>
      <c r="D58" s="15"/>
      <c r="E58" s="15"/>
      <c r="F58" s="15"/>
      <c r="G58" s="15"/>
      <c r="H58" s="16" t="str">
        <f aca="false">IF(OR(F58="",F58=0),IF(G58="","",1),MIN(1,G58/F58))</f>
        <v/>
      </c>
      <c r="I58" s="15"/>
      <c r="J58" s="17" t="str">
        <f aca="false">IF(C58="","",(C58&gt;=Targets!$B$2)+(D58&gt;=Targets!$B$3)+(E58&gt;=Targets!$B$4)+(N(H58)&gt;=1))&amp;"/4"</f>
        <v>/4</v>
      </c>
      <c r="K58" s="14"/>
    </row>
    <row r="59" customFormat="false" ht="15" hidden="false" customHeight="false" outlineLevel="0" collapsed="false">
      <c r="A59" s="13"/>
      <c r="B59" s="14"/>
      <c r="C59" s="15"/>
      <c r="D59" s="15"/>
      <c r="E59" s="15"/>
      <c r="F59" s="15"/>
      <c r="G59" s="15"/>
      <c r="H59" s="16" t="str">
        <f aca="false">IF(OR(F59="",F59=0),IF(G59="","",1),MIN(1,G59/F59))</f>
        <v/>
      </c>
      <c r="I59" s="15"/>
      <c r="J59" s="17" t="str">
        <f aca="false">IF(C59="","",(C59&gt;=Targets!$B$2)+(D59&gt;=Targets!$B$3)+(E59&gt;=Targets!$B$4)+(N(H59)&gt;=1))&amp;"/4"</f>
        <v>/4</v>
      </c>
      <c r="K59" s="14"/>
    </row>
    <row r="60" customFormat="false" ht="15" hidden="false" customHeight="false" outlineLevel="0" collapsed="false">
      <c r="A60" s="13"/>
      <c r="B60" s="14"/>
      <c r="C60" s="15"/>
      <c r="D60" s="15"/>
      <c r="E60" s="15"/>
      <c r="F60" s="15"/>
      <c r="G60" s="15"/>
      <c r="H60" s="16" t="str">
        <f aca="false">IF(OR(F60="",F60=0),IF(G60="","",1),MIN(1,G60/F60))</f>
        <v/>
      </c>
      <c r="I60" s="15"/>
      <c r="J60" s="17" t="str">
        <f aca="false">IF(C60="","",(C60&gt;=Targets!$B$2)+(D60&gt;=Targets!$B$3)+(E60&gt;=Targets!$B$4)+(N(H60)&gt;=1))&amp;"/4"</f>
        <v>/4</v>
      </c>
      <c r="K60" s="14"/>
    </row>
    <row r="61" customFormat="false" ht="15" hidden="false" customHeight="false" outlineLevel="0" collapsed="false">
      <c r="A61" s="13"/>
      <c r="B61" s="14"/>
      <c r="C61" s="15"/>
      <c r="D61" s="15"/>
      <c r="E61" s="15"/>
      <c r="F61" s="15"/>
      <c r="G61" s="15"/>
      <c r="H61" s="16" t="str">
        <f aca="false">IF(OR(F61="",F61=0),IF(G61="","",1),MIN(1,G61/F61))</f>
        <v/>
      </c>
      <c r="I61" s="15"/>
      <c r="J61" s="17" t="str">
        <f aca="false">IF(C61="","",(C61&gt;=Targets!$B$2)+(D61&gt;=Targets!$B$3)+(E61&gt;=Targets!$B$4)+(N(H61)&gt;=1))&amp;"/4"</f>
        <v>/4</v>
      </c>
      <c r="K61" s="14"/>
    </row>
    <row r="62" customFormat="false" ht="15" hidden="false" customHeight="false" outlineLevel="0" collapsed="false">
      <c r="A62" s="13"/>
      <c r="B62" s="14"/>
      <c r="C62" s="15"/>
      <c r="D62" s="15"/>
      <c r="E62" s="15"/>
      <c r="F62" s="15"/>
      <c r="G62" s="15"/>
      <c r="H62" s="16" t="str">
        <f aca="false">IF(OR(F62="",F62=0),IF(G62="","",1),MIN(1,G62/F62))</f>
        <v/>
      </c>
      <c r="I62" s="15"/>
      <c r="J62" s="17" t="str">
        <f aca="false">IF(C62="","",(C62&gt;=Targets!$B$2)+(D62&gt;=Targets!$B$3)+(E62&gt;=Targets!$B$4)+(N(H62)&gt;=1))&amp;"/4"</f>
        <v>/4</v>
      </c>
      <c r="K62" s="14"/>
    </row>
    <row r="63" customFormat="false" ht="15" hidden="false" customHeight="false" outlineLevel="0" collapsed="false">
      <c r="A63" s="13"/>
      <c r="B63" s="14"/>
      <c r="C63" s="15"/>
      <c r="D63" s="15"/>
      <c r="E63" s="15"/>
      <c r="F63" s="15"/>
      <c r="G63" s="15"/>
      <c r="H63" s="16" t="str">
        <f aca="false">IF(OR(F63="",F63=0),IF(G63="","",1),MIN(1,G63/F63))</f>
        <v/>
      </c>
      <c r="I63" s="15"/>
      <c r="J63" s="17" t="str">
        <f aca="false">IF(C63="","",(C63&gt;=Targets!$B$2)+(D63&gt;=Targets!$B$3)+(E63&gt;=Targets!$B$4)+(N(H63)&gt;=1))&amp;"/4"</f>
        <v>/4</v>
      </c>
      <c r="K63" s="14"/>
    </row>
    <row r="64" customFormat="false" ht="15" hidden="false" customHeight="false" outlineLevel="0" collapsed="false">
      <c r="A64" s="13"/>
      <c r="B64" s="14"/>
      <c r="C64" s="15"/>
      <c r="D64" s="15"/>
      <c r="E64" s="15"/>
      <c r="F64" s="15"/>
      <c r="G64" s="15"/>
      <c r="H64" s="16" t="str">
        <f aca="false">IF(OR(F64="",F64=0),IF(G64="","",1),MIN(1,G64/F64))</f>
        <v/>
      </c>
      <c r="I64" s="15"/>
      <c r="J64" s="17" t="str">
        <f aca="false">IF(C64="","",(C64&gt;=Targets!$B$2)+(D64&gt;=Targets!$B$3)+(E64&gt;=Targets!$B$4)+(N(H64)&gt;=1))&amp;"/4"</f>
        <v>/4</v>
      </c>
      <c r="K64" s="14"/>
    </row>
    <row r="65" customFormat="false" ht="15" hidden="false" customHeight="false" outlineLevel="0" collapsed="false">
      <c r="A65" s="13"/>
      <c r="B65" s="14"/>
      <c r="C65" s="15"/>
      <c r="D65" s="15"/>
      <c r="E65" s="15"/>
      <c r="F65" s="15"/>
      <c r="G65" s="15"/>
      <c r="H65" s="16" t="str">
        <f aca="false">IF(OR(F65="",F65=0),IF(G65="","",1),MIN(1,G65/F65))</f>
        <v/>
      </c>
      <c r="I65" s="15"/>
      <c r="J65" s="17" t="str">
        <f aca="false">IF(C65="","",(C65&gt;=Targets!$B$2)+(D65&gt;=Targets!$B$3)+(E65&gt;=Targets!$B$4)+(N(H65)&gt;=1))&amp;"/4"</f>
        <v>/4</v>
      </c>
      <c r="K65" s="14"/>
    </row>
    <row r="66" customFormat="false" ht="15" hidden="false" customHeight="false" outlineLevel="0" collapsed="false">
      <c r="A66" s="13"/>
      <c r="B66" s="14"/>
      <c r="C66" s="15"/>
      <c r="D66" s="15"/>
      <c r="E66" s="15"/>
      <c r="F66" s="15"/>
      <c r="G66" s="15"/>
      <c r="H66" s="16" t="str">
        <f aca="false">IF(OR(F66="",F66=0),IF(G66="","",1),MIN(1,G66/F66))</f>
        <v/>
      </c>
      <c r="I66" s="15"/>
      <c r="J66" s="17" t="str">
        <f aca="false">IF(C66="","",(C66&gt;=Targets!$B$2)+(D66&gt;=Targets!$B$3)+(E66&gt;=Targets!$B$4)+(N(H66)&gt;=1))&amp;"/4"</f>
        <v>/4</v>
      </c>
      <c r="K66" s="14"/>
    </row>
    <row r="67" customFormat="false" ht="15" hidden="false" customHeight="false" outlineLevel="0" collapsed="false">
      <c r="A67" s="13"/>
      <c r="B67" s="14"/>
      <c r="C67" s="15"/>
      <c r="D67" s="15"/>
      <c r="E67" s="15"/>
      <c r="F67" s="15"/>
      <c r="G67" s="15"/>
      <c r="H67" s="16" t="str">
        <f aca="false">IF(OR(F67="",F67=0),IF(G67="","",1),MIN(1,G67/F67))</f>
        <v/>
      </c>
      <c r="I67" s="15"/>
      <c r="J67" s="17" t="str">
        <f aca="false">IF(C67="","",(C67&gt;=Targets!$B$2)+(D67&gt;=Targets!$B$3)+(E67&gt;=Targets!$B$4)+(N(H67)&gt;=1))&amp;"/4"</f>
        <v>/4</v>
      </c>
      <c r="K67" s="14"/>
    </row>
    <row r="68" customFormat="false" ht="15" hidden="false" customHeight="false" outlineLevel="0" collapsed="false">
      <c r="A68" s="13"/>
      <c r="B68" s="14"/>
      <c r="C68" s="15"/>
      <c r="D68" s="15"/>
      <c r="E68" s="15"/>
      <c r="F68" s="15"/>
      <c r="G68" s="15"/>
      <c r="H68" s="16" t="str">
        <f aca="false">IF(OR(F68="",F68=0),IF(G68="","",1),MIN(1,G68/F68))</f>
        <v/>
      </c>
      <c r="I68" s="15"/>
      <c r="J68" s="17" t="str">
        <f aca="false">IF(C68="","",(C68&gt;=Targets!$B$2)+(D68&gt;=Targets!$B$3)+(E68&gt;=Targets!$B$4)+(N(H68)&gt;=1))&amp;"/4"</f>
        <v>/4</v>
      </c>
      <c r="K68" s="14"/>
    </row>
    <row r="69" customFormat="false" ht="15" hidden="false" customHeight="false" outlineLevel="0" collapsed="false">
      <c r="A69" s="13"/>
      <c r="B69" s="14"/>
      <c r="C69" s="15"/>
      <c r="D69" s="15"/>
      <c r="E69" s="15"/>
      <c r="F69" s="15"/>
      <c r="G69" s="15"/>
      <c r="H69" s="16" t="str">
        <f aca="false">IF(OR(F69="",F69=0),IF(G69="","",1),MIN(1,G69/F69))</f>
        <v/>
      </c>
      <c r="I69" s="15"/>
      <c r="J69" s="17" t="str">
        <f aca="false">IF(C69="","",(C69&gt;=Targets!$B$2)+(D69&gt;=Targets!$B$3)+(E69&gt;=Targets!$B$4)+(N(H69)&gt;=1))&amp;"/4"</f>
        <v>/4</v>
      </c>
      <c r="K69" s="14"/>
    </row>
    <row r="70" customFormat="false" ht="15" hidden="false" customHeight="false" outlineLevel="0" collapsed="false">
      <c r="A70" s="13"/>
      <c r="B70" s="14"/>
      <c r="C70" s="15"/>
      <c r="D70" s="15"/>
      <c r="E70" s="15"/>
      <c r="F70" s="15"/>
      <c r="G70" s="15"/>
      <c r="H70" s="16" t="str">
        <f aca="false">IF(OR(F70="",F70=0),IF(G70="","",1),MIN(1,G70/F70))</f>
        <v/>
      </c>
      <c r="I70" s="15"/>
      <c r="J70" s="17" t="str">
        <f aca="false">IF(C70="","",(C70&gt;=Targets!$B$2)+(D70&gt;=Targets!$B$3)+(E70&gt;=Targets!$B$4)+(N(H70)&gt;=1))&amp;"/4"</f>
        <v>/4</v>
      </c>
      <c r="K70" s="14"/>
    </row>
    <row r="71" customFormat="false" ht="15" hidden="false" customHeight="false" outlineLevel="0" collapsed="false">
      <c r="A71" s="13"/>
      <c r="B71" s="14"/>
      <c r="C71" s="15"/>
      <c r="D71" s="15"/>
      <c r="E71" s="15"/>
      <c r="F71" s="15"/>
      <c r="G71" s="15"/>
      <c r="H71" s="16" t="str">
        <f aca="false">IF(OR(F71="",F71=0),IF(G71="","",1),MIN(1,G71/F71))</f>
        <v/>
      </c>
      <c r="I71" s="15"/>
      <c r="J71" s="17" t="str">
        <f aca="false">IF(C71="","",(C71&gt;=Targets!$B$2)+(D71&gt;=Targets!$B$3)+(E71&gt;=Targets!$B$4)+(N(H71)&gt;=1))&amp;"/4"</f>
        <v>/4</v>
      </c>
      <c r="K71" s="14"/>
    </row>
    <row r="72" customFormat="false" ht="15" hidden="false" customHeight="false" outlineLevel="0" collapsed="false">
      <c r="A72" s="13"/>
      <c r="B72" s="14"/>
      <c r="C72" s="15"/>
      <c r="D72" s="15"/>
      <c r="E72" s="15"/>
      <c r="F72" s="15"/>
      <c r="G72" s="15"/>
      <c r="H72" s="16" t="str">
        <f aca="false">IF(OR(F72="",F72=0),IF(G72="","",1),MIN(1,G72/F72))</f>
        <v/>
      </c>
      <c r="I72" s="15"/>
      <c r="J72" s="17" t="str">
        <f aca="false">IF(C72="","",(C72&gt;=Targets!$B$2)+(D72&gt;=Targets!$B$3)+(E72&gt;=Targets!$B$4)+(N(H72)&gt;=1))&amp;"/4"</f>
        <v>/4</v>
      </c>
      <c r="K72" s="14"/>
    </row>
    <row r="73" customFormat="false" ht="15" hidden="false" customHeight="false" outlineLevel="0" collapsed="false">
      <c r="A73" s="13"/>
      <c r="B73" s="14"/>
      <c r="C73" s="15"/>
      <c r="D73" s="15"/>
      <c r="E73" s="15"/>
      <c r="F73" s="15"/>
      <c r="G73" s="15"/>
      <c r="H73" s="16" t="str">
        <f aca="false">IF(OR(F73="",F73=0),IF(G73="","",1),MIN(1,G73/F73))</f>
        <v/>
      </c>
      <c r="I73" s="15"/>
      <c r="J73" s="17" t="str">
        <f aca="false">IF(C73="","",(C73&gt;=Targets!$B$2)+(D73&gt;=Targets!$B$3)+(E73&gt;=Targets!$B$4)+(N(H73)&gt;=1))&amp;"/4"</f>
        <v>/4</v>
      </c>
      <c r="K73" s="14"/>
    </row>
    <row r="74" customFormat="false" ht="15" hidden="false" customHeight="false" outlineLevel="0" collapsed="false">
      <c r="A74" s="13"/>
      <c r="B74" s="14"/>
      <c r="C74" s="15"/>
      <c r="D74" s="15"/>
      <c r="E74" s="15"/>
      <c r="F74" s="15"/>
      <c r="G74" s="15"/>
      <c r="H74" s="16" t="str">
        <f aca="false">IF(OR(F74="",F74=0),IF(G74="","",1),MIN(1,G74/F74))</f>
        <v/>
      </c>
      <c r="I74" s="15"/>
      <c r="J74" s="17" t="str">
        <f aca="false">IF(C74="","",(C74&gt;=Targets!$B$2)+(D74&gt;=Targets!$B$3)+(E74&gt;=Targets!$B$4)+(N(H74)&gt;=1))&amp;"/4"</f>
        <v>/4</v>
      </c>
      <c r="K74" s="14"/>
    </row>
    <row r="75" customFormat="false" ht="15" hidden="false" customHeight="false" outlineLevel="0" collapsed="false">
      <c r="A75" s="13"/>
      <c r="B75" s="14"/>
      <c r="C75" s="15"/>
      <c r="D75" s="15"/>
      <c r="E75" s="15"/>
      <c r="F75" s="15"/>
      <c r="G75" s="15"/>
      <c r="H75" s="16" t="str">
        <f aca="false">IF(OR(F75="",F75=0),IF(G75="","",1),MIN(1,G75/F75))</f>
        <v/>
      </c>
      <c r="I75" s="15"/>
      <c r="J75" s="17" t="str">
        <f aca="false">IF(C75="","",(C75&gt;=Targets!$B$2)+(D75&gt;=Targets!$B$3)+(E75&gt;=Targets!$B$4)+(N(H75)&gt;=1))&amp;"/4"</f>
        <v>/4</v>
      </c>
      <c r="K75" s="14"/>
    </row>
    <row r="76" customFormat="false" ht="15" hidden="false" customHeight="false" outlineLevel="0" collapsed="false">
      <c r="A76" s="13"/>
      <c r="B76" s="14"/>
      <c r="C76" s="15"/>
      <c r="D76" s="15"/>
      <c r="E76" s="15"/>
      <c r="F76" s="15"/>
      <c r="G76" s="15"/>
      <c r="H76" s="16" t="str">
        <f aca="false">IF(OR(F76="",F76=0),IF(G76="","",1),MIN(1,G76/F76))</f>
        <v/>
      </c>
      <c r="I76" s="15"/>
      <c r="J76" s="17" t="str">
        <f aca="false">IF(C76="","",(C76&gt;=Targets!$B$2)+(D76&gt;=Targets!$B$3)+(E76&gt;=Targets!$B$4)+(N(H76)&gt;=1))&amp;"/4"</f>
        <v>/4</v>
      </c>
      <c r="K76" s="14"/>
    </row>
    <row r="77" customFormat="false" ht="15" hidden="false" customHeight="false" outlineLevel="0" collapsed="false">
      <c r="A77" s="13"/>
      <c r="B77" s="14"/>
      <c r="C77" s="15"/>
      <c r="D77" s="15"/>
      <c r="E77" s="15"/>
      <c r="F77" s="15"/>
      <c r="G77" s="15"/>
      <c r="H77" s="16" t="str">
        <f aca="false">IF(OR(F77="",F77=0),IF(G77="","",1),MIN(1,G77/F77))</f>
        <v/>
      </c>
      <c r="I77" s="15"/>
      <c r="J77" s="17" t="str">
        <f aca="false">IF(C77="","",(C77&gt;=Targets!$B$2)+(D77&gt;=Targets!$B$3)+(E77&gt;=Targets!$B$4)+(N(H77)&gt;=1))&amp;"/4"</f>
        <v>/4</v>
      </c>
      <c r="K77" s="14"/>
    </row>
    <row r="78" customFormat="false" ht="15" hidden="false" customHeight="false" outlineLevel="0" collapsed="false">
      <c r="A78" s="13"/>
      <c r="B78" s="14"/>
      <c r="C78" s="15"/>
      <c r="D78" s="15"/>
      <c r="E78" s="15"/>
      <c r="F78" s="15"/>
      <c r="G78" s="15"/>
      <c r="H78" s="16" t="str">
        <f aca="false">IF(OR(F78="",F78=0),IF(G78="","",1),MIN(1,G78/F78))</f>
        <v/>
      </c>
      <c r="I78" s="15"/>
      <c r="J78" s="17" t="str">
        <f aca="false">IF(C78="","",(C78&gt;=Targets!$B$2)+(D78&gt;=Targets!$B$3)+(E78&gt;=Targets!$B$4)+(N(H78)&gt;=1))&amp;"/4"</f>
        <v>/4</v>
      </c>
      <c r="K78" s="14"/>
    </row>
    <row r="79" customFormat="false" ht="15" hidden="false" customHeight="false" outlineLevel="0" collapsed="false">
      <c r="A79" s="13"/>
      <c r="B79" s="14"/>
      <c r="C79" s="15"/>
      <c r="D79" s="15"/>
      <c r="E79" s="15"/>
      <c r="F79" s="15"/>
      <c r="G79" s="15"/>
      <c r="H79" s="16" t="str">
        <f aca="false">IF(OR(F79="",F79=0),IF(G79="","",1),MIN(1,G79/F79))</f>
        <v/>
      </c>
      <c r="I79" s="15"/>
      <c r="J79" s="17" t="str">
        <f aca="false">IF(C79="","",(C79&gt;=Targets!$B$2)+(D79&gt;=Targets!$B$3)+(E79&gt;=Targets!$B$4)+(N(H79)&gt;=1))&amp;"/4"</f>
        <v>/4</v>
      </c>
      <c r="K79" s="14"/>
    </row>
    <row r="80" customFormat="false" ht="15" hidden="false" customHeight="false" outlineLevel="0" collapsed="false">
      <c r="A80" s="13"/>
      <c r="B80" s="14"/>
      <c r="C80" s="15"/>
      <c r="D80" s="15"/>
      <c r="E80" s="15"/>
      <c r="F80" s="15"/>
      <c r="G80" s="15"/>
      <c r="H80" s="16" t="str">
        <f aca="false">IF(OR(F80="",F80=0),IF(G80="","",1),MIN(1,G80/F80))</f>
        <v/>
      </c>
      <c r="I80" s="15"/>
      <c r="J80" s="17" t="str">
        <f aca="false">IF(C80="","",(C80&gt;=Targets!$B$2)+(D80&gt;=Targets!$B$3)+(E80&gt;=Targets!$B$4)+(N(H80)&gt;=1))&amp;"/4"</f>
        <v>/4</v>
      </c>
      <c r="K80" s="14"/>
    </row>
    <row r="81" customFormat="false" ht="15" hidden="false" customHeight="false" outlineLevel="0" collapsed="false">
      <c r="A81" s="13"/>
      <c r="B81" s="14"/>
      <c r="C81" s="15"/>
      <c r="D81" s="15"/>
      <c r="E81" s="15"/>
      <c r="F81" s="15"/>
      <c r="G81" s="15"/>
      <c r="H81" s="16" t="str">
        <f aca="false">IF(OR(F81="",F81=0),IF(G81="","",1),MIN(1,G81/F81))</f>
        <v/>
      </c>
      <c r="I81" s="15"/>
      <c r="J81" s="17" t="str">
        <f aca="false">IF(C81="","",(C81&gt;=Targets!$B$2)+(D81&gt;=Targets!$B$3)+(E81&gt;=Targets!$B$4)+(N(H81)&gt;=1))&amp;"/4"</f>
        <v>/4</v>
      </c>
      <c r="K81" s="14"/>
    </row>
    <row r="82" customFormat="false" ht="15" hidden="false" customHeight="false" outlineLevel="0" collapsed="false">
      <c r="A82" s="13"/>
      <c r="B82" s="14"/>
      <c r="C82" s="15"/>
      <c r="D82" s="15"/>
      <c r="E82" s="15"/>
      <c r="F82" s="15"/>
      <c r="G82" s="15"/>
      <c r="H82" s="16" t="str">
        <f aca="false">IF(OR(F82="",F82=0),IF(G82="","",1),MIN(1,G82/F82))</f>
        <v/>
      </c>
      <c r="I82" s="15"/>
      <c r="J82" s="17" t="str">
        <f aca="false">IF(C82="","",(C82&gt;=Targets!$B$2)+(D82&gt;=Targets!$B$3)+(E82&gt;=Targets!$B$4)+(N(H82)&gt;=1))&amp;"/4"</f>
        <v>/4</v>
      </c>
      <c r="K82" s="14"/>
    </row>
    <row r="83" customFormat="false" ht="15" hidden="false" customHeight="false" outlineLevel="0" collapsed="false">
      <c r="A83" s="13"/>
      <c r="B83" s="14"/>
      <c r="C83" s="15"/>
      <c r="D83" s="15"/>
      <c r="E83" s="15"/>
      <c r="F83" s="15"/>
      <c r="G83" s="15"/>
      <c r="H83" s="16" t="str">
        <f aca="false">IF(OR(F83="",F83=0),IF(G83="","",1),MIN(1,G83/F83))</f>
        <v/>
      </c>
      <c r="I83" s="15"/>
      <c r="J83" s="17" t="str">
        <f aca="false">IF(C83="","",(C83&gt;=Targets!$B$2)+(D83&gt;=Targets!$B$3)+(E83&gt;=Targets!$B$4)+(N(H83)&gt;=1))&amp;"/4"</f>
        <v>/4</v>
      </c>
      <c r="K83" s="14"/>
    </row>
    <row r="84" customFormat="false" ht="15" hidden="false" customHeight="false" outlineLevel="0" collapsed="false">
      <c r="A84" s="13"/>
      <c r="B84" s="14"/>
      <c r="C84" s="15"/>
      <c r="D84" s="15"/>
      <c r="E84" s="15"/>
      <c r="F84" s="15"/>
      <c r="G84" s="15"/>
      <c r="H84" s="16" t="str">
        <f aca="false">IF(OR(F84="",F84=0),IF(G84="","",1),MIN(1,G84/F84))</f>
        <v/>
      </c>
      <c r="I84" s="15"/>
      <c r="J84" s="17" t="str">
        <f aca="false">IF(C84="","",(C84&gt;=Targets!$B$2)+(D84&gt;=Targets!$B$3)+(E84&gt;=Targets!$B$4)+(N(H84)&gt;=1))&amp;"/4"</f>
        <v>/4</v>
      </c>
      <c r="K84" s="14"/>
    </row>
    <row r="85" customFormat="false" ht="15" hidden="false" customHeight="false" outlineLevel="0" collapsed="false">
      <c r="A85" s="13"/>
      <c r="B85" s="14"/>
      <c r="C85" s="15"/>
      <c r="D85" s="15"/>
      <c r="E85" s="15"/>
      <c r="F85" s="15"/>
      <c r="G85" s="15"/>
      <c r="H85" s="16" t="str">
        <f aca="false">IF(OR(F85="",F85=0),IF(G85="","",1),MIN(1,G85/F85))</f>
        <v/>
      </c>
      <c r="I85" s="15"/>
      <c r="J85" s="17" t="str">
        <f aca="false">IF(C85="","",(C85&gt;=Targets!$B$2)+(D85&gt;=Targets!$B$3)+(E85&gt;=Targets!$B$4)+(N(H85)&gt;=1))&amp;"/4"</f>
        <v>/4</v>
      </c>
      <c r="K85" s="14"/>
    </row>
    <row r="86" customFormat="false" ht="15" hidden="false" customHeight="false" outlineLevel="0" collapsed="false">
      <c r="A86" s="13"/>
      <c r="B86" s="14"/>
      <c r="C86" s="15"/>
      <c r="D86" s="15"/>
      <c r="E86" s="15"/>
      <c r="F86" s="15"/>
      <c r="G86" s="15"/>
      <c r="H86" s="16" t="str">
        <f aca="false">IF(OR(F86="",F86=0),IF(G86="","",1),MIN(1,G86/F86))</f>
        <v/>
      </c>
      <c r="I86" s="15"/>
      <c r="J86" s="17" t="str">
        <f aca="false">IF(C86="","",(C86&gt;=Targets!$B$2)+(D86&gt;=Targets!$B$3)+(E86&gt;=Targets!$B$4)+(N(H86)&gt;=1))&amp;"/4"</f>
        <v>/4</v>
      </c>
      <c r="K86" s="14"/>
    </row>
    <row r="87" customFormat="false" ht="15" hidden="false" customHeight="false" outlineLevel="0" collapsed="false">
      <c r="A87" s="13"/>
      <c r="B87" s="14"/>
      <c r="C87" s="15"/>
      <c r="D87" s="15"/>
      <c r="E87" s="15"/>
      <c r="F87" s="15"/>
      <c r="G87" s="15"/>
      <c r="H87" s="16" t="str">
        <f aca="false">IF(OR(F87="",F87=0),IF(G87="","",1),MIN(1,G87/F87))</f>
        <v/>
      </c>
      <c r="I87" s="15"/>
      <c r="J87" s="17" t="str">
        <f aca="false">IF(C87="","",(C87&gt;=Targets!$B$2)+(D87&gt;=Targets!$B$3)+(E87&gt;=Targets!$B$4)+(N(H87)&gt;=1))&amp;"/4"</f>
        <v>/4</v>
      </c>
      <c r="K87" s="14"/>
    </row>
    <row r="88" customFormat="false" ht="15" hidden="false" customHeight="false" outlineLevel="0" collapsed="false">
      <c r="A88" s="13"/>
      <c r="B88" s="14"/>
      <c r="C88" s="15"/>
      <c r="D88" s="15"/>
      <c r="E88" s="15"/>
      <c r="F88" s="15"/>
      <c r="G88" s="15"/>
      <c r="H88" s="16" t="str">
        <f aca="false">IF(OR(F88="",F88=0),IF(G88="","",1),MIN(1,G88/F88))</f>
        <v/>
      </c>
      <c r="I88" s="15"/>
      <c r="J88" s="17" t="str">
        <f aca="false">IF(C88="","",(C88&gt;=Targets!$B$2)+(D88&gt;=Targets!$B$3)+(E88&gt;=Targets!$B$4)+(N(H88)&gt;=1))&amp;"/4"</f>
        <v>/4</v>
      </c>
      <c r="K88" s="14"/>
    </row>
    <row r="89" customFormat="false" ht="15" hidden="false" customHeight="false" outlineLevel="0" collapsed="false">
      <c r="A89" s="13"/>
      <c r="B89" s="14"/>
      <c r="C89" s="15"/>
      <c r="D89" s="15"/>
      <c r="E89" s="15"/>
      <c r="F89" s="15"/>
      <c r="G89" s="15"/>
      <c r="H89" s="16" t="str">
        <f aca="false">IF(OR(F89="",F89=0),IF(G89="","",1),MIN(1,G89/F89))</f>
        <v/>
      </c>
      <c r="I89" s="15"/>
      <c r="J89" s="17" t="str">
        <f aca="false">IF(C89="","",(C89&gt;=Targets!$B$2)+(D89&gt;=Targets!$B$3)+(E89&gt;=Targets!$B$4)+(N(H89)&gt;=1))&amp;"/4"</f>
        <v>/4</v>
      </c>
      <c r="K89" s="14"/>
    </row>
    <row r="90" customFormat="false" ht="15" hidden="false" customHeight="false" outlineLevel="0" collapsed="false">
      <c r="A90" s="13"/>
      <c r="B90" s="14"/>
      <c r="C90" s="15"/>
      <c r="D90" s="15"/>
      <c r="E90" s="15"/>
      <c r="F90" s="15"/>
      <c r="G90" s="15"/>
      <c r="H90" s="16" t="str">
        <f aca="false">IF(OR(F90="",F90=0),IF(G90="","",1),MIN(1,G90/F90))</f>
        <v/>
      </c>
      <c r="I90" s="15"/>
      <c r="J90" s="17" t="str">
        <f aca="false">IF(C90="","",(C90&gt;=Targets!$B$2)+(D90&gt;=Targets!$B$3)+(E90&gt;=Targets!$B$4)+(N(H90)&gt;=1))&amp;"/4"</f>
        <v>/4</v>
      </c>
      <c r="K90" s="14"/>
    </row>
    <row r="91" customFormat="false" ht="15" hidden="false" customHeight="false" outlineLevel="0" collapsed="false">
      <c r="A91" s="13"/>
      <c r="B91" s="14"/>
      <c r="C91" s="15"/>
      <c r="D91" s="15"/>
      <c r="E91" s="15"/>
      <c r="F91" s="15"/>
      <c r="G91" s="15"/>
      <c r="H91" s="16" t="str">
        <f aca="false">IF(OR(F91="",F91=0),IF(G91="","",1),MIN(1,G91/F91))</f>
        <v/>
      </c>
      <c r="I91" s="15"/>
      <c r="J91" s="17" t="str">
        <f aca="false">IF(C91="","",(C91&gt;=Targets!$B$2)+(D91&gt;=Targets!$B$3)+(E91&gt;=Targets!$B$4)+(N(H91)&gt;=1))&amp;"/4"</f>
        <v>/4</v>
      </c>
      <c r="K91" s="14"/>
    </row>
    <row r="92" customFormat="false" ht="15" hidden="false" customHeight="false" outlineLevel="0" collapsed="false">
      <c r="A92" s="13"/>
      <c r="B92" s="14"/>
      <c r="C92" s="15"/>
      <c r="D92" s="15"/>
      <c r="E92" s="15"/>
      <c r="F92" s="15"/>
      <c r="G92" s="15"/>
      <c r="H92" s="16" t="str">
        <f aca="false">IF(OR(F92="",F92=0),IF(G92="","",1),MIN(1,G92/F92))</f>
        <v/>
      </c>
      <c r="I92" s="15"/>
      <c r="J92" s="17" t="str">
        <f aca="false">IF(C92="","",(C92&gt;=Targets!$B$2)+(D92&gt;=Targets!$B$3)+(E92&gt;=Targets!$B$4)+(N(H92)&gt;=1))&amp;"/4"</f>
        <v>/4</v>
      </c>
      <c r="K92" s="14"/>
    </row>
    <row r="93" customFormat="false" ht="15" hidden="false" customHeight="false" outlineLevel="0" collapsed="false">
      <c r="A93" s="13"/>
      <c r="B93" s="14"/>
      <c r="C93" s="15"/>
      <c r="D93" s="15"/>
      <c r="E93" s="15"/>
      <c r="F93" s="15"/>
      <c r="G93" s="15"/>
      <c r="H93" s="16" t="str">
        <f aca="false">IF(OR(F93="",F93=0),IF(G93="","",1),MIN(1,G93/F93))</f>
        <v/>
      </c>
      <c r="I93" s="15"/>
      <c r="J93" s="17" t="str">
        <f aca="false">IF(C93="","",(C93&gt;=Targets!$B$2)+(D93&gt;=Targets!$B$3)+(E93&gt;=Targets!$B$4)+(N(H93)&gt;=1))&amp;"/4"</f>
        <v>/4</v>
      </c>
      <c r="K93" s="14"/>
    </row>
    <row r="94" customFormat="false" ht="15" hidden="false" customHeight="false" outlineLevel="0" collapsed="false">
      <c r="A94" s="13"/>
      <c r="B94" s="14"/>
      <c r="C94" s="15"/>
      <c r="D94" s="15"/>
      <c r="E94" s="15"/>
      <c r="F94" s="15"/>
      <c r="G94" s="15"/>
      <c r="H94" s="16" t="str">
        <f aca="false">IF(OR(F94="",F94=0),IF(G94="","",1),MIN(1,G94/F94))</f>
        <v/>
      </c>
      <c r="I94" s="15"/>
      <c r="J94" s="17" t="str">
        <f aca="false">IF(C94="","",(C94&gt;=Targets!$B$2)+(D94&gt;=Targets!$B$3)+(E94&gt;=Targets!$B$4)+(N(H94)&gt;=1))&amp;"/4"</f>
        <v>/4</v>
      </c>
      <c r="K94" s="14"/>
    </row>
    <row r="95" customFormat="false" ht="15" hidden="false" customHeight="false" outlineLevel="0" collapsed="false">
      <c r="A95" s="13"/>
      <c r="B95" s="14"/>
      <c r="C95" s="15"/>
      <c r="D95" s="15"/>
      <c r="E95" s="15"/>
      <c r="F95" s="15"/>
      <c r="G95" s="15"/>
      <c r="H95" s="16" t="str">
        <f aca="false">IF(OR(F95="",F95=0),IF(G95="","",1),MIN(1,G95/F95))</f>
        <v/>
      </c>
      <c r="I95" s="15"/>
      <c r="J95" s="17" t="str">
        <f aca="false">IF(C95="","",(C95&gt;=Targets!$B$2)+(D95&gt;=Targets!$B$3)+(E95&gt;=Targets!$B$4)+(N(H95)&gt;=1))&amp;"/4"</f>
        <v>/4</v>
      </c>
      <c r="K95" s="14"/>
    </row>
    <row r="96" customFormat="false" ht="15" hidden="false" customHeight="false" outlineLevel="0" collapsed="false">
      <c r="A96" s="13"/>
      <c r="B96" s="14"/>
      <c r="C96" s="15"/>
      <c r="D96" s="15"/>
      <c r="E96" s="15"/>
      <c r="F96" s="15"/>
      <c r="G96" s="15"/>
      <c r="H96" s="16" t="str">
        <f aca="false">IF(OR(F96="",F96=0),IF(G96="","",1),MIN(1,G96/F96))</f>
        <v/>
      </c>
      <c r="I96" s="15"/>
      <c r="J96" s="17" t="str">
        <f aca="false">IF(C96="","",(C96&gt;=Targets!$B$2)+(D96&gt;=Targets!$B$3)+(E96&gt;=Targets!$B$4)+(N(H96)&gt;=1))&amp;"/4"</f>
        <v>/4</v>
      </c>
      <c r="K96" s="14"/>
    </row>
    <row r="97" customFormat="false" ht="15" hidden="false" customHeight="false" outlineLevel="0" collapsed="false">
      <c r="A97" s="13"/>
      <c r="B97" s="14"/>
      <c r="C97" s="15"/>
      <c r="D97" s="15"/>
      <c r="E97" s="15"/>
      <c r="F97" s="15"/>
      <c r="G97" s="15"/>
      <c r="H97" s="16" t="str">
        <f aca="false">IF(OR(F97="",F97=0),IF(G97="","",1),MIN(1,G97/F97))</f>
        <v/>
      </c>
      <c r="I97" s="15"/>
      <c r="J97" s="17" t="str">
        <f aca="false">IF(C97="","",(C97&gt;=Targets!$B$2)+(D97&gt;=Targets!$B$3)+(E97&gt;=Targets!$B$4)+(N(H97)&gt;=1))&amp;"/4"</f>
        <v>/4</v>
      </c>
      <c r="K97" s="14"/>
    </row>
    <row r="98" customFormat="false" ht="15" hidden="false" customHeight="false" outlineLevel="0" collapsed="false">
      <c r="A98" s="13"/>
      <c r="B98" s="14"/>
      <c r="C98" s="15"/>
      <c r="D98" s="15"/>
      <c r="E98" s="15"/>
      <c r="F98" s="15"/>
      <c r="G98" s="15"/>
      <c r="H98" s="16" t="str">
        <f aca="false">IF(OR(F98="",F98=0),IF(G98="","",1),MIN(1,G98/F98))</f>
        <v/>
      </c>
      <c r="I98" s="15"/>
      <c r="J98" s="17" t="str">
        <f aca="false">IF(C98="","",(C98&gt;=Targets!$B$2)+(D98&gt;=Targets!$B$3)+(E98&gt;=Targets!$B$4)+(N(H98)&gt;=1))&amp;"/4"</f>
        <v>/4</v>
      </c>
      <c r="K98" s="14"/>
    </row>
    <row r="99" customFormat="false" ht="15" hidden="false" customHeight="false" outlineLevel="0" collapsed="false">
      <c r="A99" s="13"/>
      <c r="B99" s="14"/>
      <c r="C99" s="15"/>
      <c r="D99" s="15"/>
      <c r="E99" s="15"/>
      <c r="F99" s="15"/>
      <c r="G99" s="15"/>
      <c r="H99" s="16" t="str">
        <f aca="false">IF(OR(F99="",F99=0),IF(G99="","",1),MIN(1,G99/F99))</f>
        <v/>
      </c>
      <c r="I99" s="15"/>
      <c r="J99" s="17" t="str">
        <f aca="false">IF(C99="","",(C99&gt;=Targets!$B$2)+(D99&gt;=Targets!$B$3)+(E99&gt;=Targets!$B$4)+(N(H99)&gt;=1))&amp;"/4"</f>
        <v>/4</v>
      </c>
      <c r="K99" s="14"/>
    </row>
    <row r="100" customFormat="false" ht="15" hidden="false" customHeight="false" outlineLevel="0" collapsed="false">
      <c r="A100" s="13"/>
      <c r="B100" s="14"/>
      <c r="C100" s="15"/>
      <c r="D100" s="15"/>
      <c r="E100" s="15"/>
      <c r="F100" s="15"/>
      <c r="G100" s="15"/>
      <c r="H100" s="16" t="str">
        <f aca="false">IF(OR(F100="",F100=0),IF(G100="","",1),MIN(1,G100/F100))</f>
        <v/>
      </c>
      <c r="I100" s="15"/>
      <c r="J100" s="17" t="str">
        <f aca="false">IF(C100="","",(C100&gt;=Targets!$B$2)+(D100&gt;=Targets!$B$3)+(E100&gt;=Targets!$B$4)+(N(H100)&gt;=1))&amp;"/4"</f>
        <v>/4</v>
      </c>
      <c r="K100" s="14"/>
    </row>
    <row r="101" customFormat="false" ht="15" hidden="false" customHeight="false" outlineLevel="0" collapsed="false">
      <c r="A101" s="13"/>
      <c r="B101" s="14"/>
      <c r="C101" s="15"/>
      <c r="D101" s="15"/>
      <c r="E101" s="15"/>
      <c r="F101" s="15"/>
      <c r="G101" s="15"/>
      <c r="H101" s="16" t="str">
        <f aca="false">IF(OR(F101="",F101=0),IF(G101="","",1),MIN(1,G101/F101))</f>
        <v/>
      </c>
      <c r="I101" s="15"/>
      <c r="J101" s="17" t="str">
        <f aca="false">IF(C101="","",(C101&gt;=Targets!$B$2)+(D101&gt;=Targets!$B$3)+(E101&gt;=Targets!$B$4)+(N(H101)&gt;=1))&amp;"/4"</f>
        <v>/4</v>
      </c>
      <c r="K101" s="14"/>
    </row>
    <row r="102" customFormat="false" ht="15" hidden="false" customHeight="false" outlineLevel="0" collapsed="false">
      <c r="A102" s="13"/>
      <c r="B102" s="14"/>
      <c r="C102" s="15"/>
      <c r="D102" s="15"/>
      <c r="E102" s="15"/>
      <c r="F102" s="15"/>
      <c r="G102" s="15"/>
      <c r="H102" s="16" t="str">
        <f aca="false">IF(OR(F102="",F102=0),IF(G102="","",1),MIN(1,G102/F102))</f>
        <v/>
      </c>
      <c r="I102" s="15"/>
      <c r="J102" s="17" t="str">
        <f aca="false">IF(C102="","",(C102&gt;=Targets!$B$2)+(D102&gt;=Targets!$B$3)+(E102&gt;=Targets!$B$4)+(N(H102)&gt;=1))&amp;"/4"</f>
        <v>/4</v>
      </c>
      <c r="K102" s="14"/>
    </row>
    <row r="103" customFormat="false" ht="15" hidden="false" customHeight="false" outlineLevel="0" collapsed="false">
      <c r="A103" s="13"/>
      <c r="B103" s="14"/>
      <c r="C103" s="15"/>
      <c r="D103" s="15"/>
      <c r="E103" s="15"/>
      <c r="F103" s="15"/>
      <c r="G103" s="15"/>
      <c r="H103" s="16" t="str">
        <f aca="false">IF(OR(F103="",F103=0),IF(G103="","",1),MIN(1,G103/F103))</f>
        <v/>
      </c>
      <c r="I103" s="15"/>
      <c r="J103" s="17" t="str">
        <f aca="false">IF(C103="","",(C103&gt;=Targets!$B$2)+(D103&gt;=Targets!$B$3)+(E103&gt;=Targets!$B$4)+(N(H103)&gt;=1))&amp;"/4"</f>
        <v>/4</v>
      </c>
      <c r="K103" s="14"/>
    </row>
    <row r="104" customFormat="false" ht="15" hidden="false" customHeight="false" outlineLevel="0" collapsed="false">
      <c r="A104" s="13"/>
      <c r="B104" s="14"/>
      <c r="C104" s="15"/>
      <c r="D104" s="15"/>
      <c r="E104" s="15"/>
      <c r="F104" s="15"/>
      <c r="G104" s="15"/>
      <c r="H104" s="16" t="str">
        <f aca="false">IF(OR(F104="",F104=0),IF(G104="","",1),MIN(1,G104/F104))</f>
        <v/>
      </c>
      <c r="I104" s="15"/>
      <c r="J104" s="17" t="str">
        <f aca="false">IF(C104="","",(C104&gt;=Targets!$B$2)+(D104&gt;=Targets!$B$3)+(E104&gt;=Targets!$B$4)+(N(H104)&gt;=1))&amp;"/4"</f>
        <v>/4</v>
      </c>
      <c r="K104" s="14"/>
    </row>
    <row r="105" customFormat="false" ht="15" hidden="false" customHeight="false" outlineLevel="0" collapsed="false">
      <c r="A105" s="13"/>
      <c r="B105" s="14"/>
      <c r="C105" s="15"/>
      <c r="D105" s="15"/>
      <c r="E105" s="15"/>
      <c r="F105" s="15"/>
      <c r="G105" s="15"/>
      <c r="H105" s="16" t="str">
        <f aca="false">IF(OR(F105="",F105=0),IF(G105="","",1),MIN(1,G105/F105))</f>
        <v/>
      </c>
      <c r="I105" s="15"/>
      <c r="J105" s="17" t="str">
        <f aca="false">IF(C105="","",(C105&gt;=Targets!$B$2)+(D105&gt;=Targets!$B$3)+(E105&gt;=Targets!$B$4)+(N(H105)&gt;=1))&amp;"/4"</f>
        <v>/4</v>
      </c>
      <c r="K105" s="14"/>
    </row>
    <row r="106" customFormat="false" ht="15" hidden="false" customHeight="false" outlineLevel="0" collapsed="false">
      <c r="A106" s="13"/>
      <c r="B106" s="14"/>
      <c r="C106" s="15"/>
      <c r="D106" s="15"/>
      <c r="E106" s="15"/>
      <c r="F106" s="15"/>
      <c r="G106" s="15"/>
      <c r="H106" s="16" t="str">
        <f aca="false">IF(OR(F106="",F106=0),IF(G106="","",1),MIN(1,G106/F106))</f>
        <v/>
      </c>
      <c r="I106" s="15"/>
      <c r="J106" s="17" t="str">
        <f aca="false">IF(C106="","",(C106&gt;=Targets!$B$2)+(D106&gt;=Targets!$B$3)+(E106&gt;=Targets!$B$4)+(N(H106)&gt;=1))&amp;"/4"</f>
        <v>/4</v>
      </c>
      <c r="K106" s="14"/>
    </row>
    <row r="107" customFormat="false" ht="15" hidden="false" customHeight="false" outlineLevel="0" collapsed="false">
      <c r="A107" s="13"/>
      <c r="B107" s="14"/>
      <c r="C107" s="15"/>
      <c r="D107" s="15"/>
      <c r="E107" s="15"/>
      <c r="F107" s="15"/>
      <c r="G107" s="15"/>
      <c r="H107" s="16" t="str">
        <f aca="false">IF(OR(F107="",F107=0),IF(G107="","",1),MIN(1,G107/F107))</f>
        <v/>
      </c>
      <c r="I107" s="15"/>
      <c r="J107" s="17" t="str">
        <f aca="false">IF(C107="","",(C107&gt;=Targets!$B$2)+(D107&gt;=Targets!$B$3)+(E107&gt;=Targets!$B$4)+(N(H107)&gt;=1))&amp;"/4"</f>
        <v>/4</v>
      </c>
      <c r="K107" s="14"/>
    </row>
    <row r="108" customFormat="false" ht="15" hidden="false" customHeight="false" outlineLevel="0" collapsed="false">
      <c r="A108" s="13"/>
      <c r="B108" s="14"/>
      <c r="C108" s="15"/>
      <c r="D108" s="15"/>
      <c r="E108" s="15"/>
      <c r="F108" s="15"/>
      <c r="G108" s="15"/>
      <c r="H108" s="16" t="str">
        <f aca="false">IF(OR(F108="",F108=0),IF(G108="","",1),MIN(1,G108/F108))</f>
        <v/>
      </c>
      <c r="I108" s="15"/>
      <c r="J108" s="17" t="str">
        <f aca="false">IF(C108="","",(C108&gt;=Targets!$B$2)+(D108&gt;=Targets!$B$3)+(E108&gt;=Targets!$B$4)+(N(H108)&gt;=1))&amp;"/4"</f>
        <v>/4</v>
      </c>
      <c r="K108" s="14"/>
    </row>
    <row r="109" customFormat="false" ht="15" hidden="false" customHeight="false" outlineLevel="0" collapsed="false">
      <c r="A109" s="13"/>
      <c r="B109" s="14"/>
      <c r="C109" s="15"/>
      <c r="D109" s="15"/>
      <c r="E109" s="15"/>
      <c r="F109" s="15"/>
      <c r="G109" s="15"/>
      <c r="H109" s="16" t="str">
        <f aca="false">IF(OR(F109="",F109=0),IF(G109="","",1),MIN(1,G109/F109))</f>
        <v/>
      </c>
      <c r="I109" s="15"/>
      <c r="J109" s="17" t="str">
        <f aca="false">IF(C109="","",(C109&gt;=Targets!$B$2)+(D109&gt;=Targets!$B$3)+(E109&gt;=Targets!$B$4)+(N(H109)&gt;=1))&amp;"/4"</f>
        <v>/4</v>
      </c>
      <c r="K109" s="14"/>
    </row>
    <row r="110" customFormat="false" ht="15" hidden="false" customHeight="false" outlineLevel="0" collapsed="false">
      <c r="A110" s="13"/>
      <c r="B110" s="14"/>
      <c r="C110" s="15"/>
      <c r="D110" s="15"/>
      <c r="E110" s="15"/>
      <c r="F110" s="15"/>
      <c r="G110" s="15"/>
      <c r="H110" s="16" t="str">
        <f aca="false">IF(OR(F110="",F110=0),IF(G110="","",1),MIN(1,G110/F110))</f>
        <v/>
      </c>
      <c r="I110" s="15"/>
      <c r="J110" s="17" t="str">
        <f aca="false">IF(C110="","",(C110&gt;=Targets!$B$2)+(D110&gt;=Targets!$B$3)+(E110&gt;=Targets!$B$4)+(N(H110)&gt;=1))&amp;"/4"</f>
        <v>/4</v>
      </c>
      <c r="K110" s="14"/>
    </row>
    <row r="111" customFormat="false" ht="15" hidden="false" customHeight="false" outlineLevel="0" collapsed="false">
      <c r="A111" s="13"/>
      <c r="B111" s="14"/>
      <c r="C111" s="15"/>
      <c r="D111" s="15"/>
      <c r="E111" s="15"/>
      <c r="F111" s="15"/>
      <c r="G111" s="15"/>
      <c r="H111" s="16" t="str">
        <f aca="false">IF(OR(F111="",F111=0),IF(G111="","",1),MIN(1,G111/F111))</f>
        <v/>
      </c>
      <c r="I111" s="15"/>
      <c r="J111" s="17" t="str">
        <f aca="false">IF(C111="","",(C111&gt;=Targets!$B$2)+(D111&gt;=Targets!$B$3)+(E111&gt;=Targets!$B$4)+(N(H111)&gt;=1))&amp;"/4"</f>
        <v>/4</v>
      </c>
      <c r="K111" s="14"/>
    </row>
    <row r="112" customFormat="false" ht="15" hidden="false" customHeight="false" outlineLevel="0" collapsed="false">
      <c r="A112" s="13"/>
      <c r="B112" s="14"/>
      <c r="C112" s="15"/>
      <c r="D112" s="15"/>
      <c r="E112" s="15"/>
      <c r="F112" s="15"/>
      <c r="G112" s="15"/>
      <c r="H112" s="16" t="str">
        <f aca="false">IF(OR(F112="",F112=0),IF(G112="","",1),MIN(1,G112/F112))</f>
        <v/>
      </c>
      <c r="I112" s="15"/>
      <c r="J112" s="17" t="str">
        <f aca="false">IF(C112="","",(C112&gt;=Targets!$B$2)+(D112&gt;=Targets!$B$3)+(E112&gt;=Targets!$B$4)+(N(H112)&gt;=1))&amp;"/4"</f>
        <v>/4</v>
      </c>
      <c r="K112" s="14"/>
    </row>
    <row r="113" customFormat="false" ht="15" hidden="false" customHeight="false" outlineLevel="0" collapsed="false">
      <c r="A113" s="13"/>
      <c r="B113" s="14"/>
      <c r="C113" s="15"/>
      <c r="D113" s="15"/>
      <c r="E113" s="15"/>
      <c r="F113" s="15"/>
      <c r="G113" s="15"/>
      <c r="H113" s="16" t="str">
        <f aca="false">IF(OR(F113="",F113=0),IF(G113="","",1),MIN(1,G113/F113))</f>
        <v/>
      </c>
      <c r="I113" s="15"/>
      <c r="J113" s="17" t="str">
        <f aca="false">IF(C113="","",(C113&gt;=Targets!$B$2)+(D113&gt;=Targets!$B$3)+(E113&gt;=Targets!$B$4)+(N(H113)&gt;=1))&amp;"/4"</f>
        <v>/4</v>
      </c>
      <c r="K113" s="14"/>
    </row>
    <row r="114" customFormat="false" ht="15" hidden="false" customHeight="false" outlineLevel="0" collapsed="false">
      <c r="A114" s="13"/>
      <c r="B114" s="14"/>
      <c r="C114" s="15"/>
      <c r="D114" s="15"/>
      <c r="E114" s="15"/>
      <c r="F114" s="15"/>
      <c r="G114" s="15"/>
      <c r="H114" s="16" t="str">
        <f aca="false">IF(OR(F114="",F114=0),IF(G114="","",1),MIN(1,G114/F114))</f>
        <v/>
      </c>
      <c r="I114" s="15"/>
      <c r="J114" s="17" t="str">
        <f aca="false">IF(C114="","",(C114&gt;=Targets!$B$2)+(D114&gt;=Targets!$B$3)+(E114&gt;=Targets!$B$4)+(N(H114)&gt;=1))&amp;"/4"</f>
        <v>/4</v>
      </c>
      <c r="K114" s="14"/>
    </row>
    <row r="115" customFormat="false" ht="15" hidden="false" customHeight="false" outlineLevel="0" collapsed="false">
      <c r="A115" s="13"/>
      <c r="B115" s="14"/>
      <c r="C115" s="15"/>
      <c r="D115" s="15"/>
      <c r="E115" s="15"/>
      <c r="F115" s="15"/>
      <c r="G115" s="15"/>
      <c r="H115" s="16" t="str">
        <f aca="false">IF(OR(F115="",F115=0),IF(G115="","",1),MIN(1,G115/F115))</f>
        <v/>
      </c>
      <c r="I115" s="15"/>
      <c r="J115" s="17" t="str">
        <f aca="false">IF(C115="","",(C115&gt;=Targets!$B$2)+(D115&gt;=Targets!$B$3)+(E115&gt;=Targets!$B$4)+(N(H115)&gt;=1))&amp;"/4"</f>
        <v>/4</v>
      </c>
      <c r="K115" s="14"/>
    </row>
    <row r="116" customFormat="false" ht="15" hidden="false" customHeight="false" outlineLevel="0" collapsed="false">
      <c r="A116" s="13"/>
      <c r="B116" s="14"/>
      <c r="C116" s="15"/>
      <c r="D116" s="15"/>
      <c r="E116" s="15"/>
      <c r="F116" s="15"/>
      <c r="G116" s="15"/>
      <c r="H116" s="16" t="str">
        <f aca="false">IF(OR(F116="",F116=0),IF(G116="","",1),MIN(1,G116/F116))</f>
        <v/>
      </c>
      <c r="I116" s="15"/>
      <c r="J116" s="17" t="str">
        <f aca="false">IF(C116="","",(C116&gt;=Targets!$B$2)+(D116&gt;=Targets!$B$3)+(E116&gt;=Targets!$B$4)+(N(H116)&gt;=1))&amp;"/4"</f>
        <v>/4</v>
      </c>
      <c r="K116" s="14"/>
    </row>
    <row r="117" customFormat="false" ht="15" hidden="false" customHeight="false" outlineLevel="0" collapsed="false">
      <c r="A117" s="13"/>
      <c r="B117" s="14"/>
      <c r="C117" s="15"/>
      <c r="D117" s="15"/>
      <c r="E117" s="15"/>
      <c r="F117" s="15"/>
      <c r="G117" s="15"/>
      <c r="H117" s="16" t="str">
        <f aca="false">IF(OR(F117="",F117=0),IF(G117="","",1),MIN(1,G117/F117))</f>
        <v/>
      </c>
      <c r="I117" s="15"/>
      <c r="J117" s="17" t="str">
        <f aca="false">IF(C117="","",(C117&gt;=Targets!$B$2)+(D117&gt;=Targets!$B$3)+(E117&gt;=Targets!$B$4)+(N(H117)&gt;=1))&amp;"/4"</f>
        <v>/4</v>
      </c>
      <c r="K117" s="14"/>
    </row>
    <row r="118" customFormat="false" ht="15" hidden="false" customHeight="false" outlineLevel="0" collapsed="false">
      <c r="A118" s="13"/>
      <c r="B118" s="14"/>
      <c r="C118" s="15"/>
      <c r="D118" s="15"/>
      <c r="E118" s="15"/>
      <c r="F118" s="15"/>
      <c r="G118" s="15"/>
      <c r="H118" s="16" t="str">
        <f aca="false">IF(OR(F118="",F118=0),IF(G118="","",1),MIN(1,G118/F118))</f>
        <v/>
      </c>
      <c r="I118" s="15"/>
      <c r="J118" s="17" t="str">
        <f aca="false">IF(C118="","",(C118&gt;=Targets!$B$2)+(D118&gt;=Targets!$B$3)+(E118&gt;=Targets!$B$4)+(N(H118)&gt;=1))&amp;"/4"</f>
        <v>/4</v>
      </c>
      <c r="K118" s="14"/>
    </row>
    <row r="119" customFormat="false" ht="15" hidden="false" customHeight="false" outlineLevel="0" collapsed="false">
      <c r="A119" s="13"/>
      <c r="B119" s="14"/>
      <c r="C119" s="15"/>
      <c r="D119" s="15"/>
      <c r="E119" s="15"/>
      <c r="F119" s="15"/>
      <c r="G119" s="15"/>
      <c r="H119" s="16" t="str">
        <f aca="false">IF(OR(F119="",F119=0),IF(G119="","",1),MIN(1,G119/F119))</f>
        <v/>
      </c>
      <c r="I119" s="15"/>
      <c r="J119" s="17" t="str">
        <f aca="false">IF(C119="","",(C119&gt;=Targets!$B$2)+(D119&gt;=Targets!$B$3)+(E119&gt;=Targets!$B$4)+(N(H119)&gt;=1))&amp;"/4"</f>
        <v>/4</v>
      </c>
      <c r="K119" s="14"/>
    </row>
    <row r="120" customFormat="false" ht="15" hidden="false" customHeight="false" outlineLevel="0" collapsed="false">
      <c r="A120" s="13"/>
      <c r="B120" s="14"/>
      <c r="C120" s="15"/>
      <c r="D120" s="15"/>
      <c r="E120" s="15"/>
      <c r="F120" s="15"/>
      <c r="G120" s="15"/>
      <c r="H120" s="16" t="str">
        <f aca="false">IF(OR(F120="",F120=0),IF(G120="","",1),MIN(1,G120/F120))</f>
        <v/>
      </c>
      <c r="I120" s="15"/>
      <c r="J120" s="17" t="str">
        <f aca="false">IF(C120="","",(C120&gt;=Targets!$B$2)+(D120&gt;=Targets!$B$3)+(E120&gt;=Targets!$B$4)+(N(H120)&gt;=1))&amp;"/4"</f>
        <v>/4</v>
      </c>
      <c r="K120" s="14"/>
    </row>
    <row r="121" customFormat="false" ht="15" hidden="false" customHeight="false" outlineLevel="0" collapsed="false">
      <c r="A121" s="13"/>
      <c r="B121" s="14"/>
      <c r="C121" s="15"/>
      <c r="D121" s="15"/>
      <c r="E121" s="15"/>
      <c r="F121" s="15"/>
      <c r="G121" s="15"/>
      <c r="H121" s="16" t="str">
        <f aca="false">IF(OR(F121="",F121=0),IF(G121="","",1),MIN(1,G121/F121))</f>
        <v/>
      </c>
      <c r="I121" s="15"/>
      <c r="J121" s="17" t="str">
        <f aca="false">IF(C121="","",(C121&gt;=Targets!$B$2)+(D121&gt;=Targets!$B$3)+(E121&gt;=Targets!$B$4)+(N(H121)&gt;=1))&amp;"/4"</f>
        <v>/4</v>
      </c>
      <c r="K121" s="14"/>
    </row>
    <row r="122" customFormat="false" ht="15" hidden="false" customHeight="false" outlineLevel="0" collapsed="false">
      <c r="A122" s="13"/>
      <c r="B122" s="14"/>
      <c r="C122" s="15"/>
      <c r="D122" s="15"/>
      <c r="E122" s="15"/>
      <c r="F122" s="15"/>
      <c r="G122" s="15"/>
      <c r="H122" s="16" t="str">
        <f aca="false">IF(OR(F122="",F122=0),IF(G122="","",1),MIN(1,G122/F122))</f>
        <v/>
      </c>
      <c r="I122" s="15"/>
      <c r="J122" s="17" t="str">
        <f aca="false">IF(C122="","",(C122&gt;=Targets!$B$2)+(D122&gt;=Targets!$B$3)+(E122&gt;=Targets!$B$4)+(N(H122)&gt;=1))&amp;"/4"</f>
        <v>/4</v>
      </c>
      <c r="K122" s="14"/>
    </row>
    <row r="123" customFormat="false" ht="15" hidden="false" customHeight="false" outlineLevel="0" collapsed="false">
      <c r="A123" s="13"/>
      <c r="B123" s="14"/>
      <c r="C123" s="15"/>
      <c r="D123" s="15"/>
      <c r="E123" s="15"/>
      <c r="F123" s="15"/>
      <c r="G123" s="15"/>
      <c r="H123" s="16" t="str">
        <f aca="false">IF(OR(F123="",F123=0),IF(G123="","",1),MIN(1,G123/F123))</f>
        <v/>
      </c>
      <c r="I123" s="15"/>
      <c r="J123" s="17" t="str">
        <f aca="false">IF(C123="","",(C123&gt;=Targets!$B$2)+(D123&gt;=Targets!$B$3)+(E123&gt;=Targets!$B$4)+(N(H123)&gt;=1))&amp;"/4"</f>
        <v>/4</v>
      </c>
      <c r="K123" s="14"/>
    </row>
    <row r="124" customFormat="false" ht="15" hidden="false" customHeight="false" outlineLevel="0" collapsed="false">
      <c r="A124" s="13"/>
      <c r="B124" s="14"/>
      <c r="C124" s="15"/>
      <c r="D124" s="15"/>
      <c r="E124" s="15"/>
      <c r="F124" s="15"/>
      <c r="G124" s="15"/>
      <c r="H124" s="16" t="str">
        <f aca="false">IF(OR(F124="",F124=0),IF(G124="","",1),MIN(1,G124/F124))</f>
        <v/>
      </c>
      <c r="I124" s="15"/>
      <c r="J124" s="17" t="str">
        <f aca="false">IF(C124="","",(C124&gt;=Targets!$B$2)+(D124&gt;=Targets!$B$3)+(E124&gt;=Targets!$B$4)+(N(H124)&gt;=1))&amp;"/4"</f>
        <v>/4</v>
      </c>
      <c r="K124" s="14"/>
    </row>
    <row r="125" customFormat="false" ht="15" hidden="false" customHeight="false" outlineLevel="0" collapsed="false">
      <c r="A125" s="13"/>
      <c r="B125" s="14"/>
      <c r="C125" s="15"/>
      <c r="D125" s="15"/>
      <c r="E125" s="15"/>
      <c r="F125" s="15"/>
      <c r="G125" s="15"/>
      <c r="H125" s="16" t="str">
        <f aca="false">IF(OR(F125="",F125=0),IF(G125="","",1),MIN(1,G125/F125))</f>
        <v/>
      </c>
      <c r="I125" s="15"/>
      <c r="J125" s="17" t="str">
        <f aca="false">IF(C125="","",(C125&gt;=Targets!$B$2)+(D125&gt;=Targets!$B$3)+(E125&gt;=Targets!$B$4)+(N(H125)&gt;=1))&amp;"/4"</f>
        <v>/4</v>
      </c>
      <c r="K125" s="14"/>
    </row>
    <row r="126" customFormat="false" ht="15" hidden="false" customHeight="false" outlineLevel="0" collapsed="false">
      <c r="A126" s="13"/>
      <c r="B126" s="14"/>
      <c r="C126" s="15"/>
      <c r="D126" s="15"/>
      <c r="E126" s="15"/>
      <c r="F126" s="15"/>
      <c r="G126" s="15"/>
      <c r="H126" s="16" t="str">
        <f aca="false">IF(OR(F126="",F126=0),IF(G126="","",1),MIN(1,G126/F126))</f>
        <v/>
      </c>
      <c r="I126" s="15"/>
      <c r="J126" s="17" t="str">
        <f aca="false">IF(C126="","",(C126&gt;=Targets!$B$2)+(D126&gt;=Targets!$B$3)+(E126&gt;=Targets!$B$4)+(N(H126)&gt;=1))&amp;"/4"</f>
        <v>/4</v>
      </c>
      <c r="K126" s="14"/>
    </row>
    <row r="127" customFormat="false" ht="15" hidden="false" customHeight="false" outlineLevel="0" collapsed="false">
      <c r="A127" s="13"/>
      <c r="B127" s="14"/>
      <c r="C127" s="15"/>
      <c r="D127" s="15"/>
      <c r="E127" s="15"/>
      <c r="F127" s="15"/>
      <c r="G127" s="15"/>
      <c r="H127" s="16" t="str">
        <f aca="false">IF(OR(F127="",F127=0),IF(G127="","",1),MIN(1,G127/F127))</f>
        <v/>
      </c>
      <c r="I127" s="15"/>
      <c r="J127" s="17" t="str">
        <f aca="false">IF(C127="","",(C127&gt;=Targets!$B$2)+(D127&gt;=Targets!$B$3)+(E127&gt;=Targets!$B$4)+(N(H127)&gt;=1))&amp;"/4"</f>
        <v>/4</v>
      </c>
      <c r="K127" s="14"/>
    </row>
    <row r="128" customFormat="false" ht="15" hidden="false" customHeight="false" outlineLevel="0" collapsed="false">
      <c r="A128" s="13"/>
      <c r="B128" s="14"/>
      <c r="C128" s="15"/>
      <c r="D128" s="15"/>
      <c r="E128" s="15"/>
      <c r="F128" s="15"/>
      <c r="G128" s="15"/>
      <c r="H128" s="16" t="str">
        <f aca="false">IF(OR(F128="",F128=0),IF(G128="","",1),MIN(1,G128/F128))</f>
        <v/>
      </c>
      <c r="I128" s="15"/>
      <c r="J128" s="17" t="str">
        <f aca="false">IF(C128="","",(C128&gt;=Targets!$B$2)+(D128&gt;=Targets!$B$3)+(E128&gt;=Targets!$B$4)+(N(H128)&gt;=1))&amp;"/4"</f>
        <v>/4</v>
      </c>
      <c r="K128" s="14"/>
    </row>
    <row r="129" customFormat="false" ht="15" hidden="false" customHeight="false" outlineLevel="0" collapsed="false">
      <c r="A129" s="13"/>
      <c r="B129" s="14"/>
      <c r="C129" s="15"/>
      <c r="D129" s="15"/>
      <c r="E129" s="15"/>
      <c r="F129" s="15"/>
      <c r="G129" s="15"/>
      <c r="H129" s="16" t="str">
        <f aca="false">IF(OR(F129="",F129=0),IF(G129="","",1),MIN(1,G129/F129))</f>
        <v/>
      </c>
      <c r="I129" s="15"/>
      <c r="J129" s="17" t="str">
        <f aca="false">IF(C129="","",(C129&gt;=Targets!$B$2)+(D129&gt;=Targets!$B$3)+(E129&gt;=Targets!$B$4)+(N(H129)&gt;=1))&amp;"/4"</f>
        <v>/4</v>
      </c>
      <c r="K129" s="14"/>
    </row>
    <row r="130" customFormat="false" ht="15" hidden="false" customHeight="false" outlineLevel="0" collapsed="false">
      <c r="A130" s="13"/>
      <c r="B130" s="14"/>
      <c r="C130" s="15"/>
      <c r="D130" s="15"/>
      <c r="E130" s="15"/>
      <c r="F130" s="15"/>
      <c r="G130" s="15"/>
      <c r="H130" s="16" t="str">
        <f aca="false">IF(OR(F130="",F130=0),IF(G130="","",1),MIN(1,G130/F130))</f>
        <v/>
      </c>
      <c r="I130" s="15"/>
      <c r="J130" s="17" t="str">
        <f aca="false">IF(C130="","",(C130&gt;=Targets!$B$2)+(D130&gt;=Targets!$B$3)+(E130&gt;=Targets!$B$4)+(N(H130)&gt;=1))&amp;"/4"</f>
        <v>/4</v>
      </c>
      <c r="K130" s="14"/>
    </row>
    <row r="131" customFormat="false" ht="15" hidden="false" customHeight="false" outlineLevel="0" collapsed="false">
      <c r="A131" s="13"/>
      <c r="B131" s="14"/>
      <c r="C131" s="15"/>
      <c r="D131" s="15"/>
      <c r="E131" s="15"/>
      <c r="F131" s="15"/>
      <c r="G131" s="15"/>
      <c r="H131" s="16" t="str">
        <f aca="false">IF(OR(F131="",F131=0),IF(G131="","",1),MIN(1,G131/F131))</f>
        <v/>
      </c>
      <c r="I131" s="15"/>
      <c r="J131" s="17" t="str">
        <f aca="false">IF(C131="","",(C131&gt;=Targets!$B$2)+(D131&gt;=Targets!$B$3)+(E131&gt;=Targets!$B$4)+(N(H131)&gt;=1))&amp;"/4"</f>
        <v>/4</v>
      </c>
      <c r="K131" s="14"/>
    </row>
    <row r="132" customFormat="false" ht="15" hidden="false" customHeight="false" outlineLevel="0" collapsed="false">
      <c r="A132" s="13"/>
      <c r="B132" s="14"/>
      <c r="C132" s="15"/>
      <c r="D132" s="15"/>
      <c r="E132" s="15"/>
      <c r="F132" s="15"/>
      <c r="G132" s="15"/>
      <c r="H132" s="16" t="str">
        <f aca="false">IF(OR(F132="",F132=0),IF(G132="","",1),MIN(1,G132/F132))</f>
        <v/>
      </c>
      <c r="I132" s="15"/>
      <c r="J132" s="17" t="str">
        <f aca="false">IF(C132="","",(C132&gt;=Targets!$B$2)+(D132&gt;=Targets!$B$3)+(E132&gt;=Targets!$B$4)+(N(H132)&gt;=1))&amp;"/4"</f>
        <v>/4</v>
      </c>
      <c r="K132" s="14"/>
    </row>
    <row r="133" customFormat="false" ht="15" hidden="false" customHeight="false" outlineLevel="0" collapsed="false">
      <c r="A133" s="13"/>
      <c r="B133" s="14"/>
      <c r="C133" s="15"/>
      <c r="D133" s="15"/>
      <c r="E133" s="15"/>
      <c r="F133" s="15"/>
      <c r="G133" s="15"/>
      <c r="H133" s="16" t="str">
        <f aca="false">IF(OR(F133="",F133=0),IF(G133="","",1),MIN(1,G133/F133))</f>
        <v/>
      </c>
      <c r="I133" s="15"/>
      <c r="J133" s="17" t="str">
        <f aca="false">IF(C133="","",(C133&gt;=Targets!$B$2)+(D133&gt;=Targets!$B$3)+(E133&gt;=Targets!$B$4)+(N(H133)&gt;=1))&amp;"/4"</f>
        <v>/4</v>
      </c>
      <c r="K133" s="14"/>
    </row>
    <row r="134" customFormat="false" ht="15" hidden="false" customHeight="false" outlineLevel="0" collapsed="false">
      <c r="A134" s="13"/>
      <c r="B134" s="14"/>
      <c r="C134" s="15"/>
      <c r="D134" s="15"/>
      <c r="E134" s="15"/>
      <c r="F134" s="15"/>
      <c r="G134" s="15"/>
      <c r="H134" s="16" t="str">
        <f aca="false">IF(OR(F134="",F134=0),IF(G134="","",1),MIN(1,G134/F134))</f>
        <v/>
      </c>
      <c r="I134" s="15"/>
      <c r="J134" s="17" t="str">
        <f aca="false">IF(C134="","",(C134&gt;=Targets!$B$2)+(D134&gt;=Targets!$B$3)+(E134&gt;=Targets!$B$4)+(N(H134)&gt;=1))&amp;"/4"</f>
        <v>/4</v>
      </c>
      <c r="K134" s="14"/>
    </row>
    <row r="135" customFormat="false" ht="15" hidden="false" customHeight="false" outlineLevel="0" collapsed="false">
      <c r="A135" s="13"/>
      <c r="B135" s="14"/>
      <c r="C135" s="15"/>
      <c r="D135" s="15"/>
      <c r="E135" s="15"/>
      <c r="F135" s="15"/>
      <c r="G135" s="15"/>
      <c r="H135" s="16" t="str">
        <f aca="false">IF(OR(F135="",F135=0),IF(G135="","",1),MIN(1,G135/F135))</f>
        <v/>
      </c>
      <c r="I135" s="15"/>
      <c r="J135" s="17" t="str">
        <f aca="false">IF(C135="","",(C135&gt;=Targets!$B$2)+(D135&gt;=Targets!$B$3)+(E135&gt;=Targets!$B$4)+(N(H135)&gt;=1))&amp;"/4"</f>
        <v>/4</v>
      </c>
      <c r="K135" s="14"/>
    </row>
    <row r="136" customFormat="false" ht="15" hidden="false" customHeight="false" outlineLevel="0" collapsed="false">
      <c r="A136" s="13"/>
      <c r="B136" s="14"/>
      <c r="C136" s="15"/>
      <c r="D136" s="15"/>
      <c r="E136" s="15"/>
      <c r="F136" s="15"/>
      <c r="G136" s="15"/>
      <c r="H136" s="16" t="str">
        <f aca="false">IF(OR(F136="",F136=0),IF(G136="","",1),MIN(1,G136/F136))</f>
        <v/>
      </c>
      <c r="I136" s="15"/>
      <c r="J136" s="17" t="str">
        <f aca="false">IF(C136="","",(C136&gt;=Targets!$B$2)+(D136&gt;=Targets!$B$3)+(E136&gt;=Targets!$B$4)+(N(H136)&gt;=1))&amp;"/4"</f>
        <v>/4</v>
      </c>
      <c r="K136" s="14"/>
    </row>
    <row r="137" customFormat="false" ht="15" hidden="false" customHeight="false" outlineLevel="0" collapsed="false">
      <c r="A137" s="13"/>
      <c r="B137" s="14"/>
      <c r="C137" s="15"/>
      <c r="D137" s="15"/>
      <c r="E137" s="15"/>
      <c r="F137" s="15"/>
      <c r="G137" s="15"/>
      <c r="H137" s="16" t="str">
        <f aca="false">IF(OR(F137="",F137=0),IF(G137="","",1),MIN(1,G137/F137))</f>
        <v/>
      </c>
      <c r="I137" s="15"/>
      <c r="J137" s="17" t="str">
        <f aca="false">IF(C137="","",(C137&gt;=Targets!$B$2)+(D137&gt;=Targets!$B$3)+(E137&gt;=Targets!$B$4)+(N(H137)&gt;=1))&amp;"/4"</f>
        <v>/4</v>
      </c>
      <c r="K137" s="14"/>
    </row>
    <row r="138" customFormat="false" ht="15" hidden="false" customHeight="false" outlineLevel="0" collapsed="false">
      <c r="A138" s="13"/>
      <c r="B138" s="14"/>
      <c r="C138" s="15"/>
      <c r="D138" s="15"/>
      <c r="E138" s="15"/>
      <c r="F138" s="15"/>
      <c r="G138" s="15"/>
      <c r="H138" s="16" t="str">
        <f aca="false">IF(OR(F138="",F138=0),IF(G138="","",1),MIN(1,G138/F138))</f>
        <v/>
      </c>
      <c r="I138" s="15"/>
      <c r="J138" s="17" t="str">
        <f aca="false">IF(C138="","",(C138&gt;=Targets!$B$2)+(D138&gt;=Targets!$B$3)+(E138&gt;=Targets!$B$4)+(N(H138)&gt;=1))&amp;"/4"</f>
        <v>/4</v>
      </c>
      <c r="K138" s="14"/>
    </row>
    <row r="139" customFormat="false" ht="15" hidden="false" customHeight="false" outlineLevel="0" collapsed="false">
      <c r="A139" s="13"/>
      <c r="B139" s="14"/>
      <c r="C139" s="15"/>
      <c r="D139" s="15"/>
      <c r="E139" s="15"/>
      <c r="F139" s="15"/>
      <c r="G139" s="15"/>
      <c r="H139" s="16" t="str">
        <f aca="false">IF(OR(F139="",F139=0),IF(G139="","",1),MIN(1,G139/F139))</f>
        <v/>
      </c>
      <c r="I139" s="15"/>
      <c r="J139" s="17" t="str">
        <f aca="false">IF(C139="","",(C139&gt;=Targets!$B$2)+(D139&gt;=Targets!$B$3)+(E139&gt;=Targets!$B$4)+(N(H139)&gt;=1))&amp;"/4"</f>
        <v>/4</v>
      </c>
      <c r="K139" s="14"/>
    </row>
    <row r="140" customFormat="false" ht="15" hidden="false" customHeight="false" outlineLevel="0" collapsed="false">
      <c r="A140" s="13"/>
      <c r="B140" s="14"/>
      <c r="C140" s="15"/>
      <c r="D140" s="15"/>
      <c r="E140" s="15"/>
      <c r="F140" s="15"/>
      <c r="G140" s="15"/>
      <c r="H140" s="16" t="str">
        <f aca="false">IF(OR(F140="",F140=0),IF(G140="","",1),MIN(1,G140/F140))</f>
        <v/>
      </c>
      <c r="I140" s="15"/>
      <c r="J140" s="17" t="str">
        <f aca="false">IF(C140="","",(C140&gt;=Targets!$B$2)+(D140&gt;=Targets!$B$3)+(E140&gt;=Targets!$B$4)+(N(H140)&gt;=1))&amp;"/4"</f>
        <v>/4</v>
      </c>
      <c r="K140" s="14"/>
    </row>
    <row r="141" customFormat="false" ht="15" hidden="false" customHeight="false" outlineLevel="0" collapsed="false">
      <c r="A141" s="13"/>
      <c r="B141" s="14"/>
      <c r="C141" s="15"/>
      <c r="D141" s="15"/>
      <c r="E141" s="15"/>
      <c r="F141" s="15"/>
      <c r="G141" s="15"/>
      <c r="H141" s="16" t="str">
        <f aca="false">IF(OR(F141="",F141=0),IF(G141="","",1),MIN(1,G141/F141))</f>
        <v/>
      </c>
      <c r="I141" s="15"/>
      <c r="J141" s="17" t="str">
        <f aca="false">IF(C141="","",(C141&gt;=Targets!$B$2)+(D141&gt;=Targets!$B$3)+(E141&gt;=Targets!$B$4)+(N(H141)&gt;=1))&amp;"/4"</f>
        <v>/4</v>
      </c>
      <c r="K141" s="14"/>
    </row>
    <row r="142" customFormat="false" ht="15" hidden="false" customHeight="false" outlineLevel="0" collapsed="false">
      <c r="A142" s="13"/>
      <c r="B142" s="14"/>
      <c r="C142" s="15"/>
      <c r="D142" s="15"/>
      <c r="E142" s="15"/>
      <c r="F142" s="15"/>
      <c r="G142" s="15"/>
      <c r="H142" s="16" t="str">
        <f aca="false">IF(OR(F142="",F142=0),IF(G142="","",1),MIN(1,G142/F142))</f>
        <v/>
      </c>
      <c r="I142" s="15"/>
      <c r="J142" s="17" t="str">
        <f aca="false">IF(C142="","",(C142&gt;=Targets!$B$2)+(D142&gt;=Targets!$B$3)+(E142&gt;=Targets!$B$4)+(N(H142)&gt;=1))&amp;"/4"</f>
        <v>/4</v>
      </c>
      <c r="K142" s="14"/>
    </row>
    <row r="143" customFormat="false" ht="15" hidden="false" customHeight="false" outlineLevel="0" collapsed="false">
      <c r="A143" s="13"/>
      <c r="B143" s="14"/>
      <c r="C143" s="15"/>
      <c r="D143" s="15"/>
      <c r="E143" s="15"/>
      <c r="F143" s="15"/>
      <c r="G143" s="15"/>
      <c r="H143" s="16" t="str">
        <f aca="false">IF(OR(F143="",F143=0),IF(G143="","",1),MIN(1,G143/F143))</f>
        <v/>
      </c>
      <c r="I143" s="15"/>
      <c r="J143" s="17" t="str">
        <f aca="false">IF(C143="","",(C143&gt;=Targets!$B$2)+(D143&gt;=Targets!$B$3)+(E143&gt;=Targets!$B$4)+(N(H143)&gt;=1))&amp;"/4"</f>
        <v>/4</v>
      </c>
      <c r="K143" s="14"/>
    </row>
    <row r="144" customFormat="false" ht="15" hidden="false" customHeight="false" outlineLevel="0" collapsed="false">
      <c r="A144" s="13"/>
      <c r="B144" s="14"/>
      <c r="C144" s="15"/>
      <c r="D144" s="15"/>
      <c r="E144" s="15"/>
      <c r="F144" s="15"/>
      <c r="G144" s="15"/>
      <c r="H144" s="16" t="str">
        <f aca="false">IF(OR(F144="",F144=0),IF(G144="","",1),MIN(1,G144/F144))</f>
        <v/>
      </c>
      <c r="I144" s="15"/>
      <c r="J144" s="17" t="str">
        <f aca="false">IF(C144="","",(C144&gt;=Targets!$B$2)+(D144&gt;=Targets!$B$3)+(E144&gt;=Targets!$B$4)+(N(H144)&gt;=1))&amp;"/4"</f>
        <v>/4</v>
      </c>
      <c r="K144" s="14"/>
    </row>
    <row r="145" customFormat="false" ht="15" hidden="false" customHeight="false" outlineLevel="0" collapsed="false">
      <c r="A145" s="13"/>
      <c r="B145" s="14"/>
      <c r="C145" s="15"/>
      <c r="D145" s="15"/>
      <c r="E145" s="15"/>
      <c r="F145" s="15"/>
      <c r="G145" s="15"/>
      <c r="H145" s="16" t="str">
        <f aca="false">IF(OR(F145="",F145=0),IF(G145="","",1),MIN(1,G145/F145))</f>
        <v/>
      </c>
      <c r="I145" s="15"/>
      <c r="J145" s="17" t="str">
        <f aca="false">IF(C145="","",(C145&gt;=Targets!$B$2)+(D145&gt;=Targets!$B$3)+(E145&gt;=Targets!$B$4)+(N(H145)&gt;=1))&amp;"/4"</f>
        <v>/4</v>
      </c>
      <c r="K145" s="14"/>
    </row>
    <row r="146" customFormat="false" ht="15" hidden="false" customHeight="false" outlineLevel="0" collapsed="false">
      <c r="A146" s="13"/>
      <c r="B146" s="14"/>
      <c r="C146" s="15"/>
      <c r="D146" s="15"/>
      <c r="E146" s="15"/>
      <c r="F146" s="15"/>
      <c r="G146" s="15"/>
      <c r="H146" s="16" t="str">
        <f aca="false">IF(OR(F146="",F146=0),IF(G146="","",1),MIN(1,G146/F146))</f>
        <v/>
      </c>
      <c r="I146" s="15"/>
      <c r="J146" s="17" t="str">
        <f aca="false">IF(C146="","",(C146&gt;=Targets!$B$2)+(D146&gt;=Targets!$B$3)+(E146&gt;=Targets!$B$4)+(N(H146)&gt;=1))&amp;"/4"</f>
        <v>/4</v>
      </c>
      <c r="K146" s="14"/>
    </row>
    <row r="147" customFormat="false" ht="15" hidden="false" customHeight="false" outlineLevel="0" collapsed="false">
      <c r="A147" s="13"/>
      <c r="B147" s="14"/>
      <c r="C147" s="15"/>
      <c r="D147" s="15"/>
      <c r="E147" s="15"/>
      <c r="F147" s="15"/>
      <c r="G147" s="15"/>
      <c r="H147" s="16" t="str">
        <f aca="false">IF(OR(F147="",F147=0),IF(G147="","",1),MIN(1,G147/F147))</f>
        <v/>
      </c>
      <c r="I147" s="15"/>
      <c r="J147" s="17" t="str">
        <f aca="false">IF(C147="","",(C147&gt;=Targets!$B$2)+(D147&gt;=Targets!$B$3)+(E147&gt;=Targets!$B$4)+(N(H147)&gt;=1))&amp;"/4"</f>
        <v>/4</v>
      </c>
      <c r="K147" s="14"/>
    </row>
    <row r="148" customFormat="false" ht="15" hidden="false" customHeight="false" outlineLevel="0" collapsed="false">
      <c r="A148" s="13"/>
      <c r="B148" s="14"/>
      <c r="C148" s="15"/>
      <c r="D148" s="15"/>
      <c r="E148" s="15"/>
      <c r="F148" s="15"/>
      <c r="G148" s="15"/>
      <c r="H148" s="16" t="str">
        <f aca="false">IF(OR(F148="",F148=0),IF(G148="","",1),MIN(1,G148/F148))</f>
        <v/>
      </c>
      <c r="I148" s="15"/>
      <c r="J148" s="17" t="str">
        <f aca="false">IF(C148="","",(C148&gt;=Targets!$B$2)+(D148&gt;=Targets!$B$3)+(E148&gt;=Targets!$B$4)+(N(H148)&gt;=1))&amp;"/4"</f>
        <v>/4</v>
      </c>
      <c r="K148" s="14"/>
    </row>
    <row r="149" customFormat="false" ht="15" hidden="false" customHeight="false" outlineLevel="0" collapsed="false">
      <c r="A149" s="13"/>
      <c r="B149" s="14"/>
      <c r="C149" s="15"/>
      <c r="D149" s="15"/>
      <c r="E149" s="15"/>
      <c r="F149" s="15"/>
      <c r="G149" s="15"/>
      <c r="H149" s="16" t="str">
        <f aca="false">IF(OR(F149="",F149=0),IF(G149="","",1),MIN(1,G149/F149))</f>
        <v/>
      </c>
      <c r="I149" s="15"/>
      <c r="J149" s="17" t="str">
        <f aca="false">IF(C149="","",(C149&gt;=Targets!$B$2)+(D149&gt;=Targets!$B$3)+(E149&gt;=Targets!$B$4)+(N(H149)&gt;=1))&amp;"/4"</f>
        <v>/4</v>
      </c>
      <c r="K149" s="14"/>
    </row>
    <row r="150" customFormat="false" ht="15" hidden="false" customHeight="false" outlineLevel="0" collapsed="false">
      <c r="A150" s="13"/>
      <c r="B150" s="14"/>
      <c r="C150" s="15"/>
      <c r="D150" s="15"/>
      <c r="E150" s="15"/>
      <c r="F150" s="15"/>
      <c r="G150" s="15"/>
      <c r="H150" s="16" t="str">
        <f aca="false">IF(OR(F150="",F150=0),IF(G150="","",1),MIN(1,G150/F150))</f>
        <v/>
      </c>
      <c r="I150" s="15"/>
      <c r="J150" s="17" t="str">
        <f aca="false">IF(C150="","",(C150&gt;=Targets!$B$2)+(D150&gt;=Targets!$B$3)+(E150&gt;=Targets!$B$4)+(N(H150)&gt;=1))&amp;"/4"</f>
        <v>/4</v>
      </c>
      <c r="K150" s="14"/>
    </row>
    <row r="151" customFormat="false" ht="15" hidden="false" customHeight="false" outlineLevel="0" collapsed="false">
      <c r="A151" s="13"/>
      <c r="B151" s="14"/>
      <c r="C151" s="15"/>
      <c r="D151" s="15"/>
      <c r="E151" s="15"/>
      <c r="F151" s="15"/>
      <c r="G151" s="15"/>
      <c r="H151" s="16" t="str">
        <f aca="false">IF(OR(F151="",F151=0),IF(G151="","",1),MIN(1,G151/F151))</f>
        <v/>
      </c>
      <c r="I151" s="15"/>
      <c r="J151" s="17" t="str">
        <f aca="false">IF(C151="","",(C151&gt;=Targets!$B$2)+(D151&gt;=Targets!$B$3)+(E151&gt;=Targets!$B$4)+(N(H151)&gt;=1))&amp;"/4"</f>
        <v>/4</v>
      </c>
      <c r="K151" s="14"/>
    </row>
    <row r="152" customFormat="false" ht="15" hidden="false" customHeight="false" outlineLevel="0" collapsed="false">
      <c r="A152" s="13"/>
      <c r="B152" s="14"/>
      <c r="C152" s="15"/>
      <c r="D152" s="15"/>
      <c r="E152" s="15"/>
      <c r="F152" s="15"/>
      <c r="G152" s="15"/>
      <c r="H152" s="16" t="str">
        <f aca="false">IF(OR(F152="",F152=0),IF(G152="","",1),MIN(1,G152/F152))</f>
        <v/>
      </c>
      <c r="I152" s="15"/>
      <c r="J152" s="17" t="str">
        <f aca="false">IF(C152="","",(C152&gt;=Targets!$B$2)+(D152&gt;=Targets!$B$3)+(E152&gt;=Targets!$B$4)+(N(H152)&gt;=1))&amp;"/4"</f>
        <v>/4</v>
      </c>
      <c r="K152" s="14"/>
    </row>
    <row r="153" customFormat="false" ht="15" hidden="false" customHeight="false" outlineLevel="0" collapsed="false">
      <c r="A153" s="13"/>
      <c r="B153" s="14"/>
      <c r="C153" s="15"/>
      <c r="D153" s="15"/>
      <c r="E153" s="15"/>
      <c r="F153" s="15"/>
      <c r="G153" s="15"/>
      <c r="H153" s="16" t="str">
        <f aca="false">IF(OR(F153="",F153=0),IF(G153="","",1),MIN(1,G153/F153))</f>
        <v/>
      </c>
      <c r="I153" s="15"/>
      <c r="J153" s="17" t="str">
        <f aca="false">IF(C153="","",(C153&gt;=Targets!$B$2)+(D153&gt;=Targets!$B$3)+(E153&gt;=Targets!$B$4)+(N(H153)&gt;=1))&amp;"/4"</f>
        <v>/4</v>
      </c>
      <c r="K153" s="14"/>
    </row>
    <row r="154" customFormat="false" ht="15" hidden="false" customHeight="false" outlineLevel="0" collapsed="false">
      <c r="A154" s="13"/>
      <c r="B154" s="14"/>
      <c r="C154" s="15"/>
      <c r="D154" s="15"/>
      <c r="E154" s="15"/>
      <c r="F154" s="15"/>
      <c r="G154" s="15"/>
      <c r="H154" s="16" t="str">
        <f aca="false">IF(OR(F154="",F154=0),IF(G154="","",1),MIN(1,G154/F154))</f>
        <v/>
      </c>
      <c r="I154" s="15"/>
      <c r="J154" s="17" t="str">
        <f aca="false">IF(C154="","",(C154&gt;=Targets!$B$2)+(D154&gt;=Targets!$B$3)+(E154&gt;=Targets!$B$4)+(N(H154)&gt;=1))&amp;"/4"</f>
        <v>/4</v>
      </c>
      <c r="K154" s="14"/>
    </row>
    <row r="155" customFormat="false" ht="15" hidden="false" customHeight="false" outlineLevel="0" collapsed="false">
      <c r="A155" s="13"/>
      <c r="B155" s="14"/>
      <c r="C155" s="15"/>
      <c r="D155" s="15"/>
      <c r="E155" s="15"/>
      <c r="F155" s="15"/>
      <c r="G155" s="15"/>
      <c r="H155" s="16" t="str">
        <f aca="false">IF(OR(F155="",F155=0),IF(G155="","",1),MIN(1,G155/F155))</f>
        <v/>
      </c>
      <c r="I155" s="15"/>
      <c r="J155" s="17" t="str">
        <f aca="false">IF(C155="","",(C155&gt;=Targets!$B$2)+(D155&gt;=Targets!$B$3)+(E155&gt;=Targets!$B$4)+(N(H155)&gt;=1))&amp;"/4"</f>
        <v>/4</v>
      </c>
      <c r="K155" s="14"/>
    </row>
    <row r="156" customFormat="false" ht="15" hidden="false" customHeight="false" outlineLevel="0" collapsed="false">
      <c r="A156" s="13"/>
      <c r="B156" s="14"/>
      <c r="C156" s="15"/>
      <c r="D156" s="15"/>
      <c r="E156" s="15"/>
      <c r="F156" s="15"/>
      <c r="G156" s="15"/>
      <c r="H156" s="16" t="str">
        <f aca="false">IF(OR(F156="",F156=0),IF(G156="","",1),MIN(1,G156/F156))</f>
        <v/>
      </c>
      <c r="I156" s="15"/>
      <c r="J156" s="17" t="str">
        <f aca="false">IF(C156="","",(C156&gt;=Targets!$B$2)+(D156&gt;=Targets!$B$3)+(E156&gt;=Targets!$B$4)+(N(H156)&gt;=1))&amp;"/4"</f>
        <v>/4</v>
      </c>
      <c r="K156" s="14"/>
    </row>
    <row r="157" customFormat="false" ht="15" hidden="false" customHeight="false" outlineLevel="0" collapsed="false">
      <c r="A157" s="13"/>
      <c r="B157" s="14"/>
      <c r="C157" s="15"/>
      <c r="D157" s="15"/>
      <c r="E157" s="15"/>
      <c r="F157" s="15"/>
      <c r="G157" s="15"/>
      <c r="H157" s="16" t="str">
        <f aca="false">IF(OR(F157="",F157=0),IF(G157="","",1),MIN(1,G157/F157))</f>
        <v/>
      </c>
      <c r="I157" s="15"/>
      <c r="J157" s="17" t="str">
        <f aca="false">IF(C157="","",(C157&gt;=Targets!$B$2)+(D157&gt;=Targets!$B$3)+(E157&gt;=Targets!$B$4)+(N(H157)&gt;=1))&amp;"/4"</f>
        <v>/4</v>
      </c>
      <c r="K157" s="14"/>
    </row>
    <row r="158" customFormat="false" ht="15" hidden="false" customHeight="false" outlineLevel="0" collapsed="false">
      <c r="A158" s="13"/>
      <c r="B158" s="14"/>
      <c r="C158" s="15"/>
      <c r="D158" s="15"/>
      <c r="E158" s="15"/>
      <c r="F158" s="15"/>
      <c r="G158" s="15"/>
      <c r="H158" s="16" t="str">
        <f aca="false">IF(OR(F158="",F158=0),IF(G158="","",1),MIN(1,G158/F158))</f>
        <v/>
      </c>
      <c r="I158" s="15"/>
      <c r="J158" s="17" t="str">
        <f aca="false">IF(C158="","",(C158&gt;=Targets!$B$2)+(D158&gt;=Targets!$B$3)+(E158&gt;=Targets!$B$4)+(N(H158)&gt;=1))&amp;"/4"</f>
        <v>/4</v>
      </c>
      <c r="K158" s="14"/>
    </row>
    <row r="159" customFormat="false" ht="15" hidden="false" customHeight="false" outlineLevel="0" collapsed="false">
      <c r="A159" s="13"/>
      <c r="B159" s="14"/>
      <c r="C159" s="15"/>
      <c r="D159" s="15"/>
      <c r="E159" s="15"/>
      <c r="F159" s="15"/>
      <c r="G159" s="15"/>
      <c r="H159" s="16" t="str">
        <f aca="false">IF(OR(F159="",F159=0),IF(G159="","",1),MIN(1,G159/F159))</f>
        <v/>
      </c>
      <c r="I159" s="15"/>
      <c r="J159" s="17" t="str">
        <f aca="false">IF(C159="","",(C159&gt;=Targets!$B$2)+(D159&gt;=Targets!$B$3)+(E159&gt;=Targets!$B$4)+(N(H159)&gt;=1))&amp;"/4"</f>
        <v>/4</v>
      </c>
      <c r="K159" s="14"/>
    </row>
    <row r="160" customFormat="false" ht="15" hidden="false" customHeight="false" outlineLevel="0" collapsed="false">
      <c r="A160" s="13"/>
      <c r="B160" s="14"/>
      <c r="C160" s="15"/>
      <c r="D160" s="15"/>
      <c r="E160" s="15"/>
      <c r="F160" s="15"/>
      <c r="G160" s="15"/>
      <c r="H160" s="16" t="str">
        <f aca="false">IF(OR(F160="",F160=0),IF(G160="","",1),MIN(1,G160/F160))</f>
        <v/>
      </c>
      <c r="I160" s="15"/>
      <c r="J160" s="17" t="str">
        <f aca="false">IF(C160="","",(C160&gt;=Targets!$B$2)+(D160&gt;=Targets!$B$3)+(E160&gt;=Targets!$B$4)+(N(H160)&gt;=1))&amp;"/4"</f>
        <v>/4</v>
      </c>
      <c r="K160" s="14"/>
    </row>
    <row r="161" customFormat="false" ht="15" hidden="false" customHeight="false" outlineLevel="0" collapsed="false">
      <c r="A161" s="13"/>
      <c r="B161" s="14"/>
      <c r="C161" s="15"/>
      <c r="D161" s="15"/>
      <c r="E161" s="15"/>
      <c r="F161" s="15"/>
      <c r="G161" s="15"/>
      <c r="H161" s="16" t="str">
        <f aca="false">IF(OR(F161="",F161=0),IF(G161="","",1),MIN(1,G161/F161))</f>
        <v/>
      </c>
      <c r="I161" s="15"/>
      <c r="J161" s="17" t="str">
        <f aca="false">IF(C161="","",(C161&gt;=Targets!$B$2)+(D161&gt;=Targets!$B$3)+(E161&gt;=Targets!$B$4)+(N(H161)&gt;=1))&amp;"/4"</f>
        <v>/4</v>
      </c>
      <c r="K161" s="14"/>
    </row>
    <row r="162" customFormat="false" ht="15" hidden="false" customHeight="false" outlineLevel="0" collapsed="false">
      <c r="A162" s="13"/>
      <c r="B162" s="14"/>
      <c r="C162" s="15"/>
      <c r="D162" s="15"/>
      <c r="E162" s="15"/>
      <c r="F162" s="15"/>
      <c r="G162" s="15"/>
      <c r="H162" s="16" t="str">
        <f aca="false">IF(OR(F162="",F162=0),IF(G162="","",1),MIN(1,G162/F162))</f>
        <v/>
      </c>
      <c r="I162" s="15"/>
      <c r="J162" s="17" t="str">
        <f aca="false">IF(C162="","",(C162&gt;=Targets!$B$2)+(D162&gt;=Targets!$B$3)+(E162&gt;=Targets!$B$4)+(N(H162)&gt;=1))&amp;"/4"</f>
        <v>/4</v>
      </c>
      <c r="K162" s="14"/>
    </row>
    <row r="163" customFormat="false" ht="15" hidden="false" customHeight="false" outlineLevel="0" collapsed="false">
      <c r="A163" s="13"/>
      <c r="B163" s="14"/>
      <c r="C163" s="15"/>
      <c r="D163" s="15"/>
      <c r="E163" s="15"/>
      <c r="F163" s="15"/>
      <c r="G163" s="15"/>
      <c r="H163" s="16" t="str">
        <f aca="false">IF(OR(F163="",F163=0),IF(G163="","",1),MIN(1,G163/F163))</f>
        <v/>
      </c>
      <c r="I163" s="15"/>
      <c r="J163" s="17" t="str">
        <f aca="false">IF(C163="","",(C163&gt;=Targets!$B$2)+(D163&gt;=Targets!$B$3)+(E163&gt;=Targets!$B$4)+(N(H163)&gt;=1))&amp;"/4"</f>
        <v>/4</v>
      </c>
      <c r="K163" s="14"/>
    </row>
    <row r="164" customFormat="false" ht="15" hidden="false" customHeight="false" outlineLevel="0" collapsed="false">
      <c r="A164" s="13"/>
      <c r="B164" s="14"/>
      <c r="C164" s="15"/>
      <c r="D164" s="15"/>
      <c r="E164" s="15"/>
      <c r="F164" s="15"/>
      <c r="G164" s="15"/>
      <c r="H164" s="16" t="str">
        <f aca="false">IF(OR(F164="",F164=0),IF(G164="","",1),MIN(1,G164/F164))</f>
        <v/>
      </c>
      <c r="I164" s="15"/>
      <c r="J164" s="17" t="str">
        <f aca="false">IF(C164="","",(C164&gt;=Targets!$B$2)+(D164&gt;=Targets!$B$3)+(E164&gt;=Targets!$B$4)+(N(H164)&gt;=1))&amp;"/4"</f>
        <v>/4</v>
      </c>
      <c r="K164" s="14"/>
    </row>
    <row r="165" customFormat="false" ht="15" hidden="false" customHeight="false" outlineLevel="0" collapsed="false">
      <c r="A165" s="13"/>
      <c r="B165" s="14"/>
      <c r="C165" s="15"/>
      <c r="D165" s="15"/>
      <c r="E165" s="15"/>
      <c r="F165" s="15"/>
      <c r="G165" s="15"/>
      <c r="H165" s="16" t="str">
        <f aca="false">IF(OR(F165="",F165=0),IF(G165="","",1),MIN(1,G165/F165))</f>
        <v/>
      </c>
      <c r="I165" s="15"/>
      <c r="J165" s="17" t="str">
        <f aca="false">IF(C165="","",(C165&gt;=Targets!$B$2)+(D165&gt;=Targets!$B$3)+(E165&gt;=Targets!$B$4)+(N(H165)&gt;=1))&amp;"/4"</f>
        <v>/4</v>
      </c>
      <c r="K165" s="14"/>
    </row>
    <row r="166" customFormat="false" ht="15" hidden="false" customHeight="false" outlineLevel="0" collapsed="false">
      <c r="A166" s="13"/>
      <c r="B166" s="14"/>
      <c r="C166" s="15"/>
      <c r="D166" s="15"/>
      <c r="E166" s="15"/>
      <c r="F166" s="15"/>
      <c r="G166" s="15"/>
      <c r="H166" s="16" t="str">
        <f aca="false">IF(OR(F166="",F166=0),IF(G166="","",1),MIN(1,G166/F166))</f>
        <v/>
      </c>
      <c r="I166" s="15"/>
      <c r="J166" s="17" t="str">
        <f aca="false">IF(C166="","",(C166&gt;=Targets!$B$2)+(D166&gt;=Targets!$B$3)+(E166&gt;=Targets!$B$4)+(N(H166)&gt;=1))&amp;"/4"</f>
        <v>/4</v>
      </c>
      <c r="K166" s="14"/>
    </row>
    <row r="167" customFormat="false" ht="15" hidden="false" customHeight="false" outlineLevel="0" collapsed="false">
      <c r="A167" s="13"/>
      <c r="B167" s="14"/>
      <c r="C167" s="15"/>
      <c r="D167" s="15"/>
      <c r="E167" s="15"/>
      <c r="F167" s="15"/>
      <c r="G167" s="15"/>
      <c r="H167" s="16" t="str">
        <f aca="false">IF(OR(F167="",F167=0),IF(G167="","",1),MIN(1,G167/F167))</f>
        <v/>
      </c>
      <c r="I167" s="15"/>
      <c r="J167" s="17" t="str">
        <f aca="false">IF(C167="","",(C167&gt;=Targets!$B$2)+(D167&gt;=Targets!$B$3)+(E167&gt;=Targets!$B$4)+(N(H167)&gt;=1))&amp;"/4"</f>
        <v>/4</v>
      </c>
      <c r="K167" s="14"/>
    </row>
    <row r="168" customFormat="false" ht="15" hidden="false" customHeight="false" outlineLevel="0" collapsed="false">
      <c r="A168" s="13"/>
      <c r="B168" s="14"/>
      <c r="C168" s="15"/>
      <c r="D168" s="15"/>
      <c r="E168" s="15"/>
      <c r="F168" s="15"/>
      <c r="G168" s="15"/>
      <c r="H168" s="16" t="str">
        <f aca="false">IF(OR(F168="",F168=0),IF(G168="","",1),MIN(1,G168/F168))</f>
        <v/>
      </c>
      <c r="I168" s="15"/>
      <c r="J168" s="17" t="str">
        <f aca="false">IF(C168="","",(C168&gt;=Targets!$B$2)+(D168&gt;=Targets!$B$3)+(E168&gt;=Targets!$B$4)+(N(H168)&gt;=1))&amp;"/4"</f>
        <v>/4</v>
      </c>
      <c r="K168" s="14"/>
    </row>
    <row r="169" customFormat="false" ht="15" hidden="false" customHeight="false" outlineLevel="0" collapsed="false">
      <c r="A169" s="13"/>
      <c r="B169" s="14"/>
      <c r="C169" s="15"/>
      <c r="D169" s="15"/>
      <c r="E169" s="15"/>
      <c r="F169" s="15"/>
      <c r="G169" s="15"/>
      <c r="H169" s="16" t="str">
        <f aca="false">IF(OR(F169="",F169=0),IF(G169="","",1),MIN(1,G169/F169))</f>
        <v/>
      </c>
      <c r="I169" s="15"/>
      <c r="J169" s="17" t="str">
        <f aca="false">IF(C169="","",(C169&gt;=Targets!$B$2)+(D169&gt;=Targets!$B$3)+(E169&gt;=Targets!$B$4)+(N(H169)&gt;=1))&amp;"/4"</f>
        <v>/4</v>
      </c>
      <c r="K169" s="14"/>
    </row>
    <row r="170" customFormat="false" ht="15" hidden="false" customHeight="false" outlineLevel="0" collapsed="false">
      <c r="A170" s="13"/>
      <c r="B170" s="14"/>
      <c r="C170" s="15"/>
      <c r="D170" s="15"/>
      <c r="E170" s="15"/>
      <c r="F170" s="15"/>
      <c r="G170" s="15"/>
      <c r="H170" s="16" t="str">
        <f aca="false">IF(OR(F170="",F170=0),IF(G170="","",1),MIN(1,G170/F170))</f>
        <v/>
      </c>
      <c r="I170" s="15"/>
      <c r="J170" s="17" t="str">
        <f aca="false">IF(C170="","",(C170&gt;=Targets!$B$2)+(D170&gt;=Targets!$B$3)+(E170&gt;=Targets!$B$4)+(N(H170)&gt;=1))&amp;"/4"</f>
        <v>/4</v>
      </c>
      <c r="K170" s="14"/>
    </row>
    <row r="171" customFormat="false" ht="15" hidden="false" customHeight="false" outlineLevel="0" collapsed="false">
      <c r="A171" s="13"/>
      <c r="B171" s="14"/>
      <c r="C171" s="15"/>
      <c r="D171" s="15"/>
      <c r="E171" s="15"/>
      <c r="F171" s="15"/>
      <c r="G171" s="15"/>
      <c r="H171" s="16" t="str">
        <f aca="false">IF(OR(F171="",F171=0),IF(G171="","",1),MIN(1,G171/F171))</f>
        <v/>
      </c>
      <c r="I171" s="15"/>
      <c r="J171" s="17" t="str">
        <f aca="false">IF(C171="","",(C171&gt;=Targets!$B$2)+(D171&gt;=Targets!$B$3)+(E171&gt;=Targets!$B$4)+(N(H171)&gt;=1))&amp;"/4"</f>
        <v>/4</v>
      </c>
      <c r="K171" s="14"/>
    </row>
    <row r="172" customFormat="false" ht="15" hidden="false" customHeight="false" outlineLevel="0" collapsed="false">
      <c r="A172" s="13"/>
      <c r="B172" s="14"/>
      <c r="C172" s="15"/>
      <c r="D172" s="15"/>
      <c r="E172" s="15"/>
      <c r="F172" s="15"/>
      <c r="G172" s="15"/>
      <c r="H172" s="16" t="str">
        <f aca="false">IF(OR(F172="",F172=0),IF(G172="","",1),MIN(1,G172/F172))</f>
        <v/>
      </c>
      <c r="I172" s="15"/>
      <c r="J172" s="17" t="str">
        <f aca="false">IF(C172="","",(C172&gt;=Targets!$B$2)+(D172&gt;=Targets!$B$3)+(E172&gt;=Targets!$B$4)+(N(H172)&gt;=1))&amp;"/4"</f>
        <v>/4</v>
      </c>
      <c r="K172" s="14"/>
    </row>
    <row r="173" customFormat="false" ht="15" hidden="false" customHeight="false" outlineLevel="0" collapsed="false">
      <c r="A173" s="13"/>
      <c r="B173" s="14"/>
      <c r="C173" s="15"/>
      <c r="D173" s="15"/>
      <c r="E173" s="15"/>
      <c r="F173" s="15"/>
      <c r="G173" s="15"/>
      <c r="H173" s="16" t="str">
        <f aca="false">IF(OR(F173="",F173=0),IF(G173="","",1),MIN(1,G173/F173))</f>
        <v/>
      </c>
      <c r="I173" s="15"/>
      <c r="J173" s="17" t="str">
        <f aca="false">IF(C173="","",(C173&gt;=Targets!$B$2)+(D173&gt;=Targets!$B$3)+(E173&gt;=Targets!$B$4)+(N(H173)&gt;=1))&amp;"/4"</f>
        <v>/4</v>
      </c>
      <c r="K173" s="14"/>
    </row>
    <row r="174" customFormat="false" ht="15" hidden="false" customHeight="false" outlineLevel="0" collapsed="false">
      <c r="A174" s="13"/>
      <c r="B174" s="14"/>
      <c r="C174" s="15"/>
      <c r="D174" s="15"/>
      <c r="E174" s="15"/>
      <c r="F174" s="15"/>
      <c r="G174" s="15"/>
      <c r="H174" s="16" t="str">
        <f aca="false">IF(OR(F174="",F174=0),IF(G174="","",1),MIN(1,G174/F174))</f>
        <v/>
      </c>
      <c r="I174" s="15"/>
      <c r="J174" s="17" t="str">
        <f aca="false">IF(C174="","",(C174&gt;=Targets!$B$2)+(D174&gt;=Targets!$B$3)+(E174&gt;=Targets!$B$4)+(N(H174)&gt;=1))&amp;"/4"</f>
        <v>/4</v>
      </c>
      <c r="K174" s="14"/>
    </row>
    <row r="175" customFormat="false" ht="15" hidden="false" customHeight="false" outlineLevel="0" collapsed="false">
      <c r="A175" s="13"/>
      <c r="B175" s="14"/>
      <c r="C175" s="15"/>
      <c r="D175" s="15"/>
      <c r="E175" s="15"/>
      <c r="F175" s="15"/>
      <c r="G175" s="15"/>
      <c r="H175" s="16" t="str">
        <f aca="false">IF(OR(F175="",F175=0),IF(G175="","",1),MIN(1,G175/F175))</f>
        <v/>
      </c>
      <c r="I175" s="15"/>
      <c r="J175" s="17" t="str">
        <f aca="false">IF(C175="","",(C175&gt;=Targets!$B$2)+(D175&gt;=Targets!$B$3)+(E175&gt;=Targets!$B$4)+(N(H175)&gt;=1))&amp;"/4"</f>
        <v>/4</v>
      </c>
      <c r="K175" s="14"/>
    </row>
    <row r="176" customFormat="false" ht="15" hidden="false" customHeight="false" outlineLevel="0" collapsed="false">
      <c r="A176" s="13"/>
      <c r="B176" s="14"/>
      <c r="C176" s="15"/>
      <c r="D176" s="15"/>
      <c r="E176" s="15"/>
      <c r="F176" s="15"/>
      <c r="G176" s="15"/>
      <c r="H176" s="16" t="str">
        <f aca="false">IF(OR(F176="",F176=0),IF(G176="","",1),MIN(1,G176/F176))</f>
        <v/>
      </c>
      <c r="I176" s="15"/>
      <c r="J176" s="17" t="str">
        <f aca="false">IF(C176="","",(C176&gt;=Targets!$B$2)+(D176&gt;=Targets!$B$3)+(E176&gt;=Targets!$B$4)+(N(H176)&gt;=1))&amp;"/4"</f>
        <v>/4</v>
      </c>
      <c r="K176" s="14"/>
    </row>
    <row r="177" customFormat="false" ht="15" hidden="false" customHeight="false" outlineLevel="0" collapsed="false">
      <c r="A177" s="13"/>
      <c r="B177" s="14"/>
      <c r="C177" s="15"/>
      <c r="D177" s="15"/>
      <c r="E177" s="15"/>
      <c r="F177" s="15"/>
      <c r="G177" s="15"/>
      <c r="H177" s="16" t="str">
        <f aca="false">IF(OR(F177="",F177=0),IF(G177="","",1),MIN(1,G177/F177))</f>
        <v/>
      </c>
      <c r="I177" s="15"/>
      <c r="J177" s="17" t="str">
        <f aca="false">IF(C177="","",(C177&gt;=Targets!$B$2)+(D177&gt;=Targets!$B$3)+(E177&gt;=Targets!$B$4)+(N(H177)&gt;=1))&amp;"/4"</f>
        <v>/4</v>
      </c>
      <c r="K177" s="14"/>
    </row>
    <row r="178" customFormat="false" ht="15" hidden="false" customHeight="false" outlineLevel="0" collapsed="false">
      <c r="A178" s="13"/>
      <c r="B178" s="14"/>
      <c r="C178" s="15"/>
      <c r="D178" s="15"/>
      <c r="E178" s="15"/>
      <c r="F178" s="15"/>
      <c r="G178" s="15"/>
      <c r="H178" s="16" t="str">
        <f aca="false">IF(OR(F178="",F178=0),IF(G178="","",1),MIN(1,G178/F178))</f>
        <v/>
      </c>
      <c r="I178" s="15"/>
      <c r="J178" s="17" t="str">
        <f aca="false">IF(C178="","",(C178&gt;=Targets!$B$2)+(D178&gt;=Targets!$B$3)+(E178&gt;=Targets!$B$4)+(N(H178)&gt;=1))&amp;"/4"</f>
        <v>/4</v>
      </c>
      <c r="K178" s="14"/>
    </row>
    <row r="179" customFormat="false" ht="15" hidden="false" customHeight="false" outlineLevel="0" collapsed="false">
      <c r="A179" s="13"/>
      <c r="B179" s="14"/>
      <c r="C179" s="15"/>
      <c r="D179" s="15"/>
      <c r="E179" s="15"/>
      <c r="F179" s="15"/>
      <c r="G179" s="15"/>
      <c r="H179" s="16" t="str">
        <f aca="false">IF(OR(F179="",F179=0),IF(G179="","",1),MIN(1,G179/F179))</f>
        <v/>
      </c>
      <c r="I179" s="15"/>
      <c r="J179" s="17" t="str">
        <f aca="false">IF(C179="","",(C179&gt;=Targets!$B$2)+(D179&gt;=Targets!$B$3)+(E179&gt;=Targets!$B$4)+(N(H179)&gt;=1))&amp;"/4"</f>
        <v>/4</v>
      </c>
      <c r="K179" s="14"/>
    </row>
    <row r="180" customFormat="false" ht="15" hidden="false" customHeight="false" outlineLevel="0" collapsed="false">
      <c r="A180" s="13"/>
      <c r="B180" s="14"/>
      <c r="C180" s="15"/>
      <c r="D180" s="15"/>
      <c r="E180" s="15"/>
      <c r="F180" s="15"/>
      <c r="G180" s="15"/>
      <c r="H180" s="16" t="str">
        <f aca="false">IF(OR(F180="",F180=0),IF(G180="","",1),MIN(1,G180/F180))</f>
        <v/>
      </c>
      <c r="I180" s="15"/>
      <c r="J180" s="17" t="str">
        <f aca="false">IF(C180="","",(C180&gt;=Targets!$B$2)+(D180&gt;=Targets!$B$3)+(E180&gt;=Targets!$B$4)+(N(H180)&gt;=1))&amp;"/4"</f>
        <v>/4</v>
      </c>
      <c r="K180" s="14"/>
    </row>
    <row r="181" customFormat="false" ht="15" hidden="false" customHeight="false" outlineLevel="0" collapsed="false">
      <c r="A181" s="13"/>
      <c r="B181" s="14"/>
      <c r="C181" s="15"/>
      <c r="D181" s="15"/>
      <c r="E181" s="15"/>
      <c r="F181" s="15"/>
      <c r="G181" s="15"/>
      <c r="H181" s="16" t="str">
        <f aca="false">IF(OR(F181="",F181=0),IF(G181="","",1),MIN(1,G181/F181))</f>
        <v/>
      </c>
      <c r="I181" s="15"/>
      <c r="J181" s="17" t="str">
        <f aca="false">IF(C181="","",(C181&gt;=Targets!$B$2)+(D181&gt;=Targets!$B$3)+(E181&gt;=Targets!$B$4)+(N(H181)&gt;=1))&amp;"/4"</f>
        <v>/4</v>
      </c>
      <c r="K181" s="14"/>
    </row>
    <row r="182" customFormat="false" ht="15" hidden="false" customHeight="false" outlineLevel="0" collapsed="false">
      <c r="A182" s="13"/>
      <c r="B182" s="14"/>
      <c r="C182" s="15"/>
      <c r="D182" s="15"/>
      <c r="E182" s="15"/>
      <c r="F182" s="15"/>
      <c r="G182" s="15"/>
      <c r="H182" s="16" t="str">
        <f aca="false">IF(OR(F182="",F182=0),IF(G182="","",1),MIN(1,G182/F182))</f>
        <v/>
      </c>
      <c r="I182" s="15"/>
      <c r="J182" s="17" t="str">
        <f aca="false">IF(C182="","",(C182&gt;=Targets!$B$2)+(D182&gt;=Targets!$B$3)+(E182&gt;=Targets!$B$4)+(N(H182)&gt;=1))&amp;"/4"</f>
        <v>/4</v>
      </c>
      <c r="K182" s="14"/>
    </row>
    <row r="183" customFormat="false" ht="15" hidden="false" customHeight="false" outlineLevel="0" collapsed="false">
      <c r="A183" s="13"/>
      <c r="B183" s="14"/>
      <c r="C183" s="15"/>
      <c r="D183" s="15"/>
      <c r="E183" s="15"/>
      <c r="F183" s="15"/>
      <c r="G183" s="15"/>
      <c r="H183" s="16" t="str">
        <f aca="false">IF(OR(F183="",F183=0),IF(G183="","",1),MIN(1,G183/F183))</f>
        <v/>
      </c>
      <c r="I183" s="15"/>
      <c r="J183" s="17" t="str">
        <f aca="false">IF(C183="","",(C183&gt;=Targets!$B$2)+(D183&gt;=Targets!$B$3)+(E183&gt;=Targets!$B$4)+(N(H183)&gt;=1))&amp;"/4"</f>
        <v>/4</v>
      </c>
      <c r="K183" s="14"/>
    </row>
    <row r="184" customFormat="false" ht="15" hidden="false" customHeight="false" outlineLevel="0" collapsed="false">
      <c r="A184" s="13"/>
      <c r="B184" s="14"/>
      <c r="C184" s="15"/>
      <c r="D184" s="15"/>
      <c r="E184" s="15"/>
      <c r="F184" s="15"/>
      <c r="G184" s="15"/>
      <c r="H184" s="16" t="str">
        <f aca="false">IF(OR(F184="",F184=0),IF(G184="","",1),MIN(1,G184/F184))</f>
        <v/>
      </c>
      <c r="I184" s="15"/>
      <c r="J184" s="17" t="str">
        <f aca="false">IF(C184="","",(C184&gt;=Targets!$B$2)+(D184&gt;=Targets!$B$3)+(E184&gt;=Targets!$B$4)+(N(H184)&gt;=1))&amp;"/4"</f>
        <v>/4</v>
      </c>
      <c r="K184" s="14"/>
    </row>
    <row r="185" customFormat="false" ht="15" hidden="false" customHeight="false" outlineLevel="0" collapsed="false">
      <c r="A185" s="13"/>
      <c r="B185" s="14"/>
      <c r="C185" s="15"/>
      <c r="D185" s="15"/>
      <c r="E185" s="15"/>
      <c r="F185" s="15"/>
      <c r="G185" s="15"/>
      <c r="H185" s="16" t="str">
        <f aca="false">IF(OR(F185="",F185=0),IF(G185="","",1),MIN(1,G185/F185))</f>
        <v/>
      </c>
      <c r="I185" s="15"/>
      <c r="J185" s="17" t="str">
        <f aca="false">IF(C185="","",(C185&gt;=Targets!$B$2)+(D185&gt;=Targets!$B$3)+(E185&gt;=Targets!$B$4)+(N(H185)&gt;=1))&amp;"/4"</f>
        <v>/4</v>
      </c>
      <c r="K185" s="14"/>
    </row>
    <row r="186" customFormat="false" ht="15" hidden="false" customHeight="false" outlineLevel="0" collapsed="false">
      <c r="A186" s="13"/>
      <c r="B186" s="14"/>
      <c r="C186" s="15"/>
      <c r="D186" s="15"/>
      <c r="E186" s="15"/>
      <c r="F186" s="15"/>
      <c r="G186" s="15"/>
      <c r="H186" s="16" t="str">
        <f aca="false">IF(OR(F186="",F186=0),IF(G186="","",1),MIN(1,G186/F186))</f>
        <v/>
      </c>
      <c r="I186" s="15"/>
      <c r="J186" s="17" t="str">
        <f aca="false">IF(C186="","",(C186&gt;=Targets!$B$2)+(D186&gt;=Targets!$B$3)+(E186&gt;=Targets!$B$4)+(N(H186)&gt;=1))&amp;"/4"</f>
        <v>/4</v>
      </c>
      <c r="K186" s="14"/>
    </row>
    <row r="187" customFormat="false" ht="15" hidden="false" customHeight="false" outlineLevel="0" collapsed="false">
      <c r="A187" s="13"/>
      <c r="B187" s="14"/>
      <c r="C187" s="15"/>
      <c r="D187" s="15"/>
      <c r="E187" s="15"/>
      <c r="F187" s="15"/>
      <c r="G187" s="15"/>
      <c r="H187" s="16" t="str">
        <f aca="false">IF(OR(F187="",F187=0),IF(G187="","",1),MIN(1,G187/F187))</f>
        <v/>
      </c>
      <c r="I187" s="15"/>
      <c r="J187" s="17" t="str">
        <f aca="false">IF(C187="","",(C187&gt;=Targets!$B$2)+(D187&gt;=Targets!$B$3)+(E187&gt;=Targets!$B$4)+(N(H187)&gt;=1))&amp;"/4"</f>
        <v>/4</v>
      </c>
      <c r="K187" s="14"/>
    </row>
    <row r="188" customFormat="false" ht="15" hidden="false" customHeight="false" outlineLevel="0" collapsed="false">
      <c r="A188" s="13"/>
      <c r="B188" s="14"/>
      <c r="C188" s="15"/>
      <c r="D188" s="15"/>
      <c r="E188" s="15"/>
      <c r="F188" s="15"/>
      <c r="G188" s="15"/>
      <c r="H188" s="16" t="str">
        <f aca="false">IF(OR(F188="",F188=0),IF(G188="","",1),MIN(1,G188/F188))</f>
        <v/>
      </c>
      <c r="I188" s="15"/>
      <c r="J188" s="17" t="str">
        <f aca="false">IF(C188="","",(C188&gt;=Targets!$B$2)+(D188&gt;=Targets!$B$3)+(E188&gt;=Targets!$B$4)+(N(H188)&gt;=1))&amp;"/4"</f>
        <v>/4</v>
      </c>
      <c r="K188" s="14"/>
    </row>
    <row r="189" customFormat="false" ht="15" hidden="false" customHeight="false" outlineLevel="0" collapsed="false">
      <c r="A189" s="13"/>
      <c r="B189" s="14"/>
      <c r="C189" s="15"/>
      <c r="D189" s="15"/>
      <c r="E189" s="15"/>
      <c r="F189" s="15"/>
      <c r="G189" s="15"/>
      <c r="H189" s="16" t="str">
        <f aca="false">IF(OR(F189="",F189=0),IF(G189="","",1),MIN(1,G189/F189))</f>
        <v/>
      </c>
      <c r="I189" s="15"/>
      <c r="J189" s="17" t="str">
        <f aca="false">IF(C189="","",(C189&gt;=Targets!$B$2)+(D189&gt;=Targets!$B$3)+(E189&gt;=Targets!$B$4)+(N(H189)&gt;=1))&amp;"/4"</f>
        <v>/4</v>
      </c>
      <c r="K189" s="14"/>
    </row>
    <row r="190" customFormat="false" ht="15" hidden="false" customHeight="false" outlineLevel="0" collapsed="false">
      <c r="A190" s="13"/>
      <c r="B190" s="14"/>
      <c r="C190" s="15"/>
      <c r="D190" s="15"/>
      <c r="E190" s="15"/>
      <c r="F190" s="15"/>
      <c r="G190" s="15"/>
      <c r="H190" s="16" t="str">
        <f aca="false">IF(OR(F190="",F190=0),IF(G190="","",1),MIN(1,G190/F190))</f>
        <v/>
      </c>
      <c r="I190" s="15"/>
      <c r="J190" s="17" t="str">
        <f aca="false">IF(C190="","",(C190&gt;=Targets!$B$2)+(D190&gt;=Targets!$B$3)+(E190&gt;=Targets!$B$4)+(N(H190)&gt;=1))&amp;"/4"</f>
        <v>/4</v>
      </c>
      <c r="K190" s="14"/>
    </row>
    <row r="191" customFormat="false" ht="15" hidden="false" customHeight="false" outlineLevel="0" collapsed="false">
      <c r="A191" s="13"/>
      <c r="B191" s="14"/>
      <c r="C191" s="15"/>
      <c r="D191" s="15"/>
      <c r="E191" s="15"/>
      <c r="F191" s="15"/>
      <c r="G191" s="15"/>
      <c r="H191" s="16" t="str">
        <f aca="false">IF(OR(F191="",F191=0),IF(G191="","",1),MIN(1,G191/F191))</f>
        <v/>
      </c>
      <c r="I191" s="15"/>
      <c r="J191" s="17" t="str">
        <f aca="false">IF(C191="","",(C191&gt;=Targets!$B$2)+(D191&gt;=Targets!$B$3)+(E191&gt;=Targets!$B$4)+(N(H191)&gt;=1))&amp;"/4"</f>
        <v>/4</v>
      </c>
      <c r="K191" s="14"/>
    </row>
    <row r="192" customFormat="false" ht="15" hidden="false" customHeight="false" outlineLevel="0" collapsed="false">
      <c r="A192" s="13"/>
      <c r="B192" s="14"/>
      <c r="C192" s="15"/>
      <c r="D192" s="15"/>
      <c r="E192" s="15"/>
      <c r="F192" s="15"/>
      <c r="G192" s="15"/>
      <c r="H192" s="16" t="str">
        <f aca="false">IF(OR(F192="",F192=0),IF(G192="","",1),MIN(1,G192/F192))</f>
        <v/>
      </c>
      <c r="I192" s="15"/>
      <c r="J192" s="17" t="str">
        <f aca="false">IF(C192="","",(C192&gt;=Targets!$B$2)+(D192&gt;=Targets!$B$3)+(E192&gt;=Targets!$B$4)+(N(H192)&gt;=1))&amp;"/4"</f>
        <v>/4</v>
      </c>
      <c r="K192" s="14"/>
    </row>
    <row r="193" customFormat="false" ht="15" hidden="false" customHeight="false" outlineLevel="0" collapsed="false">
      <c r="A193" s="13"/>
      <c r="B193" s="14"/>
      <c r="C193" s="15"/>
      <c r="D193" s="15"/>
      <c r="E193" s="15"/>
      <c r="F193" s="15"/>
      <c r="G193" s="15"/>
      <c r="H193" s="16" t="str">
        <f aca="false">IF(OR(F193="",F193=0),IF(G193="","",1),MIN(1,G193/F193))</f>
        <v/>
      </c>
      <c r="I193" s="15"/>
      <c r="J193" s="17" t="str">
        <f aca="false">IF(C193="","",(C193&gt;=Targets!$B$2)+(D193&gt;=Targets!$B$3)+(E193&gt;=Targets!$B$4)+(N(H193)&gt;=1))&amp;"/4"</f>
        <v>/4</v>
      </c>
      <c r="K193" s="14"/>
    </row>
    <row r="194" customFormat="false" ht="15" hidden="false" customHeight="false" outlineLevel="0" collapsed="false">
      <c r="A194" s="13"/>
      <c r="B194" s="14"/>
      <c r="C194" s="15"/>
      <c r="D194" s="15"/>
      <c r="E194" s="15"/>
      <c r="F194" s="15"/>
      <c r="G194" s="15"/>
      <c r="H194" s="16" t="str">
        <f aca="false">IF(OR(F194="",F194=0),IF(G194="","",1),MIN(1,G194/F194))</f>
        <v/>
      </c>
      <c r="I194" s="15"/>
      <c r="J194" s="17" t="str">
        <f aca="false">IF(C194="","",(C194&gt;=Targets!$B$2)+(D194&gt;=Targets!$B$3)+(E194&gt;=Targets!$B$4)+(N(H194)&gt;=1))&amp;"/4"</f>
        <v>/4</v>
      </c>
      <c r="K194" s="14"/>
    </row>
    <row r="195" customFormat="false" ht="15" hidden="false" customHeight="false" outlineLevel="0" collapsed="false">
      <c r="A195" s="13"/>
      <c r="B195" s="14"/>
      <c r="C195" s="15"/>
      <c r="D195" s="15"/>
      <c r="E195" s="15"/>
      <c r="F195" s="15"/>
      <c r="G195" s="15"/>
      <c r="H195" s="16" t="str">
        <f aca="false">IF(OR(F195="",F195=0),IF(G195="","",1),MIN(1,G195/F195))</f>
        <v/>
      </c>
      <c r="I195" s="15"/>
      <c r="J195" s="17" t="str">
        <f aca="false">IF(C195="","",(C195&gt;=Targets!$B$2)+(D195&gt;=Targets!$B$3)+(E195&gt;=Targets!$B$4)+(N(H195)&gt;=1))&amp;"/4"</f>
        <v>/4</v>
      </c>
      <c r="K195" s="14"/>
    </row>
    <row r="196" customFormat="false" ht="15" hidden="false" customHeight="false" outlineLevel="0" collapsed="false">
      <c r="A196" s="13"/>
      <c r="B196" s="14"/>
      <c r="C196" s="15"/>
      <c r="D196" s="15"/>
      <c r="E196" s="15"/>
      <c r="F196" s="15"/>
      <c r="G196" s="15"/>
      <c r="H196" s="16" t="str">
        <f aca="false">IF(OR(F196="",F196=0),IF(G196="","",1),MIN(1,G196/F196))</f>
        <v/>
      </c>
      <c r="I196" s="15"/>
      <c r="J196" s="17" t="str">
        <f aca="false">IF(C196="","",(C196&gt;=Targets!$B$2)+(D196&gt;=Targets!$B$3)+(E196&gt;=Targets!$B$4)+(N(H196)&gt;=1))&amp;"/4"</f>
        <v>/4</v>
      </c>
      <c r="K196" s="14"/>
    </row>
    <row r="197" customFormat="false" ht="15" hidden="false" customHeight="false" outlineLevel="0" collapsed="false">
      <c r="A197" s="13"/>
      <c r="B197" s="14"/>
      <c r="C197" s="15"/>
      <c r="D197" s="15"/>
      <c r="E197" s="15"/>
      <c r="F197" s="15"/>
      <c r="G197" s="15"/>
      <c r="H197" s="16" t="str">
        <f aca="false">IF(OR(F197="",F197=0),IF(G197="","",1),MIN(1,G197/F197))</f>
        <v/>
      </c>
      <c r="I197" s="15"/>
      <c r="J197" s="17" t="str">
        <f aca="false">IF(C197="","",(C197&gt;=Targets!$B$2)+(D197&gt;=Targets!$B$3)+(E197&gt;=Targets!$B$4)+(N(H197)&gt;=1))&amp;"/4"</f>
        <v>/4</v>
      </c>
      <c r="K197" s="14"/>
    </row>
    <row r="198" customFormat="false" ht="15" hidden="false" customHeight="false" outlineLevel="0" collapsed="false">
      <c r="A198" s="13"/>
      <c r="B198" s="14"/>
      <c r="C198" s="15"/>
      <c r="D198" s="15"/>
      <c r="E198" s="15"/>
      <c r="F198" s="15"/>
      <c r="G198" s="15"/>
      <c r="H198" s="16" t="str">
        <f aca="false">IF(OR(F198="",F198=0),IF(G198="","",1),MIN(1,G198/F198))</f>
        <v/>
      </c>
      <c r="I198" s="15"/>
      <c r="J198" s="17" t="str">
        <f aca="false">IF(C198="","",(C198&gt;=Targets!$B$2)+(D198&gt;=Targets!$B$3)+(E198&gt;=Targets!$B$4)+(N(H198)&gt;=1))&amp;"/4"</f>
        <v>/4</v>
      </c>
      <c r="K198" s="14"/>
    </row>
    <row r="199" customFormat="false" ht="15" hidden="false" customHeight="false" outlineLevel="0" collapsed="false">
      <c r="A199" s="13"/>
      <c r="B199" s="14"/>
      <c r="C199" s="15"/>
      <c r="D199" s="15"/>
      <c r="E199" s="15"/>
      <c r="F199" s="15"/>
      <c r="G199" s="15"/>
      <c r="H199" s="16" t="str">
        <f aca="false">IF(OR(F199="",F199=0),IF(G199="","",1),MIN(1,G199/F199))</f>
        <v/>
      </c>
      <c r="I199" s="15"/>
      <c r="J199" s="17" t="str">
        <f aca="false">IF(C199="","",(C199&gt;=Targets!$B$2)+(D199&gt;=Targets!$B$3)+(E199&gt;=Targets!$B$4)+(N(H199)&gt;=1))&amp;"/4"</f>
        <v>/4</v>
      </c>
      <c r="K199" s="14"/>
    </row>
    <row r="200" customFormat="false" ht="15" hidden="false" customHeight="false" outlineLevel="0" collapsed="false">
      <c r="A200" s="13"/>
      <c r="B200" s="14"/>
      <c r="C200" s="15"/>
      <c r="D200" s="15"/>
      <c r="E200" s="15"/>
      <c r="F200" s="15"/>
      <c r="G200" s="15"/>
      <c r="H200" s="16" t="str">
        <f aca="false">IF(OR(F200="",F200=0),IF(G200="","",1),MIN(1,G200/F200))</f>
        <v/>
      </c>
      <c r="I200" s="15"/>
      <c r="J200" s="17" t="str">
        <f aca="false">IF(C200="","",(C200&gt;=Targets!$B$2)+(D200&gt;=Targets!$B$3)+(E200&gt;=Targets!$B$4)+(N(H200)&gt;=1))&amp;"/4"</f>
        <v>/4</v>
      </c>
      <c r="K200" s="14"/>
    </row>
    <row r="201" customFormat="false" ht="15" hidden="false" customHeight="false" outlineLevel="0" collapsed="false">
      <c r="A201" s="13"/>
      <c r="B201" s="14"/>
      <c r="C201" s="15"/>
      <c r="D201" s="15"/>
      <c r="E201" s="15"/>
      <c r="F201" s="15"/>
      <c r="G201" s="15"/>
      <c r="H201" s="16" t="str">
        <f aca="false">IF(OR(F201="",F201=0),IF(G201="","",1),MIN(1,G201/F201))</f>
        <v/>
      </c>
      <c r="I201" s="15"/>
      <c r="J201" s="17" t="str">
        <f aca="false">IF(C201="","",(C201&gt;=Targets!$B$2)+(D201&gt;=Targets!$B$3)+(E201&gt;=Targets!$B$4)+(N(H201)&gt;=1))&amp;"/4"</f>
        <v>/4</v>
      </c>
      <c r="K201" s="14"/>
    </row>
    <row r="202" customFormat="false" ht="15" hidden="false" customHeight="false" outlineLevel="0" collapsed="false">
      <c r="A202" s="13"/>
      <c r="B202" s="14"/>
      <c r="C202" s="15"/>
      <c r="D202" s="15"/>
      <c r="E202" s="15"/>
      <c r="F202" s="15"/>
      <c r="G202" s="15"/>
      <c r="H202" s="16" t="str">
        <f aca="false">IF(OR(F202="",F202=0),IF(G202="","",1),MIN(1,G202/F202))</f>
        <v/>
      </c>
      <c r="I202" s="15"/>
      <c r="J202" s="17" t="str">
        <f aca="false">IF(C202="","",(C202&gt;=Targets!$B$2)+(D202&gt;=Targets!$B$3)+(E202&gt;=Targets!$B$4)+(N(H202)&gt;=1))&amp;"/4"</f>
        <v>/4</v>
      </c>
      <c r="K202" s="14"/>
    </row>
    <row r="203" customFormat="false" ht="15" hidden="false" customHeight="false" outlineLevel="0" collapsed="false">
      <c r="A203" s="13"/>
      <c r="B203" s="14"/>
      <c r="C203" s="15"/>
      <c r="D203" s="15"/>
      <c r="E203" s="15"/>
      <c r="F203" s="15"/>
      <c r="G203" s="15"/>
      <c r="H203" s="16" t="str">
        <f aca="false">IF(OR(F203="",F203=0),IF(G203="","",1),MIN(1,G203/F203))</f>
        <v/>
      </c>
      <c r="I203" s="15"/>
      <c r="J203" s="17" t="str">
        <f aca="false">IF(C203="","",(C203&gt;=Targets!$B$2)+(D203&gt;=Targets!$B$3)+(E203&gt;=Targets!$B$4)+(N(H203)&gt;=1))&amp;"/4"</f>
        <v>/4</v>
      </c>
      <c r="K203" s="14"/>
    </row>
    <row r="204" customFormat="false" ht="15" hidden="false" customHeight="false" outlineLevel="0" collapsed="false">
      <c r="A204" s="13"/>
      <c r="B204" s="14"/>
      <c r="C204" s="15"/>
      <c r="D204" s="15"/>
      <c r="E204" s="15"/>
      <c r="F204" s="15"/>
      <c r="G204" s="15"/>
      <c r="H204" s="16" t="str">
        <f aca="false">IF(OR(F204="",F204=0),IF(G204="","",1),MIN(1,G204/F204))</f>
        <v/>
      </c>
      <c r="I204" s="15"/>
      <c r="J204" s="17" t="str">
        <f aca="false">IF(C204="","",(C204&gt;=Targets!$B$2)+(D204&gt;=Targets!$B$3)+(E204&gt;=Targets!$B$4)+(N(H204)&gt;=1))&amp;"/4"</f>
        <v>/4</v>
      </c>
      <c r="K204" s="14"/>
    </row>
    <row r="205" customFormat="false" ht="15" hidden="false" customHeight="false" outlineLevel="0" collapsed="false">
      <c r="A205" s="13"/>
      <c r="B205" s="14"/>
      <c r="C205" s="15"/>
      <c r="D205" s="15"/>
      <c r="E205" s="15"/>
      <c r="F205" s="15"/>
      <c r="G205" s="15"/>
      <c r="H205" s="16" t="str">
        <f aca="false">IF(OR(F205="",F205=0),IF(G205="","",1),MIN(1,G205/F205))</f>
        <v/>
      </c>
      <c r="I205" s="15"/>
      <c r="J205" s="17" t="str">
        <f aca="false">IF(C205="","",(C205&gt;=Targets!$B$2)+(D205&gt;=Targets!$B$3)+(E205&gt;=Targets!$B$4)+(N(H205)&gt;=1))&amp;"/4"</f>
        <v>/4</v>
      </c>
      <c r="K205" s="14"/>
    </row>
    <row r="206" customFormat="false" ht="15" hidden="false" customHeight="false" outlineLevel="0" collapsed="false">
      <c r="A206" s="13"/>
      <c r="B206" s="14"/>
      <c r="C206" s="15"/>
      <c r="D206" s="15"/>
      <c r="E206" s="15"/>
      <c r="F206" s="15"/>
      <c r="G206" s="15"/>
      <c r="H206" s="16" t="str">
        <f aca="false">IF(OR(F206="",F206=0),IF(G206="","",1),MIN(1,G206/F206))</f>
        <v/>
      </c>
      <c r="I206" s="15"/>
      <c r="J206" s="17" t="str">
        <f aca="false">IF(C206="","",(C206&gt;=Targets!$B$2)+(D206&gt;=Targets!$B$3)+(E206&gt;=Targets!$B$4)+(N(H206)&gt;=1))&amp;"/4"</f>
        <v>/4</v>
      </c>
      <c r="K206" s="14"/>
    </row>
    <row r="207" customFormat="false" ht="15" hidden="false" customHeight="false" outlineLevel="0" collapsed="false">
      <c r="A207" s="13"/>
      <c r="B207" s="14"/>
      <c r="C207" s="15"/>
      <c r="D207" s="15"/>
      <c r="E207" s="15"/>
      <c r="F207" s="15"/>
      <c r="G207" s="15"/>
      <c r="H207" s="16" t="str">
        <f aca="false">IF(OR(F207="",F207=0),IF(G207="","",1),MIN(1,G207/F207))</f>
        <v/>
      </c>
      <c r="I207" s="15"/>
      <c r="J207" s="17" t="str">
        <f aca="false">IF(C207="","",(C207&gt;=Targets!$B$2)+(D207&gt;=Targets!$B$3)+(E207&gt;=Targets!$B$4)+(N(H207)&gt;=1))&amp;"/4"</f>
        <v>/4</v>
      </c>
      <c r="K207" s="14"/>
    </row>
    <row r="208" customFormat="false" ht="15" hidden="false" customHeight="false" outlineLevel="0" collapsed="false">
      <c r="A208" s="13"/>
      <c r="B208" s="14"/>
      <c r="C208" s="15"/>
      <c r="D208" s="15"/>
      <c r="E208" s="15"/>
      <c r="F208" s="15"/>
      <c r="G208" s="15"/>
      <c r="H208" s="16" t="str">
        <f aca="false">IF(OR(F208="",F208=0),IF(G208="","",1),MIN(1,G208/F208))</f>
        <v/>
      </c>
      <c r="I208" s="15"/>
      <c r="J208" s="17" t="str">
        <f aca="false">IF(C208="","",(C208&gt;=Targets!$B$2)+(D208&gt;=Targets!$B$3)+(E208&gt;=Targets!$B$4)+(N(H208)&gt;=1))&amp;"/4"</f>
        <v>/4</v>
      </c>
      <c r="K208" s="14"/>
    </row>
    <row r="209" customFormat="false" ht="15" hidden="false" customHeight="false" outlineLevel="0" collapsed="false">
      <c r="A209" s="13"/>
      <c r="B209" s="14"/>
      <c r="C209" s="15"/>
      <c r="D209" s="15"/>
      <c r="E209" s="15"/>
      <c r="F209" s="15"/>
      <c r="G209" s="15"/>
      <c r="H209" s="16" t="str">
        <f aca="false">IF(OR(F209="",F209=0),IF(G209="","",1),MIN(1,G209/F209))</f>
        <v/>
      </c>
      <c r="I209" s="15"/>
      <c r="J209" s="17" t="str">
        <f aca="false">IF(C209="","",(C209&gt;=Targets!$B$2)+(D209&gt;=Targets!$B$3)+(E209&gt;=Targets!$B$4)+(N(H209)&gt;=1))&amp;"/4"</f>
        <v>/4</v>
      </c>
      <c r="K209" s="14"/>
    </row>
    <row r="210" customFormat="false" ht="15" hidden="false" customHeight="false" outlineLevel="0" collapsed="false">
      <c r="A210" s="13"/>
      <c r="B210" s="14"/>
      <c r="C210" s="15"/>
      <c r="D210" s="15"/>
      <c r="E210" s="15"/>
      <c r="F210" s="15"/>
      <c r="G210" s="15"/>
      <c r="H210" s="16" t="str">
        <f aca="false">IF(OR(F210="",F210=0),IF(G210="","",1),MIN(1,G210/F210))</f>
        <v/>
      </c>
      <c r="I210" s="15"/>
      <c r="J210" s="17" t="str">
        <f aca="false">IF(C210="","",(C210&gt;=Targets!$B$2)+(D210&gt;=Targets!$B$3)+(E210&gt;=Targets!$B$4)+(N(H210)&gt;=1))&amp;"/4"</f>
        <v>/4</v>
      </c>
      <c r="K210" s="14"/>
    </row>
    <row r="211" customFormat="false" ht="15" hidden="false" customHeight="false" outlineLevel="0" collapsed="false">
      <c r="A211" s="13"/>
      <c r="B211" s="14"/>
      <c r="C211" s="15"/>
      <c r="D211" s="15"/>
      <c r="E211" s="15"/>
      <c r="F211" s="15"/>
      <c r="G211" s="15"/>
      <c r="H211" s="16" t="str">
        <f aca="false">IF(OR(F211="",F211=0),IF(G211="","",1),MIN(1,G211/F211))</f>
        <v/>
      </c>
      <c r="I211" s="15"/>
      <c r="J211" s="17" t="str">
        <f aca="false">IF(C211="","",(C211&gt;=Targets!$B$2)+(D211&gt;=Targets!$B$3)+(E211&gt;=Targets!$B$4)+(N(H211)&gt;=1))&amp;"/4"</f>
        <v>/4</v>
      </c>
      <c r="K211" s="14"/>
    </row>
    <row r="212" customFormat="false" ht="15" hidden="false" customHeight="false" outlineLevel="0" collapsed="false">
      <c r="A212" s="13"/>
      <c r="B212" s="14"/>
      <c r="C212" s="15"/>
      <c r="D212" s="15"/>
      <c r="E212" s="15"/>
      <c r="F212" s="15"/>
      <c r="G212" s="15"/>
      <c r="H212" s="16" t="str">
        <f aca="false">IF(OR(F212="",F212=0),IF(G212="","",1),MIN(1,G212/F212))</f>
        <v/>
      </c>
      <c r="I212" s="15"/>
      <c r="J212" s="17" t="str">
        <f aca="false">IF(C212="","",(C212&gt;=Targets!$B$2)+(D212&gt;=Targets!$B$3)+(E212&gt;=Targets!$B$4)+(N(H212)&gt;=1))&amp;"/4"</f>
        <v>/4</v>
      </c>
      <c r="K212" s="14"/>
    </row>
    <row r="213" customFormat="false" ht="15" hidden="false" customHeight="false" outlineLevel="0" collapsed="false">
      <c r="A213" s="13"/>
      <c r="B213" s="14"/>
      <c r="C213" s="15"/>
      <c r="D213" s="15"/>
      <c r="E213" s="15"/>
      <c r="F213" s="15"/>
      <c r="G213" s="15"/>
      <c r="H213" s="16" t="str">
        <f aca="false">IF(OR(F213="",F213=0),IF(G213="","",1),MIN(1,G213/F213))</f>
        <v/>
      </c>
      <c r="I213" s="15"/>
      <c r="J213" s="17" t="str">
        <f aca="false">IF(C213="","",(C213&gt;=Targets!$B$2)+(D213&gt;=Targets!$B$3)+(E213&gt;=Targets!$B$4)+(N(H213)&gt;=1))&amp;"/4"</f>
        <v>/4</v>
      </c>
      <c r="K213" s="14"/>
    </row>
    <row r="214" customFormat="false" ht="15" hidden="false" customHeight="false" outlineLevel="0" collapsed="false">
      <c r="A214" s="13"/>
      <c r="B214" s="14"/>
      <c r="C214" s="15"/>
      <c r="D214" s="15"/>
      <c r="E214" s="15"/>
      <c r="F214" s="15"/>
      <c r="G214" s="15"/>
      <c r="H214" s="16" t="str">
        <f aca="false">IF(OR(F214="",F214=0),IF(G214="","",1),MIN(1,G214/F214))</f>
        <v/>
      </c>
      <c r="I214" s="15"/>
      <c r="J214" s="17" t="str">
        <f aca="false">IF(C214="","",(C214&gt;=Targets!$B$2)+(D214&gt;=Targets!$B$3)+(E214&gt;=Targets!$B$4)+(N(H214)&gt;=1))&amp;"/4"</f>
        <v>/4</v>
      </c>
      <c r="K214" s="14"/>
    </row>
    <row r="215" customFormat="false" ht="15" hidden="false" customHeight="false" outlineLevel="0" collapsed="false">
      <c r="A215" s="13"/>
      <c r="B215" s="14"/>
      <c r="C215" s="15"/>
      <c r="D215" s="15"/>
      <c r="E215" s="15"/>
      <c r="F215" s="15"/>
      <c r="G215" s="15"/>
      <c r="H215" s="16" t="str">
        <f aca="false">IF(OR(F215="",F215=0),IF(G215="","",1),MIN(1,G215/F215))</f>
        <v/>
      </c>
      <c r="I215" s="15"/>
      <c r="J215" s="17" t="str">
        <f aca="false">IF(C215="","",(C215&gt;=Targets!$B$2)+(D215&gt;=Targets!$B$3)+(E215&gt;=Targets!$B$4)+(N(H215)&gt;=1))&amp;"/4"</f>
        <v>/4</v>
      </c>
      <c r="K215" s="14"/>
    </row>
    <row r="216" customFormat="false" ht="15" hidden="false" customHeight="false" outlineLevel="0" collapsed="false">
      <c r="A216" s="13"/>
      <c r="B216" s="14"/>
      <c r="C216" s="15"/>
      <c r="D216" s="15"/>
      <c r="E216" s="15"/>
      <c r="F216" s="15"/>
      <c r="G216" s="15"/>
      <c r="H216" s="16" t="str">
        <f aca="false">IF(OR(F216="",F216=0),IF(G216="","",1),MIN(1,G216/F216))</f>
        <v/>
      </c>
      <c r="I216" s="15"/>
      <c r="J216" s="17" t="str">
        <f aca="false">IF(C216="","",(C216&gt;=Targets!$B$2)+(D216&gt;=Targets!$B$3)+(E216&gt;=Targets!$B$4)+(N(H216)&gt;=1))&amp;"/4"</f>
        <v>/4</v>
      </c>
      <c r="K216" s="14"/>
    </row>
    <row r="217" customFormat="false" ht="15" hidden="false" customHeight="false" outlineLevel="0" collapsed="false">
      <c r="A217" s="13"/>
      <c r="B217" s="14"/>
      <c r="C217" s="15"/>
      <c r="D217" s="15"/>
      <c r="E217" s="15"/>
      <c r="F217" s="15"/>
      <c r="G217" s="15"/>
      <c r="H217" s="16" t="str">
        <f aca="false">IF(OR(F217="",F217=0),IF(G217="","",1),MIN(1,G217/F217))</f>
        <v/>
      </c>
      <c r="I217" s="15"/>
      <c r="J217" s="17" t="str">
        <f aca="false">IF(C217="","",(C217&gt;=Targets!$B$2)+(D217&gt;=Targets!$B$3)+(E217&gt;=Targets!$B$4)+(N(H217)&gt;=1))&amp;"/4"</f>
        <v>/4</v>
      </c>
      <c r="K217" s="14"/>
    </row>
    <row r="218" customFormat="false" ht="15" hidden="false" customHeight="false" outlineLevel="0" collapsed="false">
      <c r="A218" s="13"/>
      <c r="B218" s="14"/>
      <c r="C218" s="15"/>
      <c r="D218" s="15"/>
      <c r="E218" s="15"/>
      <c r="F218" s="15"/>
      <c r="G218" s="15"/>
      <c r="H218" s="16" t="str">
        <f aca="false">IF(OR(F218="",F218=0),IF(G218="","",1),MIN(1,G218/F218))</f>
        <v/>
      </c>
      <c r="I218" s="15"/>
      <c r="J218" s="17" t="str">
        <f aca="false">IF(C218="","",(C218&gt;=Targets!$B$2)+(D218&gt;=Targets!$B$3)+(E218&gt;=Targets!$B$4)+(N(H218)&gt;=1))&amp;"/4"</f>
        <v>/4</v>
      </c>
      <c r="K218" s="14"/>
    </row>
    <row r="219" customFormat="false" ht="15" hidden="false" customHeight="false" outlineLevel="0" collapsed="false">
      <c r="A219" s="13"/>
      <c r="B219" s="14"/>
      <c r="C219" s="15"/>
      <c r="D219" s="15"/>
      <c r="E219" s="15"/>
      <c r="F219" s="15"/>
      <c r="G219" s="15"/>
      <c r="H219" s="16" t="str">
        <f aca="false">IF(OR(F219="",F219=0),IF(G219="","",1),MIN(1,G219/F219))</f>
        <v/>
      </c>
      <c r="I219" s="15"/>
      <c r="J219" s="17" t="str">
        <f aca="false">IF(C219="","",(C219&gt;=Targets!$B$2)+(D219&gt;=Targets!$B$3)+(E219&gt;=Targets!$B$4)+(N(H219)&gt;=1))&amp;"/4"</f>
        <v>/4</v>
      </c>
      <c r="K219" s="14"/>
    </row>
    <row r="220" customFormat="false" ht="15" hidden="false" customHeight="false" outlineLevel="0" collapsed="false">
      <c r="A220" s="13"/>
      <c r="B220" s="14"/>
      <c r="C220" s="15"/>
      <c r="D220" s="15"/>
      <c r="E220" s="15"/>
      <c r="F220" s="15"/>
      <c r="G220" s="15"/>
      <c r="H220" s="16" t="str">
        <f aca="false">IF(OR(F220="",F220=0),IF(G220="","",1),MIN(1,G220/F220))</f>
        <v/>
      </c>
      <c r="I220" s="15"/>
      <c r="J220" s="17" t="str">
        <f aca="false">IF(C220="","",(C220&gt;=Targets!$B$2)+(D220&gt;=Targets!$B$3)+(E220&gt;=Targets!$B$4)+(N(H220)&gt;=1))&amp;"/4"</f>
        <v>/4</v>
      </c>
      <c r="K220" s="14"/>
    </row>
    <row r="221" customFormat="false" ht="15" hidden="false" customHeight="false" outlineLevel="0" collapsed="false">
      <c r="A221" s="13"/>
      <c r="B221" s="14"/>
      <c r="C221" s="15"/>
      <c r="D221" s="15"/>
      <c r="E221" s="15"/>
      <c r="F221" s="15"/>
      <c r="G221" s="15"/>
      <c r="H221" s="16" t="str">
        <f aca="false">IF(OR(F221="",F221=0),IF(G221="","",1),MIN(1,G221/F221))</f>
        <v/>
      </c>
      <c r="I221" s="15"/>
      <c r="J221" s="17" t="str">
        <f aca="false">IF(C221="","",(C221&gt;=Targets!$B$2)+(D221&gt;=Targets!$B$3)+(E221&gt;=Targets!$B$4)+(N(H221)&gt;=1))&amp;"/4"</f>
        <v>/4</v>
      </c>
      <c r="K221" s="14"/>
    </row>
    <row r="222" customFormat="false" ht="15" hidden="false" customHeight="false" outlineLevel="0" collapsed="false">
      <c r="A222" s="13"/>
      <c r="B222" s="14"/>
      <c r="C222" s="15"/>
      <c r="D222" s="15"/>
      <c r="E222" s="15"/>
      <c r="F222" s="15"/>
      <c r="G222" s="15"/>
      <c r="H222" s="16" t="str">
        <f aca="false">IF(OR(F222="",F222=0),IF(G222="","",1),MIN(1,G222/F222))</f>
        <v/>
      </c>
      <c r="I222" s="15"/>
      <c r="J222" s="17" t="str">
        <f aca="false">IF(C222="","",(C222&gt;=Targets!$B$2)+(D222&gt;=Targets!$B$3)+(E222&gt;=Targets!$B$4)+(N(H222)&gt;=1))&amp;"/4"</f>
        <v>/4</v>
      </c>
      <c r="K222" s="14"/>
    </row>
    <row r="223" customFormat="false" ht="15" hidden="false" customHeight="false" outlineLevel="0" collapsed="false">
      <c r="A223" s="13"/>
      <c r="B223" s="14"/>
      <c r="C223" s="15"/>
      <c r="D223" s="15"/>
      <c r="E223" s="15"/>
      <c r="F223" s="15"/>
      <c r="G223" s="15"/>
      <c r="H223" s="16" t="str">
        <f aca="false">IF(OR(F223="",F223=0),IF(G223="","",1),MIN(1,G223/F223))</f>
        <v/>
      </c>
      <c r="I223" s="15"/>
      <c r="J223" s="17" t="str">
        <f aca="false">IF(C223="","",(C223&gt;=Targets!$B$2)+(D223&gt;=Targets!$B$3)+(E223&gt;=Targets!$B$4)+(N(H223)&gt;=1))&amp;"/4"</f>
        <v>/4</v>
      </c>
      <c r="K223" s="14"/>
    </row>
    <row r="224" customFormat="false" ht="15" hidden="false" customHeight="false" outlineLevel="0" collapsed="false">
      <c r="A224" s="13"/>
      <c r="B224" s="14"/>
      <c r="C224" s="15"/>
      <c r="D224" s="15"/>
      <c r="E224" s="15"/>
      <c r="F224" s="15"/>
      <c r="G224" s="15"/>
      <c r="H224" s="16" t="str">
        <f aca="false">IF(OR(F224="",F224=0),IF(G224="","",1),MIN(1,G224/F224))</f>
        <v/>
      </c>
      <c r="I224" s="15"/>
      <c r="J224" s="17" t="str">
        <f aca="false">IF(C224="","",(C224&gt;=Targets!$B$2)+(D224&gt;=Targets!$B$3)+(E224&gt;=Targets!$B$4)+(N(H224)&gt;=1))&amp;"/4"</f>
        <v>/4</v>
      </c>
      <c r="K224" s="14"/>
    </row>
    <row r="225" customFormat="false" ht="15" hidden="false" customHeight="false" outlineLevel="0" collapsed="false">
      <c r="A225" s="13"/>
      <c r="B225" s="14"/>
      <c r="C225" s="15"/>
      <c r="D225" s="15"/>
      <c r="E225" s="15"/>
      <c r="F225" s="15"/>
      <c r="G225" s="15"/>
      <c r="H225" s="16" t="str">
        <f aca="false">IF(OR(F225="",F225=0),IF(G225="","",1),MIN(1,G225/F225))</f>
        <v/>
      </c>
      <c r="I225" s="15"/>
      <c r="J225" s="17" t="str">
        <f aca="false">IF(C225="","",(C225&gt;=Targets!$B$2)+(D225&gt;=Targets!$B$3)+(E225&gt;=Targets!$B$4)+(N(H225)&gt;=1))&amp;"/4"</f>
        <v>/4</v>
      </c>
      <c r="K225" s="14"/>
    </row>
    <row r="226" customFormat="false" ht="15" hidden="false" customHeight="false" outlineLevel="0" collapsed="false">
      <c r="A226" s="13"/>
      <c r="B226" s="14"/>
      <c r="C226" s="15"/>
      <c r="D226" s="15"/>
      <c r="E226" s="15"/>
      <c r="F226" s="15"/>
      <c r="G226" s="15"/>
      <c r="H226" s="16" t="str">
        <f aca="false">IF(OR(F226="",F226=0),IF(G226="","",1),MIN(1,G226/F226))</f>
        <v/>
      </c>
      <c r="I226" s="15"/>
      <c r="J226" s="17" t="str">
        <f aca="false">IF(C226="","",(C226&gt;=Targets!$B$2)+(D226&gt;=Targets!$B$3)+(E226&gt;=Targets!$B$4)+(N(H226)&gt;=1))&amp;"/4"</f>
        <v>/4</v>
      </c>
      <c r="K226" s="14"/>
    </row>
    <row r="227" customFormat="false" ht="15" hidden="false" customHeight="false" outlineLevel="0" collapsed="false">
      <c r="A227" s="13"/>
      <c r="B227" s="14"/>
      <c r="C227" s="15"/>
      <c r="D227" s="15"/>
      <c r="E227" s="15"/>
      <c r="F227" s="15"/>
      <c r="G227" s="15"/>
      <c r="H227" s="16" t="str">
        <f aca="false">IF(OR(F227="",F227=0),IF(G227="","",1),MIN(1,G227/F227))</f>
        <v/>
      </c>
      <c r="I227" s="15"/>
      <c r="J227" s="17" t="str">
        <f aca="false">IF(C227="","",(C227&gt;=Targets!$B$2)+(D227&gt;=Targets!$B$3)+(E227&gt;=Targets!$B$4)+(N(H227)&gt;=1))&amp;"/4"</f>
        <v>/4</v>
      </c>
      <c r="K227" s="14"/>
    </row>
    <row r="228" customFormat="false" ht="15" hidden="false" customHeight="false" outlineLevel="0" collapsed="false">
      <c r="A228" s="13"/>
      <c r="B228" s="14"/>
      <c r="C228" s="15"/>
      <c r="D228" s="15"/>
      <c r="E228" s="15"/>
      <c r="F228" s="15"/>
      <c r="G228" s="15"/>
      <c r="H228" s="16" t="str">
        <f aca="false">IF(OR(F228="",F228=0),IF(G228="","",1),MIN(1,G228/F228))</f>
        <v/>
      </c>
      <c r="I228" s="15"/>
      <c r="J228" s="17" t="str">
        <f aca="false">IF(C228="","",(C228&gt;=Targets!$B$2)+(D228&gt;=Targets!$B$3)+(E228&gt;=Targets!$B$4)+(N(H228)&gt;=1))&amp;"/4"</f>
        <v>/4</v>
      </c>
      <c r="K228" s="14"/>
    </row>
    <row r="229" customFormat="false" ht="15" hidden="false" customHeight="false" outlineLevel="0" collapsed="false">
      <c r="A229" s="13"/>
      <c r="B229" s="14"/>
      <c r="C229" s="15"/>
      <c r="D229" s="15"/>
      <c r="E229" s="15"/>
      <c r="F229" s="15"/>
      <c r="G229" s="15"/>
      <c r="H229" s="16" t="str">
        <f aca="false">IF(OR(F229="",F229=0),IF(G229="","",1),MIN(1,G229/F229))</f>
        <v/>
      </c>
      <c r="I229" s="15"/>
      <c r="J229" s="17" t="str">
        <f aca="false">IF(C229="","",(C229&gt;=Targets!$B$2)+(D229&gt;=Targets!$B$3)+(E229&gt;=Targets!$B$4)+(N(H229)&gt;=1))&amp;"/4"</f>
        <v>/4</v>
      </c>
      <c r="K229" s="14"/>
    </row>
    <row r="230" customFormat="false" ht="15" hidden="false" customHeight="false" outlineLevel="0" collapsed="false">
      <c r="A230" s="13"/>
      <c r="B230" s="14"/>
      <c r="C230" s="15"/>
      <c r="D230" s="15"/>
      <c r="E230" s="15"/>
      <c r="F230" s="15"/>
      <c r="G230" s="15"/>
      <c r="H230" s="16" t="str">
        <f aca="false">IF(OR(F230="",F230=0),IF(G230="","",1),MIN(1,G230/F230))</f>
        <v/>
      </c>
      <c r="I230" s="15"/>
      <c r="J230" s="17" t="str">
        <f aca="false">IF(C230="","",(C230&gt;=Targets!$B$2)+(D230&gt;=Targets!$B$3)+(E230&gt;=Targets!$B$4)+(N(H230)&gt;=1))&amp;"/4"</f>
        <v>/4</v>
      </c>
      <c r="K230" s="14"/>
    </row>
    <row r="231" customFormat="false" ht="15" hidden="false" customHeight="false" outlineLevel="0" collapsed="false">
      <c r="A231" s="13"/>
      <c r="B231" s="14"/>
      <c r="C231" s="15"/>
      <c r="D231" s="15"/>
      <c r="E231" s="15"/>
      <c r="F231" s="15"/>
      <c r="G231" s="15"/>
      <c r="H231" s="16" t="str">
        <f aca="false">IF(OR(F231="",F231=0),IF(G231="","",1),MIN(1,G231/F231))</f>
        <v/>
      </c>
      <c r="I231" s="15"/>
      <c r="J231" s="17" t="str">
        <f aca="false">IF(C231="","",(C231&gt;=Targets!$B$2)+(D231&gt;=Targets!$B$3)+(E231&gt;=Targets!$B$4)+(N(H231)&gt;=1))&amp;"/4"</f>
        <v>/4</v>
      </c>
      <c r="K231" s="14"/>
    </row>
    <row r="232" customFormat="false" ht="15" hidden="false" customHeight="false" outlineLevel="0" collapsed="false">
      <c r="A232" s="13"/>
      <c r="B232" s="14"/>
      <c r="C232" s="15"/>
      <c r="D232" s="15"/>
      <c r="E232" s="15"/>
      <c r="F232" s="15"/>
      <c r="G232" s="15"/>
      <c r="H232" s="16" t="str">
        <f aca="false">IF(OR(F232="",F232=0),IF(G232="","",1),MIN(1,G232/F232))</f>
        <v/>
      </c>
      <c r="I232" s="15"/>
      <c r="J232" s="17" t="str">
        <f aca="false">IF(C232="","",(C232&gt;=Targets!$B$2)+(D232&gt;=Targets!$B$3)+(E232&gt;=Targets!$B$4)+(N(H232)&gt;=1))&amp;"/4"</f>
        <v>/4</v>
      </c>
      <c r="K232" s="14"/>
    </row>
    <row r="233" customFormat="false" ht="15" hidden="false" customHeight="false" outlineLevel="0" collapsed="false">
      <c r="A233" s="13"/>
      <c r="B233" s="14"/>
      <c r="C233" s="15"/>
      <c r="D233" s="15"/>
      <c r="E233" s="15"/>
      <c r="F233" s="15"/>
      <c r="G233" s="15"/>
      <c r="H233" s="16" t="str">
        <f aca="false">IF(OR(F233="",F233=0),IF(G233="","",1),MIN(1,G233/F233))</f>
        <v/>
      </c>
      <c r="I233" s="15"/>
      <c r="J233" s="17" t="str">
        <f aca="false">IF(C233="","",(C233&gt;=Targets!$B$2)+(D233&gt;=Targets!$B$3)+(E233&gt;=Targets!$B$4)+(N(H233)&gt;=1))&amp;"/4"</f>
        <v>/4</v>
      </c>
      <c r="K233" s="14"/>
    </row>
    <row r="234" customFormat="false" ht="15" hidden="false" customHeight="false" outlineLevel="0" collapsed="false">
      <c r="A234" s="13"/>
      <c r="B234" s="14"/>
      <c r="C234" s="15"/>
      <c r="D234" s="15"/>
      <c r="E234" s="15"/>
      <c r="F234" s="15"/>
      <c r="G234" s="15"/>
      <c r="H234" s="16" t="str">
        <f aca="false">IF(OR(F234="",F234=0),IF(G234="","",1),MIN(1,G234/F234))</f>
        <v/>
      </c>
      <c r="I234" s="15"/>
      <c r="J234" s="17" t="str">
        <f aca="false">IF(C234="","",(C234&gt;=Targets!$B$2)+(D234&gt;=Targets!$B$3)+(E234&gt;=Targets!$B$4)+(N(H234)&gt;=1))&amp;"/4"</f>
        <v>/4</v>
      </c>
      <c r="K234" s="14"/>
    </row>
    <row r="235" customFormat="false" ht="15" hidden="false" customHeight="false" outlineLevel="0" collapsed="false">
      <c r="A235" s="13"/>
      <c r="B235" s="14"/>
      <c r="C235" s="15"/>
      <c r="D235" s="15"/>
      <c r="E235" s="15"/>
      <c r="F235" s="15"/>
      <c r="G235" s="15"/>
      <c r="H235" s="16" t="str">
        <f aca="false">IF(OR(F235="",F235=0),IF(G235="","",1),MIN(1,G235/F235))</f>
        <v/>
      </c>
      <c r="I235" s="15"/>
      <c r="J235" s="17" t="str">
        <f aca="false">IF(C235="","",(C235&gt;=Targets!$B$2)+(D235&gt;=Targets!$B$3)+(E235&gt;=Targets!$B$4)+(N(H235)&gt;=1))&amp;"/4"</f>
        <v>/4</v>
      </c>
      <c r="K235" s="14"/>
    </row>
    <row r="236" customFormat="false" ht="15" hidden="false" customHeight="false" outlineLevel="0" collapsed="false">
      <c r="A236" s="13"/>
      <c r="B236" s="14"/>
      <c r="C236" s="15"/>
      <c r="D236" s="15"/>
      <c r="E236" s="15"/>
      <c r="F236" s="15"/>
      <c r="G236" s="15"/>
      <c r="H236" s="16" t="str">
        <f aca="false">IF(OR(F236="",F236=0),IF(G236="","",1),MIN(1,G236/F236))</f>
        <v/>
      </c>
      <c r="I236" s="15"/>
      <c r="J236" s="17" t="str">
        <f aca="false">IF(C236="","",(C236&gt;=Targets!$B$2)+(D236&gt;=Targets!$B$3)+(E236&gt;=Targets!$B$4)+(N(H236)&gt;=1))&amp;"/4"</f>
        <v>/4</v>
      </c>
      <c r="K236" s="14"/>
    </row>
    <row r="237" customFormat="false" ht="15" hidden="false" customHeight="false" outlineLevel="0" collapsed="false">
      <c r="A237" s="13"/>
      <c r="B237" s="14"/>
      <c r="C237" s="15"/>
      <c r="D237" s="15"/>
      <c r="E237" s="15"/>
      <c r="F237" s="15"/>
      <c r="G237" s="15"/>
      <c r="H237" s="16" t="str">
        <f aca="false">IF(OR(F237="",F237=0),IF(G237="","",1),MIN(1,G237/F237))</f>
        <v/>
      </c>
      <c r="I237" s="15"/>
      <c r="J237" s="17" t="str">
        <f aca="false">IF(C237="","",(C237&gt;=Targets!$B$2)+(D237&gt;=Targets!$B$3)+(E237&gt;=Targets!$B$4)+(N(H237)&gt;=1))&amp;"/4"</f>
        <v>/4</v>
      </c>
      <c r="K237" s="14"/>
    </row>
    <row r="238" customFormat="false" ht="15" hidden="false" customHeight="false" outlineLevel="0" collapsed="false">
      <c r="A238" s="13"/>
      <c r="B238" s="14"/>
      <c r="C238" s="15"/>
      <c r="D238" s="15"/>
      <c r="E238" s="15"/>
      <c r="F238" s="15"/>
      <c r="G238" s="15"/>
      <c r="H238" s="16" t="str">
        <f aca="false">IF(OR(F238="",F238=0),IF(G238="","",1),MIN(1,G238/F238))</f>
        <v/>
      </c>
      <c r="I238" s="15"/>
      <c r="J238" s="17" t="str">
        <f aca="false">IF(C238="","",(C238&gt;=Targets!$B$2)+(D238&gt;=Targets!$B$3)+(E238&gt;=Targets!$B$4)+(N(H238)&gt;=1))&amp;"/4"</f>
        <v>/4</v>
      </c>
      <c r="K238" s="14"/>
    </row>
    <row r="239" customFormat="false" ht="15" hidden="false" customHeight="false" outlineLevel="0" collapsed="false">
      <c r="A239" s="13"/>
      <c r="B239" s="14"/>
      <c r="C239" s="15"/>
      <c r="D239" s="15"/>
      <c r="E239" s="15"/>
      <c r="F239" s="15"/>
      <c r="G239" s="15"/>
      <c r="H239" s="16" t="str">
        <f aca="false">IF(OR(F239="",F239=0),IF(G239="","",1),MIN(1,G239/F239))</f>
        <v/>
      </c>
      <c r="I239" s="15"/>
      <c r="J239" s="17" t="str">
        <f aca="false">IF(C239="","",(C239&gt;=Targets!$B$2)+(D239&gt;=Targets!$B$3)+(E239&gt;=Targets!$B$4)+(N(H239)&gt;=1))&amp;"/4"</f>
        <v>/4</v>
      </c>
      <c r="K239" s="14"/>
    </row>
    <row r="240" customFormat="false" ht="15" hidden="false" customHeight="false" outlineLevel="0" collapsed="false">
      <c r="A240" s="13"/>
      <c r="B240" s="14"/>
      <c r="C240" s="15"/>
      <c r="D240" s="15"/>
      <c r="E240" s="15"/>
      <c r="F240" s="15"/>
      <c r="G240" s="15"/>
      <c r="H240" s="16" t="str">
        <f aca="false">IF(OR(F240="",F240=0),IF(G240="","",1),MIN(1,G240/F240))</f>
        <v/>
      </c>
      <c r="I240" s="15"/>
      <c r="J240" s="17" t="str">
        <f aca="false">IF(C240="","",(C240&gt;=Targets!$B$2)+(D240&gt;=Targets!$B$3)+(E240&gt;=Targets!$B$4)+(N(H240)&gt;=1))&amp;"/4"</f>
        <v>/4</v>
      </c>
      <c r="K240" s="14"/>
    </row>
    <row r="241" customFormat="false" ht="15" hidden="false" customHeight="false" outlineLevel="0" collapsed="false">
      <c r="A241" s="13"/>
      <c r="B241" s="14"/>
      <c r="C241" s="15"/>
      <c r="D241" s="15"/>
      <c r="E241" s="15"/>
      <c r="F241" s="15"/>
      <c r="G241" s="15"/>
      <c r="H241" s="16" t="str">
        <f aca="false">IF(OR(F241="",F241=0),IF(G241="","",1),MIN(1,G241/F241))</f>
        <v/>
      </c>
      <c r="I241" s="15"/>
      <c r="J241" s="17" t="str">
        <f aca="false">IF(C241="","",(C241&gt;=Targets!$B$2)+(D241&gt;=Targets!$B$3)+(E241&gt;=Targets!$B$4)+(N(H241)&gt;=1))&amp;"/4"</f>
        <v>/4</v>
      </c>
      <c r="K241" s="14"/>
    </row>
    <row r="242" customFormat="false" ht="15" hidden="false" customHeight="false" outlineLevel="0" collapsed="false">
      <c r="A242" s="13"/>
      <c r="B242" s="14"/>
      <c r="C242" s="15"/>
      <c r="D242" s="15"/>
      <c r="E242" s="15"/>
      <c r="F242" s="15"/>
      <c r="G242" s="15"/>
      <c r="H242" s="16" t="str">
        <f aca="false">IF(OR(F242="",F242=0),IF(G242="","",1),MIN(1,G242/F242))</f>
        <v/>
      </c>
      <c r="I242" s="15"/>
      <c r="J242" s="17" t="str">
        <f aca="false">IF(C242="","",(C242&gt;=Targets!$B$2)+(D242&gt;=Targets!$B$3)+(E242&gt;=Targets!$B$4)+(N(H242)&gt;=1))&amp;"/4"</f>
        <v>/4</v>
      </c>
      <c r="K242" s="14"/>
    </row>
    <row r="243" customFormat="false" ht="15" hidden="false" customHeight="false" outlineLevel="0" collapsed="false">
      <c r="A243" s="13"/>
      <c r="B243" s="14"/>
      <c r="C243" s="15"/>
      <c r="D243" s="15"/>
      <c r="E243" s="15"/>
      <c r="F243" s="15"/>
      <c r="G243" s="15"/>
      <c r="H243" s="16" t="str">
        <f aca="false">IF(OR(F243="",F243=0),IF(G243="","",1),MIN(1,G243/F243))</f>
        <v/>
      </c>
      <c r="I243" s="15"/>
      <c r="J243" s="17" t="str">
        <f aca="false">IF(C243="","",(C243&gt;=Targets!$B$2)+(D243&gt;=Targets!$B$3)+(E243&gt;=Targets!$B$4)+(N(H243)&gt;=1))&amp;"/4"</f>
        <v>/4</v>
      </c>
      <c r="K243" s="14"/>
    </row>
    <row r="244" customFormat="false" ht="15" hidden="false" customHeight="false" outlineLevel="0" collapsed="false">
      <c r="A244" s="13"/>
      <c r="B244" s="14"/>
      <c r="C244" s="15"/>
      <c r="D244" s="15"/>
      <c r="E244" s="15"/>
      <c r="F244" s="15"/>
      <c r="G244" s="15"/>
      <c r="H244" s="16" t="str">
        <f aca="false">IF(OR(F244="",F244=0),IF(G244="","",1),MIN(1,G244/F244))</f>
        <v/>
      </c>
      <c r="I244" s="15"/>
      <c r="J244" s="17" t="str">
        <f aca="false">IF(C244="","",(C244&gt;=Targets!$B$2)+(D244&gt;=Targets!$B$3)+(E244&gt;=Targets!$B$4)+(N(H244)&gt;=1))&amp;"/4"</f>
        <v>/4</v>
      </c>
      <c r="K244" s="14"/>
    </row>
    <row r="245" customFormat="false" ht="15" hidden="false" customHeight="false" outlineLevel="0" collapsed="false">
      <c r="A245" s="13"/>
      <c r="B245" s="14"/>
      <c r="C245" s="15"/>
      <c r="D245" s="15"/>
      <c r="E245" s="15"/>
      <c r="F245" s="15"/>
      <c r="G245" s="15"/>
      <c r="H245" s="16" t="str">
        <f aca="false">IF(OR(F245="",F245=0),IF(G245="","",1),MIN(1,G245/F245))</f>
        <v/>
      </c>
      <c r="I245" s="15"/>
      <c r="J245" s="17" t="str">
        <f aca="false">IF(C245="","",(C245&gt;=Targets!$B$2)+(D245&gt;=Targets!$B$3)+(E245&gt;=Targets!$B$4)+(N(H245)&gt;=1))&amp;"/4"</f>
        <v>/4</v>
      </c>
      <c r="K245" s="14"/>
    </row>
    <row r="246" customFormat="false" ht="15" hidden="false" customHeight="false" outlineLevel="0" collapsed="false">
      <c r="A246" s="13"/>
      <c r="B246" s="14"/>
      <c r="C246" s="15"/>
      <c r="D246" s="15"/>
      <c r="E246" s="15"/>
      <c r="F246" s="15"/>
      <c r="G246" s="15"/>
      <c r="H246" s="16" t="str">
        <f aca="false">IF(OR(F246="",F246=0),IF(G246="","",1),MIN(1,G246/F246))</f>
        <v/>
      </c>
      <c r="I246" s="15"/>
      <c r="J246" s="17" t="str">
        <f aca="false">IF(C246="","",(C246&gt;=Targets!$B$2)+(D246&gt;=Targets!$B$3)+(E246&gt;=Targets!$B$4)+(N(H246)&gt;=1))&amp;"/4"</f>
        <v>/4</v>
      </c>
      <c r="K246" s="14"/>
    </row>
    <row r="247" customFormat="false" ht="15" hidden="false" customHeight="false" outlineLevel="0" collapsed="false">
      <c r="A247" s="13"/>
      <c r="B247" s="14"/>
      <c r="C247" s="15"/>
      <c r="D247" s="15"/>
      <c r="E247" s="15"/>
      <c r="F247" s="15"/>
      <c r="G247" s="15"/>
      <c r="H247" s="16" t="str">
        <f aca="false">IF(OR(F247="",F247=0),IF(G247="","",1),MIN(1,G247/F247))</f>
        <v/>
      </c>
      <c r="I247" s="15"/>
      <c r="J247" s="17" t="str">
        <f aca="false">IF(C247="","",(C247&gt;=Targets!$B$2)+(D247&gt;=Targets!$B$3)+(E247&gt;=Targets!$B$4)+(N(H247)&gt;=1))&amp;"/4"</f>
        <v>/4</v>
      </c>
      <c r="K247" s="14"/>
    </row>
    <row r="248" customFormat="false" ht="15" hidden="false" customHeight="false" outlineLevel="0" collapsed="false">
      <c r="A248" s="13"/>
      <c r="B248" s="14"/>
      <c r="C248" s="15"/>
      <c r="D248" s="15"/>
      <c r="E248" s="15"/>
      <c r="F248" s="15"/>
      <c r="G248" s="15"/>
      <c r="H248" s="16" t="str">
        <f aca="false">IF(OR(F248="",F248=0),IF(G248="","",1),MIN(1,G248/F248))</f>
        <v/>
      </c>
      <c r="I248" s="15"/>
      <c r="J248" s="17" t="str">
        <f aca="false">IF(C248="","",(C248&gt;=Targets!$B$2)+(D248&gt;=Targets!$B$3)+(E248&gt;=Targets!$B$4)+(N(H248)&gt;=1))&amp;"/4"</f>
        <v>/4</v>
      </c>
      <c r="K248" s="14"/>
    </row>
    <row r="249" customFormat="false" ht="15" hidden="false" customHeight="false" outlineLevel="0" collapsed="false">
      <c r="A249" s="13"/>
      <c r="B249" s="14"/>
      <c r="C249" s="15"/>
      <c r="D249" s="15"/>
      <c r="E249" s="15"/>
      <c r="F249" s="15"/>
      <c r="G249" s="15"/>
      <c r="H249" s="16" t="str">
        <f aca="false">IF(OR(F249="",F249=0),IF(G249="","",1),MIN(1,G249/F249))</f>
        <v/>
      </c>
      <c r="I249" s="15"/>
      <c r="J249" s="17" t="str">
        <f aca="false">IF(C249="","",(C249&gt;=Targets!$B$2)+(D249&gt;=Targets!$B$3)+(E249&gt;=Targets!$B$4)+(N(H249)&gt;=1))&amp;"/4"</f>
        <v>/4</v>
      </c>
      <c r="K249" s="14"/>
    </row>
    <row r="250" customFormat="false" ht="15" hidden="false" customHeight="false" outlineLevel="0" collapsed="false">
      <c r="A250" s="13"/>
      <c r="B250" s="14"/>
      <c r="C250" s="15"/>
      <c r="D250" s="15"/>
      <c r="E250" s="15"/>
      <c r="F250" s="15"/>
      <c r="G250" s="15"/>
      <c r="H250" s="16" t="str">
        <f aca="false">IF(OR(F250="",F250=0),IF(G250="","",1),MIN(1,G250/F250))</f>
        <v/>
      </c>
      <c r="I250" s="15"/>
      <c r="J250" s="17" t="str">
        <f aca="false">IF(C250="","",(C250&gt;=Targets!$B$2)+(D250&gt;=Targets!$B$3)+(E250&gt;=Targets!$B$4)+(N(H250)&gt;=1))&amp;"/4"</f>
        <v>/4</v>
      </c>
      <c r="K250" s="14"/>
    </row>
    <row r="251" customFormat="false" ht="15" hidden="false" customHeight="false" outlineLevel="0" collapsed="false">
      <c r="A251" s="13"/>
      <c r="B251" s="14"/>
      <c r="C251" s="15"/>
      <c r="D251" s="15"/>
      <c r="E251" s="15"/>
      <c r="F251" s="15"/>
      <c r="G251" s="15"/>
      <c r="H251" s="16" t="str">
        <f aca="false">IF(OR(F251="",F251=0),IF(G251="","",1),MIN(1,G251/F251))</f>
        <v/>
      </c>
      <c r="I251" s="15"/>
      <c r="J251" s="17" t="str">
        <f aca="false">IF(C251="","",(C251&gt;=Targets!$B$2)+(D251&gt;=Targets!$B$3)+(E251&gt;=Targets!$B$4)+(N(H251)&gt;=1))&amp;"/4"</f>
        <v>/4</v>
      </c>
      <c r="K251" s="14"/>
    </row>
    <row r="252" customFormat="false" ht="15" hidden="false" customHeight="false" outlineLevel="0" collapsed="false">
      <c r="A252" s="13"/>
      <c r="B252" s="14"/>
      <c r="C252" s="15"/>
      <c r="D252" s="15"/>
      <c r="E252" s="15"/>
      <c r="F252" s="15"/>
      <c r="G252" s="15"/>
      <c r="H252" s="16" t="str">
        <f aca="false">IF(OR(F252="",F252=0),IF(G252="","",1),MIN(1,G252/F252))</f>
        <v/>
      </c>
      <c r="I252" s="15"/>
      <c r="J252" s="17" t="str">
        <f aca="false">IF(C252="","",(C252&gt;=Targets!$B$2)+(D252&gt;=Targets!$B$3)+(E252&gt;=Targets!$B$4)+(N(H252)&gt;=1))&amp;"/4"</f>
        <v>/4</v>
      </c>
      <c r="K252" s="14"/>
    </row>
    <row r="253" customFormat="false" ht="15" hidden="false" customHeight="false" outlineLevel="0" collapsed="false">
      <c r="A253" s="13"/>
      <c r="B253" s="14"/>
      <c r="C253" s="15"/>
      <c r="D253" s="15"/>
      <c r="E253" s="15"/>
      <c r="F253" s="15"/>
      <c r="G253" s="15"/>
      <c r="H253" s="16" t="str">
        <f aca="false">IF(OR(F253="",F253=0),IF(G253="","",1),MIN(1,G253/F253))</f>
        <v/>
      </c>
      <c r="I253" s="15"/>
      <c r="J253" s="17" t="str">
        <f aca="false">IF(C253="","",(C253&gt;=Targets!$B$2)+(D253&gt;=Targets!$B$3)+(E253&gt;=Targets!$B$4)+(N(H253)&gt;=1))&amp;"/4"</f>
        <v>/4</v>
      </c>
      <c r="K253" s="14"/>
    </row>
    <row r="254" customFormat="false" ht="15" hidden="false" customHeight="false" outlineLevel="0" collapsed="false">
      <c r="A254" s="13"/>
      <c r="B254" s="14"/>
      <c r="C254" s="15"/>
      <c r="D254" s="15"/>
      <c r="E254" s="15"/>
      <c r="F254" s="15"/>
      <c r="G254" s="15"/>
      <c r="H254" s="16" t="str">
        <f aca="false">IF(OR(F254="",F254=0),IF(G254="","",1),MIN(1,G254/F254))</f>
        <v/>
      </c>
      <c r="I254" s="15"/>
      <c r="J254" s="17" t="str">
        <f aca="false">IF(C254="","",(C254&gt;=Targets!$B$2)+(D254&gt;=Targets!$B$3)+(E254&gt;=Targets!$B$4)+(N(H254)&gt;=1))&amp;"/4"</f>
        <v>/4</v>
      </c>
      <c r="K254" s="14"/>
    </row>
    <row r="255" customFormat="false" ht="15" hidden="false" customHeight="false" outlineLevel="0" collapsed="false">
      <c r="A255" s="13"/>
      <c r="B255" s="14"/>
      <c r="C255" s="15"/>
      <c r="D255" s="15"/>
      <c r="E255" s="15"/>
      <c r="F255" s="15"/>
      <c r="G255" s="15"/>
      <c r="H255" s="16" t="str">
        <f aca="false">IF(OR(F255="",F255=0),IF(G255="","",1),MIN(1,G255/F255))</f>
        <v/>
      </c>
      <c r="I255" s="15"/>
      <c r="J255" s="17" t="str">
        <f aca="false">IF(C255="","",(C255&gt;=Targets!$B$2)+(D255&gt;=Targets!$B$3)+(E255&gt;=Targets!$B$4)+(N(H255)&gt;=1))&amp;"/4"</f>
        <v>/4</v>
      </c>
      <c r="K255" s="14"/>
    </row>
    <row r="256" customFormat="false" ht="15" hidden="false" customHeight="false" outlineLevel="0" collapsed="false">
      <c r="A256" s="13"/>
      <c r="B256" s="14"/>
      <c r="C256" s="15"/>
      <c r="D256" s="15"/>
      <c r="E256" s="15"/>
      <c r="F256" s="15"/>
      <c r="G256" s="15"/>
      <c r="H256" s="16" t="str">
        <f aca="false">IF(OR(F256="",F256=0),IF(G256="","",1),MIN(1,G256/F256))</f>
        <v/>
      </c>
      <c r="I256" s="15"/>
      <c r="J256" s="17" t="str">
        <f aca="false">IF(C256="","",(C256&gt;=Targets!$B$2)+(D256&gt;=Targets!$B$3)+(E256&gt;=Targets!$B$4)+(N(H256)&gt;=1))&amp;"/4"</f>
        <v>/4</v>
      </c>
      <c r="K256" s="14"/>
    </row>
    <row r="257" customFormat="false" ht="15" hidden="false" customHeight="false" outlineLevel="0" collapsed="false">
      <c r="A257" s="13"/>
      <c r="B257" s="14"/>
      <c r="C257" s="15"/>
      <c r="D257" s="15"/>
      <c r="E257" s="15"/>
      <c r="F257" s="15"/>
      <c r="G257" s="15"/>
      <c r="H257" s="16" t="str">
        <f aca="false">IF(OR(F257="",F257=0),IF(G257="","",1),MIN(1,G257/F257))</f>
        <v/>
      </c>
      <c r="I257" s="15"/>
      <c r="J257" s="17" t="str">
        <f aca="false">IF(C257="","",(C257&gt;=Targets!$B$2)+(D257&gt;=Targets!$B$3)+(E257&gt;=Targets!$B$4)+(N(H257)&gt;=1))&amp;"/4"</f>
        <v>/4</v>
      </c>
      <c r="K257" s="14"/>
    </row>
    <row r="258" customFormat="false" ht="15" hidden="false" customHeight="false" outlineLevel="0" collapsed="false">
      <c r="A258" s="13"/>
      <c r="B258" s="14"/>
      <c r="C258" s="15"/>
      <c r="D258" s="15"/>
      <c r="E258" s="15"/>
      <c r="F258" s="15"/>
      <c r="G258" s="15"/>
      <c r="H258" s="16" t="str">
        <f aca="false">IF(OR(F258="",F258=0),IF(G258="","",1),MIN(1,G258/F258))</f>
        <v/>
      </c>
      <c r="I258" s="15"/>
      <c r="J258" s="17" t="str">
        <f aca="false">IF(C258="","",(C258&gt;=Targets!$B$2)+(D258&gt;=Targets!$B$3)+(E258&gt;=Targets!$B$4)+(N(H258)&gt;=1))&amp;"/4"</f>
        <v>/4</v>
      </c>
      <c r="K258" s="14"/>
    </row>
    <row r="259" customFormat="false" ht="15" hidden="false" customHeight="false" outlineLevel="0" collapsed="false">
      <c r="A259" s="13"/>
      <c r="B259" s="14"/>
      <c r="C259" s="15"/>
      <c r="D259" s="15"/>
      <c r="E259" s="15"/>
      <c r="F259" s="15"/>
      <c r="G259" s="15"/>
      <c r="H259" s="16" t="str">
        <f aca="false">IF(OR(F259="",F259=0),IF(G259="","",1),MIN(1,G259/F259))</f>
        <v/>
      </c>
      <c r="I259" s="15"/>
      <c r="J259" s="17" t="str">
        <f aca="false">IF(C259="","",(C259&gt;=Targets!$B$2)+(D259&gt;=Targets!$B$3)+(E259&gt;=Targets!$B$4)+(N(H259)&gt;=1))&amp;"/4"</f>
        <v>/4</v>
      </c>
      <c r="K259" s="14"/>
    </row>
    <row r="260" customFormat="false" ht="15" hidden="false" customHeight="false" outlineLevel="0" collapsed="false">
      <c r="A260" s="13"/>
      <c r="B260" s="14"/>
      <c r="C260" s="15"/>
      <c r="D260" s="15"/>
      <c r="E260" s="15"/>
      <c r="F260" s="15"/>
      <c r="G260" s="15"/>
      <c r="H260" s="16" t="str">
        <f aca="false">IF(OR(F260="",F260=0),IF(G260="","",1),MIN(1,G260/F260))</f>
        <v/>
      </c>
      <c r="I260" s="15"/>
      <c r="J260" s="17" t="str">
        <f aca="false">IF(C260="","",(C260&gt;=Targets!$B$2)+(D260&gt;=Targets!$B$3)+(E260&gt;=Targets!$B$4)+(N(H260)&gt;=1))&amp;"/4"</f>
        <v>/4</v>
      </c>
      <c r="K260" s="14"/>
    </row>
    <row r="261" customFormat="false" ht="15" hidden="false" customHeight="false" outlineLevel="0" collapsed="false">
      <c r="A261" s="13"/>
      <c r="B261" s="14"/>
      <c r="C261" s="15"/>
      <c r="D261" s="15"/>
      <c r="E261" s="15"/>
      <c r="F261" s="15"/>
      <c r="G261" s="15"/>
      <c r="H261" s="16" t="str">
        <f aca="false">IF(OR(F261="",F261=0),IF(G261="","",1),MIN(1,G261/F261))</f>
        <v/>
      </c>
      <c r="I261" s="15"/>
      <c r="J261" s="17" t="str">
        <f aca="false">IF(C261="","",(C261&gt;=Targets!$B$2)+(D261&gt;=Targets!$B$3)+(E261&gt;=Targets!$B$4)+(N(H261)&gt;=1))&amp;"/4"</f>
        <v>/4</v>
      </c>
      <c r="K261" s="14"/>
    </row>
    <row r="262" customFormat="false" ht="15" hidden="false" customHeight="false" outlineLevel="0" collapsed="false">
      <c r="A262" s="13"/>
      <c r="B262" s="14"/>
      <c r="C262" s="15"/>
      <c r="D262" s="15"/>
      <c r="E262" s="15"/>
      <c r="F262" s="15"/>
      <c r="G262" s="15"/>
      <c r="H262" s="16" t="str">
        <f aca="false">IF(OR(F262="",F262=0),IF(G262="","",1),MIN(1,G262/F262))</f>
        <v/>
      </c>
      <c r="I262" s="15"/>
      <c r="J262" s="17" t="str">
        <f aca="false">IF(C262="","",(C262&gt;=Targets!$B$2)+(D262&gt;=Targets!$B$3)+(E262&gt;=Targets!$B$4)+(N(H262)&gt;=1))&amp;"/4"</f>
        <v>/4</v>
      </c>
      <c r="K262" s="14"/>
    </row>
    <row r="263" customFormat="false" ht="15" hidden="false" customHeight="false" outlineLevel="0" collapsed="false">
      <c r="A263" s="13"/>
      <c r="B263" s="14"/>
      <c r="C263" s="15"/>
      <c r="D263" s="15"/>
      <c r="E263" s="15"/>
      <c r="F263" s="15"/>
      <c r="G263" s="15"/>
      <c r="H263" s="16" t="str">
        <f aca="false">IF(OR(F263="",F263=0),IF(G263="","",1),MIN(1,G263/F263))</f>
        <v/>
      </c>
      <c r="I263" s="15"/>
      <c r="J263" s="17" t="str">
        <f aca="false">IF(C263="","",(C263&gt;=Targets!$B$2)+(D263&gt;=Targets!$B$3)+(E263&gt;=Targets!$B$4)+(N(H263)&gt;=1))&amp;"/4"</f>
        <v>/4</v>
      </c>
      <c r="K263" s="14"/>
    </row>
    <row r="264" customFormat="false" ht="15" hidden="false" customHeight="false" outlineLevel="0" collapsed="false">
      <c r="A264" s="13"/>
      <c r="B264" s="14"/>
      <c r="C264" s="15"/>
      <c r="D264" s="15"/>
      <c r="E264" s="15"/>
      <c r="F264" s="15"/>
      <c r="G264" s="15"/>
      <c r="H264" s="16" t="str">
        <f aca="false">IF(OR(F264="",F264=0),IF(G264="","",1),MIN(1,G264/F264))</f>
        <v/>
      </c>
      <c r="I264" s="15"/>
      <c r="J264" s="17" t="str">
        <f aca="false">IF(C264="","",(C264&gt;=Targets!$B$2)+(D264&gt;=Targets!$B$3)+(E264&gt;=Targets!$B$4)+(N(H264)&gt;=1))&amp;"/4"</f>
        <v>/4</v>
      </c>
      <c r="K264" s="14"/>
    </row>
    <row r="265" customFormat="false" ht="15" hidden="false" customHeight="false" outlineLevel="0" collapsed="false">
      <c r="A265" s="13"/>
      <c r="B265" s="14"/>
      <c r="C265" s="15"/>
      <c r="D265" s="15"/>
      <c r="E265" s="15"/>
      <c r="F265" s="15"/>
      <c r="G265" s="15"/>
      <c r="H265" s="16" t="str">
        <f aca="false">IF(OR(F265="",F265=0),IF(G265="","",1),MIN(1,G265/F265))</f>
        <v/>
      </c>
      <c r="I265" s="15"/>
      <c r="J265" s="17" t="str">
        <f aca="false">IF(C265="","",(C265&gt;=Targets!$B$2)+(D265&gt;=Targets!$B$3)+(E265&gt;=Targets!$B$4)+(N(H265)&gt;=1))&amp;"/4"</f>
        <v>/4</v>
      </c>
      <c r="K265" s="14"/>
    </row>
    <row r="266" customFormat="false" ht="15" hidden="false" customHeight="false" outlineLevel="0" collapsed="false">
      <c r="A266" s="13"/>
      <c r="B266" s="14"/>
      <c r="C266" s="15"/>
      <c r="D266" s="15"/>
      <c r="E266" s="15"/>
      <c r="F266" s="15"/>
      <c r="G266" s="15"/>
      <c r="H266" s="16" t="str">
        <f aca="false">IF(OR(F266="",F266=0),IF(G266="","",1),MIN(1,G266/F266))</f>
        <v/>
      </c>
      <c r="I266" s="15"/>
      <c r="J266" s="17" t="str">
        <f aca="false">IF(C266="","",(C266&gt;=Targets!$B$2)+(D266&gt;=Targets!$B$3)+(E266&gt;=Targets!$B$4)+(N(H266)&gt;=1))&amp;"/4"</f>
        <v>/4</v>
      </c>
      <c r="K266" s="14"/>
    </row>
    <row r="267" customFormat="false" ht="15" hidden="false" customHeight="false" outlineLevel="0" collapsed="false">
      <c r="A267" s="13"/>
      <c r="B267" s="14"/>
      <c r="C267" s="15"/>
      <c r="D267" s="15"/>
      <c r="E267" s="15"/>
      <c r="F267" s="15"/>
      <c r="G267" s="15"/>
      <c r="H267" s="16" t="str">
        <f aca="false">IF(OR(F267="",F267=0),IF(G267="","",1),MIN(1,G267/F267))</f>
        <v/>
      </c>
      <c r="I267" s="15"/>
      <c r="J267" s="17" t="str">
        <f aca="false">IF(C267="","",(C267&gt;=Targets!$B$2)+(D267&gt;=Targets!$B$3)+(E267&gt;=Targets!$B$4)+(N(H267)&gt;=1))&amp;"/4"</f>
        <v>/4</v>
      </c>
      <c r="K267" s="14"/>
    </row>
    <row r="268" customFormat="false" ht="15" hidden="false" customHeight="false" outlineLevel="0" collapsed="false">
      <c r="A268" s="13"/>
      <c r="B268" s="14"/>
      <c r="C268" s="15"/>
      <c r="D268" s="15"/>
      <c r="E268" s="15"/>
      <c r="F268" s="15"/>
      <c r="G268" s="15"/>
      <c r="H268" s="16" t="str">
        <f aca="false">IF(OR(F268="",F268=0),IF(G268="","",1),MIN(1,G268/F268))</f>
        <v/>
      </c>
      <c r="I268" s="15"/>
      <c r="J268" s="17" t="str">
        <f aca="false">IF(C268="","",(C268&gt;=Targets!$B$2)+(D268&gt;=Targets!$B$3)+(E268&gt;=Targets!$B$4)+(N(H268)&gt;=1))&amp;"/4"</f>
        <v>/4</v>
      </c>
      <c r="K268" s="14"/>
    </row>
    <row r="269" customFormat="false" ht="15" hidden="false" customHeight="false" outlineLevel="0" collapsed="false">
      <c r="A269" s="13"/>
      <c r="B269" s="14"/>
      <c r="C269" s="15"/>
      <c r="D269" s="15"/>
      <c r="E269" s="15"/>
      <c r="F269" s="15"/>
      <c r="G269" s="15"/>
      <c r="H269" s="16" t="str">
        <f aca="false">IF(OR(F269="",F269=0),IF(G269="","",1),MIN(1,G269/F269))</f>
        <v/>
      </c>
      <c r="I269" s="15"/>
      <c r="J269" s="17" t="str">
        <f aca="false">IF(C269="","",(C269&gt;=Targets!$B$2)+(D269&gt;=Targets!$B$3)+(E269&gt;=Targets!$B$4)+(N(H269)&gt;=1))&amp;"/4"</f>
        <v>/4</v>
      </c>
      <c r="K269" s="14"/>
    </row>
    <row r="270" customFormat="false" ht="15" hidden="false" customHeight="false" outlineLevel="0" collapsed="false">
      <c r="A270" s="13"/>
      <c r="B270" s="14"/>
      <c r="C270" s="15"/>
      <c r="D270" s="15"/>
      <c r="E270" s="15"/>
      <c r="F270" s="15"/>
      <c r="G270" s="15"/>
      <c r="H270" s="16" t="str">
        <f aca="false">IF(OR(F270="",F270=0),IF(G270="","",1),MIN(1,G270/F270))</f>
        <v/>
      </c>
      <c r="I270" s="15"/>
      <c r="J270" s="17" t="str">
        <f aca="false">IF(C270="","",(C270&gt;=Targets!$B$2)+(D270&gt;=Targets!$B$3)+(E270&gt;=Targets!$B$4)+(N(H270)&gt;=1))&amp;"/4"</f>
        <v>/4</v>
      </c>
      <c r="K270" s="14"/>
    </row>
    <row r="271" customFormat="false" ht="15" hidden="false" customHeight="false" outlineLevel="0" collapsed="false">
      <c r="A271" s="13"/>
      <c r="B271" s="14"/>
      <c r="C271" s="15"/>
      <c r="D271" s="15"/>
      <c r="E271" s="15"/>
      <c r="F271" s="15"/>
      <c r="G271" s="15"/>
      <c r="H271" s="16" t="str">
        <f aca="false">IF(OR(F271="",F271=0),IF(G271="","",1),MIN(1,G271/F271))</f>
        <v/>
      </c>
      <c r="I271" s="15"/>
      <c r="J271" s="17" t="str">
        <f aca="false">IF(C271="","",(C271&gt;=Targets!$B$2)+(D271&gt;=Targets!$B$3)+(E271&gt;=Targets!$B$4)+(N(H271)&gt;=1))&amp;"/4"</f>
        <v>/4</v>
      </c>
      <c r="K271" s="14"/>
    </row>
    <row r="272" customFormat="false" ht="15" hidden="false" customHeight="false" outlineLevel="0" collapsed="false">
      <c r="A272" s="13"/>
      <c r="B272" s="14"/>
      <c r="C272" s="15"/>
      <c r="D272" s="15"/>
      <c r="E272" s="15"/>
      <c r="F272" s="15"/>
      <c r="G272" s="15"/>
      <c r="H272" s="16" t="str">
        <f aca="false">IF(OR(F272="",F272=0),IF(G272="","",1),MIN(1,G272/F272))</f>
        <v/>
      </c>
      <c r="I272" s="15"/>
      <c r="J272" s="17" t="str">
        <f aca="false">IF(C272="","",(C272&gt;=Targets!$B$2)+(D272&gt;=Targets!$B$3)+(E272&gt;=Targets!$B$4)+(N(H272)&gt;=1))&amp;"/4"</f>
        <v>/4</v>
      </c>
      <c r="K272" s="14"/>
    </row>
    <row r="273" customFormat="false" ht="15" hidden="false" customHeight="false" outlineLevel="0" collapsed="false">
      <c r="A273" s="13"/>
      <c r="B273" s="14"/>
      <c r="C273" s="15"/>
      <c r="D273" s="15"/>
      <c r="E273" s="15"/>
      <c r="F273" s="15"/>
      <c r="G273" s="15"/>
      <c r="H273" s="16" t="str">
        <f aca="false">IF(OR(F273="",F273=0),IF(G273="","",1),MIN(1,G273/F273))</f>
        <v/>
      </c>
      <c r="I273" s="15"/>
      <c r="J273" s="17" t="str">
        <f aca="false">IF(C273="","",(C273&gt;=Targets!$B$2)+(D273&gt;=Targets!$B$3)+(E273&gt;=Targets!$B$4)+(N(H273)&gt;=1))&amp;"/4"</f>
        <v>/4</v>
      </c>
      <c r="K273" s="14"/>
    </row>
    <row r="274" customFormat="false" ht="15" hidden="false" customHeight="false" outlineLevel="0" collapsed="false">
      <c r="A274" s="13"/>
      <c r="B274" s="14"/>
      <c r="C274" s="15"/>
      <c r="D274" s="15"/>
      <c r="E274" s="15"/>
      <c r="F274" s="15"/>
      <c r="G274" s="15"/>
      <c r="H274" s="16" t="str">
        <f aca="false">IF(OR(F274="",F274=0),IF(G274="","",1),MIN(1,G274/F274))</f>
        <v/>
      </c>
      <c r="I274" s="15"/>
      <c r="J274" s="17" t="str">
        <f aca="false">IF(C274="","",(C274&gt;=Targets!$B$2)+(D274&gt;=Targets!$B$3)+(E274&gt;=Targets!$B$4)+(N(H274)&gt;=1))&amp;"/4"</f>
        <v>/4</v>
      </c>
      <c r="K274" s="14"/>
    </row>
    <row r="275" customFormat="false" ht="15" hidden="false" customHeight="false" outlineLevel="0" collapsed="false">
      <c r="A275" s="13"/>
      <c r="B275" s="14"/>
      <c r="C275" s="15"/>
      <c r="D275" s="15"/>
      <c r="E275" s="15"/>
      <c r="F275" s="15"/>
      <c r="G275" s="15"/>
      <c r="H275" s="16" t="str">
        <f aca="false">IF(OR(F275="",F275=0),IF(G275="","",1),MIN(1,G275/F275))</f>
        <v/>
      </c>
      <c r="I275" s="15"/>
      <c r="J275" s="17" t="str">
        <f aca="false">IF(C275="","",(C275&gt;=Targets!$B$2)+(D275&gt;=Targets!$B$3)+(E275&gt;=Targets!$B$4)+(N(H275)&gt;=1))&amp;"/4"</f>
        <v>/4</v>
      </c>
      <c r="K275" s="14"/>
    </row>
    <row r="276" customFormat="false" ht="15" hidden="false" customHeight="false" outlineLevel="0" collapsed="false">
      <c r="A276" s="13"/>
      <c r="B276" s="14"/>
      <c r="C276" s="15"/>
      <c r="D276" s="15"/>
      <c r="E276" s="15"/>
      <c r="F276" s="15"/>
      <c r="G276" s="15"/>
      <c r="H276" s="16" t="str">
        <f aca="false">IF(OR(F276="",F276=0),IF(G276="","",1),MIN(1,G276/F276))</f>
        <v/>
      </c>
      <c r="I276" s="15"/>
      <c r="J276" s="17" t="str">
        <f aca="false">IF(C276="","",(C276&gt;=Targets!$B$2)+(D276&gt;=Targets!$B$3)+(E276&gt;=Targets!$B$4)+(N(H276)&gt;=1))&amp;"/4"</f>
        <v>/4</v>
      </c>
      <c r="K276" s="14"/>
    </row>
    <row r="277" customFormat="false" ht="15" hidden="false" customHeight="false" outlineLevel="0" collapsed="false">
      <c r="A277" s="13"/>
      <c r="B277" s="14"/>
      <c r="C277" s="15"/>
      <c r="D277" s="15"/>
      <c r="E277" s="15"/>
      <c r="F277" s="15"/>
      <c r="G277" s="15"/>
      <c r="H277" s="16" t="str">
        <f aca="false">IF(OR(F277="",F277=0),IF(G277="","",1),MIN(1,G277/F277))</f>
        <v/>
      </c>
      <c r="I277" s="15"/>
      <c r="J277" s="17" t="str">
        <f aca="false">IF(C277="","",(C277&gt;=Targets!$B$2)+(D277&gt;=Targets!$B$3)+(E277&gt;=Targets!$B$4)+(N(H277)&gt;=1))&amp;"/4"</f>
        <v>/4</v>
      </c>
      <c r="K277" s="14"/>
    </row>
    <row r="278" customFormat="false" ht="15" hidden="false" customHeight="false" outlineLevel="0" collapsed="false">
      <c r="A278" s="13"/>
      <c r="B278" s="14"/>
      <c r="C278" s="15"/>
      <c r="D278" s="15"/>
      <c r="E278" s="15"/>
      <c r="F278" s="15"/>
      <c r="G278" s="15"/>
      <c r="H278" s="16" t="str">
        <f aca="false">IF(OR(F278="",F278=0),IF(G278="","",1),MIN(1,G278/F278))</f>
        <v/>
      </c>
      <c r="I278" s="15"/>
      <c r="J278" s="17" t="str">
        <f aca="false">IF(C278="","",(C278&gt;=Targets!$B$2)+(D278&gt;=Targets!$B$3)+(E278&gt;=Targets!$B$4)+(N(H278)&gt;=1))&amp;"/4"</f>
        <v>/4</v>
      </c>
      <c r="K278" s="14"/>
    </row>
    <row r="279" customFormat="false" ht="15" hidden="false" customHeight="false" outlineLevel="0" collapsed="false">
      <c r="A279" s="13"/>
      <c r="B279" s="14"/>
      <c r="C279" s="15"/>
      <c r="D279" s="15"/>
      <c r="E279" s="15"/>
      <c r="F279" s="15"/>
      <c r="G279" s="15"/>
      <c r="H279" s="16" t="str">
        <f aca="false">IF(OR(F279="",F279=0),IF(G279="","",1),MIN(1,G279/F279))</f>
        <v/>
      </c>
      <c r="I279" s="15"/>
      <c r="J279" s="17" t="str">
        <f aca="false">IF(C279="","",(C279&gt;=Targets!$B$2)+(D279&gt;=Targets!$B$3)+(E279&gt;=Targets!$B$4)+(N(H279)&gt;=1))&amp;"/4"</f>
        <v>/4</v>
      </c>
      <c r="K279" s="14"/>
    </row>
    <row r="280" customFormat="false" ht="15" hidden="false" customHeight="false" outlineLevel="0" collapsed="false">
      <c r="A280" s="13"/>
      <c r="B280" s="14"/>
      <c r="C280" s="15"/>
      <c r="D280" s="15"/>
      <c r="E280" s="15"/>
      <c r="F280" s="15"/>
      <c r="G280" s="15"/>
      <c r="H280" s="16" t="str">
        <f aca="false">IF(OR(F280="",F280=0),IF(G280="","",1),MIN(1,G280/F280))</f>
        <v/>
      </c>
      <c r="I280" s="15"/>
      <c r="J280" s="17" t="str">
        <f aca="false">IF(C280="","",(C280&gt;=Targets!$B$2)+(D280&gt;=Targets!$B$3)+(E280&gt;=Targets!$B$4)+(N(H280)&gt;=1))&amp;"/4"</f>
        <v>/4</v>
      </c>
      <c r="K280" s="14"/>
    </row>
    <row r="281" customFormat="false" ht="15" hidden="false" customHeight="false" outlineLevel="0" collapsed="false">
      <c r="A281" s="13"/>
      <c r="B281" s="14"/>
      <c r="C281" s="15"/>
      <c r="D281" s="15"/>
      <c r="E281" s="15"/>
      <c r="F281" s="15"/>
      <c r="G281" s="15"/>
      <c r="H281" s="16" t="str">
        <f aca="false">IF(OR(F281="",F281=0),IF(G281="","",1),MIN(1,G281/F281))</f>
        <v/>
      </c>
      <c r="I281" s="15"/>
      <c r="J281" s="17" t="str">
        <f aca="false">IF(C281="","",(C281&gt;=Targets!$B$2)+(D281&gt;=Targets!$B$3)+(E281&gt;=Targets!$B$4)+(N(H281)&gt;=1))&amp;"/4"</f>
        <v>/4</v>
      </c>
      <c r="K281" s="14"/>
    </row>
    <row r="282" customFormat="false" ht="15" hidden="false" customHeight="false" outlineLevel="0" collapsed="false">
      <c r="A282" s="13"/>
      <c r="B282" s="14"/>
      <c r="C282" s="15"/>
      <c r="D282" s="15"/>
      <c r="E282" s="15"/>
      <c r="F282" s="15"/>
      <c r="G282" s="15"/>
      <c r="H282" s="16" t="str">
        <f aca="false">IF(OR(F282="",F282=0),IF(G282="","",1),MIN(1,G282/F282))</f>
        <v/>
      </c>
      <c r="I282" s="15"/>
      <c r="J282" s="17" t="str">
        <f aca="false">IF(C282="","",(C282&gt;=Targets!$B$2)+(D282&gt;=Targets!$B$3)+(E282&gt;=Targets!$B$4)+(N(H282)&gt;=1))&amp;"/4"</f>
        <v>/4</v>
      </c>
      <c r="K282" s="14"/>
    </row>
    <row r="283" customFormat="false" ht="15" hidden="false" customHeight="false" outlineLevel="0" collapsed="false">
      <c r="A283" s="13"/>
      <c r="B283" s="14"/>
      <c r="C283" s="15"/>
      <c r="D283" s="15"/>
      <c r="E283" s="15"/>
      <c r="F283" s="15"/>
      <c r="G283" s="15"/>
      <c r="H283" s="16" t="str">
        <f aca="false">IF(OR(F283="",F283=0),IF(G283="","",1),MIN(1,G283/F283))</f>
        <v/>
      </c>
      <c r="I283" s="15"/>
      <c r="J283" s="17" t="str">
        <f aca="false">IF(C283="","",(C283&gt;=Targets!$B$2)+(D283&gt;=Targets!$B$3)+(E283&gt;=Targets!$B$4)+(N(H283)&gt;=1))&amp;"/4"</f>
        <v>/4</v>
      </c>
      <c r="K283" s="14"/>
    </row>
    <row r="284" customFormat="false" ht="15" hidden="false" customHeight="false" outlineLevel="0" collapsed="false">
      <c r="A284" s="13"/>
      <c r="B284" s="14"/>
      <c r="C284" s="15"/>
      <c r="D284" s="15"/>
      <c r="E284" s="15"/>
      <c r="F284" s="15"/>
      <c r="G284" s="15"/>
      <c r="H284" s="16" t="str">
        <f aca="false">IF(OR(F284="",F284=0),IF(G284="","",1),MIN(1,G284/F284))</f>
        <v/>
      </c>
      <c r="I284" s="15"/>
      <c r="J284" s="17" t="str">
        <f aca="false">IF(C284="","",(C284&gt;=Targets!$B$2)+(D284&gt;=Targets!$B$3)+(E284&gt;=Targets!$B$4)+(N(H284)&gt;=1))&amp;"/4"</f>
        <v>/4</v>
      </c>
      <c r="K284" s="14"/>
    </row>
    <row r="285" customFormat="false" ht="15" hidden="false" customHeight="false" outlineLevel="0" collapsed="false">
      <c r="A285" s="13"/>
      <c r="B285" s="14"/>
      <c r="C285" s="15"/>
      <c r="D285" s="15"/>
      <c r="E285" s="15"/>
      <c r="F285" s="15"/>
      <c r="G285" s="15"/>
      <c r="H285" s="16" t="str">
        <f aca="false">IF(OR(F285="",F285=0),IF(G285="","",1),MIN(1,G285/F285))</f>
        <v/>
      </c>
      <c r="I285" s="15"/>
      <c r="J285" s="17" t="str">
        <f aca="false">IF(C285="","",(C285&gt;=Targets!$B$2)+(D285&gt;=Targets!$B$3)+(E285&gt;=Targets!$B$4)+(N(H285)&gt;=1))&amp;"/4"</f>
        <v>/4</v>
      </c>
      <c r="K285" s="14"/>
    </row>
    <row r="286" customFormat="false" ht="15" hidden="false" customHeight="false" outlineLevel="0" collapsed="false">
      <c r="A286" s="13"/>
      <c r="B286" s="14"/>
      <c r="C286" s="15"/>
      <c r="D286" s="15"/>
      <c r="E286" s="15"/>
      <c r="F286" s="15"/>
      <c r="G286" s="15"/>
      <c r="H286" s="16" t="str">
        <f aca="false">IF(OR(F286="",F286=0),IF(G286="","",1),MIN(1,G286/F286))</f>
        <v/>
      </c>
      <c r="I286" s="15"/>
      <c r="J286" s="17" t="str">
        <f aca="false">IF(C286="","",(C286&gt;=Targets!$B$2)+(D286&gt;=Targets!$B$3)+(E286&gt;=Targets!$B$4)+(N(H286)&gt;=1))&amp;"/4"</f>
        <v>/4</v>
      </c>
      <c r="K286" s="14"/>
    </row>
    <row r="287" customFormat="false" ht="15" hidden="false" customHeight="false" outlineLevel="0" collapsed="false">
      <c r="A287" s="13"/>
      <c r="B287" s="14"/>
      <c r="C287" s="15"/>
      <c r="D287" s="15"/>
      <c r="E287" s="15"/>
      <c r="F287" s="15"/>
      <c r="G287" s="15"/>
      <c r="H287" s="16" t="str">
        <f aca="false">IF(OR(F287="",F287=0),IF(G287="","",1),MIN(1,G287/F287))</f>
        <v/>
      </c>
      <c r="I287" s="15"/>
      <c r="J287" s="17" t="str">
        <f aca="false">IF(C287="","",(C287&gt;=Targets!$B$2)+(D287&gt;=Targets!$B$3)+(E287&gt;=Targets!$B$4)+(N(H287)&gt;=1))&amp;"/4"</f>
        <v>/4</v>
      </c>
      <c r="K287" s="14"/>
    </row>
    <row r="288" customFormat="false" ht="15" hidden="false" customHeight="false" outlineLevel="0" collapsed="false">
      <c r="A288" s="13"/>
      <c r="B288" s="14"/>
      <c r="C288" s="15"/>
      <c r="D288" s="15"/>
      <c r="E288" s="15"/>
      <c r="F288" s="15"/>
      <c r="G288" s="15"/>
      <c r="H288" s="16" t="str">
        <f aca="false">IF(OR(F288="",F288=0),IF(G288="","",1),MIN(1,G288/F288))</f>
        <v/>
      </c>
      <c r="I288" s="15"/>
      <c r="J288" s="17" t="str">
        <f aca="false">IF(C288="","",(C288&gt;=Targets!$B$2)+(D288&gt;=Targets!$B$3)+(E288&gt;=Targets!$B$4)+(N(H288)&gt;=1))&amp;"/4"</f>
        <v>/4</v>
      </c>
      <c r="K288" s="14"/>
    </row>
    <row r="289" customFormat="false" ht="15" hidden="false" customHeight="false" outlineLevel="0" collapsed="false">
      <c r="A289" s="13"/>
      <c r="B289" s="14"/>
      <c r="C289" s="15"/>
      <c r="D289" s="15"/>
      <c r="E289" s="15"/>
      <c r="F289" s="15"/>
      <c r="G289" s="15"/>
      <c r="H289" s="16" t="str">
        <f aca="false">IF(OR(F289="",F289=0),IF(G289="","",1),MIN(1,G289/F289))</f>
        <v/>
      </c>
      <c r="I289" s="15"/>
      <c r="J289" s="17" t="str">
        <f aca="false">IF(C289="","",(C289&gt;=Targets!$B$2)+(D289&gt;=Targets!$B$3)+(E289&gt;=Targets!$B$4)+(N(H289)&gt;=1))&amp;"/4"</f>
        <v>/4</v>
      </c>
      <c r="K289" s="14"/>
    </row>
    <row r="290" customFormat="false" ht="15" hidden="false" customHeight="false" outlineLevel="0" collapsed="false">
      <c r="A290" s="13"/>
      <c r="B290" s="14"/>
      <c r="C290" s="15"/>
      <c r="D290" s="15"/>
      <c r="E290" s="15"/>
      <c r="F290" s="15"/>
      <c r="G290" s="15"/>
      <c r="H290" s="16" t="str">
        <f aca="false">IF(OR(F290="",F290=0),IF(G290="","",1),MIN(1,G290/F290))</f>
        <v/>
      </c>
      <c r="I290" s="15"/>
      <c r="J290" s="17" t="str">
        <f aca="false">IF(C290="","",(C290&gt;=Targets!$B$2)+(D290&gt;=Targets!$B$3)+(E290&gt;=Targets!$B$4)+(N(H290)&gt;=1))&amp;"/4"</f>
        <v>/4</v>
      </c>
      <c r="K290" s="14"/>
    </row>
    <row r="291" customFormat="false" ht="15" hidden="false" customHeight="false" outlineLevel="0" collapsed="false">
      <c r="A291" s="13"/>
      <c r="B291" s="14"/>
      <c r="C291" s="15"/>
      <c r="D291" s="15"/>
      <c r="E291" s="15"/>
      <c r="F291" s="15"/>
      <c r="G291" s="15"/>
      <c r="H291" s="16" t="str">
        <f aca="false">IF(OR(F291="",F291=0),IF(G291="","",1),MIN(1,G291/F291))</f>
        <v/>
      </c>
      <c r="I291" s="15"/>
      <c r="J291" s="17" t="str">
        <f aca="false">IF(C291="","",(C291&gt;=Targets!$B$2)+(D291&gt;=Targets!$B$3)+(E291&gt;=Targets!$B$4)+(N(H291)&gt;=1))&amp;"/4"</f>
        <v>/4</v>
      </c>
      <c r="K291" s="14"/>
    </row>
    <row r="292" customFormat="false" ht="15" hidden="false" customHeight="false" outlineLevel="0" collapsed="false">
      <c r="A292" s="13"/>
      <c r="B292" s="14"/>
      <c r="C292" s="15"/>
      <c r="D292" s="15"/>
      <c r="E292" s="15"/>
      <c r="F292" s="15"/>
      <c r="G292" s="15"/>
      <c r="H292" s="16" t="str">
        <f aca="false">IF(OR(F292="",F292=0),IF(G292="","",1),MIN(1,G292/F292))</f>
        <v/>
      </c>
      <c r="I292" s="15"/>
      <c r="J292" s="17" t="str">
        <f aca="false">IF(C292="","",(C292&gt;=Targets!$B$2)+(D292&gt;=Targets!$B$3)+(E292&gt;=Targets!$B$4)+(N(H292)&gt;=1))&amp;"/4"</f>
        <v>/4</v>
      </c>
      <c r="K292" s="14"/>
    </row>
    <row r="293" customFormat="false" ht="15" hidden="false" customHeight="false" outlineLevel="0" collapsed="false">
      <c r="A293" s="13"/>
      <c r="B293" s="14"/>
      <c r="C293" s="15"/>
      <c r="D293" s="15"/>
      <c r="E293" s="15"/>
      <c r="F293" s="15"/>
      <c r="G293" s="15"/>
      <c r="H293" s="16" t="str">
        <f aca="false">IF(OR(F293="",F293=0),IF(G293="","",1),MIN(1,G293/F293))</f>
        <v/>
      </c>
      <c r="I293" s="15"/>
      <c r="J293" s="17" t="str">
        <f aca="false">IF(C293="","",(C293&gt;=Targets!$B$2)+(D293&gt;=Targets!$B$3)+(E293&gt;=Targets!$B$4)+(N(H293)&gt;=1))&amp;"/4"</f>
        <v>/4</v>
      </c>
      <c r="K293" s="14"/>
    </row>
    <row r="294" customFormat="false" ht="15" hidden="false" customHeight="false" outlineLevel="0" collapsed="false">
      <c r="A294" s="13"/>
      <c r="B294" s="14"/>
      <c r="C294" s="15"/>
      <c r="D294" s="15"/>
      <c r="E294" s="15"/>
      <c r="F294" s="15"/>
      <c r="G294" s="15"/>
      <c r="H294" s="16" t="str">
        <f aca="false">IF(OR(F294="",F294=0),IF(G294="","",1),MIN(1,G294/F294))</f>
        <v/>
      </c>
      <c r="I294" s="15"/>
      <c r="J294" s="17" t="str">
        <f aca="false">IF(C294="","",(C294&gt;=Targets!$B$2)+(D294&gt;=Targets!$B$3)+(E294&gt;=Targets!$B$4)+(N(H294)&gt;=1))&amp;"/4"</f>
        <v>/4</v>
      </c>
      <c r="K294" s="14"/>
    </row>
    <row r="295" customFormat="false" ht="15" hidden="false" customHeight="false" outlineLevel="0" collapsed="false">
      <c r="A295" s="13"/>
      <c r="B295" s="14"/>
      <c r="C295" s="15"/>
      <c r="D295" s="15"/>
      <c r="E295" s="15"/>
      <c r="F295" s="15"/>
      <c r="G295" s="15"/>
      <c r="H295" s="16" t="str">
        <f aca="false">IF(OR(F295="",F295=0),IF(G295="","",1),MIN(1,G295/F295))</f>
        <v/>
      </c>
      <c r="I295" s="15"/>
      <c r="J295" s="17" t="str">
        <f aca="false">IF(C295="","",(C295&gt;=Targets!$B$2)+(D295&gt;=Targets!$B$3)+(E295&gt;=Targets!$B$4)+(N(H295)&gt;=1))&amp;"/4"</f>
        <v>/4</v>
      </c>
      <c r="K295" s="14"/>
    </row>
    <row r="296" customFormat="false" ht="15" hidden="false" customHeight="false" outlineLevel="0" collapsed="false">
      <c r="A296" s="13"/>
      <c r="B296" s="14"/>
      <c r="C296" s="15"/>
      <c r="D296" s="15"/>
      <c r="E296" s="15"/>
      <c r="F296" s="15"/>
      <c r="G296" s="15"/>
      <c r="H296" s="16" t="str">
        <f aca="false">IF(OR(F296="",F296=0),IF(G296="","",1),MIN(1,G296/F296))</f>
        <v/>
      </c>
      <c r="I296" s="15"/>
      <c r="J296" s="17" t="str">
        <f aca="false">IF(C296="","",(C296&gt;=Targets!$B$2)+(D296&gt;=Targets!$B$3)+(E296&gt;=Targets!$B$4)+(N(H296)&gt;=1))&amp;"/4"</f>
        <v>/4</v>
      </c>
      <c r="K296" s="14"/>
    </row>
    <row r="297" customFormat="false" ht="15" hidden="false" customHeight="false" outlineLevel="0" collapsed="false">
      <c r="A297" s="13"/>
      <c r="B297" s="14"/>
      <c r="C297" s="15"/>
      <c r="D297" s="15"/>
      <c r="E297" s="15"/>
      <c r="F297" s="15"/>
      <c r="G297" s="15"/>
      <c r="H297" s="16" t="str">
        <f aca="false">IF(OR(F297="",F297=0),IF(G297="","",1),MIN(1,G297/F297))</f>
        <v/>
      </c>
      <c r="I297" s="15"/>
      <c r="J297" s="17" t="str">
        <f aca="false">IF(C297="","",(C297&gt;=Targets!$B$2)+(D297&gt;=Targets!$B$3)+(E297&gt;=Targets!$B$4)+(N(H297)&gt;=1))&amp;"/4"</f>
        <v>/4</v>
      </c>
      <c r="K297" s="14"/>
    </row>
    <row r="298" customFormat="false" ht="15" hidden="false" customHeight="false" outlineLevel="0" collapsed="false">
      <c r="A298" s="13"/>
      <c r="B298" s="14"/>
      <c r="C298" s="15"/>
      <c r="D298" s="15"/>
      <c r="E298" s="15"/>
      <c r="F298" s="15"/>
      <c r="G298" s="15"/>
      <c r="H298" s="16" t="str">
        <f aca="false">IF(OR(F298="",F298=0),IF(G298="","",1),MIN(1,G298/F298))</f>
        <v/>
      </c>
      <c r="I298" s="15"/>
      <c r="J298" s="17" t="str">
        <f aca="false">IF(C298="","",(C298&gt;=Targets!$B$2)+(D298&gt;=Targets!$B$3)+(E298&gt;=Targets!$B$4)+(N(H298)&gt;=1))&amp;"/4"</f>
        <v>/4</v>
      </c>
      <c r="K298" s="14"/>
    </row>
    <row r="299" customFormat="false" ht="15" hidden="false" customHeight="false" outlineLevel="0" collapsed="false">
      <c r="A299" s="13"/>
      <c r="B299" s="14"/>
      <c r="C299" s="15"/>
      <c r="D299" s="15"/>
      <c r="E299" s="15"/>
      <c r="F299" s="15"/>
      <c r="G299" s="15"/>
      <c r="H299" s="16" t="str">
        <f aca="false">IF(OR(F299="",F299=0),IF(G299="","",1),MIN(1,G299/F299))</f>
        <v/>
      </c>
      <c r="I299" s="15"/>
      <c r="J299" s="17" t="str">
        <f aca="false">IF(C299="","",(C299&gt;=Targets!$B$2)+(D299&gt;=Targets!$B$3)+(E299&gt;=Targets!$B$4)+(N(H299)&gt;=1))&amp;"/4"</f>
        <v>/4</v>
      </c>
      <c r="K299" s="14"/>
    </row>
    <row r="300" customFormat="false" ht="15" hidden="false" customHeight="false" outlineLevel="0" collapsed="false">
      <c r="A300" s="13"/>
      <c r="B300" s="14"/>
      <c r="C300" s="15"/>
      <c r="D300" s="15"/>
      <c r="E300" s="15"/>
      <c r="F300" s="15"/>
      <c r="G300" s="15"/>
      <c r="H300" s="16" t="str">
        <f aca="false">IF(OR(F300="",F300=0),IF(G300="","",1),MIN(1,G300/F300))</f>
        <v/>
      </c>
      <c r="I300" s="15"/>
      <c r="J300" s="17" t="str">
        <f aca="false">IF(C300="","",(C300&gt;=Targets!$B$2)+(D300&gt;=Targets!$B$3)+(E300&gt;=Targets!$B$4)+(N(H300)&gt;=1))&amp;"/4"</f>
        <v>/4</v>
      </c>
      <c r="K300" s="14"/>
    </row>
    <row r="301" customFormat="false" ht="15" hidden="false" customHeight="false" outlineLevel="0" collapsed="false">
      <c r="A301" s="13"/>
      <c r="B301" s="14"/>
      <c r="C301" s="15"/>
      <c r="D301" s="15"/>
      <c r="E301" s="15"/>
      <c r="F301" s="15"/>
      <c r="G301" s="15"/>
      <c r="H301" s="16" t="str">
        <f aca="false">IF(OR(F301="",F301=0),IF(G301="","",1),MIN(1,G301/F301))</f>
        <v/>
      </c>
      <c r="I301" s="15"/>
      <c r="J301" s="17" t="str">
        <f aca="false">IF(C301="","",(C301&gt;=Targets!$B$2)+(D301&gt;=Targets!$B$3)+(E301&gt;=Targets!$B$4)+(N(H301)&gt;=1))&amp;"/4"</f>
        <v>/4</v>
      </c>
      <c r="K301" s="14"/>
    </row>
    <row r="302" customFormat="false" ht="15" hidden="false" customHeight="false" outlineLevel="0" collapsed="false">
      <c r="A302" s="13"/>
      <c r="B302" s="14"/>
      <c r="C302" s="15"/>
      <c r="D302" s="15"/>
      <c r="E302" s="15"/>
      <c r="F302" s="15"/>
      <c r="G302" s="15"/>
      <c r="H302" s="16" t="str">
        <f aca="false">IF(OR(F302="",F302=0),IF(G302="","",1),MIN(1,G302/F302))</f>
        <v/>
      </c>
      <c r="I302" s="15"/>
      <c r="J302" s="17" t="str">
        <f aca="false">IF(C302="","",(C302&gt;=Targets!$B$2)+(D302&gt;=Targets!$B$3)+(E302&gt;=Targets!$B$4)+(N(H302)&gt;=1))&amp;"/4"</f>
        <v>/4</v>
      </c>
      <c r="K302" s="14"/>
    </row>
    <row r="303" customFormat="false" ht="15" hidden="false" customHeight="false" outlineLevel="0" collapsed="false">
      <c r="A303" s="13"/>
      <c r="B303" s="14"/>
      <c r="C303" s="15"/>
      <c r="D303" s="15"/>
      <c r="E303" s="15"/>
      <c r="F303" s="15"/>
      <c r="G303" s="15"/>
      <c r="H303" s="16" t="str">
        <f aca="false">IF(OR(F303="",F303=0),IF(G303="","",1),MIN(1,G303/F303))</f>
        <v/>
      </c>
      <c r="I303" s="15"/>
      <c r="J303" s="17" t="str">
        <f aca="false">IF(C303="","",(C303&gt;=Targets!$B$2)+(D303&gt;=Targets!$B$3)+(E303&gt;=Targets!$B$4)+(N(H303)&gt;=1))&amp;"/4"</f>
        <v>/4</v>
      </c>
      <c r="K303" s="14"/>
    </row>
    <row r="304" customFormat="false" ht="15" hidden="false" customHeight="false" outlineLevel="0" collapsed="false">
      <c r="A304" s="13"/>
      <c r="B304" s="14"/>
      <c r="C304" s="15"/>
      <c r="D304" s="15"/>
      <c r="E304" s="15"/>
      <c r="F304" s="15"/>
      <c r="G304" s="15"/>
      <c r="H304" s="16" t="str">
        <f aca="false">IF(OR(F304="",F304=0),IF(G304="","",1),MIN(1,G304/F304))</f>
        <v/>
      </c>
      <c r="I304" s="15"/>
      <c r="J304" s="17" t="str">
        <f aca="false">IF(C304="","",(C304&gt;=Targets!$B$2)+(D304&gt;=Targets!$B$3)+(E304&gt;=Targets!$B$4)+(N(H304)&gt;=1))&amp;"/4"</f>
        <v>/4</v>
      </c>
      <c r="K304" s="14"/>
    </row>
    <row r="305" customFormat="false" ht="15" hidden="false" customHeight="false" outlineLevel="0" collapsed="false">
      <c r="A305" s="13"/>
      <c r="B305" s="14"/>
      <c r="C305" s="15"/>
      <c r="D305" s="15"/>
      <c r="E305" s="15"/>
      <c r="F305" s="15"/>
      <c r="G305" s="15"/>
      <c r="H305" s="16" t="str">
        <f aca="false">IF(OR(F305="",F305=0),IF(G305="","",1),MIN(1,G305/F305))</f>
        <v/>
      </c>
      <c r="I305" s="15"/>
      <c r="J305" s="17" t="str">
        <f aca="false">IF(C305="","",(C305&gt;=Targets!$B$2)+(D305&gt;=Targets!$B$3)+(E305&gt;=Targets!$B$4)+(N(H305)&gt;=1))&amp;"/4"</f>
        <v>/4</v>
      </c>
      <c r="K305" s="14"/>
    </row>
    <row r="306" customFormat="false" ht="15" hidden="false" customHeight="false" outlineLevel="0" collapsed="false">
      <c r="A306" s="13"/>
      <c r="B306" s="14"/>
      <c r="C306" s="15"/>
      <c r="D306" s="15"/>
      <c r="E306" s="15"/>
      <c r="F306" s="15"/>
      <c r="G306" s="15"/>
      <c r="H306" s="16" t="str">
        <f aca="false">IF(OR(F306="",F306=0),IF(G306="","",1),MIN(1,G306/F306))</f>
        <v/>
      </c>
      <c r="I306" s="15"/>
      <c r="J306" s="17" t="str">
        <f aca="false">IF(C306="","",(C306&gt;=Targets!$B$2)+(D306&gt;=Targets!$B$3)+(E306&gt;=Targets!$B$4)+(N(H306)&gt;=1))&amp;"/4"</f>
        <v>/4</v>
      </c>
      <c r="K306" s="14"/>
    </row>
    <row r="307" customFormat="false" ht="15" hidden="false" customHeight="false" outlineLevel="0" collapsed="false">
      <c r="A307" s="13"/>
      <c r="B307" s="14"/>
      <c r="C307" s="15"/>
      <c r="D307" s="15"/>
      <c r="E307" s="15"/>
      <c r="F307" s="15"/>
      <c r="G307" s="15"/>
      <c r="H307" s="16" t="str">
        <f aca="false">IF(OR(F307="",F307=0),IF(G307="","",1),MIN(1,G307/F307))</f>
        <v/>
      </c>
      <c r="I307" s="15"/>
      <c r="J307" s="17" t="str">
        <f aca="false">IF(C307="","",(C307&gt;=Targets!$B$2)+(D307&gt;=Targets!$B$3)+(E307&gt;=Targets!$B$4)+(N(H307)&gt;=1))&amp;"/4"</f>
        <v>/4</v>
      </c>
      <c r="K307" s="14"/>
    </row>
    <row r="308" customFormat="false" ht="15" hidden="false" customHeight="false" outlineLevel="0" collapsed="false">
      <c r="A308" s="13"/>
      <c r="B308" s="14"/>
      <c r="C308" s="15"/>
      <c r="D308" s="15"/>
      <c r="E308" s="15"/>
      <c r="F308" s="15"/>
      <c r="G308" s="15"/>
      <c r="H308" s="16" t="str">
        <f aca="false">IF(OR(F308="",F308=0),IF(G308="","",1),MIN(1,G308/F308))</f>
        <v/>
      </c>
      <c r="I308" s="15"/>
      <c r="J308" s="17" t="str">
        <f aca="false">IF(C308="","",(C308&gt;=Targets!$B$2)+(D308&gt;=Targets!$B$3)+(E308&gt;=Targets!$B$4)+(N(H308)&gt;=1))&amp;"/4"</f>
        <v>/4</v>
      </c>
      <c r="K308" s="14"/>
    </row>
    <row r="309" customFormat="false" ht="15" hidden="false" customHeight="false" outlineLevel="0" collapsed="false">
      <c r="A309" s="13"/>
      <c r="B309" s="14"/>
      <c r="C309" s="15"/>
      <c r="D309" s="15"/>
      <c r="E309" s="15"/>
      <c r="F309" s="15"/>
      <c r="G309" s="15"/>
      <c r="H309" s="16" t="str">
        <f aca="false">IF(OR(F309="",F309=0),IF(G309="","",1),MIN(1,G309/F309))</f>
        <v/>
      </c>
      <c r="I309" s="15"/>
      <c r="J309" s="17" t="str">
        <f aca="false">IF(C309="","",(C309&gt;=Targets!$B$2)+(D309&gt;=Targets!$B$3)+(E309&gt;=Targets!$B$4)+(N(H309)&gt;=1))&amp;"/4"</f>
        <v>/4</v>
      </c>
      <c r="K309" s="14"/>
    </row>
    <row r="310" customFormat="false" ht="15" hidden="false" customHeight="false" outlineLevel="0" collapsed="false">
      <c r="A310" s="13"/>
      <c r="B310" s="14"/>
      <c r="C310" s="15"/>
      <c r="D310" s="15"/>
      <c r="E310" s="15"/>
      <c r="F310" s="15"/>
      <c r="G310" s="15"/>
      <c r="H310" s="16" t="str">
        <f aca="false">IF(OR(F310="",F310=0),IF(G310="","",1),MIN(1,G310/F310))</f>
        <v/>
      </c>
      <c r="I310" s="15"/>
      <c r="J310" s="17" t="str">
        <f aca="false">IF(C310="","",(C310&gt;=Targets!$B$2)+(D310&gt;=Targets!$B$3)+(E310&gt;=Targets!$B$4)+(N(H310)&gt;=1))&amp;"/4"</f>
        <v>/4</v>
      </c>
      <c r="K310" s="14"/>
    </row>
    <row r="311" customFormat="false" ht="15" hidden="false" customHeight="false" outlineLevel="0" collapsed="false">
      <c r="A311" s="13"/>
      <c r="B311" s="14"/>
      <c r="C311" s="15"/>
      <c r="D311" s="15"/>
      <c r="E311" s="15"/>
      <c r="F311" s="15"/>
      <c r="G311" s="15"/>
      <c r="H311" s="16" t="str">
        <f aca="false">IF(OR(F311="",F311=0),IF(G311="","",1),MIN(1,G311/F311))</f>
        <v/>
      </c>
      <c r="I311" s="15"/>
      <c r="J311" s="17" t="str">
        <f aca="false">IF(C311="","",(C311&gt;=Targets!$B$2)+(D311&gt;=Targets!$B$3)+(E311&gt;=Targets!$B$4)+(N(H311)&gt;=1))&amp;"/4"</f>
        <v>/4</v>
      </c>
      <c r="K311" s="14"/>
    </row>
    <row r="312" customFormat="false" ht="15" hidden="false" customHeight="false" outlineLevel="0" collapsed="false">
      <c r="A312" s="13"/>
      <c r="B312" s="14"/>
      <c r="C312" s="15"/>
      <c r="D312" s="15"/>
      <c r="E312" s="15"/>
      <c r="F312" s="15"/>
      <c r="G312" s="15"/>
      <c r="H312" s="16" t="str">
        <f aca="false">IF(OR(F312="",F312=0),IF(G312="","",1),MIN(1,G312/F312))</f>
        <v/>
      </c>
      <c r="I312" s="15"/>
      <c r="J312" s="17" t="str">
        <f aca="false">IF(C312="","",(C312&gt;=Targets!$B$2)+(D312&gt;=Targets!$B$3)+(E312&gt;=Targets!$B$4)+(N(H312)&gt;=1))&amp;"/4"</f>
        <v>/4</v>
      </c>
      <c r="K312" s="14"/>
    </row>
    <row r="313" customFormat="false" ht="15" hidden="false" customHeight="false" outlineLevel="0" collapsed="false">
      <c r="A313" s="13"/>
      <c r="B313" s="14"/>
      <c r="C313" s="15"/>
      <c r="D313" s="15"/>
      <c r="E313" s="15"/>
      <c r="F313" s="15"/>
      <c r="G313" s="15"/>
      <c r="H313" s="16" t="str">
        <f aca="false">IF(OR(F313="",F313=0),IF(G313="","",1),MIN(1,G313/F313))</f>
        <v/>
      </c>
      <c r="I313" s="15"/>
      <c r="J313" s="17" t="str">
        <f aca="false">IF(C313="","",(C313&gt;=Targets!$B$2)+(D313&gt;=Targets!$B$3)+(E313&gt;=Targets!$B$4)+(N(H313)&gt;=1))&amp;"/4"</f>
        <v>/4</v>
      </c>
      <c r="K313" s="14"/>
    </row>
    <row r="314" customFormat="false" ht="15" hidden="false" customHeight="false" outlineLevel="0" collapsed="false">
      <c r="A314" s="13"/>
      <c r="B314" s="14"/>
      <c r="C314" s="15"/>
      <c r="D314" s="15"/>
      <c r="E314" s="15"/>
      <c r="F314" s="15"/>
      <c r="G314" s="15"/>
      <c r="H314" s="16" t="str">
        <f aca="false">IF(OR(F314="",F314=0),IF(G314="","",1),MIN(1,G314/F314))</f>
        <v/>
      </c>
      <c r="I314" s="15"/>
      <c r="J314" s="17" t="str">
        <f aca="false">IF(C314="","",(C314&gt;=Targets!$B$2)+(D314&gt;=Targets!$B$3)+(E314&gt;=Targets!$B$4)+(N(H314)&gt;=1))&amp;"/4"</f>
        <v>/4</v>
      </c>
      <c r="K314" s="14"/>
    </row>
    <row r="315" customFormat="false" ht="15" hidden="false" customHeight="false" outlineLevel="0" collapsed="false">
      <c r="A315" s="13"/>
      <c r="B315" s="14"/>
      <c r="C315" s="15"/>
      <c r="D315" s="15"/>
      <c r="E315" s="15"/>
      <c r="F315" s="15"/>
      <c r="G315" s="15"/>
      <c r="H315" s="16" t="str">
        <f aca="false">IF(OR(F315="",F315=0),IF(G315="","",1),MIN(1,G315/F315))</f>
        <v/>
      </c>
      <c r="I315" s="15"/>
      <c r="J315" s="17" t="str">
        <f aca="false">IF(C315="","",(C315&gt;=Targets!$B$2)+(D315&gt;=Targets!$B$3)+(E315&gt;=Targets!$B$4)+(N(H315)&gt;=1))&amp;"/4"</f>
        <v>/4</v>
      </c>
      <c r="K315" s="14"/>
    </row>
    <row r="316" customFormat="false" ht="15" hidden="false" customHeight="false" outlineLevel="0" collapsed="false">
      <c r="A316" s="13"/>
      <c r="B316" s="14"/>
      <c r="C316" s="15"/>
      <c r="D316" s="15"/>
      <c r="E316" s="15"/>
      <c r="F316" s="15"/>
      <c r="G316" s="15"/>
      <c r="H316" s="16" t="str">
        <f aca="false">IF(OR(F316="",F316=0),IF(G316="","",1),MIN(1,G316/F316))</f>
        <v/>
      </c>
      <c r="I316" s="15"/>
      <c r="J316" s="17" t="str">
        <f aca="false">IF(C316="","",(C316&gt;=Targets!$B$2)+(D316&gt;=Targets!$B$3)+(E316&gt;=Targets!$B$4)+(N(H316)&gt;=1))&amp;"/4"</f>
        <v>/4</v>
      </c>
      <c r="K316" s="14"/>
    </row>
    <row r="317" customFormat="false" ht="15" hidden="false" customHeight="false" outlineLevel="0" collapsed="false">
      <c r="A317" s="13"/>
      <c r="B317" s="14"/>
      <c r="C317" s="15"/>
      <c r="D317" s="15"/>
      <c r="E317" s="15"/>
      <c r="F317" s="15"/>
      <c r="G317" s="15"/>
      <c r="H317" s="16" t="str">
        <f aca="false">IF(OR(F317="",F317=0),IF(G317="","",1),MIN(1,G317/F317))</f>
        <v/>
      </c>
      <c r="I317" s="15"/>
      <c r="J317" s="17" t="str">
        <f aca="false">IF(C317="","",(C317&gt;=Targets!$B$2)+(D317&gt;=Targets!$B$3)+(E317&gt;=Targets!$B$4)+(N(H317)&gt;=1))&amp;"/4"</f>
        <v>/4</v>
      </c>
      <c r="K317" s="14"/>
    </row>
    <row r="318" customFormat="false" ht="15" hidden="false" customHeight="false" outlineLevel="0" collapsed="false">
      <c r="A318" s="13"/>
      <c r="B318" s="14"/>
      <c r="C318" s="15"/>
      <c r="D318" s="15"/>
      <c r="E318" s="15"/>
      <c r="F318" s="15"/>
      <c r="G318" s="15"/>
      <c r="H318" s="16" t="str">
        <f aca="false">IF(OR(F318="",F318=0),IF(G318="","",1),MIN(1,G318/F318))</f>
        <v/>
      </c>
      <c r="I318" s="15"/>
      <c r="J318" s="17" t="str">
        <f aca="false">IF(C318="","",(C318&gt;=Targets!$B$2)+(D318&gt;=Targets!$B$3)+(E318&gt;=Targets!$B$4)+(N(H318)&gt;=1))&amp;"/4"</f>
        <v>/4</v>
      </c>
      <c r="K318" s="14"/>
    </row>
    <row r="319" customFormat="false" ht="15" hidden="false" customHeight="false" outlineLevel="0" collapsed="false">
      <c r="A319" s="13"/>
      <c r="B319" s="14"/>
      <c r="C319" s="15"/>
      <c r="D319" s="15"/>
      <c r="E319" s="15"/>
      <c r="F319" s="15"/>
      <c r="G319" s="15"/>
      <c r="H319" s="16" t="str">
        <f aca="false">IF(OR(F319="",F319=0),IF(G319="","",1),MIN(1,G319/F319))</f>
        <v/>
      </c>
      <c r="I319" s="15"/>
      <c r="J319" s="17" t="str">
        <f aca="false">IF(C319="","",(C319&gt;=Targets!$B$2)+(D319&gt;=Targets!$B$3)+(E319&gt;=Targets!$B$4)+(N(H319)&gt;=1))&amp;"/4"</f>
        <v>/4</v>
      </c>
      <c r="K319" s="14"/>
    </row>
    <row r="320" customFormat="false" ht="15" hidden="false" customHeight="false" outlineLevel="0" collapsed="false">
      <c r="A320" s="13"/>
      <c r="B320" s="14"/>
      <c r="C320" s="15"/>
      <c r="D320" s="15"/>
      <c r="E320" s="15"/>
      <c r="F320" s="15"/>
      <c r="G320" s="15"/>
      <c r="H320" s="16" t="str">
        <f aca="false">IF(OR(F320="",F320=0),IF(G320="","",1),MIN(1,G320/F320))</f>
        <v/>
      </c>
      <c r="I320" s="15"/>
      <c r="J320" s="17" t="str">
        <f aca="false">IF(C320="","",(C320&gt;=Targets!$B$2)+(D320&gt;=Targets!$B$3)+(E320&gt;=Targets!$B$4)+(N(H320)&gt;=1))&amp;"/4"</f>
        <v>/4</v>
      </c>
      <c r="K320" s="14"/>
    </row>
    <row r="321" customFormat="false" ht="15" hidden="false" customHeight="false" outlineLevel="0" collapsed="false">
      <c r="A321" s="13"/>
      <c r="B321" s="14"/>
      <c r="C321" s="15"/>
      <c r="D321" s="15"/>
      <c r="E321" s="15"/>
      <c r="F321" s="15"/>
      <c r="G321" s="15"/>
      <c r="H321" s="16" t="str">
        <f aca="false">IF(OR(F321="",F321=0),IF(G321="","",1),MIN(1,G321/F321))</f>
        <v/>
      </c>
      <c r="I321" s="15"/>
      <c r="J321" s="17" t="str">
        <f aca="false">IF(C321="","",(C321&gt;=Targets!$B$2)+(D321&gt;=Targets!$B$3)+(E321&gt;=Targets!$B$4)+(N(H321)&gt;=1))&amp;"/4"</f>
        <v>/4</v>
      </c>
      <c r="K321" s="14"/>
    </row>
    <row r="322" customFormat="false" ht="15" hidden="false" customHeight="false" outlineLevel="0" collapsed="false">
      <c r="A322" s="13"/>
      <c r="B322" s="14"/>
      <c r="C322" s="15"/>
      <c r="D322" s="15"/>
      <c r="E322" s="15"/>
      <c r="F322" s="15"/>
      <c r="G322" s="15"/>
      <c r="H322" s="16" t="str">
        <f aca="false">IF(OR(F322="",F322=0),IF(G322="","",1),MIN(1,G322/F322))</f>
        <v/>
      </c>
      <c r="I322" s="15"/>
      <c r="J322" s="17" t="str">
        <f aca="false">IF(C322="","",(C322&gt;=Targets!$B$2)+(D322&gt;=Targets!$B$3)+(E322&gt;=Targets!$B$4)+(N(H322)&gt;=1))&amp;"/4"</f>
        <v>/4</v>
      </c>
      <c r="K322" s="14"/>
    </row>
    <row r="323" customFormat="false" ht="15" hidden="false" customHeight="false" outlineLevel="0" collapsed="false">
      <c r="A323" s="13"/>
      <c r="B323" s="14"/>
      <c r="C323" s="15"/>
      <c r="D323" s="15"/>
      <c r="E323" s="15"/>
      <c r="F323" s="15"/>
      <c r="G323" s="15"/>
      <c r="H323" s="16" t="str">
        <f aca="false">IF(OR(F323="",F323=0),IF(G323="","",1),MIN(1,G323/F323))</f>
        <v/>
      </c>
      <c r="I323" s="15"/>
      <c r="J323" s="17" t="str">
        <f aca="false">IF(C323="","",(C323&gt;=Targets!$B$2)+(D323&gt;=Targets!$B$3)+(E323&gt;=Targets!$B$4)+(N(H323)&gt;=1))&amp;"/4"</f>
        <v>/4</v>
      </c>
      <c r="K323" s="14"/>
    </row>
    <row r="324" customFormat="false" ht="15" hidden="false" customHeight="false" outlineLevel="0" collapsed="false">
      <c r="A324" s="13"/>
      <c r="B324" s="14"/>
      <c r="C324" s="15"/>
      <c r="D324" s="15"/>
      <c r="E324" s="15"/>
      <c r="F324" s="15"/>
      <c r="G324" s="15"/>
      <c r="H324" s="16" t="str">
        <f aca="false">IF(OR(F324="",F324=0),IF(G324="","",1),MIN(1,G324/F324))</f>
        <v/>
      </c>
      <c r="I324" s="15"/>
      <c r="J324" s="17" t="str">
        <f aca="false">IF(C324="","",(C324&gt;=Targets!$B$2)+(D324&gt;=Targets!$B$3)+(E324&gt;=Targets!$B$4)+(N(H324)&gt;=1))&amp;"/4"</f>
        <v>/4</v>
      </c>
      <c r="K324" s="14"/>
    </row>
    <row r="325" customFormat="false" ht="15" hidden="false" customHeight="false" outlineLevel="0" collapsed="false">
      <c r="A325" s="13"/>
      <c r="B325" s="14"/>
      <c r="C325" s="15"/>
      <c r="D325" s="15"/>
      <c r="E325" s="15"/>
      <c r="F325" s="15"/>
      <c r="G325" s="15"/>
      <c r="H325" s="16" t="str">
        <f aca="false">IF(OR(F325="",F325=0),IF(G325="","",1),MIN(1,G325/F325))</f>
        <v/>
      </c>
      <c r="I325" s="15"/>
      <c r="J325" s="17" t="str">
        <f aca="false">IF(C325="","",(C325&gt;=Targets!$B$2)+(D325&gt;=Targets!$B$3)+(E325&gt;=Targets!$B$4)+(N(H325)&gt;=1))&amp;"/4"</f>
        <v>/4</v>
      </c>
      <c r="K325" s="14"/>
    </row>
    <row r="326" customFormat="false" ht="15" hidden="false" customHeight="false" outlineLevel="0" collapsed="false">
      <c r="A326" s="13"/>
      <c r="B326" s="14"/>
      <c r="C326" s="15"/>
      <c r="D326" s="15"/>
      <c r="E326" s="15"/>
      <c r="F326" s="15"/>
      <c r="G326" s="15"/>
      <c r="H326" s="16" t="str">
        <f aca="false">IF(OR(F326="",F326=0),IF(G326="","",1),MIN(1,G326/F326))</f>
        <v/>
      </c>
      <c r="I326" s="15"/>
      <c r="J326" s="17" t="str">
        <f aca="false">IF(C326="","",(C326&gt;=Targets!$B$2)+(D326&gt;=Targets!$B$3)+(E326&gt;=Targets!$B$4)+(N(H326)&gt;=1))&amp;"/4"</f>
        <v>/4</v>
      </c>
      <c r="K326" s="14"/>
    </row>
    <row r="327" customFormat="false" ht="15" hidden="false" customHeight="false" outlineLevel="0" collapsed="false">
      <c r="A327" s="13"/>
      <c r="B327" s="14"/>
      <c r="C327" s="15"/>
      <c r="D327" s="15"/>
      <c r="E327" s="15"/>
      <c r="F327" s="15"/>
      <c r="G327" s="15"/>
      <c r="H327" s="16" t="str">
        <f aca="false">IF(OR(F327="",F327=0),IF(G327="","",1),MIN(1,G327/F327))</f>
        <v/>
      </c>
      <c r="I327" s="15"/>
      <c r="J327" s="17" t="str">
        <f aca="false">IF(C327="","",(C327&gt;=Targets!$B$2)+(D327&gt;=Targets!$B$3)+(E327&gt;=Targets!$B$4)+(N(H327)&gt;=1))&amp;"/4"</f>
        <v>/4</v>
      </c>
      <c r="K327" s="14"/>
    </row>
    <row r="328" customFormat="false" ht="15" hidden="false" customHeight="false" outlineLevel="0" collapsed="false">
      <c r="A328" s="13"/>
      <c r="B328" s="14"/>
      <c r="C328" s="15"/>
      <c r="D328" s="15"/>
      <c r="E328" s="15"/>
      <c r="F328" s="15"/>
      <c r="G328" s="15"/>
      <c r="H328" s="16" t="str">
        <f aca="false">IF(OR(F328="",F328=0),IF(G328="","",1),MIN(1,G328/F328))</f>
        <v/>
      </c>
      <c r="I328" s="15"/>
      <c r="J328" s="17" t="str">
        <f aca="false">IF(C328="","",(C328&gt;=Targets!$B$2)+(D328&gt;=Targets!$B$3)+(E328&gt;=Targets!$B$4)+(N(H328)&gt;=1))&amp;"/4"</f>
        <v>/4</v>
      </c>
      <c r="K328" s="14"/>
    </row>
    <row r="329" customFormat="false" ht="15" hidden="false" customHeight="false" outlineLevel="0" collapsed="false">
      <c r="A329" s="13"/>
      <c r="B329" s="14"/>
      <c r="C329" s="15"/>
      <c r="D329" s="15"/>
      <c r="E329" s="15"/>
      <c r="F329" s="15"/>
      <c r="G329" s="15"/>
      <c r="H329" s="16" t="str">
        <f aca="false">IF(OR(F329="",F329=0),IF(G329="","",1),MIN(1,G329/F329))</f>
        <v/>
      </c>
      <c r="I329" s="15"/>
      <c r="J329" s="17" t="str">
        <f aca="false">IF(C329="","",(C329&gt;=Targets!$B$2)+(D329&gt;=Targets!$B$3)+(E329&gt;=Targets!$B$4)+(N(H329)&gt;=1))&amp;"/4"</f>
        <v>/4</v>
      </c>
      <c r="K329" s="14"/>
    </row>
    <row r="330" customFormat="false" ht="15" hidden="false" customHeight="false" outlineLevel="0" collapsed="false">
      <c r="A330" s="13"/>
      <c r="B330" s="14"/>
      <c r="C330" s="15"/>
      <c r="D330" s="15"/>
      <c r="E330" s="15"/>
      <c r="F330" s="15"/>
      <c r="G330" s="15"/>
      <c r="H330" s="16" t="str">
        <f aca="false">IF(OR(F330="",F330=0),IF(G330="","",1),MIN(1,G330/F330))</f>
        <v/>
      </c>
      <c r="I330" s="15"/>
      <c r="J330" s="17" t="str">
        <f aca="false">IF(C330="","",(C330&gt;=Targets!$B$2)+(D330&gt;=Targets!$B$3)+(E330&gt;=Targets!$B$4)+(N(H330)&gt;=1))&amp;"/4"</f>
        <v>/4</v>
      </c>
      <c r="K330" s="14"/>
    </row>
    <row r="331" customFormat="false" ht="15" hidden="false" customHeight="false" outlineLevel="0" collapsed="false">
      <c r="A331" s="13"/>
      <c r="B331" s="14"/>
      <c r="C331" s="15"/>
      <c r="D331" s="15"/>
      <c r="E331" s="15"/>
      <c r="F331" s="15"/>
      <c r="G331" s="15"/>
      <c r="H331" s="16" t="str">
        <f aca="false">IF(OR(F331="",F331=0),IF(G331="","",1),MIN(1,G331/F331))</f>
        <v/>
      </c>
      <c r="I331" s="15"/>
      <c r="J331" s="17" t="str">
        <f aca="false">IF(C331="","",(C331&gt;=Targets!$B$2)+(D331&gt;=Targets!$B$3)+(E331&gt;=Targets!$B$4)+(N(H331)&gt;=1))&amp;"/4"</f>
        <v>/4</v>
      </c>
      <c r="K331" s="14"/>
    </row>
    <row r="332" customFormat="false" ht="15" hidden="false" customHeight="false" outlineLevel="0" collapsed="false">
      <c r="A332" s="13"/>
      <c r="B332" s="14"/>
      <c r="C332" s="15"/>
      <c r="D332" s="15"/>
      <c r="E332" s="15"/>
      <c r="F332" s="15"/>
      <c r="G332" s="15"/>
      <c r="H332" s="16" t="str">
        <f aca="false">IF(OR(F332="",F332=0),IF(G332="","",1),MIN(1,G332/F332))</f>
        <v/>
      </c>
      <c r="I332" s="15"/>
      <c r="J332" s="17" t="str">
        <f aca="false">IF(C332="","",(C332&gt;=Targets!$B$2)+(D332&gt;=Targets!$B$3)+(E332&gt;=Targets!$B$4)+(N(H332)&gt;=1))&amp;"/4"</f>
        <v>/4</v>
      </c>
      <c r="K332" s="14"/>
    </row>
    <row r="333" customFormat="false" ht="15" hidden="false" customHeight="false" outlineLevel="0" collapsed="false">
      <c r="A333" s="13"/>
      <c r="B333" s="14"/>
      <c r="C333" s="15"/>
      <c r="D333" s="15"/>
      <c r="E333" s="15"/>
      <c r="F333" s="15"/>
      <c r="G333" s="15"/>
      <c r="H333" s="16" t="str">
        <f aca="false">IF(OR(F333="",F333=0),IF(G333="","",1),MIN(1,G333/F333))</f>
        <v/>
      </c>
      <c r="I333" s="15"/>
      <c r="J333" s="17" t="str">
        <f aca="false">IF(C333="","",(C333&gt;=Targets!$B$2)+(D333&gt;=Targets!$B$3)+(E333&gt;=Targets!$B$4)+(N(H333)&gt;=1))&amp;"/4"</f>
        <v>/4</v>
      </c>
      <c r="K333" s="14"/>
    </row>
    <row r="334" customFormat="false" ht="15" hidden="false" customHeight="false" outlineLevel="0" collapsed="false">
      <c r="A334" s="13"/>
      <c r="B334" s="14"/>
      <c r="C334" s="15"/>
      <c r="D334" s="15"/>
      <c r="E334" s="15"/>
      <c r="F334" s="15"/>
      <c r="G334" s="15"/>
      <c r="H334" s="16" t="str">
        <f aca="false">IF(OR(F334="",F334=0),IF(G334="","",1),MIN(1,G334/F334))</f>
        <v/>
      </c>
      <c r="I334" s="15"/>
      <c r="J334" s="17" t="str">
        <f aca="false">IF(C334="","",(C334&gt;=Targets!$B$2)+(D334&gt;=Targets!$B$3)+(E334&gt;=Targets!$B$4)+(N(H334)&gt;=1))&amp;"/4"</f>
        <v>/4</v>
      </c>
      <c r="K334" s="14"/>
    </row>
    <row r="335" customFormat="false" ht="15" hidden="false" customHeight="false" outlineLevel="0" collapsed="false">
      <c r="A335" s="13"/>
      <c r="B335" s="14"/>
      <c r="C335" s="15"/>
      <c r="D335" s="15"/>
      <c r="E335" s="15"/>
      <c r="F335" s="15"/>
      <c r="G335" s="15"/>
      <c r="H335" s="16" t="str">
        <f aca="false">IF(OR(F335="",F335=0),IF(G335="","",1),MIN(1,G335/F335))</f>
        <v/>
      </c>
      <c r="I335" s="15"/>
      <c r="J335" s="17" t="str">
        <f aca="false">IF(C335="","",(C335&gt;=Targets!$B$2)+(D335&gt;=Targets!$B$3)+(E335&gt;=Targets!$B$4)+(N(H335)&gt;=1))&amp;"/4"</f>
        <v>/4</v>
      </c>
      <c r="K335" s="14"/>
    </row>
    <row r="336" customFormat="false" ht="15" hidden="false" customHeight="false" outlineLevel="0" collapsed="false">
      <c r="A336" s="13"/>
      <c r="B336" s="14"/>
      <c r="C336" s="15"/>
      <c r="D336" s="15"/>
      <c r="E336" s="15"/>
      <c r="F336" s="15"/>
      <c r="G336" s="15"/>
      <c r="H336" s="16" t="str">
        <f aca="false">IF(OR(F336="",F336=0),IF(G336="","",1),MIN(1,G336/F336))</f>
        <v/>
      </c>
      <c r="I336" s="15"/>
      <c r="J336" s="17" t="str">
        <f aca="false">IF(C336="","",(C336&gt;=Targets!$B$2)+(D336&gt;=Targets!$B$3)+(E336&gt;=Targets!$B$4)+(N(H336)&gt;=1))&amp;"/4"</f>
        <v>/4</v>
      </c>
      <c r="K336" s="14"/>
    </row>
    <row r="337" customFormat="false" ht="15" hidden="false" customHeight="false" outlineLevel="0" collapsed="false">
      <c r="A337" s="13"/>
      <c r="B337" s="14"/>
      <c r="C337" s="15"/>
      <c r="D337" s="15"/>
      <c r="E337" s="15"/>
      <c r="F337" s="15"/>
      <c r="G337" s="15"/>
      <c r="H337" s="16" t="str">
        <f aca="false">IF(OR(F337="",F337=0),IF(G337="","",1),MIN(1,G337/F337))</f>
        <v/>
      </c>
      <c r="I337" s="15"/>
      <c r="J337" s="17" t="str">
        <f aca="false">IF(C337="","",(C337&gt;=Targets!$B$2)+(D337&gt;=Targets!$B$3)+(E337&gt;=Targets!$B$4)+(N(H337)&gt;=1))&amp;"/4"</f>
        <v>/4</v>
      </c>
      <c r="K337" s="14"/>
    </row>
    <row r="338" customFormat="false" ht="15" hidden="false" customHeight="false" outlineLevel="0" collapsed="false">
      <c r="A338" s="13"/>
      <c r="B338" s="14"/>
      <c r="C338" s="15"/>
      <c r="D338" s="15"/>
      <c r="E338" s="15"/>
      <c r="F338" s="15"/>
      <c r="G338" s="15"/>
      <c r="H338" s="16" t="str">
        <f aca="false">IF(OR(F338="",F338=0),IF(G338="","",1),MIN(1,G338/F338))</f>
        <v/>
      </c>
      <c r="I338" s="15"/>
      <c r="J338" s="17" t="str">
        <f aca="false">IF(C338="","",(C338&gt;=Targets!$B$2)+(D338&gt;=Targets!$B$3)+(E338&gt;=Targets!$B$4)+(N(H338)&gt;=1))&amp;"/4"</f>
        <v>/4</v>
      </c>
      <c r="K338" s="14"/>
    </row>
    <row r="339" customFormat="false" ht="15" hidden="false" customHeight="false" outlineLevel="0" collapsed="false">
      <c r="A339" s="13"/>
      <c r="B339" s="14"/>
      <c r="C339" s="15"/>
      <c r="D339" s="15"/>
      <c r="E339" s="15"/>
      <c r="F339" s="15"/>
      <c r="G339" s="15"/>
      <c r="H339" s="16" t="str">
        <f aca="false">IF(OR(F339="",F339=0),IF(G339="","",1),MIN(1,G339/F339))</f>
        <v/>
      </c>
      <c r="I339" s="15"/>
      <c r="J339" s="17" t="str">
        <f aca="false">IF(C339="","",(C339&gt;=Targets!$B$2)+(D339&gt;=Targets!$B$3)+(E339&gt;=Targets!$B$4)+(N(H339)&gt;=1))&amp;"/4"</f>
        <v>/4</v>
      </c>
      <c r="K339" s="14"/>
    </row>
    <row r="340" customFormat="false" ht="15" hidden="false" customHeight="false" outlineLevel="0" collapsed="false">
      <c r="A340" s="13"/>
      <c r="B340" s="14"/>
      <c r="C340" s="15"/>
      <c r="D340" s="15"/>
      <c r="E340" s="15"/>
      <c r="F340" s="15"/>
      <c r="G340" s="15"/>
      <c r="H340" s="16" t="str">
        <f aca="false">IF(OR(F340="",F340=0),IF(G340="","",1),MIN(1,G340/F340))</f>
        <v/>
      </c>
      <c r="I340" s="15"/>
      <c r="J340" s="17" t="str">
        <f aca="false">IF(C340="","",(C340&gt;=Targets!$B$2)+(D340&gt;=Targets!$B$3)+(E340&gt;=Targets!$B$4)+(N(H340)&gt;=1))&amp;"/4"</f>
        <v>/4</v>
      </c>
      <c r="K340" s="14"/>
    </row>
    <row r="341" customFormat="false" ht="15" hidden="false" customHeight="false" outlineLevel="0" collapsed="false">
      <c r="A341" s="13"/>
      <c r="B341" s="14"/>
      <c r="C341" s="15"/>
      <c r="D341" s="15"/>
      <c r="E341" s="15"/>
      <c r="F341" s="15"/>
      <c r="G341" s="15"/>
      <c r="H341" s="16" t="str">
        <f aca="false">IF(OR(F341="",F341=0),IF(G341="","",1),MIN(1,G341/F341))</f>
        <v/>
      </c>
      <c r="I341" s="15"/>
      <c r="J341" s="17" t="str">
        <f aca="false">IF(C341="","",(C341&gt;=Targets!$B$2)+(D341&gt;=Targets!$B$3)+(E341&gt;=Targets!$B$4)+(N(H341)&gt;=1))&amp;"/4"</f>
        <v>/4</v>
      </c>
      <c r="K341" s="14"/>
    </row>
    <row r="342" customFormat="false" ht="15" hidden="false" customHeight="false" outlineLevel="0" collapsed="false">
      <c r="A342" s="13"/>
      <c r="B342" s="14"/>
      <c r="C342" s="15"/>
      <c r="D342" s="15"/>
      <c r="E342" s="15"/>
      <c r="F342" s="15"/>
      <c r="G342" s="15"/>
      <c r="H342" s="16" t="str">
        <f aca="false">IF(OR(F342="",F342=0),IF(G342="","",1),MIN(1,G342/F342))</f>
        <v/>
      </c>
      <c r="I342" s="15"/>
      <c r="J342" s="17" t="str">
        <f aca="false">IF(C342="","",(C342&gt;=Targets!$B$2)+(D342&gt;=Targets!$B$3)+(E342&gt;=Targets!$B$4)+(N(H342)&gt;=1))&amp;"/4"</f>
        <v>/4</v>
      </c>
      <c r="K342" s="14"/>
    </row>
    <row r="343" customFormat="false" ht="15" hidden="false" customHeight="false" outlineLevel="0" collapsed="false">
      <c r="A343" s="13"/>
      <c r="B343" s="14"/>
      <c r="C343" s="15"/>
      <c r="D343" s="15"/>
      <c r="E343" s="15"/>
      <c r="F343" s="15"/>
      <c r="G343" s="15"/>
      <c r="H343" s="16" t="str">
        <f aca="false">IF(OR(F343="",F343=0),IF(G343="","",1),MIN(1,G343/F343))</f>
        <v/>
      </c>
      <c r="I343" s="15"/>
      <c r="J343" s="17" t="str">
        <f aca="false">IF(C343="","",(C343&gt;=Targets!$B$2)+(D343&gt;=Targets!$B$3)+(E343&gt;=Targets!$B$4)+(N(H343)&gt;=1))&amp;"/4"</f>
        <v>/4</v>
      </c>
      <c r="K343" s="14"/>
    </row>
    <row r="344" customFormat="false" ht="15" hidden="false" customHeight="false" outlineLevel="0" collapsed="false">
      <c r="A344" s="13"/>
      <c r="B344" s="14"/>
      <c r="C344" s="15"/>
      <c r="D344" s="15"/>
      <c r="E344" s="15"/>
      <c r="F344" s="15"/>
      <c r="G344" s="15"/>
      <c r="H344" s="16" t="str">
        <f aca="false">IF(OR(F344="",F344=0),IF(G344="","",1),MIN(1,G344/F344))</f>
        <v/>
      </c>
      <c r="I344" s="15"/>
      <c r="J344" s="17" t="str">
        <f aca="false">IF(C344="","",(C344&gt;=Targets!$B$2)+(D344&gt;=Targets!$B$3)+(E344&gt;=Targets!$B$4)+(N(H344)&gt;=1))&amp;"/4"</f>
        <v>/4</v>
      </c>
      <c r="K344" s="14"/>
    </row>
    <row r="345" customFormat="false" ht="15" hidden="false" customHeight="false" outlineLevel="0" collapsed="false">
      <c r="A345" s="13"/>
      <c r="B345" s="14"/>
      <c r="C345" s="15"/>
      <c r="D345" s="15"/>
      <c r="E345" s="15"/>
      <c r="F345" s="15"/>
      <c r="G345" s="15"/>
      <c r="H345" s="16" t="str">
        <f aca="false">IF(OR(F345="",F345=0),IF(G345="","",1),MIN(1,G345/F345))</f>
        <v/>
      </c>
      <c r="I345" s="15"/>
      <c r="J345" s="17" t="str">
        <f aca="false">IF(C345="","",(C345&gt;=Targets!$B$2)+(D345&gt;=Targets!$B$3)+(E345&gt;=Targets!$B$4)+(N(H345)&gt;=1))&amp;"/4"</f>
        <v>/4</v>
      </c>
      <c r="K345" s="14"/>
    </row>
    <row r="346" customFormat="false" ht="15" hidden="false" customHeight="false" outlineLevel="0" collapsed="false">
      <c r="A346" s="13"/>
      <c r="B346" s="14"/>
      <c r="C346" s="15"/>
      <c r="D346" s="15"/>
      <c r="E346" s="15"/>
      <c r="F346" s="15"/>
      <c r="G346" s="15"/>
      <c r="H346" s="16" t="str">
        <f aca="false">IF(OR(F346="",F346=0),IF(G346="","",1),MIN(1,G346/F346))</f>
        <v/>
      </c>
      <c r="I346" s="15"/>
      <c r="J346" s="17" t="str">
        <f aca="false">IF(C346="","",(C346&gt;=Targets!$B$2)+(D346&gt;=Targets!$B$3)+(E346&gt;=Targets!$B$4)+(N(H346)&gt;=1))&amp;"/4"</f>
        <v>/4</v>
      </c>
      <c r="K346" s="14"/>
    </row>
    <row r="347" customFormat="false" ht="15" hidden="false" customHeight="false" outlineLevel="0" collapsed="false">
      <c r="A347" s="13"/>
      <c r="B347" s="14"/>
      <c r="C347" s="15"/>
      <c r="D347" s="15"/>
      <c r="E347" s="15"/>
      <c r="F347" s="15"/>
      <c r="G347" s="15"/>
      <c r="H347" s="16" t="str">
        <f aca="false">IF(OR(F347="",F347=0),IF(G347="","",1),MIN(1,G347/F347))</f>
        <v/>
      </c>
      <c r="I347" s="15"/>
      <c r="J347" s="17" t="str">
        <f aca="false">IF(C347="","",(C347&gt;=Targets!$B$2)+(D347&gt;=Targets!$B$3)+(E347&gt;=Targets!$B$4)+(N(H347)&gt;=1))&amp;"/4"</f>
        <v>/4</v>
      </c>
      <c r="K347" s="14"/>
    </row>
    <row r="348" customFormat="false" ht="15" hidden="false" customHeight="false" outlineLevel="0" collapsed="false">
      <c r="A348" s="13"/>
      <c r="B348" s="14"/>
      <c r="C348" s="15"/>
      <c r="D348" s="15"/>
      <c r="E348" s="15"/>
      <c r="F348" s="15"/>
      <c r="G348" s="15"/>
      <c r="H348" s="16" t="str">
        <f aca="false">IF(OR(F348="",F348=0),IF(G348="","",1),MIN(1,G348/F348))</f>
        <v/>
      </c>
      <c r="I348" s="15"/>
      <c r="J348" s="17" t="str">
        <f aca="false">IF(C348="","",(C348&gt;=Targets!$B$2)+(D348&gt;=Targets!$B$3)+(E348&gt;=Targets!$B$4)+(N(H348)&gt;=1))&amp;"/4"</f>
        <v>/4</v>
      </c>
      <c r="K348" s="14"/>
    </row>
    <row r="349" customFormat="false" ht="15" hidden="false" customHeight="false" outlineLevel="0" collapsed="false">
      <c r="A349" s="13"/>
      <c r="B349" s="14"/>
      <c r="C349" s="15"/>
      <c r="D349" s="15"/>
      <c r="E349" s="15"/>
      <c r="F349" s="15"/>
      <c r="G349" s="15"/>
      <c r="H349" s="16" t="str">
        <f aca="false">IF(OR(F349="",F349=0),IF(G349="","",1),MIN(1,G349/F349))</f>
        <v/>
      </c>
      <c r="I349" s="15"/>
      <c r="J349" s="17" t="str">
        <f aca="false">IF(C349="","",(C349&gt;=Targets!$B$2)+(D349&gt;=Targets!$B$3)+(E349&gt;=Targets!$B$4)+(N(H349)&gt;=1))&amp;"/4"</f>
        <v>/4</v>
      </c>
      <c r="K349" s="14"/>
    </row>
    <row r="350" customFormat="false" ht="15" hidden="false" customHeight="false" outlineLevel="0" collapsed="false">
      <c r="A350" s="13"/>
      <c r="B350" s="14"/>
      <c r="C350" s="15"/>
      <c r="D350" s="15"/>
      <c r="E350" s="15"/>
      <c r="F350" s="15"/>
      <c r="G350" s="15"/>
      <c r="H350" s="16" t="str">
        <f aca="false">IF(OR(F350="",F350=0),IF(G350="","",1),MIN(1,G350/F350))</f>
        <v/>
      </c>
      <c r="I350" s="15"/>
      <c r="J350" s="17" t="str">
        <f aca="false">IF(C350="","",(C350&gt;=Targets!$B$2)+(D350&gt;=Targets!$B$3)+(E350&gt;=Targets!$B$4)+(N(H350)&gt;=1))&amp;"/4"</f>
        <v>/4</v>
      </c>
      <c r="K350" s="14"/>
    </row>
    <row r="351" customFormat="false" ht="15" hidden="false" customHeight="false" outlineLevel="0" collapsed="false">
      <c r="A351" s="13"/>
      <c r="B351" s="14"/>
      <c r="C351" s="15"/>
      <c r="D351" s="15"/>
      <c r="E351" s="15"/>
      <c r="F351" s="15"/>
      <c r="G351" s="15"/>
      <c r="H351" s="16" t="str">
        <f aca="false">IF(OR(F351="",F351=0),IF(G351="","",1),MIN(1,G351/F351))</f>
        <v/>
      </c>
      <c r="I351" s="15"/>
      <c r="J351" s="17" t="str">
        <f aca="false">IF(C351="","",(C351&gt;=Targets!$B$2)+(D351&gt;=Targets!$B$3)+(E351&gt;=Targets!$B$4)+(N(H351)&gt;=1))&amp;"/4"</f>
        <v>/4</v>
      </c>
      <c r="K351" s="14"/>
    </row>
    <row r="352" customFormat="false" ht="15" hidden="false" customHeight="false" outlineLevel="0" collapsed="false">
      <c r="A352" s="13"/>
      <c r="B352" s="14"/>
      <c r="C352" s="15"/>
      <c r="D352" s="15"/>
      <c r="E352" s="15"/>
      <c r="F352" s="15"/>
      <c r="G352" s="15"/>
      <c r="H352" s="16" t="str">
        <f aca="false">IF(OR(F352="",F352=0),IF(G352="","",1),MIN(1,G352/F352))</f>
        <v/>
      </c>
      <c r="I352" s="15"/>
      <c r="J352" s="17" t="str">
        <f aca="false">IF(C352="","",(C352&gt;=Targets!$B$2)+(D352&gt;=Targets!$B$3)+(E352&gt;=Targets!$B$4)+(N(H352)&gt;=1))&amp;"/4"</f>
        <v>/4</v>
      </c>
      <c r="K352" s="14"/>
    </row>
    <row r="353" customFormat="false" ht="15" hidden="false" customHeight="false" outlineLevel="0" collapsed="false">
      <c r="A353" s="13"/>
      <c r="B353" s="14"/>
      <c r="C353" s="15"/>
      <c r="D353" s="15"/>
      <c r="E353" s="15"/>
      <c r="F353" s="15"/>
      <c r="G353" s="15"/>
      <c r="H353" s="16" t="str">
        <f aca="false">IF(OR(F353="",F353=0),IF(G353="","",1),MIN(1,G353/F353))</f>
        <v/>
      </c>
      <c r="I353" s="15"/>
      <c r="J353" s="17" t="str">
        <f aca="false">IF(C353="","",(C353&gt;=Targets!$B$2)+(D353&gt;=Targets!$B$3)+(E353&gt;=Targets!$B$4)+(N(H353)&gt;=1))&amp;"/4"</f>
        <v>/4</v>
      </c>
      <c r="K353" s="14"/>
    </row>
    <row r="354" customFormat="false" ht="15" hidden="false" customHeight="false" outlineLevel="0" collapsed="false">
      <c r="A354" s="13"/>
      <c r="B354" s="14"/>
      <c r="C354" s="15"/>
      <c r="D354" s="15"/>
      <c r="E354" s="15"/>
      <c r="F354" s="15"/>
      <c r="G354" s="15"/>
      <c r="H354" s="16" t="str">
        <f aca="false">IF(OR(F354="",F354=0),IF(G354="","",1),MIN(1,G354/F354))</f>
        <v/>
      </c>
      <c r="I354" s="15"/>
      <c r="J354" s="17" t="str">
        <f aca="false">IF(C354="","",(C354&gt;=Targets!$B$2)+(D354&gt;=Targets!$B$3)+(E354&gt;=Targets!$B$4)+(N(H354)&gt;=1))&amp;"/4"</f>
        <v>/4</v>
      </c>
      <c r="K354" s="14"/>
    </row>
    <row r="355" customFormat="false" ht="15" hidden="false" customHeight="false" outlineLevel="0" collapsed="false">
      <c r="A355" s="13"/>
      <c r="B355" s="14"/>
      <c r="C355" s="15"/>
      <c r="D355" s="15"/>
      <c r="E355" s="15"/>
      <c r="F355" s="15"/>
      <c r="G355" s="15"/>
      <c r="H355" s="16" t="str">
        <f aca="false">IF(OR(F355="",F355=0),IF(G355="","",1),MIN(1,G355/F355))</f>
        <v/>
      </c>
      <c r="I355" s="15"/>
      <c r="J355" s="17" t="str">
        <f aca="false">IF(C355="","",(C355&gt;=Targets!$B$2)+(D355&gt;=Targets!$B$3)+(E355&gt;=Targets!$B$4)+(N(H355)&gt;=1))&amp;"/4"</f>
        <v>/4</v>
      </c>
      <c r="K355" s="14"/>
    </row>
    <row r="356" customFormat="false" ht="15" hidden="false" customHeight="false" outlineLevel="0" collapsed="false">
      <c r="A356" s="13"/>
      <c r="B356" s="14"/>
      <c r="C356" s="15"/>
      <c r="D356" s="15"/>
      <c r="E356" s="15"/>
      <c r="F356" s="15"/>
      <c r="G356" s="15"/>
      <c r="H356" s="16" t="str">
        <f aca="false">IF(OR(F356="",F356=0),IF(G356="","",1),MIN(1,G356/F356))</f>
        <v/>
      </c>
      <c r="I356" s="15"/>
      <c r="J356" s="17" t="str">
        <f aca="false">IF(C356="","",(C356&gt;=Targets!$B$2)+(D356&gt;=Targets!$B$3)+(E356&gt;=Targets!$B$4)+(N(H356)&gt;=1))&amp;"/4"</f>
        <v>/4</v>
      </c>
      <c r="K356" s="14"/>
    </row>
    <row r="357" customFormat="false" ht="15" hidden="false" customHeight="false" outlineLevel="0" collapsed="false">
      <c r="A357" s="13"/>
      <c r="B357" s="14"/>
      <c r="C357" s="15"/>
      <c r="D357" s="15"/>
      <c r="E357" s="15"/>
      <c r="F357" s="15"/>
      <c r="G357" s="15"/>
      <c r="H357" s="16" t="str">
        <f aca="false">IF(OR(F357="",F357=0),IF(G357="","",1),MIN(1,G357/F357))</f>
        <v/>
      </c>
      <c r="I357" s="15"/>
      <c r="J357" s="17" t="str">
        <f aca="false">IF(C357="","",(C357&gt;=Targets!$B$2)+(D357&gt;=Targets!$B$3)+(E357&gt;=Targets!$B$4)+(N(H357)&gt;=1))&amp;"/4"</f>
        <v>/4</v>
      </c>
      <c r="K357" s="14"/>
    </row>
    <row r="358" customFormat="false" ht="15" hidden="false" customHeight="false" outlineLevel="0" collapsed="false">
      <c r="A358" s="13"/>
      <c r="B358" s="14"/>
      <c r="C358" s="15"/>
      <c r="D358" s="15"/>
      <c r="E358" s="15"/>
      <c r="F358" s="15"/>
      <c r="G358" s="15"/>
      <c r="H358" s="16" t="str">
        <f aca="false">IF(OR(F358="",F358=0),IF(G358="","",1),MIN(1,G358/F358))</f>
        <v/>
      </c>
      <c r="I358" s="15"/>
      <c r="J358" s="17" t="str">
        <f aca="false">IF(C358="","",(C358&gt;=Targets!$B$2)+(D358&gt;=Targets!$B$3)+(E358&gt;=Targets!$B$4)+(N(H358)&gt;=1))&amp;"/4"</f>
        <v>/4</v>
      </c>
      <c r="K358" s="14"/>
    </row>
    <row r="359" customFormat="false" ht="15" hidden="false" customHeight="false" outlineLevel="0" collapsed="false">
      <c r="A359" s="13"/>
      <c r="B359" s="14"/>
      <c r="C359" s="15"/>
      <c r="D359" s="15"/>
      <c r="E359" s="15"/>
      <c r="F359" s="15"/>
      <c r="G359" s="15"/>
      <c r="H359" s="16" t="str">
        <f aca="false">IF(OR(F359="",F359=0),IF(G359="","",1),MIN(1,G359/F359))</f>
        <v/>
      </c>
      <c r="I359" s="15"/>
      <c r="J359" s="17" t="str">
        <f aca="false">IF(C359="","",(C359&gt;=Targets!$B$2)+(D359&gt;=Targets!$B$3)+(E359&gt;=Targets!$B$4)+(N(H359)&gt;=1))&amp;"/4"</f>
        <v>/4</v>
      </c>
      <c r="K359" s="14"/>
    </row>
    <row r="360" customFormat="false" ht="15" hidden="false" customHeight="false" outlineLevel="0" collapsed="false">
      <c r="A360" s="13"/>
      <c r="B360" s="14"/>
      <c r="C360" s="15"/>
      <c r="D360" s="15"/>
      <c r="E360" s="15"/>
      <c r="F360" s="15"/>
      <c r="G360" s="15"/>
      <c r="H360" s="16" t="str">
        <f aca="false">IF(OR(F360="",F360=0),IF(G360="","",1),MIN(1,G360/F360))</f>
        <v/>
      </c>
      <c r="I360" s="15"/>
      <c r="J360" s="17" t="str">
        <f aca="false">IF(C360="","",(C360&gt;=Targets!$B$2)+(D360&gt;=Targets!$B$3)+(E360&gt;=Targets!$B$4)+(N(H360)&gt;=1))&amp;"/4"</f>
        <v>/4</v>
      </c>
      <c r="K360" s="14"/>
    </row>
    <row r="361" customFormat="false" ht="15" hidden="false" customHeight="false" outlineLevel="0" collapsed="false">
      <c r="A361" s="13"/>
      <c r="B361" s="14"/>
      <c r="C361" s="15"/>
      <c r="D361" s="15"/>
      <c r="E361" s="15"/>
      <c r="F361" s="15"/>
      <c r="G361" s="15"/>
      <c r="H361" s="16" t="str">
        <f aca="false">IF(OR(F361="",F361=0),IF(G361="","",1),MIN(1,G361/F361))</f>
        <v/>
      </c>
      <c r="I361" s="15"/>
      <c r="J361" s="17" t="str">
        <f aca="false">IF(C361="","",(C361&gt;=Targets!$B$2)+(D361&gt;=Targets!$B$3)+(E361&gt;=Targets!$B$4)+(N(H361)&gt;=1))&amp;"/4"</f>
        <v>/4</v>
      </c>
      <c r="K361" s="14"/>
    </row>
    <row r="362" customFormat="false" ht="15" hidden="false" customHeight="false" outlineLevel="0" collapsed="false">
      <c r="A362" s="13"/>
      <c r="B362" s="14"/>
      <c r="C362" s="15"/>
      <c r="D362" s="15"/>
      <c r="E362" s="15"/>
      <c r="F362" s="15"/>
      <c r="G362" s="15"/>
      <c r="H362" s="16" t="str">
        <f aca="false">IF(OR(F362="",F362=0),IF(G362="","",1),MIN(1,G362/F362))</f>
        <v/>
      </c>
      <c r="I362" s="15"/>
      <c r="J362" s="17" t="str">
        <f aca="false">IF(C362="","",(C362&gt;=Targets!$B$2)+(D362&gt;=Targets!$B$3)+(E362&gt;=Targets!$B$4)+(N(H362)&gt;=1))&amp;"/4"</f>
        <v>/4</v>
      </c>
      <c r="K362" s="14"/>
    </row>
    <row r="363" customFormat="false" ht="15" hidden="false" customHeight="false" outlineLevel="0" collapsed="false">
      <c r="A363" s="13"/>
      <c r="B363" s="14"/>
      <c r="C363" s="15"/>
      <c r="D363" s="15"/>
      <c r="E363" s="15"/>
      <c r="F363" s="15"/>
      <c r="G363" s="15"/>
      <c r="H363" s="16" t="str">
        <f aca="false">IF(OR(F363="",F363=0),IF(G363="","",1),MIN(1,G363/F363))</f>
        <v/>
      </c>
      <c r="I363" s="15"/>
      <c r="J363" s="17" t="str">
        <f aca="false">IF(C363="","",(C363&gt;=Targets!$B$2)+(D363&gt;=Targets!$B$3)+(E363&gt;=Targets!$B$4)+(N(H363)&gt;=1))&amp;"/4"</f>
        <v>/4</v>
      </c>
      <c r="K363" s="14"/>
    </row>
    <row r="364" customFormat="false" ht="15" hidden="false" customHeight="false" outlineLevel="0" collapsed="false">
      <c r="A364" s="13"/>
      <c r="B364" s="14"/>
      <c r="C364" s="15"/>
      <c r="D364" s="15"/>
      <c r="E364" s="15"/>
      <c r="F364" s="15"/>
      <c r="G364" s="15"/>
      <c r="H364" s="16" t="str">
        <f aca="false">IF(OR(F364="",F364=0),IF(G364="","",1),MIN(1,G364/F364))</f>
        <v/>
      </c>
      <c r="I364" s="15"/>
      <c r="J364" s="17" t="str">
        <f aca="false">IF(C364="","",(C364&gt;=Targets!$B$2)+(D364&gt;=Targets!$B$3)+(E364&gt;=Targets!$B$4)+(N(H364)&gt;=1))&amp;"/4"</f>
        <v>/4</v>
      </c>
      <c r="K364" s="14"/>
    </row>
    <row r="365" customFormat="false" ht="15" hidden="false" customHeight="false" outlineLevel="0" collapsed="false">
      <c r="A365" s="13"/>
      <c r="B365" s="14"/>
      <c r="C365" s="15"/>
      <c r="D365" s="15"/>
      <c r="E365" s="15"/>
      <c r="F365" s="15"/>
      <c r="G365" s="15"/>
      <c r="H365" s="16" t="str">
        <f aca="false">IF(OR(F365="",F365=0),IF(G365="","",1),MIN(1,G365/F365))</f>
        <v/>
      </c>
      <c r="I365" s="15"/>
      <c r="J365" s="17" t="str">
        <f aca="false">IF(C365="","",(C365&gt;=Targets!$B$2)+(D365&gt;=Targets!$B$3)+(E365&gt;=Targets!$B$4)+(N(H365)&gt;=1))&amp;"/4"</f>
        <v>/4</v>
      </c>
      <c r="K365" s="14"/>
    </row>
    <row r="366" customFormat="false" ht="15" hidden="false" customHeight="false" outlineLevel="0" collapsed="false">
      <c r="A366" s="13"/>
      <c r="B366" s="14"/>
      <c r="C366" s="15"/>
      <c r="D366" s="15"/>
      <c r="E366" s="15"/>
      <c r="F366" s="15"/>
      <c r="G366" s="15"/>
      <c r="H366" s="16" t="str">
        <f aca="false">IF(OR(F366="",F366=0),IF(G366="","",1),MIN(1,G366/F366))</f>
        <v/>
      </c>
      <c r="I366" s="15"/>
      <c r="J366" s="17" t="str">
        <f aca="false">IF(C366="","",(C366&gt;=Targets!$B$2)+(D366&gt;=Targets!$B$3)+(E366&gt;=Targets!$B$4)+(N(H366)&gt;=1))&amp;"/4"</f>
        <v>/4</v>
      </c>
      <c r="K366" s="14"/>
    </row>
    <row r="367" customFormat="false" ht="15" hidden="false" customHeight="false" outlineLevel="0" collapsed="false">
      <c r="A367" s="13"/>
      <c r="B367" s="14"/>
      <c r="C367" s="15"/>
      <c r="D367" s="15"/>
      <c r="E367" s="15"/>
      <c r="F367" s="15"/>
      <c r="G367" s="15"/>
      <c r="H367" s="16" t="str">
        <f aca="false">IF(OR(F367="",F367=0),IF(G367="","",1),MIN(1,G367/F367))</f>
        <v/>
      </c>
      <c r="I367" s="15"/>
      <c r="J367" s="17" t="str">
        <f aca="false">IF(C367="","",(C367&gt;=Targets!$B$2)+(D367&gt;=Targets!$B$3)+(E367&gt;=Targets!$B$4)+(N(H367)&gt;=1))&amp;"/4"</f>
        <v>/4</v>
      </c>
      <c r="K367" s="14"/>
    </row>
    <row r="368" customFormat="false" ht="15" hidden="false" customHeight="false" outlineLevel="0" collapsed="false">
      <c r="A368" s="13"/>
      <c r="B368" s="14"/>
      <c r="C368" s="15"/>
      <c r="D368" s="15"/>
      <c r="E368" s="15"/>
      <c r="F368" s="15"/>
      <c r="G368" s="15"/>
      <c r="H368" s="16" t="str">
        <f aca="false">IF(OR(F368="",F368=0),IF(G368="","",1),MIN(1,G368/F368))</f>
        <v/>
      </c>
      <c r="I368" s="15"/>
      <c r="J368" s="17" t="str">
        <f aca="false">IF(C368="","",(C368&gt;=Targets!$B$2)+(D368&gt;=Targets!$B$3)+(E368&gt;=Targets!$B$4)+(N(H368)&gt;=1))&amp;"/4"</f>
        <v>/4</v>
      </c>
      <c r="K368" s="14"/>
    </row>
    <row r="369" customFormat="false" ht="15" hidden="false" customHeight="false" outlineLevel="0" collapsed="false">
      <c r="A369" s="13"/>
      <c r="B369" s="14"/>
      <c r="C369" s="15"/>
      <c r="D369" s="15"/>
      <c r="E369" s="15"/>
      <c r="F369" s="15"/>
      <c r="G369" s="15"/>
      <c r="H369" s="16" t="str">
        <f aca="false">IF(OR(F369="",F369=0),IF(G369="","",1),MIN(1,G369/F369))</f>
        <v/>
      </c>
      <c r="I369" s="15"/>
      <c r="J369" s="17" t="str">
        <f aca="false">IF(C369="","",(C369&gt;=Targets!$B$2)+(D369&gt;=Targets!$B$3)+(E369&gt;=Targets!$B$4)+(N(H369)&gt;=1))&amp;"/4"</f>
        <v>/4</v>
      </c>
      <c r="K369" s="14"/>
    </row>
    <row r="370" customFormat="false" ht="15" hidden="false" customHeight="false" outlineLevel="0" collapsed="false">
      <c r="A370" s="13"/>
      <c r="B370" s="14"/>
      <c r="C370" s="15"/>
      <c r="D370" s="15"/>
      <c r="E370" s="15"/>
      <c r="F370" s="15"/>
      <c r="G370" s="15"/>
      <c r="H370" s="16" t="str">
        <f aca="false">IF(OR(F370="",F370=0),IF(G370="","",1),MIN(1,G370/F370))</f>
        <v/>
      </c>
      <c r="I370" s="15"/>
      <c r="J370" s="17" t="str">
        <f aca="false">IF(C370="","",(C370&gt;=Targets!$B$2)+(D370&gt;=Targets!$B$3)+(E370&gt;=Targets!$B$4)+(N(H370)&gt;=1))&amp;"/4"</f>
        <v>/4</v>
      </c>
      <c r="K370" s="14"/>
    </row>
    <row r="371" customFormat="false" ht="15" hidden="false" customHeight="false" outlineLevel="0" collapsed="false">
      <c r="A371" s="13"/>
      <c r="B371" s="14"/>
      <c r="C371" s="15"/>
      <c r="D371" s="15"/>
      <c r="E371" s="15"/>
      <c r="F371" s="15"/>
      <c r="G371" s="15"/>
      <c r="H371" s="16" t="str">
        <f aca="false">IF(OR(F371="",F371=0),IF(G371="","",1),MIN(1,G371/F371))</f>
        <v/>
      </c>
      <c r="I371" s="15"/>
      <c r="J371" s="17" t="str">
        <f aca="false">IF(C371="","",(C371&gt;=Targets!$B$2)+(D371&gt;=Targets!$B$3)+(E371&gt;=Targets!$B$4)+(N(H371)&gt;=1))&amp;"/4"</f>
        <v>/4</v>
      </c>
      <c r="K371" s="14"/>
    </row>
    <row r="372" customFormat="false" ht="15" hidden="false" customHeight="false" outlineLevel="0" collapsed="false">
      <c r="A372" s="13"/>
      <c r="B372" s="14"/>
      <c r="C372" s="15"/>
      <c r="D372" s="15"/>
      <c r="E372" s="15"/>
      <c r="F372" s="15"/>
      <c r="G372" s="15"/>
      <c r="H372" s="16" t="str">
        <f aca="false">IF(OR(F372="",F372=0),IF(G372="","",1),MIN(1,G372/F372))</f>
        <v/>
      </c>
      <c r="I372" s="15"/>
      <c r="J372" s="17" t="str">
        <f aca="false">IF(C372="","",(C372&gt;=Targets!$B$2)+(D372&gt;=Targets!$B$3)+(E372&gt;=Targets!$B$4)+(N(H372)&gt;=1))&amp;"/4"</f>
        <v>/4</v>
      </c>
      <c r="K372" s="14"/>
    </row>
    <row r="373" customFormat="false" ht="15" hidden="false" customHeight="false" outlineLevel="0" collapsed="false">
      <c r="A373" s="13"/>
      <c r="B373" s="14"/>
      <c r="C373" s="15"/>
      <c r="D373" s="15"/>
      <c r="E373" s="15"/>
      <c r="F373" s="15"/>
      <c r="G373" s="15"/>
      <c r="H373" s="16" t="str">
        <f aca="false">IF(OR(F373="",F373=0),IF(G373="","",1),MIN(1,G373/F373))</f>
        <v/>
      </c>
      <c r="I373" s="15"/>
      <c r="J373" s="17" t="str">
        <f aca="false">IF(C373="","",(C373&gt;=Targets!$B$2)+(D373&gt;=Targets!$B$3)+(E373&gt;=Targets!$B$4)+(N(H373)&gt;=1))&amp;"/4"</f>
        <v>/4</v>
      </c>
      <c r="K373" s="14"/>
    </row>
    <row r="374" customFormat="false" ht="15" hidden="false" customHeight="false" outlineLevel="0" collapsed="false">
      <c r="A374" s="13"/>
      <c r="B374" s="14"/>
      <c r="C374" s="15"/>
      <c r="D374" s="15"/>
      <c r="E374" s="15"/>
      <c r="F374" s="15"/>
      <c r="G374" s="15"/>
      <c r="H374" s="16" t="str">
        <f aca="false">IF(OR(F374="",F374=0),IF(G374="","",1),MIN(1,G374/F374))</f>
        <v/>
      </c>
      <c r="I374" s="15"/>
      <c r="J374" s="17" t="str">
        <f aca="false">IF(C374="","",(C374&gt;=Targets!$B$2)+(D374&gt;=Targets!$B$3)+(E374&gt;=Targets!$B$4)+(N(H374)&gt;=1))&amp;"/4"</f>
        <v>/4</v>
      </c>
      <c r="K374" s="14"/>
    </row>
    <row r="375" customFormat="false" ht="15" hidden="false" customHeight="false" outlineLevel="0" collapsed="false">
      <c r="A375" s="13"/>
      <c r="B375" s="14"/>
      <c r="C375" s="15"/>
      <c r="D375" s="15"/>
      <c r="E375" s="15"/>
      <c r="F375" s="15"/>
      <c r="G375" s="15"/>
      <c r="H375" s="16" t="str">
        <f aca="false">IF(OR(F375="",F375=0),IF(G375="","",1),MIN(1,G375/F375))</f>
        <v/>
      </c>
      <c r="I375" s="15"/>
      <c r="J375" s="17" t="str">
        <f aca="false">IF(C375="","",(C375&gt;=Targets!$B$2)+(D375&gt;=Targets!$B$3)+(E375&gt;=Targets!$B$4)+(N(H375)&gt;=1))&amp;"/4"</f>
        <v>/4</v>
      </c>
      <c r="K375" s="14"/>
    </row>
    <row r="376" customFormat="false" ht="15" hidden="false" customHeight="false" outlineLevel="0" collapsed="false">
      <c r="A376" s="13"/>
      <c r="B376" s="14"/>
      <c r="C376" s="15"/>
      <c r="D376" s="15"/>
      <c r="E376" s="15"/>
      <c r="F376" s="15"/>
      <c r="G376" s="15"/>
      <c r="H376" s="16" t="str">
        <f aca="false">IF(OR(F376="",F376=0),IF(G376="","",1),MIN(1,G376/F376))</f>
        <v/>
      </c>
      <c r="I376" s="15"/>
      <c r="J376" s="17" t="str">
        <f aca="false">IF(C376="","",(C376&gt;=Targets!$B$2)+(D376&gt;=Targets!$B$3)+(E376&gt;=Targets!$B$4)+(N(H376)&gt;=1))&amp;"/4"</f>
        <v>/4</v>
      </c>
      <c r="K376" s="14"/>
    </row>
    <row r="377" customFormat="false" ht="15" hidden="false" customHeight="false" outlineLevel="0" collapsed="false">
      <c r="A377" s="13"/>
      <c r="B377" s="14"/>
      <c r="C377" s="15"/>
      <c r="D377" s="15"/>
      <c r="E377" s="15"/>
      <c r="F377" s="15"/>
      <c r="G377" s="15"/>
      <c r="H377" s="16" t="str">
        <f aca="false">IF(OR(F377="",F377=0),IF(G377="","",1),MIN(1,G377/F377))</f>
        <v/>
      </c>
      <c r="I377" s="15"/>
      <c r="J377" s="17" t="str">
        <f aca="false">IF(C377="","",(C377&gt;=Targets!$B$2)+(D377&gt;=Targets!$B$3)+(E377&gt;=Targets!$B$4)+(N(H377)&gt;=1))&amp;"/4"</f>
        <v>/4</v>
      </c>
      <c r="K377" s="14"/>
    </row>
    <row r="378" customFormat="false" ht="15" hidden="false" customHeight="false" outlineLevel="0" collapsed="false">
      <c r="A378" s="13"/>
      <c r="B378" s="14"/>
      <c r="C378" s="15"/>
      <c r="D378" s="15"/>
      <c r="E378" s="15"/>
      <c r="F378" s="15"/>
      <c r="G378" s="15"/>
      <c r="H378" s="16" t="str">
        <f aca="false">IF(OR(F378="",F378=0),IF(G378="","",1),MIN(1,G378/F378))</f>
        <v/>
      </c>
      <c r="I378" s="15"/>
      <c r="J378" s="17" t="str">
        <f aca="false">IF(C378="","",(C378&gt;=Targets!$B$2)+(D378&gt;=Targets!$B$3)+(E378&gt;=Targets!$B$4)+(N(H378)&gt;=1))&amp;"/4"</f>
        <v>/4</v>
      </c>
      <c r="K378" s="14"/>
    </row>
    <row r="379" customFormat="false" ht="15" hidden="false" customHeight="false" outlineLevel="0" collapsed="false">
      <c r="A379" s="13"/>
      <c r="B379" s="14"/>
      <c r="C379" s="15"/>
      <c r="D379" s="15"/>
      <c r="E379" s="15"/>
      <c r="F379" s="15"/>
      <c r="G379" s="15"/>
      <c r="H379" s="16" t="str">
        <f aca="false">IF(OR(F379="",F379=0),IF(G379="","",1),MIN(1,G379/F379))</f>
        <v/>
      </c>
      <c r="I379" s="15"/>
      <c r="J379" s="17" t="str">
        <f aca="false">IF(C379="","",(C379&gt;=Targets!$B$2)+(D379&gt;=Targets!$B$3)+(E379&gt;=Targets!$B$4)+(N(H379)&gt;=1))&amp;"/4"</f>
        <v>/4</v>
      </c>
      <c r="K379" s="14"/>
    </row>
    <row r="380" customFormat="false" ht="15" hidden="false" customHeight="false" outlineLevel="0" collapsed="false">
      <c r="A380" s="13"/>
      <c r="B380" s="14"/>
      <c r="C380" s="15"/>
      <c r="D380" s="15"/>
      <c r="E380" s="15"/>
      <c r="F380" s="15"/>
      <c r="G380" s="15"/>
      <c r="H380" s="16" t="str">
        <f aca="false">IF(OR(F380="",F380=0),IF(G380="","",1),MIN(1,G380/F380))</f>
        <v/>
      </c>
      <c r="I380" s="15"/>
      <c r="J380" s="17" t="str">
        <f aca="false">IF(C380="","",(C380&gt;=Targets!$B$2)+(D380&gt;=Targets!$B$3)+(E380&gt;=Targets!$B$4)+(N(H380)&gt;=1))&amp;"/4"</f>
        <v>/4</v>
      </c>
      <c r="K380" s="14"/>
    </row>
    <row r="381" customFormat="false" ht="15" hidden="false" customHeight="false" outlineLevel="0" collapsed="false">
      <c r="A381" s="13"/>
      <c r="B381" s="14"/>
      <c r="C381" s="15"/>
      <c r="D381" s="15"/>
      <c r="E381" s="15"/>
      <c r="F381" s="15"/>
      <c r="G381" s="15"/>
      <c r="H381" s="16" t="str">
        <f aca="false">IF(OR(F381="",F381=0),IF(G381="","",1),MIN(1,G381/F381))</f>
        <v/>
      </c>
      <c r="I381" s="15"/>
      <c r="J381" s="17" t="str">
        <f aca="false">IF(C381="","",(C381&gt;=Targets!$B$2)+(D381&gt;=Targets!$B$3)+(E381&gt;=Targets!$B$4)+(N(H381)&gt;=1))&amp;"/4"</f>
        <v>/4</v>
      </c>
      <c r="K381" s="14"/>
    </row>
    <row r="382" customFormat="false" ht="15" hidden="false" customHeight="false" outlineLevel="0" collapsed="false">
      <c r="A382" s="13"/>
      <c r="B382" s="14"/>
      <c r="C382" s="15"/>
      <c r="D382" s="15"/>
      <c r="E382" s="15"/>
      <c r="F382" s="15"/>
      <c r="G382" s="15"/>
      <c r="H382" s="16" t="str">
        <f aca="false">IF(OR(F382="",F382=0),IF(G382="","",1),MIN(1,G382/F382))</f>
        <v/>
      </c>
      <c r="I382" s="15"/>
      <c r="J382" s="17" t="str">
        <f aca="false">IF(C382="","",(C382&gt;=Targets!$B$2)+(D382&gt;=Targets!$B$3)+(E382&gt;=Targets!$B$4)+(N(H382)&gt;=1))&amp;"/4"</f>
        <v>/4</v>
      </c>
      <c r="K382" s="14"/>
    </row>
    <row r="383" customFormat="false" ht="15" hidden="false" customHeight="false" outlineLevel="0" collapsed="false">
      <c r="A383" s="13"/>
      <c r="B383" s="14"/>
      <c r="C383" s="15"/>
      <c r="D383" s="15"/>
      <c r="E383" s="15"/>
      <c r="F383" s="15"/>
      <c r="G383" s="15"/>
      <c r="H383" s="16" t="str">
        <f aca="false">IF(OR(F383="",F383=0),IF(G383="","",1),MIN(1,G383/F383))</f>
        <v/>
      </c>
      <c r="I383" s="15"/>
      <c r="J383" s="17" t="str">
        <f aca="false">IF(C383="","",(C383&gt;=Targets!$B$2)+(D383&gt;=Targets!$B$3)+(E383&gt;=Targets!$B$4)+(N(H383)&gt;=1))&amp;"/4"</f>
        <v>/4</v>
      </c>
      <c r="K383" s="14"/>
    </row>
    <row r="384" customFormat="false" ht="15" hidden="false" customHeight="false" outlineLevel="0" collapsed="false">
      <c r="A384" s="13"/>
      <c r="B384" s="14"/>
      <c r="C384" s="15"/>
      <c r="D384" s="15"/>
      <c r="E384" s="15"/>
      <c r="F384" s="15"/>
      <c r="G384" s="15"/>
      <c r="H384" s="16" t="str">
        <f aca="false">IF(OR(F384="",F384=0),IF(G384="","",1),MIN(1,G384/F384))</f>
        <v/>
      </c>
      <c r="I384" s="15"/>
      <c r="J384" s="17" t="str">
        <f aca="false">IF(C384="","",(C384&gt;=Targets!$B$2)+(D384&gt;=Targets!$B$3)+(E384&gt;=Targets!$B$4)+(N(H384)&gt;=1))&amp;"/4"</f>
        <v>/4</v>
      </c>
      <c r="K384" s="14"/>
    </row>
    <row r="385" customFormat="false" ht="15" hidden="false" customHeight="false" outlineLevel="0" collapsed="false">
      <c r="A385" s="13"/>
      <c r="B385" s="14"/>
      <c r="C385" s="15"/>
      <c r="D385" s="15"/>
      <c r="E385" s="15"/>
      <c r="F385" s="15"/>
      <c r="G385" s="15"/>
      <c r="H385" s="16" t="str">
        <f aca="false">IF(OR(F385="",F385=0),IF(G385="","",1),MIN(1,G385/F385))</f>
        <v/>
      </c>
      <c r="I385" s="15"/>
      <c r="J385" s="17" t="str">
        <f aca="false">IF(C385="","",(C385&gt;=Targets!$B$2)+(D385&gt;=Targets!$B$3)+(E385&gt;=Targets!$B$4)+(N(H385)&gt;=1))&amp;"/4"</f>
        <v>/4</v>
      </c>
      <c r="K385" s="14"/>
    </row>
    <row r="386" customFormat="false" ht="15" hidden="false" customHeight="false" outlineLevel="0" collapsed="false">
      <c r="A386" s="13"/>
      <c r="B386" s="14"/>
      <c r="C386" s="15"/>
      <c r="D386" s="15"/>
      <c r="E386" s="15"/>
      <c r="F386" s="15"/>
      <c r="G386" s="15"/>
      <c r="H386" s="16" t="str">
        <f aca="false">IF(OR(F386="",F386=0),IF(G386="","",1),MIN(1,G386/F386))</f>
        <v/>
      </c>
      <c r="I386" s="15"/>
      <c r="J386" s="17" t="str">
        <f aca="false">IF(C386="","",(C386&gt;=Targets!$B$2)+(D386&gt;=Targets!$B$3)+(E386&gt;=Targets!$B$4)+(N(H386)&gt;=1))&amp;"/4"</f>
        <v>/4</v>
      </c>
      <c r="K386" s="14"/>
    </row>
    <row r="387" customFormat="false" ht="15" hidden="false" customHeight="false" outlineLevel="0" collapsed="false">
      <c r="A387" s="13"/>
      <c r="B387" s="14"/>
      <c r="C387" s="15"/>
      <c r="D387" s="15"/>
      <c r="E387" s="15"/>
      <c r="F387" s="15"/>
      <c r="G387" s="15"/>
      <c r="H387" s="16" t="str">
        <f aca="false">IF(OR(F387="",F387=0),IF(G387="","",1),MIN(1,G387/F387))</f>
        <v/>
      </c>
      <c r="I387" s="15"/>
      <c r="J387" s="17" t="str">
        <f aca="false">IF(C387="","",(C387&gt;=Targets!$B$2)+(D387&gt;=Targets!$B$3)+(E387&gt;=Targets!$B$4)+(N(H387)&gt;=1))&amp;"/4"</f>
        <v>/4</v>
      </c>
      <c r="K387" s="14"/>
    </row>
    <row r="388" customFormat="false" ht="15" hidden="false" customHeight="false" outlineLevel="0" collapsed="false">
      <c r="A388" s="13"/>
      <c r="B388" s="14"/>
      <c r="C388" s="15"/>
      <c r="D388" s="15"/>
      <c r="E388" s="15"/>
      <c r="F388" s="15"/>
      <c r="G388" s="15"/>
      <c r="H388" s="16" t="str">
        <f aca="false">IF(OR(F388="",F388=0),IF(G388="","",1),MIN(1,G388/F388))</f>
        <v/>
      </c>
      <c r="I388" s="15"/>
      <c r="J388" s="17" t="str">
        <f aca="false">IF(C388="","",(C388&gt;=Targets!$B$2)+(D388&gt;=Targets!$B$3)+(E388&gt;=Targets!$B$4)+(N(H388)&gt;=1))&amp;"/4"</f>
        <v>/4</v>
      </c>
      <c r="K388" s="14"/>
    </row>
    <row r="389" customFormat="false" ht="15" hidden="false" customHeight="false" outlineLevel="0" collapsed="false">
      <c r="A389" s="13"/>
      <c r="B389" s="14"/>
      <c r="C389" s="15"/>
      <c r="D389" s="15"/>
      <c r="E389" s="15"/>
      <c r="F389" s="15"/>
      <c r="G389" s="15"/>
      <c r="H389" s="16" t="str">
        <f aca="false">IF(OR(F389="",F389=0),IF(G389="","",1),MIN(1,G389/F389))</f>
        <v/>
      </c>
      <c r="I389" s="15"/>
      <c r="J389" s="17" t="str">
        <f aca="false">IF(C389="","",(C389&gt;=Targets!$B$2)+(D389&gt;=Targets!$B$3)+(E389&gt;=Targets!$B$4)+(N(H389)&gt;=1))&amp;"/4"</f>
        <v>/4</v>
      </c>
      <c r="K389" s="14"/>
    </row>
    <row r="390" customFormat="false" ht="15" hidden="false" customHeight="false" outlineLevel="0" collapsed="false">
      <c r="A390" s="13"/>
      <c r="B390" s="14"/>
      <c r="C390" s="15"/>
      <c r="D390" s="15"/>
      <c r="E390" s="15"/>
      <c r="F390" s="15"/>
      <c r="G390" s="15"/>
      <c r="H390" s="16" t="str">
        <f aca="false">IF(OR(F390="",F390=0),IF(G390="","",1),MIN(1,G390/F390))</f>
        <v/>
      </c>
      <c r="I390" s="15"/>
      <c r="J390" s="17" t="str">
        <f aca="false">IF(C390="","",(C390&gt;=Targets!$B$2)+(D390&gt;=Targets!$B$3)+(E390&gt;=Targets!$B$4)+(N(H390)&gt;=1))&amp;"/4"</f>
        <v>/4</v>
      </c>
      <c r="K390" s="14"/>
    </row>
    <row r="391" customFormat="false" ht="15" hidden="false" customHeight="false" outlineLevel="0" collapsed="false">
      <c r="A391" s="13"/>
      <c r="B391" s="14"/>
      <c r="C391" s="15"/>
      <c r="D391" s="15"/>
      <c r="E391" s="15"/>
      <c r="F391" s="15"/>
      <c r="G391" s="15"/>
      <c r="H391" s="16" t="str">
        <f aca="false">IF(OR(F391="",F391=0),IF(G391="","",1),MIN(1,G391/F391))</f>
        <v/>
      </c>
      <c r="I391" s="15"/>
      <c r="J391" s="17" t="str">
        <f aca="false">IF(C391="","",(C391&gt;=Targets!$B$2)+(D391&gt;=Targets!$B$3)+(E391&gt;=Targets!$B$4)+(N(H391)&gt;=1))&amp;"/4"</f>
        <v>/4</v>
      </c>
      <c r="K391" s="14"/>
    </row>
    <row r="392" customFormat="false" ht="15" hidden="false" customHeight="false" outlineLevel="0" collapsed="false">
      <c r="A392" s="13"/>
      <c r="B392" s="14"/>
      <c r="C392" s="15"/>
      <c r="D392" s="15"/>
      <c r="E392" s="15"/>
      <c r="F392" s="15"/>
      <c r="G392" s="15"/>
      <c r="H392" s="16" t="str">
        <f aca="false">IF(OR(F392="",F392=0),IF(G392="","",1),MIN(1,G392/F392))</f>
        <v/>
      </c>
      <c r="I392" s="15"/>
      <c r="J392" s="17" t="str">
        <f aca="false">IF(C392="","",(C392&gt;=Targets!$B$2)+(D392&gt;=Targets!$B$3)+(E392&gt;=Targets!$B$4)+(N(H392)&gt;=1))&amp;"/4"</f>
        <v>/4</v>
      </c>
      <c r="K392" s="14"/>
    </row>
    <row r="393" customFormat="false" ht="15" hidden="false" customHeight="false" outlineLevel="0" collapsed="false">
      <c r="A393" s="13"/>
      <c r="B393" s="14"/>
      <c r="C393" s="15"/>
      <c r="D393" s="15"/>
      <c r="E393" s="15"/>
      <c r="F393" s="15"/>
      <c r="G393" s="15"/>
      <c r="H393" s="16" t="str">
        <f aca="false">IF(OR(F393="",F393=0),IF(G393="","",1),MIN(1,G393/F393))</f>
        <v/>
      </c>
      <c r="I393" s="15"/>
      <c r="J393" s="17" t="str">
        <f aca="false">IF(C393="","",(C393&gt;=Targets!$B$2)+(D393&gt;=Targets!$B$3)+(E393&gt;=Targets!$B$4)+(N(H393)&gt;=1))&amp;"/4"</f>
        <v>/4</v>
      </c>
      <c r="K393" s="14"/>
    </row>
    <row r="394" customFormat="false" ht="15" hidden="false" customHeight="false" outlineLevel="0" collapsed="false">
      <c r="A394" s="13"/>
      <c r="B394" s="14"/>
      <c r="C394" s="15"/>
      <c r="D394" s="15"/>
      <c r="E394" s="15"/>
      <c r="F394" s="15"/>
      <c r="G394" s="15"/>
      <c r="H394" s="16" t="str">
        <f aca="false">IF(OR(F394="",F394=0),IF(G394="","",1),MIN(1,G394/F394))</f>
        <v/>
      </c>
      <c r="I394" s="15"/>
      <c r="J394" s="17" t="str">
        <f aca="false">IF(C394="","",(C394&gt;=Targets!$B$2)+(D394&gt;=Targets!$B$3)+(E394&gt;=Targets!$B$4)+(N(H394)&gt;=1))&amp;"/4"</f>
        <v>/4</v>
      </c>
      <c r="K394" s="14"/>
    </row>
    <row r="395" customFormat="false" ht="15" hidden="false" customHeight="false" outlineLevel="0" collapsed="false">
      <c r="A395" s="13"/>
      <c r="B395" s="14"/>
      <c r="C395" s="15"/>
      <c r="D395" s="15"/>
      <c r="E395" s="15"/>
      <c r="F395" s="15"/>
      <c r="G395" s="15"/>
      <c r="H395" s="16" t="str">
        <f aca="false">IF(OR(F395="",F395=0),IF(G395="","",1),MIN(1,G395/F395))</f>
        <v/>
      </c>
      <c r="I395" s="15"/>
      <c r="J395" s="17" t="str">
        <f aca="false">IF(C395="","",(C395&gt;=Targets!$B$2)+(D395&gt;=Targets!$B$3)+(E395&gt;=Targets!$B$4)+(N(H395)&gt;=1))&amp;"/4"</f>
        <v>/4</v>
      </c>
      <c r="K395" s="14"/>
    </row>
    <row r="396" customFormat="false" ht="15" hidden="false" customHeight="false" outlineLevel="0" collapsed="false">
      <c r="A396" s="13"/>
      <c r="B396" s="14"/>
      <c r="C396" s="15"/>
      <c r="D396" s="15"/>
      <c r="E396" s="15"/>
      <c r="F396" s="15"/>
      <c r="G396" s="15"/>
      <c r="H396" s="16" t="str">
        <f aca="false">IF(OR(F396="",F396=0),IF(G396="","",1),MIN(1,G396/F396))</f>
        <v/>
      </c>
      <c r="I396" s="15"/>
      <c r="J396" s="17" t="str">
        <f aca="false">IF(C396="","",(C396&gt;=Targets!$B$2)+(D396&gt;=Targets!$B$3)+(E396&gt;=Targets!$B$4)+(N(H396)&gt;=1))&amp;"/4"</f>
        <v>/4</v>
      </c>
      <c r="K396" s="14"/>
    </row>
    <row r="397" customFormat="false" ht="15" hidden="false" customHeight="false" outlineLevel="0" collapsed="false">
      <c r="A397" s="13"/>
      <c r="B397" s="14"/>
      <c r="C397" s="15"/>
      <c r="D397" s="15"/>
      <c r="E397" s="15"/>
      <c r="F397" s="15"/>
      <c r="G397" s="15"/>
      <c r="H397" s="16" t="str">
        <f aca="false">IF(OR(F397="",F397=0),IF(G397="","",1),MIN(1,G397/F397))</f>
        <v/>
      </c>
      <c r="I397" s="15"/>
      <c r="J397" s="17" t="str">
        <f aca="false">IF(C397="","",(C397&gt;=Targets!$B$2)+(D397&gt;=Targets!$B$3)+(E397&gt;=Targets!$B$4)+(N(H397)&gt;=1))&amp;"/4"</f>
        <v>/4</v>
      </c>
      <c r="K397" s="14"/>
    </row>
    <row r="398" customFormat="false" ht="15" hidden="false" customHeight="false" outlineLevel="0" collapsed="false">
      <c r="A398" s="13"/>
      <c r="B398" s="14"/>
      <c r="C398" s="15"/>
      <c r="D398" s="15"/>
      <c r="E398" s="15"/>
      <c r="F398" s="15"/>
      <c r="G398" s="15"/>
      <c r="H398" s="16" t="str">
        <f aca="false">IF(OR(F398="",F398=0),IF(G398="","",1),MIN(1,G398/F398))</f>
        <v/>
      </c>
      <c r="I398" s="15"/>
      <c r="J398" s="17" t="str">
        <f aca="false">IF(C398="","",(C398&gt;=Targets!$B$2)+(D398&gt;=Targets!$B$3)+(E398&gt;=Targets!$B$4)+(N(H398)&gt;=1))&amp;"/4"</f>
        <v>/4</v>
      </c>
      <c r="K398" s="14"/>
    </row>
    <row r="399" customFormat="false" ht="15" hidden="false" customHeight="false" outlineLevel="0" collapsed="false">
      <c r="A399" s="13"/>
      <c r="B399" s="14"/>
      <c r="C399" s="15"/>
      <c r="D399" s="15"/>
      <c r="E399" s="15"/>
      <c r="F399" s="15"/>
      <c r="G399" s="15"/>
      <c r="H399" s="16" t="str">
        <f aca="false">IF(OR(F399="",F399=0),IF(G399="","",1),MIN(1,G399/F399))</f>
        <v/>
      </c>
      <c r="I399" s="15"/>
      <c r="J399" s="17" t="str">
        <f aca="false">IF(C399="","",(C399&gt;=Targets!$B$2)+(D399&gt;=Targets!$B$3)+(E399&gt;=Targets!$B$4)+(N(H399)&gt;=1))&amp;"/4"</f>
        <v>/4</v>
      </c>
      <c r="K399" s="14"/>
    </row>
    <row r="400" customFormat="false" ht="15" hidden="false" customHeight="false" outlineLevel="0" collapsed="false">
      <c r="A400" s="13"/>
      <c r="B400" s="14"/>
      <c r="C400" s="15"/>
      <c r="D400" s="15"/>
      <c r="E400" s="15"/>
      <c r="F400" s="15"/>
      <c r="G400" s="15"/>
      <c r="H400" s="16" t="str">
        <f aca="false">IF(OR(F400="",F400=0),IF(G400="","",1),MIN(1,G400/F400))</f>
        <v/>
      </c>
      <c r="I400" s="15"/>
      <c r="J400" s="17" t="str">
        <f aca="false">IF(C400="","",(C400&gt;=Targets!$B$2)+(D400&gt;=Targets!$B$3)+(E400&gt;=Targets!$B$4)+(N(H400)&gt;=1))&amp;"/4"</f>
        <v>/4</v>
      </c>
      <c r="K400" s="14"/>
    </row>
    <row r="401" customFormat="false" ht="15" hidden="false" customHeight="false" outlineLevel="0" collapsed="false">
      <c r="A401" s="13"/>
      <c r="B401" s="14"/>
      <c r="C401" s="15"/>
      <c r="D401" s="15"/>
      <c r="E401" s="15"/>
      <c r="F401" s="15"/>
      <c r="G401" s="15"/>
      <c r="H401" s="16" t="str">
        <f aca="false">IF(OR(F401="",F401=0),IF(G401="","",1),MIN(1,G401/F401))</f>
        <v/>
      </c>
      <c r="I401" s="15"/>
      <c r="J401" s="17" t="str">
        <f aca="false">IF(C401="","",(C401&gt;=Targets!$B$2)+(D401&gt;=Targets!$B$3)+(E401&gt;=Targets!$B$4)+(N(H401)&gt;=1))&amp;"/4"</f>
        <v>/4</v>
      </c>
      <c r="K401" s="14"/>
    </row>
    <row r="402" customFormat="false" ht="15" hidden="false" customHeight="false" outlineLevel="0" collapsed="false">
      <c r="A402" s="13"/>
      <c r="B402" s="14"/>
      <c r="C402" s="15"/>
      <c r="D402" s="15"/>
      <c r="E402" s="15"/>
      <c r="F402" s="15"/>
      <c r="G402" s="15"/>
      <c r="H402" s="16" t="str">
        <f aca="false">IF(OR(F402="",F402=0),IF(G402="","",1),MIN(1,G402/F402))</f>
        <v/>
      </c>
      <c r="I402" s="15"/>
      <c r="J402" s="17" t="str">
        <f aca="false">IF(C402="","",(C402&gt;=Targets!$B$2)+(D402&gt;=Targets!$B$3)+(E402&gt;=Targets!$B$4)+(N(H402)&gt;=1))&amp;"/4"</f>
        <v>/4</v>
      </c>
      <c r="K402" s="14"/>
    </row>
    <row r="403" customFormat="false" ht="15" hidden="false" customHeight="false" outlineLevel="0" collapsed="false">
      <c r="A403" s="13"/>
      <c r="B403" s="14"/>
      <c r="C403" s="15"/>
      <c r="D403" s="15"/>
      <c r="E403" s="15"/>
      <c r="F403" s="15"/>
      <c r="G403" s="15"/>
      <c r="H403" s="16" t="str">
        <f aca="false">IF(OR(F403="",F403=0),IF(G403="","",1),MIN(1,G403/F403))</f>
        <v/>
      </c>
      <c r="I403" s="15"/>
      <c r="J403" s="17" t="str">
        <f aca="false">IF(C403="","",(C403&gt;=Targets!$B$2)+(D403&gt;=Targets!$B$3)+(E403&gt;=Targets!$B$4)+(N(H403)&gt;=1))&amp;"/4"</f>
        <v>/4</v>
      </c>
      <c r="K403" s="14"/>
    </row>
    <row r="404" customFormat="false" ht="15" hidden="false" customHeight="false" outlineLevel="0" collapsed="false">
      <c r="A404" s="13"/>
      <c r="B404" s="14"/>
      <c r="C404" s="15"/>
      <c r="D404" s="15"/>
      <c r="E404" s="15"/>
      <c r="F404" s="15"/>
      <c r="G404" s="15"/>
      <c r="H404" s="16" t="str">
        <f aca="false">IF(OR(F404="",F404=0),IF(G404="","",1),MIN(1,G404/F404))</f>
        <v/>
      </c>
      <c r="I404" s="15"/>
      <c r="J404" s="17" t="str">
        <f aca="false">IF(C404="","",(C404&gt;=Targets!$B$2)+(D404&gt;=Targets!$B$3)+(E404&gt;=Targets!$B$4)+(N(H404)&gt;=1))&amp;"/4"</f>
        <v>/4</v>
      </c>
      <c r="K404" s="14"/>
    </row>
    <row r="405" customFormat="false" ht="15" hidden="false" customHeight="false" outlineLevel="0" collapsed="false">
      <c r="A405" s="13"/>
      <c r="B405" s="14"/>
      <c r="C405" s="15"/>
      <c r="D405" s="15"/>
      <c r="E405" s="15"/>
      <c r="F405" s="15"/>
      <c r="G405" s="15"/>
      <c r="H405" s="16" t="str">
        <f aca="false">IF(OR(F405="",F405=0),IF(G405="","",1),MIN(1,G405/F405))</f>
        <v/>
      </c>
      <c r="I405" s="15"/>
      <c r="J405" s="17" t="str">
        <f aca="false">IF(C405="","",(C405&gt;=Targets!$B$2)+(D405&gt;=Targets!$B$3)+(E405&gt;=Targets!$B$4)+(N(H405)&gt;=1))&amp;"/4"</f>
        <v>/4</v>
      </c>
      <c r="K405" s="14"/>
    </row>
    <row r="406" customFormat="false" ht="15" hidden="false" customHeight="false" outlineLevel="0" collapsed="false">
      <c r="A406" s="13"/>
      <c r="B406" s="14"/>
      <c r="C406" s="15"/>
      <c r="D406" s="15"/>
      <c r="E406" s="15"/>
      <c r="F406" s="15"/>
      <c r="G406" s="15"/>
      <c r="H406" s="16" t="str">
        <f aca="false">IF(OR(F406="",F406=0),IF(G406="","",1),MIN(1,G406/F406))</f>
        <v/>
      </c>
      <c r="I406" s="15"/>
      <c r="J406" s="17" t="str">
        <f aca="false">IF(C406="","",(C406&gt;=Targets!$B$2)+(D406&gt;=Targets!$B$3)+(E406&gt;=Targets!$B$4)+(N(H406)&gt;=1))&amp;"/4"</f>
        <v>/4</v>
      </c>
      <c r="K406" s="14"/>
    </row>
    <row r="407" customFormat="false" ht="15" hidden="false" customHeight="false" outlineLevel="0" collapsed="false">
      <c r="A407" s="13"/>
      <c r="B407" s="14"/>
      <c r="C407" s="15"/>
      <c r="D407" s="15"/>
      <c r="E407" s="15"/>
      <c r="F407" s="15"/>
      <c r="G407" s="15"/>
      <c r="H407" s="16" t="str">
        <f aca="false">IF(OR(F407="",F407=0),IF(G407="","",1),MIN(1,G407/F407))</f>
        <v/>
      </c>
      <c r="I407" s="15"/>
      <c r="J407" s="17" t="str">
        <f aca="false">IF(C407="","",(C407&gt;=Targets!$B$2)+(D407&gt;=Targets!$B$3)+(E407&gt;=Targets!$B$4)+(N(H407)&gt;=1))&amp;"/4"</f>
        <v>/4</v>
      </c>
      <c r="K407" s="14"/>
    </row>
    <row r="408" customFormat="false" ht="15" hidden="false" customHeight="false" outlineLevel="0" collapsed="false">
      <c r="A408" s="13"/>
      <c r="B408" s="14"/>
      <c r="C408" s="15"/>
      <c r="D408" s="15"/>
      <c r="E408" s="15"/>
      <c r="F408" s="15"/>
      <c r="G408" s="15"/>
      <c r="H408" s="16" t="str">
        <f aca="false">IF(OR(F408="",F408=0),IF(G408="","",1),MIN(1,G408/F408))</f>
        <v/>
      </c>
      <c r="I408" s="15"/>
      <c r="J408" s="17" t="str">
        <f aca="false">IF(C408="","",(C408&gt;=Targets!$B$2)+(D408&gt;=Targets!$B$3)+(E408&gt;=Targets!$B$4)+(N(H408)&gt;=1))&amp;"/4"</f>
        <v>/4</v>
      </c>
      <c r="K408" s="14"/>
    </row>
    <row r="409" customFormat="false" ht="15" hidden="false" customHeight="false" outlineLevel="0" collapsed="false">
      <c r="A409" s="13"/>
      <c r="B409" s="14"/>
      <c r="C409" s="15"/>
      <c r="D409" s="15"/>
      <c r="E409" s="15"/>
      <c r="F409" s="15"/>
      <c r="G409" s="15"/>
      <c r="H409" s="16" t="str">
        <f aca="false">IF(OR(F409="",F409=0),IF(G409="","",1),MIN(1,G409/F409))</f>
        <v/>
      </c>
      <c r="I409" s="15"/>
      <c r="J409" s="17" t="str">
        <f aca="false">IF(C409="","",(C409&gt;=Targets!$B$2)+(D409&gt;=Targets!$B$3)+(E409&gt;=Targets!$B$4)+(N(H409)&gt;=1))&amp;"/4"</f>
        <v>/4</v>
      </c>
      <c r="K409" s="14"/>
    </row>
    <row r="410" customFormat="false" ht="15" hidden="false" customHeight="false" outlineLevel="0" collapsed="false">
      <c r="A410" s="13"/>
      <c r="B410" s="14"/>
      <c r="C410" s="15"/>
      <c r="D410" s="15"/>
      <c r="E410" s="15"/>
      <c r="F410" s="15"/>
      <c r="G410" s="15"/>
      <c r="H410" s="16" t="str">
        <f aca="false">IF(OR(F410="",F410=0),IF(G410="","",1),MIN(1,G410/F410))</f>
        <v/>
      </c>
      <c r="I410" s="15"/>
      <c r="J410" s="17" t="str">
        <f aca="false">IF(C410="","",(C410&gt;=Targets!$B$2)+(D410&gt;=Targets!$B$3)+(E410&gt;=Targets!$B$4)+(N(H410)&gt;=1))&amp;"/4"</f>
        <v>/4</v>
      </c>
      <c r="K410" s="14"/>
    </row>
    <row r="411" customFormat="false" ht="15" hidden="false" customHeight="false" outlineLevel="0" collapsed="false">
      <c r="A411" s="13"/>
      <c r="B411" s="14"/>
      <c r="C411" s="15"/>
      <c r="D411" s="15"/>
      <c r="E411" s="15"/>
      <c r="F411" s="15"/>
      <c r="G411" s="15"/>
      <c r="H411" s="16" t="str">
        <f aca="false">IF(OR(F411="",F411=0),IF(G411="","",1),MIN(1,G411/F411))</f>
        <v/>
      </c>
      <c r="I411" s="15"/>
      <c r="J411" s="17" t="str">
        <f aca="false">IF(C411="","",(C411&gt;=Targets!$B$2)+(D411&gt;=Targets!$B$3)+(E411&gt;=Targets!$B$4)+(N(H411)&gt;=1))&amp;"/4"</f>
        <v>/4</v>
      </c>
      <c r="K411" s="14"/>
    </row>
    <row r="412" customFormat="false" ht="15" hidden="false" customHeight="false" outlineLevel="0" collapsed="false">
      <c r="A412" s="13"/>
      <c r="B412" s="14"/>
      <c r="C412" s="15"/>
      <c r="D412" s="15"/>
      <c r="E412" s="15"/>
      <c r="F412" s="15"/>
      <c r="G412" s="15"/>
      <c r="H412" s="16" t="str">
        <f aca="false">IF(OR(F412="",F412=0),IF(G412="","",1),MIN(1,G412/F412))</f>
        <v/>
      </c>
      <c r="I412" s="15"/>
      <c r="J412" s="17" t="str">
        <f aca="false">IF(C412="","",(C412&gt;=Targets!$B$2)+(D412&gt;=Targets!$B$3)+(E412&gt;=Targets!$B$4)+(N(H412)&gt;=1))&amp;"/4"</f>
        <v>/4</v>
      </c>
      <c r="K412" s="14"/>
    </row>
    <row r="413" customFormat="false" ht="15" hidden="false" customHeight="false" outlineLevel="0" collapsed="false">
      <c r="A413" s="13"/>
      <c r="B413" s="14"/>
      <c r="C413" s="15"/>
      <c r="D413" s="15"/>
      <c r="E413" s="15"/>
      <c r="F413" s="15"/>
      <c r="G413" s="15"/>
      <c r="H413" s="16" t="str">
        <f aca="false">IF(OR(F413="",F413=0),IF(G413="","",1),MIN(1,G413/F413))</f>
        <v/>
      </c>
      <c r="I413" s="15"/>
      <c r="J413" s="17" t="str">
        <f aca="false">IF(C413="","",(C413&gt;=Targets!$B$2)+(D413&gt;=Targets!$B$3)+(E413&gt;=Targets!$B$4)+(N(H413)&gt;=1))&amp;"/4"</f>
        <v>/4</v>
      </c>
      <c r="K413" s="14"/>
    </row>
    <row r="414" customFormat="false" ht="15" hidden="false" customHeight="false" outlineLevel="0" collapsed="false">
      <c r="A414" s="13"/>
      <c r="B414" s="14"/>
      <c r="C414" s="15"/>
      <c r="D414" s="15"/>
      <c r="E414" s="15"/>
      <c r="F414" s="15"/>
      <c r="G414" s="15"/>
      <c r="H414" s="16" t="str">
        <f aca="false">IF(OR(F414="",F414=0),IF(G414="","",1),MIN(1,G414/F414))</f>
        <v/>
      </c>
      <c r="I414" s="15"/>
      <c r="J414" s="17" t="str">
        <f aca="false">IF(C414="","",(C414&gt;=Targets!$B$2)+(D414&gt;=Targets!$B$3)+(E414&gt;=Targets!$B$4)+(N(H414)&gt;=1))&amp;"/4"</f>
        <v>/4</v>
      </c>
      <c r="K414" s="14"/>
    </row>
    <row r="415" customFormat="false" ht="15" hidden="false" customHeight="false" outlineLevel="0" collapsed="false">
      <c r="A415" s="13"/>
      <c r="B415" s="14"/>
      <c r="C415" s="15"/>
      <c r="D415" s="15"/>
      <c r="E415" s="15"/>
      <c r="F415" s="15"/>
      <c r="G415" s="15"/>
      <c r="H415" s="16" t="str">
        <f aca="false">IF(OR(F415="",F415=0),IF(G415="","",1),MIN(1,G415/F415))</f>
        <v/>
      </c>
      <c r="I415" s="15"/>
      <c r="J415" s="17" t="str">
        <f aca="false">IF(C415="","",(C415&gt;=Targets!$B$2)+(D415&gt;=Targets!$B$3)+(E415&gt;=Targets!$B$4)+(N(H415)&gt;=1))&amp;"/4"</f>
        <v>/4</v>
      </c>
      <c r="K415" s="14"/>
    </row>
    <row r="416" customFormat="false" ht="15" hidden="false" customHeight="false" outlineLevel="0" collapsed="false">
      <c r="A416" s="13"/>
      <c r="B416" s="14"/>
      <c r="C416" s="15"/>
      <c r="D416" s="15"/>
      <c r="E416" s="15"/>
      <c r="F416" s="15"/>
      <c r="G416" s="15"/>
      <c r="H416" s="16" t="str">
        <f aca="false">IF(OR(F416="",F416=0),IF(G416="","",1),MIN(1,G416/F416))</f>
        <v/>
      </c>
      <c r="I416" s="15"/>
      <c r="J416" s="17" t="str">
        <f aca="false">IF(C416="","",(C416&gt;=Targets!$B$2)+(D416&gt;=Targets!$B$3)+(E416&gt;=Targets!$B$4)+(N(H416)&gt;=1))&amp;"/4"</f>
        <v>/4</v>
      </c>
      <c r="K416" s="14"/>
    </row>
    <row r="417" customFormat="false" ht="15" hidden="false" customHeight="false" outlineLevel="0" collapsed="false">
      <c r="A417" s="13"/>
      <c r="B417" s="14"/>
      <c r="C417" s="15"/>
      <c r="D417" s="15"/>
      <c r="E417" s="15"/>
      <c r="F417" s="15"/>
      <c r="G417" s="15"/>
      <c r="H417" s="16" t="str">
        <f aca="false">IF(OR(F417="",F417=0),IF(G417="","",1),MIN(1,G417/F417))</f>
        <v/>
      </c>
      <c r="I417" s="15"/>
      <c r="J417" s="17" t="str">
        <f aca="false">IF(C417="","",(C417&gt;=Targets!$B$2)+(D417&gt;=Targets!$B$3)+(E417&gt;=Targets!$B$4)+(N(H417)&gt;=1))&amp;"/4"</f>
        <v>/4</v>
      </c>
      <c r="K417" s="14"/>
    </row>
    <row r="418" customFormat="false" ht="15" hidden="false" customHeight="false" outlineLevel="0" collapsed="false">
      <c r="A418" s="13"/>
      <c r="B418" s="14"/>
      <c r="C418" s="15"/>
      <c r="D418" s="15"/>
      <c r="E418" s="15"/>
      <c r="F418" s="15"/>
      <c r="G418" s="15"/>
      <c r="H418" s="16" t="str">
        <f aca="false">IF(OR(F418="",F418=0),IF(G418="","",1),MIN(1,G418/F418))</f>
        <v/>
      </c>
      <c r="I418" s="15"/>
      <c r="J418" s="17" t="str">
        <f aca="false">IF(C418="","",(C418&gt;=Targets!$B$2)+(D418&gt;=Targets!$B$3)+(E418&gt;=Targets!$B$4)+(N(H418)&gt;=1))&amp;"/4"</f>
        <v>/4</v>
      </c>
      <c r="K418" s="14"/>
    </row>
    <row r="419" customFormat="false" ht="15" hidden="false" customHeight="false" outlineLevel="0" collapsed="false">
      <c r="A419" s="13"/>
      <c r="B419" s="14"/>
      <c r="C419" s="15"/>
      <c r="D419" s="15"/>
      <c r="E419" s="15"/>
      <c r="F419" s="15"/>
      <c r="G419" s="15"/>
      <c r="H419" s="16" t="str">
        <f aca="false">IF(OR(F419="",F419=0),IF(G419="","",1),MIN(1,G419/F419))</f>
        <v/>
      </c>
      <c r="I419" s="15"/>
      <c r="J419" s="17" t="str">
        <f aca="false">IF(C419="","",(C419&gt;=Targets!$B$2)+(D419&gt;=Targets!$B$3)+(E419&gt;=Targets!$B$4)+(N(H419)&gt;=1))&amp;"/4"</f>
        <v>/4</v>
      </c>
      <c r="K419" s="14"/>
    </row>
    <row r="420" customFormat="false" ht="15" hidden="false" customHeight="false" outlineLevel="0" collapsed="false">
      <c r="A420" s="13"/>
      <c r="B420" s="14"/>
      <c r="C420" s="15"/>
      <c r="D420" s="15"/>
      <c r="E420" s="15"/>
      <c r="F420" s="15"/>
      <c r="G420" s="15"/>
      <c r="H420" s="16" t="str">
        <f aca="false">IF(OR(F420="",F420=0),IF(G420="","",1),MIN(1,G420/F420))</f>
        <v/>
      </c>
      <c r="I420" s="15"/>
      <c r="J420" s="17" t="str">
        <f aca="false">IF(C420="","",(C420&gt;=Targets!$B$2)+(D420&gt;=Targets!$B$3)+(E420&gt;=Targets!$B$4)+(N(H420)&gt;=1))&amp;"/4"</f>
        <v>/4</v>
      </c>
      <c r="K420" s="14"/>
    </row>
    <row r="421" customFormat="false" ht="15" hidden="false" customHeight="false" outlineLevel="0" collapsed="false">
      <c r="A421" s="13"/>
      <c r="B421" s="14"/>
      <c r="C421" s="15"/>
      <c r="D421" s="15"/>
      <c r="E421" s="15"/>
      <c r="F421" s="15"/>
      <c r="G421" s="15"/>
      <c r="H421" s="16" t="str">
        <f aca="false">IF(OR(F421="",F421=0),IF(G421="","",1),MIN(1,G421/F421))</f>
        <v/>
      </c>
      <c r="I421" s="15"/>
      <c r="J421" s="17" t="str">
        <f aca="false">IF(C421="","",(C421&gt;=Targets!$B$2)+(D421&gt;=Targets!$B$3)+(E421&gt;=Targets!$B$4)+(N(H421)&gt;=1))&amp;"/4"</f>
        <v>/4</v>
      </c>
      <c r="K421" s="14"/>
    </row>
    <row r="422" customFormat="false" ht="15" hidden="false" customHeight="false" outlineLevel="0" collapsed="false">
      <c r="A422" s="13"/>
      <c r="B422" s="14"/>
      <c r="C422" s="15"/>
      <c r="D422" s="15"/>
      <c r="E422" s="15"/>
      <c r="F422" s="15"/>
      <c r="G422" s="15"/>
      <c r="H422" s="16" t="str">
        <f aca="false">IF(OR(F422="",F422=0),IF(G422="","",1),MIN(1,G422/F422))</f>
        <v/>
      </c>
      <c r="I422" s="15"/>
      <c r="J422" s="17" t="str">
        <f aca="false">IF(C422="","",(C422&gt;=Targets!$B$2)+(D422&gt;=Targets!$B$3)+(E422&gt;=Targets!$B$4)+(N(H422)&gt;=1))&amp;"/4"</f>
        <v>/4</v>
      </c>
      <c r="K422" s="14"/>
    </row>
    <row r="423" customFormat="false" ht="15" hidden="false" customHeight="false" outlineLevel="0" collapsed="false">
      <c r="A423" s="13"/>
      <c r="B423" s="14"/>
      <c r="C423" s="15"/>
      <c r="D423" s="15"/>
      <c r="E423" s="15"/>
      <c r="F423" s="15"/>
      <c r="G423" s="15"/>
      <c r="H423" s="16" t="str">
        <f aca="false">IF(OR(F423="",F423=0),IF(G423="","",1),MIN(1,G423/F423))</f>
        <v/>
      </c>
      <c r="I423" s="15"/>
      <c r="J423" s="17" t="str">
        <f aca="false">IF(C423="","",(C423&gt;=Targets!$B$2)+(D423&gt;=Targets!$B$3)+(E423&gt;=Targets!$B$4)+(N(H423)&gt;=1))&amp;"/4"</f>
        <v>/4</v>
      </c>
      <c r="K423" s="14"/>
    </row>
    <row r="424" customFormat="false" ht="15" hidden="false" customHeight="false" outlineLevel="0" collapsed="false">
      <c r="A424" s="13"/>
      <c r="B424" s="14"/>
      <c r="C424" s="15"/>
      <c r="D424" s="15"/>
      <c r="E424" s="15"/>
      <c r="F424" s="15"/>
      <c r="G424" s="15"/>
      <c r="H424" s="16" t="str">
        <f aca="false">IF(OR(F424="",F424=0),IF(G424="","",1),MIN(1,G424/F424))</f>
        <v/>
      </c>
      <c r="I424" s="15"/>
      <c r="J424" s="17" t="str">
        <f aca="false">IF(C424="","",(C424&gt;=Targets!$B$2)+(D424&gt;=Targets!$B$3)+(E424&gt;=Targets!$B$4)+(N(H424)&gt;=1))&amp;"/4"</f>
        <v>/4</v>
      </c>
      <c r="K424" s="14"/>
    </row>
    <row r="425" customFormat="false" ht="15" hidden="false" customHeight="false" outlineLevel="0" collapsed="false">
      <c r="A425" s="13"/>
      <c r="B425" s="14"/>
      <c r="C425" s="15"/>
      <c r="D425" s="15"/>
      <c r="E425" s="15"/>
      <c r="F425" s="15"/>
      <c r="G425" s="15"/>
      <c r="H425" s="16" t="str">
        <f aca="false">IF(OR(F425="",F425=0),IF(G425="","",1),MIN(1,G425/F425))</f>
        <v/>
      </c>
      <c r="I425" s="15"/>
      <c r="J425" s="17" t="str">
        <f aca="false">IF(C425="","",(C425&gt;=Targets!$B$2)+(D425&gt;=Targets!$B$3)+(E425&gt;=Targets!$B$4)+(N(H425)&gt;=1))&amp;"/4"</f>
        <v>/4</v>
      </c>
      <c r="K425" s="14"/>
    </row>
    <row r="426" customFormat="false" ht="15" hidden="false" customHeight="false" outlineLevel="0" collapsed="false">
      <c r="A426" s="13"/>
      <c r="B426" s="14"/>
      <c r="C426" s="15"/>
      <c r="D426" s="15"/>
      <c r="E426" s="15"/>
      <c r="F426" s="15"/>
      <c r="G426" s="15"/>
      <c r="H426" s="16" t="str">
        <f aca="false">IF(OR(F426="",F426=0),IF(G426="","",1),MIN(1,G426/F426))</f>
        <v/>
      </c>
      <c r="I426" s="15"/>
      <c r="J426" s="17" t="str">
        <f aca="false">IF(C426="","",(C426&gt;=Targets!$B$2)+(D426&gt;=Targets!$B$3)+(E426&gt;=Targets!$B$4)+(N(H426)&gt;=1))&amp;"/4"</f>
        <v>/4</v>
      </c>
      <c r="K426" s="14"/>
    </row>
    <row r="427" customFormat="false" ht="15" hidden="false" customHeight="false" outlineLevel="0" collapsed="false">
      <c r="A427" s="13"/>
      <c r="B427" s="14"/>
      <c r="C427" s="15"/>
      <c r="D427" s="15"/>
      <c r="E427" s="15"/>
      <c r="F427" s="15"/>
      <c r="G427" s="15"/>
      <c r="H427" s="16" t="str">
        <f aca="false">IF(OR(F427="",F427=0),IF(G427="","",1),MIN(1,G427/F427))</f>
        <v/>
      </c>
      <c r="I427" s="15"/>
      <c r="J427" s="17" t="str">
        <f aca="false">IF(C427="","",(C427&gt;=Targets!$B$2)+(D427&gt;=Targets!$B$3)+(E427&gt;=Targets!$B$4)+(N(H427)&gt;=1))&amp;"/4"</f>
        <v>/4</v>
      </c>
      <c r="K427" s="14"/>
    </row>
    <row r="428" customFormat="false" ht="15" hidden="false" customHeight="false" outlineLevel="0" collapsed="false">
      <c r="A428" s="13"/>
      <c r="B428" s="14"/>
      <c r="C428" s="15"/>
      <c r="D428" s="15"/>
      <c r="E428" s="15"/>
      <c r="F428" s="15"/>
      <c r="G428" s="15"/>
      <c r="H428" s="16" t="str">
        <f aca="false">IF(OR(F428="",F428=0),IF(G428="","",1),MIN(1,G428/F428))</f>
        <v/>
      </c>
      <c r="I428" s="15"/>
      <c r="J428" s="17" t="str">
        <f aca="false">IF(C428="","",(C428&gt;=Targets!$B$2)+(D428&gt;=Targets!$B$3)+(E428&gt;=Targets!$B$4)+(N(H428)&gt;=1))&amp;"/4"</f>
        <v>/4</v>
      </c>
      <c r="K428" s="14"/>
    </row>
    <row r="429" customFormat="false" ht="15" hidden="false" customHeight="false" outlineLevel="0" collapsed="false">
      <c r="A429" s="13"/>
      <c r="B429" s="14"/>
      <c r="C429" s="15"/>
      <c r="D429" s="15"/>
      <c r="E429" s="15"/>
      <c r="F429" s="15"/>
      <c r="G429" s="15"/>
      <c r="H429" s="16" t="str">
        <f aca="false">IF(OR(F429="",F429=0),IF(G429="","",1),MIN(1,G429/F429))</f>
        <v/>
      </c>
      <c r="I429" s="15"/>
      <c r="J429" s="17" t="str">
        <f aca="false">IF(C429="","",(C429&gt;=Targets!$B$2)+(D429&gt;=Targets!$B$3)+(E429&gt;=Targets!$B$4)+(N(H429)&gt;=1))&amp;"/4"</f>
        <v>/4</v>
      </c>
      <c r="K429" s="14"/>
    </row>
    <row r="430" customFormat="false" ht="15" hidden="false" customHeight="false" outlineLevel="0" collapsed="false">
      <c r="A430" s="13"/>
      <c r="B430" s="14"/>
      <c r="C430" s="15"/>
      <c r="D430" s="15"/>
      <c r="E430" s="15"/>
      <c r="F430" s="15"/>
      <c r="G430" s="15"/>
      <c r="H430" s="16" t="str">
        <f aca="false">IF(OR(F430="",F430=0),IF(G430="","",1),MIN(1,G430/F430))</f>
        <v/>
      </c>
      <c r="I430" s="15"/>
      <c r="J430" s="17" t="str">
        <f aca="false">IF(C430="","",(C430&gt;=Targets!$B$2)+(D430&gt;=Targets!$B$3)+(E430&gt;=Targets!$B$4)+(N(H430)&gt;=1))&amp;"/4"</f>
        <v>/4</v>
      </c>
      <c r="K430" s="14"/>
    </row>
    <row r="431" customFormat="false" ht="15" hidden="false" customHeight="false" outlineLevel="0" collapsed="false">
      <c r="A431" s="13"/>
      <c r="B431" s="14"/>
      <c r="C431" s="15"/>
      <c r="D431" s="15"/>
      <c r="E431" s="15"/>
      <c r="F431" s="15"/>
      <c r="G431" s="15"/>
      <c r="H431" s="16" t="str">
        <f aca="false">IF(OR(F431="",F431=0),IF(G431="","",1),MIN(1,G431/F431))</f>
        <v/>
      </c>
      <c r="I431" s="15"/>
      <c r="J431" s="17" t="str">
        <f aca="false">IF(C431="","",(C431&gt;=Targets!$B$2)+(D431&gt;=Targets!$B$3)+(E431&gt;=Targets!$B$4)+(N(H431)&gt;=1))&amp;"/4"</f>
        <v>/4</v>
      </c>
      <c r="K431" s="14"/>
    </row>
    <row r="432" customFormat="false" ht="15" hidden="false" customHeight="false" outlineLevel="0" collapsed="false">
      <c r="A432" s="13"/>
      <c r="B432" s="14"/>
      <c r="C432" s="15"/>
      <c r="D432" s="15"/>
      <c r="E432" s="15"/>
      <c r="F432" s="15"/>
      <c r="G432" s="15"/>
      <c r="H432" s="16" t="str">
        <f aca="false">IF(OR(F432="",F432=0),IF(G432="","",1),MIN(1,G432/F432))</f>
        <v/>
      </c>
      <c r="I432" s="15"/>
      <c r="J432" s="17" t="str">
        <f aca="false">IF(C432="","",(C432&gt;=Targets!$B$2)+(D432&gt;=Targets!$B$3)+(E432&gt;=Targets!$B$4)+(N(H432)&gt;=1))&amp;"/4"</f>
        <v>/4</v>
      </c>
      <c r="K432" s="14"/>
    </row>
    <row r="433" customFormat="false" ht="15" hidden="false" customHeight="false" outlineLevel="0" collapsed="false">
      <c r="A433" s="13"/>
      <c r="B433" s="14"/>
      <c r="C433" s="15"/>
      <c r="D433" s="15"/>
      <c r="E433" s="15"/>
      <c r="F433" s="15"/>
      <c r="G433" s="15"/>
      <c r="H433" s="16" t="str">
        <f aca="false">IF(OR(F433="",F433=0),IF(G433="","",1),MIN(1,G433/F433))</f>
        <v/>
      </c>
      <c r="I433" s="15"/>
      <c r="J433" s="17" t="str">
        <f aca="false">IF(C433="","",(C433&gt;=Targets!$B$2)+(D433&gt;=Targets!$B$3)+(E433&gt;=Targets!$B$4)+(N(H433)&gt;=1))&amp;"/4"</f>
        <v>/4</v>
      </c>
      <c r="K433" s="14"/>
    </row>
    <row r="434" customFormat="false" ht="15" hidden="false" customHeight="false" outlineLevel="0" collapsed="false">
      <c r="A434" s="13"/>
      <c r="B434" s="14"/>
      <c r="C434" s="15"/>
      <c r="D434" s="15"/>
      <c r="E434" s="15"/>
      <c r="F434" s="15"/>
      <c r="G434" s="15"/>
      <c r="H434" s="16" t="str">
        <f aca="false">IF(OR(F434="",F434=0),IF(G434="","",1),MIN(1,G434/F434))</f>
        <v/>
      </c>
      <c r="I434" s="15"/>
      <c r="J434" s="17" t="str">
        <f aca="false">IF(C434="","",(C434&gt;=Targets!$B$2)+(D434&gt;=Targets!$B$3)+(E434&gt;=Targets!$B$4)+(N(H434)&gt;=1))&amp;"/4"</f>
        <v>/4</v>
      </c>
      <c r="K434" s="14"/>
    </row>
    <row r="435" customFormat="false" ht="15" hidden="false" customHeight="false" outlineLevel="0" collapsed="false">
      <c r="A435" s="13"/>
      <c r="B435" s="14"/>
      <c r="C435" s="15"/>
      <c r="D435" s="15"/>
      <c r="E435" s="15"/>
      <c r="F435" s="15"/>
      <c r="G435" s="15"/>
      <c r="H435" s="16" t="str">
        <f aca="false">IF(OR(F435="",F435=0),IF(G435="","",1),MIN(1,G435/F435))</f>
        <v/>
      </c>
      <c r="I435" s="15"/>
      <c r="J435" s="17" t="str">
        <f aca="false">IF(C435="","",(C435&gt;=Targets!$B$2)+(D435&gt;=Targets!$B$3)+(E435&gt;=Targets!$B$4)+(N(H435)&gt;=1))&amp;"/4"</f>
        <v>/4</v>
      </c>
      <c r="K435" s="14"/>
    </row>
    <row r="436" customFormat="false" ht="15" hidden="false" customHeight="false" outlineLevel="0" collapsed="false">
      <c r="A436" s="13"/>
      <c r="B436" s="14"/>
      <c r="C436" s="15"/>
      <c r="D436" s="15"/>
      <c r="E436" s="15"/>
      <c r="F436" s="15"/>
      <c r="G436" s="15"/>
      <c r="H436" s="16" t="str">
        <f aca="false">IF(OR(F436="",F436=0),IF(G436="","",1),MIN(1,G436/F436))</f>
        <v/>
      </c>
      <c r="I436" s="15"/>
      <c r="J436" s="17" t="str">
        <f aca="false">IF(C436="","",(C436&gt;=Targets!$B$2)+(D436&gt;=Targets!$B$3)+(E436&gt;=Targets!$B$4)+(N(H436)&gt;=1))&amp;"/4"</f>
        <v>/4</v>
      </c>
      <c r="K436" s="14"/>
    </row>
    <row r="437" customFormat="false" ht="15" hidden="false" customHeight="false" outlineLevel="0" collapsed="false">
      <c r="A437" s="13"/>
      <c r="B437" s="14"/>
      <c r="C437" s="15"/>
      <c r="D437" s="15"/>
      <c r="E437" s="15"/>
      <c r="F437" s="15"/>
      <c r="G437" s="15"/>
      <c r="H437" s="16" t="str">
        <f aca="false">IF(OR(F437="",F437=0),IF(G437="","",1),MIN(1,G437/F437))</f>
        <v/>
      </c>
      <c r="I437" s="15"/>
      <c r="J437" s="17" t="str">
        <f aca="false">IF(C437="","",(C437&gt;=Targets!$B$2)+(D437&gt;=Targets!$B$3)+(E437&gt;=Targets!$B$4)+(N(H437)&gt;=1))&amp;"/4"</f>
        <v>/4</v>
      </c>
      <c r="K437" s="14"/>
    </row>
    <row r="438" customFormat="false" ht="15" hidden="false" customHeight="false" outlineLevel="0" collapsed="false">
      <c r="A438" s="13"/>
      <c r="B438" s="14"/>
      <c r="C438" s="15"/>
      <c r="D438" s="15"/>
      <c r="E438" s="15"/>
      <c r="F438" s="15"/>
      <c r="G438" s="15"/>
      <c r="H438" s="16" t="str">
        <f aca="false">IF(OR(F438="",F438=0),IF(G438="","",1),MIN(1,G438/F438))</f>
        <v/>
      </c>
      <c r="I438" s="15"/>
      <c r="J438" s="17" t="str">
        <f aca="false">IF(C438="","",(C438&gt;=Targets!$B$2)+(D438&gt;=Targets!$B$3)+(E438&gt;=Targets!$B$4)+(N(H438)&gt;=1))&amp;"/4"</f>
        <v>/4</v>
      </c>
      <c r="K438" s="14"/>
    </row>
    <row r="439" customFormat="false" ht="15" hidden="false" customHeight="false" outlineLevel="0" collapsed="false">
      <c r="A439" s="13"/>
      <c r="B439" s="14"/>
      <c r="C439" s="15"/>
      <c r="D439" s="15"/>
      <c r="E439" s="15"/>
      <c r="F439" s="15"/>
      <c r="G439" s="15"/>
      <c r="H439" s="16" t="str">
        <f aca="false">IF(OR(F439="",F439=0),IF(G439="","",1),MIN(1,G439/F439))</f>
        <v/>
      </c>
      <c r="I439" s="15"/>
      <c r="J439" s="17" t="str">
        <f aca="false">IF(C439="","",(C439&gt;=Targets!$B$2)+(D439&gt;=Targets!$B$3)+(E439&gt;=Targets!$B$4)+(N(H439)&gt;=1))&amp;"/4"</f>
        <v>/4</v>
      </c>
      <c r="K439" s="14"/>
    </row>
    <row r="440" customFormat="false" ht="15" hidden="false" customHeight="false" outlineLevel="0" collapsed="false">
      <c r="A440" s="13"/>
      <c r="B440" s="14"/>
      <c r="C440" s="15"/>
      <c r="D440" s="15"/>
      <c r="E440" s="15"/>
      <c r="F440" s="15"/>
      <c r="G440" s="15"/>
      <c r="H440" s="16" t="str">
        <f aca="false">IF(OR(F440="",F440=0),IF(G440="","",1),MIN(1,G440/F440))</f>
        <v/>
      </c>
      <c r="I440" s="15"/>
      <c r="J440" s="17" t="str">
        <f aca="false">IF(C440="","",(C440&gt;=Targets!$B$2)+(D440&gt;=Targets!$B$3)+(E440&gt;=Targets!$B$4)+(N(H440)&gt;=1))&amp;"/4"</f>
        <v>/4</v>
      </c>
      <c r="K440" s="14"/>
    </row>
    <row r="441" customFormat="false" ht="15" hidden="false" customHeight="false" outlineLevel="0" collapsed="false">
      <c r="A441" s="13"/>
      <c r="B441" s="14"/>
      <c r="C441" s="15"/>
      <c r="D441" s="15"/>
      <c r="E441" s="15"/>
      <c r="F441" s="15"/>
      <c r="G441" s="15"/>
      <c r="H441" s="16" t="str">
        <f aca="false">IF(OR(F441="",F441=0),IF(G441="","",1),MIN(1,G441/F441))</f>
        <v/>
      </c>
      <c r="I441" s="15"/>
      <c r="J441" s="17" t="str">
        <f aca="false">IF(C441="","",(C441&gt;=Targets!$B$2)+(D441&gt;=Targets!$B$3)+(E441&gt;=Targets!$B$4)+(N(H441)&gt;=1))&amp;"/4"</f>
        <v>/4</v>
      </c>
      <c r="K441" s="14"/>
    </row>
    <row r="442" customFormat="false" ht="15" hidden="false" customHeight="false" outlineLevel="0" collapsed="false">
      <c r="A442" s="13"/>
      <c r="B442" s="14"/>
      <c r="C442" s="15"/>
      <c r="D442" s="15"/>
      <c r="E442" s="15"/>
      <c r="F442" s="15"/>
      <c r="G442" s="15"/>
      <c r="H442" s="16" t="str">
        <f aca="false">IF(OR(F442="",F442=0),IF(G442="","",1),MIN(1,G442/F442))</f>
        <v/>
      </c>
      <c r="I442" s="15"/>
      <c r="J442" s="17" t="str">
        <f aca="false">IF(C442="","",(C442&gt;=Targets!$B$2)+(D442&gt;=Targets!$B$3)+(E442&gt;=Targets!$B$4)+(N(H442)&gt;=1))&amp;"/4"</f>
        <v>/4</v>
      </c>
      <c r="K442" s="14"/>
    </row>
    <row r="443" customFormat="false" ht="15" hidden="false" customHeight="false" outlineLevel="0" collapsed="false">
      <c r="A443" s="13"/>
      <c r="B443" s="14"/>
      <c r="C443" s="15"/>
      <c r="D443" s="15"/>
      <c r="E443" s="15"/>
      <c r="F443" s="15"/>
      <c r="G443" s="15"/>
      <c r="H443" s="16" t="str">
        <f aca="false">IF(OR(F443="",F443=0),IF(G443="","",1),MIN(1,G443/F443))</f>
        <v/>
      </c>
      <c r="I443" s="15"/>
      <c r="J443" s="17" t="str">
        <f aca="false">IF(C443="","",(C443&gt;=Targets!$B$2)+(D443&gt;=Targets!$B$3)+(E443&gt;=Targets!$B$4)+(N(H443)&gt;=1))&amp;"/4"</f>
        <v>/4</v>
      </c>
      <c r="K443" s="14"/>
    </row>
    <row r="444" customFormat="false" ht="15" hidden="false" customHeight="false" outlineLevel="0" collapsed="false">
      <c r="A444" s="13"/>
      <c r="B444" s="14"/>
      <c r="C444" s="15"/>
      <c r="D444" s="15"/>
      <c r="E444" s="15"/>
      <c r="F444" s="15"/>
      <c r="G444" s="15"/>
      <c r="H444" s="16" t="str">
        <f aca="false">IF(OR(F444="",F444=0),IF(G444="","",1),MIN(1,G444/F444))</f>
        <v/>
      </c>
      <c r="I444" s="15"/>
      <c r="J444" s="17" t="str">
        <f aca="false">IF(C444="","",(C444&gt;=Targets!$B$2)+(D444&gt;=Targets!$B$3)+(E444&gt;=Targets!$B$4)+(N(H444)&gt;=1))&amp;"/4"</f>
        <v>/4</v>
      </c>
      <c r="K444" s="14"/>
    </row>
    <row r="445" customFormat="false" ht="15" hidden="false" customHeight="false" outlineLevel="0" collapsed="false">
      <c r="A445" s="13"/>
      <c r="B445" s="14"/>
      <c r="C445" s="15"/>
      <c r="D445" s="15"/>
      <c r="E445" s="15"/>
      <c r="F445" s="15"/>
      <c r="G445" s="15"/>
      <c r="H445" s="16" t="str">
        <f aca="false">IF(OR(F445="",F445=0),IF(G445="","",1),MIN(1,G445/F445))</f>
        <v/>
      </c>
      <c r="I445" s="15"/>
      <c r="J445" s="17" t="str">
        <f aca="false">IF(C445="","",(C445&gt;=Targets!$B$2)+(D445&gt;=Targets!$B$3)+(E445&gt;=Targets!$B$4)+(N(H445)&gt;=1))&amp;"/4"</f>
        <v>/4</v>
      </c>
      <c r="K445" s="14"/>
    </row>
    <row r="446" customFormat="false" ht="15" hidden="false" customHeight="false" outlineLevel="0" collapsed="false">
      <c r="A446" s="13"/>
      <c r="B446" s="14"/>
      <c r="C446" s="15"/>
      <c r="D446" s="15"/>
      <c r="E446" s="15"/>
      <c r="F446" s="15"/>
      <c r="G446" s="15"/>
      <c r="H446" s="16" t="str">
        <f aca="false">IF(OR(F446="",F446=0),IF(G446="","",1),MIN(1,G446/F446))</f>
        <v/>
      </c>
      <c r="I446" s="15"/>
      <c r="J446" s="17" t="str">
        <f aca="false">IF(C446="","",(C446&gt;=Targets!$B$2)+(D446&gt;=Targets!$B$3)+(E446&gt;=Targets!$B$4)+(N(H446)&gt;=1))&amp;"/4"</f>
        <v>/4</v>
      </c>
      <c r="K446" s="14"/>
    </row>
    <row r="447" customFormat="false" ht="15" hidden="false" customHeight="false" outlineLevel="0" collapsed="false">
      <c r="A447" s="13"/>
      <c r="B447" s="14"/>
      <c r="C447" s="15"/>
      <c r="D447" s="15"/>
      <c r="E447" s="15"/>
      <c r="F447" s="15"/>
      <c r="G447" s="15"/>
      <c r="H447" s="16" t="str">
        <f aca="false">IF(OR(F447="",F447=0),IF(G447="","",1),MIN(1,G447/F447))</f>
        <v/>
      </c>
      <c r="I447" s="15"/>
      <c r="J447" s="17" t="str">
        <f aca="false">IF(C447="","",(C447&gt;=Targets!$B$2)+(D447&gt;=Targets!$B$3)+(E447&gt;=Targets!$B$4)+(N(H447)&gt;=1))&amp;"/4"</f>
        <v>/4</v>
      </c>
      <c r="K447" s="14"/>
    </row>
    <row r="448" customFormat="false" ht="15" hidden="false" customHeight="false" outlineLevel="0" collapsed="false">
      <c r="A448" s="13"/>
      <c r="B448" s="14"/>
      <c r="C448" s="15"/>
      <c r="D448" s="15"/>
      <c r="E448" s="15"/>
      <c r="F448" s="15"/>
      <c r="G448" s="15"/>
      <c r="H448" s="16" t="str">
        <f aca="false">IF(OR(F448="",F448=0),IF(G448="","",1),MIN(1,G448/F448))</f>
        <v/>
      </c>
      <c r="I448" s="15"/>
      <c r="J448" s="17" t="str">
        <f aca="false">IF(C448="","",(C448&gt;=Targets!$B$2)+(D448&gt;=Targets!$B$3)+(E448&gt;=Targets!$B$4)+(N(H448)&gt;=1))&amp;"/4"</f>
        <v>/4</v>
      </c>
      <c r="K448" s="14"/>
    </row>
    <row r="449" customFormat="false" ht="15" hidden="false" customHeight="false" outlineLevel="0" collapsed="false">
      <c r="A449" s="13"/>
      <c r="B449" s="14"/>
      <c r="C449" s="15"/>
      <c r="D449" s="15"/>
      <c r="E449" s="15"/>
      <c r="F449" s="15"/>
      <c r="G449" s="15"/>
      <c r="H449" s="16" t="str">
        <f aca="false">IF(OR(F449="",F449=0),IF(G449="","",1),MIN(1,G449/F449))</f>
        <v/>
      </c>
      <c r="I449" s="15"/>
      <c r="J449" s="17" t="str">
        <f aca="false">IF(C449="","",(C449&gt;=Targets!$B$2)+(D449&gt;=Targets!$B$3)+(E449&gt;=Targets!$B$4)+(N(H449)&gt;=1))&amp;"/4"</f>
        <v>/4</v>
      </c>
      <c r="K449" s="14"/>
    </row>
    <row r="450" customFormat="false" ht="15" hidden="false" customHeight="false" outlineLevel="0" collapsed="false">
      <c r="A450" s="13"/>
      <c r="B450" s="14"/>
      <c r="C450" s="15"/>
      <c r="D450" s="15"/>
      <c r="E450" s="15"/>
      <c r="F450" s="15"/>
      <c r="G450" s="15"/>
      <c r="H450" s="16" t="str">
        <f aca="false">IF(OR(F450="",F450=0),IF(G450="","",1),MIN(1,G450/F450))</f>
        <v/>
      </c>
      <c r="I450" s="15"/>
      <c r="J450" s="17" t="str">
        <f aca="false">IF(C450="","",(C450&gt;=Targets!$B$2)+(D450&gt;=Targets!$B$3)+(E450&gt;=Targets!$B$4)+(N(H450)&gt;=1))&amp;"/4"</f>
        <v>/4</v>
      </c>
      <c r="K450" s="14"/>
    </row>
    <row r="451" customFormat="false" ht="15" hidden="false" customHeight="false" outlineLevel="0" collapsed="false">
      <c r="A451" s="13"/>
      <c r="B451" s="14"/>
      <c r="C451" s="15"/>
      <c r="D451" s="15"/>
      <c r="E451" s="15"/>
      <c r="F451" s="15"/>
      <c r="G451" s="15"/>
      <c r="H451" s="16" t="str">
        <f aca="false">IF(OR(F451="",F451=0),IF(G451="","",1),MIN(1,G451/F451))</f>
        <v/>
      </c>
      <c r="I451" s="15"/>
      <c r="J451" s="17" t="str">
        <f aca="false">IF(C451="","",(C451&gt;=Targets!$B$2)+(D451&gt;=Targets!$B$3)+(E451&gt;=Targets!$B$4)+(N(H451)&gt;=1))&amp;"/4"</f>
        <v>/4</v>
      </c>
      <c r="K451" s="14"/>
    </row>
    <row r="452" customFormat="false" ht="15" hidden="false" customHeight="false" outlineLevel="0" collapsed="false">
      <c r="A452" s="13"/>
      <c r="B452" s="14"/>
      <c r="C452" s="15"/>
      <c r="D452" s="15"/>
      <c r="E452" s="15"/>
      <c r="F452" s="15"/>
      <c r="G452" s="15"/>
      <c r="H452" s="16" t="str">
        <f aca="false">IF(OR(F452="",F452=0),IF(G452="","",1),MIN(1,G452/F452))</f>
        <v/>
      </c>
      <c r="I452" s="15"/>
      <c r="J452" s="17" t="str">
        <f aca="false">IF(C452="","",(C452&gt;=Targets!$B$2)+(D452&gt;=Targets!$B$3)+(E452&gt;=Targets!$B$4)+(N(H452)&gt;=1))&amp;"/4"</f>
        <v>/4</v>
      </c>
      <c r="K452" s="14"/>
    </row>
    <row r="453" customFormat="false" ht="15" hidden="false" customHeight="false" outlineLevel="0" collapsed="false">
      <c r="A453" s="13"/>
      <c r="B453" s="14"/>
      <c r="C453" s="15"/>
      <c r="D453" s="15"/>
      <c r="E453" s="15"/>
      <c r="F453" s="15"/>
      <c r="G453" s="15"/>
      <c r="H453" s="16" t="str">
        <f aca="false">IF(OR(F453="",F453=0),IF(G453="","",1),MIN(1,G453/F453))</f>
        <v/>
      </c>
      <c r="I453" s="15"/>
      <c r="J453" s="17" t="str">
        <f aca="false">IF(C453="","",(C453&gt;=Targets!$B$2)+(D453&gt;=Targets!$B$3)+(E453&gt;=Targets!$B$4)+(N(H453)&gt;=1))&amp;"/4"</f>
        <v>/4</v>
      </c>
      <c r="K453" s="14"/>
    </row>
    <row r="454" customFormat="false" ht="15" hidden="false" customHeight="false" outlineLevel="0" collapsed="false">
      <c r="A454" s="13"/>
      <c r="B454" s="14"/>
      <c r="C454" s="15"/>
      <c r="D454" s="15"/>
      <c r="E454" s="15"/>
      <c r="F454" s="15"/>
      <c r="G454" s="15"/>
      <c r="H454" s="16" t="str">
        <f aca="false">IF(OR(F454="",F454=0),IF(G454="","",1),MIN(1,G454/F454))</f>
        <v/>
      </c>
      <c r="I454" s="15"/>
      <c r="J454" s="17" t="str">
        <f aca="false">IF(C454="","",(C454&gt;=Targets!$B$2)+(D454&gt;=Targets!$B$3)+(E454&gt;=Targets!$B$4)+(N(H454)&gt;=1))&amp;"/4"</f>
        <v>/4</v>
      </c>
      <c r="K454" s="14"/>
    </row>
    <row r="455" customFormat="false" ht="15" hidden="false" customHeight="false" outlineLevel="0" collapsed="false">
      <c r="A455" s="13"/>
      <c r="B455" s="14"/>
      <c r="C455" s="15"/>
      <c r="D455" s="15"/>
      <c r="E455" s="15"/>
      <c r="F455" s="15"/>
      <c r="G455" s="15"/>
      <c r="H455" s="16" t="str">
        <f aca="false">IF(OR(F455="",F455=0),IF(G455="","",1),MIN(1,G455/F455))</f>
        <v/>
      </c>
      <c r="I455" s="15"/>
      <c r="J455" s="17" t="str">
        <f aca="false">IF(C455="","",(C455&gt;=Targets!$B$2)+(D455&gt;=Targets!$B$3)+(E455&gt;=Targets!$B$4)+(N(H455)&gt;=1))&amp;"/4"</f>
        <v>/4</v>
      </c>
      <c r="K455" s="14"/>
    </row>
    <row r="456" customFormat="false" ht="15" hidden="false" customHeight="false" outlineLevel="0" collapsed="false">
      <c r="A456" s="13"/>
      <c r="B456" s="14"/>
      <c r="C456" s="15"/>
      <c r="D456" s="15"/>
      <c r="E456" s="15"/>
      <c r="F456" s="15"/>
      <c r="G456" s="15"/>
      <c r="H456" s="16" t="str">
        <f aca="false">IF(OR(F456="",F456=0),IF(G456="","",1),MIN(1,G456/F456))</f>
        <v/>
      </c>
      <c r="I456" s="15"/>
      <c r="J456" s="17" t="str">
        <f aca="false">IF(C456="","",(C456&gt;=Targets!$B$2)+(D456&gt;=Targets!$B$3)+(E456&gt;=Targets!$B$4)+(N(H456)&gt;=1))&amp;"/4"</f>
        <v>/4</v>
      </c>
      <c r="K456" s="14"/>
    </row>
    <row r="457" customFormat="false" ht="15" hidden="false" customHeight="false" outlineLevel="0" collapsed="false">
      <c r="A457" s="13"/>
      <c r="B457" s="14"/>
      <c r="C457" s="15"/>
      <c r="D457" s="15"/>
      <c r="E457" s="15"/>
      <c r="F457" s="15"/>
      <c r="G457" s="15"/>
      <c r="H457" s="16" t="str">
        <f aca="false">IF(OR(F457="",F457=0),IF(G457="","",1),MIN(1,G457/F457))</f>
        <v/>
      </c>
      <c r="I457" s="15"/>
      <c r="J457" s="17" t="str">
        <f aca="false">IF(C457="","",(C457&gt;=Targets!$B$2)+(D457&gt;=Targets!$B$3)+(E457&gt;=Targets!$B$4)+(N(H457)&gt;=1))&amp;"/4"</f>
        <v>/4</v>
      </c>
      <c r="K457" s="14"/>
    </row>
    <row r="458" customFormat="false" ht="15" hidden="false" customHeight="false" outlineLevel="0" collapsed="false">
      <c r="A458" s="13"/>
      <c r="B458" s="14"/>
      <c r="C458" s="15"/>
      <c r="D458" s="15"/>
      <c r="E458" s="15"/>
      <c r="F458" s="15"/>
      <c r="G458" s="15"/>
      <c r="H458" s="16" t="str">
        <f aca="false">IF(OR(F458="",F458=0),IF(G458="","",1),MIN(1,G458/F458))</f>
        <v/>
      </c>
      <c r="I458" s="15"/>
      <c r="J458" s="17" t="str">
        <f aca="false">IF(C458="","",(C458&gt;=Targets!$B$2)+(D458&gt;=Targets!$B$3)+(E458&gt;=Targets!$B$4)+(N(H458)&gt;=1))&amp;"/4"</f>
        <v>/4</v>
      </c>
      <c r="K458" s="14"/>
    </row>
    <row r="459" customFormat="false" ht="15" hidden="false" customHeight="false" outlineLevel="0" collapsed="false">
      <c r="A459" s="13"/>
      <c r="B459" s="14"/>
      <c r="C459" s="15"/>
      <c r="D459" s="15"/>
      <c r="E459" s="15"/>
      <c r="F459" s="15"/>
      <c r="G459" s="15"/>
      <c r="H459" s="16" t="str">
        <f aca="false">IF(OR(F459="",F459=0),IF(G459="","",1),MIN(1,G459/F459))</f>
        <v/>
      </c>
      <c r="I459" s="15"/>
      <c r="J459" s="17" t="str">
        <f aca="false">IF(C459="","",(C459&gt;=Targets!$B$2)+(D459&gt;=Targets!$B$3)+(E459&gt;=Targets!$B$4)+(N(H459)&gt;=1))&amp;"/4"</f>
        <v>/4</v>
      </c>
      <c r="K459" s="14"/>
    </row>
    <row r="460" customFormat="false" ht="15" hidden="false" customHeight="false" outlineLevel="0" collapsed="false">
      <c r="A460" s="13"/>
      <c r="B460" s="14"/>
      <c r="C460" s="15"/>
      <c r="D460" s="15"/>
      <c r="E460" s="15"/>
      <c r="F460" s="15"/>
      <c r="G460" s="15"/>
      <c r="H460" s="16" t="str">
        <f aca="false">IF(OR(F460="",F460=0),IF(G460="","",1),MIN(1,G460/F460))</f>
        <v/>
      </c>
      <c r="I460" s="15"/>
      <c r="J460" s="17" t="str">
        <f aca="false">IF(C460="","",(C460&gt;=Targets!$B$2)+(D460&gt;=Targets!$B$3)+(E460&gt;=Targets!$B$4)+(N(H460)&gt;=1))&amp;"/4"</f>
        <v>/4</v>
      </c>
      <c r="K460" s="14"/>
    </row>
    <row r="461" customFormat="false" ht="15" hidden="false" customHeight="false" outlineLevel="0" collapsed="false">
      <c r="A461" s="13"/>
      <c r="B461" s="14"/>
      <c r="C461" s="15"/>
      <c r="D461" s="15"/>
      <c r="E461" s="15"/>
      <c r="F461" s="15"/>
      <c r="G461" s="15"/>
      <c r="H461" s="16" t="str">
        <f aca="false">IF(OR(F461="",F461=0),IF(G461="","",1),MIN(1,G461/F461))</f>
        <v/>
      </c>
      <c r="I461" s="15"/>
      <c r="J461" s="17" t="str">
        <f aca="false">IF(C461="","",(C461&gt;=Targets!$B$2)+(D461&gt;=Targets!$B$3)+(E461&gt;=Targets!$B$4)+(N(H461)&gt;=1))&amp;"/4"</f>
        <v>/4</v>
      </c>
      <c r="K461" s="14"/>
    </row>
    <row r="462" customFormat="false" ht="15" hidden="false" customHeight="false" outlineLevel="0" collapsed="false">
      <c r="A462" s="13"/>
      <c r="B462" s="14"/>
      <c r="C462" s="15"/>
      <c r="D462" s="15"/>
      <c r="E462" s="15"/>
      <c r="F462" s="15"/>
      <c r="G462" s="15"/>
      <c r="H462" s="16" t="str">
        <f aca="false">IF(OR(F462="",F462=0),IF(G462="","",1),MIN(1,G462/F462))</f>
        <v/>
      </c>
      <c r="I462" s="15"/>
      <c r="J462" s="17" t="str">
        <f aca="false">IF(C462="","",(C462&gt;=Targets!$B$2)+(D462&gt;=Targets!$B$3)+(E462&gt;=Targets!$B$4)+(N(H462)&gt;=1))&amp;"/4"</f>
        <v>/4</v>
      </c>
      <c r="K462" s="14"/>
    </row>
    <row r="463" customFormat="false" ht="15" hidden="false" customHeight="false" outlineLevel="0" collapsed="false">
      <c r="A463" s="13"/>
      <c r="B463" s="14"/>
      <c r="C463" s="15"/>
      <c r="D463" s="15"/>
      <c r="E463" s="15"/>
      <c r="F463" s="15"/>
      <c r="G463" s="15"/>
      <c r="H463" s="16" t="str">
        <f aca="false">IF(OR(F463="",F463=0),IF(G463="","",1),MIN(1,G463/F463))</f>
        <v/>
      </c>
      <c r="I463" s="15"/>
      <c r="J463" s="17" t="str">
        <f aca="false">IF(C463="","",(C463&gt;=Targets!$B$2)+(D463&gt;=Targets!$B$3)+(E463&gt;=Targets!$B$4)+(N(H463)&gt;=1))&amp;"/4"</f>
        <v>/4</v>
      </c>
      <c r="K463" s="14"/>
    </row>
    <row r="464" customFormat="false" ht="15" hidden="false" customHeight="false" outlineLevel="0" collapsed="false">
      <c r="A464" s="13"/>
      <c r="B464" s="14"/>
      <c r="C464" s="15"/>
      <c r="D464" s="15"/>
      <c r="E464" s="15"/>
      <c r="F464" s="15"/>
      <c r="G464" s="15"/>
      <c r="H464" s="16" t="str">
        <f aca="false">IF(OR(F464="",F464=0),IF(G464="","",1),MIN(1,G464/F464))</f>
        <v/>
      </c>
      <c r="I464" s="15"/>
      <c r="J464" s="17" t="str">
        <f aca="false">IF(C464="","",(C464&gt;=Targets!$B$2)+(D464&gt;=Targets!$B$3)+(E464&gt;=Targets!$B$4)+(N(H464)&gt;=1))&amp;"/4"</f>
        <v>/4</v>
      </c>
      <c r="K464" s="14"/>
    </row>
    <row r="465" customFormat="false" ht="15" hidden="false" customHeight="false" outlineLevel="0" collapsed="false">
      <c r="A465" s="13"/>
      <c r="B465" s="14"/>
      <c r="C465" s="15"/>
      <c r="D465" s="15"/>
      <c r="E465" s="15"/>
      <c r="F465" s="15"/>
      <c r="G465" s="15"/>
      <c r="H465" s="16" t="str">
        <f aca="false">IF(OR(F465="",F465=0),IF(G465="","",1),MIN(1,G465/F465))</f>
        <v/>
      </c>
      <c r="I465" s="15"/>
      <c r="J465" s="17" t="str">
        <f aca="false">IF(C465="","",(C465&gt;=Targets!$B$2)+(D465&gt;=Targets!$B$3)+(E465&gt;=Targets!$B$4)+(N(H465)&gt;=1))&amp;"/4"</f>
        <v>/4</v>
      </c>
      <c r="K465" s="14"/>
    </row>
    <row r="466" customFormat="false" ht="15" hidden="false" customHeight="false" outlineLevel="0" collapsed="false">
      <c r="A466" s="13"/>
      <c r="B466" s="14"/>
      <c r="C466" s="15"/>
      <c r="D466" s="15"/>
      <c r="E466" s="15"/>
      <c r="F466" s="15"/>
      <c r="G466" s="15"/>
      <c r="H466" s="16" t="str">
        <f aca="false">IF(OR(F466="",F466=0),IF(G466="","",1),MIN(1,G466/F466))</f>
        <v/>
      </c>
      <c r="I466" s="15"/>
      <c r="J466" s="17" t="str">
        <f aca="false">IF(C466="","",(C466&gt;=Targets!$B$2)+(D466&gt;=Targets!$B$3)+(E466&gt;=Targets!$B$4)+(N(H466)&gt;=1))&amp;"/4"</f>
        <v>/4</v>
      </c>
      <c r="K466" s="14"/>
    </row>
    <row r="467" customFormat="false" ht="15" hidden="false" customHeight="false" outlineLevel="0" collapsed="false">
      <c r="A467" s="13"/>
      <c r="B467" s="14"/>
      <c r="C467" s="15"/>
      <c r="D467" s="15"/>
      <c r="E467" s="15"/>
      <c r="F467" s="15"/>
      <c r="G467" s="15"/>
      <c r="H467" s="16" t="str">
        <f aca="false">IF(OR(F467="",F467=0),IF(G467="","",1),MIN(1,G467/F467))</f>
        <v/>
      </c>
      <c r="I467" s="15"/>
      <c r="J467" s="17" t="str">
        <f aca="false">IF(C467="","",(C467&gt;=Targets!$B$2)+(D467&gt;=Targets!$B$3)+(E467&gt;=Targets!$B$4)+(N(H467)&gt;=1))&amp;"/4"</f>
        <v>/4</v>
      </c>
      <c r="K467" s="14"/>
    </row>
    <row r="468" customFormat="false" ht="15" hidden="false" customHeight="false" outlineLevel="0" collapsed="false">
      <c r="A468" s="13"/>
      <c r="B468" s="14"/>
      <c r="C468" s="15"/>
      <c r="D468" s="15"/>
      <c r="E468" s="15"/>
      <c r="F468" s="15"/>
      <c r="G468" s="15"/>
      <c r="H468" s="16" t="str">
        <f aca="false">IF(OR(F468="",F468=0),IF(G468="","",1),MIN(1,G468/F468))</f>
        <v/>
      </c>
      <c r="I468" s="15"/>
      <c r="J468" s="17" t="str">
        <f aca="false">IF(C468="","",(C468&gt;=Targets!$B$2)+(D468&gt;=Targets!$B$3)+(E468&gt;=Targets!$B$4)+(N(H468)&gt;=1))&amp;"/4"</f>
        <v>/4</v>
      </c>
      <c r="K468" s="14"/>
    </row>
    <row r="469" customFormat="false" ht="15" hidden="false" customHeight="false" outlineLevel="0" collapsed="false">
      <c r="A469" s="13"/>
      <c r="B469" s="14"/>
      <c r="C469" s="15"/>
      <c r="D469" s="15"/>
      <c r="E469" s="15"/>
      <c r="F469" s="15"/>
      <c r="G469" s="15"/>
      <c r="H469" s="16" t="str">
        <f aca="false">IF(OR(F469="",F469=0),IF(G469="","",1),MIN(1,G469/F469))</f>
        <v/>
      </c>
      <c r="I469" s="15"/>
      <c r="J469" s="17" t="str">
        <f aca="false">IF(C469="","",(C469&gt;=Targets!$B$2)+(D469&gt;=Targets!$B$3)+(E469&gt;=Targets!$B$4)+(N(H469)&gt;=1))&amp;"/4"</f>
        <v>/4</v>
      </c>
      <c r="K469" s="14"/>
    </row>
    <row r="470" customFormat="false" ht="15" hidden="false" customHeight="false" outlineLevel="0" collapsed="false">
      <c r="A470" s="13"/>
      <c r="B470" s="14"/>
      <c r="C470" s="15"/>
      <c r="D470" s="15"/>
      <c r="E470" s="15"/>
      <c r="F470" s="15"/>
      <c r="G470" s="15"/>
      <c r="H470" s="16" t="str">
        <f aca="false">IF(OR(F470="",F470=0),IF(G470="","",1),MIN(1,G470/F470))</f>
        <v/>
      </c>
      <c r="I470" s="15"/>
      <c r="J470" s="17" t="str">
        <f aca="false">IF(C470="","",(C470&gt;=Targets!$B$2)+(D470&gt;=Targets!$B$3)+(E470&gt;=Targets!$B$4)+(N(H470)&gt;=1))&amp;"/4"</f>
        <v>/4</v>
      </c>
      <c r="K470" s="14"/>
    </row>
    <row r="471" customFormat="false" ht="15" hidden="false" customHeight="false" outlineLevel="0" collapsed="false">
      <c r="A471" s="13"/>
      <c r="B471" s="14"/>
      <c r="C471" s="15"/>
      <c r="D471" s="15"/>
      <c r="E471" s="15"/>
      <c r="F471" s="15"/>
      <c r="G471" s="15"/>
      <c r="H471" s="16" t="str">
        <f aca="false">IF(OR(F471="",F471=0),IF(G471="","",1),MIN(1,G471/F471))</f>
        <v/>
      </c>
      <c r="I471" s="15"/>
      <c r="J471" s="17" t="str">
        <f aca="false">IF(C471="","",(C471&gt;=Targets!$B$2)+(D471&gt;=Targets!$B$3)+(E471&gt;=Targets!$B$4)+(N(H471)&gt;=1))&amp;"/4"</f>
        <v>/4</v>
      </c>
      <c r="K471" s="14"/>
    </row>
    <row r="472" customFormat="false" ht="15" hidden="false" customHeight="false" outlineLevel="0" collapsed="false">
      <c r="A472" s="13"/>
      <c r="B472" s="14"/>
      <c r="C472" s="15"/>
      <c r="D472" s="15"/>
      <c r="E472" s="15"/>
      <c r="F472" s="15"/>
      <c r="G472" s="15"/>
      <c r="H472" s="16" t="str">
        <f aca="false">IF(OR(F472="",F472=0),IF(G472="","",1),MIN(1,G472/F472))</f>
        <v/>
      </c>
      <c r="I472" s="15"/>
      <c r="J472" s="17" t="str">
        <f aca="false">IF(C472="","",(C472&gt;=Targets!$B$2)+(D472&gt;=Targets!$B$3)+(E472&gt;=Targets!$B$4)+(N(H472)&gt;=1))&amp;"/4"</f>
        <v>/4</v>
      </c>
      <c r="K472" s="14"/>
    </row>
    <row r="473" customFormat="false" ht="15" hidden="false" customHeight="false" outlineLevel="0" collapsed="false">
      <c r="A473" s="13"/>
      <c r="B473" s="14"/>
      <c r="C473" s="15"/>
      <c r="D473" s="15"/>
      <c r="E473" s="15"/>
      <c r="F473" s="15"/>
      <c r="G473" s="15"/>
      <c r="H473" s="16" t="str">
        <f aca="false">IF(OR(F473="",F473=0),IF(G473="","",1),MIN(1,G473/F473))</f>
        <v/>
      </c>
      <c r="I473" s="15"/>
      <c r="J473" s="17" t="str">
        <f aca="false">IF(C473="","",(C473&gt;=Targets!$B$2)+(D473&gt;=Targets!$B$3)+(E473&gt;=Targets!$B$4)+(N(H473)&gt;=1))&amp;"/4"</f>
        <v>/4</v>
      </c>
      <c r="K473" s="14"/>
    </row>
    <row r="474" customFormat="false" ht="15" hidden="false" customHeight="false" outlineLevel="0" collapsed="false">
      <c r="A474" s="13"/>
      <c r="B474" s="14"/>
      <c r="C474" s="15"/>
      <c r="D474" s="15"/>
      <c r="E474" s="15"/>
      <c r="F474" s="15"/>
      <c r="G474" s="15"/>
      <c r="H474" s="16" t="str">
        <f aca="false">IF(OR(F474="",F474=0),IF(G474="","",1),MIN(1,G474/F474))</f>
        <v/>
      </c>
      <c r="I474" s="15"/>
      <c r="J474" s="17" t="str">
        <f aca="false">IF(C474="","",(C474&gt;=Targets!$B$2)+(D474&gt;=Targets!$B$3)+(E474&gt;=Targets!$B$4)+(N(H474)&gt;=1))&amp;"/4"</f>
        <v>/4</v>
      </c>
      <c r="K474" s="14"/>
    </row>
    <row r="475" customFormat="false" ht="15" hidden="false" customHeight="false" outlineLevel="0" collapsed="false">
      <c r="A475" s="13"/>
      <c r="B475" s="14"/>
      <c r="C475" s="15"/>
      <c r="D475" s="15"/>
      <c r="E475" s="15"/>
      <c r="F475" s="15"/>
      <c r="G475" s="15"/>
      <c r="H475" s="16" t="str">
        <f aca="false">IF(OR(F475="",F475=0),IF(G475="","",1),MIN(1,G475/F475))</f>
        <v/>
      </c>
      <c r="I475" s="15"/>
      <c r="J475" s="17" t="str">
        <f aca="false">IF(C475="","",(C475&gt;=Targets!$B$2)+(D475&gt;=Targets!$B$3)+(E475&gt;=Targets!$B$4)+(N(H475)&gt;=1))&amp;"/4"</f>
        <v>/4</v>
      </c>
      <c r="K475" s="14"/>
    </row>
    <row r="476" customFormat="false" ht="15" hidden="false" customHeight="false" outlineLevel="0" collapsed="false">
      <c r="A476" s="13"/>
      <c r="B476" s="14"/>
      <c r="C476" s="15"/>
      <c r="D476" s="15"/>
      <c r="E476" s="15"/>
      <c r="F476" s="15"/>
      <c r="G476" s="15"/>
      <c r="H476" s="16" t="str">
        <f aca="false">IF(OR(F476="",F476=0),IF(G476="","",1),MIN(1,G476/F476))</f>
        <v/>
      </c>
      <c r="I476" s="15"/>
      <c r="J476" s="17" t="str">
        <f aca="false">IF(C476="","",(C476&gt;=Targets!$B$2)+(D476&gt;=Targets!$B$3)+(E476&gt;=Targets!$B$4)+(N(H476)&gt;=1))&amp;"/4"</f>
        <v>/4</v>
      </c>
      <c r="K476" s="14"/>
    </row>
    <row r="477" customFormat="false" ht="15" hidden="false" customHeight="false" outlineLevel="0" collapsed="false">
      <c r="A477" s="13"/>
      <c r="B477" s="14"/>
      <c r="C477" s="15"/>
      <c r="D477" s="15"/>
      <c r="E477" s="15"/>
      <c r="F477" s="15"/>
      <c r="G477" s="15"/>
      <c r="H477" s="16" t="str">
        <f aca="false">IF(OR(F477="",F477=0),IF(G477="","",1),MIN(1,G477/F477))</f>
        <v/>
      </c>
      <c r="I477" s="15"/>
      <c r="J477" s="17" t="str">
        <f aca="false">IF(C477="","",(C477&gt;=Targets!$B$2)+(D477&gt;=Targets!$B$3)+(E477&gt;=Targets!$B$4)+(N(H477)&gt;=1))&amp;"/4"</f>
        <v>/4</v>
      </c>
      <c r="K477" s="14"/>
    </row>
    <row r="478" customFormat="false" ht="15" hidden="false" customHeight="false" outlineLevel="0" collapsed="false">
      <c r="A478" s="13"/>
      <c r="B478" s="14"/>
      <c r="C478" s="15"/>
      <c r="D478" s="15"/>
      <c r="E478" s="15"/>
      <c r="F478" s="15"/>
      <c r="G478" s="15"/>
      <c r="H478" s="16" t="str">
        <f aca="false">IF(OR(F478="",F478=0),IF(G478="","",1),MIN(1,G478/F478))</f>
        <v/>
      </c>
      <c r="I478" s="15"/>
      <c r="J478" s="17" t="str">
        <f aca="false">IF(C478="","",(C478&gt;=Targets!$B$2)+(D478&gt;=Targets!$B$3)+(E478&gt;=Targets!$B$4)+(N(H478)&gt;=1))&amp;"/4"</f>
        <v>/4</v>
      </c>
      <c r="K478" s="14"/>
    </row>
    <row r="479" customFormat="false" ht="15" hidden="false" customHeight="false" outlineLevel="0" collapsed="false">
      <c r="A479" s="13"/>
      <c r="B479" s="14"/>
      <c r="C479" s="15"/>
      <c r="D479" s="15"/>
      <c r="E479" s="15"/>
      <c r="F479" s="15"/>
      <c r="G479" s="15"/>
      <c r="H479" s="16" t="str">
        <f aca="false">IF(OR(F479="",F479=0),IF(G479="","",1),MIN(1,G479/F479))</f>
        <v/>
      </c>
      <c r="I479" s="15"/>
      <c r="J479" s="17" t="str">
        <f aca="false">IF(C479="","",(C479&gt;=Targets!$B$2)+(D479&gt;=Targets!$B$3)+(E479&gt;=Targets!$B$4)+(N(H479)&gt;=1))&amp;"/4"</f>
        <v>/4</v>
      </c>
      <c r="K479" s="14"/>
    </row>
    <row r="480" customFormat="false" ht="15" hidden="false" customHeight="false" outlineLevel="0" collapsed="false">
      <c r="A480" s="13"/>
      <c r="B480" s="14"/>
      <c r="C480" s="15"/>
      <c r="D480" s="15"/>
      <c r="E480" s="15"/>
      <c r="F480" s="15"/>
      <c r="G480" s="15"/>
      <c r="H480" s="16" t="str">
        <f aca="false">IF(OR(F480="",F480=0),IF(G480="","",1),MIN(1,G480/F480))</f>
        <v/>
      </c>
      <c r="I480" s="15"/>
      <c r="J480" s="17" t="str">
        <f aca="false">IF(C480="","",(C480&gt;=Targets!$B$2)+(D480&gt;=Targets!$B$3)+(E480&gt;=Targets!$B$4)+(N(H480)&gt;=1))&amp;"/4"</f>
        <v>/4</v>
      </c>
      <c r="K480" s="14"/>
    </row>
    <row r="481" customFormat="false" ht="15" hidden="false" customHeight="false" outlineLevel="0" collapsed="false">
      <c r="A481" s="13"/>
      <c r="B481" s="14"/>
      <c r="C481" s="15"/>
      <c r="D481" s="15"/>
      <c r="E481" s="15"/>
      <c r="F481" s="15"/>
      <c r="G481" s="15"/>
      <c r="H481" s="16" t="str">
        <f aca="false">IF(OR(F481="",F481=0),IF(G481="","",1),MIN(1,G481/F481))</f>
        <v/>
      </c>
      <c r="I481" s="15"/>
      <c r="J481" s="17" t="str">
        <f aca="false">IF(C481="","",(C481&gt;=Targets!$B$2)+(D481&gt;=Targets!$B$3)+(E481&gt;=Targets!$B$4)+(N(H481)&gt;=1))&amp;"/4"</f>
        <v>/4</v>
      </c>
      <c r="K481" s="14"/>
    </row>
    <row r="482" customFormat="false" ht="15" hidden="false" customHeight="false" outlineLevel="0" collapsed="false">
      <c r="A482" s="13"/>
      <c r="B482" s="14"/>
      <c r="C482" s="15"/>
      <c r="D482" s="15"/>
      <c r="E482" s="15"/>
      <c r="F482" s="15"/>
      <c r="G482" s="15"/>
      <c r="H482" s="16" t="str">
        <f aca="false">IF(OR(F482="",F482=0),IF(G482="","",1),MIN(1,G482/F482))</f>
        <v/>
      </c>
      <c r="I482" s="15"/>
      <c r="J482" s="17" t="str">
        <f aca="false">IF(C482="","",(C482&gt;=Targets!$B$2)+(D482&gt;=Targets!$B$3)+(E482&gt;=Targets!$B$4)+(N(H482)&gt;=1))&amp;"/4"</f>
        <v>/4</v>
      </c>
      <c r="K482" s="14"/>
    </row>
    <row r="483" customFormat="false" ht="15" hidden="false" customHeight="false" outlineLevel="0" collapsed="false">
      <c r="A483" s="13"/>
      <c r="B483" s="14"/>
      <c r="C483" s="15"/>
      <c r="D483" s="15"/>
      <c r="E483" s="15"/>
      <c r="F483" s="15"/>
      <c r="G483" s="15"/>
      <c r="H483" s="16" t="str">
        <f aca="false">IF(OR(F483="",F483=0),IF(G483="","",1),MIN(1,G483/F483))</f>
        <v/>
      </c>
      <c r="I483" s="15"/>
      <c r="J483" s="17" t="str">
        <f aca="false">IF(C483="","",(C483&gt;=Targets!$B$2)+(D483&gt;=Targets!$B$3)+(E483&gt;=Targets!$B$4)+(N(H483)&gt;=1))&amp;"/4"</f>
        <v>/4</v>
      </c>
      <c r="K483" s="14"/>
    </row>
    <row r="484" customFormat="false" ht="15" hidden="false" customHeight="false" outlineLevel="0" collapsed="false">
      <c r="A484" s="13"/>
      <c r="B484" s="14"/>
      <c r="C484" s="15"/>
      <c r="D484" s="15"/>
      <c r="E484" s="15"/>
      <c r="F484" s="15"/>
      <c r="G484" s="15"/>
      <c r="H484" s="16" t="str">
        <f aca="false">IF(OR(F484="",F484=0),IF(G484="","",1),MIN(1,G484/F484))</f>
        <v/>
      </c>
      <c r="I484" s="15"/>
      <c r="J484" s="17" t="str">
        <f aca="false">IF(C484="","",(C484&gt;=Targets!$B$2)+(D484&gt;=Targets!$B$3)+(E484&gt;=Targets!$B$4)+(N(H484)&gt;=1))&amp;"/4"</f>
        <v>/4</v>
      </c>
      <c r="K484" s="14"/>
    </row>
    <row r="485" customFormat="false" ht="15" hidden="false" customHeight="false" outlineLevel="0" collapsed="false">
      <c r="A485" s="13"/>
      <c r="B485" s="14"/>
      <c r="C485" s="15"/>
      <c r="D485" s="15"/>
      <c r="E485" s="15"/>
      <c r="F485" s="15"/>
      <c r="G485" s="15"/>
      <c r="H485" s="16" t="str">
        <f aca="false">IF(OR(F485="",F485=0),IF(G485="","",1),MIN(1,G485/F485))</f>
        <v/>
      </c>
      <c r="I485" s="15"/>
      <c r="J485" s="17" t="str">
        <f aca="false">IF(C485="","",(C485&gt;=Targets!$B$2)+(D485&gt;=Targets!$B$3)+(E485&gt;=Targets!$B$4)+(N(H485)&gt;=1))&amp;"/4"</f>
        <v>/4</v>
      </c>
      <c r="K485" s="14"/>
    </row>
    <row r="486" customFormat="false" ht="15" hidden="false" customHeight="false" outlineLevel="0" collapsed="false">
      <c r="A486" s="13"/>
      <c r="B486" s="14"/>
      <c r="C486" s="15"/>
      <c r="D486" s="15"/>
      <c r="E486" s="15"/>
      <c r="F486" s="15"/>
      <c r="G486" s="15"/>
      <c r="H486" s="16" t="str">
        <f aca="false">IF(OR(F486="",F486=0),IF(G486="","",1),MIN(1,G486/F486))</f>
        <v/>
      </c>
      <c r="I486" s="15"/>
      <c r="J486" s="17" t="str">
        <f aca="false">IF(C486="","",(C486&gt;=Targets!$B$2)+(D486&gt;=Targets!$B$3)+(E486&gt;=Targets!$B$4)+(N(H486)&gt;=1))&amp;"/4"</f>
        <v>/4</v>
      </c>
      <c r="K486" s="14"/>
    </row>
    <row r="487" customFormat="false" ht="15" hidden="false" customHeight="false" outlineLevel="0" collapsed="false">
      <c r="A487" s="13"/>
      <c r="B487" s="14"/>
      <c r="C487" s="15"/>
      <c r="D487" s="15"/>
      <c r="E487" s="15"/>
      <c r="F487" s="15"/>
      <c r="G487" s="15"/>
      <c r="H487" s="16" t="str">
        <f aca="false">IF(OR(F487="",F487=0),IF(G487="","",1),MIN(1,G487/F487))</f>
        <v/>
      </c>
      <c r="I487" s="15"/>
      <c r="J487" s="17" t="str">
        <f aca="false">IF(C487="","",(C487&gt;=Targets!$B$2)+(D487&gt;=Targets!$B$3)+(E487&gt;=Targets!$B$4)+(N(H487)&gt;=1))&amp;"/4"</f>
        <v>/4</v>
      </c>
      <c r="K487" s="14"/>
    </row>
    <row r="488" customFormat="false" ht="15" hidden="false" customHeight="false" outlineLevel="0" collapsed="false">
      <c r="A488" s="13"/>
      <c r="B488" s="14"/>
      <c r="C488" s="15"/>
      <c r="D488" s="15"/>
      <c r="E488" s="15"/>
      <c r="F488" s="15"/>
      <c r="G488" s="15"/>
      <c r="H488" s="16" t="str">
        <f aca="false">IF(OR(F488="",F488=0),IF(G488="","",1),MIN(1,G488/F488))</f>
        <v/>
      </c>
      <c r="I488" s="15"/>
      <c r="J488" s="17" t="str">
        <f aca="false">IF(C488="","",(C488&gt;=Targets!$B$2)+(D488&gt;=Targets!$B$3)+(E488&gt;=Targets!$B$4)+(N(H488)&gt;=1))&amp;"/4"</f>
        <v>/4</v>
      </c>
      <c r="K488" s="14"/>
    </row>
    <row r="489" customFormat="false" ht="15" hidden="false" customHeight="false" outlineLevel="0" collapsed="false">
      <c r="A489" s="13"/>
      <c r="B489" s="14"/>
      <c r="C489" s="15"/>
      <c r="D489" s="15"/>
      <c r="E489" s="15"/>
      <c r="F489" s="15"/>
      <c r="G489" s="15"/>
      <c r="H489" s="16" t="str">
        <f aca="false">IF(OR(F489="",F489=0),IF(G489="","",1),MIN(1,G489/F489))</f>
        <v/>
      </c>
      <c r="I489" s="15"/>
      <c r="J489" s="17" t="str">
        <f aca="false">IF(C489="","",(C489&gt;=Targets!$B$2)+(D489&gt;=Targets!$B$3)+(E489&gt;=Targets!$B$4)+(N(H489)&gt;=1))&amp;"/4"</f>
        <v>/4</v>
      </c>
      <c r="K489" s="14"/>
    </row>
    <row r="490" customFormat="false" ht="15" hidden="false" customHeight="false" outlineLevel="0" collapsed="false">
      <c r="A490" s="13"/>
      <c r="B490" s="14"/>
      <c r="C490" s="15"/>
      <c r="D490" s="15"/>
      <c r="E490" s="15"/>
      <c r="F490" s="15"/>
      <c r="G490" s="15"/>
      <c r="H490" s="16" t="str">
        <f aca="false">IF(OR(F490="",F490=0),IF(G490="","",1),MIN(1,G490/F490))</f>
        <v/>
      </c>
      <c r="I490" s="15"/>
      <c r="J490" s="17" t="str">
        <f aca="false">IF(C490="","",(C490&gt;=Targets!$B$2)+(D490&gt;=Targets!$B$3)+(E490&gt;=Targets!$B$4)+(N(H490)&gt;=1))&amp;"/4"</f>
        <v>/4</v>
      </c>
      <c r="K490" s="14"/>
    </row>
    <row r="491" customFormat="false" ht="15" hidden="false" customHeight="false" outlineLevel="0" collapsed="false">
      <c r="A491" s="13"/>
      <c r="B491" s="14"/>
      <c r="C491" s="15"/>
      <c r="D491" s="15"/>
      <c r="E491" s="15"/>
      <c r="F491" s="15"/>
      <c r="G491" s="15"/>
      <c r="H491" s="16" t="str">
        <f aca="false">IF(OR(F491="",F491=0),IF(G491="","",1),MIN(1,G491/F491))</f>
        <v/>
      </c>
      <c r="I491" s="15"/>
      <c r="J491" s="17" t="str">
        <f aca="false">IF(C491="","",(C491&gt;=Targets!$B$2)+(D491&gt;=Targets!$B$3)+(E491&gt;=Targets!$B$4)+(N(H491)&gt;=1))&amp;"/4"</f>
        <v>/4</v>
      </c>
      <c r="K491" s="14"/>
    </row>
    <row r="492" customFormat="false" ht="15" hidden="false" customHeight="false" outlineLevel="0" collapsed="false">
      <c r="A492" s="13"/>
      <c r="B492" s="14"/>
      <c r="C492" s="15"/>
      <c r="D492" s="15"/>
      <c r="E492" s="15"/>
      <c r="F492" s="15"/>
      <c r="G492" s="15"/>
      <c r="H492" s="16" t="str">
        <f aca="false">IF(OR(F492="",F492=0),IF(G492="","",1),MIN(1,G492/F492))</f>
        <v/>
      </c>
      <c r="I492" s="15"/>
      <c r="J492" s="17" t="str">
        <f aca="false">IF(C492="","",(C492&gt;=Targets!$B$2)+(D492&gt;=Targets!$B$3)+(E492&gt;=Targets!$B$4)+(N(H492)&gt;=1))&amp;"/4"</f>
        <v>/4</v>
      </c>
      <c r="K492" s="14"/>
    </row>
    <row r="493" customFormat="false" ht="15" hidden="false" customHeight="false" outlineLevel="0" collapsed="false">
      <c r="A493" s="13"/>
      <c r="B493" s="14"/>
      <c r="C493" s="15"/>
      <c r="D493" s="15"/>
      <c r="E493" s="15"/>
      <c r="F493" s="15"/>
      <c r="G493" s="15"/>
      <c r="H493" s="16" t="str">
        <f aca="false">IF(OR(F493="",F493=0),IF(G493="","",1),MIN(1,G493/F493))</f>
        <v/>
      </c>
      <c r="I493" s="15"/>
      <c r="J493" s="17" t="str">
        <f aca="false">IF(C493="","",(C493&gt;=Targets!$B$2)+(D493&gt;=Targets!$B$3)+(E493&gt;=Targets!$B$4)+(N(H493)&gt;=1))&amp;"/4"</f>
        <v>/4</v>
      </c>
      <c r="K493" s="14"/>
    </row>
    <row r="494" customFormat="false" ht="15" hidden="false" customHeight="false" outlineLevel="0" collapsed="false">
      <c r="A494" s="13"/>
      <c r="B494" s="14"/>
      <c r="C494" s="15"/>
      <c r="D494" s="15"/>
      <c r="E494" s="15"/>
      <c r="F494" s="15"/>
      <c r="G494" s="15"/>
      <c r="H494" s="16" t="str">
        <f aca="false">IF(OR(F494="",F494=0),IF(G494="","",1),MIN(1,G494/F494))</f>
        <v/>
      </c>
      <c r="I494" s="15"/>
      <c r="J494" s="17" t="str">
        <f aca="false">IF(C494="","",(C494&gt;=Targets!$B$2)+(D494&gt;=Targets!$B$3)+(E494&gt;=Targets!$B$4)+(N(H494)&gt;=1))&amp;"/4"</f>
        <v>/4</v>
      </c>
      <c r="K494" s="14"/>
    </row>
    <row r="495" customFormat="false" ht="15" hidden="false" customHeight="false" outlineLevel="0" collapsed="false">
      <c r="A495" s="13"/>
      <c r="B495" s="14"/>
      <c r="C495" s="15"/>
      <c r="D495" s="15"/>
      <c r="E495" s="15"/>
      <c r="F495" s="15"/>
      <c r="G495" s="15"/>
      <c r="H495" s="16" t="str">
        <f aca="false">IF(OR(F495="",F495=0),IF(G495="","",1),MIN(1,G495/F495))</f>
        <v/>
      </c>
      <c r="I495" s="15"/>
      <c r="J495" s="17" t="str">
        <f aca="false">IF(C495="","",(C495&gt;=Targets!$B$2)+(D495&gt;=Targets!$B$3)+(E495&gt;=Targets!$B$4)+(N(H495)&gt;=1))&amp;"/4"</f>
        <v>/4</v>
      </c>
      <c r="K495" s="14"/>
    </row>
    <row r="496" customFormat="false" ht="15" hidden="false" customHeight="false" outlineLevel="0" collapsed="false">
      <c r="A496" s="13"/>
      <c r="B496" s="14"/>
      <c r="C496" s="15"/>
      <c r="D496" s="15"/>
      <c r="E496" s="15"/>
      <c r="F496" s="15"/>
      <c r="G496" s="15"/>
      <c r="H496" s="16" t="str">
        <f aca="false">IF(OR(F496="",F496=0),IF(G496="","",1),MIN(1,G496/F496))</f>
        <v/>
      </c>
      <c r="I496" s="15"/>
      <c r="J496" s="17" t="str">
        <f aca="false">IF(C496="","",(C496&gt;=Targets!$B$2)+(D496&gt;=Targets!$B$3)+(E496&gt;=Targets!$B$4)+(N(H496)&gt;=1))&amp;"/4"</f>
        <v>/4</v>
      </c>
      <c r="K496" s="14"/>
    </row>
    <row r="497" customFormat="false" ht="15" hidden="false" customHeight="false" outlineLevel="0" collapsed="false">
      <c r="A497" s="13"/>
      <c r="B497" s="14"/>
      <c r="C497" s="15"/>
      <c r="D497" s="15"/>
      <c r="E497" s="15"/>
      <c r="F497" s="15"/>
      <c r="G497" s="15"/>
      <c r="H497" s="16" t="str">
        <f aca="false">IF(OR(F497="",F497=0),IF(G497="","",1),MIN(1,G497/F497))</f>
        <v/>
      </c>
      <c r="I497" s="15"/>
      <c r="J497" s="17" t="str">
        <f aca="false">IF(C497="","",(C497&gt;=Targets!$B$2)+(D497&gt;=Targets!$B$3)+(E497&gt;=Targets!$B$4)+(N(H497)&gt;=1))&amp;"/4"</f>
        <v>/4</v>
      </c>
      <c r="K497" s="14"/>
    </row>
    <row r="498" customFormat="false" ht="15" hidden="false" customHeight="false" outlineLevel="0" collapsed="false">
      <c r="A498" s="13"/>
      <c r="B498" s="14"/>
      <c r="C498" s="15"/>
      <c r="D498" s="15"/>
      <c r="E498" s="15"/>
      <c r="F498" s="15"/>
      <c r="G498" s="15"/>
      <c r="H498" s="16" t="str">
        <f aca="false">IF(OR(F498="",F498=0),IF(G498="","",1),MIN(1,G498/F498))</f>
        <v/>
      </c>
      <c r="I498" s="15"/>
      <c r="J498" s="17" t="str">
        <f aca="false">IF(C498="","",(C498&gt;=Targets!$B$2)+(D498&gt;=Targets!$B$3)+(E498&gt;=Targets!$B$4)+(N(H498)&gt;=1))&amp;"/4"</f>
        <v>/4</v>
      </c>
      <c r="K498" s="14"/>
    </row>
    <row r="499" customFormat="false" ht="15" hidden="false" customHeight="false" outlineLevel="0" collapsed="false">
      <c r="A499" s="13"/>
      <c r="B499" s="14"/>
      <c r="C499" s="15"/>
      <c r="D499" s="15"/>
      <c r="E499" s="15"/>
      <c r="F499" s="15"/>
      <c r="G499" s="15"/>
      <c r="H499" s="16" t="str">
        <f aca="false">IF(OR(F499="",F499=0),IF(G499="","",1),MIN(1,G499/F499))</f>
        <v/>
      </c>
      <c r="I499" s="15"/>
      <c r="J499" s="17" t="str">
        <f aca="false">IF(C499="","",(C499&gt;=Targets!$B$2)+(D499&gt;=Targets!$B$3)+(E499&gt;=Targets!$B$4)+(N(H499)&gt;=1))&amp;"/4"</f>
        <v>/4</v>
      </c>
      <c r="K499" s="14"/>
    </row>
    <row r="500" customFormat="false" ht="15" hidden="false" customHeight="false" outlineLevel="0" collapsed="false">
      <c r="A500" s="13"/>
      <c r="B500" s="14"/>
      <c r="C500" s="15"/>
      <c r="D500" s="15"/>
      <c r="E500" s="15"/>
      <c r="F500" s="15"/>
      <c r="G500" s="15"/>
      <c r="H500" s="16" t="str">
        <f aca="false">IF(OR(F500="",F500=0),IF(G500="","",1),MIN(1,G500/F500))</f>
        <v/>
      </c>
      <c r="I500" s="15"/>
      <c r="J500" s="17" t="str">
        <f aca="false">IF(C500="","",(C500&gt;=Targets!$B$2)+(D500&gt;=Targets!$B$3)+(E500&gt;=Targets!$B$4)+(N(H500)&gt;=1))&amp;"/4"</f>
        <v>/4</v>
      </c>
      <c r="K500" s="14"/>
    </row>
    <row r="501" customFormat="false" ht="15" hidden="false" customHeight="false" outlineLevel="0" collapsed="false">
      <c r="A501" s="13"/>
      <c r="B501" s="14"/>
      <c r="C501" s="15"/>
      <c r="D501" s="15"/>
      <c r="E501" s="15"/>
      <c r="F501" s="15"/>
      <c r="G501" s="15"/>
      <c r="H501" s="16" t="str">
        <f aca="false">IF(OR(F501="",F501=0),IF(G501="","",1),MIN(1,G501/F501))</f>
        <v/>
      </c>
      <c r="I501" s="15"/>
      <c r="J501" s="17" t="str">
        <f aca="false">IF(C501="","",(C501&gt;=Targets!$B$2)+(D501&gt;=Targets!$B$3)+(E501&gt;=Targets!$B$4)+(N(H501)&gt;=1))&amp;"/4"</f>
        <v>/4</v>
      </c>
      <c r="K501" s="14"/>
    </row>
    <row r="502" customFormat="false" ht="15" hidden="false" customHeight="false" outlineLevel="0" collapsed="false">
      <c r="A502" s="13"/>
      <c r="B502" s="14"/>
      <c r="C502" s="15"/>
      <c r="D502" s="15"/>
      <c r="E502" s="15"/>
      <c r="F502" s="15"/>
      <c r="G502" s="15"/>
      <c r="H502" s="16" t="str">
        <f aca="false">IF(OR(F502="",F502=0),IF(G502="","",1),MIN(1,G502/F502))</f>
        <v/>
      </c>
      <c r="I502" s="15"/>
      <c r="J502" s="17" t="str">
        <f aca="false">IF(C502="","",(C502&gt;=Targets!$B$2)+(D502&gt;=Targets!$B$3)+(E502&gt;=Targets!$B$4)+(N(H502)&gt;=1))&amp;"/4"</f>
        <v>/4</v>
      </c>
      <c r="K502" s="14"/>
    </row>
    <row r="503" customFormat="false" ht="15" hidden="false" customHeight="false" outlineLevel="0" collapsed="false">
      <c r="A503" s="13"/>
      <c r="B503" s="14"/>
      <c r="C503" s="15"/>
      <c r="D503" s="15"/>
      <c r="E503" s="15"/>
      <c r="F503" s="15"/>
      <c r="G503" s="15"/>
      <c r="H503" s="16" t="str">
        <f aca="false">IF(OR(F503="",F503=0),IF(G503="","",1),MIN(1,G503/F503))</f>
        <v/>
      </c>
      <c r="I503" s="15"/>
      <c r="J503" s="17" t="str">
        <f aca="false">IF(C503="","",(C503&gt;=Targets!$B$2)+(D503&gt;=Targets!$B$3)+(E503&gt;=Targets!$B$4)+(N(H503)&gt;=1))&amp;"/4"</f>
        <v>/4</v>
      </c>
      <c r="K503" s="14"/>
    </row>
    <row r="504" customFormat="false" ht="15" hidden="false" customHeight="false" outlineLevel="0" collapsed="false">
      <c r="A504" s="13"/>
      <c r="B504" s="14"/>
      <c r="C504" s="15"/>
      <c r="D504" s="15"/>
      <c r="E504" s="15"/>
      <c r="F504" s="15"/>
      <c r="G504" s="15"/>
      <c r="H504" s="16" t="str">
        <f aca="false">IF(OR(F504="",F504=0),IF(G504="","",1),MIN(1,G504/F504))</f>
        <v/>
      </c>
      <c r="I504" s="15"/>
      <c r="J504" s="17" t="str">
        <f aca="false">IF(C504="","",(C504&gt;=Targets!$B$2)+(D504&gt;=Targets!$B$3)+(E504&gt;=Targets!$B$4)+(N(H504)&gt;=1))&amp;"/4"</f>
        <v>/4</v>
      </c>
      <c r="K504" s="14"/>
    </row>
    <row r="505" customFormat="false" ht="15" hidden="false" customHeight="false" outlineLevel="0" collapsed="false">
      <c r="A505" s="13"/>
      <c r="B505" s="14"/>
      <c r="C505" s="15"/>
      <c r="D505" s="15"/>
      <c r="E505" s="15"/>
      <c r="F505" s="15"/>
      <c r="G505" s="15"/>
      <c r="H505" s="16" t="str">
        <f aca="false">IF(OR(F505="",F505=0),IF(G505="","",1),MIN(1,G505/F505))</f>
        <v/>
      </c>
      <c r="I505" s="15"/>
      <c r="J505" s="17" t="str">
        <f aca="false">IF(C505="","",(C505&gt;=Targets!$B$2)+(D505&gt;=Targets!$B$3)+(E505&gt;=Targets!$B$4)+(N(H505)&gt;=1))&amp;"/4"</f>
        <v>/4</v>
      </c>
      <c r="K505" s="14"/>
    </row>
    <row r="506" customFormat="false" ht="15" hidden="false" customHeight="false" outlineLevel="0" collapsed="false">
      <c r="A506" s="13"/>
      <c r="B506" s="14"/>
      <c r="C506" s="15"/>
      <c r="D506" s="15"/>
      <c r="E506" s="15"/>
      <c r="F506" s="15"/>
      <c r="G506" s="15"/>
      <c r="H506" s="16" t="str">
        <f aca="false">IF(OR(F506="",F506=0),IF(G506="","",1),MIN(1,G506/F506))</f>
        <v/>
      </c>
      <c r="I506" s="15"/>
      <c r="J506" s="17" t="str">
        <f aca="false">IF(C506="","",(C506&gt;=Targets!$B$2)+(D506&gt;=Targets!$B$3)+(E506&gt;=Targets!$B$4)+(N(H506)&gt;=1))&amp;"/4"</f>
        <v>/4</v>
      </c>
      <c r="K506" s="14"/>
    </row>
    <row r="507" customFormat="false" ht="15" hidden="false" customHeight="false" outlineLevel="0" collapsed="false">
      <c r="A507" s="13"/>
      <c r="B507" s="14"/>
      <c r="C507" s="15"/>
      <c r="D507" s="15"/>
      <c r="E507" s="15"/>
      <c r="F507" s="15"/>
      <c r="G507" s="15"/>
      <c r="H507" s="16" t="str">
        <f aca="false">IF(OR(F507="",F507=0),IF(G507="","",1),MIN(1,G507/F507))</f>
        <v/>
      </c>
      <c r="I507" s="15"/>
      <c r="J507" s="17" t="str">
        <f aca="false">IF(C507="","",(C507&gt;=Targets!$B$2)+(D507&gt;=Targets!$B$3)+(E507&gt;=Targets!$B$4)+(N(H507)&gt;=1))&amp;"/4"</f>
        <v>/4</v>
      </c>
      <c r="K507" s="14"/>
    </row>
    <row r="508" customFormat="false" ht="15" hidden="false" customHeight="false" outlineLevel="0" collapsed="false">
      <c r="A508" s="13"/>
      <c r="B508" s="14"/>
      <c r="C508" s="15"/>
      <c r="D508" s="15"/>
      <c r="E508" s="15"/>
      <c r="F508" s="15"/>
      <c r="G508" s="15"/>
      <c r="H508" s="16" t="str">
        <f aca="false">IF(OR(F508="",F508=0),IF(G508="","",1),MIN(1,G508/F508))</f>
        <v/>
      </c>
      <c r="I508" s="15"/>
      <c r="J508" s="17" t="str">
        <f aca="false">IF(C508="","",(C508&gt;=Targets!$B$2)+(D508&gt;=Targets!$B$3)+(E508&gt;=Targets!$B$4)+(N(H508)&gt;=1))&amp;"/4"</f>
        <v>/4</v>
      </c>
      <c r="K508" s="14"/>
    </row>
    <row r="509" customFormat="false" ht="15" hidden="false" customHeight="false" outlineLevel="0" collapsed="false">
      <c r="A509" s="13"/>
      <c r="B509" s="14"/>
      <c r="C509" s="15"/>
      <c r="D509" s="15"/>
      <c r="E509" s="15"/>
      <c r="F509" s="15"/>
      <c r="G509" s="15"/>
      <c r="H509" s="16" t="str">
        <f aca="false">IF(OR(F509="",F509=0),IF(G509="","",1),MIN(1,G509/F509))</f>
        <v/>
      </c>
      <c r="I509" s="15"/>
      <c r="J509" s="17" t="str">
        <f aca="false">IF(C509="","",(C509&gt;=Targets!$B$2)+(D509&gt;=Targets!$B$3)+(E509&gt;=Targets!$B$4)+(N(H509)&gt;=1))&amp;"/4"</f>
        <v>/4</v>
      </c>
      <c r="K509" s="14"/>
    </row>
    <row r="510" customFormat="false" ht="15" hidden="false" customHeight="false" outlineLevel="0" collapsed="false">
      <c r="A510" s="13"/>
      <c r="B510" s="14"/>
      <c r="C510" s="15"/>
      <c r="D510" s="15"/>
      <c r="E510" s="15"/>
      <c r="F510" s="15"/>
      <c r="G510" s="15"/>
      <c r="H510" s="16" t="str">
        <f aca="false">IF(OR(F510="",F510=0),IF(G510="","",1),MIN(1,G510/F510))</f>
        <v/>
      </c>
      <c r="I510" s="15"/>
      <c r="J510" s="17" t="str">
        <f aca="false">IF(C510="","",(C510&gt;=Targets!$B$2)+(D510&gt;=Targets!$B$3)+(E510&gt;=Targets!$B$4)+(N(H510)&gt;=1))&amp;"/4"</f>
        <v>/4</v>
      </c>
      <c r="K510" s="14"/>
    </row>
    <row r="511" customFormat="false" ht="15" hidden="false" customHeight="false" outlineLevel="0" collapsed="false">
      <c r="A511" s="13"/>
      <c r="B511" s="14"/>
      <c r="C511" s="15"/>
      <c r="D511" s="15"/>
      <c r="E511" s="15"/>
      <c r="F511" s="15"/>
      <c r="G511" s="15"/>
      <c r="H511" s="16" t="str">
        <f aca="false">IF(OR(F511="",F511=0),IF(G511="","",1),MIN(1,G511/F511))</f>
        <v/>
      </c>
      <c r="I511" s="15"/>
      <c r="J511" s="17" t="str">
        <f aca="false">IF(C511="","",(C511&gt;=Targets!$B$2)+(D511&gt;=Targets!$B$3)+(E511&gt;=Targets!$B$4)+(N(H511)&gt;=1))&amp;"/4"</f>
        <v>/4</v>
      </c>
      <c r="K511" s="14"/>
    </row>
    <row r="512" customFormat="false" ht="15" hidden="false" customHeight="false" outlineLevel="0" collapsed="false">
      <c r="A512" s="13"/>
      <c r="B512" s="14"/>
      <c r="C512" s="15"/>
      <c r="D512" s="15"/>
      <c r="E512" s="15"/>
      <c r="F512" s="15"/>
      <c r="G512" s="15"/>
      <c r="H512" s="16" t="str">
        <f aca="false">IF(OR(F512="",F512=0),IF(G512="","",1),MIN(1,G512/F512))</f>
        <v/>
      </c>
      <c r="I512" s="15"/>
      <c r="J512" s="17" t="str">
        <f aca="false">IF(C512="","",(C512&gt;=Targets!$B$2)+(D512&gt;=Targets!$B$3)+(E512&gt;=Targets!$B$4)+(N(H512)&gt;=1))&amp;"/4"</f>
        <v>/4</v>
      </c>
      <c r="K512" s="14"/>
    </row>
    <row r="513" customFormat="false" ht="15" hidden="false" customHeight="false" outlineLevel="0" collapsed="false">
      <c r="A513" s="13"/>
      <c r="B513" s="14"/>
      <c r="C513" s="15"/>
      <c r="D513" s="15"/>
      <c r="E513" s="15"/>
      <c r="F513" s="15"/>
      <c r="G513" s="15"/>
      <c r="H513" s="16" t="str">
        <f aca="false">IF(OR(F513="",F513=0),IF(G513="","",1),MIN(1,G513/F513))</f>
        <v/>
      </c>
      <c r="I513" s="15"/>
      <c r="J513" s="17" t="str">
        <f aca="false">IF(C513="","",(C513&gt;=Targets!$B$2)+(D513&gt;=Targets!$B$3)+(E513&gt;=Targets!$B$4)+(N(H513)&gt;=1))&amp;"/4"</f>
        <v>/4</v>
      </c>
      <c r="K513" s="14"/>
    </row>
    <row r="514" customFormat="false" ht="15" hidden="false" customHeight="false" outlineLevel="0" collapsed="false">
      <c r="A514" s="13"/>
      <c r="B514" s="14"/>
      <c r="C514" s="15"/>
      <c r="D514" s="15"/>
      <c r="E514" s="15"/>
      <c r="F514" s="15"/>
      <c r="G514" s="15"/>
      <c r="H514" s="16" t="str">
        <f aca="false">IF(OR(F514="",F514=0),IF(G514="","",1),MIN(1,G514/F514))</f>
        <v/>
      </c>
      <c r="I514" s="15"/>
      <c r="J514" s="17" t="str">
        <f aca="false">IF(C514="","",(C514&gt;=Targets!$B$2)+(D514&gt;=Targets!$B$3)+(E514&gt;=Targets!$B$4)+(N(H514)&gt;=1))&amp;"/4"</f>
        <v>/4</v>
      </c>
      <c r="K514" s="14"/>
    </row>
    <row r="515" customFormat="false" ht="15" hidden="false" customHeight="false" outlineLevel="0" collapsed="false">
      <c r="A515" s="13"/>
      <c r="B515" s="14"/>
      <c r="C515" s="15"/>
      <c r="D515" s="15"/>
      <c r="E515" s="15"/>
      <c r="F515" s="15"/>
      <c r="G515" s="15"/>
      <c r="H515" s="16" t="str">
        <f aca="false">IF(OR(F515="",F515=0),IF(G515="","",1),MIN(1,G515/F515))</f>
        <v/>
      </c>
      <c r="I515" s="15"/>
      <c r="J515" s="17" t="str">
        <f aca="false">IF(C515="","",(C515&gt;=Targets!$B$2)+(D515&gt;=Targets!$B$3)+(E515&gt;=Targets!$B$4)+(N(H515)&gt;=1))&amp;"/4"</f>
        <v>/4</v>
      </c>
      <c r="K515" s="14"/>
    </row>
    <row r="516" customFormat="false" ht="15" hidden="false" customHeight="false" outlineLevel="0" collapsed="false">
      <c r="A516" s="13"/>
      <c r="B516" s="14"/>
      <c r="C516" s="15"/>
      <c r="D516" s="15"/>
      <c r="E516" s="15"/>
      <c r="F516" s="15"/>
      <c r="G516" s="15"/>
      <c r="H516" s="16" t="str">
        <f aca="false">IF(OR(F516="",F516=0),IF(G516="","",1),MIN(1,G516/F516))</f>
        <v/>
      </c>
      <c r="I516" s="15"/>
      <c r="J516" s="17" t="str">
        <f aca="false">IF(C516="","",(C516&gt;=Targets!$B$2)+(D516&gt;=Targets!$B$3)+(E516&gt;=Targets!$B$4)+(N(H516)&gt;=1))&amp;"/4"</f>
        <v>/4</v>
      </c>
      <c r="K516" s="14"/>
    </row>
    <row r="517" customFormat="false" ht="15" hidden="false" customHeight="false" outlineLevel="0" collapsed="false">
      <c r="A517" s="13"/>
      <c r="B517" s="14"/>
      <c r="C517" s="15"/>
      <c r="D517" s="15"/>
      <c r="E517" s="15"/>
      <c r="F517" s="15"/>
      <c r="G517" s="15"/>
      <c r="H517" s="16" t="str">
        <f aca="false">IF(OR(F517="",F517=0),IF(G517="","",1),MIN(1,G517/F517))</f>
        <v/>
      </c>
      <c r="I517" s="15"/>
      <c r="J517" s="17" t="str">
        <f aca="false">IF(C517="","",(C517&gt;=Targets!$B$2)+(D517&gt;=Targets!$B$3)+(E517&gt;=Targets!$B$4)+(N(H517)&gt;=1))&amp;"/4"</f>
        <v>/4</v>
      </c>
      <c r="K517" s="14"/>
    </row>
    <row r="518" customFormat="false" ht="15" hidden="false" customHeight="false" outlineLevel="0" collapsed="false">
      <c r="A518" s="13"/>
      <c r="B518" s="14"/>
      <c r="C518" s="15"/>
      <c r="D518" s="15"/>
      <c r="E518" s="15"/>
      <c r="F518" s="15"/>
      <c r="G518" s="15"/>
      <c r="H518" s="16" t="str">
        <f aca="false">IF(OR(F518="",F518=0),IF(G518="","",1),MIN(1,G518/F518))</f>
        <v/>
      </c>
      <c r="I518" s="15"/>
      <c r="J518" s="17" t="str">
        <f aca="false">IF(C518="","",(C518&gt;=Targets!$B$2)+(D518&gt;=Targets!$B$3)+(E518&gt;=Targets!$B$4)+(N(H518)&gt;=1))&amp;"/4"</f>
        <v>/4</v>
      </c>
      <c r="K518" s="14"/>
    </row>
    <row r="519" customFormat="false" ht="15" hidden="false" customHeight="false" outlineLevel="0" collapsed="false">
      <c r="A519" s="13"/>
      <c r="B519" s="14"/>
      <c r="C519" s="15"/>
      <c r="D519" s="15"/>
      <c r="E519" s="15"/>
      <c r="F519" s="15"/>
      <c r="G519" s="15"/>
      <c r="H519" s="16" t="str">
        <f aca="false">IF(OR(F519="",F519=0),IF(G519="","",1),MIN(1,G519/F519))</f>
        <v/>
      </c>
      <c r="I519" s="15"/>
      <c r="J519" s="17" t="str">
        <f aca="false">IF(C519="","",(C519&gt;=Targets!$B$2)+(D519&gt;=Targets!$B$3)+(E519&gt;=Targets!$B$4)+(N(H519)&gt;=1))&amp;"/4"</f>
        <v>/4</v>
      </c>
      <c r="K519" s="14"/>
    </row>
    <row r="520" customFormat="false" ht="15" hidden="false" customHeight="false" outlineLevel="0" collapsed="false">
      <c r="A520" s="13"/>
      <c r="B520" s="14"/>
      <c r="C520" s="15"/>
      <c r="D520" s="15"/>
      <c r="E520" s="15"/>
      <c r="F520" s="15"/>
      <c r="G520" s="15"/>
      <c r="H520" s="16" t="str">
        <f aca="false">IF(OR(F520="",F520=0),IF(G520="","",1),MIN(1,G520/F520))</f>
        <v/>
      </c>
      <c r="I520" s="15"/>
      <c r="J520" s="17" t="str">
        <f aca="false">IF(C520="","",(C520&gt;=Targets!$B$2)+(D520&gt;=Targets!$B$3)+(E520&gt;=Targets!$B$4)+(N(H520)&gt;=1))&amp;"/4"</f>
        <v>/4</v>
      </c>
      <c r="K520" s="14"/>
    </row>
    <row r="521" customFormat="false" ht="15" hidden="false" customHeight="false" outlineLevel="0" collapsed="false">
      <c r="A521" s="13"/>
      <c r="B521" s="14"/>
      <c r="C521" s="15"/>
      <c r="D521" s="15"/>
      <c r="E521" s="15"/>
      <c r="F521" s="15"/>
      <c r="G521" s="15"/>
      <c r="H521" s="16" t="str">
        <f aca="false">IF(OR(F521="",F521=0),IF(G521="","",1),MIN(1,G521/F521))</f>
        <v/>
      </c>
      <c r="I521" s="15"/>
      <c r="J521" s="17" t="str">
        <f aca="false">IF(C521="","",(C521&gt;=Targets!$B$2)+(D521&gt;=Targets!$B$3)+(E521&gt;=Targets!$B$4)+(N(H521)&gt;=1))&amp;"/4"</f>
        <v>/4</v>
      </c>
      <c r="K521" s="14"/>
    </row>
    <row r="522" customFormat="false" ht="15" hidden="false" customHeight="false" outlineLevel="0" collapsed="false">
      <c r="A522" s="13"/>
      <c r="B522" s="14"/>
      <c r="C522" s="15"/>
      <c r="D522" s="15"/>
      <c r="E522" s="15"/>
      <c r="F522" s="15"/>
      <c r="G522" s="15"/>
      <c r="H522" s="16" t="str">
        <f aca="false">IF(OR(F522="",F522=0),IF(G522="","",1),MIN(1,G522/F522))</f>
        <v/>
      </c>
      <c r="I522" s="15"/>
      <c r="J522" s="17" t="str">
        <f aca="false">IF(C522="","",(C522&gt;=Targets!$B$2)+(D522&gt;=Targets!$B$3)+(E522&gt;=Targets!$B$4)+(N(H522)&gt;=1))&amp;"/4"</f>
        <v>/4</v>
      </c>
      <c r="K522" s="14"/>
    </row>
    <row r="523" customFormat="false" ht="15" hidden="false" customHeight="false" outlineLevel="0" collapsed="false">
      <c r="A523" s="13"/>
      <c r="B523" s="14"/>
      <c r="C523" s="15"/>
      <c r="D523" s="15"/>
      <c r="E523" s="15"/>
      <c r="F523" s="15"/>
      <c r="G523" s="15"/>
      <c r="H523" s="16" t="str">
        <f aca="false">IF(OR(F523="",F523=0),IF(G523="","",1),MIN(1,G523/F523))</f>
        <v/>
      </c>
      <c r="I523" s="15"/>
      <c r="J523" s="17" t="str">
        <f aca="false">IF(C523="","",(C523&gt;=Targets!$B$2)+(D523&gt;=Targets!$B$3)+(E523&gt;=Targets!$B$4)+(N(H523)&gt;=1))&amp;"/4"</f>
        <v>/4</v>
      </c>
      <c r="K523" s="14"/>
    </row>
    <row r="524" customFormat="false" ht="15" hidden="false" customHeight="false" outlineLevel="0" collapsed="false">
      <c r="A524" s="13"/>
      <c r="B524" s="14"/>
      <c r="C524" s="15"/>
      <c r="D524" s="15"/>
      <c r="E524" s="15"/>
      <c r="F524" s="15"/>
      <c r="G524" s="15"/>
      <c r="H524" s="16" t="str">
        <f aca="false">IF(OR(F524="",F524=0),IF(G524="","",1),MIN(1,G524/F524))</f>
        <v/>
      </c>
      <c r="I524" s="15"/>
      <c r="J524" s="17" t="str">
        <f aca="false">IF(C524="","",(C524&gt;=Targets!$B$2)+(D524&gt;=Targets!$B$3)+(E524&gt;=Targets!$B$4)+(N(H524)&gt;=1))&amp;"/4"</f>
        <v>/4</v>
      </c>
      <c r="K524" s="14"/>
    </row>
    <row r="525" customFormat="false" ht="15" hidden="false" customHeight="false" outlineLevel="0" collapsed="false">
      <c r="A525" s="13"/>
      <c r="B525" s="14"/>
      <c r="C525" s="15"/>
      <c r="D525" s="15"/>
      <c r="E525" s="15"/>
      <c r="F525" s="15"/>
      <c r="G525" s="15"/>
      <c r="H525" s="16" t="str">
        <f aca="false">IF(OR(F525="",F525=0),IF(G525="","",1),MIN(1,G525/F525))</f>
        <v/>
      </c>
      <c r="I525" s="15"/>
      <c r="J525" s="17" t="str">
        <f aca="false">IF(C525="","",(C525&gt;=Targets!$B$2)+(D525&gt;=Targets!$B$3)+(E525&gt;=Targets!$B$4)+(N(H525)&gt;=1))&amp;"/4"</f>
        <v>/4</v>
      </c>
      <c r="K525" s="14"/>
    </row>
    <row r="526" customFormat="false" ht="15" hidden="false" customHeight="false" outlineLevel="0" collapsed="false">
      <c r="A526" s="13"/>
      <c r="B526" s="14"/>
      <c r="C526" s="15"/>
      <c r="D526" s="15"/>
      <c r="E526" s="15"/>
      <c r="F526" s="15"/>
      <c r="G526" s="15"/>
      <c r="H526" s="16" t="str">
        <f aca="false">IF(OR(F526="",F526=0),IF(G526="","",1),MIN(1,G526/F526))</f>
        <v/>
      </c>
      <c r="I526" s="15"/>
      <c r="J526" s="17" t="str">
        <f aca="false">IF(C526="","",(C526&gt;=Targets!$B$2)+(D526&gt;=Targets!$B$3)+(E526&gt;=Targets!$B$4)+(N(H526)&gt;=1))&amp;"/4"</f>
        <v>/4</v>
      </c>
      <c r="K526" s="14"/>
    </row>
    <row r="527" customFormat="false" ht="15" hidden="false" customHeight="false" outlineLevel="0" collapsed="false">
      <c r="A527" s="13"/>
      <c r="B527" s="14"/>
      <c r="C527" s="15"/>
      <c r="D527" s="15"/>
      <c r="E527" s="15"/>
      <c r="F527" s="15"/>
      <c r="G527" s="15"/>
      <c r="H527" s="16" t="str">
        <f aca="false">IF(OR(F527="",F527=0),IF(G527="","",1),MIN(1,G527/F527))</f>
        <v/>
      </c>
      <c r="I527" s="15"/>
      <c r="J527" s="17" t="str">
        <f aca="false">IF(C527="","",(C527&gt;=Targets!$B$2)+(D527&gt;=Targets!$B$3)+(E527&gt;=Targets!$B$4)+(N(H527)&gt;=1))&amp;"/4"</f>
        <v>/4</v>
      </c>
      <c r="K527" s="14"/>
    </row>
    <row r="528" customFormat="false" ht="15" hidden="false" customHeight="false" outlineLevel="0" collapsed="false">
      <c r="A528" s="13"/>
      <c r="B528" s="14"/>
      <c r="C528" s="15"/>
      <c r="D528" s="15"/>
      <c r="E528" s="15"/>
      <c r="F528" s="15"/>
      <c r="G528" s="15"/>
      <c r="H528" s="16" t="str">
        <f aca="false">IF(OR(F528="",F528=0),IF(G528="","",1),MIN(1,G528/F528))</f>
        <v/>
      </c>
      <c r="I528" s="15"/>
      <c r="J528" s="17" t="str">
        <f aca="false">IF(C528="","",(C528&gt;=Targets!$B$2)+(D528&gt;=Targets!$B$3)+(E528&gt;=Targets!$B$4)+(N(H528)&gt;=1))&amp;"/4"</f>
        <v>/4</v>
      </c>
      <c r="K528" s="14"/>
    </row>
    <row r="529" customFormat="false" ht="15" hidden="false" customHeight="false" outlineLevel="0" collapsed="false">
      <c r="A529" s="13"/>
      <c r="B529" s="14"/>
      <c r="C529" s="15"/>
      <c r="D529" s="15"/>
      <c r="E529" s="15"/>
      <c r="F529" s="15"/>
      <c r="G529" s="15"/>
      <c r="H529" s="16" t="str">
        <f aca="false">IF(OR(F529="",F529=0),IF(G529="","",1),MIN(1,G529/F529))</f>
        <v/>
      </c>
      <c r="I529" s="15"/>
      <c r="J529" s="17" t="str">
        <f aca="false">IF(C529="","",(C529&gt;=Targets!$B$2)+(D529&gt;=Targets!$B$3)+(E529&gt;=Targets!$B$4)+(N(H529)&gt;=1))&amp;"/4"</f>
        <v>/4</v>
      </c>
      <c r="K529" s="14"/>
    </row>
    <row r="530" customFormat="false" ht="15" hidden="false" customHeight="false" outlineLevel="0" collapsed="false">
      <c r="A530" s="13"/>
      <c r="B530" s="14"/>
      <c r="C530" s="15"/>
      <c r="D530" s="15"/>
      <c r="E530" s="15"/>
      <c r="F530" s="15"/>
      <c r="G530" s="15"/>
      <c r="H530" s="16" t="str">
        <f aca="false">IF(OR(F530="",F530=0),IF(G530="","",1),MIN(1,G530/F530))</f>
        <v/>
      </c>
      <c r="I530" s="15"/>
      <c r="J530" s="17" t="str">
        <f aca="false">IF(C530="","",(C530&gt;=Targets!$B$2)+(D530&gt;=Targets!$B$3)+(E530&gt;=Targets!$B$4)+(N(H530)&gt;=1))&amp;"/4"</f>
        <v>/4</v>
      </c>
      <c r="K530" s="14"/>
    </row>
    <row r="531" customFormat="false" ht="15" hidden="false" customHeight="false" outlineLevel="0" collapsed="false">
      <c r="A531" s="13"/>
      <c r="B531" s="14"/>
      <c r="C531" s="15"/>
      <c r="D531" s="15"/>
      <c r="E531" s="15"/>
      <c r="F531" s="15"/>
      <c r="G531" s="15"/>
      <c r="H531" s="16" t="str">
        <f aca="false">IF(OR(F531="",F531=0),IF(G531="","",1),MIN(1,G531/F531))</f>
        <v/>
      </c>
      <c r="I531" s="15"/>
      <c r="J531" s="17" t="str">
        <f aca="false">IF(C531="","",(C531&gt;=Targets!$B$2)+(D531&gt;=Targets!$B$3)+(E531&gt;=Targets!$B$4)+(N(H531)&gt;=1))&amp;"/4"</f>
        <v>/4</v>
      </c>
      <c r="K531" s="14"/>
    </row>
    <row r="532" customFormat="false" ht="15" hidden="false" customHeight="false" outlineLevel="0" collapsed="false">
      <c r="A532" s="13"/>
      <c r="B532" s="14"/>
      <c r="C532" s="15"/>
      <c r="D532" s="15"/>
      <c r="E532" s="15"/>
      <c r="F532" s="15"/>
      <c r="G532" s="15"/>
      <c r="H532" s="16" t="str">
        <f aca="false">IF(OR(F532="",F532=0),IF(G532="","",1),MIN(1,G532/F532))</f>
        <v/>
      </c>
      <c r="I532" s="15"/>
      <c r="J532" s="17" t="str">
        <f aca="false">IF(C532="","",(C532&gt;=Targets!$B$2)+(D532&gt;=Targets!$B$3)+(E532&gt;=Targets!$B$4)+(N(H532)&gt;=1))&amp;"/4"</f>
        <v>/4</v>
      </c>
      <c r="K532" s="14"/>
    </row>
    <row r="533" customFormat="false" ht="15" hidden="false" customHeight="false" outlineLevel="0" collapsed="false">
      <c r="A533" s="13"/>
      <c r="B533" s="14"/>
      <c r="C533" s="15"/>
      <c r="D533" s="15"/>
      <c r="E533" s="15"/>
      <c r="F533" s="15"/>
      <c r="G533" s="15"/>
      <c r="H533" s="16" t="str">
        <f aca="false">IF(OR(F533="",F533=0),IF(G533="","",1),MIN(1,G533/F533))</f>
        <v/>
      </c>
      <c r="I533" s="15"/>
      <c r="J533" s="17" t="str">
        <f aca="false">IF(C533="","",(C533&gt;=Targets!$B$2)+(D533&gt;=Targets!$B$3)+(E533&gt;=Targets!$B$4)+(N(H533)&gt;=1))&amp;"/4"</f>
        <v>/4</v>
      </c>
      <c r="K533" s="14"/>
    </row>
    <row r="534" customFormat="false" ht="15" hidden="false" customHeight="false" outlineLevel="0" collapsed="false">
      <c r="A534" s="13"/>
      <c r="B534" s="14"/>
      <c r="C534" s="15"/>
      <c r="D534" s="15"/>
      <c r="E534" s="15"/>
      <c r="F534" s="15"/>
      <c r="G534" s="15"/>
      <c r="H534" s="16" t="str">
        <f aca="false">IF(OR(F534="",F534=0),IF(G534="","",1),MIN(1,G534/F534))</f>
        <v/>
      </c>
      <c r="I534" s="15"/>
      <c r="J534" s="17" t="str">
        <f aca="false">IF(C534="","",(C534&gt;=Targets!$B$2)+(D534&gt;=Targets!$B$3)+(E534&gt;=Targets!$B$4)+(N(H534)&gt;=1))&amp;"/4"</f>
        <v>/4</v>
      </c>
      <c r="K534" s="14"/>
    </row>
    <row r="535" customFormat="false" ht="15" hidden="false" customHeight="false" outlineLevel="0" collapsed="false">
      <c r="A535" s="13"/>
      <c r="B535" s="14"/>
      <c r="C535" s="15"/>
      <c r="D535" s="15"/>
      <c r="E535" s="15"/>
      <c r="F535" s="15"/>
      <c r="G535" s="15"/>
      <c r="H535" s="16" t="str">
        <f aca="false">IF(OR(F535="",F535=0),IF(G535="","",1),MIN(1,G535/F535))</f>
        <v/>
      </c>
      <c r="I535" s="15"/>
      <c r="J535" s="17" t="str">
        <f aca="false">IF(C535="","",(C535&gt;=Targets!$B$2)+(D535&gt;=Targets!$B$3)+(E535&gt;=Targets!$B$4)+(N(H535)&gt;=1))&amp;"/4"</f>
        <v>/4</v>
      </c>
      <c r="K535" s="14"/>
    </row>
    <row r="536" customFormat="false" ht="15" hidden="false" customHeight="false" outlineLevel="0" collapsed="false">
      <c r="A536" s="13"/>
      <c r="B536" s="14"/>
      <c r="C536" s="15"/>
      <c r="D536" s="15"/>
      <c r="E536" s="15"/>
      <c r="F536" s="15"/>
      <c r="G536" s="15"/>
      <c r="H536" s="16" t="str">
        <f aca="false">IF(OR(F536="",F536=0),IF(G536="","",1),MIN(1,G536/F536))</f>
        <v/>
      </c>
      <c r="I536" s="15"/>
      <c r="J536" s="17" t="str">
        <f aca="false">IF(C536="","",(C536&gt;=Targets!$B$2)+(D536&gt;=Targets!$B$3)+(E536&gt;=Targets!$B$4)+(N(H536)&gt;=1))&amp;"/4"</f>
        <v>/4</v>
      </c>
      <c r="K536" s="14"/>
    </row>
    <row r="537" customFormat="false" ht="15" hidden="false" customHeight="false" outlineLevel="0" collapsed="false">
      <c r="A537" s="13"/>
      <c r="B537" s="14"/>
      <c r="C537" s="15"/>
      <c r="D537" s="15"/>
      <c r="E537" s="15"/>
      <c r="F537" s="15"/>
      <c r="G537" s="15"/>
      <c r="H537" s="16" t="str">
        <f aca="false">IF(OR(F537="",F537=0),IF(G537="","",1),MIN(1,G537/F537))</f>
        <v/>
      </c>
      <c r="I537" s="15"/>
      <c r="J537" s="17" t="str">
        <f aca="false">IF(C537="","",(C537&gt;=Targets!$B$2)+(D537&gt;=Targets!$B$3)+(E537&gt;=Targets!$B$4)+(N(H537)&gt;=1))&amp;"/4"</f>
        <v>/4</v>
      </c>
      <c r="K537" s="14"/>
    </row>
    <row r="538" customFormat="false" ht="15" hidden="false" customHeight="false" outlineLevel="0" collapsed="false">
      <c r="A538" s="13"/>
      <c r="B538" s="14"/>
      <c r="C538" s="15"/>
      <c r="D538" s="15"/>
      <c r="E538" s="15"/>
      <c r="F538" s="15"/>
      <c r="G538" s="15"/>
      <c r="H538" s="16" t="str">
        <f aca="false">IF(OR(F538="",F538=0),IF(G538="","",1),MIN(1,G538/F538))</f>
        <v/>
      </c>
      <c r="I538" s="15"/>
      <c r="J538" s="17" t="str">
        <f aca="false">IF(C538="","",(C538&gt;=Targets!$B$2)+(D538&gt;=Targets!$B$3)+(E538&gt;=Targets!$B$4)+(N(H538)&gt;=1))&amp;"/4"</f>
        <v>/4</v>
      </c>
      <c r="K538" s="14"/>
    </row>
    <row r="539" customFormat="false" ht="15" hidden="false" customHeight="false" outlineLevel="0" collapsed="false">
      <c r="A539" s="13"/>
      <c r="B539" s="14"/>
      <c r="C539" s="15"/>
      <c r="D539" s="15"/>
      <c r="E539" s="15"/>
      <c r="F539" s="15"/>
      <c r="G539" s="15"/>
      <c r="H539" s="16" t="str">
        <f aca="false">IF(OR(F539="",F539=0),IF(G539="","",1),MIN(1,G539/F539))</f>
        <v/>
      </c>
      <c r="I539" s="15"/>
      <c r="J539" s="17" t="str">
        <f aca="false">IF(C539="","",(C539&gt;=Targets!$B$2)+(D539&gt;=Targets!$B$3)+(E539&gt;=Targets!$B$4)+(N(H539)&gt;=1))&amp;"/4"</f>
        <v>/4</v>
      </c>
      <c r="K539" s="14"/>
    </row>
    <row r="540" customFormat="false" ht="15" hidden="false" customHeight="false" outlineLevel="0" collapsed="false">
      <c r="A540" s="13"/>
      <c r="B540" s="14"/>
      <c r="C540" s="15"/>
      <c r="D540" s="15"/>
      <c r="E540" s="15"/>
      <c r="F540" s="15"/>
      <c r="G540" s="15"/>
      <c r="H540" s="16" t="str">
        <f aca="false">IF(OR(F540="",F540=0),IF(G540="","",1),MIN(1,G540/F540))</f>
        <v/>
      </c>
      <c r="I540" s="15"/>
      <c r="J540" s="17" t="str">
        <f aca="false">IF(C540="","",(C540&gt;=Targets!$B$2)+(D540&gt;=Targets!$B$3)+(E540&gt;=Targets!$B$4)+(N(H540)&gt;=1))&amp;"/4"</f>
        <v>/4</v>
      </c>
      <c r="K540" s="14"/>
    </row>
    <row r="541" customFormat="false" ht="15" hidden="false" customHeight="false" outlineLevel="0" collapsed="false">
      <c r="A541" s="13"/>
      <c r="B541" s="14"/>
      <c r="C541" s="15"/>
      <c r="D541" s="15"/>
      <c r="E541" s="15"/>
      <c r="F541" s="15"/>
      <c r="G541" s="15"/>
      <c r="H541" s="16" t="str">
        <f aca="false">IF(OR(F541="",F541=0),IF(G541="","",1),MIN(1,G541/F541))</f>
        <v/>
      </c>
      <c r="I541" s="15"/>
      <c r="J541" s="17" t="str">
        <f aca="false">IF(C541="","",(C541&gt;=Targets!$B$2)+(D541&gt;=Targets!$B$3)+(E541&gt;=Targets!$B$4)+(N(H541)&gt;=1))&amp;"/4"</f>
        <v>/4</v>
      </c>
      <c r="K541" s="14"/>
    </row>
    <row r="542" customFormat="false" ht="15" hidden="false" customHeight="false" outlineLevel="0" collapsed="false">
      <c r="A542" s="13"/>
      <c r="B542" s="14"/>
      <c r="C542" s="15"/>
      <c r="D542" s="15"/>
      <c r="E542" s="15"/>
      <c r="F542" s="15"/>
      <c r="G542" s="15"/>
      <c r="H542" s="16" t="str">
        <f aca="false">IF(OR(F542="",F542=0),IF(G542="","",1),MIN(1,G542/F542))</f>
        <v/>
      </c>
      <c r="I542" s="15"/>
      <c r="J542" s="17" t="str">
        <f aca="false">IF(C542="","",(C542&gt;=Targets!$B$2)+(D542&gt;=Targets!$B$3)+(E542&gt;=Targets!$B$4)+(N(H542)&gt;=1))&amp;"/4"</f>
        <v>/4</v>
      </c>
      <c r="K542" s="14"/>
    </row>
    <row r="543" customFormat="false" ht="15" hidden="false" customHeight="false" outlineLevel="0" collapsed="false">
      <c r="A543" s="13"/>
      <c r="B543" s="14"/>
      <c r="C543" s="15"/>
      <c r="D543" s="15"/>
      <c r="E543" s="15"/>
      <c r="F543" s="15"/>
      <c r="G543" s="15"/>
      <c r="H543" s="16" t="str">
        <f aca="false">IF(OR(F543="",F543=0),IF(G543="","",1),MIN(1,G543/F543))</f>
        <v/>
      </c>
      <c r="I543" s="15"/>
      <c r="J543" s="17" t="str">
        <f aca="false">IF(C543="","",(C543&gt;=Targets!$B$2)+(D543&gt;=Targets!$B$3)+(E543&gt;=Targets!$B$4)+(N(H543)&gt;=1))&amp;"/4"</f>
        <v>/4</v>
      </c>
      <c r="K543" s="14"/>
    </row>
    <row r="544" customFormat="false" ht="15" hidden="false" customHeight="false" outlineLevel="0" collapsed="false">
      <c r="A544" s="13"/>
      <c r="B544" s="14"/>
      <c r="C544" s="15"/>
      <c r="D544" s="15"/>
      <c r="E544" s="15"/>
      <c r="F544" s="15"/>
      <c r="G544" s="15"/>
      <c r="H544" s="16" t="str">
        <f aca="false">IF(OR(F544="",F544=0),IF(G544="","",1),MIN(1,G544/F544))</f>
        <v/>
      </c>
      <c r="I544" s="15"/>
      <c r="J544" s="17" t="str">
        <f aca="false">IF(C544="","",(C544&gt;=Targets!$B$2)+(D544&gt;=Targets!$B$3)+(E544&gt;=Targets!$B$4)+(N(H544)&gt;=1))&amp;"/4"</f>
        <v>/4</v>
      </c>
      <c r="K544" s="14"/>
    </row>
    <row r="545" customFormat="false" ht="15" hidden="false" customHeight="false" outlineLevel="0" collapsed="false">
      <c r="A545" s="13"/>
      <c r="B545" s="14"/>
      <c r="C545" s="15"/>
      <c r="D545" s="15"/>
      <c r="E545" s="15"/>
      <c r="F545" s="15"/>
      <c r="G545" s="15"/>
      <c r="H545" s="16" t="str">
        <f aca="false">IF(OR(F545="",F545=0),IF(G545="","",1),MIN(1,G545/F545))</f>
        <v/>
      </c>
      <c r="I545" s="15"/>
      <c r="J545" s="17" t="str">
        <f aca="false">IF(C545="","",(C545&gt;=Targets!$B$2)+(D545&gt;=Targets!$B$3)+(E545&gt;=Targets!$B$4)+(N(H545)&gt;=1))&amp;"/4"</f>
        <v>/4</v>
      </c>
      <c r="K545" s="14"/>
    </row>
    <row r="546" customFormat="false" ht="15" hidden="false" customHeight="false" outlineLevel="0" collapsed="false">
      <c r="A546" s="13"/>
      <c r="B546" s="14"/>
      <c r="C546" s="15"/>
      <c r="D546" s="15"/>
      <c r="E546" s="15"/>
      <c r="F546" s="15"/>
      <c r="G546" s="15"/>
      <c r="H546" s="16" t="str">
        <f aca="false">IF(OR(F546="",F546=0),IF(G546="","",1),MIN(1,G546/F546))</f>
        <v/>
      </c>
      <c r="I546" s="15"/>
      <c r="J546" s="17" t="str">
        <f aca="false">IF(C546="","",(C546&gt;=Targets!$B$2)+(D546&gt;=Targets!$B$3)+(E546&gt;=Targets!$B$4)+(N(H546)&gt;=1))&amp;"/4"</f>
        <v>/4</v>
      </c>
      <c r="K546" s="14"/>
    </row>
    <row r="547" customFormat="false" ht="15" hidden="false" customHeight="false" outlineLevel="0" collapsed="false">
      <c r="A547" s="13"/>
      <c r="B547" s="14"/>
      <c r="C547" s="15"/>
      <c r="D547" s="15"/>
      <c r="E547" s="15"/>
      <c r="F547" s="15"/>
      <c r="G547" s="15"/>
      <c r="H547" s="16" t="str">
        <f aca="false">IF(OR(F547="",F547=0),IF(G547="","",1),MIN(1,G547/F547))</f>
        <v/>
      </c>
      <c r="I547" s="15"/>
      <c r="J547" s="17" t="str">
        <f aca="false">IF(C547="","",(C547&gt;=Targets!$B$2)+(D547&gt;=Targets!$B$3)+(E547&gt;=Targets!$B$4)+(N(H547)&gt;=1))&amp;"/4"</f>
        <v>/4</v>
      </c>
      <c r="K547" s="14"/>
    </row>
    <row r="548" customFormat="false" ht="15" hidden="false" customHeight="false" outlineLevel="0" collapsed="false">
      <c r="A548" s="13"/>
      <c r="B548" s="14"/>
      <c r="C548" s="15"/>
      <c r="D548" s="15"/>
      <c r="E548" s="15"/>
      <c r="F548" s="15"/>
      <c r="G548" s="15"/>
      <c r="H548" s="16" t="str">
        <f aca="false">IF(OR(F548="",F548=0),IF(G548="","",1),MIN(1,G548/F548))</f>
        <v/>
      </c>
      <c r="I548" s="15"/>
      <c r="J548" s="17" t="str">
        <f aca="false">IF(C548="","",(C548&gt;=Targets!$B$2)+(D548&gt;=Targets!$B$3)+(E548&gt;=Targets!$B$4)+(N(H548)&gt;=1))&amp;"/4"</f>
        <v>/4</v>
      </c>
      <c r="K548" s="14"/>
    </row>
    <row r="549" customFormat="false" ht="15" hidden="false" customHeight="false" outlineLevel="0" collapsed="false">
      <c r="A549" s="13"/>
      <c r="B549" s="14"/>
      <c r="C549" s="15"/>
      <c r="D549" s="15"/>
      <c r="E549" s="15"/>
      <c r="F549" s="15"/>
      <c r="G549" s="15"/>
      <c r="H549" s="16" t="str">
        <f aca="false">IF(OR(F549="",F549=0),IF(G549="","",1),MIN(1,G549/F549))</f>
        <v/>
      </c>
      <c r="I549" s="15"/>
      <c r="J549" s="17" t="str">
        <f aca="false">IF(C549="","",(C549&gt;=Targets!$B$2)+(D549&gt;=Targets!$B$3)+(E549&gt;=Targets!$B$4)+(N(H549)&gt;=1))&amp;"/4"</f>
        <v>/4</v>
      </c>
      <c r="K549" s="14"/>
    </row>
    <row r="550" customFormat="false" ht="15" hidden="false" customHeight="false" outlineLevel="0" collapsed="false">
      <c r="A550" s="13"/>
      <c r="B550" s="14"/>
      <c r="C550" s="15"/>
      <c r="D550" s="15"/>
      <c r="E550" s="15"/>
      <c r="F550" s="15"/>
      <c r="G550" s="15"/>
      <c r="H550" s="16" t="str">
        <f aca="false">IF(OR(F550="",F550=0),IF(G550="","",1),MIN(1,G550/F550))</f>
        <v/>
      </c>
      <c r="I550" s="15"/>
      <c r="J550" s="17" t="str">
        <f aca="false">IF(C550="","",(C550&gt;=Targets!$B$2)+(D550&gt;=Targets!$B$3)+(E550&gt;=Targets!$B$4)+(N(H550)&gt;=1))&amp;"/4"</f>
        <v>/4</v>
      </c>
      <c r="K550" s="14"/>
    </row>
    <row r="551" customFormat="false" ht="15" hidden="false" customHeight="false" outlineLevel="0" collapsed="false">
      <c r="A551" s="13"/>
      <c r="B551" s="14"/>
      <c r="C551" s="15"/>
      <c r="D551" s="15"/>
      <c r="E551" s="15"/>
      <c r="F551" s="15"/>
      <c r="G551" s="15"/>
      <c r="H551" s="16" t="str">
        <f aca="false">IF(OR(F551="",F551=0),IF(G551="","",1),MIN(1,G551/F551))</f>
        <v/>
      </c>
      <c r="I551" s="15"/>
      <c r="J551" s="17" t="str">
        <f aca="false">IF(C551="","",(C551&gt;=Targets!$B$2)+(D551&gt;=Targets!$B$3)+(E551&gt;=Targets!$B$4)+(N(H551)&gt;=1))&amp;"/4"</f>
        <v>/4</v>
      </c>
      <c r="K551" s="14"/>
    </row>
    <row r="552" customFormat="false" ht="15" hidden="false" customHeight="false" outlineLevel="0" collapsed="false">
      <c r="A552" s="13"/>
      <c r="B552" s="14"/>
      <c r="C552" s="15"/>
      <c r="D552" s="15"/>
      <c r="E552" s="15"/>
      <c r="F552" s="15"/>
      <c r="G552" s="15"/>
      <c r="H552" s="16" t="str">
        <f aca="false">IF(OR(F552="",F552=0),IF(G552="","",1),MIN(1,G552/F552))</f>
        <v/>
      </c>
      <c r="I552" s="15"/>
      <c r="J552" s="17" t="str">
        <f aca="false">IF(C552="","",(C552&gt;=Targets!$B$2)+(D552&gt;=Targets!$B$3)+(E552&gt;=Targets!$B$4)+(N(H552)&gt;=1))&amp;"/4"</f>
        <v>/4</v>
      </c>
      <c r="K552" s="14"/>
    </row>
    <row r="553" customFormat="false" ht="15" hidden="false" customHeight="false" outlineLevel="0" collapsed="false">
      <c r="A553" s="13"/>
      <c r="B553" s="14"/>
      <c r="C553" s="15"/>
      <c r="D553" s="15"/>
      <c r="E553" s="15"/>
      <c r="F553" s="15"/>
      <c r="G553" s="15"/>
      <c r="H553" s="16" t="str">
        <f aca="false">IF(OR(F553="",F553=0),IF(G553="","",1),MIN(1,G553/F553))</f>
        <v/>
      </c>
      <c r="I553" s="15"/>
      <c r="J553" s="17" t="str">
        <f aca="false">IF(C553="","",(C553&gt;=Targets!$B$2)+(D553&gt;=Targets!$B$3)+(E553&gt;=Targets!$B$4)+(N(H553)&gt;=1))&amp;"/4"</f>
        <v>/4</v>
      </c>
      <c r="K553" s="14"/>
    </row>
    <row r="554" customFormat="false" ht="15" hidden="false" customHeight="false" outlineLevel="0" collapsed="false">
      <c r="A554" s="13"/>
      <c r="B554" s="14"/>
      <c r="C554" s="15"/>
      <c r="D554" s="15"/>
      <c r="E554" s="15"/>
      <c r="F554" s="15"/>
      <c r="G554" s="15"/>
      <c r="H554" s="16" t="str">
        <f aca="false">IF(OR(F554="",F554=0),IF(G554="","",1),MIN(1,G554/F554))</f>
        <v/>
      </c>
      <c r="I554" s="15"/>
      <c r="J554" s="17" t="str">
        <f aca="false">IF(C554="","",(C554&gt;=Targets!$B$2)+(D554&gt;=Targets!$B$3)+(E554&gt;=Targets!$B$4)+(N(H554)&gt;=1))&amp;"/4"</f>
        <v>/4</v>
      </c>
      <c r="K554" s="14"/>
    </row>
    <row r="555" customFormat="false" ht="15" hidden="false" customHeight="false" outlineLevel="0" collapsed="false">
      <c r="A555" s="13"/>
      <c r="B555" s="14"/>
      <c r="C555" s="15"/>
      <c r="D555" s="15"/>
      <c r="E555" s="15"/>
      <c r="F555" s="15"/>
      <c r="G555" s="15"/>
      <c r="H555" s="16" t="str">
        <f aca="false">IF(OR(F555="",F555=0),IF(G555="","",1),MIN(1,G555/F555))</f>
        <v/>
      </c>
      <c r="I555" s="15"/>
      <c r="J555" s="17" t="str">
        <f aca="false">IF(C555="","",(C555&gt;=Targets!$B$2)+(D555&gt;=Targets!$B$3)+(E555&gt;=Targets!$B$4)+(N(H555)&gt;=1))&amp;"/4"</f>
        <v>/4</v>
      </c>
      <c r="K555" s="14"/>
    </row>
    <row r="556" customFormat="false" ht="15" hidden="false" customHeight="false" outlineLevel="0" collapsed="false">
      <c r="A556" s="13"/>
      <c r="B556" s="14"/>
      <c r="C556" s="15"/>
      <c r="D556" s="15"/>
      <c r="E556" s="15"/>
      <c r="F556" s="15"/>
      <c r="G556" s="15"/>
      <c r="H556" s="16" t="str">
        <f aca="false">IF(OR(F556="",F556=0),IF(G556="","",1),MIN(1,G556/F556))</f>
        <v/>
      </c>
      <c r="I556" s="15"/>
      <c r="J556" s="17" t="str">
        <f aca="false">IF(C556="","",(C556&gt;=Targets!$B$2)+(D556&gt;=Targets!$B$3)+(E556&gt;=Targets!$B$4)+(N(H556)&gt;=1))&amp;"/4"</f>
        <v>/4</v>
      </c>
      <c r="K556" s="14"/>
    </row>
    <row r="557" customFormat="false" ht="15" hidden="false" customHeight="false" outlineLevel="0" collapsed="false">
      <c r="A557" s="13"/>
      <c r="B557" s="14"/>
      <c r="C557" s="15"/>
      <c r="D557" s="15"/>
      <c r="E557" s="15"/>
      <c r="F557" s="15"/>
      <c r="G557" s="15"/>
      <c r="H557" s="16" t="str">
        <f aca="false">IF(OR(F557="",F557=0),IF(G557="","",1),MIN(1,G557/F557))</f>
        <v/>
      </c>
      <c r="I557" s="15"/>
      <c r="J557" s="17" t="str">
        <f aca="false">IF(C557="","",(C557&gt;=Targets!$B$2)+(D557&gt;=Targets!$B$3)+(E557&gt;=Targets!$B$4)+(N(H557)&gt;=1))&amp;"/4"</f>
        <v>/4</v>
      </c>
      <c r="K557" s="14"/>
    </row>
    <row r="558" customFormat="false" ht="15" hidden="false" customHeight="false" outlineLevel="0" collapsed="false">
      <c r="A558" s="13"/>
      <c r="B558" s="14"/>
      <c r="C558" s="15"/>
      <c r="D558" s="15"/>
      <c r="E558" s="15"/>
      <c r="F558" s="15"/>
      <c r="G558" s="15"/>
      <c r="H558" s="16" t="str">
        <f aca="false">IF(OR(F558="",F558=0),IF(G558="","",1),MIN(1,G558/F558))</f>
        <v/>
      </c>
      <c r="I558" s="15"/>
      <c r="J558" s="17" t="str">
        <f aca="false">IF(C558="","",(C558&gt;=Targets!$B$2)+(D558&gt;=Targets!$B$3)+(E558&gt;=Targets!$B$4)+(N(H558)&gt;=1))&amp;"/4"</f>
        <v>/4</v>
      </c>
      <c r="K558" s="14"/>
    </row>
    <row r="559" customFormat="false" ht="15" hidden="false" customHeight="false" outlineLevel="0" collapsed="false">
      <c r="A559" s="13"/>
      <c r="B559" s="14"/>
      <c r="C559" s="15"/>
      <c r="D559" s="15"/>
      <c r="E559" s="15"/>
      <c r="F559" s="15"/>
      <c r="G559" s="15"/>
      <c r="H559" s="16" t="str">
        <f aca="false">IF(OR(F559="",F559=0),IF(G559="","",1),MIN(1,G559/F559))</f>
        <v/>
      </c>
      <c r="I559" s="15"/>
      <c r="J559" s="17" t="str">
        <f aca="false">IF(C559="","",(C559&gt;=Targets!$B$2)+(D559&gt;=Targets!$B$3)+(E559&gt;=Targets!$B$4)+(N(H559)&gt;=1))&amp;"/4"</f>
        <v>/4</v>
      </c>
      <c r="K559" s="14"/>
    </row>
    <row r="560" customFormat="false" ht="15" hidden="false" customHeight="false" outlineLevel="0" collapsed="false">
      <c r="A560" s="13"/>
      <c r="B560" s="14"/>
      <c r="C560" s="15"/>
      <c r="D560" s="15"/>
      <c r="E560" s="15"/>
      <c r="F560" s="15"/>
      <c r="G560" s="15"/>
      <c r="H560" s="16" t="str">
        <f aca="false">IF(OR(F560="",F560=0),IF(G560="","",1),MIN(1,G560/F560))</f>
        <v/>
      </c>
      <c r="I560" s="15"/>
      <c r="J560" s="17" t="str">
        <f aca="false">IF(C560="","",(C560&gt;=Targets!$B$2)+(D560&gt;=Targets!$B$3)+(E560&gt;=Targets!$B$4)+(N(H560)&gt;=1))&amp;"/4"</f>
        <v>/4</v>
      </c>
      <c r="K560" s="14"/>
    </row>
    <row r="561" customFormat="false" ht="15" hidden="false" customHeight="false" outlineLevel="0" collapsed="false">
      <c r="A561" s="13"/>
      <c r="B561" s="14"/>
      <c r="C561" s="15"/>
      <c r="D561" s="15"/>
      <c r="E561" s="15"/>
      <c r="F561" s="15"/>
      <c r="G561" s="15"/>
      <c r="H561" s="16" t="str">
        <f aca="false">IF(OR(F561="",F561=0),IF(G561="","",1),MIN(1,G561/F561))</f>
        <v/>
      </c>
      <c r="I561" s="15"/>
      <c r="J561" s="17" t="str">
        <f aca="false">IF(C561="","",(C561&gt;=Targets!$B$2)+(D561&gt;=Targets!$B$3)+(E561&gt;=Targets!$B$4)+(N(H561)&gt;=1))&amp;"/4"</f>
        <v>/4</v>
      </c>
      <c r="K561" s="14"/>
    </row>
    <row r="562" customFormat="false" ht="15" hidden="false" customHeight="false" outlineLevel="0" collapsed="false">
      <c r="A562" s="13"/>
      <c r="B562" s="14"/>
      <c r="C562" s="15"/>
      <c r="D562" s="15"/>
      <c r="E562" s="15"/>
      <c r="F562" s="15"/>
      <c r="G562" s="15"/>
      <c r="H562" s="16" t="str">
        <f aca="false">IF(OR(F562="",F562=0),IF(G562="","",1),MIN(1,G562/F562))</f>
        <v/>
      </c>
      <c r="I562" s="15"/>
      <c r="J562" s="17" t="str">
        <f aca="false">IF(C562="","",(C562&gt;=Targets!$B$2)+(D562&gt;=Targets!$B$3)+(E562&gt;=Targets!$B$4)+(N(H562)&gt;=1))&amp;"/4"</f>
        <v>/4</v>
      </c>
      <c r="K562" s="14"/>
    </row>
    <row r="563" customFormat="false" ht="15" hidden="false" customHeight="false" outlineLevel="0" collapsed="false">
      <c r="A563" s="13"/>
      <c r="B563" s="14"/>
      <c r="C563" s="15"/>
      <c r="D563" s="15"/>
      <c r="E563" s="15"/>
      <c r="F563" s="15"/>
      <c r="G563" s="15"/>
      <c r="H563" s="16" t="str">
        <f aca="false">IF(OR(F563="",F563=0),IF(G563="","",1),MIN(1,G563/F563))</f>
        <v/>
      </c>
      <c r="I563" s="15"/>
      <c r="J563" s="17" t="str">
        <f aca="false">IF(C563="","",(C563&gt;=Targets!$B$2)+(D563&gt;=Targets!$B$3)+(E563&gt;=Targets!$B$4)+(N(H563)&gt;=1))&amp;"/4"</f>
        <v>/4</v>
      </c>
      <c r="K563" s="14"/>
    </row>
    <row r="564" customFormat="false" ht="15" hidden="false" customHeight="false" outlineLevel="0" collapsed="false">
      <c r="A564" s="13"/>
      <c r="B564" s="14"/>
      <c r="C564" s="15"/>
      <c r="D564" s="15"/>
      <c r="E564" s="15"/>
      <c r="F564" s="15"/>
      <c r="G564" s="15"/>
      <c r="H564" s="16" t="str">
        <f aca="false">IF(OR(F564="",F564=0),IF(G564="","",1),MIN(1,G564/F564))</f>
        <v/>
      </c>
      <c r="I564" s="15"/>
      <c r="J564" s="17" t="str">
        <f aca="false">IF(C564="","",(C564&gt;=Targets!$B$2)+(D564&gt;=Targets!$B$3)+(E564&gt;=Targets!$B$4)+(N(H564)&gt;=1))&amp;"/4"</f>
        <v>/4</v>
      </c>
      <c r="K564" s="14"/>
    </row>
    <row r="565" customFormat="false" ht="15" hidden="false" customHeight="false" outlineLevel="0" collapsed="false">
      <c r="A565" s="13"/>
      <c r="B565" s="14"/>
      <c r="C565" s="15"/>
      <c r="D565" s="15"/>
      <c r="E565" s="15"/>
      <c r="F565" s="15"/>
      <c r="G565" s="15"/>
      <c r="H565" s="16" t="str">
        <f aca="false">IF(OR(F565="",F565=0),IF(G565="","",1),MIN(1,G565/F565))</f>
        <v/>
      </c>
      <c r="I565" s="15"/>
      <c r="J565" s="17" t="str">
        <f aca="false">IF(C565="","",(C565&gt;=Targets!$B$2)+(D565&gt;=Targets!$B$3)+(E565&gt;=Targets!$B$4)+(N(H565)&gt;=1))&amp;"/4"</f>
        <v>/4</v>
      </c>
      <c r="K565" s="14"/>
    </row>
    <row r="566" customFormat="false" ht="15" hidden="false" customHeight="false" outlineLevel="0" collapsed="false">
      <c r="A566" s="13"/>
      <c r="B566" s="14"/>
      <c r="C566" s="15"/>
      <c r="D566" s="15"/>
      <c r="E566" s="15"/>
      <c r="F566" s="15"/>
      <c r="G566" s="15"/>
      <c r="H566" s="16" t="str">
        <f aca="false">IF(OR(F566="",F566=0),IF(G566="","",1),MIN(1,G566/F566))</f>
        <v/>
      </c>
      <c r="I566" s="15"/>
      <c r="J566" s="17" t="str">
        <f aca="false">IF(C566="","",(C566&gt;=Targets!$B$2)+(D566&gt;=Targets!$B$3)+(E566&gt;=Targets!$B$4)+(N(H566)&gt;=1))&amp;"/4"</f>
        <v>/4</v>
      </c>
      <c r="K566" s="14"/>
    </row>
    <row r="567" customFormat="false" ht="15" hidden="false" customHeight="false" outlineLevel="0" collapsed="false">
      <c r="A567" s="13"/>
      <c r="B567" s="14"/>
      <c r="C567" s="15"/>
      <c r="D567" s="15"/>
      <c r="E567" s="15"/>
      <c r="F567" s="15"/>
      <c r="G567" s="15"/>
      <c r="H567" s="16" t="str">
        <f aca="false">IF(OR(F567="",F567=0),IF(G567="","",1),MIN(1,G567/F567))</f>
        <v/>
      </c>
      <c r="I567" s="15"/>
      <c r="J567" s="17" t="str">
        <f aca="false">IF(C567="","",(C567&gt;=Targets!$B$2)+(D567&gt;=Targets!$B$3)+(E567&gt;=Targets!$B$4)+(N(H567)&gt;=1))&amp;"/4"</f>
        <v>/4</v>
      </c>
      <c r="K567" s="14"/>
    </row>
    <row r="568" customFormat="false" ht="15" hidden="false" customHeight="false" outlineLevel="0" collapsed="false">
      <c r="A568" s="13"/>
      <c r="B568" s="14"/>
      <c r="C568" s="15"/>
      <c r="D568" s="15"/>
      <c r="E568" s="15"/>
      <c r="F568" s="15"/>
      <c r="G568" s="15"/>
      <c r="H568" s="16" t="str">
        <f aca="false">IF(OR(F568="",F568=0),IF(G568="","",1),MIN(1,G568/F568))</f>
        <v/>
      </c>
      <c r="I568" s="15"/>
      <c r="J568" s="17" t="str">
        <f aca="false">IF(C568="","",(C568&gt;=Targets!$B$2)+(D568&gt;=Targets!$B$3)+(E568&gt;=Targets!$B$4)+(N(H568)&gt;=1))&amp;"/4"</f>
        <v>/4</v>
      </c>
      <c r="K568" s="14"/>
    </row>
    <row r="569" customFormat="false" ht="15" hidden="false" customHeight="false" outlineLevel="0" collapsed="false">
      <c r="A569" s="13"/>
      <c r="B569" s="14"/>
      <c r="C569" s="15"/>
      <c r="D569" s="15"/>
      <c r="E569" s="15"/>
      <c r="F569" s="15"/>
      <c r="G569" s="15"/>
      <c r="H569" s="16" t="str">
        <f aca="false">IF(OR(F569="",F569=0),IF(G569="","",1),MIN(1,G569/F569))</f>
        <v/>
      </c>
      <c r="I569" s="15"/>
      <c r="J569" s="17" t="str">
        <f aca="false">IF(C569="","",(C569&gt;=Targets!$B$2)+(D569&gt;=Targets!$B$3)+(E569&gt;=Targets!$B$4)+(N(H569)&gt;=1))&amp;"/4"</f>
        <v>/4</v>
      </c>
      <c r="K569" s="14"/>
    </row>
    <row r="570" customFormat="false" ht="15" hidden="false" customHeight="false" outlineLevel="0" collapsed="false">
      <c r="A570" s="13"/>
      <c r="B570" s="14"/>
      <c r="C570" s="15"/>
      <c r="D570" s="15"/>
      <c r="E570" s="15"/>
      <c r="F570" s="15"/>
      <c r="G570" s="15"/>
      <c r="H570" s="16" t="str">
        <f aca="false">IF(OR(F570="",F570=0),IF(G570="","",1),MIN(1,G570/F570))</f>
        <v/>
      </c>
      <c r="I570" s="15"/>
      <c r="J570" s="17" t="str">
        <f aca="false">IF(C570="","",(C570&gt;=Targets!$B$2)+(D570&gt;=Targets!$B$3)+(E570&gt;=Targets!$B$4)+(N(H570)&gt;=1))&amp;"/4"</f>
        <v>/4</v>
      </c>
      <c r="K570" s="14"/>
    </row>
    <row r="571" customFormat="false" ht="15" hidden="false" customHeight="false" outlineLevel="0" collapsed="false">
      <c r="A571" s="13"/>
      <c r="B571" s="14"/>
      <c r="C571" s="15"/>
      <c r="D571" s="15"/>
      <c r="E571" s="15"/>
      <c r="F571" s="15"/>
      <c r="G571" s="15"/>
      <c r="H571" s="16" t="str">
        <f aca="false">IF(OR(F571="",F571=0),IF(G571="","",1),MIN(1,G571/F571))</f>
        <v/>
      </c>
      <c r="I571" s="15"/>
      <c r="J571" s="17" t="str">
        <f aca="false">IF(C571="","",(C571&gt;=Targets!$B$2)+(D571&gt;=Targets!$B$3)+(E571&gt;=Targets!$B$4)+(N(H571)&gt;=1))&amp;"/4"</f>
        <v>/4</v>
      </c>
      <c r="K571" s="14"/>
    </row>
    <row r="572" customFormat="false" ht="15" hidden="false" customHeight="false" outlineLevel="0" collapsed="false">
      <c r="A572" s="13"/>
      <c r="B572" s="14"/>
      <c r="C572" s="15"/>
      <c r="D572" s="15"/>
      <c r="E572" s="15"/>
      <c r="F572" s="15"/>
      <c r="G572" s="15"/>
      <c r="H572" s="16" t="str">
        <f aca="false">IF(OR(F572="",F572=0),IF(G572="","",1),MIN(1,G572/F572))</f>
        <v/>
      </c>
      <c r="I572" s="15"/>
      <c r="J572" s="17" t="str">
        <f aca="false">IF(C572="","",(C572&gt;=Targets!$B$2)+(D572&gt;=Targets!$B$3)+(E572&gt;=Targets!$B$4)+(N(H572)&gt;=1))&amp;"/4"</f>
        <v>/4</v>
      </c>
      <c r="K572" s="14"/>
    </row>
    <row r="573" customFormat="false" ht="15" hidden="false" customHeight="false" outlineLevel="0" collapsed="false">
      <c r="A573" s="13"/>
      <c r="B573" s="14"/>
      <c r="C573" s="15"/>
      <c r="D573" s="15"/>
      <c r="E573" s="15"/>
      <c r="F573" s="15"/>
      <c r="G573" s="15"/>
      <c r="H573" s="16" t="str">
        <f aca="false">IF(OR(F573="",F573=0),IF(G573="","",1),MIN(1,G573/F573))</f>
        <v/>
      </c>
      <c r="I573" s="15"/>
      <c r="J573" s="17" t="str">
        <f aca="false">IF(C573="","",(C573&gt;=Targets!$B$2)+(D573&gt;=Targets!$B$3)+(E573&gt;=Targets!$B$4)+(N(H573)&gt;=1))&amp;"/4"</f>
        <v>/4</v>
      </c>
      <c r="K573" s="14"/>
    </row>
    <row r="574" customFormat="false" ht="15" hidden="false" customHeight="false" outlineLevel="0" collapsed="false">
      <c r="A574" s="13"/>
      <c r="B574" s="14"/>
      <c r="C574" s="15"/>
      <c r="D574" s="15"/>
      <c r="E574" s="15"/>
      <c r="F574" s="15"/>
      <c r="G574" s="15"/>
      <c r="H574" s="16" t="str">
        <f aca="false">IF(OR(F574="",F574=0),IF(G574="","",1),MIN(1,G574/F574))</f>
        <v/>
      </c>
      <c r="I574" s="15"/>
      <c r="J574" s="17" t="str">
        <f aca="false">IF(C574="","",(C574&gt;=Targets!$B$2)+(D574&gt;=Targets!$B$3)+(E574&gt;=Targets!$B$4)+(N(H574)&gt;=1))&amp;"/4"</f>
        <v>/4</v>
      </c>
      <c r="K574" s="14"/>
    </row>
    <row r="575" customFormat="false" ht="15" hidden="false" customHeight="false" outlineLevel="0" collapsed="false">
      <c r="A575" s="13"/>
      <c r="B575" s="14"/>
      <c r="C575" s="15"/>
      <c r="D575" s="15"/>
      <c r="E575" s="15"/>
      <c r="F575" s="15"/>
      <c r="G575" s="15"/>
      <c r="H575" s="16" t="str">
        <f aca="false">IF(OR(F575="",F575=0),IF(G575="","",1),MIN(1,G575/F575))</f>
        <v/>
      </c>
      <c r="I575" s="15"/>
      <c r="J575" s="17" t="str">
        <f aca="false">IF(C575="","",(C575&gt;=Targets!$B$2)+(D575&gt;=Targets!$B$3)+(E575&gt;=Targets!$B$4)+(N(H575)&gt;=1))&amp;"/4"</f>
        <v>/4</v>
      </c>
      <c r="K575" s="14"/>
    </row>
    <row r="576" customFormat="false" ht="15" hidden="false" customHeight="false" outlineLevel="0" collapsed="false">
      <c r="A576" s="13"/>
      <c r="B576" s="14"/>
      <c r="C576" s="15"/>
      <c r="D576" s="15"/>
      <c r="E576" s="15"/>
      <c r="F576" s="15"/>
      <c r="G576" s="15"/>
      <c r="H576" s="16" t="str">
        <f aca="false">IF(OR(F576="",F576=0),IF(G576="","",1),MIN(1,G576/F576))</f>
        <v/>
      </c>
      <c r="I576" s="15"/>
      <c r="J576" s="17" t="str">
        <f aca="false">IF(C576="","",(C576&gt;=Targets!$B$2)+(D576&gt;=Targets!$B$3)+(E576&gt;=Targets!$B$4)+(N(H576)&gt;=1))&amp;"/4"</f>
        <v>/4</v>
      </c>
      <c r="K576" s="14"/>
    </row>
    <row r="577" customFormat="false" ht="15" hidden="false" customHeight="false" outlineLevel="0" collapsed="false">
      <c r="A577" s="13"/>
      <c r="B577" s="14"/>
      <c r="C577" s="15"/>
      <c r="D577" s="15"/>
      <c r="E577" s="15"/>
      <c r="F577" s="15"/>
      <c r="G577" s="15"/>
      <c r="H577" s="16" t="str">
        <f aca="false">IF(OR(F577="",F577=0),IF(G577="","",1),MIN(1,G577/F577))</f>
        <v/>
      </c>
      <c r="I577" s="15"/>
      <c r="J577" s="17" t="str">
        <f aca="false">IF(C577="","",(C577&gt;=Targets!$B$2)+(D577&gt;=Targets!$B$3)+(E577&gt;=Targets!$B$4)+(N(H577)&gt;=1))&amp;"/4"</f>
        <v>/4</v>
      </c>
      <c r="K577" s="14"/>
    </row>
    <row r="578" customFormat="false" ht="15" hidden="false" customHeight="false" outlineLevel="0" collapsed="false">
      <c r="A578" s="13"/>
      <c r="B578" s="14"/>
      <c r="C578" s="15"/>
      <c r="D578" s="15"/>
      <c r="E578" s="15"/>
      <c r="F578" s="15"/>
      <c r="G578" s="15"/>
      <c r="H578" s="16" t="str">
        <f aca="false">IF(OR(F578="",F578=0),IF(G578="","",1),MIN(1,G578/F578))</f>
        <v/>
      </c>
      <c r="I578" s="15"/>
      <c r="J578" s="17" t="str">
        <f aca="false">IF(C578="","",(C578&gt;=Targets!$B$2)+(D578&gt;=Targets!$B$3)+(E578&gt;=Targets!$B$4)+(N(H578)&gt;=1))&amp;"/4"</f>
        <v>/4</v>
      </c>
      <c r="K578" s="14"/>
    </row>
    <row r="579" customFormat="false" ht="15" hidden="false" customHeight="false" outlineLevel="0" collapsed="false">
      <c r="A579" s="13"/>
      <c r="B579" s="14"/>
      <c r="C579" s="15"/>
      <c r="D579" s="15"/>
      <c r="E579" s="15"/>
      <c r="F579" s="15"/>
      <c r="G579" s="15"/>
      <c r="H579" s="16" t="str">
        <f aca="false">IF(OR(F579="",F579=0),IF(G579="","",1),MIN(1,G579/F579))</f>
        <v/>
      </c>
      <c r="I579" s="15"/>
      <c r="J579" s="17" t="str">
        <f aca="false">IF(C579="","",(C579&gt;=Targets!$B$2)+(D579&gt;=Targets!$B$3)+(E579&gt;=Targets!$B$4)+(N(H579)&gt;=1))&amp;"/4"</f>
        <v>/4</v>
      </c>
      <c r="K579" s="14"/>
    </row>
    <row r="580" customFormat="false" ht="15" hidden="false" customHeight="false" outlineLevel="0" collapsed="false">
      <c r="A580" s="13"/>
      <c r="B580" s="14"/>
      <c r="C580" s="15"/>
      <c r="D580" s="15"/>
      <c r="E580" s="15"/>
      <c r="F580" s="15"/>
      <c r="G580" s="15"/>
      <c r="H580" s="16" t="str">
        <f aca="false">IF(OR(F580="",F580=0),IF(G580="","",1),MIN(1,G580/F580))</f>
        <v/>
      </c>
      <c r="I580" s="15"/>
      <c r="J580" s="17" t="str">
        <f aca="false">IF(C580="","",(C580&gt;=Targets!$B$2)+(D580&gt;=Targets!$B$3)+(E580&gt;=Targets!$B$4)+(N(H580)&gt;=1))&amp;"/4"</f>
        <v>/4</v>
      </c>
      <c r="K580" s="14"/>
    </row>
    <row r="581" customFormat="false" ht="15" hidden="false" customHeight="false" outlineLevel="0" collapsed="false">
      <c r="A581" s="13"/>
      <c r="B581" s="14"/>
      <c r="C581" s="15"/>
      <c r="D581" s="15"/>
      <c r="E581" s="15"/>
      <c r="F581" s="15"/>
      <c r="G581" s="15"/>
      <c r="H581" s="16" t="str">
        <f aca="false">IF(OR(F581="",F581=0),IF(G581="","",1),MIN(1,G581/F581))</f>
        <v/>
      </c>
      <c r="I581" s="15"/>
      <c r="J581" s="17" t="str">
        <f aca="false">IF(C581="","",(C581&gt;=Targets!$B$2)+(D581&gt;=Targets!$B$3)+(E581&gt;=Targets!$B$4)+(N(H581)&gt;=1))&amp;"/4"</f>
        <v>/4</v>
      </c>
      <c r="K581" s="14"/>
    </row>
    <row r="582" customFormat="false" ht="15" hidden="false" customHeight="false" outlineLevel="0" collapsed="false">
      <c r="A582" s="13"/>
      <c r="B582" s="14"/>
      <c r="C582" s="15"/>
      <c r="D582" s="15"/>
      <c r="E582" s="15"/>
      <c r="F582" s="15"/>
      <c r="G582" s="15"/>
      <c r="H582" s="16" t="str">
        <f aca="false">IF(OR(F582="",F582=0),IF(G582="","",1),MIN(1,G582/F582))</f>
        <v/>
      </c>
      <c r="I582" s="15"/>
      <c r="J582" s="17" t="str">
        <f aca="false">IF(C582="","",(C582&gt;=Targets!$B$2)+(D582&gt;=Targets!$B$3)+(E582&gt;=Targets!$B$4)+(N(H582)&gt;=1))&amp;"/4"</f>
        <v>/4</v>
      </c>
      <c r="K582" s="14"/>
    </row>
    <row r="583" customFormat="false" ht="15" hidden="false" customHeight="false" outlineLevel="0" collapsed="false">
      <c r="A583" s="13"/>
      <c r="B583" s="14"/>
      <c r="C583" s="15"/>
      <c r="D583" s="15"/>
      <c r="E583" s="15"/>
      <c r="F583" s="15"/>
      <c r="G583" s="15"/>
      <c r="H583" s="16" t="str">
        <f aca="false">IF(OR(F583="",F583=0),IF(G583="","",1),MIN(1,G583/F583))</f>
        <v/>
      </c>
      <c r="I583" s="15"/>
      <c r="J583" s="17" t="str">
        <f aca="false">IF(C583="","",(C583&gt;=Targets!$B$2)+(D583&gt;=Targets!$B$3)+(E583&gt;=Targets!$B$4)+(N(H583)&gt;=1))&amp;"/4"</f>
        <v>/4</v>
      </c>
      <c r="K583" s="14"/>
    </row>
    <row r="584" customFormat="false" ht="15" hidden="false" customHeight="false" outlineLevel="0" collapsed="false">
      <c r="A584" s="13"/>
      <c r="B584" s="14"/>
      <c r="C584" s="15"/>
      <c r="D584" s="15"/>
      <c r="E584" s="15"/>
      <c r="F584" s="15"/>
      <c r="G584" s="15"/>
      <c r="H584" s="16" t="str">
        <f aca="false">IF(OR(F584="",F584=0),IF(G584="","",1),MIN(1,G584/F584))</f>
        <v/>
      </c>
      <c r="I584" s="15"/>
      <c r="J584" s="17" t="str">
        <f aca="false">IF(C584="","",(C584&gt;=Targets!$B$2)+(D584&gt;=Targets!$B$3)+(E584&gt;=Targets!$B$4)+(N(H584)&gt;=1))&amp;"/4"</f>
        <v>/4</v>
      </c>
      <c r="K584" s="14"/>
    </row>
    <row r="585" customFormat="false" ht="15" hidden="false" customHeight="false" outlineLevel="0" collapsed="false">
      <c r="A585" s="13"/>
      <c r="B585" s="14"/>
      <c r="C585" s="15"/>
      <c r="D585" s="15"/>
      <c r="E585" s="15"/>
      <c r="F585" s="15"/>
      <c r="G585" s="15"/>
      <c r="H585" s="16" t="str">
        <f aca="false">IF(OR(F585="",F585=0),IF(G585="","",1),MIN(1,G585/F585))</f>
        <v/>
      </c>
      <c r="I585" s="15"/>
      <c r="J585" s="17" t="str">
        <f aca="false">IF(C585="","",(C585&gt;=Targets!$B$2)+(D585&gt;=Targets!$B$3)+(E585&gt;=Targets!$B$4)+(N(H585)&gt;=1))&amp;"/4"</f>
        <v>/4</v>
      </c>
      <c r="K585" s="14"/>
    </row>
    <row r="586" customFormat="false" ht="15" hidden="false" customHeight="false" outlineLevel="0" collapsed="false">
      <c r="A586" s="13"/>
      <c r="B586" s="14"/>
      <c r="C586" s="15"/>
      <c r="D586" s="15"/>
      <c r="E586" s="15"/>
      <c r="F586" s="15"/>
      <c r="G586" s="15"/>
      <c r="H586" s="16" t="str">
        <f aca="false">IF(OR(F586="",F586=0),IF(G586="","",1),MIN(1,G586/F586))</f>
        <v/>
      </c>
      <c r="I586" s="15"/>
      <c r="J586" s="17" t="str">
        <f aca="false">IF(C586="","",(C586&gt;=Targets!$B$2)+(D586&gt;=Targets!$B$3)+(E586&gt;=Targets!$B$4)+(N(H586)&gt;=1))&amp;"/4"</f>
        <v>/4</v>
      </c>
      <c r="K586" s="14"/>
    </row>
    <row r="587" customFormat="false" ht="15" hidden="false" customHeight="false" outlineLevel="0" collapsed="false">
      <c r="A587" s="13"/>
      <c r="B587" s="14"/>
      <c r="C587" s="15"/>
      <c r="D587" s="15"/>
      <c r="E587" s="15"/>
      <c r="F587" s="15"/>
      <c r="G587" s="15"/>
      <c r="H587" s="16" t="str">
        <f aca="false">IF(OR(F587="",F587=0),IF(G587="","",1),MIN(1,G587/F587))</f>
        <v/>
      </c>
      <c r="I587" s="15"/>
      <c r="J587" s="17" t="str">
        <f aca="false">IF(C587="","",(C587&gt;=Targets!$B$2)+(D587&gt;=Targets!$B$3)+(E587&gt;=Targets!$B$4)+(N(H587)&gt;=1))&amp;"/4"</f>
        <v>/4</v>
      </c>
      <c r="K587" s="14"/>
    </row>
    <row r="588" customFormat="false" ht="15" hidden="false" customHeight="false" outlineLevel="0" collapsed="false">
      <c r="A588" s="13"/>
      <c r="B588" s="14"/>
      <c r="C588" s="15"/>
      <c r="D588" s="15"/>
      <c r="E588" s="15"/>
      <c r="F588" s="15"/>
      <c r="G588" s="15"/>
      <c r="H588" s="16" t="str">
        <f aca="false">IF(OR(F588="",F588=0),IF(G588="","",1),MIN(1,G588/F588))</f>
        <v/>
      </c>
      <c r="I588" s="15"/>
      <c r="J588" s="17" t="str">
        <f aca="false">IF(C588="","",(C588&gt;=Targets!$B$2)+(D588&gt;=Targets!$B$3)+(E588&gt;=Targets!$B$4)+(N(H588)&gt;=1))&amp;"/4"</f>
        <v>/4</v>
      </c>
      <c r="K588" s="14"/>
    </row>
    <row r="589" customFormat="false" ht="15" hidden="false" customHeight="false" outlineLevel="0" collapsed="false">
      <c r="A589" s="13"/>
      <c r="B589" s="14"/>
      <c r="C589" s="15"/>
      <c r="D589" s="15"/>
      <c r="E589" s="15"/>
      <c r="F589" s="15"/>
      <c r="G589" s="15"/>
      <c r="H589" s="16" t="str">
        <f aca="false">IF(OR(F589="",F589=0),IF(G589="","",1),MIN(1,G589/F589))</f>
        <v/>
      </c>
      <c r="I589" s="15"/>
      <c r="J589" s="17" t="str">
        <f aca="false">IF(C589="","",(C589&gt;=Targets!$B$2)+(D589&gt;=Targets!$B$3)+(E589&gt;=Targets!$B$4)+(N(H589)&gt;=1))&amp;"/4"</f>
        <v>/4</v>
      </c>
      <c r="K589" s="14"/>
    </row>
    <row r="590" customFormat="false" ht="15" hidden="false" customHeight="false" outlineLevel="0" collapsed="false">
      <c r="A590" s="13"/>
      <c r="B590" s="14"/>
      <c r="C590" s="15"/>
      <c r="D590" s="15"/>
      <c r="E590" s="15"/>
      <c r="F590" s="15"/>
      <c r="G590" s="15"/>
      <c r="H590" s="16" t="str">
        <f aca="false">IF(OR(F590="",F590=0),IF(G590="","",1),MIN(1,G590/F590))</f>
        <v/>
      </c>
      <c r="I590" s="15"/>
      <c r="J590" s="17" t="str">
        <f aca="false">IF(C590="","",(C590&gt;=Targets!$B$2)+(D590&gt;=Targets!$B$3)+(E590&gt;=Targets!$B$4)+(N(H590)&gt;=1))&amp;"/4"</f>
        <v>/4</v>
      </c>
      <c r="K590" s="14"/>
    </row>
    <row r="591" customFormat="false" ht="15" hidden="false" customHeight="false" outlineLevel="0" collapsed="false">
      <c r="A591" s="13"/>
      <c r="B591" s="14"/>
      <c r="C591" s="15"/>
      <c r="D591" s="15"/>
      <c r="E591" s="15"/>
      <c r="F591" s="15"/>
      <c r="G591" s="15"/>
      <c r="H591" s="16" t="str">
        <f aca="false">IF(OR(F591="",F591=0),IF(G591="","",1),MIN(1,G591/F591))</f>
        <v/>
      </c>
      <c r="I591" s="15"/>
      <c r="J591" s="17" t="str">
        <f aca="false">IF(C591="","",(C591&gt;=Targets!$B$2)+(D591&gt;=Targets!$B$3)+(E591&gt;=Targets!$B$4)+(N(H591)&gt;=1))&amp;"/4"</f>
        <v>/4</v>
      </c>
      <c r="K591" s="14"/>
    </row>
    <row r="592" customFormat="false" ht="15" hidden="false" customHeight="false" outlineLevel="0" collapsed="false">
      <c r="A592" s="13"/>
      <c r="B592" s="14"/>
      <c r="C592" s="15"/>
      <c r="D592" s="15"/>
      <c r="E592" s="15"/>
      <c r="F592" s="15"/>
      <c r="G592" s="15"/>
      <c r="H592" s="16" t="str">
        <f aca="false">IF(OR(F592="",F592=0),IF(G592="","",1),MIN(1,G592/F592))</f>
        <v/>
      </c>
      <c r="I592" s="15"/>
      <c r="J592" s="17" t="str">
        <f aca="false">IF(C592="","",(C592&gt;=Targets!$B$2)+(D592&gt;=Targets!$B$3)+(E592&gt;=Targets!$B$4)+(N(H592)&gt;=1))&amp;"/4"</f>
        <v>/4</v>
      </c>
      <c r="K592" s="14"/>
    </row>
    <row r="593" customFormat="false" ht="15" hidden="false" customHeight="false" outlineLevel="0" collapsed="false">
      <c r="A593" s="13"/>
      <c r="B593" s="14"/>
      <c r="C593" s="15"/>
      <c r="D593" s="15"/>
      <c r="E593" s="15"/>
      <c r="F593" s="15"/>
      <c r="G593" s="15"/>
      <c r="H593" s="16" t="str">
        <f aca="false">IF(OR(F593="",F593=0),IF(G593="","",1),MIN(1,G593/F593))</f>
        <v/>
      </c>
      <c r="I593" s="15"/>
      <c r="J593" s="17" t="str">
        <f aca="false">IF(C593="","",(C593&gt;=Targets!$B$2)+(D593&gt;=Targets!$B$3)+(E593&gt;=Targets!$B$4)+(N(H593)&gt;=1))&amp;"/4"</f>
        <v>/4</v>
      </c>
      <c r="K593" s="14"/>
    </row>
    <row r="594" customFormat="false" ht="15" hidden="false" customHeight="false" outlineLevel="0" collapsed="false">
      <c r="A594" s="13"/>
      <c r="B594" s="14"/>
      <c r="C594" s="15"/>
      <c r="D594" s="15"/>
      <c r="E594" s="15"/>
      <c r="F594" s="15"/>
      <c r="G594" s="15"/>
      <c r="H594" s="16" t="str">
        <f aca="false">IF(OR(F594="",F594=0),IF(G594="","",1),MIN(1,G594/F594))</f>
        <v/>
      </c>
      <c r="I594" s="15"/>
      <c r="J594" s="17" t="str">
        <f aca="false">IF(C594="","",(C594&gt;=Targets!$B$2)+(D594&gt;=Targets!$B$3)+(E594&gt;=Targets!$B$4)+(N(H594)&gt;=1))&amp;"/4"</f>
        <v>/4</v>
      </c>
      <c r="K594" s="14"/>
    </row>
    <row r="595" customFormat="false" ht="15" hidden="false" customHeight="false" outlineLevel="0" collapsed="false">
      <c r="A595" s="13"/>
      <c r="B595" s="14"/>
      <c r="C595" s="15"/>
      <c r="D595" s="15"/>
      <c r="E595" s="15"/>
      <c r="F595" s="15"/>
      <c r="G595" s="15"/>
      <c r="H595" s="16" t="str">
        <f aca="false">IF(OR(F595="",F595=0),IF(G595="","",1),MIN(1,G595/F595))</f>
        <v/>
      </c>
      <c r="I595" s="15"/>
      <c r="J595" s="17" t="str">
        <f aca="false">IF(C595="","",(C595&gt;=Targets!$B$2)+(D595&gt;=Targets!$B$3)+(E595&gt;=Targets!$B$4)+(N(H595)&gt;=1))&amp;"/4"</f>
        <v>/4</v>
      </c>
      <c r="K595" s="14"/>
    </row>
    <row r="596" customFormat="false" ht="15" hidden="false" customHeight="false" outlineLevel="0" collapsed="false">
      <c r="A596" s="13"/>
      <c r="B596" s="14"/>
      <c r="C596" s="15"/>
      <c r="D596" s="15"/>
      <c r="E596" s="15"/>
      <c r="F596" s="15"/>
      <c r="G596" s="15"/>
      <c r="H596" s="16" t="str">
        <f aca="false">IF(OR(F596="",F596=0),IF(G596="","",1),MIN(1,G596/F596))</f>
        <v/>
      </c>
      <c r="I596" s="15"/>
      <c r="J596" s="17" t="str">
        <f aca="false">IF(C596="","",(C596&gt;=Targets!$B$2)+(D596&gt;=Targets!$B$3)+(E596&gt;=Targets!$B$4)+(N(H596)&gt;=1))&amp;"/4"</f>
        <v>/4</v>
      </c>
      <c r="K596" s="14"/>
    </row>
    <row r="597" customFormat="false" ht="15" hidden="false" customHeight="false" outlineLevel="0" collapsed="false">
      <c r="A597" s="13"/>
      <c r="B597" s="14"/>
      <c r="C597" s="15"/>
      <c r="D597" s="15"/>
      <c r="E597" s="15"/>
      <c r="F597" s="15"/>
      <c r="G597" s="15"/>
      <c r="H597" s="16" t="str">
        <f aca="false">IF(OR(F597="",F597=0),IF(G597="","",1),MIN(1,G597/F597))</f>
        <v/>
      </c>
      <c r="I597" s="15"/>
      <c r="J597" s="17" t="str">
        <f aca="false">IF(C597="","",(C597&gt;=Targets!$B$2)+(D597&gt;=Targets!$B$3)+(E597&gt;=Targets!$B$4)+(N(H597)&gt;=1))&amp;"/4"</f>
        <v>/4</v>
      </c>
      <c r="K597" s="14"/>
    </row>
    <row r="598" customFormat="false" ht="15" hidden="false" customHeight="false" outlineLevel="0" collapsed="false">
      <c r="A598" s="13"/>
      <c r="B598" s="14"/>
      <c r="C598" s="15"/>
      <c r="D598" s="15"/>
      <c r="E598" s="15"/>
      <c r="F598" s="15"/>
      <c r="G598" s="15"/>
      <c r="H598" s="16" t="str">
        <f aca="false">IF(OR(F598="",F598=0),IF(G598="","",1),MIN(1,G598/F598))</f>
        <v/>
      </c>
      <c r="I598" s="15"/>
      <c r="J598" s="17" t="str">
        <f aca="false">IF(C598="","",(C598&gt;=Targets!$B$2)+(D598&gt;=Targets!$B$3)+(E598&gt;=Targets!$B$4)+(N(H598)&gt;=1))&amp;"/4"</f>
        <v>/4</v>
      </c>
      <c r="K598" s="14"/>
    </row>
    <row r="599" customFormat="false" ht="15" hidden="false" customHeight="false" outlineLevel="0" collapsed="false">
      <c r="A599" s="13"/>
      <c r="B599" s="14"/>
      <c r="C599" s="15"/>
      <c r="D599" s="15"/>
      <c r="E599" s="15"/>
      <c r="F599" s="15"/>
      <c r="G599" s="15"/>
      <c r="H599" s="16" t="str">
        <f aca="false">IF(OR(F599="",F599=0),IF(G599="","",1),MIN(1,G599/F599))</f>
        <v/>
      </c>
      <c r="I599" s="15"/>
      <c r="J599" s="17" t="str">
        <f aca="false">IF(C599="","",(C599&gt;=Targets!$B$2)+(D599&gt;=Targets!$B$3)+(E599&gt;=Targets!$B$4)+(N(H599)&gt;=1))&amp;"/4"</f>
        <v>/4</v>
      </c>
      <c r="K599" s="14"/>
    </row>
    <row r="600" customFormat="false" ht="15" hidden="false" customHeight="false" outlineLevel="0" collapsed="false">
      <c r="A600" s="13"/>
      <c r="B600" s="14"/>
      <c r="C600" s="15"/>
      <c r="D600" s="15"/>
      <c r="E600" s="15"/>
      <c r="F600" s="15"/>
      <c r="G600" s="15"/>
      <c r="H600" s="16" t="str">
        <f aca="false">IF(OR(F600="",F600=0),IF(G600="","",1),MIN(1,G600/F600))</f>
        <v/>
      </c>
      <c r="I600" s="15"/>
      <c r="J600" s="17" t="str">
        <f aca="false">IF(C600="","",(C600&gt;=Targets!$B$2)+(D600&gt;=Targets!$B$3)+(E600&gt;=Targets!$B$4)+(N(H600)&gt;=1))&amp;"/4"</f>
        <v>/4</v>
      </c>
      <c r="K600" s="14"/>
    </row>
    <row r="601" customFormat="false" ht="15" hidden="false" customHeight="false" outlineLevel="0" collapsed="false">
      <c r="A601" s="13"/>
      <c r="B601" s="14"/>
      <c r="C601" s="15"/>
      <c r="D601" s="15"/>
      <c r="E601" s="15"/>
      <c r="F601" s="15"/>
      <c r="G601" s="15"/>
      <c r="H601" s="16" t="str">
        <f aca="false">IF(OR(F601="",F601=0),IF(G601="","",1),MIN(1,G601/F601))</f>
        <v/>
      </c>
      <c r="I601" s="15"/>
      <c r="J601" s="17" t="str">
        <f aca="false">IF(C601="","",(C601&gt;=Targets!$B$2)+(D601&gt;=Targets!$B$3)+(E601&gt;=Targets!$B$4)+(N(H601)&gt;=1))&amp;"/4"</f>
        <v>/4</v>
      </c>
      <c r="K601" s="14"/>
    </row>
  </sheetData>
  <autoFilter ref="A1:K601"/>
  <conditionalFormatting sqref="C2:C601">
    <cfRule type="expression" priority="2" aboveAverage="0" equalAverage="0" bottom="0" percent="0" rank="0" text="" dxfId="7">
      <formula>AND(C2&lt;&gt;"",C2&gt;=Targets!$B$2)</formula>
    </cfRule>
    <cfRule type="expression" priority="3" aboveAverage="0" equalAverage="0" bottom="0" percent="0" rank="0" text="" dxfId="8">
      <formula>AND(C2&lt;&gt;"",C2&lt;Targets!$B$2)</formula>
    </cfRule>
  </conditionalFormatting>
  <conditionalFormatting sqref="D2:D601">
    <cfRule type="expression" priority="4" aboveAverage="0" equalAverage="0" bottom="0" percent="0" rank="0" text="" dxfId="7">
      <formula>AND(D2&lt;&gt;"",D2&gt;=Targets!$B$3)</formula>
    </cfRule>
    <cfRule type="expression" priority="5" aboveAverage="0" equalAverage="0" bottom="0" percent="0" rank="0" text="" dxfId="8">
      <formula>AND(D2&lt;&gt;"",D2&lt;Targets!$B$3)</formula>
    </cfRule>
  </conditionalFormatting>
  <conditionalFormatting sqref="E2:E601">
    <cfRule type="expression" priority="6" aboveAverage="0" equalAverage="0" bottom="0" percent="0" rank="0" text="" dxfId="7">
      <formula>AND(E2&lt;&gt;"",E2&gt;=Targets!$B$4)</formula>
    </cfRule>
    <cfRule type="expression" priority="7" aboveAverage="0" equalAverage="0" bottom="0" percent="0" rank="0" text="" dxfId="8">
      <formula>AND(E2&lt;&gt;"",E2&lt;Targets!$B$4)</formula>
    </cfRule>
  </conditionalFormatting>
  <conditionalFormatting sqref="H2:H601">
    <cfRule type="expression" priority="8" aboveAverage="0" equalAverage="0" bottom="0" percent="0" rank="0" text="" dxfId="7">
      <formula>AND(H2&lt;&gt;"",H2&gt;=1)</formula>
    </cfRule>
    <cfRule type="expression" priority="9" aboveAverage="0" equalAverage="0" bottom="0" percent="0" rank="0" text="" dxfId="8">
      <formula>AND(H2&lt;&gt;"",H2&lt;1)</formula>
    </cfRule>
  </conditionalFormatting>
  <dataValidations count="1">
    <dataValidation allowBlank="true" errorStyle="stop" operator="between" showDropDown="false" showErrorMessage="false" showInputMessage="false" sqref="B2:B601" type="list">
      <formula1>Lists!$A$2:$A$10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3" min="12" style="0" width="9"/>
    <col collapsed="false" customWidth="true" hidden="false" outlineLevel="0" max="14" min="14" style="0" width="30"/>
  </cols>
  <sheetData>
    <row r="1" customFormat="false" ht="33.75" hidden="false" customHeight="true" outlineLevel="0" collapsed="false">
      <c r="A1" s="7" t="s">
        <v>30</v>
      </c>
      <c r="B1" s="7" t="s">
        <v>31</v>
      </c>
      <c r="C1" s="7" t="s">
        <v>18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34</v>
      </c>
      <c r="I1" s="7" t="s">
        <v>36</v>
      </c>
      <c r="J1" s="7" t="s">
        <v>34</v>
      </c>
      <c r="K1" s="7" t="s">
        <v>24</v>
      </c>
      <c r="L1" s="7" t="s">
        <v>37</v>
      </c>
      <c r="M1" s="7" t="s">
        <v>34</v>
      </c>
      <c r="N1" s="7" t="s">
        <v>38</v>
      </c>
    </row>
    <row r="2" customFormat="false" ht="15" hidden="false" customHeight="false" outlineLevel="0" collapsed="false">
      <c r="A2" s="13" t="n">
        <v>46345</v>
      </c>
      <c r="B2" s="18" t="n">
        <f aca="false">IF(A2="","",A2+6)</f>
        <v>46351</v>
      </c>
      <c r="C2" s="14" t="s">
        <v>28</v>
      </c>
      <c r="D2" s="19" t="n">
        <f aca="false">IF(A2="","",COUNTIFS('Sales Daily KPIs'!$B:$B,$C2,'Sales Daily KPIs'!$A:$A,"&gt;="&amp;$A2,'Sales Daily KPIs'!$A:$A,"&lt;="&amp;$B2,'Sales Daily KPIs'!$C:$C,"&lt;&gt;"))</f>
        <v>0</v>
      </c>
      <c r="E2" s="19" t="n">
        <f aca="false">IF(A2="","",SUMIFS('Sales Daily KPIs'!$C:$C,'Sales Daily KPIs'!$B:$B,$C2,'Sales Daily KPIs'!$A:$A,"&gt;="&amp;$A2,'Sales Daily KPIs'!$A:$A,"&lt;="&amp;$B2))</f>
        <v>0</v>
      </c>
      <c r="F2" s="19" t="n">
        <f aca="false">IF(A2="","",Targets!$B$2*Targets!$B$6)</f>
        <v>600</v>
      </c>
      <c r="G2" s="19" t="n">
        <f aca="false">IF(A2="","",SUMIFS('Sales Daily KPIs'!$D:$D,'Sales Daily KPIs'!$B:$B,$C2,'Sales Daily KPIs'!$A:$A,"&gt;="&amp;$A2,'Sales Daily KPIs'!$A:$A,"&lt;="&amp;$B2))</f>
        <v>0</v>
      </c>
      <c r="H2" s="19" t="n">
        <f aca="false">IF(A2="","",Targets!$B$3*Targets!$B$6)</f>
        <v>24</v>
      </c>
      <c r="I2" s="19" t="n">
        <f aca="false">IF(A2="","",SUMIFS('Sales Daily KPIs'!$E:$E,'Sales Daily KPIs'!$B:$B,$C2,'Sales Daily KPIs'!$A:$A,"&gt;="&amp;$A2,'Sales Daily KPIs'!$A:$A,"&lt;="&amp;$B2))</f>
        <v>0</v>
      </c>
      <c r="J2" s="19" t="n">
        <f aca="false">IF(A2="","",Targets!$B$4*Targets!$B$6)</f>
        <v>12</v>
      </c>
      <c r="K2" s="16" t="str">
        <f aca="false">IF(A2="","",IFERROR(SUMIFS('Sales Daily KPIs'!$G:$G,'Sales Daily KPIs'!$B:$B,$C2,'Sales Daily KPIs'!$A:$A,"&gt;="&amp;$A2,'Sales Daily KPIs'!$A:$A,"&lt;="&amp;$B2)/SUMIFS('Sales Daily KPIs'!$F:$F,'Sales Daily KPIs'!$B:$B,$C2,'Sales Daily KPIs'!$A:$A,"&gt;="&amp;$A2,'Sales Daily KPIs'!$A:$A,"&lt;="&amp;$B2),""))</f>
        <v/>
      </c>
      <c r="L2" s="19" t="n">
        <f aca="false">IF(A2="","",SUMIFS('Sales Daily KPIs'!$I:$I,'Sales Daily KPIs'!$B:$B,$C2,'Sales Daily KPIs'!$A:$A,"&gt;="&amp;$A2,'Sales Daily KPIs'!$A:$A,"&lt;="&amp;$B2))</f>
        <v>0</v>
      </c>
      <c r="M2" s="19" t="n">
        <f aca="false">IF(A2="","",Targets!$B$5)</f>
        <v>2</v>
      </c>
      <c r="N2" s="14"/>
    </row>
    <row r="3" customFormat="false" ht="15" hidden="false" customHeight="false" outlineLevel="0" collapsed="false">
      <c r="A3" s="13" t="n">
        <v>46352</v>
      </c>
      <c r="B3" s="18" t="n">
        <f aca="false">IF(A3="","",A3+6)</f>
        <v>46358</v>
      </c>
      <c r="C3" s="14" t="s">
        <v>28</v>
      </c>
      <c r="D3" s="19" t="n">
        <f aca="false">IF(A3="","",COUNTIFS('Sales Daily KPIs'!$B:$B,$C3,'Sales Daily KPIs'!$A:$A,"&gt;="&amp;$A3,'Sales Daily KPIs'!$A:$A,"&lt;="&amp;$B3,'Sales Daily KPIs'!$C:$C,"&lt;&gt;"))</f>
        <v>0</v>
      </c>
      <c r="E3" s="19" t="n">
        <f aca="false">IF(A3="","",SUMIFS('Sales Daily KPIs'!$C:$C,'Sales Daily KPIs'!$B:$B,$C3,'Sales Daily KPIs'!$A:$A,"&gt;="&amp;$A3,'Sales Daily KPIs'!$A:$A,"&lt;="&amp;$B3))</f>
        <v>0</v>
      </c>
      <c r="F3" s="19" t="n">
        <f aca="false">IF(A3="","",Targets!$B$2*Targets!$B$6)</f>
        <v>600</v>
      </c>
      <c r="G3" s="19" t="n">
        <f aca="false">IF(A3="","",SUMIFS('Sales Daily KPIs'!$D:$D,'Sales Daily KPIs'!$B:$B,$C3,'Sales Daily KPIs'!$A:$A,"&gt;="&amp;$A3,'Sales Daily KPIs'!$A:$A,"&lt;="&amp;$B3))</f>
        <v>0</v>
      </c>
      <c r="H3" s="19" t="n">
        <f aca="false">IF(A3="","",Targets!$B$3*Targets!$B$6)</f>
        <v>24</v>
      </c>
      <c r="I3" s="19" t="n">
        <f aca="false">IF(A3="","",SUMIFS('Sales Daily KPIs'!$E:$E,'Sales Daily KPIs'!$B:$B,$C3,'Sales Daily KPIs'!$A:$A,"&gt;="&amp;$A3,'Sales Daily KPIs'!$A:$A,"&lt;="&amp;$B3))</f>
        <v>0</v>
      </c>
      <c r="J3" s="19" t="n">
        <f aca="false">IF(A3="","",Targets!$B$4*Targets!$B$6)</f>
        <v>12</v>
      </c>
      <c r="K3" s="16" t="str">
        <f aca="false">IF(A3="","",IFERROR(SUMIFS('Sales Daily KPIs'!$G:$G,'Sales Daily KPIs'!$B:$B,$C3,'Sales Daily KPIs'!$A:$A,"&gt;="&amp;$A3,'Sales Daily KPIs'!$A:$A,"&lt;="&amp;$B3)/SUMIFS('Sales Daily KPIs'!$F:$F,'Sales Daily KPIs'!$B:$B,$C3,'Sales Daily KPIs'!$A:$A,"&gt;="&amp;$A3,'Sales Daily KPIs'!$A:$A,"&lt;="&amp;$B3),""))</f>
        <v/>
      </c>
      <c r="L3" s="19" t="n">
        <f aca="false">IF(A3="","",SUMIFS('Sales Daily KPIs'!$I:$I,'Sales Daily KPIs'!$B:$B,$C3,'Sales Daily KPIs'!$A:$A,"&gt;="&amp;$A3,'Sales Daily KPIs'!$A:$A,"&lt;="&amp;$B3))</f>
        <v>0</v>
      </c>
      <c r="M3" s="19" t="n">
        <f aca="false">IF(A3="","",Targets!$B$5)</f>
        <v>2</v>
      </c>
      <c r="N3" s="14"/>
    </row>
    <row r="4" customFormat="false" ht="15" hidden="false" customHeight="false" outlineLevel="0" collapsed="false">
      <c r="A4" s="13" t="n">
        <v>46359</v>
      </c>
      <c r="B4" s="18" t="n">
        <f aca="false">IF(A4="","",A4+6)</f>
        <v>46365</v>
      </c>
      <c r="C4" s="14" t="s">
        <v>28</v>
      </c>
      <c r="D4" s="19" t="n">
        <f aca="false">IF(A4="","",COUNTIFS('Sales Daily KPIs'!$B:$B,$C4,'Sales Daily KPIs'!$A:$A,"&gt;="&amp;$A4,'Sales Daily KPIs'!$A:$A,"&lt;="&amp;$B4,'Sales Daily KPIs'!$C:$C,"&lt;&gt;"))</f>
        <v>0</v>
      </c>
      <c r="E4" s="19" t="n">
        <f aca="false">IF(A4="","",SUMIFS('Sales Daily KPIs'!$C:$C,'Sales Daily KPIs'!$B:$B,$C4,'Sales Daily KPIs'!$A:$A,"&gt;="&amp;$A4,'Sales Daily KPIs'!$A:$A,"&lt;="&amp;$B4))</f>
        <v>0</v>
      </c>
      <c r="F4" s="19" t="n">
        <f aca="false">IF(A4="","",Targets!$B$2*Targets!$B$6)</f>
        <v>600</v>
      </c>
      <c r="G4" s="19" t="n">
        <f aca="false">IF(A4="","",SUMIFS('Sales Daily KPIs'!$D:$D,'Sales Daily KPIs'!$B:$B,$C4,'Sales Daily KPIs'!$A:$A,"&gt;="&amp;$A4,'Sales Daily KPIs'!$A:$A,"&lt;="&amp;$B4))</f>
        <v>0</v>
      </c>
      <c r="H4" s="19" t="n">
        <f aca="false">IF(A4="","",Targets!$B$3*Targets!$B$6)</f>
        <v>24</v>
      </c>
      <c r="I4" s="19" t="n">
        <f aca="false">IF(A4="","",SUMIFS('Sales Daily KPIs'!$E:$E,'Sales Daily KPIs'!$B:$B,$C4,'Sales Daily KPIs'!$A:$A,"&gt;="&amp;$A4,'Sales Daily KPIs'!$A:$A,"&lt;="&amp;$B4))</f>
        <v>0</v>
      </c>
      <c r="J4" s="19" t="n">
        <f aca="false">IF(A4="","",Targets!$B$4*Targets!$B$6)</f>
        <v>12</v>
      </c>
      <c r="K4" s="16" t="str">
        <f aca="false">IF(A4="","",IFERROR(SUMIFS('Sales Daily KPIs'!$G:$G,'Sales Daily KPIs'!$B:$B,$C4,'Sales Daily KPIs'!$A:$A,"&gt;="&amp;$A4,'Sales Daily KPIs'!$A:$A,"&lt;="&amp;$B4)/SUMIFS('Sales Daily KPIs'!$F:$F,'Sales Daily KPIs'!$B:$B,$C4,'Sales Daily KPIs'!$A:$A,"&gt;="&amp;$A4,'Sales Daily KPIs'!$A:$A,"&lt;="&amp;$B4),""))</f>
        <v/>
      </c>
      <c r="L4" s="19" t="n">
        <f aca="false">IF(A4="","",SUMIFS('Sales Daily KPIs'!$I:$I,'Sales Daily KPIs'!$B:$B,$C4,'Sales Daily KPIs'!$A:$A,"&gt;="&amp;$A4,'Sales Daily KPIs'!$A:$A,"&lt;="&amp;$B4))</f>
        <v>0</v>
      </c>
      <c r="M4" s="19" t="n">
        <f aca="false">IF(A4="","",Targets!$B$5)</f>
        <v>2</v>
      </c>
      <c r="N4" s="14"/>
    </row>
    <row r="5" customFormat="false" ht="15" hidden="false" customHeight="false" outlineLevel="0" collapsed="false">
      <c r="A5" s="13" t="n">
        <v>46366</v>
      </c>
      <c r="B5" s="18" t="n">
        <f aca="false">IF(A5="","",A5+6)</f>
        <v>46372</v>
      </c>
      <c r="C5" s="14" t="s">
        <v>28</v>
      </c>
      <c r="D5" s="19" t="n">
        <f aca="false">IF(A5="","",COUNTIFS('Sales Daily KPIs'!$B:$B,$C5,'Sales Daily KPIs'!$A:$A,"&gt;="&amp;$A5,'Sales Daily KPIs'!$A:$A,"&lt;="&amp;$B5,'Sales Daily KPIs'!$C:$C,"&lt;&gt;"))</f>
        <v>0</v>
      </c>
      <c r="E5" s="19" t="n">
        <f aca="false">IF(A5="","",SUMIFS('Sales Daily KPIs'!$C:$C,'Sales Daily KPIs'!$B:$B,$C5,'Sales Daily KPIs'!$A:$A,"&gt;="&amp;$A5,'Sales Daily KPIs'!$A:$A,"&lt;="&amp;$B5))</f>
        <v>0</v>
      </c>
      <c r="F5" s="19" t="n">
        <f aca="false">IF(A5="","",Targets!$B$2*Targets!$B$6)</f>
        <v>600</v>
      </c>
      <c r="G5" s="19" t="n">
        <f aca="false">IF(A5="","",SUMIFS('Sales Daily KPIs'!$D:$D,'Sales Daily KPIs'!$B:$B,$C5,'Sales Daily KPIs'!$A:$A,"&gt;="&amp;$A5,'Sales Daily KPIs'!$A:$A,"&lt;="&amp;$B5))</f>
        <v>0</v>
      </c>
      <c r="H5" s="19" t="n">
        <f aca="false">IF(A5="","",Targets!$B$3*Targets!$B$6)</f>
        <v>24</v>
      </c>
      <c r="I5" s="19" t="n">
        <f aca="false">IF(A5="","",SUMIFS('Sales Daily KPIs'!$E:$E,'Sales Daily KPIs'!$B:$B,$C5,'Sales Daily KPIs'!$A:$A,"&gt;="&amp;$A5,'Sales Daily KPIs'!$A:$A,"&lt;="&amp;$B5))</f>
        <v>0</v>
      </c>
      <c r="J5" s="19" t="n">
        <f aca="false">IF(A5="","",Targets!$B$4*Targets!$B$6)</f>
        <v>12</v>
      </c>
      <c r="K5" s="16" t="str">
        <f aca="false">IF(A5="","",IFERROR(SUMIFS('Sales Daily KPIs'!$G:$G,'Sales Daily KPIs'!$B:$B,$C5,'Sales Daily KPIs'!$A:$A,"&gt;="&amp;$A5,'Sales Daily KPIs'!$A:$A,"&lt;="&amp;$B5)/SUMIFS('Sales Daily KPIs'!$F:$F,'Sales Daily KPIs'!$B:$B,$C5,'Sales Daily KPIs'!$A:$A,"&gt;="&amp;$A5,'Sales Daily KPIs'!$A:$A,"&lt;="&amp;$B5),""))</f>
        <v/>
      </c>
      <c r="L5" s="19" t="n">
        <f aca="false">IF(A5="","",SUMIFS('Sales Daily KPIs'!$I:$I,'Sales Daily KPIs'!$B:$B,$C5,'Sales Daily KPIs'!$A:$A,"&gt;="&amp;$A5,'Sales Daily KPIs'!$A:$A,"&lt;="&amp;$B5))</f>
        <v>0</v>
      </c>
      <c r="M5" s="19" t="n">
        <f aca="false">IF(A5="","",Targets!$B$5)</f>
        <v>2</v>
      </c>
      <c r="N5" s="14"/>
    </row>
    <row r="6" customFormat="false" ht="15" hidden="false" customHeight="false" outlineLevel="0" collapsed="false">
      <c r="A6" s="13" t="n">
        <v>46373</v>
      </c>
      <c r="B6" s="18" t="n">
        <f aca="false">IF(A6="","",A6+6)</f>
        <v>46379</v>
      </c>
      <c r="C6" s="14" t="s">
        <v>28</v>
      </c>
      <c r="D6" s="19" t="n">
        <f aca="false">IF(A6="","",COUNTIFS('Sales Daily KPIs'!$B:$B,$C6,'Sales Daily KPIs'!$A:$A,"&gt;="&amp;$A6,'Sales Daily KPIs'!$A:$A,"&lt;="&amp;$B6,'Sales Daily KPIs'!$C:$C,"&lt;&gt;"))</f>
        <v>0</v>
      </c>
      <c r="E6" s="19" t="n">
        <f aca="false">IF(A6="","",SUMIFS('Sales Daily KPIs'!$C:$C,'Sales Daily KPIs'!$B:$B,$C6,'Sales Daily KPIs'!$A:$A,"&gt;="&amp;$A6,'Sales Daily KPIs'!$A:$A,"&lt;="&amp;$B6))</f>
        <v>0</v>
      </c>
      <c r="F6" s="19" t="n">
        <f aca="false">IF(A6="","",Targets!$B$2*Targets!$B$6)</f>
        <v>600</v>
      </c>
      <c r="G6" s="19" t="n">
        <f aca="false">IF(A6="","",SUMIFS('Sales Daily KPIs'!$D:$D,'Sales Daily KPIs'!$B:$B,$C6,'Sales Daily KPIs'!$A:$A,"&gt;="&amp;$A6,'Sales Daily KPIs'!$A:$A,"&lt;="&amp;$B6))</f>
        <v>0</v>
      </c>
      <c r="H6" s="19" t="n">
        <f aca="false">IF(A6="","",Targets!$B$3*Targets!$B$6)</f>
        <v>24</v>
      </c>
      <c r="I6" s="19" t="n">
        <f aca="false">IF(A6="","",SUMIFS('Sales Daily KPIs'!$E:$E,'Sales Daily KPIs'!$B:$B,$C6,'Sales Daily KPIs'!$A:$A,"&gt;="&amp;$A6,'Sales Daily KPIs'!$A:$A,"&lt;="&amp;$B6))</f>
        <v>0</v>
      </c>
      <c r="J6" s="19" t="n">
        <f aca="false">IF(A6="","",Targets!$B$4*Targets!$B$6)</f>
        <v>12</v>
      </c>
      <c r="K6" s="16" t="str">
        <f aca="false">IF(A6="","",IFERROR(SUMIFS('Sales Daily KPIs'!$G:$G,'Sales Daily KPIs'!$B:$B,$C6,'Sales Daily KPIs'!$A:$A,"&gt;="&amp;$A6,'Sales Daily KPIs'!$A:$A,"&lt;="&amp;$B6)/SUMIFS('Sales Daily KPIs'!$F:$F,'Sales Daily KPIs'!$B:$B,$C6,'Sales Daily KPIs'!$A:$A,"&gt;="&amp;$A6,'Sales Daily KPIs'!$A:$A,"&lt;="&amp;$B6),""))</f>
        <v/>
      </c>
      <c r="L6" s="19" t="n">
        <f aca="false">IF(A6="","",SUMIFS('Sales Daily KPIs'!$I:$I,'Sales Daily KPIs'!$B:$B,$C6,'Sales Daily KPIs'!$A:$A,"&gt;="&amp;$A6,'Sales Daily KPIs'!$A:$A,"&lt;="&amp;$B6))</f>
        <v>0</v>
      </c>
      <c r="M6" s="19" t="n">
        <f aca="false">IF(A6="","",Targets!$B$5)</f>
        <v>2</v>
      </c>
      <c r="N6" s="14"/>
    </row>
    <row r="7" customFormat="false" ht="15" hidden="false" customHeight="false" outlineLevel="0" collapsed="false">
      <c r="A7" s="13" t="n">
        <v>46380</v>
      </c>
      <c r="B7" s="18" t="n">
        <f aca="false">IF(A7="","",A7+6)</f>
        <v>46386</v>
      </c>
      <c r="C7" s="14" t="s">
        <v>28</v>
      </c>
      <c r="D7" s="19" t="n">
        <f aca="false">IF(A7="","",COUNTIFS('Sales Daily KPIs'!$B:$B,$C7,'Sales Daily KPIs'!$A:$A,"&gt;="&amp;$A7,'Sales Daily KPIs'!$A:$A,"&lt;="&amp;$B7,'Sales Daily KPIs'!$C:$C,"&lt;&gt;"))</f>
        <v>0</v>
      </c>
      <c r="E7" s="19" t="n">
        <f aca="false">IF(A7="","",SUMIFS('Sales Daily KPIs'!$C:$C,'Sales Daily KPIs'!$B:$B,$C7,'Sales Daily KPIs'!$A:$A,"&gt;="&amp;$A7,'Sales Daily KPIs'!$A:$A,"&lt;="&amp;$B7))</f>
        <v>0</v>
      </c>
      <c r="F7" s="19" t="n">
        <f aca="false">IF(A7="","",Targets!$B$2*Targets!$B$6)</f>
        <v>600</v>
      </c>
      <c r="G7" s="19" t="n">
        <f aca="false">IF(A7="","",SUMIFS('Sales Daily KPIs'!$D:$D,'Sales Daily KPIs'!$B:$B,$C7,'Sales Daily KPIs'!$A:$A,"&gt;="&amp;$A7,'Sales Daily KPIs'!$A:$A,"&lt;="&amp;$B7))</f>
        <v>0</v>
      </c>
      <c r="H7" s="19" t="n">
        <f aca="false">IF(A7="","",Targets!$B$3*Targets!$B$6)</f>
        <v>24</v>
      </c>
      <c r="I7" s="19" t="n">
        <f aca="false">IF(A7="","",SUMIFS('Sales Daily KPIs'!$E:$E,'Sales Daily KPIs'!$B:$B,$C7,'Sales Daily KPIs'!$A:$A,"&gt;="&amp;$A7,'Sales Daily KPIs'!$A:$A,"&lt;="&amp;$B7))</f>
        <v>0</v>
      </c>
      <c r="J7" s="19" t="n">
        <f aca="false">IF(A7="","",Targets!$B$4*Targets!$B$6)</f>
        <v>12</v>
      </c>
      <c r="K7" s="16" t="str">
        <f aca="false">IF(A7="","",IFERROR(SUMIFS('Sales Daily KPIs'!$G:$G,'Sales Daily KPIs'!$B:$B,$C7,'Sales Daily KPIs'!$A:$A,"&gt;="&amp;$A7,'Sales Daily KPIs'!$A:$A,"&lt;="&amp;$B7)/SUMIFS('Sales Daily KPIs'!$F:$F,'Sales Daily KPIs'!$B:$B,$C7,'Sales Daily KPIs'!$A:$A,"&gt;="&amp;$A7,'Sales Daily KPIs'!$A:$A,"&lt;="&amp;$B7),""))</f>
        <v/>
      </c>
      <c r="L7" s="19" t="n">
        <f aca="false">IF(A7="","",SUMIFS('Sales Daily KPIs'!$I:$I,'Sales Daily KPIs'!$B:$B,$C7,'Sales Daily KPIs'!$A:$A,"&gt;="&amp;$A7,'Sales Daily KPIs'!$A:$A,"&lt;="&amp;$B7))</f>
        <v>0</v>
      </c>
      <c r="M7" s="19" t="n">
        <f aca="false">IF(A7="","",Targets!$B$5)</f>
        <v>2</v>
      </c>
      <c r="N7" s="14"/>
    </row>
    <row r="8" customFormat="false" ht="15" hidden="false" customHeight="false" outlineLevel="0" collapsed="false">
      <c r="A8" s="13" t="n">
        <v>46387</v>
      </c>
      <c r="B8" s="18" t="n">
        <f aca="false">IF(A8="","",A8+6)</f>
        <v>46393</v>
      </c>
      <c r="C8" s="14" t="s">
        <v>28</v>
      </c>
      <c r="D8" s="19" t="n">
        <f aca="false">IF(A8="","",COUNTIFS('Sales Daily KPIs'!$B:$B,$C8,'Sales Daily KPIs'!$A:$A,"&gt;="&amp;$A8,'Sales Daily KPIs'!$A:$A,"&lt;="&amp;$B8,'Sales Daily KPIs'!$C:$C,"&lt;&gt;"))</f>
        <v>0</v>
      </c>
      <c r="E8" s="19" t="n">
        <f aca="false">IF(A8="","",SUMIFS('Sales Daily KPIs'!$C:$C,'Sales Daily KPIs'!$B:$B,$C8,'Sales Daily KPIs'!$A:$A,"&gt;="&amp;$A8,'Sales Daily KPIs'!$A:$A,"&lt;="&amp;$B8))</f>
        <v>0</v>
      </c>
      <c r="F8" s="19" t="n">
        <f aca="false">IF(A8="","",Targets!$B$2*Targets!$B$6)</f>
        <v>600</v>
      </c>
      <c r="G8" s="19" t="n">
        <f aca="false">IF(A8="","",SUMIFS('Sales Daily KPIs'!$D:$D,'Sales Daily KPIs'!$B:$B,$C8,'Sales Daily KPIs'!$A:$A,"&gt;="&amp;$A8,'Sales Daily KPIs'!$A:$A,"&lt;="&amp;$B8))</f>
        <v>0</v>
      </c>
      <c r="H8" s="19" t="n">
        <f aca="false">IF(A8="","",Targets!$B$3*Targets!$B$6)</f>
        <v>24</v>
      </c>
      <c r="I8" s="19" t="n">
        <f aca="false">IF(A8="","",SUMIFS('Sales Daily KPIs'!$E:$E,'Sales Daily KPIs'!$B:$B,$C8,'Sales Daily KPIs'!$A:$A,"&gt;="&amp;$A8,'Sales Daily KPIs'!$A:$A,"&lt;="&amp;$B8))</f>
        <v>0</v>
      </c>
      <c r="J8" s="19" t="n">
        <f aca="false">IF(A8="","",Targets!$B$4*Targets!$B$6)</f>
        <v>12</v>
      </c>
      <c r="K8" s="16" t="str">
        <f aca="false">IF(A8="","",IFERROR(SUMIFS('Sales Daily KPIs'!$G:$G,'Sales Daily KPIs'!$B:$B,$C8,'Sales Daily KPIs'!$A:$A,"&gt;="&amp;$A8,'Sales Daily KPIs'!$A:$A,"&lt;="&amp;$B8)/SUMIFS('Sales Daily KPIs'!$F:$F,'Sales Daily KPIs'!$B:$B,$C8,'Sales Daily KPIs'!$A:$A,"&gt;="&amp;$A8,'Sales Daily KPIs'!$A:$A,"&lt;="&amp;$B8),""))</f>
        <v/>
      </c>
      <c r="L8" s="19" t="n">
        <f aca="false">IF(A8="","",SUMIFS('Sales Daily KPIs'!$I:$I,'Sales Daily KPIs'!$B:$B,$C8,'Sales Daily KPIs'!$A:$A,"&gt;="&amp;$A8,'Sales Daily KPIs'!$A:$A,"&lt;="&amp;$B8))</f>
        <v>0</v>
      </c>
      <c r="M8" s="19" t="n">
        <f aca="false">IF(A8="","",Targets!$B$5)</f>
        <v>2</v>
      </c>
      <c r="N8" s="14"/>
    </row>
    <row r="9" customFormat="false" ht="15" hidden="false" customHeight="false" outlineLevel="0" collapsed="false">
      <c r="A9" s="13" t="n">
        <v>46394</v>
      </c>
      <c r="B9" s="18" t="n">
        <f aca="false">IF(A9="","",A9+6)</f>
        <v>46400</v>
      </c>
      <c r="C9" s="14" t="s">
        <v>28</v>
      </c>
      <c r="D9" s="19" t="n">
        <f aca="false">IF(A9="","",COUNTIFS('Sales Daily KPIs'!$B:$B,$C9,'Sales Daily KPIs'!$A:$A,"&gt;="&amp;$A9,'Sales Daily KPIs'!$A:$A,"&lt;="&amp;$B9,'Sales Daily KPIs'!$C:$C,"&lt;&gt;"))</f>
        <v>0</v>
      </c>
      <c r="E9" s="19" t="n">
        <f aca="false">IF(A9="","",SUMIFS('Sales Daily KPIs'!$C:$C,'Sales Daily KPIs'!$B:$B,$C9,'Sales Daily KPIs'!$A:$A,"&gt;="&amp;$A9,'Sales Daily KPIs'!$A:$A,"&lt;="&amp;$B9))</f>
        <v>0</v>
      </c>
      <c r="F9" s="19" t="n">
        <f aca="false">IF(A9="","",Targets!$B$2*Targets!$B$6)</f>
        <v>600</v>
      </c>
      <c r="G9" s="19" t="n">
        <f aca="false">IF(A9="","",SUMIFS('Sales Daily KPIs'!$D:$D,'Sales Daily KPIs'!$B:$B,$C9,'Sales Daily KPIs'!$A:$A,"&gt;="&amp;$A9,'Sales Daily KPIs'!$A:$A,"&lt;="&amp;$B9))</f>
        <v>0</v>
      </c>
      <c r="H9" s="19" t="n">
        <f aca="false">IF(A9="","",Targets!$B$3*Targets!$B$6)</f>
        <v>24</v>
      </c>
      <c r="I9" s="19" t="n">
        <f aca="false">IF(A9="","",SUMIFS('Sales Daily KPIs'!$E:$E,'Sales Daily KPIs'!$B:$B,$C9,'Sales Daily KPIs'!$A:$A,"&gt;="&amp;$A9,'Sales Daily KPIs'!$A:$A,"&lt;="&amp;$B9))</f>
        <v>0</v>
      </c>
      <c r="J9" s="19" t="n">
        <f aca="false">IF(A9="","",Targets!$B$4*Targets!$B$6)</f>
        <v>12</v>
      </c>
      <c r="K9" s="16" t="str">
        <f aca="false">IF(A9="","",IFERROR(SUMIFS('Sales Daily KPIs'!$G:$G,'Sales Daily KPIs'!$B:$B,$C9,'Sales Daily KPIs'!$A:$A,"&gt;="&amp;$A9,'Sales Daily KPIs'!$A:$A,"&lt;="&amp;$B9)/SUMIFS('Sales Daily KPIs'!$F:$F,'Sales Daily KPIs'!$B:$B,$C9,'Sales Daily KPIs'!$A:$A,"&gt;="&amp;$A9,'Sales Daily KPIs'!$A:$A,"&lt;="&amp;$B9),""))</f>
        <v/>
      </c>
      <c r="L9" s="19" t="n">
        <f aca="false">IF(A9="","",SUMIFS('Sales Daily KPIs'!$I:$I,'Sales Daily KPIs'!$B:$B,$C9,'Sales Daily KPIs'!$A:$A,"&gt;="&amp;$A9,'Sales Daily KPIs'!$A:$A,"&lt;="&amp;$B9))</f>
        <v>0</v>
      </c>
      <c r="M9" s="19" t="n">
        <f aca="false">IF(A9="","",Targets!$B$5)</f>
        <v>2</v>
      </c>
      <c r="N9" s="14"/>
    </row>
    <row r="10" customFormat="false" ht="15" hidden="false" customHeight="false" outlineLevel="0" collapsed="false">
      <c r="A10" s="13" t="n">
        <v>46401</v>
      </c>
      <c r="B10" s="18" t="n">
        <f aca="false">IF(A10="","",A10+6)</f>
        <v>46407</v>
      </c>
      <c r="C10" s="14" t="s">
        <v>28</v>
      </c>
      <c r="D10" s="19" t="n">
        <f aca="false">IF(A10="","",COUNTIFS('Sales Daily KPIs'!$B:$B,$C10,'Sales Daily KPIs'!$A:$A,"&gt;="&amp;$A10,'Sales Daily KPIs'!$A:$A,"&lt;="&amp;$B10,'Sales Daily KPIs'!$C:$C,"&lt;&gt;"))</f>
        <v>0</v>
      </c>
      <c r="E10" s="19" t="n">
        <f aca="false">IF(A10="","",SUMIFS('Sales Daily KPIs'!$C:$C,'Sales Daily KPIs'!$B:$B,$C10,'Sales Daily KPIs'!$A:$A,"&gt;="&amp;$A10,'Sales Daily KPIs'!$A:$A,"&lt;="&amp;$B10))</f>
        <v>0</v>
      </c>
      <c r="F10" s="19" t="n">
        <f aca="false">IF(A10="","",Targets!$B$2*Targets!$B$6)</f>
        <v>600</v>
      </c>
      <c r="G10" s="19" t="n">
        <f aca="false">IF(A10="","",SUMIFS('Sales Daily KPIs'!$D:$D,'Sales Daily KPIs'!$B:$B,$C10,'Sales Daily KPIs'!$A:$A,"&gt;="&amp;$A10,'Sales Daily KPIs'!$A:$A,"&lt;="&amp;$B10))</f>
        <v>0</v>
      </c>
      <c r="H10" s="19" t="n">
        <f aca="false">IF(A10="","",Targets!$B$3*Targets!$B$6)</f>
        <v>24</v>
      </c>
      <c r="I10" s="19" t="n">
        <f aca="false">IF(A10="","",SUMIFS('Sales Daily KPIs'!$E:$E,'Sales Daily KPIs'!$B:$B,$C10,'Sales Daily KPIs'!$A:$A,"&gt;="&amp;$A10,'Sales Daily KPIs'!$A:$A,"&lt;="&amp;$B10))</f>
        <v>0</v>
      </c>
      <c r="J10" s="19" t="n">
        <f aca="false">IF(A10="","",Targets!$B$4*Targets!$B$6)</f>
        <v>12</v>
      </c>
      <c r="K10" s="16" t="str">
        <f aca="false">IF(A10="","",IFERROR(SUMIFS('Sales Daily KPIs'!$G:$G,'Sales Daily KPIs'!$B:$B,$C10,'Sales Daily KPIs'!$A:$A,"&gt;="&amp;$A10,'Sales Daily KPIs'!$A:$A,"&lt;="&amp;$B10)/SUMIFS('Sales Daily KPIs'!$F:$F,'Sales Daily KPIs'!$B:$B,$C10,'Sales Daily KPIs'!$A:$A,"&gt;="&amp;$A10,'Sales Daily KPIs'!$A:$A,"&lt;="&amp;$B10),""))</f>
        <v/>
      </c>
      <c r="L10" s="19" t="n">
        <f aca="false">IF(A10="","",SUMIFS('Sales Daily KPIs'!$I:$I,'Sales Daily KPIs'!$B:$B,$C10,'Sales Daily KPIs'!$A:$A,"&gt;="&amp;$A10,'Sales Daily KPIs'!$A:$A,"&lt;="&amp;$B10))</f>
        <v>0</v>
      </c>
      <c r="M10" s="19" t="n">
        <f aca="false">IF(A10="","",Targets!$B$5)</f>
        <v>2</v>
      </c>
      <c r="N10" s="14"/>
    </row>
    <row r="11" customFormat="false" ht="15" hidden="false" customHeight="false" outlineLevel="0" collapsed="false">
      <c r="A11" s="13" t="n">
        <v>46408</v>
      </c>
      <c r="B11" s="18" t="n">
        <f aca="false">IF(A11="","",A11+6)</f>
        <v>46414</v>
      </c>
      <c r="C11" s="14" t="s">
        <v>28</v>
      </c>
      <c r="D11" s="19" t="n">
        <f aca="false">IF(A11="","",COUNTIFS('Sales Daily KPIs'!$B:$B,$C11,'Sales Daily KPIs'!$A:$A,"&gt;="&amp;$A11,'Sales Daily KPIs'!$A:$A,"&lt;="&amp;$B11,'Sales Daily KPIs'!$C:$C,"&lt;&gt;"))</f>
        <v>0</v>
      </c>
      <c r="E11" s="19" t="n">
        <f aca="false">IF(A11="","",SUMIFS('Sales Daily KPIs'!$C:$C,'Sales Daily KPIs'!$B:$B,$C11,'Sales Daily KPIs'!$A:$A,"&gt;="&amp;$A11,'Sales Daily KPIs'!$A:$A,"&lt;="&amp;$B11))</f>
        <v>0</v>
      </c>
      <c r="F11" s="19" t="n">
        <f aca="false">IF(A11="","",Targets!$B$2*Targets!$B$6)</f>
        <v>600</v>
      </c>
      <c r="G11" s="19" t="n">
        <f aca="false">IF(A11="","",SUMIFS('Sales Daily KPIs'!$D:$D,'Sales Daily KPIs'!$B:$B,$C11,'Sales Daily KPIs'!$A:$A,"&gt;="&amp;$A11,'Sales Daily KPIs'!$A:$A,"&lt;="&amp;$B11))</f>
        <v>0</v>
      </c>
      <c r="H11" s="19" t="n">
        <f aca="false">IF(A11="","",Targets!$B$3*Targets!$B$6)</f>
        <v>24</v>
      </c>
      <c r="I11" s="19" t="n">
        <f aca="false">IF(A11="","",SUMIFS('Sales Daily KPIs'!$E:$E,'Sales Daily KPIs'!$B:$B,$C11,'Sales Daily KPIs'!$A:$A,"&gt;="&amp;$A11,'Sales Daily KPIs'!$A:$A,"&lt;="&amp;$B11))</f>
        <v>0</v>
      </c>
      <c r="J11" s="19" t="n">
        <f aca="false">IF(A11="","",Targets!$B$4*Targets!$B$6)</f>
        <v>12</v>
      </c>
      <c r="K11" s="16" t="str">
        <f aca="false">IF(A11="","",IFERROR(SUMIFS('Sales Daily KPIs'!$G:$G,'Sales Daily KPIs'!$B:$B,$C11,'Sales Daily KPIs'!$A:$A,"&gt;="&amp;$A11,'Sales Daily KPIs'!$A:$A,"&lt;="&amp;$B11)/SUMIFS('Sales Daily KPIs'!$F:$F,'Sales Daily KPIs'!$B:$B,$C11,'Sales Daily KPIs'!$A:$A,"&gt;="&amp;$A11,'Sales Daily KPIs'!$A:$A,"&lt;="&amp;$B11),""))</f>
        <v/>
      </c>
      <c r="L11" s="19" t="n">
        <f aca="false">IF(A11="","",SUMIFS('Sales Daily KPIs'!$I:$I,'Sales Daily KPIs'!$B:$B,$C11,'Sales Daily KPIs'!$A:$A,"&gt;="&amp;$A11,'Sales Daily KPIs'!$A:$A,"&lt;="&amp;$B11))</f>
        <v>0</v>
      </c>
      <c r="M11" s="19" t="n">
        <f aca="false">IF(A11="","",Targets!$B$5)</f>
        <v>2</v>
      </c>
      <c r="N11" s="14"/>
    </row>
    <row r="12" customFormat="false" ht="15" hidden="false" customHeight="false" outlineLevel="0" collapsed="false">
      <c r="A12" s="13" t="n">
        <v>46415</v>
      </c>
      <c r="B12" s="18" t="n">
        <f aca="false">IF(A12="","",A12+6)</f>
        <v>46421</v>
      </c>
      <c r="C12" s="14" t="s">
        <v>28</v>
      </c>
      <c r="D12" s="19" t="n">
        <f aca="false">IF(A12="","",COUNTIFS('Sales Daily KPIs'!$B:$B,$C12,'Sales Daily KPIs'!$A:$A,"&gt;="&amp;$A12,'Sales Daily KPIs'!$A:$A,"&lt;="&amp;$B12,'Sales Daily KPIs'!$C:$C,"&lt;&gt;"))</f>
        <v>0</v>
      </c>
      <c r="E12" s="19" t="n">
        <f aca="false">IF(A12="","",SUMIFS('Sales Daily KPIs'!$C:$C,'Sales Daily KPIs'!$B:$B,$C12,'Sales Daily KPIs'!$A:$A,"&gt;="&amp;$A12,'Sales Daily KPIs'!$A:$A,"&lt;="&amp;$B12))</f>
        <v>0</v>
      </c>
      <c r="F12" s="19" t="n">
        <f aca="false">IF(A12="","",Targets!$B$2*Targets!$B$6)</f>
        <v>600</v>
      </c>
      <c r="G12" s="19" t="n">
        <f aca="false">IF(A12="","",SUMIFS('Sales Daily KPIs'!$D:$D,'Sales Daily KPIs'!$B:$B,$C12,'Sales Daily KPIs'!$A:$A,"&gt;="&amp;$A12,'Sales Daily KPIs'!$A:$A,"&lt;="&amp;$B12))</f>
        <v>0</v>
      </c>
      <c r="H12" s="19" t="n">
        <f aca="false">IF(A12="","",Targets!$B$3*Targets!$B$6)</f>
        <v>24</v>
      </c>
      <c r="I12" s="19" t="n">
        <f aca="false">IF(A12="","",SUMIFS('Sales Daily KPIs'!$E:$E,'Sales Daily KPIs'!$B:$B,$C12,'Sales Daily KPIs'!$A:$A,"&gt;="&amp;$A12,'Sales Daily KPIs'!$A:$A,"&lt;="&amp;$B12))</f>
        <v>0</v>
      </c>
      <c r="J12" s="19" t="n">
        <f aca="false">IF(A12="","",Targets!$B$4*Targets!$B$6)</f>
        <v>12</v>
      </c>
      <c r="K12" s="16" t="str">
        <f aca="false">IF(A12="","",IFERROR(SUMIFS('Sales Daily KPIs'!$G:$G,'Sales Daily KPIs'!$B:$B,$C12,'Sales Daily KPIs'!$A:$A,"&gt;="&amp;$A12,'Sales Daily KPIs'!$A:$A,"&lt;="&amp;$B12)/SUMIFS('Sales Daily KPIs'!$F:$F,'Sales Daily KPIs'!$B:$B,$C12,'Sales Daily KPIs'!$A:$A,"&gt;="&amp;$A12,'Sales Daily KPIs'!$A:$A,"&lt;="&amp;$B12),""))</f>
        <v/>
      </c>
      <c r="L12" s="19" t="n">
        <f aca="false">IF(A12="","",SUMIFS('Sales Daily KPIs'!$I:$I,'Sales Daily KPIs'!$B:$B,$C12,'Sales Daily KPIs'!$A:$A,"&gt;="&amp;$A12,'Sales Daily KPIs'!$A:$A,"&lt;="&amp;$B12))</f>
        <v>0</v>
      </c>
      <c r="M12" s="19" t="n">
        <f aca="false">IF(A12="","",Targets!$B$5)</f>
        <v>2</v>
      </c>
      <c r="N12" s="14"/>
    </row>
    <row r="13" customFormat="false" ht="15" hidden="false" customHeight="false" outlineLevel="0" collapsed="false">
      <c r="A13" s="13" t="n">
        <v>46422</v>
      </c>
      <c r="B13" s="18" t="n">
        <f aca="false">IF(A13="","",A13+6)</f>
        <v>46428</v>
      </c>
      <c r="C13" s="14" t="s">
        <v>28</v>
      </c>
      <c r="D13" s="19" t="n">
        <f aca="false">IF(A13="","",COUNTIFS('Sales Daily KPIs'!$B:$B,$C13,'Sales Daily KPIs'!$A:$A,"&gt;="&amp;$A13,'Sales Daily KPIs'!$A:$A,"&lt;="&amp;$B13,'Sales Daily KPIs'!$C:$C,"&lt;&gt;"))</f>
        <v>0</v>
      </c>
      <c r="E13" s="19" t="n">
        <f aca="false">IF(A13="","",SUMIFS('Sales Daily KPIs'!$C:$C,'Sales Daily KPIs'!$B:$B,$C13,'Sales Daily KPIs'!$A:$A,"&gt;="&amp;$A13,'Sales Daily KPIs'!$A:$A,"&lt;="&amp;$B13))</f>
        <v>0</v>
      </c>
      <c r="F13" s="19" t="n">
        <f aca="false">IF(A13="","",Targets!$B$2*Targets!$B$6)</f>
        <v>600</v>
      </c>
      <c r="G13" s="19" t="n">
        <f aca="false">IF(A13="","",SUMIFS('Sales Daily KPIs'!$D:$D,'Sales Daily KPIs'!$B:$B,$C13,'Sales Daily KPIs'!$A:$A,"&gt;="&amp;$A13,'Sales Daily KPIs'!$A:$A,"&lt;="&amp;$B13))</f>
        <v>0</v>
      </c>
      <c r="H13" s="19" t="n">
        <f aca="false">IF(A13="","",Targets!$B$3*Targets!$B$6)</f>
        <v>24</v>
      </c>
      <c r="I13" s="19" t="n">
        <f aca="false">IF(A13="","",SUMIFS('Sales Daily KPIs'!$E:$E,'Sales Daily KPIs'!$B:$B,$C13,'Sales Daily KPIs'!$A:$A,"&gt;="&amp;$A13,'Sales Daily KPIs'!$A:$A,"&lt;="&amp;$B13))</f>
        <v>0</v>
      </c>
      <c r="J13" s="19" t="n">
        <f aca="false">IF(A13="","",Targets!$B$4*Targets!$B$6)</f>
        <v>12</v>
      </c>
      <c r="K13" s="16" t="str">
        <f aca="false">IF(A13="","",IFERROR(SUMIFS('Sales Daily KPIs'!$G:$G,'Sales Daily KPIs'!$B:$B,$C13,'Sales Daily KPIs'!$A:$A,"&gt;="&amp;$A13,'Sales Daily KPIs'!$A:$A,"&lt;="&amp;$B13)/SUMIFS('Sales Daily KPIs'!$F:$F,'Sales Daily KPIs'!$B:$B,$C13,'Sales Daily KPIs'!$A:$A,"&gt;="&amp;$A13,'Sales Daily KPIs'!$A:$A,"&lt;="&amp;$B13),""))</f>
        <v/>
      </c>
      <c r="L13" s="19" t="n">
        <f aca="false">IF(A13="","",SUMIFS('Sales Daily KPIs'!$I:$I,'Sales Daily KPIs'!$B:$B,$C13,'Sales Daily KPIs'!$A:$A,"&gt;="&amp;$A13,'Sales Daily KPIs'!$A:$A,"&lt;="&amp;$B13))</f>
        <v>0</v>
      </c>
      <c r="M13" s="19" t="n">
        <f aca="false">IF(A13="","",Targets!$B$5)</f>
        <v>2</v>
      </c>
      <c r="N13" s="14"/>
    </row>
    <row r="14" customFormat="false" ht="15" hidden="false" customHeight="false" outlineLevel="0" collapsed="false">
      <c r="A14" s="13"/>
      <c r="B14" s="18" t="str">
        <f aca="false">IF(A14="","",A14+6)</f>
        <v/>
      </c>
      <c r="C14" s="14"/>
      <c r="D14" s="19" t="str">
        <f aca="false">IF(A14="","",COUNTIFS('Sales Daily KPIs'!$B:$B,$C14,'Sales Daily KPIs'!$A:$A,"&gt;="&amp;$A14,'Sales Daily KPIs'!$A:$A,"&lt;="&amp;$B14,'Sales Daily KPIs'!$C:$C,"&lt;&gt;"))</f>
        <v/>
      </c>
      <c r="E14" s="19" t="str">
        <f aca="false">IF(A14="","",SUMIFS('Sales Daily KPIs'!$C:$C,'Sales Daily KPIs'!$B:$B,$C14,'Sales Daily KPIs'!$A:$A,"&gt;="&amp;$A14,'Sales Daily KPIs'!$A:$A,"&lt;="&amp;$B14))</f>
        <v/>
      </c>
      <c r="F14" s="19" t="str">
        <f aca="false">IF(A14="","",Targets!$B$2*Targets!$B$6)</f>
        <v/>
      </c>
      <c r="G14" s="19" t="str">
        <f aca="false">IF(A14="","",SUMIFS('Sales Daily KPIs'!$D:$D,'Sales Daily KPIs'!$B:$B,$C14,'Sales Daily KPIs'!$A:$A,"&gt;="&amp;$A14,'Sales Daily KPIs'!$A:$A,"&lt;="&amp;$B14))</f>
        <v/>
      </c>
      <c r="H14" s="19" t="str">
        <f aca="false">IF(A14="","",Targets!$B$3*Targets!$B$6)</f>
        <v/>
      </c>
      <c r="I14" s="19" t="str">
        <f aca="false">IF(A14="","",SUMIFS('Sales Daily KPIs'!$E:$E,'Sales Daily KPIs'!$B:$B,$C14,'Sales Daily KPIs'!$A:$A,"&gt;="&amp;$A14,'Sales Daily KPIs'!$A:$A,"&lt;="&amp;$B14))</f>
        <v/>
      </c>
      <c r="J14" s="19" t="str">
        <f aca="false">IF(A14="","",Targets!$B$4*Targets!$B$6)</f>
        <v/>
      </c>
      <c r="K14" s="16" t="str">
        <f aca="false">IF(A14="","",IFERROR(SUMIFS('Sales Daily KPIs'!$G:$G,'Sales Daily KPIs'!$B:$B,$C14,'Sales Daily KPIs'!$A:$A,"&gt;="&amp;$A14,'Sales Daily KPIs'!$A:$A,"&lt;="&amp;$B14)/SUMIFS('Sales Daily KPIs'!$F:$F,'Sales Daily KPIs'!$B:$B,$C14,'Sales Daily KPIs'!$A:$A,"&gt;="&amp;$A14,'Sales Daily KPIs'!$A:$A,"&lt;="&amp;$B14),""))</f>
        <v/>
      </c>
      <c r="L14" s="19" t="str">
        <f aca="false">IF(A14="","",SUMIFS('Sales Daily KPIs'!$I:$I,'Sales Daily KPIs'!$B:$B,$C14,'Sales Daily KPIs'!$A:$A,"&gt;="&amp;$A14,'Sales Daily KPIs'!$A:$A,"&lt;="&amp;$B14))</f>
        <v/>
      </c>
      <c r="M14" s="19" t="str">
        <f aca="false">IF(A14="","",Targets!$B$5)</f>
        <v/>
      </c>
      <c r="N14" s="14"/>
    </row>
    <row r="15" customFormat="false" ht="15" hidden="false" customHeight="false" outlineLevel="0" collapsed="false">
      <c r="A15" s="13"/>
      <c r="B15" s="18" t="str">
        <f aca="false">IF(A15="","",A15+6)</f>
        <v/>
      </c>
      <c r="C15" s="14"/>
      <c r="D15" s="19" t="str">
        <f aca="false">IF(A15="","",COUNTIFS('Sales Daily KPIs'!$B:$B,$C15,'Sales Daily KPIs'!$A:$A,"&gt;="&amp;$A15,'Sales Daily KPIs'!$A:$A,"&lt;="&amp;$B15,'Sales Daily KPIs'!$C:$C,"&lt;&gt;"))</f>
        <v/>
      </c>
      <c r="E15" s="19" t="str">
        <f aca="false">IF(A15="","",SUMIFS('Sales Daily KPIs'!$C:$C,'Sales Daily KPIs'!$B:$B,$C15,'Sales Daily KPIs'!$A:$A,"&gt;="&amp;$A15,'Sales Daily KPIs'!$A:$A,"&lt;="&amp;$B15))</f>
        <v/>
      </c>
      <c r="F15" s="19" t="str">
        <f aca="false">IF(A15="","",Targets!$B$2*Targets!$B$6)</f>
        <v/>
      </c>
      <c r="G15" s="19" t="str">
        <f aca="false">IF(A15="","",SUMIFS('Sales Daily KPIs'!$D:$D,'Sales Daily KPIs'!$B:$B,$C15,'Sales Daily KPIs'!$A:$A,"&gt;="&amp;$A15,'Sales Daily KPIs'!$A:$A,"&lt;="&amp;$B15))</f>
        <v/>
      </c>
      <c r="H15" s="19" t="str">
        <f aca="false">IF(A15="","",Targets!$B$3*Targets!$B$6)</f>
        <v/>
      </c>
      <c r="I15" s="19" t="str">
        <f aca="false">IF(A15="","",SUMIFS('Sales Daily KPIs'!$E:$E,'Sales Daily KPIs'!$B:$B,$C15,'Sales Daily KPIs'!$A:$A,"&gt;="&amp;$A15,'Sales Daily KPIs'!$A:$A,"&lt;="&amp;$B15))</f>
        <v/>
      </c>
      <c r="J15" s="19" t="str">
        <f aca="false">IF(A15="","",Targets!$B$4*Targets!$B$6)</f>
        <v/>
      </c>
      <c r="K15" s="16" t="str">
        <f aca="false">IF(A15="","",IFERROR(SUMIFS('Sales Daily KPIs'!$G:$G,'Sales Daily KPIs'!$B:$B,$C15,'Sales Daily KPIs'!$A:$A,"&gt;="&amp;$A15,'Sales Daily KPIs'!$A:$A,"&lt;="&amp;$B15)/SUMIFS('Sales Daily KPIs'!$F:$F,'Sales Daily KPIs'!$B:$B,$C15,'Sales Daily KPIs'!$A:$A,"&gt;="&amp;$A15,'Sales Daily KPIs'!$A:$A,"&lt;="&amp;$B15),""))</f>
        <v/>
      </c>
      <c r="L15" s="19" t="str">
        <f aca="false">IF(A15="","",SUMIFS('Sales Daily KPIs'!$I:$I,'Sales Daily KPIs'!$B:$B,$C15,'Sales Daily KPIs'!$A:$A,"&gt;="&amp;$A15,'Sales Daily KPIs'!$A:$A,"&lt;="&amp;$B15))</f>
        <v/>
      </c>
      <c r="M15" s="19" t="str">
        <f aca="false">IF(A15="","",Targets!$B$5)</f>
        <v/>
      </c>
      <c r="N15" s="14"/>
    </row>
    <row r="16" customFormat="false" ht="15" hidden="false" customHeight="false" outlineLevel="0" collapsed="false">
      <c r="A16" s="13"/>
      <c r="B16" s="18" t="str">
        <f aca="false">IF(A16="","",A16+6)</f>
        <v/>
      </c>
      <c r="C16" s="14"/>
      <c r="D16" s="19" t="str">
        <f aca="false">IF(A16="","",COUNTIFS('Sales Daily KPIs'!$B:$B,$C16,'Sales Daily KPIs'!$A:$A,"&gt;="&amp;$A16,'Sales Daily KPIs'!$A:$A,"&lt;="&amp;$B16,'Sales Daily KPIs'!$C:$C,"&lt;&gt;"))</f>
        <v/>
      </c>
      <c r="E16" s="19" t="str">
        <f aca="false">IF(A16="","",SUMIFS('Sales Daily KPIs'!$C:$C,'Sales Daily KPIs'!$B:$B,$C16,'Sales Daily KPIs'!$A:$A,"&gt;="&amp;$A16,'Sales Daily KPIs'!$A:$A,"&lt;="&amp;$B16))</f>
        <v/>
      </c>
      <c r="F16" s="19" t="str">
        <f aca="false">IF(A16="","",Targets!$B$2*Targets!$B$6)</f>
        <v/>
      </c>
      <c r="G16" s="19" t="str">
        <f aca="false">IF(A16="","",SUMIFS('Sales Daily KPIs'!$D:$D,'Sales Daily KPIs'!$B:$B,$C16,'Sales Daily KPIs'!$A:$A,"&gt;="&amp;$A16,'Sales Daily KPIs'!$A:$A,"&lt;="&amp;$B16))</f>
        <v/>
      </c>
      <c r="H16" s="19" t="str">
        <f aca="false">IF(A16="","",Targets!$B$3*Targets!$B$6)</f>
        <v/>
      </c>
      <c r="I16" s="19" t="str">
        <f aca="false">IF(A16="","",SUMIFS('Sales Daily KPIs'!$E:$E,'Sales Daily KPIs'!$B:$B,$C16,'Sales Daily KPIs'!$A:$A,"&gt;="&amp;$A16,'Sales Daily KPIs'!$A:$A,"&lt;="&amp;$B16))</f>
        <v/>
      </c>
      <c r="J16" s="19" t="str">
        <f aca="false">IF(A16="","",Targets!$B$4*Targets!$B$6)</f>
        <v/>
      </c>
      <c r="K16" s="16" t="str">
        <f aca="false">IF(A16="","",IFERROR(SUMIFS('Sales Daily KPIs'!$G:$G,'Sales Daily KPIs'!$B:$B,$C16,'Sales Daily KPIs'!$A:$A,"&gt;="&amp;$A16,'Sales Daily KPIs'!$A:$A,"&lt;="&amp;$B16)/SUMIFS('Sales Daily KPIs'!$F:$F,'Sales Daily KPIs'!$B:$B,$C16,'Sales Daily KPIs'!$A:$A,"&gt;="&amp;$A16,'Sales Daily KPIs'!$A:$A,"&lt;="&amp;$B16),""))</f>
        <v/>
      </c>
      <c r="L16" s="19" t="str">
        <f aca="false">IF(A16="","",SUMIFS('Sales Daily KPIs'!$I:$I,'Sales Daily KPIs'!$B:$B,$C16,'Sales Daily KPIs'!$A:$A,"&gt;="&amp;$A16,'Sales Daily KPIs'!$A:$A,"&lt;="&amp;$B16))</f>
        <v/>
      </c>
      <c r="M16" s="19" t="str">
        <f aca="false">IF(A16="","",Targets!$B$5)</f>
        <v/>
      </c>
      <c r="N16" s="14"/>
    </row>
    <row r="17" customFormat="false" ht="15" hidden="false" customHeight="false" outlineLevel="0" collapsed="false">
      <c r="A17" s="13"/>
      <c r="B17" s="18" t="str">
        <f aca="false">IF(A17="","",A17+6)</f>
        <v/>
      </c>
      <c r="C17" s="14"/>
      <c r="D17" s="19" t="str">
        <f aca="false">IF(A17="","",COUNTIFS('Sales Daily KPIs'!$B:$B,$C17,'Sales Daily KPIs'!$A:$A,"&gt;="&amp;$A17,'Sales Daily KPIs'!$A:$A,"&lt;="&amp;$B17,'Sales Daily KPIs'!$C:$C,"&lt;&gt;"))</f>
        <v/>
      </c>
      <c r="E17" s="19" t="str">
        <f aca="false">IF(A17="","",SUMIFS('Sales Daily KPIs'!$C:$C,'Sales Daily KPIs'!$B:$B,$C17,'Sales Daily KPIs'!$A:$A,"&gt;="&amp;$A17,'Sales Daily KPIs'!$A:$A,"&lt;="&amp;$B17))</f>
        <v/>
      </c>
      <c r="F17" s="19" t="str">
        <f aca="false">IF(A17="","",Targets!$B$2*Targets!$B$6)</f>
        <v/>
      </c>
      <c r="G17" s="19" t="str">
        <f aca="false">IF(A17="","",SUMIFS('Sales Daily KPIs'!$D:$D,'Sales Daily KPIs'!$B:$B,$C17,'Sales Daily KPIs'!$A:$A,"&gt;="&amp;$A17,'Sales Daily KPIs'!$A:$A,"&lt;="&amp;$B17))</f>
        <v/>
      </c>
      <c r="H17" s="19" t="str">
        <f aca="false">IF(A17="","",Targets!$B$3*Targets!$B$6)</f>
        <v/>
      </c>
      <c r="I17" s="19" t="str">
        <f aca="false">IF(A17="","",SUMIFS('Sales Daily KPIs'!$E:$E,'Sales Daily KPIs'!$B:$B,$C17,'Sales Daily KPIs'!$A:$A,"&gt;="&amp;$A17,'Sales Daily KPIs'!$A:$A,"&lt;="&amp;$B17))</f>
        <v/>
      </c>
      <c r="J17" s="19" t="str">
        <f aca="false">IF(A17="","",Targets!$B$4*Targets!$B$6)</f>
        <v/>
      </c>
      <c r="K17" s="16" t="str">
        <f aca="false">IF(A17="","",IFERROR(SUMIFS('Sales Daily KPIs'!$G:$G,'Sales Daily KPIs'!$B:$B,$C17,'Sales Daily KPIs'!$A:$A,"&gt;="&amp;$A17,'Sales Daily KPIs'!$A:$A,"&lt;="&amp;$B17)/SUMIFS('Sales Daily KPIs'!$F:$F,'Sales Daily KPIs'!$B:$B,$C17,'Sales Daily KPIs'!$A:$A,"&gt;="&amp;$A17,'Sales Daily KPIs'!$A:$A,"&lt;="&amp;$B17),""))</f>
        <v/>
      </c>
      <c r="L17" s="19" t="str">
        <f aca="false">IF(A17="","",SUMIFS('Sales Daily KPIs'!$I:$I,'Sales Daily KPIs'!$B:$B,$C17,'Sales Daily KPIs'!$A:$A,"&gt;="&amp;$A17,'Sales Daily KPIs'!$A:$A,"&lt;="&amp;$B17))</f>
        <v/>
      </c>
      <c r="M17" s="19" t="str">
        <f aca="false">IF(A17="","",Targets!$B$5)</f>
        <v/>
      </c>
      <c r="N17" s="14"/>
    </row>
    <row r="18" customFormat="false" ht="15" hidden="false" customHeight="false" outlineLevel="0" collapsed="false">
      <c r="A18" s="13"/>
      <c r="B18" s="18" t="str">
        <f aca="false">IF(A18="","",A18+6)</f>
        <v/>
      </c>
      <c r="C18" s="14"/>
      <c r="D18" s="19" t="str">
        <f aca="false">IF(A18="","",COUNTIFS('Sales Daily KPIs'!$B:$B,$C18,'Sales Daily KPIs'!$A:$A,"&gt;="&amp;$A18,'Sales Daily KPIs'!$A:$A,"&lt;="&amp;$B18,'Sales Daily KPIs'!$C:$C,"&lt;&gt;"))</f>
        <v/>
      </c>
      <c r="E18" s="19" t="str">
        <f aca="false">IF(A18="","",SUMIFS('Sales Daily KPIs'!$C:$C,'Sales Daily KPIs'!$B:$B,$C18,'Sales Daily KPIs'!$A:$A,"&gt;="&amp;$A18,'Sales Daily KPIs'!$A:$A,"&lt;="&amp;$B18))</f>
        <v/>
      </c>
      <c r="F18" s="19" t="str">
        <f aca="false">IF(A18="","",Targets!$B$2*Targets!$B$6)</f>
        <v/>
      </c>
      <c r="G18" s="19" t="str">
        <f aca="false">IF(A18="","",SUMIFS('Sales Daily KPIs'!$D:$D,'Sales Daily KPIs'!$B:$B,$C18,'Sales Daily KPIs'!$A:$A,"&gt;="&amp;$A18,'Sales Daily KPIs'!$A:$A,"&lt;="&amp;$B18))</f>
        <v/>
      </c>
      <c r="H18" s="19" t="str">
        <f aca="false">IF(A18="","",Targets!$B$3*Targets!$B$6)</f>
        <v/>
      </c>
      <c r="I18" s="19" t="str">
        <f aca="false">IF(A18="","",SUMIFS('Sales Daily KPIs'!$E:$E,'Sales Daily KPIs'!$B:$B,$C18,'Sales Daily KPIs'!$A:$A,"&gt;="&amp;$A18,'Sales Daily KPIs'!$A:$A,"&lt;="&amp;$B18))</f>
        <v/>
      </c>
      <c r="J18" s="19" t="str">
        <f aca="false">IF(A18="","",Targets!$B$4*Targets!$B$6)</f>
        <v/>
      </c>
      <c r="K18" s="16" t="str">
        <f aca="false">IF(A18="","",IFERROR(SUMIFS('Sales Daily KPIs'!$G:$G,'Sales Daily KPIs'!$B:$B,$C18,'Sales Daily KPIs'!$A:$A,"&gt;="&amp;$A18,'Sales Daily KPIs'!$A:$A,"&lt;="&amp;$B18)/SUMIFS('Sales Daily KPIs'!$F:$F,'Sales Daily KPIs'!$B:$B,$C18,'Sales Daily KPIs'!$A:$A,"&gt;="&amp;$A18,'Sales Daily KPIs'!$A:$A,"&lt;="&amp;$B18),""))</f>
        <v/>
      </c>
      <c r="L18" s="19" t="str">
        <f aca="false">IF(A18="","",SUMIFS('Sales Daily KPIs'!$I:$I,'Sales Daily KPIs'!$B:$B,$C18,'Sales Daily KPIs'!$A:$A,"&gt;="&amp;$A18,'Sales Daily KPIs'!$A:$A,"&lt;="&amp;$B18))</f>
        <v/>
      </c>
      <c r="M18" s="19" t="str">
        <f aca="false">IF(A18="","",Targets!$B$5)</f>
        <v/>
      </c>
      <c r="N18" s="14"/>
    </row>
    <row r="19" customFormat="false" ht="15" hidden="false" customHeight="false" outlineLevel="0" collapsed="false">
      <c r="A19" s="13"/>
      <c r="B19" s="18" t="str">
        <f aca="false">IF(A19="","",A19+6)</f>
        <v/>
      </c>
      <c r="C19" s="14"/>
      <c r="D19" s="19" t="str">
        <f aca="false">IF(A19="","",COUNTIFS('Sales Daily KPIs'!$B:$B,$C19,'Sales Daily KPIs'!$A:$A,"&gt;="&amp;$A19,'Sales Daily KPIs'!$A:$A,"&lt;="&amp;$B19,'Sales Daily KPIs'!$C:$C,"&lt;&gt;"))</f>
        <v/>
      </c>
      <c r="E19" s="19" t="str">
        <f aca="false">IF(A19="","",SUMIFS('Sales Daily KPIs'!$C:$C,'Sales Daily KPIs'!$B:$B,$C19,'Sales Daily KPIs'!$A:$A,"&gt;="&amp;$A19,'Sales Daily KPIs'!$A:$A,"&lt;="&amp;$B19))</f>
        <v/>
      </c>
      <c r="F19" s="19" t="str">
        <f aca="false">IF(A19="","",Targets!$B$2*Targets!$B$6)</f>
        <v/>
      </c>
      <c r="G19" s="19" t="str">
        <f aca="false">IF(A19="","",SUMIFS('Sales Daily KPIs'!$D:$D,'Sales Daily KPIs'!$B:$B,$C19,'Sales Daily KPIs'!$A:$A,"&gt;="&amp;$A19,'Sales Daily KPIs'!$A:$A,"&lt;="&amp;$B19))</f>
        <v/>
      </c>
      <c r="H19" s="19" t="str">
        <f aca="false">IF(A19="","",Targets!$B$3*Targets!$B$6)</f>
        <v/>
      </c>
      <c r="I19" s="19" t="str">
        <f aca="false">IF(A19="","",SUMIFS('Sales Daily KPIs'!$E:$E,'Sales Daily KPIs'!$B:$B,$C19,'Sales Daily KPIs'!$A:$A,"&gt;="&amp;$A19,'Sales Daily KPIs'!$A:$A,"&lt;="&amp;$B19))</f>
        <v/>
      </c>
      <c r="J19" s="19" t="str">
        <f aca="false">IF(A19="","",Targets!$B$4*Targets!$B$6)</f>
        <v/>
      </c>
      <c r="K19" s="16" t="str">
        <f aca="false">IF(A19="","",IFERROR(SUMIFS('Sales Daily KPIs'!$G:$G,'Sales Daily KPIs'!$B:$B,$C19,'Sales Daily KPIs'!$A:$A,"&gt;="&amp;$A19,'Sales Daily KPIs'!$A:$A,"&lt;="&amp;$B19)/SUMIFS('Sales Daily KPIs'!$F:$F,'Sales Daily KPIs'!$B:$B,$C19,'Sales Daily KPIs'!$A:$A,"&gt;="&amp;$A19,'Sales Daily KPIs'!$A:$A,"&lt;="&amp;$B19),""))</f>
        <v/>
      </c>
      <c r="L19" s="19" t="str">
        <f aca="false">IF(A19="","",SUMIFS('Sales Daily KPIs'!$I:$I,'Sales Daily KPIs'!$B:$B,$C19,'Sales Daily KPIs'!$A:$A,"&gt;="&amp;$A19,'Sales Daily KPIs'!$A:$A,"&lt;="&amp;$B19))</f>
        <v/>
      </c>
      <c r="M19" s="19" t="str">
        <f aca="false">IF(A19="","",Targets!$B$5)</f>
        <v/>
      </c>
      <c r="N19" s="14"/>
    </row>
    <row r="20" customFormat="false" ht="15" hidden="false" customHeight="false" outlineLevel="0" collapsed="false">
      <c r="A20" s="13"/>
      <c r="B20" s="18" t="str">
        <f aca="false">IF(A20="","",A20+6)</f>
        <v/>
      </c>
      <c r="C20" s="14"/>
      <c r="D20" s="19" t="str">
        <f aca="false">IF(A20="","",COUNTIFS('Sales Daily KPIs'!$B:$B,$C20,'Sales Daily KPIs'!$A:$A,"&gt;="&amp;$A20,'Sales Daily KPIs'!$A:$A,"&lt;="&amp;$B20,'Sales Daily KPIs'!$C:$C,"&lt;&gt;"))</f>
        <v/>
      </c>
      <c r="E20" s="19" t="str">
        <f aca="false">IF(A20="","",SUMIFS('Sales Daily KPIs'!$C:$C,'Sales Daily KPIs'!$B:$B,$C20,'Sales Daily KPIs'!$A:$A,"&gt;="&amp;$A20,'Sales Daily KPIs'!$A:$A,"&lt;="&amp;$B20))</f>
        <v/>
      </c>
      <c r="F20" s="19" t="str">
        <f aca="false">IF(A20="","",Targets!$B$2*Targets!$B$6)</f>
        <v/>
      </c>
      <c r="G20" s="19" t="str">
        <f aca="false">IF(A20="","",SUMIFS('Sales Daily KPIs'!$D:$D,'Sales Daily KPIs'!$B:$B,$C20,'Sales Daily KPIs'!$A:$A,"&gt;="&amp;$A20,'Sales Daily KPIs'!$A:$A,"&lt;="&amp;$B20))</f>
        <v/>
      </c>
      <c r="H20" s="19" t="str">
        <f aca="false">IF(A20="","",Targets!$B$3*Targets!$B$6)</f>
        <v/>
      </c>
      <c r="I20" s="19" t="str">
        <f aca="false">IF(A20="","",SUMIFS('Sales Daily KPIs'!$E:$E,'Sales Daily KPIs'!$B:$B,$C20,'Sales Daily KPIs'!$A:$A,"&gt;="&amp;$A20,'Sales Daily KPIs'!$A:$A,"&lt;="&amp;$B20))</f>
        <v/>
      </c>
      <c r="J20" s="19" t="str">
        <f aca="false">IF(A20="","",Targets!$B$4*Targets!$B$6)</f>
        <v/>
      </c>
      <c r="K20" s="16" t="str">
        <f aca="false">IF(A20="","",IFERROR(SUMIFS('Sales Daily KPIs'!$G:$G,'Sales Daily KPIs'!$B:$B,$C20,'Sales Daily KPIs'!$A:$A,"&gt;="&amp;$A20,'Sales Daily KPIs'!$A:$A,"&lt;="&amp;$B20)/SUMIFS('Sales Daily KPIs'!$F:$F,'Sales Daily KPIs'!$B:$B,$C20,'Sales Daily KPIs'!$A:$A,"&gt;="&amp;$A20,'Sales Daily KPIs'!$A:$A,"&lt;="&amp;$B20),""))</f>
        <v/>
      </c>
      <c r="L20" s="19" t="str">
        <f aca="false">IF(A20="","",SUMIFS('Sales Daily KPIs'!$I:$I,'Sales Daily KPIs'!$B:$B,$C20,'Sales Daily KPIs'!$A:$A,"&gt;="&amp;$A20,'Sales Daily KPIs'!$A:$A,"&lt;="&amp;$B20))</f>
        <v/>
      </c>
      <c r="M20" s="19" t="str">
        <f aca="false">IF(A20="","",Targets!$B$5)</f>
        <v/>
      </c>
      <c r="N20" s="14"/>
    </row>
    <row r="21" customFormat="false" ht="15" hidden="false" customHeight="false" outlineLevel="0" collapsed="false">
      <c r="A21" s="13"/>
      <c r="B21" s="18" t="str">
        <f aca="false">IF(A21="","",A21+6)</f>
        <v/>
      </c>
      <c r="C21" s="14"/>
      <c r="D21" s="19" t="str">
        <f aca="false">IF(A21="","",COUNTIFS('Sales Daily KPIs'!$B:$B,$C21,'Sales Daily KPIs'!$A:$A,"&gt;="&amp;$A21,'Sales Daily KPIs'!$A:$A,"&lt;="&amp;$B21,'Sales Daily KPIs'!$C:$C,"&lt;&gt;"))</f>
        <v/>
      </c>
      <c r="E21" s="19" t="str">
        <f aca="false">IF(A21="","",SUMIFS('Sales Daily KPIs'!$C:$C,'Sales Daily KPIs'!$B:$B,$C21,'Sales Daily KPIs'!$A:$A,"&gt;="&amp;$A21,'Sales Daily KPIs'!$A:$A,"&lt;="&amp;$B21))</f>
        <v/>
      </c>
      <c r="F21" s="19" t="str">
        <f aca="false">IF(A21="","",Targets!$B$2*Targets!$B$6)</f>
        <v/>
      </c>
      <c r="G21" s="19" t="str">
        <f aca="false">IF(A21="","",SUMIFS('Sales Daily KPIs'!$D:$D,'Sales Daily KPIs'!$B:$B,$C21,'Sales Daily KPIs'!$A:$A,"&gt;="&amp;$A21,'Sales Daily KPIs'!$A:$A,"&lt;="&amp;$B21))</f>
        <v/>
      </c>
      <c r="H21" s="19" t="str">
        <f aca="false">IF(A21="","",Targets!$B$3*Targets!$B$6)</f>
        <v/>
      </c>
      <c r="I21" s="19" t="str">
        <f aca="false">IF(A21="","",SUMIFS('Sales Daily KPIs'!$E:$E,'Sales Daily KPIs'!$B:$B,$C21,'Sales Daily KPIs'!$A:$A,"&gt;="&amp;$A21,'Sales Daily KPIs'!$A:$A,"&lt;="&amp;$B21))</f>
        <v/>
      </c>
      <c r="J21" s="19" t="str">
        <f aca="false">IF(A21="","",Targets!$B$4*Targets!$B$6)</f>
        <v/>
      </c>
      <c r="K21" s="16" t="str">
        <f aca="false">IF(A21="","",IFERROR(SUMIFS('Sales Daily KPIs'!$G:$G,'Sales Daily KPIs'!$B:$B,$C21,'Sales Daily KPIs'!$A:$A,"&gt;="&amp;$A21,'Sales Daily KPIs'!$A:$A,"&lt;="&amp;$B21)/SUMIFS('Sales Daily KPIs'!$F:$F,'Sales Daily KPIs'!$B:$B,$C21,'Sales Daily KPIs'!$A:$A,"&gt;="&amp;$A21,'Sales Daily KPIs'!$A:$A,"&lt;="&amp;$B21),""))</f>
        <v/>
      </c>
      <c r="L21" s="19" t="str">
        <f aca="false">IF(A21="","",SUMIFS('Sales Daily KPIs'!$I:$I,'Sales Daily KPIs'!$B:$B,$C21,'Sales Daily KPIs'!$A:$A,"&gt;="&amp;$A21,'Sales Daily KPIs'!$A:$A,"&lt;="&amp;$B21))</f>
        <v/>
      </c>
      <c r="M21" s="19" t="str">
        <f aca="false">IF(A21="","",Targets!$B$5)</f>
        <v/>
      </c>
      <c r="N21" s="14"/>
    </row>
    <row r="22" customFormat="false" ht="15" hidden="false" customHeight="false" outlineLevel="0" collapsed="false">
      <c r="A22" s="13"/>
      <c r="B22" s="18" t="str">
        <f aca="false">IF(A22="","",A22+6)</f>
        <v/>
      </c>
      <c r="C22" s="14"/>
      <c r="D22" s="19" t="str">
        <f aca="false">IF(A22="","",COUNTIFS('Sales Daily KPIs'!$B:$B,$C22,'Sales Daily KPIs'!$A:$A,"&gt;="&amp;$A22,'Sales Daily KPIs'!$A:$A,"&lt;="&amp;$B22,'Sales Daily KPIs'!$C:$C,"&lt;&gt;"))</f>
        <v/>
      </c>
      <c r="E22" s="19" t="str">
        <f aca="false">IF(A22="","",SUMIFS('Sales Daily KPIs'!$C:$C,'Sales Daily KPIs'!$B:$B,$C22,'Sales Daily KPIs'!$A:$A,"&gt;="&amp;$A22,'Sales Daily KPIs'!$A:$A,"&lt;="&amp;$B22))</f>
        <v/>
      </c>
      <c r="F22" s="19" t="str">
        <f aca="false">IF(A22="","",Targets!$B$2*Targets!$B$6)</f>
        <v/>
      </c>
      <c r="G22" s="19" t="str">
        <f aca="false">IF(A22="","",SUMIFS('Sales Daily KPIs'!$D:$D,'Sales Daily KPIs'!$B:$B,$C22,'Sales Daily KPIs'!$A:$A,"&gt;="&amp;$A22,'Sales Daily KPIs'!$A:$A,"&lt;="&amp;$B22))</f>
        <v/>
      </c>
      <c r="H22" s="19" t="str">
        <f aca="false">IF(A22="","",Targets!$B$3*Targets!$B$6)</f>
        <v/>
      </c>
      <c r="I22" s="19" t="str">
        <f aca="false">IF(A22="","",SUMIFS('Sales Daily KPIs'!$E:$E,'Sales Daily KPIs'!$B:$B,$C22,'Sales Daily KPIs'!$A:$A,"&gt;="&amp;$A22,'Sales Daily KPIs'!$A:$A,"&lt;="&amp;$B22))</f>
        <v/>
      </c>
      <c r="J22" s="19" t="str">
        <f aca="false">IF(A22="","",Targets!$B$4*Targets!$B$6)</f>
        <v/>
      </c>
      <c r="K22" s="16" t="str">
        <f aca="false">IF(A22="","",IFERROR(SUMIFS('Sales Daily KPIs'!$G:$G,'Sales Daily KPIs'!$B:$B,$C22,'Sales Daily KPIs'!$A:$A,"&gt;="&amp;$A22,'Sales Daily KPIs'!$A:$A,"&lt;="&amp;$B22)/SUMIFS('Sales Daily KPIs'!$F:$F,'Sales Daily KPIs'!$B:$B,$C22,'Sales Daily KPIs'!$A:$A,"&gt;="&amp;$A22,'Sales Daily KPIs'!$A:$A,"&lt;="&amp;$B22),""))</f>
        <v/>
      </c>
      <c r="L22" s="19" t="str">
        <f aca="false">IF(A22="","",SUMIFS('Sales Daily KPIs'!$I:$I,'Sales Daily KPIs'!$B:$B,$C22,'Sales Daily KPIs'!$A:$A,"&gt;="&amp;$A22,'Sales Daily KPIs'!$A:$A,"&lt;="&amp;$B22))</f>
        <v/>
      </c>
      <c r="M22" s="19" t="str">
        <f aca="false">IF(A22="","",Targets!$B$5)</f>
        <v/>
      </c>
      <c r="N22" s="14"/>
    </row>
    <row r="23" customFormat="false" ht="15" hidden="false" customHeight="false" outlineLevel="0" collapsed="false">
      <c r="A23" s="13"/>
      <c r="B23" s="18" t="str">
        <f aca="false">IF(A23="","",A23+6)</f>
        <v/>
      </c>
      <c r="C23" s="14"/>
      <c r="D23" s="19" t="str">
        <f aca="false">IF(A23="","",COUNTIFS('Sales Daily KPIs'!$B:$B,$C23,'Sales Daily KPIs'!$A:$A,"&gt;="&amp;$A23,'Sales Daily KPIs'!$A:$A,"&lt;="&amp;$B23,'Sales Daily KPIs'!$C:$C,"&lt;&gt;"))</f>
        <v/>
      </c>
      <c r="E23" s="19" t="str">
        <f aca="false">IF(A23="","",SUMIFS('Sales Daily KPIs'!$C:$C,'Sales Daily KPIs'!$B:$B,$C23,'Sales Daily KPIs'!$A:$A,"&gt;="&amp;$A23,'Sales Daily KPIs'!$A:$A,"&lt;="&amp;$B23))</f>
        <v/>
      </c>
      <c r="F23" s="19" t="str">
        <f aca="false">IF(A23="","",Targets!$B$2*Targets!$B$6)</f>
        <v/>
      </c>
      <c r="G23" s="19" t="str">
        <f aca="false">IF(A23="","",SUMIFS('Sales Daily KPIs'!$D:$D,'Sales Daily KPIs'!$B:$B,$C23,'Sales Daily KPIs'!$A:$A,"&gt;="&amp;$A23,'Sales Daily KPIs'!$A:$A,"&lt;="&amp;$B23))</f>
        <v/>
      </c>
      <c r="H23" s="19" t="str">
        <f aca="false">IF(A23="","",Targets!$B$3*Targets!$B$6)</f>
        <v/>
      </c>
      <c r="I23" s="19" t="str">
        <f aca="false">IF(A23="","",SUMIFS('Sales Daily KPIs'!$E:$E,'Sales Daily KPIs'!$B:$B,$C23,'Sales Daily KPIs'!$A:$A,"&gt;="&amp;$A23,'Sales Daily KPIs'!$A:$A,"&lt;="&amp;$B23))</f>
        <v/>
      </c>
      <c r="J23" s="19" t="str">
        <f aca="false">IF(A23="","",Targets!$B$4*Targets!$B$6)</f>
        <v/>
      </c>
      <c r="K23" s="16" t="str">
        <f aca="false">IF(A23="","",IFERROR(SUMIFS('Sales Daily KPIs'!$G:$G,'Sales Daily KPIs'!$B:$B,$C23,'Sales Daily KPIs'!$A:$A,"&gt;="&amp;$A23,'Sales Daily KPIs'!$A:$A,"&lt;="&amp;$B23)/SUMIFS('Sales Daily KPIs'!$F:$F,'Sales Daily KPIs'!$B:$B,$C23,'Sales Daily KPIs'!$A:$A,"&gt;="&amp;$A23,'Sales Daily KPIs'!$A:$A,"&lt;="&amp;$B23),""))</f>
        <v/>
      </c>
      <c r="L23" s="19" t="str">
        <f aca="false">IF(A23="","",SUMIFS('Sales Daily KPIs'!$I:$I,'Sales Daily KPIs'!$B:$B,$C23,'Sales Daily KPIs'!$A:$A,"&gt;="&amp;$A23,'Sales Daily KPIs'!$A:$A,"&lt;="&amp;$B23))</f>
        <v/>
      </c>
      <c r="M23" s="19" t="str">
        <f aca="false">IF(A23="","",Targets!$B$5)</f>
        <v/>
      </c>
      <c r="N23" s="14"/>
    </row>
    <row r="24" customFormat="false" ht="15" hidden="false" customHeight="false" outlineLevel="0" collapsed="false">
      <c r="A24" s="13"/>
      <c r="B24" s="18" t="str">
        <f aca="false">IF(A24="","",A24+6)</f>
        <v/>
      </c>
      <c r="C24" s="14"/>
      <c r="D24" s="19" t="str">
        <f aca="false">IF(A24="","",COUNTIFS('Sales Daily KPIs'!$B:$B,$C24,'Sales Daily KPIs'!$A:$A,"&gt;="&amp;$A24,'Sales Daily KPIs'!$A:$A,"&lt;="&amp;$B24,'Sales Daily KPIs'!$C:$C,"&lt;&gt;"))</f>
        <v/>
      </c>
      <c r="E24" s="19" t="str">
        <f aca="false">IF(A24="","",SUMIFS('Sales Daily KPIs'!$C:$C,'Sales Daily KPIs'!$B:$B,$C24,'Sales Daily KPIs'!$A:$A,"&gt;="&amp;$A24,'Sales Daily KPIs'!$A:$A,"&lt;="&amp;$B24))</f>
        <v/>
      </c>
      <c r="F24" s="19" t="str">
        <f aca="false">IF(A24="","",Targets!$B$2*Targets!$B$6)</f>
        <v/>
      </c>
      <c r="G24" s="19" t="str">
        <f aca="false">IF(A24="","",SUMIFS('Sales Daily KPIs'!$D:$D,'Sales Daily KPIs'!$B:$B,$C24,'Sales Daily KPIs'!$A:$A,"&gt;="&amp;$A24,'Sales Daily KPIs'!$A:$A,"&lt;="&amp;$B24))</f>
        <v/>
      </c>
      <c r="H24" s="19" t="str">
        <f aca="false">IF(A24="","",Targets!$B$3*Targets!$B$6)</f>
        <v/>
      </c>
      <c r="I24" s="19" t="str">
        <f aca="false">IF(A24="","",SUMIFS('Sales Daily KPIs'!$E:$E,'Sales Daily KPIs'!$B:$B,$C24,'Sales Daily KPIs'!$A:$A,"&gt;="&amp;$A24,'Sales Daily KPIs'!$A:$A,"&lt;="&amp;$B24))</f>
        <v/>
      </c>
      <c r="J24" s="19" t="str">
        <f aca="false">IF(A24="","",Targets!$B$4*Targets!$B$6)</f>
        <v/>
      </c>
      <c r="K24" s="16" t="str">
        <f aca="false">IF(A24="","",IFERROR(SUMIFS('Sales Daily KPIs'!$G:$G,'Sales Daily KPIs'!$B:$B,$C24,'Sales Daily KPIs'!$A:$A,"&gt;="&amp;$A24,'Sales Daily KPIs'!$A:$A,"&lt;="&amp;$B24)/SUMIFS('Sales Daily KPIs'!$F:$F,'Sales Daily KPIs'!$B:$B,$C24,'Sales Daily KPIs'!$A:$A,"&gt;="&amp;$A24,'Sales Daily KPIs'!$A:$A,"&lt;="&amp;$B24),""))</f>
        <v/>
      </c>
      <c r="L24" s="19" t="str">
        <f aca="false">IF(A24="","",SUMIFS('Sales Daily KPIs'!$I:$I,'Sales Daily KPIs'!$B:$B,$C24,'Sales Daily KPIs'!$A:$A,"&gt;="&amp;$A24,'Sales Daily KPIs'!$A:$A,"&lt;="&amp;$B24))</f>
        <v/>
      </c>
      <c r="M24" s="19" t="str">
        <f aca="false">IF(A24="","",Targets!$B$5)</f>
        <v/>
      </c>
      <c r="N24" s="14"/>
    </row>
    <row r="25" customFormat="false" ht="15" hidden="false" customHeight="false" outlineLevel="0" collapsed="false">
      <c r="A25" s="13"/>
      <c r="B25" s="18" t="str">
        <f aca="false">IF(A25="","",A25+6)</f>
        <v/>
      </c>
      <c r="C25" s="14"/>
      <c r="D25" s="19" t="str">
        <f aca="false">IF(A25="","",COUNTIFS('Sales Daily KPIs'!$B:$B,$C25,'Sales Daily KPIs'!$A:$A,"&gt;="&amp;$A25,'Sales Daily KPIs'!$A:$A,"&lt;="&amp;$B25,'Sales Daily KPIs'!$C:$C,"&lt;&gt;"))</f>
        <v/>
      </c>
      <c r="E25" s="19" t="str">
        <f aca="false">IF(A25="","",SUMIFS('Sales Daily KPIs'!$C:$C,'Sales Daily KPIs'!$B:$B,$C25,'Sales Daily KPIs'!$A:$A,"&gt;="&amp;$A25,'Sales Daily KPIs'!$A:$A,"&lt;="&amp;$B25))</f>
        <v/>
      </c>
      <c r="F25" s="19" t="str">
        <f aca="false">IF(A25="","",Targets!$B$2*Targets!$B$6)</f>
        <v/>
      </c>
      <c r="G25" s="19" t="str">
        <f aca="false">IF(A25="","",SUMIFS('Sales Daily KPIs'!$D:$D,'Sales Daily KPIs'!$B:$B,$C25,'Sales Daily KPIs'!$A:$A,"&gt;="&amp;$A25,'Sales Daily KPIs'!$A:$A,"&lt;="&amp;$B25))</f>
        <v/>
      </c>
      <c r="H25" s="19" t="str">
        <f aca="false">IF(A25="","",Targets!$B$3*Targets!$B$6)</f>
        <v/>
      </c>
      <c r="I25" s="19" t="str">
        <f aca="false">IF(A25="","",SUMIFS('Sales Daily KPIs'!$E:$E,'Sales Daily KPIs'!$B:$B,$C25,'Sales Daily KPIs'!$A:$A,"&gt;="&amp;$A25,'Sales Daily KPIs'!$A:$A,"&lt;="&amp;$B25))</f>
        <v/>
      </c>
      <c r="J25" s="19" t="str">
        <f aca="false">IF(A25="","",Targets!$B$4*Targets!$B$6)</f>
        <v/>
      </c>
      <c r="K25" s="16" t="str">
        <f aca="false">IF(A25="","",IFERROR(SUMIFS('Sales Daily KPIs'!$G:$G,'Sales Daily KPIs'!$B:$B,$C25,'Sales Daily KPIs'!$A:$A,"&gt;="&amp;$A25,'Sales Daily KPIs'!$A:$A,"&lt;="&amp;$B25)/SUMIFS('Sales Daily KPIs'!$F:$F,'Sales Daily KPIs'!$B:$B,$C25,'Sales Daily KPIs'!$A:$A,"&gt;="&amp;$A25,'Sales Daily KPIs'!$A:$A,"&lt;="&amp;$B25),""))</f>
        <v/>
      </c>
      <c r="L25" s="19" t="str">
        <f aca="false">IF(A25="","",SUMIFS('Sales Daily KPIs'!$I:$I,'Sales Daily KPIs'!$B:$B,$C25,'Sales Daily KPIs'!$A:$A,"&gt;="&amp;$A25,'Sales Daily KPIs'!$A:$A,"&lt;="&amp;$B25))</f>
        <v/>
      </c>
      <c r="M25" s="19" t="str">
        <f aca="false">IF(A25="","",Targets!$B$5)</f>
        <v/>
      </c>
      <c r="N25" s="14"/>
    </row>
    <row r="26" customFormat="false" ht="15" hidden="false" customHeight="false" outlineLevel="0" collapsed="false">
      <c r="A26" s="13"/>
      <c r="B26" s="18" t="str">
        <f aca="false">IF(A26="","",A26+6)</f>
        <v/>
      </c>
      <c r="C26" s="14"/>
      <c r="D26" s="19" t="str">
        <f aca="false">IF(A26="","",COUNTIFS('Sales Daily KPIs'!$B:$B,$C26,'Sales Daily KPIs'!$A:$A,"&gt;="&amp;$A26,'Sales Daily KPIs'!$A:$A,"&lt;="&amp;$B26,'Sales Daily KPIs'!$C:$C,"&lt;&gt;"))</f>
        <v/>
      </c>
      <c r="E26" s="19" t="str">
        <f aca="false">IF(A26="","",SUMIFS('Sales Daily KPIs'!$C:$C,'Sales Daily KPIs'!$B:$B,$C26,'Sales Daily KPIs'!$A:$A,"&gt;="&amp;$A26,'Sales Daily KPIs'!$A:$A,"&lt;="&amp;$B26))</f>
        <v/>
      </c>
      <c r="F26" s="19" t="str">
        <f aca="false">IF(A26="","",Targets!$B$2*Targets!$B$6)</f>
        <v/>
      </c>
      <c r="G26" s="19" t="str">
        <f aca="false">IF(A26="","",SUMIFS('Sales Daily KPIs'!$D:$D,'Sales Daily KPIs'!$B:$B,$C26,'Sales Daily KPIs'!$A:$A,"&gt;="&amp;$A26,'Sales Daily KPIs'!$A:$A,"&lt;="&amp;$B26))</f>
        <v/>
      </c>
      <c r="H26" s="19" t="str">
        <f aca="false">IF(A26="","",Targets!$B$3*Targets!$B$6)</f>
        <v/>
      </c>
      <c r="I26" s="19" t="str">
        <f aca="false">IF(A26="","",SUMIFS('Sales Daily KPIs'!$E:$E,'Sales Daily KPIs'!$B:$B,$C26,'Sales Daily KPIs'!$A:$A,"&gt;="&amp;$A26,'Sales Daily KPIs'!$A:$A,"&lt;="&amp;$B26))</f>
        <v/>
      </c>
      <c r="J26" s="19" t="str">
        <f aca="false">IF(A26="","",Targets!$B$4*Targets!$B$6)</f>
        <v/>
      </c>
      <c r="K26" s="16" t="str">
        <f aca="false">IF(A26="","",IFERROR(SUMIFS('Sales Daily KPIs'!$G:$G,'Sales Daily KPIs'!$B:$B,$C26,'Sales Daily KPIs'!$A:$A,"&gt;="&amp;$A26,'Sales Daily KPIs'!$A:$A,"&lt;="&amp;$B26)/SUMIFS('Sales Daily KPIs'!$F:$F,'Sales Daily KPIs'!$B:$B,$C26,'Sales Daily KPIs'!$A:$A,"&gt;="&amp;$A26,'Sales Daily KPIs'!$A:$A,"&lt;="&amp;$B26),""))</f>
        <v/>
      </c>
      <c r="L26" s="19" t="str">
        <f aca="false">IF(A26="","",SUMIFS('Sales Daily KPIs'!$I:$I,'Sales Daily KPIs'!$B:$B,$C26,'Sales Daily KPIs'!$A:$A,"&gt;="&amp;$A26,'Sales Daily KPIs'!$A:$A,"&lt;="&amp;$B26))</f>
        <v/>
      </c>
      <c r="M26" s="19" t="str">
        <f aca="false">IF(A26="","",Targets!$B$5)</f>
        <v/>
      </c>
      <c r="N26" s="14"/>
    </row>
    <row r="27" customFormat="false" ht="15" hidden="false" customHeight="false" outlineLevel="0" collapsed="false">
      <c r="A27" s="13"/>
      <c r="B27" s="18" t="str">
        <f aca="false">IF(A27="","",A27+6)</f>
        <v/>
      </c>
      <c r="C27" s="14"/>
      <c r="D27" s="19" t="str">
        <f aca="false">IF(A27="","",COUNTIFS('Sales Daily KPIs'!$B:$B,$C27,'Sales Daily KPIs'!$A:$A,"&gt;="&amp;$A27,'Sales Daily KPIs'!$A:$A,"&lt;="&amp;$B27,'Sales Daily KPIs'!$C:$C,"&lt;&gt;"))</f>
        <v/>
      </c>
      <c r="E27" s="19" t="str">
        <f aca="false">IF(A27="","",SUMIFS('Sales Daily KPIs'!$C:$C,'Sales Daily KPIs'!$B:$B,$C27,'Sales Daily KPIs'!$A:$A,"&gt;="&amp;$A27,'Sales Daily KPIs'!$A:$A,"&lt;="&amp;$B27))</f>
        <v/>
      </c>
      <c r="F27" s="19" t="str">
        <f aca="false">IF(A27="","",Targets!$B$2*Targets!$B$6)</f>
        <v/>
      </c>
      <c r="G27" s="19" t="str">
        <f aca="false">IF(A27="","",SUMIFS('Sales Daily KPIs'!$D:$D,'Sales Daily KPIs'!$B:$B,$C27,'Sales Daily KPIs'!$A:$A,"&gt;="&amp;$A27,'Sales Daily KPIs'!$A:$A,"&lt;="&amp;$B27))</f>
        <v/>
      </c>
      <c r="H27" s="19" t="str">
        <f aca="false">IF(A27="","",Targets!$B$3*Targets!$B$6)</f>
        <v/>
      </c>
      <c r="I27" s="19" t="str">
        <f aca="false">IF(A27="","",SUMIFS('Sales Daily KPIs'!$E:$E,'Sales Daily KPIs'!$B:$B,$C27,'Sales Daily KPIs'!$A:$A,"&gt;="&amp;$A27,'Sales Daily KPIs'!$A:$A,"&lt;="&amp;$B27))</f>
        <v/>
      </c>
      <c r="J27" s="19" t="str">
        <f aca="false">IF(A27="","",Targets!$B$4*Targets!$B$6)</f>
        <v/>
      </c>
      <c r="K27" s="16" t="str">
        <f aca="false">IF(A27="","",IFERROR(SUMIFS('Sales Daily KPIs'!$G:$G,'Sales Daily KPIs'!$B:$B,$C27,'Sales Daily KPIs'!$A:$A,"&gt;="&amp;$A27,'Sales Daily KPIs'!$A:$A,"&lt;="&amp;$B27)/SUMIFS('Sales Daily KPIs'!$F:$F,'Sales Daily KPIs'!$B:$B,$C27,'Sales Daily KPIs'!$A:$A,"&gt;="&amp;$A27,'Sales Daily KPIs'!$A:$A,"&lt;="&amp;$B27),""))</f>
        <v/>
      </c>
      <c r="L27" s="19" t="str">
        <f aca="false">IF(A27="","",SUMIFS('Sales Daily KPIs'!$I:$I,'Sales Daily KPIs'!$B:$B,$C27,'Sales Daily KPIs'!$A:$A,"&gt;="&amp;$A27,'Sales Daily KPIs'!$A:$A,"&lt;="&amp;$B27))</f>
        <v/>
      </c>
      <c r="M27" s="19" t="str">
        <f aca="false">IF(A27="","",Targets!$B$5)</f>
        <v/>
      </c>
      <c r="N27" s="14"/>
    </row>
    <row r="28" customFormat="false" ht="15" hidden="false" customHeight="false" outlineLevel="0" collapsed="false">
      <c r="A28" s="13"/>
      <c r="B28" s="18" t="str">
        <f aca="false">IF(A28="","",A28+6)</f>
        <v/>
      </c>
      <c r="C28" s="14"/>
      <c r="D28" s="19" t="str">
        <f aca="false">IF(A28="","",COUNTIFS('Sales Daily KPIs'!$B:$B,$C28,'Sales Daily KPIs'!$A:$A,"&gt;="&amp;$A28,'Sales Daily KPIs'!$A:$A,"&lt;="&amp;$B28,'Sales Daily KPIs'!$C:$C,"&lt;&gt;"))</f>
        <v/>
      </c>
      <c r="E28" s="19" t="str">
        <f aca="false">IF(A28="","",SUMIFS('Sales Daily KPIs'!$C:$C,'Sales Daily KPIs'!$B:$B,$C28,'Sales Daily KPIs'!$A:$A,"&gt;="&amp;$A28,'Sales Daily KPIs'!$A:$A,"&lt;="&amp;$B28))</f>
        <v/>
      </c>
      <c r="F28" s="19" t="str">
        <f aca="false">IF(A28="","",Targets!$B$2*Targets!$B$6)</f>
        <v/>
      </c>
      <c r="G28" s="19" t="str">
        <f aca="false">IF(A28="","",SUMIFS('Sales Daily KPIs'!$D:$D,'Sales Daily KPIs'!$B:$B,$C28,'Sales Daily KPIs'!$A:$A,"&gt;="&amp;$A28,'Sales Daily KPIs'!$A:$A,"&lt;="&amp;$B28))</f>
        <v/>
      </c>
      <c r="H28" s="19" t="str">
        <f aca="false">IF(A28="","",Targets!$B$3*Targets!$B$6)</f>
        <v/>
      </c>
      <c r="I28" s="19" t="str">
        <f aca="false">IF(A28="","",SUMIFS('Sales Daily KPIs'!$E:$E,'Sales Daily KPIs'!$B:$B,$C28,'Sales Daily KPIs'!$A:$A,"&gt;="&amp;$A28,'Sales Daily KPIs'!$A:$A,"&lt;="&amp;$B28))</f>
        <v/>
      </c>
      <c r="J28" s="19" t="str">
        <f aca="false">IF(A28="","",Targets!$B$4*Targets!$B$6)</f>
        <v/>
      </c>
      <c r="K28" s="16" t="str">
        <f aca="false">IF(A28="","",IFERROR(SUMIFS('Sales Daily KPIs'!$G:$G,'Sales Daily KPIs'!$B:$B,$C28,'Sales Daily KPIs'!$A:$A,"&gt;="&amp;$A28,'Sales Daily KPIs'!$A:$A,"&lt;="&amp;$B28)/SUMIFS('Sales Daily KPIs'!$F:$F,'Sales Daily KPIs'!$B:$B,$C28,'Sales Daily KPIs'!$A:$A,"&gt;="&amp;$A28,'Sales Daily KPIs'!$A:$A,"&lt;="&amp;$B28),""))</f>
        <v/>
      </c>
      <c r="L28" s="19" t="str">
        <f aca="false">IF(A28="","",SUMIFS('Sales Daily KPIs'!$I:$I,'Sales Daily KPIs'!$B:$B,$C28,'Sales Daily KPIs'!$A:$A,"&gt;="&amp;$A28,'Sales Daily KPIs'!$A:$A,"&lt;="&amp;$B28))</f>
        <v/>
      </c>
      <c r="M28" s="19" t="str">
        <f aca="false">IF(A28="","",Targets!$B$5)</f>
        <v/>
      </c>
      <c r="N28" s="14"/>
    </row>
    <row r="29" customFormat="false" ht="15" hidden="false" customHeight="false" outlineLevel="0" collapsed="false">
      <c r="A29" s="13"/>
      <c r="B29" s="18" t="str">
        <f aca="false">IF(A29="","",A29+6)</f>
        <v/>
      </c>
      <c r="C29" s="14"/>
      <c r="D29" s="19" t="str">
        <f aca="false">IF(A29="","",COUNTIFS('Sales Daily KPIs'!$B:$B,$C29,'Sales Daily KPIs'!$A:$A,"&gt;="&amp;$A29,'Sales Daily KPIs'!$A:$A,"&lt;="&amp;$B29,'Sales Daily KPIs'!$C:$C,"&lt;&gt;"))</f>
        <v/>
      </c>
      <c r="E29" s="19" t="str">
        <f aca="false">IF(A29="","",SUMIFS('Sales Daily KPIs'!$C:$C,'Sales Daily KPIs'!$B:$B,$C29,'Sales Daily KPIs'!$A:$A,"&gt;="&amp;$A29,'Sales Daily KPIs'!$A:$A,"&lt;="&amp;$B29))</f>
        <v/>
      </c>
      <c r="F29" s="19" t="str">
        <f aca="false">IF(A29="","",Targets!$B$2*Targets!$B$6)</f>
        <v/>
      </c>
      <c r="G29" s="19" t="str">
        <f aca="false">IF(A29="","",SUMIFS('Sales Daily KPIs'!$D:$D,'Sales Daily KPIs'!$B:$B,$C29,'Sales Daily KPIs'!$A:$A,"&gt;="&amp;$A29,'Sales Daily KPIs'!$A:$A,"&lt;="&amp;$B29))</f>
        <v/>
      </c>
      <c r="H29" s="19" t="str">
        <f aca="false">IF(A29="","",Targets!$B$3*Targets!$B$6)</f>
        <v/>
      </c>
      <c r="I29" s="19" t="str">
        <f aca="false">IF(A29="","",SUMIFS('Sales Daily KPIs'!$E:$E,'Sales Daily KPIs'!$B:$B,$C29,'Sales Daily KPIs'!$A:$A,"&gt;="&amp;$A29,'Sales Daily KPIs'!$A:$A,"&lt;="&amp;$B29))</f>
        <v/>
      </c>
      <c r="J29" s="19" t="str">
        <f aca="false">IF(A29="","",Targets!$B$4*Targets!$B$6)</f>
        <v/>
      </c>
      <c r="K29" s="16" t="str">
        <f aca="false">IF(A29="","",IFERROR(SUMIFS('Sales Daily KPIs'!$G:$G,'Sales Daily KPIs'!$B:$B,$C29,'Sales Daily KPIs'!$A:$A,"&gt;="&amp;$A29,'Sales Daily KPIs'!$A:$A,"&lt;="&amp;$B29)/SUMIFS('Sales Daily KPIs'!$F:$F,'Sales Daily KPIs'!$B:$B,$C29,'Sales Daily KPIs'!$A:$A,"&gt;="&amp;$A29,'Sales Daily KPIs'!$A:$A,"&lt;="&amp;$B29),""))</f>
        <v/>
      </c>
      <c r="L29" s="19" t="str">
        <f aca="false">IF(A29="","",SUMIFS('Sales Daily KPIs'!$I:$I,'Sales Daily KPIs'!$B:$B,$C29,'Sales Daily KPIs'!$A:$A,"&gt;="&amp;$A29,'Sales Daily KPIs'!$A:$A,"&lt;="&amp;$B29))</f>
        <v/>
      </c>
      <c r="M29" s="19" t="str">
        <f aca="false">IF(A29="","",Targets!$B$5)</f>
        <v/>
      </c>
      <c r="N29" s="14"/>
    </row>
    <row r="30" customFormat="false" ht="15" hidden="false" customHeight="false" outlineLevel="0" collapsed="false">
      <c r="A30" s="13"/>
      <c r="B30" s="18" t="str">
        <f aca="false">IF(A30="","",A30+6)</f>
        <v/>
      </c>
      <c r="C30" s="14"/>
      <c r="D30" s="19" t="str">
        <f aca="false">IF(A30="","",COUNTIFS('Sales Daily KPIs'!$B:$B,$C30,'Sales Daily KPIs'!$A:$A,"&gt;="&amp;$A30,'Sales Daily KPIs'!$A:$A,"&lt;="&amp;$B30,'Sales Daily KPIs'!$C:$C,"&lt;&gt;"))</f>
        <v/>
      </c>
      <c r="E30" s="19" t="str">
        <f aca="false">IF(A30="","",SUMIFS('Sales Daily KPIs'!$C:$C,'Sales Daily KPIs'!$B:$B,$C30,'Sales Daily KPIs'!$A:$A,"&gt;="&amp;$A30,'Sales Daily KPIs'!$A:$A,"&lt;="&amp;$B30))</f>
        <v/>
      </c>
      <c r="F30" s="19" t="str">
        <f aca="false">IF(A30="","",Targets!$B$2*Targets!$B$6)</f>
        <v/>
      </c>
      <c r="G30" s="19" t="str">
        <f aca="false">IF(A30="","",SUMIFS('Sales Daily KPIs'!$D:$D,'Sales Daily KPIs'!$B:$B,$C30,'Sales Daily KPIs'!$A:$A,"&gt;="&amp;$A30,'Sales Daily KPIs'!$A:$A,"&lt;="&amp;$B30))</f>
        <v/>
      </c>
      <c r="H30" s="19" t="str">
        <f aca="false">IF(A30="","",Targets!$B$3*Targets!$B$6)</f>
        <v/>
      </c>
      <c r="I30" s="19" t="str">
        <f aca="false">IF(A30="","",SUMIFS('Sales Daily KPIs'!$E:$E,'Sales Daily KPIs'!$B:$B,$C30,'Sales Daily KPIs'!$A:$A,"&gt;="&amp;$A30,'Sales Daily KPIs'!$A:$A,"&lt;="&amp;$B30))</f>
        <v/>
      </c>
      <c r="J30" s="19" t="str">
        <f aca="false">IF(A30="","",Targets!$B$4*Targets!$B$6)</f>
        <v/>
      </c>
      <c r="K30" s="16" t="str">
        <f aca="false">IF(A30="","",IFERROR(SUMIFS('Sales Daily KPIs'!$G:$G,'Sales Daily KPIs'!$B:$B,$C30,'Sales Daily KPIs'!$A:$A,"&gt;="&amp;$A30,'Sales Daily KPIs'!$A:$A,"&lt;="&amp;$B30)/SUMIFS('Sales Daily KPIs'!$F:$F,'Sales Daily KPIs'!$B:$B,$C30,'Sales Daily KPIs'!$A:$A,"&gt;="&amp;$A30,'Sales Daily KPIs'!$A:$A,"&lt;="&amp;$B30),""))</f>
        <v/>
      </c>
      <c r="L30" s="19" t="str">
        <f aca="false">IF(A30="","",SUMIFS('Sales Daily KPIs'!$I:$I,'Sales Daily KPIs'!$B:$B,$C30,'Sales Daily KPIs'!$A:$A,"&gt;="&amp;$A30,'Sales Daily KPIs'!$A:$A,"&lt;="&amp;$B30))</f>
        <v/>
      </c>
      <c r="M30" s="19" t="str">
        <f aca="false">IF(A30="","",Targets!$B$5)</f>
        <v/>
      </c>
      <c r="N30" s="14"/>
    </row>
    <row r="31" customFormat="false" ht="15" hidden="false" customHeight="false" outlineLevel="0" collapsed="false">
      <c r="A31" s="13"/>
      <c r="B31" s="18" t="str">
        <f aca="false">IF(A31="","",A31+6)</f>
        <v/>
      </c>
      <c r="C31" s="14"/>
      <c r="D31" s="19" t="str">
        <f aca="false">IF(A31="","",COUNTIFS('Sales Daily KPIs'!$B:$B,$C31,'Sales Daily KPIs'!$A:$A,"&gt;="&amp;$A31,'Sales Daily KPIs'!$A:$A,"&lt;="&amp;$B31,'Sales Daily KPIs'!$C:$C,"&lt;&gt;"))</f>
        <v/>
      </c>
      <c r="E31" s="19" t="str">
        <f aca="false">IF(A31="","",SUMIFS('Sales Daily KPIs'!$C:$C,'Sales Daily KPIs'!$B:$B,$C31,'Sales Daily KPIs'!$A:$A,"&gt;="&amp;$A31,'Sales Daily KPIs'!$A:$A,"&lt;="&amp;$B31))</f>
        <v/>
      </c>
      <c r="F31" s="19" t="str">
        <f aca="false">IF(A31="","",Targets!$B$2*Targets!$B$6)</f>
        <v/>
      </c>
      <c r="G31" s="19" t="str">
        <f aca="false">IF(A31="","",SUMIFS('Sales Daily KPIs'!$D:$D,'Sales Daily KPIs'!$B:$B,$C31,'Sales Daily KPIs'!$A:$A,"&gt;="&amp;$A31,'Sales Daily KPIs'!$A:$A,"&lt;="&amp;$B31))</f>
        <v/>
      </c>
      <c r="H31" s="19" t="str">
        <f aca="false">IF(A31="","",Targets!$B$3*Targets!$B$6)</f>
        <v/>
      </c>
      <c r="I31" s="19" t="str">
        <f aca="false">IF(A31="","",SUMIFS('Sales Daily KPIs'!$E:$E,'Sales Daily KPIs'!$B:$B,$C31,'Sales Daily KPIs'!$A:$A,"&gt;="&amp;$A31,'Sales Daily KPIs'!$A:$A,"&lt;="&amp;$B31))</f>
        <v/>
      </c>
      <c r="J31" s="19" t="str">
        <f aca="false">IF(A31="","",Targets!$B$4*Targets!$B$6)</f>
        <v/>
      </c>
      <c r="K31" s="16" t="str">
        <f aca="false">IF(A31="","",IFERROR(SUMIFS('Sales Daily KPIs'!$G:$G,'Sales Daily KPIs'!$B:$B,$C31,'Sales Daily KPIs'!$A:$A,"&gt;="&amp;$A31,'Sales Daily KPIs'!$A:$A,"&lt;="&amp;$B31)/SUMIFS('Sales Daily KPIs'!$F:$F,'Sales Daily KPIs'!$B:$B,$C31,'Sales Daily KPIs'!$A:$A,"&gt;="&amp;$A31,'Sales Daily KPIs'!$A:$A,"&lt;="&amp;$B31),""))</f>
        <v/>
      </c>
      <c r="L31" s="19" t="str">
        <f aca="false">IF(A31="","",SUMIFS('Sales Daily KPIs'!$I:$I,'Sales Daily KPIs'!$B:$B,$C31,'Sales Daily KPIs'!$A:$A,"&gt;="&amp;$A31,'Sales Daily KPIs'!$A:$A,"&lt;="&amp;$B31))</f>
        <v/>
      </c>
      <c r="M31" s="19" t="str">
        <f aca="false">IF(A31="","",Targets!$B$5)</f>
        <v/>
      </c>
      <c r="N31" s="14"/>
    </row>
    <row r="32" customFormat="false" ht="15" hidden="false" customHeight="false" outlineLevel="0" collapsed="false">
      <c r="A32" s="13"/>
      <c r="B32" s="18" t="str">
        <f aca="false">IF(A32="","",A32+6)</f>
        <v/>
      </c>
      <c r="C32" s="14"/>
      <c r="D32" s="19" t="str">
        <f aca="false">IF(A32="","",COUNTIFS('Sales Daily KPIs'!$B:$B,$C32,'Sales Daily KPIs'!$A:$A,"&gt;="&amp;$A32,'Sales Daily KPIs'!$A:$A,"&lt;="&amp;$B32,'Sales Daily KPIs'!$C:$C,"&lt;&gt;"))</f>
        <v/>
      </c>
      <c r="E32" s="19" t="str">
        <f aca="false">IF(A32="","",SUMIFS('Sales Daily KPIs'!$C:$C,'Sales Daily KPIs'!$B:$B,$C32,'Sales Daily KPIs'!$A:$A,"&gt;="&amp;$A32,'Sales Daily KPIs'!$A:$A,"&lt;="&amp;$B32))</f>
        <v/>
      </c>
      <c r="F32" s="19" t="str">
        <f aca="false">IF(A32="","",Targets!$B$2*Targets!$B$6)</f>
        <v/>
      </c>
      <c r="G32" s="19" t="str">
        <f aca="false">IF(A32="","",SUMIFS('Sales Daily KPIs'!$D:$D,'Sales Daily KPIs'!$B:$B,$C32,'Sales Daily KPIs'!$A:$A,"&gt;="&amp;$A32,'Sales Daily KPIs'!$A:$A,"&lt;="&amp;$B32))</f>
        <v/>
      </c>
      <c r="H32" s="19" t="str">
        <f aca="false">IF(A32="","",Targets!$B$3*Targets!$B$6)</f>
        <v/>
      </c>
      <c r="I32" s="19" t="str">
        <f aca="false">IF(A32="","",SUMIFS('Sales Daily KPIs'!$E:$E,'Sales Daily KPIs'!$B:$B,$C32,'Sales Daily KPIs'!$A:$A,"&gt;="&amp;$A32,'Sales Daily KPIs'!$A:$A,"&lt;="&amp;$B32))</f>
        <v/>
      </c>
      <c r="J32" s="19" t="str">
        <f aca="false">IF(A32="","",Targets!$B$4*Targets!$B$6)</f>
        <v/>
      </c>
      <c r="K32" s="16" t="str">
        <f aca="false">IF(A32="","",IFERROR(SUMIFS('Sales Daily KPIs'!$G:$G,'Sales Daily KPIs'!$B:$B,$C32,'Sales Daily KPIs'!$A:$A,"&gt;="&amp;$A32,'Sales Daily KPIs'!$A:$A,"&lt;="&amp;$B32)/SUMIFS('Sales Daily KPIs'!$F:$F,'Sales Daily KPIs'!$B:$B,$C32,'Sales Daily KPIs'!$A:$A,"&gt;="&amp;$A32,'Sales Daily KPIs'!$A:$A,"&lt;="&amp;$B32),""))</f>
        <v/>
      </c>
      <c r="L32" s="19" t="str">
        <f aca="false">IF(A32="","",SUMIFS('Sales Daily KPIs'!$I:$I,'Sales Daily KPIs'!$B:$B,$C32,'Sales Daily KPIs'!$A:$A,"&gt;="&amp;$A32,'Sales Daily KPIs'!$A:$A,"&lt;="&amp;$B32))</f>
        <v/>
      </c>
      <c r="M32" s="19" t="str">
        <f aca="false">IF(A32="","",Targets!$B$5)</f>
        <v/>
      </c>
      <c r="N32" s="14"/>
    </row>
    <row r="33" customFormat="false" ht="15" hidden="false" customHeight="false" outlineLevel="0" collapsed="false">
      <c r="A33" s="13"/>
      <c r="B33" s="18" t="str">
        <f aca="false">IF(A33="","",A33+6)</f>
        <v/>
      </c>
      <c r="C33" s="14"/>
      <c r="D33" s="19" t="str">
        <f aca="false">IF(A33="","",COUNTIFS('Sales Daily KPIs'!$B:$B,$C33,'Sales Daily KPIs'!$A:$A,"&gt;="&amp;$A33,'Sales Daily KPIs'!$A:$A,"&lt;="&amp;$B33,'Sales Daily KPIs'!$C:$C,"&lt;&gt;"))</f>
        <v/>
      </c>
      <c r="E33" s="19" t="str">
        <f aca="false">IF(A33="","",SUMIFS('Sales Daily KPIs'!$C:$C,'Sales Daily KPIs'!$B:$B,$C33,'Sales Daily KPIs'!$A:$A,"&gt;="&amp;$A33,'Sales Daily KPIs'!$A:$A,"&lt;="&amp;$B33))</f>
        <v/>
      </c>
      <c r="F33" s="19" t="str">
        <f aca="false">IF(A33="","",Targets!$B$2*Targets!$B$6)</f>
        <v/>
      </c>
      <c r="G33" s="19" t="str">
        <f aca="false">IF(A33="","",SUMIFS('Sales Daily KPIs'!$D:$D,'Sales Daily KPIs'!$B:$B,$C33,'Sales Daily KPIs'!$A:$A,"&gt;="&amp;$A33,'Sales Daily KPIs'!$A:$A,"&lt;="&amp;$B33))</f>
        <v/>
      </c>
      <c r="H33" s="19" t="str">
        <f aca="false">IF(A33="","",Targets!$B$3*Targets!$B$6)</f>
        <v/>
      </c>
      <c r="I33" s="19" t="str">
        <f aca="false">IF(A33="","",SUMIFS('Sales Daily KPIs'!$E:$E,'Sales Daily KPIs'!$B:$B,$C33,'Sales Daily KPIs'!$A:$A,"&gt;="&amp;$A33,'Sales Daily KPIs'!$A:$A,"&lt;="&amp;$B33))</f>
        <v/>
      </c>
      <c r="J33" s="19" t="str">
        <f aca="false">IF(A33="","",Targets!$B$4*Targets!$B$6)</f>
        <v/>
      </c>
      <c r="K33" s="16" t="str">
        <f aca="false">IF(A33="","",IFERROR(SUMIFS('Sales Daily KPIs'!$G:$G,'Sales Daily KPIs'!$B:$B,$C33,'Sales Daily KPIs'!$A:$A,"&gt;="&amp;$A33,'Sales Daily KPIs'!$A:$A,"&lt;="&amp;$B33)/SUMIFS('Sales Daily KPIs'!$F:$F,'Sales Daily KPIs'!$B:$B,$C33,'Sales Daily KPIs'!$A:$A,"&gt;="&amp;$A33,'Sales Daily KPIs'!$A:$A,"&lt;="&amp;$B33),""))</f>
        <v/>
      </c>
      <c r="L33" s="19" t="str">
        <f aca="false">IF(A33="","",SUMIFS('Sales Daily KPIs'!$I:$I,'Sales Daily KPIs'!$B:$B,$C33,'Sales Daily KPIs'!$A:$A,"&gt;="&amp;$A33,'Sales Daily KPIs'!$A:$A,"&lt;="&amp;$B33))</f>
        <v/>
      </c>
      <c r="M33" s="19" t="str">
        <f aca="false">IF(A33="","",Targets!$B$5)</f>
        <v/>
      </c>
      <c r="N33" s="14"/>
    </row>
    <row r="34" customFormat="false" ht="15" hidden="false" customHeight="false" outlineLevel="0" collapsed="false">
      <c r="A34" s="13"/>
      <c r="B34" s="18" t="str">
        <f aca="false">IF(A34="","",A34+6)</f>
        <v/>
      </c>
      <c r="C34" s="14"/>
      <c r="D34" s="19" t="str">
        <f aca="false">IF(A34="","",COUNTIFS('Sales Daily KPIs'!$B:$B,$C34,'Sales Daily KPIs'!$A:$A,"&gt;="&amp;$A34,'Sales Daily KPIs'!$A:$A,"&lt;="&amp;$B34,'Sales Daily KPIs'!$C:$C,"&lt;&gt;"))</f>
        <v/>
      </c>
      <c r="E34" s="19" t="str">
        <f aca="false">IF(A34="","",SUMIFS('Sales Daily KPIs'!$C:$C,'Sales Daily KPIs'!$B:$B,$C34,'Sales Daily KPIs'!$A:$A,"&gt;="&amp;$A34,'Sales Daily KPIs'!$A:$A,"&lt;="&amp;$B34))</f>
        <v/>
      </c>
      <c r="F34" s="19" t="str">
        <f aca="false">IF(A34="","",Targets!$B$2*Targets!$B$6)</f>
        <v/>
      </c>
      <c r="G34" s="19" t="str">
        <f aca="false">IF(A34="","",SUMIFS('Sales Daily KPIs'!$D:$D,'Sales Daily KPIs'!$B:$B,$C34,'Sales Daily KPIs'!$A:$A,"&gt;="&amp;$A34,'Sales Daily KPIs'!$A:$A,"&lt;="&amp;$B34))</f>
        <v/>
      </c>
      <c r="H34" s="19" t="str">
        <f aca="false">IF(A34="","",Targets!$B$3*Targets!$B$6)</f>
        <v/>
      </c>
      <c r="I34" s="19" t="str">
        <f aca="false">IF(A34="","",SUMIFS('Sales Daily KPIs'!$E:$E,'Sales Daily KPIs'!$B:$B,$C34,'Sales Daily KPIs'!$A:$A,"&gt;="&amp;$A34,'Sales Daily KPIs'!$A:$A,"&lt;="&amp;$B34))</f>
        <v/>
      </c>
      <c r="J34" s="19" t="str">
        <f aca="false">IF(A34="","",Targets!$B$4*Targets!$B$6)</f>
        <v/>
      </c>
      <c r="K34" s="16" t="str">
        <f aca="false">IF(A34="","",IFERROR(SUMIFS('Sales Daily KPIs'!$G:$G,'Sales Daily KPIs'!$B:$B,$C34,'Sales Daily KPIs'!$A:$A,"&gt;="&amp;$A34,'Sales Daily KPIs'!$A:$A,"&lt;="&amp;$B34)/SUMIFS('Sales Daily KPIs'!$F:$F,'Sales Daily KPIs'!$B:$B,$C34,'Sales Daily KPIs'!$A:$A,"&gt;="&amp;$A34,'Sales Daily KPIs'!$A:$A,"&lt;="&amp;$B34),""))</f>
        <v/>
      </c>
      <c r="L34" s="19" t="str">
        <f aca="false">IF(A34="","",SUMIFS('Sales Daily KPIs'!$I:$I,'Sales Daily KPIs'!$B:$B,$C34,'Sales Daily KPIs'!$A:$A,"&gt;="&amp;$A34,'Sales Daily KPIs'!$A:$A,"&lt;="&amp;$B34))</f>
        <v/>
      </c>
      <c r="M34" s="19" t="str">
        <f aca="false">IF(A34="","",Targets!$B$5)</f>
        <v/>
      </c>
      <c r="N34" s="14"/>
    </row>
    <row r="35" customFormat="false" ht="15" hidden="false" customHeight="false" outlineLevel="0" collapsed="false">
      <c r="A35" s="13"/>
      <c r="B35" s="18" t="str">
        <f aca="false">IF(A35="","",A35+6)</f>
        <v/>
      </c>
      <c r="C35" s="14"/>
      <c r="D35" s="19" t="str">
        <f aca="false">IF(A35="","",COUNTIFS('Sales Daily KPIs'!$B:$B,$C35,'Sales Daily KPIs'!$A:$A,"&gt;="&amp;$A35,'Sales Daily KPIs'!$A:$A,"&lt;="&amp;$B35,'Sales Daily KPIs'!$C:$C,"&lt;&gt;"))</f>
        <v/>
      </c>
      <c r="E35" s="19" t="str">
        <f aca="false">IF(A35="","",SUMIFS('Sales Daily KPIs'!$C:$C,'Sales Daily KPIs'!$B:$B,$C35,'Sales Daily KPIs'!$A:$A,"&gt;="&amp;$A35,'Sales Daily KPIs'!$A:$A,"&lt;="&amp;$B35))</f>
        <v/>
      </c>
      <c r="F35" s="19" t="str">
        <f aca="false">IF(A35="","",Targets!$B$2*Targets!$B$6)</f>
        <v/>
      </c>
      <c r="G35" s="19" t="str">
        <f aca="false">IF(A35="","",SUMIFS('Sales Daily KPIs'!$D:$D,'Sales Daily KPIs'!$B:$B,$C35,'Sales Daily KPIs'!$A:$A,"&gt;="&amp;$A35,'Sales Daily KPIs'!$A:$A,"&lt;="&amp;$B35))</f>
        <v/>
      </c>
      <c r="H35" s="19" t="str">
        <f aca="false">IF(A35="","",Targets!$B$3*Targets!$B$6)</f>
        <v/>
      </c>
      <c r="I35" s="19" t="str">
        <f aca="false">IF(A35="","",SUMIFS('Sales Daily KPIs'!$E:$E,'Sales Daily KPIs'!$B:$B,$C35,'Sales Daily KPIs'!$A:$A,"&gt;="&amp;$A35,'Sales Daily KPIs'!$A:$A,"&lt;="&amp;$B35))</f>
        <v/>
      </c>
      <c r="J35" s="19" t="str">
        <f aca="false">IF(A35="","",Targets!$B$4*Targets!$B$6)</f>
        <v/>
      </c>
      <c r="K35" s="16" t="str">
        <f aca="false">IF(A35="","",IFERROR(SUMIFS('Sales Daily KPIs'!$G:$G,'Sales Daily KPIs'!$B:$B,$C35,'Sales Daily KPIs'!$A:$A,"&gt;="&amp;$A35,'Sales Daily KPIs'!$A:$A,"&lt;="&amp;$B35)/SUMIFS('Sales Daily KPIs'!$F:$F,'Sales Daily KPIs'!$B:$B,$C35,'Sales Daily KPIs'!$A:$A,"&gt;="&amp;$A35,'Sales Daily KPIs'!$A:$A,"&lt;="&amp;$B35),""))</f>
        <v/>
      </c>
      <c r="L35" s="19" t="str">
        <f aca="false">IF(A35="","",SUMIFS('Sales Daily KPIs'!$I:$I,'Sales Daily KPIs'!$B:$B,$C35,'Sales Daily KPIs'!$A:$A,"&gt;="&amp;$A35,'Sales Daily KPIs'!$A:$A,"&lt;="&amp;$B35))</f>
        <v/>
      </c>
      <c r="M35" s="19" t="str">
        <f aca="false">IF(A35="","",Targets!$B$5)</f>
        <v/>
      </c>
      <c r="N35" s="14"/>
    </row>
    <row r="36" customFormat="false" ht="15" hidden="false" customHeight="false" outlineLevel="0" collapsed="false">
      <c r="A36" s="13"/>
      <c r="B36" s="18" t="str">
        <f aca="false">IF(A36="","",A36+6)</f>
        <v/>
      </c>
      <c r="C36" s="14"/>
      <c r="D36" s="19" t="str">
        <f aca="false">IF(A36="","",COUNTIFS('Sales Daily KPIs'!$B:$B,$C36,'Sales Daily KPIs'!$A:$A,"&gt;="&amp;$A36,'Sales Daily KPIs'!$A:$A,"&lt;="&amp;$B36,'Sales Daily KPIs'!$C:$C,"&lt;&gt;"))</f>
        <v/>
      </c>
      <c r="E36" s="19" t="str">
        <f aca="false">IF(A36="","",SUMIFS('Sales Daily KPIs'!$C:$C,'Sales Daily KPIs'!$B:$B,$C36,'Sales Daily KPIs'!$A:$A,"&gt;="&amp;$A36,'Sales Daily KPIs'!$A:$A,"&lt;="&amp;$B36))</f>
        <v/>
      </c>
      <c r="F36" s="19" t="str">
        <f aca="false">IF(A36="","",Targets!$B$2*Targets!$B$6)</f>
        <v/>
      </c>
      <c r="G36" s="19" t="str">
        <f aca="false">IF(A36="","",SUMIFS('Sales Daily KPIs'!$D:$D,'Sales Daily KPIs'!$B:$B,$C36,'Sales Daily KPIs'!$A:$A,"&gt;="&amp;$A36,'Sales Daily KPIs'!$A:$A,"&lt;="&amp;$B36))</f>
        <v/>
      </c>
      <c r="H36" s="19" t="str">
        <f aca="false">IF(A36="","",Targets!$B$3*Targets!$B$6)</f>
        <v/>
      </c>
      <c r="I36" s="19" t="str">
        <f aca="false">IF(A36="","",SUMIFS('Sales Daily KPIs'!$E:$E,'Sales Daily KPIs'!$B:$B,$C36,'Sales Daily KPIs'!$A:$A,"&gt;="&amp;$A36,'Sales Daily KPIs'!$A:$A,"&lt;="&amp;$B36))</f>
        <v/>
      </c>
      <c r="J36" s="19" t="str">
        <f aca="false">IF(A36="","",Targets!$B$4*Targets!$B$6)</f>
        <v/>
      </c>
      <c r="K36" s="16" t="str">
        <f aca="false">IF(A36="","",IFERROR(SUMIFS('Sales Daily KPIs'!$G:$G,'Sales Daily KPIs'!$B:$B,$C36,'Sales Daily KPIs'!$A:$A,"&gt;="&amp;$A36,'Sales Daily KPIs'!$A:$A,"&lt;="&amp;$B36)/SUMIFS('Sales Daily KPIs'!$F:$F,'Sales Daily KPIs'!$B:$B,$C36,'Sales Daily KPIs'!$A:$A,"&gt;="&amp;$A36,'Sales Daily KPIs'!$A:$A,"&lt;="&amp;$B36),""))</f>
        <v/>
      </c>
      <c r="L36" s="19" t="str">
        <f aca="false">IF(A36="","",SUMIFS('Sales Daily KPIs'!$I:$I,'Sales Daily KPIs'!$B:$B,$C36,'Sales Daily KPIs'!$A:$A,"&gt;="&amp;$A36,'Sales Daily KPIs'!$A:$A,"&lt;="&amp;$B36))</f>
        <v/>
      </c>
      <c r="M36" s="19" t="str">
        <f aca="false">IF(A36="","",Targets!$B$5)</f>
        <v/>
      </c>
      <c r="N36" s="14"/>
    </row>
    <row r="37" customFormat="false" ht="15" hidden="false" customHeight="false" outlineLevel="0" collapsed="false">
      <c r="A37" s="13"/>
      <c r="B37" s="18" t="str">
        <f aca="false">IF(A37="","",A37+6)</f>
        <v/>
      </c>
      <c r="C37" s="14"/>
      <c r="D37" s="19" t="str">
        <f aca="false">IF(A37="","",COUNTIFS('Sales Daily KPIs'!$B:$B,$C37,'Sales Daily KPIs'!$A:$A,"&gt;="&amp;$A37,'Sales Daily KPIs'!$A:$A,"&lt;="&amp;$B37,'Sales Daily KPIs'!$C:$C,"&lt;&gt;"))</f>
        <v/>
      </c>
      <c r="E37" s="19" t="str">
        <f aca="false">IF(A37="","",SUMIFS('Sales Daily KPIs'!$C:$C,'Sales Daily KPIs'!$B:$B,$C37,'Sales Daily KPIs'!$A:$A,"&gt;="&amp;$A37,'Sales Daily KPIs'!$A:$A,"&lt;="&amp;$B37))</f>
        <v/>
      </c>
      <c r="F37" s="19" t="str">
        <f aca="false">IF(A37="","",Targets!$B$2*Targets!$B$6)</f>
        <v/>
      </c>
      <c r="G37" s="19" t="str">
        <f aca="false">IF(A37="","",SUMIFS('Sales Daily KPIs'!$D:$D,'Sales Daily KPIs'!$B:$B,$C37,'Sales Daily KPIs'!$A:$A,"&gt;="&amp;$A37,'Sales Daily KPIs'!$A:$A,"&lt;="&amp;$B37))</f>
        <v/>
      </c>
      <c r="H37" s="19" t="str">
        <f aca="false">IF(A37="","",Targets!$B$3*Targets!$B$6)</f>
        <v/>
      </c>
      <c r="I37" s="19" t="str">
        <f aca="false">IF(A37="","",SUMIFS('Sales Daily KPIs'!$E:$E,'Sales Daily KPIs'!$B:$B,$C37,'Sales Daily KPIs'!$A:$A,"&gt;="&amp;$A37,'Sales Daily KPIs'!$A:$A,"&lt;="&amp;$B37))</f>
        <v/>
      </c>
      <c r="J37" s="19" t="str">
        <f aca="false">IF(A37="","",Targets!$B$4*Targets!$B$6)</f>
        <v/>
      </c>
      <c r="K37" s="16" t="str">
        <f aca="false">IF(A37="","",IFERROR(SUMIFS('Sales Daily KPIs'!$G:$G,'Sales Daily KPIs'!$B:$B,$C37,'Sales Daily KPIs'!$A:$A,"&gt;="&amp;$A37,'Sales Daily KPIs'!$A:$A,"&lt;="&amp;$B37)/SUMIFS('Sales Daily KPIs'!$F:$F,'Sales Daily KPIs'!$B:$B,$C37,'Sales Daily KPIs'!$A:$A,"&gt;="&amp;$A37,'Sales Daily KPIs'!$A:$A,"&lt;="&amp;$B37),""))</f>
        <v/>
      </c>
      <c r="L37" s="19" t="str">
        <f aca="false">IF(A37="","",SUMIFS('Sales Daily KPIs'!$I:$I,'Sales Daily KPIs'!$B:$B,$C37,'Sales Daily KPIs'!$A:$A,"&gt;="&amp;$A37,'Sales Daily KPIs'!$A:$A,"&lt;="&amp;$B37))</f>
        <v/>
      </c>
      <c r="M37" s="19" t="str">
        <f aca="false">IF(A37="","",Targets!$B$5)</f>
        <v/>
      </c>
      <c r="N37" s="14"/>
    </row>
    <row r="38" customFormat="false" ht="15" hidden="false" customHeight="false" outlineLevel="0" collapsed="false">
      <c r="A38" s="13"/>
      <c r="B38" s="18" t="str">
        <f aca="false">IF(A38="","",A38+6)</f>
        <v/>
      </c>
      <c r="C38" s="14"/>
      <c r="D38" s="19" t="str">
        <f aca="false">IF(A38="","",COUNTIFS('Sales Daily KPIs'!$B:$B,$C38,'Sales Daily KPIs'!$A:$A,"&gt;="&amp;$A38,'Sales Daily KPIs'!$A:$A,"&lt;="&amp;$B38,'Sales Daily KPIs'!$C:$C,"&lt;&gt;"))</f>
        <v/>
      </c>
      <c r="E38" s="19" t="str">
        <f aca="false">IF(A38="","",SUMIFS('Sales Daily KPIs'!$C:$C,'Sales Daily KPIs'!$B:$B,$C38,'Sales Daily KPIs'!$A:$A,"&gt;="&amp;$A38,'Sales Daily KPIs'!$A:$A,"&lt;="&amp;$B38))</f>
        <v/>
      </c>
      <c r="F38" s="19" t="str">
        <f aca="false">IF(A38="","",Targets!$B$2*Targets!$B$6)</f>
        <v/>
      </c>
      <c r="G38" s="19" t="str">
        <f aca="false">IF(A38="","",SUMIFS('Sales Daily KPIs'!$D:$D,'Sales Daily KPIs'!$B:$B,$C38,'Sales Daily KPIs'!$A:$A,"&gt;="&amp;$A38,'Sales Daily KPIs'!$A:$A,"&lt;="&amp;$B38))</f>
        <v/>
      </c>
      <c r="H38" s="19" t="str">
        <f aca="false">IF(A38="","",Targets!$B$3*Targets!$B$6)</f>
        <v/>
      </c>
      <c r="I38" s="19" t="str">
        <f aca="false">IF(A38="","",SUMIFS('Sales Daily KPIs'!$E:$E,'Sales Daily KPIs'!$B:$B,$C38,'Sales Daily KPIs'!$A:$A,"&gt;="&amp;$A38,'Sales Daily KPIs'!$A:$A,"&lt;="&amp;$B38))</f>
        <v/>
      </c>
      <c r="J38" s="19" t="str">
        <f aca="false">IF(A38="","",Targets!$B$4*Targets!$B$6)</f>
        <v/>
      </c>
      <c r="K38" s="16" t="str">
        <f aca="false">IF(A38="","",IFERROR(SUMIFS('Sales Daily KPIs'!$G:$G,'Sales Daily KPIs'!$B:$B,$C38,'Sales Daily KPIs'!$A:$A,"&gt;="&amp;$A38,'Sales Daily KPIs'!$A:$A,"&lt;="&amp;$B38)/SUMIFS('Sales Daily KPIs'!$F:$F,'Sales Daily KPIs'!$B:$B,$C38,'Sales Daily KPIs'!$A:$A,"&gt;="&amp;$A38,'Sales Daily KPIs'!$A:$A,"&lt;="&amp;$B38),""))</f>
        <v/>
      </c>
      <c r="L38" s="19" t="str">
        <f aca="false">IF(A38="","",SUMIFS('Sales Daily KPIs'!$I:$I,'Sales Daily KPIs'!$B:$B,$C38,'Sales Daily KPIs'!$A:$A,"&gt;="&amp;$A38,'Sales Daily KPIs'!$A:$A,"&lt;="&amp;$B38))</f>
        <v/>
      </c>
      <c r="M38" s="19" t="str">
        <f aca="false">IF(A38="","",Targets!$B$5)</f>
        <v/>
      </c>
      <c r="N38" s="14"/>
    </row>
    <row r="39" customFormat="false" ht="15" hidden="false" customHeight="false" outlineLevel="0" collapsed="false">
      <c r="A39" s="13"/>
      <c r="B39" s="18" t="str">
        <f aca="false">IF(A39="","",A39+6)</f>
        <v/>
      </c>
      <c r="C39" s="14"/>
      <c r="D39" s="19" t="str">
        <f aca="false">IF(A39="","",COUNTIFS('Sales Daily KPIs'!$B:$B,$C39,'Sales Daily KPIs'!$A:$A,"&gt;="&amp;$A39,'Sales Daily KPIs'!$A:$A,"&lt;="&amp;$B39,'Sales Daily KPIs'!$C:$C,"&lt;&gt;"))</f>
        <v/>
      </c>
      <c r="E39" s="19" t="str">
        <f aca="false">IF(A39="","",SUMIFS('Sales Daily KPIs'!$C:$C,'Sales Daily KPIs'!$B:$B,$C39,'Sales Daily KPIs'!$A:$A,"&gt;="&amp;$A39,'Sales Daily KPIs'!$A:$A,"&lt;="&amp;$B39))</f>
        <v/>
      </c>
      <c r="F39" s="19" t="str">
        <f aca="false">IF(A39="","",Targets!$B$2*Targets!$B$6)</f>
        <v/>
      </c>
      <c r="G39" s="19" t="str">
        <f aca="false">IF(A39="","",SUMIFS('Sales Daily KPIs'!$D:$D,'Sales Daily KPIs'!$B:$B,$C39,'Sales Daily KPIs'!$A:$A,"&gt;="&amp;$A39,'Sales Daily KPIs'!$A:$A,"&lt;="&amp;$B39))</f>
        <v/>
      </c>
      <c r="H39" s="19" t="str">
        <f aca="false">IF(A39="","",Targets!$B$3*Targets!$B$6)</f>
        <v/>
      </c>
      <c r="I39" s="19" t="str">
        <f aca="false">IF(A39="","",SUMIFS('Sales Daily KPIs'!$E:$E,'Sales Daily KPIs'!$B:$B,$C39,'Sales Daily KPIs'!$A:$A,"&gt;="&amp;$A39,'Sales Daily KPIs'!$A:$A,"&lt;="&amp;$B39))</f>
        <v/>
      </c>
      <c r="J39" s="19" t="str">
        <f aca="false">IF(A39="","",Targets!$B$4*Targets!$B$6)</f>
        <v/>
      </c>
      <c r="K39" s="16" t="str">
        <f aca="false">IF(A39="","",IFERROR(SUMIFS('Sales Daily KPIs'!$G:$G,'Sales Daily KPIs'!$B:$B,$C39,'Sales Daily KPIs'!$A:$A,"&gt;="&amp;$A39,'Sales Daily KPIs'!$A:$A,"&lt;="&amp;$B39)/SUMIFS('Sales Daily KPIs'!$F:$F,'Sales Daily KPIs'!$B:$B,$C39,'Sales Daily KPIs'!$A:$A,"&gt;="&amp;$A39,'Sales Daily KPIs'!$A:$A,"&lt;="&amp;$B39),""))</f>
        <v/>
      </c>
      <c r="L39" s="19" t="str">
        <f aca="false">IF(A39="","",SUMIFS('Sales Daily KPIs'!$I:$I,'Sales Daily KPIs'!$B:$B,$C39,'Sales Daily KPIs'!$A:$A,"&gt;="&amp;$A39,'Sales Daily KPIs'!$A:$A,"&lt;="&amp;$B39))</f>
        <v/>
      </c>
      <c r="M39" s="19" t="str">
        <f aca="false">IF(A39="","",Targets!$B$5)</f>
        <v/>
      </c>
      <c r="N39" s="14"/>
    </row>
    <row r="40" customFormat="false" ht="15" hidden="false" customHeight="false" outlineLevel="0" collapsed="false">
      <c r="A40" s="13"/>
      <c r="B40" s="18" t="str">
        <f aca="false">IF(A40="","",A40+6)</f>
        <v/>
      </c>
      <c r="C40" s="14"/>
      <c r="D40" s="19" t="str">
        <f aca="false">IF(A40="","",COUNTIFS('Sales Daily KPIs'!$B:$B,$C40,'Sales Daily KPIs'!$A:$A,"&gt;="&amp;$A40,'Sales Daily KPIs'!$A:$A,"&lt;="&amp;$B40,'Sales Daily KPIs'!$C:$C,"&lt;&gt;"))</f>
        <v/>
      </c>
      <c r="E40" s="19" t="str">
        <f aca="false">IF(A40="","",SUMIFS('Sales Daily KPIs'!$C:$C,'Sales Daily KPIs'!$B:$B,$C40,'Sales Daily KPIs'!$A:$A,"&gt;="&amp;$A40,'Sales Daily KPIs'!$A:$A,"&lt;="&amp;$B40))</f>
        <v/>
      </c>
      <c r="F40" s="19" t="str">
        <f aca="false">IF(A40="","",Targets!$B$2*Targets!$B$6)</f>
        <v/>
      </c>
      <c r="G40" s="19" t="str">
        <f aca="false">IF(A40="","",SUMIFS('Sales Daily KPIs'!$D:$D,'Sales Daily KPIs'!$B:$B,$C40,'Sales Daily KPIs'!$A:$A,"&gt;="&amp;$A40,'Sales Daily KPIs'!$A:$A,"&lt;="&amp;$B40))</f>
        <v/>
      </c>
      <c r="H40" s="19" t="str">
        <f aca="false">IF(A40="","",Targets!$B$3*Targets!$B$6)</f>
        <v/>
      </c>
      <c r="I40" s="19" t="str">
        <f aca="false">IF(A40="","",SUMIFS('Sales Daily KPIs'!$E:$E,'Sales Daily KPIs'!$B:$B,$C40,'Sales Daily KPIs'!$A:$A,"&gt;="&amp;$A40,'Sales Daily KPIs'!$A:$A,"&lt;="&amp;$B40))</f>
        <v/>
      </c>
      <c r="J40" s="19" t="str">
        <f aca="false">IF(A40="","",Targets!$B$4*Targets!$B$6)</f>
        <v/>
      </c>
      <c r="K40" s="16" t="str">
        <f aca="false">IF(A40="","",IFERROR(SUMIFS('Sales Daily KPIs'!$G:$G,'Sales Daily KPIs'!$B:$B,$C40,'Sales Daily KPIs'!$A:$A,"&gt;="&amp;$A40,'Sales Daily KPIs'!$A:$A,"&lt;="&amp;$B40)/SUMIFS('Sales Daily KPIs'!$F:$F,'Sales Daily KPIs'!$B:$B,$C40,'Sales Daily KPIs'!$A:$A,"&gt;="&amp;$A40,'Sales Daily KPIs'!$A:$A,"&lt;="&amp;$B40),""))</f>
        <v/>
      </c>
      <c r="L40" s="19" t="str">
        <f aca="false">IF(A40="","",SUMIFS('Sales Daily KPIs'!$I:$I,'Sales Daily KPIs'!$B:$B,$C40,'Sales Daily KPIs'!$A:$A,"&gt;="&amp;$A40,'Sales Daily KPIs'!$A:$A,"&lt;="&amp;$B40))</f>
        <v/>
      </c>
      <c r="M40" s="19" t="str">
        <f aca="false">IF(A40="","",Targets!$B$5)</f>
        <v/>
      </c>
      <c r="N40" s="14"/>
    </row>
    <row r="41" customFormat="false" ht="15" hidden="false" customHeight="false" outlineLevel="0" collapsed="false">
      <c r="A41" s="13"/>
      <c r="B41" s="18" t="str">
        <f aca="false">IF(A41="","",A41+6)</f>
        <v/>
      </c>
      <c r="C41" s="14"/>
      <c r="D41" s="19" t="str">
        <f aca="false">IF(A41="","",COUNTIFS('Sales Daily KPIs'!$B:$B,$C41,'Sales Daily KPIs'!$A:$A,"&gt;="&amp;$A41,'Sales Daily KPIs'!$A:$A,"&lt;="&amp;$B41,'Sales Daily KPIs'!$C:$C,"&lt;&gt;"))</f>
        <v/>
      </c>
      <c r="E41" s="19" t="str">
        <f aca="false">IF(A41="","",SUMIFS('Sales Daily KPIs'!$C:$C,'Sales Daily KPIs'!$B:$B,$C41,'Sales Daily KPIs'!$A:$A,"&gt;="&amp;$A41,'Sales Daily KPIs'!$A:$A,"&lt;="&amp;$B41))</f>
        <v/>
      </c>
      <c r="F41" s="19" t="str">
        <f aca="false">IF(A41="","",Targets!$B$2*Targets!$B$6)</f>
        <v/>
      </c>
      <c r="G41" s="19" t="str">
        <f aca="false">IF(A41="","",SUMIFS('Sales Daily KPIs'!$D:$D,'Sales Daily KPIs'!$B:$B,$C41,'Sales Daily KPIs'!$A:$A,"&gt;="&amp;$A41,'Sales Daily KPIs'!$A:$A,"&lt;="&amp;$B41))</f>
        <v/>
      </c>
      <c r="H41" s="19" t="str">
        <f aca="false">IF(A41="","",Targets!$B$3*Targets!$B$6)</f>
        <v/>
      </c>
      <c r="I41" s="19" t="str">
        <f aca="false">IF(A41="","",SUMIFS('Sales Daily KPIs'!$E:$E,'Sales Daily KPIs'!$B:$B,$C41,'Sales Daily KPIs'!$A:$A,"&gt;="&amp;$A41,'Sales Daily KPIs'!$A:$A,"&lt;="&amp;$B41))</f>
        <v/>
      </c>
      <c r="J41" s="19" t="str">
        <f aca="false">IF(A41="","",Targets!$B$4*Targets!$B$6)</f>
        <v/>
      </c>
      <c r="K41" s="16" t="str">
        <f aca="false">IF(A41="","",IFERROR(SUMIFS('Sales Daily KPIs'!$G:$G,'Sales Daily KPIs'!$B:$B,$C41,'Sales Daily KPIs'!$A:$A,"&gt;="&amp;$A41,'Sales Daily KPIs'!$A:$A,"&lt;="&amp;$B41)/SUMIFS('Sales Daily KPIs'!$F:$F,'Sales Daily KPIs'!$B:$B,$C41,'Sales Daily KPIs'!$A:$A,"&gt;="&amp;$A41,'Sales Daily KPIs'!$A:$A,"&lt;="&amp;$B41),""))</f>
        <v/>
      </c>
      <c r="L41" s="19" t="str">
        <f aca="false">IF(A41="","",SUMIFS('Sales Daily KPIs'!$I:$I,'Sales Daily KPIs'!$B:$B,$C41,'Sales Daily KPIs'!$A:$A,"&gt;="&amp;$A41,'Sales Daily KPIs'!$A:$A,"&lt;="&amp;$B41))</f>
        <v/>
      </c>
      <c r="M41" s="19" t="str">
        <f aca="false">IF(A41="","",Targets!$B$5)</f>
        <v/>
      </c>
      <c r="N41" s="14"/>
    </row>
    <row r="42" customFormat="false" ht="15" hidden="false" customHeight="false" outlineLevel="0" collapsed="false">
      <c r="A42" s="13"/>
      <c r="B42" s="18" t="str">
        <f aca="false">IF(A42="","",A42+6)</f>
        <v/>
      </c>
      <c r="C42" s="14"/>
      <c r="D42" s="19" t="str">
        <f aca="false">IF(A42="","",COUNTIFS('Sales Daily KPIs'!$B:$B,$C42,'Sales Daily KPIs'!$A:$A,"&gt;="&amp;$A42,'Sales Daily KPIs'!$A:$A,"&lt;="&amp;$B42,'Sales Daily KPIs'!$C:$C,"&lt;&gt;"))</f>
        <v/>
      </c>
      <c r="E42" s="19" t="str">
        <f aca="false">IF(A42="","",SUMIFS('Sales Daily KPIs'!$C:$C,'Sales Daily KPIs'!$B:$B,$C42,'Sales Daily KPIs'!$A:$A,"&gt;="&amp;$A42,'Sales Daily KPIs'!$A:$A,"&lt;="&amp;$B42))</f>
        <v/>
      </c>
      <c r="F42" s="19" t="str">
        <f aca="false">IF(A42="","",Targets!$B$2*Targets!$B$6)</f>
        <v/>
      </c>
      <c r="G42" s="19" t="str">
        <f aca="false">IF(A42="","",SUMIFS('Sales Daily KPIs'!$D:$D,'Sales Daily KPIs'!$B:$B,$C42,'Sales Daily KPIs'!$A:$A,"&gt;="&amp;$A42,'Sales Daily KPIs'!$A:$A,"&lt;="&amp;$B42))</f>
        <v/>
      </c>
      <c r="H42" s="19" t="str">
        <f aca="false">IF(A42="","",Targets!$B$3*Targets!$B$6)</f>
        <v/>
      </c>
      <c r="I42" s="19" t="str">
        <f aca="false">IF(A42="","",SUMIFS('Sales Daily KPIs'!$E:$E,'Sales Daily KPIs'!$B:$B,$C42,'Sales Daily KPIs'!$A:$A,"&gt;="&amp;$A42,'Sales Daily KPIs'!$A:$A,"&lt;="&amp;$B42))</f>
        <v/>
      </c>
      <c r="J42" s="19" t="str">
        <f aca="false">IF(A42="","",Targets!$B$4*Targets!$B$6)</f>
        <v/>
      </c>
      <c r="K42" s="16" t="str">
        <f aca="false">IF(A42="","",IFERROR(SUMIFS('Sales Daily KPIs'!$G:$G,'Sales Daily KPIs'!$B:$B,$C42,'Sales Daily KPIs'!$A:$A,"&gt;="&amp;$A42,'Sales Daily KPIs'!$A:$A,"&lt;="&amp;$B42)/SUMIFS('Sales Daily KPIs'!$F:$F,'Sales Daily KPIs'!$B:$B,$C42,'Sales Daily KPIs'!$A:$A,"&gt;="&amp;$A42,'Sales Daily KPIs'!$A:$A,"&lt;="&amp;$B42),""))</f>
        <v/>
      </c>
      <c r="L42" s="19" t="str">
        <f aca="false">IF(A42="","",SUMIFS('Sales Daily KPIs'!$I:$I,'Sales Daily KPIs'!$B:$B,$C42,'Sales Daily KPIs'!$A:$A,"&gt;="&amp;$A42,'Sales Daily KPIs'!$A:$A,"&lt;="&amp;$B42))</f>
        <v/>
      </c>
      <c r="M42" s="19" t="str">
        <f aca="false">IF(A42="","",Targets!$B$5)</f>
        <v/>
      </c>
      <c r="N42" s="14"/>
    </row>
    <row r="43" customFormat="false" ht="15" hidden="false" customHeight="false" outlineLevel="0" collapsed="false">
      <c r="A43" s="13"/>
      <c r="B43" s="18" t="str">
        <f aca="false">IF(A43="","",A43+6)</f>
        <v/>
      </c>
      <c r="C43" s="14"/>
      <c r="D43" s="19" t="str">
        <f aca="false">IF(A43="","",COUNTIFS('Sales Daily KPIs'!$B:$B,$C43,'Sales Daily KPIs'!$A:$A,"&gt;="&amp;$A43,'Sales Daily KPIs'!$A:$A,"&lt;="&amp;$B43,'Sales Daily KPIs'!$C:$C,"&lt;&gt;"))</f>
        <v/>
      </c>
      <c r="E43" s="19" t="str">
        <f aca="false">IF(A43="","",SUMIFS('Sales Daily KPIs'!$C:$C,'Sales Daily KPIs'!$B:$B,$C43,'Sales Daily KPIs'!$A:$A,"&gt;="&amp;$A43,'Sales Daily KPIs'!$A:$A,"&lt;="&amp;$B43))</f>
        <v/>
      </c>
      <c r="F43" s="19" t="str">
        <f aca="false">IF(A43="","",Targets!$B$2*Targets!$B$6)</f>
        <v/>
      </c>
      <c r="G43" s="19" t="str">
        <f aca="false">IF(A43="","",SUMIFS('Sales Daily KPIs'!$D:$D,'Sales Daily KPIs'!$B:$B,$C43,'Sales Daily KPIs'!$A:$A,"&gt;="&amp;$A43,'Sales Daily KPIs'!$A:$A,"&lt;="&amp;$B43))</f>
        <v/>
      </c>
      <c r="H43" s="19" t="str">
        <f aca="false">IF(A43="","",Targets!$B$3*Targets!$B$6)</f>
        <v/>
      </c>
      <c r="I43" s="19" t="str">
        <f aca="false">IF(A43="","",SUMIFS('Sales Daily KPIs'!$E:$E,'Sales Daily KPIs'!$B:$B,$C43,'Sales Daily KPIs'!$A:$A,"&gt;="&amp;$A43,'Sales Daily KPIs'!$A:$A,"&lt;="&amp;$B43))</f>
        <v/>
      </c>
      <c r="J43" s="19" t="str">
        <f aca="false">IF(A43="","",Targets!$B$4*Targets!$B$6)</f>
        <v/>
      </c>
      <c r="K43" s="16" t="str">
        <f aca="false">IF(A43="","",IFERROR(SUMIFS('Sales Daily KPIs'!$G:$G,'Sales Daily KPIs'!$B:$B,$C43,'Sales Daily KPIs'!$A:$A,"&gt;="&amp;$A43,'Sales Daily KPIs'!$A:$A,"&lt;="&amp;$B43)/SUMIFS('Sales Daily KPIs'!$F:$F,'Sales Daily KPIs'!$B:$B,$C43,'Sales Daily KPIs'!$A:$A,"&gt;="&amp;$A43,'Sales Daily KPIs'!$A:$A,"&lt;="&amp;$B43),""))</f>
        <v/>
      </c>
      <c r="L43" s="19" t="str">
        <f aca="false">IF(A43="","",SUMIFS('Sales Daily KPIs'!$I:$I,'Sales Daily KPIs'!$B:$B,$C43,'Sales Daily KPIs'!$A:$A,"&gt;="&amp;$A43,'Sales Daily KPIs'!$A:$A,"&lt;="&amp;$B43))</f>
        <v/>
      </c>
      <c r="M43" s="19" t="str">
        <f aca="false">IF(A43="","",Targets!$B$5)</f>
        <v/>
      </c>
      <c r="N43" s="14"/>
    </row>
    <row r="44" customFormat="false" ht="15" hidden="false" customHeight="false" outlineLevel="0" collapsed="false">
      <c r="A44" s="13"/>
      <c r="B44" s="18" t="str">
        <f aca="false">IF(A44="","",A44+6)</f>
        <v/>
      </c>
      <c r="C44" s="14"/>
      <c r="D44" s="19" t="str">
        <f aca="false">IF(A44="","",COUNTIFS('Sales Daily KPIs'!$B:$B,$C44,'Sales Daily KPIs'!$A:$A,"&gt;="&amp;$A44,'Sales Daily KPIs'!$A:$A,"&lt;="&amp;$B44,'Sales Daily KPIs'!$C:$C,"&lt;&gt;"))</f>
        <v/>
      </c>
      <c r="E44" s="19" t="str">
        <f aca="false">IF(A44="","",SUMIFS('Sales Daily KPIs'!$C:$C,'Sales Daily KPIs'!$B:$B,$C44,'Sales Daily KPIs'!$A:$A,"&gt;="&amp;$A44,'Sales Daily KPIs'!$A:$A,"&lt;="&amp;$B44))</f>
        <v/>
      </c>
      <c r="F44" s="19" t="str">
        <f aca="false">IF(A44="","",Targets!$B$2*Targets!$B$6)</f>
        <v/>
      </c>
      <c r="G44" s="19" t="str">
        <f aca="false">IF(A44="","",SUMIFS('Sales Daily KPIs'!$D:$D,'Sales Daily KPIs'!$B:$B,$C44,'Sales Daily KPIs'!$A:$A,"&gt;="&amp;$A44,'Sales Daily KPIs'!$A:$A,"&lt;="&amp;$B44))</f>
        <v/>
      </c>
      <c r="H44" s="19" t="str">
        <f aca="false">IF(A44="","",Targets!$B$3*Targets!$B$6)</f>
        <v/>
      </c>
      <c r="I44" s="19" t="str">
        <f aca="false">IF(A44="","",SUMIFS('Sales Daily KPIs'!$E:$E,'Sales Daily KPIs'!$B:$B,$C44,'Sales Daily KPIs'!$A:$A,"&gt;="&amp;$A44,'Sales Daily KPIs'!$A:$A,"&lt;="&amp;$B44))</f>
        <v/>
      </c>
      <c r="J44" s="19" t="str">
        <f aca="false">IF(A44="","",Targets!$B$4*Targets!$B$6)</f>
        <v/>
      </c>
      <c r="K44" s="16" t="str">
        <f aca="false">IF(A44="","",IFERROR(SUMIFS('Sales Daily KPIs'!$G:$G,'Sales Daily KPIs'!$B:$B,$C44,'Sales Daily KPIs'!$A:$A,"&gt;="&amp;$A44,'Sales Daily KPIs'!$A:$A,"&lt;="&amp;$B44)/SUMIFS('Sales Daily KPIs'!$F:$F,'Sales Daily KPIs'!$B:$B,$C44,'Sales Daily KPIs'!$A:$A,"&gt;="&amp;$A44,'Sales Daily KPIs'!$A:$A,"&lt;="&amp;$B44),""))</f>
        <v/>
      </c>
      <c r="L44" s="19" t="str">
        <f aca="false">IF(A44="","",SUMIFS('Sales Daily KPIs'!$I:$I,'Sales Daily KPIs'!$B:$B,$C44,'Sales Daily KPIs'!$A:$A,"&gt;="&amp;$A44,'Sales Daily KPIs'!$A:$A,"&lt;="&amp;$B44))</f>
        <v/>
      </c>
      <c r="M44" s="19" t="str">
        <f aca="false">IF(A44="","",Targets!$B$5)</f>
        <v/>
      </c>
      <c r="N44" s="14"/>
    </row>
    <row r="45" customFormat="false" ht="15" hidden="false" customHeight="false" outlineLevel="0" collapsed="false">
      <c r="A45" s="13"/>
      <c r="B45" s="18" t="str">
        <f aca="false">IF(A45="","",A45+6)</f>
        <v/>
      </c>
      <c r="C45" s="14"/>
      <c r="D45" s="19" t="str">
        <f aca="false">IF(A45="","",COUNTIFS('Sales Daily KPIs'!$B:$B,$C45,'Sales Daily KPIs'!$A:$A,"&gt;="&amp;$A45,'Sales Daily KPIs'!$A:$A,"&lt;="&amp;$B45,'Sales Daily KPIs'!$C:$C,"&lt;&gt;"))</f>
        <v/>
      </c>
      <c r="E45" s="19" t="str">
        <f aca="false">IF(A45="","",SUMIFS('Sales Daily KPIs'!$C:$C,'Sales Daily KPIs'!$B:$B,$C45,'Sales Daily KPIs'!$A:$A,"&gt;="&amp;$A45,'Sales Daily KPIs'!$A:$A,"&lt;="&amp;$B45))</f>
        <v/>
      </c>
      <c r="F45" s="19" t="str">
        <f aca="false">IF(A45="","",Targets!$B$2*Targets!$B$6)</f>
        <v/>
      </c>
      <c r="G45" s="19" t="str">
        <f aca="false">IF(A45="","",SUMIFS('Sales Daily KPIs'!$D:$D,'Sales Daily KPIs'!$B:$B,$C45,'Sales Daily KPIs'!$A:$A,"&gt;="&amp;$A45,'Sales Daily KPIs'!$A:$A,"&lt;="&amp;$B45))</f>
        <v/>
      </c>
      <c r="H45" s="19" t="str">
        <f aca="false">IF(A45="","",Targets!$B$3*Targets!$B$6)</f>
        <v/>
      </c>
      <c r="I45" s="19" t="str">
        <f aca="false">IF(A45="","",SUMIFS('Sales Daily KPIs'!$E:$E,'Sales Daily KPIs'!$B:$B,$C45,'Sales Daily KPIs'!$A:$A,"&gt;="&amp;$A45,'Sales Daily KPIs'!$A:$A,"&lt;="&amp;$B45))</f>
        <v/>
      </c>
      <c r="J45" s="19" t="str">
        <f aca="false">IF(A45="","",Targets!$B$4*Targets!$B$6)</f>
        <v/>
      </c>
      <c r="K45" s="16" t="str">
        <f aca="false">IF(A45="","",IFERROR(SUMIFS('Sales Daily KPIs'!$G:$G,'Sales Daily KPIs'!$B:$B,$C45,'Sales Daily KPIs'!$A:$A,"&gt;="&amp;$A45,'Sales Daily KPIs'!$A:$A,"&lt;="&amp;$B45)/SUMIFS('Sales Daily KPIs'!$F:$F,'Sales Daily KPIs'!$B:$B,$C45,'Sales Daily KPIs'!$A:$A,"&gt;="&amp;$A45,'Sales Daily KPIs'!$A:$A,"&lt;="&amp;$B45),""))</f>
        <v/>
      </c>
      <c r="L45" s="19" t="str">
        <f aca="false">IF(A45="","",SUMIFS('Sales Daily KPIs'!$I:$I,'Sales Daily KPIs'!$B:$B,$C45,'Sales Daily KPIs'!$A:$A,"&gt;="&amp;$A45,'Sales Daily KPIs'!$A:$A,"&lt;="&amp;$B45))</f>
        <v/>
      </c>
      <c r="M45" s="19" t="str">
        <f aca="false">IF(A45="","",Targets!$B$5)</f>
        <v/>
      </c>
      <c r="N45" s="14"/>
    </row>
    <row r="46" customFormat="false" ht="15" hidden="false" customHeight="false" outlineLevel="0" collapsed="false">
      <c r="A46" s="13"/>
      <c r="B46" s="18" t="str">
        <f aca="false">IF(A46="","",A46+6)</f>
        <v/>
      </c>
      <c r="C46" s="14"/>
      <c r="D46" s="19" t="str">
        <f aca="false">IF(A46="","",COUNTIFS('Sales Daily KPIs'!$B:$B,$C46,'Sales Daily KPIs'!$A:$A,"&gt;="&amp;$A46,'Sales Daily KPIs'!$A:$A,"&lt;="&amp;$B46,'Sales Daily KPIs'!$C:$C,"&lt;&gt;"))</f>
        <v/>
      </c>
      <c r="E46" s="19" t="str">
        <f aca="false">IF(A46="","",SUMIFS('Sales Daily KPIs'!$C:$C,'Sales Daily KPIs'!$B:$B,$C46,'Sales Daily KPIs'!$A:$A,"&gt;="&amp;$A46,'Sales Daily KPIs'!$A:$A,"&lt;="&amp;$B46))</f>
        <v/>
      </c>
      <c r="F46" s="19" t="str">
        <f aca="false">IF(A46="","",Targets!$B$2*Targets!$B$6)</f>
        <v/>
      </c>
      <c r="G46" s="19" t="str">
        <f aca="false">IF(A46="","",SUMIFS('Sales Daily KPIs'!$D:$D,'Sales Daily KPIs'!$B:$B,$C46,'Sales Daily KPIs'!$A:$A,"&gt;="&amp;$A46,'Sales Daily KPIs'!$A:$A,"&lt;="&amp;$B46))</f>
        <v/>
      </c>
      <c r="H46" s="19" t="str">
        <f aca="false">IF(A46="","",Targets!$B$3*Targets!$B$6)</f>
        <v/>
      </c>
      <c r="I46" s="19" t="str">
        <f aca="false">IF(A46="","",SUMIFS('Sales Daily KPIs'!$E:$E,'Sales Daily KPIs'!$B:$B,$C46,'Sales Daily KPIs'!$A:$A,"&gt;="&amp;$A46,'Sales Daily KPIs'!$A:$A,"&lt;="&amp;$B46))</f>
        <v/>
      </c>
      <c r="J46" s="19" t="str">
        <f aca="false">IF(A46="","",Targets!$B$4*Targets!$B$6)</f>
        <v/>
      </c>
      <c r="K46" s="16" t="str">
        <f aca="false">IF(A46="","",IFERROR(SUMIFS('Sales Daily KPIs'!$G:$G,'Sales Daily KPIs'!$B:$B,$C46,'Sales Daily KPIs'!$A:$A,"&gt;="&amp;$A46,'Sales Daily KPIs'!$A:$A,"&lt;="&amp;$B46)/SUMIFS('Sales Daily KPIs'!$F:$F,'Sales Daily KPIs'!$B:$B,$C46,'Sales Daily KPIs'!$A:$A,"&gt;="&amp;$A46,'Sales Daily KPIs'!$A:$A,"&lt;="&amp;$B46),""))</f>
        <v/>
      </c>
      <c r="L46" s="19" t="str">
        <f aca="false">IF(A46="","",SUMIFS('Sales Daily KPIs'!$I:$I,'Sales Daily KPIs'!$B:$B,$C46,'Sales Daily KPIs'!$A:$A,"&gt;="&amp;$A46,'Sales Daily KPIs'!$A:$A,"&lt;="&amp;$B46))</f>
        <v/>
      </c>
      <c r="M46" s="19" t="str">
        <f aca="false">IF(A46="","",Targets!$B$5)</f>
        <v/>
      </c>
      <c r="N46" s="14"/>
    </row>
    <row r="47" customFormat="false" ht="15" hidden="false" customHeight="false" outlineLevel="0" collapsed="false">
      <c r="A47" s="13"/>
      <c r="B47" s="18" t="str">
        <f aca="false">IF(A47="","",A47+6)</f>
        <v/>
      </c>
      <c r="C47" s="14"/>
      <c r="D47" s="19" t="str">
        <f aca="false">IF(A47="","",COUNTIFS('Sales Daily KPIs'!$B:$B,$C47,'Sales Daily KPIs'!$A:$A,"&gt;="&amp;$A47,'Sales Daily KPIs'!$A:$A,"&lt;="&amp;$B47,'Sales Daily KPIs'!$C:$C,"&lt;&gt;"))</f>
        <v/>
      </c>
      <c r="E47" s="19" t="str">
        <f aca="false">IF(A47="","",SUMIFS('Sales Daily KPIs'!$C:$C,'Sales Daily KPIs'!$B:$B,$C47,'Sales Daily KPIs'!$A:$A,"&gt;="&amp;$A47,'Sales Daily KPIs'!$A:$A,"&lt;="&amp;$B47))</f>
        <v/>
      </c>
      <c r="F47" s="19" t="str">
        <f aca="false">IF(A47="","",Targets!$B$2*Targets!$B$6)</f>
        <v/>
      </c>
      <c r="G47" s="19" t="str">
        <f aca="false">IF(A47="","",SUMIFS('Sales Daily KPIs'!$D:$D,'Sales Daily KPIs'!$B:$B,$C47,'Sales Daily KPIs'!$A:$A,"&gt;="&amp;$A47,'Sales Daily KPIs'!$A:$A,"&lt;="&amp;$B47))</f>
        <v/>
      </c>
      <c r="H47" s="19" t="str">
        <f aca="false">IF(A47="","",Targets!$B$3*Targets!$B$6)</f>
        <v/>
      </c>
      <c r="I47" s="19" t="str">
        <f aca="false">IF(A47="","",SUMIFS('Sales Daily KPIs'!$E:$E,'Sales Daily KPIs'!$B:$B,$C47,'Sales Daily KPIs'!$A:$A,"&gt;="&amp;$A47,'Sales Daily KPIs'!$A:$A,"&lt;="&amp;$B47))</f>
        <v/>
      </c>
      <c r="J47" s="19" t="str">
        <f aca="false">IF(A47="","",Targets!$B$4*Targets!$B$6)</f>
        <v/>
      </c>
      <c r="K47" s="16" t="str">
        <f aca="false">IF(A47="","",IFERROR(SUMIFS('Sales Daily KPIs'!$G:$G,'Sales Daily KPIs'!$B:$B,$C47,'Sales Daily KPIs'!$A:$A,"&gt;="&amp;$A47,'Sales Daily KPIs'!$A:$A,"&lt;="&amp;$B47)/SUMIFS('Sales Daily KPIs'!$F:$F,'Sales Daily KPIs'!$B:$B,$C47,'Sales Daily KPIs'!$A:$A,"&gt;="&amp;$A47,'Sales Daily KPIs'!$A:$A,"&lt;="&amp;$B47),""))</f>
        <v/>
      </c>
      <c r="L47" s="19" t="str">
        <f aca="false">IF(A47="","",SUMIFS('Sales Daily KPIs'!$I:$I,'Sales Daily KPIs'!$B:$B,$C47,'Sales Daily KPIs'!$A:$A,"&gt;="&amp;$A47,'Sales Daily KPIs'!$A:$A,"&lt;="&amp;$B47))</f>
        <v/>
      </c>
      <c r="M47" s="19" t="str">
        <f aca="false">IF(A47="","",Targets!$B$5)</f>
        <v/>
      </c>
      <c r="N47" s="14"/>
    </row>
    <row r="48" customFormat="false" ht="15" hidden="false" customHeight="false" outlineLevel="0" collapsed="false">
      <c r="A48" s="13"/>
      <c r="B48" s="18" t="str">
        <f aca="false">IF(A48="","",A48+6)</f>
        <v/>
      </c>
      <c r="C48" s="14"/>
      <c r="D48" s="19" t="str">
        <f aca="false">IF(A48="","",COUNTIFS('Sales Daily KPIs'!$B:$B,$C48,'Sales Daily KPIs'!$A:$A,"&gt;="&amp;$A48,'Sales Daily KPIs'!$A:$A,"&lt;="&amp;$B48,'Sales Daily KPIs'!$C:$C,"&lt;&gt;"))</f>
        <v/>
      </c>
      <c r="E48" s="19" t="str">
        <f aca="false">IF(A48="","",SUMIFS('Sales Daily KPIs'!$C:$C,'Sales Daily KPIs'!$B:$B,$C48,'Sales Daily KPIs'!$A:$A,"&gt;="&amp;$A48,'Sales Daily KPIs'!$A:$A,"&lt;="&amp;$B48))</f>
        <v/>
      </c>
      <c r="F48" s="19" t="str">
        <f aca="false">IF(A48="","",Targets!$B$2*Targets!$B$6)</f>
        <v/>
      </c>
      <c r="G48" s="19" t="str">
        <f aca="false">IF(A48="","",SUMIFS('Sales Daily KPIs'!$D:$D,'Sales Daily KPIs'!$B:$B,$C48,'Sales Daily KPIs'!$A:$A,"&gt;="&amp;$A48,'Sales Daily KPIs'!$A:$A,"&lt;="&amp;$B48))</f>
        <v/>
      </c>
      <c r="H48" s="19" t="str">
        <f aca="false">IF(A48="","",Targets!$B$3*Targets!$B$6)</f>
        <v/>
      </c>
      <c r="I48" s="19" t="str">
        <f aca="false">IF(A48="","",SUMIFS('Sales Daily KPIs'!$E:$E,'Sales Daily KPIs'!$B:$B,$C48,'Sales Daily KPIs'!$A:$A,"&gt;="&amp;$A48,'Sales Daily KPIs'!$A:$A,"&lt;="&amp;$B48))</f>
        <v/>
      </c>
      <c r="J48" s="19" t="str">
        <f aca="false">IF(A48="","",Targets!$B$4*Targets!$B$6)</f>
        <v/>
      </c>
      <c r="K48" s="16" t="str">
        <f aca="false">IF(A48="","",IFERROR(SUMIFS('Sales Daily KPIs'!$G:$G,'Sales Daily KPIs'!$B:$B,$C48,'Sales Daily KPIs'!$A:$A,"&gt;="&amp;$A48,'Sales Daily KPIs'!$A:$A,"&lt;="&amp;$B48)/SUMIFS('Sales Daily KPIs'!$F:$F,'Sales Daily KPIs'!$B:$B,$C48,'Sales Daily KPIs'!$A:$A,"&gt;="&amp;$A48,'Sales Daily KPIs'!$A:$A,"&lt;="&amp;$B48),""))</f>
        <v/>
      </c>
      <c r="L48" s="19" t="str">
        <f aca="false">IF(A48="","",SUMIFS('Sales Daily KPIs'!$I:$I,'Sales Daily KPIs'!$B:$B,$C48,'Sales Daily KPIs'!$A:$A,"&gt;="&amp;$A48,'Sales Daily KPIs'!$A:$A,"&lt;="&amp;$B48))</f>
        <v/>
      </c>
      <c r="M48" s="19" t="str">
        <f aca="false">IF(A48="","",Targets!$B$5)</f>
        <v/>
      </c>
      <c r="N48" s="14"/>
    </row>
    <row r="49" customFormat="false" ht="15" hidden="false" customHeight="false" outlineLevel="0" collapsed="false">
      <c r="A49" s="13"/>
      <c r="B49" s="18" t="str">
        <f aca="false">IF(A49="","",A49+6)</f>
        <v/>
      </c>
      <c r="C49" s="14"/>
      <c r="D49" s="19" t="str">
        <f aca="false">IF(A49="","",COUNTIFS('Sales Daily KPIs'!$B:$B,$C49,'Sales Daily KPIs'!$A:$A,"&gt;="&amp;$A49,'Sales Daily KPIs'!$A:$A,"&lt;="&amp;$B49,'Sales Daily KPIs'!$C:$C,"&lt;&gt;"))</f>
        <v/>
      </c>
      <c r="E49" s="19" t="str">
        <f aca="false">IF(A49="","",SUMIFS('Sales Daily KPIs'!$C:$C,'Sales Daily KPIs'!$B:$B,$C49,'Sales Daily KPIs'!$A:$A,"&gt;="&amp;$A49,'Sales Daily KPIs'!$A:$A,"&lt;="&amp;$B49))</f>
        <v/>
      </c>
      <c r="F49" s="19" t="str">
        <f aca="false">IF(A49="","",Targets!$B$2*Targets!$B$6)</f>
        <v/>
      </c>
      <c r="G49" s="19" t="str">
        <f aca="false">IF(A49="","",SUMIFS('Sales Daily KPIs'!$D:$D,'Sales Daily KPIs'!$B:$B,$C49,'Sales Daily KPIs'!$A:$A,"&gt;="&amp;$A49,'Sales Daily KPIs'!$A:$A,"&lt;="&amp;$B49))</f>
        <v/>
      </c>
      <c r="H49" s="19" t="str">
        <f aca="false">IF(A49="","",Targets!$B$3*Targets!$B$6)</f>
        <v/>
      </c>
      <c r="I49" s="19" t="str">
        <f aca="false">IF(A49="","",SUMIFS('Sales Daily KPIs'!$E:$E,'Sales Daily KPIs'!$B:$B,$C49,'Sales Daily KPIs'!$A:$A,"&gt;="&amp;$A49,'Sales Daily KPIs'!$A:$A,"&lt;="&amp;$B49))</f>
        <v/>
      </c>
      <c r="J49" s="19" t="str">
        <f aca="false">IF(A49="","",Targets!$B$4*Targets!$B$6)</f>
        <v/>
      </c>
      <c r="K49" s="16" t="str">
        <f aca="false">IF(A49="","",IFERROR(SUMIFS('Sales Daily KPIs'!$G:$G,'Sales Daily KPIs'!$B:$B,$C49,'Sales Daily KPIs'!$A:$A,"&gt;="&amp;$A49,'Sales Daily KPIs'!$A:$A,"&lt;="&amp;$B49)/SUMIFS('Sales Daily KPIs'!$F:$F,'Sales Daily KPIs'!$B:$B,$C49,'Sales Daily KPIs'!$A:$A,"&gt;="&amp;$A49,'Sales Daily KPIs'!$A:$A,"&lt;="&amp;$B49),""))</f>
        <v/>
      </c>
      <c r="L49" s="19" t="str">
        <f aca="false">IF(A49="","",SUMIFS('Sales Daily KPIs'!$I:$I,'Sales Daily KPIs'!$B:$B,$C49,'Sales Daily KPIs'!$A:$A,"&gt;="&amp;$A49,'Sales Daily KPIs'!$A:$A,"&lt;="&amp;$B49))</f>
        <v/>
      </c>
      <c r="M49" s="19" t="str">
        <f aca="false">IF(A49="","",Targets!$B$5)</f>
        <v/>
      </c>
      <c r="N49" s="14"/>
    </row>
    <row r="50" customFormat="false" ht="15" hidden="false" customHeight="false" outlineLevel="0" collapsed="false">
      <c r="A50" s="13"/>
      <c r="B50" s="18" t="str">
        <f aca="false">IF(A50="","",A50+6)</f>
        <v/>
      </c>
      <c r="C50" s="14"/>
      <c r="D50" s="19" t="str">
        <f aca="false">IF(A50="","",COUNTIFS('Sales Daily KPIs'!$B:$B,$C50,'Sales Daily KPIs'!$A:$A,"&gt;="&amp;$A50,'Sales Daily KPIs'!$A:$A,"&lt;="&amp;$B50,'Sales Daily KPIs'!$C:$C,"&lt;&gt;"))</f>
        <v/>
      </c>
      <c r="E50" s="19" t="str">
        <f aca="false">IF(A50="","",SUMIFS('Sales Daily KPIs'!$C:$C,'Sales Daily KPIs'!$B:$B,$C50,'Sales Daily KPIs'!$A:$A,"&gt;="&amp;$A50,'Sales Daily KPIs'!$A:$A,"&lt;="&amp;$B50))</f>
        <v/>
      </c>
      <c r="F50" s="19" t="str">
        <f aca="false">IF(A50="","",Targets!$B$2*Targets!$B$6)</f>
        <v/>
      </c>
      <c r="G50" s="19" t="str">
        <f aca="false">IF(A50="","",SUMIFS('Sales Daily KPIs'!$D:$D,'Sales Daily KPIs'!$B:$B,$C50,'Sales Daily KPIs'!$A:$A,"&gt;="&amp;$A50,'Sales Daily KPIs'!$A:$A,"&lt;="&amp;$B50))</f>
        <v/>
      </c>
      <c r="H50" s="19" t="str">
        <f aca="false">IF(A50="","",Targets!$B$3*Targets!$B$6)</f>
        <v/>
      </c>
      <c r="I50" s="19" t="str">
        <f aca="false">IF(A50="","",SUMIFS('Sales Daily KPIs'!$E:$E,'Sales Daily KPIs'!$B:$B,$C50,'Sales Daily KPIs'!$A:$A,"&gt;="&amp;$A50,'Sales Daily KPIs'!$A:$A,"&lt;="&amp;$B50))</f>
        <v/>
      </c>
      <c r="J50" s="19" t="str">
        <f aca="false">IF(A50="","",Targets!$B$4*Targets!$B$6)</f>
        <v/>
      </c>
      <c r="K50" s="16" t="str">
        <f aca="false">IF(A50="","",IFERROR(SUMIFS('Sales Daily KPIs'!$G:$G,'Sales Daily KPIs'!$B:$B,$C50,'Sales Daily KPIs'!$A:$A,"&gt;="&amp;$A50,'Sales Daily KPIs'!$A:$A,"&lt;="&amp;$B50)/SUMIFS('Sales Daily KPIs'!$F:$F,'Sales Daily KPIs'!$B:$B,$C50,'Sales Daily KPIs'!$A:$A,"&gt;="&amp;$A50,'Sales Daily KPIs'!$A:$A,"&lt;="&amp;$B50),""))</f>
        <v/>
      </c>
      <c r="L50" s="19" t="str">
        <f aca="false">IF(A50="","",SUMIFS('Sales Daily KPIs'!$I:$I,'Sales Daily KPIs'!$B:$B,$C50,'Sales Daily KPIs'!$A:$A,"&gt;="&amp;$A50,'Sales Daily KPIs'!$A:$A,"&lt;="&amp;$B50))</f>
        <v/>
      </c>
      <c r="M50" s="19" t="str">
        <f aca="false">IF(A50="","",Targets!$B$5)</f>
        <v/>
      </c>
      <c r="N50" s="14"/>
    </row>
    <row r="51" customFormat="false" ht="15" hidden="false" customHeight="false" outlineLevel="0" collapsed="false">
      <c r="A51" s="13"/>
      <c r="B51" s="18" t="str">
        <f aca="false">IF(A51="","",A51+6)</f>
        <v/>
      </c>
      <c r="C51" s="14"/>
      <c r="D51" s="19" t="str">
        <f aca="false">IF(A51="","",COUNTIFS('Sales Daily KPIs'!$B:$B,$C51,'Sales Daily KPIs'!$A:$A,"&gt;="&amp;$A51,'Sales Daily KPIs'!$A:$A,"&lt;="&amp;$B51,'Sales Daily KPIs'!$C:$C,"&lt;&gt;"))</f>
        <v/>
      </c>
      <c r="E51" s="19" t="str">
        <f aca="false">IF(A51="","",SUMIFS('Sales Daily KPIs'!$C:$C,'Sales Daily KPIs'!$B:$B,$C51,'Sales Daily KPIs'!$A:$A,"&gt;="&amp;$A51,'Sales Daily KPIs'!$A:$A,"&lt;="&amp;$B51))</f>
        <v/>
      </c>
      <c r="F51" s="19" t="str">
        <f aca="false">IF(A51="","",Targets!$B$2*Targets!$B$6)</f>
        <v/>
      </c>
      <c r="G51" s="19" t="str">
        <f aca="false">IF(A51="","",SUMIFS('Sales Daily KPIs'!$D:$D,'Sales Daily KPIs'!$B:$B,$C51,'Sales Daily KPIs'!$A:$A,"&gt;="&amp;$A51,'Sales Daily KPIs'!$A:$A,"&lt;="&amp;$B51))</f>
        <v/>
      </c>
      <c r="H51" s="19" t="str">
        <f aca="false">IF(A51="","",Targets!$B$3*Targets!$B$6)</f>
        <v/>
      </c>
      <c r="I51" s="19" t="str">
        <f aca="false">IF(A51="","",SUMIFS('Sales Daily KPIs'!$E:$E,'Sales Daily KPIs'!$B:$B,$C51,'Sales Daily KPIs'!$A:$A,"&gt;="&amp;$A51,'Sales Daily KPIs'!$A:$A,"&lt;="&amp;$B51))</f>
        <v/>
      </c>
      <c r="J51" s="19" t="str">
        <f aca="false">IF(A51="","",Targets!$B$4*Targets!$B$6)</f>
        <v/>
      </c>
      <c r="K51" s="16" t="str">
        <f aca="false">IF(A51="","",IFERROR(SUMIFS('Sales Daily KPIs'!$G:$G,'Sales Daily KPIs'!$B:$B,$C51,'Sales Daily KPIs'!$A:$A,"&gt;="&amp;$A51,'Sales Daily KPIs'!$A:$A,"&lt;="&amp;$B51)/SUMIFS('Sales Daily KPIs'!$F:$F,'Sales Daily KPIs'!$B:$B,$C51,'Sales Daily KPIs'!$A:$A,"&gt;="&amp;$A51,'Sales Daily KPIs'!$A:$A,"&lt;="&amp;$B51),""))</f>
        <v/>
      </c>
      <c r="L51" s="19" t="str">
        <f aca="false">IF(A51="","",SUMIFS('Sales Daily KPIs'!$I:$I,'Sales Daily KPIs'!$B:$B,$C51,'Sales Daily KPIs'!$A:$A,"&gt;="&amp;$A51,'Sales Daily KPIs'!$A:$A,"&lt;="&amp;$B51))</f>
        <v/>
      </c>
      <c r="M51" s="19" t="str">
        <f aca="false">IF(A51="","",Targets!$B$5)</f>
        <v/>
      </c>
      <c r="N51" s="14"/>
    </row>
    <row r="52" customFormat="false" ht="15" hidden="false" customHeight="false" outlineLevel="0" collapsed="false">
      <c r="A52" s="13"/>
      <c r="B52" s="18" t="str">
        <f aca="false">IF(A52="","",A52+6)</f>
        <v/>
      </c>
      <c r="C52" s="14"/>
      <c r="D52" s="19" t="str">
        <f aca="false">IF(A52="","",COUNTIFS('Sales Daily KPIs'!$B:$B,$C52,'Sales Daily KPIs'!$A:$A,"&gt;="&amp;$A52,'Sales Daily KPIs'!$A:$A,"&lt;="&amp;$B52,'Sales Daily KPIs'!$C:$C,"&lt;&gt;"))</f>
        <v/>
      </c>
      <c r="E52" s="19" t="str">
        <f aca="false">IF(A52="","",SUMIFS('Sales Daily KPIs'!$C:$C,'Sales Daily KPIs'!$B:$B,$C52,'Sales Daily KPIs'!$A:$A,"&gt;="&amp;$A52,'Sales Daily KPIs'!$A:$A,"&lt;="&amp;$B52))</f>
        <v/>
      </c>
      <c r="F52" s="19" t="str">
        <f aca="false">IF(A52="","",Targets!$B$2*Targets!$B$6)</f>
        <v/>
      </c>
      <c r="G52" s="19" t="str">
        <f aca="false">IF(A52="","",SUMIFS('Sales Daily KPIs'!$D:$D,'Sales Daily KPIs'!$B:$B,$C52,'Sales Daily KPIs'!$A:$A,"&gt;="&amp;$A52,'Sales Daily KPIs'!$A:$A,"&lt;="&amp;$B52))</f>
        <v/>
      </c>
      <c r="H52" s="19" t="str">
        <f aca="false">IF(A52="","",Targets!$B$3*Targets!$B$6)</f>
        <v/>
      </c>
      <c r="I52" s="19" t="str">
        <f aca="false">IF(A52="","",SUMIFS('Sales Daily KPIs'!$E:$E,'Sales Daily KPIs'!$B:$B,$C52,'Sales Daily KPIs'!$A:$A,"&gt;="&amp;$A52,'Sales Daily KPIs'!$A:$A,"&lt;="&amp;$B52))</f>
        <v/>
      </c>
      <c r="J52" s="19" t="str">
        <f aca="false">IF(A52="","",Targets!$B$4*Targets!$B$6)</f>
        <v/>
      </c>
      <c r="K52" s="16" t="str">
        <f aca="false">IF(A52="","",IFERROR(SUMIFS('Sales Daily KPIs'!$G:$G,'Sales Daily KPIs'!$B:$B,$C52,'Sales Daily KPIs'!$A:$A,"&gt;="&amp;$A52,'Sales Daily KPIs'!$A:$A,"&lt;="&amp;$B52)/SUMIFS('Sales Daily KPIs'!$F:$F,'Sales Daily KPIs'!$B:$B,$C52,'Sales Daily KPIs'!$A:$A,"&gt;="&amp;$A52,'Sales Daily KPIs'!$A:$A,"&lt;="&amp;$B52),""))</f>
        <v/>
      </c>
      <c r="L52" s="19" t="str">
        <f aca="false">IF(A52="","",SUMIFS('Sales Daily KPIs'!$I:$I,'Sales Daily KPIs'!$B:$B,$C52,'Sales Daily KPIs'!$A:$A,"&gt;="&amp;$A52,'Sales Daily KPIs'!$A:$A,"&lt;="&amp;$B52))</f>
        <v/>
      </c>
      <c r="M52" s="19" t="str">
        <f aca="false">IF(A52="","",Targets!$B$5)</f>
        <v/>
      </c>
      <c r="N52" s="14"/>
    </row>
    <row r="53" customFormat="false" ht="15" hidden="false" customHeight="false" outlineLevel="0" collapsed="false">
      <c r="A53" s="13"/>
      <c r="B53" s="18" t="str">
        <f aca="false">IF(A53="","",A53+6)</f>
        <v/>
      </c>
      <c r="C53" s="14"/>
      <c r="D53" s="19" t="str">
        <f aca="false">IF(A53="","",COUNTIFS('Sales Daily KPIs'!$B:$B,$C53,'Sales Daily KPIs'!$A:$A,"&gt;="&amp;$A53,'Sales Daily KPIs'!$A:$A,"&lt;="&amp;$B53,'Sales Daily KPIs'!$C:$C,"&lt;&gt;"))</f>
        <v/>
      </c>
      <c r="E53" s="19" t="str">
        <f aca="false">IF(A53="","",SUMIFS('Sales Daily KPIs'!$C:$C,'Sales Daily KPIs'!$B:$B,$C53,'Sales Daily KPIs'!$A:$A,"&gt;="&amp;$A53,'Sales Daily KPIs'!$A:$A,"&lt;="&amp;$B53))</f>
        <v/>
      </c>
      <c r="F53" s="19" t="str">
        <f aca="false">IF(A53="","",Targets!$B$2*Targets!$B$6)</f>
        <v/>
      </c>
      <c r="G53" s="19" t="str">
        <f aca="false">IF(A53="","",SUMIFS('Sales Daily KPIs'!$D:$D,'Sales Daily KPIs'!$B:$B,$C53,'Sales Daily KPIs'!$A:$A,"&gt;="&amp;$A53,'Sales Daily KPIs'!$A:$A,"&lt;="&amp;$B53))</f>
        <v/>
      </c>
      <c r="H53" s="19" t="str">
        <f aca="false">IF(A53="","",Targets!$B$3*Targets!$B$6)</f>
        <v/>
      </c>
      <c r="I53" s="19" t="str">
        <f aca="false">IF(A53="","",SUMIFS('Sales Daily KPIs'!$E:$E,'Sales Daily KPIs'!$B:$B,$C53,'Sales Daily KPIs'!$A:$A,"&gt;="&amp;$A53,'Sales Daily KPIs'!$A:$A,"&lt;="&amp;$B53))</f>
        <v/>
      </c>
      <c r="J53" s="19" t="str">
        <f aca="false">IF(A53="","",Targets!$B$4*Targets!$B$6)</f>
        <v/>
      </c>
      <c r="K53" s="16" t="str">
        <f aca="false">IF(A53="","",IFERROR(SUMIFS('Sales Daily KPIs'!$G:$G,'Sales Daily KPIs'!$B:$B,$C53,'Sales Daily KPIs'!$A:$A,"&gt;="&amp;$A53,'Sales Daily KPIs'!$A:$A,"&lt;="&amp;$B53)/SUMIFS('Sales Daily KPIs'!$F:$F,'Sales Daily KPIs'!$B:$B,$C53,'Sales Daily KPIs'!$A:$A,"&gt;="&amp;$A53,'Sales Daily KPIs'!$A:$A,"&lt;="&amp;$B53),""))</f>
        <v/>
      </c>
      <c r="L53" s="19" t="str">
        <f aca="false">IF(A53="","",SUMIFS('Sales Daily KPIs'!$I:$I,'Sales Daily KPIs'!$B:$B,$C53,'Sales Daily KPIs'!$A:$A,"&gt;="&amp;$A53,'Sales Daily KPIs'!$A:$A,"&lt;="&amp;$B53))</f>
        <v/>
      </c>
      <c r="M53" s="19" t="str">
        <f aca="false">IF(A53="","",Targets!$B$5)</f>
        <v/>
      </c>
      <c r="N53" s="14"/>
    </row>
    <row r="54" customFormat="false" ht="15" hidden="false" customHeight="false" outlineLevel="0" collapsed="false">
      <c r="A54" s="13"/>
      <c r="B54" s="18" t="str">
        <f aca="false">IF(A54="","",A54+6)</f>
        <v/>
      </c>
      <c r="C54" s="14"/>
      <c r="D54" s="19" t="str">
        <f aca="false">IF(A54="","",COUNTIFS('Sales Daily KPIs'!$B:$B,$C54,'Sales Daily KPIs'!$A:$A,"&gt;="&amp;$A54,'Sales Daily KPIs'!$A:$A,"&lt;="&amp;$B54,'Sales Daily KPIs'!$C:$C,"&lt;&gt;"))</f>
        <v/>
      </c>
      <c r="E54" s="19" t="str">
        <f aca="false">IF(A54="","",SUMIFS('Sales Daily KPIs'!$C:$C,'Sales Daily KPIs'!$B:$B,$C54,'Sales Daily KPIs'!$A:$A,"&gt;="&amp;$A54,'Sales Daily KPIs'!$A:$A,"&lt;="&amp;$B54))</f>
        <v/>
      </c>
      <c r="F54" s="19" t="str">
        <f aca="false">IF(A54="","",Targets!$B$2*Targets!$B$6)</f>
        <v/>
      </c>
      <c r="G54" s="19" t="str">
        <f aca="false">IF(A54="","",SUMIFS('Sales Daily KPIs'!$D:$D,'Sales Daily KPIs'!$B:$B,$C54,'Sales Daily KPIs'!$A:$A,"&gt;="&amp;$A54,'Sales Daily KPIs'!$A:$A,"&lt;="&amp;$B54))</f>
        <v/>
      </c>
      <c r="H54" s="19" t="str">
        <f aca="false">IF(A54="","",Targets!$B$3*Targets!$B$6)</f>
        <v/>
      </c>
      <c r="I54" s="19" t="str">
        <f aca="false">IF(A54="","",SUMIFS('Sales Daily KPIs'!$E:$E,'Sales Daily KPIs'!$B:$B,$C54,'Sales Daily KPIs'!$A:$A,"&gt;="&amp;$A54,'Sales Daily KPIs'!$A:$A,"&lt;="&amp;$B54))</f>
        <v/>
      </c>
      <c r="J54" s="19" t="str">
        <f aca="false">IF(A54="","",Targets!$B$4*Targets!$B$6)</f>
        <v/>
      </c>
      <c r="K54" s="16" t="str">
        <f aca="false">IF(A54="","",IFERROR(SUMIFS('Sales Daily KPIs'!$G:$G,'Sales Daily KPIs'!$B:$B,$C54,'Sales Daily KPIs'!$A:$A,"&gt;="&amp;$A54,'Sales Daily KPIs'!$A:$A,"&lt;="&amp;$B54)/SUMIFS('Sales Daily KPIs'!$F:$F,'Sales Daily KPIs'!$B:$B,$C54,'Sales Daily KPIs'!$A:$A,"&gt;="&amp;$A54,'Sales Daily KPIs'!$A:$A,"&lt;="&amp;$B54),""))</f>
        <v/>
      </c>
      <c r="L54" s="19" t="str">
        <f aca="false">IF(A54="","",SUMIFS('Sales Daily KPIs'!$I:$I,'Sales Daily KPIs'!$B:$B,$C54,'Sales Daily KPIs'!$A:$A,"&gt;="&amp;$A54,'Sales Daily KPIs'!$A:$A,"&lt;="&amp;$B54))</f>
        <v/>
      </c>
      <c r="M54" s="19" t="str">
        <f aca="false">IF(A54="","",Targets!$B$5)</f>
        <v/>
      </c>
      <c r="N54" s="14"/>
    </row>
    <row r="55" customFormat="false" ht="15" hidden="false" customHeight="false" outlineLevel="0" collapsed="false">
      <c r="A55" s="13"/>
      <c r="B55" s="18" t="str">
        <f aca="false">IF(A55="","",A55+6)</f>
        <v/>
      </c>
      <c r="C55" s="14"/>
      <c r="D55" s="19" t="str">
        <f aca="false">IF(A55="","",COUNTIFS('Sales Daily KPIs'!$B:$B,$C55,'Sales Daily KPIs'!$A:$A,"&gt;="&amp;$A55,'Sales Daily KPIs'!$A:$A,"&lt;="&amp;$B55,'Sales Daily KPIs'!$C:$C,"&lt;&gt;"))</f>
        <v/>
      </c>
      <c r="E55" s="19" t="str">
        <f aca="false">IF(A55="","",SUMIFS('Sales Daily KPIs'!$C:$C,'Sales Daily KPIs'!$B:$B,$C55,'Sales Daily KPIs'!$A:$A,"&gt;="&amp;$A55,'Sales Daily KPIs'!$A:$A,"&lt;="&amp;$B55))</f>
        <v/>
      </c>
      <c r="F55" s="19" t="str">
        <f aca="false">IF(A55="","",Targets!$B$2*Targets!$B$6)</f>
        <v/>
      </c>
      <c r="G55" s="19" t="str">
        <f aca="false">IF(A55="","",SUMIFS('Sales Daily KPIs'!$D:$D,'Sales Daily KPIs'!$B:$B,$C55,'Sales Daily KPIs'!$A:$A,"&gt;="&amp;$A55,'Sales Daily KPIs'!$A:$A,"&lt;="&amp;$B55))</f>
        <v/>
      </c>
      <c r="H55" s="19" t="str">
        <f aca="false">IF(A55="","",Targets!$B$3*Targets!$B$6)</f>
        <v/>
      </c>
      <c r="I55" s="19" t="str">
        <f aca="false">IF(A55="","",SUMIFS('Sales Daily KPIs'!$E:$E,'Sales Daily KPIs'!$B:$B,$C55,'Sales Daily KPIs'!$A:$A,"&gt;="&amp;$A55,'Sales Daily KPIs'!$A:$A,"&lt;="&amp;$B55))</f>
        <v/>
      </c>
      <c r="J55" s="19" t="str">
        <f aca="false">IF(A55="","",Targets!$B$4*Targets!$B$6)</f>
        <v/>
      </c>
      <c r="K55" s="16" t="str">
        <f aca="false">IF(A55="","",IFERROR(SUMIFS('Sales Daily KPIs'!$G:$G,'Sales Daily KPIs'!$B:$B,$C55,'Sales Daily KPIs'!$A:$A,"&gt;="&amp;$A55,'Sales Daily KPIs'!$A:$A,"&lt;="&amp;$B55)/SUMIFS('Sales Daily KPIs'!$F:$F,'Sales Daily KPIs'!$B:$B,$C55,'Sales Daily KPIs'!$A:$A,"&gt;="&amp;$A55,'Sales Daily KPIs'!$A:$A,"&lt;="&amp;$B55),""))</f>
        <v/>
      </c>
      <c r="L55" s="19" t="str">
        <f aca="false">IF(A55="","",SUMIFS('Sales Daily KPIs'!$I:$I,'Sales Daily KPIs'!$B:$B,$C55,'Sales Daily KPIs'!$A:$A,"&gt;="&amp;$A55,'Sales Daily KPIs'!$A:$A,"&lt;="&amp;$B55))</f>
        <v/>
      </c>
      <c r="M55" s="19" t="str">
        <f aca="false">IF(A55="","",Targets!$B$5)</f>
        <v/>
      </c>
      <c r="N55" s="14"/>
    </row>
    <row r="56" customFormat="false" ht="15" hidden="false" customHeight="false" outlineLevel="0" collapsed="false">
      <c r="A56" s="13"/>
      <c r="B56" s="18" t="str">
        <f aca="false">IF(A56="","",A56+6)</f>
        <v/>
      </c>
      <c r="C56" s="14"/>
      <c r="D56" s="19" t="str">
        <f aca="false">IF(A56="","",COUNTIFS('Sales Daily KPIs'!$B:$B,$C56,'Sales Daily KPIs'!$A:$A,"&gt;="&amp;$A56,'Sales Daily KPIs'!$A:$A,"&lt;="&amp;$B56,'Sales Daily KPIs'!$C:$C,"&lt;&gt;"))</f>
        <v/>
      </c>
      <c r="E56" s="19" t="str">
        <f aca="false">IF(A56="","",SUMIFS('Sales Daily KPIs'!$C:$C,'Sales Daily KPIs'!$B:$B,$C56,'Sales Daily KPIs'!$A:$A,"&gt;="&amp;$A56,'Sales Daily KPIs'!$A:$A,"&lt;="&amp;$B56))</f>
        <v/>
      </c>
      <c r="F56" s="19" t="str">
        <f aca="false">IF(A56="","",Targets!$B$2*Targets!$B$6)</f>
        <v/>
      </c>
      <c r="G56" s="19" t="str">
        <f aca="false">IF(A56="","",SUMIFS('Sales Daily KPIs'!$D:$D,'Sales Daily KPIs'!$B:$B,$C56,'Sales Daily KPIs'!$A:$A,"&gt;="&amp;$A56,'Sales Daily KPIs'!$A:$A,"&lt;="&amp;$B56))</f>
        <v/>
      </c>
      <c r="H56" s="19" t="str">
        <f aca="false">IF(A56="","",Targets!$B$3*Targets!$B$6)</f>
        <v/>
      </c>
      <c r="I56" s="19" t="str">
        <f aca="false">IF(A56="","",SUMIFS('Sales Daily KPIs'!$E:$E,'Sales Daily KPIs'!$B:$B,$C56,'Sales Daily KPIs'!$A:$A,"&gt;="&amp;$A56,'Sales Daily KPIs'!$A:$A,"&lt;="&amp;$B56))</f>
        <v/>
      </c>
      <c r="J56" s="19" t="str">
        <f aca="false">IF(A56="","",Targets!$B$4*Targets!$B$6)</f>
        <v/>
      </c>
      <c r="K56" s="16" t="str">
        <f aca="false">IF(A56="","",IFERROR(SUMIFS('Sales Daily KPIs'!$G:$G,'Sales Daily KPIs'!$B:$B,$C56,'Sales Daily KPIs'!$A:$A,"&gt;="&amp;$A56,'Sales Daily KPIs'!$A:$A,"&lt;="&amp;$B56)/SUMIFS('Sales Daily KPIs'!$F:$F,'Sales Daily KPIs'!$B:$B,$C56,'Sales Daily KPIs'!$A:$A,"&gt;="&amp;$A56,'Sales Daily KPIs'!$A:$A,"&lt;="&amp;$B56),""))</f>
        <v/>
      </c>
      <c r="L56" s="19" t="str">
        <f aca="false">IF(A56="","",SUMIFS('Sales Daily KPIs'!$I:$I,'Sales Daily KPIs'!$B:$B,$C56,'Sales Daily KPIs'!$A:$A,"&gt;="&amp;$A56,'Sales Daily KPIs'!$A:$A,"&lt;="&amp;$B56))</f>
        <v/>
      </c>
      <c r="M56" s="19" t="str">
        <f aca="false">IF(A56="","",Targets!$B$5)</f>
        <v/>
      </c>
      <c r="N56" s="14"/>
    </row>
    <row r="57" customFormat="false" ht="15" hidden="false" customHeight="false" outlineLevel="0" collapsed="false">
      <c r="A57" s="13"/>
      <c r="B57" s="18" t="str">
        <f aca="false">IF(A57="","",A57+6)</f>
        <v/>
      </c>
      <c r="C57" s="14"/>
      <c r="D57" s="19" t="str">
        <f aca="false">IF(A57="","",COUNTIFS('Sales Daily KPIs'!$B:$B,$C57,'Sales Daily KPIs'!$A:$A,"&gt;="&amp;$A57,'Sales Daily KPIs'!$A:$A,"&lt;="&amp;$B57,'Sales Daily KPIs'!$C:$C,"&lt;&gt;"))</f>
        <v/>
      </c>
      <c r="E57" s="19" t="str">
        <f aca="false">IF(A57="","",SUMIFS('Sales Daily KPIs'!$C:$C,'Sales Daily KPIs'!$B:$B,$C57,'Sales Daily KPIs'!$A:$A,"&gt;="&amp;$A57,'Sales Daily KPIs'!$A:$A,"&lt;="&amp;$B57))</f>
        <v/>
      </c>
      <c r="F57" s="19" t="str">
        <f aca="false">IF(A57="","",Targets!$B$2*Targets!$B$6)</f>
        <v/>
      </c>
      <c r="G57" s="19" t="str">
        <f aca="false">IF(A57="","",SUMIFS('Sales Daily KPIs'!$D:$D,'Sales Daily KPIs'!$B:$B,$C57,'Sales Daily KPIs'!$A:$A,"&gt;="&amp;$A57,'Sales Daily KPIs'!$A:$A,"&lt;="&amp;$B57))</f>
        <v/>
      </c>
      <c r="H57" s="19" t="str">
        <f aca="false">IF(A57="","",Targets!$B$3*Targets!$B$6)</f>
        <v/>
      </c>
      <c r="I57" s="19" t="str">
        <f aca="false">IF(A57="","",SUMIFS('Sales Daily KPIs'!$E:$E,'Sales Daily KPIs'!$B:$B,$C57,'Sales Daily KPIs'!$A:$A,"&gt;="&amp;$A57,'Sales Daily KPIs'!$A:$A,"&lt;="&amp;$B57))</f>
        <v/>
      </c>
      <c r="J57" s="19" t="str">
        <f aca="false">IF(A57="","",Targets!$B$4*Targets!$B$6)</f>
        <v/>
      </c>
      <c r="K57" s="16" t="str">
        <f aca="false">IF(A57="","",IFERROR(SUMIFS('Sales Daily KPIs'!$G:$G,'Sales Daily KPIs'!$B:$B,$C57,'Sales Daily KPIs'!$A:$A,"&gt;="&amp;$A57,'Sales Daily KPIs'!$A:$A,"&lt;="&amp;$B57)/SUMIFS('Sales Daily KPIs'!$F:$F,'Sales Daily KPIs'!$B:$B,$C57,'Sales Daily KPIs'!$A:$A,"&gt;="&amp;$A57,'Sales Daily KPIs'!$A:$A,"&lt;="&amp;$B57),""))</f>
        <v/>
      </c>
      <c r="L57" s="19" t="str">
        <f aca="false">IF(A57="","",SUMIFS('Sales Daily KPIs'!$I:$I,'Sales Daily KPIs'!$B:$B,$C57,'Sales Daily KPIs'!$A:$A,"&gt;="&amp;$A57,'Sales Daily KPIs'!$A:$A,"&lt;="&amp;$B57))</f>
        <v/>
      </c>
      <c r="M57" s="19" t="str">
        <f aca="false">IF(A57="","",Targets!$B$5)</f>
        <v/>
      </c>
      <c r="N57" s="14"/>
    </row>
    <row r="58" customFormat="false" ht="15" hidden="false" customHeight="false" outlineLevel="0" collapsed="false">
      <c r="A58" s="13"/>
      <c r="B58" s="18" t="str">
        <f aca="false">IF(A58="","",A58+6)</f>
        <v/>
      </c>
      <c r="C58" s="14"/>
      <c r="D58" s="19" t="str">
        <f aca="false">IF(A58="","",COUNTIFS('Sales Daily KPIs'!$B:$B,$C58,'Sales Daily KPIs'!$A:$A,"&gt;="&amp;$A58,'Sales Daily KPIs'!$A:$A,"&lt;="&amp;$B58,'Sales Daily KPIs'!$C:$C,"&lt;&gt;"))</f>
        <v/>
      </c>
      <c r="E58" s="19" t="str">
        <f aca="false">IF(A58="","",SUMIFS('Sales Daily KPIs'!$C:$C,'Sales Daily KPIs'!$B:$B,$C58,'Sales Daily KPIs'!$A:$A,"&gt;="&amp;$A58,'Sales Daily KPIs'!$A:$A,"&lt;="&amp;$B58))</f>
        <v/>
      </c>
      <c r="F58" s="19" t="str">
        <f aca="false">IF(A58="","",Targets!$B$2*Targets!$B$6)</f>
        <v/>
      </c>
      <c r="G58" s="19" t="str">
        <f aca="false">IF(A58="","",SUMIFS('Sales Daily KPIs'!$D:$D,'Sales Daily KPIs'!$B:$B,$C58,'Sales Daily KPIs'!$A:$A,"&gt;="&amp;$A58,'Sales Daily KPIs'!$A:$A,"&lt;="&amp;$B58))</f>
        <v/>
      </c>
      <c r="H58" s="19" t="str">
        <f aca="false">IF(A58="","",Targets!$B$3*Targets!$B$6)</f>
        <v/>
      </c>
      <c r="I58" s="19" t="str">
        <f aca="false">IF(A58="","",SUMIFS('Sales Daily KPIs'!$E:$E,'Sales Daily KPIs'!$B:$B,$C58,'Sales Daily KPIs'!$A:$A,"&gt;="&amp;$A58,'Sales Daily KPIs'!$A:$A,"&lt;="&amp;$B58))</f>
        <v/>
      </c>
      <c r="J58" s="19" t="str">
        <f aca="false">IF(A58="","",Targets!$B$4*Targets!$B$6)</f>
        <v/>
      </c>
      <c r="K58" s="16" t="str">
        <f aca="false">IF(A58="","",IFERROR(SUMIFS('Sales Daily KPIs'!$G:$G,'Sales Daily KPIs'!$B:$B,$C58,'Sales Daily KPIs'!$A:$A,"&gt;="&amp;$A58,'Sales Daily KPIs'!$A:$A,"&lt;="&amp;$B58)/SUMIFS('Sales Daily KPIs'!$F:$F,'Sales Daily KPIs'!$B:$B,$C58,'Sales Daily KPIs'!$A:$A,"&gt;="&amp;$A58,'Sales Daily KPIs'!$A:$A,"&lt;="&amp;$B58),""))</f>
        <v/>
      </c>
      <c r="L58" s="19" t="str">
        <f aca="false">IF(A58="","",SUMIFS('Sales Daily KPIs'!$I:$I,'Sales Daily KPIs'!$B:$B,$C58,'Sales Daily KPIs'!$A:$A,"&gt;="&amp;$A58,'Sales Daily KPIs'!$A:$A,"&lt;="&amp;$B58))</f>
        <v/>
      </c>
      <c r="M58" s="19" t="str">
        <f aca="false">IF(A58="","",Targets!$B$5)</f>
        <v/>
      </c>
      <c r="N58" s="14"/>
    </row>
    <row r="59" customFormat="false" ht="15" hidden="false" customHeight="false" outlineLevel="0" collapsed="false">
      <c r="A59" s="13"/>
      <c r="B59" s="18" t="str">
        <f aca="false">IF(A59="","",A59+6)</f>
        <v/>
      </c>
      <c r="C59" s="14"/>
      <c r="D59" s="19" t="str">
        <f aca="false">IF(A59="","",COUNTIFS('Sales Daily KPIs'!$B:$B,$C59,'Sales Daily KPIs'!$A:$A,"&gt;="&amp;$A59,'Sales Daily KPIs'!$A:$A,"&lt;="&amp;$B59,'Sales Daily KPIs'!$C:$C,"&lt;&gt;"))</f>
        <v/>
      </c>
      <c r="E59" s="19" t="str">
        <f aca="false">IF(A59="","",SUMIFS('Sales Daily KPIs'!$C:$C,'Sales Daily KPIs'!$B:$B,$C59,'Sales Daily KPIs'!$A:$A,"&gt;="&amp;$A59,'Sales Daily KPIs'!$A:$A,"&lt;="&amp;$B59))</f>
        <v/>
      </c>
      <c r="F59" s="19" t="str">
        <f aca="false">IF(A59="","",Targets!$B$2*Targets!$B$6)</f>
        <v/>
      </c>
      <c r="G59" s="19" t="str">
        <f aca="false">IF(A59="","",SUMIFS('Sales Daily KPIs'!$D:$D,'Sales Daily KPIs'!$B:$B,$C59,'Sales Daily KPIs'!$A:$A,"&gt;="&amp;$A59,'Sales Daily KPIs'!$A:$A,"&lt;="&amp;$B59))</f>
        <v/>
      </c>
      <c r="H59" s="19" t="str">
        <f aca="false">IF(A59="","",Targets!$B$3*Targets!$B$6)</f>
        <v/>
      </c>
      <c r="I59" s="19" t="str">
        <f aca="false">IF(A59="","",SUMIFS('Sales Daily KPIs'!$E:$E,'Sales Daily KPIs'!$B:$B,$C59,'Sales Daily KPIs'!$A:$A,"&gt;="&amp;$A59,'Sales Daily KPIs'!$A:$A,"&lt;="&amp;$B59))</f>
        <v/>
      </c>
      <c r="J59" s="19" t="str">
        <f aca="false">IF(A59="","",Targets!$B$4*Targets!$B$6)</f>
        <v/>
      </c>
      <c r="K59" s="16" t="str">
        <f aca="false">IF(A59="","",IFERROR(SUMIFS('Sales Daily KPIs'!$G:$G,'Sales Daily KPIs'!$B:$B,$C59,'Sales Daily KPIs'!$A:$A,"&gt;="&amp;$A59,'Sales Daily KPIs'!$A:$A,"&lt;="&amp;$B59)/SUMIFS('Sales Daily KPIs'!$F:$F,'Sales Daily KPIs'!$B:$B,$C59,'Sales Daily KPIs'!$A:$A,"&gt;="&amp;$A59,'Sales Daily KPIs'!$A:$A,"&lt;="&amp;$B59),""))</f>
        <v/>
      </c>
      <c r="L59" s="19" t="str">
        <f aca="false">IF(A59="","",SUMIFS('Sales Daily KPIs'!$I:$I,'Sales Daily KPIs'!$B:$B,$C59,'Sales Daily KPIs'!$A:$A,"&gt;="&amp;$A59,'Sales Daily KPIs'!$A:$A,"&lt;="&amp;$B59))</f>
        <v/>
      </c>
      <c r="M59" s="19" t="str">
        <f aca="false">IF(A59="","",Targets!$B$5)</f>
        <v/>
      </c>
      <c r="N59" s="14"/>
    </row>
    <row r="60" customFormat="false" ht="15" hidden="false" customHeight="false" outlineLevel="0" collapsed="false">
      <c r="A60" s="13"/>
      <c r="B60" s="18" t="str">
        <f aca="false">IF(A60="","",A60+6)</f>
        <v/>
      </c>
      <c r="C60" s="14"/>
      <c r="D60" s="19" t="str">
        <f aca="false">IF(A60="","",COUNTIFS('Sales Daily KPIs'!$B:$B,$C60,'Sales Daily KPIs'!$A:$A,"&gt;="&amp;$A60,'Sales Daily KPIs'!$A:$A,"&lt;="&amp;$B60,'Sales Daily KPIs'!$C:$C,"&lt;&gt;"))</f>
        <v/>
      </c>
      <c r="E60" s="19" t="str">
        <f aca="false">IF(A60="","",SUMIFS('Sales Daily KPIs'!$C:$C,'Sales Daily KPIs'!$B:$B,$C60,'Sales Daily KPIs'!$A:$A,"&gt;="&amp;$A60,'Sales Daily KPIs'!$A:$A,"&lt;="&amp;$B60))</f>
        <v/>
      </c>
      <c r="F60" s="19" t="str">
        <f aca="false">IF(A60="","",Targets!$B$2*Targets!$B$6)</f>
        <v/>
      </c>
      <c r="G60" s="19" t="str">
        <f aca="false">IF(A60="","",SUMIFS('Sales Daily KPIs'!$D:$D,'Sales Daily KPIs'!$B:$B,$C60,'Sales Daily KPIs'!$A:$A,"&gt;="&amp;$A60,'Sales Daily KPIs'!$A:$A,"&lt;="&amp;$B60))</f>
        <v/>
      </c>
      <c r="H60" s="19" t="str">
        <f aca="false">IF(A60="","",Targets!$B$3*Targets!$B$6)</f>
        <v/>
      </c>
      <c r="I60" s="19" t="str">
        <f aca="false">IF(A60="","",SUMIFS('Sales Daily KPIs'!$E:$E,'Sales Daily KPIs'!$B:$B,$C60,'Sales Daily KPIs'!$A:$A,"&gt;="&amp;$A60,'Sales Daily KPIs'!$A:$A,"&lt;="&amp;$B60))</f>
        <v/>
      </c>
      <c r="J60" s="19" t="str">
        <f aca="false">IF(A60="","",Targets!$B$4*Targets!$B$6)</f>
        <v/>
      </c>
      <c r="K60" s="16" t="str">
        <f aca="false">IF(A60="","",IFERROR(SUMIFS('Sales Daily KPIs'!$G:$G,'Sales Daily KPIs'!$B:$B,$C60,'Sales Daily KPIs'!$A:$A,"&gt;="&amp;$A60,'Sales Daily KPIs'!$A:$A,"&lt;="&amp;$B60)/SUMIFS('Sales Daily KPIs'!$F:$F,'Sales Daily KPIs'!$B:$B,$C60,'Sales Daily KPIs'!$A:$A,"&gt;="&amp;$A60,'Sales Daily KPIs'!$A:$A,"&lt;="&amp;$B60),""))</f>
        <v/>
      </c>
      <c r="L60" s="19" t="str">
        <f aca="false">IF(A60="","",SUMIFS('Sales Daily KPIs'!$I:$I,'Sales Daily KPIs'!$B:$B,$C60,'Sales Daily KPIs'!$A:$A,"&gt;="&amp;$A60,'Sales Daily KPIs'!$A:$A,"&lt;="&amp;$B60))</f>
        <v/>
      </c>
      <c r="M60" s="19" t="str">
        <f aca="false">IF(A60="","",Targets!$B$5)</f>
        <v/>
      </c>
      <c r="N60" s="14"/>
    </row>
    <row r="61" customFormat="false" ht="15" hidden="false" customHeight="false" outlineLevel="0" collapsed="false">
      <c r="A61" s="13"/>
      <c r="B61" s="18" t="str">
        <f aca="false">IF(A61="","",A61+6)</f>
        <v/>
      </c>
      <c r="C61" s="14"/>
      <c r="D61" s="19" t="str">
        <f aca="false">IF(A61="","",COUNTIFS('Sales Daily KPIs'!$B:$B,$C61,'Sales Daily KPIs'!$A:$A,"&gt;="&amp;$A61,'Sales Daily KPIs'!$A:$A,"&lt;="&amp;$B61,'Sales Daily KPIs'!$C:$C,"&lt;&gt;"))</f>
        <v/>
      </c>
      <c r="E61" s="19" t="str">
        <f aca="false">IF(A61="","",SUMIFS('Sales Daily KPIs'!$C:$C,'Sales Daily KPIs'!$B:$B,$C61,'Sales Daily KPIs'!$A:$A,"&gt;="&amp;$A61,'Sales Daily KPIs'!$A:$A,"&lt;="&amp;$B61))</f>
        <v/>
      </c>
      <c r="F61" s="19" t="str">
        <f aca="false">IF(A61="","",Targets!$B$2*Targets!$B$6)</f>
        <v/>
      </c>
      <c r="G61" s="19" t="str">
        <f aca="false">IF(A61="","",SUMIFS('Sales Daily KPIs'!$D:$D,'Sales Daily KPIs'!$B:$B,$C61,'Sales Daily KPIs'!$A:$A,"&gt;="&amp;$A61,'Sales Daily KPIs'!$A:$A,"&lt;="&amp;$B61))</f>
        <v/>
      </c>
      <c r="H61" s="19" t="str">
        <f aca="false">IF(A61="","",Targets!$B$3*Targets!$B$6)</f>
        <v/>
      </c>
      <c r="I61" s="19" t="str">
        <f aca="false">IF(A61="","",SUMIFS('Sales Daily KPIs'!$E:$E,'Sales Daily KPIs'!$B:$B,$C61,'Sales Daily KPIs'!$A:$A,"&gt;="&amp;$A61,'Sales Daily KPIs'!$A:$A,"&lt;="&amp;$B61))</f>
        <v/>
      </c>
      <c r="J61" s="19" t="str">
        <f aca="false">IF(A61="","",Targets!$B$4*Targets!$B$6)</f>
        <v/>
      </c>
      <c r="K61" s="16" t="str">
        <f aca="false">IF(A61="","",IFERROR(SUMIFS('Sales Daily KPIs'!$G:$G,'Sales Daily KPIs'!$B:$B,$C61,'Sales Daily KPIs'!$A:$A,"&gt;="&amp;$A61,'Sales Daily KPIs'!$A:$A,"&lt;="&amp;$B61)/SUMIFS('Sales Daily KPIs'!$F:$F,'Sales Daily KPIs'!$B:$B,$C61,'Sales Daily KPIs'!$A:$A,"&gt;="&amp;$A61,'Sales Daily KPIs'!$A:$A,"&lt;="&amp;$B61),""))</f>
        <v/>
      </c>
      <c r="L61" s="19" t="str">
        <f aca="false">IF(A61="","",SUMIFS('Sales Daily KPIs'!$I:$I,'Sales Daily KPIs'!$B:$B,$C61,'Sales Daily KPIs'!$A:$A,"&gt;="&amp;$A61,'Sales Daily KPIs'!$A:$A,"&lt;="&amp;$B61))</f>
        <v/>
      </c>
      <c r="M61" s="19" t="str">
        <f aca="false">IF(A61="","",Targets!$B$5)</f>
        <v/>
      </c>
      <c r="N61" s="14"/>
    </row>
    <row r="62" customFormat="false" ht="15" hidden="false" customHeight="false" outlineLevel="0" collapsed="false">
      <c r="A62" s="13"/>
      <c r="B62" s="18" t="str">
        <f aca="false">IF(A62="","",A62+6)</f>
        <v/>
      </c>
      <c r="C62" s="14"/>
      <c r="D62" s="19" t="str">
        <f aca="false">IF(A62="","",COUNTIFS('Sales Daily KPIs'!$B:$B,$C62,'Sales Daily KPIs'!$A:$A,"&gt;="&amp;$A62,'Sales Daily KPIs'!$A:$A,"&lt;="&amp;$B62,'Sales Daily KPIs'!$C:$C,"&lt;&gt;"))</f>
        <v/>
      </c>
      <c r="E62" s="19" t="str">
        <f aca="false">IF(A62="","",SUMIFS('Sales Daily KPIs'!$C:$C,'Sales Daily KPIs'!$B:$B,$C62,'Sales Daily KPIs'!$A:$A,"&gt;="&amp;$A62,'Sales Daily KPIs'!$A:$A,"&lt;="&amp;$B62))</f>
        <v/>
      </c>
      <c r="F62" s="19" t="str">
        <f aca="false">IF(A62="","",Targets!$B$2*Targets!$B$6)</f>
        <v/>
      </c>
      <c r="G62" s="19" t="str">
        <f aca="false">IF(A62="","",SUMIFS('Sales Daily KPIs'!$D:$D,'Sales Daily KPIs'!$B:$B,$C62,'Sales Daily KPIs'!$A:$A,"&gt;="&amp;$A62,'Sales Daily KPIs'!$A:$A,"&lt;="&amp;$B62))</f>
        <v/>
      </c>
      <c r="H62" s="19" t="str">
        <f aca="false">IF(A62="","",Targets!$B$3*Targets!$B$6)</f>
        <v/>
      </c>
      <c r="I62" s="19" t="str">
        <f aca="false">IF(A62="","",SUMIFS('Sales Daily KPIs'!$E:$E,'Sales Daily KPIs'!$B:$B,$C62,'Sales Daily KPIs'!$A:$A,"&gt;="&amp;$A62,'Sales Daily KPIs'!$A:$A,"&lt;="&amp;$B62))</f>
        <v/>
      </c>
      <c r="J62" s="19" t="str">
        <f aca="false">IF(A62="","",Targets!$B$4*Targets!$B$6)</f>
        <v/>
      </c>
      <c r="K62" s="16" t="str">
        <f aca="false">IF(A62="","",IFERROR(SUMIFS('Sales Daily KPIs'!$G:$G,'Sales Daily KPIs'!$B:$B,$C62,'Sales Daily KPIs'!$A:$A,"&gt;="&amp;$A62,'Sales Daily KPIs'!$A:$A,"&lt;="&amp;$B62)/SUMIFS('Sales Daily KPIs'!$F:$F,'Sales Daily KPIs'!$B:$B,$C62,'Sales Daily KPIs'!$A:$A,"&gt;="&amp;$A62,'Sales Daily KPIs'!$A:$A,"&lt;="&amp;$B62),""))</f>
        <v/>
      </c>
      <c r="L62" s="19" t="str">
        <f aca="false">IF(A62="","",SUMIFS('Sales Daily KPIs'!$I:$I,'Sales Daily KPIs'!$B:$B,$C62,'Sales Daily KPIs'!$A:$A,"&gt;="&amp;$A62,'Sales Daily KPIs'!$A:$A,"&lt;="&amp;$B62))</f>
        <v/>
      </c>
      <c r="M62" s="19" t="str">
        <f aca="false">IF(A62="","",Targets!$B$5)</f>
        <v/>
      </c>
      <c r="N62" s="14"/>
    </row>
    <row r="63" customFormat="false" ht="15" hidden="false" customHeight="false" outlineLevel="0" collapsed="false">
      <c r="A63" s="13"/>
      <c r="B63" s="18" t="str">
        <f aca="false">IF(A63="","",A63+6)</f>
        <v/>
      </c>
      <c r="C63" s="14"/>
      <c r="D63" s="19" t="str">
        <f aca="false">IF(A63="","",COUNTIFS('Sales Daily KPIs'!$B:$B,$C63,'Sales Daily KPIs'!$A:$A,"&gt;="&amp;$A63,'Sales Daily KPIs'!$A:$A,"&lt;="&amp;$B63,'Sales Daily KPIs'!$C:$C,"&lt;&gt;"))</f>
        <v/>
      </c>
      <c r="E63" s="19" t="str">
        <f aca="false">IF(A63="","",SUMIFS('Sales Daily KPIs'!$C:$C,'Sales Daily KPIs'!$B:$B,$C63,'Sales Daily KPIs'!$A:$A,"&gt;="&amp;$A63,'Sales Daily KPIs'!$A:$A,"&lt;="&amp;$B63))</f>
        <v/>
      </c>
      <c r="F63" s="19" t="str">
        <f aca="false">IF(A63="","",Targets!$B$2*Targets!$B$6)</f>
        <v/>
      </c>
      <c r="G63" s="19" t="str">
        <f aca="false">IF(A63="","",SUMIFS('Sales Daily KPIs'!$D:$D,'Sales Daily KPIs'!$B:$B,$C63,'Sales Daily KPIs'!$A:$A,"&gt;="&amp;$A63,'Sales Daily KPIs'!$A:$A,"&lt;="&amp;$B63))</f>
        <v/>
      </c>
      <c r="H63" s="19" t="str">
        <f aca="false">IF(A63="","",Targets!$B$3*Targets!$B$6)</f>
        <v/>
      </c>
      <c r="I63" s="19" t="str">
        <f aca="false">IF(A63="","",SUMIFS('Sales Daily KPIs'!$E:$E,'Sales Daily KPIs'!$B:$B,$C63,'Sales Daily KPIs'!$A:$A,"&gt;="&amp;$A63,'Sales Daily KPIs'!$A:$A,"&lt;="&amp;$B63))</f>
        <v/>
      </c>
      <c r="J63" s="19" t="str">
        <f aca="false">IF(A63="","",Targets!$B$4*Targets!$B$6)</f>
        <v/>
      </c>
      <c r="K63" s="16" t="str">
        <f aca="false">IF(A63="","",IFERROR(SUMIFS('Sales Daily KPIs'!$G:$G,'Sales Daily KPIs'!$B:$B,$C63,'Sales Daily KPIs'!$A:$A,"&gt;="&amp;$A63,'Sales Daily KPIs'!$A:$A,"&lt;="&amp;$B63)/SUMIFS('Sales Daily KPIs'!$F:$F,'Sales Daily KPIs'!$B:$B,$C63,'Sales Daily KPIs'!$A:$A,"&gt;="&amp;$A63,'Sales Daily KPIs'!$A:$A,"&lt;="&amp;$B63),""))</f>
        <v/>
      </c>
      <c r="L63" s="19" t="str">
        <f aca="false">IF(A63="","",SUMIFS('Sales Daily KPIs'!$I:$I,'Sales Daily KPIs'!$B:$B,$C63,'Sales Daily KPIs'!$A:$A,"&gt;="&amp;$A63,'Sales Daily KPIs'!$A:$A,"&lt;="&amp;$B63))</f>
        <v/>
      </c>
      <c r="M63" s="19" t="str">
        <f aca="false">IF(A63="","",Targets!$B$5)</f>
        <v/>
      </c>
      <c r="N63" s="14"/>
    </row>
    <row r="64" customFormat="false" ht="15" hidden="false" customHeight="false" outlineLevel="0" collapsed="false">
      <c r="A64" s="13"/>
      <c r="B64" s="18" t="str">
        <f aca="false">IF(A64="","",A64+6)</f>
        <v/>
      </c>
      <c r="C64" s="14"/>
      <c r="D64" s="19" t="str">
        <f aca="false">IF(A64="","",COUNTIFS('Sales Daily KPIs'!$B:$B,$C64,'Sales Daily KPIs'!$A:$A,"&gt;="&amp;$A64,'Sales Daily KPIs'!$A:$A,"&lt;="&amp;$B64,'Sales Daily KPIs'!$C:$C,"&lt;&gt;"))</f>
        <v/>
      </c>
      <c r="E64" s="19" t="str">
        <f aca="false">IF(A64="","",SUMIFS('Sales Daily KPIs'!$C:$C,'Sales Daily KPIs'!$B:$B,$C64,'Sales Daily KPIs'!$A:$A,"&gt;="&amp;$A64,'Sales Daily KPIs'!$A:$A,"&lt;="&amp;$B64))</f>
        <v/>
      </c>
      <c r="F64" s="19" t="str">
        <f aca="false">IF(A64="","",Targets!$B$2*Targets!$B$6)</f>
        <v/>
      </c>
      <c r="G64" s="19" t="str">
        <f aca="false">IF(A64="","",SUMIFS('Sales Daily KPIs'!$D:$D,'Sales Daily KPIs'!$B:$B,$C64,'Sales Daily KPIs'!$A:$A,"&gt;="&amp;$A64,'Sales Daily KPIs'!$A:$A,"&lt;="&amp;$B64))</f>
        <v/>
      </c>
      <c r="H64" s="19" t="str">
        <f aca="false">IF(A64="","",Targets!$B$3*Targets!$B$6)</f>
        <v/>
      </c>
      <c r="I64" s="19" t="str">
        <f aca="false">IF(A64="","",SUMIFS('Sales Daily KPIs'!$E:$E,'Sales Daily KPIs'!$B:$B,$C64,'Sales Daily KPIs'!$A:$A,"&gt;="&amp;$A64,'Sales Daily KPIs'!$A:$A,"&lt;="&amp;$B64))</f>
        <v/>
      </c>
      <c r="J64" s="19" t="str">
        <f aca="false">IF(A64="","",Targets!$B$4*Targets!$B$6)</f>
        <v/>
      </c>
      <c r="K64" s="16" t="str">
        <f aca="false">IF(A64="","",IFERROR(SUMIFS('Sales Daily KPIs'!$G:$G,'Sales Daily KPIs'!$B:$B,$C64,'Sales Daily KPIs'!$A:$A,"&gt;="&amp;$A64,'Sales Daily KPIs'!$A:$A,"&lt;="&amp;$B64)/SUMIFS('Sales Daily KPIs'!$F:$F,'Sales Daily KPIs'!$B:$B,$C64,'Sales Daily KPIs'!$A:$A,"&gt;="&amp;$A64,'Sales Daily KPIs'!$A:$A,"&lt;="&amp;$B64),""))</f>
        <v/>
      </c>
      <c r="L64" s="19" t="str">
        <f aca="false">IF(A64="","",SUMIFS('Sales Daily KPIs'!$I:$I,'Sales Daily KPIs'!$B:$B,$C64,'Sales Daily KPIs'!$A:$A,"&gt;="&amp;$A64,'Sales Daily KPIs'!$A:$A,"&lt;="&amp;$B64))</f>
        <v/>
      </c>
      <c r="M64" s="19" t="str">
        <f aca="false">IF(A64="","",Targets!$B$5)</f>
        <v/>
      </c>
      <c r="N64" s="14"/>
    </row>
    <row r="65" customFormat="false" ht="15" hidden="false" customHeight="false" outlineLevel="0" collapsed="false">
      <c r="A65" s="13"/>
      <c r="B65" s="18" t="str">
        <f aca="false">IF(A65="","",A65+6)</f>
        <v/>
      </c>
      <c r="C65" s="14"/>
      <c r="D65" s="19" t="str">
        <f aca="false">IF(A65="","",COUNTIFS('Sales Daily KPIs'!$B:$B,$C65,'Sales Daily KPIs'!$A:$A,"&gt;="&amp;$A65,'Sales Daily KPIs'!$A:$A,"&lt;="&amp;$B65,'Sales Daily KPIs'!$C:$C,"&lt;&gt;"))</f>
        <v/>
      </c>
      <c r="E65" s="19" t="str">
        <f aca="false">IF(A65="","",SUMIFS('Sales Daily KPIs'!$C:$C,'Sales Daily KPIs'!$B:$B,$C65,'Sales Daily KPIs'!$A:$A,"&gt;="&amp;$A65,'Sales Daily KPIs'!$A:$A,"&lt;="&amp;$B65))</f>
        <v/>
      </c>
      <c r="F65" s="19" t="str">
        <f aca="false">IF(A65="","",Targets!$B$2*Targets!$B$6)</f>
        <v/>
      </c>
      <c r="G65" s="19" t="str">
        <f aca="false">IF(A65="","",SUMIFS('Sales Daily KPIs'!$D:$D,'Sales Daily KPIs'!$B:$B,$C65,'Sales Daily KPIs'!$A:$A,"&gt;="&amp;$A65,'Sales Daily KPIs'!$A:$A,"&lt;="&amp;$B65))</f>
        <v/>
      </c>
      <c r="H65" s="19" t="str">
        <f aca="false">IF(A65="","",Targets!$B$3*Targets!$B$6)</f>
        <v/>
      </c>
      <c r="I65" s="19" t="str">
        <f aca="false">IF(A65="","",SUMIFS('Sales Daily KPIs'!$E:$E,'Sales Daily KPIs'!$B:$B,$C65,'Sales Daily KPIs'!$A:$A,"&gt;="&amp;$A65,'Sales Daily KPIs'!$A:$A,"&lt;="&amp;$B65))</f>
        <v/>
      </c>
      <c r="J65" s="19" t="str">
        <f aca="false">IF(A65="","",Targets!$B$4*Targets!$B$6)</f>
        <v/>
      </c>
      <c r="K65" s="16" t="str">
        <f aca="false">IF(A65="","",IFERROR(SUMIFS('Sales Daily KPIs'!$G:$G,'Sales Daily KPIs'!$B:$B,$C65,'Sales Daily KPIs'!$A:$A,"&gt;="&amp;$A65,'Sales Daily KPIs'!$A:$A,"&lt;="&amp;$B65)/SUMIFS('Sales Daily KPIs'!$F:$F,'Sales Daily KPIs'!$B:$B,$C65,'Sales Daily KPIs'!$A:$A,"&gt;="&amp;$A65,'Sales Daily KPIs'!$A:$A,"&lt;="&amp;$B65),""))</f>
        <v/>
      </c>
      <c r="L65" s="19" t="str">
        <f aca="false">IF(A65="","",SUMIFS('Sales Daily KPIs'!$I:$I,'Sales Daily KPIs'!$B:$B,$C65,'Sales Daily KPIs'!$A:$A,"&gt;="&amp;$A65,'Sales Daily KPIs'!$A:$A,"&lt;="&amp;$B65))</f>
        <v/>
      </c>
      <c r="M65" s="19" t="str">
        <f aca="false">IF(A65="","",Targets!$B$5)</f>
        <v/>
      </c>
      <c r="N65" s="14"/>
    </row>
    <row r="66" customFormat="false" ht="15" hidden="false" customHeight="false" outlineLevel="0" collapsed="false">
      <c r="A66" s="13"/>
      <c r="B66" s="18" t="str">
        <f aca="false">IF(A66="","",A66+6)</f>
        <v/>
      </c>
      <c r="C66" s="14"/>
      <c r="D66" s="19" t="str">
        <f aca="false">IF(A66="","",COUNTIFS('Sales Daily KPIs'!$B:$B,$C66,'Sales Daily KPIs'!$A:$A,"&gt;="&amp;$A66,'Sales Daily KPIs'!$A:$A,"&lt;="&amp;$B66,'Sales Daily KPIs'!$C:$C,"&lt;&gt;"))</f>
        <v/>
      </c>
      <c r="E66" s="19" t="str">
        <f aca="false">IF(A66="","",SUMIFS('Sales Daily KPIs'!$C:$C,'Sales Daily KPIs'!$B:$B,$C66,'Sales Daily KPIs'!$A:$A,"&gt;="&amp;$A66,'Sales Daily KPIs'!$A:$A,"&lt;="&amp;$B66))</f>
        <v/>
      </c>
      <c r="F66" s="19" t="str">
        <f aca="false">IF(A66="","",Targets!$B$2*Targets!$B$6)</f>
        <v/>
      </c>
      <c r="G66" s="19" t="str">
        <f aca="false">IF(A66="","",SUMIFS('Sales Daily KPIs'!$D:$D,'Sales Daily KPIs'!$B:$B,$C66,'Sales Daily KPIs'!$A:$A,"&gt;="&amp;$A66,'Sales Daily KPIs'!$A:$A,"&lt;="&amp;$B66))</f>
        <v/>
      </c>
      <c r="H66" s="19" t="str">
        <f aca="false">IF(A66="","",Targets!$B$3*Targets!$B$6)</f>
        <v/>
      </c>
      <c r="I66" s="19" t="str">
        <f aca="false">IF(A66="","",SUMIFS('Sales Daily KPIs'!$E:$E,'Sales Daily KPIs'!$B:$B,$C66,'Sales Daily KPIs'!$A:$A,"&gt;="&amp;$A66,'Sales Daily KPIs'!$A:$A,"&lt;="&amp;$B66))</f>
        <v/>
      </c>
      <c r="J66" s="19" t="str">
        <f aca="false">IF(A66="","",Targets!$B$4*Targets!$B$6)</f>
        <v/>
      </c>
      <c r="K66" s="16" t="str">
        <f aca="false">IF(A66="","",IFERROR(SUMIFS('Sales Daily KPIs'!$G:$G,'Sales Daily KPIs'!$B:$B,$C66,'Sales Daily KPIs'!$A:$A,"&gt;="&amp;$A66,'Sales Daily KPIs'!$A:$A,"&lt;="&amp;$B66)/SUMIFS('Sales Daily KPIs'!$F:$F,'Sales Daily KPIs'!$B:$B,$C66,'Sales Daily KPIs'!$A:$A,"&gt;="&amp;$A66,'Sales Daily KPIs'!$A:$A,"&lt;="&amp;$B66),""))</f>
        <v/>
      </c>
      <c r="L66" s="19" t="str">
        <f aca="false">IF(A66="","",SUMIFS('Sales Daily KPIs'!$I:$I,'Sales Daily KPIs'!$B:$B,$C66,'Sales Daily KPIs'!$A:$A,"&gt;="&amp;$A66,'Sales Daily KPIs'!$A:$A,"&lt;="&amp;$B66))</f>
        <v/>
      </c>
      <c r="M66" s="19" t="str">
        <f aca="false">IF(A66="","",Targets!$B$5)</f>
        <v/>
      </c>
      <c r="N66" s="14"/>
    </row>
    <row r="67" customFormat="false" ht="15" hidden="false" customHeight="false" outlineLevel="0" collapsed="false">
      <c r="A67" s="13"/>
      <c r="B67" s="18" t="str">
        <f aca="false">IF(A67="","",A67+6)</f>
        <v/>
      </c>
      <c r="C67" s="14"/>
      <c r="D67" s="19" t="str">
        <f aca="false">IF(A67="","",COUNTIFS('Sales Daily KPIs'!$B:$B,$C67,'Sales Daily KPIs'!$A:$A,"&gt;="&amp;$A67,'Sales Daily KPIs'!$A:$A,"&lt;="&amp;$B67,'Sales Daily KPIs'!$C:$C,"&lt;&gt;"))</f>
        <v/>
      </c>
      <c r="E67" s="19" t="str">
        <f aca="false">IF(A67="","",SUMIFS('Sales Daily KPIs'!$C:$C,'Sales Daily KPIs'!$B:$B,$C67,'Sales Daily KPIs'!$A:$A,"&gt;="&amp;$A67,'Sales Daily KPIs'!$A:$A,"&lt;="&amp;$B67))</f>
        <v/>
      </c>
      <c r="F67" s="19" t="str">
        <f aca="false">IF(A67="","",Targets!$B$2*Targets!$B$6)</f>
        <v/>
      </c>
      <c r="G67" s="19" t="str">
        <f aca="false">IF(A67="","",SUMIFS('Sales Daily KPIs'!$D:$D,'Sales Daily KPIs'!$B:$B,$C67,'Sales Daily KPIs'!$A:$A,"&gt;="&amp;$A67,'Sales Daily KPIs'!$A:$A,"&lt;="&amp;$B67))</f>
        <v/>
      </c>
      <c r="H67" s="19" t="str">
        <f aca="false">IF(A67="","",Targets!$B$3*Targets!$B$6)</f>
        <v/>
      </c>
      <c r="I67" s="19" t="str">
        <f aca="false">IF(A67="","",SUMIFS('Sales Daily KPIs'!$E:$E,'Sales Daily KPIs'!$B:$B,$C67,'Sales Daily KPIs'!$A:$A,"&gt;="&amp;$A67,'Sales Daily KPIs'!$A:$A,"&lt;="&amp;$B67))</f>
        <v/>
      </c>
      <c r="J67" s="19" t="str">
        <f aca="false">IF(A67="","",Targets!$B$4*Targets!$B$6)</f>
        <v/>
      </c>
      <c r="K67" s="16" t="str">
        <f aca="false">IF(A67="","",IFERROR(SUMIFS('Sales Daily KPIs'!$G:$G,'Sales Daily KPIs'!$B:$B,$C67,'Sales Daily KPIs'!$A:$A,"&gt;="&amp;$A67,'Sales Daily KPIs'!$A:$A,"&lt;="&amp;$B67)/SUMIFS('Sales Daily KPIs'!$F:$F,'Sales Daily KPIs'!$B:$B,$C67,'Sales Daily KPIs'!$A:$A,"&gt;="&amp;$A67,'Sales Daily KPIs'!$A:$A,"&lt;="&amp;$B67),""))</f>
        <v/>
      </c>
      <c r="L67" s="19" t="str">
        <f aca="false">IF(A67="","",SUMIFS('Sales Daily KPIs'!$I:$I,'Sales Daily KPIs'!$B:$B,$C67,'Sales Daily KPIs'!$A:$A,"&gt;="&amp;$A67,'Sales Daily KPIs'!$A:$A,"&lt;="&amp;$B67))</f>
        <v/>
      </c>
      <c r="M67" s="19" t="str">
        <f aca="false">IF(A67="","",Targets!$B$5)</f>
        <v/>
      </c>
      <c r="N67" s="14"/>
    </row>
    <row r="68" customFormat="false" ht="15" hidden="false" customHeight="false" outlineLevel="0" collapsed="false">
      <c r="A68" s="13"/>
      <c r="B68" s="18" t="str">
        <f aca="false">IF(A68="","",A68+6)</f>
        <v/>
      </c>
      <c r="C68" s="14"/>
      <c r="D68" s="19" t="str">
        <f aca="false">IF(A68="","",COUNTIFS('Sales Daily KPIs'!$B:$B,$C68,'Sales Daily KPIs'!$A:$A,"&gt;="&amp;$A68,'Sales Daily KPIs'!$A:$A,"&lt;="&amp;$B68,'Sales Daily KPIs'!$C:$C,"&lt;&gt;"))</f>
        <v/>
      </c>
      <c r="E68" s="19" t="str">
        <f aca="false">IF(A68="","",SUMIFS('Sales Daily KPIs'!$C:$C,'Sales Daily KPIs'!$B:$B,$C68,'Sales Daily KPIs'!$A:$A,"&gt;="&amp;$A68,'Sales Daily KPIs'!$A:$A,"&lt;="&amp;$B68))</f>
        <v/>
      </c>
      <c r="F68" s="19" t="str">
        <f aca="false">IF(A68="","",Targets!$B$2*Targets!$B$6)</f>
        <v/>
      </c>
      <c r="G68" s="19" t="str">
        <f aca="false">IF(A68="","",SUMIFS('Sales Daily KPIs'!$D:$D,'Sales Daily KPIs'!$B:$B,$C68,'Sales Daily KPIs'!$A:$A,"&gt;="&amp;$A68,'Sales Daily KPIs'!$A:$A,"&lt;="&amp;$B68))</f>
        <v/>
      </c>
      <c r="H68" s="19" t="str">
        <f aca="false">IF(A68="","",Targets!$B$3*Targets!$B$6)</f>
        <v/>
      </c>
      <c r="I68" s="19" t="str">
        <f aca="false">IF(A68="","",SUMIFS('Sales Daily KPIs'!$E:$E,'Sales Daily KPIs'!$B:$B,$C68,'Sales Daily KPIs'!$A:$A,"&gt;="&amp;$A68,'Sales Daily KPIs'!$A:$A,"&lt;="&amp;$B68))</f>
        <v/>
      </c>
      <c r="J68" s="19" t="str">
        <f aca="false">IF(A68="","",Targets!$B$4*Targets!$B$6)</f>
        <v/>
      </c>
      <c r="K68" s="16" t="str">
        <f aca="false">IF(A68="","",IFERROR(SUMIFS('Sales Daily KPIs'!$G:$G,'Sales Daily KPIs'!$B:$B,$C68,'Sales Daily KPIs'!$A:$A,"&gt;="&amp;$A68,'Sales Daily KPIs'!$A:$A,"&lt;="&amp;$B68)/SUMIFS('Sales Daily KPIs'!$F:$F,'Sales Daily KPIs'!$B:$B,$C68,'Sales Daily KPIs'!$A:$A,"&gt;="&amp;$A68,'Sales Daily KPIs'!$A:$A,"&lt;="&amp;$B68),""))</f>
        <v/>
      </c>
      <c r="L68" s="19" t="str">
        <f aca="false">IF(A68="","",SUMIFS('Sales Daily KPIs'!$I:$I,'Sales Daily KPIs'!$B:$B,$C68,'Sales Daily KPIs'!$A:$A,"&gt;="&amp;$A68,'Sales Daily KPIs'!$A:$A,"&lt;="&amp;$B68))</f>
        <v/>
      </c>
      <c r="M68" s="19" t="str">
        <f aca="false">IF(A68="","",Targets!$B$5)</f>
        <v/>
      </c>
      <c r="N68" s="14"/>
    </row>
    <row r="69" customFormat="false" ht="15" hidden="false" customHeight="false" outlineLevel="0" collapsed="false">
      <c r="A69" s="13"/>
      <c r="B69" s="18" t="str">
        <f aca="false">IF(A69="","",A69+6)</f>
        <v/>
      </c>
      <c r="C69" s="14"/>
      <c r="D69" s="19" t="str">
        <f aca="false">IF(A69="","",COUNTIFS('Sales Daily KPIs'!$B:$B,$C69,'Sales Daily KPIs'!$A:$A,"&gt;="&amp;$A69,'Sales Daily KPIs'!$A:$A,"&lt;="&amp;$B69,'Sales Daily KPIs'!$C:$C,"&lt;&gt;"))</f>
        <v/>
      </c>
      <c r="E69" s="19" t="str">
        <f aca="false">IF(A69="","",SUMIFS('Sales Daily KPIs'!$C:$C,'Sales Daily KPIs'!$B:$B,$C69,'Sales Daily KPIs'!$A:$A,"&gt;="&amp;$A69,'Sales Daily KPIs'!$A:$A,"&lt;="&amp;$B69))</f>
        <v/>
      </c>
      <c r="F69" s="19" t="str">
        <f aca="false">IF(A69="","",Targets!$B$2*Targets!$B$6)</f>
        <v/>
      </c>
      <c r="G69" s="19" t="str">
        <f aca="false">IF(A69="","",SUMIFS('Sales Daily KPIs'!$D:$D,'Sales Daily KPIs'!$B:$B,$C69,'Sales Daily KPIs'!$A:$A,"&gt;="&amp;$A69,'Sales Daily KPIs'!$A:$A,"&lt;="&amp;$B69))</f>
        <v/>
      </c>
      <c r="H69" s="19" t="str">
        <f aca="false">IF(A69="","",Targets!$B$3*Targets!$B$6)</f>
        <v/>
      </c>
      <c r="I69" s="19" t="str">
        <f aca="false">IF(A69="","",SUMIFS('Sales Daily KPIs'!$E:$E,'Sales Daily KPIs'!$B:$B,$C69,'Sales Daily KPIs'!$A:$A,"&gt;="&amp;$A69,'Sales Daily KPIs'!$A:$A,"&lt;="&amp;$B69))</f>
        <v/>
      </c>
      <c r="J69" s="19" t="str">
        <f aca="false">IF(A69="","",Targets!$B$4*Targets!$B$6)</f>
        <v/>
      </c>
      <c r="K69" s="16" t="str">
        <f aca="false">IF(A69="","",IFERROR(SUMIFS('Sales Daily KPIs'!$G:$G,'Sales Daily KPIs'!$B:$B,$C69,'Sales Daily KPIs'!$A:$A,"&gt;="&amp;$A69,'Sales Daily KPIs'!$A:$A,"&lt;="&amp;$B69)/SUMIFS('Sales Daily KPIs'!$F:$F,'Sales Daily KPIs'!$B:$B,$C69,'Sales Daily KPIs'!$A:$A,"&gt;="&amp;$A69,'Sales Daily KPIs'!$A:$A,"&lt;="&amp;$B69),""))</f>
        <v/>
      </c>
      <c r="L69" s="19" t="str">
        <f aca="false">IF(A69="","",SUMIFS('Sales Daily KPIs'!$I:$I,'Sales Daily KPIs'!$B:$B,$C69,'Sales Daily KPIs'!$A:$A,"&gt;="&amp;$A69,'Sales Daily KPIs'!$A:$A,"&lt;="&amp;$B69))</f>
        <v/>
      </c>
      <c r="M69" s="19" t="str">
        <f aca="false">IF(A69="","",Targets!$B$5)</f>
        <v/>
      </c>
      <c r="N69" s="14"/>
    </row>
    <row r="70" customFormat="false" ht="15" hidden="false" customHeight="false" outlineLevel="0" collapsed="false">
      <c r="A70" s="13"/>
      <c r="B70" s="18" t="str">
        <f aca="false">IF(A70="","",A70+6)</f>
        <v/>
      </c>
      <c r="C70" s="14"/>
      <c r="D70" s="19" t="str">
        <f aca="false">IF(A70="","",COUNTIFS('Sales Daily KPIs'!$B:$B,$C70,'Sales Daily KPIs'!$A:$A,"&gt;="&amp;$A70,'Sales Daily KPIs'!$A:$A,"&lt;="&amp;$B70,'Sales Daily KPIs'!$C:$C,"&lt;&gt;"))</f>
        <v/>
      </c>
      <c r="E70" s="19" t="str">
        <f aca="false">IF(A70="","",SUMIFS('Sales Daily KPIs'!$C:$C,'Sales Daily KPIs'!$B:$B,$C70,'Sales Daily KPIs'!$A:$A,"&gt;="&amp;$A70,'Sales Daily KPIs'!$A:$A,"&lt;="&amp;$B70))</f>
        <v/>
      </c>
      <c r="F70" s="19" t="str">
        <f aca="false">IF(A70="","",Targets!$B$2*Targets!$B$6)</f>
        <v/>
      </c>
      <c r="G70" s="19" t="str">
        <f aca="false">IF(A70="","",SUMIFS('Sales Daily KPIs'!$D:$D,'Sales Daily KPIs'!$B:$B,$C70,'Sales Daily KPIs'!$A:$A,"&gt;="&amp;$A70,'Sales Daily KPIs'!$A:$A,"&lt;="&amp;$B70))</f>
        <v/>
      </c>
      <c r="H70" s="19" t="str">
        <f aca="false">IF(A70="","",Targets!$B$3*Targets!$B$6)</f>
        <v/>
      </c>
      <c r="I70" s="19" t="str">
        <f aca="false">IF(A70="","",SUMIFS('Sales Daily KPIs'!$E:$E,'Sales Daily KPIs'!$B:$B,$C70,'Sales Daily KPIs'!$A:$A,"&gt;="&amp;$A70,'Sales Daily KPIs'!$A:$A,"&lt;="&amp;$B70))</f>
        <v/>
      </c>
      <c r="J70" s="19" t="str">
        <f aca="false">IF(A70="","",Targets!$B$4*Targets!$B$6)</f>
        <v/>
      </c>
      <c r="K70" s="16" t="str">
        <f aca="false">IF(A70="","",IFERROR(SUMIFS('Sales Daily KPIs'!$G:$G,'Sales Daily KPIs'!$B:$B,$C70,'Sales Daily KPIs'!$A:$A,"&gt;="&amp;$A70,'Sales Daily KPIs'!$A:$A,"&lt;="&amp;$B70)/SUMIFS('Sales Daily KPIs'!$F:$F,'Sales Daily KPIs'!$B:$B,$C70,'Sales Daily KPIs'!$A:$A,"&gt;="&amp;$A70,'Sales Daily KPIs'!$A:$A,"&lt;="&amp;$B70),""))</f>
        <v/>
      </c>
      <c r="L70" s="19" t="str">
        <f aca="false">IF(A70="","",SUMIFS('Sales Daily KPIs'!$I:$I,'Sales Daily KPIs'!$B:$B,$C70,'Sales Daily KPIs'!$A:$A,"&gt;="&amp;$A70,'Sales Daily KPIs'!$A:$A,"&lt;="&amp;$B70))</f>
        <v/>
      </c>
      <c r="M70" s="19" t="str">
        <f aca="false">IF(A70="","",Targets!$B$5)</f>
        <v/>
      </c>
      <c r="N70" s="14"/>
    </row>
    <row r="71" customFormat="false" ht="15" hidden="false" customHeight="false" outlineLevel="0" collapsed="false">
      <c r="A71" s="13"/>
      <c r="B71" s="18" t="str">
        <f aca="false">IF(A71="","",A71+6)</f>
        <v/>
      </c>
      <c r="C71" s="14"/>
      <c r="D71" s="19" t="str">
        <f aca="false">IF(A71="","",COUNTIFS('Sales Daily KPIs'!$B:$B,$C71,'Sales Daily KPIs'!$A:$A,"&gt;="&amp;$A71,'Sales Daily KPIs'!$A:$A,"&lt;="&amp;$B71,'Sales Daily KPIs'!$C:$C,"&lt;&gt;"))</f>
        <v/>
      </c>
      <c r="E71" s="19" t="str">
        <f aca="false">IF(A71="","",SUMIFS('Sales Daily KPIs'!$C:$C,'Sales Daily KPIs'!$B:$B,$C71,'Sales Daily KPIs'!$A:$A,"&gt;="&amp;$A71,'Sales Daily KPIs'!$A:$A,"&lt;="&amp;$B71))</f>
        <v/>
      </c>
      <c r="F71" s="19" t="str">
        <f aca="false">IF(A71="","",Targets!$B$2*Targets!$B$6)</f>
        <v/>
      </c>
      <c r="G71" s="19" t="str">
        <f aca="false">IF(A71="","",SUMIFS('Sales Daily KPIs'!$D:$D,'Sales Daily KPIs'!$B:$B,$C71,'Sales Daily KPIs'!$A:$A,"&gt;="&amp;$A71,'Sales Daily KPIs'!$A:$A,"&lt;="&amp;$B71))</f>
        <v/>
      </c>
      <c r="H71" s="19" t="str">
        <f aca="false">IF(A71="","",Targets!$B$3*Targets!$B$6)</f>
        <v/>
      </c>
      <c r="I71" s="19" t="str">
        <f aca="false">IF(A71="","",SUMIFS('Sales Daily KPIs'!$E:$E,'Sales Daily KPIs'!$B:$B,$C71,'Sales Daily KPIs'!$A:$A,"&gt;="&amp;$A71,'Sales Daily KPIs'!$A:$A,"&lt;="&amp;$B71))</f>
        <v/>
      </c>
      <c r="J71" s="19" t="str">
        <f aca="false">IF(A71="","",Targets!$B$4*Targets!$B$6)</f>
        <v/>
      </c>
      <c r="K71" s="16" t="str">
        <f aca="false">IF(A71="","",IFERROR(SUMIFS('Sales Daily KPIs'!$G:$G,'Sales Daily KPIs'!$B:$B,$C71,'Sales Daily KPIs'!$A:$A,"&gt;="&amp;$A71,'Sales Daily KPIs'!$A:$A,"&lt;="&amp;$B71)/SUMIFS('Sales Daily KPIs'!$F:$F,'Sales Daily KPIs'!$B:$B,$C71,'Sales Daily KPIs'!$A:$A,"&gt;="&amp;$A71,'Sales Daily KPIs'!$A:$A,"&lt;="&amp;$B71),""))</f>
        <v/>
      </c>
      <c r="L71" s="19" t="str">
        <f aca="false">IF(A71="","",SUMIFS('Sales Daily KPIs'!$I:$I,'Sales Daily KPIs'!$B:$B,$C71,'Sales Daily KPIs'!$A:$A,"&gt;="&amp;$A71,'Sales Daily KPIs'!$A:$A,"&lt;="&amp;$B71))</f>
        <v/>
      </c>
      <c r="M71" s="19" t="str">
        <f aca="false">IF(A71="","",Targets!$B$5)</f>
        <v/>
      </c>
      <c r="N71" s="14"/>
    </row>
    <row r="72" customFormat="false" ht="15" hidden="false" customHeight="false" outlineLevel="0" collapsed="false">
      <c r="A72" s="13"/>
      <c r="B72" s="18" t="str">
        <f aca="false">IF(A72="","",A72+6)</f>
        <v/>
      </c>
      <c r="C72" s="14"/>
      <c r="D72" s="19" t="str">
        <f aca="false">IF(A72="","",COUNTIFS('Sales Daily KPIs'!$B:$B,$C72,'Sales Daily KPIs'!$A:$A,"&gt;="&amp;$A72,'Sales Daily KPIs'!$A:$A,"&lt;="&amp;$B72,'Sales Daily KPIs'!$C:$C,"&lt;&gt;"))</f>
        <v/>
      </c>
      <c r="E72" s="19" t="str">
        <f aca="false">IF(A72="","",SUMIFS('Sales Daily KPIs'!$C:$C,'Sales Daily KPIs'!$B:$B,$C72,'Sales Daily KPIs'!$A:$A,"&gt;="&amp;$A72,'Sales Daily KPIs'!$A:$A,"&lt;="&amp;$B72))</f>
        <v/>
      </c>
      <c r="F72" s="19" t="str">
        <f aca="false">IF(A72="","",Targets!$B$2*Targets!$B$6)</f>
        <v/>
      </c>
      <c r="G72" s="19" t="str">
        <f aca="false">IF(A72="","",SUMIFS('Sales Daily KPIs'!$D:$D,'Sales Daily KPIs'!$B:$B,$C72,'Sales Daily KPIs'!$A:$A,"&gt;="&amp;$A72,'Sales Daily KPIs'!$A:$A,"&lt;="&amp;$B72))</f>
        <v/>
      </c>
      <c r="H72" s="19" t="str">
        <f aca="false">IF(A72="","",Targets!$B$3*Targets!$B$6)</f>
        <v/>
      </c>
      <c r="I72" s="19" t="str">
        <f aca="false">IF(A72="","",SUMIFS('Sales Daily KPIs'!$E:$E,'Sales Daily KPIs'!$B:$B,$C72,'Sales Daily KPIs'!$A:$A,"&gt;="&amp;$A72,'Sales Daily KPIs'!$A:$A,"&lt;="&amp;$B72))</f>
        <v/>
      </c>
      <c r="J72" s="19" t="str">
        <f aca="false">IF(A72="","",Targets!$B$4*Targets!$B$6)</f>
        <v/>
      </c>
      <c r="K72" s="16" t="str">
        <f aca="false">IF(A72="","",IFERROR(SUMIFS('Sales Daily KPIs'!$G:$G,'Sales Daily KPIs'!$B:$B,$C72,'Sales Daily KPIs'!$A:$A,"&gt;="&amp;$A72,'Sales Daily KPIs'!$A:$A,"&lt;="&amp;$B72)/SUMIFS('Sales Daily KPIs'!$F:$F,'Sales Daily KPIs'!$B:$B,$C72,'Sales Daily KPIs'!$A:$A,"&gt;="&amp;$A72,'Sales Daily KPIs'!$A:$A,"&lt;="&amp;$B72),""))</f>
        <v/>
      </c>
      <c r="L72" s="19" t="str">
        <f aca="false">IF(A72="","",SUMIFS('Sales Daily KPIs'!$I:$I,'Sales Daily KPIs'!$B:$B,$C72,'Sales Daily KPIs'!$A:$A,"&gt;="&amp;$A72,'Sales Daily KPIs'!$A:$A,"&lt;="&amp;$B72))</f>
        <v/>
      </c>
      <c r="M72" s="19" t="str">
        <f aca="false">IF(A72="","",Targets!$B$5)</f>
        <v/>
      </c>
      <c r="N72" s="14"/>
    </row>
    <row r="73" customFormat="false" ht="15" hidden="false" customHeight="false" outlineLevel="0" collapsed="false">
      <c r="A73" s="13"/>
      <c r="B73" s="18" t="str">
        <f aca="false">IF(A73="","",A73+6)</f>
        <v/>
      </c>
      <c r="C73" s="14"/>
      <c r="D73" s="19" t="str">
        <f aca="false">IF(A73="","",COUNTIFS('Sales Daily KPIs'!$B:$B,$C73,'Sales Daily KPIs'!$A:$A,"&gt;="&amp;$A73,'Sales Daily KPIs'!$A:$A,"&lt;="&amp;$B73,'Sales Daily KPIs'!$C:$C,"&lt;&gt;"))</f>
        <v/>
      </c>
      <c r="E73" s="19" t="str">
        <f aca="false">IF(A73="","",SUMIFS('Sales Daily KPIs'!$C:$C,'Sales Daily KPIs'!$B:$B,$C73,'Sales Daily KPIs'!$A:$A,"&gt;="&amp;$A73,'Sales Daily KPIs'!$A:$A,"&lt;="&amp;$B73))</f>
        <v/>
      </c>
      <c r="F73" s="19" t="str">
        <f aca="false">IF(A73="","",Targets!$B$2*Targets!$B$6)</f>
        <v/>
      </c>
      <c r="G73" s="19" t="str">
        <f aca="false">IF(A73="","",SUMIFS('Sales Daily KPIs'!$D:$D,'Sales Daily KPIs'!$B:$B,$C73,'Sales Daily KPIs'!$A:$A,"&gt;="&amp;$A73,'Sales Daily KPIs'!$A:$A,"&lt;="&amp;$B73))</f>
        <v/>
      </c>
      <c r="H73" s="19" t="str">
        <f aca="false">IF(A73="","",Targets!$B$3*Targets!$B$6)</f>
        <v/>
      </c>
      <c r="I73" s="19" t="str">
        <f aca="false">IF(A73="","",SUMIFS('Sales Daily KPIs'!$E:$E,'Sales Daily KPIs'!$B:$B,$C73,'Sales Daily KPIs'!$A:$A,"&gt;="&amp;$A73,'Sales Daily KPIs'!$A:$A,"&lt;="&amp;$B73))</f>
        <v/>
      </c>
      <c r="J73" s="19" t="str">
        <f aca="false">IF(A73="","",Targets!$B$4*Targets!$B$6)</f>
        <v/>
      </c>
      <c r="K73" s="16" t="str">
        <f aca="false">IF(A73="","",IFERROR(SUMIFS('Sales Daily KPIs'!$G:$G,'Sales Daily KPIs'!$B:$B,$C73,'Sales Daily KPIs'!$A:$A,"&gt;="&amp;$A73,'Sales Daily KPIs'!$A:$A,"&lt;="&amp;$B73)/SUMIFS('Sales Daily KPIs'!$F:$F,'Sales Daily KPIs'!$B:$B,$C73,'Sales Daily KPIs'!$A:$A,"&gt;="&amp;$A73,'Sales Daily KPIs'!$A:$A,"&lt;="&amp;$B73),""))</f>
        <v/>
      </c>
      <c r="L73" s="19" t="str">
        <f aca="false">IF(A73="","",SUMIFS('Sales Daily KPIs'!$I:$I,'Sales Daily KPIs'!$B:$B,$C73,'Sales Daily KPIs'!$A:$A,"&gt;="&amp;$A73,'Sales Daily KPIs'!$A:$A,"&lt;="&amp;$B73))</f>
        <v/>
      </c>
      <c r="M73" s="19" t="str">
        <f aca="false">IF(A73="","",Targets!$B$5)</f>
        <v/>
      </c>
      <c r="N73" s="14"/>
    </row>
    <row r="74" customFormat="false" ht="15" hidden="false" customHeight="false" outlineLevel="0" collapsed="false">
      <c r="A74" s="13"/>
      <c r="B74" s="18" t="str">
        <f aca="false">IF(A74="","",A74+6)</f>
        <v/>
      </c>
      <c r="C74" s="14"/>
      <c r="D74" s="19" t="str">
        <f aca="false">IF(A74="","",COUNTIFS('Sales Daily KPIs'!$B:$B,$C74,'Sales Daily KPIs'!$A:$A,"&gt;="&amp;$A74,'Sales Daily KPIs'!$A:$A,"&lt;="&amp;$B74,'Sales Daily KPIs'!$C:$C,"&lt;&gt;"))</f>
        <v/>
      </c>
      <c r="E74" s="19" t="str">
        <f aca="false">IF(A74="","",SUMIFS('Sales Daily KPIs'!$C:$C,'Sales Daily KPIs'!$B:$B,$C74,'Sales Daily KPIs'!$A:$A,"&gt;="&amp;$A74,'Sales Daily KPIs'!$A:$A,"&lt;="&amp;$B74))</f>
        <v/>
      </c>
      <c r="F74" s="19" t="str">
        <f aca="false">IF(A74="","",Targets!$B$2*Targets!$B$6)</f>
        <v/>
      </c>
      <c r="G74" s="19" t="str">
        <f aca="false">IF(A74="","",SUMIFS('Sales Daily KPIs'!$D:$D,'Sales Daily KPIs'!$B:$B,$C74,'Sales Daily KPIs'!$A:$A,"&gt;="&amp;$A74,'Sales Daily KPIs'!$A:$A,"&lt;="&amp;$B74))</f>
        <v/>
      </c>
      <c r="H74" s="19" t="str">
        <f aca="false">IF(A74="","",Targets!$B$3*Targets!$B$6)</f>
        <v/>
      </c>
      <c r="I74" s="19" t="str">
        <f aca="false">IF(A74="","",SUMIFS('Sales Daily KPIs'!$E:$E,'Sales Daily KPIs'!$B:$B,$C74,'Sales Daily KPIs'!$A:$A,"&gt;="&amp;$A74,'Sales Daily KPIs'!$A:$A,"&lt;="&amp;$B74))</f>
        <v/>
      </c>
      <c r="J74" s="19" t="str">
        <f aca="false">IF(A74="","",Targets!$B$4*Targets!$B$6)</f>
        <v/>
      </c>
      <c r="K74" s="16" t="str">
        <f aca="false">IF(A74="","",IFERROR(SUMIFS('Sales Daily KPIs'!$G:$G,'Sales Daily KPIs'!$B:$B,$C74,'Sales Daily KPIs'!$A:$A,"&gt;="&amp;$A74,'Sales Daily KPIs'!$A:$A,"&lt;="&amp;$B74)/SUMIFS('Sales Daily KPIs'!$F:$F,'Sales Daily KPIs'!$B:$B,$C74,'Sales Daily KPIs'!$A:$A,"&gt;="&amp;$A74,'Sales Daily KPIs'!$A:$A,"&lt;="&amp;$B74),""))</f>
        <v/>
      </c>
      <c r="L74" s="19" t="str">
        <f aca="false">IF(A74="","",SUMIFS('Sales Daily KPIs'!$I:$I,'Sales Daily KPIs'!$B:$B,$C74,'Sales Daily KPIs'!$A:$A,"&gt;="&amp;$A74,'Sales Daily KPIs'!$A:$A,"&lt;="&amp;$B74))</f>
        <v/>
      </c>
      <c r="M74" s="19" t="str">
        <f aca="false">IF(A74="","",Targets!$B$5)</f>
        <v/>
      </c>
      <c r="N74" s="14"/>
    </row>
    <row r="75" customFormat="false" ht="15" hidden="false" customHeight="false" outlineLevel="0" collapsed="false">
      <c r="A75" s="13"/>
      <c r="B75" s="18" t="str">
        <f aca="false">IF(A75="","",A75+6)</f>
        <v/>
      </c>
      <c r="C75" s="14"/>
      <c r="D75" s="19" t="str">
        <f aca="false">IF(A75="","",COUNTIFS('Sales Daily KPIs'!$B:$B,$C75,'Sales Daily KPIs'!$A:$A,"&gt;="&amp;$A75,'Sales Daily KPIs'!$A:$A,"&lt;="&amp;$B75,'Sales Daily KPIs'!$C:$C,"&lt;&gt;"))</f>
        <v/>
      </c>
      <c r="E75" s="19" t="str">
        <f aca="false">IF(A75="","",SUMIFS('Sales Daily KPIs'!$C:$C,'Sales Daily KPIs'!$B:$B,$C75,'Sales Daily KPIs'!$A:$A,"&gt;="&amp;$A75,'Sales Daily KPIs'!$A:$A,"&lt;="&amp;$B75))</f>
        <v/>
      </c>
      <c r="F75" s="19" t="str">
        <f aca="false">IF(A75="","",Targets!$B$2*Targets!$B$6)</f>
        <v/>
      </c>
      <c r="G75" s="19" t="str">
        <f aca="false">IF(A75="","",SUMIFS('Sales Daily KPIs'!$D:$D,'Sales Daily KPIs'!$B:$B,$C75,'Sales Daily KPIs'!$A:$A,"&gt;="&amp;$A75,'Sales Daily KPIs'!$A:$A,"&lt;="&amp;$B75))</f>
        <v/>
      </c>
      <c r="H75" s="19" t="str">
        <f aca="false">IF(A75="","",Targets!$B$3*Targets!$B$6)</f>
        <v/>
      </c>
      <c r="I75" s="19" t="str">
        <f aca="false">IF(A75="","",SUMIFS('Sales Daily KPIs'!$E:$E,'Sales Daily KPIs'!$B:$B,$C75,'Sales Daily KPIs'!$A:$A,"&gt;="&amp;$A75,'Sales Daily KPIs'!$A:$A,"&lt;="&amp;$B75))</f>
        <v/>
      </c>
      <c r="J75" s="19" t="str">
        <f aca="false">IF(A75="","",Targets!$B$4*Targets!$B$6)</f>
        <v/>
      </c>
      <c r="K75" s="16" t="str">
        <f aca="false">IF(A75="","",IFERROR(SUMIFS('Sales Daily KPIs'!$G:$G,'Sales Daily KPIs'!$B:$B,$C75,'Sales Daily KPIs'!$A:$A,"&gt;="&amp;$A75,'Sales Daily KPIs'!$A:$A,"&lt;="&amp;$B75)/SUMIFS('Sales Daily KPIs'!$F:$F,'Sales Daily KPIs'!$B:$B,$C75,'Sales Daily KPIs'!$A:$A,"&gt;="&amp;$A75,'Sales Daily KPIs'!$A:$A,"&lt;="&amp;$B75),""))</f>
        <v/>
      </c>
      <c r="L75" s="19" t="str">
        <f aca="false">IF(A75="","",SUMIFS('Sales Daily KPIs'!$I:$I,'Sales Daily KPIs'!$B:$B,$C75,'Sales Daily KPIs'!$A:$A,"&gt;="&amp;$A75,'Sales Daily KPIs'!$A:$A,"&lt;="&amp;$B75))</f>
        <v/>
      </c>
      <c r="M75" s="19" t="str">
        <f aca="false">IF(A75="","",Targets!$B$5)</f>
        <v/>
      </c>
      <c r="N75" s="14"/>
    </row>
    <row r="76" customFormat="false" ht="15" hidden="false" customHeight="false" outlineLevel="0" collapsed="false">
      <c r="A76" s="13"/>
      <c r="B76" s="18" t="str">
        <f aca="false">IF(A76="","",A76+6)</f>
        <v/>
      </c>
      <c r="C76" s="14"/>
      <c r="D76" s="19" t="str">
        <f aca="false">IF(A76="","",COUNTIFS('Sales Daily KPIs'!$B:$B,$C76,'Sales Daily KPIs'!$A:$A,"&gt;="&amp;$A76,'Sales Daily KPIs'!$A:$A,"&lt;="&amp;$B76,'Sales Daily KPIs'!$C:$C,"&lt;&gt;"))</f>
        <v/>
      </c>
      <c r="E76" s="19" t="str">
        <f aca="false">IF(A76="","",SUMIFS('Sales Daily KPIs'!$C:$C,'Sales Daily KPIs'!$B:$B,$C76,'Sales Daily KPIs'!$A:$A,"&gt;="&amp;$A76,'Sales Daily KPIs'!$A:$A,"&lt;="&amp;$B76))</f>
        <v/>
      </c>
      <c r="F76" s="19" t="str">
        <f aca="false">IF(A76="","",Targets!$B$2*Targets!$B$6)</f>
        <v/>
      </c>
      <c r="G76" s="19" t="str">
        <f aca="false">IF(A76="","",SUMIFS('Sales Daily KPIs'!$D:$D,'Sales Daily KPIs'!$B:$B,$C76,'Sales Daily KPIs'!$A:$A,"&gt;="&amp;$A76,'Sales Daily KPIs'!$A:$A,"&lt;="&amp;$B76))</f>
        <v/>
      </c>
      <c r="H76" s="19" t="str">
        <f aca="false">IF(A76="","",Targets!$B$3*Targets!$B$6)</f>
        <v/>
      </c>
      <c r="I76" s="19" t="str">
        <f aca="false">IF(A76="","",SUMIFS('Sales Daily KPIs'!$E:$E,'Sales Daily KPIs'!$B:$B,$C76,'Sales Daily KPIs'!$A:$A,"&gt;="&amp;$A76,'Sales Daily KPIs'!$A:$A,"&lt;="&amp;$B76))</f>
        <v/>
      </c>
      <c r="J76" s="19" t="str">
        <f aca="false">IF(A76="","",Targets!$B$4*Targets!$B$6)</f>
        <v/>
      </c>
      <c r="K76" s="16" t="str">
        <f aca="false">IF(A76="","",IFERROR(SUMIFS('Sales Daily KPIs'!$G:$G,'Sales Daily KPIs'!$B:$B,$C76,'Sales Daily KPIs'!$A:$A,"&gt;="&amp;$A76,'Sales Daily KPIs'!$A:$A,"&lt;="&amp;$B76)/SUMIFS('Sales Daily KPIs'!$F:$F,'Sales Daily KPIs'!$B:$B,$C76,'Sales Daily KPIs'!$A:$A,"&gt;="&amp;$A76,'Sales Daily KPIs'!$A:$A,"&lt;="&amp;$B76),""))</f>
        <v/>
      </c>
      <c r="L76" s="19" t="str">
        <f aca="false">IF(A76="","",SUMIFS('Sales Daily KPIs'!$I:$I,'Sales Daily KPIs'!$B:$B,$C76,'Sales Daily KPIs'!$A:$A,"&gt;="&amp;$A76,'Sales Daily KPIs'!$A:$A,"&lt;="&amp;$B76))</f>
        <v/>
      </c>
      <c r="M76" s="19" t="str">
        <f aca="false">IF(A76="","",Targets!$B$5)</f>
        <v/>
      </c>
      <c r="N76" s="14"/>
    </row>
    <row r="77" customFormat="false" ht="15" hidden="false" customHeight="false" outlineLevel="0" collapsed="false">
      <c r="A77" s="13"/>
      <c r="B77" s="18" t="str">
        <f aca="false">IF(A77="","",A77+6)</f>
        <v/>
      </c>
      <c r="C77" s="14"/>
      <c r="D77" s="19" t="str">
        <f aca="false">IF(A77="","",COUNTIFS('Sales Daily KPIs'!$B:$B,$C77,'Sales Daily KPIs'!$A:$A,"&gt;="&amp;$A77,'Sales Daily KPIs'!$A:$A,"&lt;="&amp;$B77,'Sales Daily KPIs'!$C:$C,"&lt;&gt;"))</f>
        <v/>
      </c>
      <c r="E77" s="19" t="str">
        <f aca="false">IF(A77="","",SUMIFS('Sales Daily KPIs'!$C:$C,'Sales Daily KPIs'!$B:$B,$C77,'Sales Daily KPIs'!$A:$A,"&gt;="&amp;$A77,'Sales Daily KPIs'!$A:$A,"&lt;="&amp;$B77))</f>
        <v/>
      </c>
      <c r="F77" s="19" t="str">
        <f aca="false">IF(A77="","",Targets!$B$2*Targets!$B$6)</f>
        <v/>
      </c>
      <c r="G77" s="19" t="str">
        <f aca="false">IF(A77="","",SUMIFS('Sales Daily KPIs'!$D:$D,'Sales Daily KPIs'!$B:$B,$C77,'Sales Daily KPIs'!$A:$A,"&gt;="&amp;$A77,'Sales Daily KPIs'!$A:$A,"&lt;="&amp;$B77))</f>
        <v/>
      </c>
      <c r="H77" s="19" t="str">
        <f aca="false">IF(A77="","",Targets!$B$3*Targets!$B$6)</f>
        <v/>
      </c>
      <c r="I77" s="19" t="str">
        <f aca="false">IF(A77="","",SUMIFS('Sales Daily KPIs'!$E:$E,'Sales Daily KPIs'!$B:$B,$C77,'Sales Daily KPIs'!$A:$A,"&gt;="&amp;$A77,'Sales Daily KPIs'!$A:$A,"&lt;="&amp;$B77))</f>
        <v/>
      </c>
      <c r="J77" s="19" t="str">
        <f aca="false">IF(A77="","",Targets!$B$4*Targets!$B$6)</f>
        <v/>
      </c>
      <c r="K77" s="16" t="str">
        <f aca="false">IF(A77="","",IFERROR(SUMIFS('Sales Daily KPIs'!$G:$G,'Sales Daily KPIs'!$B:$B,$C77,'Sales Daily KPIs'!$A:$A,"&gt;="&amp;$A77,'Sales Daily KPIs'!$A:$A,"&lt;="&amp;$B77)/SUMIFS('Sales Daily KPIs'!$F:$F,'Sales Daily KPIs'!$B:$B,$C77,'Sales Daily KPIs'!$A:$A,"&gt;="&amp;$A77,'Sales Daily KPIs'!$A:$A,"&lt;="&amp;$B77),""))</f>
        <v/>
      </c>
      <c r="L77" s="19" t="str">
        <f aca="false">IF(A77="","",SUMIFS('Sales Daily KPIs'!$I:$I,'Sales Daily KPIs'!$B:$B,$C77,'Sales Daily KPIs'!$A:$A,"&gt;="&amp;$A77,'Sales Daily KPIs'!$A:$A,"&lt;="&amp;$B77))</f>
        <v/>
      </c>
      <c r="M77" s="19" t="str">
        <f aca="false">IF(A77="","",Targets!$B$5)</f>
        <v/>
      </c>
      <c r="N77" s="14"/>
    </row>
    <row r="78" customFormat="false" ht="15" hidden="false" customHeight="false" outlineLevel="0" collapsed="false">
      <c r="A78" s="13"/>
      <c r="B78" s="18" t="str">
        <f aca="false">IF(A78="","",A78+6)</f>
        <v/>
      </c>
      <c r="C78" s="14"/>
      <c r="D78" s="19" t="str">
        <f aca="false">IF(A78="","",COUNTIFS('Sales Daily KPIs'!$B:$B,$C78,'Sales Daily KPIs'!$A:$A,"&gt;="&amp;$A78,'Sales Daily KPIs'!$A:$A,"&lt;="&amp;$B78,'Sales Daily KPIs'!$C:$C,"&lt;&gt;"))</f>
        <v/>
      </c>
      <c r="E78" s="19" t="str">
        <f aca="false">IF(A78="","",SUMIFS('Sales Daily KPIs'!$C:$C,'Sales Daily KPIs'!$B:$B,$C78,'Sales Daily KPIs'!$A:$A,"&gt;="&amp;$A78,'Sales Daily KPIs'!$A:$A,"&lt;="&amp;$B78))</f>
        <v/>
      </c>
      <c r="F78" s="19" t="str">
        <f aca="false">IF(A78="","",Targets!$B$2*Targets!$B$6)</f>
        <v/>
      </c>
      <c r="G78" s="19" t="str">
        <f aca="false">IF(A78="","",SUMIFS('Sales Daily KPIs'!$D:$D,'Sales Daily KPIs'!$B:$B,$C78,'Sales Daily KPIs'!$A:$A,"&gt;="&amp;$A78,'Sales Daily KPIs'!$A:$A,"&lt;="&amp;$B78))</f>
        <v/>
      </c>
      <c r="H78" s="19" t="str">
        <f aca="false">IF(A78="","",Targets!$B$3*Targets!$B$6)</f>
        <v/>
      </c>
      <c r="I78" s="19" t="str">
        <f aca="false">IF(A78="","",SUMIFS('Sales Daily KPIs'!$E:$E,'Sales Daily KPIs'!$B:$B,$C78,'Sales Daily KPIs'!$A:$A,"&gt;="&amp;$A78,'Sales Daily KPIs'!$A:$A,"&lt;="&amp;$B78))</f>
        <v/>
      </c>
      <c r="J78" s="19" t="str">
        <f aca="false">IF(A78="","",Targets!$B$4*Targets!$B$6)</f>
        <v/>
      </c>
      <c r="K78" s="16" t="str">
        <f aca="false">IF(A78="","",IFERROR(SUMIFS('Sales Daily KPIs'!$G:$G,'Sales Daily KPIs'!$B:$B,$C78,'Sales Daily KPIs'!$A:$A,"&gt;="&amp;$A78,'Sales Daily KPIs'!$A:$A,"&lt;="&amp;$B78)/SUMIFS('Sales Daily KPIs'!$F:$F,'Sales Daily KPIs'!$B:$B,$C78,'Sales Daily KPIs'!$A:$A,"&gt;="&amp;$A78,'Sales Daily KPIs'!$A:$A,"&lt;="&amp;$B78),""))</f>
        <v/>
      </c>
      <c r="L78" s="19" t="str">
        <f aca="false">IF(A78="","",SUMIFS('Sales Daily KPIs'!$I:$I,'Sales Daily KPIs'!$B:$B,$C78,'Sales Daily KPIs'!$A:$A,"&gt;="&amp;$A78,'Sales Daily KPIs'!$A:$A,"&lt;="&amp;$B78))</f>
        <v/>
      </c>
      <c r="M78" s="19" t="str">
        <f aca="false">IF(A78="","",Targets!$B$5)</f>
        <v/>
      </c>
      <c r="N78" s="14"/>
    </row>
    <row r="79" customFormat="false" ht="15" hidden="false" customHeight="false" outlineLevel="0" collapsed="false">
      <c r="A79" s="13"/>
      <c r="B79" s="18" t="str">
        <f aca="false">IF(A79="","",A79+6)</f>
        <v/>
      </c>
      <c r="C79" s="14"/>
      <c r="D79" s="19" t="str">
        <f aca="false">IF(A79="","",COUNTIFS('Sales Daily KPIs'!$B:$B,$C79,'Sales Daily KPIs'!$A:$A,"&gt;="&amp;$A79,'Sales Daily KPIs'!$A:$A,"&lt;="&amp;$B79,'Sales Daily KPIs'!$C:$C,"&lt;&gt;"))</f>
        <v/>
      </c>
      <c r="E79" s="19" t="str">
        <f aca="false">IF(A79="","",SUMIFS('Sales Daily KPIs'!$C:$C,'Sales Daily KPIs'!$B:$B,$C79,'Sales Daily KPIs'!$A:$A,"&gt;="&amp;$A79,'Sales Daily KPIs'!$A:$A,"&lt;="&amp;$B79))</f>
        <v/>
      </c>
      <c r="F79" s="19" t="str">
        <f aca="false">IF(A79="","",Targets!$B$2*Targets!$B$6)</f>
        <v/>
      </c>
      <c r="G79" s="19" t="str">
        <f aca="false">IF(A79="","",SUMIFS('Sales Daily KPIs'!$D:$D,'Sales Daily KPIs'!$B:$B,$C79,'Sales Daily KPIs'!$A:$A,"&gt;="&amp;$A79,'Sales Daily KPIs'!$A:$A,"&lt;="&amp;$B79))</f>
        <v/>
      </c>
      <c r="H79" s="19" t="str">
        <f aca="false">IF(A79="","",Targets!$B$3*Targets!$B$6)</f>
        <v/>
      </c>
      <c r="I79" s="19" t="str">
        <f aca="false">IF(A79="","",SUMIFS('Sales Daily KPIs'!$E:$E,'Sales Daily KPIs'!$B:$B,$C79,'Sales Daily KPIs'!$A:$A,"&gt;="&amp;$A79,'Sales Daily KPIs'!$A:$A,"&lt;="&amp;$B79))</f>
        <v/>
      </c>
      <c r="J79" s="19" t="str">
        <f aca="false">IF(A79="","",Targets!$B$4*Targets!$B$6)</f>
        <v/>
      </c>
      <c r="K79" s="16" t="str">
        <f aca="false">IF(A79="","",IFERROR(SUMIFS('Sales Daily KPIs'!$G:$G,'Sales Daily KPIs'!$B:$B,$C79,'Sales Daily KPIs'!$A:$A,"&gt;="&amp;$A79,'Sales Daily KPIs'!$A:$A,"&lt;="&amp;$B79)/SUMIFS('Sales Daily KPIs'!$F:$F,'Sales Daily KPIs'!$B:$B,$C79,'Sales Daily KPIs'!$A:$A,"&gt;="&amp;$A79,'Sales Daily KPIs'!$A:$A,"&lt;="&amp;$B79),""))</f>
        <v/>
      </c>
      <c r="L79" s="19" t="str">
        <f aca="false">IF(A79="","",SUMIFS('Sales Daily KPIs'!$I:$I,'Sales Daily KPIs'!$B:$B,$C79,'Sales Daily KPIs'!$A:$A,"&gt;="&amp;$A79,'Sales Daily KPIs'!$A:$A,"&lt;="&amp;$B79))</f>
        <v/>
      </c>
      <c r="M79" s="19" t="str">
        <f aca="false">IF(A79="","",Targets!$B$5)</f>
        <v/>
      </c>
      <c r="N79" s="14"/>
    </row>
    <row r="80" customFormat="false" ht="15" hidden="false" customHeight="false" outlineLevel="0" collapsed="false">
      <c r="A80" s="13"/>
      <c r="B80" s="18" t="str">
        <f aca="false">IF(A80="","",A80+6)</f>
        <v/>
      </c>
      <c r="C80" s="14"/>
      <c r="D80" s="19" t="str">
        <f aca="false">IF(A80="","",COUNTIFS('Sales Daily KPIs'!$B:$B,$C80,'Sales Daily KPIs'!$A:$A,"&gt;="&amp;$A80,'Sales Daily KPIs'!$A:$A,"&lt;="&amp;$B80,'Sales Daily KPIs'!$C:$C,"&lt;&gt;"))</f>
        <v/>
      </c>
      <c r="E80" s="19" t="str">
        <f aca="false">IF(A80="","",SUMIFS('Sales Daily KPIs'!$C:$C,'Sales Daily KPIs'!$B:$B,$C80,'Sales Daily KPIs'!$A:$A,"&gt;="&amp;$A80,'Sales Daily KPIs'!$A:$A,"&lt;="&amp;$B80))</f>
        <v/>
      </c>
      <c r="F80" s="19" t="str">
        <f aca="false">IF(A80="","",Targets!$B$2*Targets!$B$6)</f>
        <v/>
      </c>
      <c r="G80" s="19" t="str">
        <f aca="false">IF(A80="","",SUMIFS('Sales Daily KPIs'!$D:$D,'Sales Daily KPIs'!$B:$B,$C80,'Sales Daily KPIs'!$A:$A,"&gt;="&amp;$A80,'Sales Daily KPIs'!$A:$A,"&lt;="&amp;$B80))</f>
        <v/>
      </c>
      <c r="H80" s="19" t="str">
        <f aca="false">IF(A80="","",Targets!$B$3*Targets!$B$6)</f>
        <v/>
      </c>
      <c r="I80" s="19" t="str">
        <f aca="false">IF(A80="","",SUMIFS('Sales Daily KPIs'!$E:$E,'Sales Daily KPIs'!$B:$B,$C80,'Sales Daily KPIs'!$A:$A,"&gt;="&amp;$A80,'Sales Daily KPIs'!$A:$A,"&lt;="&amp;$B80))</f>
        <v/>
      </c>
      <c r="J80" s="19" t="str">
        <f aca="false">IF(A80="","",Targets!$B$4*Targets!$B$6)</f>
        <v/>
      </c>
      <c r="K80" s="16" t="str">
        <f aca="false">IF(A80="","",IFERROR(SUMIFS('Sales Daily KPIs'!$G:$G,'Sales Daily KPIs'!$B:$B,$C80,'Sales Daily KPIs'!$A:$A,"&gt;="&amp;$A80,'Sales Daily KPIs'!$A:$A,"&lt;="&amp;$B80)/SUMIFS('Sales Daily KPIs'!$F:$F,'Sales Daily KPIs'!$B:$B,$C80,'Sales Daily KPIs'!$A:$A,"&gt;="&amp;$A80,'Sales Daily KPIs'!$A:$A,"&lt;="&amp;$B80),""))</f>
        <v/>
      </c>
      <c r="L80" s="19" t="str">
        <f aca="false">IF(A80="","",SUMIFS('Sales Daily KPIs'!$I:$I,'Sales Daily KPIs'!$B:$B,$C80,'Sales Daily KPIs'!$A:$A,"&gt;="&amp;$A80,'Sales Daily KPIs'!$A:$A,"&lt;="&amp;$B80))</f>
        <v/>
      </c>
      <c r="M80" s="19" t="str">
        <f aca="false">IF(A80="","",Targets!$B$5)</f>
        <v/>
      </c>
      <c r="N80" s="14"/>
    </row>
    <row r="81" customFormat="false" ht="15" hidden="false" customHeight="false" outlineLevel="0" collapsed="false">
      <c r="A81" s="13"/>
      <c r="B81" s="18" t="str">
        <f aca="false">IF(A81="","",A81+6)</f>
        <v/>
      </c>
      <c r="C81" s="14"/>
      <c r="D81" s="19" t="str">
        <f aca="false">IF(A81="","",COUNTIFS('Sales Daily KPIs'!$B:$B,$C81,'Sales Daily KPIs'!$A:$A,"&gt;="&amp;$A81,'Sales Daily KPIs'!$A:$A,"&lt;="&amp;$B81,'Sales Daily KPIs'!$C:$C,"&lt;&gt;"))</f>
        <v/>
      </c>
      <c r="E81" s="19" t="str">
        <f aca="false">IF(A81="","",SUMIFS('Sales Daily KPIs'!$C:$C,'Sales Daily KPIs'!$B:$B,$C81,'Sales Daily KPIs'!$A:$A,"&gt;="&amp;$A81,'Sales Daily KPIs'!$A:$A,"&lt;="&amp;$B81))</f>
        <v/>
      </c>
      <c r="F81" s="19" t="str">
        <f aca="false">IF(A81="","",Targets!$B$2*Targets!$B$6)</f>
        <v/>
      </c>
      <c r="G81" s="19" t="str">
        <f aca="false">IF(A81="","",SUMIFS('Sales Daily KPIs'!$D:$D,'Sales Daily KPIs'!$B:$B,$C81,'Sales Daily KPIs'!$A:$A,"&gt;="&amp;$A81,'Sales Daily KPIs'!$A:$A,"&lt;="&amp;$B81))</f>
        <v/>
      </c>
      <c r="H81" s="19" t="str">
        <f aca="false">IF(A81="","",Targets!$B$3*Targets!$B$6)</f>
        <v/>
      </c>
      <c r="I81" s="19" t="str">
        <f aca="false">IF(A81="","",SUMIFS('Sales Daily KPIs'!$E:$E,'Sales Daily KPIs'!$B:$B,$C81,'Sales Daily KPIs'!$A:$A,"&gt;="&amp;$A81,'Sales Daily KPIs'!$A:$A,"&lt;="&amp;$B81))</f>
        <v/>
      </c>
      <c r="J81" s="19" t="str">
        <f aca="false">IF(A81="","",Targets!$B$4*Targets!$B$6)</f>
        <v/>
      </c>
      <c r="K81" s="16" t="str">
        <f aca="false">IF(A81="","",IFERROR(SUMIFS('Sales Daily KPIs'!$G:$G,'Sales Daily KPIs'!$B:$B,$C81,'Sales Daily KPIs'!$A:$A,"&gt;="&amp;$A81,'Sales Daily KPIs'!$A:$A,"&lt;="&amp;$B81)/SUMIFS('Sales Daily KPIs'!$F:$F,'Sales Daily KPIs'!$B:$B,$C81,'Sales Daily KPIs'!$A:$A,"&gt;="&amp;$A81,'Sales Daily KPIs'!$A:$A,"&lt;="&amp;$B81),""))</f>
        <v/>
      </c>
      <c r="L81" s="19" t="str">
        <f aca="false">IF(A81="","",SUMIFS('Sales Daily KPIs'!$I:$I,'Sales Daily KPIs'!$B:$B,$C81,'Sales Daily KPIs'!$A:$A,"&gt;="&amp;$A81,'Sales Daily KPIs'!$A:$A,"&lt;="&amp;$B81))</f>
        <v/>
      </c>
      <c r="M81" s="19" t="str">
        <f aca="false">IF(A81="","",Targets!$B$5)</f>
        <v/>
      </c>
      <c r="N81" s="14"/>
    </row>
    <row r="82" customFormat="false" ht="15" hidden="false" customHeight="false" outlineLevel="0" collapsed="false">
      <c r="A82" s="13"/>
      <c r="B82" s="18" t="str">
        <f aca="false">IF(A82="","",A82+6)</f>
        <v/>
      </c>
      <c r="C82" s="14"/>
      <c r="D82" s="19" t="str">
        <f aca="false">IF(A82="","",COUNTIFS('Sales Daily KPIs'!$B:$B,$C82,'Sales Daily KPIs'!$A:$A,"&gt;="&amp;$A82,'Sales Daily KPIs'!$A:$A,"&lt;="&amp;$B82,'Sales Daily KPIs'!$C:$C,"&lt;&gt;"))</f>
        <v/>
      </c>
      <c r="E82" s="19" t="str">
        <f aca="false">IF(A82="","",SUMIFS('Sales Daily KPIs'!$C:$C,'Sales Daily KPIs'!$B:$B,$C82,'Sales Daily KPIs'!$A:$A,"&gt;="&amp;$A82,'Sales Daily KPIs'!$A:$A,"&lt;="&amp;$B82))</f>
        <v/>
      </c>
      <c r="F82" s="19" t="str">
        <f aca="false">IF(A82="","",Targets!$B$2*Targets!$B$6)</f>
        <v/>
      </c>
      <c r="G82" s="19" t="str">
        <f aca="false">IF(A82="","",SUMIFS('Sales Daily KPIs'!$D:$D,'Sales Daily KPIs'!$B:$B,$C82,'Sales Daily KPIs'!$A:$A,"&gt;="&amp;$A82,'Sales Daily KPIs'!$A:$A,"&lt;="&amp;$B82))</f>
        <v/>
      </c>
      <c r="H82" s="19" t="str">
        <f aca="false">IF(A82="","",Targets!$B$3*Targets!$B$6)</f>
        <v/>
      </c>
      <c r="I82" s="19" t="str">
        <f aca="false">IF(A82="","",SUMIFS('Sales Daily KPIs'!$E:$E,'Sales Daily KPIs'!$B:$B,$C82,'Sales Daily KPIs'!$A:$A,"&gt;="&amp;$A82,'Sales Daily KPIs'!$A:$A,"&lt;="&amp;$B82))</f>
        <v/>
      </c>
      <c r="J82" s="19" t="str">
        <f aca="false">IF(A82="","",Targets!$B$4*Targets!$B$6)</f>
        <v/>
      </c>
      <c r="K82" s="16" t="str">
        <f aca="false">IF(A82="","",IFERROR(SUMIFS('Sales Daily KPIs'!$G:$G,'Sales Daily KPIs'!$B:$B,$C82,'Sales Daily KPIs'!$A:$A,"&gt;="&amp;$A82,'Sales Daily KPIs'!$A:$A,"&lt;="&amp;$B82)/SUMIFS('Sales Daily KPIs'!$F:$F,'Sales Daily KPIs'!$B:$B,$C82,'Sales Daily KPIs'!$A:$A,"&gt;="&amp;$A82,'Sales Daily KPIs'!$A:$A,"&lt;="&amp;$B82),""))</f>
        <v/>
      </c>
      <c r="L82" s="19" t="str">
        <f aca="false">IF(A82="","",SUMIFS('Sales Daily KPIs'!$I:$I,'Sales Daily KPIs'!$B:$B,$C82,'Sales Daily KPIs'!$A:$A,"&gt;="&amp;$A82,'Sales Daily KPIs'!$A:$A,"&lt;="&amp;$B82))</f>
        <v/>
      </c>
      <c r="M82" s="19" t="str">
        <f aca="false">IF(A82="","",Targets!$B$5)</f>
        <v/>
      </c>
      <c r="N82" s="14"/>
    </row>
    <row r="83" customFormat="false" ht="15" hidden="false" customHeight="false" outlineLevel="0" collapsed="false">
      <c r="A83" s="13"/>
      <c r="B83" s="18" t="str">
        <f aca="false">IF(A83="","",A83+6)</f>
        <v/>
      </c>
      <c r="C83" s="14"/>
      <c r="D83" s="19" t="str">
        <f aca="false">IF(A83="","",COUNTIFS('Sales Daily KPIs'!$B:$B,$C83,'Sales Daily KPIs'!$A:$A,"&gt;="&amp;$A83,'Sales Daily KPIs'!$A:$A,"&lt;="&amp;$B83,'Sales Daily KPIs'!$C:$C,"&lt;&gt;"))</f>
        <v/>
      </c>
      <c r="E83" s="19" t="str">
        <f aca="false">IF(A83="","",SUMIFS('Sales Daily KPIs'!$C:$C,'Sales Daily KPIs'!$B:$B,$C83,'Sales Daily KPIs'!$A:$A,"&gt;="&amp;$A83,'Sales Daily KPIs'!$A:$A,"&lt;="&amp;$B83))</f>
        <v/>
      </c>
      <c r="F83" s="19" t="str">
        <f aca="false">IF(A83="","",Targets!$B$2*Targets!$B$6)</f>
        <v/>
      </c>
      <c r="G83" s="19" t="str">
        <f aca="false">IF(A83="","",SUMIFS('Sales Daily KPIs'!$D:$D,'Sales Daily KPIs'!$B:$B,$C83,'Sales Daily KPIs'!$A:$A,"&gt;="&amp;$A83,'Sales Daily KPIs'!$A:$A,"&lt;="&amp;$B83))</f>
        <v/>
      </c>
      <c r="H83" s="19" t="str">
        <f aca="false">IF(A83="","",Targets!$B$3*Targets!$B$6)</f>
        <v/>
      </c>
      <c r="I83" s="19" t="str">
        <f aca="false">IF(A83="","",SUMIFS('Sales Daily KPIs'!$E:$E,'Sales Daily KPIs'!$B:$B,$C83,'Sales Daily KPIs'!$A:$A,"&gt;="&amp;$A83,'Sales Daily KPIs'!$A:$A,"&lt;="&amp;$B83))</f>
        <v/>
      </c>
      <c r="J83" s="19" t="str">
        <f aca="false">IF(A83="","",Targets!$B$4*Targets!$B$6)</f>
        <v/>
      </c>
      <c r="K83" s="16" t="str">
        <f aca="false">IF(A83="","",IFERROR(SUMIFS('Sales Daily KPIs'!$G:$G,'Sales Daily KPIs'!$B:$B,$C83,'Sales Daily KPIs'!$A:$A,"&gt;="&amp;$A83,'Sales Daily KPIs'!$A:$A,"&lt;="&amp;$B83)/SUMIFS('Sales Daily KPIs'!$F:$F,'Sales Daily KPIs'!$B:$B,$C83,'Sales Daily KPIs'!$A:$A,"&gt;="&amp;$A83,'Sales Daily KPIs'!$A:$A,"&lt;="&amp;$B83),""))</f>
        <v/>
      </c>
      <c r="L83" s="19" t="str">
        <f aca="false">IF(A83="","",SUMIFS('Sales Daily KPIs'!$I:$I,'Sales Daily KPIs'!$B:$B,$C83,'Sales Daily KPIs'!$A:$A,"&gt;="&amp;$A83,'Sales Daily KPIs'!$A:$A,"&lt;="&amp;$B83))</f>
        <v/>
      </c>
      <c r="M83" s="19" t="str">
        <f aca="false">IF(A83="","",Targets!$B$5)</f>
        <v/>
      </c>
      <c r="N83" s="14"/>
    </row>
    <row r="84" customFormat="false" ht="15" hidden="false" customHeight="false" outlineLevel="0" collapsed="false">
      <c r="A84" s="13"/>
      <c r="B84" s="18" t="str">
        <f aca="false">IF(A84="","",A84+6)</f>
        <v/>
      </c>
      <c r="C84" s="14"/>
      <c r="D84" s="19" t="str">
        <f aca="false">IF(A84="","",COUNTIFS('Sales Daily KPIs'!$B:$B,$C84,'Sales Daily KPIs'!$A:$A,"&gt;="&amp;$A84,'Sales Daily KPIs'!$A:$A,"&lt;="&amp;$B84,'Sales Daily KPIs'!$C:$C,"&lt;&gt;"))</f>
        <v/>
      </c>
      <c r="E84" s="19" t="str">
        <f aca="false">IF(A84="","",SUMIFS('Sales Daily KPIs'!$C:$C,'Sales Daily KPIs'!$B:$B,$C84,'Sales Daily KPIs'!$A:$A,"&gt;="&amp;$A84,'Sales Daily KPIs'!$A:$A,"&lt;="&amp;$B84))</f>
        <v/>
      </c>
      <c r="F84" s="19" t="str">
        <f aca="false">IF(A84="","",Targets!$B$2*Targets!$B$6)</f>
        <v/>
      </c>
      <c r="G84" s="19" t="str">
        <f aca="false">IF(A84="","",SUMIFS('Sales Daily KPIs'!$D:$D,'Sales Daily KPIs'!$B:$B,$C84,'Sales Daily KPIs'!$A:$A,"&gt;="&amp;$A84,'Sales Daily KPIs'!$A:$A,"&lt;="&amp;$B84))</f>
        <v/>
      </c>
      <c r="H84" s="19" t="str">
        <f aca="false">IF(A84="","",Targets!$B$3*Targets!$B$6)</f>
        <v/>
      </c>
      <c r="I84" s="19" t="str">
        <f aca="false">IF(A84="","",SUMIFS('Sales Daily KPIs'!$E:$E,'Sales Daily KPIs'!$B:$B,$C84,'Sales Daily KPIs'!$A:$A,"&gt;="&amp;$A84,'Sales Daily KPIs'!$A:$A,"&lt;="&amp;$B84))</f>
        <v/>
      </c>
      <c r="J84" s="19" t="str">
        <f aca="false">IF(A84="","",Targets!$B$4*Targets!$B$6)</f>
        <v/>
      </c>
      <c r="K84" s="16" t="str">
        <f aca="false">IF(A84="","",IFERROR(SUMIFS('Sales Daily KPIs'!$G:$G,'Sales Daily KPIs'!$B:$B,$C84,'Sales Daily KPIs'!$A:$A,"&gt;="&amp;$A84,'Sales Daily KPIs'!$A:$A,"&lt;="&amp;$B84)/SUMIFS('Sales Daily KPIs'!$F:$F,'Sales Daily KPIs'!$B:$B,$C84,'Sales Daily KPIs'!$A:$A,"&gt;="&amp;$A84,'Sales Daily KPIs'!$A:$A,"&lt;="&amp;$B84),""))</f>
        <v/>
      </c>
      <c r="L84" s="19" t="str">
        <f aca="false">IF(A84="","",SUMIFS('Sales Daily KPIs'!$I:$I,'Sales Daily KPIs'!$B:$B,$C84,'Sales Daily KPIs'!$A:$A,"&gt;="&amp;$A84,'Sales Daily KPIs'!$A:$A,"&lt;="&amp;$B84))</f>
        <v/>
      </c>
      <c r="M84" s="19" t="str">
        <f aca="false">IF(A84="","",Targets!$B$5)</f>
        <v/>
      </c>
      <c r="N84" s="14"/>
    </row>
    <row r="85" customFormat="false" ht="15" hidden="false" customHeight="false" outlineLevel="0" collapsed="false">
      <c r="A85" s="13"/>
      <c r="B85" s="18" t="str">
        <f aca="false">IF(A85="","",A85+6)</f>
        <v/>
      </c>
      <c r="C85" s="14"/>
      <c r="D85" s="19" t="str">
        <f aca="false">IF(A85="","",COUNTIFS('Sales Daily KPIs'!$B:$B,$C85,'Sales Daily KPIs'!$A:$A,"&gt;="&amp;$A85,'Sales Daily KPIs'!$A:$A,"&lt;="&amp;$B85,'Sales Daily KPIs'!$C:$C,"&lt;&gt;"))</f>
        <v/>
      </c>
      <c r="E85" s="19" t="str">
        <f aca="false">IF(A85="","",SUMIFS('Sales Daily KPIs'!$C:$C,'Sales Daily KPIs'!$B:$B,$C85,'Sales Daily KPIs'!$A:$A,"&gt;="&amp;$A85,'Sales Daily KPIs'!$A:$A,"&lt;="&amp;$B85))</f>
        <v/>
      </c>
      <c r="F85" s="19" t="str">
        <f aca="false">IF(A85="","",Targets!$B$2*Targets!$B$6)</f>
        <v/>
      </c>
      <c r="G85" s="19" t="str">
        <f aca="false">IF(A85="","",SUMIFS('Sales Daily KPIs'!$D:$D,'Sales Daily KPIs'!$B:$B,$C85,'Sales Daily KPIs'!$A:$A,"&gt;="&amp;$A85,'Sales Daily KPIs'!$A:$A,"&lt;="&amp;$B85))</f>
        <v/>
      </c>
      <c r="H85" s="19" t="str">
        <f aca="false">IF(A85="","",Targets!$B$3*Targets!$B$6)</f>
        <v/>
      </c>
      <c r="I85" s="19" t="str">
        <f aca="false">IF(A85="","",SUMIFS('Sales Daily KPIs'!$E:$E,'Sales Daily KPIs'!$B:$B,$C85,'Sales Daily KPIs'!$A:$A,"&gt;="&amp;$A85,'Sales Daily KPIs'!$A:$A,"&lt;="&amp;$B85))</f>
        <v/>
      </c>
      <c r="J85" s="19" t="str">
        <f aca="false">IF(A85="","",Targets!$B$4*Targets!$B$6)</f>
        <v/>
      </c>
      <c r="K85" s="16" t="str">
        <f aca="false">IF(A85="","",IFERROR(SUMIFS('Sales Daily KPIs'!$G:$G,'Sales Daily KPIs'!$B:$B,$C85,'Sales Daily KPIs'!$A:$A,"&gt;="&amp;$A85,'Sales Daily KPIs'!$A:$A,"&lt;="&amp;$B85)/SUMIFS('Sales Daily KPIs'!$F:$F,'Sales Daily KPIs'!$B:$B,$C85,'Sales Daily KPIs'!$A:$A,"&gt;="&amp;$A85,'Sales Daily KPIs'!$A:$A,"&lt;="&amp;$B85),""))</f>
        <v/>
      </c>
      <c r="L85" s="19" t="str">
        <f aca="false">IF(A85="","",SUMIFS('Sales Daily KPIs'!$I:$I,'Sales Daily KPIs'!$B:$B,$C85,'Sales Daily KPIs'!$A:$A,"&gt;="&amp;$A85,'Sales Daily KPIs'!$A:$A,"&lt;="&amp;$B85))</f>
        <v/>
      </c>
      <c r="M85" s="19" t="str">
        <f aca="false">IF(A85="","",Targets!$B$5)</f>
        <v/>
      </c>
      <c r="N85" s="14"/>
    </row>
    <row r="86" customFormat="false" ht="15" hidden="false" customHeight="false" outlineLevel="0" collapsed="false">
      <c r="A86" s="13"/>
      <c r="B86" s="18" t="str">
        <f aca="false">IF(A86="","",A86+6)</f>
        <v/>
      </c>
      <c r="C86" s="14"/>
      <c r="D86" s="19" t="str">
        <f aca="false">IF(A86="","",COUNTIFS('Sales Daily KPIs'!$B:$B,$C86,'Sales Daily KPIs'!$A:$A,"&gt;="&amp;$A86,'Sales Daily KPIs'!$A:$A,"&lt;="&amp;$B86,'Sales Daily KPIs'!$C:$C,"&lt;&gt;"))</f>
        <v/>
      </c>
      <c r="E86" s="19" t="str">
        <f aca="false">IF(A86="","",SUMIFS('Sales Daily KPIs'!$C:$C,'Sales Daily KPIs'!$B:$B,$C86,'Sales Daily KPIs'!$A:$A,"&gt;="&amp;$A86,'Sales Daily KPIs'!$A:$A,"&lt;="&amp;$B86))</f>
        <v/>
      </c>
      <c r="F86" s="19" t="str">
        <f aca="false">IF(A86="","",Targets!$B$2*Targets!$B$6)</f>
        <v/>
      </c>
      <c r="G86" s="19" t="str">
        <f aca="false">IF(A86="","",SUMIFS('Sales Daily KPIs'!$D:$D,'Sales Daily KPIs'!$B:$B,$C86,'Sales Daily KPIs'!$A:$A,"&gt;="&amp;$A86,'Sales Daily KPIs'!$A:$A,"&lt;="&amp;$B86))</f>
        <v/>
      </c>
      <c r="H86" s="19" t="str">
        <f aca="false">IF(A86="","",Targets!$B$3*Targets!$B$6)</f>
        <v/>
      </c>
      <c r="I86" s="19" t="str">
        <f aca="false">IF(A86="","",SUMIFS('Sales Daily KPIs'!$E:$E,'Sales Daily KPIs'!$B:$B,$C86,'Sales Daily KPIs'!$A:$A,"&gt;="&amp;$A86,'Sales Daily KPIs'!$A:$A,"&lt;="&amp;$B86))</f>
        <v/>
      </c>
      <c r="J86" s="19" t="str">
        <f aca="false">IF(A86="","",Targets!$B$4*Targets!$B$6)</f>
        <v/>
      </c>
      <c r="K86" s="16" t="str">
        <f aca="false">IF(A86="","",IFERROR(SUMIFS('Sales Daily KPIs'!$G:$G,'Sales Daily KPIs'!$B:$B,$C86,'Sales Daily KPIs'!$A:$A,"&gt;="&amp;$A86,'Sales Daily KPIs'!$A:$A,"&lt;="&amp;$B86)/SUMIFS('Sales Daily KPIs'!$F:$F,'Sales Daily KPIs'!$B:$B,$C86,'Sales Daily KPIs'!$A:$A,"&gt;="&amp;$A86,'Sales Daily KPIs'!$A:$A,"&lt;="&amp;$B86),""))</f>
        <v/>
      </c>
      <c r="L86" s="19" t="str">
        <f aca="false">IF(A86="","",SUMIFS('Sales Daily KPIs'!$I:$I,'Sales Daily KPIs'!$B:$B,$C86,'Sales Daily KPIs'!$A:$A,"&gt;="&amp;$A86,'Sales Daily KPIs'!$A:$A,"&lt;="&amp;$B86))</f>
        <v/>
      </c>
      <c r="M86" s="19" t="str">
        <f aca="false">IF(A86="","",Targets!$B$5)</f>
        <v/>
      </c>
      <c r="N86" s="14"/>
    </row>
    <row r="87" customFormat="false" ht="15" hidden="false" customHeight="false" outlineLevel="0" collapsed="false">
      <c r="A87" s="13"/>
      <c r="B87" s="18" t="str">
        <f aca="false">IF(A87="","",A87+6)</f>
        <v/>
      </c>
      <c r="C87" s="14"/>
      <c r="D87" s="19" t="str">
        <f aca="false">IF(A87="","",COUNTIFS('Sales Daily KPIs'!$B:$B,$C87,'Sales Daily KPIs'!$A:$A,"&gt;="&amp;$A87,'Sales Daily KPIs'!$A:$A,"&lt;="&amp;$B87,'Sales Daily KPIs'!$C:$C,"&lt;&gt;"))</f>
        <v/>
      </c>
      <c r="E87" s="19" t="str">
        <f aca="false">IF(A87="","",SUMIFS('Sales Daily KPIs'!$C:$C,'Sales Daily KPIs'!$B:$B,$C87,'Sales Daily KPIs'!$A:$A,"&gt;="&amp;$A87,'Sales Daily KPIs'!$A:$A,"&lt;="&amp;$B87))</f>
        <v/>
      </c>
      <c r="F87" s="19" t="str">
        <f aca="false">IF(A87="","",Targets!$B$2*Targets!$B$6)</f>
        <v/>
      </c>
      <c r="G87" s="19" t="str">
        <f aca="false">IF(A87="","",SUMIFS('Sales Daily KPIs'!$D:$D,'Sales Daily KPIs'!$B:$B,$C87,'Sales Daily KPIs'!$A:$A,"&gt;="&amp;$A87,'Sales Daily KPIs'!$A:$A,"&lt;="&amp;$B87))</f>
        <v/>
      </c>
      <c r="H87" s="19" t="str">
        <f aca="false">IF(A87="","",Targets!$B$3*Targets!$B$6)</f>
        <v/>
      </c>
      <c r="I87" s="19" t="str">
        <f aca="false">IF(A87="","",SUMIFS('Sales Daily KPIs'!$E:$E,'Sales Daily KPIs'!$B:$B,$C87,'Sales Daily KPIs'!$A:$A,"&gt;="&amp;$A87,'Sales Daily KPIs'!$A:$A,"&lt;="&amp;$B87))</f>
        <v/>
      </c>
      <c r="J87" s="19" t="str">
        <f aca="false">IF(A87="","",Targets!$B$4*Targets!$B$6)</f>
        <v/>
      </c>
      <c r="K87" s="16" t="str">
        <f aca="false">IF(A87="","",IFERROR(SUMIFS('Sales Daily KPIs'!$G:$G,'Sales Daily KPIs'!$B:$B,$C87,'Sales Daily KPIs'!$A:$A,"&gt;="&amp;$A87,'Sales Daily KPIs'!$A:$A,"&lt;="&amp;$B87)/SUMIFS('Sales Daily KPIs'!$F:$F,'Sales Daily KPIs'!$B:$B,$C87,'Sales Daily KPIs'!$A:$A,"&gt;="&amp;$A87,'Sales Daily KPIs'!$A:$A,"&lt;="&amp;$B87),""))</f>
        <v/>
      </c>
      <c r="L87" s="19" t="str">
        <f aca="false">IF(A87="","",SUMIFS('Sales Daily KPIs'!$I:$I,'Sales Daily KPIs'!$B:$B,$C87,'Sales Daily KPIs'!$A:$A,"&gt;="&amp;$A87,'Sales Daily KPIs'!$A:$A,"&lt;="&amp;$B87))</f>
        <v/>
      </c>
      <c r="M87" s="19" t="str">
        <f aca="false">IF(A87="","",Targets!$B$5)</f>
        <v/>
      </c>
      <c r="N87" s="14"/>
    </row>
    <row r="88" customFormat="false" ht="15" hidden="false" customHeight="false" outlineLevel="0" collapsed="false">
      <c r="A88" s="13"/>
      <c r="B88" s="18" t="str">
        <f aca="false">IF(A88="","",A88+6)</f>
        <v/>
      </c>
      <c r="C88" s="14"/>
      <c r="D88" s="19" t="str">
        <f aca="false">IF(A88="","",COUNTIFS('Sales Daily KPIs'!$B:$B,$C88,'Sales Daily KPIs'!$A:$A,"&gt;="&amp;$A88,'Sales Daily KPIs'!$A:$A,"&lt;="&amp;$B88,'Sales Daily KPIs'!$C:$C,"&lt;&gt;"))</f>
        <v/>
      </c>
      <c r="E88" s="19" t="str">
        <f aca="false">IF(A88="","",SUMIFS('Sales Daily KPIs'!$C:$C,'Sales Daily KPIs'!$B:$B,$C88,'Sales Daily KPIs'!$A:$A,"&gt;="&amp;$A88,'Sales Daily KPIs'!$A:$A,"&lt;="&amp;$B88))</f>
        <v/>
      </c>
      <c r="F88" s="19" t="str">
        <f aca="false">IF(A88="","",Targets!$B$2*Targets!$B$6)</f>
        <v/>
      </c>
      <c r="G88" s="19" t="str">
        <f aca="false">IF(A88="","",SUMIFS('Sales Daily KPIs'!$D:$D,'Sales Daily KPIs'!$B:$B,$C88,'Sales Daily KPIs'!$A:$A,"&gt;="&amp;$A88,'Sales Daily KPIs'!$A:$A,"&lt;="&amp;$B88))</f>
        <v/>
      </c>
      <c r="H88" s="19" t="str">
        <f aca="false">IF(A88="","",Targets!$B$3*Targets!$B$6)</f>
        <v/>
      </c>
      <c r="I88" s="19" t="str">
        <f aca="false">IF(A88="","",SUMIFS('Sales Daily KPIs'!$E:$E,'Sales Daily KPIs'!$B:$B,$C88,'Sales Daily KPIs'!$A:$A,"&gt;="&amp;$A88,'Sales Daily KPIs'!$A:$A,"&lt;="&amp;$B88))</f>
        <v/>
      </c>
      <c r="J88" s="19" t="str">
        <f aca="false">IF(A88="","",Targets!$B$4*Targets!$B$6)</f>
        <v/>
      </c>
      <c r="K88" s="16" t="str">
        <f aca="false">IF(A88="","",IFERROR(SUMIFS('Sales Daily KPIs'!$G:$G,'Sales Daily KPIs'!$B:$B,$C88,'Sales Daily KPIs'!$A:$A,"&gt;="&amp;$A88,'Sales Daily KPIs'!$A:$A,"&lt;="&amp;$B88)/SUMIFS('Sales Daily KPIs'!$F:$F,'Sales Daily KPIs'!$B:$B,$C88,'Sales Daily KPIs'!$A:$A,"&gt;="&amp;$A88,'Sales Daily KPIs'!$A:$A,"&lt;="&amp;$B88),""))</f>
        <v/>
      </c>
      <c r="L88" s="19" t="str">
        <f aca="false">IF(A88="","",SUMIFS('Sales Daily KPIs'!$I:$I,'Sales Daily KPIs'!$B:$B,$C88,'Sales Daily KPIs'!$A:$A,"&gt;="&amp;$A88,'Sales Daily KPIs'!$A:$A,"&lt;="&amp;$B88))</f>
        <v/>
      </c>
      <c r="M88" s="19" t="str">
        <f aca="false">IF(A88="","",Targets!$B$5)</f>
        <v/>
      </c>
      <c r="N88" s="14"/>
    </row>
    <row r="89" customFormat="false" ht="15" hidden="false" customHeight="false" outlineLevel="0" collapsed="false">
      <c r="A89" s="13"/>
      <c r="B89" s="18" t="str">
        <f aca="false">IF(A89="","",A89+6)</f>
        <v/>
      </c>
      <c r="C89" s="14"/>
      <c r="D89" s="19" t="str">
        <f aca="false">IF(A89="","",COUNTIFS('Sales Daily KPIs'!$B:$B,$C89,'Sales Daily KPIs'!$A:$A,"&gt;="&amp;$A89,'Sales Daily KPIs'!$A:$A,"&lt;="&amp;$B89,'Sales Daily KPIs'!$C:$C,"&lt;&gt;"))</f>
        <v/>
      </c>
      <c r="E89" s="19" t="str">
        <f aca="false">IF(A89="","",SUMIFS('Sales Daily KPIs'!$C:$C,'Sales Daily KPIs'!$B:$B,$C89,'Sales Daily KPIs'!$A:$A,"&gt;="&amp;$A89,'Sales Daily KPIs'!$A:$A,"&lt;="&amp;$B89))</f>
        <v/>
      </c>
      <c r="F89" s="19" t="str">
        <f aca="false">IF(A89="","",Targets!$B$2*Targets!$B$6)</f>
        <v/>
      </c>
      <c r="G89" s="19" t="str">
        <f aca="false">IF(A89="","",SUMIFS('Sales Daily KPIs'!$D:$D,'Sales Daily KPIs'!$B:$B,$C89,'Sales Daily KPIs'!$A:$A,"&gt;="&amp;$A89,'Sales Daily KPIs'!$A:$A,"&lt;="&amp;$B89))</f>
        <v/>
      </c>
      <c r="H89" s="19" t="str">
        <f aca="false">IF(A89="","",Targets!$B$3*Targets!$B$6)</f>
        <v/>
      </c>
      <c r="I89" s="19" t="str">
        <f aca="false">IF(A89="","",SUMIFS('Sales Daily KPIs'!$E:$E,'Sales Daily KPIs'!$B:$B,$C89,'Sales Daily KPIs'!$A:$A,"&gt;="&amp;$A89,'Sales Daily KPIs'!$A:$A,"&lt;="&amp;$B89))</f>
        <v/>
      </c>
      <c r="J89" s="19" t="str">
        <f aca="false">IF(A89="","",Targets!$B$4*Targets!$B$6)</f>
        <v/>
      </c>
      <c r="K89" s="16" t="str">
        <f aca="false">IF(A89="","",IFERROR(SUMIFS('Sales Daily KPIs'!$G:$G,'Sales Daily KPIs'!$B:$B,$C89,'Sales Daily KPIs'!$A:$A,"&gt;="&amp;$A89,'Sales Daily KPIs'!$A:$A,"&lt;="&amp;$B89)/SUMIFS('Sales Daily KPIs'!$F:$F,'Sales Daily KPIs'!$B:$B,$C89,'Sales Daily KPIs'!$A:$A,"&gt;="&amp;$A89,'Sales Daily KPIs'!$A:$A,"&lt;="&amp;$B89),""))</f>
        <v/>
      </c>
      <c r="L89" s="19" t="str">
        <f aca="false">IF(A89="","",SUMIFS('Sales Daily KPIs'!$I:$I,'Sales Daily KPIs'!$B:$B,$C89,'Sales Daily KPIs'!$A:$A,"&gt;="&amp;$A89,'Sales Daily KPIs'!$A:$A,"&lt;="&amp;$B89))</f>
        <v/>
      </c>
      <c r="M89" s="19" t="str">
        <f aca="false">IF(A89="","",Targets!$B$5)</f>
        <v/>
      </c>
      <c r="N89" s="14"/>
    </row>
    <row r="90" customFormat="false" ht="15" hidden="false" customHeight="false" outlineLevel="0" collapsed="false">
      <c r="A90" s="13"/>
      <c r="B90" s="18" t="str">
        <f aca="false">IF(A90="","",A90+6)</f>
        <v/>
      </c>
      <c r="C90" s="14"/>
      <c r="D90" s="19" t="str">
        <f aca="false">IF(A90="","",COUNTIFS('Sales Daily KPIs'!$B:$B,$C90,'Sales Daily KPIs'!$A:$A,"&gt;="&amp;$A90,'Sales Daily KPIs'!$A:$A,"&lt;="&amp;$B90,'Sales Daily KPIs'!$C:$C,"&lt;&gt;"))</f>
        <v/>
      </c>
      <c r="E90" s="19" t="str">
        <f aca="false">IF(A90="","",SUMIFS('Sales Daily KPIs'!$C:$C,'Sales Daily KPIs'!$B:$B,$C90,'Sales Daily KPIs'!$A:$A,"&gt;="&amp;$A90,'Sales Daily KPIs'!$A:$A,"&lt;="&amp;$B90))</f>
        <v/>
      </c>
      <c r="F90" s="19" t="str">
        <f aca="false">IF(A90="","",Targets!$B$2*Targets!$B$6)</f>
        <v/>
      </c>
      <c r="G90" s="19" t="str">
        <f aca="false">IF(A90="","",SUMIFS('Sales Daily KPIs'!$D:$D,'Sales Daily KPIs'!$B:$B,$C90,'Sales Daily KPIs'!$A:$A,"&gt;="&amp;$A90,'Sales Daily KPIs'!$A:$A,"&lt;="&amp;$B90))</f>
        <v/>
      </c>
      <c r="H90" s="19" t="str">
        <f aca="false">IF(A90="","",Targets!$B$3*Targets!$B$6)</f>
        <v/>
      </c>
      <c r="I90" s="19" t="str">
        <f aca="false">IF(A90="","",SUMIFS('Sales Daily KPIs'!$E:$E,'Sales Daily KPIs'!$B:$B,$C90,'Sales Daily KPIs'!$A:$A,"&gt;="&amp;$A90,'Sales Daily KPIs'!$A:$A,"&lt;="&amp;$B90))</f>
        <v/>
      </c>
      <c r="J90" s="19" t="str">
        <f aca="false">IF(A90="","",Targets!$B$4*Targets!$B$6)</f>
        <v/>
      </c>
      <c r="K90" s="16" t="str">
        <f aca="false">IF(A90="","",IFERROR(SUMIFS('Sales Daily KPIs'!$G:$G,'Sales Daily KPIs'!$B:$B,$C90,'Sales Daily KPIs'!$A:$A,"&gt;="&amp;$A90,'Sales Daily KPIs'!$A:$A,"&lt;="&amp;$B90)/SUMIFS('Sales Daily KPIs'!$F:$F,'Sales Daily KPIs'!$B:$B,$C90,'Sales Daily KPIs'!$A:$A,"&gt;="&amp;$A90,'Sales Daily KPIs'!$A:$A,"&lt;="&amp;$B90),""))</f>
        <v/>
      </c>
      <c r="L90" s="19" t="str">
        <f aca="false">IF(A90="","",SUMIFS('Sales Daily KPIs'!$I:$I,'Sales Daily KPIs'!$B:$B,$C90,'Sales Daily KPIs'!$A:$A,"&gt;="&amp;$A90,'Sales Daily KPIs'!$A:$A,"&lt;="&amp;$B90))</f>
        <v/>
      </c>
      <c r="M90" s="19" t="str">
        <f aca="false">IF(A90="","",Targets!$B$5)</f>
        <v/>
      </c>
      <c r="N90" s="14"/>
    </row>
    <row r="91" customFormat="false" ht="15" hidden="false" customHeight="false" outlineLevel="0" collapsed="false">
      <c r="A91" s="13"/>
      <c r="B91" s="18" t="str">
        <f aca="false">IF(A91="","",A91+6)</f>
        <v/>
      </c>
      <c r="C91" s="14"/>
      <c r="D91" s="19" t="str">
        <f aca="false">IF(A91="","",COUNTIFS('Sales Daily KPIs'!$B:$B,$C91,'Sales Daily KPIs'!$A:$A,"&gt;="&amp;$A91,'Sales Daily KPIs'!$A:$A,"&lt;="&amp;$B91,'Sales Daily KPIs'!$C:$C,"&lt;&gt;"))</f>
        <v/>
      </c>
      <c r="E91" s="19" t="str">
        <f aca="false">IF(A91="","",SUMIFS('Sales Daily KPIs'!$C:$C,'Sales Daily KPIs'!$B:$B,$C91,'Sales Daily KPIs'!$A:$A,"&gt;="&amp;$A91,'Sales Daily KPIs'!$A:$A,"&lt;="&amp;$B91))</f>
        <v/>
      </c>
      <c r="F91" s="19" t="str">
        <f aca="false">IF(A91="","",Targets!$B$2*Targets!$B$6)</f>
        <v/>
      </c>
      <c r="G91" s="19" t="str">
        <f aca="false">IF(A91="","",SUMIFS('Sales Daily KPIs'!$D:$D,'Sales Daily KPIs'!$B:$B,$C91,'Sales Daily KPIs'!$A:$A,"&gt;="&amp;$A91,'Sales Daily KPIs'!$A:$A,"&lt;="&amp;$B91))</f>
        <v/>
      </c>
      <c r="H91" s="19" t="str">
        <f aca="false">IF(A91="","",Targets!$B$3*Targets!$B$6)</f>
        <v/>
      </c>
      <c r="I91" s="19" t="str">
        <f aca="false">IF(A91="","",SUMIFS('Sales Daily KPIs'!$E:$E,'Sales Daily KPIs'!$B:$B,$C91,'Sales Daily KPIs'!$A:$A,"&gt;="&amp;$A91,'Sales Daily KPIs'!$A:$A,"&lt;="&amp;$B91))</f>
        <v/>
      </c>
      <c r="J91" s="19" t="str">
        <f aca="false">IF(A91="","",Targets!$B$4*Targets!$B$6)</f>
        <v/>
      </c>
      <c r="K91" s="16" t="str">
        <f aca="false">IF(A91="","",IFERROR(SUMIFS('Sales Daily KPIs'!$G:$G,'Sales Daily KPIs'!$B:$B,$C91,'Sales Daily KPIs'!$A:$A,"&gt;="&amp;$A91,'Sales Daily KPIs'!$A:$A,"&lt;="&amp;$B91)/SUMIFS('Sales Daily KPIs'!$F:$F,'Sales Daily KPIs'!$B:$B,$C91,'Sales Daily KPIs'!$A:$A,"&gt;="&amp;$A91,'Sales Daily KPIs'!$A:$A,"&lt;="&amp;$B91),""))</f>
        <v/>
      </c>
      <c r="L91" s="19" t="str">
        <f aca="false">IF(A91="","",SUMIFS('Sales Daily KPIs'!$I:$I,'Sales Daily KPIs'!$B:$B,$C91,'Sales Daily KPIs'!$A:$A,"&gt;="&amp;$A91,'Sales Daily KPIs'!$A:$A,"&lt;="&amp;$B91))</f>
        <v/>
      </c>
      <c r="M91" s="19" t="str">
        <f aca="false">IF(A91="","",Targets!$B$5)</f>
        <v/>
      </c>
      <c r="N91" s="14"/>
    </row>
    <row r="92" customFormat="false" ht="15" hidden="false" customHeight="false" outlineLevel="0" collapsed="false">
      <c r="A92" s="13"/>
      <c r="B92" s="18" t="str">
        <f aca="false">IF(A92="","",A92+6)</f>
        <v/>
      </c>
      <c r="C92" s="14"/>
      <c r="D92" s="19" t="str">
        <f aca="false">IF(A92="","",COUNTIFS('Sales Daily KPIs'!$B:$B,$C92,'Sales Daily KPIs'!$A:$A,"&gt;="&amp;$A92,'Sales Daily KPIs'!$A:$A,"&lt;="&amp;$B92,'Sales Daily KPIs'!$C:$C,"&lt;&gt;"))</f>
        <v/>
      </c>
      <c r="E92" s="19" t="str">
        <f aca="false">IF(A92="","",SUMIFS('Sales Daily KPIs'!$C:$C,'Sales Daily KPIs'!$B:$B,$C92,'Sales Daily KPIs'!$A:$A,"&gt;="&amp;$A92,'Sales Daily KPIs'!$A:$A,"&lt;="&amp;$B92))</f>
        <v/>
      </c>
      <c r="F92" s="19" t="str">
        <f aca="false">IF(A92="","",Targets!$B$2*Targets!$B$6)</f>
        <v/>
      </c>
      <c r="G92" s="19" t="str">
        <f aca="false">IF(A92="","",SUMIFS('Sales Daily KPIs'!$D:$D,'Sales Daily KPIs'!$B:$B,$C92,'Sales Daily KPIs'!$A:$A,"&gt;="&amp;$A92,'Sales Daily KPIs'!$A:$A,"&lt;="&amp;$B92))</f>
        <v/>
      </c>
      <c r="H92" s="19" t="str">
        <f aca="false">IF(A92="","",Targets!$B$3*Targets!$B$6)</f>
        <v/>
      </c>
      <c r="I92" s="19" t="str">
        <f aca="false">IF(A92="","",SUMIFS('Sales Daily KPIs'!$E:$E,'Sales Daily KPIs'!$B:$B,$C92,'Sales Daily KPIs'!$A:$A,"&gt;="&amp;$A92,'Sales Daily KPIs'!$A:$A,"&lt;="&amp;$B92))</f>
        <v/>
      </c>
      <c r="J92" s="19" t="str">
        <f aca="false">IF(A92="","",Targets!$B$4*Targets!$B$6)</f>
        <v/>
      </c>
      <c r="K92" s="16" t="str">
        <f aca="false">IF(A92="","",IFERROR(SUMIFS('Sales Daily KPIs'!$G:$G,'Sales Daily KPIs'!$B:$B,$C92,'Sales Daily KPIs'!$A:$A,"&gt;="&amp;$A92,'Sales Daily KPIs'!$A:$A,"&lt;="&amp;$B92)/SUMIFS('Sales Daily KPIs'!$F:$F,'Sales Daily KPIs'!$B:$B,$C92,'Sales Daily KPIs'!$A:$A,"&gt;="&amp;$A92,'Sales Daily KPIs'!$A:$A,"&lt;="&amp;$B92),""))</f>
        <v/>
      </c>
      <c r="L92" s="19" t="str">
        <f aca="false">IF(A92="","",SUMIFS('Sales Daily KPIs'!$I:$I,'Sales Daily KPIs'!$B:$B,$C92,'Sales Daily KPIs'!$A:$A,"&gt;="&amp;$A92,'Sales Daily KPIs'!$A:$A,"&lt;="&amp;$B92))</f>
        <v/>
      </c>
      <c r="M92" s="19" t="str">
        <f aca="false">IF(A92="","",Targets!$B$5)</f>
        <v/>
      </c>
      <c r="N92" s="14"/>
    </row>
    <row r="93" customFormat="false" ht="15" hidden="false" customHeight="false" outlineLevel="0" collapsed="false">
      <c r="A93" s="13"/>
      <c r="B93" s="18" t="str">
        <f aca="false">IF(A93="","",A93+6)</f>
        <v/>
      </c>
      <c r="C93" s="14"/>
      <c r="D93" s="19" t="str">
        <f aca="false">IF(A93="","",COUNTIFS('Sales Daily KPIs'!$B:$B,$C93,'Sales Daily KPIs'!$A:$A,"&gt;="&amp;$A93,'Sales Daily KPIs'!$A:$A,"&lt;="&amp;$B93,'Sales Daily KPIs'!$C:$C,"&lt;&gt;"))</f>
        <v/>
      </c>
      <c r="E93" s="19" t="str">
        <f aca="false">IF(A93="","",SUMIFS('Sales Daily KPIs'!$C:$C,'Sales Daily KPIs'!$B:$B,$C93,'Sales Daily KPIs'!$A:$A,"&gt;="&amp;$A93,'Sales Daily KPIs'!$A:$A,"&lt;="&amp;$B93))</f>
        <v/>
      </c>
      <c r="F93" s="19" t="str">
        <f aca="false">IF(A93="","",Targets!$B$2*Targets!$B$6)</f>
        <v/>
      </c>
      <c r="G93" s="19" t="str">
        <f aca="false">IF(A93="","",SUMIFS('Sales Daily KPIs'!$D:$D,'Sales Daily KPIs'!$B:$B,$C93,'Sales Daily KPIs'!$A:$A,"&gt;="&amp;$A93,'Sales Daily KPIs'!$A:$A,"&lt;="&amp;$B93))</f>
        <v/>
      </c>
      <c r="H93" s="19" t="str">
        <f aca="false">IF(A93="","",Targets!$B$3*Targets!$B$6)</f>
        <v/>
      </c>
      <c r="I93" s="19" t="str">
        <f aca="false">IF(A93="","",SUMIFS('Sales Daily KPIs'!$E:$E,'Sales Daily KPIs'!$B:$B,$C93,'Sales Daily KPIs'!$A:$A,"&gt;="&amp;$A93,'Sales Daily KPIs'!$A:$A,"&lt;="&amp;$B93))</f>
        <v/>
      </c>
      <c r="J93" s="19" t="str">
        <f aca="false">IF(A93="","",Targets!$B$4*Targets!$B$6)</f>
        <v/>
      </c>
      <c r="K93" s="16" t="str">
        <f aca="false">IF(A93="","",IFERROR(SUMIFS('Sales Daily KPIs'!$G:$G,'Sales Daily KPIs'!$B:$B,$C93,'Sales Daily KPIs'!$A:$A,"&gt;="&amp;$A93,'Sales Daily KPIs'!$A:$A,"&lt;="&amp;$B93)/SUMIFS('Sales Daily KPIs'!$F:$F,'Sales Daily KPIs'!$B:$B,$C93,'Sales Daily KPIs'!$A:$A,"&gt;="&amp;$A93,'Sales Daily KPIs'!$A:$A,"&lt;="&amp;$B93),""))</f>
        <v/>
      </c>
      <c r="L93" s="19" t="str">
        <f aca="false">IF(A93="","",SUMIFS('Sales Daily KPIs'!$I:$I,'Sales Daily KPIs'!$B:$B,$C93,'Sales Daily KPIs'!$A:$A,"&gt;="&amp;$A93,'Sales Daily KPIs'!$A:$A,"&lt;="&amp;$B93))</f>
        <v/>
      </c>
      <c r="M93" s="19" t="str">
        <f aca="false">IF(A93="","",Targets!$B$5)</f>
        <v/>
      </c>
      <c r="N93" s="14"/>
    </row>
    <row r="94" customFormat="false" ht="15" hidden="false" customHeight="false" outlineLevel="0" collapsed="false">
      <c r="A94" s="13"/>
      <c r="B94" s="18" t="str">
        <f aca="false">IF(A94="","",A94+6)</f>
        <v/>
      </c>
      <c r="C94" s="14"/>
      <c r="D94" s="19" t="str">
        <f aca="false">IF(A94="","",COUNTIFS('Sales Daily KPIs'!$B:$B,$C94,'Sales Daily KPIs'!$A:$A,"&gt;="&amp;$A94,'Sales Daily KPIs'!$A:$A,"&lt;="&amp;$B94,'Sales Daily KPIs'!$C:$C,"&lt;&gt;"))</f>
        <v/>
      </c>
      <c r="E94" s="19" t="str">
        <f aca="false">IF(A94="","",SUMIFS('Sales Daily KPIs'!$C:$C,'Sales Daily KPIs'!$B:$B,$C94,'Sales Daily KPIs'!$A:$A,"&gt;="&amp;$A94,'Sales Daily KPIs'!$A:$A,"&lt;="&amp;$B94))</f>
        <v/>
      </c>
      <c r="F94" s="19" t="str">
        <f aca="false">IF(A94="","",Targets!$B$2*Targets!$B$6)</f>
        <v/>
      </c>
      <c r="G94" s="19" t="str">
        <f aca="false">IF(A94="","",SUMIFS('Sales Daily KPIs'!$D:$D,'Sales Daily KPIs'!$B:$B,$C94,'Sales Daily KPIs'!$A:$A,"&gt;="&amp;$A94,'Sales Daily KPIs'!$A:$A,"&lt;="&amp;$B94))</f>
        <v/>
      </c>
      <c r="H94" s="19" t="str">
        <f aca="false">IF(A94="","",Targets!$B$3*Targets!$B$6)</f>
        <v/>
      </c>
      <c r="I94" s="19" t="str">
        <f aca="false">IF(A94="","",SUMIFS('Sales Daily KPIs'!$E:$E,'Sales Daily KPIs'!$B:$B,$C94,'Sales Daily KPIs'!$A:$A,"&gt;="&amp;$A94,'Sales Daily KPIs'!$A:$A,"&lt;="&amp;$B94))</f>
        <v/>
      </c>
      <c r="J94" s="19" t="str">
        <f aca="false">IF(A94="","",Targets!$B$4*Targets!$B$6)</f>
        <v/>
      </c>
      <c r="K94" s="16" t="str">
        <f aca="false">IF(A94="","",IFERROR(SUMIFS('Sales Daily KPIs'!$G:$G,'Sales Daily KPIs'!$B:$B,$C94,'Sales Daily KPIs'!$A:$A,"&gt;="&amp;$A94,'Sales Daily KPIs'!$A:$A,"&lt;="&amp;$B94)/SUMIFS('Sales Daily KPIs'!$F:$F,'Sales Daily KPIs'!$B:$B,$C94,'Sales Daily KPIs'!$A:$A,"&gt;="&amp;$A94,'Sales Daily KPIs'!$A:$A,"&lt;="&amp;$B94),""))</f>
        <v/>
      </c>
      <c r="L94" s="19" t="str">
        <f aca="false">IF(A94="","",SUMIFS('Sales Daily KPIs'!$I:$I,'Sales Daily KPIs'!$B:$B,$C94,'Sales Daily KPIs'!$A:$A,"&gt;="&amp;$A94,'Sales Daily KPIs'!$A:$A,"&lt;="&amp;$B94))</f>
        <v/>
      </c>
      <c r="M94" s="19" t="str">
        <f aca="false">IF(A94="","",Targets!$B$5)</f>
        <v/>
      </c>
      <c r="N94" s="14"/>
    </row>
    <row r="95" customFormat="false" ht="15" hidden="false" customHeight="false" outlineLevel="0" collapsed="false">
      <c r="A95" s="13"/>
      <c r="B95" s="18" t="str">
        <f aca="false">IF(A95="","",A95+6)</f>
        <v/>
      </c>
      <c r="C95" s="14"/>
      <c r="D95" s="19" t="str">
        <f aca="false">IF(A95="","",COUNTIFS('Sales Daily KPIs'!$B:$B,$C95,'Sales Daily KPIs'!$A:$A,"&gt;="&amp;$A95,'Sales Daily KPIs'!$A:$A,"&lt;="&amp;$B95,'Sales Daily KPIs'!$C:$C,"&lt;&gt;"))</f>
        <v/>
      </c>
      <c r="E95" s="19" t="str">
        <f aca="false">IF(A95="","",SUMIFS('Sales Daily KPIs'!$C:$C,'Sales Daily KPIs'!$B:$B,$C95,'Sales Daily KPIs'!$A:$A,"&gt;="&amp;$A95,'Sales Daily KPIs'!$A:$A,"&lt;="&amp;$B95))</f>
        <v/>
      </c>
      <c r="F95" s="19" t="str">
        <f aca="false">IF(A95="","",Targets!$B$2*Targets!$B$6)</f>
        <v/>
      </c>
      <c r="G95" s="19" t="str">
        <f aca="false">IF(A95="","",SUMIFS('Sales Daily KPIs'!$D:$D,'Sales Daily KPIs'!$B:$B,$C95,'Sales Daily KPIs'!$A:$A,"&gt;="&amp;$A95,'Sales Daily KPIs'!$A:$A,"&lt;="&amp;$B95))</f>
        <v/>
      </c>
      <c r="H95" s="19" t="str">
        <f aca="false">IF(A95="","",Targets!$B$3*Targets!$B$6)</f>
        <v/>
      </c>
      <c r="I95" s="19" t="str">
        <f aca="false">IF(A95="","",SUMIFS('Sales Daily KPIs'!$E:$E,'Sales Daily KPIs'!$B:$B,$C95,'Sales Daily KPIs'!$A:$A,"&gt;="&amp;$A95,'Sales Daily KPIs'!$A:$A,"&lt;="&amp;$B95))</f>
        <v/>
      </c>
      <c r="J95" s="19" t="str">
        <f aca="false">IF(A95="","",Targets!$B$4*Targets!$B$6)</f>
        <v/>
      </c>
      <c r="K95" s="16" t="str">
        <f aca="false">IF(A95="","",IFERROR(SUMIFS('Sales Daily KPIs'!$G:$G,'Sales Daily KPIs'!$B:$B,$C95,'Sales Daily KPIs'!$A:$A,"&gt;="&amp;$A95,'Sales Daily KPIs'!$A:$A,"&lt;="&amp;$B95)/SUMIFS('Sales Daily KPIs'!$F:$F,'Sales Daily KPIs'!$B:$B,$C95,'Sales Daily KPIs'!$A:$A,"&gt;="&amp;$A95,'Sales Daily KPIs'!$A:$A,"&lt;="&amp;$B95),""))</f>
        <v/>
      </c>
      <c r="L95" s="19" t="str">
        <f aca="false">IF(A95="","",SUMIFS('Sales Daily KPIs'!$I:$I,'Sales Daily KPIs'!$B:$B,$C95,'Sales Daily KPIs'!$A:$A,"&gt;="&amp;$A95,'Sales Daily KPIs'!$A:$A,"&lt;="&amp;$B95))</f>
        <v/>
      </c>
      <c r="M95" s="19" t="str">
        <f aca="false">IF(A95="","",Targets!$B$5)</f>
        <v/>
      </c>
      <c r="N95" s="14"/>
    </row>
    <row r="96" customFormat="false" ht="15" hidden="false" customHeight="false" outlineLevel="0" collapsed="false">
      <c r="A96" s="13"/>
      <c r="B96" s="18" t="str">
        <f aca="false">IF(A96="","",A96+6)</f>
        <v/>
      </c>
      <c r="C96" s="14"/>
      <c r="D96" s="19" t="str">
        <f aca="false">IF(A96="","",COUNTIFS('Sales Daily KPIs'!$B:$B,$C96,'Sales Daily KPIs'!$A:$A,"&gt;="&amp;$A96,'Sales Daily KPIs'!$A:$A,"&lt;="&amp;$B96,'Sales Daily KPIs'!$C:$C,"&lt;&gt;"))</f>
        <v/>
      </c>
      <c r="E96" s="19" t="str">
        <f aca="false">IF(A96="","",SUMIFS('Sales Daily KPIs'!$C:$C,'Sales Daily KPIs'!$B:$B,$C96,'Sales Daily KPIs'!$A:$A,"&gt;="&amp;$A96,'Sales Daily KPIs'!$A:$A,"&lt;="&amp;$B96))</f>
        <v/>
      </c>
      <c r="F96" s="19" t="str">
        <f aca="false">IF(A96="","",Targets!$B$2*Targets!$B$6)</f>
        <v/>
      </c>
      <c r="G96" s="19" t="str">
        <f aca="false">IF(A96="","",SUMIFS('Sales Daily KPIs'!$D:$D,'Sales Daily KPIs'!$B:$B,$C96,'Sales Daily KPIs'!$A:$A,"&gt;="&amp;$A96,'Sales Daily KPIs'!$A:$A,"&lt;="&amp;$B96))</f>
        <v/>
      </c>
      <c r="H96" s="19" t="str">
        <f aca="false">IF(A96="","",Targets!$B$3*Targets!$B$6)</f>
        <v/>
      </c>
      <c r="I96" s="19" t="str">
        <f aca="false">IF(A96="","",SUMIFS('Sales Daily KPIs'!$E:$E,'Sales Daily KPIs'!$B:$B,$C96,'Sales Daily KPIs'!$A:$A,"&gt;="&amp;$A96,'Sales Daily KPIs'!$A:$A,"&lt;="&amp;$B96))</f>
        <v/>
      </c>
      <c r="J96" s="19" t="str">
        <f aca="false">IF(A96="","",Targets!$B$4*Targets!$B$6)</f>
        <v/>
      </c>
      <c r="K96" s="16" t="str">
        <f aca="false">IF(A96="","",IFERROR(SUMIFS('Sales Daily KPIs'!$G:$G,'Sales Daily KPIs'!$B:$B,$C96,'Sales Daily KPIs'!$A:$A,"&gt;="&amp;$A96,'Sales Daily KPIs'!$A:$A,"&lt;="&amp;$B96)/SUMIFS('Sales Daily KPIs'!$F:$F,'Sales Daily KPIs'!$B:$B,$C96,'Sales Daily KPIs'!$A:$A,"&gt;="&amp;$A96,'Sales Daily KPIs'!$A:$A,"&lt;="&amp;$B96),""))</f>
        <v/>
      </c>
      <c r="L96" s="19" t="str">
        <f aca="false">IF(A96="","",SUMIFS('Sales Daily KPIs'!$I:$I,'Sales Daily KPIs'!$B:$B,$C96,'Sales Daily KPIs'!$A:$A,"&gt;="&amp;$A96,'Sales Daily KPIs'!$A:$A,"&lt;="&amp;$B96))</f>
        <v/>
      </c>
      <c r="M96" s="19" t="str">
        <f aca="false">IF(A96="","",Targets!$B$5)</f>
        <v/>
      </c>
      <c r="N96" s="14"/>
    </row>
    <row r="97" customFormat="false" ht="15" hidden="false" customHeight="false" outlineLevel="0" collapsed="false">
      <c r="A97" s="13"/>
      <c r="B97" s="18" t="str">
        <f aca="false">IF(A97="","",A97+6)</f>
        <v/>
      </c>
      <c r="C97" s="14"/>
      <c r="D97" s="19" t="str">
        <f aca="false">IF(A97="","",COUNTIFS('Sales Daily KPIs'!$B:$B,$C97,'Sales Daily KPIs'!$A:$A,"&gt;="&amp;$A97,'Sales Daily KPIs'!$A:$A,"&lt;="&amp;$B97,'Sales Daily KPIs'!$C:$C,"&lt;&gt;"))</f>
        <v/>
      </c>
      <c r="E97" s="19" t="str">
        <f aca="false">IF(A97="","",SUMIFS('Sales Daily KPIs'!$C:$C,'Sales Daily KPIs'!$B:$B,$C97,'Sales Daily KPIs'!$A:$A,"&gt;="&amp;$A97,'Sales Daily KPIs'!$A:$A,"&lt;="&amp;$B97))</f>
        <v/>
      </c>
      <c r="F97" s="19" t="str">
        <f aca="false">IF(A97="","",Targets!$B$2*Targets!$B$6)</f>
        <v/>
      </c>
      <c r="G97" s="19" t="str">
        <f aca="false">IF(A97="","",SUMIFS('Sales Daily KPIs'!$D:$D,'Sales Daily KPIs'!$B:$B,$C97,'Sales Daily KPIs'!$A:$A,"&gt;="&amp;$A97,'Sales Daily KPIs'!$A:$A,"&lt;="&amp;$B97))</f>
        <v/>
      </c>
      <c r="H97" s="19" t="str">
        <f aca="false">IF(A97="","",Targets!$B$3*Targets!$B$6)</f>
        <v/>
      </c>
      <c r="I97" s="19" t="str">
        <f aca="false">IF(A97="","",SUMIFS('Sales Daily KPIs'!$E:$E,'Sales Daily KPIs'!$B:$B,$C97,'Sales Daily KPIs'!$A:$A,"&gt;="&amp;$A97,'Sales Daily KPIs'!$A:$A,"&lt;="&amp;$B97))</f>
        <v/>
      </c>
      <c r="J97" s="19" t="str">
        <f aca="false">IF(A97="","",Targets!$B$4*Targets!$B$6)</f>
        <v/>
      </c>
      <c r="K97" s="16" t="str">
        <f aca="false">IF(A97="","",IFERROR(SUMIFS('Sales Daily KPIs'!$G:$G,'Sales Daily KPIs'!$B:$B,$C97,'Sales Daily KPIs'!$A:$A,"&gt;="&amp;$A97,'Sales Daily KPIs'!$A:$A,"&lt;="&amp;$B97)/SUMIFS('Sales Daily KPIs'!$F:$F,'Sales Daily KPIs'!$B:$B,$C97,'Sales Daily KPIs'!$A:$A,"&gt;="&amp;$A97,'Sales Daily KPIs'!$A:$A,"&lt;="&amp;$B97),""))</f>
        <v/>
      </c>
      <c r="L97" s="19" t="str">
        <f aca="false">IF(A97="","",SUMIFS('Sales Daily KPIs'!$I:$I,'Sales Daily KPIs'!$B:$B,$C97,'Sales Daily KPIs'!$A:$A,"&gt;="&amp;$A97,'Sales Daily KPIs'!$A:$A,"&lt;="&amp;$B97))</f>
        <v/>
      </c>
      <c r="M97" s="19" t="str">
        <f aca="false">IF(A97="","",Targets!$B$5)</f>
        <v/>
      </c>
      <c r="N97" s="14"/>
    </row>
    <row r="98" customFormat="false" ht="15" hidden="false" customHeight="false" outlineLevel="0" collapsed="false">
      <c r="A98" s="13"/>
      <c r="B98" s="18" t="str">
        <f aca="false">IF(A98="","",A98+6)</f>
        <v/>
      </c>
      <c r="C98" s="14"/>
      <c r="D98" s="19" t="str">
        <f aca="false">IF(A98="","",COUNTIFS('Sales Daily KPIs'!$B:$B,$C98,'Sales Daily KPIs'!$A:$A,"&gt;="&amp;$A98,'Sales Daily KPIs'!$A:$A,"&lt;="&amp;$B98,'Sales Daily KPIs'!$C:$C,"&lt;&gt;"))</f>
        <v/>
      </c>
      <c r="E98" s="19" t="str">
        <f aca="false">IF(A98="","",SUMIFS('Sales Daily KPIs'!$C:$C,'Sales Daily KPIs'!$B:$B,$C98,'Sales Daily KPIs'!$A:$A,"&gt;="&amp;$A98,'Sales Daily KPIs'!$A:$A,"&lt;="&amp;$B98))</f>
        <v/>
      </c>
      <c r="F98" s="19" t="str">
        <f aca="false">IF(A98="","",Targets!$B$2*Targets!$B$6)</f>
        <v/>
      </c>
      <c r="G98" s="19" t="str">
        <f aca="false">IF(A98="","",SUMIFS('Sales Daily KPIs'!$D:$D,'Sales Daily KPIs'!$B:$B,$C98,'Sales Daily KPIs'!$A:$A,"&gt;="&amp;$A98,'Sales Daily KPIs'!$A:$A,"&lt;="&amp;$B98))</f>
        <v/>
      </c>
      <c r="H98" s="19" t="str">
        <f aca="false">IF(A98="","",Targets!$B$3*Targets!$B$6)</f>
        <v/>
      </c>
      <c r="I98" s="19" t="str">
        <f aca="false">IF(A98="","",SUMIFS('Sales Daily KPIs'!$E:$E,'Sales Daily KPIs'!$B:$B,$C98,'Sales Daily KPIs'!$A:$A,"&gt;="&amp;$A98,'Sales Daily KPIs'!$A:$A,"&lt;="&amp;$B98))</f>
        <v/>
      </c>
      <c r="J98" s="19" t="str">
        <f aca="false">IF(A98="","",Targets!$B$4*Targets!$B$6)</f>
        <v/>
      </c>
      <c r="K98" s="16" t="str">
        <f aca="false">IF(A98="","",IFERROR(SUMIFS('Sales Daily KPIs'!$G:$G,'Sales Daily KPIs'!$B:$B,$C98,'Sales Daily KPIs'!$A:$A,"&gt;="&amp;$A98,'Sales Daily KPIs'!$A:$A,"&lt;="&amp;$B98)/SUMIFS('Sales Daily KPIs'!$F:$F,'Sales Daily KPIs'!$B:$B,$C98,'Sales Daily KPIs'!$A:$A,"&gt;="&amp;$A98,'Sales Daily KPIs'!$A:$A,"&lt;="&amp;$B98),""))</f>
        <v/>
      </c>
      <c r="L98" s="19" t="str">
        <f aca="false">IF(A98="","",SUMIFS('Sales Daily KPIs'!$I:$I,'Sales Daily KPIs'!$B:$B,$C98,'Sales Daily KPIs'!$A:$A,"&gt;="&amp;$A98,'Sales Daily KPIs'!$A:$A,"&lt;="&amp;$B98))</f>
        <v/>
      </c>
      <c r="M98" s="19" t="str">
        <f aca="false">IF(A98="","",Targets!$B$5)</f>
        <v/>
      </c>
      <c r="N98" s="14"/>
    </row>
    <row r="99" customFormat="false" ht="15" hidden="false" customHeight="false" outlineLevel="0" collapsed="false">
      <c r="A99" s="13"/>
      <c r="B99" s="18" t="str">
        <f aca="false">IF(A99="","",A99+6)</f>
        <v/>
      </c>
      <c r="C99" s="14"/>
      <c r="D99" s="19" t="str">
        <f aca="false">IF(A99="","",COUNTIFS('Sales Daily KPIs'!$B:$B,$C99,'Sales Daily KPIs'!$A:$A,"&gt;="&amp;$A99,'Sales Daily KPIs'!$A:$A,"&lt;="&amp;$B99,'Sales Daily KPIs'!$C:$C,"&lt;&gt;"))</f>
        <v/>
      </c>
      <c r="E99" s="19" t="str">
        <f aca="false">IF(A99="","",SUMIFS('Sales Daily KPIs'!$C:$C,'Sales Daily KPIs'!$B:$B,$C99,'Sales Daily KPIs'!$A:$A,"&gt;="&amp;$A99,'Sales Daily KPIs'!$A:$A,"&lt;="&amp;$B99))</f>
        <v/>
      </c>
      <c r="F99" s="19" t="str">
        <f aca="false">IF(A99="","",Targets!$B$2*Targets!$B$6)</f>
        <v/>
      </c>
      <c r="G99" s="19" t="str">
        <f aca="false">IF(A99="","",SUMIFS('Sales Daily KPIs'!$D:$D,'Sales Daily KPIs'!$B:$B,$C99,'Sales Daily KPIs'!$A:$A,"&gt;="&amp;$A99,'Sales Daily KPIs'!$A:$A,"&lt;="&amp;$B99))</f>
        <v/>
      </c>
      <c r="H99" s="19" t="str">
        <f aca="false">IF(A99="","",Targets!$B$3*Targets!$B$6)</f>
        <v/>
      </c>
      <c r="I99" s="19" t="str">
        <f aca="false">IF(A99="","",SUMIFS('Sales Daily KPIs'!$E:$E,'Sales Daily KPIs'!$B:$B,$C99,'Sales Daily KPIs'!$A:$A,"&gt;="&amp;$A99,'Sales Daily KPIs'!$A:$A,"&lt;="&amp;$B99))</f>
        <v/>
      </c>
      <c r="J99" s="19" t="str">
        <f aca="false">IF(A99="","",Targets!$B$4*Targets!$B$6)</f>
        <v/>
      </c>
      <c r="K99" s="16" t="str">
        <f aca="false">IF(A99="","",IFERROR(SUMIFS('Sales Daily KPIs'!$G:$G,'Sales Daily KPIs'!$B:$B,$C99,'Sales Daily KPIs'!$A:$A,"&gt;="&amp;$A99,'Sales Daily KPIs'!$A:$A,"&lt;="&amp;$B99)/SUMIFS('Sales Daily KPIs'!$F:$F,'Sales Daily KPIs'!$B:$B,$C99,'Sales Daily KPIs'!$A:$A,"&gt;="&amp;$A99,'Sales Daily KPIs'!$A:$A,"&lt;="&amp;$B99),""))</f>
        <v/>
      </c>
      <c r="L99" s="19" t="str">
        <f aca="false">IF(A99="","",SUMIFS('Sales Daily KPIs'!$I:$I,'Sales Daily KPIs'!$B:$B,$C99,'Sales Daily KPIs'!$A:$A,"&gt;="&amp;$A99,'Sales Daily KPIs'!$A:$A,"&lt;="&amp;$B99))</f>
        <v/>
      </c>
      <c r="M99" s="19" t="str">
        <f aca="false">IF(A99="","",Targets!$B$5)</f>
        <v/>
      </c>
      <c r="N99" s="14"/>
    </row>
    <row r="100" customFormat="false" ht="15" hidden="false" customHeight="false" outlineLevel="0" collapsed="false">
      <c r="A100" s="13"/>
      <c r="B100" s="18" t="str">
        <f aca="false">IF(A100="","",A100+6)</f>
        <v/>
      </c>
      <c r="C100" s="14"/>
      <c r="D100" s="19" t="str">
        <f aca="false">IF(A100="","",COUNTIFS('Sales Daily KPIs'!$B:$B,$C100,'Sales Daily KPIs'!$A:$A,"&gt;="&amp;$A100,'Sales Daily KPIs'!$A:$A,"&lt;="&amp;$B100,'Sales Daily KPIs'!$C:$C,"&lt;&gt;"))</f>
        <v/>
      </c>
      <c r="E100" s="19" t="str">
        <f aca="false">IF(A100="","",SUMIFS('Sales Daily KPIs'!$C:$C,'Sales Daily KPIs'!$B:$B,$C100,'Sales Daily KPIs'!$A:$A,"&gt;="&amp;$A100,'Sales Daily KPIs'!$A:$A,"&lt;="&amp;$B100))</f>
        <v/>
      </c>
      <c r="F100" s="19" t="str">
        <f aca="false">IF(A100="","",Targets!$B$2*Targets!$B$6)</f>
        <v/>
      </c>
      <c r="G100" s="19" t="str">
        <f aca="false">IF(A100="","",SUMIFS('Sales Daily KPIs'!$D:$D,'Sales Daily KPIs'!$B:$B,$C100,'Sales Daily KPIs'!$A:$A,"&gt;="&amp;$A100,'Sales Daily KPIs'!$A:$A,"&lt;="&amp;$B100))</f>
        <v/>
      </c>
      <c r="H100" s="19" t="str">
        <f aca="false">IF(A100="","",Targets!$B$3*Targets!$B$6)</f>
        <v/>
      </c>
      <c r="I100" s="19" t="str">
        <f aca="false">IF(A100="","",SUMIFS('Sales Daily KPIs'!$E:$E,'Sales Daily KPIs'!$B:$B,$C100,'Sales Daily KPIs'!$A:$A,"&gt;="&amp;$A100,'Sales Daily KPIs'!$A:$A,"&lt;="&amp;$B100))</f>
        <v/>
      </c>
      <c r="J100" s="19" t="str">
        <f aca="false">IF(A100="","",Targets!$B$4*Targets!$B$6)</f>
        <v/>
      </c>
      <c r="K100" s="16" t="str">
        <f aca="false">IF(A100="","",IFERROR(SUMIFS('Sales Daily KPIs'!$G:$G,'Sales Daily KPIs'!$B:$B,$C100,'Sales Daily KPIs'!$A:$A,"&gt;="&amp;$A100,'Sales Daily KPIs'!$A:$A,"&lt;="&amp;$B100)/SUMIFS('Sales Daily KPIs'!$F:$F,'Sales Daily KPIs'!$B:$B,$C100,'Sales Daily KPIs'!$A:$A,"&gt;="&amp;$A100,'Sales Daily KPIs'!$A:$A,"&lt;="&amp;$B100),""))</f>
        <v/>
      </c>
      <c r="L100" s="19" t="str">
        <f aca="false">IF(A100="","",SUMIFS('Sales Daily KPIs'!$I:$I,'Sales Daily KPIs'!$B:$B,$C100,'Sales Daily KPIs'!$A:$A,"&gt;="&amp;$A100,'Sales Daily KPIs'!$A:$A,"&lt;="&amp;$B100))</f>
        <v/>
      </c>
      <c r="M100" s="19" t="str">
        <f aca="false">IF(A100="","",Targets!$B$5)</f>
        <v/>
      </c>
      <c r="N100" s="14"/>
    </row>
    <row r="101" customFormat="false" ht="15" hidden="false" customHeight="false" outlineLevel="0" collapsed="false">
      <c r="A101" s="13"/>
      <c r="B101" s="18" t="str">
        <f aca="false">IF(A101="","",A101+6)</f>
        <v/>
      </c>
      <c r="C101" s="14"/>
      <c r="D101" s="19" t="str">
        <f aca="false">IF(A101="","",COUNTIFS('Sales Daily KPIs'!$B:$B,$C101,'Sales Daily KPIs'!$A:$A,"&gt;="&amp;$A101,'Sales Daily KPIs'!$A:$A,"&lt;="&amp;$B101,'Sales Daily KPIs'!$C:$C,"&lt;&gt;"))</f>
        <v/>
      </c>
      <c r="E101" s="19" t="str">
        <f aca="false">IF(A101="","",SUMIFS('Sales Daily KPIs'!$C:$C,'Sales Daily KPIs'!$B:$B,$C101,'Sales Daily KPIs'!$A:$A,"&gt;="&amp;$A101,'Sales Daily KPIs'!$A:$A,"&lt;="&amp;$B101))</f>
        <v/>
      </c>
      <c r="F101" s="19" t="str">
        <f aca="false">IF(A101="","",Targets!$B$2*Targets!$B$6)</f>
        <v/>
      </c>
      <c r="G101" s="19" t="str">
        <f aca="false">IF(A101="","",SUMIFS('Sales Daily KPIs'!$D:$D,'Sales Daily KPIs'!$B:$B,$C101,'Sales Daily KPIs'!$A:$A,"&gt;="&amp;$A101,'Sales Daily KPIs'!$A:$A,"&lt;="&amp;$B101))</f>
        <v/>
      </c>
      <c r="H101" s="19" t="str">
        <f aca="false">IF(A101="","",Targets!$B$3*Targets!$B$6)</f>
        <v/>
      </c>
      <c r="I101" s="19" t="str">
        <f aca="false">IF(A101="","",SUMIFS('Sales Daily KPIs'!$E:$E,'Sales Daily KPIs'!$B:$B,$C101,'Sales Daily KPIs'!$A:$A,"&gt;="&amp;$A101,'Sales Daily KPIs'!$A:$A,"&lt;="&amp;$B101))</f>
        <v/>
      </c>
      <c r="J101" s="19" t="str">
        <f aca="false">IF(A101="","",Targets!$B$4*Targets!$B$6)</f>
        <v/>
      </c>
      <c r="K101" s="16" t="str">
        <f aca="false">IF(A101="","",IFERROR(SUMIFS('Sales Daily KPIs'!$G:$G,'Sales Daily KPIs'!$B:$B,$C101,'Sales Daily KPIs'!$A:$A,"&gt;="&amp;$A101,'Sales Daily KPIs'!$A:$A,"&lt;="&amp;$B101)/SUMIFS('Sales Daily KPIs'!$F:$F,'Sales Daily KPIs'!$B:$B,$C101,'Sales Daily KPIs'!$A:$A,"&gt;="&amp;$A101,'Sales Daily KPIs'!$A:$A,"&lt;="&amp;$B101),""))</f>
        <v/>
      </c>
      <c r="L101" s="19" t="str">
        <f aca="false">IF(A101="","",SUMIFS('Sales Daily KPIs'!$I:$I,'Sales Daily KPIs'!$B:$B,$C101,'Sales Daily KPIs'!$A:$A,"&gt;="&amp;$A101,'Sales Daily KPIs'!$A:$A,"&lt;="&amp;$B101))</f>
        <v/>
      </c>
      <c r="M101" s="19" t="str">
        <f aca="false">IF(A101="","",Targets!$B$5)</f>
        <v/>
      </c>
      <c r="N101" s="14"/>
    </row>
    <row r="102" customFormat="false" ht="15" hidden="false" customHeight="false" outlineLevel="0" collapsed="false">
      <c r="A102" s="13"/>
      <c r="B102" s="18" t="str">
        <f aca="false">IF(A102="","",A102+6)</f>
        <v/>
      </c>
      <c r="C102" s="14"/>
      <c r="D102" s="19" t="str">
        <f aca="false">IF(A102="","",COUNTIFS('Sales Daily KPIs'!$B:$B,$C102,'Sales Daily KPIs'!$A:$A,"&gt;="&amp;$A102,'Sales Daily KPIs'!$A:$A,"&lt;="&amp;$B102,'Sales Daily KPIs'!$C:$C,"&lt;&gt;"))</f>
        <v/>
      </c>
      <c r="E102" s="19" t="str">
        <f aca="false">IF(A102="","",SUMIFS('Sales Daily KPIs'!$C:$C,'Sales Daily KPIs'!$B:$B,$C102,'Sales Daily KPIs'!$A:$A,"&gt;="&amp;$A102,'Sales Daily KPIs'!$A:$A,"&lt;="&amp;$B102))</f>
        <v/>
      </c>
      <c r="F102" s="19" t="str">
        <f aca="false">IF(A102="","",Targets!$B$2*Targets!$B$6)</f>
        <v/>
      </c>
      <c r="G102" s="19" t="str">
        <f aca="false">IF(A102="","",SUMIFS('Sales Daily KPIs'!$D:$D,'Sales Daily KPIs'!$B:$B,$C102,'Sales Daily KPIs'!$A:$A,"&gt;="&amp;$A102,'Sales Daily KPIs'!$A:$A,"&lt;="&amp;$B102))</f>
        <v/>
      </c>
      <c r="H102" s="19" t="str">
        <f aca="false">IF(A102="","",Targets!$B$3*Targets!$B$6)</f>
        <v/>
      </c>
      <c r="I102" s="19" t="str">
        <f aca="false">IF(A102="","",SUMIFS('Sales Daily KPIs'!$E:$E,'Sales Daily KPIs'!$B:$B,$C102,'Sales Daily KPIs'!$A:$A,"&gt;="&amp;$A102,'Sales Daily KPIs'!$A:$A,"&lt;="&amp;$B102))</f>
        <v/>
      </c>
      <c r="J102" s="19" t="str">
        <f aca="false">IF(A102="","",Targets!$B$4*Targets!$B$6)</f>
        <v/>
      </c>
      <c r="K102" s="16" t="str">
        <f aca="false">IF(A102="","",IFERROR(SUMIFS('Sales Daily KPIs'!$G:$G,'Sales Daily KPIs'!$B:$B,$C102,'Sales Daily KPIs'!$A:$A,"&gt;="&amp;$A102,'Sales Daily KPIs'!$A:$A,"&lt;="&amp;$B102)/SUMIFS('Sales Daily KPIs'!$F:$F,'Sales Daily KPIs'!$B:$B,$C102,'Sales Daily KPIs'!$A:$A,"&gt;="&amp;$A102,'Sales Daily KPIs'!$A:$A,"&lt;="&amp;$B102),""))</f>
        <v/>
      </c>
      <c r="L102" s="19" t="str">
        <f aca="false">IF(A102="","",SUMIFS('Sales Daily KPIs'!$I:$I,'Sales Daily KPIs'!$B:$B,$C102,'Sales Daily KPIs'!$A:$A,"&gt;="&amp;$A102,'Sales Daily KPIs'!$A:$A,"&lt;="&amp;$B102))</f>
        <v/>
      </c>
      <c r="M102" s="19" t="str">
        <f aca="false">IF(A102="","",Targets!$B$5)</f>
        <v/>
      </c>
      <c r="N102" s="14"/>
    </row>
    <row r="103" customFormat="false" ht="15" hidden="false" customHeight="false" outlineLevel="0" collapsed="false">
      <c r="A103" s="13"/>
      <c r="B103" s="18" t="str">
        <f aca="false">IF(A103="","",A103+6)</f>
        <v/>
      </c>
      <c r="C103" s="14"/>
      <c r="D103" s="19" t="str">
        <f aca="false">IF(A103="","",COUNTIFS('Sales Daily KPIs'!$B:$B,$C103,'Sales Daily KPIs'!$A:$A,"&gt;="&amp;$A103,'Sales Daily KPIs'!$A:$A,"&lt;="&amp;$B103,'Sales Daily KPIs'!$C:$C,"&lt;&gt;"))</f>
        <v/>
      </c>
      <c r="E103" s="19" t="str">
        <f aca="false">IF(A103="","",SUMIFS('Sales Daily KPIs'!$C:$C,'Sales Daily KPIs'!$B:$B,$C103,'Sales Daily KPIs'!$A:$A,"&gt;="&amp;$A103,'Sales Daily KPIs'!$A:$A,"&lt;="&amp;$B103))</f>
        <v/>
      </c>
      <c r="F103" s="19" t="str">
        <f aca="false">IF(A103="","",Targets!$B$2*Targets!$B$6)</f>
        <v/>
      </c>
      <c r="G103" s="19" t="str">
        <f aca="false">IF(A103="","",SUMIFS('Sales Daily KPIs'!$D:$D,'Sales Daily KPIs'!$B:$B,$C103,'Sales Daily KPIs'!$A:$A,"&gt;="&amp;$A103,'Sales Daily KPIs'!$A:$A,"&lt;="&amp;$B103))</f>
        <v/>
      </c>
      <c r="H103" s="19" t="str">
        <f aca="false">IF(A103="","",Targets!$B$3*Targets!$B$6)</f>
        <v/>
      </c>
      <c r="I103" s="19" t="str">
        <f aca="false">IF(A103="","",SUMIFS('Sales Daily KPIs'!$E:$E,'Sales Daily KPIs'!$B:$B,$C103,'Sales Daily KPIs'!$A:$A,"&gt;="&amp;$A103,'Sales Daily KPIs'!$A:$A,"&lt;="&amp;$B103))</f>
        <v/>
      </c>
      <c r="J103" s="19" t="str">
        <f aca="false">IF(A103="","",Targets!$B$4*Targets!$B$6)</f>
        <v/>
      </c>
      <c r="K103" s="16" t="str">
        <f aca="false">IF(A103="","",IFERROR(SUMIFS('Sales Daily KPIs'!$G:$G,'Sales Daily KPIs'!$B:$B,$C103,'Sales Daily KPIs'!$A:$A,"&gt;="&amp;$A103,'Sales Daily KPIs'!$A:$A,"&lt;="&amp;$B103)/SUMIFS('Sales Daily KPIs'!$F:$F,'Sales Daily KPIs'!$B:$B,$C103,'Sales Daily KPIs'!$A:$A,"&gt;="&amp;$A103,'Sales Daily KPIs'!$A:$A,"&lt;="&amp;$B103),""))</f>
        <v/>
      </c>
      <c r="L103" s="19" t="str">
        <f aca="false">IF(A103="","",SUMIFS('Sales Daily KPIs'!$I:$I,'Sales Daily KPIs'!$B:$B,$C103,'Sales Daily KPIs'!$A:$A,"&gt;="&amp;$A103,'Sales Daily KPIs'!$A:$A,"&lt;="&amp;$B103))</f>
        <v/>
      </c>
      <c r="M103" s="19" t="str">
        <f aca="false">IF(A103="","",Targets!$B$5)</f>
        <v/>
      </c>
      <c r="N103" s="14"/>
    </row>
    <row r="104" customFormat="false" ht="15" hidden="false" customHeight="false" outlineLevel="0" collapsed="false">
      <c r="A104" s="13"/>
      <c r="B104" s="18" t="str">
        <f aca="false">IF(A104="","",A104+6)</f>
        <v/>
      </c>
      <c r="C104" s="14"/>
      <c r="D104" s="19" t="str">
        <f aca="false">IF(A104="","",COUNTIFS('Sales Daily KPIs'!$B:$B,$C104,'Sales Daily KPIs'!$A:$A,"&gt;="&amp;$A104,'Sales Daily KPIs'!$A:$A,"&lt;="&amp;$B104,'Sales Daily KPIs'!$C:$C,"&lt;&gt;"))</f>
        <v/>
      </c>
      <c r="E104" s="19" t="str">
        <f aca="false">IF(A104="","",SUMIFS('Sales Daily KPIs'!$C:$C,'Sales Daily KPIs'!$B:$B,$C104,'Sales Daily KPIs'!$A:$A,"&gt;="&amp;$A104,'Sales Daily KPIs'!$A:$A,"&lt;="&amp;$B104))</f>
        <v/>
      </c>
      <c r="F104" s="19" t="str">
        <f aca="false">IF(A104="","",Targets!$B$2*Targets!$B$6)</f>
        <v/>
      </c>
      <c r="G104" s="19" t="str">
        <f aca="false">IF(A104="","",SUMIFS('Sales Daily KPIs'!$D:$D,'Sales Daily KPIs'!$B:$B,$C104,'Sales Daily KPIs'!$A:$A,"&gt;="&amp;$A104,'Sales Daily KPIs'!$A:$A,"&lt;="&amp;$B104))</f>
        <v/>
      </c>
      <c r="H104" s="19" t="str">
        <f aca="false">IF(A104="","",Targets!$B$3*Targets!$B$6)</f>
        <v/>
      </c>
      <c r="I104" s="19" t="str">
        <f aca="false">IF(A104="","",SUMIFS('Sales Daily KPIs'!$E:$E,'Sales Daily KPIs'!$B:$B,$C104,'Sales Daily KPIs'!$A:$A,"&gt;="&amp;$A104,'Sales Daily KPIs'!$A:$A,"&lt;="&amp;$B104))</f>
        <v/>
      </c>
      <c r="J104" s="19" t="str">
        <f aca="false">IF(A104="","",Targets!$B$4*Targets!$B$6)</f>
        <v/>
      </c>
      <c r="K104" s="16" t="str">
        <f aca="false">IF(A104="","",IFERROR(SUMIFS('Sales Daily KPIs'!$G:$G,'Sales Daily KPIs'!$B:$B,$C104,'Sales Daily KPIs'!$A:$A,"&gt;="&amp;$A104,'Sales Daily KPIs'!$A:$A,"&lt;="&amp;$B104)/SUMIFS('Sales Daily KPIs'!$F:$F,'Sales Daily KPIs'!$B:$B,$C104,'Sales Daily KPIs'!$A:$A,"&gt;="&amp;$A104,'Sales Daily KPIs'!$A:$A,"&lt;="&amp;$B104),""))</f>
        <v/>
      </c>
      <c r="L104" s="19" t="str">
        <f aca="false">IF(A104="","",SUMIFS('Sales Daily KPIs'!$I:$I,'Sales Daily KPIs'!$B:$B,$C104,'Sales Daily KPIs'!$A:$A,"&gt;="&amp;$A104,'Sales Daily KPIs'!$A:$A,"&lt;="&amp;$B104))</f>
        <v/>
      </c>
      <c r="M104" s="19" t="str">
        <f aca="false">IF(A104="","",Targets!$B$5)</f>
        <v/>
      </c>
      <c r="N104" s="14"/>
    </row>
    <row r="105" customFormat="false" ht="15" hidden="false" customHeight="false" outlineLevel="0" collapsed="false">
      <c r="A105" s="13"/>
      <c r="B105" s="18" t="str">
        <f aca="false">IF(A105="","",A105+6)</f>
        <v/>
      </c>
      <c r="C105" s="14"/>
      <c r="D105" s="19" t="str">
        <f aca="false">IF(A105="","",COUNTIFS('Sales Daily KPIs'!$B:$B,$C105,'Sales Daily KPIs'!$A:$A,"&gt;="&amp;$A105,'Sales Daily KPIs'!$A:$A,"&lt;="&amp;$B105,'Sales Daily KPIs'!$C:$C,"&lt;&gt;"))</f>
        <v/>
      </c>
      <c r="E105" s="19" t="str">
        <f aca="false">IF(A105="","",SUMIFS('Sales Daily KPIs'!$C:$C,'Sales Daily KPIs'!$B:$B,$C105,'Sales Daily KPIs'!$A:$A,"&gt;="&amp;$A105,'Sales Daily KPIs'!$A:$A,"&lt;="&amp;$B105))</f>
        <v/>
      </c>
      <c r="F105" s="19" t="str">
        <f aca="false">IF(A105="","",Targets!$B$2*Targets!$B$6)</f>
        <v/>
      </c>
      <c r="G105" s="19" t="str">
        <f aca="false">IF(A105="","",SUMIFS('Sales Daily KPIs'!$D:$D,'Sales Daily KPIs'!$B:$B,$C105,'Sales Daily KPIs'!$A:$A,"&gt;="&amp;$A105,'Sales Daily KPIs'!$A:$A,"&lt;="&amp;$B105))</f>
        <v/>
      </c>
      <c r="H105" s="19" t="str">
        <f aca="false">IF(A105="","",Targets!$B$3*Targets!$B$6)</f>
        <v/>
      </c>
      <c r="I105" s="19" t="str">
        <f aca="false">IF(A105="","",SUMIFS('Sales Daily KPIs'!$E:$E,'Sales Daily KPIs'!$B:$B,$C105,'Sales Daily KPIs'!$A:$A,"&gt;="&amp;$A105,'Sales Daily KPIs'!$A:$A,"&lt;="&amp;$B105))</f>
        <v/>
      </c>
      <c r="J105" s="19" t="str">
        <f aca="false">IF(A105="","",Targets!$B$4*Targets!$B$6)</f>
        <v/>
      </c>
      <c r="K105" s="16" t="str">
        <f aca="false">IF(A105="","",IFERROR(SUMIFS('Sales Daily KPIs'!$G:$G,'Sales Daily KPIs'!$B:$B,$C105,'Sales Daily KPIs'!$A:$A,"&gt;="&amp;$A105,'Sales Daily KPIs'!$A:$A,"&lt;="&amp;$B105)/SUMIFS('Sales Daily KPIs'!$F:$F,'Sales Daily KPIs'!$B:$B,$C105,'Sales Daily KPIs'!$A:$A,"&gt;="&amp;$A105,'Sales Daily KPIs'!$A:$A,"&lt;="&amp;$B105),""))</f>
        <v/>
      </c>
      <c r="L105" s="19" t="str">
        <f aca="false">IF(A105="","",SUMIFS('Sales Daily KPIs'!$I:$I,'Sales Daily KPIs'!$B:$B,$C105,'Sales Daily KPIs'!$A:$A,"&gt;="&amp;$A105,'Sales Daily KPIs'!$A:$A,"&lt;="&amp;$B105))</f>
        <v/>
      </c>
      <c r="M105" s="19" t="str">
        <f aca="false">IF(A105="","",Targets!$B$5)</f>
        <v/>
      </c>
      <c r="N105" s="14"/>
    </row>
    <row r="106" customFormat="false" ht="15" hidden="false" customHeight="false" outlineLevel="0" collapsed="false">
      <c r="A106" s="13"/>
      <c r="B106" s="18" t="str">
        <f aca="false">IF(A106="","",A106+6)</f>
        <v/>
      </c>
      <c r="C106" s="14"/>
      <c r="D106" s="19" t="str">
        <f aca="false">IF(A106="","",COUNTIFS('Sales Daily KPIs'!$B:$B,$C106,'Sales Daily KPIs'!$A:$A,"&gt;="&amp;$A106,'Sales Daily KPIs'!$A:$A,"&lt;="&amp;$B106,'Sales Daily KPIs'!$C:$C,"&lt;&gt;"))</f>
        <v/>
      </c>
      <c r="E106" s="19" t="str">
        <f aca="false">IF(A106="","",SUMIFS('Sales Daily KPIs'!$C:$C,'Sales Daily KPIs'!$B:$B,$C106,'Sales Daily KPIs'!$A:$A,"&gt;="&amp;$A106,'Sales Daily KPIs'!$A:$A,"&lt;="&amp;$B106))</f>
        <v/>
      </c>
      <c r="F106" s="19" t="str">
        <f aca="false">IF(A106="","",Targets!$B$2*Targets!$B$6)</f>
        <v/>
      </c>
      <c r="G106" s="19" t="str">
        <f aca="false">IF(A106="","",SUMIFS('Sales Daily KPIs'!$D:$D,'Sales Daily KPIs'!$B:$B,$C106,'Sales Daily KPIs'!$A:$A,"&gt;="&amp;$A106,'Sales Daily KPIs'!$A:$A,"&lt;="&amp;$B106))</f>
        <v/>
      </c>
      <c r="H106" s="19" t="str">
        <f aca="false">IF(A106="","",Targets!$B$3*Targets!$B$6)</f>
        <v/>
      </c>
      <c r="I106" s="19" t="str">
        <f aca="false">IF(A106="","",SUMIFS('Sales Daily KPIs'!$E:$E,'Sales Daily KPIs'!$B:$B,$C106,'Sales Daily KPIs'!$A:$A,"&gt;="&amp;$A106,'Sales Daily KPIs'!$A:$A,"&lt;="&amp;$B106))</f>
        <v/>
      </c>
      <c r="J106" s="19" t="str">
        <f aca="false">IF(A106="","",Targets!$B$4*Targets!$B$6)</f>
        <v/>
      </c>
      <c r="K106" s="16" t="str">
        <f aca="false">IF(A106="","",IFERROR(SUMIFS('Sales Daily KPIs'!$G:$G,'Sales Daily KPIs'!$B:$B,$C106,'Sales Daily KPIs'!$A:$A,"&gt;="&amp;$A106,'Sales Daily KPIs'!$A:$A,"&lt;="&amp;$B106)/SUMIFS('Sales Daily KPIs'!$F:$F,'Sales Daily KPIs'!$B:$B,$C106,'Sales Daily KPIs'!$A:$A,"&gt;="&amp;$A106,'Sales Daily KPIs'!$A:$A,"&lt;="&amp;$B106),""))</f>
        <v/>
      </c>
      <c r="L106" s="19" t="str">
        <f aca="false">IF(A106="","",SUMIFS('Sales Daily KPIs'!$I:$I,'Sales Daily KPIs'!$B:$B,$C106,'Sales Daily KPIs'!$A:$A,"&gt;="&amp;$A106,'Sales Daily KPIs'!$A:$A,"&lt;="&amp;$B106))</f>
        <v/>
      </c>
      <c r="M106" s="19" t="str">
        <f aca="false">IF(A106="","",Targets!$B$5)</f>
        <v/>
      </c>
      <c r="N106" s="14"/>
    </row>
    <row r="107" customFormat="false" ht="15" hidden="false" customHeight="false" outlineLevel="0" collapsed="false">
      <c r="A107" s="13"/>
      <c r="B107" s="18" t="str">
        <f aca="false">IF(A107="","",A107+6)</f>
        <v/>
      </c>
      <c r="C107" s="14"/>
      <c r="D107" s="19" t="str">
        <f aca="false">IF(A107="","",COUNTIFS('Sales Daily KPIs'!$B:$B,$C107,'Sales Daily KPIs'!$A:$A,"&gt;="&amp;$A107,'Sales Daily KPIs'!$A:$A,"&lt;="&amp;$B107,'Sales Daily KPIs'!$C:$C,"&lt;&gt;"))</f>
        <v/>
      </c>
      <c r="E107" s="19" t="str">
        <f aca="false">IF(A107="","",SUMIFS('Sales Daily KPIs'!$C:$C,'Sales Daily KPIs'!$B:$B,$C107,'Sales Daily KPIs'!$A:$A,"&gt;="&amp;$A107,'Sales Daily KPIs'!$A:$A,"&lt;="&amp;$B107))</f>
        <v/>
      </c>
      <c r="F107" s="19" t="str">
        <f aca="false">IF(A107="","",Targets!$B$2*Targets!$B$6)</f>
        <v/>
      </c>
      <c r="G107" s="19" t="str">
        <f aca="false">IF(A107="","",SUMIFS('Sales Daily KPIs'!$D:$D,'Sales Daily KPIs'!$B:$B,$C107,'Sales Daily KPIs'!$A:$A,"&gt;="&amp;$A107,'Sales Daily KPIs'!$A:$A,"&lt;="&amp;$B107))</f>
        <v/>
      </c>
      <c r="H107" s="19" t="str">
        <f aca="false">IF(A107="","",Targets!$B$3*Targets!$B$6)</f>
        <v/>
      </c>
      <c r="I107" s="19" t="str">
        <f aca="false">IF(A107="","",SUMIFS('Sales Daily KPIs'!$E:$E,'Sales Daily KPIs'!$B:$B,$C107,'Sales Daily KPIs'!$A:$A,"&gt;="&amp;$A107,'Sales Daily KPIs'!$A:$A,"&lt;="&amp;$B107))</f>
        <v/>
      </c>
      <c r="J107" s="19" t="str">
        <f aca="false">IF(A107="","",Targets!$B$4*Targets!$B$6)</f>
        <v/>
      </c>
      <c r="K107" s="16" t="str">
        <f aca="false">IF(A107="","",IFERROR(SUMIFS('Sales Daily KPIs'!$G:$G,'Sales Daily KPIs'!$B:$B,$C107,'Sales Daily KPIs'!$A:$A,"&gt;="&amp;$A107,'Sales Daily KPIs'!$A:$A,"&lt;="&amp;$B107)/SUMIFS('Sales Daily KPIs'!$F:$F,'Sales Daily KPIs'!$B:$B,$C107,'Sales Daily KPIs'!$A:$A,"&gt;="&amp;$A107,'Sales Daily KPIs'!$A:$A,"&lt;="&amp;$B107),""))</f>
        <v/>
      </c>
      <c r="L107" s="19" t="str">
        <f aca="false">IF(A107="","",SUMIFS('Sales Daily KPIs'!$I:$I,'Sales Daily KPIs'!$B:$B,$C107,'Sales Daily KPIs'!$A:$A,"&gt;="&amp;$A107,'Sales Daily KPIs'!$A:$A,"&lt;="&amp;$B107))</f>
        <v/>
      </c>
      <c r="M107" s="19" t="str">
        <f aca="false">IF(A107="","",Targets!$B$5)</f>
        <v/>
      </c>
      <c r="N107" s="14"/>
    </row>
    <row r="108" customFormat="false" ht="15" hidden="false" customHeight="false" outlineLevel="0" collapsed="false">
      <c r="A108" s="13"/>
      <c r="B108" s="18" t="str">
        <f aca="false">IF(A108="","",A108+6)</f>
        <v/>
      </c>
      <c r="C108" s="14"/>
      <c r="D108" s="19" t="str">
        <f aca="false">IF(A108="","",COUNTIFS('Sales Daily KPIs'!$B:$B,$C108,'Sales Daily KPIs'!$A:$A,"&gt;="&amp;$A108,'Sales Daily KPIs'!$A:$A,"&lt;="&amp;$B108,'Sales Daily KPIs'!$C:$C,"&lt;&gt;"))</f>
        <v/>
      </c>
      <c r="E108" s="19" t="str">
        <f aca="false">IF(A108="","",SUMIFS('Sales Daily KPIs'!$C:$C,'Sales Daily KPIs'!$B:$B,$C108,'Sales Daily KPIs'!$A:$A,"&gt;="&amp;$A108,'Sales Daily KPIs'!$A:$A,"&lt;="&amp;$B108))</f>
        <v/>
      </c>
      <c r="F108" s="19" t="str">
        <f aca="false">IF(A108="","",Targets!$B$2*Targets!$B$6)</f>
        <v/>
      </c>
      <c r="G108" s="19" t="str">
        <f aca="false">IF(A108="","",SUMIFS('Sales Daily KPIs'!$D:$D,'Sales Daily KPIs'!$B:$B,$C108,'Sales Daily KPIs'!$A:$A,"&gt;="&amp;$A108,'Sales Daily KPIs'!$A:$A,"&lt;="&amp;$B108))</f>
        <v/>
      </c>
      <c r="H108" s="19" t="str">
        <f aca="false">IF(A108="","",Targets!$B$3*Targets!$B$6)</f>
        <v/>
      </c>
      <c r="I108" s="19" t="str">
        <f aca="false">IF(A108="","",SUMIFS('Sales Daily KPIs'!$E:$E,'Sales Daily KPIs'!$B:$B,$C108,'Sales Daily KPIs'!$A:$A,"&gt;="&amp;$A108,'Sales Daily KPIs'!$A:$A,"&lt;="&amp;$B108))</f>
        <v/>
      </c>
      <c r="J108" s="19" t="str">
        <f aca="false">IF(A108="","",Targets!$B$4*Targets!$B$6)</f>
        <v/>
      </c>
      <c r="K108" s="16" t="str">
        <f aca="false">IF(A108="","",IFERROR(SUMIFS('Sales Daily KPIs'!$G:$G,'Sales Daily KPIs'!$B:$B,$C108,'Sales Daily KPIs'!$A:$A,"&gt;="&amp;$A108,'Sales Daily KPIs'!$A:$A,"&lt;="&amp;$B108)/SUMIFS('Sales Daily KPIs'!$F:$F,'Sales Daily KPIs'!$B:$B,$C108,'Sales Daily KPIs'!$A:$A,"&gt;="&amp;$A108,'Sales Daily KPIs'!$A:$A,"&lt;="&amp;$B108),""))</f>
        <v/>
      </c>
      <c r="L108" s="19" t="str">
        <f aca="false">IF(A108="","",SUMIFS('Sales Daily KPIs'!$I:$I,'Sales Daily KPIs'!$B:$B,$C108,'Sales Daily KPIs'!$A:$A,"&gt;="&amp;$A108,'Sales Daily KPIs'!$A:$A,"&lt;="&amp;$B108))</f>
        <v/>
      </c>
      <c r="M108" s="19" t="str">
        <f aca="false">IF(A108="","",Targets!$B$5)</f>
        <v/>
      </c>
      <c r="N108" s="14"/>
    </row>
    <row r="109" customFormat="false" ht="15" hidden="false" customHeight="false" outlineLevel="0" collapsed="false">
      <c r="A109" s="13"/>
      <c r="B109" s="18" t="str">
        <f aca="false">IF(A109="","",A109+6)</f>
        <v/>
      </c>
      <c r="C109" s="14"/>
      <c r="D109" s="19" t="str">
        <f aca="false">IF(A109="","",COUNTIFS('Sales Daily KPIs'!$B:$B,$C109,'Sales Daily KPIs'!$A:$A,"&gt;="&amp;$A109,'Sales Daily KPIs'!$A:$A,"&lt;="&amp;$B109,'Sales Daily KPIs'!$C:$C,"&lt;&gt;"))</f>
        <v/>
      </c>
      <c r="E109" s="19" t="str">
        <f aca="false">IF(A109="","",SUMIFS('Sales Daily KPIs'!$C:$C,'Sales Daily KPIs'!$B:$B,$C109,'Sales Daily KPIs'!$A:$A,"&gt;="&amp;$A109,'Sales Daily KPIs'!$A:$A,"&lt;="&amp;$B109))</f>
        <v/>
      </c>
      <c r="F109" s="19" t="str">
        <f aca="false">IF(A109="","",Targets!$B$2*Targets!$B$6)</f>
        <v/>
      </c>
      <c r="G109" s="19" t="str">
        <f aca="false">IF(A109="","",SUMIFS('Sales Daily KPIs'!$D:$D,'Sales Daily KPIs'!$B:$B,$C109,'Sales Daily KPIs'!$A:$A,"&gt;="&amp;$A109,'Sales Daily KPIs'!$A:$A,"&lt;="&amp;$B109))</f>
        <v/>
      </c>
      <c r="H109" s="19" t="str">
        <f aca="false">IF(A109="","",Targets!$B$3*Targets!$B$6)</f>
        <v/>
      </c>
      <c r="I109" s="19" t="str">
        <f aca="false">IF(A109="","",SUMIFS('Sales Daily KPIs'!$E:$E,'Sales Daily KPIs'!$B:$B,$C109,'Sales Daily KPIs'!$A:$A,"&gt;="&amp;$A109,'Sales Daily KPIs'!$A:$A,"&lt;="&amp;$B109))</f>
        <v/>
      </c>
      <c r="J109" s="19" t="str">
        <f aca="false">IF(A109="","",Targets!$B$4*Targets!$B$6)</f>
        <v/>
      </c>
      <c r="K109" s="16" t="str">
        <f aca="false">IF(A109="","",IFERROR(SUMIFS('Sales Daily KPIs'!$G:$G,'Sales Daily KPIs'!$B:$B,$C109,'Sales Daily KPIs'!$A:$A,"&gt;="&amp;$A109,'Sales Daily KPIs'!$A:$A,"&lt;="&amp;$B109)/SUMIFS('Sales Daily KPIs'!$F:$F,'Sales Daily KPIs'!$B:$B,$C109,'Sales Daily KPIs'!$A:$A,"&gt;="&amp;$A109,'Sales Daily KPIs'!$A:$A,"&lt;="&amp;$B109),""))</f>
        <v/>
      </c>
      <c r="L109" s="19" t="str">
        <f aca="false">IF(A109="","",SUMIFS('Sales Daily KPIs'!$I:$I,'Sales Daily KPIs'!$B:$B,$C109,'Sales Daily KPIs'!$A:$A,"&gt;="&amp;$A109,'Sales Daily KPIs'!$A:$A,"&lt;="&amp;$B109))</f>
        <v/>
      </c>
      <c r="M109" s="19" t="str">
        <f aca="false">IF(A109="","",Targets!$B$5)</f>
        <v/>
      </c>
      <c r="N109" s="14"/>
    </row>
    <row r="110" customFormat="false" ht="15" hidden="false" customHeight="false" outlineLevel="0" collapsed="false">
      <c r="A110" s="13"/>
      <c r="B110" s="18" t="str">
        <f aca="false">IF(A110="","",A110+6)</f>
        <v/>
      </c>
      <c r="C110" s="14"/>
      <c r="D110" s="19" t="str">
        <f aca="false">IF(A110="","",COUNTIFS('Sales Daily KPIs'!$B:$B,$C110,'Sales Daily KPIs'!$A:$A,"&gt;="&amp;$A110,'Sales Daily KPIs'!$A:$A,"&lt;="&amp;$B110,'Sales Daily KPIs'!$C:$C,"&lt;&gt;"))</f>
        <v/>
      </c>
      <c r="E110" s="19" t="str">
        <f aca="false">IF(A110="","",SUMIFS('Sales Daily KPIs'!$C:$C,'Sales Daily KPIs'!$B:$B,$C110,'Sales Daily KPIs'!$A:$A,"&gt;="&amp;$A110,'Sales Daily KPIs'!$A:$A,"&lt;="&amp;$B110))</f>
        <v/>
      </c>
      <c r="F110" s="19" t="str">
        <f aca="false">IF(A110="","",Targets!$B$2*Targets!$B$6)</f>
        <v/>
      </c>
      <c r="G110" s="19" t="str">
        <f aca="false">IF(A110="","",SUMIFS('Sales Daily KPIs'!$D:$D,'Sales Daily KPIs'!$B:$B,$C110,'Sales Daily KPIs'!$A:$A,"&gt;="&amp;$A110,'Sales Daily KPIs'!$A:$A,"&lt;="&amp;$B110))</f>
        <v/>
      </c>
      <c r="H110" s="19" t="str">
        <f aca="false">IF(A110="","",Targets!$B$3*Targets!$B$6)</f>
        <v/>
      </c>
      <c r="I110" s="19" t="str">
        <f aca="false">IF(A110="","",SUMIFS('Sales Daily KPIs'!$E:$E,'Sales Daily KPIs'!$B:$B,$C110,'Sales Daily KPIs'!$A:$A,"&gt;="&amp;$A110,'Sales Daily KPIs'!$A:$A,"&lt;="&amp;$B110))</f>
        <v/>
      </c>
      <c r="J110" s="19" t="str">
        <f aca="false">IF(A110="","",Targets!$B$4*Targets!$B$6)</f>
        <v/>
      </c>
      <c r="K110" s="16" t="str">
        <f aca="false">IF(A110="","",IFERROR(SUMIFS('Sales Daily KPIs'!$G:$G,'Sales Daily KPIs'!$B:$B,$C110,'Sales Daily KPIs'!$A:$A,"&gt;="&amp;$A110,'Sales Daily KPIs'!$A:$A,"&lt;="&amp;$B110)/SUMIFS('Sales Daily KPIs'!$F:$F,'Sales Daily KPIs'!$B:$B,$C110,'Sales Daily KPIs'!$A:$A,"&gt;="&amp;$A110,'Sales Daily KPIs'!$A:$A,"&lt;="&amp;$B110),""))</f>
        <v/>
      </c>
      <c r="L110" s="19" t="str">
        <f aca="false">IF(A110="","",SUMIFS('Sales Daily KPIs'!$I:$I,'Sales Daily KPIs'!$B:$B,$C110,'Sales Daily KPIs'!$A:$A,"&gt;="&amp;$A110,'Sales Daily KPIs'!$A:$A,"&lt;="&amp;$B110))</f>
        <v/>
      </c>
      <c r="M110" s="19" t="str">
        <f aca="false">IF(A110="","",Targets!$B$5)</f>
        <v/>
      </c>
      <c r="N110" s="14"/>
    </row>
    <row r="111" customFormat="false" ht="15" hidden="false" customHeight="false" outlineLevel="0" collapsed="false">
      <c r="A111" s="13"/>
      <c r="B111" s="18" t="str">
        <f aca="false">IF(A111="","",A111+6)</f>
        <v/>
      </c>
      <c r="C111" s="14"/>
      <c r="D111" s="19" t="str">
        <f aca="false">IF(A111="","",COUNTIFS('Sales Daily KPIs'!$B:$B,$C111,'Sales Daily KPIs'!$A:$A,"&gt;="&amp;$A111,'Sales Daily KPIs'!$A:$A,"&lt;="&amp;$B111,'Sales Daily KPIs'!$C:$C,"&lt;&gt;"))</f>
        <v/>
      </c>
      <c r="E111" s="19" t="str">
        <f aca="false">IF(A111="","",SUMIFS('Sales Daily KPIs'!$C:$C,'Sales Daily KPIs'!$B:$B,$C111,'Sales Daily KPIs'!$A:$A,"&gt;="&amp;$A111,'Sales Daily KPIs'!$A:$A,"&lt;="&amp;$B111))</f>
        <v/>
      </c>
      <c r="F111" s="19" t="str">
        <f aca="false">IF(A111="","",Targets!$B$2*Targets!$B$6)</f>
        <v/>
      </c>
      <c r="G111" s="19" t="str">
        <f aca="false">IF(A111="","",SUMIFS('Sales Daily KPIs'!$D:$D,'Sales Daily KPIs'!$B:$B,$C111,'Sales Daily KPIs'!$A:$A,"&gt;="&amp;$A111,'Sales Daily KPIs'!$A:$A,"&lt;="&amp;$B111))</f>
        <v/>
      </c>
      <c r="H111" s="19" t="str">
        <f aca="false">IF(A111="","",Targets!$B$3*Targets!$B$6)</f>
        <v/>
      </c>
      <c r="I111" s="19" t="str">
        <f aca="false">IF(A111="","",SUMIFS('Sales Daily KPIs'!$E:$E,'Sales Daily KPIs'!$B:$B,$C111,'Sales Daily KPIs'!$A:$A,"&gt;="&amp;$A111,'Sales Daily KPIs'!$A:$A,"&lt;="&amp;$B111))</f>
        <v/>
      </c>
      <c r="J111" s="19" t="str">
        <f aca="false">IF(A111="","",Targets!$B$4*Targets!$B$6)</f>
        <v/>
      </c>
      <c r="K111" s="16" t="str">
        <f aca="false">IF(A111="","",IFERROR(SUMIFS('Sales Daily KPIs'!$G:$G,'Sales Daily KPIs'!$B:$B,$C111,'Sales Daily KPIs'!$A:$A,"&gt;="&amp;$A111,'Sales Daily KPIs'!$A:$A,"&lt;="&amp;$B111)/SUMIFS('Sales Daily KPIs'!$F:$F,'Sales Daily KPIs'!$B:$B,$C111,'Sales Daily KPIs'!$A:$A,"&gt;="&amp;$A111,'Sales Daily KPIs'!$A:$A,"&lt;="&amp;$B111),""))</f>
        <v/>
      </c>
      <c r="L111" s="19" t="str">
        <f aca="false">IF(A111="","",SUMIFS('Sales Daily KPIs'!$I:$I,'Sales Daily KPIs'!$B:$B,$C111,'Sales Daily KPIs'!$A:$A,"&gt;="&amp;$A111,'Sales Daily KPIs'!$A:$A,"&lt;="&amp;$B111))</f>
        <v/>
      </c>
      <c r="M111" s="19" t="str">
        <f aca="false">IF(A111="","",Targets!$B$5)</f>
        <v/>
      </c>
      <c r="N111" s="14"/>
    </row>
    <row r="112" customFormat="false" ht="15" hidden="false" customHeight="false" outlineLevel="0" collapsed="false">
      <c r="A112" s="13"/>
      <c r="B112" s="18" t="str">
        <f aca="false">IF(A112="","",A112+6)</f>
        <v/>
      </c>
      <c r="C112" s="14"/>
      <c r="D112" s="19" t="str">
        <f aca="false">IF(A112="","",COUNTIFS('Sales Daily KPIs'!$B:$B,$C112,'Sales Daily KPIs'!$A:$A,"&gt;="&amp;$A112,'Sales Daily KPIs'!$A:$A,"&lt;="&amp;$B112,'Sales Daily KPIs'!$C:$C,"&lt;&gt;"))</f>
        <v/>
      </c>
      <c r="E112" s="19" t="str">
        <f aca="false">IF(A112="","",SUMIFS('Sales Daily KPIs'!$C:$C,'Sales Daily KPIs'!$B:$B,$C112,'Sales Daily KPIs'!$A:$A,"&gt;="&amp;$A112,'Sales Daily KPIs'!$A:$A,"&lt;="&amp;$B112))</f>
        <v/>
      </c>
      <c r="F112" s="19" t="str">
        <f aca="false">IF(A112="","",Targets!$B$2*Targets!$B$6)</f>
        <v/>
      </c>
      <c r="G112" s="19" t="str">
        <f aca="false">IF(A112="","",SUMIFS('Sales Daily KPIs'!$D:$D,'Sales Daily KPIs'!$B:$B,$C112,'Sales Daily KPIs'!$A:$A,"&gt;="&amp;$A112,'Sales Daily KPIs'!$A:$A,"&lt;="&amp;$B112))</f>
        <v/>
      </c>
      <c r="H112" s="19" t="str">
        <f aca="false">IF(A112="","",Targets!$B$3*Targets!$B$6)</f>
        <v/>
      </c>
      <c r="I112" s="19" t="str">
        <f aca="false">IF(A112="","",SUMIFS('Sales Daily KPIs'!$E:$E,'Sales Daily KPIs'!$B:$B,$C112,'Sales Daily KPIs'!$A:$A,"&gt;="&amp;$A112,'Sales Daily KPIs'!$A:$A,"&lt;="&amp;$B112))</f>
        <v/>
      </c>
      <c r="J112" s="19" t="str">
        <f aca="false">IF(A112="","",Targets!$B$4*Targets!$B$6)</f>
        <v/>
      </c>
      <c r="K112" s="16" t="str">
        <f aca="false">IF(A112="","",IFERROR(SUMIFS('Sales Daily KPIs'!$G:$G,'Sales Daily KPIs'!$B:$B,$C112,'Sales Daily KPIs'!$A:$A,"&gt;="&amp;$A112,'Sales Daily KPIs'!$A:$A,"&lt;="&amp;$B112)/SUMIFS('Sales Daily KPIs'!$F:$F,'Sales Daily KPIs'!$B:$B,$C112,'Sales Daily KPIs'!$A:$A,"&gt;="&amp;$A112,'Sales Daily KPIs'!$A:$A,"&lt;="&amp;$B112),""))</f>
        <v/>
      </c>
      <c r="L112" s="19" t="str">
        <f aca="false">IF(A112="","",SUMIFS('Sales Daily KPIs'!$I:$I,'Sales Daily KPIs'!$B:$B,$C112,'Sales Daily KPIs'!$A:$A,"&gt;="&amp;$A112,'Sales Daily KPIs'!$A:$A,"&lt;="&amp;$B112))</f>
        <v/>
      </c>
      <c r="M112" s="19" t="str">
        <f aca="false">IF(A112="","",Targets!$B$5)</f>
        <v/>
      </c>
      <c r="N112" s="14"/>
    </row>
    <row r="113" customFormat="false" ht="15" hidden="false" customHeight="false" outlineLevel="0" collapsed="false">
      <c r="A113" s="13"/>
      <c r="B113" s="18" t="str">
        <f aca="false">IF(A113="","",A113+6)</f>
        <v/>
      </c>
      <c r="C113" s="14"/>
      <c r="D113" s="19" t="str">
        <f aca="false">IF(A113="","",COUNTIFS('Sales Daily KPIs'!$B:$B,$C113,'Sales Daily KPIs'!$A:$A,"&gt;="&amp;$A113,'Sales Daily KPIs'!$A:$A,"&lt;="&amp;$B113,'Sales Daily KPIs'!$C:$C,"&lt;&gt;"))</f>
        <v/>
      </c>
      <c r="E113" s="19" t="str">
        <f aca="false">IF(A113="","",SUMIFS('Sales Daily KPIs'!$C:$C,'Sales Daily KPIs'!$B:$B,$C113,'Sales Daily KPIs'!$A:$A,"&gt;="&amp;$A113,'Sales Daily KPIs'!$A:$A,"&lt;="&amp;$B113))</f>
        <v/>
      </c>
      <c r="F113" s="19" t="str">
        <f aca="false">IF(A113="","",Targets!$B$2*Targets!$B$6)</f>
        <v/>
      </c>
      <c r="G113" s="19" t="str">
        <f aca="false">IF(A113="","",SUMIFS('Sales Daily KPIs'!$D:$D,'Sales Daily KPIs'!$B:$B,$C113,'Sales Daily KPIs'!$A:$A,"&gt;="&amp;$A113,'Sales Daily KPIs'!$A:$A,"&lt;="&amp;$B113))</f>
        <v/>
      </c>
      <c r="H113" s="19" t="str">
        <f aca="false">IF(A113="","",Targets!$B$3*Targets!$B$6)</f>
        <v/>
      </c>
      <c r="I113" s="19" t="str">
        <f aca="false">IF(A113="","",SUMIFS('Sales Daily KPIs'!$E:$E,'Sales Daily KPIs'!$B:$B,$C113,'Sales Daily KPIs'!$A:$A,"&gt;="&amp;$A113,'Sales Daily KPIs'!$A:$A,"&lt;="&amp;$B113))</f>
        <v/>
      </c>
      <c r="J113" s="19" t="str">
        <f aca="false">IF(A113="","",Targets!$B$4*Targets!$B$6)</f>
        <v/>
      </c>
      <c r="K113" s="16" t="str">
        <f aca="false">IF(A113="","",IFERROR(SUMIFS('Sales Daily KPIs'!$G:$G,'Sales Daily KPIs'!$B:$B,$C113,'Sales Daily KPIs'!$A:$A,"&gt;="&amp;$A113,'Sales Daily KPIs'!$A:$A,"&lt;="&amp;$B113)/SUMIFS('Sales Daily KPIs'!$F:$F,'Sales Daily KPIs'!$B:$B,$C113,'Sales Daily KPIs'!$A:$A,"&gt;="&amp;$A113,'Sales Daily KPIs'!$A:$A,"&lt;="&amp;$B113),""))</f>
        <v/>
      </c>
      <c r="L113" s="19" t="str">
        <f aca="false">IF(A113="","",SUMIFS('Sales Daily KPIs'!$I:$I,'Sales Daily KPIs'!$B:$B,$C113,'Sales Daily KPIs'!$A:$A,"&gt;="&amp;$A113,'Sales Daily KPIs'!$A:$A,"&lt;="&amp;$B113))</f>
        <v/>
      </c>
      <c r="M113" s="19" t="str">
        <f aca="false">IF(A113="","",Targets!$B$5)</f>
        <v/>
      </c>
      <c r="N113" s="14"/>
    </row>
    <row r="114" customFormat="false" ht="15" hidden="false" customHeight="false" outlineLevel="0" collapsed="false">
      <c r="A114" s="13"/>
      <c r="B114" s="18" t="str">
        <f aca="false">IF(A114="","",A114+6)</f>
        <v/>
      </c>
      <c r="C114" s="14"/>
      <c r="D114" s="19" t="str">
        <f aca="false">IF(A114="","",COUNTIFS('Sales Daily KPIs'!$B:$B,$C114,'Sales Daily KPIs'!$A:$A,"&gt;="&amp;$A114,'Sales Daily KPIs'!$A:$A,"&lt;="&amp;$B114,'Sales Daily KPIs'!$C:$C,"&lt;&gt;"))</f>
        <v/>
      </c>
      <c r="E114" s="19" t="str">
        <f aca="false">IF(A114="","",SUMIFS('Sales Daily KPIs'!$C:$C,'Sales Daily KPIs'!$B:$B,$C114,'Sales Daily KPIs'!$A:$A,"&gt;="&amp;$A114,'Sales Daily KPIs'!$A:$A,"&lt;="&amp;$B114))</f>
        <v/>
      </c>
      <c r="F114" s="19" t="str">
        <f aca="false">IF(A114="","",Targets!$B$2*Targets!$B$6)</f>
        <v/>
      </c>
      <c r="G114" s="19" t="str">
        <f aca="false">IF(A114="","",SUMIFS('Sales Daily KPIs'!$D:$D,'Sales Daily KPIs'!$B:$B,$C114,'Sales Daily KPIs'!$A:$A,"&gt;="&amp;$A114,'Sales Daily KPIs'!$A:$A,"&lt;="&amp;$B114))</f>
        <v/>
      </c>
      <c r="H114" s="19" t="str">
        <f aca="false">IF(A114="","",Targets!$B$3*Targets!$B$6)</f>
        <v/>
      </c>
      <c r="I114" s="19" t="str">
        <f aca="false">IF(A114="","",SUMIFS('Sales Daily KPIs'!$E:$E,'Sales Daily KPIs'!$B:$B,$C114,'Sales Daily KPIs'!$A:$A,"&gt;="&amp;$A114,'Sales Daily KPIs'!$A:$A,"&lt;="&amp;$B114))</f>
        <v/>
      </c>
      <c r="J114" s="19" t="str">
        <f aca="false">IF(A114="","",Targets!$B$4*Targets!$B$6)</f>
        <v/>
      </c>
      <c r="K114" s="16" t="str">
        <f aca="false">IF(A114="","",IFERROR(SUMIFS('Sales Daily KPIs'!$G:$G,'Sales Daily KPIs'!$B:$B,$C114,'Sales Daily KPIs'!$A:$A,"&gt;="&amp;$A114,'Sales Daily KPIs'!$A:$A,"&lt;="&amp;$B114)/SUMIFS('Sales Daily KPIs'!$F:$F,'Sales Daily KPIs'!$B:$B,$C114,'Sales Daily KPIs'!$A:$A,"&gt;="&amp;$A114,'Sales Daily KPIs'!$A:$A,"&lt;="&amp;$B114),""))</f>
        <v/>
      </c>
      <c r="L114" s="19" t="str">
        <f aca="false">IF(A114="","",SUMIFS('Sales Daily KPIs'!$I:$I,'Sales Daily KPIs'!$B:$B,$C114,'Sales Daily KPIs'!$A:$A,"&gt;="&amp;$A114,'Sales Daily KPIs'!$A:$A,"&lt;="&amp;$B114))</f>
        <v/>
      </c>
      <c r="M114" s="19" t="str">
        <f aca="false">IF(A114="","",Targets!$B$5)</f>
        <v/>
      </c>
      <c r="N114" s="14"/>
    </row>
    <row r="115" customFormat="false" ht="15" hidden="false" customHeight="false" outlineLevel="0" collapsed="false">
      <c r="A115" s="13"/>
      <c r="B115" s="18" t="str">
        <f aca="false">IF(A115="","",A115+6)</f>
        <v/>
      </c>
      <c r="C115" s="14"/>
      <c r="D115" s="19" t="str">
        <f aca="false">IF(A115="","",COUNTIFS('Sales Daily KPIs'!$B:$B,$C115,'Sales Daily KPIs'!$A:$A,"&gt;="&amp;$A115,'Sales Daily KPIs'!$A:$A,"&lt;="&amp;$B115,'Sales Daily KPIs'!$C:$C,"&lt;&gt;"))</f>
        <v/>
      </c>
      <c r="E115" s="19" t="str">
        <f aca="false">IF(A115="","",SUMIFS('Sales Daily KPIs'!$C:$C,'Sales Daily KPIs'!$B:$B,$C115,'Sales Daily KPIs'!$A:$A,"&gt;="&amp;$A115,'Sales Daily KPIs'!$A:$A,"&lt;="&amp;$B115))</f>
        <v/>
      </c>
      <c r="F115" s="19" t="str">
        <f aca="false">IF(A115="","",Targets!$B$2*Targets!$B$6)</f>
        <v/>
      </c>
      <c r="G115" s="19" t="str">
        <f aca="false">IF(A115="","",SUMIFS('Sales Daily KPIs'!$D:$D,'Sales Daily KPIs'!$B:$B,$C115,'Sales Daily KPIs'!$A:$A,"&gt;="&amp;$A115,'Sales Daily KPIs'!$A:$A,"&lt;="&amp;$B115))</f>
        <v/>
      </c>
      <c r="H115" s="19" t="str">
        <f aca="false">IF(A115="","",Targets!$B$3*Targets!$B$6)</f>
        <v/>
      </c>
      <c r="I115" s="19" t="str">
        <f aca="false">IF(A115="","",SUMIFS('Sales Daily KPIs'!$E:$E,'Sales Daily KPIs'!$B:$B,$C115,'Sales Daily KPIs'!$A:$A,"&gt;="&amp;$A115,'Sales Daily KPIs'!$A:$A,"&lt;="&amp;$B115))</f>
        <v/>
      </c>
      <c r="J115" s="19" t="str">
        <f aca="false">IF(A115="","",Targets!$B$4*Targets!$B$6)</f>
        <v/>
      </c>
      <c r="K115" s="16" t="str">
        <f aca="false">IF(A115="","",IFERROR(SUMIFS('Sales Daily KPIs'!$G:$G,'Sales Daily KPIs'!$B:$B,$C115,'Sales Daily KPIs'!$A:$A,"&gt;="&amp;$A115,'Sales Daily KPIs'!$A:$A,"&lt;="&amp;$B115)/SUMIFS('Sales Daily KPIs'!$F:$F,'Sales Daily KPIs'!$B:$B,$C115,'Sales Daily KPIs'!$A:$A,"&gt;="&amp;$A115,'Sales Daily KPIs'!$A:$A,"&lt;="&amp;$B115),""))</f>
        <v/>
      </c>
      <c r="L115" s="19" t="str">
        <f aca="false">IF(A115="","",SUMIFS('Sales Daily KPIs'!$I:$I,'Sales Daily KPIs'!$B:$B,$C115,'Sales Daily KPIs'!$A:$A,"&gt;="&amp;$A115,'Sales Daily KPIs'!$A:$A,"&lt;="&amp;$B115))</f>
        <v/>
      </c>
      <c r="M115" s="19" t="str">
        <f aca="false">IF(A115="","",Targets!$B$5)</f>
        <v/>
      </c>
      <c r="N115" s="14"/>
    </row>
    <row r="116" customFormat="false" ht="15" hidden="false" customHeight="false" outlineLevel="0" collapsed="false">
      <c r="A116" s="13"/>
      <c r="B116" s="18" t="str">
        <f aca="false">IF(A116="","",A116+6)</f>
        <v/>
      </c>
      <c r="C116" s="14"/>
      <c r="D116" s="19" t="str">
        <f aca="false">IF(A116="","",COUNTIFS('Sales Daily KPIs'!$B:$B,$C116,'Sales Daily KPIs'!$A:$A,"&gt;="&amp;$A116,'Sales Daily KPIs'!$A:$A,"&lt;="&amp;$B116,'Sales Daily KPIs'!$C:$C,"&lt;&gt;"))</f>
        <v/>
      </c>
      <c r="E116" s="19" t="str">
        <f aca="false">IF(A116="","",SUMIFS('Sales Daily KPIs'!$C:$C,'Sales Daily KPIs'!$B:$B,$C116,'Sales Daily KPIs'!$A:$A,"&gt;="&amp;$A116,'Sales Daily KPIs'!$A:$A,"&lt;="&amp;$B116))</f>
        <v/>
      </c>
      <c r="F116" s="19" t="str">
        <f aca="false">IF(A116="","",Targets!$B$2*Targets!$B$6)</f>
        <v/>
      </c>
      <c r="G116" s="19" t="str">
        <f aca="false">IF(A116="","",SUMIFS('Sales Daily KPIs'!$D:$D,'Sales Daily KPIs'!$B:$B,$C116,'Sales Daily KPIs'!$A:$A,"&gt;="&amp;$A116,'Sales Daily KPIs'!$A:$A,"&lt;="&amp;$B116))</f>
        <v/>
      </c>
      <c r="H116" s="19" t="str">
        <f aca="false">IF(A116="","",Targets!$B$3*Targets!$B$6)</f>
        <v/>
      </c>
      <c r="I116" s="19" t="str">
        <f aca="false">IF(A116="","",SUMIFS('Sales Daily KPIs'!$E:$E,'Sales Daily KPIs'!$B:$B,$C116,'Sales Daily KPIs'!$A:$A,"&gt;="&amp;$A116,'Sales Daily KPIs'!$A:$A,"&lt;="&amp;$B116))</f>
        <v/>
      </c>
      <c r="J116" s="19" t="str">
        <f aca="false">IF(A116="","",Targets!$B$4*Targets!$B$6)</f>
        <v/>
      </c>
      <c r="K116" s="16" t="str">
        <f aca="false">IF(A116="","",IFERROR(SUMIFS('Sales Daily KPIs'!$G:$G,'Sales Daily KPIs'!$B:$B,$C116,'Sales Daily KPIs'!$A:$A,"&gt;="&amp;$A116,'Sales Daily KPIs'!$A:$A,"&lt;="&amp;$B116)/SUMIFS('Sales Daily KPIs'!$F:$F,'Sales Daily KPIs'!$B:$B,$C116,'Sales Daily KPIs'!$A:$A,"&gt;="&amp;$A116,'Sales Daily KPIs'!$A:$A,"&lt;="&amp;$B116),""))</f>
        <v/>
      </c>
      <c r="L116" s="19" t="str">
        <f aca="false">IF(A116="","",SUMIFS('Sales Daily KPIs'!$I:$I,'Sales Daily KPIs'!$B:$B,$C116,'Sales Daily KPIs'!$A:$A,"&gt;="&amp;$A116,'Sales Daily KPIs'!$A:$A,"&lt;="&amp;$B116))</f>
        <v/>
      </c>
      <c r="M116" s="19" t="str">
        <f aca="false">IF(A116="","",Targets!$B$5)</f>
        <v/>
      </c>
      <c r="N116" s="14"/>
    </row>
    <row r="117" customFormat="false" ht="15" hidden="false" customHeight="false" outlineLevel="0" collapsed="false">
      <c r="A117" s="13"/>
      <c r="B117" s="18" t="str">
        <f aca="false">IF(A117="","",A117+6)</f>
        <v/>
      </c>
      <c r="C117" s="14"/>
      <c r="D117" s="19" t="str">
        <f aca="false">IF(A117="","",COUNTIFS('Sales Daily KPIs'!$B:$B,$C117,'Sales Daily KPIs'!$A:$A,"&gt;="&amp;$A117,'Sales Daily KPIs'!$A:$A,"&lt;="&amp;$B117,'Sales Daily KPIs'!$C:$C,"&lt;&gt;"))</f>
        <v/>
      </c>
      <c r="E117" s="19" t="str">
        <f aca="false">IF(A117="","",SUMIFS('Sales Daily KPIs'!$C:$C,'Sales Daily KPIs'!$B:$B,$C117,'Sales Daily KPIs'!$A:$A,"&gt;="&amp;$A117,'Sales Daily KPIs'!$A:$A,"&lt;="&amp;$B117))</f>
        <v/>
      </c>
      <c r="F117" s="19" t="str">
        <f aca="false">IF(A117="","",Targets!$B$2*Targets!$B$6)</f>
        <v/>
      </c>
      <c r="G117" s="19" t="str">
        <f aca="false">IF(A117="","",SUMIFS('Sales Daily KPIs'!$D:$D,'Sales Daily KPIs'!$B:$B,$C117,'Sales Daily KPIs'!$A:$A,"&gt;="&amp;$A117,'Sales Daily KPIs'!$A:$A,"&lt;="&amp;$B117))</f>
        <v/>
      </c>
      <c r="H117" s="19" t="str">
        <f aca="false">IF(A117="","",Targets!$B$3*Targets!$B$6)</f>
        <v/>
      </c>
      <c r="I117" s="19" t="str">
        <f aca="false">IF(A117="","",SUMIFS('Sales Daily KPIs'!$E:$E,'Sales Daily KPIs'!$B:$B,$C117,'Sales Daily KPIs'!$A:$A,"&gt;="&amp;$A117,'Sales Daily KPIs'!$A:$A,"&lt;="&amp;$B117))</f>
        <v/>
      </c>
      <c r="J117" s="19" t="str">
        <f aca="false">IF(A117="","",Targets!$B$4*Targets!$B$6)</f>
        <v/>
      </c>
      <c r="K117" s="16" t="str">
        <f aca="false">IF(A117="","",IFERROR(SUMIFS('Sales Daily KPIs'!$G:$G,'Sales Daily KPIs'!$B:$B,$C117,'Sales Daily KPIs'!$A:$A,"&gt;="&amp;$A117,'Sales Daily KPIs'!$A:$A,"&lt;="&amp;$B117)/SUMIFS('Sales Daily KPIs'!$F:$F,'Sales Daily KPIs'!$B:$B,$C117,'Sales Daily KPIs'!$A:$A,"&gt;="&amp;$A117,'Sales Daily KPIs'!$A:$A,"&lt;="&amp;$B117),""))</f>
        <v/>
      </c>
      <c r="L117" s="19" t="str">
        <f aca="false">IF(A117="","",SUMIFS('Sales Daily KPIs'!$I:$I,'Sales Daily KPIs'!$B:$B,$C117,'Sales Daily KPIs'!$A:$A,"&gt;="&amp;$A117,'Sales Daily KPIs'!$A:$A,"&lt;="&amp;$B117))</f>
        <v/>
      </c>
      <c r="M117" s="19" t="str">
        <f aca="false">IF(A117="","",Targets!$B$5)</f>
        <v/>
      </c>
      <c r="N117" s="14"/>
    </row>
    <row r="118" customFormat="false" ht="15" hidden="false" customHeight="false" outlineLevel="0" collapsed="false">
      <c r="A118" s="13"/>
      <c r="B118" s="18" t="str">
        <f aca="false">IF(A118="","",A118+6)</f>
        <v/>
      </c>
      <c r="C118" s="14"/>
      <c r="D118" s="19" t="str">
        <f aca="false">IF(A118="","",COUNTIFS('Sales Daily KPIs'!$B:$B,$C118,'Sales Daily KPIs'!$A:$A,"&gt;="&amp;$A118,'Sales Daily KPIs'!$A:$A,"&lt;="&amp;$B118,'Sales Daily KPIs'!$C:$C,"&lt;&gt;"))</f>
        <v/>
      </c>
      <c r="E118" s="19" t="str">
        <f aca="false">IF(A118="","",SUMIFS('Sales Daily KPIs'!$C:$C,'Sales Daily KPIs'!$B:$B,$C118,'Sales Daily KPIs'!$A:$A,"&gt;="&amp;$A118,'Sales Daily KPIs'!$A:$A,"&lt;="&amp;$B118))</f>
        <v/>
      </c>
      <c r="F118" s="19" t="str">
        <f aca="false">IF(A118="","",Targets!$B$2*Targets!$B$6)</f>
        <v/>
      </c>
      <c r="G118" s="19" t="str">
        <f aca="false">IF(A118="","",SUMIFS('Sales Daily KPIs'!$D:$D,'Sales Daily KPIs'!$B:$B,$C118,'Sales Daily KPIs'!$A:$A,"&gt;="&amp;$A118,'Sales Daily KPIs'!$A:$A,"&lt;="&amp;$B118))</f>
        <v/>
      </c>
      <c r="H118" s="19" t="str">
        <f aca="false">IF(A118="","",Targets!$B$3*Targets!$B$6)</f>
        <v/>
      </c>
      <c r="I118" s="19" t="str">
        <f aca="false">IF(A118="","",SUMIFS('Sales Daily KPIs'!$E:$E,'Sales Daily KPIs'!$B:$B,$C118,'Sales Daily KPIs'!$A:$A,"&gt;="&amp;$A118,'Sales Daily KPIs'!$A:$A,"&lt;="&amp;$B118))</f>
        <v/>
      </c>
      <c r="J118" s="19" t="str">
        <f aca="false">IF(A118="","",Targets!$B$4*Targets!$B$6)</f>
        <v/>
      </c>
      <c r="K118" s="16" t="str">
        <f aca="false">IF(A118="","",IFERROR(SUMIFS('Sales Daily KPIs'!$G:$G,'Sales Daily KPIs'!$B:$B,$C118,'Sales Daily KPIs'!$A:$A,"&gt;="&amp;$A118,'Sales Daily KPIs'!$A:$A,"&lt;="&amp;$B118)/SUMIFS('Sales Daily KPIs'!$F:$F,'Sales Daily KPIs'!$B:$B,$C118,'Sales Daily KPIs'!$A:$A,"&gt;="&amp;$A118,'Sales Daily KPIs'!$A:$A,"&lt;="&amp;$B118),""))</f>
        <v/>
      </c>
      <c r="L118" s="19" t="str">
        <f aca="false">IF(A118="","",SUMIFS('Sales Daily KPIs'!$I:$I,'Sales Daily KPIs'!$B:$B,$C118,'Sales Daily KPIs'!$A:$A,"&gt;="&amp;$A118,'Sales Daily KPIs'!$A:$A,"&lt;="&amp;$B118))</f>
        <v/>
      </c>
      <c r="M118" s="19" t="str">
        <f aca="false">IF(A118="","",Targets!$B$5)</f>
        <v/>
      </c>
      <c r="N118" s="14"/>
    </row>
    <row r="119" customFormat="false" ht="15" hidden="false" customHeight="false" outlineLevel="0" collapsed="false">
      <c r="A119" s="13"/>
      <c r="B119" s="18" t="str">
        <f aca="false">IF(A119="","",A119+6)</f>
        <v/>
      </c>
      <c r="C119" s="14"/>
      <c r="D119" s="19" t="str">
        <f aca="false">IF(A119="","",COUNTIFS('Sales Daily KPIs'!$B:$B,$C119,'Sales Daily KPIs'!$A:$A,"&gt;="&amp;$A119,'Sales Daily KPIs'!$A:$A,"&lt;="&amp;$B119,'Sales Daily KPIs'!$C:$C,"&lt;&gt;"))</f>
        <v/>
      </c>
      <c r="E119" s="19" t="str">
        <f aca="false">IF(A119="","",SUMIFS('Sales Daily KPIs'!$C:$C,'Sales Daily KPIs'!$B:$B,$C119,'Sales Daily KPIs'!$A:$A,"&gt;="&amp;$A119,'Sales Daily KPIs'!$A:$A,"&lt;="&amp;$B119))</f>
        <v/>
      </c>
      <c r="F119" s="19" t="str">
        <f aca="false">IF(A119="","",Targets!$B$2*Targets!$B$6)</f>
        <v/>
      </c>
      <c r="G119" s="19" t="str">
        <f aca="false">IF(A119="","",SUMIFS('Sales Daily KPIs'!$D:$D,'Sales Daily KPIs'!$B:$B,$C119,'Sales Daily KPIs'!$A:$A,"&gt;="&amp;$A119,'Sales Daily KPIs'!$A:$A,"&lt;="&amp;$B119))</f>
        <v/>
      </c>
      <c r="H119" s="19" t="str">
        <f aca="false">IF(A119="","",Targets!$B$3*Targets!$B$6)</f>
        <v/>
      </c>
      <c r="I119" s="19" t="str">
        <f aca="false">IF(A119="","",SUMIFS('Sales Daily KPIs'!$E:$E,'Sales Daily KPIs'!$B:$B,$C119,'Sales Daily KPIs'!$A:$A,"&gt;="&amp;$A119,'Sales Daily KPIs'!$A:$A,"&lt;="&amp;$B119))</f>
        <v/>
      </c>
      <c r="J119" s="19" t="str">
        <f aca="false">IF(A119="","",Targets!$B$4*Targets!$B$6)</f>
        <v/>
      </c>
      <c r="K119" s="16" t="str">
        <f aca="false">IF(A119="","",IFERROR(SUMIFS('Sales Daily KPIs'!$G:$G,'Sales Daily KPIs'!$B:$B,$C119,'Sales Daily KPIs'!$A:$A,"&gt;="&amp;$A119,'Sales Daily KPIs'!$A:$A,"&lt;="&amp;$B119)/SUMIFS('Sales Daily KPIs'!$F:$F,'Sales Daily KPIs'!$B:$B,$C119,'Sales Daily KPIs'!$A:$A,"&gt;="&amp;$A119,'Sales Daily KPIs'!$A:$A,"&lt;="&amp;$B119),""))</f>
        <v/>
      </c>
      <c r="L119" s="19" t="str">
        <f aca="false">IF(A119="","",SUMIFS('Sales Daily KPIs'!$I:$I,'Sales Daily KPIs'!$B:$B,$C119,'Sales Daily KPIs'!$A:$A,"&gt;="&amp;$A119,'Sales Daily KPIs'!$A:$A,"&lt;="&amp;$B119))</f>
        <v/>
      </c>
      <c r="M119" s="19" t="str">
        <f aca="false">IF(A119="","",Targets!$B$5)</f>
        <v/>
      </c>
      <c r="N119" s="14"/>
    </row>
    <row r="120" customFormat="false" ht="15" hidden="false" customHeight="false" outlineLevel="0" collapsed="false">
      <c r="A120" s="13"/>
      <c r="B120" s="18" t="str">
        <f aca="false">IF(A120="","",A120+6)</f>
        <v/>
      </c>
      <c r="C120" s="14"/>
      <c r="D120" s="19" t="str">
        <f aca="false">IF(A120="","",COUNTIFS('Sales Daily KPIs'!$B:$B,$C120,'Sales Daily KPIs'!$A:$A,"&gt;="&amp;$A120,'Sales Daily KPIs'!$A:$A,"&lt;="&amp;$B120,'Sales Daily KPIs'!$C:$C,"&lt;&gt;"))</f>
        <v/>
      </c>
      <c r="E120" s="19" t="str">
        <f aca="false">IF(A120="","",SUMIFS('Sales Daily KPIs'!$C:$C,'Sales Daily KPIs'!$B:$B,$C120,'Sales Daily KPIs'!$A:$A,"&gt;="&amp;$A120,'Sales Daily KPIs'!$A:$A,"&lt;="&amp;$B120))</f>
        <v/>
      </c>
      <c r="F120" s="19" t="str">
        <f aca="false">IF(A120="","",Targets!$B$2*Targets!$B$6)</f>
        <v/>
      </c>
      <c r="G120" s="19" t="str">
        <f aca="false">IF(A120="","",SUMIFS('Sales Daily KPIs'!$D:$D,'Sales Daily KPIs'!$B:$B,$C120,'Sales Daily KPIs'!$A:$A,"&gt;="&amp;$A120,'Sales Daily KPIs'!$A:$A,"&lt;="&amp;$B120))</f>
        <v/>
      </c>
      <c r="H120" s="19" t="str">
        <f aca="false">IF(A120="","",Targets!$B$3*Targets!$B$6)</f>
        <v/>
      </c>
      <c r="I120" s="19" t="str">
        <f aca="false">IF(A120="","",SUMIFS('Sales Daily KPIs'!$E:$E,'Sales Daily KPIs'!$B:$B,$C120,'Sales Daily KPIs'!$A:$A,"&gt;="&amp;$A120,'Sales Daily KPIs'!$A:$A,"&lt;="&amp;$B120))</f>
        <v/>
      </c>
      <c r="J120" s="19" t="str">
        <f aca="false">IF(A120="","",Targets!$B$4*Targets!$B$6)</f>
        <v/>
      </c>
      <c r="K120" s="16" t="str">
        <f aca="false">IF(A120="","",IFERROR(SUMIFS('Sales Daily KPIs'!$G:$G,'Sales Daily KPIs'!$B:$B,$C120,'Sales Daily KPIs'!$A:$A,"&gt;="&amp;$A120,'Sales Daily KPIs'!$A:$A,"&lt;="&amp;$B120)/SUMIFS('Sales Daily KPIs'!$F:$F,'Sales Daily KPIs'!$B:$B,$C120,'Sales Daily KPIs'!$A:$A,"&gt;="&amp;$A120,'Sales Daily KPIs'!$A:$A,"&lt;="&amp;$B120),""))</f>
        <v/>
      </c>
      <c r="L120" s="19" t="str">
        <f aca="false">IF(A120="","",SUMIFS('Sales Daily KPIs'!$I:$I,'Sales Daily KPIs'!$B:$B,$C120,'Sales Daily KPIs'!$A:$A,"&gt;="&amp;$A120,'Sales Daily KPIs'!$A:$A,"&lt;="&amp;$B120))</f>
        <v/>
      </c>
      <c r="M120" s="19" t="str">
        <f aca="false">IF(A120="","",Targets!$B$5)</f>
        <v/>
      </c>
      <c r="N120" s="14"/>
    </row>
    <row r="121" customFormat="false" ht="15" hidden="false" customHeight="false" outlineLevel="0" collapsed="false">
      <c r="A121" s="13"/>
      <c r="B121" s="18" t="str">
        <f aca="false">IF(A121="","",A121+6)</f>
        <v/>
      </c>
      <c r="C121" s="14"/>
      <c r="D121" s="19" t="str">
        <f aca="false">IF(A121="","",COUNTIFS('Sales Daily KPIs'!$B:$B,$C121,'Sales Daily KPIs'!$A:$A,"&gt;="&amp;$A121,'Sales Daily KPIs'!$A:$A,"&lt;="&amp;$B121,'Sales Daily KPIs'!$C:$C,"&lt;&gt;"))</f>
        <v/>
      </c>
      <c r="E121" s="19" t="str">
        <f aca="false">IF(A121="","",SUMIFS('Sales Daily KPIs'!$C:$C,'Sales Daily KPIs'!$B:$B,$C121,'Sales Daily KPIs'!$A:$A,"&gt;="&amp;$A121,'Sales Daily KPIs'!$A:$A,"&lt;="&amp;$B121))</f>
        <v/>
      </c>
      <c r="F121" s="19" t="str">
        <f aca="false">IF(A121="","",Targets!$B$2*Targets!$B$6)</f>
        <v/>
      </c>
      <c r="G121" s="19" t="str">
        <f aca="false">IF(A121="","",SUMIFS('Sales Daily KPIs'!$D:$D,'Sales Daily KPIs'!$B:$B,$C121,'Sales Daily KPIs'!$A:$A,"&gt;="&amp;$A121,'Sales Daily KPIs'!$A:$A,"&lt;="&amp;$B121))</f>
        <v/>
      </c>
      <c r="H121" s="19" t="str">
        <f aca="false">IF(A121="","",Targets!$B$3*Targets!$B$6)</f>
        <v/>
      </c>
      <c r="I121" s="19" t="str">
        <f aca="false">IF(A121="","",SUMIFS('Sales Daily KPIs'!$E:$E,'Sales Daily KPIs'!$B:$B,$C121,'Sales Daily KPIs'!$A:$A,"&gt;="&amp;$A121,'Sales Daily KPIs'!$A:$A,"&lt;="&amp;$B121))</f>
        <v/>
      </c>
      <c r="J121" s="19" t="str">
        <f aca="false">IF(A121="","",Targets!$B$4*Targets!$B$6)</f>
        <v/>
      </c>
      <c r="K121" s="16" t="str">
        <f aca="false">IF(A121="","",IFERROR(SUMIFS('Sales Daily KPIs'!$G:$G,'Sales Daily KPIs'!$B:$B,$C121,'Sales Daily KPIs'!$A:$A,"&gt;="&amp;$A121,'Sales Daily KPIs'!$A:$A,"&lt;="&amp;$B121)/SUMIFS('Sales Daily KPIs'!$F:$F,'Sales Daily KPIs'!$B:$B,$C121,'Sales Daily KPIs'!$A:$A,"&gt;="&amp;$A121,'Sales Daily KPIs'!$A:$A,"&lt;="&amp;$B121),""))</f>
        <v/>
      </c>
      <c r="L121" s="19" t="str">
        <f aca="false">IF(A121="","",SUMIFS('Sales Daily KPIs'!$I:$I,'Sales Daily KPIs'!$B:$B,$C121,'Sales Daily KPIs'!$A:$A,"&gt;="&amp;$A121,'Sales Daily KPIs'!$A:$A,"&lt;="&amp;$B121))</f>
        <v/>
      </c>
      <c r="M121" s="19" t="str">
        <f aca="false">IF(A121="","",Targets!$B$5)</f>
        <v/>
      </c>
      <c r="N121" s="14"/>
    </row>
  </sheetData>
  <autoFilter ref="A1:N121"/>
  <conditionalFormatting sqref="E2:E121">
    <cfRule type="expression" priority="2" aboveAverage="0" equalAverage="0" bottom="0" percent="0" rank="0" text="" dxfId="7">
      <formula>AND(E2&lt;&gt;"",E2&gt;=$F2)</formula>
    </cfRule>
    <cfRule type="expression" priority="3" aboveAverage="0" equalAverage="0" bottom="0" percent="0" rank="0" text="" dxfId="8">
      <formula>AND(E2&lt;&gt;"",E2&lt;$F2)</formula>
    </cfRule>
  </conditionalFormatting>
  <conditionalFormatting sqref="G2:G121">
    <cfRule type="expression" priority="4" aboveAverage="0" equalAverage="0" bottom="0" percent="0" rank="0" text="" dxfId="7">
      <formula>AND(G2&lt;&gt;"",G2&gt;=$H2)</formula>
    </cfRule>
    <cfRule type="expression" priority="5" aboveAverage="0" equalAverage="0" bottom="0" percent="0" rank="0" text="" dxfId="8">
      <formula>AND(G2&lt;&gt;"",G2&lt;$H2)</formula>
    </cfRule>
  </conditionalFormatting>
  <conditionalFormatting sqref="I2:I121">
    <cfRule type="expression" priority="6" aboveAverage="0" equalAverage="0" bottom="0" percent="0" rank="0" text="" dxfId="7">
      <formula>AND(I2&lt;&gt;"",I2&gt;=$J2)</formula>
    </cfRule>
    <cfRule type="expression" priority="7" aboveAverage="0" equalAverage="0" bottom="0" percent="0" rank="0" text="" dxfId="8">
      <formula>AND(I2&lt;&gt;"",I2&lt;$J2)</formula>
    </cfRule>
  </conditionalFormatting>
  <conditionalFormatting sqref="L2:L121">
    <cfRule type="expression" priority="8" aboveAverage="0" equalAverage="0" bottom="0" percent="0" rank="0" text="" dxfId="7">
      <formula>AND(L2&lt;&gt;"",L2&gt;=$M2)</formula>
    </cfRule>
    <cfRule type="expression" priority="9" aboveAverage="0" equalAverage="0" bottom="0" percent="0" rank="0" text="" dxfId="8">
      <formula>AND(L2&lt;&gt;"",L2&lt;$M2)</formula>
    </cfRule>
  </conditionalFormatting>
  <conditionalFormatting sqref="K2:K121">
    <cfRule type="expression" priority="10" aboveAverage="0" equalAverage="0" bottom="0" percent="0" rank="0" text="" dxfId="7">
      <formula>AND(K2&lt;&gt;"",K2&gt;=1)</formula>
    </cfRule>
    <cfRule type="expression" priority="11" aboveAverage="0" equalAverage="0" bottom="0" percent="0" rank="0" text="" dxfId="8">
      <formula>AND(K2&lt;&gt;"",K2&lt;1)</formula>
    </cfRule>
  </conditionalFormatting>
  <dataValidations count="1">
    <dataValidation allowBlank="true" errorStyle="stop" operator="between" showDropDown="false" showErrorMessage="false" showInputMessage="false" sqref="C2:C121" type="list">
      <formula1>Lists!$A$2:$A$10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8" min="6" style="0" width="15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3" min="12" style="0" width="11"/>
    <col collapsed="false" customWidth="true" hidden="false" outlineLevel="0" max="14" min="14" style="0" width="22"/>
    <col collapsed="false" customWidth="true" hidden="false" outlineLevel="0" max="15" min="15" style="0" width="30"/>
    <col collapsed="false" customWidth="true" hidden="false" outlineLevel="0" max="16" min="16" style="0" width="28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20" min="19" style="0" width="12"/>
    <col collapsed="false" customWidth="true" hidden="false" outlineLevel="0" max="21" min="21" style="0" width="30"/>
  </cols>
  <sheetData>
    <row r="1" customFormat="false" ht="33.75" hidden="false" customHeight="true" outlineLevel="0" collapsed="false">
      <c r="A1" s="7" t="s">
        <v>39</v>
      </c>
      <c r="B1" s="7" t="s">
        <v>18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  <c r="T1" s="7" t="s">
        <v>57</v>
      </c>
      <c r="U1" s="7" t="s">
        <v>38</v>
      </c>
    </row>
    <row r="2" customFormat="false" ht="15" hidden="false" customHeight="false" outlineLevel="0" collapsed="false">
      <c r="A2" s="8" t="n">
        <v>46344</v>
      </c>
      <c r="B2" s="9" t="s">
        <v>28</v>
      </c>
      <c r="C2" s="9" t="s">
        <v>58</v>
      </c>
      <c r="D2" s="9" t="s">
        <v>59</v>
      </c>
      <c r="E2" s="9" t="s">
        <v>60</v>
      </c>
      <c r="F2" s="9" t="s">
        <v>61</v>
      </c>
      <c r="G2" s="9" t="s">
        <v>62</v>
      </c>
      <c r="H2" s="9" t="s">
        <v>63</v>
      </c>
      <c r="I2" s="9" t="s">
        <v>64</v>
      </c>
      <c r="J2" s="9" t="s">
        <v>65</v>
      </c>
      <c r="K2" s="9" t="s">
        <v>66</v>
      </c>
      <c r="L2" s="20" t="n">
        <f aca="false">IF(K2="","",IFERROR(INDEX(Lists!$G$2:$G$5,MATCH(K2,Lists!$F$2:$F$5,0)),""))</f>
        <v>7500</v>
      </c>
      <c r="M2" s="9" t="s">
        <v>67</v>
      </c>
      <c r="N2" s="9" t="s">
        <v>68</v>
      </c>
      <c r="O2" s="9" t="s">
        <v>69</v>
      </c>
      <c r="P2" s="9" t="s">
        <v>70</v>
      </c>
      <c r="Q2" s="8" t="n">
        <v>46346</v>
      </c>
      <c r="R2" s="12" t="str">
        <f aca="true">IF(OR(C2="",Q2=""),"",IF(OR(J2="Won",J2="Lost"),"",IF(Q2&lt;TODAY(),"OVERDUE",IF(Q2=TODAY(),"TODAY",""))))</f>
        <v/>
      </c>
      <c r="S2" s="8" t="n">
        <v>46344</v>
      </c>
      <c r="T2" s="8" t="n">
        <v>46351</v>
      </c>
      <c r="U2" s="9" t="s">
        <v>71</v>
      </c>
    </row>
    <row r="3" customFormat="false" ht="15" hidden="false" customHeight="false" outlineLevel="0" collapsed="false">
      <c r="A3" s="13"/>
      <c r="B3" s="14" t="s">
        <v>28</v>
      </c>
      <c r="C3" s="14" t="s">
        <v>72</v>
      </c>
      <c r="D3" s="14" t="s">
        <v>59</v>
      </c>
      <c r="E3" s="14"/>
      <c r="F3" s="14"/>
      <c r="G3" s="14"/>
      <c r="H3" s="14"/>
      <c r="I3" s="14"/>
      <c r="J3" s="14" t="s">
        <v>65</v>
      </c>
      <c r="K3" s="14"/>
      <c r="L3" s="19" t="str">
        <f aca="false">IF(K3="","",IFERROR(INDEX(Lists!$G$2:$G$5,MATCH(K3,Lists!$F$2:$F$5,0)),""))</f>
        <v/>
      </c>
      <c r="M3" s="14"/>
      <c r="N3" s="14"/>
      <c r="O3" s="14"/>
      <c r="P3" s="14"/>
      <c r="Q3" s="13"/>
      <c r="R3" s="17" t="str">
        <f aca="true">IF(OR(C3="",Q3=""),"",IF(OR(J3="Won",J3="Lost"),"",IF(Q3&lt;TODAY(),"OVERDUE",IF(Q3=TODAY(),"TODAY",""))))</f>
        <v/>
      </c>
      <c r="S3" s="13"/>
      <c r="T3" s="13"/>
      <c r="U3" s="14"/>
    </row>
    <row r="4" customFormat="false" ht="15" hidden="false" customHeight="false" outlineLevel="0" collapsed="false">
      <c r="A4" s="13"/>
      <c r="B4" s="14" t="s">
        <v>28</v>
      </c>
      <c r="C4" s="14" t="s">
        <v>73</v>
      </c>
      <c r="D4" s="14" t="s">
        <v>74</v>
      </c>
      <c r="E4" s="14"/>
      <c r="F4" s="14"/>
      <c r="G4" s="14"/>
      <c r="H4" s="14"/>
      <c r="I4" s="14"/>
      <c r="J4" s="14" t="s">
        <v>65</v>
      </c>
      <c r="K4" s="14"/>
      <c r="L4" s="19" t="str">
        <f aca="false">IF(K4="","",IFERROR(INDEX(Lists!$G$2:$G$5,MATCH(K4,Lists!$F$2:$F$5,0)),""))</f>
        <v/>
      </c>
      <c r="M4" s="14"/>
      <c r="N4" s="14"/>
      <c r="O4" s="14"/>
      <c r="P4" s="14"/>
      <c r="Q4" s="13"/>
      <c r="R4" s="17" t="str">
        <f aca="true">IF(OR(C4="",Q4=""),"",IF(OR(J4="Won",J4="Lost"),"",IF(Q4&lt;TODAY(),"OVERDUE",IF(Q4=TODAY(),"TODAY",""))))</f>
        <v/>
      </c>
      <c r="S4" s="13"/>
      <c r="T4" s="13"/>
      <c r="U4" s="14"/>
    </row>
    <row r="5" customFormat="false" ht="15" hidden="false" customHeight="fals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9" t="str">
        <f aca="false">IF(K5="","",IFERROR(INDEX(Lists!$G$2:$G$5,MATCH(K5,Lists!$F$2:$F$5,0)),""))</f>
        <v/>
      </c>
      <c r="M5" s="14"/>
      <c r="N5" s="14"/>
      <c r="O5" s="14"/>
      <c r="P5" s="14"/>
      <c r="Q5" s="13"/>
      <c r="R5" s="17" t="str">
        <f aca="true">IF(OR(C5="",Q5=""),"",IF(OR(J5="Won",J5="Lost"),"",IF(Q5&lt;TODAY(),"OVERDUE",IF(Q5=TODAY(),"TODAY",""))))</f>
        <v/>
      </c>
      <c r="S5" s="13"/>
      <c r="T5" s="13"/>
      <c r="U5" s="14"/>
    </row>
    <row r="6" customFormat="false" ht="15" hidden="false" customHeight="false" outlineLevel="0" collapsed="false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9" t="str">
        <f aca="false">IF(K6="","",IFERROR(INDEX(Lists!$G$2:$G$5,MATCH(K6,Lists!$F$2:$F$5,0)),""))</f>
        <v/>
      </c>
      <c r="M6" s="14"/>
      <c r="N6" s="14"/>
      <c r="O6" s="14"/>
      <c r="P6" s="14"/>
      <c r="Q6" s="13"/>
      <c r="R6" s="17" t="str">
        <f aca="true">IF(OR(C6="",Q6=""),"",IF(OR(J6="Won",J6="Lost"),"",IF(Q6&lt;TODAY(),"OVERDUE",IF(Q6=TODAY(),"TODAY",""))))</f>
        <v/>
      </c>
      <c r="S6" s="13"/>
      <c r="T6" s="13"/>
      <c r="U6" s="14"/>
    </row>
    <row r="7" customFormat="false" ht="15" hidden="false" customHeight="false" outlineLevel="0" collapsed="false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9" t="str">
        <f aca="false">IF(K7="","",IFERROR(INDEX(Lists!$G$2:$G$5,MATCH(K7,Lists!$F$2:$F$5,0)),""))</f>
        <v/>
      </c>
      <c r="M7" s="14"/>
      <c r="N7" s="14"/>
      <c r="O7" s="14"/>
      <c r="P7" s="14"/>
      <c r="Q7" s="13"/>
      <c r="R7" s="17" t="str">
        <f aca="true">IF(OR(C7="",Q7=""),"",IF(OR(J7="Won",J7="Lost"),"",IF(Q7&lt;TODAY(),"OVERDUE",IF(Q7=TODAY(),"TODAY",""))))</f>
        <v/>
      </c>
      <c r="S7" s="13"/>
      <c r="T7" s="13"/>
      <c r="U7" s="14"/>
    </row>
    <row r="8" customFormat="false" ht="15" hidden="false" customHeight="false" outlineLevel="0" collapsed="false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9" t="str">
        <f aca="false">IF(K8="","",IFERROR(INDEX(Lists!$G$2:$G$5,MATCH(K8,Lists!$F$2:$F$5,0)),""))</f>
        <v/>
      </c>
      <c r="M8" s="14"/>
      <c r="N8" s="14"/>
      <c r="O8" s="14"/>
      <c r="P8" s="14"/>
      <c r="Q8" s="13"/>
      <c r="R8" s="17" t="str">
        <f aca="true">IF(OR(C8="",Q8=""),"",IF(OR(J8="Won",J8="Lost"),"",IF(Q8&lt;TODAY(),"OVERDUE",IF(Q8=TODAY(),"TODAY",""))))</f>
        <v/>
      </c>
      <c r="S8" s="13"/>
      <c r="T8" s="13"/>
      <c r="U8" s="14"/>
    </row>
    <row r="9" customFormat="false" ht="15" hidden="false" customHeight="false" outlineLevel="0" collapsed="false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9" t="str">
        <f aca="false">IF(K9="","",IFERROR(INDEX(Lists!$G$2:$G$5,MATCH(K9,Lists!$F$2:$F$5,0)),""))</f>
        <v/>
      </c>
      <c r="M9" s="14"/>
      <c r="N9" s="14"/>
      <c r="O9" s="14"/>
      <c r="P9" s="14"/>
      <c r="Q9" s="13"/>
      <c r="R9" s="17" t="str">
        <f aca="true">IF(OR(C9="",Q9=""),"",IF(OR(J9="Won",J9="Lost"),"",IF(Q9&lt;TODAY(),"OVERDUE",IF(Q9=TODAY(),"TODAY",""))))</f>
        <v/>
      </c>
      <c r="S9" s="13"/>
      <c r="T9" s="13"/>
      <c r="U9" s="14"/>
    </row>
    <row r="10" customFormat="false" ht="15" hidden="false" customHeight="false" outlineLevel="0" collapsed="false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9" t="str">
        <f aca="false">IF(K10="","",IFERROR(INDEX(Lists!$G$2:$G$5,MATCH(K10,Lists!$F$2:$F$5,0)),""))</f>
        <v/>
      </c>
      <c r="M10" s="14"/>
      <c r="N10" s="14"/>
      <c r="O10" s="14"/>
      <c r="P10" s="14"/>
      <c r="Q10" s="13"/>
      <c r="R10" s="17" t="str">
        <f aca="true">IF(OR(C10="",Q10=""),"",IF(OR(J10="Won",J10="Lost"),"",IF(Q10&lt;TODAY(),"OVERDUE",IF(Q10=TODAY(),"TODAY",""))))</f>
        <v/>
      </c>
      <c r="S10" s="13"/>
      <c r="T10" s="13"/>
      <c r="U10" s="14"/>
    </row>
    <row r="11" customFormat="false" ht="15" hidden="false" customHeight="false" outlineLevel="0" collapsed="false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9" t="str">
        <f aca="false">IF(K11="","",IFERROR(INDEX(Lists!$G$2:$G$5,MATCH(K11,Lists!$F$2:$F$5,0)),""))</f>
        <v/>
      </c>
      <c r="M11" s="14"/>
      <c r="N11" s="14"/>
      <c r="O11" s="14"/>
      <c r="P11" s="14"/>
      <c r="Q11" s="13"/>
      <c r="R11" s="17" t="str">
        <f aca="true">IF(OR(C11="",Q11=""),"",IF(OR(J11="Won",J11="Lost"),"",IF(Q11&lt;TODAY(),"OVERDUE",IF(Q11=TODAY(),"TODAY",""))))</f>
        <v/>
      </c>
      <c r="S11" s="13"/>
      <c r="T11" s="13"/>
      <c r="U11" s="14"/>
    </row>
    <row r="12" customFormat="false" ht="15" hidden="false" customHeight="false" outlineLevel="0" collapsed="false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9" t="str">
        <f aca="false">IF(K12="","",IFERROR(INDEX(Lists!$G$2:$G$5,MATCH(K12,Lists!$F$2:$F$5,0)),""))</f>
        <v/>
      </c>
      <c r="M12" s="14"/>
      <c r="N12" s="14"/>
      <c r="O12" s="14"/>
      <c r="P12" s="14"/>
      <c r="Q12" s="13"/>
      <c r="R12" s="17" t="str">
        <f aca="true">IF(OR(C12="",Q12=""),"",IF(OR(J12="Won",J12="Lost"),"",IF(Q12&lt;TODAY(),"OVERDUE",IF(Q12=TODAY(),"TODAY",""))))</f>
        <v/>
      </c>
      <c r="S12" s="13"/>
      <c r="T12" s="13"/>
      <c r="U12" s="14"/>
    </row>
    <row r="13" customFormat="false" ht="15" hidden="false" customHeight="false" outlineLevel="0" collapsed="false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9" t="str">
        <f aca="false">IF(K13="","",IFERROR(INDEX(Lists!$G$2:$G$5,MATCH(K13,Lists!$F$2:$F$5,0)),""))</f>
        <v/>
      </c>
      <c r="M13" s="14"/>
      <c r="N13" s="14"/>
      <c r="O13" s="14"/>
      <c r="P13" s="14"/>
      <c r="Q13" s="13"/>
      <c r="R13" s="17" t="str">
        <f aca="true">IF(OR(C13="",Q13=""),"",IF(OR(J13="Won",J13="Lost"),"",IF(Q13&lt;TODAY(),"OVERDUE",IF(Q13=TODAY(),"TODAY",""))))</f>
        <v/>
      </c>
      <c r="S13" s="13"/>
      <c r="T13" s="13"/>
      <c r="U13" s="14"/>
    </row>
    <row r="14" customFormat="false" ht="15" hidden="false" customHeight="false" outlineLevel="0" collapsed="false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9" t="str">
        <f aca="false">IF(K14="","",IFERROR(INDEX(Lists!$G$2:$G$5,MATCH(K14,Lists!$F$2:$F$5,0)),""))</f>
        <v/>
      </c>
      <c r="M14" s="14"/>
      <c r="N14" s="14"/>
      <c r="O14" s="14"/>
      <c r="P14" s="14"/>
      <c r="Q14" s="13"/>
      <c r="R14" s="17" t="str">
        <f aca="true">IF(OR(C14="",Q14=""),"",IF(OR(J14="Won",J14="Lost"),"",IF(Q14&lt;TODAY(),"OVERDUE",IF(Q14=TODAY(),"TODAY",""))))</f>
        <v/>
      </c>
      <c r="S14" s="13"/>
      <c r="T14" s="13"/>
      <c r="U14" s="14"/>
    </row>
    <row r="15" customFormat="false" ht="15" hidden="false" customHeight="false" outlineLevel="0" collapsed="false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9" t="str">
        <f aca="false">IF(K15="","",IFERROR(INDEX(Lists!$G$2:$G$5,MATCH(K15,Lists!$F$2:$F$5,0)),""))</f>
        <v/>
      </c>
      <c r="M15" s="14"/>
      <c r="N15" s="14"/>
      <c r="O15" s="14"/>
      <c r="P15" s="14"/>
      <c r="Q15" s="13"/>
      <c r="R15" s="17" t="str">
        <f aca="true">IF(OR(C15="",Q15=""),"",IF(OR(J15="Won",J15="Lost"),"",IF(Q15&lt;TODAY(),"OVERDUE",IF(Q15=TODAY(),"TODAY",""))))</f>
        <v/>
      </c>
      <c r="S15" s="13"/>
      <c r="T15" s="13"/>
      <c r="U15" s="14"/>
    </row>
    <row r="16" customFormat="false" ht="15" hidden="false" customHeight="false" outlineLevel="0" collapsed="false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9" t="str">
        <f aca="false">IF(K16="","",IFERROR(INDEX(Lists!$G$2:$G$5,MATCH(K16,Lists!$F$2:$F$5,0)),""))</f>
        <v/>
      </c>
      <c r="M16" s="14"/>
      <c r="N16" s="14"/>
      <c r="O16" s="14"/>
      <c r="P16" s="14"/>
      <c r="Q16" s="13"/>
      <c r="R16" s="17" t="str">
        <f aca="true">IF(OR(C16="",Q16=""),"",IF(OR(J16="Won",J16="Lost"),"",IF(Q16&lt;TODAY(),"OVERDUE",IF(Q16=TODAY(),"TODAY",""))))</f>
        <v/>
      </c>
      <c r="S16" s="13"/>
      <c r="T16" s="13"/>
      <c r="U16" s="14"/>
    </row>
    <row r="17" customFormat="false" ht="15" hidden="false" customHeight="false" outlineLevel="0" collapsed="false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9" t="str">
        <f aca="false">IF(K17="","",IFERROR(INDEX(Lists!$G$2:$G$5,MATCH(K17,Lists!$F$2:$F$5,0)),""))</f>
        <v/>
      </c>
      <c r="M17" s="14"/>
      <c r="N17" s="14"/>
      <c r="O17" s="14"/>
      <c r="P17" s="14"/>
      <c r="Q17" s="13"/>
      <c r="R17" s="17" t="str">
        <f aca="true">IF(OR(C17="",Q17=""),"",IF(OR(J17="Won",J17="Lost"),"",IF(Q17&lt;TODAY(),"OVERDUE",IF(Q17=TODAY(),"TODAY",""))))</f>
        <v/>
      </c>
      <c r="S17" s="13"/>
      <c r="T17" s="13"/>
      <c r="U17" s="14"/>
    </row>
    <row r="18" customFormat="false" ht="15" hidden="false" customHeight="false" outlineLevel="0" collapsed="false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9" t="str">
        <f aca="false">IF(K18="","",IFERROR(INDEX(Lists!$G$2:$G$5,MATCH(K18,Lists!$F$2:$F$5,0)),""))</f>
        <v/>
      </c>
      <c r="M18" s="14"/>
      <c r="N18" s="14"/>
      <c r="O18" s="14"/>
      <c r="P18" s="14"/>
      <c r="Q18" s="13"/>
      <c r="R18" s="17" t="str">
        <f aca="true">IF(OR(C18="",Q18=""),"",IF(OR(J18="Won",J18="Lost"),"",IF(Q18&lt;TODAY(),"OVERDUE",IF(Q18=TODAY(),"TODAY",""))))</f>
        <v/>
      </c>
      <c r="S18" s="13"/>
      <c r="T18" s="13"/>
      <c r="U18" s="14"/>
    </row>
    <row r="19" customFormat="false" ht="15" hidden="false" customHeight="false" outlineLevel="0" collapsed="false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9" t="str">
        <f aca="false">IF(K19="","",IFERROR(INDEX(Lists!$G$2:$G$5,MATCH(K19,Lists!$F$2:$F$5,0)),""))</f>
        <v/>
      </c>
      <c r="M19" s="14"/>
      <c r="N19" s="14"/>
      <c r="O19" s="14"/>
      <c r="P19" s="14"/>
      <c r="Q19" s="13"/>
      <c r="R19" s="17" t="str">
        <f aca="true">IF(OR(C19="",Q19=""),"",IF(OR(J19="Won",J19="Lost"),"",IF(Q19&lt;TODAY(),"OVERDUE",IF(Q19=TODAY(),"TODAY",""))))</f>
        <v/>
      </c>
      <c r="S19" s="13"/>
      <c r="T19" s="13"/>
      <c r="U19" s="14"/>
    </row>
    <row r="20" customFormat="false" ht="15" hidden="false" customHeight="false" outlineLevel="0" collapsed="false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9" t="str">
        <f aca="false">IF(K20="","",IFERROR(INDEX(Lists!$G$2:$G$5,MATCH(K20,Lists!$F$2:$F$5,0)),""))</f>
        <v/>
      </c>
      <c r="M20" s="14"/>
      <c r="N20" s="14"/>
      <c r="O20" s="14"/>
      <c r="P20" s="14"/>
      <c r="Q20" s="13"/>
      <c r="R20" s="17" t="str">
        <f aca="true">IF(OR(C20="",Q20=""),"",IF(OR(J20="Won",J20="Lost"),"",IF(Q20&lt;TODAY(),"OVERDUE",IF(Q20=TODAY(),"TODAY",""))))</f>
        <v/>
      </c>
      <c r="S20" s="13"/>
      <c r="T20" s="13"/>
      <c r="U20" s="14"/>
    </row>
    <row r="21" customFormat="false" ht="15" hidden="false" customHeight="false" outlineLevel="0" collapsed="false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9" t="str">
        <f aca="false">IF(K21="","",IFERROR(INDEX(Lists!$G$2:$G$5,MATCH(K21,Lists!$F$2:$F$5,0)),""))</f>
        <v/>
      </c>
      <c r="M21" s="14"/>
      <c r="N21" s="14"/>
      <c r="O21" s="14"/>
      <c r="P21" s="14"/>
      <c r="Q21" s="13"/>
      <c r="R21" s="17" t="str">
        <f aca="true">IF(OR(C21="",Q21=""),"",IF(OR(J21="Won",J21="Lost"),"",IF(Q21&lt;TODAY(),"OVERDUE",IF(Q21=TODAY(),"TODAY",""))))</f>
        <v/>
      </c>
      <c r="S21" s="13"/>
      <c r="T21" s="13"/>
      <c r="U21" s="14"/>
    </row>
    <row r="22" customFormat="false" ht="15" hidden="false" customHeight="false" outlineLevel="0" collapsed="false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9" t="str">
        <f aca="false">IF(K22="","",IFERROR(INDEX(Lists!$G$2:$G$5,MATCH(K22,Lists!$F$2:$F$5,0)),""))</f>
        <v/>
      </c>
      <c r="M22" s="14"/>
      <c r="N22" s="14"/>
      <c r="O22" s="14"/>
      <c r="P22" s="14"/>
      <c r="Q22" s="13"/>
      <c r="R22" s="17" t="str">
        <f aca="true">IF(OR(C22="",Q22=""),"",IF(OR(J22="Won",J22="Lost"),"",IF(Q22&lt;TODAY(),"OVERDUE",IF(Q22=TODAY(),"TODAY",""))))</f>
        <v/>
      </c>
      <c r="S22" s="13"/>
      <c r="T22" s="13"/>
      <c r="U22" s="14"/>
    </row>
    <row r="23" customFormat="false" ht="15" hidden="false" customHeight="false" outlineLevel="0" collapsed="false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9" t="str">
        <f aca="false">IF(K23="","",IFERROR(INDEX(Lists!$G$2:$G$5,MATCH(K23,Lists!$F$2:$F$5,0)),""))</f>
        <v/>
      </c>
      <c r="M23" s="14"/>
      <c r="N23" s="14"/>
      <c r="O23" s="14"/>
      <c r="P23" s="14"/>
      <c r="Q23" s="13"/>
      <c r="R23" s="17" t="str">
        <f aca="true">IF(OR(C23="",Q23=""),"",IF(OR(J23="Won",J23="Lost"),"",IF(Q23&lt;TODAY(),"OVERDUE",IF(Q23=TODAY(),"TODAY",""))))</f>
        <v/>
      </c>
      <c r="S23" s="13"/>
      <c r="T23" s="13"/>
      <c r="U23" s="14"/>
    </row>
    <row r="24" customFormat="false" ht="15" hidden="false" customHeight="false" outlineLevel="0" collapsed="false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9" t="str">
        <f aca="false">IF(K24="","",IFERROR(INDEX(Lists!$G$2:$G$5,MATCH(K24,Lists!$F$2:$F$5,0)),""))</f>
        <v/>
      </c>
      <c r="M24" s="14"/>
      <c r="N24" s="14"/>
      <c r="O24" s="14"/>
      <c r="P24" s="14"/>
      <c r="Q24" s="13"/>
      <c r="R24" s="17" t="str">
        <f aca="true">IF(OR(C24="",Q24=""),"",IF(OR(J24="Won",J24="Lost"),"",IF(Q24&lt;TODAY(),"OVERDUE",IF(Q24=TODAY(),"TODAY",""))))</f>
        <v/>
      </c>
      <c r="S24" s="13"/>
      <c r="T24" s="13"/>
      <c r="U24" s="14"/>
    </row>
    <row r="25" customFormat="false" ht="15" hidden="false" customHeight="false" outlineLevel="0" collapsed="false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9" t="str">
        <f aca="false">IF(K25="","",IFERROR(INDEX(Lists!$G$2:$G$5,MATCH(K25,Lists!$F$2:$F$5,0)),""))</f>
        <v/>
      </c>
      <c r="M25" s="14"/>
      <c r="N25" s="14"/>
      <c r="O25" s="14"/>
      <c r="P25" s="14"/>
      <c r="Q25" s="13"/>
      <c r="R25" s="17" t="str">
        <f aca="true">IF(OR(C25="",Q25=""),"",IF(OR(J25="Won",J25="Lost"),"",IF(Q25&lt;TODAY(),"OVERDUE",IF(Q25=TODAY(),"TODAY",""))))</f>
        <v/>
      </c>
      <c r="S25" s="13"/>
      <c r="T25" s="13"/>
      <c r="U25" s="14"/>
    </row>
    <row r="26" customFormat="false" ht="15" hidden="false" customHeight="false" outlineLevel="0" collapsed="false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9" t="str">
        <f aca="false">IF(K26="","",IFERROR(INDEX(Lists!$G$2:$G$5,MATCH(K26,Lists!$F$2:$F$5,0)),""))</f>
        <v/>
      </c>
      <c r="M26" s="14"/>
      <c r="N26" s="14"/>
      <c r="O26" s="14"/>
      <c r="P26" s="14"/>
      <c r="Q26" s="13"/>
      <c r="R26" s="17" t="str">
        <f aca="true">IF(OR(C26="",Q26=""),"",IF(OR(J26="Won",J26="Lost"),"",IF(Q26&lt;TODAY(),"OVERDUE",IF(Q26=TODAY(),"TODAY",""))))</f>
        <v/>
      </c>
      <c r="S26" s="13"/>
      <c r="T26" s="13"/>
      <c r="U26" s="14"/>
    </row>
    <row r="27" customFormat="false" ht="15" hidden="false" customHeight="false" outlineLevel="0" collapsed="false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9" t="str">
        <f aca="false">IF(K27="","",IFERROR(INDEX(Lists!$G$2:$G$5,MATCH(K27,Lists!$F$2:$F$5,0)),""))</f>
        <v/>
      </c>
      <c r="M27" s="14"/>
      <c r="N27" s="14"/>
      <c r="O27" s="14"/>
      <c r="P27" s="14"/>
      <c r="Q27" s="13"/>
      <c r="R27" s="17" t="str">
        <f aca="true">IF(OR(C27="",Q27=""),"",IF(OR(J27="Won",J27="Lost"),"",IF(Q27&lt;TODAY(),"OVERDUE",IF(Q27=TODAY(),"TODAY",""))))</f>
        <v/>
      </c>
      <c r="S27" s="13"/>
      <c r="T27" s="13"/>
      <c r="U27" s="14"/>
    </row>
    <row r="28" customFormat="false" ht="15" hidden="false" customHeight="false" outlineLevel="0" collapsed="false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9" t="str">
        <f aca="false">IF(K28="","",IFERROR(INDEX(Lists!$G$2:$G$5,MATCH(K28,Lists!$F$2:$F$5,0)),""))</f>
        <v/>
      </c>
      <c r="M28" s="14"/>
      <c r="N28" s="14"/>
      <c r="O28" s="14"/>
      <c r="P28" s="14"/>
      <c r="Q28" s="13"/>
      <c r="R28" s="17" t="str">
        <f aca="true">IF(OR(C28="",Q28=""),"",IF(OR(J28="Won",J28="Lost"),"",IF(Q28&lt;TODAY(),"OVERDUE",IF(Q28=TODAY(),"TODAY",""))))</f>
        <v/>
      </c>
      <c r="S28" s="13"/>
      <c r="T28" s="13"/>
      <c r="U28" s="14"/>
    </row>
    <row r="29" customFormat="false" ht="15" hidden="false" customHeight="false" outlineLevel="0" collapsed="false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9" t="str">
        <f aca="false">IF(K29="","",IFERROR(INDEX(Lists!$G$2:$G$5,MATCH(K29,Lists!$F$2:$F$5,0)),""))</f>
        <v/>
      </c>
      <c r="M29" s="14"/>
      <c r="N29" s="14"/>
      <c r="O29" s="14"/>
      <c r="P29" s="14"/>
      <c r="Q29" s="13"/>
      <c r="R29" s="17" t="str">
        <f aca="true">IF(OR(C29="",Q29=""),"",IF(OR(J29="Won",J29="Lost"),"",IF(Q29&lt;TODAY(),"OVERDUE",IF(Q29=TODAY(),"TODAY",""))))</f>
        <v/>
      </c>
      <c r="S29" s="13"/>
      <c r="T29" s="13"/>
      <c r="U29" s="14"/>
    </row>
    <row r="30" customFormat="false" ht="15" hidden="false" customHeight="false" outlineLevel="0" collapsed="false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9" t="str">
        <f aca="false">IF(K30="","",IFERROR(INDEX(Lists!$G$2:$G$5,MATCH(K30,Lists!$F$2:$F$5,0)),""))</f>
        <v/>
      </c>
      <c r="M30" s="14"/>
      <c r="N30" s="14"/>
      <c r="O30" s="14"/>
      <c r="P30" s="14"/>
      <c r="Q30" s="13"/>
      <c r="R30" s="17" t="str">
        <f aca="true">IF(OR(C30="",Q30=""),"",IF(OR(J30="Won",J30="Lost"),"",IF(Q30&lt;TODAY(),"OVERDUE",IF(Q30=TODAY(),"TODAY",""))))</f>
        <v/>
      </c>
      <c r="S30" s="13"/>
      <c r="T30" s="13"/>
      <c r="U30" s="14"/>
    </row>
    <row r="31" customFormat="false" ht="15" hidden="false" customHeight="false" outlineLevel="0" collapsed="false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9" t="str">
        <f aca="false">IF(K31="","",IFERROR(INDEX(Lists!$G$2:$G$5,MATCH(K31,Lists!$F$2:$F$5,0)),""))</f>
        <v/>
      </c>
      <c r="M31" s="14"/>
      <c r="N31" s="14"/>
      <c r="O31" s="14"/>
      <c r="P31" s="14"/>
      <c r="Q31" s="13"/>
      <c r="R31" s="17" t="str">
        <f aca="true">IF(OR(C31="",Q31=""),"",IF(OR(J31="Won",J31="Lost"),"",IF(Q31&lt;TODAY(),"OVERDUE",IF(Q31=TODAY(),"TODAY",""))))</f>
        <v/>
      </c>
      <c r="S31" s="13"/>
      <c r="T31" s="13"/>
      <c r="U31" s="14"/>
    </row>
    <row r="32" customFormat="false" ht="15" hidden="false" customHeight="false" outlineLevel="0" collapsed="false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9" t="str">
        <f aca="false">IF(K32="","",IFERROR(INDEX(Lists!$G$2:$G$5,MATCH(K32,Lists!$F$2:$F$5,0)),""))</f>
        <v/>
      </c>
      <c r="M32" s="14"/>
      <c r="N32" s="14"/>
      <c r="O32" s="14"/>
      <c r="P32" s="14"/>
      <c r="Q32" s="13"/>
      <c r="R32" s="17" t="str">
        <f aca="true">IF(OR(C32="",Q32=""),"",IF(OR(J32="Won",J32="Lost"),"",IF(Q32&lt;TODAY(),"OVERDUE",IF(Q32=TODAY(),"TODAY",""))))</f>
        <v/>
      </c>
      <c r="S32" s="13"/>
      <c r="T32" s="13"/>
      <c r="U32" s="14"/>
    </row>
    <row r="33" customFormat="false" ht="15" hidden="false" customHeight="false" outlineLevel="0" collapsed="false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9" t="str">
        <f aca="false">IF(K33="","",IFERROR(INDEX(Lists!$G$2:$G$5,MATCH(K33,Lists!$F$2:$F$5,0)),""))</f>
        <v/>
      </c>
      <c r="M33" s="14"/>
      <c r="N33" s="14"/>
      <c r="O33" s="14"/>
      <c r="P33" s="14"/>
      <c r="Q33" s="13"/>
      <c r="R33" s="17" t="str">
        <f aca="true">IF(OR(C33="",Q33=""),"",IF(OR(J33="Won",J33="Lost"),"",IF(Q33&lt;TODAY(),"OVERDUE",IF(Q33=TODAY(),"TODAY",""))))</f>
        <v/>
      </c>
      <c r="S33" s="13"/>
      <c r="T33" s="13"/>
      <c r="U33" s="14"/>
    </row>
    <row r="34" customFormat="false" ht="15" hidden="false" customHeight="false" outlineLevel="0" collapsed="false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9" t="str">
        <f aca="false">IF(K34="","",IFERROR(INDEX(Lists!$G$2:$G$5,MATCH(K34,Lists!$F$2:$F$5,0)),""))</f>
        <v/>
      </c>
      <c r="M34" s="14"/>
      <c r="N34" s="14"/>
      <c r="O34" s="14"/>
      <c r="P34" s="14"/>
      <c r="Q34" s="13"/>
      <c r="R34" s="17" t="str">
        <f aca="true">IF(OR(C34="",Q34=""),"",IF(OR(J34="Won",J34="Lost"),"",IF(Q34&lt;TODAY(),"OVERDUE",IF(Q34=TODAY(),"TODAY",""))))</f>
        <v/>
      </c>
      <c r="S34" s="13"/>
      <c r="T34" s="13"/>
      <c r="U34" s="14"/>
    </row>
    <row r="35" customFormat="false" ht="15" hidden="false" customHeight="false" outlineLevel="0" collapsed="false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9" t="str">
        <f aca="false">IF(K35="","",IFERROR(INDEX(Lists!$G$2:$G$5,MATCH(K35,Lists!$F$2:$F$5,0)),""))</f>
        <v/>
      </c>
      <c r="M35" s="14"/>
      <c r="N35" s="14"/>
      <c r="O35" s="14"/>
      <c r="P35" s="14"/>
      <c r="Q35" s="13"/>
      <c r="R35" s="17" t="str">
        <f aca="true">IF(OR(C35="",Q35=""),"",IF(OR(J35="Won",J35="Lost"),"",IF(Q35&lt;TODAY(),"OVERDUE",IF(Q35=TODAY(),"TODAY",""))))</f>
        <v/>
      </c>
      <c r="S35" s="13"/>
      <c r="T35" s="13"/>
      <c r="U35" s="14"/>
    </row>
    <row r="36" customFormat="false" ht="15" hidden="false" customHeight="false" outlineLevel="0" collapsed="false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9" t="str">
        <f aca="false">IF(K36="","",IFERROR(INDEX(Lists!$G$2:$G$5,MATCH(K36,Lists!$F$2:$F$5,0)),""))</f>
        <v/>
      </c>
      <c r="M36" s="14"/>
      <c r="N36" s="14"/>
      <c r="O36" s="14"/>
      <c r="P36" s="14"/>
      <c r="Q36" s="13"/>
      <c r="R36" s="17" t="str">
        <f aca="true">IF(OR(C36="",Q36=""),"",IF(OR(J36="Won",J36="Lost"),"",IF(Q36&lt;TODAY(),"OVERDUE",IF(Q36=TODAY(),"TODAY",""))))</f>
        <v/>
      </c>
      <c r="S36" s="13"/>
      <c r="T36" s="13"/>
      <c r="U36" s="14"/>
    </row>
    <row r="37" customFormat="false" ht="15" hidden="false" customHeight="false" outlineLevel="0" collapsed="false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9" t="str">
        <f aca="false">IF(K37="","",IFERROR(INDEX(Lists!$G$2:$G$5,MATCH(K37,Lists!$F$2:$F$5,0)),""))</f>
        <v/>
      </c>
      <c r="M37" s="14"/>
      <c r="N37" s="14"/>
      <c r="O37" s="14"/>
      <c r="P37" s="14"/>
      <c r="Q37" s="13"/>
      <c r="R37" s="17" t="str">
        <f aca="true">IF(OR(C37="",Q37=""),"",IF(OR(J37="Won",J37="Lost"),"",IF(Q37&lt;TODAY(),"OVERDUE",IF(Q37=TODAY(),"TODAY",""))))</f>
        <v/>
      </c>
      <c r="S37" s="13"/>
      <c r="T37" s="13"/>
      <c r="U37" s="14"/>
    </row>
    <row r="38" customFormat="false" ht="15" hidden="false" customHeight="false" outlineLevel="0" collapsed="false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9" t="str">
        <f aca="false">IF(K38="","",IFERROR(INDEX(Lists!$G$2:$G$5,MATCH(K38,Lists!$F$2:$F$5,0)),""))</f>
        <v/>
      </c>
      <c r="M38" s="14"/>
      <c r="N38" s="14"/>
      <c r="O38" s="14"/>
      <c r="P38" s="14"/>
      <c r="Q38" s="13"/>
      <c r="R38" s="17" t="str">
        <f aca="true">IF(OR(C38="",Q38=""),"",IF(OR(J38="Won",J38="Lost"),"",IF(Q38&lt;TODAY(),"OVERDUE",IF(Q38=TODAY(),"TODAY",""))))</f>
        <v/>
      </c>
      <c r="S38" s="13"/>
      <c r="T38" s="13"/>
      <c r="U38" s="14"/>
    </row>
    <row r="39" customFormat="false" ht="15" hidden="false" customHeight="false" outlineLevel="0" collapsed="false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9" t="str">
        <f aca="false">IF(K39="","",IFERROR(INDEX(Lists!$G$2:$G$5,MATCH(K39,Lists!$F$2:$F$5,0)),""))</f>
        <v/>
      </c>
      <c r="M39" s="14"/>
      <c r="N39" s="14"/>
      <c r="O39" s="14"/>
      <c r="P39" s="14"/>
      <c r="Q39" s="13"/>
      <c r="R39" s="17" t="str">
        <f aca="true">IF(OR(C39="",Q39=""),"",IF(OR(J39="Won",J39="Lost"),"",IF(Q39&lt;TODAY(),"OVERDUE",IF(Q39=TODAY(),"TODAY",""))))</f>
        <v/>
      </c>
      <c r="S39" s="13"/>
      <c r="T39" s="13"/>
      <c r="U39" s="14"/>
    </row>
    <row r="40" customFormat="false" ht="15" hidden="false" customHeight="false" outlineLevel="0" collapsed="false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9" t="str">
        <f aca="false">IF(K40="","",IFERROR(INDEX(Lists!$G$2:$G$5,MATCH(K40,Lists!$F$2:$F$5,0)),""))</f>
        <v/>
      </c>
      <c r="M40" s="14"/>
      <c r="N40" s="14"/>
      <c r="O40" s="14"/>
      <c r="P40" s="14"/>
      <c r="Q40" s="13"/>
      <c r="R40" s="17" t="str">
        <f aca="true">IF(OR(C40="",Q40=""),"",IF(OR(J40="Won",J40="Lost"),"",IF(Q40&lt;TODAY(),"OVERDUE",IF(Q40=TODAY(),"TODAY",""))))</f>
        <v/>
      </c>
      <c r="S40" s="13"/>
      <c r="T40" s="13"/>
      <c r="U40" s="14"/>
    </row>
    <row r="41" customFormat="false" ht="15" hidden="false" customHeight="false" outlineLevel="0" collapsed="false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9" t="str">
        <f aca="false">IF(K41="","",IFERROR(INDEX(Lists!$G$2:$G$5,MATCH(K41,Lists!$F$2:$F$5,0)),""))</f>
        <v/>
      </c>
      <c r="M41" s="14"/>
      <c r="N41" s="14"/>
      <c r="O41" s="14"/>
      <c r="P41" s="14"/>
      <c r="Q41" s="13"/>
      <c r="R41" s="17" t="str">
        <f aca="true">IF(OR(C41="",Q41=""),"",IF(OR(J41="Won",J41="Lost"),"",IF(Q41&lt;TODAY(),"OVERDUE",IF(Q41=TODAY(),"TODAY",""))))</f>
        <v/>
      </c>
      <c r="S41" s="13"/>
      <c r="T41" s="13"/>
      <c r="U41" s="14"/>
    </row>
    <row r="42" customFormat="false" ht="15" hidden="false" customHeight="false" outlineLevel="0" collapsed="false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9" t="str">
        <f aca="false">IF(K42="","",IFERROR(INDEX(Lists!$G$2:$G$5,MATCH(K42,Lists!$F$2:$F$5,0)),""))</f>
        <v/>
      </c>
      <c r="M42" s="14"/>
      <c r="N42" s="14"/>
      <c r="O42" s="14"/>
      <c r="P42" s="14"/>
      <c r="Q42" s="13"/>
      <c r="R42" s="17" t="str">
        <f aca="true">IF(OR(C42="",Q42=""),"",IF(OR(J42="Won",J42="Lost"),"",IF(Q42&lt;TODAY(),"OVERDUE",IF(Q42=TODAY(),"TODAY",""))))</f>
        <v/>
      </c>
      <c r="S42" s="13"/>
      <c r="T42" s="13"/>
      <c r="U42" s="14"/>
    </row>
    <row r="43" customFormat="false" ht="15" hidden="false" customHeight="false" outlineLevel="0" collapsed="false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9" t="str">
        <f aca="false">IF(K43="","",IFERROR(INDEX(Lists!$G$2:$G$5,MATCH(K43,Lists!$F$2:$F$5,0)),""))</f>
        <v/>
      </c>
      <c r="M43" s="14"/>
      <c r="N43" s="14"/>
      <c r="O43" s="14"/>
      <c r="P43" s="14"/>
      <c r="Q43" s="13"/>
      <c r="R43" s="17" t="str">
        <f aca="true">IF(OR(C43="",Q43=""),"",IF(OR(J43="Won",J43="Lost"),"",IF(Q43&lt;TODAY(),"OVERDUE",IF(Q43=TODAY(),"TODAY",""))))</f>
        <v/>
      </c>
      <c r="S43" s="13"/>
      <c r="T43" s="13"/>
      <c r="U43" s="14"/>
    </row>
    <row r="44" customFormat="false" ht="15" hidden="false" customHeight="false" outlineLevel="0" collapsed="false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9" t="str">
        <f aca="false">IF(K44="","",IFERROR(INDEX(Lists!$G$2:$G$5,MATCH(K44,Lists!$F$2:$F$5,0)),""))</f>
        <v/>
      </c>
      <c r="M44" s="14"/>
      <c r="N44" s="14"/>
      <c r="O44" s="14"/>
      <c r="P44" s="14"/>
      <c r="Q44" s="13"/>
      <c r="R44" s="17" t="str">
        <f aca="true">IF(OR(C44="",Q44=""),"",IF(OR(J44="Won",J44="Lost"),"",IF(Q44&lt;TODAY(),"OVERDUE",IF(Q44=TODAY(),"TODAY",""))))</f>
        <v/>
      </c>
      <c r="S44" s="13"/>
      <c r="T44" s="13"/>
      <c r="U44" s="14"/>
    </row>
    <row r="45" customFormat="false" ht="15" hidden="false" customHeight="false" outlineLevel="0" collapsed="false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9" t="str">
        <f aca="false">IF(K45="","",IFERROR(INDEX(Lists!$G$2:$G$5,MATCH(K45,Lists!$F$2:$F$5,0)),""))</f>
        <v/>
      </c>
      <c r="M45" s="14"/>
      <c r="N45" s="14"/>
      <c r="O45" s="14"/>
      <c r="P45" s="14"/>
      <c r="Q45" s="13"/>
      <c r="R45" s="17" t="str">
        <f aca="true">IF(OR(C45="",Q45=""),"",IF(OR(J45="Won",J45="Lost"),"",IF(Q45&lt;TODAY(),"OVERDUE",IF(Q45=TODAY(),"TODAY",""))))</f>
        <v/>
      </c>
      <c r="S45" s="13"/>
      <c r="T45" s="13"/>
      <c r="U45" s="14"/>
    </row>
    <row r="46" customFormat="false" ht="15" hidden="false" customHeight="false" outlineLevel="0" collapsed="false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9" t="str">
        <f aca="false">IF(K46="","",IFERROR(INDEX(Lists!$G$2:$G$5,MATCH(K46,Lists!$F$2:$F$5,0)),""))</f>
        <v/>
      </c>
      <c r="M46" s="14"/>
      <c r="N46" s="14"/>
      <c r="O46" s="14"/>
      <c r="P46" s="14"/>
      <c r="Q46" s="13"/>
      <c r="R46" s="17" t="str">
        <f aca="true">IF(OR(C46="",Q46=""),"",IF(OR(J46="Won",J46="Lost"),"",IF(Q46&lt;TODAY(),"OVERDUE",IF(Q46=TODAY(),"TODAY",""))))</f>
        <v/>
      </c>
      <c r="S46" s="13"/>
      <c r="T46" s="13"/>
      <c r="U46" s="14"/>
    </row>
    <row r="47" customFormat="false" ht="15" hidden="false" customHeight="false" outlineLevel="0" collapsed="false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9" t="str">
        <f aca="false">IF(K47="","",IFERROR(INDEX(Lists!$G$2:$G$5,MATCH(K47,Lists!$F$2:$F$5,0)),""))</f>
        <v/>
      </c>
      <c r="M47" s="14"/>
      <c r="N47" s="14"/>
      <c r="O47" s="14"/>
      <c r="P47" s="14"/>
      <c r="Q47" s="13"/>
      <c r="R47" s="17" t="str">
        <f aca="true">IF(OR(C47="",Q47=""),"",IF(OR(J47="Won",J47="Lost"),"",IF(Q47&lt;TODAY(),"OVERDUE",IF(Q47=TODAY(),"TODAY",""))))</f>
        <v/>
      </c>
      <c r="S47" s="13"/>
      <c r="T47" s="13"/>
      <c r="U47" s="14"/>
    </row>
    <row r="48" customFormat="false" ht="15" hidden="false" customHeight="false" outlineLevel="0" collapsed="false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9" t="str">
        <f aca="false">IF(K48="","",IFERROR(INDEX(Lists!$G$2:$G$5,MATCH(K48,Lists!$F$2:$F$5,0)),""))</f>
        <v/>
      </c>
      <c r="M48" s="14"/>
      <c r="N48" s="14"/>
      <c r="O48" s="14"/>
      <c r="P48" s="14"/>
      <c r="Q48" s="13"/>
      <c r="R48" s="17" t="str">
        <f aca="true">IF(OR(C48="",Q48=""),"",IF(OR(J48="Won",J48="Lost"),"",IF(Q48&lt;TODAY(),"OVERDUE",IF(Q48=TODAY(),"TODAY",""))))</f>
        <v/>
      </c>
      <c r="S48" s="13"/>
      <c r="T48" s="13"/>
      <c r="U48" s="14"/>
    </row>
    <row r="49" customFormat="false" ht="15" hidden="false" customHeight="false" outlineLevel="0" collapsed="false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9" t="str">
        <f aca="false">IF(K49="","",IFERROR(INDEX(Lists!$G$2:$G$5,MATCH(K49,Lists!$F$2:$F$5,0)),""))</f>
        <v/>
      </c>
      <c r="M49" s="14"/>
      <c r="N49" s="14"/>
      <c r="O49" s="14"/>
      <c r="P49" s="14"/>
      <c r="Q49" s="13"/>
      <c r="R49" s="17" t="str">
        <f aca="true">IF(OR(C49="",Q49=""),"",IF(OR(J49="Won",J49="Lost"),"",IF(Q49&lt;TODAY(),"OVERDUE",IF(Q49=TODAY(),"TODAY",""))))</f>
        <v/>
      </c>
      <c r="S49" s="13"/>
      <c r="T49" s="13"/>
      <c r="U49" s="14"/>
    </row>
    <row r="50" customFormat="false" ht="15" hidden="false" customHeight="false" outlineLevel="0" collapsed="false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9" t="str">
        <f aca="false">IF(K50="","",IFERROR(INDEX(Lists!$G$2:$G$5,MATCH(K50,Lists!$F$2:$F$5,0)),""))</f>
        <v/>
      </c>
      <c r="M50" s="14"/>
      <c r="N50" s="14"/>
      <c r="O50" s="14"/>
      <c r="P50" s="14"/>
      <c r="Q50" s="13"/>
      <c r="R50" s="17" t="str">
        <f aca="true">IF(OR(C50="",Q50=""),"",IF(OR(J50="Won",J50="Lost"),"",IF(Q50&lt;TODAY(),"OVERDUE",IF(Q50=TODAY(),"TODAY",""))))</f>
        <v/>
      </c>
      <c r="S50" s="13"/>
      <c r="T50" s="13"/>
      <c r="U50" s="14"/>
    </row>
    <row r="51" customFormat="false" ht="15" hidden="false" customHeight="false" outlineLevel="0" collapsed="false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9" t="str">
        <f aca="false">IF(K51="","",IFERROR(INDEX(Lists!$G$2:$G$5,MATCH(K51,Lists!$F$2:$F$5,0)),""))</f>
        <v/>
      </c>
      <c r="M51" s="14"/>
      <c r="N51" s="14"/>
      <c r="O51" s="14"/>
      <c r="P51" s="14"/>
      <c r="Q51" s="13"/>
      <c r="R51" s="17" t="str">
        <f aca="true">IF(OR(C51="",Q51=""),"",IF(OR(J51="Won",J51="Lost"),"",IF(Q51&lt;TODAY(),"OVERDUE",IF(Q51=TODAY(),"TODAY",""))))</f>
        <v/>
      </c>
      <c r="S51" s="13"/>
      <c r="T51" s="13"/>
      <c r="U51" s="14"/>
    </row>
    <row r="52" customFormat="false" ht="15" hidden="false" customHeight="false" outlineLevel="0" collapsed="false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9" t="str">
        <f aca="false">IF(K52="","",IFERROR(INDEX(Lists!$G$2:$G$5,MATCH(K52,Lists!$F$2:$F$5,0)),""))</f>
        <v/>
      </c>
      <c r="M52" s="14"/>
      <c r="N52" s="14"/>
      <c r="O52" s="14"/>
      <c r="P52" s="14"/>
      <c r="Q52" s="13"/>
      <c r="R52" s="17" t="str">
        <f aca="true">IF(OR(C52="",Q52=""),"",IF(OR(J52="Won",J52="Lost"),"",IF(Q52&lt;TODAY(),"OVERDUE",IF(Q52=TODAY(),"TODAY",""))))</f>
        <v/>
      </c>
      <c r="S52" s="13"/>
      <c r="T52" s="13"/>
      <c r="U52" s="14"/>
    </row>
    <row r="53" customFormat="false" ht="15" hidden="false" customHeight="false" outlineLevel="0" collapsed="false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9" t="str">
        <f aca="false">IF(K53="","",IFERROR(INDEX(Lists!$G$2:$G$5,MATCH(K53,Lists!$F$2:$F$5,0)),""))</f>
        <v/>
      </c>
      <c r="M53" s="14"/>
      <c r="N53" s="14"/>
      <c r="O53" s="14"/>
      <c r="P53" s="14"/>
      <c r="Q53" s="13"/>
      <c r="R53" s="17" t="str">
        <f aca="true">IF(OR(C53="",Q53=""),"",IF(OR(J53="Won",J53="Lost"),"",IF(Q53&lt;TODAY(),"OVERDUE",IF(Q53=TODAY(),"TODAY",""))))</f>
        <v/>
      </c>
      <c r="S53" s="13"/>
      <c r="T53" s="13"/>
      <c r="U53" s="14"/>
    </row>
    <row r="54" customFormat="false" ht="15" hidden="false" customHeight="false" outlineLevel="0" collapsed="false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9" t="str">
        <f aca="false">IF(K54="","",IFERROR(INDEX(Lists!$G$2:$G$5,MATCH(K54,Lists!$F$2:$F$5,0)),""))</f>
        <v/>
      </c>
      <c r="M54" s="14"/>
      <c r="N54" s="14"/>
      <c r="O54" s="14"/>
      <c r="P54" s="14"/>
      <c r="Q54" s="13"/>
      <c r="R54" s="17" t="str">
        <f aca="true">IF(OR(C54="",Q54=""),"",IF(OR(J54="Won",J54="Lost"),"",IF(Q54&lt;TODAY(),"OVERDUE",IF(Q54=TODAY(),"TODAY",""))))</f>
        <v/>
      </c>
      <c r="S54" s="13"/>
      <c r="T54" s="13"/>
      <c r="U54" s="14"/>
    </row>
    <row r="55" customFormat="false" ht="15" hidden="false" customHeight="false" outlineLevel="0" collapsed="false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9" t="str">
        <f aca="false">IF(K55="","",IFERROR(INDEX(Lists!$G$2:$G$5,MATCH(K55,Lists!$F$2:$F$5,0)),""))</f>
        <v/>
      </c>
      <c r="M55" s="14"/>
      <c r="N55" s="14"/>
      <c r="O55" s="14"/>
      <c r="P55" s="14"/>
      <c r="Q55" s="13"/>
      <c r="R55" s="17" t="str">
        <f aca="true">IF(OR(C55="",Q55=""),"",IF(OR(J55="Won",J55="Lost"),"",IF(Q55&lt;TODAY(),"OVERDUE",IF(Q55=TODAY(),"TODAY",""))))</f>
        <v/>
      </c>
      <c r="S55" s="13"/>
      <c r="T55" s="13"/>
      <c r="U55" s="14"/>
    </row>
    <row r="56" customFormat="false" ht="15" hidden="false" customHeight="false" outlineLevel="0" collapsed="false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9" t="str">
        <f aca="false">IF(K56="","",IFERROR(INDEX(Lists!$G$2:$G$5,MATCH(K56,Lists!$F$2:$F$5,0)),""))</f>
        <v/>
      </c>
      <c r="M56" s="14"/>
      <c r="N56" s="14"/>
      <c r="O56" s="14"/>
      <c r="P56" s="14"/>
      <c r="Q56" s="13"/>
      <c r="R56" s="17" t="str">
        <f aca="true">IF(OR(C56="",Q56=""),"",IF(OR(J56="Won",J56="Lost"),"",IF(Q56&lt;TODAY(),"OVERDUE",IF(Q56=TODAY(),"TODAY",""))))</f>
        <v/>
      </c>
      <c r="S56" s="13"/>
      <c r="T56" s="13"/>
      <c r="U56" s="14"/>
    </row>
    <row r="57" customFormat="false" ht="15" hidden="false" customHeight="false" outlineLevel="0" collapsed="false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9" t="str">
        <f aca="false">IF(K57="","",IFERROR(INDEX(Lists!$G$2:$G$5,MATCH(K57,Lists!$F$2:$F$5,0)),""))</f>
        <v/>
      </c>
      <c r="M57" s="14"/>
      <c r="N57" s="14"/>
      <c r="O57" s="14"/>
      <c r="P57" s="14"/>
      <c r="Q57" s="13"/>
      <c r="R57" s="17" t="str">
        <f aca="true">IF(OR(C57="",Q57=""),"",IF(OR(J57="Won",J57="Lost"),"",IF(Q57&lt;TODAY(),"OVERDUE",IF(Q57=TODAY(),"TODAY",""))))</f>
        <v/>
      </c>
      <c r="S57" s="13"/>
      <c r="T57" s="13"/>
      <c r="U57" s="14"/>
    </row>
    <row r="58" customFormat="false" ht="15" hidden="false" customHeight="false" outlineLevel="0" collapsed="false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9" t="str">
        <f aca="false">IF(K58="","",IFERROR(INDEX(Lists!$G$2:$G$5,MATCH(K58,Lists!$F$2:$F$5,0)),""))</f>
        <v/>
      </c>
      <c r="M58" s="14"/>
      <c r="N58" s="14"/>
      <c r="O58" s="14"/>
      <c r="P58" s="14"/>
      <c r="Q58" s="13"/>
      <c r="R58" s="17" t="str">
        <f aca="true">IF(OR(C58="",Q58=""),"",IF(OR(J58="Won",J58="Lost"),"",IF(Q58&lt;TODAY(),"OVERDUE",IF(Q58=TODAY(),"TODAY",""))))</f>
        <v/>
      </c>
      <c r="S58" s="13"/>
      <c r="T58" s="13"/>
      <c r="U58" s="14"/>
    </row>
    <row r="59" customFormat="false" ht="15" hidden="false" customHeight="false" outlineLevel="0" collapsed="false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9" t="str">
        <f aca="false">IF(K59="","",IFERROR(INDEX(Lists!$G$2:$G$5,MATCH(K59,Lists!$F$2:$F$5,0)),""))</f>
        <v/>
      </c>
      <c r="M59" s="14"/>
      <c r="N59" s="14"/>
      <c r="O59" s="14"/>
      <c r="P59" s="14"/>
      <c r="Q59" s="13"/>
      <c r="R59" s="17" t="str">
        <f aca="true">IF(OR(C59="",Q59=""),"",IF(OR(J59="Won",J59="Lost"),"",IF(Q59&lt;TODAY(),"OVERDUE",IF(Q59=TODAY(),"TODAY",""))))</f>
        <v/>
      </c>
      <c r="S59" s="13"/>
      <c r="T59" s="13"/>
      <c r="U59" s="14"/>
    </row>
    <row r="60" customFormat="false" ht="15" hidden="false" customHeight="false" outlineLevel="0" collapsed="false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9" t="str">
        <f aca="false">IF(K60="","",IFERROR(INDEX(Lists!$G$2:$G$5,MATCH(K60,Lists!$F$2:$F$5,0)),""))</f>
        <v/>
      </c>
      <c r="M60" s="14"/>
      <c r="N60" s="14"/>
      <c r="O60" s="14"/>
      <c r="P60" s="14"/>
      <c r="Q60" s="13"/>
      <c r="R60" s="17" t="str">
        <f aca="true">IF(OR(C60="",Q60=""),"",IF(OR(J60="Won",J60="Lost"),"",IF(Q60&lt;TODAY(),"OVERDUE",IF(Q60=TODAY(),"TODAY",""))))</f>
        <v/>
      </c>
      <c r="S60" s="13"/>
      <c r="T60" s="13"/>
      <c r="U60" s="14"/>
    </row>
    <row r="61" customFormat="false" ht="15" hidden="false" customHeight="false" outlineLevel="0" collapsed="false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9" t="str">
        <f aca="false">IF(K61="","",IFERROR(INDEX(Lists!$G$2:$G$5,MATCH(K61,Lists!$F$2:$F$5,0)),""))</f>
        <v/>
      </c>
      <c r="M61" s="14"/>
      <c r="N61" s="14"/>
      <c r="O61" s="14"/>
      <c r="P61" s="14"/>
      <c r="Q61" s="13"/>
      <c r="R61" s="17" t="str">
        <f aca="true">IF(OR(C61="",Q61=""),"",IF(OR(J61="Won",J61="Lost"),"",IF(Q61&lt;TODAY(),"OVERDUE",IF(Q61=TODAY(),"TODAY",""))))</f>
        <v/>
      </c>
      <c r="S61" s="13"/>
      <c r="T61" s="13"/>
      <c r="U61" s="14"/>
    </row>
    <row r="62" customFormat="false" ht="15" hidden="false" customHeight="false" outlineLevel="0" collapsed="false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9" t="str">
        <f aca="false">IF(K62="","",IFERROR(INDEX(Lists!$G$2:$G$5,MATCH(K62,Lists!$F$2:$F$5,0)),""))</f>
        <v/>
      </c>
      <c r="M62" s="14"/>
      <c r="N62" s="14"/>
      <c r="O62" s="14"/>
      <c r="P62" s="14"/>
      <c r="Q62" s="13"/>
      <c r="R62" s="17" t="str">
        <f aca="true">IF(OR(C62="",Q62=""),"",IF(OR(J62="Won",J62="Lost"),"",IF(Q62&lt;TODAY(),"OVERDUE",IF(Q62=TODAY(),"TODAY",""))))</f>
        <v/>
      </c>
      <c r="S62" s="13"/>
      <c r="T62" s="13"/>
      <c r="U62" s="14"/>
    </row>
    <row r="63" customFormat="false" ht="15" hidden="false" customHeight="false" outlineLevel="0" collapsed="false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9" t="str">
        <f aca="false">IF(K63="","",IFERROR(INDEX(Lists!$G$2:$G$5,MATCH(K63,Lists!$F$2:$F$5,0)),""))</f>
        <v/>
      </c>
      <c r="M63" s="14"/>
      <c r="N63" s="14"/>
      <c r="O63" s="14"/>
      <c r="P63" s="14"/>
      <c r="Q63" s="13"/>
      <c r="R63" s="17" t="str">
        <f aca="true">IF(OR(C63="",Q63=""),"",IF(OR(J63="Won",J63="Lost"),"",IF(Q63&lt;TODAY(),"OVERDUE",IF(Q63=TODAY(),"TODAY",""))))</f>
        <v/>
      </c>
      <c r="S63" s="13"/>
      <c r="T63" s="13"/>
      <c r="U63" s="14"/>
    </row>
    <row r="64" customFormat="false" ht="15" hidden="false" customHeight="false" outlineLevel="0" collapsed="false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9" t="str">
        <f aca="false">IF(K64="","",IFERROR(INDEX(Lists!$G$2:$G$5,MATCH(K64,Lists!$F$2:$F$5,0)),""))</f>
        <v/>
      </c>
      <c r="M64" s="14"/>
      <c r="N64" s="14"/>
      <c r="O64" s="14"/>
      <c r="P64" s="14"/>
      <c r="Q64" s="13"/>
      <c r="R64" s="17" t="str">
        <f aca="true">IF(OR(C64="",Q64=""),"",IF(OR(J64="Won",J64="Lost"),"",IF(Q64&lt;TODAY(),"OVERDUE",IF(Q64=TODAY(),"TODAY",""))))</f>
        <v/>
      </c>
      <c r="S64" s="13"/>
      <c r="T64" s="13"/>
      <c r="U64" s="14"/>
    </row>
    <row r="65" customFormat="false" ht="15" hidden="false" customHeight="false" outlineLevel="0" collapsed="false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9" t="str">
        <f aca="false">IF(K65="","",IFERROR(INDEX(Lists!$G$2:$G$5,MATCH(K65,Lists!$F$2:$F$5,0)),""))</f>
        <v/>
      </c>
      <c r="M65" s="14"/>
      <c r="N65" s="14"/>
      <c r="O65" s="14"/>
      <c r="P65" s="14"/>
      <c r="Q65" s="13"/>
      <c r="R65" s="17" t="str">
        <f aca="true">IF(OR(C65="",Q65=""),"",IF(OR(J65="Won",J65="Lost"),"",IF(Q65&lt;TODAY(),"OVERDUE",IF(Q65=TODAY(),"TODAY",""))))</f>
        <v/>
      </c>
      <c r="S65" s="13"/>
      <c r="T65" s="13"/>
      <c r="U65" s="14"/>
    </row>
    <row r="66" customFormat="false" ht="15" hidden="false" customHeight="false" outlineLevel="0" collapsed="false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9" t="str">
        <f aca="false">IF(K66="","",IFERROR(INDEX(Lists!$G$2:$G$5,MATCH(K66,Lists!$F$2:$F$5,0)),""))</f>
        <v/>
      </c>
      <c r="M66" s="14"/>
      <c r="N66" s="14"/>
      <c r="O66" s="14"/>
      <c r="P66" s="14"/>
      <c r="Q66" s="13"/>
      <c r="R66" s="17" t="str">
        <f aca="true">IF(OR(C66="",Q66=""),"",IF(OR(J66="Won",J66="Lost"),"",IF(Q66&lt;TODAY(),"OVERDUE",IF(Q66=TODAY(),"TODAY",""))))</f>
        <v/>
      </c>
      <c r="S66" s="13"/>
      <c r="T66" s="13"/>
      <c r="U66" s="14"/>
    </row>
    <row r="67" customFormat="false" ht="15" hidden="false" customHeight="false" outlineLevel="0" collapsed="false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9" t="str">
        <f aca="false">IF(K67="","",IFERROR(INDEX(Lists!$G$2:$G$5,MATCH(K67,Lists!$F$2:$F$5,0)),""))</f>
        <v/>
      </c>
      <c r="M67" s="14"/>
      <c r="N67" s="14"/>
      <c r="O67" s="14"/>
      <c r="P67" s="14"/>
      <c r="Q67" s="13"/>
      <c r="R67" s="17" t="str">
        <f aca="true">IF(OR(C67="",Q67=""),"",IF(OR(J67="Won",J67="Lost"),"",IF(Q67&lt;TODAY(),"OVERDUE",IF(Q67=TODAY(),"TODAY",""))))</f>
        <v/>
      </c>
      <c r="S67" s="13"/>
      <c r="T67" s="13"/>
      <c r="U67" s="14"/>
    </row>
    <row r="68" customFormat="false" ht="15" hidden="false" customHeight="false" outlineLevel="0" collapsed="false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9" t="str">
        <f aca="false">IF(K68="","",IFERROR(INDEX(Lists!$G$2:$G$5,MATCH(K68,Lists!$F$2:$F$5,0)),""))</f>
        <v/>
      </c>
      <c r="M68" s="14"/>
      <c r="N68" s="14"/>
      <c r="O68" s="14"/>
      <c r="P68" s="14"/>
      <c r="Q68" s="13"/>
      <c r="R68" s="17" t="str">
        <f aca="true">IF(OR(C68="",Q68=""),"",IF(OR(J68="Won",J68="Lost"),"",IF(Q68&lt;TODAY(),"OVERDUE",IF(Q68=TODAY(),"TODAY",""))))</f>
        <v/>
      </c>
      <c r="S68" s="13"/>
      <c r="T68" s="13"/>
      <c r="U68" s="14"/>
    </row>
    <row r="69" customFormat="false" ht="15" hidden="false" customHeight="false" outlineLevel="0" collapsed="false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9" t="str">
        <f aca="false">IF(K69="","",IFERROR(INDEX(Lists!$G$2:$G$5,MATCH(K69,Lists!$F$2:$F$5,0)),""))</f>
        <v/>
      </c>
      <c r="M69" s="14"/>
      <c r="N69" s="14"/>
      <c r="O69" s="14"/>
      <c r="P69" s="14"/>
      <c r="Q69" s="13"/>
      <c r="R69" s="17" t="str">
        <f aca="true">IF(OR(C69="",Q69=""),"",IF(OR(J69="Won",J69="Lost"),"",IF(Q69&lt;TODAY(),"OVERDUE",IF(Q69=TODAY(),"TODAY",""))))</f>
        <v/>
      </c>
      <c r="S69" s="13"/>
      <c r="T69" s="13"/>
      <c r="U69" s="14"/>
    </row>
    <row r="70" customFormat="false" ht="15" hidden="false" customHeight="false" outlineLevel="0" collapsed="false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9" t="str">
        <f aca="false">IF(K70="","",IFERROR(INDEX(Lists!$G$2:$G$5,MATCH(K70,Lists!$F$2:$F$5,0)),""))</f>
        <v/>
      </c>
      <c r="M70" s="14"/>
      <c r="N70" s="14"/>
      <c r="O70" s="14"/>
      <c r="P70" s="14"/>
      <c r="Q70" s="13"/>
      <c r="R70" s="17" t="str">
        <f aca="true">IF(OR(C70="",Q70=""),"",IF(OR(J70="Won",J70="Lost"),"",IF(Q70&lt;TODAY(),"OVERDUE",IF(Q70=TODAY(),"TODAY",""))))</f>
        <v/>
      </c>
      <c r="S70" s="13"/>
      <c r="T70" s="13"/>
      <c r="U70" s="14"/>
    </row>
    <row r="71" customFormat="false" ht="15" hidden="false" customHeight="false" outlineLevel="0" collapsed="false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9" t="str">
        <f aca="false">IF(K71="","",IFERROR(INDEX(Lists!$G$2:$G$5,MATCH(K71,Lists!$F$2:$F$5,0)),""))</f>
        <v/>
      </c>
      <c r="M71" s="14"/>
      <c r="N71" s="14"/>
      <c r="O71" s="14"/>
      <c r="P71" s="14"/>
      <c r="Q71" s="13"/>
      <c r="R71" s="17" t="str">
        <f aca="true">IF(OR(C71="",Q71=""),"",IF(OR(J71="Won",J71="Lost"),"",IF(Q71&lt;TODAY(),"OVERDUE",IF(Q71=TODAY(),"TODAY",""))))</f>
        <v/>
      </c>
      <c r="S71" s="13"/>
      <c r="T71" s="13"/>
      <c r="U71" s="14"/>
    </row>
    <row r="72" customFormat="false" ht="15" hidden="false" customHeight="false" outlineLevel="0" collapsed="false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9" t="str">
        <f aca="false">IF(K72="","",IFERROR(INDEX(Lists!$G$2:$G$5,MATCH(K72,Lists!$F$2:$F$5,0)),""))</f>
        <v/>
      </c>
      <c r="M72" s="14"/>
      <c r="N72" s="14"/>
      <c r="O72" s="14"/>
      <c r="P72" s="14"/>
      <c r="Q72" s="13"/>
      <c r="R72" s="17" t="str">
        <f aca="true">IF(OR(C72="",Q72=""),"",IF(OR(J72="Won",J72="Lost"),"",IF(Q72&lt;TODAY(),"OVERDUE",IF(Q72=TODAY(),"TODAY",""))))</f>
        <v/>
      </c>
      <c r="S72" s="13"/>
      <c r="T72" s="13"/>
      <c r="U72" s="14"/>
    </row>
    <row r="73" customFormat="false" ht="15" hidden="false" customHeight="false" outlineLevel="0" collapsed="false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9" t="str">
        <f aca="false">IF(K73="","",IFERROR(INDEX(Lists!$G$2:$G$5,MATCH(K73,Lists!$F$2:$F$5,0)),""))</f>
        <v/>
      </c>
      <c r="M73" s="14"/>
      <c r="N73" s="14"/>
      <c r="O73" s="14"/>
      <c r="P73" s="14"/>
      <c r="Q73" s="13"/>
      <c r="R73" s="17" t="str">
        <f aca="true">IF(OR(C73="",Q73=""),"",IF(OR(J73="Won",J73="Lost"),"",IF(Q73&lt;TODAY(),"OVERDUE",IF(Q73=TODAY(),"TODAY",""))))</f>
        <v/>
      </c>
      <c r="S73" s="13"/>
      <c r="T73" s="13"/>
      <c r="U73" s="14"/>
    </row>
    <row r="74" customFormat="false" ht="15" hidden="false" customHeight="false" outlineLevel="0" collapsed="false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9" t="str">
        <f aca="false">IF(K74="","",IFERROR(INDEX(Lists!$G$2:$G$5,MATCH(K74,Lists!$F$2:$F$5,0)),""))</f>
        <v/>
      </c>
      <c r="M74" s="14"/>
      <c r="N74" s="14"/>
      <c r="O74" s="14"/>
      <c r="P74" s="14"/>
      <c r="Q74" s="13"/>
      <c r="R74" s="17" t="str">
        <f aca="true">IF(OR(C74="",Q74=""),"",IF(OR(J74="Won",J74="Lost"),"",IF(Q74&lt;TODAY(),"OVERDUE",IF(Q74=TODAY(),"TODAY",""))))</f>
        <v/>
      </c>
      <c r="S74" s="13"/>
      <c r="T74" s="13"/>
      <c r="U74" s="14"/>
    </row>
    <row r="75" customFormat="false" ht="15" hidden="false" customHeight="false" outlineLevel="0" collapsed="false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9" t="str">
        <f aca="false">IF(K75="","",IFERROR(INDEX(Lists!$G$2:$G$5,MATCH(K75,Lists!$F$2:$F$5,0)),""))</f>
        <v/>
      </c>
      <c r="M75" s="14"/>
      <c r="N75" s="14"/>
      <c r="O75" s="14"/>
      <c r="P75" s="14"/>
      <c r="Q75" s="13"/>
      <c r="R75" s="17" t="str">
        <f aca="true">IF(OR(C75="",Q75=""),"",IF(OR(J75="Won",J75="Lost"),"",IF(Q75&lt;TODAY(),"OVERDUE",IF(Q75=TODAY(),"TODAY",""))))</f>
        <v/>
      </c>
      <c r="S75" s="13"/>
      <c r="T75" s="13"/>
      <c r="U75" s="14"/>
    </row>
    <row r="76" customFormat="false" ht="15" hidden="false" customHeight="false" outlineLevel="0" collapsed="false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9" t="str">
        <f aca="false">IF(K76="","",IFERROR(INDEX(Lists!$G$2:$G$5,MATCH(K76,Lists!$F$2:$F$5,0)),""))</f>
        <v/>
      </c>
      <c r="M76" s="14"/>
      <c r="N76" s="14"/>
      <c r="O76" s="14"/>
      <c r="P76" s="14"/>
      <c r="Q76" s="13"/>
      <c r="R76" s="17" t="str">
        <f aca="true">IF(OR(C76="",Q76=""),"",IF(OR(J76="Won",J76="Lost"),"",IF(Q76&lt;TODAY(),"OVERDUE",IF(Q76=TODAY(),"TODAY",""))))</f>
        <v/>
      </c>
      <c r="S76" s="13"/>
      <c r="T76" s="13"/>
      <c r="U76" s="14"/>
    </row>
    <row r="77" customFormat="false" ht="15" hidden="false" customHeight="false" outlineLevel="0" collapsed="false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9" t="str">
        <f aca="false">IF(K77="","",IFERROR(INDEX(Lists!$G$2:$G$5,MATCH(K77,Lists!$F$2:$F$5,0)),""))</f>
        <v/>
      </c>
      <c r="M77" s="14"/>
      <c r="N77" s="14"/>
      <c r="O77" s="14"/>
      <c r="P77" s="14"/>
      <c r="Q77" s="13"/>
      <c r="R77" s="17" t="str">
        <f aca="true">IF(OR(C77="",Q77=""),"",IF(OR(J77="Won",J77="Lost"),"",IF(Q77&lt;TODAY(),"OVERDUE",IF(Q77=TODAY(),"TODAY",""))))</f>
        <v/>
      </c>
      <c r="S77" s="13"/>
      <c r="T77" s="13"/>
      <c r="U77" s="14"/>
    </row>
    <row r="78" customFormat="false" ht="15" hidden="false" customHeight="false" outlineLevel="0" collapsed="false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9" t="str">
        <f aca="false">IF(K78="","",IFERROR(INDEX(Lists!$G$2:$G$5,MATCH(K78,Lists!$F$2:$F$5,0)),""))</f>
        <v/>
      </c>
      <c r="M78" s="14"/>
      <c r="N78" s="14"/>
      <c r="O78" s="14"/>
      <c r="P78" s="14"/>
      <c r="Q78" s="13"/>
      <c r="R78" s="17" t="str">
        <f aca="true">IF(OR(C78="",Q78=""),"",IF(OR(J78="Won",J78="Lost"),"",IF(Q78&lt;TODAY(),"OVERDUE",IF(Q78=TODAY(),"TODAY",""))))</f>
        <v/>
      </c>
      <c r="S78" s="13"/>
      <c r="T78" s="13"/>
      <c r="U78" s="14"/>
    </row>
    <row r="79" customFormat="false" ht="15" hidden="false" customHeight="false" outlineLevel="0" collapsed="false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9" t="str">
        <f aca="false">IF(K79="","",IFERROR(INDEX(Lists!$G$2:$G$5,MATCH(K79,Lists!$F$2:$F$5,0)),""))</f>
        <v/>
      </c>
      <c r="M79" s="14"/>
      <c r="N79" s="14"/>
      <c r="O79" s="14"/>
      <c r="P79" s="14"/>
      <c r="Q79" s="13"/>
      <c r="R79" s="17" t="str">
        <f aca="true">IF(OR(C79="",Q79=""),"",IF(OR(J79="Won",J79="Lost"),"",IF(Q79&lt;TODAY(),"OVERDUE",IF(Q79=TODAY(),"TODAY",""))))</f>
        <v/>
      </c>
      <c r="S79" s="13"/>
      <c r="T79" s="13"/>
      <c r="U79" s="14"/>
    </row>
    <row r="80" customFormat="false" ht="15" hidden="false" customHeight="false" outlineLevel="0" collapsed="false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9" t="str">
        <f aca="false">IF(K80="","",IFERROR(INDEX(Lists!$G$2:$G$5,MATCH(K80,Lists!$F$2:$F$5,0)),""))</f>
        <v/>
      </c>
      <c r="M80" s="14"/>
      <c r="N80" s="14"/>
      <c r="O80" s="14"/>
      <c r="P80" s="14"/>
      <c r="Q80" s="13"/>
      <c r="R80" s="17" t="str">
        <f aca="true">IF(OR(C80="",Q80=""),"",IF(OR(J80="Won",J80="Lost"),"",IF(Q80&lt;TODAY(),"OVERDUE",IF(Q80=TODAY(),"TODAY",""))))</f>
        <v/>
      </c>
      <c r="S80" s="13"/>
      <c r="T80" s="13"/>
      <c r="U80" s="14"/>
    </row>
    <row r="81" customFormat="false" ht="15" hidden="false" customHeight="false" outlineLevel="0" collapsed="false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9" t="str">
        <f aca="false">IF(K81="","",IFERROR(INDEX(Lists!$G$2:$G$5,MATCH(K81,Lists!$F$2:$F$5,0)),""))</f>
        <v/>
      </c>
      <c r="M81" s="14"/>
      <c r="N81" s="14"/>
      <c r="O81" s="14"/>
      <c r="P81" s="14"/>
      <c r="Q81" s="13"/>
      <c r="R81" s="17" t="str">
        <f aca="true">IF(OR(C81="",Q81=""),"",IF(OR(J81="Won",J81="Lost"),"",IF(Q81&lt;TODAY(),"OVERDUE",IF(Q81=TODAY(),"TODAY",""))))</f>
        <v/>
      </c>
      <c r="S81" s="13"/>
      <c r="T81" s="13"/>
      <c r="U81" s="14"/>
    </row>
    <row r="82" customFormat="false" ht="15" hidden="false" customHeight="false" outlineLevel="0" collapsed="false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9" t="str">
        <f aca="false">IF(K82="","",IFERROR(INDEX(Lists!$G$2:$G$5,MATCH(K82,Lists!$F$2:$F$5,0)),""))</f>
        <v/>
      </c>
      <c r="M82" s="14"/>
      <c r="N82" s="14"/>
      <c r="O82" s="14"/>
      <c r="P82" s="14"/>
      <c r="Q82" s="13"/>
      <c r="R82" s="17" t="str">
        <f aca="true">IF(OR(C82="",Q82=""),"",IF(OR(J82="Won",J82="Lost"),"",IF(Q82&lt;TODAY(),"OVERDUE",IF(Q82=TODAY(),"TODAY",""))))</f>
        <v/>
      </c>
      <c r="S82" s="13"/>
      <c r="T82" s="13"/>
      <c r="U82" s="14"/>
    </row>
    <row r="83" customFormat="false" ht="15" hidden="false" customHeight="false" outlineLevel="0" collapsed="false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9" t="str">
        <f aca="false">IF(K83="","",IFERROR(INDEX(Lists!$G$2:$G$5,MATCH(K83,Lists!$F$2:$F$5,0)),""))</f>
        <v/>
      </c>
      <c r="M83" s="14"/>
      <c r="N83" s="14"/>
      <c r="O83" s="14"/>
      <c r="P83" s="14"/>
      <c r="Q83" s="13"/>
      <c r="R83" s="17" t="str">
        <f aca="true">IF(OR(C83="",Q83=""),"",IF(OR(J83="Won",J83="Lost"),"",IF(Q83&lt;TODAY(),"OVERDUE",IF(Q83=TODAY(),"TODAY",""))))</f>
        <v/>
      </c>
      <c r="S83" s="13"/>
      <c r="T83" s="13"/>
      <c r="U83" s="14"/>
    </row>
    <row r="84" customFormat="false" ht="15" hidden="false" customHeight="false" outlineLevel="0" collapsed="false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9" t="str">
        <f aca="false">IF(K84="","",IFERROR(INDEX(Lists!$G$2:$G$5,MATCH(K84,Lists!$F$2:$F$5,0)),""))</f>
        <v/>
      </c>
      <c r="M84" s="14"/>
      <c r="N84" s="14"/>
      <c r="O84" s="14"/>
      <c r="P84" s="14"/>
      <c r="Q84" s="13"/>
      <c r="R84" s="17" t="str">
        <f aca="true">IF(OR(C84="",Q84=""),"",IF(OR(J84="Won",J84="Lost"),"",IF(Q84&lt;TODAY(),"OVERDUE",IF(Q84=TODAY(),"TODAY",""))))</f>
        <v/>
      </c>
      <c r="S84" s="13"/>
      <c r="T84" s="13"/>
      <c r="U84" s="14"/>
    </row>
    <row r="85" customFormat="false" ht="15" hidden="false" customHeight="false" outlineLevel="0" collapsed="false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9" t="str">
        <f aca="false">IF(K85="","",IFERROR(INDEX(Lists!$G$2:$G$5,MATCH(K85,Lists!$F$2:$F$5,0)),""))</f>
        <v/>
      </c>
      <c r="M85" s="14"/>
      <c r="N85" s="14"/>
      <c r="O85" s="14"/>
      <c r="P85" s="14"/>
      <c r="Q85" s="13"/>
      <c r="R85" s="17" t="str">
        <f aca="true">IF(OR(C85="",Q85=""),"",IF(OR(J85="Won",J85="Lost"),"",IF(Q85&lt;TODAY(),"OVERDUE",IF(Q85=TODAY(),"TODAY",""))))</f>
        <v/>
      </c>
      <c r="S85" s="13"/>
      <c r="T85" s="13"/>
      <c r="U85" s="14"/>
    </row>
    <row r="86" customFormat="false" ht="15" hidden="false" customHeight="false" outlineLevel="0" collapsed="false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9" t="str">
        <f aca="false">IF(K86="","",IFERROR(INDEX(Lists!$G$2:$G$5,MATCH(K86,Lists!$F$2:$F$5,0)),""))</f>
        <v/>
      </c>
      <c r="M86" s="14"/>
      <c r="N86" s="14"/>
      <c r="O86" s="14"/>
      <c r="P86" s="14"/>
      <c r="Q86" s="13"/>
      <c r="R86" s="17" t="str">
        <f aca="true">IF(OR(C86="",Q86=""),"",IF(OR(J86="Won",J86="Lost"),"",IF(Q86&lt;TODAY(),"OVERDUE",IF(Q86=TODAY(),"TODAY",""))))</f>
        <v/>
      </c>
      <c r="S86" s="13"/>
      <c r="T86" s="13"/>
      <c r="U86" s="14"/>
    </row>
    <row r="87" customFormat="false" ht="15" hidden="false" customHeight="false" outlineLevel="0" collapsed="false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9" t="str">
        <f aca="false">IF(K87="","",IFERROR(INDEX(Lists!$G$2:$G$5,MATCH(K87,Lists!$F$2:$F$5,0)),""))</f>
        <v/>
      </c>
      <c r="M87" s="14"/>
      <c r="N87" s="14"/>
      <c r="O87" s="14"/>
      <c r="P87" s="14"/>
      <c r="Q87" s="13"/>
      <c r="R87" s="17" t="str">
        <f aca="true">IF(OR(C87="",Q87=""),"",IF(OR(J87="Won",J87="Lost"),"",IF(Q87&lt;TODAY(),"OVERDUE",IF(Q87=TODAY(),"TODAY",""))))</f>
        <v/>
      </c>
      <c r="S87" s="13"/>
      <c r="T87" s="13"/>
      <c r="U87" s="14"/>
    </row>
    <row r="88" customFormat="false" ht="15" hidden="false" customHeight="false" outlineLevel="0" collapsed="false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9" t="str">
        <f aca="false">IF(K88="","",IFERROR(INDEX(Lists!$G$2:$G$5,MATCH(K88,Lists!$F$2:$F$5,0)),""))</f>
        <v/>
      </c>
      <c r="M88" s="14"/>
      <c r="N88" s="14"/>
      <c r="O88" s="14"/>
      <c r="P88" s="14"/>
      <c r="Q88" s="13"/>
      <c r="R88" s="17" t="str">
        <f aca="true">IF(OR(C88="",Q88=""),"",IF(OR(J88="Won",J88="Lost"),"",IF(Q88&lt;TODAY(),"OVERDUE",IF(Q88=TODAY(),"TODAY",""))))</f>
        <v/>
      </c>
      <c r="S88" s="13"/>
      <c r="T88" s="13"/>
      <c r="U88" s="14"/>
    </row>
    <row r="89" customFormat="false" ht="15" hidden="false" customHeight="false" outlineLevel="0" collapsed="false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9" t="str">
        <f aca="false">IF(K89="","",IFERROR(INDEX(Lists!$G$2:$G$5,MATCH(K89,Lists!$F$2:$F$5,0)),""))</f>
        <v/>
      </c>
      <c r="M89" s="14"/>
      <c r="N89" s="14"/>
      <c r="O89" s="14"/>
      <c r="P89" s="14"/>
      <c r="Q89" s="13"/>
      <c r="R89" s="17" t="str">
        <f aca="true">IF(OR(C89="",Q89=""),"",IF(OR(J89="Won",J89="Lost"),"",IF(Q89&lt;TODAY(),"OVERDUE",IF(Q89=TODAY(),"TODAY",""))))</f>
        <v/>
      </c>
      <c r="S89" s="13"/>
      <c r="T89" s="13"/>
      <c r="U89" s="14"/>
    </row>
    <row r="90" customFormat="false" ht="15" hidden="false" customHeight="false" outlineLevel="0" collapsed="false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9" t="str">
        <f aca="false">IF(K90="","",IFERROR(INDEX(Lists!$G$2:$G$5,MATCH(K90,Lists!$F$2:$F$5,0)),""))</f>
        <v/>
      </c>
      <c r="M90" s="14"/>
      <c r="N90" s="14"/>
      <c r="O90" s="14"/>
      <c r="P90" s="14"/>
      <c r="Q90" s="13"/>
      <c r="R90" s="17" t="str">
        <f aca="true">IF(OR(C90="",Q90=""),"",IF(OR(J90="Won",J90="Lost"),"",IF(Q90&lt;TODAY(),"OVERDUE",IF(Q90=TODAY(),"TODAY",""))))</f>
        <v/>
      </c>
      <c r="S90" s="13"/>
      <c r="T90" s="13"/>
      <c r="U90" s="14"/>
    </row>
    <row r="91" customFormat="false" ht="15" hidden="false" customHeight="false" outlineLevel="0" collapsed="false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9" t="str">
        <f aca="false">IF(K91="","",IFERROR(INDEX(Lists!$G$2:$G$5,MATCH(K91,Lists!$F$2:$F$5,0)),""))</f>
        <v/>
      </c>
      <c r="M91" s="14"/>
      <c r="N91" s="14"/>
      <c r="O91" s="14"/>
      <c r="P91" s="14"/>
      <c r="Q91" s="13"/>
      <c r="R91" s="17" t="str">
        <f aca="true">IF(OR(C91="",Q91=""),"",IF(OR(J91="Won",J91="Lost"),"",IF(Q91&lt;TODAY(),"OVERDUE",IF(Q91=TODAY(),"TODAY",""))))</f>
        <v/>
      </c>
      <c r="S91" s="13"/>
      <c r="T91" s="13"/>
      <c r="U91" s="14"/>
    </row>
    <row r="92" customFormat="false" ht="15" hidden="false" customHeight="false" outlineLevel="0" collapsed="false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9" t="str">
        <f aca="false">IF(K92="","",IFERROR(INDEX(Lists!$G$2:$G$5,MATCH(K92,Lists!$F$2:$F$5,0)),""))</f>
        <v/>
      </c>
      <c r="M92" s="14"/>
      <c r="N92" s="14"/>
      <c r="O92" s="14"/>
      <c r="P92" s="14"/>
      <c r="Q92" s="13"/>
      <c r="R92" s="17" t="str">
        <f aca="true">IF(OR(C92="",Q92=""),"",IF(OR(J92="Won",J92="Lost"),"",IF(Q92&lt;TODAY(),"OVERDUE",IF(Q92=TODAY(),"TODAY",""))))</f>
        <v/>
      </c>
      <c r="S92" s="13"/>
      <c r="T92" s="13"/>
      <c r="U92" s="14"/>
    </row>
    <row r="93" customFormat="false" ht="15" hidden="false" customHeight="false" outlineLevel="0" collapsed="false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9" t="str">
        <f aca="false">IF(K93="","",IFERROR(INDEX(Lists!$G$2:$G$5,MATCH(K93,Lists!$F$2:$F$5,0)),""))</f>
        <v/>
      </c>
      <c r="M93" s="14"/>
      <c r="N93" s="14"/>
      <c r="O93" s="14"/>
      <c r="P93" s="14"/>
      <c r="Q93" s="13"/>
      <c r="R93" s="17" t="str">
        <f aca="true">IF(OR(C93="",Q93=""),"",IF(OR(J93="Won",J93="Lost"),"",IF(Q93&lt;TODAY(),"OVERDUE",IF(Q93=TODAY(),"TODAY",""))))</f>
        <v/>
      </c>
      <c r="S93" s="13"/>
      <c r="T93" s="13"/>
      <c r="U93" s="14"/>
    </row>
    <row r="94" customFormat="false" ht="15" hidden="false" customHeight="false" outlineLevel="0" collapsed="false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9" t="str">
        <f aca="false">IF(K94="","",IFERROR(INDEX(Lists!$G$2:$G$5,MATCH(K94,Lists!$F$2:$F$5,0)),""))</f>
        <v/>
      </c>
      <c r="M94" s="14"/>
      <c r="N94" s="14"/>
      <c r="O94" s="14"/>
      <c r="P94" s="14"/>
      <c r="Q94" s="13"/>
      <c r="R94" s="17" t="str">
        <f aca="true">IF(OR(C94="",Q94=""),"",IF(OR(J94="Won",J94="Lost"),"",IF(Q94&lt;TODAY(),"OVERDUE",IF(Q94=TODAY(),"TODAY",""))))</f>
        <v/>
      </c>
      <c r="S94" s="13"/>
      <c r="T94" s="13"/>
      <c r="U94" s="14"/>
    </row>
    <row r="95" customFormat="false" ht="15" hidden="false" customHeight="false" outlineLevel="0" collapsed="false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9" t="str">
        <f aca="false">IF(K95="","",IFERROR(INDEX(Lists!$G$2:$G$5,MATCH(K95,Lists!$F$2:$F$5,0)),""))</f>
        <v/>
      </c>
      <c r="M95" s="14"/>
      <c r="N95" s="14"/>
      <c r="O95" s="14"/>
      <c r="P95" s="14"/>
      <c r="Q95" s="13"/>
      <c r="R95" s="17" t="str">
        <f aca="true">IF(OR(C95="",Q95=""),"",IF(OR(J95="Won",J95="Lost"),"",IF(Q95&lt;TODAY(),"OVERDUE",IF(Q95=TODAY(),"TODAY",""))))</f>
        <v/>
      </c>
      <c r="S95" s="13"/>
      <c r="T95" s="13"/>
      <c r="U95" s="14"/>
    </row>
    <row r="96" customFormat="false" ht="15" hidden="false" customHeight="false" outlineLevel="0" collapsed="false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9" t="str">
        <f aca="false">IF(K96="","",IFERROR(INDEX(Lists!$G$2:$G$5,MATCH(K96,Lists!$F$2:$F$5,0)),""))</f>
        <v/>
      </c>
      <c r="M96" s="14"/>
      <c r="N96" s="14"/>
      <c r="O96" s="14"/>
      <c r="P96" s="14"/>
      <c r="Q96" s="13"/>
      <c r="R96" s="17" t="str">
        <f aca="true">IF(OR(C96="",Q96=""),"",IF(OR(J96="Won",J96="Lost"),"",IF(Q96&lt;TODAY(),"OVERDUE",IF(Q96=TODAY(),"TODAY",""))))</f>
        <v/>
      </c>
      <c r="S96" s="13"/>
      <c r="T96" s="13"/>
      <c r="U96" s="14"/>
    </row>
    <row r="97" customFormat="false" ht="15" hidden="false" customHeight="false" outlineLevel="0" collapsed="false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9" t="str">
        <f aca="false">IF(K97="","",IFERROR(INDEX(Lists!$G$2:$G$5,MATCH(K97,Lists!$F$2:$F$5,0)),""))</f>
        <v/>
      </c>
      <c r="M97" s="14"/>
      <c r="N97" s="14"/>
      <c r="O97" s="14"/>
      <c r="P97" s="14"/>
      <c r="Q97" s="13"/>
      <c r="R97" s="17" t="str">
        <f aca="true">IF(OR(C97="",Q97=""),"",IF(OR(J97="Won",J97="Lost"),"",IF(Q97&lt;TODAY(),"OVERDUE",IF(Q97=TODAY(),"TODAY",""))))</f>
        <v/>
      </c>
      <c r="S97" s="13"/>
      <c r="T97" s="13"/>
      <c r="U97" s="14"/>
    </row>
    <row r="98" customFormat="false" ht="15" hidden="false" customHeight="false" outlineLevel="0" collapsed="false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9" t="str">
        <f aca="false">IF(K98="","",IFERROR(INDEX(Lists!$G$2:$G$5,MATCH(K98,Lists!$F$2:$F$5,0)),""))</f>
        <v/>
      </c>
      <c r="M98" s="14"/>
      <c r="N98" s="14"/>
      <c r="O98" s="14"/>
      <c r="P98" s="14"/>
      <c r="Q98" s="13"/>
      <c r="R98" s="17" t="str">
        <f aca="true">IF(OR(C98="",Q98=""),"",IF(OR(J98="Won",J98="Lost"),"",IF(Q98&lt;TODAY(),"OVERDUE",IF(Q98=TODAY(),"TODAY",""))))</f>
        <v/>
      </c>
      <c r="S98" s="13"/>
      <c r="T98" s="13"/>
      <c r="U98" s="14"/>
    </row>
    <row r="99" customFormat="false" ht="15" hidden="false" customHeight="false" outlineLevel="0" collapsed="false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9" t="str">
        <f aca="false">IF(K99="","",IFERROR(INDEX(Lists!$G$2:$G$5,MATCH(K99,Lists!$F$2:$F$5,0)),""))</f>
        <v/>
      </c>
      <c r="M99" s="14"/>
      <c r="N99" s="14"/>
      <c r="O99" s="14"/>
      <c r="P99" s="14"/>
      <c r="Q99" s="13"/>
      <c r="R99" s="17" t="str">
        <f aca="true">IF(OR(C99="",Q99=""),"",IF(OR(J99="Won",J99="Lost"),"",IF(Q99&lt;TODAY(),"OVERDUE",IF(Q99=TODAY(),"TODAY",""))))</f>
        <v/>
      </c>
      <c r="S99" s="13"/>
      <c r="T99" s="13"/>
      <c r="U99" s="14"/>
    </row>
    <row r="100" customFormat="false" ht="15" hidden="false" customHeight="false" outlineLevel="0" collapsed="false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9" t="str">
        <f aca="false">IF(K100="","",IFERROR(INDEX(Lists!$G$2:$G$5,MATCH(K100,Lists!$F$2:$F$5,0)),""))</f>
        <v/>
      </c>
      <c r="M100" s="14"/>
      <c r="N100" s="14"/>
      <c r="O100" s="14"/>
      <c r="P100" s="14"/>
      <c r="Q100" s="13"/>
      <c r="R100" s="17" t="str">
        <f aca="true">IF(OR(C100="",Q100=""),"",IF(OR(J100="Won",J100="Lost"),"",IF(Q100&lt;TODAY(),"OVERDUE",IF(Q100=TODAY(),"TODAY",""))))</f>
        <v/>
      </c>
      <c r="S100" s="13"/>
      <c r="T100" s="13"/>
      <c r="U100" s="14"/>
    </row>
    <row r="101" customFormat="false" ht="15" hidden="false" customHeight="false" outlineLevel="0" collapsed="false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9" t="str">
        <f aca="false">IF(K101="","",IFERROR(INDEX(Lists!$G$2:$G$5,MATCH(K101,Lists!$F$2:$F$5,0)),""))</f>
        <v/>
      </c>
      <c r="M101" s="14"/>
      <c r="N101" s="14"/>
      <c r="O101" s="14"/>
      <c r="P101" s="14"/>
      <c r="Q101" s="13"/>
      <c r="R101" s="17" t="str">
        <f aca="true">IF(OR(C101="",Q101=""),"",IF(OR(J101="Won",J101="Lost"),"",IF(Q101&lt;TODAY(),"OVERDUE",IF(Q101=TODAY(),"TODAY",""))))</f>
        <v/>
      </c>
      <c r="S101" s="13"/>
      <c r="T101" s="13"/>
      <c r="U101" s="14"/>
    </row>
    <row r="102" customFormat="false" ht="15" hidden="false" customHeight="false" outlineLevel="0" collapsed="false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9" t="str">
        <f aca="false">IF(K102="","",IFERROR(INDEX(Lists!$G$2:$G$5,MATCH(K102,Lists!$F$2:$F$5,0)),""))</f>
        <v/>
      </c>
      <c r="M102" s="14"/>
      <c r="N102" s="14"/>
      <c r="O102" s="14"/>
      <c r="P102" s="14"/>
      <c r="Q102" s="13"/>
      <c r="R102" s="17" t="str">
        <f aca="true">IF(OR(C102="",Q102=""),"",IF(OR(J102="Won",J102="Lost"),"",IF(Q102&lt;TODAY(),"OVERDUE",IF(Q102=TODAY(),"TODAY",""))))</f>
        <v/>
      </c>
      <c r="S102" s="13"/>
      <c r="T102" s="13"/>
      <c r="U102" s="14"/>
    </row>
    <row r="103" customFormat="false" ht="15" hidden="false" customHeight="false" outlineLevel="0" collapsed="false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9" t="str">
        <f aca="false">IF(K103="","",IFERROR(INDEX(Lists!$G$2:$G$5,MATCH(K103,Lists!$F$2:$F$5,0)),""))</f>
        <v/>
      </c>
      <c r="M103" s="14"/>
      <c r="N103" s="14"/>
      <c r="O103" s="14"/>
      <c r="P103" s="14"/>
      <c r="Q103" s="13"/>
      <c r="R103" s="17" t="str">
        <f aca="true">IF(OR(C103="",Q103=""),"",IF(OR(J103="Won",J103="Lost"),"",IF(Q103&lt;TODAY(),"OVERDUE",IF(Q103=TODAY(),"TODAY",""))))</f>
        <v/>
      </c>
      <c r="S103" s="13"/>
      <c r="T103" s="13"/>
      <c r="U103" s="14"/>
    </row>
    <row r="104" customFormat="false" ht="15" hidden="false" customHeight="false" outlineLevel="0" collapsed="false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9" t="str">
        <f aca="false">IF(K104="","",IFERROR(INDEX(Lists!$G$2:$G$5,MATCH(K104,Lists!$F$2:$F$5,0)),""))</f>
        <v/>
      </c>
      <c r="M104" s="14"/>
      <c r="N104" s="14"/>
      <c r="O104" s="14"/>
      <c r="P104" s="14"/>
      <c r="Q104" s="13"/>
      <c r="R104" s="17" t="str">
        <f aca="true">IF(OR(C104="",Q104=""),"",IF(OR(J104="Won",J104="Lost"),"",IF(Q104&lt;TODAY(),"OVERDUE",IF(Q104=TODAY(),"TODAY",""))))</f>
        <v/>
      </c>
      <c r="S104" s="13"/>
      <c r="T104" s="13"/>
      <c r="U104" s="14"/>
    </row>
    <row r="105" customFormat="false" ht="15" hidden="false" customHeight="false" outlineLevel="0" collapsed="false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9" t="str">
        <f aca="false">IF(K105="","",IFERROR(INDEX(Lists!$G$2:$G$5,MATCH(K105,Lists!$F$2:$F$5,0)),""))</f>
        <v/>
      </c>
      <c r="M105" s="14"/>
      <c r="N105" s="14"/>
      <c r="O105" s="14"/>
      <c r="P105" s="14"/>
      <c r="Q105" s="13"/>
      <c r="R105" s="17" t="str">
        <f aca="true">IF(OR(C105="",Q105=""),"",IF(OR(J105="Won",J105="Lost"),"",IF(Q105&lt;TODAY(),"OVERDUE",IF(Q105=TODAY(),"TODAY",""))))</f>
        <v/>
      </c>
      <c r="S105" s="13"/>
      <c r="T105" s="13"/>
      <c r="U105" s="14"/>
    </row>
    <row r="106" customFormat="false" ht="15" hidden="false" customHeight="false" outlineLevel="0" collapsed="false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9" t="str">
        <f aca="false">IF(K106="","",IFERROR(INDEX(Lists!$G$2:$G$5,MATCH(K106,Lists!$F$2:$F$5,0)),""))</f>
        <v/>
      </c>
      <c r="M106" s="14"/>
      <c r="N106" s="14"/>
      <c r="O106" s="14"/>
      <c r="P106" s="14"/>
      <c r="Q106" s="13"/>
      <c r="R106" s="17" t="str">
        <f aca="true">IF(OR(C106="",Q106=""),"",IF(OR(J106="Won",J106="Lost"),"",IF(Q106&lt;TODAY(),"OVERDUE",IF(Q106=TODAY(),"TODAY",""))))</f>
        <v/>
      </c>
      <c r="S106" s="13"/>
      <c r="T106" s="13"/>
      <c r="U106" s="14"/>
    </row>
    <row r="107" customFormat="false" ht="15" hidden="false" customHeight="false" outlineLevel="0" collapsed="false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9" t="str">
        <f aca="false">IF(K107="","",IFERROR(INDEX(Lists!$G$2:$G$5,MATCH(K107,Lists!$F$2:$F$5,0)),""))</f>
        <v/>
      </c>
      <c r="M107" s="14"/>
      <c r="N107" s="14"/>
      <c r="O107" s="14"/>
      <c r="P107" s="14"/>
      <c r="Q107" s="13"/>
      <c r="R107" s="17" t="str">
        <f aca="true">IF(OR(C107="",Q107=""),"",IF(OR(J107="Won",J107="Lost"),"",IF(Q107&lt;TODAY(),"OVERDUE",IF(Q107=TODAY(),"TODAY",""))))</f>
        <v/>
      </c>
      <c r="S107" s="13"/>
      <c r="T107" s="13"/>
      <c r="U107" s="14"/>
    </row>
    <row r="108" customFormat="false" ht="15" hidden="false" customHeight="false" outlineLevel="0" collapsed="false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9" t="str">
        <f aca="false">IF(K108="","",IFERROR(INDEX(Lists!$G$2:$G$5,MATCH(K108,Lists!$F$2:$F$5,0)),""))</f>
        <v/>
      </c>
      <c r="M108" s="14"/>
      <c r="N108" s="14"/>
      <c r="O108" s="14"/>
      <c r="P108" s="14"/>
      <c r="Q108" s="13"/>
      <c r="R108" s="17" t="str">
        <f aca="true">IF(OR(C108="",Q108=""),"",IF(OR(J108="Won",J108="Lost"),"",IF(Q108&lt;TODAY(),"OVERDUE",IF(Q108=TODAY(),"TODAY",""))))</f>
        <v/>
      </c>
      <c r="S108" s="13"/>
      <c r="T108" s="13"/>
      <c r="U108" s="14"/>
    </row>
    <row r="109" customFormat="false" ht="15" hidden="false" customHeight="false" outlineLevel="0" collapsed="false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9" t="str">
        <f aca="false">IF(K109="","",IFERROR(INDEX(Lists!$G$2:$G$5,MATCH(K109,Lists!$F$2:$F$5,0)),""))</f>
        <v/>
      </c>
      <c r="M109" s="14"/>
      <c r="N109" s="14"/>
      <c r="O109" s="14"/>
      <c r="P109" s="14"/>
      <c r="Q109" s="13"/>
      <c r="R109" s="17" t="str">
        <f aca="true">IF(OR(C109="",Q109=""),"",IF(OR(J109="Won",J109="Lost"),"",IF(Q109&lt;TODAY(),"OVERDUE",IF(Q109=TODAY(),"TODAY",""))))</f>
        <v/>
      </c>
      <c r="S109" s="13"/>
      <c r="T109" s="13"/>
      <c r="U109" s="14"/>
    </row>
    <row r="110" customFormat="false" ht="15" hidden="false" customHeight="false" outlineLevel="0" collapsed="false">
      <c r="A110" s="13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9" t="str">
        <f aca="false">IF(K110="","",IFERROR(INDEX(Lists!$G$2:$G$5,MATCH(K110,Lists!$F$2:$F$5,0)),""))</f>
        <v/>
      </c>
      <c r="M110" s="14"/>
      <c r="N110" s="14"/>
      <c r="O110" s="14"/>
      <c r="P110" s="14"/>
      <c r="Q110" s="13"/>
      <c r="R110" s="17" t="str">
        <f aca="true">IF(OR(C110="",Q110=""),"",IF(OR(J110="Won",J110="Lost"),"",IF(Q110&lt;TODAY(),"OVERDUE",IF(Q110=TODAY(),"TODAY",""))))</f>
        <v/>
      </c>
      <c r="S110" s="13"/>
      <c r="T110" s="13"/>
      <c r="U110" s="14"/>
    </row>
    <row r="111" customFormat="false" ht="15" hidden="false" customHeight="false" outlineLevel="0" collapsed="false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9" t="str">
        <f aca="false">IF(K111="","",IFERROR(INDEX(Lists!$G$2:$G$5,MATCH(K111,Lists!$F$2:$F$5,0)),""))</f>
        <v/>
      </c>
      <c r="M111" s="14"/>
      <c r="N111" s="14"/>
      <c r="O111" s="14"/>
      <c r="P111" s="14"/>
      <c r="Q111" s="13"/>
      <c r="R111" s="17" t="str">
        <f aca="true">IF(OR(C111="",Q111=""),"",IF(OR(J111="Won",J111="Lost"),"",IF(Q111&lt;TODAY(),"OVERDUE",IF(Q111=TODAY(),"TODAY",""))))</f>
        <v/>
      </c>
      <c r="S111" s="13"/>
      <c r="T111" s="13"/>
      <c r="U111" s="14"/>
    </row>
    <row r="112" customFormat="false" ht="15" hidden="false" customHeight="false" outlineLevel="0" collapsed="false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9" t="str">
        <f aca="false">IF(K112="","",IFERROR(INDEX(Lists!$G$2:$G$5,MATCH(K112,Lists!$F$2:$F$5,0)),""))</f>
        <v/>
      </c>
      <c r="M112" s="14"/>
      <c r="N112" s="14"/>
      <c r="O112" s="14"/>
      <c r="P112" s="14"/>
      <c r="Q112" s="13"/>
      <c r="R112" s="17" t="str">
        <f aca="true">IF(OR(C112="",Q112=""),"",IF(OR(J112="Won",J112="Lost"),"",IF(Q112&lt;TODAY(),"OVERDUE",IF(Q112=TODAY(),"TODAY",""))))</f>
        <v/>
      </c>
      <c r="S112" s="13"/>
      <c r="T112" s="13"/>
      <c r="U112" s="14"/>
    </row>
    <row r="113" customFormat="false" ht="15" hidden="false" customHeight="false" outlineLevel="0" collapsed="false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9" t="str">
        <f aca="false">IF(K113="","",IFERROR(INDEX(Lists!$G$2:$G$5,MATCH(K113,Lists!$F$2:$F$5,0)),""))</f>
        <v/>
      </c>
      <c r="M113" s="14"/>
      <c r="N113" s="14"/>
      <c r="O113" s="14"/>
      <c r="P113" s="14"/>
      <c r="Q113" s="13"/>
      <c r="R113" s="17" t="str">
        <f aca="true">IF(OR(C113="",Q113=""),"",IF(OR(J113="Won",J113="Lost"),"",IF(Q113&lt;TODAY(),"OVERDUE",IF(Q113=TODAY(),"TODAY",""))))</f>
        <v/>
      </c>
      <c r="S113" s="13"/>
      <c r="T113" s="13"/>
      <c r="U113" s="14"/>
    </row>
    <row r="114" customFormat="false" ht="15" hidden="false" customHeight="false" outlineLevel="0" collapsed="false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9" t="str">
        <f aca="false">IF(K114="","",IFERROR(INDEX(Lists!$G$2:$G$5,MATCH(K114,Lists!$F$2:$F$5,0)),""))</f>
        <v/>
      </c>
      <c r="M114" s="14"/>
      <c r="N114" s="14"/>
      <c r="O114" s="14"/>
      <c r="P114" s="14"/>
      <c r="Q114" s="13"/>
      <c r="R114" s="17" t="str">
        <f aca="true">IF(OR(C114="",Q114=""),"",IF(OR(J114="Won",J114="Lost"),"",IF(Q114&lt;TODAY(),"OVERDUE",IF(Q114=TODAY(),"TODAY",""))))</f>
        <v/>
      </c>
      <c r="S114" s="13"/>
      <c r="T114" s="13"/>
      <c r="U114" s="14"/>
    </row>
    <row r="115" customFormat="false" ht="15" hidden="false" customHeight="false" outlineLevel="0" collapsed="false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9" t="str">
        <f aca="false">IF(K115="","",IFERROR(INDEX(Lists!$G$2:$G$5,MATCH(K115,Lists!$F$2:$F$5,0)),""))</f>
        <v/>
      </c>
      <c r="M115" s="14"/>
      <c r="N115" s="14"/>
      <c r="O115" s="14"/>
      <c r="P115" s="14"/>
      <c r="Q115" s="13"/>
      <c r="R115" s="17" t="str">
        <f aca="true">IF(OR(C115="",Q115=""),"",IF(OR(J115="Won",J115="Lost"),"",IF(Q115&lt;TODAY(),"OVERDUE",IF(Q115=TODAY(),"TODAY",""))))</f>
        <v/>
      </c>
      <c r="S115" s="13"/>
      <c r="T115" s="13"/>
      <c r="U115" s="14"/>
    </row>
    <row r="116" customFormat="false" ht="15" hidden="false" customHeight="false" outlineLevel="0" collapsed="false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9" t="str">
        <f aca="false">IF(K116="","",IFERROR(INDEX(Lists!$G$2:$G$5,MATCH(K116,Lists!$F$2:$F$5,0)),""))</f>
        <v/>
      </c>
      <c r="M116" s="14"/>
      <c r="N116" s="14"/>
      <c r="O116" s="14"/>
      <c r="P116" s="14"/>
      <c r="Q116" s="13"/>
      <c r="R116" s="17" t="str">
        <f aca="true">IF(OR(C116="",Q116=""),"",IF(OR(J116="Won",J116="Lost"),"",IF(Q116&lt;TODAY(),"OVERDUE",IF(Q116=TODAY(),"TODAY",""))))</f>
        <v/>
      </c>
      <c r="S116" s="13"/>
      <c r="T116" s="13"/>
      <c r="U116" s="14"/>
    </row>
    <row r="117" customFormat="false" ht="15" hidden="false" customHeight="false" outlineLevel="0" collapsed="false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9" t="str">
        <f aca="false">IF(K117="","",IFERROR(INDEX(Lists!$G$2:$G$5,MATCH(K117,Lists!$F$2:$F$5,0)),""))</f>
        <v/>
      </c>
      <c r="M117" s="14"/>
      <c r="N117" s="14"/>
      <c r="O117" s="14"/>
      <c r="P117" s="14"/>
      <c r="Q117" s="13"/>
      <c r="R117" s="17" t="str">
        <f aca="true">IF(OR(C117="",Q117=""),"",IF(OR(J117="Won",J117="Lost"),"",IF(Q117&lt;TODAY(),"OVERDUE",IF(Q117=TODAY(),"TODAY",""))))</f>
        <v/>
      </c>
      <c r="S117" s="13"/>
      <c r="T117" s="13"/>
      <c r="U117" s="14"/>
    </row>
    <row r="118" customFormat="false" ht="15" hidden="false" customHeight="false" outlineLevel="0" collapsed="false">
      <c r="A118" s="13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9" t="str">
        <f aca="false">IF(K118="","",IFERROR(INDEX(Lists!$G$2:$G$5,MATCH(K118,Lists!$F$2:$F$5,0)),""))</f>
        <v/>
      </c>
      <c r="M118" s="14"/>
      <c r="N118" s="14"/>
      <c r="O118" s="14"/>
      <c r="P118" s="14"/>
      <c r="Q118" s="13"/>
      <c r="R118" s="17" t="str">
        <f aca="true">IF(OR(C118="",Q118=""),"",IF(OR(J118="Won",J118="Lost"),"",IF(Q118&lt;TODAY(),"OVERDUE",IF(Q118=TODAY(),"TODAY",""))))</f>
        <v/>
      </c>
      <c r="S118" s="13"/>
      <c r="T118" s="13"/>
      <c r="U118" s="14"/>
    </row>
    <row r="119" customFormat="false" ht="15" hidden="false" customHeight="false" outlineLevel="0" collapsed="false">
      <c r="A119" s="13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9" t="str">
        <f aca="false">IF(K119="","",IFERROR(INDEX(Lists!$G$2:$G$5,MATCH(K119,Lists!$F$2:$F$5,0)),""))</f>
        <v/>
      </c>
      <c r="M119" s="14"/>
      <c r="N119" s="14"/>
      <c r="O119" s="14"/>
      <c r="P119" s="14"/>
      <c r="Q119" s="13"/>
      <c r="R119" s="17" t="str">
        <f aca="true">IF(OR(C119="",Q119=""),"",IF(OR(J119="Won",J119="Lost"),"",IF(Q119&lt;TODAY(),"OVERDUE",IF(Q119=TODAY(),"TODAY",""))))</f>
        <v/>
      </c>
      <c r="S119" s="13"/>
      <c r="T119" s="13"/>
      <c r="U119" s="14"/>
    </row>
    <row r="120" customFormat="false" ht="15" hidden="false" customHeight="false" outlineLevel="0" collapsed="false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9" t="str">
        <f aca="false">IF(K120="","",IFERROR(INDEX(Lists!$G$2:$G$5,MATCH(K120,Lists!$F$2:$F$5,0)),""))</f>
        <v/>
      </c>
      <c r="M120" s="14"/>
      <c r="N120" s="14"/>
      <c r="O120" s="14"/>
      <c r="P120" s="14"/>
      <c r="Q120" s="13"/>
      <c r="R120" s="17" t="str">
        <f aca="true">IF(OR(C120="",Q120=""),"",IF(OR(J120="Won",J120="Lost"),"",IF(Q120&lt;TODAY(),"OVERDUE",IF(Q120=TODAY(),"TODAY",""))))</f>
        <v/>
      </c>
      <c r="S120" s="13"/>
      <c r="T120" s="13"/>
      <c r="U120" s="14"/>
    </row>
    <row r="121" customFormat="false" ht="15" hidden="false" customHeight="false" outlineLevel="0" collapsed="false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9" t="str">
        <f aca="false">IF(K121="","",IFERROR(INDEX(Lists!$G$2:$G$5,MATCH(K121,Lists!$F$2:$F$5,0)),""))</f>
        <v/>
      </c>
      <c r="M121" s="14"/>
      <c r="N121" s="14"/>
      <c r="O121" s="14"/>
      <c r="P121" s="14"/>
      <c r="Q121" s="13"/>
      <c r="R121" s="17" t="str">
        <f aca="true">IF(OR(C121="",Q121=""),"",IF(OR(J121="Won",J121="Lost"),"",IF(Q121&lt;TODAY(),"OVERDUE",IF(Q121=TODAY(),"TODAY",""))))</f>
        <v/>
      </c>
      <c r="S121" s="13"/>
      <c r="T121" s="13"/>
      <c r="U121" s="14"/>
    </row>
    <row r="122" customFormat="false" ht="15" hidden="false" customHeight="false" outlineLevel="0" collapsed="false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9" t="str">
        <f aca="false">IF(K122="","",IFERROR(INDEX(Lists!$G$2:$G$5,MATCH(K122,Lists!$F$2:$F$5,0)),""))</f>
        <v/>
      </c>
      <c r="M122" s="14"/>
      <c r="N122" s="14"/>
      <c r="O122" s="14"/>
      <c r="P122" s="14"/>
      <c r="Q122" s="13"/>
      <c r="R122" s="17" t="str">
        <f aca="true">IF(OR(C122="",Q122=""),"",IF(OR(J122="Won",J122="Lost"),"",IF(Q122&lt;TODAY(),"OVERDUE",IF(Q122=TODAY(),"TODAY",""))))</f>
        <v/>
      </c>
      <c r="S122" s="13"/>
      <c r="T122" s="13"/>
      <c r="U122" s="14"/>
    </row>
    <row r="123" customFormat="false" ht="15" hidden="false" customHeight="false" outlineLevel="0" collapsed="false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9" t="str">
        <f aca="false">IF(K123="","",IFERROR(INDEX(Lists!$G$2:$G$5,MATCH(K123,Lists!$F$2:$F$5,0)),""))</f>
        <v/>
      </c>
      <c r="M123" s="14"/>
      <c r="N123" s="14"/>
      <c r="O123" s="14"/>
      <c r="P123" s="14"/>
      <c r="Q123" s="13"/>
      <c r="R123" s="17" t="str">
        <f aca="true">IF(OR(C123="",Q123=""),"",IF(OR(J123="Won",J123="Lost"),"",IF(Q123&lt;TODAY(),"OVERDUE",IF(Q123=TODAY(),"TODAY",""))))</f>
        <v/>
      </c>
      <c r="S123" s="13"/>
      <c r="T123" s="13"/>
      <c r="U123" s="14"/>
    </row>
    <row r="124" customFormat="false" ht="15" hidden="false" customHeight="false" outlineLevel="0" collapsed="false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9" t="str">
        <f aca="false">IF(K124="","",IFERROR(INDEX(Lists!$G$2:$G$5,MATCH(K124,Lists!$F$2:$F$5,0)),""))</f>
        <v/>
      </c>
      <c r="M124" s="14"/>
      <c r="N124" s="14"/>
      <c r="O124" s="14"/>
      <c r="P124" s="14"/>
      <c r="Q124" s="13"/>
      <c r="R124" s="17" t="str">
        <f aca="true">IF(OR(C124="",Q124=""),"",IF(OR(J124="Won",J124="Lost"),"",IF(Q124&lt;TODAY(),"OVERDUE",IF(Q124=TODAY(),"TODAY",""))))</f>
        <v/>
      </c>
      <c r="S124" s="13"/>
      <c r="T124" s="13"/>
      <c r="U124" s="14"/>
    </row>
    <row r="125" customFormat="false" ht="15" hidden="false" customHeight="false" outlineLevel="0" collapsed="false">
      <c r="A125" s="13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9" t="str">
        <f aca="false">IF(K125="","",IFERROR(INDEX(Lists!$G$2:$G$5,MATCH(K125,Lists!$F$2:$F$5,0)),""))</f>
        <v/>
      </c>
      <c r="M125" s="14"/>
      <c r="N125" s="14"/>
      <c r="O125" s="14"/>
      <c r="P125" s="14"/>
      <c r="Q125" s="13"/>
      <c r="R125" s="17" t="str">
        <f aca="true">IF(OR(C125="",Q125=""),"",IF(OR(J125="Won",J125="Lost"),"",IF(Q125&lt;TODAY(),"OVERDUE",IF(Q125=TODAY(),"TODAY",""))))</f>
        <v/>
      </c>
      <c r="S125" s="13"/>
      <c r="T125" s="13"/>
      <c r="U125" s="14"/>
    </row>
    <row r="126" customFormat="false" ht="15" hidden="false" customHeight="false" outlineLevel="0" collapsed="false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9" t="str">
        <f aca="false">IF(K126="","",IFERROR(INDEX(Lists!$G$2:$G$5,MATCH(K126,Lists!$F$2:$F$5,0)),""))</f>
        <v/>
      </c>
      <c r="M126" s="14"/>
      <c r="N126" s="14"/>
      <c r="O126" s="14"/>
      <c r="P126" s="14"/>
      <c r="Q126" s="13"/>
      <c r="R126" s="17" t="str">
        <f aca="true">IF(OR(C126="",Q126=""),"",IF(OR(J126="Won",J126="Lost"),"",IF(Q126&lt;TODAY(),"OVERDUE",IF(Q126=TODAY(),"TODAY",""))))</f>
        <v/>
      </c>
      <c r="S126" s="13"/>
      <c r="T126" s="13"/>
      <c r="U126" s="14"/>
    </row>
    <row r="127" customFormat="false" ht="15" hidden="false" customHeight="false" outlineLevel="0" collapsed="false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9" t="str">
        <f aca="false">IF(K127="","",IFERROR(INDEX(Lists!$G$2:$G$5,MATCH(K127,Lists!$F$2:$F$5,0)),""))</f>
        <v/>
      </c>
      <c r="M127" s="14"/>
      <c r="N127" s="14"/>
      <c r="O127" s="14"/>
      <c r="P127" s="14"/>
      <c r="Q127" s="13"/>
      <c r="R127" s="17" t="str">
        <f aca="true">IF(OR(C127="",Q127=""),"",IF(OR(J127="Won",J127="Lost"),"",IF(Q127&lt;TODAY(),"OVERDUE",IF(Q127=TODAY(),"TODAY",""))))</f>
        <v/>
      </c>
      <c r="S127" s="13"/>
      <c r="T127" s="13"/>
      <c r="U127" s="14"/>
    </row>
    <row r="128" customFormat="false" ht="15" hidden="false" customHeight="false" outlineLevel="0" collapsed="false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9" t="str">
        <f aca="false">IF(K128="","",IFERROR(INDEX(Lists!$G$2:$G$5,MATCH(K128,Lists!$F$2:$F$5,0)),""))</f>
        <v/>
      </c>
      <c r="M128" s="14"/>
      <c r="N128" s="14"/>
      <c r="O128" s="14"/>
      <c r="P128" s="14"/>
      <c r="Q128" s="13"/>
      <c r="R128" s="17" t="str">
        <f aca="true">IF(OR(C128="",Q128=""),"",IF(OR(J128="Won",J128="Lost"),"",IF(Q128&lt;TODAY(),"OVERDUE",IF(Q128=TODAY(),"TODAY",""))))</f>
        <v/>
      </c>
      <c r="S128" s="13"/>
      <c r="T128" s="13"/>
      <c r="U128" s="14"/>
    </row>
    <row r="129" customFormat="false" ht="15" hidden="false" customHeight="false" outlineLevel="0" collapsed="false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9" t="str">
        <f aca="false">IF(K129="","",IFERROR(INDEX(Lists!$G$2:$G$5,MATCH(K129,Lists!$F$2:$F$5,0)),""))</f>
        <v/>
      </c>
      <c r="M129" s="14"/>
      <c r="N129" s="14"/>
      <c r="O129" s="14"/>
      <c r="P129" s="14"/>
      <c r="Q129" s="13"/>
      <c r="R129" s="17" t="str">
        <f aca="true">IF(OR(C129="",Q129=""),"",IF(OR(J129="Won",J129="Lost"),"",IF(Q129&lt;TODAY(),"OVERDUE",IF(Q129=TODAY(),"TODAY",""))))</f>
        <v/>
      </c>
      <c r="S129" s="13"/>
      <c r="T129" s="13"/>
      <c r="U129" s="14"/>
    </row>
    <row r="130" customFormat="false" ht="15" hidden="false" customHeight="false" outlineLevel="0" collapsed="false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9" t="str">
        <f aca="false">IF(K130="","",IFERROR(INDEX(Lists!$G$2:$G$5,MATCH(K130,Lists!$F$2:$F$5,0)),""))</f>
        <v/>
      </c>
      <c r="M130" s="14"/>
      <c r="N130" s="14"/>
      <c r="O130" s="14"/>
      <c r="P130" s="14"/>
      <c r="Q130" s="13"/>
      <c r="R130" s="17" t="str">
        <f aca="true">IF(OR(C130="",Q130=""),"",IF(OR(J130="Won",J130="Lost"),"",IF(Q130&lt;TODAY(),"OVERDUE",IF(Q130=TODAY(),"TODAY",""))))</f>
        <v/>
      </c>
      <c r="S130" s="13"/>
      <c r="T130" s="13"/>
      <c r="U130" s="14"/>
    </row>
    <row r="131" customFormat="false" ht="15" hidden="false" customHeight="false" outlineLevel="0" collapsed="false">
      <c r="A131" s="13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9" t="str">
        <f aca="false">IF(K131="","",IFERROR(INDEX(Lists!$G$2:$G$5,MATCH(K131,Lists!$F$2:$F$5,0)),""))</f>
        <v/>
      </c>
      <c r="M131" s="14"/>
      <c r="N131" s="14"/>
      <c r="O131" s="14"/>
      <c r="P131" s="14"/>
      <c r="Q131" s="13"/>
      <c r="R131" s="17" t="str">
        <f aca="true">IF(OR(C131="",Q131=""),"",IF(OR(J131="Won",J131="Lost"),"",IF(Q131&lt;TODAY(),"OVERDUE",IF(Q131=TODAY(),"TODAY",""))))</f>
        <v/>
      </c>
      <c r="S131" s="13"/>
      <c r="T131" s="13"/>
      <c r="U131" s="14"/>
    </row>
    <row r="132" customFormat="false" ht="15" hidden="false" customHeight="false" outlineLevel="0" collapsed="false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9" t="str">
        <f aca="false">IF(K132="","",IFERROR(INDEX(Lists!$G$2:$G$5,MATCH(K132,Lists!$F$2:$F$5,0)),""))</f>
        <v/>
      </c>
      <c r="M132" s="14"/>
      <c r="N132" s="14"/>
      <c r="O132" s="14"/>
      <c r="P132" s="14"/>
      <c r="Q132" s="13"/>
      <c r="R132" s="17" t="str">
        <f aca="true">IF(OR(C132="",Q132=""),"",IF(OR(J132="Won",J132="Lost"),"",IF(Q132&lt;TODAY(),"OVERDUE",IF(Q132=TODAY(),"TODAY",""))))</f>
        <v/>
      </c>
      <c r="S132" s="13"/>
      <c r="T132" s="13"/>
      <c r="U132" s="14"/>
    </row>
    <row r="133" customFormat="false" ht="15" hidden="false" customHeight="false" outlineLevel="0" collapsed="false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9" t="str">
        <f aca="false">IF(K133="","",IFERROR(INDEX(Lists!$G$2:$G$5,MATCH(K133,Lists!$F$2:$F$5,0)),""))</f>
        <v/>
      </c>
      <c r="M133" s="14"/>
      <c r="N133" s="14"/>
      <c r="O133" s="14"/>
      <c r="P133" s="14"/>
      <c r="Q133" s="13"/>
      <c r="R133" s="17" t="str">
        <f aca="true">IF(OR(C133="",Q133=""),"",IF(OR(J133="Won",J133="Lost"),"",IF(Q133&lt;TODAY(),"OVERDUE",IF(Q133=TODAY(),"TODAY",""))))</f>
        <v/>
      </c>
      <c r="S133" s="13"/>
      <c r="T133" s="13"/>
      <c r="U133" s="14"/>
    </row>
    <row r="134" customFormat="false" ht="15" hidden="false" customHeight="false" outlineLevel="0" collapsed="false">
      <c r="A134" s="13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9" t="str">
        <f aca="false">IF(K134="","",IFERROR(INDEX(Lists!$G$2:$G$5,MATCH(K134,Lists!$F$2:$F$5,0)),""))</f>
        <v/>
      </c>
      <c r="M134" s="14"/>
      <c r="N134" s="14"/>
      <c r="O134" s="14"/>
      <c r="P134" s="14"/>
      <c r="Q134" s="13"/>
      <c r="R134" s="17" t="str">
        <f aca="true">IF(OR(C134="",Q134=""),"",IF(OR(J134="Won",J134="Lost"),"",IF(Q134&lt;TODAY(),"OVERDUE",IF(Q134=TODAY(),"TODAY",""))))</f>
        <v/>
      </c>
      <c r="S134" s="13"/>
      <c r="T134" s="13"/>
      <c r="U134" s="14"/>
    </row>
    <row r="135" customFormat="false" ht="15" hidden="false" customHeight="false" outlineLevel="0" collapsed="false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9" t="str">
        <f aca="false">IF(K135="","",IFERROR(INDEX(Lists!$G$2:$G$5,MATCH(K135,Lists!$F$2:$F$5,0)),""))</f>
        <v/>
      </c>
      <c r="M135" s="14"/>
      <c r="N135" s="14"/>
      <c r="O135" s="14"/>
      <c r="P135" s="14"/>
      <c r="Q135" s="13"/>
      <c r="R135" s="17" t="str">
        <f aca="true">IF(OR(C135="",Q135=""),"",IF(OR(J135="Won",J135="Lost"),"",IF(Q135&lt;TODAY(),"OVERDUE",IF(Q135=TODAY(),"TODAY",""))))</f>
        <v/>
      </c>
      <c r="S135" s="13"/>
      <c r="T135" s="13"/>
      <c r="U135" s="14"/>
    </row>
    <row r="136" customFormat="false" ht="15" hidden="false" customHeight="false" outlineLevel="0" collapsed="false">
      <c r="A136" s="13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9" t="str">
        <f aca="false">IF(K136="","",IFERROR(INDEX(Lists!$G$2:$G$5,MATCH(K136,Lists!$F$2:$F$5,0)),""))</f>
        <v/>
      </c>
      <c r="M136" s="14"/>
      <c r="N136" s="14"/>
      <c r="O136" s="14"/>
      <c r="P136" s="14"/>
      <c r="Q136" s="13"/>
      <c r="R136" s="17" t="str">
        <f aca="true">IF(OR(C136="",Q136=""),"",IF(OR(J136="Won",J136="Lost"),"",IF(Q136&lt;TODAY(),"OVERDUE",IF(Q136=TODAY(),"TODAY",""))))</f>
        <v/>
      </c>
      <c r="S136" s="13"/>
      <c r="T136" s="13"/>
      <c r="U136" s="14"/>
    </row>
    <row r="137" customFormat="false" ht="15" hidden="false" customHeight="false" outlineLevel="0" collapsed="false">
      <c r="A137" s="13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9" t="str">
        <f aca="false">IF(K137="","",IFERROR(INDEX(Lists!$G$2:$G$5,MATCH(K137,Lists!$F$2:$F$5,0)),""))</f>
        <v/>
      </c>
      <c r="M137" s="14"/>
      <c r="N137" s="14"/>
      <c r="O137" s="14"/>
      <c r="P137" s="14"/>
      <c r="Q137" s="13"/>
      <c r="R137" s="17" t="str">
        <f aca="true">IF(OR(C137="",Q137=""),"",IF(OR(J137="Won",J137="Lost"),"",IF(Q137&lt;TODAY(),"OVERDUE",IF(Q137=TODAY(),"TODAY",""))))</f>
        <v/>
      </c>
      <c r="S137" s="13"/>
      <c r="T137" s="13"/>
      <c r="U137" s="14"/>
    </row>
    <row r="138" customFormat="false" ht="15" hidden="false" customHeight="false" outlineLevel="0" collapsed="false">
      <c r="A138" s="13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9" t="str">
        <f aca="false">IF(K138="","",IFERROR(INDEX(Lists!$G$2:$G$5,MATCH(K138,Lists!$F$2:$F$5,0)),""))</f>
        <v/>
      </c>
      <c r="M138" s="14"/>
      <c r="N138" s="14"/>
      <c r="O138" s="14"/>
      <c r="P138" s="14"/>
      <c r="Q138" s="13"/>
      <c r="R138" s="17" t="str">
        <f aca="true">IF(OR(C138="",Q138=""),"",IF(OR(J138="Won",J138="Lost"),"",IF(Q138&lt;TODAY(),"OVERDUE",IF(Q138=TODAY(),"TODAY",""))))</f>
        <v/>
      </c>
      <c r="S138" s="13"/>
      <c r="T138" s="13"/>
      <c r="U138" s="14"/>
    </row>
    <row r="139" customFormat="false" ht="15" hidden="false" customHeight="false" outlineLevel="0" collapsed="false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9" t="str">
        <f aca="false">IF(K139="","",IFERROR(INDEX(Lists!$G$2:$G$5,MATCH(K139,Lists!$F$2:$F$5,0)),""))</f>
        <v/>
      </c>
      <c r="M139" s="14"/>
      <c r="N139" s="14"/>
      <c r="O139" s="14"/>
      <c r="P139" s="14"/>
      <c r="Q139" s="13"/>
      <c r="R139" s="17" t="str">
        <f aca="true">IF(OR(C139="",Q139=""),"",IF(OR(J139="Won",J139="Lost"),"",IF(Q139&lt;TODAY(),"OVERDUE",IF(Q139=TODAY(),"TODAY",""))))</f>
        <v/>
      </c>
      <c r="S139" s="13"/>
      <c r="T139" s="13"/>
      <c r="U139" s="14"/>
    </row>
    <row r="140" customFormat="false" ht="15" hidden="false" customHeight="false" outlineLevel="0" collapsed="false">
      <c r="A140" s="13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9" t="str">
        <f aca="false">IF(K140="","",IFERROR(INDEX(Lists!$G$2:$G$5,MATCH(K140,Lists!$F$2:$F$5,0)),""))</f>
        <v/>
      </c>
      <c r="M140" s="14"/>
      <c r="N140" s="14"/>
      <c r="O140" s="14"/>
      <c r="P140" s="14"/>
      <c r="Q140" s="13"/>
      <c r="R140" s="17" t="str">
        <f aca="true">IF(OR(C140="",Q140=""),"",IF(OR(J140="Won",J140="Lost"),"",IF(Q140&lt;TODAY(),"OVERDUE",IF(Q140=TODAY(),"TODAY",""))))</f>
        <v/>
      </c>
      <c r="S140" s="13"/>
      <c r="T140" s="13"/>
      <c r="U140" s="14"/>
    </row>
    <row r="141" customFormat="false" ht="15" hidden="false" customHeight="false" outlineLevel="0" collapsed="false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9" t="str">
        <f aca="false">IF(K141="","",IFERROR(INDEX(Lists!$G$2:$G$5,MATCH(K141,Lists!$F$2:$F$5,0)),""))</f>
        <v/>
      </c>
      <c r="M141" s="14"/>
      <c r="N141" s="14"/>
      <c r="O141" s="14"/>
      <c r="P141" s="14"/>
      <c r="Q141" s="13"/>
      <c r="R141" s="17" t="str">
        <f aca="true">IF(OR(C141="",Q141=""),"",IF(OR(J141="Won",J141="Lost"),"",IF(Q141&lt;TODAY(),"OVERDUE",IF(Q141=TODAY(),"TODAY",""))))</f>
        <v/>
      </c>
      <c r="S141" s="13"/>
      <c r="T141" s="13"/>
      <c r="U141" s="14"/>
    </row>
    <row r="142" customFormat="false" ht="15" hidden="false" customHeight="false" outlineLevel="0" collapsed="false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9" t="str">
        <f aca="false">IF(K142="","",IFERROR(INDEX(Lists!$G$2:$G$5,MATCH(K142,Lists!$F$2:$F$5,0)),""))</f>
        <v/>
      </c>
      <c r="M142" s="14"/>
      <c r="N142" s="14"/>
      <c r="O142" s="14"/>
      <c r="P142" s="14"/>
      <c r="Q142" s="13"/>
      <c r="R142" s="17" t="str">
        <f aca="true">IF(OR(C142="",Q142=""),"",IF(OR(J142="Won",J142="Lost"),"",IF(Q142&lt;TODAY(),"OVERDUE",IF(Q142=TODAY(),"TODAY",""))))</f>
        <v/>
      </c>
      <c r="S142" s="13"/>
      <c r="T142" s="13"/>
      <c r="U142" s="14"/>
    </row>
    <row r="143" customFormat="false" ht="15" hidden="false" customHeight="false" outlineLevel="0" collapsed="false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9" t="str">
        <f aca="false">IF(K143="","",IFERROR(INDEX(Lists!$G$2:$G$5,MATCH(K143,Lists!$F$2:$F$5,0)),""))</f>
        <v/>
      </c>
      <c r="M143" s="14"/>
      <c r="N143" s="14"/>
      <c r="O143" s="14"/>
      <c r="P143" s="14"/>
      <c r="Q143" s="13"/>
      <c r="R143" s="17" t="str">
        <f aca="true">IF(OR(C143="",Q143=""),"",IF(OR(J143="Won",J143="Lost"),"",IF(Q143&lt;TODAY(),"OVERDUE",IF(Q143=TODAY(),"TODAY",""))))</f>
        <v/>
      </c>
      <c r="S143" s="13"/>
      <c r="T143" s="13"/>
      <c r="U143" s="14"/>
    </row>
    <row r="144" customFormat="false" ht="15" hidden="false" customHeight="false" outlineLevel="0" collapsed="false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9" t="str">
        <f aca="false">IF(K144="","",IFERROR(INDEX(Lists!$G$2:$G$5,MATCH(K144,Lists!$F$2:$F$5,0)),""))</f>
        <v/>
      </c>
      <c r="M144" s="14"/>
      <c r="N144" s="14"/>
      <c r="O144" s="14"/>
      <c r="P144" s="14"/>
      <c r="Q144" s="13"/>
      <c r="R144" s="17" t="str">
        <f aca="true">IF(OR(C144="",Q144=""),"",IF(OR(J144="Won",J144="Lost"),"",IF(Q144&lt;TODAY(),"OVERDUE",IF(Q144=TODAY(),"TODAY",""))))</f>
        <v/>
      </c>
      <c r="S144" s="13"/>
      <c r="T144" s="13"/>
      <c r="U144" s="14"/>
    </row>
    <row r="145" customFormat="false" ht="15" hidden="false" customHeight="false" outlineLevel="0" collapsed="false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9" t="str">
        <f aca="false">IF(K145="","",IFERROR(INDEX(Lists!$G$2:$G$5,MATCH(K145,Lists!$F$2:$F$5,0)),""))</f>
        <v/>
      </c>
      <c r="M145" s="14"/>
      <c r="N145" s="14"/>
      <c r="O145" s="14"/>
      <c r="P145" s="14"/>
      <c r="Q145" s="13"/>
      <c r="R145" s="17" t="str">
        <f aca="true">IF(OR(C145="",Q145=""),"",IF(OR(J145="Won",J145="Lost"),"",IF(Q145&lt;TODAY(),"OVERDUE",IF(Q145=TODAY(),"TODAY",""))))</f>
        <v/>
      </c>
      <c r="S145" s="13"/>
      <c r="T145" s="13"/>
      <c r="U145" s="14"/>
    </row>
    <row r="146" customFormat="false" ht="15" hidden="false" customHeight="false" outlineLevel="0" collapsed="false">
      <c r="A146" s="13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9" t="str">
        <f aca="false">IF(K146="","",IFERROR(INDEX(Lists!$G$2:$G$5,MATCH(K146,Lists!$F$2:$F$5,0)),""))</f>
        <v/>
      </c>
      <c r="M146" s="14"/>
      <c r="N146" s="14"/>
      <c r="O146" s="14"/>
      <c r="P146" s="14"/>
      <c r="Q146" s="13"/>
      <c r="R146" s="17" t="str">
        <f aca="true">IF(OR(C146="",Q146=""),"",IF(OR(J146="Won",J146="Lost"),"",IF(Q146&lt;TODAY(),"OVERDUE",IF(Q146=TODAY(),"TODAY",""))))</f>
        <v/>
      </c>
      <c r="S146" s="13"/>
      <c r="T146" s="13"/>
      <c r="U146" s="14"/>
    </row>
    <row r="147" customFormat="false" ht="15" hidden="false" customHeight="false" outlineLevel="0" collapsed="false">
      <c r="A147" s="13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9" t="str">
        <f aca="false">IF(K147="","",IFERROR(INDEX(Lists!$G$2:$G$5,MATCH(K147,Lists!$F$2:$F$5,0)),""))</f>
        <v/>
      </c>
      <c r="M147" s="14"/>
      <c r="N147" s="14"/>
      <c r="O147" s="14"/>
      <c r="P147" s="14"/>
      <c r="Q147" s="13"/>
      <c r="R147" s="17" t="str">
        <f aca="true">IF(OR(C147="",Q147=""),"",IF(OR(J147="Won",J147="Lost"),"",IF(Q147&lt;TODAY(),"OVERDUE",IF(Q147=TODAY(),"TODAY",""))))</f>
        <v/>
      </c>
      <c r="S147" s="13"/>
      <c r="T147" s="13"/>
      <c r="U147" s="14"/>
    </row>
    <row r="148" customFormat="false" ht="15" hidden="false" customHeight="false" outlineLevel="0" collapsed="false">
      <c r="A148" s="13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9" t="str">
        <f aca="false">IF(K148="","",IFERROR(INDEX(Lists!$G$2:$G$5,MATCH(K148,Lists!$F$2:$F$5,0)),""))</f>
        <v/>
      </c>
      <c r="M148" s="14"/>
      <c r="N148" s="14"/>
      <c r="O148" s="14"/>
      <c r="P148" s="14"/>
      <c r="Q148" s="13"/>
      <c r="R148" s="17" t="str">
        <f aca="true">IF(OR(C148="",Q148=""),"",IF(OR(J148="Won",J148="Lost"),"",IF(Q148&lt;TODAY(),"OVERDUE",IF(Q148=TODAY(),"TODAY",""))))</f>
        <v/>
      </c>
      <c r="S148" s="13"/>
      <c r="T148" s="13"/>
      <c r="U148" s="14"/>
    </row>
    <row r="149" customFormat="false" ht="15" hidden="false" customHeight="false" outlineLevel="0" collapsed="false">
      <c r="A149" s="13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9" t="str">
        <f aca="false">IF(K149="","",IFERROR(INDEX(Lists!$G$2:$G$5,MATCH(K149,Lists!$F$2:$F$5,0)),""))</f>
        <v/>
      </c>
      <c r="M149" s="14"/>
      <c r="N149" s="14"/>
      <c r="O149" s="14"/>
      <c r="P149" s="14"/>
      <c r="Q149" s="13"/>
      <c r="R149" s="17" t="str">
        <f aca="true">IF(OR(C149="",Q149=""),"",IF(OR(J149="Won",J149="Lost"),"",IF(Q149&lt;TODAY(),"OVERDUE",IF(Q149=TODAY(),"TODAY",""))))</f>
        <v/>
      </c>
      <c r="S149" s="13"/>
      <c r="T149" s="13"/>
      <c r="U149" s="14"/>
    </row>
    <row r="150" customFormat="false" ht="15" hidden="false" customHeight="false" outlineLevel="0" collapsed="false">
      <c r="A150" s="13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9" t="str">
        <f aca="false">IF(K150="","",IFERROR(INDEX(Lists!$G$2:$G$5,MATCH(K150,Lists!$F$2:$F$5,0)),""))</f>
        <v/>
      </c>
      <c r="M150" s="14"/>
      <c r="N150" s="14"/>
      <c r="O150" s="14"/>
      <c r="P150" s="14"/>
      <c r="Q150" s="13"/>
      <c r="R150" s="17" t="str">
        <f aca="true">IF(OR(C150="",Q150=""),"",IF(OR(J150="Won",J150="Lost"),"",IF(Q150&lt;TODAY(),"OVERDUE",IF(Q150=TODAY(),"TODAY",""))))</f>
        <v/>
      </c>
      <c r="S150" s="13"/>
      <c r="T150" s="13"/>
      <c r="U150" s="14"/>
    </row>
    <row r="151" customFormat="false" ht="15" hidden="false" customHeight="false" outlineLevel="0" collapsed="false">
      <c r="A151" s="13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9" t="str">
        <f aca="false">IF(K151="","",IFERROR(INDEX(Lists!$G$2:$G$5,MATCH(K151,Lists!$F$2:$F$5,0)),""))</f>
        <v/>
      </c>
      <c r="M151" s="14"/>
      <c r="N151" s="14"/>
      <c r="O151" s="14"/>
      <c r="P151" s="14"/>
      <c r="Q151" s="13"/>
      <c r="R151" s="17" t="str">
        <f aca="true">IF(OR(C151="",Q151=""),"",IF(OR(J151="Won",J151="Lost"),"",IF(Q151&lt;TODAY(),"OVERDUE",IF(Q151=TODAY(),"TODAY",""))))</f>
        <v/>
      </c>
      <c r="S151" s="13"/>
      <c r="T151" s="13"/>
      <c r="U151" s="14"/>
    </row>
    <row r="152" customFormat="false" ht="15" hidden="false" customHeight="false" outlineLevel="0" collapsed="false">
      <c r="A152" s="13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9" t="str">
        <f aca="false">IF(K152="","",IFERROR(INDEX(Lists!$G$2:$G$5,MATCH(K152,Lists!$F$2:$F$5,0)),""))</f>
        <v/>
      </c>
      <c r="M152" s="14"/>
      <c r="N152" s="14"/>
      <c r="O152" s="14"/>
      <c r="P152" s="14"/>
      <c r="Q152" s="13"/>
      <c r="R152" s="17" t="str">
        <f aca="true">IF(OR(C152="",Q152=""),"",IF(OR(J152="Won",J152="Lost"),"",IF(Q152&lt;TODAY(),"OVERDUE",IF(Q152=TODAY(),"TODAY",""))))</f>
        <v/>
      </c>
      <c r="S152" s="13"/>
      <c r="T152" s="13"/>
      <c r="U152" s="14"/>
    </row>
    <row r="153" customFormat="false" ht="15" hidden="false" customHeight="false" outlineLevel="0" collapsed="false">
      <c r="A153" s="13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9" t="str">
        <f aca="false">IF(K153="","",IFERROR(INDEX(Lists!$G$2:$G$5,MATCH(K153,Lists!$F$2:$F$5,0)),""))</f>
        <v/>
      </c>
      <c r="M153" s="14"/>
      <c r="N153" s="14"/>
      <c r="O153" s="14"/>
      <c r="P153" s="14"/>
      <c r="Q153" s="13"/>
      <c r="R153" s="17" t="str">
        <f aca="true">IF(OR(C153="",Q153=""),"",IF(OR(J153="Won",J153="Lost"),"",IF(Q153&lt;TODAY(),"OVERDUE",IF(Q153=TODAY(),"TODAY",""))))</f>
        <v/>
      </c>
      <c r="S153" s="13"/>
      <c r="T153" s="13"/>
      <c r="U153" s="14"/>
    </row>
    <row r="154" customFormat="false" ht="15" hidden="false" customHeight="false" outlineLevel="0" collapsed="false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9" t="str">
        <f aca="false">IF(K154="","",IFERROR(INDEX(Lists!$G$2:$G$5,MATCH(K154,Lists!$F$2:$F$5,0)),""))</f>
        <v/>
      </c>
      <c r="M154" s="14"/>
      <c r="N154" s="14"/>
      <c r="O154" s="14"/>
      <c r="P154" s="14"/>
      <c r="Q154" s="13"/>
      <c r="R154" s="17" t="str">
        <f aca="true">IF(OR(C154="",Q154=""),"",IF(OR(J154="Won",J154="Lost"),"",IF(Q154&lt;TODAY(),"OVERDUE",IF(Q154=TODAY(),"TODAY",""))))</f>
        <v/>
      </c>
      <c r="S154" s="13"/>
      <c r="T154" s="13"/>
      <c r="U154" s="14"/>
    </row>
    <row r="155" customFormat="false" ht="15" hidden="false" customHeight="false" outlineLevel="0" collapsed="false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9" t="str">
        <f aca="false">IF(K155="","",IFERROR(INDEX(Lists!$G$2:$G$5,MATCH(K155,Lists!$F$2:$F$5,0)),""))</f>
        <v/>
      </c>
      <c r="M155" s="14"/>
      <c r="N155" s="14"/>
      <c r="O155" s="14"/>
      <c r="P155" s="14"/>
      <c r="Q155" s="13"/>
      <c r="R155" s="17" t="str">
        <f aca="true">IF(OR(C155="",Q155=""),"",IF(OR(J155="Won",J155="Lost"),"",IF(Q155&lt;TODAY(),"OVERDUE",IF(Q155=TODAY(),"TODAY",""))))</f>
        <v/>
      </c>
      <c r="S155" s="13"/>
      <c r="T155" s="13"/>
      <c r="U155" s="14"/>
    </row>
    <row r="156" customFormat="false" ht="15" hidden="false" customHeight="false" outlineLevel="0" collapsed="false">
      <c r="A156" s="13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9" t="str">
        <f aca="false">IF(K156="","",IFERROR(INDEX(Lists!$G$2:$G$5,MATCH(K156,Lists!$F$2:$F$5,0)),""))</f>
        <v/>
      </c>
      <c r="M156" s="14"/>
      <c r="N156" s="14"/>
      <c r="O156" s="14"/>
      <c r="P156" s="14"/>
      <c r="Q156" s="13"/>
      <c r="R156" s="17" t="str">
        <f aca="true">IF(OR(C156="",Q156=""),"",IF(OR(J156="Won",J156="Lost"),"",IF(Q156&lt;TODAY(),"OVERDUE",IF(Q156=TODAY(),"TODAY",""))))</f>
        <v/>
      </c>
      <c r="S156" s="13"/>
      <c r="T156" s="13"/>
      <c r="U156" s="14"/>
    </row>
    <row r="157" customFormat="false" ht="15" hidden="false" customHeight="false" outlineLevel="0" collapsed="false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9" t="str">
        <f aca="false">IF(K157="","",IFERROR(INDEX(Lists!$G$2:$G$5,MATCH(K157,Lists!$F$2:$F$5,0)),""))</f>
        <v/>
      </c>
      <c r="M157" s="14"/>
      <c r="N157" s="14"/>
      <c r="O157" s="14"/>
      <c r="P157" s="14"/>
      <c r="Q157" s="13"/>
      <c r="R157" s="17" t="str">
        <f aca="true">IF(OR(C157="",Q157=""),"",IF(OR(J157="Won",J157="Lost"),"",IF(Q157&lt;TODAY(),"OVERDUE",IF(Q157=TODAY(),"TODAY",""))))</f>
        <v/>
      </c>
      <c r="S157" s="13"/>
      <c r="T157" s="13"/>
      <c r="U157" s="14"/>
    </row>
    <row r="158" customFormat="false" ht="15" hidden="false" customHeight="false" outlineLevel="0" collapsed="false">
      <c r="A158" s="13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9" t="str">
        <f aca="false">IF(K158="","",IFERROR(INDEX(Lists!$G$2:$G$5,MATCH(K158,Lists!$F$2:$F$5,0)),""))</f>
        <v/>
      </c>
      <c r="M158" s="14"/>
      <c r="N158" s="14"/>
      <c r="O158" s="14"/>
      <c r="P158" s="14"/>
      <c r="Q158" s="13"/>
      <c r="R158" s="17" t="str">
        <f aca="true">IF(OR(C158="",Q158=""),"",IF(OR(J158="Won",J158="Lost"),"",IF(Q158&lt;TODAY(),"OVERDUE",IF(Q158=TODAY(),"TODAY",""))))</f>
        <v/>
      </c>
      <c r="S158" s="13"/>
      <c r="T158" s="13"/>
      <c r="U158" s="14"/>
    </row>
    <row r="159" customFormat="false" ht="15" hidden="false" customHeight="false" outlineLevel="0" collapsed="false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9" t="str">
        <f aca="false">IF(K159="","",IFERROR(INDEX(Lists!$G$2:$G$5,MATCH(K159,Lists!$F$2:$F$5,0)),""))</f>
        <v/>
      </c>
      <c r="M159" s="14"/>
      <c r="N159" s="14"/>
      <c r="O159" s="14"/>
      <c r="P159" s="14"/>
      <c r="Q159" s="13"/>
      <c r="R159" s="17" t="str">
        <f aca="true">IF(OR(C159="",Q159=""),"",IF(OR(J159="Won",J159="Lost"),"",IF(Q159&lt;TODAY(),"OVERDUE",IF(Q159=TODAY(),"TODAY",""))))</f>
        <v/>
      </c>
      <c r="S159" s="13"/>
      <c r="T159" s="13"/>
      <c r="U159" s="14"/>
    </row>
    <row r="160" customFormat="false" ht="15" hidden="false" customHeight="false" outlineLevel="0" collapsed="false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9" t="str">
        <f aca="false">IF(K160="","",IFERROR(INDEX(Lists!$G$2:$G$5,MATCH(K160,Lists!$F$2:$F$5,0)),""))</f>
        <v/>
      </c>
      <c r="M160" s="14"/>
      <c r="N160" s="14"/>
      <c r="O160" s="14"/>
      <c r="P160" s="14"/>
      <c r="Q160" s="13"/>
      <c r="R160" s="17" t="str">
        <f aca="true">IF(OR(C160="",Q160=""),"",IF(OR(J160="Won",J160="Lost"),"",IF(Q160&lt;TODAY(),"OVERDUE",IF(Q160=TODAY(),"TODAY",""))))</f>
        <v/>
      </c>
      <c r="S160" s="13"/>
      <c r="T160" s="13"/>
      <c r="U160" s="14"/>
    </row>
    <row r="161" customFormat="false" ht="15" hidden="false" customHeight="false" outlineLevel="0" collapsed="false">
      <c r="A161" s="13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9" t="str">
        <f aca="false">IF(K161="","",IFERROR(INDEX(Lists!$G$2:$G$5,MATCH(K161,Lists!$F$2:$F$5,0)),""))</f>
        <v/>
      </c>
      <c r="M161" s="14"/>
      <c r="N161" s="14"/>
      <c r="O161" s="14"/>
      <c r="P161" s="14"/>
      <c r="Q161" s="13"/>
      <c r="R161" s="17" t="str">
        <f aca="true">IF(OR(C161="",Q161=""),"",IF(OR(J161="Won",J161="Lost"),"",IF(Q161&lt;TODAY(),"OVERDUE",IF(Q161=TODAY(),"TODAY",""))))</f>
        <v/>
      </c>
      <c r="S161" s="13"/>
      <c r="T161" s="13"/>
      <c r="U161" s="14"/>
    </row>
    <row r="162" customFormat="false" ht="15" hidden="false" customHeight="false" outlineLevel="0" collapsed="false">
      <c r="A162" s="13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9" t="str">
        <f aca="false">IF(K162="","",IFERROR(INDEX(Lists!$G$2:$G$5,MATCH(K162,Lists!$F$2:$F$5,0)),""))</f>
        <v/>
      </c>
      <c r="M162" s="14"/>
      <c r="N162" s="14"/>
      <c r="O162" s="14"/>
      <c r="P162" s="14"/>
      <c r="Q162" s="13"/>
      <c r="R162" s="17" t="str">
        <f aca="true">IF(OR(C162="",Q162=""),"",IF(OR(J162="Won",J162="Lost"),"",IF(Q162&lt;TODAY(),"OVERDUE",IF(Q162=TODAY(),"TODAY",""))))</f>
        <v/>
      </c>
      <c r="S162" s="13"/>
      <c r="T162" s="13"/>
      <c r="U162" s="14"/>
    </row>
    <row r="163" customFormat="false" ht="15" hidden="false" customHeight="false" outlineLevel="0" collapsed="false">
      <c r="A163" s="13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9" t="str">
        <f aca="false">IF(K163="","",IFERROR(INDEX(Lists!$G$2:$G$5,MATCH(K163,Lists!$F$2:$F$5,0)),""))</f>
        <v/>
      </c>
      <c r="M163" s="14"/>
      <c r="N163" s="14"/>
      <c r="O163" s="14"/>
      <c r="P163" s="14"/>
      <c r="Q163" s="13"/>
      <c r="R163" s="17" t="str">
        <f aca="true">IF(OR(C163="",Q163=""),"",IF(OR(J163="Won",J163="Lost"),"",IF(Q163&lt;TODAY(),"OVERDUE",IF(Q163=TODAY(),"TODAY",""))))</f>
        <v/>
      </c>
      <c r="S163" s="13"/>
      <c r="T163" s="13"/>
      <c r="U163" s="14"/>
    </row>
    <row r="164" customFormat="false" ht="15" hidden="false" customHeight="false" outlineLevel="0" collapsed="false">
      <c r="A164" s="13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9" t="str">
        <f aca="false">IF(K164="","",IFERROR(INDEX(Lists!$G$2:$G$5,MATCH(K164,Lists!$F$2:$F$5,0)),""))</f>
        <v/>
      </c>
      <c r="M164" s="14"/>
      <c r="N164" s="14"/>
      <c r="O164" s="14"/>
      <c r="P164" s="14"/>
      <c r="Q164" s="13"/>
      <c r="R164" s="17" t="str">
        <f aca="true">IF(OR(C164="",Q164=""),"",IF(OR(J164="Won",J164="Lost"),"",IF(Q164&lt;TODAY(),"OVERDUE",IF(Q164=TODAY(),"TODAY",""))))</f>
        <v/>
      </c>
      <c r="S164" s="13"/>
      <c r="T164" s="13"/>
      <c r="U164" s="14"/>
    </row>
    <row r="165" customFormat="false" ht="15" hidden="false" customHeight="false" outlineLevel="0" collapsed="false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9" t="str">
        <f aca="false">IF(K165="","",IFERROR(INDEX(Lists!$G$2:$G$5,MATCH(K165,Lists!$F$2:$F$5,0)),""))</f>
        <v/>
      </c>
      <c r="M165" s="14"/>
      <c r="N165" s="14"/>
      <c r="O165" s="14"/>
      <c r="P165" s="14"/>
      <c r="Q165" s="13"/>
      <c r="R165" s="17" t="str">
        <f aca="true">IF(OR(C165="",Q165=""),"",IF(OR(J165="Won",J165="Lost"),"",IF(Q165&lt;TODAY(),"OVERDUE",IF(Q165=TODAY(),"TODAY",""))))</f>
        <v/>
      </c>
      <c r="S165" s="13"/>
      <c r="T165" s="13"/>
      <c r="U165" s="14"/>
    </row>
    <row r="166" customFormat="false" ht="15" hidden="false" customHeight="false" outlineLevel="0" collapsed="false">
      <c r="A166" s="13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9" t="str">
        <f aca="false">IF(K166="","",IFERROR(INDEX(Lists!$G$2:$G$5,MATCH(K166,Lists!$F$2:$F$5,0)),""))</f>
        <v/>
      </c>
      <c r="M166" s="14"/>
      <c r="N166" s="14"/>
      <c r="O166" s="14"/>
      <c r="P166" s="14"/>
      <c r="Q166" s="13"/>
      <c r="R166" s="17" t="str">
        <f aca="true">IF(OR(C166="",Q166=""),"",IF(OR(J166="Won",J166="Lost"),"",IF(Q166&lt;TODAY(),"OVERDUE",IF(Q166=TODAY(),"TODAY",""))))</f>
        <v/>
      </c>
      <c r="S166" s="13"/>
      <c r="T166" s="13"/>
      <c r="U166" s="14"/>
    </row>
    <row r="167" customFormat="false" ht="15" hidden="false" customHeight="false" outlineLevel="0" collapsed="false">
      <c r="A167" s="13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9" t="str">
        <f aca="false">IF(K167="","",IFERROR(INDEX(Lists!$G$2:$G$5,MATCH(K167,Lists!$F$2:$F$5,0)),""))</f>
        <v/>
      </c>
      <c r="M167" s="14"/>
      <c r="N167" s="14"/>
      <c r="O167" s="14"/>
      <c r="P167" s="14"/>
      <c r="Q167" s="13"/>
      <c r="R167" s="17" t="str">
        <f aca="true">IF(OR(C167="",Q167=""),"",IF(OR(J167="Won",J167="Lost"),"",IF(Q167&lt;TODAY(),"OVERDUE",IF(Q167=TODAY(),"TODAY",""))))</f>
        <v/>
      </c>
      <c r="S167" s="13"/>
      <c r="T167" s="13"/>
      <c r="U167" s="14"/>
    </row>
    <row r="168" customFormat="false" ht="15" hidden="false" customHeight="false" outlineLevel="0" collapsed="false">
      <c r="A168" s="13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9" t="str">
        <f aca="false">IF(K168="","",IFERROR(INDEX(Lists!$G$2:$G$5,MATCH(K168,Lists!$F$2:$F$5,0)),""))</f>
        <v/>
      </c>
      <c r="M168" s="14"/>
      <c r="N168" s="14"/>
      <c r="O168" s="14"/>
      <c r="P168" s="14"/>
      <c r="Q168" s="13"/>
      <c r="R168" s="17" t="str">
        <f aca="true">IF(OR(C168="",Q168=""),"",IF(OR(J168="Won",J168="Lost"),"",IF(Q168&lt;TODAY(),"OVERDUE",IF(Q168=TODAY(),"TODAY",""))))</f>
        <v/>
      </c>
      <c r="S168" s="13"/>
      <c r="T168" s="13"/>
      <c r="U168" s="14"/>
    </row>
    <row r="169" customFormat="false" ht="15" hidden="false" customHeight="false" outlineLevel="0" collapsed="false">
      <c r="A169" s="13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9" t="str">
        <f aca="false">IF(K169="","",IFERROR(INDEX(Lists!$G$2:$G$5,MATCH(K169,Lists!$F$2:$F$5,0)),""))</f>
        <v/>
      </c>
      <c r="M169" s="14"/>
      <c r="N169" s="14"/>
      <c r="O169" s="14"/>
      <c r="P169" s="14"/>
      <c r="Q169" s="13"/>
      <c r="R169" s="17" t="str">
        <f aca="true">IF(OR(C169="",Q169=""),"",IF(OR(J169="Won",J169="Lost"),"",IF(Q169&lt;TODAY(),"OVERDUE",IF(Q169=TODAY(),"TODAY",""))))</f>
        <v/>
      </c>
      <c r="S169" s="13"/>
      <c r="T169" s="13"/>
      <c r="U169" s="14"/>
    </row>
    <row r="170" customFormat="false" ht="15" hidden="false" customHeight="false" outlineLevel="0" collapsed="false">
      <c r="A170" s="13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9" t="str">
        <f aca="false">IF(K170="","",IFERROR(INDEX(Lists!$G$2:$G$5,MATCH(K170,Lists!$F$2:$F$5,0)),""))</f>
        <v/>
      </c>
      <c r="M170" s="14"/>
      <c r="N170" s="14"/>
      <c r="O170" s="14"/>
      <c r="P170" s="14"/>
      <c r="Q170" s="13"/>
      <c r="R170" s="17" t="str">
        <f aca="true">IF(OR(C170="",Q170=""),"",IF(OR(J170="Won",J170="Lost"),"",IF(Q170&lt;TODAY(),"OVERDUE",IF(Q170=TODAY(),"TODAY",""))))</f>
        <v/>
      </c>
      <c r="S170" s="13"/>
      <c r="T170" s="13"/>
      <c r="U170" s="14"/>
    </row>
    <row r="171" customFormat="false" ht="15" hidden="false" customHeight="false" outlineLevel="0" collapsed="false">
      <c r="A171" s="13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9" t="str">
        <f aca="false">IF(K171="","",IFERROR(INDEX(Lists!$G$2:$G$5,MATCH(K171,Lists!$F$2:$F$5,0)),""))</f>
        <v/>
      </c>
      <c r="M171" s="14"/>
      <c r="N171" s="14"/>
      <c r="O171" s="14"/>
      <c r="P171" s="14"/>
      <c r="Q171" s="13"/>
      <c r="R171" s="17" t="str">
        <f aca="true">IF(OR(C171="",Q171=""),"",IF(OR(J171="Won",J171="Lost"),"",IF(Q171&lt;TODAY(),"OVERDUE",IF(Q171=TODAY(),"TODAY",""))))</f>
        <v/>
      </c>
      <c r="S171" s="13"/>
      <c r="T171" s="13"/>
      <c r="U171" s="14"/>
    </row>
    <row r="172" customFormat="false" ht="15" hidden="false" customHeight="false" outlineLevel="0" collapsed="false">
      <c r="A172" s="13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9" t="str">
        <f aca="false">IF(K172="","",IFERROR(INDEX(Lists!$G$2:$G$5,MATCH(K172,Lists!$F$2:$F$5,0)),""))</f>
        <v/>
      </c>
      <c r="M172" s="14"/>
      <c r="N172" s="14"/>
      <c r="O172" s="14"/>
      <c r="P172" s="14"/>
      <c r="Q172" s="13"/>
      <c r="R172" s="17" t="str">
        <f aca="true">IF(OR(C172="",Q172=""),"",IF(OR(J172="Won",J172="Lost"),"",IF(Q172&lt;TODAY(),"OVERDUE",IF(Q172=TODAY(),"TODAY",""))))</f>
        <v/>
      </c>
      <c r="S172" s="13"/>
      <c r="T172" s="13"/>
      <c r="U172" s="14"/>
    </row>
    <row r="173" customFormat="false" ht="15" hidden="false" customHeight="false" outlineLevel="0" collapsed="false">
      <c r="A173" s="13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9" t="str">
        <f aca="false">IF(K173="","",IFERROR(INDEX(Lists!$G$2:$G$5,MATCH(K173,Lists!$F$2:$F$5,0)),""))</f>
        <v/>
      </c>
      <c r="M173" s="14"/>
      <c r="N173" s="14"/>
      <c r="O173" s="14"/>
      <c r="P173" s="14"/>
      <c r="Q173" s="13"/>
      <c r="R173" s="17" t="str">
        <f aca="true">IF(OR(C173="",Q173=""),"",IF(OR(J173="Won",J173="Lost"),"",IF(Q173&lt;TODAY(),"OVERDUE",IF(Q173=TODAY(),"TODAY",""))))</f>
        <v/>
      </c>
      <c r="S173" s="13"/>
      <c r="T173" s="13"/>
      <c r="U173" s="14"/>
    </row>
    <row r="174" customFormat="false" ht="15" hidden="false" customHeight="false" outlineLevel="0" collapsed="false">
      <c r="A174" s="13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9" t="str">
        <f aca="false">IF(K174="","",IFERROR(INDEX(Lists!$G$2:$G$5,MATCH(K174,Lists!$F$2:$F$5,0)),""))</f>
        <v/>
      </c>
      <c r="M174" s="14"/>
      <c r="N174" s="14"/>
      <c r="O174" s="14"/>
      <c r="P174" s="14"/>
      <c r="Q174" s="13"/>
      <c r="R174" s="17" t="str">
        <f aca="true">IF(OR(C174="",Q174=""),"",IF(OR(J174="Won",J174="Lost"),"",IF(Q174&lt;TODAY(),"OVERDUE",IF(Q174=TODAY(),"TODAY",""))))</f>
        <v/>
      </c>
      <c r="S174" s="13"/>
      <c r="T174" s="13"/>
      <c r="U174" s="14"/>
    </row>
    <row r="175" customFormat="false" ht="15" hidden="false" customHeight="false" outlineLevel="0" collapsed="false">
      <c r="A175" s="13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9" t="str">
        <f aca="false">IF(K175="","",IFERROR(INDEX(Lists!$G$2:$G$5,MATCH(K175,Lists!$F$2:$F$5,0)),""))</f>
        <v/>
      </c>
      <c r="M175" s="14"/>
      <c r="N175" s="14"/>
      <c r="O175" s="14"/>
      <c r="P175" s="14"/>
      <c r="Q175" s="13"/>
      <c r="R175" s="17" t="str">
        <f aca="true">IF(OR(C175="",Q175=""),"",IF(OR(J175="Won",J175="Lost"),"",IF(Q175&lt;TODAY(),"OVERDUE",IF(Q175=TODAY(),"TODAY",""))))</f>
        <v/>
      </c>
      <c r="S175" s="13"/>
      <c r="T175" s="13"/>
      <c r="U175" s="14"/>
    </row>
    <row r="176" customFormat="false" ht="15" hidden="false" customHeight="false" outlineLevel="0" collapsed="false">
      <c r="A176" s="13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9" t="str">
        <f aca="false">IF(K176="","",IFERROR(INDEX(Lists!$G$2:$G$5,MATCH(K176,Lists!$F$2:$F$5,0)),""))</f>
        <v/>
      </c>
      <c r="M176" s="14"/>
      <c r="N176" s="14"/>
      <c r="O176" s="14"/>
      <c r="P176" s="14"/>
      <c r="Q176" s="13"/>
      <c r="R176" s="17" t="str">
        <f aca="true">IF(OR(C176="",Q176=""),"",IF(OR(J176="Won",J176="Lost"),"",IF(Q176&lt;TODAY(),"OVERDUE",IF(Q176=TODAY(),"TODAY",""))))</f>
        <v/>
      </c>
      <c r="S176" s="13"/>
      <c r="T176" s="13"/>
      <c r="U176" s="14"/>
    </row>
    <row r="177" customFormat="false" ht="15" hidden="false" customHeight="false" outlineLevel="0" collapsed="false">
      <c r="A177" s="13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9" t="str">
        <f aca="false">IF(K177="","",IFERROR(INDEX(Lists!$G$2:$G$5,MATCH(K177,Lists!$F$2:$F$5,0)),""))</f>
        <v/>
      </c>
      <c r="M177" s="14"/>
      <c r="N177" s="14"/>
      <c r="O177" s="14"/>
      <c r="P177" s="14"/>
      <c r="Q177" s="13"/>
      <c r="R177" s="17" t="str">
        <f aca="true">IF(OR(C177="",Q177=""),"",IF(OR(J177="Won",J177="Lost"),"",IF(Q177&lt;TODAY(),"OVERDUE",IF(Q177=TODAY(),"TODAY",""))))</f>
        <v/>
      </c>
      <c r="S177" s="13"/>
      <c r="T177" s="13"/>
      <c r="U177" s="14"/>
    </row>
    <row r="178" customFormat="false" ht="15" hidden="false" customHeight="false" outlineLevel="0" collapsed="false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9" t="str">
        <f aca="false">IF(K178="","",IFERROR(INDEX(Lists!$G$2:$G$5,MATCH(K178,Lists!$F$2:$F$5,0)),""))</f>
        <v/>
      </c>
      <c r="M178" s="14"/>
      <c r="N178" s="14"/>
      <c r="O178" s="14"/>
      <c r="P178" s="14"/>
      <c r="Q178" s="13"/>
      <c r="R178" s="17" t="str">
        <f aca="true">IF(OR(C178="",Q178=""),"",IF(OR(J178="Won",J178="Lost"),"",IF(Q178&lt;TODAY(),"OVERDUE",IF(Q178=TODAY(),"TODAY",""))))</f>
        <v/>
      </c>
      <c r="S178" s="13"/>
      <c r="T178" s="13"/>
      <c r="U178" s="14"/>
    </row>
    <row r="179" customFormat="false" ht="15" hidden="false" customHeight="false" outlineLevel="0" collapsed="false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9" t="str">
        <f aca="false">IF(K179="","",IFERROR(INDEX(Lists!$G$2:$G$5,MATCH(K179,Lists!$F$2:$F$5,0)),""))</f>
        <v/>
      </c>
      <c r="M179" s="14"/>
      <c r="N179" s="14"/>
      <c r="O179" s="14"/>
      <c r="P179" s="14"/>
      <c r="Q179" s="13"/>
      <c r="R179" s="17" t="str">
        <f aca="true">IF(OR(C179="",Q179=""),"",IF(OR(J179="Won",J179="Lost"),"",IF(Q179&lt;TODAY(),"OVERDUE",IF(Q179=TODAY(),"TODAY",""))))</f>
        <v/>
      </c>
      <c r="S179" s="13"/>
      <c r="T179" s="13"/>
      <c r="U179" s="14"/>
    </row>
    <row r="180" customFormat="false" ht="15" hidden="false" customHeight="false" outlineLevel="0" collapsed="false">
      <c r="A180" s="13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9" t="str">
        <f aca="false">IF(K180="","",IFERROR(INDEX(Lists!$G$2:$G$5,MATCH(K180,Lists!$F$2:$F$5,0)),""))</f>
        <v/>
      </c>
      <c r="M180" s="14"/>
      <c r="N180" s="14"/>
      <c r="O180" s="14"/>
      <c r="P180" s="14"/>
      <c r="Q180" s="13"/>
      <c r="R180" s="17" t="str">
        <f aca="true">IF(OR(C180="",Q180=""),"",IF(OR(J180="Won",J180="Lost"),"",IF(Q180&lt;TODAY(),"OVERDUE",IF(Q180=TODAY(),"TODAY",""))))</f>
        <v/>
      </c>
      <c r="S180" s="13"/>
      <c r="T180" s="13"/>
      <c r="U180" s="14"/>
    </row>
    <row r="181" customFormat="false" ht="15" hidden="false" customHeight="false" outlineLevel="0" collapsed="false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9" t="str">
        <f aca="false">IF(K181="","",IFERROR(INDEX(Lists!$G$2:$G$5,MATCH(K181,Lists!$F$2:$F$5,0)),""))</f>
        <v/>
      </c>
      <c r="M181" s="14"/>
      <c r="N181" s="14"/>
      <c r="O181" s="14"/>
      <c r="P181" s="14"/>
      <c r="Q181" s="13"/>
      <c r="R181" s="17" t="str">
        <f aca="true">IF(OR(C181="",Q181=""),"",IF(OR(J181="Won",J181="Lost"),"",IF(Q181&lt;TODAY(),"OVERDUE",IF(Q181=TODAY(),"TODAY",""))))</f>
        <v/>
      </c>
      <c r="S181" s="13"/>
      <c r="T181" s="13"/>
      <c r="U181" s="14"/>
    </row>
    <row r="182" customFormat="false" ht="15" hidden="false" customHeight="false" outlineLevel="0" collapsed="false">
      <c r="A182" s="13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9" t="str">
        <f aca="false">IF(K182="","",IFERROR(INDEX(Lists!$G$2:$G$5,MATCH(K182,Lists!$F$2:$F$5,0)),""))</f>
        <v/>
      </c>
      <c r="M182" s="14"/>
      <c r="N182" s="14"/>
      <c r="O182" s="14"/>
      <c r="P182" s="14"/>
      <c r="Q182" s="13"/>
      <c r="R182" s="17" t="str">
        <f aca="true">IF(OR(C182="",Q182=""),"",IF(OR(J182="Won",J182="Lost"),"",IF(Q182&lt;TODAY(),"OVERDUE",IF(Q182=TODAY(),"TODAY",""))))</f>
        <v/>
      </c>
      <c r="S182" s="13"/>
      <c r="T182" s="13"/>
      <c r="U182" s="14"/>
    </row>
    <row r="183" customFormat="false" ht="15" hidden="false" customHeight="false" outlineLevel="0" collapsed="false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9" t="str">
        <f aca="false">IF(K183="","",IFERROR(INDEX(Lists!$G$2:$G$5,MATCH(K183,Lists!$F$2:$F$5,0)),""))</f>
        <v/>
      </c>
      <c r="M183" s="14"/>
      <c r="N183" s="14"/>
      <c r="O183" s="14"/>
      <c r="P183" s="14"/>
      <c r="Q183" s="13"/>
      <c r="R183" s="17" t="str">
        <f aca="true">IF(OR(C183="",Q183=""),"",IF(OR(J183="Won",J183="Lost"),"",IF(Q183&lt;TODAY(),"OVERDUE",IF(Q183=TODAY(),"TODAY",""))))</f>
        <v/>
      </c>
      <c r="S183" s="13"/>
      <c r="T183" s="13"/>
      <c r="U183" s="14"/>
    </row>
    <row r="184" customFormat="false" ht="15" hidden="false" customHeight="false" outlineLevel="0" collapsed="false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9" t="str">
        <f aca="false">IF(K184="","",IFERROR(INDEX(Lists!$G$2:$G$5,MATCH(K184,Lists!$F$2:$F$5,0)),""))</f>
        <v/>
      </c>
      <c r="M184" s="14"/>
      <c r="N184" s="14"/>
      <c r="O184" s="14"/>
      <c r="P184" s="14"/>
      <c r="Q184" s="13"/>
      <c r="R184" s="17" t="str">
        <f aca="true">IF(OR(C184="",Q184=""),"",IF(OR(J184="Won",J184="Lost"),"",IF(Q184&lt;TODAY(),"OVERDUE",IF(Q184=TODAY(),"TODAY",""))))</f>
        <v/>
      </c>
      <c r="S184" s="13"/>
      <c r="T184" s="13"/>
      <c r="U184" s="14"/>
    </row>
    <row r="185" customFormat="false" ht="15" hidden="false" customHeight="false" outlineLevel="0" collapsed="false">
      <c r="A185" s="13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9" t="str">
        <f aca="false">IF(K185="","",IFERROR(INDEX(Lists!$G$2:$G$5,MATCH(K185,Lists!$F$2:$F$5,0)),""))</f>
        <v/>
      </c>
      <c r="M185" s="14"/>
      <c r="N185" s="14"/>
      <c r="O185" s="14"/>
      <c r="P185" s="14"/>
      <c r="Q185" s="13"/>
      <c r="R185" s="17" t="str">
        <f aca="true">IF(OR(C185="",Q185=""),"",IF(OR(J185="Won",J185="Lost"),"",IF(Q185&lt;TODAY(),"OVERDUE",IF(Q185=TODAY(),"TODAY",""))))</f>
        <v/>
      </c>
      <c r="S185" s="13"/>
      <c r="T185" s="13"/>
      <c r="U185" s="14"/>
    </row>
    <row r="186" customFormat="false" ht="15" hidden="false" customHeight="false" outlineLevel="0" collapsed="false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9" t="str">
        <f aca="false">IF(K186="","",IFERROR(INDEX(Lists!$G$2:$G$5,MATCH(K186,Lists!$F$2:$F$5,0)),""))</f>
        <v/>
      </c>
      <c r="M186" s="14"/>
      <c r="N186" s="14"/>
      <c r="O186" s="14"/>
      <c r="P186" s="14"/>
      <c r="Q186" s="13"/>
      <c r="R186" s="17" t="str">
        <f aca="true">IF(OR(C186="",Q186=""),"",IF(OR(J186="Won",J186="Lost"),"",IF(Q186&lt;TODAY(),"OVERDUE",IF(Q186=TODAY(),"TODAY",""))))</f>
        <v/>
      </c>
      <c r="S186" s="13"/>
      <c r="T186" s="13"/>
      <c r="U186" s="14"/>
    </row>
    <row r="187" customFormat="false" ht="15" hidden="false" customHeight="false" outlineLevel="0" collapsed="false">
      <c r="A187" s="13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9" t="str">
        <f aca="false">IF(K187="","",IFERROR(INDEX(Lists!$G$2:$G$5,MATCH(K187,Lists!$F$2:$F$5,0)),""))</f>
        <v/>
      </c>
      <c r="M187" s="14"/>
      <c r="N187" s="14"/>
      <c r="O187" s="14"/>
      <c r="P187" s="14"/>
      <c r="Q187" s="13"/>
      <c r="R187" s="17" t="str">
        <f aca="true">IF(OR(C187="",Q187=""),"",IF(OR(J187="Won",J187="Lost"),"",IF(Q187&lt;TODAY(),"OVERDUE",IF(Q187=TODAY(),"TODAY",""))))</f>
        <v/>
      </c>
      <c r="S187" s="13"/>
      <c r="T187" s="13"/>
      <c r="U187" s="14"/>
    </row>
    <row r="188" customFormat="false" ht="15" hidden="false" customHeight="false" outlineLevel="0" collapsed="false">
      <c r="A188" s="13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9" t="str">
        <f aca="false">IF(K188="","",IFERROR(INDEX(Lists!$G$2:$G$5,MATCH(K188,Lists!$F$2:$F$5,0)),""))</f>
        <v/>
      </c>
      <c r="M188" s="14"/>
      <c r="N188" s="14"/>
      <c r="O188" s="14"/>
      <c r="P188" s="14"/>
      <c r="Q188" s="13"/>
      <c r="R188" s="17" t="str">
        <f aca="true">IF(OR(C188="",Q188=""),"",IF(OR(J188="Won",J188="Lost"),"",IF(Q188&lt;TODAY(),"OVERDUE",IF(Q188=TODAY(),"TODAY",""))))</f>
        <v/>
      </c>
      <c r="S188" s="13"/>
      <c r="T188" s="13"/>
      <c r="U188" s="14"/>
    </row>
    <row r="189" customFormat="false" ht="15" hidden="false" customHeight="false" outlineLevel="0" collapsed="false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9" t="str">
        <f aca="false">IF(K189="","",IFERROR(INDEX(Lists!$G$2:$G$5,MATCH(K189,Lists!$F$2:$F$5,0)),""))</f>
        <v/>
      </c>
      <c r="M189" s="14"/>
      <c r="N189" s="14"/>
      <c r="O189" s="14"/>
      <c r="P189" s="14"/>
      <c r="Q189" s="13"/>
      <c r="R189" s="17" t="str">
        <f aca="true">IF(OR(C189="",Q189=""),"",IF(OR(J189="Won",J189="Lost"),"",IF(Q189&lt;TODAY(),"OVERDUE",IF(Q189=TODAY(),"TODAY",""))))</f>
        <v/>
      </c>
      <c r="S189" s="13"/>
      <c r="T189" s="13"/>
      <c r="U189" s="14"/>
    </row>
    <row r="190" customFormat="false" ht="15" hidden="false" customHeight="false" outlineLevel="0" collapsed="false">
      <c r="A190" s="13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9" t="str">
        <f aca="false">IF(K190="","",IFERROR(INDEX(Lists!$G$2:$G$5,MATCH(K190,Lists!$F$2:$F$5,0)),""))</f>
        <v/>
      </c>
      <c r="M190" s="14"/>
      <c r="N190" s="14"/>
      <c r="O190" s="14"/>
      <c r="P190" s="14"/>
      <c r="Q190" s="13"/>
      <c r="R190" s="17" t="str">
        <f aca="true">IF(OR(C190="",Q190=""),"",IF(OR(J190="Won",J190="Lost"),"",IF(Q190&lt;TODAY(),"OVERDUE",IF(Q190=TODAY(),"TODAY",""))))</f>
        <v/>
      </c>
      <c r="S190" s="13"/>
      <c r="T190" s="13"/>
      <c r="U190" s="14"/>
    </row>
    <row r="191" customFormat="false" ht="15" hidden="false" customHeight="false" outlineLevel="0" collapsed="false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9" t="str">
        <f aca="false">IF(K191="","",IFERROR(INDEX(Lists!$G$2:$G$5,MATCH(K191,Lists!$F$2:$F$5,0)),""))</f>
        <v/>
      </c>
      <c r="M191" s="14"/>
      <c r="N191" s="14"/>
      <c r="O191" s="14"/>
      <c r="P191" s="14"/>
      <c r="Q191" s="13"/>
      <c r="R191" s="17" t="str">
        <f aca="true">IF(OR(C191="",Q191=""),"",IF(OR(J191="Won",J191="Lost"),"",IF(Q191&lt;TODAY(),"OVERDUE",IF(Q191=TODAY(),"TODAY",""))))</f>
        <v/>
      </c>
      <c r="S191" s="13"/>
      <c r="T191" s="13"/>
      <c r="U191" s="14"/>
    </row>
    <row r="192" customFormat="false" ht="15" hidden="false" customHeight="false" outlineLevel="0" collapsed="false">
      <c r="A192" s="13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9" t="str">
        <f aca="false">IF(K192="","",IFERROR(INDEX(Lists!$G$2:$G$5,MATCH(K192,Lists!$F$2:$F$5,0)),""))</f>
        <v/>
      </c>
      <c r="M192" s="14"/>
      <c r="N192" s="14"/>
      <c r="O192" s="14"/>
      <c r="P192" s="14"/>
      <c r="Q192" s="13"/>
      <c r="R192" s="17" t="str">
        <f aca="true">IF(OR(C192="",Q192=""),"",IF(OR(J192="Won",J192="Lost"),"",IF(Q192&lt;TODAY(),"OVERDUE",IF(Q192=TODAY(),"TODAY",""))))</f>
        <v/>
      </c>
      <c r="S192" s="13"/>
      <c r="T192" s="13"/>
      <c r="U192" s="14"/>
    </row>
    <row r="193" customFormat="false" ht="15" hidden="false" customHeight="false" outlineLevel="0" collapsed="false">
      <c r="A193" s="13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9" t="str">
        <f aca="false">IF(K193="","",IFERROR(INDEX(Lists!$G$2:$G$5,MATCH(K193,Lists!$F$2:$F$5,0)),""))</f>
        <v/>
      </c>
      <c r="M193" s="14"/>
      <c r="N193" s="14"/>
      <c r="O193" s="14"/>
      <c r="P193" s="14"/>
      <c r="Q193" s="13"/>
      <c r="R193" s="17" t="str">
        <f aca="true">IF(OR(C193="",Q193=""),"",IF(OR(J193="Won",J193="Lost"),"",IF(Q193&lt;TODAY(),"OVERDUE",IF(Q193=TODAY(),"TODAY",""))))</f>
        <v/>
      </c>
      <c r="S193" s="13"/>
      <c r="T193" s="13"/>
      <c r="U193" s="14"/>
    </row>
    <row r="194" customFormat="false" ht="15" hidden="false" customHeight="false" outlineLevel="0" collapsed="false">
      <c r="A194" s="13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9" t="str">
        <f aca="false">IF(K194="","",IFERROR(INDEX(Lists!$G$2:$G$5,MATCH(K194,Lists!$F$2:$F$5,0)),""))</f>
        <v/>
      </c>
      <c r="M194" s="14"/>
      <c r="N194" s="14"/>
      <c r="O194" s="14"/>
      <c r="P194" s="14"/>
      <c r="Q194" s="13"/>
      <c r="R194" s="17" t="str">
        <f aca="true">IF(OR(C194="",Q194=""),"",IF(OR(J194="Won",J194="Lost"),"",IF(Q194&lt;TODAY(),"OVERDUE",IF(Q194=TODAY(),"TODAY",""))))</f>
        <v/>
      </c>
      <c r="S194" s="13"/>
      <c r="T194" s="13"/>
      <c r="U194" s="14"/>
    </row>
    <row r="195" customFormat="false" ht="15" hidden="false" customHeight="false" outlineLevel="0" collapsed="false">
      <c r="A195" s="13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9" t="str">
        <f aca="false">IF(K195="","",IFERROR(INDEX(Lists!$G$2:$G$5,MATCH(K195,Lists!$F$2:$F$5,0)),""))</f>
        <v/>
      </c>
      <c r="M195" s="14"/>
      <c r="N195" s="14"/>
      <c r="O195" s="14"/>
      <c r="P195" s="14"/>
      <c r="Q195" s="13"/>
      <c r="R195" s="17" t="str">
        <f aca="true">IF(OR(C195="",Q195=""),"",IF(OR(J195="Won",J195="Lost"),"",IF(Q195&lt;TODAY(),"OVERDUE",IF(Q195=TODAY(),"TODAY",""))))</f>
        <v/>
      </c>
      <c r="S195" s="13"/>
      <c r="T195" s="13"/>
      <c r="U195" s="14"/>
    </row>
    <row r="196" customFormat="false" ht="15" hidden="false" customHeight="false" outlineLevel="0" collapsed="false">
      <c r="A196" s="13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9" t="str">
        <f aca="false">IF(K196="","",IFERROR(INDEX(Lists!$G$2:$G$5,MATCH(K196,Lists!$F$2:$F$5,0)),""))</f>
        <v/>
      </c>
      <c r="M196" s="14"/>
      <c r="N196" s="14"/>
      <c r="O196" s="14"/>
      <c r="P196" s="14"/>
      <c r="Q196" s="13"/>
      <c r="R196" s="17" t="str">
        <f aca="true">IF(OR(C196="",Q196=""),"",IF(OR(J196="Won",J196="Lost"),"",IF(Q196&lt;TODAY(),"OVERDUE",IF(Q196=TODAY(),"TODAY",""))))</f>
        <v/>
      </c>
      <c r="S196" s="13"/>
      <c r="T196" s="13"/>
      <c r="U196" s="14"/>
    </row>
    <row r="197" customFormat="false" ht="15" hidden="false" customHeight="false" outlineLevel="0" collapsed="false">
      <c r="A197" s="13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9" t="str">
        <f aca="false">IF(K197="","",IFERROR(INDEX(Lists!$G$2:$G$5,MATCH(K197,Lists!$F$2:$F$5,0)),""))</f>
        <v/>
      </c>
      <c r="M197" s="14"/>
      <c r="N197" s="14"/>
      <c r="O197" s="14"/>
      <c r="P197" s="14"/>
      <c r="Q197" s="13"/>
      <c r="R197" s="17" t="str">
        <f aca="true">IF(OR(C197="",Q197=""),"",IF(OR(J197="Won",J197="Lost"),"",IF(Q197&lt;TODAY(),"OVERDUE",IF(Q197=TODAY(),"TODAY",""))))</f>
        <v/>
      </c>
      <c r="S197" s="13"/>
      <c r="T197" s="13"/>
      <c r="U197" s="14"/>
    </row>
    <row r="198" customFormat="false" ht="15" hidden="false" customHeight="false" outlineLevel="0" collapsed="false">
      <c r="A198" s="13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9" t="str">
        <f aca="false">IF(K198="","",IFERROR(INDEX(Lists!$G$2:$G$5,MATCH(K198,Lists!$F$2:$F$5,0)),""))</f>
        <v/>
      </c>
      <c r="M198" s="14"/>
      <c r="N198" s="14"/>
      <c r="O198" s="14"/>
      <c r="P198" s="14"/>
      <c r="Q198" s="13"/>
      <c r="R198" s="17" t="str">
        <f aca="true">IF(OR(C198="",Q198=""),"",IF(OR(J198="Won",J198="Lost"),"",IF(Q198&lt;TODAY(),"OVERDUE",IF(Q198=TODAY(),"TODAY",""))))</f>
        <v/>
      </c>
      <c r="S198" s="13"/>
      <c r="T198" s="13"/>
      <c r="U198" s="14"/>
    </row>
    <row r="199" customFormat="false" ht="15" hidden="false" customHeight="false" outlineLevel="0" collapsed="false">
      <c r="A199" s="13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9" t="str">
        <f aca="false">IF(K199="","",IFERROR(INDEX(Lists!$G$2:$G$5,MATCH(K199,Lists!$F$2:$F$5,0)),""))</f>
        <v/>
      </c>
      <c r="M199" s="14"/>
      <c r="N199" s="14"/>
      <c r="O199" s="14"/>
      <c r="P199" s="14"/>
      <c r="Q199" s="13"/>
      <c r="R199" s="17" t="str">
        <f aca="true">IF(OR(C199="",Q199=""),"",IF(OR(J199="Won",J199="Lost"),"",IF(Q199&lt;TODAY(),"OVERDUE",IF(Q199=TODAY(),"TODAY",""))))</f>
        <v/>
      </c>
      <c r="S199" s="13"/>
      <c r="T199" s="13"/>
      <c r="U199" s="14"/>
    </row>
    <row r="200" customFormat="false" ht="15" hidden="false" customHeight="false" outlineLevel="0" collapsed="false">
      <c r="A200" s="13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9" t="str">
        <f aca="false">IF(K200="","",IFERROR(INDEX(Lists!$G$2:$G$5,MATCH(K200,Lists!$F$2:$F$5,0)),""))</f>
        <v/>
      </c>
      <c r="M200" s="14"/>
      <c r="N200" s="14"/>
      <c r="O200" s="14"/>
      <c r="P200" s="14"/>
      <c r="Q200" s="13"/>
      <c r="R200" s="17" t="str">
        <f aca="true">IF(OR(C200="",Q200=""),"",IF(OR(J200="Won",J200="Lost"),"",IF(Q200&lt;TODAY(),"OVERDUE",IF(Q200=TODAY(),"TODAY",""))))</f>
        <v/>
      </c>
      <c r="S200" s="13"/>
      <c r="T200" s="13"/>
      <c r="U200" s="14"/>
    </row>
    <row r="201" customFormat="false" ht="15" hidden="false" customHeight="false" outlineLevel="0" collapsed="false">
      <c r="A201" s="13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9" t="str">
        <f aca="false">IF(K201="","",IFERROR(INDEX(Lists!$G$2:$G$5,MATCH(K201,Lists!$F$2:$F$5,0)),""))</f>
        <v/>
      </c>
      <c r="M201" s="14"/>
      <c r="N201" s="14"/>
      <c r="O201" s="14"/>
      <c r="P201" s="14"/>
      <c r="Q201" s="13"/>
      <c r="R201" s="17" t="str">
        <f aca="true">IF(OR(C201="",Q201=""),"",IF(OR(J201="Won",J201="Lost"),"",IF(Q201&lt;TODAY(),"OVERDUE",IF(Q201=TODAY(),"TODAY",""))))</f>
        <v/>
      </c>
      <c r="S201" s="13"/>
      <c r="T201" s="13"/>
      <c r="U201" s="14"/>
    </row>
    <row r="202" customFormat="false" ht="15" hidden="false" customHeight="false" outlineLevel="0" collapsed="false">
      <c r="A202" s="13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9" t="str">
        <f aca="false">IF(K202="","",IFERROR(INDEX(Lists!$G$2:$G$5,MATCH(K202,Lists!$F$2:$F$5,0)),""))</f>
        <v/>
      </c>
      <c r="M202" s="14"/>
      <c r="N202" s="14"/>
      <c r="O202" s="14"/>
      <c r="P202" s="14"/>
      <c r="Q202" s="13"/>
      <c r="R202" s="17" t="str">
        <f aca="true">IF(OR(C202="",Q202=""),"",IF(OR(J202="Won",J202="Lost"),"",IF(Q202&lt;TODAY(),"OVERDUE",IF(Q202=TODAY(),"TODAY",""))))</f>
        <v/>
      </c>
      <c r="S202" s="13"/>
      <c r="T202" s="13"/>
      <c r="U202" s="14"/>
    </row>
    <row r="203" customFormat="false" ht="15" hidden="false" customHeight="false" outlineLevel="0" collapsed="false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9" t="str">
        <f aca="false">IF(K203="","",IFERROR(INDEX(Lists!$G$2:$G$5,MATCH(K203,Lists!$F$2:$F$5,0)),""))</f>
        <v/>
      </c>
      <c r="M203" s="14"/>
      <c r="N203" s="14"/>
      <c r="O203" s="14"/>
      <c r="P203" s="14"/>
      <c r="Q203" s="13"/>
      <c r="R203" s="17" t="str">
        <f aca="true">IF(OR(C203="",Q203=""),"",IF(OR(J203="Won",J203="Lost"),"",IF(Q203&lt;TODAY(),"OVERDUE",IF(Q203=TODAY(),"TODAY",""))))</f>
        <v/>
      </c>
      <c r="S203" s="13"/>
      <c r="T203" s="13"/>
      <c r="U203" s="14"/>
    </row>
    <row r="204" customFormat="false" ht="15" hidden="false" customHeight="false" outlineLevel="0" collapsed="false">
      <c r="A204" s="13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9" t="str">
        <f aca="false">IF(K204="","",IFERROR(INDEX(Lists!$G$2:$G$5,MATCH(K204,Lists!$F$2:$F$5,0)),""))</f>
        <v/>
      </c>
      <c r="M204" s="14"/>
      <c r="N204" s="14"/>
      <c r="O204" s="14"/>
      <c r="P204" s="14"/>
      <c r="Q204" s="13"/>
      <c r="R204" s="17" t="str">
        <f aca="true">IF(OR(C204="",Q204=""),"",IF(OR(J204="Won",J204="Lost"),"",IF(Q204&lt;TODAY(),"OVERDUE",IF(Q204=TODAY(),"TODAY",""))))</f>
        <v/>
      </c>
      <c r="S204" s="13"/>
      <c r="T204" s="13"/>
      <c r="U204" s="14"/>
    </row>
    <row r="205" customFormat="false" ht="15" hidden="false" customHeight="false" outlineLevel="0" collapsed="false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9" t="str">
        <f aca="false">IF(K205="","",IFERROR(INDEX(Lists!$G$2:$G$5,MATCH(K205,Lists!$F$2:$F$5,0)),""))</f>
        <v/>
      </c>
      <c r="M205" s="14"/>
      <c r="N205" s="14"/>
      <c r="O205" s="14"/>
      <c r="P205" s="14"/>
      <c r="Q205" s="13"/>
      <c r="R205" s="17" t="str">
        <f aca="true">IF(OR(C205="",Q205=""),"",IF(OR(J205="Won",J205="Lost"),"",IF(Q205&lt;TODAY(),"OVERDUE",IF(Q205=TODAY(),"TODAY",""))))</f>
        <v/>
      </c>
      <c r="S205" s="13"/>
      <c r="T205" s="13"/>
      <c r="U205" s="14"/>
    </row>
    <row r="206" customFormat="false" ht="15" hidden="false" customHeight="false" outlineLevel="0" collapsed="false">
      <c r="A206" s="13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9" t="str">
        <f aca="false">IF(K206="","",IFERROR(INDEX(Lists!$G$2:$G$5,MATCH(K206,Lists!$F$2:$F$5,0)),""))</f>
        <v/>
      </c>
      <c r="M206" s="14"/>
      <c r="N206" s="14"/>
      <c r="O206" s="14"/>
      <c r="P206" s="14"/>
      <c r="Q206" s="13"/>
      <c r="R206" s="17" t="str">
        <f aca="true">IF(OR(C206="",Q206=""),"",IF(OR(J206="Won",J206="Lost"),"",IF(Q206&lt;TODAY(),"OVERDUE",IF(Q206=TODAY(),"TODAY",""))))</f>
        <v/>
      </c>
      <c r="S206" s="13"/>
      <c r="T206" s="13"/>
      <c r="U206" s="14"/>
    </row>
    <row r="207" customFormat="false" ht="15" hidden="false" customHeight="false" outlineLevel="0" collapsed="false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9" t="str">
        <f aca="false">IF(K207="","",IFERROR(INDEX(Lists!$G$2:$G$5,MATCH(K207,Lists!$F$2:$F$5,0)),""))</f>
        <v/>
      </c>
      <c r="M207" s="14"/>
      <c r="N207" s="14"/>
      <c r="O207" s="14"/>
      <c r="P207" s="14"/>
      <c r="Q207" s="13"/>
      <c r="R207" s="17" t="str">
        <f aca="true">IF(OR(C207="",Q207=""),"",IF(OR(J207="Won",J207="Lost"),"",IF(Q207&lt;TODAY(),"OVERDUE",IF(Q207=TODAY(),"TODAY",""))))</f>
        <v/>
      </c>
      <c r="S207" s="13"/>
      <c r="T207" s="13"/>
      <c r="U207" s="14"/>
    </row>
    <row r="208" customFormat="false" ht="15" hidden="false" customHeight="false" outlineLevel="0" collapsed="false">
      <c r="A208" s="13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9" t="str">
        <f aca="false">IF(K208="","",IFERROR(INDEX(Lists!$G$2:$G$5,MATCH(K208,Lists!$F$2:$F$5,0)),""))</f>
        <v/>
      </c>
      <c r="M208" s="14"/>
      <c r="N208" s="14"/>
      <c r="O208" s="14"/>
      <c r="P208" s="14"/>
      <c r="Q208" s="13"/>
      <c r="R208" s="17" t="str">
        <f aca="true">IF(OR(C208="",Q208=""),"",IF(OR(J208="Won",J208="Lost"),"",IF(Q208&lt;TODAY(),"OVERDUE",IF(Q208=TODAY(),"TODAY",""))))</f>
        <v/>
      </c>
      <c r="S208" s="13"/>
      <c r="T208" s="13"/>
      <c r="U208" s="14"/>
    </row>
    <row r="209" customFormat="false" ht="15" hidden="false" customHeight="false" outlineLevel="0" collapsed="false">
      <c r="A209" s="13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9" t="str">
        <f aca="false">IF(K209="","",IFERROR(INDEX(Lists!$G$2:$G$5,MATCH(K209,Lists!$F$2:$F$5,0)),""))</f>
        <v/>
      </c>
      <c r="M209" s="14"/>
      <c r="N209" s="14"/>
      <c r="O209" s="14"/>
      <c r="P209" s="14"/>
      <c r="Q209" s="13"/>
      <c r="R209" s="17" t="str">
        <f aca="true">IF(OR(C209="",Q209=""),"",IF(OR(J209="Won",J209="Lost"),"",IF(Q209&lt;TODAY(),"OVERDUE",IF(Q209=TODAY(),"TODAY",""))))</f>
        <v/>
      </c>
      <c r="S209" s="13"/>
      <c r="T209" s="13"/>
      <c r="U209" s="14"/>
    </row>
    <row r="210" customFormat="false" ht="15" hidden="false" customHeight="false" outlineLevel="0" collapsed="false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9" t="str">
        <f aca="false">IF(K210="","",IFERROR(INDEX(Lists!$G$2:$G$5,MATCH(K210,Lists!$F$2:$F$5,0)),""))</f>
        <v/>
      </c>
      <c r="M210" s="14"/>
      <c r="N210" s="14"/>
      <c r="O210" s="14"/>
      <c r="P210" s="14"/>
      <c r="Q210" s="13"/>
      <c r="R210" s="17" t="str">
        <f aca="true">IF(OR(C210="",Q210=""),"",IF(OR(J210="Won",J210="Lost"),"",IF(Q210&lt;TODAY(),"OVERDUE",IF(Q210=TODAY(),"TODAY",""))))</f>
        <v/>
      </c>
      <c r="S210" s="13"/>
      <c r="T210" s="13"/>
      <c r="U210" s="14"/>
    </row>
    <row r="211" customFormat="false" ht="15" hidden="false" customHeight="false" outlineLevel="0" collapsed="false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9" t="str">
        <f aca="false">IF(K211="","",IFERROR(INDEX(Lists!$G$2:$G$5,MATCH(K211,Lists!$F$2:$F$5,0)),""))</f>
        <v/>
      </c>
      <c r="M211" s="14"/>
      <c r="N211" s="14"/>
      <c r="O211" s="14"/>
      <c r="P211" s="14"/>
      <c r="Q211" s="13"/>
      <c r="R211" s="17" t="str">
        <f aca="true">IF(OR(C211="",Q211=""),"",IF(OR(J211="Won",J211="Lost"),"",IF(Q211&lt;TODAY(),"OVERDUE",IF(Q211=TODAY(),"TODAY",""))))</f>
        <v/>
      </c>
      <c r="S211" s="13"/>
      <c r="T211" s="13"/>
      <c r="U211" s="14"/>
    </row>
    <row r="212" customFormat="false" ht="15" hidden="false" customHeight="false" outlineLevel="0" collapsed="false">
      <c r="A212" s="13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9" t="str">
        <f aca="false">IF(K212="","",IFERROR(INDEX(Lists!$G$2:$G$5,MATCH(K212,Lists!$F$2:$F$5,0)),""))</f>
        <v/>
      </c>
      <c r="M212" s="14"/>
      <c r="N212" s="14"/>
      <c r="O212" s="14"/>
      <c r="P212" s="14"/>
      <c r="Q212" s="13"/>
      <c r="R212" s="17" t="str">
        <f aca="true">IF(OR(C212="",Q212=""),"",IF(OR(J212="Won",J212="Lost"),"",IF(Q212&lt;TODAY(),"OVERDUE",IF(Q212=TODAY(),"TODAY",""))))</f>
        <v/>
      </c>
      <c r="S212" s="13"/>
      <c r="T212" s="13"/>
      <c r="U212" s="14"/>
    </row>
    <row r="213" customFormat="false" ht="15" hidden="false" customHeight="false" outlineLevel="0" collapsed="false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9" t="str">
        <f aca="false">IF(K213="","",IFERROR(INDEX(Lists!$G$2:$G$5,MATCH(K213,Lists!$F$2:$F$5,0)),""))</f>
        <v/>
      </c>
      <c r="M213" s="14"/>
      <c r="N213" s="14"/>
      <c r="O213" s="14"/>
      <c r="P213" s="14"/>
      <c r="Q213" s="13"/>
      <c r="R213" s="17" t="str">
        <f aca="true">IF(OR(C213="",Q213=""),"",IF(OR(J213="Won",J213="Lost"),"",IF(Q213&lt;TODAY(),"OVERDUE",IF(Q213=TODAY(),"TODAY",""))))</f>
        <v/>
      </c>
      <c r="S213" s="13"/>
      <c r="T213" s="13"/>
      <c r="U213" s="14"/>
    </row>
    <row r="214" customFormat="false" ht="15" hidden="false" customHeight="false" outlineLevel="0" collapsed="false">
      <c r="A214" s="13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9" t="str">
        <f aca="false">IF(K214="","",IFERROR(INDEX(Lists!$G$2:$G$5,MATCH(K214,Lists!$F$2:$F$5,0)),""))</f>
        <v/>
      </c>
      <c r="M214" s="14"/>
      <c r="N214" s="14"/>
      <c r="O214" s="14"/>
      <c r="P214" s="14"/>
      <c r="Q214" s="13"/>
      <c r="R214" s="17" t="str">
        <f aca="true">IF(OR(C214="",Q214=""),"",IF(OR(J214="Won",J214="Lost"),"",IF(Q214&lt;TODAY(),"OVERDUE",IF(Q214=TODAY(),"TODAY",""))))</f>
        <v/>
      </c>
      <c r="S214" s="13"/>
      <c r="T214" s="13"/>
      <c r="U214" s="14"/>
    </row>
    <row r="215" customFormat="false" ht="15" hidden="false" customHeight="false" outlineLevel="0" collapsed="false">
      <c r="A215" s="13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9" t="str">
        <f aca="false">IF(K215="","",IFERROR(INDEX(Lists!$G$2:$G$5,MATCH(K215,Lists!$F$2:$F$5,0)),""))</f>
        <v/>
      </c>
      <c r="M215" s="14"/>
      <c r="N215" s="14"/>
      <c r="O215" s="14"/>
      <c r="P215" s="14"/>
      <c r="Q215" s="13"/>
      <c r="R215" s="17" t="str">
        <f aca="true">IF(OR(C215="",Q215=""),"",IF(OR(J215="Won",J215="Lost"),"",IF(Q215&lt;TODAY(),"OVERDUE",IF(Q215=TODAY(),"TODAY",""))))</f>
        <v/>
      </c>
      <c r="S215" s="13"/>
      <c r="T215" s="13"/>
      <c r="U215" s="14"/>
    </row>
    <row r="216" customFormat="false" ht="15" hidden="false" customHeight="false" outlineLevel="0" collapsed="false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9" t="str">
        <f aca="false">IF(K216="","",IFERROR(INDEX(Lists!$G$2:$G$5,MATCH(K216,Lists!$F$2:$F$5,0)),""))</f>
        <v/>
      </c>
      <c r="M216" s="14"/>
      <c r="N216" s="14"/>
      <c r="O216" s="14"/>
      <c r="P216" s="14"/>
      <c r="Q216" s="13"/>
      <c r="R216" s="17" t="str">
        <f aca="true">IF(OR(C216="",Q216=""),"",IF(OR(J216="Won",J216="Lost"),"",IF(Q216&lt;TODAY(),"OVERDUE",IF(Q216=TODAY(),"TODAY",""))))</f>
        <v/>
      </c>
      <c r="S216" s="13"/>
      <c r="T216" s="13"/>
      <c r="U216" s="14"/>
    </row>
    <row r="217" customFormat="false" ht="15" hidden="false" customHeight="false" outlineLevel="0" collapsed="false">
      <c r="A217" s="13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9" t="str">
        <f aca="false">IF(K217="","",IFERROR(INDEX(Lists!$G$2:$G$5,MATCH(K217,Lists!$F$2:$F$5,0)),""))</f>
        <v/>
      </c>
      <c r="M217" s="14"/>
      <c r="N217" s="14"/>
      <c r="O217" s="14"/>
      <c r="P217" s="14"/>
      <c r="Q217" s="13"/>
      <c r="R217" s="17" t="str">
        <f aca="true">IF(OR(C217="",Q217=""),"",IF(OR(J217="Won",J217="Lost"),"",IF(Q217&lt;TODAY(),"OVERDUE",IF(Q217=TODAY(),"TODAY",""))))</f>
        <v/>
      </c>
      <c r="S217" s="13"/>
      <c r="T217" s="13"/>
      <c r="U217" s="14"/>
    </row>
    <row r="218" customFormat="false" ht="15" hidden="false" customHeight="false" outlineLevel="0" collapsed="false">
      <c r="A218" s="13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9" t="str">
        <f aca="false">IF(K218="","",IFERROR(INDEX(Lists!$G$2:$G$5,MATCH(K218,Lists!$F$2:$F$5,0)),""))</f>
        <v/>
      </c>
      <c r="M218" s="14"/>
      <c r="N218" s="14"/>
      <c r="O218" s="14"/>
      <c r="P218" s="14"/>
      <c r="Q218" s="13"/>
      <c r="R218" s="17" t="str">
        <f aca="true">IF(OR(C218="",Q218=""),"",IF(OR(J218="Won",J218="Lost"),"",IF(Q218&lt;TODAY(),"OVERDUE",IF(Q218=TODAY(),"TODAY",""))))</f>
        <v/>
      </c>
      <c r="S218" s="13"/>
      <c r="T218" s="13"/>
      <c r="U218" s="14"/>
    </row>
    <row r="219" customFormat="false" ht="15" hidden="false" customHeight="false" outlineLevel="0" collapsed="false">
      <c r="A219" s="13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9" t="str">
        <f aca="false">IF(K219="","",IFERROR(INDEX(Lists!$G$2:$G$5,MATCH(K219,Lists!$F$2:$F$5,0)),""))</f>
        <v/>
      </c>
      <c r="M219" s="14"/>
      <c r="N219" s="14"/>
      <c r="O219" s="14"/>
      <c r="P219" s="14"/>
      <c r="Q219" s="13"/>
      <c r="R219" s="17" t="str">
        <f aca="true">IF(OR(C219="",Q219=""),"",IF(OR(J219="Won",J219="Lost"),"",IF(Q219&lt;TODAY(),"OVERDUE",IF(Q219=TODAY(),"TODAY",""))))</f>
        <v/>
      </c>
      <c r="S219" s="13"/>
      <c r="T219" s="13"/>
      <c r="U219" s="14"/>
    </row>
    <row r="220" customFormat="false" ht="15" hidden="false" customHeight="false" outlineLevel="0" collapsed="false">
      <c r="A220" s="13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9" t="str">
        <f aca="false">IF(K220="","",IFERROR(INDEX(Lists!$G$2:$G$5,MATCH(K220,Lists!$F$2:$F$5,0)),""))</f>
        <v/>
      </c>
      <c r="M220" s="14"/>
      <c r="N220" s="14"/>
      <c r="O220" s="14"/>
      <c r="P220" s="14"/>
      <c r="Q220" s="13"/>
      <c r="R220" s="17" t="str">
        <f aca="true">IF(OR(C220="",Q220=""),"",IF(OR(J220="Won",J220="Lost"),"",IF(Q220&lt;TODAY(),"OVERDUE",IF(Q220=TODAY(),"TODAY",""))))</f>
        <v/>
      </c>
      <c r="S220" s="13"/>
      <c r="T220" s="13"/>
      <c r="U220" s="14"/>
    </row>
    <row r="221" customFormat="false" ht="15" hidden="false" customHeight="false" outlineLevel="0" collapsed="false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9" t="str">
        <f aca="false">IF(K221="","",IFERROR(INDEX(Lists!$G$2:$G$5,MATCH(K221,Lists!$F$2:$F$5,0)),""))</f>
        <v/>
      </c>
      <c r="M221" s="14"/>
      <c r="N221" s="14"/>
      <c r="O221" s="14"/>
      <c r="P221" s="14"/>
      <c r="Q221" s="13"/>
      <c r="R221" s="17" t="str">
        <f aca="true">IF(OR(C221="",Q221=""),"",IF(OR(J221="Won",J221="Lost"),"",IF(Q221&lt;TODAY(),"OVERDUE",IF(Q221=TODAY(),"TODAY",""))))</f>
        <v/>
      </c>
      <c r="S221" s="13"/>
      <c r="T221" s="13"/>
      <c r="U221" s="14"/>
    </row>
    <row r="222" customFormat="false" ht="15" hidden="false" customHeight="false" outlineLevel="0" collapsed="false">
      <c r="A222" s="13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9" t="str">
        <f aca="false">IF(K222="","",IFERROR(INDEX(Lists!$G$2:$G$5,MATCH(K222,Lists!$F$2:$F$5,0)),""))</f>
        <v/>
      </c>
      <c r="M222" s="14"/>
      <c r="N222" s="14"/>
      <c r="O222" s="14"/>
      <c r="P222" s="14"/>
      <c r="Q222" s="13"/>
      <c r="R222" s="17" t="str">
        <f aca="true">IF(OR(C222="",Q222=""),"",IF(OR(J222="Won",J222="Lost"),"",IF(Q222&lt;TODAY(),"OVERDUE",IF(Q222=TODAY(),"TODAY",""))))</f>
        <v/>
      </c>
      <c r="S222" s="13"/>
      <c r="T222" s="13"/>
      <c r="U222" s="14"/>
    </row>
    <row r="223" customFormat="false" ht="15" hidden="false" customHeight="false" outlineLevel="0" collapsed="false">
      <c r="A223" s="13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9" t="str">
        <f aca="false">IF(K223="","",IFERROR(INDEX(Lists!$G$2:$G$5,MATCH(K223,Lists!$F$2:$F$5,0)),""))</f>
        <v/>
      </c>
      <c r="M223" s="14"/>
      <c r="N223" s="14"/>
      <c r="O223" s="14"/>
      <c r="P223" s="14"/>
      <c r="Q223" s="13"/>
      <c r="R223" s="17" t="str">
        <f aca="true">IF(OR(C223="",Q223=""),"",IF(OR(J223="Won",J223="Lost"),"",IF(Q223&lt;TODAY(),"OVERDUE",IF(Q223=TODAY(),"TODAY",""))))</f>
        <v/>
      </c>
      <c r="S223" s="13"/>
      <c r="T223" s="13"/>
      <c r="U223" s="14"/>
    </row>
    <row r="224" customFormat="false" ht="15" hidden="false" customHeight="false" outlineLevel="0" collapsed="false">
      <c r="A224" s="13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9" t="str">
        <f aca="false">IF(K224="","",IFERROR(INDEX(Lists!$G$2:$G$5,MATCH(K224,Lists!$F$2:$F$5,0)),""))</f>
        <v/>
      </c>
      <c r="M224" s="14"/>
      <c r="N224" s="14"/>
      <c r="O224" s="14"/>
      <c r="P224" s="14"/>
      <c r="Q224" s="13"/>
      <c r="R224" s="17" t="str">
        <f aca="true">IF(OR(C224="",Q224=""),"",IF(OR(J224="Won",J224="Lost"),"",IF(Q224&lt;TODAY(),"OVERDUE",IF(Q224=TODAY(),"TODAY",""))))</f>
        <v/>
      </c>
      <c r="S224" s="13"/>
      <c r="T224" s="13"/>
      <c r="U224" s="14"/>
    </row>
    <row r="225" customFormat="false" ht="15" hidden="false" customHeight="false" outlineLevel="0" collapsed="false">
      <c r="A225" s="13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9" t="str">
        <f aca="false">IF(K225="","",IFERROR(INDEX(Lists!$G$2:$G$5,MATCH(K225,Lists!$F$2:$F$5,0)),""))</f>
        <v/>
      </c>
      <c r="M225" s="14"/>
      <c r="N225" s="14"/>
      <c r="O225" s="14"/>
      <c r="P225" s="14"/>
      <c r="Q225" s="13"/>
      <c r="R225" s="17" t="str">
        <f aca="true">IF(OR(C225="",Q225=""),"",IF(OR(J225="Won",J225="Lost"),"",IF(Q225&lt;TODAY(),"OVERDUE",IF(Q225=TODAY(),"TODAY",""))))</f>
        <v/>
      </c>
      <c r="S225" s="13"/>
      <c r="T225" s="13"/>
      <c r="U225" s="14"/>
    </row>
    <row r="226" customFormat="false" ht="15" hidden="false" customHeight="false" outlineLevel="0" collapsed="false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9" t="str">
        <f aca="false">IF(K226="","",IFERROR(INDEX(Lists!$G$2:$G$5,MATCH(K226,Lists!$F$2:$F$5,0)),""))</f>
        <v/>
      </c>
      <c r="M226" s="14"/>
      <c r="N226" s="14"/>
      <c r="O226" s="14"/>
      <c r="P226" s="14"/>
      <c r="Q226" s="13"/>
      <c r="R226" s="17" t="str">
        <f aca="true">IF(OR(C226="",Q226=""),"",IF(OR(J226="Won",J226="Lost"),"",IF(Q226&lt;TODAY(),"OVERDUE",IF(Q226=TODAY(),"TODAY",""))))</f>
        <v/>
      </c>
      <c r="S226" s="13"/>
      <c r="T226" s="13"/>
      <c r="U226" s="14"/>
    </row>
    <row r="227" customFormat="false" ht="15" hidden="false" customHeight="false" outlineLevel="0" collapsed="false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9" t="str">
        <f aca="false">IF(K227="","",IFERROR(INDEX(Lists!$G$2:$G$5,MATCH(K227,Lists!$F$2:$F$5,0)),""))</f>
        <v/>
      </c>
      <c r="M227" s="14"/>
      <c r="N227" s="14"/>
      <c r="O227" s="14"/>
      <c r="P227" s="14"/>
      <c r="Q227" s="13"/>
      <c r="R227" s="17" t="str">
        <f aca="true">IF(OR(C227="",Q227=""),"",IF(OR(J227="Won",J227="Lost"),"",IF(Q227&lt;TODAY(),"OVERDUE",IF(Q227=TODAY(),"TODAY",""))))</f>
        <v/>
      </c>
      <c r="S227" s="13"/>
      <c r="T227" s="13"/>
      <c r="U227" s="14"/>
    </row>
    <row r="228" customFormat="false" ht="15" hidden="false" customHeight="false" outlineLevel="0" collapsed="false">
      <c r="A228" s="13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9" t="str">
        <f aca="false">IF(K228="","",IFERROR(INDEX(Lists!$G$2:$G$5,MATCH(K228,Lists!$F$2:$F$5,0)),""))</f>
        <v/>
      </c>
      <c r="M228" s="14"/>
      <c r="N228" s="14"/>
      <c r="O228" s="14"/>
      <c r="P228" s="14"/>
      <c r="Q228" s="13"/>
      <c r="R228" s="17" t="str">
        <f aca="true">IF(OR(C228="",Q228=""),"",IF(OR(J228="Won",J228="Lost"),"",IF(Q228&lt;TODAY(),"OVERDUE",IF(Q228=TODAY(),"TODAY",""))))</f>
        <v/>
      </c>
      <c r="S228" s="13"/>
      <c r="T228" s="13"/>
      <c r="U228" s="14"/>
    </row>
    <row r="229" customFormat="false" ht="15" hidden="false" customHeight="false" outlineLevel="0" collapsed="false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9" t="str">
        <f aca="false">IF(K229="","",IFERROR(INDEX(Lists!$G$2:$G$5,MATCH(K229,Lists!$F$2:$F$5,0)),""))</f>
        <v/>
      </c>
      <c r="M229" s="14"/>
      <c r="N229" s="14"/>
      <c r="O229" s="14"/>
      <c r="P229" s="14"/>
      <c r="Q229" s="13"/>
      <c r="R229" s="17" t="str">
        <f aca="true">IF(OR(C229="",Q229=""),"",IF(OR(J229="Won",J229="Lost"),"",IF(Q229&lt;TODAY(),"OVERDUE",IF(Q229=TODAY(),"TODAY",""))))</f>
        <v/>
      </c>
      <c r="S229" s="13"/>
      <c r="T229" s="13"/>
      <c r="U229" s="14"/>
    </row>
    <row r="230" customFormat="false" ht="15" hidden="false" customHeight="false" outlineLevel="0" collapsed="false">
      <c r="A230" s="13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9" t="str">
        <f aca="false">IF(K230="","",IFERROR(INDEX(Lists!$G$2:$G$5,MATCH(K230,Lists!$F$2:$F$5,0)),""))</f>
        <v/>
      </c>
      <c r="M230" s="14"/>
      <c r="N230" s="14"/>
      <c r="O230" s="14"/>
      <c r="P230" s="14"/>
      <c r="Q230" s="13"/>
      <c r="R230" s="17" t="str">
        <f aca="true">IF(OR(C230="",Q230=""),"",IF(OR(J230="Won",J230="Lost"),"",IF(Q230&lt;TODAY(),"OVERDUE",IF(Q230=TODAY(),"TODAY",""))))</f>
        <v/>
      </c>
      <c r="S230" s="13"/>
      <c r="T230" s="13"/>
      <c r="U230" s="14"/>
    </row>
    <row r="231" customFormat="false" ht="15" hidden="false" customHeight="false" outlineLevel="0" collapsed="false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9" t="str">
        <f aca="false">IF(K231="","",IFERROR(INDEX(Lists!$G$2:$G$5,MATCH(K231,Lists!$F$2:$F$5,0)),""))</f>
        <v/>
      </c>
      <c r="M231" s="14"/>
      <c r="N231" s="14"/>
      <c r="O231" s="14"/>
      <c r="P231" s="14"/>
      <c r="Q231" s="13"/>
      <c r="R231" s="17" t="str">
        <f aca="true">IF(OR(C231="",Q231=""),"",IF(OR(J231="Won",J231="Lost"),"",IF(Q231&lt;TODAY(),"OVERDUE",IF(Q231=TODAY(),"TODAY",""))))</f>
        <v/>
      </c>
      <c r="S231" s="13"/>
      <c r="T231" s="13"/>
      <c r="U231" s="14"/>
    </row>
    <row r="232" customFormat="false" ht="15" hidden="false" customHeight="false" outlineLevel="0" collapsed="false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9" t="str">
        <f aca="false">IF(K232="","",IFERROR(INDEX(Lists!$G$2:$G$5,MATCH(K232,Lists!$F$2:$F$5,0)),""))</f>
        <v/>
      </c>
      <c r="M232" s="14"/>
      <c r="N232" s="14"/>
      <c r="O232" s="14"/>
      <c r="P232" s="14"/>
      <c r="Q232" s="13"/>
      <c r="R232" s="17" t="str">
        <f aca="true">IF(OR(C232="",Q232=""),"",IF(OR(J232="Won",J232="Lost"),"",IF(Q232&lt;TODAY(),"OVERDUE",IF(Q232=TODAY(),"TODAY",""))))</f>
        <v/>
      </c>
      <c r="S232" s="13"/>
      <c r="T232" s="13"/>
      <c r="U232" s="14"/>
    </row>
    <row r="233" customFormat="false" ht="15" hidden="false" customHeight="false" outlineLevel="0" collapsed="false">
      <c r="A233" s="13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9" t="str">
        <f aca="false">IF(K233="","",IFERROR(INDEX(Lists!$G$2:$G$5,MATCH(K233,Lists!$F$2:$F$5,0)),""))</f>
        <v/>
      </c>
      <c r="M233" s="14"/>
      <c r="N233" s="14"/>
      <c r="O233" s="14"/>
      <c r="P233" s="14"/>
      <c r="Q233" s="13"/>
      <c r="R233" s="17" t="str">
        <f aca="true">IF(OR(C233="",Q233=""),"",IF(OR(J233="Won",J233="Lost"),"",IF(Q233&lt;TODAY(),"OVERDUE",IF(Q233=TODAY(),"TODAY",""))))</f>
        <v/>
      </c>
      <c r="S233" s="13"/>
      <c r="T233" s="13"/>
      <c r="U233" s="14"/>
    </row>
    <row r="234" customFormat="false" ht="15" hidden="false" customHeight="false" outlineLevel="0" collapsed="false">
      <c r="A234" s="13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9" t="str">
        <f aca="false">IF(K234="","",IFERROR(INDEX(Lists!$G$2:$G$5,MATCH(K234,Lists!$F$2:$F$5,0)),""))</f>
        <v/>
      </c>
      <c r="M234" s="14"/>
      <c r="N234" s="14"/>
      <c r="O234" s="14"/>
      <c r="P234" s="14"/>
      <c r="Q234" s="13"/>
      <c r="R234" s="17" t="str">
        <f aca="true">IF(OR(C234="",Q234=""),"",IF(OR(J234="Won",J234="Lost"),"",IF(Q234&lt;TODAY(),"OVERDUE",IF(Q234=TODAY(),"TODAY",""))))</f>
        <v/>
      </c>
      <c r="S234" s="13"/>
      <c r="T234" s="13"/>
      <c r="U234" s="14"/>
    </row>
    <row r="235" customFormat="false" ht="15" hidden="false" customHeight="false" outlineLevel="0" collapsed="false">
      <c r="A235" s="13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9" t="str">
        <f aca="false">IF(K235="","",IFERROR(INDEX(Lists!$G$2:$G$5,MATCH(K235,Lists!$F$2:$F$5,0)),""))</f>
        <v/>
      </c>
      <c r="M235" s="14"/>
      <c r="N235" s="14"/>
      <c r="O235" s="14"/>
      <c r="P235" s="14"/>
      <c r="Q235" s="13"/>
      <c r="R235" s="17" t="str">
        <f aca="true">IF(OR(C235="",Q235=""),"",IF(OR(J235="Won",J235="Lost"),"",IF(Q235&lt;TODAY(),"OVERDUE",IF(Q235=TODAY(),"TODAY",""))))</f>
        <v/>
      </c>
      <c r="S235" s="13"/>
      <c r="T235" s="13"/>
      <c r="U235" s="14"/>
    </row>
    <row r="236" customFormat="false" ht="15" hidden="false" customHeight="false" outlineLevel="0" collapsed="false">
      <c r="A236" s="13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9" t="str">
        <f aca="false">IF(K236="","",IFERROR(INDEX(Lists!$G$2:$G$5,MATCH(K236,Lists!$F$2:$F$5,0)),""))</f>
        <v/>
      </c>
      <c r="M236" s="14"/>
      <c r="N236" s="14"/>
      <c r="O236" s="14"/>
      <c r="P236" s="14"/>
      <c r="Q236" s="13"/>
      <c r="R236" s="17" t="str">
        <f aca="true">IF(OR(C236="",Q236=""),"",IF(OR(J236="Won",J236="Lost"),"",IF(Q236&lt;TODAY(),"OVERDUE",IF(Q236=TODAY(),"TODAY",""))))</f>
        <v/>
      </c>
      <c r="S236" s="13"/>
      <c r="T236" s="13"/>
      <c r="U236" s="14"/>
    </row>
    <row r="237" customFormat="false" ht="15" hidden="false" customHeight="false" outlineLevel="0" collapsed="false">
      <c r="A237" s="13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9" t="str">
        <f aca="false">IF(K237="","",IFERROR(INDEX(Lists!$G$2:$G$5,MATCH(K237,Lists!$F$2:$F$5,0)),""))</f>
        <v/>
      </c>
      <c r="M237" s="14"/>
      <c r="N237" s="14"/>
      <c r="O237" s="14"/>
      <c r="P237" s="14"/>
      <c r="Q237" s="13"/>
      <c r="R237" s="17" t="str">
        <f aca="true">IF(OR(C237="",Q237=""),"",IF(OR(J237="Won",J237="Lost"),"",IF(Q237&lt;TODAY(),"OVERDUE",IF(Q237=TODAY(),"TODAY",""))))</f>
        <v/>
      </c>
      <c r="S237" s="13"/>
      <c r="T237" s="13"/>
      <c r="U237" s="14"/>
    </row>
    <row r="238" customFormat="false" ht="15" hidden="false" customHeight="false" outlineLevel="0" collapsed="false">
      <c r="A238" s="13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9" t="str">
        <f aca="false">IF(K238="","",IFERROR(INDEX(Lists!$G$2:$G$5,MATCH(K238,Lists!$F$2:$F$5,0)),""))</f>
        <v/>
      </c>
      <c r="M238" s="14"/>
      <c r="N238" s="14"/>
      <c r="O238" s="14"/>
      <c r="P238" s="14"/>
      <c r="Q238" s="13"/>
      <c r="R238" s="17" t="str">
        <f aca="true">IF(OR(C238="",Q238=""),"",IF(OR(J238="Won",J238="Lost"),"",IF(Q238&lt;TODAY(),"OVERDUE",IF(Q238=TODAY(),"TODAY",""))))</f>
        <v/>
      </c>
      <c r="S238" s="13"/>
      <c r="T238" s="13"/>
      <c r="U238" s="14"/>
    </row>
    <row r="239" customFormat="false" ht="15" hidden="false" customHeight="false" outlineLevel="0" collapsed="false">
      <c r="A239" s="13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9" t="str">
        <f aca="false">IF(K239="","",IFERROR(INDEX(Lists!$G$2:$G$5,MATCH(K239,Lists!$F$2:$F$5,0)),""))</f>
        <v/>
      </c>
      <c r="M239" s="14"/>
      <c r="N239" s="14"/>
      <c r="O239" s="14"/>
      <c r="P239" s="14"/>
      <c r="Q239" s="13"/>
      <c r="R239" s="17" t="str">
        <f aca="true">IF(OR(C239="",Q239=""),"",IF(OR(J239="Won",J239="Lost"),"",IF(Q239&lt;TODAY(),"OVERDUE",IF(Q239=TODAY(),"TODAY",""))))</f>
        <v/>
      </c>
      <c r="S239" s="13"/>
      <c r="T239" s="13"/>
      <c r="U239" s="14"/>
    </row>
    <row r="240" customFormat="false" ht="15" hidden="false" customHeight="false" outlineLevel="0" collapsed="false">
      <c r="A240" s="13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9" t="str">
        <f aca="false">IF(K240="","",IFERROR(INDEX(Lists!$G$2:$G$5,MATCH(K240,Lists!$F$2:$F$5,0)),""))</f>
        <v/>
      </c>
      <c r="M240" s="14"/>
      <c r="N240" s="14"/>
      <c r="O240" s="14"/>
      <c r="P240" s="14"/>
      <c r="Q240" s="13"/>
      <c r="R240" s="17" t="str">
        <f aca="true">IF(OR(C240="",Q240=""),"",IF(OR(J240="Won",J240="Lost"),"",IF(Q240&lt;TODAY(),"OVERDUE",IF(Q240=TODAY(),"TODAY",""))))</f>
        <v/>
      </c>
      <c r="S240" s="13"/>
      <c r="T240" s="13"/>
      <c r="U240" s="14"/>
    </row>
    <row r="241" customFormat="false" ht="15" hidden="false" customHeight="false" outlineLevel="0" collapsed="false">
      <c r="A241" s="13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9" t="str">
        <f aca="false">IF(K241="","",IFERROR(INDEX(Lists!$G$2:$G$5,MATCH(K241,Lists!$F$2:$F$5,0)),""))</f>
        <v/>
      </c>
      <c r="M241" s="14"/>
      <c r="N241" s="14"/>
      <c r="O241" s="14"/>
      <c r="P241" s="14"/>
      <c r="Q241" s="13"/>
      <c r="R241" s="17" t="str">
        <f aca="true">IF(OR(C241="",Q241=""),"",IF(OR(J241="Won",J241="Lost"),"",IF(Q241&lt;TODAY(),"OVERDUE",IF(Q241=TODAY(),"TODAY",""))))</f>
        <v/>
      </c>
      <c r="S241" s="13"/>
      <c r="T241" s="13"/>
      <c r="U241" s="14"/>
    </row>
    <row r="242" customFormat="false" ht="15" hidden="false" customHeight="false" outlineLevel="0" collapsed="false">
      <c r="A242" s="13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9" t="str">
        <f aca="false">IF(K242="","",IFERROR(INDEX(Lists!$G$2:$G$5,MATCH(K242,Lists!$F$2:$F$5,0)),""))</f>
        <v/>
      </c>
      <c r="M242" s="14"/>
      <c r="N242" s="14"/>
      <c r="O242" s="14"/>
      <c r="P242" s="14"/>
      <c r="Q242" s="13"/>
      <c r="R242" s="17" t="str">
        <f aca="true">IF(OR(C242="",Q242=""),"",IF(OR(J242="Won",J242="Lost"),"",IF(Q242&lt;TODAY(),"OVERDUE",IF(Q242=TODAY(),"TODAY",""))))</f>
        <v/>
      </c>
      <c r="S242" s="13"/>
      <c r="T242" s="13"/>
      <c r="U242" s="14"/>
    </row>
    <row r="243" customFormat="false" ht="15" hidden="false" customHeight="false" outlineLevel="0" collapsed="false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9" t="str">
        <f aca="false">IF(K243="","",IFERROR(INDEX(Lists!$G$2:$G$5,MATCH(K243,Lists!$F$2:$F$5,0)),""))</f>
        <v/>
      </c>
      <c r="M243" s="14"/>
      <c r="N243" s="14"/>
      <c r="O243" s="14"/>
      <c r="P243" s="14"/>
      <c r="Q243" s="13"/>
      <c r="R243" s="17" t="str">
        <f aca="true">IF(OR(C243="",Q243=""),"",IF(OR(J243="Won",J243="Lost"),"",IF(Q243&lt;TODAY(),"OVERDUE",IF(Q243=TODAY(),"TODAY",""))))</f>
        <v/>
      </c>
      <c r="S243" s="13"/>
      <c r="T243" s="13"/>
      <c r="U243" s="14"/>
    </row>
    <row r="244" customFormat="false" ht="15" hidden="false" customHeight="false" outlineLevel="0" collapsed="false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9" t="str">
        <f aca="false">IF(K244="","",IFERROR(INDEX(Lists!$G$2:$G$5,MATCH(K244,Lists!$F$2:$F$5,0)),""))</f>
        <v/>
      </c>
      <c r="M244" s="14"/>
      <c r="N244" s="14"/>
      <c r="O244" s="14"/>
      <c r="P244" s="14"/>
      <c r="Q244" s="13"/>
      <c r="R244" s="17" t="str">
        <f aca="true">IF(OR(C244="",Q244=""),"",IF(OR(J244="Won",J244="Lost"),"",IF(Q244&lt;TODAY(),"OVERDUE",IF(Q244=TODAY(),"TODAY",""))))</f>
        <v/>
      </c>
      <c r="S244" s="13"/>
      <c r="T244" s="13"/>
      <c r="U244" s="14"/>
    </row>
    <row r="245" customFormat="false" ht="15" hidden="false" customHeight="false" outlineLevel="0" collapsed="false">
      <c r="A245" s="13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9" t="str">
        <f aca="false">IF(K245="","",IFERROR(INDEX(Lists!$G$2:$G$5,MATCH(K245,Lists!$F$2:$F$5,0)),""))</f>
        <v/>
      </c>
      <c r="M245" s="14"/>
      <c r="N245" s="14"/>
      <c r="O245" s="14"/>
      <c r="P245" s="14"/>
      <c r="Q245" s="13"/>
      <c r="R245" s="17" t="str">
        <f aca="true">IF(OR(C245="",Q245=""),"",IF(OR(J245="Won",J245="Lost"),"",IF(Q245&lt;TODAY(),"OVERDUE",IF(Q245=TODAY(),"TODAY",""))))</f>
        <v/>
      </c>
      <c r="S245" s="13"/>
      <c r="T245" s="13"/>
      <c r="U245" s="14"/>
    </row>
    <row r="246" customFormat="false" ht="15" hidden="false" customHeight="false" outlineLevel="0" collapsed="false">
      <c r="A246" s="13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9" t="str">
        <f aca="false">IF(K246="","",IFERROR(INDEX(Lists!$G$2:$G$5,MATCH(K246,Lists!$F$2:$F$5,0)),""))</f>
        <v/>
      </c>
      <c r="M246" s="14"/>
      <c r="N246" s="14"/>
      <c r="O246" s="14"/>
      <c r="P246" s="14"/>
      <c r="Q246" s="13"/>
      <c r="R246" s="17" t="str">
        <f aca="true">IF(OR(C246="",Q246=""),"",IF(OR(J246="Won",J246="Lost"),"",IF(Q246&lt;TODAY(),"OVERDUE",IF(Q246=TODAY(),"TODAY",""))))</f>
        <v/>
      </c>
      <c r="S246" s="13"/>
      <c r="T246" s="13"/>
      <c r="U246" s="14"/>
    </row>
    <row r="247" customFormat="false" ht="15" hidden="false" customHeight="false" outlineLevel="0" collapsed="false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9" t="str">
        <f aca="false">IF(K247="","",IFERROR(INDEX(Lists!$G$2:$G$5,MATCH(K247,Lists!$F$2:$F$5,0)),""))</f>
        <v/>
      </c>
      <c r="M247" s="14"/>
      <c r="N247" s="14"/>
      <c r="O247" s="14"/>
      <c r="P247" s="14"/>
      <c r="Q247" s="13"/>
      <c r="R247" s="17" t="str">
        <f aca="true">IF(OR(C247="",Q247=""),"",IF(OR(J247="Won",J247="Lost"),"",IF(Q247&lt;TODAY(),"OVERDUE",IF(Q247=TODAY(),"TODAY",""))))</f>
        <v/>
      </c>
      <c r="S247" s="13"/>
      <c r="T247" s="13"/>
      <c r="U247" s="14"/>
    </row>
    <row r="248" customFormat="false" ht="15" hidden="false" customHeight="false" outlineLevel="0" collapsed="false">
      <c r="A248" s="13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9" t="str">
        <f aca="false">IF(K248="","",IFERROR(INDEX(Lists!$G$2:$G$5,MATCH(K248,Lists!$F$2:$F$5,0)),""))</f>
        <v/>
      </c>
      <c r="M248" s="14"/>
      <c r="N248" s="14"/>
      <c r="O248" s="14"/>
      <c r="P248" s="14"/>
      <c r="Q248" s="13"/>
      <c r="R248" s="17" t="str">
        <f aca="true">IF(OR(C248="",Q248=""),"",IF(OR(J248="Won",J248="Lost"),"",IF(Q248&lt;TODAY(),"OVERDUE",IF(Q248=TODAY(),"TODAY",""))))</f>
        <v/>
      </c>
      <c r="S248" s="13"/>
      <c r="T248" s="13"/>
      <c r="U248" s="14"/>
    </row>
    <row r="249" customFormat="false" ht="15" hidden="false" customHeight="false" outlineLevel="0" collapsed="false">
      <c r="A249" s="13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9" t="str">
        <f aca="false">IF(K249="","",IFERROR(INDEX(Lists!$G$2:$G$5,MATCH(K249,Lists!$F$2:$F$5,0)),""))</f>
        <v/>
      </c>
      <c r="M249" s="14"/>
      <c r="N249" s="14"/>
      <c r="O249" s="14"/>
      <c r="P249" s="14"/>
      <c r="Q249" s="13"/>
      <c r="R249" s="17" t="str">
        <f aca="true">IF(OR(C249="",Q249=""),"",IF(OR(J249="Won",J249="Lost"),"",IF(Q249&lt;TODAY(),"OVERDUE",IF(Q249=TODAY(),"TODAY",""))))</f>
        <v/>
      </c>
      <c r="S249" s="13"/>
      <c r="T249" s="13"/>
      <c r="U249" s="14"/>
    </row>
    <row r="250" customFormat="false" ht="15" hidden="false" customHeight="false" outlineLevel="0" collapsed="false">
      <c r="A250" s="13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9" t="str">
        <f aca="false">IF(K250="","",IFERROR(INDEX(Lists!$G$2:$G$5,MATCH(K250,Lists!$F$2:$F$5,0)),""))</f>
        <v/>
      </c>
      <c r="M250" s="14"/>
      <c r="N250" s="14"/>
      <c r="O250" s="14"/>
      <c r="P250" s="14"/>
      <c r="Q250" s="13"/>
      <c r="R250" s="17" t="str">
        <f aca="true">IF(OR(C250="",Q250=""),"",IF(OR(J250="Won",J250="Lost"),"",IF(Q250&lt;TODAY(),"OVERDUE",IF(Q250=TODAY(),"TODAY",""))))</f>
        <v/>
      </c>
      <c r="S250" s="13"/>
      <c r="T250" s="13"/>
      <c r="U250" s="14"/>
    </row>
    <row r="251" customFormat="false" ht="15" hidden="false" customHeight="false" outlineLevel="0" collapsed="false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9" t="str">
        <f aca="false">IF(K251="","",IFERROR(INDEX(Lists!$G$2:$G$5,MATCH(K251,Lists!$F$2:$F$5,0)),""))</f>
        <v/>
      </c>
      <c r="M251" s="14"/>
      <c r="N251" s="14"/>
      <c r="O251" s="14"/>
      <c r="P251" s="14"/>
      <c r="Q251" s="13"/>
      <c r="R251" s="17" t="str">
        <f aca="true">IF(OR(C251="",Q251=""),"",IF(OR(J251="Won",J251="Lost"),"",IF(Q251&lt;TODAY(),"OVERDUE",IF(Q251=TODAY(),"TODAY",""))))</f>
        <v/>
      </c>
      <c r="S251" s="13"/>
      <c r="T251" s="13"/>
      <c r="U251" s="14"/>
    </row>
    <row r="252" customFormat="false" ht="15" hidden="false" customHeight="false" outlineLevel="0" collapsed="false">
      <c r="A252" s="13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9" t="str">
        <f aca="false">IF(K252="","",IFERROR(INDEX(Lists!$G$2:$G$5,MATCH(K252,Lists!$F$2:$F$5,0)),""))</f>
        <v/>
      </c>
      <c r="M252" s="14"/>
      <c r="N252" s="14"/>
      <c r="O252" s="14"/>
      <c r="P252" s="14"/>
      <c r="Q252" s="13"/>
      <c r="R252" s="17" t="str">
        <f aca="true">IF(OR(C252="",Q252=""),"",IF(OR(J252="Won",J252="Lost"),"",IF(Q252&lt;TODAY(),"OVERDUE",IF(Q252=TODAY(),"TODAY",""))))</f>
        <v/>
      </c>
      <c r="S252" s="13"/>
      <c r="T252" s="13"/>
      <c r="U252" s="14"/>
    </row>
    <row r="253" customFormat="false" ht="15" hidden="false" customHeight="false" outlineLevel="0" collapsed="false">
      <c r="A253" s="13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9" t="str">
        <f aca="false">IF(K253="","",IFERROR(INDEX(Lists!$G$2:$G$5,MATCH(K253,Lists!$F$2:$F$5,0)),""))</f>
        <v/>
      </c>
      <c r="M253" s="14"/>
      <c r="N253" s="14"/>
      <c r="O253" s="14"/>
      <c r="P253" s="14"/>
      <c r="Q253" s="13"/>
      <c r="R253" s="17" t="str">
        <f aca="true">IF(OR(C253="",Q253=""),"",IF(OR(J253="Won",J253="Lost"),"",IF(Q253&lt;TODAY(),"OVERDUE",IF(Q253=TODAY(),"TODAY",""))))</f>
        <v/>
      </c>
      <c r="S253" s="13"/>
      <c r="T253" s="13"/>
      <c r="U253" s="14"/>
    </row>
    <row r="254" customFormat="false" ht="15" hidden="false" customHeight="false" outlineLevel="0" collapsed="false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9" t="str">
        <f aca="false">IF(K254="","",IFERROR(INDEX(Lists!$G$2:$G$5,MATCH(K254,Lists!$F$2:$F$5,0)),""))</f>
        <v/>
      </c>
      <c r="M254" s="14"/>
      <c r="N254" s="14"/>
      <c r="O254" s="14"/>
      <c r="P254" s="14"/>
      <c r="Q254" s="13"/>
      <c r="R254" s="17" t="str">
        <f aca="true">IF(OR(C254="",Q254=""),"",IF(OR(J254="Won",J254="Lost"),"",IF(Q254&lt;TODAY(),"OVERDUE",IF(Q254=TODAY(),"TODAY",""))))</f>
        <v/>
      </c>
      <c r="S254" s="13"/>
      <c r="T254" s="13"/>
      <c r="U254" s="14"/>
    </row>
    <row r="255" customFormat="false" ht="15" hidden="false" customHeight="false" outlineLevel="0" collapsed="false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9" t="str">
        <f aca="false">IF(K255="","",IFERROR(INDEX(Lists!$G$2:$G$5,MATCH(K255,Lists!$F$2:$F$5,0)),""))</f>
        <v/>
      </c>
      <c r="M255" s="14"/>
      <c r="N255" s="14"/>
      <c r="O255" s="14"/>
      <c r="P255" s="14"/>
      <c r="Q255" s="13"/>
      <c r="R255" s="17" t="str">
        <f aca="true">IF(OR(C255="",Q255=""),"",IF(OR(J255="Won",J255="Lost"),"",IF(Q255&lt;TODAY(),"OVERDUE",IF(Q255=TODAY(),"TODAY",""))))</f>
        <v/>
      </c>
      <c r="S255" s="13"/>
      <c r="T255" s="13"/>
      <c r="U255" s="14"/>
    </row>
    <row r="256" customFormat="false" ht="15" hidden="false" customHeight="false" outlineLevel="0" collapsed="false">
      <c r="A256" s="13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9" t="str">
        <f aca="false">IF(K256="","",IFERROR(INDEX(Lists!$G$2:$G$5,MATCH(K256,Lists!$F$2:$F$5,0)),""))</f>
        <v/>
      </c>
      <c r="M256" s="14"/>
      <c r="N256" s="14"/>
      <c r="O256" s="14"/>
      <c r="P256" s="14"/>
      <c r="Q256" s="13"/>
      <c r="R256" s="17" t="str">
        <f aca="true">IF(OR(C256="",Q256=""),"",IF(OR(J256="Won",J256="Lost"),"",IF(Q256&lt;TODAY(),"OVERDUE",IF(Q256=TODAY(),"TODAY",""))))</f>
        <v/>
      </c>
      <c r="S256" s="13"/>
      <c r="T256" s="13"/>
      <c r="U256" s="14"/>
    </row>
    <row r="257" customFormat="false" ht="15" hidden="false" customHeight="false" outlineLevel="0" collapsed="false">
      <c r="A257" s="13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9" t="str">
        <f aca="false">IF(K257="","",IFERROR(INDEX(Lists!$G$2:$G$5,MATCH(K257,Lists!$F$2:$F$5,0)),""))</f>
        <v/>
      </c>
      <c r="M257" s="14"/>
      <c r="N257" s="14"/>
      <c r="O257" s="14"/>
      <c r="P257" s="14"/>
      <c r="Q257" s="13"/>
      <c r="R257" s="17" t="str">
        <f aca="true">IF(OR(C257="",Q257=""),"",IF(OR(J257="Won",J257="Lost"),"",IF(Q257&lt;TODAY(),"OVERDUE",IF(Q257=TODAY(),"TODAY",""))))</f>
        <v/>
      </c>
      <c r="S257" s="13"/>
      <c r="T257" s="13"/>
      <c r="U257" s="14"/>
    </row>
    <row r="258" customFormat="false" ht="15" hidden="false" customHeight="false" outlineLevel="0" collapsed="false">
      <c r="A258" s="13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9" t="str">
        <f aca="false">IF(K258="","",IFERROR(INDEX(Lists!$G$2:$G$5,MATCH(K258,Lists!$F$2:$F$5,0)),""))</f>
        <v/>
      </c>
      <c r="M258" s="14"/>
      <c r="N258" s="14"/>
      <c r="O258" s="14"/>
      <c r="P258" s="14"/>
      <c r="Q258" s="13"/>
      <c r="R258" s="17" t="str">
        <f aca="true">IF(OR(C258="",Q258=""),"",IF(OR(J258="Won",J258="Lost"),"",IF(Q258&lt;TODAY(),"OVERDUE",IF(Q258=TODAY(),"TODAY",""))))</f>
        <v/>
      </c>
      <c r="S258" s="13"/>
      <c r="T258" s="13"/>
      <c r="U258" s="14"/>
    </row>
    <row r="259" customFormat="false" ht="15" hidden="false" customHeight="false" outlineLevel="0" collapsed="false">
      <c r="A259" s="13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9" t="str">
        <f aca="false">IF(K259="","",IFERROR(INDEX(Lists!$G$2:$G$5,MATCH(K259,Lists!$F$2:$F$5,0)),""))</f>
        <v/>
      </c>
      <c r="M259" s="14"/>
      <c r="N259" s="14"/>
      <c r="O259" s="14"/>
      <c r="P259" s="14"/>
      <c r="Q259" s="13"/>
      <c r="R259" s="17" t="str">
        <f aca="true">IF(OR(C259="",Q259=""),"",IF(OR(J259="Won",J259="Lost"),"",IF(Q259&lt;TODAY(),"OVERDUE",IF(Q259=TODAY(),"TODAY",""))))</f>
        <v/>
      </c>
      <c r="S259" s="13"/>
      <c r="T259" s="13"/>
      <c r="U259" s="14"/>
    </row>
    <row r="260" customFormat="false" ht="15" hidden="false" customHeight="false" outlineLevel="0" collapsed="false">
      <c r="A260" s="13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9" t="str">
        <f aca="false">IF(K260="","",IFERROR(INDEX(Lists!$G$2:$G$5,MATCH(K260,Lists!$F$2:$F$5,0)),""))</f>
        <v/>
      </c>
      <c r="M260" s="14"/>
      <c r="N260" s="14"/>
      <c r="O260" s="14"/>
      <c r="P260" s="14"/>
      <c r="Q260" s="13"/>
      <c r="R260" s="17" t="str">
        <f aca="true">IF(OR(C260="",Q260=""),"",IF(OR(J260="Won",J260="Lost"),"",IF(Q260&lt;TODAY(),"OVERDUE",IF(Q260=TODAY(),"TODAY",""))))</f>
        <v/>
      </c>
      <c r="S260" s="13"/>
      <c r="T260" s="13"/>
      <c r="U260" s="14"/>
    </row>
    <row r="261" customFormat="false" ht="15" hidden="false" customHeight="false" outlineLevel="0" collapsed="false">
      <c r="A261" s="13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9" t="str">
        <f aca="false">IF(K261="","",IFERROR(INDEX(Lists!$G$2:$G$5,MATCH(K261,Lists!$F$2:$F$5,0)),""))</f>
        <v/>
      </c>
      <c r="M261" s="14"/>
      <c r="N261" s="14"/>
      <c r="O261" s="14"/>
      <c r="P261" s="14"/>
      <c r="Q261" s="13"/>
      <c r="R261" s="17" t="str">
        <f aca="true">IF(OR(C261="",Q261=""),"",IF(OR(J261="Won",J261="Lost"),"",IF(Q261&lt;TODAY(),"OVERDUE",IF(Q261=TODAY(),"TODAY",""))))</f>
        <v/>
      </c>
      <c r="S261" s="13"/>
      <c r="T261" s="13"/>
      <c r="U261" s="14"/>
    </row>
    <row r="262" customFormat="false" ht="15" hidden="false" customHeight="false" outlineLevel="0" collapsed="false">
      <c r="A262" s="13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9" t="str">
        <f aca="false">IF(K262="","",IFERROR(INDEX(Lists!$G$2:$G$5,MATCH(K262,Lists!$F$2:$F$5,0)),""))</f>
        <v/>
      </c>
      <c r="M262" s="14"/>
      <c r="N262" s="14"/>
      <c r="O262" s="14"/>
      <c r="P262" s="14"/>
      <c r="Q262" s="13"/>
      <c r="R262" s="17" t="str">
        <f aca="true">IF(OR(C262="",Q262=""),"",IF(OR(J262="Won",J262="Lost"),"",IF(Q262&lt;TODAY(),"OVERDUE",IF(Q262=TODAY(),"TODAY",""))))</f>
        <v/>
      </c>
      <c r="S262" s="13"/>
      <c r="T262" s="13"/>
      <c r="U262" s="14"/>
    </row>
    <row r="263" customFormat="false" ht="15" hidden="false" customHeight="false" outlineLevel="0" collapsed="false">
      <c r="A263" s="13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9" t="str">
        <f aca="false">IF(K263="","",IFERROR(INDEX(Lists!$G$2:$G$5,MATCH(K263,Lists!$F$2:$F$5,0)),""))</f>
        <v/>
      </c>
      <c r="M263" s="14"/>
      <c r="N263" s="14"/>
      <c r="O263" s="14"/>
      <c r="P263" s="14"/>
      <c r="Q263" s="13"/>
      <c r="R263" s="17" t="str">
        <f aca="true">IF(OR(C263="",Q263=""),"",IF(OR(J263="Won",J263="Lost"),"",IF(Q263&lt;TODAY(),"OVERDUE",IF(Q263=TODAY(),"TODAY",""))))</f>
        <v/>
      </c>
      <c r="S263" s="13"/>
      <c r="T263" s="13"/>
      <c r="U263" s="14"/>
    </row>
    <row r="264" customFormat="false" ht="15" hidden="false" customHeight="false" outlineLevel="0" collapsed="false">
      <c r="A264" s="13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9" t="str">
        <f aca="false">IF(K264="","",IFERROR(INDEX(Lists!$G$2:$G$5,MATCH(K264,Lists!$F$2:$F$5,0)),""))</f>
        <v/>
      </c>
      <c r="M264" s="14"/>
      <c r="N264" s="14"/>
      <c r="O264" s="14"/>
      <c r="P264" s="14"/>
      <c r="Q264" s="13"/>
      <c r="R264" s="17" t="str">
        <f aca="true">IF(OR(C264="",Q264=""),"",IF(OR(J264="Won",J264="Lost"),"",IF(Q264&lt;TODAY(),"OVERDUE",IF(Q264=TODAY(),"TODAY",""))))</f>
        <v/>
      </c>
      <c r="S264" s="13"/>
      <c r="T264" s="13"/>
      <c r="U264" s="14"/>
    </row>
    <row r="265" customFormat="false" ht="15" hidden="false" customHeight="false" outlineLevel="0" collapsed="false">
      <c r="A265" s="13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9" t="str">
        <f aca="false">IF(K265="","",IFERROR(INDEX(Lists!$G$2:$G$5,MATCH(K265,Lists!$F$2:$F$5,0)),""))</f>
        <v/>
      </c>
      <c r="M265" s="14"/>
      <c r="N265" s="14"/>
      <c r="O265" s="14"/>
      <c r="P265" s="14"/>
      <c r="Q265" s="13"/>
      <c r="R265" s="17" t="str">
        <f aca="true">IF(OR(C265="",Q265=""),"",IF(OR(J265="Won",J265="Lost"),"",IF(Q265&lt;TODAY(),"OVERDUE",IF(Q265=TODAY(),"TODAY",""))))</f>
        <v/>
      </c>
      <c r="S265" s="13"/>
      <c r="T265" s="13"/>
      <c r="U265" s="14"/>
    </row>
    <row r="266" customFormat="false" ht="15" hidden="false" customHeight="false" outlineLevel="0" collapsed="false">
      <c r="A266" s="13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9" t="str">
        <f aca="false">IF(K266="","",IFERROR(INDEX(Lists!$G$2:$G$5,MATCH(K266,Lists!$F$2:$F$5,0)),""))</f>
        <v/>
      </c>
      <c r="M266" s="14"/>
      <c r="N266" s="14"/>
      <c r="O266" s="14"/>
      <c r="P266" s="14"/>
      <c r="Q266" s="13"/>
      <c r="R266" s="17" t="str">
        <f aca="true">IF(OR(C266="",Q266=""),"",IF(OR(J266="Won",J266="Lost"),"",IF(Q266&lt;TODAY(),"OVERDUE",IF(Q266=TODAY(),"TODAY",""))))</f>
        <v/>
      </c>
      <c r="S266" s="13"/>
      <c r="T266" s="13"/>
      <c r="U266" s="14"/>
    </row>
    <row r="267" customFormat="false" ht="15" hidden="false" customHeight="false" outlineLevel="0" collapsed="false">
      <c r="A267" s="13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9" t="str">
        <f aca="false">IF(K267="","",IFERROR(INDEX(Lists!$G$2:$G$5,MATCH(K267,Lists!$F$2:$F$5,0)),""))</f>
        <v/>
      </c>
      <c r="M267" s="14"/>
      <c r="N267" s="14"/>
      <c r="O267" s="14"/>
      <c r="P267" s="14"/>
      <c r="Q267" s="13"/>
      <c r="R267" s="17" t="str">
        <f aca="true">IF(OR(C267="",Q267=""),"",IF(OR(J267="Won",J267="Lost"),"",IF(Q267&lt;TODAY(),"OVERDUE",IF(Q267=TODAY(),"TODAY",""))))</f>
        <v/>
      </c>
      <c r="S267" s="13"/>
      <c r="T267" s="13"/>
      <c r="U267" s="14"/>
    </row>
    <row r="268" customFormat="false" ht="15" hidden="false" customHeight="false" outlineLevel="0" collapsed="false">
      <c r="A268" s="13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9" t="str">
        <f aca="false">IF(K268="","",IFERROR(INDEX(Lists!$G$2:$G$5,MATCH(K268,Lists!$F$2:$F$5,0)),""))</f>
        <v/>
      </c>
      <c r="M268" s="14"/>
      <c r="N268" s="14"/>
      <c r="O268" s="14"/>
      <c r="P268" s="14"/>
      <c r="Q268" s="13"/>
      <c r="R268" s="17" t="str">
        <f aca="true">IF(OR(C268="",Q268=""),"",IF(OR(J268="Won",J268="Lost"),"",IF(Q268&lt;TODAY(),"OVERDUE",IF(Q268=TODAY(),"TODAY",""))))</f>
        <v/>
      </c>
      <c r="S268" s="13"/>
      <c r="T268" s="13"/>
      <c r="U268" s="14"/>
    </row>
    <row r="269" customFormat="false" ht="15" hidden="false" customHeight="false" outlineLevel="0" collapsed="false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9" t="str">
        <f aca="false">IF(K269="","",IFERROR(INDEX(Lists!$G$2:$G$5,MATCH(K269,Lists!$F$2:$F$5,0)),""))</f>
        <v/>
      </c>
      <c r="M269" s="14"/>
      <c r="N269" s="14"/>
      <c r="O269" s="14"/>
      <c r="P269" s="14"/>
      <c r="Q269" s="13"/>
      <c r="R269" s="17" t="str">
        <f aca="true">IF(OR(C269="",Q269=""),"",IF(OR(J269="Won",J269="Lost"),"",IF(Q269&lt;TODAY(),"OVERDUE",IF(Q269=TODAY(),"TODAY",""))))</f>
        <v/>
      </c>
      <c r="S269" s="13"/>
      <c r="T269" s="13"/>
      <c r="U269" s="14"/>
    </row>
    <row r="270" customFormat="false" ht="15" hidden="false" customHeight="false" outlineLevel="0" collapsed="false">
      <c r="A270" s="13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9" t="str">
        <f aca="false">IF(K270="","",IFERROR(INDEX(Lists!$G$2:$G$5,MATCH(K270,Lists!$F$2:$F$5,0)),""))</f>
        <v/>
      </c>
      <c r="M270" s="14"/>
      <c r="N270" s="14"/>
      <c r="O270" s="14"/>
      <c r="P270" s="14"/>
      <c r="Q270" s="13"/>
      <c r="R270" s="17" t="str">
        <f aca="true">IF(OR(C270="",Q270=""),"",IF(OR(J270="Won",J270="Lost"),"",IF(Q270&lt;TODAY(),"OVERDUE",IF(Q270=TODAY(),"TODAY",""))))</f>
        <v/>
      </c>
      <c r="S270" s="13"/>
      <c r="T270" s="13"/>
      <c r="U270" s="14"/>
    </row>
    <row r="271" customFormat="false" ht="15" hidden="false" customHeight="false" outlineLevel="0" collapsed="false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9" t="str">
        <f aca="false">IF(K271="","",IFERROR(INDEX(Lists!$G$2:$G$5,MATCH(K271,Lists!$F$2:$F$5,0)),""))</f>
        <v/>
      </c>
      <c r="M271" s="14"/>
      <c r="N271" s="14"/>
      <c r="O271" s="14"/>
      <c r="P271" s="14"/>
      <c r="Q271" s="13"/>
      <c r="R271" s="17" t="str">
        <f aca="true">IF(OR(C271="",Q271=""),"",IF(OR(J271="Won",J271="Lost"),"",IF(Q271&lt;TODAY(),"OVERDUE",IF(Q271=TODAY(),"TODAY",""))))</f>
        <v/>
      </c>
      <c r="S271" s="13"/>
      <c r="T271" s="13"/>
      <c r="U271" s="14"/>
    </row>
    <row r="272" customFormat="false" ht="15" hidden="false" customHeight="false" outlineLevel="0" collapsed="false">
      <c r="A272" s="13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9" t="str">
        <f aca="false">IF(K272="","",IFERROR(INDEX(Lists!$G$2:$G$5,MATCH(K272,Lists!$F$2:$F$5,0)),""))</f>
        <v/>
      </c>
      <c r="M272" s="14"/>
      <c r="N272" s="14"/>
      <c r="O272" s="14"/>
      <c r="P272" s="14"/>
      <c r="Q272" s="13"/>
      <c r="R272" s="17" t="str">
        <f aca="true">IF(OR(C272="",Q272=""),"",IF(OR(J272="Won",J272="Lost"),"",IF(Q272&lt;TODAY(),"OVERDUE",IF(Q272=TODAY(),"TODAY",""))))</f>
        <v/>
      </c>
      <c r="S272" s="13"/>
      <c r="T272" s="13"/>
      <c r="U272" s="14"/>
    </row>
    <row r="273" customFormat="false" ht="15" hidden="false" customHeight="false" outlineLevel="0" collapsed="false">
      <c r="A273" s="13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9" t="str">
        <f aca="false">IF(K273="","",IFERROR(INDEX(Lists!$G$2:$G$5,MATCH(K273,Lists!$F$2:$F$5,0)),""))</f>
        <v/>
      </c>
      <c r="M273" s="14"/>
      <c r="N273" s="14"/>
      <c r="O273" s="14"/>
      <c r="P273" s="14"/>
      <c r="Q273" s="13"/>
      <c r="R273" s="17" t="str">
        <f aca="true">IF(OR(C273="",Q273=""),"",IF(OR(J273="Won",J273="Lost"),"",IF(Q273&lt;TODAY(),"OVERDUE",IF(Q273=TODAY(),"TODAY",""))))</f>
        <v/>
      </c>
      <c r="S273" s="13"/>
      <c r="T273" s="13"/>
      <c r="U273" s="14"/>
    </row>
    <row r="274" customFormat="false" ht="15" hidden="false" customHeight="false" outlineLevel="0" collapsed="false">
      <c r="A274" s="13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9" t="str">
        <f aca="false">IF(K274="","",IFERROR(INDEX(Lists!$G$2:$G$5,MATCH(K274,Lists!$F$2:$F$5,0)),""))</f>
        <v/>
      </c>
      <c r="M274" s="14"/>
      <c r="N274" s="14"/>
      <c r="O274" s="14"/>
      <c r="P274" s="14"/>
      <c r="Q274" s="13"/>
      <c r="R274" s="17" t="str">
        <f aca="true">IF(OR(C274="",Q274=""),"",IF(OR(J274="Won",J274="Lost"),"",IF(Q274&lt;TODAY(),"OVERDUE",IF(Q274=TODAY(),"TODAY",""))))</f>
        <v/>
      </c>
      <c r="S274" s="13"/>
      <c r="T274" s="13"/>
      <c r="U274" s="14"/>
    </row>
    <row r="275" customFormat="false" ht="15" hidden="false" customHeight="false" outlineLevel="0" collapsed="false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9" t="str">
        <f aca="false">IF(K275="","",IFERROR(INDEX(Lists!$G$2:$G$5,MATCH(K275,Lists!$F$2:$F$5,0)),""))</f>
        <v/>
      </c>
      <c r="M275" s="14"/>
      <c r="N275" s="14"/>
      <c r="O275" s="14"/>
      <c r="P275" s="14"/>
      <c r="Q275" s="13"/>
      <c r="R275" s="17" t="str">
        <f aca="true">IF(OR(C275="",Q275=""),"",IF(OR(J275="Won",J275="Lost"),"",IF(Q275&lt;TODAY(),"OVERDUE",IF(Q275=TODAY(),"TODAY",""))))</f>
        <v/>
      </c>
      <c r="S275" s="13"/>
      <c r="T275" s="13"/>
      <c r="U275" s="14"/>
    </row>
    <row r="276" customFormat="false" ht="15" hidden="false" customHeight="false" outlineLevel="0" collapsed="false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9" t="str">
        <f aca="false">IF(K276="","",IFERROR(INDEX(Lists!$G$2:$G$5,MATCH(K276,Lists!$F$2:$F$5,0)),""))</f>
        <v/>
      </c>
      <c r="M276" s="14"/>
      <c r="N276" s="14"/>
      <c r="O276" s="14"/>
      <c r="P276" s="14"/>
      <c r="Q276" s="13"/>
      <c r="R276" s="17" t="str">
        <f aca="true">IF(OR(C276="",Q276=""),"",IF(OR(J276="Won",J276="Lost"),"",IF(Q276&lt;TODAY(),"OVERDUE",IF(Q276=TODAY(),"TODAY",""))))</f>
        <v/>
      </c>
      <c r="S276" s="13"/>
      <c r="T276" s="13"/>
      <c r="U276" s="14"/>
    </row>
    <row r="277" customFormat="false" ht="15" hidden="false" customHeight="false" outlineLevel="0" collapsed="false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9" t="str">
        <f aca="false">IF(K277="","",IFERROR(INDEX(Lists!$G$2:$G$5,MATCH(K277,Lists!$F$2:$F$5,0)),""))</f>
        <v/>
      </c>
      <c r="M277" s="14"/>
      <c r="N277" s="14"/>
      <c r="O277" s="14"/>
      <c r="P277" s="14"/>
      <c r="Q277" s="13"/>
      <c r="R277" s="17" t="str">
        <f aca="true">IF(OR(C277="",Q277=""),"",IF(OR(J277="Won",J277="Lost"),"",IF(Q277&lt;TODAY(),"OVERDUE",IF(Q277=TODAY(),"TODAY",""))))</f>
        <v/>
      </c>
      <c r="S277" s="13"/>
      <c r="T277" s="13"/>
      <c r="U277" s="14"/>
    </row>
    <row r="278" customFormat="false" ht="15" hidden="false" customHeight="false" outlineLevel="0" collapsed="false">
      <c r="A278" s="13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9" t="str">
        <f aca="false">IF(K278="","",IFERROR(INDEX(Lists!$G$2:$G$5,MATCH(K278,Lists!$F$2:$F$5,0)),""))</f>
        <v/>
      </c>
      <c r="M278" s="14"/>
      <c r="N278" s="14"/>
      <c r="O278" s="14"/>
      <c r="P278" s="14"/>
      <c r="Q278" s="13"/>
      <c r="R278" s="17" t="str">
        <f aca="true">IF(OR(C278="",Q278=""),"",IF(OR(J278="Won",J278="Lost"),"",IF(Q278&lt;TODAY(),"OVERDUE",IF(Q278=TODAY(),"TODAY",""))))</f>
        <v/>
      </c>
      <c r="S278" s="13"/>
      <c r="T278" s="13"/>
      <c r="U278" s="14"/>
    </row>
    <row r="279" customFormat="false" ht="15" hidden="false" customHeight="false" outlineLevel="0" collapsed="false">
      <c r="A279" s="13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9" t="str">
        <f aca="false">IF(K279="","",IFERROR(INDEX(Lists!$G$2:$G$5,MATCH(K279,Lists!$F$2:$F$5,0)),""))</f>
        <v/>
      </c>
      <c r="M279" s="14"/>
      <c r="N279" s="14"/>
      <c r="O279" s="14"/>
      <c r="P279" s="14"/>
      <c r="Q279" s="13"/>
      <c r="R279" s="17" t="str">
        <f aca="true">IF(OR(C279="",Q279=""),"",IF(OR(J279="Won",J279="Lost"),"",IF(Q279&lt;TODAY(),"OVERDUE",IF(Q279=TODAY(),"TODAY",""))))</f>
        <v/>
      </c>
      <c r="S279" s="13"/>
      <c r="T279" s="13"/>
      <c r="U279" s="14"/>
    </row>
    <row r="280" customFormat="false" ht="15" hidden="false" customHeight="false" outlineLevel="0" collapsed="false">
      <c r="A280" s="13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9" t="str">
        <f aca="false">IF(K280="","",IFERROR(INDEX(Lists!$G$2:$G$5,MATCH(K280,Lists!$F$2:$F$5,0)),""))</f>
        <v/>
      </c>
      <c r="M280" s="14"/>
      <c r="N280" s="14"/>
      <c r="O280" s="14"/>
      <c r="P280" s="14"/>
      <c r="Q280" s="13"/>
      <c r="R280" s="17" t="str">
        <f aca="true">IF(OR(C280="",Q280=""),"",IF(OR(J280="Won",J280="Lost"),"",IF(Q280&lt;TODAY(),"OVERDUE",IF(Q280=TODAY(),"TODAY",""))))</f>
        <v/>
      </c>
      <c r="S280" s="13"/>
      <c r="T280" s="13"/>
      <c r="U280" s="14"/>
    </row>
    <row r="281" customFormat="false" ht="15" hidden="false" customHeight="false" outlineLevel="0" collapsed="false">
      <c r="A281" s="13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9" t="str">
        <f aca="false">IF(K281="","",IFERROR(INDEX(Lists!$G$2:$G$5,MATCH(K281,Lists!$F$2:$F$5,0)),""))</f>
        <v/>
      </c>
      <c r="M281" s="14"/>
      <c r="N281" s="14"/>
      <c r="O281" s="14"/>
      <c r="P281" s="14"/>
      <c r="Q281" s="13"/>
      <c r="R281" s="17" t="str">
        <f aca="true">IF(OR(C281="",Q281=""),"",IF(OR(J281="Won",J281="Lost"),"",IF(Q281&lt;TODAY(),"OVERDUE",IF(Q281=TODAY(),"TODAY",""))))</f>
        <v/>
      </c>
      <c r="S281" s="13"/>
      <c r="T281" s="13"/>
      <c r="U281" s="14"/>
    </row>
    <row r="282" customFormat="false" ht="15" hidden="false" customHeight="false" outlineLevel="0" collapsed="false">
      <c r="A282" s="13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9" t="str">
        <f aca="false">IF(K282="","",IFERROR(INDEX(Lists!$G$2:$G$5,MATCH(K282,Lists!$F$2:$F$5,0)),""))</f>
        <v/>
      </c>
      <c r="M282" s="14"/>
      <c r="N282" s="14"/>
      <c r="O282" s="14"/>
      <c r="P282" s="14"/>
      <c r="Q282" s="13"/>
      <c r="R282" s="17" t="str">
        <f aca="true">IF(OR(C282="",Q282=""),"",IF(OR(J282="Won",J282="Lost"),"",IF(Q282&lt;TODAY(),"OVERDUE",IF(Q282=TODAY(),"TODAY",""))))</f>
        <v/>
      </c>
      <c r="S282" s="13"/>
      <c r="T282" s="13"/>
      <c r="U282" s="14"/>
    </row>
    <row r="283" customFormat="false" ht="15" hidden="false" customHeight="false" outlineLevel="0" collapsed="false">
      <c r="A283" s="13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9" t="str">
        <f aca="false">IF(K283="","",IFERROR(INDEX(Lists!$G$2:$G$5,MATCH(K283,Lists!$F$2:$F$5,0)),""))</f>
        <v/>
      </c>
      <c r="M283" s="14"/>
      <c r="N283" s="14"/>
      <c r="O283" s="14"/>
      <c r="P283" s="14"/>
      <c r="Q283" s="13"/>
      <c r="R283" s="17" t="str">
        <f aca="true">IF(OR(C283="",Q283=""),"",IF(OR(J283="Won",J283="Lost"),"",IF(Q283&lt;TODAY(),"OVERDUE",IF(Q283=TODAY(),"TODAY",""))))</f>
        <v/>
      </c>
      <c r="S283" s="13"/>
      <c r="T283" s="13"/>
      <c r="U283" s="14"/>
    </row>
    <row r="284" customFormat="false" ht="15" hidden="false" customHeight="false" outlineLevel="0" collapsed="false">
      <c r="A284" s="13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9" t="str">
        <f aca="false">IF(K284="","",IFERROR(INDEX(Lists!$G$2:$G$5,MATCH(K284,Lists!$F$2:$F$5,0)),""))</f>
        <v/>
      </c>
      <c r="M284" s="14"/>
      <c r="N284" s="14"/>
      <c r="O284" s="14"/>
      <c r="P284" s="14"/>
      <c r="Q284" s="13"/>
      <c r="R284" s="17" t="str">
        <f aca="true">IF(OR(C284="",Q284=""),"",IF(OR(J284="Won",J284="Lost"),"",IF(Q284&lt;TODAY(),"OVERDUE",IF(Q284=TODAY(),"TODAY",""))))</f>
        <v/>
      </c>
      <c r="S284" s="13"/>
      <c r="T284" s="13"/>
      <c r="U284" s="14"/>
    </row>
    <row r="285" customFormat="false" ht="15" hidden="false" customHeight="false" outlineLevel="0" collapsed="false">
      <c r="A285" s="13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9" t="str">
        <f aca="false">IF(K285="","",IFERROR(INDEX(Lists!$G$2:$G$5,MATCH(K285,Lists!$F$2:$F$5,0)),""))</f>
        <v/>
      </c>
      <c r="M285" s="14"/>
      <c r="N285" s="14"/>
      <c r="O285" s="14"/>
      <c r="P285" s="14"/>
      <c r="Q285" s="13"/>
      <c r="R285" s="17" t="str">
        <f aca="true">IF(OR(C285="",Q285=""),"",IF(OR(J285="Won",J285="Lost"),"",IF(Q285&lt;TODAY(),"OVERDUE",IF(Q285=TODAY(),"TODAY",""))))</f>
        <v/>
      </c>
      <c r="S285" s="13"/>
      <c r="T285" s="13"/>
      <c r="U285" s="14"/>
    </row>
    <row r="286" customFormat="false" ht="15" hidden="false" customHeight="false" outlineLevel="0" collapsed="false">
      <c r="A286" s="13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9" t="str">
        <f aca="false">IF(K286="","",IFERROR(INDEX(Lists!$G$2:$G$5,MATCH(K286,Lists!$F$2:$F$5,0)),""))</f>
        <v/>
      </c>
      <c r="M286" s="14"/>
      <c r="N286" s="14"/>
      <c r="O286" s="14"/>
      <c r="P286" s="14"/>
      <c r="Q286" s="13"/>
      <c r="R286" s="17" t="str">
        <f aca="true">IF(OR(C286="",Q286=""),"",IF(OR(J286="Won",J286="Lost"),"",IF(Q286&lt;TODAY(),"OVERDUE",IF(Q286=TODAY(),"TODAY",""))))</f>
        <v/>
      </c>
      <c r="S286" s="13"/>
      <c r="T286" s="13"/>
      <c r="U286" s="14"/>
    </row>
    <row r="287" customFormat="false" ht="15" hidden="false" customHeight="false" outlineLevel="0" collapsed="false">
      <c r="A287" s="13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9" t="str">
        <f aca="false">IF(K287="","",IFERROR(INDEX(Lists!$G$2:$G$5,MATCH(K287,Lists!$F$2:$F$5,0)),""))</f>
        <v/>
      </c>
      <c r="M287" s="14"/>
      <c r="N287" s="14"/>
      <c r="O287" s="14"/>
      <c r="P287" s="14"/>
      <c r="Q287" s="13"/>
      <c r="R287" s="17" t="str">
        <f aca="true">IF(OR(C287="",Q287=""),"",IF(OR(J287="Won",J287="Lost"),"",IF(Q287&lt;TODAY(),"OVERDUE",IF(Q287=TODAY(),"TODAY",""))))</f>
        <v/>
      </c>
      <c r="S287" s="13"/>
      <c r="T287" s="13"/>
      <c r="U287" s="14"/>
    </row>
    <row r="288" customFormat="false" ht="15" hidden="false" customHeight="false" outlineLevel="0" collapsed="false">
      <c r="A288" s="13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9" t="str">
        <f aca="false">IF(K288="","",IFERROR(INDEX(Lists!$G$2:$G$5,MATCH(K288,Lists!$F$2:$F$5,0)),""))</f>
        <v/>
      </c>
      <c r="M288" s="14"/>
      <c r="N288" s="14"/>
      <c r="O288" s="14"/>
      <c r="P288" s="14"/>
      <c r="Q288" s="13"/>
      <c r="R288" s="17" t="str">
        <f aca="true">IF(OR(C288="",Q288=""),"",IF(OR(J288="Won",J288="Lost"),"",IF(Q288&lt;TODAY(),"OVERDUE",IF(Q288=TODAY(),"TODAY",""))))</f>
        <v/>
      </c>
      <c r="S288" s="13"/>
      <c r="T288" s="13"/>
      <c r="U288" s="14"/>
    </row>
    <row r="289" customFormat="false" ht="15" hidden="false" customHeight="false" outlineLevel="0" collapsed="false">
      <c r="A289" s="13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9" t="str">
        <f aca="false">IF(K289="","",IFERROR(INDEX(Lists!$G$2:$G$5,MATCH(K289,Lists!$F$2:$F$5,0)),""))</f>
        <v/>
      </c>
      <c r="M289" s="14"/>
      <c r="N289" s="14"/>
      <c r="O289" s="14"/>
      <c r="P289" s="14"/>
      <c r="Q289" s="13"/>
      <c r="R289" s="17" t="str">
        <f aca="true">IF(OR(C289="",Q289=""),"",IF(OR(J289="Won",J289="Lost"),"",IF(Q289&lt;TODAY(),"OVERDUE",IF(Q289=TODAY(),"TODAY",""))))</f>
        <v/>
      </c>
      <c r="S289" s="13"/>
      <c r="T289" s="13"/>
      <c r="U289" s="14"/>
    </row>
    <row r="290" customFormat="false" ht="15" hidden="false" customHeight="false" outlineLevel="0" collapsed="false">
      <c r="A290" s="13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9" t="str">
        <f aca="false">IF(K290="","",IFERROR(INDEX(Lists!$G$2:$G$5,MATCH(K290,Lists!$F$2:$F$5,0)),""))</f>
        <v/>
      </c>
      <c r="M290" s="14"/>
      <c r="N290" s="14"/>
      <c r="O290" s="14"/>
      <c r="P290" s="14"/>
      <c r="Q290" s="13"/>
      <c r="R290" s="17" t="str">
        <f aca="true">IF(OR(C290="",Q290=""),"",IF(OR(J290="Won",J290="Lost"),"",IF(Q290&lt;TODAY(),"OVERDUE",IF(Q290=TODAY(),"TODAY",""))))</f>
        <v/>
      </c>
      <c r="S290" s="13"/>
      <c r="T290" s="13"/>
      <c r="U290" s="14"/>
    </row>
    <row r="291" customFormat="false" ht="15" hidden="false" customHeight="false" outlineLevel="0" collapsed="false">
      <c r="A291" s="13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9" t="str">
        <f aca="false">IF(K291="","",IFERROR(INDEX(Lists!$G$2:$G$5,MATCH(K291,Lists!$F$2:$F$5,0)),""))</f>
        <v/>
      </c>
      <c r="M291" s="14"/>
      <c r="N291" s="14"/>
      <c r="O291" s="14"/>
      <c r="P291" s="14"/>
      <c r="Q291" s="13"/>
      <c r="R291" s="17" t="str">
        <f aca="true">IF(OR(C291="",Q291=""),"",IF(OR(J291="Won",J291="Lost"),"",IF(Q291&lt;TODAY(),"OVERDUE",IF(Q291=TODAY(),"TODAY",""))))</f>
        <v/>
      </c>
      <c r="S291" s="13"/>
      <c r="T291" s="13"/>
      <c r="U291" s="14"/>
    </row>
    <row r="292" customFormat="false" ht="15" hidden="false" customHeight="false" outlineLevel="0" collapsed="false">
      <c r="A292" s="13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9" t="str">
        <f aca="false">IF(K292="","",IFERROR(INDEX(Lists!$G$2:$G$5,MATCH(K292,Lists!$F$2:$F$5,0)),""))</f>
        <v/>
      </c>
      <c r="M292" s="14"/>
      <c r="N292" s="14"/>
      <c r="O292" s="14"/>
      <c r="P292" s="14"/>
      <c r="Q292" s="13"/>
      <c r="R292" s="17" t="str">
        <f aca="true">IF(OR(C292="",Q292=""),"",IF(OR(J292="Won",J292="Lost"),"",IF(Q292&lt;TODAY(),"OVERDUE",IF(Q292=TODAY(),"TODAY",""))))</f>
        <v/>
      </c>
      <c r="S292" s="13"/>
      <c r="T292" s="13"/>
      <c r="U292" s="14"/>
    </row>
    <row r="293" customFormat="false" ht="15" hidden="false" customHeight="false" outlineLevel="0" collapsed="false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9" t="str">
        <f aca="false">IF(K293="","",IFERROR(INDEX(Lists!$G$2:$G$5,MATCH(K293,Lists!$F$2:$F$5,0)),""))</f>
        <v/>
      </c>
      <c r="M293" s="14"/>
      <c r="N293" s="14"/>
      <c r="O293" s="14"/>
      <c r="P293" s="14"/>
      <c r="Q293" s="13"/>
      <c r="R293" s="17" t="str">
        <f aca="true">IF(OR(C293="",Q293=""),"",IF(OR(J293="Won",J293="Lost"),"",IF(Q293&lt;TODAY(),"OVERDUE",IF(Q293=TODAY(),"TODAY",""))))</f>
        <v/>
      </c>
      <c r="S293" s="13"/>
      <c r="T293" s="13"/>
      <c r="U293" s="14"/>
    </row>
    <row r="294" customFormat="false" ht="15" hidden="false" customHeight="false" outlineLevel="0" collapsed="false">
      <c r="A294" s="13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9" t="str">
        <f aca="false">IF(K294="","",IFERROR(INDEX(Lists!$G$2:$G$5,MATCH(K294,Lists!$F$2:$F$5,0)),""))</f>
        <v/>
      </c>
      <c r="M294" s="14"/>
      <c r="N294" s="14"/>
      <c r="O294" s="14"/>
      <c r="P294" s="14"/>
      <c r="Q294" s="13"/>
      <c r="R294" s="17" t="str">
        <f aca="true">IF(OR(C294="",Q294=""),"",IF(OR(J294="Won",J294="Lost"),"",IF(Q294&lt;TODAY(),"OVERDUE",IF(Q294=TODAY(),"TODAY",""))))</f>
        <v/>
      </c>
      <c r="S294" s="13"/>
      <c r="T294" s="13"/>
      <c r="U294" s="14"/>
    </row>
    <row r="295" customFormat="false" ht="15" hidden="false" customHeight="false" outlineLevel="0" collapsed="false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9" t="str">
        <f aca="false">IF(K295="","",IFERROR(INDEX(Lists!$G$2:$G$5,MATCH(K295,Lists!$F$2:$F$5,0)),""))</f>
        <v/>
      </c>
      <c r="M295" s="14"/>
      <c r="N295" s="14"/>
      <c r="O295" s="14"/>
      <c r="P295" s="14"/>
      <c r="Q295" s="13"/>
      <c r="R295" s="17" t="str">
        <f aca="true">IF(OR(C295="",Q295=""),"",IF(OR(J295="Won",J295="Lost"),"",IF(Q295&lt;TODAY(),"OVERDUE",IF(Q295=TODAY(),"TODAY",""))))</f>
        <v/>
      </c>
      <c r="S295" s="13"/>
      <c r="T295" s="13"/>
      <c r="U295" s="14"/>
    </row>
    <row r="296" customFormat="false" ht="15" hidden="false" customHeight="false" outlineLevel="0" collapsed="false">
      <c r="A296" s="13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9" t="str">
        <f aca="false">IF(K296="","",IFERROR(INDEX(Lists!$G$2:$G$5,MATCH(K296,Lists!$F$2:$F$5,0)),""))</f>
        <v/>
      </c>
      <c r="M296" s="14"/>
      <c r="N296" s="14"/>
      <c r="O296" s="14"/>
      <c r="P296" s="14"/>
      <c r="Q296" s="13"/>
      <c r="R296" s="17" t="str">
        <f aca="true">IF(OR(C296="",Q296=""),"",IF(OR(J296="Won",J296="Lost"),"",IF(Q296&lt;TODAY(),"OVERDUE",IF(Q296=TODAY(),"TODAY",""))))</f>
        <v/>
      </c>
      <c r="S296" s="13"/>
      <c r="T296" s="13"/>
      <c r="U296" s="14"/>
    </row>
    <row r="297" customFormat="false" ht="15" hidden="false" customHeight="false" outlineLevel="0" collapsed="false">
      <c r="A297" s="13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9" t="str">
        <f aca="false">IF(K297="","",IFERROR(INDEX(Lists!$G$2:$G$5,MATCH(K297,Lists!$F$2:$F$5,0)),""))</f>
        <v/>
      </c>
      <c r="M297" s="14"/>
      <c r="N297" s="14"/>
      <c r="O297" s="14"/>
      <c r="P297" s="14"/>
      <c r="Q297" s="13"/>
      <c r="R297" s="17" t="str">
        <f aca="true">IF(OR(C297="",Q297=""),"",IF(OR(J297="Won",J297="Lost"),"",IF(Q297&lt;TODAY(),"OVERDUE",IF(Q297=TODAY(),"TODAY",""))))</f>
        <v/>
      </c>
      <c r="S297" s="13"/>
      <c r="T297" s="13"/>
      <c r="U297" s="14"/>
    </row>
    <row r="298" customFormat="false" ht="15" hidden="false" customHeight="false" outlineLevel="0" collapsed="false">
      <c r="A298" s="13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9" t="str">
        <f aca="false">IF(K298="","",IFERROR(INDEX(Lists!$G$2:$G$5,MATCH(K298,Lists!$F$2:$F$5,0)),""))</f>
        <v/>
      </c>
      <c r="M298" s="14"/>
      <c r="N298" s="14"/>
      <c r="O298" s="14"/>
      <c r="P298" s="14"/>
      <c r="Q298" s="13"/>
      <c r="R298" s="17" t="str">
        <f aca="true">IF(OR(C298="",Q298=""),"",IF(OR(J298="Won",J298="Lost"),"",IF(Q298&lt;TODAY(),"OVERDUE",IF(Q298=TODAY(),"TODAY",""))))</f>
        <v/>
      </c>
      <c r="S298" s="13"/>
      <c r="T298" s="13"/>
      <c r="U298" s="14"/>
    </row>
    <row r="299" customFormat="false" ht="15" hidden="false" customHeight="false" outlineLevel="0" collapsed="false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9" t="str">
        <f aca="false">IF(K299="","",IFERROR(INDEX(Lists!$G$2:$G$5,MATCH(K299,Lists!$F$2:$F$5,0)),""))</f>
        <v/>
      </c>
      <c r="M299" s="14"/>
      <c r="N299" s="14"/>
      <c r="O299" s="14"/>
      <c r="P299" s="14"/>
      <c r="Q299" s="13"/>
      <c r="R299" s="17" t="str">
        <f aca="true">IF(OR(C299="",Q299=""),"",IF(OR(J299="Won",J299="Lost"),"",IF(Q299&lt;TODAY(),"OVERDUE",IF(Q299=TODAY(),"TODAY",""))))</f>
        <v/>
      </c>
      <c r="S299" s="13"/>
      <c r="T299" s="13"/>
      <c r="U299" s="14"/>
    </row>
    <row r="300" customFormat="false" ht="15" hidden="false" customHeight="false" outlineLevel="0" collapsed="false">
      <c r="A300" s="13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9" t="str">
        <f aca="false">IF(K300="","",IFERROR(INDEX(Lists!$G$2:$G$5,MATCH(K300,Lists!$F$2:$F$5,0)),""))</f>
        <v/>
      </c>
      <c r="M300" s="14"/>
      <c r="N300" s="14"/>
      <c r="O300" s="14"/>
      <c r="P300" s="14"/>
      <c r="Q300" s="13"/>
      <c r="R300" s="17" t="str">
        <f aca="true">IF(OR(C300="",Q300=""),"",IF(OR(J300="Won",J300="Lost"),"",IF(Q300&lt;TODAY(),"OVERDUE",IF(Q300=TODAY(),"TODAY",""))))</f>
        <v/>
      </c>
      <c r="S300" s="13"/>
      <c r="T300" s="13"/>
      <c r="U300" s="14"/>
    </row>
    <row r="301" customFormat="false" ht="15" hidden="false" customHeight="false" outlineLevel="0" collapsed="false">
      <c r="A301" s="13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9" t="str">
        <f aca="false">IF(K301="","",IFERROR(INDEX(Lists!$G$2:$G$5,MATCH(K301,Lists!$F$2:$F$5,0)),""))</f>
        <v/>
      </c>
      <c r="M301" s="14"/>
      <c r="N301" s="14"/>
      <c r="O301" s="14"/>
      <c r="P301" s="14"/>
      <c r="Q301" s="13"/>
      <c r="R301" s="17" t="str">
        <f aca="true">IF(OR(C301="",Q301=""),"",IF(OR(J301="Won",J301="Lost"),"",IF(Q301&lt;TODAY(),"OVERDUE",IF(Q301=TODAY(),"TODAY",""))))</f>
        <v/>
      </c>
      <c r="S301" s="13"/>
      <c r="T301" s="13"/>
      <c r="U301" s="14"/>
    </row>
    <row r="302" customFormat="false" ht="15" hidden="false" customHeight="false" outlineLevel="0" collapsed="false">
      <c r="A302" s="13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9" t="str">
        <f aca="false">IF(K302="","",IFERROR(INDEX(Lists!$G$2:$G$5,MATCH(K302,Lists!$F$2:$F$5,0)),""))</f>
        <v/>
      </c>
      <c r="M302" s="14"/>
      <c r="N302" s="14"/>
      <c r="O302" s="14"/>
      <c r="P302" s="14"/>
      <c r="Q302" s="13"/>
      <c r="R302" s="17" t="str">
        <f aca="true">IF(OR(C302="",Q302=""),"",IF(OR(J302="Won",J302="Lost"),"",IF(Q302&lt;TODAY(),"OVERDUE",IF(Q302=TODAY(),"TODAY",""))))</f>
        <v/>
      </c>
      <c r="S302" s="13"/>
      <c r="T302" s="13"/>
      <c r="U302" s="14"/>
    </row>
    <row r="303" customFormat="false" ht="15" hidden="false" customHeight="false" outlineLevel="0" collapsed="false">
      <c r="A303" s="13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9" t="str">
        <f aca="false">IF(K303="","",IFERROR(INDEX(Lists!$G$2:$G$5,MATCH(K303,Lists!$F$2:$F$5,0)),""))</f>
        <v/>
      </c>
      <c r="M303" s="14"/>
      <c r="N303" s="14"/>
      <c r="O303" s="14"/>
      <c r="P303" s="14"/>
      <c r="Q303" s="13"/>
      <c r="R303" s="17" t="str">
        <f aca="true">IF(OR(C303="",Q303=""),"",IF(OR(J303="Won",J303="Lost"),"",IF(Q303&lt;TODAY(),"OVERDUE",IF(Q303=TODAY(),"TODAY",""))))</f>
        <v/>
      </c>
      <c r="S303" s="13"/>
      <c r="T303" s="13"/>
      <c r="U303" s="14"/>
    </row>
    <row r="304" customFormat="false" ht="15" hidden="false" customHeight="false" outlineLevel="0" collapsed="false">
      <c r="A304" s="13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9" t="str">
        <f aca="false">IF(K304="","",IFERROR(INDEX(Lists!$G$2:$G$5,MATCH(K304,Lists!$F$2:$F$5,0)),""))</f>
        <v/>
      </c>
      <c r="M304" s="14"/>
      <c r="N304" s="14"/>
      <c r="O304" s="14"/>
      <c r="P304" s="14"/>
      <c r="Q304" s="13"/>
      <c r="R304" s="17" t="str">
        <f aca="true">IF(OR(C304="",Q304=""),"",IF(OR(J304="Won",J304="Lost"),"",IF(Q304&lt;TODAY(),"OVERDUE",IF(Q304=TODAY(),"TODAY",""))))</f>
        <v/>
      </c>
      <c r="S304" s="13"/>
      <c r="T304" s="13"/>
      <c r="U304" s="14"/>
    </row>
    <row r="305" customFormat="false" ht="15" hidden="false" customHeight="false" outlineLevel="0" collapsed="false">
      <c r="A305" s="13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9" t="str">
        <f aca="false">IF(K305="","",IFERROR(INDEX(Lists!$G$2:$G$5,MATCH(K305,Lists!$F$2:$F$5,0)),""))</f>
        <v/>
      </c>
      <c r="M305" s="14"/>
      <c r="N305" s="14"/>
      <c r="O305" s="14"/>
      <c r="P305" s="14"/>
      <c r="Q305" s="13"/>
      <c r="R305" s="17" t="str">
        <f aca="true">IF(OR(C305="",Q305=""),"",IF(OR(J305="Won",J305="Lost"),"",IF(Q305&lt;TODAY(),"OVERDUE",IF(Q305=TODAY(),"TODAY",""))))</f>
        <v/>
      </c>
      <c r="S305" s="13"/>
      <c r="T305" s="13"/>
      <c r="U305" s="14"/>
    </row>
    <row r="306" customFormat="false" ht="15" hidden="false" customHeight="false" outlineLevel="0" collapsed="false">
      <c r="A306" s="13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9" t="str">
        <f aca="false">IF(K306="","",IFERROR(INDEX(Lists!$G$2:$G$5,MATCH(K306,Lists!$F$2:$F$5,0)),""))</f>
        <v/>
      </c>
      <c r="M306" s="14"/>
      <c r="N306" s="14"/>
      <c r="O306" s="14"/>
      <c r="P306" s="14"/>
      <c r="Q306" s="13"/>
      <c r="R306" s="17" t="str">
        <f aca="true">IF(OR(C306="",Q306=""),"",IF(OR(J306="Won",J306="Lost"),"",IF(Q306&lt;TODAY(),"OVERDUE",IF(Q306=TODAY(),"TODAY",""))))</f>
        <v/>
      </c>
      <c r="S306" s="13"/>
      <c r="T306" s="13"/>
      <c r="U306" s="14"/>
    </row>
    <row r="307" customFormat="false" ht="15" hidden="false" customHeight="false" outlineLevel="0" collapsed="false">
      <c r="A307" s="13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9" t="str">
        <f aca="false">IF(K307="","",IFERROR(INDEX(Lists!$G$2:$G$5,MATCH(K307,Lists!$F$2:$F$5,0)),""))</f>
        <v/>
      </c>
      <c r="M307" s="14"/>
      <c r="N307" s="14"/>
      <c r="O307" s="14"/>
      <c r="P307" s="14"/>
      <c r="Q307" s="13"/>
      <c r="R307" s="17" t="str">
        <f aca="true">IF(OR(C307="",Q307=""),"",IF(OR(J307="Won",J307="Lost"),"",IF(Q307&lt;TODAY(),"OVERDUE",IF(Q307=TODAY(),"TODAY",""))))</f>
        <v/>
      </c>
      <c r="S307" s="13"/>
      <c r="T307" s="13"/>
      <c r="U307" s="14"/>
    </row>
    <row r="308" customFormat="false" ht="15" hidden="false" customHeight="false" outlineLevel="0" collapsed="false">
      <c r="A308" s="13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9" t="str">
        <f aca="false">IF(K308="","",IFERROR(INDEX(Lists!$G$2:$G$5,MATCH(K308,Lists!$F$2:$F$5,0)),""))</f>
        <v/>
      </c>
      <c r="M308" s="14"/>
      <c r="N308" s="14"/>
      <c r="O308" s="14"/>
      <c r="P308" s="14"/>
      <c r="Q308" s="13"/>
      <c r="R308" s="17" t="str">
        <f aca="true">IF(OR(C308="",Q308=""),"",IF(OR(J308="Won",J308="Lost"),"",IF(Q308&lt;TODAY(),"OVERDUE",IF(Q308=TODAY(),"TODAY",""))))</f>
        <v/>
      </c>
      <c r="S308" s="13"/>
      <c r="T308" s="13"/>
      <c r="U308" s="14"/>
    </row>
    <row r="309" customFormat="false" ht="15" hidden="false" customHeight="false" outlineLevel="0" collapsed="false">
      <c r="A309" s="13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9" t="str">
        <f aca="false">IF(K309="","",IFERROR(INDEX(Lists!$G$2:$G$5,MATCH(K309,Lists!$F$2:$F$5,0)),""))</f>
        <v/>
      </c>
      <c r="M309" s="14"/>
      <c r="N309" s="14"/>
      <c r="O309" s="14"/>
      <c r="P309" s="14"/>
      <c r="Q309" s="13"/>
      <c r="R309" s="17" t="str">
        <f aca="true">IF(OR(C309="",Q309=""),"",IF(OR(J309="Won",J309="Lost"),"",IF(Q309&lt;TODAY(),"OVERDUE",IF(Q309=TODAY(),"TODAY",""))))</f>
        <v/>
      </c>
      <c r="S309" s="13"/>
      <c r="T309" s="13"/>
      <c r="U309" s="14"/>
    </row>
    <row r="310" customFormat="false" ht="15" hidden="false" customHeight="false" outlineLevel="0" collapsed="false">
      <c r="A310" s="13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9" t="str">
        <f aca="false">IF(K310="","",IFERROR(INDEX(Lists!$G$2:$G$5,MATCH(K310,Lists!$F$2:$F$5,0)),""))</f>
        <v/>
      </c>
      <c r="M310" s="14"/>
      <c r="N310" s="14"/>
      <c r="O310" s="14"/>
      <c r="P310" s="14"/>
      <c r="Q310" s="13"/>
      <c r="R310" s="17" t="str">
        <f aca="true">IF(OR(C310="",Q310=""),"",IF(OR(J310="Won",J310="Lost"),"",IF(Q310&lt;TODAY(),"OVERDUE",IF(Q310=TODAY(),"TODAY",""))))</f>
        <v/>
      </c>
      <c r="S310" s="13"/>
      <c r="T310" s="13"/>
      <c r="U310" s="14"/>
    </row>
    <row r="311" customFormat="false" ht="15" hidden="false" customHeight="false" outlineLevel="0" collapsed="false">
      <c r="A311" s="13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9" t="str">
        <f aca="false">IF(K311="","",IFERROR(INDEX(Lists!$G$2:$G$5,MATCH(K311,Lists!$F$2:$F$5,0)),""))</f>
        <v/>
      </c>
      <c r="M311" s="14"/>
      <c r="N311" s="14"/>
      <c r="O311" s="14"/>
      <c r="P311" s="14"/>
      <c r="Q311" s="13"/>
      <c r="R311" s="17" t="str">
        <f aca="true">IF(OR(C311="",Q311=""),"",IF(OR(J311="Won",J311="Lost"),"",IF(Q311&lt;TODAY(),"OVERDUE",IF(Q311=TODAY(),"TODAY",""))))</f>
        <v/>
      </c>
      <c r="S311" s="13"/>
      <c r="T311" s="13"/>
      <c r="U311" s="14"/>
    </row>
    <row r="312" customFormat="false" ht="15" hidden="false" customHeight="false" outlineLevel="0" collapsed="false">
      <c r="A312" s="13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9" t="str">
        <f aca="false">IF(K312="","",IFERROR(INDEX(Lists!$G$2:$G$5,MATCH(K312,Lists!$F$2:$F$5,0)),""))</f>
        <v/>
      </c>
      <c r="M312" s="14"/>
      <c r="N312" s="14"/>
      <c r="O312" s="14"/>
      <c r="P312" s="14"/>
      <c r="Q312" s="13"/>
      <c r="R312" s="17" t="str">
        <f aca="true">IF(OR(C312="",Q312=""),"",IF(OR(J312="Won",J312="Lost"),"",IF(Q312&lt;TODAY(),"OVERDUE",IF(Q312=TODAY(),"TODAY",""))))</f>
        <v/>
      </c>
      <c r="S312" s="13"/>
      <c r="T312" s="13"/>
      <c r="U312" s="14"/>
    </row>
    <row r="313" customFormat="false" ht="15" hidden="false" customHeight="false" outlineLevel="0" collapsed="false">
      <c r="A313" s="13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9" t="str">
        <f aca="false">IF(K313="","",IFERROR(INDEX(Lists!$G$2:$G$5,MATCH(K313,Lists!$F$2:$F$5,0)),""))</f>
        <v/>
      </c>
      <c r="M313" s="14"/>
      <c r="N313" s="14"/>
      <c r="O313" s="14"/>
      <c r="P313" s="14"/>
      <c r="Q313" s="13"/>
      <c r="R313" s="17" t="str">
        <f aca="true">IF(OR(C313="",Q313=""),"",IF(OR(J313="Won",J313="Lost"),"",IF(Q313&lt;TODAY(),"OVERDUE",IF(Q313=TODAY(),"TODAY",""))))</f>
        <v/>
      </c>
      <c r="S313" s="13"/>
      <c r="T313" s="13"/>
      <c r="U313" s="14"/>
    </row>
    <row r="314" customFormat="false" ht="15" hidden="false" customHeight="false" outlineLevel="0" collapsed="false">
      <c r="A314" s="13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9" t="str">
        <f aca="false">IF(K314="","",IFERROR(INDEX(Lists!$G$2:$G$5,MATCH(K314,Lists!$F$2:$F$5,0)),""))</f>
        <v/>
      </c>
      <c r="M314" s="14"/>
      <c r="N314" s="14"/>
      <c r="O314" s="14"/>
      <c r="P314" s="14"/>
      <c r="Q314" s="13"/>
      <c r="R314" s="17" t="str">
        <f aca="true">IF(OR(C314="",Q314=""),"",IF(OR(J314="Won",J314="Lost"),"",IF(Q314&lt;TODAY(),"OVERDUE",IF(Q314=TODAY(),"TODAY",""))))</f>
        <v/>
      </c>
      <c r="S314" s="13"/>
      <c r="T314" s="13"/>
      <c r="U314" s="14"/>
    </row>
    <row r="315" customFormat="false" ht="15" hidden="false" customHeight="false" outlineLevel="0" collapsed="false">
      <c r="A315" s="13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9" t="str">
        <f aca="false">IF(K315="","",IFERROR(INDEX(Lists!$G$2:$G$5,MATCH(K315,Lists!$F$2:$F$5,0)),""))</f>
        <v/>
      </c>
      <c r="M315" s="14"/>
      <c r="N315" s="14"/>
      <c r="O315" s="14"/>
      <c r="P315" s="14"/>
      <c r="Q315" s="13"/>
      <c r="R315" s="17" t="str">
        <f aca="true">IF(OR(C315="",Q315=""),"",IF(OR(J315="Won",J315="Lost"),"",IF(Q315&lt;TODAY(),"OVERDUE",IF(Q315=TODAY(),"TODAY",""))))</f>
        <v/>
      </c>
      <c r="S315" s="13"/>
      <c r="T315" s="13"/>
      <c r="U315" s="14"/>
    </row>
    <row r="316" customFormat="false" ht="15" hidden="false" customHeight="false" outlineLevel="0" collapsed="false">
      <c r="A316" s="13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9" t="str">
        <f aca="false">IF(K316="","",IFERROR(INDEX(Lists!$G$2:$G$5,MATCH(K316,Lists!$F$2:$F$5,0)),""))</f>
        <v/>
      </c>
      <c r="M316" s="14"/>
      <c r="N316" s="14"/>
      <c r="O316" s="14"/>
      <c r="P316" s="14"/>
      <c r="Q316" s="13"/>
      <c r="R316" s="17" t="str">
        <f aca="true">IF(OR(C316="",Q316=""),"",IF(OR(J316="Won",J316="Lost"),"",IF(Q316&lt;TODAY(),"OVERDUE",IF(Q316=TODAY(),"TODAY",""))))</f>
        <v/>
      </c>
      <c r="S316" s="13"/>
      <c r="T316" s="13"/>
      <c r="U316" s="14"/>
    </row>
    <row r="317" customFormat="false" ht="15" hidden="false" customHeight="false" outlineLevel="0" collapsed="false">
      <c r="A317" s="13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9" t="str">
        <f aca="false">IF(K317="","",IFERROR(INDEX(Lists!$G$2:$G$5,MATCH(K317,Lists!$F$2:$F$5,0)),""))</f>
        <v/>
      </c>
      <c r="M317" s="14"/>
      <c r="N317" s="14"/>
      <c r="O317" s="14"/>
      <c r="P317" s="14"/>
      <c r="Q317" s="13"/>
      <c r="R317" s="17" t="str">
        <f aca="true">IF(OR(C317="",Q317=""),"",IF(OR(J317="Won",J317="Lost"),"",IF(Q317&lt;TODAY(),"OVERDUE",IF(Q317=TODAY(),"TODAY",""))))</f>
        <v/>
      </c>
      <c r="S317" s="13"/>
      <c r="T317" s="13"/>
      <c r="U317" s="14"/>
    </row>
    <row r="318" customFormat="false" ht="15" hidden="false" customHeight="false" outlineLevel="0" collapsed="false">
      <c r="A318" s="13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9" t="str">
        <f aca="false">IF(K318="","",IFERROR(INDEX(Lists!$G$2:$G$5,MATCH(K318,Lists!$F$2:$F$5,0)),""))</f>
        <v/>
      </c>
      <c r="M318" s="14"/>
      <c r="N318" s="14"/>
      <c r="O318" s="14"/>
      <c r="P318" s="14"/>
      <c r="Q318" s="13"/>
      <c r="R318" s="17" t="str">
        <f aca="true">IF(OR(C318="",Q318=""),"",IF(OR(J318="Won",J318="Lost"),"",IF(Q318&lt;TODAY(),"OVERDUE",IF(Q318=TODAY(),"TODAY",""))))</f>
        <v/>
      </c>
      <c r="S318" s="13"/>
      <c r="T318" s="13"/>
      <c r="U318" s="14"/>
    </row>
    <row r="319" customFormat="false" ht="15" hidden="false" customHeight="false" outlineLevel="0" collapsed="false">
      <c r="A319" s="13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9" t="str">
        <f aca="false">IF(K319="","",IFERROR(INDEX(Lists!$G$2:$G$5,MATCH(K319,Lists!$F$2:$F$5,0)),""))</f>
        <v/>
      </c>
      <c r="M319" s="14"/>
      <c r="N319" s="14"/>
      <c r="O319" s="14"/>
      <c r="P319" s="14"/>
      <c r="Q319" s="13"/>
      <c r="R319" s="17" t="str">
        <f aca="true">IF(OR(C319="",Q319=""),"",IF(OR(J319="Won",J319="Lost"),"",IF(Q319&lt;TODAY(),"OVERDUE",IF(Q319=TODAY(),"TODAY",""))))</f>
        <v/>
      </c>
      <c r="S319" s="13"/>
      <c r="T319" s="13"/>
      <c r="U319" s="14"/>
    </row>
    <row r="320" customFormat="false" ht="15" hidden="false" customHeight="false" outlineLevel="0" collapsed="false">
      <c r="A320" s="13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9" t="str">
        <f aca="false">IF(K320="","",IFERROR(INDEX(Lists!$G$2:$G$5,MATCH(K320,Lists!$F$2:$F$5,0)),""))</f>
        <v/>
      </c>
      <c r="M320" s="14"/>
      <c r="N320" s="14"/>
      <c r="O320" s="14"/>
      <c r="P320" s="14"/>
      <c r="Q320" s="13"/>
      <c r="R320" s="17" t="str">
        <f aca="true">IF(OR(C320="",Q320=""),"",IF(OR(J320="Won",J320="Lost"),"",IF(Q320&lt;TODAY(),"OVERDUE",IF(Q320=TODAY(),"TODAY",""))))</f>
        <v/>
      </c>
      <c r="S320" s="13"/>
      <c r="T320" s="13"/>
      <c r="U320" s="14"/>
    </row>
    <row r="321" customFormat="false" ht="15" hidden="false" customHeight="false" outlineLevel="0" collapsed="false">
      <c r="A321" s="13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9" t="str">
        <f aca="false">IF(K321="","",IFERROR(INDEX(Lists!$G$2:$G$5,MATCH(K321,Lists!$F$2:$F$5,0)),""))</f>
        <v/>
      </c>
      <c r="M321" s="14"/>
      <c r="N321" s="14"/>
      <c r="O321" s="14"/>
      <c r="P321" s="14"/>
      <c r="Q321" s="13"/>
      <c r="R321" s="17" t="str">
        <f aca="true">IF(OR(C321="",Q321=""),"",IF(OR(J321="Won",J321="Lost"),"",IF(Q321&lt;TODAY(),"OVERDUE",IF(Q321=TODAY(),"TODAY",""))))</f>
        <v/>
      </c>
      <c r="S321" s="13"/>
      <c r="T321" s="13"/>
      <c r="U321" s="14"/>
    </row>
    <row r="322" customFormat="false" ht="15" hidden="false" customHeight="false" outlineLevel="0" collapsed="false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9" t="str">
        <f aca="false">IF(K322="","",IFERROR(INDEX(Lists!$G$2:$G$5,MATCH(K322,Lists!$F$2:$F$5,0)),""))</f>
        <v/>
      </c>
      <c r="M322" s="14"/>
      <c r="N322" s="14"/>
      <c r="O322" s="14"/>
      <c r="P322" s="14"/>
      <c r="Q322" s="13"/>
      <c r="R322" s="17" t="str">
        <f aca="true">IF(OR(C322="",Q322=""),"",IF(OR(J322="Won",J322="Lost"),"",IF(Q322&lt;TODAY(),"OVERDUE",IF(Q322=TODAY(),"TODAY",""))))</f>
        <v/>
      </c>
      <c r="S322" s="13"/>
      <c r="T322" s="13"/>
      <c r="U322" s="14"/>
    </row>
    <row r="323" customFormat="false" ht="15" hidden="false" customHeight="false" outlineLevel="0" collapsed="false">
      <c r="A323" s="13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9" t="str">
        <f aca="false">IF(K323="","",IFERROR(INDEX(Lists!$G$2:$G$5,MATCH(K323,Lists!$F$2:$F$5,0)),""))</f>
        <v/>
      </c>
      <c r="M323" s="14"/>
      <c r="N323" s="14"/>
      <c r="O323" s="14"/>
      <c r="P323" s="14"/>
      <c r="Q323" s="13"/>
      <c r="R323" s="17" t="str">
        <f aca="true">IF(OR(C323="",Q323=""),"",IF(OR(J323="Won",J323="Lost"),"",IF(Q323&lt;TODAY(),"OVERDUE",IF(Q323=TODAY(),"TODAY",""))))</f>
        <v/>
      </c>
      <c r="S323" s="13"/>
      <c r="T323" s="13"/>
      <c r="U323" s="14"/>
    </row>
    <row r="324" customFormat="false" ht="15" hidden="false" customHeight="false" outlineLevel="0" collapsed="false">
      <c r="A324" s="13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9" t="str">
        <f aca="false">IF(K324="","",IFERROR(INDEX(Lists!$G$2:$G$5,MATCH(K324,Lists!$F$2:$F$5,0)),""))</f>
        <v/>
      </c>
      <c r="M324" s="14"/>
      <c r="N324" s="14"/>
      <c r="O324" s="14"/>
      <c r="P324" s="14"/>
      <c r="Q324" s="13"/>
      <c r="R324" s="17" t="str">
        <f aca="true">IF(OR(C324="",Q324=""),"",IF(OR(J324="Won",J324="Lost"),"",IF(Q324&lt;TODAY(),"OVERDUE",IF(Q324=TODAY(),"TODAY",""))))</f>
        <v/>
      </c>
      <c r="S324" s="13"/>
      <c r="T324" s="13"/>
      <c r="U324" s="14"/>
    </row>
    <row r="325" customFormat="false" ht="15" hidden="false" customHeight="false" outlineLevel="0" collapsed="false">
      <c r="A325" s="13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9" t="str">
        <f aca="false">IF(K325="","",IFERROR(INDEX(Lists!$G$2:$G$5,MATCH(K325,Lists!$F$2:$F$5,0)),""))</f>
        <v/>
      </c>
      <c r="M325" s="14"/>
      <c r="N325" s="14"/>
      <c r="O325" s="14"/>
      <c r="P325" s="14"/>
      <c r="Q325" s="13"/>
      <c r="R325" s="17" t="str">
        <f aca="true">IF(OR(C325="",Q325=""),"",IF(OR(J325="Won",J325="Lost"),"",IF(Q325&lt;TODAY(),"OVERDUE",IF(Q325=TODAY(),"TODAY",""))))</f>
        <v/>
      </c>
      <c r="S325" s="13"/>
      <c r="T325" s="13"/>
      <c r="U325" s="14"/>
    </row>
    <row r="326" customFormat="false" ht="15" hidden="false" customHeight="false" outlineLevel="0" collapsed="false">
      <c r="A326" s="13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9" t="str">
        <f aca="false">IF(K326="","",IFERROR(INDEX(Lists!$G$2:$G$5,MATCH(K326,Lists!$F$2:$F$5,0)),""))</f>
        <v/>
      </c>
      <c r="M326" s="14"/>
      <c r="N326" s="14"/>
      <c r="O326" s="14"/>
      <c r="P326" s="14"/>
      <c r="Q326" s="13"/>
      <c r="R326" s="17" t="str">
        <f aca="true">IF(OR(C326="",Q326=""),"",IF(OR(J326="Won",J326="Lost"),"",IF(Q326&lt;TODAY(),"OVERDUE",IF(Q326=TODAY(),"TODAY",""))))</f>
        <v/>
      </c>
      <c r="S326" s="13"/>
      <c r="T326" s="13"/>
      <c r="U326" s="14"/>
    </row>
    <row r="327" customFormat="false" ht="15" hidden="false" customHeight="false" outlineLevel="0" collapsed="false">
      <c r="A327" s="13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9" t="str">
        <f aca="false">IF(K327="","",IFERROR(INDEX(Lists!$G$2:$G$5,MATCH(K327,Lists!$F$2:$F$5,0)),""))</f>
        <v/>
      </c>
      <c r="M327" s="14"/>
      <c r="N327" s="14"/>
      <c r="O327" s="14"/>
      <c r="P327" s="14"/>
      <c r="Q327" s="13"/>
      <c r="R327" s="17" t="str">
        <f aca="true">IF(OR(C327="",Q327=""),"",IF(OR(J327="Won",J327="Lost"),"",IF(Q327&lt;TODAY(),"OVERDUE",IF(Q327=TODAY(),"TODAY",""))))</f>
        <v/>
      </c>
      <c r="S327" s="13"/>
      <c r="T327" s="13"/>
      <c r="U327" s="14"/>
    </row>
    <row r="328" customFormat="false" ht="15" hidden="false" customHeight="false" outlineLevel="0" collapsed="false">
      <c r="A328" s="13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9" t="str">
        <f aca="false">IF(K328="","",IFERROR(INDEX(Lists!$G$2:$G$5,MATCH(K328,Lists!$F$2:$F$5,0)),""))</f>
        <v/>
      </c>
      <c r="M328" s="14"/>
      <c r="N328" s="14"/>
      <c r="O328" s="14"/>
      <c r="P328" s="14"/>
      <c r="Q328" s="13"/>
      <c r="R328" s="17" t="str">
        <f aca="true">IF(OR(C328="",Q328=""),"",IF(OR(J328="Won",J328="Lost"),"",IF(Q328&lt;TODAY(),"OVERDUE",IF(Q328=TODAY(),"TODAY",""))))</f>
        <v/>
      </c>
      <c r="S328" s="13"/>
      <c r="T328" s="13"/>
      <c r="U328" s="14"/>
    </row>
    <row r="329" customFormat="false" ht="15" hidden="false" customHeight="false" outlineLevel="0" collapsed="false">
      <c r="A329" s="13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9" t="str">
        <f aca="false">IF(K329="","",IFERROR(INDEX(Lists!$G$2:$G$5,MATCH(K329,Lists!$F$2:$F$5,0)),""))</f>
        <v/>
      </c>
      <c r="M329" s="14"/>
      <c r="N329" s="14"/>
      <c r="O329" s="14"/>
      <c r="P329" s="14"/>
      <c r="Q329" s="13"/>
      <c r="R329" s="17" t="str">
        <f aca="true">IF(OR(C329="",Q329=""),"",IF(OR(J329="Won",J329="Lost"),"",IF(Q329&lt;TODAY(),"OVERDUE",IF(Q329=TODAY(),"TODAY",""))))</f>
        <v/>
      </c>
      <c r="S329" s="13"/>
      <c r="T329" s="13"/>
      <c r="U329" s="14"/>
    </row>
    <row r="330" customFormat="false" ht="15" hidden="false" customHeight="false" outlineLevel="0" collapsed="false">
      <c r="A330" s="13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9" t="str">
        <f aca="false">IF(K330="","",IFERROR(INDEX(Lists!$G$2:$G$5,MATCH(K330,Lists!$F$2:$F$5,0)),""))</f>
        <v/>
      </c>
      <c r="M330" s="14"/>
      <c r="N330" s="14"/>
      <c r="O330" s="14"/>
      <c r="P330" s="14"/>
      <c r="Q330" s="13"/>
      <c r="R330" s="17" t="str">
        <f aca="true">IF(OR(C330="",Q330=""),"",IF(OR(J330="Won",J330="Lost"),"",IF(Q330&lt;TODAY(),"OVERDUE",IF(Q330=TODAY(),"TODAY",""))))</f>
        <v/>
      </c>
      <c r="S330" s="13"/>
      <c r="T330" s="13"/>
      <c r="U330" s="14"/>
    </row>
    <row r="331" customFormat="false" ht="15" hidden="false" customHeight="false" outlineLevel="0" collapsed="false">
      <c r="A331" s="13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9" t="str">
        <f aca="false">IF(K331="","",IFERROR(INDEX(Lists!$G$2:$G$5,MATCH(K331,Lists!$F$2:$F$5,0)),""))</f>
        <v/>
      </c>
      <c r="M331" s="14"/>
      <c r="N331" s="14"/>
      <c r="O331" s="14"/>
      <c r="P331" s="14"/>
      <c r="Q331" s="13"/>
      <c r="R331" s="17" t="str">
        <f aca="true">IF(OR(C331="",Q331=""),"",IF(OR(J331="Won",J331="Lost"),"",IF(Q331&lt;TODAY(),"OVERDUE",IF(Q331=TODAY(),"TODAY",""))))</f>
        <v/>
      </c>
      <c r="S331" s="13"/>
      <c r="T331" s="13"/>
      <c r="U331" s="14"/>
    </row>
    <row r="332" customFormat="false" ht="15" hidden="false" customHeight="false" outlineLevel="0" collapsed="false">
      <c r="A332" s="13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9" t="str">
        <f aca="false">IF(K332="","",IFERROR(INDEX(Lists!$G$2:$G$5,MATCH(K332,Lists!$F$2:$F$5,0)),""))</f>
        <v/>
      </c>
      <c r="M332" s="14"/>
      <c r="N332" s="14"/>
      <c r="O332" s="14"/>
      <c r="P332" s="14"/>
      <c r="Q332" s="13"/>
      <c r="R332" s="17" t="str">
        <f aca="true">IF(OR(C332="",Q332=""),"",IF(OR(J332="Won",J332="Lost"),"",IF(Q332&lt;TODAY(),"OVERDUE",IF(Q332=TODAY(),"TODAY",""))))</f>
        <v/>
      </c>
      <c r="S332" s="13"/>
      <c r="T332" s="13"/>
      <c r="U332" s="14"/>
    </row>
    <row r="333" customFormat="false" ht="15" hidden="false" customHeight="false" outlineLevel="0" collapsed="false">
      <c r="A333" s="13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9" t="str">
        <f aca="false">IF(K333="","",IFERROR(INDEX(Lists!$G$2:$G$5,MATCH(K333,Lists!$F$2:$F$5,0)),""))</f>
        <v/>
      </c>
      <c r="M333" s="14"/>
      <c r="N333" s="14"/>
      <c r="O333" s="14"/>
      <c r="P333" s="14"/>
      <c r="Q333" s="13"/>
      <c r="R333" s="17" t="str">
        <f aca="true">IF(OR(C333="",Q333=""),"",IF(OR(J333="Won",J333="Lost"),"",IF(Q333&lt;TODAY(),"OVERDUE",IF(Q333=TODAY(),"TODAY",""))))</f>
        <v/>
      </c>
      <c r="S333" s="13"/>
      <c r="T333" s="13"/>
      <c r="U333" s="14"/>
    </row>
    <row r="334" customFormat="false" ht="15" hidden="false" customHeight="false" outlineLevel="0" collapsed="false">
      <c r="A334" s="13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9" t="str">
        <f aca="false">IF(K334="","",IFERROR(INDEX(Lists!$G$2:$G$5,MATCH(K334,Lists!$F$2:$F$5,0)),""))</f>
        <v/>
      </c>
      <c r="M334" s="14"/>
      <c r="N334" s="14"/>
      <c r="O334" s="14"/>
      <c r="P334" s="14"/>
      <c r="Q334" s="13"/>
      <c r="R334" s="17" t="str">
        <f aca="true">IF(OR(C334="",Q334=""),"",IF(OR(J334="Won",J334="Lost"),"",IF(Q334&lt;TODAY(),"OVERDUE",IF(Q334=TODAY(),"TODAY",""))))</f>
        <v/>
      </c>
      <c r="S334" s="13"/>
      <c r="T334" s="13"/>
      <c r="U334" s="14"/>
    </row>
    <row r="335" customFormat="false" ht="15" hidden="false" customHeight="false" outlineLevel="0" collapsed="false">
      <c r="A335" s="13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9" t="str">
        <f aca="false">IF(K335="","",IFERROR(INDEX(Lists!$G$2:$G$5,MATCH(K335,Lists!$F$2:$F$5,0)),""))</f>
        <v/>
      </c>
      <c r="M335" s="14"/>
      <c r="N335" s="14"/>
      <c r="O335" s="14"/>
      <c r="P335" s="14"/>
      <c r="Q335" s="13"/>
      <c r="R335" s="17" t="str">
        <f aca="true">IF(OR(C335="",Q335=""),"",IF(OR(J335="Won",J335="Lost"),"",IF(Q335&lt;TODAY(),"OVERDUE",IF(Q335=TODAY(),"TODAY",""))))</f>
        <v/>
      </c>
      <c r="S335" s="13"/>
      <c r="T335" s="13"/>
      <c r="U335" s="14"/>
    </row>
    <row r="336" customFormat="false" ht="15" hidden="false" customHeight="false" outlineLevel="0" collapsed="false">
      <c r="A336" s="13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9" t="str">
        <f aca="false">IF(K336="","",IFERROR(INDEX(Lists!$G$2:$G$5,MATCH(K336,Lists!$F$2:$F$5,0)),""))</f>
        <v/>
      </c>
      <c r="M336" s="14"/>
      <c r="N336" s="14"/>
      <c r="O336" s="14"/>
      <c r="P336" s="14"/>
      <c r="Q336" s="13"/>
      <c r="R336" s="17" t="str">
        <f aca="true">IF(OR(C336="",Q336=""),"",IF(OR(J336="Won",J336="Lost"),"",IF(Q336&lt;TODAY(),"OVERDUE",IF(Q336=TODAY(),"TODAY",""))))</f>
        <v/>
      </c>
      <c r="S336" s="13"/>
      <c r="T336" s="13"/>
      <c r="U336" s="14"/>
    </row>
    <row r="337" customFormat="false" ht="15" hidden="false" customHeight="false" outlineLevel="0" collapsed="false">
      <c r="A337" s="13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9" t="str">
        <f aca="false">IF(K337="","",IFERROR(INDEX(Lists!$G$2:$G$5,MATCH(K337,Lists!$F$2:$F$5,0)),""))</f>
        <v/>
      </c>
      <c r="M337" s="14"/>
      <c r="N337" s="14"/>
      <c r="O337" s="14"/>
      <c r="P337" s="14"/>
      <c r="Q337" s="13"/>
      <c r="R337" s="17" t="str">
        <f aca="true">IF(OR(C337="",Q337=""),"",IF(OR(J337="Won",J337="Lost"),"",IF(Q337&lt;TODAY(),"OVERDUE",IF(Q337=TODAY(),"TODAY",""))))</f>
        <v/>
      </c>
      <c r="S337" s="13"/>
      <c r="T337" s="13"/>
      <c r="U337" s="14"/>
    </row>
    <row r="338" customFormat="false" ht="15" hidden="false" customHeight="false" outlineLevel="0" collapsed="false">
      <c r="A338" s="13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9" t="str">
        <f aca="false">IF(K338="","",IFERROR(INDEX(Lists!$G$2:$G$5,MATCH(K338,Lists!$F$2:$F$5,0)),""))</f>
        <v/>
      </c>
      <c r="M338" s="14"/>
      <c r="N338" s="14"/>
      <c r="O338" s="14"/>
      <c r="P338" s="14"/>
      <c r="Q338" s="13"/>
      <c r="R338" s="17" t="str">
        <f aca="true">IF(OR(C338="",Q338=""),"",IF(OR(J338="Won",J338="Lost"),"",IF(Q338&lt;TODAY(),"OVERDUE",IF(Q338=TODAY(),"TODAY",""))))</f>
        <v/>
      </c>
      <c r="S338" s="13"/>
      <c r="T338" s="13"/>
      <c r="U338" s="14"/>
    </row>
    <row r="339" customFormat="false" ht="15" hidden="false" customHeight="false" outlineLevel="0" collapsed="false">
      <c r="A339" s="13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9" t="str">
        <f aca="false">IF(K339="","",IFERROR(INDEX(Lists!$G$2:$G$5,MATCH(K339,Lists!$F$2:$F$5,0)),""))</f>
        <v/>
      </c>
      <c r="M339" s="14"/>
      <c r="N339" s="14"/>
      <c r="O339" s="14"/>
      <c r="P339" s="14"/>
      <c r="Q339" s="13"/>
      <c r="R339" s="17" t="str">
        <f aca="true">IF(OR(C339="",Q339=""),"",IF(OR(J339="Won",J339="Lost"),"",IF(Q339&lt;TODAY(),"OVERDUE",IF(Q339=TODAY(),"TODAY",""))))</f>
        <v/>
      </c>
      <c r="S339" s="13"/>
      <c r="T339" s="13"/>
      <c r="U339" s="14"/>
    </row>
    <row r="340" customFormat="false" ht="15" hidden="false" customHeight="false" outlineLevel="0" collapsed="false">
      <c r="A340" s="13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9" t="str">
        <f aca="false">IF(K340="","",IFERROR(INDEX(Lists!$G$2:$G$5,MATCH(K340,Lists!$F$2:$F$5,0)),""))</f>
        <v/>
      </c>
      <c r="M340" s="14"/>
      <c r="N340" s="14"/>
      <c r="O340" s="14"/>
      <c r="P340" s="14"/>
      <c r="Q340" s="13"/>
      <c r="R340" s="17" t="str">
        <f aca="true">IF(OR(C340="",Q340=""),"",IF(OR(J340="Won",J340="Lost"),"",IF(Q340&lt;TODAY(),"OVERDUE",IF(Q340=TODAY(),"TODAY",""))))</f>
        <v/>
      </c>
      <c r="S340" s="13"/>
      <c r="T340" s="13"/>
      <c r="U340" s="14"/>
    </row>
    <row r="341" customFormat="false" ht="15" hidden="false" customHeight="false" outlineLevel="0" collapsed="false">
      <c r="A341" s="13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9" t="str">
        <f aca="false">IF(K341="","",IFERROR(INDEX(Lists!$G$2:$G$5,MATCH(K341,Lists!$F$2:$F$5,0)),""))</f>
        <v/>
      </c>
      <c r="M341" s="14"/>
      <c r="N341" s="14"/>
      <c r="O341" s="14"/>
      <c r="P341" s="14"/>
      <c r="Q341" s="13"/>
      <c r="R341" s="17" t="str">
        <f aca="true">IF(OR(C341="",Q341=""),"",IF(OR(J341="Won",J341="Lost"),"",IF(Q341&lt;TODAY(),"OVERDUE",IF(Q341=TODAY(),"TODAY",""))))</f>
        <v/>
      </c>
      <c r="S341" s="13"/>
      <c r="T341" s="13"/>
      <c r="U341" s="14"/>
    </row>
    <row r="342" customFormat="false" ht="15" hidden="false" customHeight="false" outlineLevel="0" collapsed="false">
      <c r="A342" s="13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9" t="str">
        <f aca="false">IF(K342="","",IFERROR(INDEX(Lists!$G$2:$G$5,MATCH(K342,Lists!$F$2:$F$5,0)),""))</f>
        <v/>
      </c>
      <c r="M342" s="14"/>
      <c r="N342" s="14"/>
      <c r="O342" s="14"/>
      <c r="P342" s="14"/>
      <c r="Q342" s="13"/>
      <c r="R342" s="17" t="str">
        <f aca="true">IF(OR(C342="",Q342=""),"",IF(OR(J342="Won",J342="Lost"),"",IF(Q342&lt;TODAY(),"OVERDUE",IF(Q342=TODAY(),"TODAY",""))))</f>
        <v/>
      </c>
      <c r="S342" s="13"/>
      <c r="T342" s="13"/>
      <c r="U342" s="14"/>
    </row>
    <row r="343" customFormat="false" ht="15" hidden="false" customHeight="false" outlineLevel="0" collapsed="false">
      <c r="A343" s="13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9" t="str">
        <f aca="false">IF(K343="","",IFERROR(INDEX(Lists!$G$2:$G$5,MATCH(K343,Lists!$F$2:$F$5,0)),""))</f>
        <v/>
      </c>
      <c r="M343" s="14"/>
      <c r="N343" s="14"/>
      <c r="O343" s="14"/>
      <c r="P343" s="14"/>
      <c r="Q343" s="13"/>
      <c r="R343" s="17" t="str">
        <f aca="true">IF(OR(C343="",Q343=""),"",IF(OR(J343="Won",J343="Lost"),"",IF(Q343&lt;TODAY(),"OVERDUE",IF(Q343=TODAY(),"TODAY",""))))</f>
        <v/>
      </c>
      <c r="S343" s="13"/>
      <c r="T343" s="13"/>
      <c r="U343" s="14"/>
    </row>
    <row r="344" customFormat="false" ht="15" hidden="false" customHeight="false" outlineLevel="0" collapsed="false">
      <c r="A344" s="13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9" t="str">
        <f aca="false">IF(K344="","",IFERROR(INDEX(Lists!$G$2:$G$5,MATCH(K344,Lists!$F$2:$F$5,0)),""))</f>
        <v/>
      </c>
      <c r="M344" s="14"/>
      <c r="N344" s="14"/>
      <c r="O344" s="14"/>
      <c r="P344" s="14"/>
      <c r="Q344" s="13"/>
      <c r="R344" s="17" t="str">
        <f aca="true">IF(OR(C344="",Q344=""),"",IF(OR(J344="Won",J344="Lost"),"",IF(Q344&lt;TODAY(),"OVERDUE",IF(Q344=TODAY(),"TODAY",""))))</f>
        <v/>
      </c>
      <c r="S344" s="13"/>
      <c r="T344" s="13"/>
      <c r="U344" s="14"/>
    </row>
    <row r="345" customFormat="false" ht="15" hidden="false" customHeight="false" outlineLevel="0" collapsed="false">
      <c r="A345" s="13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9" t="str">
        <f aca="false">IF(K345="","",IFERROR(INDEX(Lists!$G$2:$G$5,MATCH(K345,Lists!$F$2:$F$5,0)),""))</f>
        <v/>
      </c>
      <c r="M345" s="14"/>
      <c r="N345" s="14"/>
      <c r="O345" s="14"/>
      <c r="P345" s="14"/>
      <c r="Q345" s="13"/>
      <c r="R345" s="17" t="str">
        <f aca="true">IF(OR(C345="",Q345=""),"",IF(OR(J345="Won",J345="Lost"),"",IF(Q345&lt;TODAY(),"OVERDUE",IF(Q345=TODAY(),"TODAY",""))))</f>
        <v/>
      </c>
      <c r="S345" s="13"/>
      <c r="T345" s="13"/>
      <c r="U345" s="14"/>
    </row>
    <row r="346" customFormat="false" ht="15" hidden="false" customHeight="false" outlineLevel="0" collapsed="false">
      <c r="A346" s="13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9" t="str">
        <f aca="false">IF(K346="","",IFERROR(INDEX(Lists!$G$2:$G$5,MATCH(K346,Lists!$F$2:$F$5,0)),""))</f>
        <v/>
      </c>
      <c r="M346" s="14"/>
      <c r="N346" s="14"/>
      <c r="O346" s="14"/>
      <c r="P346" s="14"/>
      <c r="Q346" s="13"/>
      <c r="R346" s="17" t="str">
        <f aca="true">IF(OR(C346="",Q346=""),"",IF(OR(J346="Won",J346="Lost"),"",IF(Q346&lt;TODAY(),"OVERDUE",IF(Q346=TODAY(),"TODAY",""))))</f>
        <v/>
      </c>
      <c r="S346" s="13"/>
      <c r="T346" s="13"/>
      <c r="U346" s="14"/>
    </row>
    <row r="347" customFormat="false" ht="15" hidden="false" customHeight="false" outlineLevel="0" collapsed="false">
      <c r="A347" s="13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9" t="str">
        <f aca="false">IF(K347="","",IFERROR(INDEX(Lists!$G$2:$G$5,MATCH(K347,Lists!$F$2:$F$5,0)),""))</f>
        <v/>
      </c>
      <c r="M347" s="14"/>
      <c r="N347" s="14"/>
      <c r="O347" s="14"/>
      <c r="P347" s="14"/>
      <c r="Q347" s="13"/>
      <c r="R347" s="17" t="str">
        <f aca="true">IF(OR(C347="",Q347=""),"",IF(OR(J347="Won",J347="Lost"),"",IF(Q347&lt;TODAY(),"OVERDUE",IF(Q347=TODAY(),"TODAY",""))))</f>
        <v/>
      </c>
      <c r="S347" s="13"/>
      <c r="T347" s="13"/>
      <c r="U347" s="14"/>
    </row>
    <row r="348" customFormat="false" ht="15" hidden="false" customHeight="false" outlineLevel="0" collapsed="false">
      <c r="A348" s="13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9" t="str">
        <f aca="false">IF(K348="","",IFERROR(INDEX(Lists!$G$2:$G$5,MATCH(K348,Lists!$F$2:$F$5,0)),""))</f>
        <v/>
      </c>
      <c r="M348" s="14"/>
      <c r="N348" s="14"/>
      <c r="O348" s="14"/>
      <c r="P348" s="14"/>
      <c r="Q348" s="13"/>
      <c r="R348" s="17" t="str">
        <f aca="true">IF(OR(C348="",Q348=""),"",IF(OR(J348="Won",J348="Lost"),"",IF(Q348&lt;TODAY(),"OVERDUE",IF(Q348=TODAY(),"TODAY",""))))</f>
        <v/>
      </c>
      <c r="S348" s="13"/>
      <c r="T348" s="13"/>
      <c r="U348" s="14"/>
    </row>
    <row r="349" customFormat="false" ht="15" hidden="false" customHeight="false" outlineLevel="0" collapsed="false">
      <c r="A349" s="13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9" t="str">
        <f aca="false">IF(K349="","",IFERROR(INDEX(Lists!$G$2:$G$5,MATCH(K349,Lists!$F$2:$F$5,0)),""))</f>
        <v/>
      </c>
      <c r="M349" s="14"/>
      <c r="N349" s="14"/>
      <c r="O349" s="14"/>
      <c r="P349" s="14"/>
      <c r="Q349" s="13"/>
      <c r="R349" s="17" t="str">
        <f aca="true">IF(OR(C349="",Q349=""),"",IF(OR(J349="Won",J349="Lost"),"",IF(Q349&lt;TODAY(),"OVERDUE",IF(Q349=TODAY(),"TODAY",""))))</f>
        <v/>
      </c>
      <c r="S349" s="13"/>
      <c r="T349" s="13"/>
      <c r="U349" s="14"/>
    </row>
    <row r="350" customFormat="false" ht="15" hidden="false" customHeight="false" outlineLevel="0" collapsed="false">
      <c r="A350" s="13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9" t="str">
        <f aca="false">IF(K350="","",IFERROR(INDEX(Lists!$G$2:$G$5,MATCH(K350,Lists!$F$2:$F$5,0)),""))</f>
        <v/>
      </c>
      <c r="M350" s="14"/>
      <c r="N350" s="14"/>
      <c r="O350" s="14"/>
      <c r="P350" s="14"/>
      <c r="Q350" s="13"/>
      <c r="R350" s="17" t="str">
        <f aca="true">IF(OR(C350="",Q350=""),"",IF(OR(J350="Won",J350="Lost"),"",IF(Q350&lt;TODAY(),"OVERDUE",IF(Q350=TODAY(),"TODAY",""))))</f>
        <v/>
      </c>
      <c r="S350" s="13"/>
      <c r="T350" s="13"/>
      <c r="U350" s="14"/>
    </row>
    <row r="351" customFormat="false" ht="15" hidden="false" customHeight="false" outlineLevel="0" collapsed="false">
      <c r="A351" s="13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9" t="str">
        <f aca="false">IF(K351="","",IFERROR(INDEX(Lists!$G$2:$G$5,MATCH(K351,Lists!$F$2:$F$5,0)),""))</f>
        <v/>
      </c>
      <c r="M351" s="14"/>
      <c r="N351" s="14"/>
      <c r="O351" s="14"/>
      <c r="P351" s="14"/>
      <c r="Q351" s="13"/>
      <c r="R351" s="17" t="str">
        <f aca="true">IF(OR(C351="",Q351=""),"",IF(OR(J351="Won",J351="Lost"),"",IF(Q351&lt;TODAY(),"OVERDUE",IF(Q351=TODAY(),"TODAY",""))))</f>
        <v/>
      </c>
      <c r="S351" s="13"/>
      <c r="T351" s="13"/>
      <c r="U351" s="14"/>
    </row>
    <row r="352" customFormat="false" ht="15" hidden="false" customHeight="false" outlineLevel="0" collapsed="false">
      <c r="A352" s="13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9" t="str">
        <f aca="false">IF(K352="","",IFERROR(INDEX(Lists!$G$2:$G$5,MATCH(K352,Lists!$F$2:$F$5,0)),""))</f>
        <v/>
      </c>
      <c r="M352" s="14"/>
      <c r="N352" s="14"/>
      <c r="O352" s="14"/>
      <c r="P352" s="14"/>
      <c r="Q352" s="13"/>
      <c r="R352" s="17" t="str">
        <f aca="true">IF(OR(C352="",Q352=""),"",IF(OR(J352="Won",J352="Lost"),"",IF(Q352&lt;TODAY(),"OVERDUE",IF(Q352=TODAY(),"TODAY",""))))</f>
        <v/>
      </c>
      <c r="S352" s="13"/>
      <c r="T352" s="13"/>
      <c r="U352" s="14"/>
    </row>
    <row r="353" customFormat="false" ht="15" hidden="false" customHeight="false" outlineLevel="0" collapsed="false">
      <c r="A353" s="13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9" t="str">
        <f aca="false">IF(K353="","",IFERROR(INDEX(Lists!$G$2:$G$5,MATCH(K353,Lists!$F$2:$F$5,0)),""))</f>
        <v/>
      </c>
      <c r="M353" s="14"/>
      <c r="N353" s="14"/>
      <c r="O353" s="14"/>
      <c r="P353" s="14"/>
      <c r="Q353" s="13"/>
      <c r="R353" s="17" t="str">
        <f aca="true">IF(OR(C353="",Q353=""),"",IF(OR(J353="Won",J353="Lost"),"",IF(Q353&lt;TODAY(),"OVERDUE",IF(Q353=TODAY(),"TODAY",""))))</f>
        <v/>
      </c>
      <c r="S353" s="13"/>
      <c r="T353" s="13"/>
      <c r="U353" s="14"/>
    </row>
    <row r="354" customFormat="false" ht="15" hidden="false" customHeight="false" outlineLevel="0" collapsed="false">
      <c r="A354" s="13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9" t="str">
        <f aca="false">IF(K354="","",IFERROR(INDEX(Lists!$G$2:$G$5,MATCH(K354,Lists!$F$2:$F$5,0)),""))</f>
        <v/>
      </c>
      <c r="M354" s="14"/>
      <c r="N354" s="14"/>
      <c r="O354" s="14"/>
      <c r="P354" s="14"/>
      <c r="Q354" s="13"/>
      <c r="R354" s="17" t="str">
        <f aca="true">IF(OR(C354="",Q354=""),"",IF(OR(J354="Won",J354="Lost"),"",IF(Q354&lt;TODAY(),"OVERDUE",IF(Q354=TODAY(),"TODAY",""))))</f>
        <v/>
      </c>
      <c r="S354" s="13"/>
      <c r="T354" s="13"/>
      <c r="U354" s="14"/>
    </row>
    <row r="355" customFormat="false" ht="15" hidden="false" customHeight="false" outlineLevel="0" collapsed="false">
      <c r="A355" s="13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9" t="str">
        <f aca="false">IF(K355="","",IFERROR(INDEX(Lists!$G$2:$G$5,MATCH(K355,Lists!$F$2:$F$5,0)),""))</f>
        <v/>
      </c>
      <c r="M355" s="14"/>
      <c r="N355" s="14"/>
      <c r="O355" s="14"/>
      <c r="P355" s="14"/>
      <c r="Q355" s="13"/>
      <c r="R355" s="17" t="str">
        <f aca="true">IF(OR(C355="",Q355=""),"",IF(OR(J355="Won",J355="Lost"),"",IF(Q355&lt;TODAY(),"OVERDUE",IF(Q355=TODAY(),"TODAY",""))))</f>
        <v/>
      </c>
      <c r="S355" s="13"/>
      <c r="T355" s="13"/>
      <c r="U355" s="14"/>
    </row>
    <row r="356" customFormat="false" ht="15" hidden="false" customHeight="false" outlineLevel="0" collapsed="false">
      <c r="A356" s="13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9" t="str">
        <f aca="false">IF(K356="","",IFERROR(INDEX(Lists!$G$2:$G$5,MATCH(K356,Lists!$F$2:$F$5,0)),""))</f>
        <v/>
      </c>
      <c r="M356" s="14"/>
      <c r="N356" s="14"/>
      <c r="O356" s="14"/>
      <c r="P356" s="14"/>
      <c r="Q356" s="13"/>
      <c r="R356" s="17" t="str">
        <f aca="true">IF(OR(C356="",Q356=""),"",IF(OR(J356="Won",J356="Lost"),"",IF(Q356&lt;TODAY(),"OVERDUE",IF(Q356=TODAY(),"TODAY",""))))</f>
        <v/>
      </c>
      <c r="S356" s="13"/>
      <c r="T356" s="13"/>
      <c r="U356" s="14"/>
    </row>
    <row r="357" customFormat="false" ht="15" hidden="false" customHeight="false" outlineLevel="0" collapsed="false">
      <c r="A357" s="13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9" t="str">
        <f aca="false">IF(K357="","",IFERROR(INDEX(Lists!$G$2:$G$5,MATCH(K357,Lists!$F$2:$F$5,0)),""))</f>
        <v/>
      </c>
      <c r="M357" s="14"/>
      <c r="N357" s="14"/>
      <c r="O357" s="14"/>
      <c r="P357" s="14"/>
      <c r="Q357" s="13"/>
      <c r="R357" s="17" t="str">
        <f aca="true">IF(OR(C357="",Q357=""),"",IF(OR(J357="Won",J357="Lost"),"",IF(Q357&lt;TODAY(),"OVERDUE",IF(Q357=TODAY(),"TODAY",""))))</f>
        <v/>
      </c>
      <c r="S357" s="13"/>
      <c r="T357" s="13"/>
      <c r="U357" s="14"/>
    </row>
    <row r="358" customFormat="false" ht="15" hidden="false" customHeight="false" outlineLevel="0" collapsed="false">
      <c r="A358" s="13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9" t="str">
        <f aca="false">IF(K358="","",IFERROR(INDEX(Lists!$G$2:$G$5,MATCH(K358,Lists!$F$2:$F$5,0)),""))</f>
        <v/>
      </c>
      <c r="M358" s="14"/>
      <c r="N358" s="14"/>
      <c r="O358" s="14"/>
      <c r="P358" s="14"/>
      <c r="Q358" s="13"/>
      <c r="R358" s="17" t="str">
        <f aca="true">IF(OR(C358="",Q358=""),"",IF(OR(J358="Won",J358="Lost"),"",IF(Q358&lt;TODAY(),"OVERDUE",IF(Q358=TODAY(),"TODAY",""))))</f>
        <v/>
      </c>
      <c r="S358" s="13"/>
      <c r="T358" s="13"/>
      <c r="U358" s="14"/>
    </row>
    <row r="359" customFormat="false" ht="15" hidden="false" customHeight="false" outlineLevel="0" collapsed="false">
      <c r="A359" s="13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9" t="str">
        <f aca="false">IF(K359="","",IFERROR(INDEX(Lists!$G$2:$G$5,MATCH(K359,Lists!$F$2:$F$5,0)),""))</f>
        <v/>
      </c>
      <c r="M359" s="14"/>
      <c r="N359" s="14"/>
      <c r="O359" s="14"/>
      <c r="P359" s="14"/>
      <c r="Q359" s="13"/>
      <c r="R359" s="17" t="str">
        <f aca="true">IF(OR(C359="",Q359=""),"",IF(OR(J359="Won",J359="Lost"),"",IF(Q359&lt;TODAY(),"OVERDUE",IF(Q359=TODAY(),"TODAY",""))))</f>
        <v/>
      </c>
      <c r="S359" s="13"/>
      <c r="T359" s="13"/>
      <c r="U359" s="14"/>
    </row>
    <row r="360" customFormat="false" ht="15" hidden="false" customHeight="false" outlineLevel="0" collapsed="false">
      <c r="A360" s="13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9" t="str">
        <f aca="false">IF(K360="","",IFERROR(INDEX(Lists!$G$2:$G$5,MATCH(K360,Lists!$F$2:$F$5,0)),""))</f>
        <v/>
      </c>
      <c r="M360" s="14"/>
      <c r="N360" s="14"/>
      <c r="O360" s="14"/>
      <c r="P360" s="14"/>
      <c r="Q360" s="13"/>
      <c r="R360" s="17" t="str">
        <f aca="true">IF(OR(C360="",Q360=""),"",IF(OR(J360="Won",J360="Lost"),"",IF(Q360&lt;TODAY(),"OVERDUE",IF(Q360=TODAY(),"TODAY",""))))</f>
        <v/>
      </c>
      <c r="S360" s="13"/>
      <c r="T360" s="13"/>
      <c r="U360" s="14"/>
    </row>
    <row r="361" customFormat="false" ht="15" hidden="false" customHeight="false" outlineLevel="0" collapsed="false">
      <c r="A361" s="13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9" t="str">
        <f aca="false">IF(K361="","",IFERROR(INDEX(Lists!$G$2:$G$5,MATCH(K361,Lists!$F$2:$F$5,0)),""))</f>
        <v/>
      </c>
      <c r="M361" s="14"/>
      <c r="N361" s="14"/>
      <c r="O361" s="14"/>
      <c r="P361" s="14"/>
      <c r="Q361" s="13"/>
      <c r="R361" s="17" t="str">
        <f aca="true">IF(OR(C361="",Q361=""),"",IF(OR(J361="Won",J361="Lost"),"",IF(Q361&lt;TODAY(),"OVERDUE",IF(Q361=TODAY(),"TODAY",""))))</f>
        <v/>
      </c>
      <c r="S361" s="13"/>
      <c r="T361" s="13"/>
      <c r="U361" s="14"/>
    </row>
    <row r="362" customFormat="false" ht="15" hidden="false" customHeight="false" outlineLevel="0" collapsed="false">
      <c r="A362" s="13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9" t="str">
        <f aca="false">IF(K362="","",IFERROR(INDEX(Lists!$G$2:$G$5,MATCH(K362,Lists!$F$2:$F$5,0)),""))</f>
        <v/>
      </c>
      <c r="M362" s="14"/>
      <c r="N362" s="14"/>
      <c r="O362" s="14"/>
      <c r="P362" s="14"/>
      <c r="Q362" s="13"/>
      <c r="R362" s="17" t="str">
        <f aca="true">IF(OR(C362="",Q362=""),"",IF(OR(J362="Won",J362="Lost"),"",IF(Q362&lt;TODAY(),"OVERDUE",IF(Q362=TODAY(),"TODAY",""))))</f>
        <v/>
      </c>
      <c r="S362" s="13"/>
      <c r="T362" s="13"/>
      <c r="U362" s="14"/>
    </row>
    <row r="363" customFormat="false" ht="15" hidden="false" customHeight="false" outlineLevel="0" collapsed="false">
      <c r="A363" s="13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9" t="str">
        <f aca="false">IF(K363="","",IFERROR(INDEX(Lists!$G$2:$G$5,MATCH(K363,Lists!$F$2:$F$5,0)),""))</f>
        <v/>
      </c>
      <c r="M363" s="14"/>
      <c r="N363" s="14"/>
      <c r="O363" s="14"/>
      <c r="P363" s="14"/>
      <c r="Q363" s="13"/>
      <c r="R363" s="17" t="str">
        <f aca="true">IF(OR(C363="",Q363=""),"",IF(OR(J363="Won",J363="Lost"),"",IF(Q363&lt;TODAY(),"OVERDUE",IF(Q363=TODAY(),"TODAY",""))))</f>
        <v/>
      </c>
      <c r="S363" s="13"/>
      <c r="T363" s="13"/>
      <c r="U363" s="14"/>
    </row>
    <row r="364" customFormat="false" ht="15" hidden="false" customHeight="false" outlineLevel="0" collapsed="false">
      <c r="A364" s="13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9" t="str">
        <f aca="false">IF(K364="","",IFERROR(INDEX(Lists!$G$2:$G$5,MATCH(K364,Lists!$F$2:$F$5,0)),""))</f>
        <v/>
      </c>
      <c r="M364" s="14"/>
      <c r="N364" s="14"/>
      <c r="O364" s="14"/>
      <c r="P364" s="14"/>
      <c r="Q364" s="13"/>
      <c r="R364" s="17" t="str">
        <f aca="true">IF(OR(C364="",Q364=""),"",IF(OR(J364="Won",J364="Lost"),"",IF(Q364&lt;TODAY(),"OVERDUE",IF(Q364=TODAY(),"TODAY",""))))</f>
        <v/>
      </c>
      <c r="S364" s="13"/>
      <c r="T364" s="13"/>
      <c r="U364" s="14"/>
    </row>
    <row r="365" customFormat="false" ht="15" hidden="false" customHeight="false" outlineLevel="0" collapsed="false">
      <c r="A365" s="13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9" t="str">
        <f aca="false">IF(K365="","",IFERROR(INDEX(Lists!$G$2:$G$5,MATCH(K365,Lists!$F$2:$F$5,0)),""))</f>
        <v/>
      </c>
      <c r="M365" s="14"/>
      <c r="N365" s="14"/>
      <c r="O365" s="14"/>
      <c r="P365" s="14"/>
      <c r="Q365" s="13"/>
      <c r="R365" s="17" t="str">
        <f aca="true">IF(OR(C365="",Q365=""),"",IF(OR(J365="Won",J365="Lost"),"",IF(Q365&lt;TODAY(),"OVERDUE",IF(Q365=TODAY(),"TODAY",""))))</f>
        <v/>
      </c>
      <c r="S365" s="13"/>
      <c r="T365" s="13"/>
      <c r="U365" s="14"/>
    </row>
    <row r="366" customFormat="false" ht="15" hidden="false" customHeight="false" outlineLevel="0" collapsed="false">
      <c r="A366" s="13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9" t="str">
        <f aca="false">IF(K366="","",IFERROR(INDEX(Lists!$G$2:$G$5,MATCH(K366,Lists!$F$2:$F$5,0)),""))</f>
        <v/>
      </c>
      <c r="M366" s="14"/>
      <c r="N366" s="14"/>
      <c r="O366" s="14"/>
      <c r="P366" s="14"/>
      <c r="Q366" s="13"/>
      <c r="R366" s="17" t="str">
        <f aca="true">IF(OR(C366="",Q366=""),"",IF(OR(J366="Won",J366="Lost"),"",IF(Q366&lt;TODAY(),"OVERDUE",IF(Q366=TODAY(),"TODAY",""))))</f>
        <v/>
      </c>
      <c r="S366" s="13"/>
      <c r="T366" s="13"/>
      <c r="U366" s="14"/>
    </row>
    <row r="367" customFormat="false" ht="15" hidden="false" customHeight="false" outlineLevel="0" collapsed="false">
      <c r="A367" s="13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9" t="str">
        <f aca="false">IF(K367="","",IFERROR(INDEX(Lists!$G$2:$G$5,MATCH(K367,Lists!$F$2:$F$5,0)),""))</f>
        <v/>
      </c>
      <c r="M367" s="14"/>
      <c r="N367" s="14"/>
      <c r="O367" s="14"/>
      <c r="P367" s="14"/>
      <c r="Q367" s="13"/>
      <c r="R367" s="17" t="str">
        <f aca="true">IF(OR(C367="",Q367=""),"",IF(OR(J367="Won",J367="Lost"),"",IF(Q367&lt;TODAY(),"OVERDUE",IF(Q367=TODAY(),"TODAY",""))))</f>
        <v/>
      </c>
      <c r="S367" s="13"/>
      <c r="T367" s="13"/>
      <c r="U367" s="14"/>
    </row>
    <row r="368" customFormat="false" ht="15" hidden="false" customHeight="false" outlineLevel="0" collapsed="false">
      <c r="A368" s="13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9" t="str">
        <f aca="false">IF(K368="","",IFERROR(INDEX(Lists!$G$2:$G$5,MATCH(K368,Lists!$F$2:$F$5,0)),""))</f>
        <v/>
      </c>
      <c r="M368" s="14"/>
      <c r="N368" s="14"/>
      <c r="O368" s="14"/>
      <c r="P368" s="14"/>
      <c r="Q368" s="13"/>
      <c r="R368" s="17" t="str">
        <f aca="true">IF(OR(C368="",Q368=""),"",IF(OR(J368="Won",J368="Lost"),"",IF(Q368&lt;TODAY(),"OVERDUE",IF(Q368=TODAY(),"TODAY",""))))</f>
        <v/>
      </c>
      <c r="S368" s="13"/>
      <c r="T368" s="13"/>
      <c r="U368" s="14"/>
    </row>
    <row r="369" customFormat="false" ht="15" hidden="false" customHeight="false" outlineLevel="0" collapsed="false">
      <c r="A369" s="13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9" t="str">
        <f aca="false">IF(K369="","",IFERROR(INDEX(Lists!$G$2:$G$5,MATCH(K369,Lists!$F$2:$F$5,0)),""))</f>
        <v/>
      </c>
      <c r="M369" s="14"/>
      <c r="N369" s="14"/>
      <c r="O369" s="14"/>
      <c r="P369" s="14"/>
      <c r="Q369" s="13"/>
      <c r="R369" s="17" t="str">
        <f aca="true">IF(OR(C369="",Q369=""),"",IF(OR(J369="Won",J369="Lost"),"",IF(Q369&lt;TODAY(),"OVERDUE",IF(Q369=TODAY(),"TODAY",""))))</f>
        <v/>
      </c>
      <c r="S369" s="13"/>
      <c r="T369" s="13"/>
      <c r="U369" s="14"/>
    </row>
    <row r="370" customFormat="false" ht="15" hidden="false" customHeight="false" outlineLevel="0" collapsed="false">
      <c r="A370" s="13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9" t="str">
        <f aca="false">IF(K370="","",IFERROR(INDEX(Lists!$G$2:$G$5,MATCH(K370,Lists!$F$2:$F$5,0)),""))</f>
        <v/>
      </c>
      <c r="M370" s="14"/>
      <c r="N370" s="14"/>
      <c r="O370" s="14"/>
      <c r="P370" s="14"/>
      <c r="Q370" s="13"/>
      <c r="R370" s="17" t="str">
        <f aca="true">IF(OR(C370="",Q370=""),"",IF(OR(J370="Won",J370="Lost"),"",IF(Q370&lt;TODAY(),"OVERDUE",IF(Q370=TODAY(),"TODAY",""))))</f>
        <v/>
      </c>
      <c r="S370" s="13"/>
      <c r="T370" s="13"/>
      <c r="U370" s="14"/>
    </row>
    <row r="371" customFormat="false" ht="15" hidden="false" customHeight="false" outlineLevel="0" collapsed="false">
      <c r="A371" s="13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9" t="str">
        <f aca="false">IF(K371="","",IFERROR(INDEX(Lists!$G$2:$G$5,MATCH(K371,Lists!$F$2:$F$5,0)),""))</f>
        <v/>
      </c>
      <c r="M371" s="14"/>
      <c r="N371" s="14"/>
      <c r="O371" s="14"/>
      <c r="P371" s="14"/>
      <c r="Q371" s="13"/>
      <c r="R371" s="17" t="str">
        <f aca="true">IF(OR(C371="",Q371=""),"",IF(OR(J371="Won",J371="Lost"),"",IF(Q371&lt;TODAY(),"OVERDUE",IF(Q371=TODAY(),"TODAY",""))))</f>
        <v/>
      </c>
      <c r="S371" s="13"/>
      <c r="T371" s="13"/>
      <c r="U371" s="14"/>
    </row>
    <row r="372" customFormat="false" ht="15" hidden="false" customHeight="false" outlineLevel="0" collapsed="false">
      <c r="A372" s="13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9" t="str">
        <f aca="false">IF(K372="","",IFERROR(INDEX(Lists!$G$2:$G$5,MATCH(K372,Lists!$F$2:$F$5,0)),""))</f>
        <v/>
      </c>
      <c r="M372" s="14"/>
      <c r="N372" s="14"/>
      <c r="O372" s="14"/>
      <c r="P372" s="14"/>
      <c r="Q372" s="13"/>
      <c r="R372" s="17" t="str">
        <f aca="true">IF(OR(C372="",Q372=""),"",IF(OR(J372="Won",J372="Lost"),"",IF(Q372&lt;TODAY(),"OVERDUE",IF(Q372=TODAY(),"TODAY",""))))</f>
        <v/>
      </c>
      <c r="S372" s="13"/>
      <c r="T372" s="13"/>
      <c r="U372" s="14"/>
    </row>
    <row r="373" customFormat="false" ht="15" hidden="false" customHeight="false" outlineLevel="0" collapsed="false">
      <c r="A373" s="13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9" t="str">
        <f aca="false">IF(K373="","",IFERROR(INDEX(Lists!$G$2:$G$5,MATCH(K373,Lists!$F$2:$F$5,0)),""))</f>
        <v/>
      </c>
      <c r="M373" s="14"/>
      <c r="N373" s="14"/>
      <c r="O373" s="14"/>
      <c r="P373" s="14"/>
      <c r="Q373" s="13"/>
      <c r="R373" s="17" t="str">
        <f aca="true">IF(OR(C373="",Q373=""),"",IF(OR(J373="Won",J373="Lost"),"",IF(Q373&lt;TODAY(),"OVERDUE",IF(Q373=TODAY(),"TODAY",""))))</f>
        <v/>
      </c>
      <c r="S373" s="13"/>
      <c r="T373" s="13"/>
      <c r="U373" s="14"/>
    </row>
    <row r="374" customFormat="false" ht="15" hidden="false" customHeight="false" outlineLevel="0" collapsed="false">
      <c r="A374" s="13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9" t="str">
        <f aca="false">IF(K374="","",IFERROR(INDEX(Lists!$G$2:$G$5,MATCH(K374,Lists!$F$2:$F$5,0)),""))</f>
        <v/>
      </c>
      <c r="M374" s="14"/>
      <c r="N374" s="14"/>
      <c r="O374" s="14"/>
      <c r="P374" s="14"/>
      <c r="Q374" s="13"/>
      <c r="R374" s="17" t="str">
        <f aca="true">IF(OR(C374="",Q374=""),"",IF(OR(J374="Won",J374="Lost"),"",IF(Q374&lt;TODAY(),"OVERDUE",IF(Q374=TODAY(),"TODAY",""))))</f>
        <v/>
      </c>
      <c r="S374" s="13"/>
      <c r="T374" s="13"/>
      <c r="U374" s="14"/>
    </row>
    <row r="375" customFormat="false" ht="15" hidden="false" customHeight="false" outlineLevel="0" collapsed="false">
      <c r="A375" s="13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9" t="str">
        <f aca="false">IF(K375="","",IFERROR(INDEX(Lists!$G$2:$G$5,MATCH(K375,Lists!$F$2:$F$5,0)),""))</f>
        <v/>
      </c>
      <c r="M375" s="14"/>
      <c r="N375" s="14"/>
      <c r="O375" s="14"/>
      <c r="P375" s="14"/>
      <c r="Q375" s="13"/>
      <c r="R375" s="17" t="str">
        <f aca="true">IF(OR(C375="",Q375=""),"",IF(OR(J375="Won",J375="Lost"),"",IF(Q375&lt;TODAY(),"OVERDUE",IF(Q375=TODAY(),"TODAY",""))))</f>
        <v/>
      </c>
      <c r="S375" s="13"/>
      <c r="T375" s="13"/>
      <c r="U375" s="14"/>
    </row>
    <row r="376" customFormat="false" ht="15" hidden="false" customHeight="false" outlineLevel="0" collapsed="false">
      <c r="A376" s="13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9" t="str">
        <f aca="false">IF(K376="","",IFERROR(INDEX(Lists!$G$2:$G$5,MATCH(K376,Lists!$F$2:$F$5,0)),""))</f>
        <v/>
      </c>
      <c r="M376" s="14"/>
      <c r="N376" s="14"/>
      <c r="O376" s="14"/>
      <c r="P376" s="14"/>
      <c r="Q376" s="13"/>
      <c r="R376" s="17" t="str">
        <f aca="true">IF(OR(C376="",Q376=""),"",IF(OR(J376="Won",J376="Lost"),"",IF(Q376&lt;TODAY(),"OVERDUE",IF(Q376=TODAY(),"TODAY",""))))</f>
        <v/>
      </c>
      <c r="S376" s="13"/>
      <c r="T376" s="13"/>
      <c r="U376" s="14"/>
    </row>
    <row r="377" customFormat="false" ht="15" hidden="false" customHeight="false" outlineLevel="0" collapsed="false">
      <c r="A377" s="13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9" t="str">
        <f aca="false">IF(K377="","",IFERROR(INDEX(Lists!$G$2:$G$5,MATCH(K377,Lists!$F$2:$F$5,0)),""))</f>
        <v/>
      </c>
      <c r="M377" s="14"/>
      <c r="N377" s="14"/>
      <c r="O377" s="14"/>
      <c r="P377" s="14"/>
      <c r="Q377" s="13"/>
      <c r="R377" s="17" t="str">
        <f aca="true">IF(OR(C377="",Q377=""),"",IF(OR(J377="Won",J377="Lost"),"",IF(Q377&lt;TODAY(),"OVERDUE",IF(Q377=TODAY(),"TODAY",""))))</f>
        <v/>
      </c>
      <c r="S377" s="13"/>
      <c r="T377" s="13"/>
      <c r="U377" s="14"/>
    </row>
    <row r="378" customFormat="false" ht="15" hidden="false" customHeight="false" outlineLevel="0" collapsed="false">
      <c r="A378" s="13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9" t="str">
        <f aca="false">IF(K378="","",IFERROR(INDEX(Lists!$G$2:$G$5,MATCH(K378,Lists!$F$2:$F$5,0)),""))</f>
        <v/>
      </c>
      <c r="M378" s="14"/>
      <c r="N378" s="14"/>
      <c r="O378" s="14"/>
      <c r="P378" s="14"/>
      <c r="Q378" s="13"/>
      <c r="R378" s="17" t="str">
        <f aca="true">IF(OR(C378="",Q378=""),"",IF(OR(J378="Won",J378="Lost"),"",IF(Q378&lt;TODAY(),"OVERDUE",IF(Q378=TODAY(),"TODAY",""))))</f>
        <v/>
      </c>
      <c r="S378" s="13"/>
      <c r="T378" s="13"/>
      <c r="U378" s="14"/>
    </row>
    <row r="379" customFormat="false" ht="15" hidden="false" customHeight="false" outlineLevel="0" collapsed="false">
      <c r="A379" s="13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9" t="str">
        <f aca="false">IF(K379="","",IFERROR(INDEX(Lists!$G$2:$G$5,MATCH(K379,Lists!$F$2:$F$5,0)),""))</f>
        <v/>
      </c>
      <c r="M379" s="14"/>
      <c r="N379" s="14"/>
      <c r="O379" s="14"/>
      <c r="P379" s="14"/>
      <c r="Q379" s="13"/>
      <c r="R379" s="17" t="str">
        <f aca="true">IF(OR(C379="",Q379=""),"",IF(OR(J379="Won",J379="Lost"),"",IF(Q379&lt;TODAY(),"OVERDUE",IF(Q379=TODAY(),"TODAY",""))))</f>
        <v/>
      </c>
      <c r="S379" s="13"/>
      <c r="T379" s="13"/>
      <c r="U379" s="14"/>
    </row>
    <row r="380" customFormat="false" ht="15" hidden="false" customHeight="false" outlineLevel="0" collapsed="false">
      <c r="A380" s="13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9" t="str">
        <f aca="false">IF(K380="","",IFERROR(INDEX(Lists!$G$2:$G$5,MATCH(K380,Lists!$F$2:$F$5,0)),""))</f>
        <v/>
      </c>
      <c r="M380" s="14"/>
      <c r="N380" s="14"/>
      <c r="O380" s="14"/>
      <c r="P380" s="14"/>
      <c r="Q380" s="13"/>
      <c r="R380" s="17" t="str">
        <f aca="true">IF(OR(C380="",Q380=""),"",IF(OR(J380="Won",J380="Lost"),"",IF(Q380&lt;TODAY(),"OVERDUE",IF(Q380=TODAY(),"TODAY",""))))</f>
        <v/>
      </c>
      <c r="S380" s="13"/>
      <c r="T380" s="13"/>
      <c r="U380" s="14"/>
    </row>
    <row r="381" customFormat="false" ht="15" hidden="false" customHeight="false" outlineLevel="0" collapsed="false">
      <c r="A381" s="13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9" t="str">
        <f aca="false">IF(K381="","",IFERROR(INDEX(Lists!$G$2:$G$5,MATCH(K381,Lists!$F$2:$F$5,0)),""))</f>
        <v/>
      </c>
      <c r="M381" s="14"/>
      <c r="N381" s="14"/>
      <c r="O381" s="14"/>
      <c r="P381" s="14"/>
      <c r="Q381" s="13"/>
      <c r="R381" s="17" t="str">
        <f aca="true">IF(OR(C381="",Q381=""),"",IF(OR(J381="Won",J381="Lost"),"",IF(Q381&lt;TODAY(),"OVERDUE",IF(Q381=TODAY(),"TODAY",""))))</f>
        <v/>
      </c>
      <c r="S381" s="13"/>
      <c r="T381" s="13"/>
      <c r="U381" s="14"/>
    </row>
    <row r="382" customFormat="false" ht="15" hidden="false" customHeight="false" outlineLevel="0" collapsed="false">
      <c r="A382" s="13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9" t="str">
        <f aca="false">IF(K382="","",IFERROR(INDEX(Lists!$G$2:$G$5,MATCH(K382,Lists!$F$2:$F$5,0)),""))</f>
        <v/>
      </c>
      <c r="M382" s="14"/>
      <c r="N382" s="14"/>
      <c r="O382" s="14"/>
      <c r="P382" s="14"/>
      <c r="Q382" s="13"/>
      <c r="R382" s="17" t="str">
        <f aca="true">IF(OR(C382="",Q382=""),"",IF(OR(J382="Won",J382="Lost"),"",IF(Q382&lt;TODAY(),"OVERDUE",IF(Q382=TODAY(),"TODAY",""))))</f>
        <v/>
      </c>
      <c r="S382" s="13"/>
      <c r="T382" s="13"/>
      <c r="U382" s="14"/>
    </row>
    <row r="383" customFormat="false" ht="15" hidden="false" customHeight="false" outlineLevel="0" collapsed="false">
      <c r="A383" s="13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9" t="str">
        <f aca="false">IF(K383="","",IFERROR(INDEX(Lists!$G$2:$G$5,MATCH(K383,Lists!$F$2:$F$5,0)),""))</f>
        <v/>
      </c>
      <c r="M383" s="14"/>
      <c r="N383" s="14"/>
      <c r="O383" s="14"/>
      <c r="P383" s="14"/>
      <c r="Q383" s="13"/>
      <c r="R383" s="17" t="str">
        <f aca="true">IF(OR(C383="",Q383=""),"",IF(OR(J383="Won",J383="Lost"),"",IF(Q383&lt;TODAY(),"OVERDUE",IF(Q383=TODAY(),"TODAY",""))))</f>
        <v/>
      </c>
      <c r="S383" s="13"/>
      <c r="T383" s="13"/>
      <c r="U383" s="14"/>
    </row>
    <row r="384" customFormat="false" ht="15" hidden="false" customHeight="false" outlineLevel="0" collapsed="false">
      <c r="A384" s="13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9" t="str">
        <f aca="false">IF(K384="","",IFERROR(INDEX(Lists!$G$2:$G$5,MATCH(K384,Lists!$F$2:$F$5,0)),""))</f>
        <v/>
      </c>
      <c r="M384" s="14"/>
      <c r="N384" s="14"/>
      <c r="O384" s="14"/>
      <c r="P384" s="14"/>
      <c r="Q384" s="13"/>
      <c r="R384" s="17" t="str">
        <f aca="true">IF(OR(C384="",Q384=""),"",IF(OR(J384="Won",J384="Lost"),"",IF(Q384&lt;TODAY(),"OVERDUE",IF(Q384=TODAY(),"TODAY",""))))</f>
        <v/>
      </c>
      <c r="S384" s="13"/>
      <c r="T384" s="13"/>
      <c r="U384" s="14"/>
    </row>
    <row r="385" customFormat="false" ht="15" hidden="false" customHeight="false" outlineLevel="0" collapsed="false">
      <c r="A385" s="13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9" t="str">
        <f aca="false">IF(K385="","",IFERROR(INDEX(Lists!$G$2:$G$5,MATCH(K385,Lists!$F$2:$F$5,0)),""))</f>
        <v/>
      </c>
      <c r="M385" s="14"/>
      <c r="N385" s="14"/>
      <c r="O385" s="14"/>
      <c r="P385" s="14"/>
      <c r="Q385" s="13"/>
      <c r="R385" s="17" t="str">
        <f aca="true">IF(OR(C385="",Q385=""),"",IF(OR(J385="Won",J385="Lost"),"",IF(Q385&lt;TODAY(),"OVERDUE",IF(Q385=TODAY(),"TODAY",""))))</f>
        <v/>
      </c>
      <c r="S385" s="13"/>
      <c r="T385" s="13"/>
      <c r="U385" s="14"/>
    </row>
    <row r="386" customFormat="false" ht="15" hidden="false" customHeight="false" outlineLevel="0" collapsed="false">
      <c r="A386" s="13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9" t="str">
        <f aca="false">IF(K386="","",IFERROR(INDEX(Lists!$G$2:$G$5,MATCH(K386,Lists!$F$2:$F$5,0)),""))</f>
        <v/>
      </c>
      <c r="M386" s="14"/>
      <c r="N386" s="14"/>
      <c r="O386" s="14"/>
      <c r="P386" s="14"/>
      <c r="Q386" s="13"/>
      <c r="R386" s="17" t="str">
        <f aca="true">IF(OR(C386="",Q386=""),"",IF(OR(J386="Won",J386="Lost"),"",IF(Q386&lt;TODAY(),"OVERDUE",IF(Q386=TODAY(),"TODAY",""))))</f>
        <v/>
      </c>
      <c r="S386" s="13"/>
      <c r="T386" s="13"/>
      <c r="U386" s="14"/>
    </row>
    <row r="387" customFormat="false" ht="15" hidden="false" customHeight="false" outlineLevel="0" collapsed="false">
      <c r="A387" s="13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9" t="str">
        <f aca="false">IF(K387="","",IFERROR(INDEX(Lists!$G$2:$G$5,MATCH(K387,Lists!$F$2:$F$5,0)),""))</f>
        <v/>
      </c>
      <c r="M387" s="14"/>
      <c r="N387" s="14"/>
      <c r="O387" s="14"/>
      <c r="P387" s="14"/>
      <c r="Q387" s="13"/>
      <c r="R387" s="17" t="str">
        <f aca="true">IF(OR(C387="",Q387=""),"",IF(OR(J387="Won",J387="Lost"),"",IF(Q387&lt;TODAY(),"OVERDUE",IF(Q387=TODAY(),"TODAY",""))))</f>
        <v/>
      </c>
      <c r="S387" s="13"/>
      <c r="T387" s="13"/>
      <c r="U387" s="14"/>
    </row>
    <row r="388" customFormat="false" ht="15" hidden="false" customHeight="false" outlineLevel="0" collapsed="false">
      <c r="A388" s="13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9" t="str">
        <f aca="false">IF(K388="","",IFERROR(INDEX(Lists!$G$2:$G$5,MATCH(K388,Lists!$F$2:$F$5,0)),""))</f>
        <v/>
      </c>
      <c r="M388" s="14"/>
      <c r="N388" s="14"/>
      <c r="O388" s="14"/>
      <c r="P388" s="14"/>
      <c r="Q388" s="13"/>
      <c r="R388" s="17" t="str">
        <f aca="true">IF(OR(C388="",Q388=""),"",IF(OR(J388="Won",J388="Lost"),"",IF(Q388&lt;TODAY(),"OVERDUE",IF(Q388=TODAY(),"TODAY",""))))</f>
        <v/>
      </c>
      <c r="S388" s="13"/>
      <c r="T388" s="13"/>
      <c r="U388" s="14"/>
    </row>
    <row r="389" customFormat="false" ht="15" hidden="false" customHeight="false" outlineLevel="0" collapsed="false">
      <c r="A389" s="13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9" t="str">
        <f aca="false">IF(K389="","",IFERROR(INDEX(Lists!$G$2:$G$5,MATCH(K389,Lists!$F$2:$F$5,0)),""))</f>
        <v/>
      </c>
      <c r="M389" s="14"/>
      <c r="N389" s="14"/>
      <c r="O389" s="14"/>
      <c r="P389" s="14"/>
      <c r="Q389" s="13"/>
      <c r="R389" s="17" t="str">
        <f aca="true">IF(OR(C389="",Q389=""),"",IF(OR(J389="Won",J389="Lost"),"",IF(Q389&lt;TODAY(),"OVERDUE",IF(Q389=TODAY(),"TODAY",""))))</f>
        <v/>
      </c>
      <c r="S389" s="13"/>
      <c r="T389" s="13"/>
      <c r="U389" s="14"/>
    </row>
    <row r="390" customFormat="false" ht="15" hidden="false" customHeight="false" outlineLevel="0" collapsed="false">
      <c r="A390" s="13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9" t="str">
        <f aca="false">IF(K390="","",IFERROR(INDEX(Lists!$G$2:$G$5,MATCH(K390,Lists!$F$2:$F$5,0)),""))</f>
        <v/>
      </c>
      <c r="M390" s="14"/>
      <c r="N390" s="14"/>
      <c r="O390" s="14"/>
      <c r="P390" s="14"/>
      <c r="Q390" s="13"/>
      <c r="R390" s="17" t="str">
        <f aca="true">IF(OR(C390="",Q390=""),"",IF(OR(J390="Won",J390="Lost"),"",IF(Q390&lt;TODAY(),"OVERDUE",IF(Q390=TODAY(),"TODAY",""))))</f>
        <v/>
      </c>
      <c r="S390" s="13"/>
      <c r="T390" s="13"/>
      <c r="U390" s="14"/>
    </row>
    <row r="391" customFormat="false" ht="15" hidden="false" customHeight="false" outlineLevel="0" collapsed="false">
      <c r="A391" s="13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9" t="str">
        <f aca="false">IF(K391="","",IFERROR(INDEX(Lists!$G$2:$G$5,MATCH(K391,Lists!$F$2:$F$5,0)),""))</f>
        <v/>
      </c>
      <c r="M391" s="14"/>
      <c r="N391" s="14"/>
      <c r="O391" s="14"/>
      <c r="P391" s="14"/>
      <c r="Q391" s="13"/>
      <c r="R391" s="17" t="str">
        <f aca="true">IF(OR(C391="",Q391=""),"",IF(OR(J391="Won",J391="Lost"),"",IF(Q391&lt;TODAY(),"OVERDUE",IF(Q391=TODAY(),"TODAY",""))))</f>
        <v/>
      </c>
      <c r="S391" s="13"/>
      <c r="T391" s="13"/>
      <c r="U391" s="14"/>
    </row>
    <row r="392" customFormat="false" ht="15" hidden="false" customHeight="false" outlineLevel="0" collapsed="false">
      <c r="A392" s="13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9" t="str">
        <f aca="false">IF(K392="","",IFERROR(INDEX(Lists!$G$2:$G$5,MATCH(K392,Lists!$F$2:$F$5,0)),""))</f>
        <v/>
      </c>
      <c r="M392" s="14"/>
      <c r="N392" s="14"/>
      <c r="O392" s="14"/>
      <c r="P392" s="14"/>
      <c r="Q392" s="13"/>
      <c r="R392" s="17" t="str">
        <f aca="true">IF(OR(C392="",Q392=""),"",IF(OR(J392="Won",J392="Lost"),"",IF(Q392&lt;TODAY(),"OVERDUE",IF(Q392=TODAY(),"TODAY",""))))</f>
        <v/>
      </c>
      <c r="S392" s="13"/>
      <c r="T392" s="13"/>
      <c r="U392" s="14"/>
    </row>
    <row r="393" customFormat="false" ht="15" hidden="false" customHeight="false" outlineLevel="0" collapsed="false">
      <c r="A393" s="13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9" t="str">
        <f aca="false">IF(K393="","",IFERROR(INDEX(Lists!$G$2:$G$5,MATCH(K393,Lists!$F$2:$F$5,0)),""))</f>
        <v/>
      </c>
      <c r="M393" s="14"/>
      <c r="N393" s="14"/>
      <c r="O393" s="14"/>
      <c r="P393" s="14"/>
      <c r="Q393" s="13"/>
      <c r="R393" s="17" t="str">
        <f aca="true">IF(OR(C393="",Q393=""),"",IF(OR(J393="Won",J393="Lost"),"",IF(Q393&lt;TODAY(),"OVERDUE",IF(Q393=TODAY(),"TODAY",""))))</f>
        <v/>
      </c>
      <c r="S393" s="13"/>
      <c r="T393" s="13"/>
      <c r="U393" s="14"/>
    </row>
    <row r="394" customFormat="false" ht="15" hidden="false" customHeight="false" outlineLevel="0" collapsed="false">
      <c r="A394" s="13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9" t="str">
        <f aca="false">IF(K394="","",IFERROR(INDEX(Lists!$G$2:$G$5,MATCH(K394,Lists!$F$2:$F$5,0)),""))</f>
        <v/>
      </c>
      <c r="M394" s="14"/>
      <c r="N394" s="14"/>
      <c r="O394" s="14"/>
      <c r="P394" s="14"/>
      <c r="Q394" s="13"/>
      <c r="R394" s="17" t="str">
        <f aca="true">IF(OR(C394="",Q394=""),"",IF(OR(J394="Won",J394="Lost"),"",IF(Q394&lt;TODAY(),"OVERDUE",IF(Q394=TODAY(),"TODAY",""))))</f>
        <v/>
      </c>
      <c r="S394" s="13"/>
      <c r="T394" s="13"/>
      <c r="U394" s="14"/>
    </row>
    <row r="395" customFormat="false" ht="15" hidden="false" customHeight="false" outlineLevel="0" collapsed="false">
      <c r="A395" s="13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9" t="str">
        <f aca="false">IF(K395="","",IFERROR(INDEX(Lists!$G$2:$G$5,MATCH(K395,Lists!$F$2:$F$5,0)),""))</f>
        <v/>
      </c>
      <c r="M395" s="14"/>
      <c r="N395" s="14"/>
      <c r="O395" s="14"/>
      <c r="P395" s="14"/>
      <c r="Q395" s="13"/>
      <c r="R395" s="17" t="str">
        <f aca="true">IF(OR(C395="",Q395=""),"",IF(OR(J395="Won",J395="Lost"),"",IF(Q395&lt;TODAY(),"OVERDUE",IF(Q395=TODAY(),"TODAY",""))))</f>
        <v/>
      </c>
      <c r="S395" s="13"/>
      <c r="T395" s="13"/>
      <c r="U395" s="14"/>
    </row>
    <row r="396" customFormat="false" ht="15" hidden="false" customHeight="false" outlineLevel="0" collapsed="false">
      <c r="A396" s="13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9" t="str">
        <f aca="false">IF(K396="","",IFERROR(INDEX(Lists!$G$2:$G$5,MATCH(K396,Lists!$F$2:$F$5,0)),""))</f>
        <v/>
      </c>
      <c r="M396" s="14"/>
      <c r="N396" s="14"/>
      <c r="O396" s="14"/>
      <c r="P396" s="14"/>
      <c r="Q396" s="13"/>
      <c r="R396" s="17" t="str">
        <f aca="true">IF(OR(C396="",Q396=""),"",IF(OR(J396="Won",J396="Lost"),"",IF(Q396&lt;TODAY(),"OVERDUE",IF(Q396=TODAY(),"TODAY",""))))</f>
        <v/>
      </c>
      <c r="S396" s="13"/>
      <c r="T396" s="13"/>
      <c r="U396" s="14"/>
    </row>
    <row r="397" customFormat="false" ht="15" hidden="false" customHeight="false" outlineLevel="0" collapsed="false">
      <c r="A397" s="13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9" t="str">
        <f aca="false">IF(K397="","",IFERROR(INDEX(Lists!$G$2:$G$5,MATCH(K397,Lists!$F$2:$F$5,0)),""))</f>
        <v/>
      </c>
      <c r="M397" s="14"/>
      <c r="N397" s="14"/>
      <c r="O397" s="14"/>
      <c r="P397" s="14"/>
      <c r="Q397" s="13"/>
      <c r="R397" s="17" t="str">
        <f aca="true">IF(OR(C397="",Q397=""),"",IF(OR(J397="Won",J397="Lost"),"",IF(Q397&lt;TODAY(),"OVERDUE",IF(Q397=TODAY(),"TODAY",""))))</f>
        <v/>
      </c>
      <c r="S397" s="13"/>
      <c r="T397" s="13"/>
      <c r="U397" s="14"/>
    </row>
    <row r="398" customFormat="false" ht="15" hidden="false" customHeight="false" outlineLevel="0" collapsed="false">
      <c r="A398" s="13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9" t="str">
        <f aca="false">IF(K398="","",IFERROR(INDEX(Lists!$G$2:$G$5,MATCH(K398,Lists!$F$2:$F$5,0)),""))</f>
        <v/>
      </c>
      <c r="M398" s="14"/>
      <c r="N398" s="14"/>
      <c r="O398" s="14"/>
      <c r="P398" s="14"/>
      <c r="Q398" s="13"/>
      <c r="R398" s="17" t="str">
        <f aca="true">IF(OR(C398="",Q398=""),"",IF(OR(J398="Won",J398="Lost"),"",IF(Q398&lt;TODAY(),"OVERDUE",IF(Q398=TODAY(),"TODAY",""))))</f>
        <v/>
      </c>
      <c r="S398" s="13"/>
      <c r="T398" s="13"/>
      <c r="U398" s="14"/>
    </row>
    <row r="399" customFormat="false" ht="15" hidden="false" customHeight="false" outlineLevel="0" collapsed="false">
      <c r="A399" s="13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9" t="str">
        <f aca="false">IF(K399="","",IFERROR(INDEX(Lists!$G$2:$G$5,MATCH(K399,Lists!$F$2:$F$5,0)),""))</f>
        <v/>
      </c>
      <c r="M399" s="14"/>
      <c r="N399" s="14"/>
      <c r="O399" s="14"/>
      <c r="P399" s="14"/>
      <c r="Q399" s="13"/>
      <c r="R399" s="17" t="str">
        <f aca="true">IF(OR(C399="",Q399=""),"",IF(OR(J399="Won",J399="Lost"),"",IF(Q399&lt;TODAY(),"OVERDUE",IF(Q399=TODAY(),"TODAY",""))))</f>
        <v/>
      </c>
      <c r="S399" s="13"/>
      <c r="T399" s="13"/>
      <c r="U399" s="14"/>
    </row>
    <row r="400" customFormat="false" ht="15" hidden="false" customHeight="false" outlineLevel="0" collapsed="false">
      <c r="A400" s="13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9" t="str">
        <f aca="false">IF(K400="","",IFERROR(INDEX(Lists!$G$2:$G$5,MATCH(K400,Lists!$F$2:$F$5,0)),""))</f>
        <v/>
      </c>
      <c r="M400" s="14"/>
      <c r="N400" s="14"/>
      <c r="O400" s="14"/>
      <c r="P400" s="14"/>
      <c r="Q400" s="13"/>
      <c r="R400" s="17" t="str">
        <f aca="true">IF(OR(C400="",Q400=""),"",IF(OR(J400="Won",J400="Lost"),"",IF(Q400&lt;TODAY(),"OVERDUE",IF(Q400=TODAY(),"TODAY",""))))</f>
        <v/>
      </c>
      <c r="S400" s="13"/>
      <c r="T400" s="13"/>
      <c r="U400" s="14"/>
    </row>
    <row r="401" customFormat="false" ht="15" hidden="false" customHeight="false" outlineLevel="0" collapsed="false">
      <c r="A401" s="13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9" t="str">
        <f aca="false">IF(K401="","",IFERROR(INDEX(Lists!$G$2:$G$5,MATCH(K401,Lists!$F$2:$F$5,0)),""))</f>
        <v/>
      </c>
      <c r="M401" s="14"/>
      <c r="N401" s="14"/>
      <c r="O401" s="14"/>
      <c r="P401" s="14"/>
      <c r="Q401" s="13"/>
      <c r="R401" s="17" t="str">
        <f aca="true">IF(OR(C401="",Q401=""),"",IF(OR(J401="Won",J401="Lost"),"",IF(Q401&lt;TODAY(),"OVERDUE",IF(Q401=TODAY(),"TODAY",""))))</f>
        <v/>
      </c>
      <c r="S401" s="13"/>
      <c r="T401" s="13"/>
      <c r="U401" s="14"/>
    </row>
    <row r="402" customFormat="false" ht="15" hidden="false" customHeight="false" outlineLevel="0" collapsed="false">
      <c r="A402" s="13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9" t="str">
        <f aca="false">IF(K402="","",IFERROR(INDEX(Lists!$G$2:$G$5,MATCH(K402,Lists!$F$2:$F$5,0)),""))</f>
        <v/>
      </c>
      <c r="M402" s="14"/>
      <c r="N402" s="14"/>
      <c r="O402" s="14"/>
      <c r="P402" s="14"/>
      <c r="Q402" s="13"/>
      <c r="R402" s="17" t="str">
        <f aca="true">IF(OR(C402="",Q402=""),"",IF(OR(J402="Won",J402="Lost"),"",IF(Q402&lt;TODAY(),"OVERDUE",IF(Q402=TODAY(),"TODAY",""))))</f>
        <v/>
      </c>
      <c r="S402" s="13"/>
      <c r="T402" s="13"/>
      <c r="U402" s="14"/>
    </row>
    <row r="403" customFormat="false" ht="15" hidden="false" customHeight="false" outlineLevel="0" collapsed="false">
      <c r="A403" s="13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9" t="str">
        <f aca="false">IF(K403="","",IFERROR(INDEX(Lists!$G$2:$G$5,MATCH(K403,Lists!$F$2:$F$5,0)),""))</f>
        <v/>
      </c>
      <c r="M403" s="14"/>
      <c r="N403" s="14"/>
      <c r="O403" s="14"/>
      <c r="P403" s="14"/>
      <c r="Q403" s="13"/>
      <c r="R403" s="17" t="str">
        <f aca="true">IF(OR(C403="",Q403=""),"",IF(OR(J403="Won",J403="Lost"),"",IF(Q403&lt;TODAY(),"OVERDUE",IF(Q403=TODAY(),"TODAY",""))))</f>
        <v/>
      </c>
      <c r="S403" s="13"/>
      <c r="T403" s="13"/>
      <c r="U403" s="14"/>
    </row>
    <row r="404" customFormat="false" ht="15" hidden="false" customHeight="false" outlineLevel="0" collapsed="false">
      <c r="A404" s="13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9" t="str">
        <f aca="false">IF(K404="","",IFERROR(INDEX(Lists!$G$2:$G$5,MATCH(K404,Lists!$F$2:$F$5,0)),""))</f>
        <v/>
      </c>
      <c r="M404" s="14"/>
      <c r="N404" s="14"/>
      <c r="O404" s="14"/>
      <c r="P404" s="14"/>
      <c r="Q404" s="13"/>
      <c r="R404" s="17" t="str">
        <f aca="true">IF(OR(C404="",Q404=""),"",IF(OR(J404="Won",J404="Lost"),"",IF(Q404&lt;TODAY(),"OVERDUE",IF(Q404=TODAY(),"TODAY",""))))</f>
        <v/>
      </c>
      <c r="S404" s="13"/>
      <c r="T404" s="13"/>
      <c r="U404" s="14"/>
    </row>
    <row r="405" customFormat="false" ht="15" hidden="false" customHeight="false" outlineLevel="0" collapsed="false">
      <c r="A405" s="13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9" t="str">
        <f aca="false">IF(K405="","",IFERROR(INDEX(Lists!$G$2:$G$5,MATCH(K405,Lists!$F$2:$F$5,0)),""))</f>
        <v/>
      </c>
      <c r="M405" s="14"/>
      <c r="N405" s="14"/>
      <c r="O405" s="14"/>
      <c r="P405" s="14"/>
      <c r="Q405" s="13"/>
      <c r="R405" s="17" t="str">
        <f aca="true">IF(OR(C405="",Q405=""),"",IF(OR(J405="Won",J405="Lost"),"",IF(Q405&lt;TODAY(),"OVERDUE",IF(Q405=TODAY(),"TODAY",""))))</f>
        <v/>
      </c>
      <c r="S405" s="13"/>
      <c r="T405" s="13"/>
      <c r="U405" s="14"/>
    </row>
    <row r="406" customFormat="false" ht="15" hidden="false" customHeight="false" outlineLevel="0" collapsed="false">
      <c r="A406" s="13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9" t="str">
        <f aca="false">IF(K406="","",IFERROR(INDEX(Lists!$G$2:$G$5,MATCH(K406,Lists!$F$2:$F$5,0)),""))</f>
        <v/>
      </c>
      <c r="M406" s="14"/>
      <c r="N406" s="14"/>
      <c r="O406" s="14"/>
      <c r="P406" s="14"/>
      <c r="Q406" s="13"/>
      <c r="R406" s="17" t="str">
        <f aca="true">IF(OR(C406="",Q406=""),"",IF(OR(J406="Won",J406="Lost"),"",IF(Q406&lt;TODAY(),"OVERDUE",IF(Q406=TODAY(),"TODAY",""))))</f>
        <v/>
      </c>
      <c r="S406" s="13"/>
      <c r="T406" s="13"/>
      <c r="U406" s="14"/>
    </row>
    <row r="407" customFormat="false" ht="15" hidden="false" customHeight="false" outlineLevel="0" collapsed="false">
      <c r="A407" s="13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9" t="str">
        <f aca="false">IF(K407="","",IFERROR(INDEX(Lists!$G$2:$G$5,MATCH(K407,Lists!$F$2:$F$5,0)),""))</f>
        <v/>
      </c>
      <c r="M407" s="14"/>
      <c r="N407" s="14"/>
      <c r="O407" s="14"/>
      <c r="P407" s="14"/>
      <c r="Q407" s="13"/>
      <c r="R407" s="17" t="str">
        <f aca="true">IF(OR(C407="",Q407=""),"",IF(OR(J407="Won",J407="Lost"),"",IF(Q407&lt;TODAY(),"OVERDUE",IF(Q407=TODAY(),"TODAY",""))))</f>
        <v/>
      </c>
      <c r="S407" s="13"/>
      <c r="T407" s="13"/>
      <c r="U407" s="14"/>
    </row>
    <row r="408" customFormat="false" ht="15" hidden="false" customHeight="false" outlineLevel="0" collapsed="false">
      <c r="A408" s="13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9" t="str">
        <f aca="false">IF(K408="","",IFERROR(INDEX(Lists!$G$2:$G$5,MATCH(K408,Lists!$F$2:$F$5,0)),""))</f>
        <v/>
      </c>
      <c r="M408" s="14"/>
      <c r="N408" s="14"/>
      <c r="O408" s="14"/>
      <c r="P408" s="14"/>
      <c r="Q408" s="13"/>
      <c r="R408" s="17" t="str">
        <f aca="true">IF(OR(C408="",Q408=""),"",IF(OR(J408="Won",J408="Lost"),"",IF(Q408&lt;TODAY(),"OVERDUE",IF(Q408=TODAY(),"TODAY",""))))</f>
        <v/>
      </c>
      <c r="S408" s="13"/>
      <c r="T408" s="13"/>
      <c r="U408" s="14"/>
    </row>
    <row r="409" customFormat="false" ht="15" hidden="false" customHeight="false" outlineLevel="0" collapsed="false">
      <c r="A409" s="13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9" t="str">
        <f aca="false">IF(K409="","",IFERROR(INDEX(Lists!$G$2:$G$5,MATCH(K409,Lists!$F$2:$F$5,0)),""))</f>
        <v/>
      </c>
      <c r="M409" s="14"/>
      <c r="N409" s="14"/>
      <c r="O409" s="14"/>
      <c r="P409" s="14"/>
      <c r="Q409" s="13"/>
      <c r="R409" s="17" t="str">
        <f aca="true">IF(OR(C409="",Q409=""),"",IF(OR(J409="Won",J409="Lost"),"",IF(Q409&lt;TODAY(),"OVERDUE",IF(Q409=TODAY(),"TODAY",""))))</f>
        <v/>
      </c>
      <c r="S409" s="13"/>
      <c r="T409" s="13"/>
      <c r="U409" s="14"/>
    </row>
    <row r="410" customFormat="false" ht="15" hidden="false" customHeight="false" outlineLevel="0" collapsed="false">
      <c r="A410" s="13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9" t="str">
        <f aca="false">IF(K410="","",IFERROR(INDEX(Lists!$G$2:$G$5,MATCH(K410,Lists!$F$2:$F$5,0)),""))</f>
        <v/>
      </c>
      <c r="M410" s="14"/>
      <c r="N410" s="14"/>
      <c r="O410" s="14"/>
      <c r="P410" s="14"/>
      <c r="Q410" s="13"/>
      <c r="R410" s="17" t="str">
        <f aca="true">IF(OR(C410="",Q410=""),"",IF(OR(J410="Won",J410="Lost"),"",IF(Q410&lt;TODAY(),"OVERDUE",IF(Q410=TODAY(),"TODAY",""))))</f>
        <v/>
      </c>
      <c r="S410" s="13"/>
      <c r="T410" s="13"/>
      <c r="U410" s="14"/>
    </row>
    <row r="411" customFormat="false" ht="15" hidden="false" customHeight="false" outlineLevel="0" collapsed="false">
      <c r="A411" s="13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9" t="str">
        <f aca="false">IF(K411="","",IFERROR(INDEX(Lists!$G$2:$G$5,MATCH(K411,Lists!$F$2:$F$5,0)),""))</f>
        <v/>
      </c>
      <c r="M411" s="14"/>
      <c r="N411" s="14"/>
      <c r="O411" s="14"/>
      <c r="P411" s="14"/>
      <c r="Q411" s="13"/>
      <c r="R411" s="17" t="str">
        <f aca="true">IF(OR(C411="",Q411=""),"",IF(OR(J411="Won",J411="Lost"),"",IF(Q411&lt;TODAY(),"OVERDUE",IF(Q411=TODAY(),"TODAY",""))))</f>
        <v/>
      </c>
      <c r="S411" s="13"/>
      <c r="T411" s="13"/>
      <c r="U411" s="14"/>
    </row>
    <row r="412" customFormat="false" ht="15" hidden="false" customHeight="false" outlineLevel="0" collapsed="false">
      <c r="A412" s="13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9" t="str">
        <f aca="false">IF(K412="","",IFERROR(INDEX(Lists!$G$2:$G$5,MATCH(K412,Lists!$F$2:$F$5,0)),""))</f>
        <v/>
      </c>
      <c r="M412" s="14"/>
      <c r="N412" s="14"/>
      <c r="O412" s="14"/>
      <c r="P412" s="14"/>
      <c r="Q412" s="13"/>
      <c r="R412" s="17" t="str">
        <f aca="true">IF(OR(C412="",Q412=""),"",IF(OR(J412="Won",J412="Lost"),"",IF(Q412&lt;TODAY(),"OVERDUE",IF(Q412=TODAY(),"TODAY",""))))</f>
        <v/>
      </c>
      <c r="S412" s="13"/>
      <c r="T412" s="13"/>
      <c r="U412" s="14"/>
    </row>
    <row r="413" customFormat="false" ht="15" hidden="false" customHeight="false" outlineLevel="0" collapsed="false">
      <c r="A413" s="13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9" t="str">
        <f aca="false">IF(K413="","",IFERROR(INDEX(Lists!$G$2:$G$5,MATCH(K413,Lists!$F$2:$F$5,0)),""))</f>
        <v/>
      </c>
      <c r="M413" s="14"/>
      <c r="N413" s="14"/>
      <c r="O413" s="14"/>
      <c r="P413" s="14"/>
      <c r="Q413" s="13"/>
      <c r="R413" s="17" t="str">
        <f aca="true">IF(OR(C413="",Q413=""),"",IF(OR(J413="Won",J413="Lost"),"",IF(Q413&lt;TODAY(),"OVERDUE",IF(Q413=TODAY(),"TODAY",""))))</f>
        <v/>
      </c>
      <c r="S413" s="13"/>
      <c r="T413" s="13"/>
      <c r="U413" s="14"/>
    </row>
    <row r="414" customFormat="false" ht="15" hidden="false" customHeight="false" outlineLevel="0" collapsed="false">
      <c r="A414" s="13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9" t="str">
        <f aca="false">IF(K414="","",IFERROR(INDEX(Lists!$G$2:$G$5,MATCH(K414,Lists!$F$2:$F$5,0)),""))</f>
        <v/>
      </c>
      <c r="M414" s="14"/>
      <c r="N414" s="14"/>
      <c r="O414" s="14"/>
      <c r="P414" s="14"/>
      <c r="Q414" s="13"/>
      <c r="R414" s="17" t="str">
        <f aca="true">IF(OR(C414="",Q414=""),"",IF(OR(J414="Won",J414="Lost"),"",IF(Q414&lt;TODAY(),"OVERDUE",IF(Q414=TODAY(),"TODAY",""))))</f>
        <v/>
      </c>
      <c r="S414" s="13"/>
      <c r="T414" s="13"/>
      <c r="U414" s="14"/>
    </row>
    <row r="415" customFormat="false" ht="15" hidden="false" customHeight="false" outlineLevel="0" collapsed="false">
      <c r="A415" s="13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9" t="str">
        <f aca="false">IF(K415="","",IFERROR(INDEX(Lists!$G$2:$G$5,MATCH(K415,Lists!$F$2:$F$5,0)),""))</f>
        <v/>
      </c>
      <c r="M415" s="14"/>
      <c r="N415" s="14"/>
      <c r="O415" s="14"/>
      <c r="P415" s="14"/>
      <c r="Q415" s="13"/>
      <c r="R415" s="17" t="str">
        <f aca="true">IF(OR(C415="",Q415=""),"",IF(OR(J415="Won",J415="Lost"),"",IF(Q415&lt;TODAY(),"OVERDUE",IF(Q415=TODAY(),"TODAY",""))))</f>
        <v/>
      </c>
      <c r="S415" s="13"/>
      <c r="T415" s="13"/>
      <c r="U415" s="14"/>
    </row>
    <row r="416" customFormat="false" ht="15" hidden="false" customHeight="false" outlineLevel="0" collapsed="false">
      <c r="A416" s="13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9" t="str">
        <f aca="false">IF(K416="","",IFERROR(INDEX(Lists!$G$2:$G$5,MATCH(K416,Lists!$F$2:$F$5,0)),""))</f>
        <v/>
      </c>
      <c r="M416" s="14"/>
      <c r="N416" s="14"/>
      <c r="O416" s="14"/>
      <c r="P416" s="14"/>
      <c r="Q416" s="13"/>
      <c r="R416" s="17" t="str">
        <f aca="true">IF(OR(C416="",Q416=""),"",IF(OR(J416="Won",J416="Lost"),"",IF(Q416&lt;TODAY(),"OVERDUE",IF(Q416=TODAY(),"TODAY",""))))</f>
        <v/>
      </c>
      <c r="S416" s="13"/>
      <c r="T416" s="13"/>
      <c r="U416" s="14"/>
    </row>
    <row r="417" customFormat="false" ht="15" hidden="false" customHeight="false" outlineLevel="0" collapsed="false">
      <c r="A417" s="13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9" t="str">
        <f aca="false">IF(K417="","",IFERROR(INDEX(Lists!$G$2:$G$5,MATCH(K417,Lists!$F$2:$F$5,0)),""))</f>
        <v/>
      </c>
      <c r="M417" s="14"/>
      <c r="N417" s="14"/>
      <c r="O417" s="14"/>
      <c r="P417" s="14"/>
      <c r="Q417" s="13"/>
      <c r="R417" s="17" t="str">
        <f aca="true">IF(OR(C417="",Q417=""),"",IF(OR(J417="Won",J417="Lost"),"",IF(Q417&lt;TODAY(),"OVERDUE",IF(Q417=TODAY(),"TODAY",""))))</f>
        <v/>
      </c>
      <c r="S417" s="13"/>
      <c r="T417" s="13"/>
      <c r="U417" s="14"/>
    </row>
    <row r="418" customFormat="false" ht="15" hidden="false" customHeight="false" outlineLevel="0" collapsed="false">
      <c r="A418" s="13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9" t="str">
        <f aca="false">IF(K418="","",IFERROR(INDEX(Lists!$G$2:$G$5,MATCH(K418,Lists!$F$2:$F$5,0)),""))</f>
        <v/>
      </c>
      <c r="M418" s="14"/>
      <c r="N418" s="14"/>
      <c r="O418" s="14"/>
      <c r="P418" s="14"/>
      <c r="Q418" s="13"/>
      <c r="R418" s="17" t="str">
        <f aca="true">IF(OR(C418="",Q418=""),"",IF(OR(J418="Won",J418="Lost"),"",IF(Q418&lt;TODAY(),"OVERDUE",IF(Q418=TODAY(),"TODAY",""))))</f>
        <v/>
      </c>
      <c r="S418" s="13"/>
      <c r="T418" s="13"/>
      <c r="U418" s="14"/>
    </row>
    <row r="419" customFormat="false" ht="15" hidden="false" customHeight="false" outlineLevel="0" collapsed="false">
      <c r="A419" s="13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9" t="str">
        <f aca="false">IF(K419="","",IFERROR(INDEX(Lists!$G$2:$G$5,MATCH(K419,Lists!$F$2:$F$5,0)),""))</f>
        <v/>
      </c>
      <c r="M419" s="14"/>
      <c r="N419" s="14"/>
      <c r="O419" s="14"/>
      <c r="P419" s="14"/>
      <c r="Q419" s="13"/>
      <c r="R419" s="17" t="str">
        <f aca="true">IF(OR(C419="",Q419=""),"",IF(OR(J419="Won",J419="Lost"),"",IF(Q419&lt;TODAY(),"OVERDUE",IF(Q419=TODAY(),"TODAY",""))))</f>
        <v/>
      </c>
      <c r="S419" s="13"/>
      <c r="T419" s="13"/>
      <c r="U419" s="14"/>
    </row>
    <row r="420" customFormat="false" ht="15" hidden="false" customHeight="false" outlineLevel="0" collapsed="false">
      <c r="A420" s="13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9" t="str">
        <f aca="false">IF(K420="","",IFERROR(INDEX(Lists!$G$2:$G$5,MATCH(K420,Lists!$F$2:$F$5,0)),""))</f>
        <v/>
      </c>
      <c r="M420" s="14"/>
      <c r="N420" s="14"/>
      <c r="O420" s="14"/>
      <c r="P420" s="14"/>
      <c r="Q420" s="13"/>
      <c r="R420" s="17" t="str">
        <f aca="true">IF(OR(C420="",Q420=""),"",IF(OR(J420="Won",J420="Lost"),"",IF(Q420&lt;TODAY(),"OVERDUE",IF(Q420=TODAY(),"TODAY",""))))</f>
        <v/>
      </c>
      <c r="S420" s="13"/>
      <c r="T420" s="13"/>
      <c r="U420" s="14"/>
    </row>
    <row r="421" customFormat="false" ht="15" hidden="false" customHeight="false" outlineLevel="0" collapsed="false">
      <c r="A421" s="13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9" t="str">
        <f aca="false">IF(K421="","",IFERROR(INDEX(Lists!$G$2:$G$5,MATCH(K421,Lists!$F$2:$F$5,0)),""))</f>
        <v/>
      </c>
      <c r="M421" s="14"/>
      <c r="N421" s="14"/>
      <c r="O421" s="14"/>
      <c r="P421" s="14"/>
      <c r="Q421" s="13"/>
      <c r="R421" s="17" t="str">
        <f aca="true">IF(OR(C421="",Q421=""),"",IF(OR(J421="Won",J421="Lost"),"",IF(Q421&lt;TODAY(),"OVERDUE",IF(Q421=TODAY(),"TODAY",""))))</f>
        <v/>
      </c>
      <c r="S421" s="13"/>
      <c r="T421" s="13"/>
      <c r="U421" s="14"/>
    </row>
    <row r="422" customFormat="false" ht="15" hidden="false" customHeight="false" outlineLevel="0" collapsed="false">
      <c r="A422" s="13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9" t="str">
        <f aca="false">IF(K422="","",IFERROR(INDEX(Lists!$G$2:$G$5,MATCH(K422,Lists!$F$2:$F$5,0)),""))</f>
        <v/>
      </c>
      <c r="M422" s="14"/>
      <c r="N422" s="14"/>
      <c r="O422" s="14"/>
      <c r="P422" s="14"/>
      <c r="Q422" s="13"/>
      <c r="R422" s="17" t="str">
        <f aca="true">IF(OR(C422="",Q422=""),"",IF(OR(J422="Won",J422="Lost"),"",IF(Q422&lt;TODAY(),"OVERDUE",IF(Q422=TODAY(),"TODAY",""))))</f>
        <v/>
      </c>
      <c r="S422" s="13"/>
      <c r="T422" s="13"/>
      <c r="U422" s="14"/>
    </row>
    <row r="423" customFormat="false" ht="15" hidden="false" customHeight="false" outlineLevel="0" collapsed="false">
      <c r="A423" s="13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9" t="str">
        <f aca="false">IF(K423="","",IFERROR(INDEX(Lists!$G$2:$G$5,MATCH(K423,Lists!$F$2:$F$5,0)),""))</f>
        <v/>
      </c>
      <c r="M423" s="14"/>
      <c r="N423" s="14"/>
      <c r="O423" s="14"/>
      <c r="P423" s="14"/>
      <c r="Q423" s="13"/>
      <c r="R423" s="17" t="str">
        <f aca="true">IF(OR(C423="",Q423=""),"",IF(OR(J423="Won",J423="Lost"),"",IF(Q423&lt;TODAY(),"OVERDUE",IF(Q423=TODAY(),"TODAY",""))))</f>
        <v/>
      </c>
      <c r="S423" s="13"/>
      <c r="T423" s="13"/>
      <c r="U423" s="14"/>
    </row>
    <row r="424" customFormat="false" ht="15" hidden="false" customHeight="false" outlineLevel="0" collapsed="false">
      <c r="A424" s="13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9" t="str">
        <f aca="false">IF(K424="","",IFERROR(INDEX(Lists!$G$2:$G$5,MATCH(K424,Lists!$F$2:$F$5,0)),""))</f>
        <v/>
      </c>
      <c r="M424" s="14"/>
      <c r="N424" s="14"/>
      <c r="O424" s="14"/>
      <c r="P424" s="14"/>
      <c r="Q424" s="13"/>
      <c r="R424" s="17" t="str">
        <f aca="true">IF(OR(C424="",Q424=""),"",IF(OR(J424="Won",J424="Lost"),"",IF(Q424&lt;TODAY(),"OVERDUE",IF(Q424=TODAY(),"TODAY",""))))</f>
        <v/>
      </c>
      <c r="S424" s="13"/>
      <c r="T424" s="13"/>
      <c r="U424" s="14"/>
    </row>
    <row r="425" customFormat="false" ht="15" hidden="false" customHeight="false" outlineLevel="0" collapsed="false">
      <c r="A425" s="13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9" t="str">
        <f aca="false">IF(K425="","",IFERROR(INDEX(Lists!$G$2:$G$5,MATCH(K425,Lists!$F$2:$F$5,0)),""))</f>
        <v/>
      </c>
      <c r="M425" s="14"/>
      <c r="N425" s="14"/>
      <c r="O425" s="14"/>
      <c r="P425" s="14"/>
      <c r="Q425" s="13"/>
      <c r="R425" s="17" t="str">
        <f aca="true">IF(OR(C425="",Q425=""),"",IF(OR(J425="Won",J425="Lost"),"",IF(Q425&lt;TODAY(),"OVERDUE",IF(Q425=TODAY(),"TODAY",""))))</f>
        <v/>
      </c>
      <c r="S425" s="13"/>
      <c r="T425" s="13"/>
      <c r="U425" s="14"/>
    </row>
    <row r="426" customFormat="false" ht="15" hidden="false" customHeight="false" outlineLevel="0" collapsed="false">
      <c r="A426" s="13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9" t="str">
        <f aca="false">IF(K426="","",IFERROR(INDEX(Lists!$G$2:$G$5,MATCH(K426,Lists!$F$2:$F$5,0)),""))</f>
        <v/>
      </c>
      <c r="M426" s="14"/>
      <c r="N426" s="14"/>
      <c r="O426" s="14"/>
      <c r="P426" s="14"/>
      <c r="Q426" s="13"/>
      <c r="R426" s="17" t="str">
        <f aca="true">IF(OR(C426="",Q426=""),"",IF(OR(J426="Won",J426="Lost"),"",IF(Q426&lt;TODAY(),"OVERDUE",IF(Q426=TODAY(),"TODAY",""))))</f>
        <v/>
      </c>
      <c r="S426" s="13"/>
      <c r="T426" s="13"/>
      <c r="U426" s="14"/>
    </row>
    <row r="427" customFormat="false" ht="15" hidden="false" customHeight="false" outlineLevel="0" collapsed="false">
      <c r="A427" s="13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9" t="str">
        <f aca="false">IF(K427="","",IFERROR(INDEX(Lists!$G$2:$G$5,MATCH(K427,Lists!$F$2:$F$5,0)),""))</f>
        <v/>
      </c>
      <c r="M427" s="14"/>
      <c r="N427" s="14"/>
      <c r="O427" s="14"/>
      <c r="P427" s="14"/>
      <c r="Q427" s="13"/>
      <c r="R427" s="17" t="str">
        <f aca="true">IF(OR(C427="",Q427=""),"",IF(OR(J427="Won",J427="Lost"),"",IF(Q427&lt;TODAY(),"OVERDUE",IF(Q427=TODAY(),"TODAY",""))))</f>
        <v/>
      </c>
      <c r="S427" s="13"/>
      <c r="T427" s="13"/>
      <c r="U427" s="14"/>
    </row>
    <row r="428" customFormat="false" ht="15" hidden="false" customHeight="false" outlineLevel="0" collapsed="false">
      <c r="A428" s="13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9" t="str">
        <f aca="false">IF(K428="","",IFERROR(INDEX(Lists!$G$2:$G$5,MATCH(K428,Lists!$F$2:$F$5,0)),""))</f>
        <v/>
      </c>
      <c r="M428" s="14"/>
      <c r="N428" s="14"/>
      <c r="O428" s="14"/>
      <c r="P428" s="14"/>
      <c r="Q428" s="13"/>
      <c r="R428" s="17" t="str">
        <f aca="true">IF(OR(C428="",Q428=""),"",IF(OR(J428="Won",J428="Lost"),"",IF(Q428&lt;TODAY(),"OVERDUE",IF(Q428=TODAY(),"TODAY",""))))</f>
        <v/>
      </c>
      <c r="S428" s="13"/>
      <c r="T428" s="13"/>
      <c r="U428" s="14"/>
    </row>
    <row r="429" customFormat="false" ht="15" hidden="false" customHeight="false" outlineLevel="0" collapsed="false">
      <c r="A429" s="13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9" t="str">
        <f aca="false">IF(K429="","",IFERROR(INDEX(Lists!$G$2:$G$5,MATCH(K429,Lists!$F$2:$F$5,0)),""))</f>
        <v/>
      </c>
      <c r="M429" s="14"/>
      <c r="N429" s="14"/>
      <c r="O429" s="14"/>
      <c r="P429" s="14"/>
      <c r="Q429" s="13"/>
      <c r="R429" s="17" t="str">
        <f aca="true">IF(OR(C429="",Q429=""),"",IF(OR(J429="Won",J429="Lost"),"",IF(Q429&lt;TODAY(),"OVERDUE",IF(Q429=TODAY(),"TODAY",""))))</f>
        <v/>
      </c>
      <c r="S429" s="13"/>
      <c r="T429" s="13"/>
      <c r="U429" s="14"/>
    </row>
    <row r="430" customFormat="false" ht="15" hidden="false" customHeight="false" outlineLevel="0" collapsed="false">
      <c r="A430" s="13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9" t="str">
        <f aca="false">IF(K430="","",IFERROR(INDEX(Lists!$G$2:$G$5,MATCH(K430,Lists!$F$2:$F$5,0)),""))</f>
        <v/>
      </c>
      <c r="M430" s="14"/>
      <c r="N430" s="14"/>
      <c r="O430" s="14"/>
      <c r="P430" s="14"/>
      <c r="Q430" s="13"/>
      <c r="R430" s="17" t="str">
        <f aca="true">IF(OR(C430="",Q430=""),"",IF(OR(J430="Won",J430="Lost"),"",IF(Q430&lt;TODAY(),"OVERDUE",IF(Q430=TODAY(),"TODAY",""))))</f>
        <v/>
      </c>
      <c r="S430" s="13"/>
      <c r="T430" s="13"/>
      <c r="U430" s="14"/>
    </row>
    <row r="431" customFormat="false" ht="15" hidden="false" customHeight="false" outlineLevel="0" collapsed="false">
      <c r="A431" s="13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9" t="str">
        <f aca="false">IF(K431="","",IFERROR(INDEX(Lists!$G$2:$G$5,MATCH(K431,Lists!$F$2:$F$5,0)),""))</f>
        <v/>
      </c>
      <c r="M431" s="14"/>
      <c r="N431" s="14"/>
      <c r="O431" s="14"/>
      <c r="P431" s="14"/>
      <c r="Q431" s="13"/>
      <c r="R431" s="17" t="str">
        <f aca="true">IF(OR(C431="",Q431=""),"",IF(OR(J431="Won",J431="Lost"),"",IF(Q431&lt;TODAY(),"OVERDUE",IF(Q431=TODAY(),"TODAY",""))))</f>
        <v/>
      </c>
      <c r="S431" s="13"/>
      <c r="T431" s="13"/>
      <c r="U431" s="14"/>
    </row>
    <row r="432" customFormat="false" ht="15" hidden="false" customHeight="false" outlineLevel="0" collapsed="false">
      <c r="A432" s="13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9" t="str">
        <f aca="false">IF(K432="","",IFERROR(INDEX(Lists!$G$2:$G$5,MATCH(K432,Lists!$F$2:$F$5,0)),""))</f>
        <v/>
      </c>
      <c r="M432" s="14"/>
      <c r="N432" s="14"/>
      <c r="O432" s="14"/>
      <c r="P432" s="14"/>
      <c r="Q432" s="13"/>
      <c r="R432" s="17" t="str">
        <f aca="true">IF(OR(C432="",Q432=""),"",IF(OR(J432="Won",J432="Lost"),"",IF(Q432&lt;TODAY(),"OVERDUE",IF(Q432=TODAY(),"TODAY",""))))</f>
        <v/>
      </c>
      <c r="S432" s="13"/>
      <c r="T432" s="13"/>
      <c r="U432" s="14"/>
    </row>
    <row r="433" customFormat="false" ht="15" hidden="false" customHeight="false" outlineLevel="0" collapsed="false">
      <c r="A433" s="13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9" t="str">
        <f aca="false">IF(K433="","",IFERROR(INDEX(Lists!$G$2:$G$5,MATCH(K433,Lists!$F$2:$F$5,0)),""))</f>
        <v/>
      </c>
      <c r="M433" s="14"/>
      <c r="N433" s="14"/>
      <c r="O433" s="14"/>
      <c r="P433" s="14"/>
      <c r="Q433" s="13"/>
      <c r="R433" s="17" t="str">
        <f aca="true">IF(OR(C433="",Q433=""),"",IF(OR(J433="Won",J433="Lost"),"",IF(Q433&lt;TODAY(),"OVERDUE",IF(Q433=TODAY(),"TODAY",""))))</f>
        <v/>
      </c>
      <c r="S433" s="13"/>
      <c r="T433" s="13"/>
      <c r="U433" s="14"/>
    </row>
    <row r="434" customFormat="false" ht="15" hidden="false" customHeight="false" outlineLevel="0" collapsed="false">
      <c r="A434" s="13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9" t="str">
        <f aca="false">IF(K434="","",IFERROR(INDEX(Lists!$G$2:$G$5,MATCH(K434,Lists!$F$2:$F$5,0)),""))</f>
        <v/>
      </c>
      <c r="M434" s="14"/>
      <c r="N434" s="14"/>
      <c r="O434" s="14"/>
      <c r="P434" s="14"/>
      <c r="Q434" s="13"/>
      <c r="R434" s="17" t="str">
        <f aca="true">IF(OR(C434="",Q434=""),"",IF(OR(J434="Won",J434="Lost"),"",IF(Q434&lt;TODAY(),"OVERDUE",IF(Q434=TODAY(),"TODAY",""))))</f>
        <v/>
      </c>
      <c r="S434" s="13"/>
      <c r="T434" s="13"/>
      <c r="U434" s="14"/>
    </row>
    <row r="435" customFormat="false" ht="15" hidden="false" customHeight="false" outlineLevel="0" collapsed="false">
      <c r="A435" s="13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9" t="str">
        <f aca="false">IF(K435="","",IFERROR(INDEX(Lists!$G$2:$G$5,MATCH(K435,Lists!$F$2:$F$5,0)),""))</f>
        <v/>
      </c>
      <c r="M435" s="14"/>
      <c r="N435" s="14"/>
      <c r="O435" s="14"/>
      <c r="P435" s="14"/>
      <c r="Q435" s="13"/>
      <c r="R435" s="17" t="str">
        <f aca="true">IF(OR(C435="",Q435=""),"",IF(OR(J435="Won",J435="Lost"),"",IF(Q435&lt;TODAY(),"OVERDUE",IF(Q435=TODAY(),"TODAY",""))))</f>
        <v/>
      </c>
      <c r="S435" s="13"/>
      <c r="T435" s="13"/>
      <c r="U435" s="14"/>
    </row>
    <row r="436" customFormat="false" ht="15" hidden="false" customHeight="false" outlineLevel="0" collapsed="false">
      <c r="A436" s="13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9" t="str">
        <f aca="false">IF(K436="","",IFERROR(INDEX(Lists!$G$2:$G$5,MATCH(K436,Lists!$F$2:$F$5,0)),""))</f>
        <v/>
      </c>
      <c r="M436" s="14"/>
      <c r="N436" s="14"/>
      <c r="O436" s="14"/>
      <c r="P436" s="14"/>
      <c r="Q436" s="13"/>
      <c r="R436" s="17" t="str">
        <f aca="true">IF(OR(C436="",Q436=""),"",IF(OR(J436="Won",J436="Lost"),"",IF(Q436&lt;TODAY(),"OVERDUE",IF(Q436=TODAY(),"TODAY",""))))</f>
        <v/>
      </c>
      <c r="S436" s="13"/>
      <c r="T436" s="13"/>
      <c r="U436" s="14"/>
    </row>
    <row r="437" customFormat="false" ht="15" hidden="false" customHeight="false" outlineLevel="0" collapsed="false">
      <c r="A437" s="13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9" t="str">
        <f aca="false">IF(K437="","",IFERROR(INDEX(Lists!$G$2:$G$5,MATCH(K437,Lists!$F$2:$F$5,0)),""))</f>
        <v/>
      </c>
      <c r="M437" s="14"/>
      <c r="N437" s="14"/>
      <c r="O437" s="14"/>
      <c r="P437" s="14"/>
      <c r="Q437" s="13"/>
      <c r="R437" s="17" t="str">
        <f aca="true">IF(OR(C437="",Q437=""),"",IF(OR(J437="Won",J437="Lost"),"",IF(Q437&lt;TODAY(),"OVERDUE",IF(Q437=TODAY(),"TODAY",""))))</f>
        <v/>
      </c>
      <c r="S437" s="13"/>
      <c r="T437" s="13"/>
      <c r="U437" s="14"/>
    </row>
    <row r="438" customFormat="false" ht="15" hidden="false" customHeight="false" outlineLevel="0" collapsed="false">
      <c r="A438" s="13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9" t="str">
        <f aca="false">IF(K438="","",IFERROR(INDEX(Lists!$G$2:$G$5,MATCH(K438,Lists!$F$2:$F$5,0)),""))</f>
        <v/>
      </c>
      <c r="M438" s="14"/>
      <c r="N438" s="14"/>
      <c r="O438" s="14"/>
      <c r="P438" s="14"/>
      <c r="Q438" s="13"/>
      <c r="R438" s="17" t="str">
        <f aca="true">IF(OR(C438="",Q438=""),"",IF(OR(J438="Won",J438="Lost"),"",IF(Q438&lt;TODAY(),"OVERDUE",IF(Q438=TODAY(),"TODAY",""))))</f>
        <v/>
      </c>
      <c r="S438" s="13"/>
      <c r="T438" s="13"/>
      <c r="U438" s="14"/>
    </row>
    <row r="439" customFormat="false" ht="15" hidden="false" customHeight="false" outlineLevel="0" collapsed="false">
      <c r="A439" s="13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9" t="str">
        <f aca="false">IF(K439="","",IFERROR(INDEX(Lists!$G$2:$G$5,MATCH(K439,Lists!$F$2:$F$5,0)),""))</f>
        <v/>
      </c>
      <c r="M439" s="14"/>
      <c r="N439" s="14"/>
      <c r="O439" s="14"/>
      <c r="P439" s="14"/>
      <c r="Q439" s="13"/>
      <c r="R439" s="17" t="str">
        <f aca="true">IF(OR(C439="",Q439=""),"",IF(OR(J439="Won",J439="Lost"),"",IF(Q439&lt;TODAY(),"OVERDUE",IF(Q439=TODAY(),"TODAY",""))))</f>
        <v/>
      </c>
      <c r="S439" s="13"/>
      <c r="T439" s="13"/>
      <c r="U439" s="14"/>
    </row>
    <row r="440" customFormat="false" ht="15" hidden="false" customHeight="false" outlineLevel="0" collapsed="false">
      <c r="A440" s="13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9" t="str">
        <f aca="false">IF(K440="","",IFERROR(INDEX(Lists!$G$2:$G$5,MATCH(K440,Lists!$F$2:$F$5,0)),""))</f>
        <v/>
      </c>
      <c r="M440" s="14"/>
      <c r="N440" s="14"/>
      <c r="O440" s="14"/>
      <c r="P440" s="14"/>
      <c r="Q440" s="13"/>
      <c r="R440" s="17" t="str">
        <f aca="true">IF(OR(C440="",Q440=""),"",IF(OR(J440="Won",J440="Lost"),"",IF(Q440&lt;TODAY(),"OVERDUE",IF(Q440=TODAY(),"TODAY",""))))</f>
        <v/>
      </c>
      <c r="S440" s="13"/>
      <c r="T440" s="13"/>
      <c r="U440" s="14"/>
    </row>
    <row r="441" customFormat="false" ht="15" hidden="false" customHeight="false" outlineLevel="0" collapsed="false">
      <c r="A441" s="13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9" t="str">
        <f aca="false">IF(K441="","",IFERROR(INDEX(Lists!$G$2:$G$5,MATCH(K441,Lists!$F$2:$F$5,0)),""))</f>
        <v/>
      </c>
      <c r="M441" s="14"/>
      <c r="N441" s="14"/>
      <c r="O441" s="14"/>
      <c r="P441" s="14"/>
      <c r="Q441" s="13"/>
      <c r="R441" s="17" t="str">
        <f aca="true">IF(OR(C441="",Q441=""),"",IF(OR(J441="Won",J441="Lost"),"",IF(Q441&lt;TODAY(),"OVERDUE",IF(Q441=TODAY(),"TODAY",""))))</f>
        <v/>
      </c>
      <c r="S441" s="13"/>
      <c r="T441" s="13"/>
      <c r="U441" s="14"/>
    </row>
    <row r="442" customFormat="false" ht="15" hidden="false" customHeight="false" outlineLevel="0" collapsed="false">
      <c r="A442" s="13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9" t="str">
        <f aca="false">IF(K442="","",IFERROR(INDEX(Lists!$G$2:$G$5,MATCH(K442,Lists!$F$2:$F$5,0)),""))</f>
        <v/>
      </c>
      <c r="M442" s="14"/>
      <c r="N442" s="14"/>
      <c r="O442" s="14"/>
      <c r="P442" s="14"/>
      <c r="Q442" s="13"/>
      <c r="R442" s="17" t="str">
        <f aca="true">IF(OR(C442="",Q442=""),"",IF(OR(J442="Won",J442="Lost"),"",IF(Q442&lt;TODAY(),"OVERDUE",IF(Q442=TODAY(),"TODAY",""))))</f>
        <v/>
      </c>
      <c r="S442" s="13"/>
      <c r="T442" s="13"/>
      <c r="U442" s="14"/>
    </row>
    <row r="443" customFormat="false" ht="15" hidden="false" customHeight="false" outlineLevel="0" collapsed="false">
      <c r="A443" s="13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9" t="str">
        <f aca="false">IF(K443="","",IFERROR(INDEX(Lists!$G$2:$G$5,MATCH(K443,Lists!$F$2:$F$5,0)),""))</f>
        <v/>
      </c>
      <c r="M443" s="14"/>
      <c r="N443" s="14"/>
      <c r="O443" s="14"/>
      <c r="P443" s="14"/>
      <c r="Q443" s="13"/>
      <c r="R443" s="17" t="str">
        <f aca="true">IF(OR(C443="",Q443=""),"",IF(OR(J443="Won",J443="Lost"),"",IF(Q443&lt;TODAY(),"OVERDUE",IF(Q443=TODAY(),"TODAY",""))))</f>
        <v/>
      </c>
      <c r="S443" s="13"/>
      <c r="T443" s="13"/>
      <c r="U443" s="14"/>
    </row>
    <row r="444" customFormat="false" ht="15" hidden="false" customHeight="false" outlineLevel="0" collapsed="false">
      <c r="A444" s="13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9" t="str">
        <f aca="false">IF(K444="","",IFERROR(INDEX(Lists!$G$2:$G$5,MATCH(K444,Lists!$F$2:$F$5,0)),""))</f>
        <v/>
      </c>
      <c r="M444" s="14"/>
      <c r="N444" s="14"/>
      <c r="O444" s="14"/>
      <c r="P444" s="14"/>
      <c r="Q444" s="13"/>
      <c r="R444" s="17" t="str">
        <f aca="true">IF(OR(C444="",Q444=""),"",IF(OR(J444="Won",J444="Lost"),"",IF(Q444&lt;TODAY(),"OVERDUE",IF(Q444=TODAY(),"TODAY",""))))</f>
        <v/>
      </c>
      <c r="S444" s="13"/>
      <c r="T444" s="13"/>
      <c r="U444" s="14"/>
    </row>
    <row r="445" customFormat="false" ht="15" hidden="false" customHeight="false" outlineLevel="0" collapsed="false">
      <c r="A445" s="13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9" t="str">
        <f aca="false">IF(K445="","",IFERROR(INDEX(Lists!$G$2:$G$5,MATCH(K445,Lists!$F$2:$F$5,0)),""))</f>
        <v/>
      </c>
      <c r="M445" s="14"/>
      <c r="N445" s="14"/>
      <c r="O445" s="14"/>
      <c r="P445" s="14"/>
      <c r="Q445" s="13"/>
      <c r="R445" s="17" t="str">
        <f aca="true">IF(OR(C445="",Q445=""),"",IF(OR(J445="Won",J445="Lost"),"",IF(Q445&lt;TODAY(),"OVERDUE",IF(Q445=TODAY(),"TODAY",""))))</f>
        <v/>
      </c>
      <c r="S445" s="13"/>
      <c r="T445" s="13"/>
      <c r="U445" s="14"/>
    </row>
    <row r="446" customFormat="false" ht="15" hidden="false" customHeight="false" outlineLevel="0" collapsed="false">
      <c r="A446" s="13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9" t="str">
        <f aca="false">IF(K446="","",IFERROR(INDEX(Lists!$G$2:$G$5,MATCH(K446,Lists!$F$2:$F$5,0)),""))</f>
        <v/>
      </c>
      <c r="M446" s="14"/>
      <c r="N446" s="14"/>
      <c r="O446" s="14"/>
      <c r="P446" s="14"/>
      <c r="Q446" s="13"/>
      <c r="R446" s="17" t="str">
        <f aca="true">IF(OR(C446="",Q446=""),"",IF(OR(J446="Won",J446="Lost"),"",IF(Q446&lt;TODAY(),"OVERDUE",IF(Q446=TODAY(),"TODAY",""))))</f>
        <v/>
      </c>
      <c r="S446" s="13"/>
      <c r="T446" s="13"/>
      <c r="U446" s="14"/>
    </row>
    <row r="447" customFormat="false" ht="15" hidden="false" customHeight="false" outlineLevel="0" collapsed="false">
      <c r="A447" s="13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9" t="str">
        <f aca="false">IF(K447="","",IFERROR(INDEX(Lists!$G$2:$G$5,MATCH(K447,Lists!$F$2:$F$5,0)),""))</f>
        <v/>
      </c>
      <c r="M447" s="14"/>
      <c r="N447" s="14"/>
      <c r="O447" s="14"/>
      <c r="P447" s="14"/>
      <c r="Q447" s="13"/>
      <c r="R447" s="17" t="str">
        <f aca="true">IF(OR(C447="",Q447=""),"",IF(OR(J447="Won",J447="Lost"),"",IF(Q447&lt;TODAY(),"OVERDUE",IF(Q447=TODAY(),"TODAY",""))))</f>
        <v/>
      </c>
      <c r="S447" s="13"/>
      <c r="T447" s="13"/>
      <c r="U447" s="14"/>
    </row>
    <row r="448" customFormat="false" ht="15" hidden="false" customHeight="false" outlineLevel="0" collapsed="false">
      <c r="A448" s="13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9" t="str">
        <f aca="false">IF(K448="","",IFERROR(INDEX(Lists!$G$2:$G$5,MATCH(K448,Lists!$F$2:$F$5,0)),""))</f>
        <v/>
      </c>
      <c r="M448" s="14"/>
      <c r="N448" s="14"/>
      <c r="O448" s="14"/>
      <c r="P448" s="14"/>
      <c r="Q448" s="13"/>
      <c r="R448" s="17" t="str">
        <f aca="true">IF(OR(C448="",Q448=""),"",IF(OR(J448="Won",J448="Lost"),"",IF(Q448&lt;TODAY(),"OVERDUE",IF(Q448=TODAY(),"TODAY",""))))</f>
        <v/>
      </c>
      <c r="S448" s="13"/>
      <c r="T448" s="13"/>
      <c r="U448" s="14"/>
    </row>
    <row r="449" customFormat="false" ht="15" hidden="false" customHeight="false" outlineLevel="0" collapsed="false">
      <c r="A449" s="13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9" t="str">
        <f aca="false">IF(K449="","",IFERROR(INDEX(Lists!$G$2:$G$5,MATCH(K449,Lists!$F$2:$F$5,0)),""))</f>
        <v/>
      </c>
      <c r="M449" s="14"/>
      <c r="N449" s="14"/>
      <c r="O449" s="14"/>
      <c r="P449" s="14"/>
      <c r="Q449" s="13"/>
      <c r="R449" s="17" t="str">
        <f aca="true">IF(OR(C449="",Q449=""),"",IF(OR(J449="Won",J449="Lost"),"",IF(Q449&lt;TODAY(),"OVERDUE",IF(Q449=TODAY(),"TODAY",""))))</f>
        <v/>
      </c>
      <c r="S449" s="13"/>
      <c r="T449" s="13"/>
      <c r="U449" s="14"/>
    </row>
    <row r="450" customFormat="false" ht="15" hidden="false" customHeight="false" outlineLevel="0" collapsed="false">
      <c r="A450" s="13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9" t="str">
        <f aca="false">IF(K450="","",IFERROR(INDEX(Lists!$G$2:$G$5,MATCH(K450,Lists!$F$2:$F$5,0)),""))</f>
        <v/>
      </c>
      <c r="M450" s="14"/>
      <c r="N450" s="14"/>
      <c r="O450" s="14"/>
      <c r="P450" s="14"/>
      <c r="Q450" s="13"/>
      <c r="R450" s="17" t="str">
        <f aca="true">IF(OR(C450="",Q450=""),"",IF(OR(J450="Won",J450="Lost"),"",IF(Q450&lt;TODAY(),"OVERDUE",IF(Q450=TODAY(),"TODAY",""))))</f>
        <v/>
      </c>
      <c r="S450" s="13"/>
      <c r="T450" s="13"/>
      <c r="U450" s="14"/>
    </row>
    <row r="451" customFormat="false" ht="15" hidden="false" customHeight="false" outlineLevel="0" collapsed="false">
      <c r="A451" s="13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9" t="str">
        <f aca="false">IF(K451="","",IFERROR(INDEX(Lists!$G$2:$G$5,MATCH(K451,Lists!$F$2:$F$5,0)),""))</f>
        <v/>
      </c>
      <c r="M451" s="14"/>
      <c r="N451" s="14"/>
      <c r="O451" s="14"/>
      <c r="P451" s="14"/>
      <c r="Q451" s="13"/>
      <c r="R451" s="17" t="str">
        <f aca="true">IF(OR(C451="",Q451=""),"",IF(OR(J451="Won",J451="Lost"),"",IF(Q451&lt;TODAY(),"OVERDUE",IF(Q451=TODAY(),"TODAY",""))))</f>
        <v/>
      </c>
      <c r="S451" s="13"/>
      <c r="T451" s="13"/>
      <c r="U451" s="14"/>
    </row>
    <row r="452" customFormat="false" ht="15" hidden="false" customHeight="false" outlineLevel="0" collapsed="false">
      <c r="A452" s="13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9" t="str">
        <f aca="false">IF(K452="","",IFERROR(INDEX(Lists!$G$2:$G$5,MATCH(K452,Lists!$F$2:$F$5,0)),""))</f>
        <v/>
      </c>
      <c r="M452" s="14"/>
      <c r="N452" s="14"/>
      <c r="O452" s="14"/>
      <c r="P452" s="14"/>
      <c r="Q452" s="13"/>
      <c r="R452" s="17" t="str">
        <f aca="true">IF(OR(C452="",Q452=""),"",IF(OR(J452="Won",J452="Lost"),"",IF(Q452&lt;TODAY(),"OVERDUE",IF(Q452=TODAY(),"TODAY",""))))</f>
        <v/>
      </c>
      <c r="S452" s="13"/>
      <c r="T452" s="13"/>
      <c r="U452" s="14"/>
    </row>
    <row r="453" customFormat="false" ht="15" hidden="false" customHeight="false" outlineLevel="0" collapsed="false">
      <c r="A453" s="13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9" t="str">
        <f aca="false">IF(K453="","",IFERROR(INDEX(Lists!$G$2:$G$5,MATCH(K453,Lists!$F$2:$F$5,0)),""))</f>
        <v/>
      </c>
      <c r="M453" s="14"/>
      <c r="N453" s="14"/>
      <c r="O453" s="14"/>
      <c r="P453" s="14"/>
      <c r="Q453" s="13"/>
      <c r="R453" s="17" t="str">
        <f aca="true">IF(OR(C453="",Q453=""),"",IF(OR(J453="Won",J453="Lost"),"",IF(Q453&lt;TODAY(),"OVERDUE",IF(Q453=TODAY(),"TODAY",""))))</f>
        <v/>
      </c>
      <c r="S453" s="13"/>
      <c r="T453" s="13"/>
      <c r="U453" s="14"/>
    </row>
    <row r="454" customFormat="false" ht="15" hidden="false" customHeight="false" outlineLevel="0" collapsed="false">
      <c r="A454" s="13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9" t="str">
        <f aca="false">IF(K454="","",IFERROR(INDEX(Lists!$G$2:$G$5,MATCH(K454,Lists!$F$2:$F$5,0)),""))</f>
        <v/>
      </c>
      <c r="M454" s="14"/>
      <c r="N454" s="14"/>
      <c r="O454" s="14"/>
      <c r="P454" s="14"/>
      <c r="Q454" s="13"/>
      <c r="R454" s="17" t="str">
        <f aca="true">IF(OR(C454="",Q454=""),"",IF(OR(J454="Won",J454="Lost"),"",IF(Q454&lt;TODAY(),"OVERDUE",IF(Q454=TODAY(),"TODAY",""))))</f>
        <v/>
      </c>
      <c r="S454" s="13"/>
      <c r="T454" s="13"/>
      <c r="U454" s="14"/>
    </row>
    <row r="455" customFormat="false" ht="15" hidden="false" customHeight="false" outlineLevel="0" collapsed="false">
      <c r="A455" s="13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9" t="str">
        <f aca="false">IF(K455="","",IFERROR(INDEX(Lists!$G$2:$G$5,MATCH(K455,Lists!$F$2:$F$5,0)),""))</f>
        <v/>
      </c>
      <c r="M455" s="14"/>
      <c r="N455" s="14"/>
      <c r="O455" s="14"/>
      <c r="P455" s="14"/>
      <c r="Q455" s="13"/>
      <c r="R455" s="17" t="str">
        <f aca="true">IF(OR(C455="",Q455=""),"",IF(OR(J455="Won",J455="Lost"),"",IF(Q455&lt;TODAY(),"OVERDUE",IF(Q455=TODAY(),"TODAY",""))))</f>
        <v/>
      </c>
      <c r="S455" s="13"/>
      <c r="T455" s="13"/>
      <c r="U455" s="14"/>
    </row>
    <row r="456" customFormat="false" ht="15" hidden="false" customHeight="false" outlineLevel="0" collapsed="false">
      <c r="A456" s="13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9" t="str">
        <f aca="false">IF(K456="","",IFERROR(INDEX(Lists!$G$2:$G$5,MATCH(K456,Lists!$F$2:$F$5,0)),""))</f>
        <v/>
      </c>
      <c r="M456" s="14"/>
      <c r="N456" s="14"/>
      <c r="O456" s="14"/>
      <c r="P456" s="14"/>
      <c r="Q456" s="13"/>
      <c r="R456" s="17" t="str">
        <f aca="true">IF(OR(C456="",Q456=""),"",IF(OR(J456="Won",J456="Lost"),"",IF(Q456&lt;TODAY(),"OVERDUE",IF(Q456=TODAY(),"TODAY",""))))</f>
        <v/>
      </c>
      <c r="S456" s="13"/>
      <c r="T456" s="13"/>
      <c r="U456" s="14"/>
    </row>
    <row r="457" customFormat="false" ht="15" hidden="false" customHeight="false" outlineLevel="0" collapsed="false">
      <c r="A457" s="13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9" t="str">
        <f aca="false">IF(K457="","",IFERROR(INDEX(Lists!$G$2:$G$5,MATCH(K457,Lists!$F$2:$F$5,0)),""))</f>
        <v/>
      </c>
      <c r="M457" s="14"/>
      <c r="N457" s="14"/>
      <c r="O457" s="14"/>
      <c r="P457" s="14"/>
      <c r="Q457" s="13"/>
      <c r="R457" s="17" t="str">
        <f aca="true">IF(OR(C457="",Q457=""),"",IF(OR(J457="Won",J457="Lost"),"",IF(Q457&lt;TODAY(),"OVERDUE",IF(Q457=TODAY(),"TODAY",""))))</f>
        <v/>
      </c>
      <c r="S457" s="13"/>
      <c r="T457" s="13"/>
      <c r="U457" s="14"/>
    </row>
    <row r="458" customFormat="false" ht="15" hidden="false" customHeight="false" outlineLevel="0" collapsed="false">
      <c r="A458" s="13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9" t="str">
        <f aca="false">IF(K458="","",IFERROR(INDEX(Lists!$G$2:$G$5,MATCH(K458,Lists!$F$2:$F$5,0)),""))</f>
        <v/>
      </c>
      <c r="M458" s="14"/>
      <c r="N458" s="14"/>
      <c r="O458" s="14"/>
      <c r="P458" s="14"/>
      <c r="Q458" s="13"/>
      <c r="R458" s="17" t="str">
        <f aca="true">IF(OR(C458="",Q458=""),"",IF(OR(J458="Won",J458="Lost"),"",IF(Q458&lt;TODAY(),"OVERDUE",IF(Q458=TODAY(),"TODAY",""))))</f>
        <v/>
      </c>
      <c r="S458" s="13"/>
      <c r="T458" s="13"/>
      <c r="U458" s="14"/>
    </row>
    <row r="459" customFormat="false" ht="15" hidden="false" customHeight="false" outlineLevel="0" collapsed="false">
      <c r="A459" s="13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9" t="str">
        <f aca="false">IF(K459="","",IFERROR(INDEX(Lists!$G$2:$G$5,MATCH(K459,Lists!$F$2:$F$5,0)),""))</f>
        <v/>
      </c>
      <c r="M459" s="14"/>
      <c r="N459" s="14"/>
      <c r="O459" s="14"/>
      <c r="P459" s="14"/>
      <c r="Q459" s="13"/>
      <c r="R459" s="17" t="str">
        <f aca="true">IF(OR(C459="",Q459=""),"",IF(OR(J459="Won",J459="Lost"),"",IF(Q459&lt;TODAY(),"OVERDUE",IF(Q459=TODAY(),"TODAY",""))))</f>
        <v/>
      </c>
      <c r="S459" s="13"/>
      <c r="T459" s="13"/>
      <c r="U459" s="14"/>
    </row>
    <row r="460" customFormat="false" ht="15" hidden="false" customHeight="false" outlineLevel="0" collapsed="false">
      <c r="A460" s="13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9" t="str">
        <f aca="false">IF(K460="","",IFERROR(INDEX(Lists!$G$2:$G$5,MATCH(K460,Lists!$F$2:$F$5,0)),""))</f>
        <v/>
      </c>
      <c r="M460" s="14"/>
      <c r="N460" s="14"/>
      <c r="O460" s="14"/>
      <c r="P460" s="14"/>
      <c r="Q460" s="13"/>
      <c r="R460" s="17" t="str">
        <f aca="true">IF(OR(C460="",Q460=""),"",IF(OR(J460="Won",J460="Lost"),"",IF(Q460&lt;TODAY(),"OVERDUE",IF(Q460=TODAY(),"TODAY",""))))</f>
        <v/>
      </c>
      <c r="S460" s="13"/>
      <c r="T460" s="13"/>
      <c r="U460" s="14"/>
    </row>
    <row r="461" customFormat="false" ht="15" hidden="false" customHeight="false" outlineLevel="0" collapsed="false">
      <c r="A461" s="13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9" t="str">
        <f aca="false">IF(K461="","",IFERROR(INDEX(Lists!$G$2:$G$5,MATCH(K461,Lists!$F$2:$F$5,0)),""))</f>
        <v/>
      </c>
      <c r="M461" s="14"/>
      <c r="N461" s="14"/>
      <c r="O461" s="14"/>
      <c r="P461" s="14"/>
      <c r="Q461" s="13"/>
      <c r="R461" s="17" t="str">
        <f aca="true">IF(OR(C461="",Q461=""),"",IF(OR(J461="Won",J461="Lost"),"",IF(Q461&lt;TODAY(),"OVERDUE",IF(Q461=TODAY(),"TODAY",""))))</f>
        <v/>
      </c>
      <c r="S461" s="13"/>
      <c r="T461" s="13"/>
      <c r="U461" s="14"/>
    </row>
    <row r="462" customFormat="false" ht="15" hidden="false" customHeight="false" outlineLevel="0" collapsed="false">
      <c r="A462" s="13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9" t="str">
        <f aca="false">IF(K462="","",IFERROR(INDEX(Lists!$G$2:$G$5,MATCH(K462,Lists!$F$2:$F$5,0)),""))</f>
        <v/>
      </c>
      <c r="M462" s="14"/>
      <c r="N462" s="14"/>
      <c r="O462" s="14"/>
      <c r="P462" s="14"/>
      <c r="Q462" s="13"/>
      <c r="R462" s="17" t="str">
        <f aca="true">IF(OR(C462="",Q462=""),"",IF(OR(J462="Won",J462="Lost"),"",IF(Q462&lt;TODAY(),"OVERDUE",IF(Q462=TODAY(),"TODAY",""))))</f>
        <v/>
      </c>
      <c r="S462" s="13"/>
      <c r="T462" s="13"/>
      <c r="U462" s="14"/>
    </row>
    <row r="463" customFormat="false" ht="15" hidden="false" customHeight="false" outlineLevel="0" collapsed="false">
      <c r="A463" s="13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9" t="str">
        <f aca="false">IF(K463="","",IFERROR(INDEX(Lists!$G$2:$G$5,MATCH(K463,Lists!$F$2:$F$5,0)),""))</f>
        <v/>
      </c>
      <c r="M463" s="14"/>
      <c r="N463" s="14"/>
      <c r="O463" s="14"/>
      <c r="P463" s="14"/>
      <c r="Q463" s="13"/>
      <c r="R463" s="17" t="str">
        <f aca="true">IF(OR(C463="",Q463=""),"",IF(OR(J463="Won",J463="Lost"),"",IF(Q463&lt;TODAY(),"OVERDUE",IF(Q463=TODAY(),"TODAY",""))))</f>
        <v/>
      </c>
      <c r="S463" s="13"/>
      <c r="T463" s="13"/>
      <c r="U463" s="14"/>
    </row>
    <row r="464" customFormat="false" ht="15" hidden="false" customHeight="false" outlineLevel="0" collapsed="false">
      <c r="A464" s="13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9" t="str">
        <f aca="false">IF(K464="","",IFERROR(INDEX(Lists!$G$2:$G$5,MATCH(K464,Lists!$F$2:$F$5,0)),""))</f>
        <v/>
      </c>
      <c r="M464" s="14"/>
      <c r="N464" s="14"/>
      <c r="O464" s="14"/>
      <c r="P464" s="14"/>
      <c r="Q464" s="13"/>
      <c r="R464" s="17" t="str">
        <f aca="true">IF(OR(C464="",Q464=""),"",IF(OR(J464="Won",J464="Lost"),"",IF(Q464&lt;TODAY(),"OVERDUE",IF(Q464=TODAY(),"TODAY",""))))</f>
        <v/>
      </c>
      <c r="S464" s="13"/>
      <c r="T464" s="13"/>
      <c r="U464" s="14"/>
    </row>
    <row r="465" customFormat="false" ht="15" hidden="false" customHeight="false" outlineLevel="0" collapsed="false">
      <c r="A465" s="13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9" t="str">
        <f aca="false">IF(K465="","",IFERROR(INDEX(Lists!$G$2:$G$5,MATCH(K465,Lists!$F$2:$F$5,0)),""))</f>
        <v/>
      </c>
      <c r="M465" s="14"/>
      <c r="N465" s="14"/>
      <c r="O465" s="14"/>
      <c r="P465" s="14"/>
      <c r="Q465" s="13"/>
      <c r="R465" s="17" t="str">
        <f aca="true">IF(OR(C465="",Q465=""),"",IF(OR(J465="Won",J465="Lost"),"",IF(Q465&lt;TODAY(),"OVERDUE",IF(Q465=TODAY(),"TODAY",""))))</f>
        <v/>
      </c>
      <c r="S465" s="13"/>
      <c r="T465" s="13"/>
      <c r="U465" s="14"/>
    </row>
    <row r="466" customFormat="false" ht="15" hidden="false" customHeight="false" outlineLevel="0" collapsed="false">
      <c r="A466" s="13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9" t="str">
        <f aca="false">IF(K466="","",IFERROR(INDEX(Lists!$G$2:$G$5,MATCH(K466,Lists!$F$2:$F$5,0)),""))</f>
        <v/>
      </c>
      <c r="M466" s="14"/>
      <c r="N466" s="14"/>
      <c r="O466" s="14"/>
      <c r="P466" s="14"/>
      <c r="Q466" s="13"/>
      <c r="R466" s="17" t="str">
        <f aca="true">IF(OR(C466="",Q466=""),"",IF(OR(J466="Won",J466="Lost"),"",IF(Q466&lt;TODAY(),"OVERDUE",IF(Q466=TODAY(),"TODAY",""))))</f>
        <v/>
      </c>
      <c r="S466" s="13"/>
      <c r="T466" s="13"/>
      <c r="U466" s="14"/>
    </row>
    <row r="467" customFormat="false" ht="15" hidden="false" customHeight="false" outlineLevel="0" collapsed="false">
      <c r="A467" s="13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9" t="str">
        <f aca="false">IF(K467="","",IFERROR(INDEX(Lists!$G$2:$G$5,MATCH(K467,Lists!$F$2:$F$5,0)),""))</f>
        <v/>
      </c>
      <c r="M467" s="14"/>
      <c r="N467" s="14"/>
      <c r="O467" s="14"/>
      <c r="P467" s="14"/>
      <c r="Q467" s="13"/>
      <c r="R467" s="17" t="str">
        <f aca="true">IF(OR(C467="",Q467=""),"",IF(OR(J467="Won",J467="Lost"),"",IF(Q467&lt;TODAY(),"OVERDUE",IF(Q467=TODAY(),"TODAY",""))))</f>
        <v/>
      </c>
      <c r="S467" s="13"/>
      <c r="T467" s="13"/>
      <c r="U467" s="14"/>
    </row>
    <row r="468" customFormat="false" ht="15" hidden="false" customHeight="false" outlineLevel="0" collapsed="false">
      <c r="A468" s="13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9" t="str">
        <f aca="false">IF(K468="","",IFERROR(INDEX(Lists!$G$2:$G$5,MATCH(K468,Lists!$F$2:$F$5,0)),""))</f>
        <v/>
      </c>
      <c r="M468" s="14"/>
      <c r="N468" s="14"/>
      <c r="O468" s="14"/>
      <c r="P468" s="14"/>
      <c r="Q468" s="13"/>
      <c r="R468" s="17" t="str">
        <f aca="true">IF(OR(C468="",Q468=""),"",IF(OR(J468="Won",J468="Lost"),"",IF(Q468&lt;TODAY(),"OVERDUE",IF(Q468=TODAY(),"TODAY",""))))</f>
        <v/>
      </c>
      <c r="S468" s="13"/>
      <c r="T468" s="13"/>
      <c r="U468" s="14"/>
    </row>
    <row r="469" customFormat="false" ht="15" hidden="false" customHeight="false" outlineLevel="0" collapsed="false">
      <c r="A469" s="13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9" t="str">
        <f aca="false">IF(K469="","",IFERROR(INDEX(Lists!$G$2:$G$5,MATCH(K469,Lists!$F$2:$F$5,0)),""))</f>
        <v/>
      </c>
      <c r="M469" s="14"/>
      <c r="N469" s="14"/>
      <c r="O469" s="14"/>
      <c r="P469" s="14"/>
      <c r="Q469" s="13"/>
      <c r="R469" s="17" t="str">
        <f aca="true">IF(OR(C469="",Q469=""),"",IF(OR(J469="Won",J469="Lost"),"",IF(Q469&lt;TODAY(),"OVERDUE",IF(Q469=TODAY(),"TODAY",""))))</f>
        <v/>
      </c>
      <c r="S469" s="13"/>
      <c r="T469" s="13"/>
      <c r="U469" s="14"/>
    </row>
    <row r="470" customFormat="false" ht="15" hidden="false" customHeight="false" outlineLevel="0" collapsed="false">
      <c r="A470" s="13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9" t="str">
        <f aca="false">IF(K470="","",IFERROR(INDEX(Lists!$G$2:$G$5,MATCH(K470,Lists!$F$2:$F$5,0)),""))</f>
        <v/>
      </c>
      <c r="M470" s="14"/>
      <c r="N470" s="14"/>
      <c r="O470" s="14"/>
      <c r="P470" s="14"/>
      <c r="Q470" s="13"/>
      <c r="R470" s="17" t="str">
        <f aca="true">IF(OR(C470="",Q470=""),"",IF(OR(J470="Won",J470="Lost"),"",IF(Q470&lt;TODAY(),"OVERDUE",IF(Q470=TODAY(),"TODAY",""))))</f>
        <v/>
      </c>
      <c r="S470" s="13"/>
      <c r="T470" s="13"/>
      <c r="U470" s="14"/>
    </row>
    <row r="471" customFormat="false" ht="15" hidden="false" customHeight="false" outlineLevel="0" collapsed="false">
      <c r="A471" s="13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9" t="str">
        <f aca="false">IF(K471="","",IFERROR(INDEX(Lists!$G$2:$G$5,MATCH(K471,Lists!$F$2:$F$5,0)),""))</f>
        <v/>
      </c>
      <c r="M471" s="14"/>
      <c r="N471" s="14"/>
      <c r="O471" s="14"/>
      <c r="P471" s="14"/>
      <c r="Q471" s="13"/>
      <c r="R471" s="17" t="str">
        <f aca="true">IF(OR(C471="",Q471=""),"",IF(OR(J471="Won",J471="Lost"),"",IF(Q471&lt;TODAY(),"OVERDUE",IF(Q471=TODAY(),"TODAY",""))))</f>
        <v/>
      </c>
      <c r="S471" s="13"/>
      <c r="T471" s="13"/>
      <c r="U471" s="14"/>
    </row>
    <row r="472" customFormat="false" ht="15" hidden="false" customHeight="false" outlineLevel="0" collapsed="false">
      <c r="A472" s="13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9" t="str">
        <f aca="false">IF(K472="","",IFERROR(INDEX(Lists!$G$2:$G$5,MATCH(K472,Lists!$F$2:$F$5,0)),""))</f>
        <v/>
      </c>
      <c r="M472" s="14"/>
      <c r="N472" s="14"/>
      <c r="O472" s="14"/>
      <c r="P472" s="14"/>
      <c r="Q472" s="13"/>
      <c r="R472" s="17" t="str">
        <f aca="true">IF(OR(C472="",Q472=""),"",IF(OR(J472="Won",J472="Lost"),"",IF(Q472&lt;TODAY(),"OVERDUE",IF(Q472=TODAY(),"TODAY",""))))</f>
        <v/>
      </c>
      <c r="S472" s="13"/>
      <c r="T472" s="13"/>
      <c r="U472" s="14"/>
    </row>
    <row r="473" customFormat="false" ht="15" hidden="false" customHeight="false" outlineLevel="0" collapsed="false">
      <c r="A473" s="13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9" t="str">
        <f aca="false">IF(K473="","",IFERROR(INDEX(Lists!$G$2:$G$5,MATCH(K473,Lists!$F$2:$F$5,0)),""))</f>
        <v/>
      </c>
      <c r="M473" s="14"/>
      <c r="N473" s="14"/>
      <c r="O473" s="14"/>
      <c r="P473" s="14"/>
      <c r="Q473" s="13"/>
      <c r="R473" s="17" t="str">
        <f aca="true">IF(OR(C473="",Q473=""),"",IF(OR(J473="Won",J473="Lost"),"",IF(Q473&lt;TODAY(),"OVERDUE",IF(Q473=TODAY(),"TODAY",""))))</f>
        <v/>
      </c>
      <c r="S473" s="13"/>
      <c r="T473" s="13"/>
      <c r="U473" s="14"/>
    </row>
    <row r="474" customFormat="false" ht="15" hidden="false" customHeight="false" outlineLevel="0" collapsed="false">
      <c r="A474" s="13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9" t="str">
        <f aca="false">IF(K474="","",IFERROR(INDEX(Lists!$G$2:$G$5,MATCH(K474,Lists!$F$2:$F$5,0)),""))</f>
        <v/>
      </c>
      <c r="M474" s="14"/>
      <c r="N474" s="14"/>
      <c r="O474" s="14"/>
      <c r="P474" s="14"/>
      <c r="Q474" s="13"/>
      <c r="R474" s="17" t="str">
        <f aca="true">IF(OR(C474="",Q474=""),"",IF(OR(J474="Won",J474="Lost"),"",IF(Q474&lt;TODAY(),"OVERDUE",IF(Q474=TODAY(),"TODAY",""))))</f>
        <v/>
      </c>
      <c r="S474" s="13"/>
      <c r="T474" s="13"/>
      <c r="U474" s="14"/>
    </row>
    <row r="475" customFormat="false" ht="15" hidden="false" customHeight="false" outlineLevel="0" collapsed="false">
      <c r="A475" s="13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9" t="str">
        <f aca="false">IF(K475="","",IFERROR(INDEX(Lists!$G$2:$G$5,MATCH(K475,Lists!$F$2:$F$5,0)),""))</f>
        <v/>
      </c>
      <c r="M475" s="14"/>
      <c r="N475" s="14"/>
      <c r="O475" s="14"/>
      <c r="P475" s="14"/>
      <c r="Q475" s="13"/>
      <c r="R475" s="17" t="str">
        <f aca="true">IF(OR(C475="",Q475=""),"",IF(OR(J475="Won",J475="Lost"),"",IF(Q475&lt;TODAY(),"OVERDUE",IF(Q475=TODAY(),"TODAY",""))))</f>
        <v/>
      </c>
      <c r="S475" s="13"/>
      <c r="T475" s="13"/>
      <c r="U475" s="14"/>
    </row>
    <row r="476" customFormat="false" ht="15" hidden="false" customHeight="false" outlineLevel="0" collapsed="false">
      <c r="A476" s="13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9" t="str">
        <f aca="false">IF(K476="","",IFERROR(INDEX(Lists!$G$2:$G$5,MATCH(K476,Lists!$F$2:$F$5,0)),""))</f>
        <v/>
      </c>
      <c r="M476" s="14"/>
      <c r="N476" s="14"/>
      <c r="O476" s="14"/>
      <c r="P476" s="14"/>
      <c r="Q476" s="13"/>
      <c r="R476" s="17" t="str">
        <f aca="true">IF(OR(C476="",Q476=""),"",IF(OR(J476="Won",J476="Lost"),"",IF(Q476&lt;TODAY(),"OVERDUE",IF(Q476=TODAY(),"TODAY",""))))</f>
        <v/>
      </c>
      <c r="S476" s="13"/>
      <c r="T476" s="13"/>
      <c r="U476" s="14"/>
    </row>
    <row r="477" customFormat="false" ht="15" hidden="false" customHeight="false" outlineLevel="0" collapsed="false">
      <c r="A477" s="13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9" t="str">
        <f aca="false">IF(K477="","",IFERROR(INDEX(Lists!$G$2:$G$5,MATCH(K477,Lists!$F$2:$F$5,0)),""))</f>
        <v/>
      </c>
      <c r="M477" s="14"/>
      <c r="N477" s="14"/>
      <c r="O477" s="14"/>
      <c r="P477" s="14"/>
      <c r="Q477" s="13"/>
      <c r="R477" s="17" t="str">
        <f aca="true">IF(OR(C477="",Q477=""),"",IF(OR(J477="Won",J477="Lost"),"",IF(Q477&lt;TODAY(),"OVERDUE",IF(Q477=TODAY(),"TODAY",""))))</f>
        <v/>
      </c>
      <c r="S477" s="13"/>
      <c r="T477" s="13"/>
      <c r="U477" s="14"/>
    </row>
    <row r="478" customFormat="false" ht="15" hidden="false" customHeight="false" outlineLevel="0" collapsed="false">
      <c r="A478" s="13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9" t="str">
        <f aca="false">IF(K478="","",IFERROR(INDEX(Lists!$G$2:$G$5,MATCH(K478,Lists!$F$2:$F$5,0)),""))</f>
        <v/>
      </c>
      <c r="M478" s="14"/>
      <c r="N478" s="14"/>
      <c r="O478" s="14"/>
      <c r="P478" s="14"/>
      <c r="Q478" s="13"/>
      <c r="R478" s="17" t="str">
        <f aca="true">IF(OR(C478="",Q478=""),"",IF(OR(J478="Won",J478="Lost"),"",IF(Q478&lt;TODAY(),"OVERDUE",IF(Q478=TODAY(),"TODAY",""))))</f>
        <v/>
      </c>
      <c r="S478" s="13"/>
      <c r="T478" s="13"/>
      <c r="U478" s="14"/>
    </row>
    <row r="479" customFormat="false" ht="15" hidden="false" customHeight="false" outlineLevel="0" collapsed="false">
      <c r="A479" s="13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9" t="str">
        <f aca="false">IF(K479="","",IFERROR(INDEX(Lists!$G$2:$G$5,MATCH(K479,Lists!$F$2:$F$5,0)),""))</f>
        <v/>
      </c>
      <c r="M479" s="14"/>
      <c r="N479" s="14"/>
      <c r="O479" s="14"/>
      <c r="P479" s="14"/>
      <c r="Q479" s="13"/>
      <c r="R479" s="17" t="str">
        <f aca="true">IF(OR(C479="",Q479=""),"",IF(OR(J479="Won",J479="Lost"),"",IF(Q479&lt;TODAY(),"OVERDUE",IF(Q479=TODAY(),"TODAY",""))))</f>
        <v/>
      </c>
      <c r="S479" s="13"/>
      <c r="T479" s="13"/>
      <c r="U479" s="14"/>
    </row>
    <row r="480" customFormat="false" ht="15" hidden="false" customHeight="false" outlineLevel="0" collapsed="false">
      <c r="A480" s="13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9" t="str">
        <f aca="false">IF(K480="","",IFERROR(INDEX(Lists!$G$2:$G$5,MATCH(K480,Lists!$F$2:$F$5,0)),""))</f>
        <v/>
      </c>
      <c r="M480" s="14"/>
      <c r="N480" s="14"/>
      <c r="O480" s="14"/>
      <c r="P480" s="14"/>
      <c r="Q480" s="13"/>
      <c r="R480" s="17" t="str">
        <f aca="true">IF(OR(C480="",Q480=""),"",IF(OR(J480="Won",J480="Lost"),"",IF(Q480&lt;TODAY(),"OVERDUE",IF(Q480=TODAY(),"TODAY",""))))</f>
        <v/>
      </c>
      <c r="S480" s="13"/>
      <c r="T480" s="13"/>
      <c r="U480" s="14"/>
    </row>
    <row r="481" customFormat="false" ht="15" hidden="false" customHeight="false" outlineLevel="0" collapsed="false">
      <c r="A481" s="13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9" t="str">
        <f aca="false">IF(K481="","",IFERROR(INDEX(Lists!$G$2:$G$5,MATCH(K481,Lists!$F$2:$F$5,0)),""))</f>
        <v/>
      </c>
      <c r="M481" s="14"/>
      <c r="N481" s="14"/>
      <c r="O481" s="14"/>
      <c r="P481" s="14"/>
      <c r="Q481" s="13"/>
      <c r="R481" s="17" t="str">
        <f aca="true">IF(OR(C481="",Q481=""),"",IF(OR(J481="Won",J481="Lost"),"",IF(Q481&lt;TODAY(),"OVERDUE",IF(Q481=TODAY(),"TODAY",""))))</f>
        <v/>
      </c>
      <c r="S481" s="13"/>
      <c r="T481" s="13"/>
      <c r="U481" s="14"/>
    </row>
    <row r="482" customFormat="false" ht="15" hidden="false" customHeight="false" outlineLevel="0" collapsed="false">
      <c r="A482" s="13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9" t="str">
        <f aca="false">IF(K482="","",IFERROR(INDEX(Lists!$G$2:$G$5,MATCH(K482,Lists!$F$2:$F$5,0)),""))</f>
        <v/>
      </c>
      <c r="M482" s="14"/>
      <c r="N482" s="14"/>
      <c r="O482" s="14"/>
      <c r="P482" s="14"/>
      <c r="Q482" s="13"/>
      <c r="R482" s="17" t="str">
        <f aca="true">IF(OR(C482="",Q482=""),"",IF(OR(J482="Won",J482="Lost"),"",IF(Q482&lt;TODAY(),"OVERDUE",IF(Q482=TODAY(),"TODAY",""))))</f>
        <v/>
      </c>
      <c r="S482" s="13"/>
      <c r="T482" s="13"/>
      <c r="U482" s="14"/>
    </row>
    <row r="483" customFormat="false" ht="15" hidden="false" customHeight="false" outlineLevel="0" collapsed="false">
      <c r="A483" s="13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9" t="str">
        <f aca="false">IF(K483="","",IFERROR(INDEX(Lists!$G$2:$G$5,MATCH(K483,Lists!$F$2:$F$5,0)),""))</f>
        <v/>
      </c>
      <c r="M483" s="14"/>
      <c r="N483" s="14"/>
      <c r="O483" s="14"/>
      <c r="P483" s="14"/>
      <c r="Q483" s="13"/>
      <c r="R483" s="17" t="str">
        <f aca="true">IF(OR(C483="",Q483=""),"",IF(OR(J483="Won",J483="Lost"),"",IF(Q483&lt;TODAY(),"OVERDUE",IF(Q483=TODAY(),"TODAY",""))))</f>
        <v/>
      </c>
      <c r="S483" s="13"/>
      <c r="T483" s="13"/>
      <c r="U483" s="14"/>
    </row>
    <row r="484" customFormat="false" ht="15" hidden="false" customHeight="false" outlineLevel="0" collapsed="false">
      <c r="A484" s="13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9" t="str">
        <f aca="false">IF(K484="","",IFERROR(INDEX(Lists!$G$2:$G$5,MATCH(K484,Lists!$F$2:$F$5,0)),""))</f>
        <v/>
      </c>
      <c r="M484" s="14"/>
      <c r="N484" s="14"/>
      <c r="O484" s="14"/>
      <c r="P484" s="14"/>
      <c r="Q484" s="13"/>
      <c r="R484" s="17" t="str">
        <f aca="true">IF(OR(C484="",Q484=""),"",IF(OR(J484="Won",J484="Lost"),"",IF(Q484&lt;TODAY(),"OVERDUE",IF(Q484=TODAY(),"TODAY",""))))</f>
        <v/>
      </c>
      <c r="S484" s="13"/>
      <c r="T484" s="13"/>
      <c r="U484" s="14"/>
    </row>
    <row r="485" customFormat="false" ht="15" hidden="false" customHeight="false" outlineLevel="0" collapsed="false">
      <c r="A485" s="13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9" t="str">
        <f aca="false">IF(K485="","",IFERROR(INDEX(Lists!$G$2:$G$5,MATCH(K485,Lists!$F$2:$F$5,0)),""))</f>
        <v/>
      </c>
      <c r="M485" s="14"/>
      <c r="N485" s="14"/>
      <c r="O485" s="14"/>
      <c r="P485" s="14"/>
      <c r="Q485" s="13"/>
      <c r="R485" s="17" t="str">
        <f aca="true">IF(OR(C485="",Q485=""),"",IF(OR(J485="Won",J485="Lost"),"",IF(Q485&lt;TODAY(),"OVERDUE",IF(Q485=TODAY(),"TODAY",""))))</f>
        <v/>
      </c>
      <c r="S485" s="13"/>
      <c r="T485" s="13"/>
      <c r="U485" s="14"/>
    </row>
    <row r="486" customFormat="false" ht="15" hidden="false" customHeight="false" outlineLevel="0" collapsed="false">
      <c r="A486" s="13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9" t="str">
        <f aca="false">IF(K486="","",IFERROR(INDEX(Lists!$G$2:$G$5,MATCH(K486,Lists!$F$2:$F$5,0)),""))</f>
        <v/>
      </c>
      <c r="M486" s="14"/>
      <c r="N486" s="14"/>
      <c r="O486" s="14"/>
      <c r="P486" s="14"/>
      <c r="Q486" s="13"/>
      <c r="R486" s="17" t="str">
        <f aca="true">IF(OR(C486="",Q486=""),"",IF(OR(J486="Won",J486="Lost"),"",IF(Q486&lt;TODAY(),"OVERDUE",IF(Q486=TODAY(),"TODAY",""))))</f>
        <v/>
      </c>
      <c r="S486" s="13"/>
      <c r="T486" s="13"/>
      <c r="U486" s="14"/>
    </row>
    <row r="487" customFormat="false" ht="15" hidden="false" customHeight="false" outlineLevel="0" collapsed="false">
      <c r="A487" s="13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9" t="str">
        <f aca="false">IF(K487="","",IFERROR(INDEX(Lists!$G$2:$G$5,MATCH(K487,Lists!$F$2:$F$5,0)),""))</f>
        <v/>
      </c>
      <c r="M487" s="14"/>
      <c r="N487" s="14"/>
      <c r="O487" s="14"/>
      <c r="P487" s="14"/>
      <c r="Q487" s="13"/>
      <c r="R487" s="17" t="str">
        <f aca="true">IF(OR(C487="",Q487=""),"",IF(OR(J487="Won",J487="Lost"),"",IF(Q487&lt;TODAY(),"OVERDUE",IF(Q487=TODAY(),"TODAY",""))))</f>
        <v/>
      </c>
      <c r="S487" s="13"/>
      <c r="T487" s="13"/>
      <c r="U487" s="14"/>
    </row>
    <row r="488" customFormat="false" ht="15" hidden="false" customHeight="false" outlineLevel="0" collapsed="false">
      <c r="A488" s="13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9" t="str">
        <f aca="false">IF(K488="","",IFERROR(INDEX(Lists!$G$2:$G$5,MATCH(K488,Lists!$F$2:$F$5,0)),""))</f>
        <v/>
      </c>
      <c r="M488" s="14"/>
      <c r="N488" s="14"/>
      <c r="O488" s="14"/>
      <c r="P488" s="14"/>
      <c r="Q488" s="13"/>
      <c r="R488" s="17" t="str">
        <f aca="true">IF(OR(C488="",Q488=""),"",IF(OR(J488="Won",J488="Lost"),"",IF(Q488&lt;TODAY(),"OVERDUE",IF(Q488=TODAY(),"TODAY",""))))</f>
        <v/>
      </c>
      <c r="S488" s="13"/>
      <c r="T488" s="13"/>
      <c r="U488" s="14"/>
    </row>
    <row r="489" customFormat="false" ht="15" hidden="false" customHeight="false" outlineLevel="0" collapsed="false">
      <c r="A489" s="13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9" t="str">
        <f aca="false">IF(K489="","",IFERROR(INDEX(Lists!$G$2:$G$5,MATCH(K489,Lists!$F$2:$F$5,0)),""))</f>
        <v/>
      </c>
      <c r="M489" s="14"/>
      <c r="N489" s="14"/>
      <c r="O489" s="14"/>
      <c r="P489" s="14"/>
      <c r="Q489" s="13"/>
      <c r="R489" s="17" t="str">
        <f aca="true">IF(OR(C489="",Q489=""),"",IF(OR(J489="Won",J489="Lost"),"",IF(Q489&lt;TODAY(),"OVERDUE",IF(Q489=TODAY(),"TODAY",""))))</f>
        <v/>
      </c>
      <c r="S489" s="13"/>
      <c r="T489" s="13"/>
      <c r="U489" s="14"/>
    </row>
    <row r="490" customFormat="false" ht="15" hidden="false" customHeight="false" outlineLevel="0" collapsed="false">
      <c r="A490" s="13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9" t="str">
        <f aca="false">IF(K490="","",IFERROR(INDEX(Lists!$G$2:$G$5,MATCH(K490,Lists!$F$2:$F$5,0)),""))</f>
        <v/>
      </c>
      <c r="M490" s="14"/>
      <c r="N490" s="14"/>
      <c r="O490" s="14"/>
      <c r="P490" s="14"/>
      <c r="Q490" s="13"/>
      <c r="R490" s="17" t="str">
        <f aca="true">IF(OR(C490="",Q490=""),"",IF(OR(J490="Won",J490="Lost"),"",IF(Q490&lt;TODAY(),"OVERDUE",IF(Q490=TODAY(),"TODAY",""))))</f>
        <v/>
      </c>
      <c r="S490" s="13"/>
      <c r="T490" s="13"/>
      <c r="U490" s="14"/>
    </row>
    <row r="491" customFormat="false" ht="15" hidden="false" customHeight="false" outlineLevel="0" collapsed="false">
      <c r="A491" s="13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9" t="str">
        <f aca="false">IF(K491="","",IFERROR(INDEX(Lists!$G$2:$G$5,MATCH(K491,Lists!$F$2:$F$5,0)),""))</f>
        <v/>
      </c>
      <c r="M491" s="14"/>
      <c r="N491" s="14"/>
      <c r="O491" s="14"/>
      <c r="P491" s="14"/>
      <c r="Q491" s="13"/>
      <c r="R491" s="17" t="str">
        <f aca="true">IF(OR(C491="",Q491=""),"",IF(OR(J491="Won",J491="Lost"),"",IF(Q491&lt;TODAY(),"OVERDUE",IF(Q491=TODAY(),"TODAY",""))))</f>
        <v/>
      </c>
      <c r="S491" s="13"/>
      <c r="T491" s="13"/>
      <c r="U491" s="14"/>
    </row>
    <row r="492" customFormat="false" ht="15" hidden="false" customHeight="false" outlineLevel="0" collapsed="false">
      <c r="A492" s="13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9" t="str">
        <f aca="false">IF(K492="","",IFERROR(INDEX(Lists!$G$2:$G$5,MATCH(K492,Lists!$F$2:$F$5,0)),""))</f>
        <v/>
      </c>
      <c r="M492" s="14"/>
      <c r="N492" s="14"/>
      <c r="O492" s="14"/>
      <c r="P492" s="14"/>
      <c r="Q492" s="13"/>
      <c r="R492" s="17" t="str">
        <f aca="true">IF(OR(C492="",Q492=""),"",IF(OR(J492="Won",J492="Lost"),"",IF(Q492&lt;TODAY(),"OVERDUE",IF(Q492=TODAY(),"TODAY",""))))</f>
        <v/>
      </c>
      <c r="S492" s="13"/>
      <c r="T492" s="13"/>
      <c r="U492" s="14"/>
    </row>
    <row r="493" customFormat="false" ht="15" hidden="false" customHeight="false" outlineLevel="0" collapsed="false">
      <c r="A493" s="13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9" t="str">
        <f aca="false">IF(K493="","",IFERROR(INDEX(Lists!$G$2:$G$5,MATCH(K493,Lists!$F$2:$F$5,0)),""))</f>
        <v/>
      </c>
      <c r="M493" s="14"/>
      <c r="N493" s="14"/>
      <c r="O493" s="14"/>
      <c r="P493" s="14"/>
      <c r="Q493" s="13"/>
      <c r="R493" s="17" t="str">
        <f aca="true">IF(OR(C493="",Q493=""),"",IF(OR(J493="Won",J493="Lost"),"",IF(Q493&lt;TODAY(),"OVERDUE",IF(Q493=TODAY(),"TODAY",""))))</f>
        <v/>
      </c>
      <c r="S493" s="13"/>
      <c r="T493" s="13"/>
      <c r="U493" s="14"/>
    </row>
    <row r="494" customFormat="false" ht="15" hidden="false" customHeight="false" outlineLevel="0" collapsed="false">
      <c r="A494" s="13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9" t="str">
        <f aca="false">IF(K494="","",IFERROR(INDEX(Lists!$G$2:$G$5,MATCH(K494,Lists!$F$2:$F$5,0)),""))</f>
        <v/>
      </c>
      <c r="M494" s="14"/>
      <c r="N494" s="14"/>
      <c r="O494" s="14"/>
      <c r="P494" s="14"/>
      <c r="Q494" s="13"/>
      <c r="R494" s="17" t="str">
        <f aca="true">IF(OR(C494="",Q494=""),"",IF(OR(J494="Won",J494="Lost"),"",IF(Q494&lt;TODAY(),"OVERDUE",IF(Q494=TODAY(),"TODAY",""))))</f>
        <v/>
      </c>
      <c r="S494" s="13"/>
      <c r="T494" s="13"/>
      <c r="U494" s="14"/>
    </row>
    <row r="495" customFormat="false" ht="15" hidden="false" customHeight="false" outlineLevel="0" collapsed="false">
      <c r="A495" s="13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9" t="str">
        <f aca="false">IF(K495="","",IFERROR(INDEX(Lists!$G$2:$G$5,MATCH(K495,Lists!$F$2:$F$5,0)),""))</f>
        <v/>
      </c>
      <c r="M495" s="14"/>
      <c r="N495" s="14"/>
      <c r="O495" s="14"/>
      <c r="P495" s="14"/>
      <c r="Q495" s="13"/>
      <c r="R495" s="17" t="str">
        <f aca="true">IF(OR(C495="",Q495=""),"",IF(OR(J495="Won",J495="Lost"),"",IF(Q495&lt;TODAY(),"OVERDUE",IF(Q495=TODAY(),"TODAY",""))))</f>
        <v/>
      </c>
      <c r="S495" s="13"/>
      <c r="T495" s="13"/>
      <c r="U495" s="14"/>
    </row>
    <row r="496" customFormat="false" ht="15" hidden="false" customHeight="false" outlineLevel="0" collapsed="false">
      <c r="A496" s="13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9" t="str">
        <f aca="false">IF(K496="","",IFERROR(INDEX(Lists!$G$2:$G$5,MATCH(K496,Lists!$F$2:$F$5,0)),""))</f>
        <v/>
      </c>
      <c r="M496" s="14"/>
      <c r="N496" s="14"/>
      <c r="O496" s="14"/>
      <c r="P496" s="14"/>
      <c r="Q496" s="13"/>
      <c r="R496" s="17" t="str">
        <f aca="true">IF(OR(C496="",Q496=""),"",IF(OR(J496="Won",J496="Lost"),"",IF(Q496&lt;TODAY(),"OVERDUE",IF(Q496=TODAY(),"TODAY",""))))</f>
        <v/>
      </c>
      <c r="S496" s="13"/>
      <c r="T496" s="13"/>
      <c r="U496" s="14"/>
    </row>
    <row r="497" customFormat="false" ht="15" hidden="false" customHeight="false" outlineLevel="0" collapsed="false">
      <c r="A497" s="13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9" t="str">
        <f aca="false">IF(K497="","",IFERROR(INDEX(Lists!$G$2:$G$5,MATCH(K497,Lists!$F$2:$F$5,0)),""))</f>
        <v/>
      </c>
      <c r="M497" s="14"/>
      <c r="N497" s="14"/>
      <c r="O497" s="14"/>
      <c r="P497" s="14"/>
      <c r="Q497" s="13"/>
      <c r="R497" s="17" t="str">
        <f aca="true">IF(OR(C497="",Q497=""),"",IF(OR(J497="Won",J497="Lost"),"",IF(Q497&lt;TODAY(),"OVERDUE",IF(Q497=TODAY(),"TODAY",""))))</f>
        <v/>
      </c>
      <c r="S497" s="13"/>
      <c r="T497" s="13"/>
      <c r="U497" s="14"/>
    </row>
    <row r="498" customFormat="false" ht="15" hidden="false" customHeight="false" outlineLevel="0" collapsed="false">
      <c r="A498" s="13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9" t="str">
        <f aca="false">IF(K498="","",IFERROR(INDEX(Lists!$G$2:$G$5,MATCH(K498,Lists!$F$2:$F$5,0)),""))</f>
        <v/>
      </c>
      <c r="M498" s="14"/>
      <c r="N498" s="14"/>
      <c r="O498" s="14"/>
      <c r="P498" s="14"/>
      <c r="Q498" s="13"/>
      <c r="R498" s="17" t="str">
        <f aca="true">IF(OR(C498="",Q498=""),"",IF(OR(J498="Won",J498="Lost"),"",IF(Q498&lt;TODAY(),"OVERDUE",IF(Q498=TODAY(),"TODAY",""))))</f>
        <v/>
      </c>
      <c r="S498" s="13"/>
      <c r="T498" s="13"/>
      <c r="U498" s="14"/>
    </row>
    <row r="499" customFormat="false" ht="15" hidden="false" customHeight="false" outlineLevel="0" collapsed="false">
      <c r="A499" s="13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9" t="str">
        <f aca="false">IF(K499="","",IFERROR(INDEX(Lists!$G$2:$G$5,MATCH(K499,Lists!$F$2:$F$5,0)),""))</f>
        <v/>
      </c>
      <c r="M499" s="14"/>
      <c r="N499" s="14"/>
      <c r="O499" s="14"/>
      <c r="P499" s="14"/>
      <c r="Q499" s="13"/>
      <c r="R499" s="17" t="str">
        <f aca="true">IF(OR(C499="",Q499=""),"",IF(OR(J499="Won",J499="Lost"),"",IF(Q499&lt;TODAY(),"OVERDUE",IF(Q499=TODAY(),"TODAY",""))))</f>
        <v/>
      </c>
      <c r="S499" s="13"/>
      <c r="T499" s="13"/>
      <c r="U499" s="14"/>
    </row>
    <row r="500" customFormat="false" ht="15" hidden="false" customHeight="false" outlineLevel="0" collapsed="false">
      <c r="A500" s="13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9" t="str">
        <f aca="false">IF(K500="","",IFERROR(INDEX(Lists!$G$2:$G$5,MATCH(K500,Lists!$F$2:$F$5,0)),""))</f>
        <v/>
      </c>
      <c r="M500" s="14"/>
      <c r="N500" s="14"/>
      <c r="O500" s="14"/>
      <c r="P500" s="14"/>
      <c r="Q500" s="13"/>
      <c r="R500" s="17" t="str">
        <f aca="true">IF(OR(C500="",Q500=""),"",IF(OR(J500="Won",J500="Lost"),"",IF(Q500&lt;TODAY(),"OVERDUE",IF(Q500=TODAY(),"TODAY",""))))</f>
        <v/>
      </c>
      <c r="S500" s="13"/>
      <c r="T500" s="13"/>
      <c r="U500" s="14"/>
    </row>
    <row r="501" customFormat="false" ht="15" hidden="false" customHeight="false" outlineLevel="0" collapsed="false">
      <c r="A501" s="13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9" t="str">
        <f aca="false">IF(K501="","",IFERROR(INDEX(Lists!$G$2:$G$5,MATCH(K501,Lists!$F$2:$F$5,0)),""))</f>
        <v/>
      </c>
      <c r="M501" s="14"/>
      <c r="N501" s="14"/>
      <c r="O501" s="14"/>
      <c r="P501" s="14"/>
      <c r="Q501" s="13"/>
      <c r="R501" s="17" t="str">
        <f aca="true">IF(OR(C501="",Q501=""),"",IF(OR(J501="Won",J501="Lost"),"",IF(Q501&lt;TODAY(),"OVERDUE",IF(Q501=TODAY(),"TODAY",""))))</f>
        <v/>
      </c>
      <c r="S501" s="13"/>
      <c r="T501" s="13"/>
      <c r="U501" s="14"/>
    </row>
  </sheetData>
  <autoFilter ref="A1:U501"/>
  <conditionalFormatting sqref="M2:M501">
    <cfRule type="expression" priority="2" aboveAverage="0" equalAverage="0" bottom="0" percent="0" rank="0" text="" dxfId="7">
      <formula>$M2="Green"</formula>
    </cfRule>
    <cfRule type="expression" priority="3" aboveAverage="0" equalAverage="0" bottom="0" percent="0" rank="0" text="" dxfId="11">
      <formula>$M2="Yellow"</formula>
    </cfRule>
    <cfRule type="expression" priority="4" aboveAverage="0" equalAverage="0" bottom="0" percent="0" rank="0" text="" dxfId="8">
      <formula>$M2="Red"</formula>
    </cfRule>
  </conditionalFormatting>
  <conditionalFormatting sqref="R2:R501">
    <cfRule type="expression" priority="5" aboveAverage="0" equalAverage="0" bottom="0" percent="0" rank="0" text="" dxfId="12">
      <formula>$R2="OVERDUE"</formula>
    </cfRule>
    <cfRule type="expression" priority="6" aboveAverage="0" equalAverage="0" bottom="0" percent="0" rank="0" text="" dxfId="13">
      <formula>$R2="TODAY"</formula>
    </cfRule>
  </conditionalFormatting>
  <dataValidations count="6">
    <dataValidation allowBlank="true" errorStyle="stop" operator="between" showDropDown="false" showErrorMessage="false" showInputMessage="false" sqref="B2:B501" type="list">
      <formula1>Lists!$A$2:$A$10</formula1>
      <formula2>0</formula2>
    </dataValidation>
    <dataValidation allowBlank="true" errorStyle="stop" operator="between" showDropDown="false" showErrorMessage="false" showInputMessage="false" sqref="I2:I501" type="list">
      <formula1>Lists!$E$2:$E$7</formula1>
      <formula2>0</formula2>
    </dataValidation>
    <dataValidation allowBlank="true" errorStyle="stop" operator="between" showDropDown="false" showErrorMessage="false" showInputMessage="false" sqref="J2:J501" type="list">
      <formula1>Lists!$B$2:$B$10</formula1>
      <formula2>0</formula2>
    </dataValidation>
    <dataValidation allowBlank="true" errorStyle="stop" operator="between" showDropDown="false" showErrorMessage="false" showInputMessage="false" sqref="K2:K501" type="list">
      <formula1>Lists!$F$2:$F$5</formula1>
      <formula2>0</formula2>
    </dataValidation>
    <dataValidation allowBlank="true" errorStyle="stop" operator="between" showDropDown="false" showErrorMessage="false" showInputMessage="false" sqref="M2:M501" type="list">
      <formula1>Lists!$C$2:$C$4</formula1>
      <formula2>0</formula2>
    </dataValidation>
    <dataValidation allowBlank="true" errorStyle="stop" operator="between" showDropDown="false" showErrorMessage="false" showInputMessage="false" sqref="N2:N501" type="list">
      <formula1>Lists!$D$2:$D$10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3"/>
  </cols>
  <sheetData>
    <row r="1" customFormat="false" ht="23.85" hidden="false" customHeight="false" outlineLevel="0" collapsed="false">
      <c r="A1" s="21" t="s">
        <v>75</v>
      </c>
      <c r="B1" s="21" t="s">
        <v>76</v>
      </c>
      <c r="C1" s="21" t="s">
        <v>67</v>
      </c>
      <c r="D1" s="21" t="s">
        <v>77</v>
      </c>
      <c r="E1" s="21" t="s">
        <v>78</v>
      </c>
      <c r="F1" s="21" t="s">
        <v>79</v>
      </c>
      <c r="G1" s="21" t="s">
        <v>80</v>
      </c>
      <c r="H1" s="21" t="s">
        <v>81</v>
      </c>
      <c r="I1" s="21" t="s">
        <v>82</v>
      </c>
    </row>
    <row r="2" customFormat="false" ht="15" hidden="false" customHeight="false" outlineLevel="0" collapsed="false">
      <c r="A2" s="22" t="s">
        <v>28</v>
      </c>
      <c r="B2" s="23" t="n">
        <f aca="false">COUNTIFS(Pipeline!$B:$B,$A2,Pipeline!$M:$M,"Green",Pipeline!$J:$J,"&lt;&gt;Won",Pipeline!$J:$J,"&lt;&gt;Lost",Pipeline!$C:$C,"&lt;&gt;")</f>
        <v>0</v>
      </c>
      <c r="C2" s="17" t="n">
        <f aca="false">COUNTIFS(Pipeline!$B:$B,$A2,Pipeline!$M:$M,"Yellow",Pipeline!$J:$J,"&lt;&gt;Won",Pipeline!$J:$J,"&lt;&gt;Lost",Pipeline!$C:$C,"&lt;&gt;")</f>
        <v>1</v>
      </c>
      <c r="D2" s="23" t="n">
        <f aca="false">COUNTIFS(Pipeline!$B:$B,$A2,Pipeline!$M:$M,"Red",Pipeline!$J:$J,"&lt;&gt;Won",Pipeline!$J:$J,"&lt;&gt;Lost",Pipeline!$C:$C,"&lt;&gt;")</f>
        <v>0</v>
      </c>
      <c r="E2" s="17" t="n">
        <f aca="false">COUNTIFS(Pipeline!$B:$B,$A2,Pipeline!$J:$J,"&lt;&gt;Won",Pipeline!$J:$J,"&lt;&gt;Lost",Pipeline!$C:$C,"&lt;&gt;")</f>
        <v>3</v>
      </c>
      <c r="F2" s="19" t="n">
        <f aca="false">SUMIFS(Pipeline!$L:$L,Pipeline!$B:$B,$A2,Pipeline!$J:$J,"&lt;&gt;Won",Pipeline!$J:$J,"&lt;&gt;Lost",Pipeline!$C:$C,"&lt;&gt;")</f>
        <v>7500</v>
      </c>
      <c r="G2" s="17" t="n">
        <f aca="false">COUNTIFS(Pipeline!$B:$B,$A2,Pipeline!$R:$R,"TODAY")</f>
        <v>0</v>
      </c>
      <c r="H2" s="17" t="n">
        <f aca="false">COUNTIFS(Pipeline!$B:$B,$A2,Pipeline!$R:$R,"OVERDUE")</f>
        <v>0</v>
      </c>
      <c r="I2" s="17" t="n">
        <f aca="false">COUNTIFS(Pipeline!$B:$B,$A2,Pipeline!$J:$J,"Won")</f>
        <v>0</v>
      </c>
    </row>
    <row r="3" customFormat="false" ht="15" hidden="false" customHeight="false" outlineLevel="0" collapsed="false">
      <c r="A3" s="22" t="s">
        <v>83</v>
      </c>
      <c r="B3" s="23" t="n">
        <f aca="false">COUNTIFS(Pipeline!$B:$B,$A3,Pipeline!$M:$M,"Green",Pipeline!$J:$J,"&lt;&gt;Won",Pipeline!$J:$J,"&lt;&gt;Lost",Pipeline!$C:$C,"&lt;&gt;")</f>
        <v>0</v>
      </c>
      <c r="C3" s="17" t="n">
        <f aca="false">COUNTIFS(Pipeline!$B:$B,$A3,Pipeline!$M:$M,"Yellow",Pipeline!$J:$J,"&lt;&gt;Won",Pipeline!$J:$J,"&lt;&gt;Lost",Pipeline!$C:$C,"&lt;&gt;")</f>
        <v>0</v>
      </c>
      <c r="D3" s="23" t="n">
        <f aca="false">COUNTIFS(Pipeline!$B:$B,$A3,Pipeline!$M:$M,"Red",Pipeline!$J:$J,"&lt;&gt;Won",Pipeline!$J:$J,"&lt;&gt;Lost",Pipeline!$C:$C,"&lt;&gt;")</f>
        <v>0</v>
      </c>
      <c r="E3" s="17" t="n">
        <f aca="false">COUNTIFS(Pipeline!$B:$B,$A3,Pipeline!$J:$J,"&lt;&gt;Won",Pipeline!$J:$J,"&lt;&gt;Lost",Pipeline!$C:$C,"&lt;&gt;")</f>
        <v>0</v>
      </c>
      <c r="F3" s="19" t="n">
        <f aca="false">SUMIFS(Pipeline!$L:$L,Pipeline!$B:$B,$A3,Pipeline!$J:$J,"&lt;&gt;Won",Pipeline!$J:$J,"&lt;&gt;Lost",Pipeline!$C:$C,"&lt;&gt;")</f>
        <v>0</v>
      </c>
      <c r="G3" s="17" t="n">
        <f aca="false">COUNTIFS(Pipeline!$B:$B,$A3,Pipeline!$R:$R,"TODAY")</f>
        <v>0</v>
      </c>
      <c r="H3" s="17" t="n">
        <f aca="false">COUNTIFS(Pipeline!$B:$B,$A3,Pipeline!$R:$R,"OVERDUE")</f>
        <v>0</v>
      </c>
      <c r="I3" s="17" t="n">
        <f aca="false">COUNTIFS(Pipeline!$B:$B,$A3,Pipeline!$J:$J,"Won")</f>
        <v>0</v>
      </c>
    </row>
    <row r="4" customFormat="false" ht="15" hidden="false" customHeight="false" outlineLevel="0" collapsed="false">
      <c r="A4" s="22" t="s">
        <v>84</v>
      </c>
      <c r="B4" s="23" t="n">
        <f aca="false">COUNTIFS(Pipeline!$B:$B,$A4,Pipeline!$M:$M,"Green",Pipeline!$J:$J,"&lt;&gt;Won",Pipeline!$J:$J,"&lt;&gt;Lost",Pipeline!$C:$C,"&lt;&gt;")</f>
        <v>0</v>
      </c>
      <c r="C4" s="17" t="n">
        <f aca="false">COUNTIFS(Pipeline!$B:$B,$A4,Pipeline!$M:$M,"Yellow",Pipeline!$J:$J,"&lt;&gt;Won",Pipeline!$J:$J,"&lt;&gt;Lost",Pipeline!$C:$C,"&lt;&gt;")</f>
        <v>0</v>
      </c>
      <c r="D4" s="23" t="n">
        <f aca="false">COUNTIFS(Pipeline!$B:$B,$A4,Pipeline!$M:$M,"Red",Pipeline!$J:$J,"&lt;&gt;Won",Pipeline!$J:$J,"&lt;&gt;Lost",Pipeline!$C:$C,"&lt;&gt;")</f>
        <v>0</v>
      </c>
      <c r="E4" s="17" t="n">
        <f aca="false">COUNTIFS(Pipeline!$B:$B,$A4,Pipeline!$J:$J,"&lt;&gt;Won",Pipeline!$J:$J,"&lt;&gt;Lost",Pipeline!$C:$C,"&lt;&gt;")</f>
        <v>0</v>
      </c>
      <c r="F4" s="19" t="n">
        <f aca="false">SUMIFS(Pipeline!$L:$L,Pipeline!$B:$B,$A4,Pipeline!$J:$J,"&lt;&gt;Won",Pipeline!$J:$J,"&lt;&gt;Lost",Pipeline!$C:$C,"&lt;&gt;")</f>
        <v>0</v>
      </c>
      <c r="G4" s="17" t="n">
        <f aca="false">COUNTIFS(Pipeline!$B:$B,$A4,Pipeline!$R:$R,"TODAY")</f>
        <v>0</v>
      </c>
      <c r="H4" s="17" t="n">
        <f aca="false">COUNTIFS(Pipeline!$B:$B,$A4,Pipeline!$R:$R,"OVERDUE")</f>
        <v>0</v>
      </c>
      <c r="I4" s="17" t="n">
        <f aca="false">COUNTIFS(Pipeline!$B:$B,$A4,Pipeline!$J:$J,"Won")</f>
        <v>0</v>
      </c>
    </row>
    <row r="5" customFormat="false" ht="15" hidden="false" customHeight="false" outlineLevel="0" collapsed="false">
      <c r="A5" s="24" t="s">
        <v>85</v>
      </c>
      <c r="B5" s="25" t="n">
        <f aca="false">COUNTIFS(Pipeline!$M:$M,"Green",Pipeline!$J:$J,"&lt;&gt;Won",Pipeline!$J:$J,"&lt;&gt;Lost",Pipeline!$C:$C,"&lt;&gt;")</f>
        <v>0</v>
      </c>
      <c r="C5" s="25" t="n">
        <f aca="false">COUNTIFS(Pipeline!$M:$M,"Yellow",Pipeline!$J:$J,"&lt;&gt;Won",Pipeline!$J:$J,"&lt;&gt;Lost",Pipeline!$C:$C,"&lt;&gt;")</f>
        <v>1</v>
      </c>
      <c r="D5" s="25" t="n">
        <f aca="false">COUNTIFS(Pipeline!$M:$M,"Red",Pipeline!$J:$J,"&lt;&gt;Won",Pipeline!$J:$J,"&lt;&gt;Lost",Pipeline!$C:$C,"&lt;&gt;")</f>
        <v>0</v>
      </c>
      <c r="E5" s="25" t="n">
        <f aca="false">COUNTIFS(Pipeline!$J:$J,"&lt;&gt;Won",Pipeline!$J:$J,"&lt;&gt;Lost",Pipeline!$C:$C,"&lt;&gt;")</f>
        <v>4</v>
      </c>
      <c r="F5" s="26" t="n">
        <f aca="false">SUMIFS(Pipeline!$L:$L,Pipeline!$J:$J,"&lt;&gt;Won",Pipeline!$J:$J,"&lt;&gt;Lost",Pipeline!$C:$C,"&lt;&gt;")</f>
        <v>7500</v>
      </c>
      <c r="G5" s="25" t="n">
        <f aca="false">COUNTIFS(Pipeline!$R:$R,"TODAY")</f>
        <v>0</v>
      </c>
      <c r="H5" s="25" t="n">
        <f aca="false">COUNTIFS(Pipeline!$R:$R,"OVERDUE")</f>
        <v>0</v>
      </c>
      <c r="I5" s="25" t="n">
        <f aca="false">COUNTIFS(Pipeline!$J:$J,"Won")</f>
        <v>0</v>
      </c>
    </row>
    <row r="8" customFormat="false" ht="15" hidden="false" customHeight="false" outlineLevel="0" collapsed="false">
      <c r="A8" s="27" t="s">
        <v>86</v>
      </c>
      <c r="B8" s="27" t="s">
        <v>78</v>
      </c>
      <c r="C8" s="27" t="s">
        <v>87</v>
      </c>
    </row>
    <row r="9" customFormat="false" ht="15" hidden="false" customHeight="false" outlineLevel="0" collapsed="false">
      <c r="A9" s="22" t="s">
        <v>68</v>
      </c>
      <c r="B9" s="17" t="n">
        <f aca="false">COUNTIFS(Pipeline!$N:$N,$A9,Pipeline!$J:$J,"&lt;&gt;Won",Pipeline!$J:$J,"&lt;&gt;Lost",Pipeline!$C:$C,"&lt;&gt;")</f>
        <v>1</v>
      </c>
      <c r="C9" s="17" t="n">
        <f aca="false">COUNTIFS(Pipeline!$N:$N,$A9,Pipeline!$M:$M,"Yellow",Pipeline!$J:$J,"&lt;&gt;Won",Pipeline!$J:$J,"&lt;&gt;Lost",Pipeline!$C:$C,"&lt;&gt;")</f>
        <v>1</v>
      </c>
    </row>
    <row r="10" customFormat="false" ht="15" hidden="false" customHeight="false" outlineLevel="0" collapsed="false">
      <c r="A10" s="22" t="s">
        <v>88</v>
      </c>
      <c r="B10" s="17" t="n">
        <f aca="false">COUNTIFS(Pipeline!$N:$N,$A10,Pipeline!$J:$J,"&lt;&gt;Won",Pipeline!$J:$J,"&lt;&gt;Lost",Pipeline!$C:$C,"&lt;&gt;")</f>
        <v>0</v>
      </c>
      <c r="C10" s="17" t="n">
        <f aca="false">COUNTIFS(Pipeline!$N:$N,$A10,Pipeline!$M:$M,"Yellow",Pipeline!$J:$J,"&lt;&gt;Won",Pipeline!$J:$J,"&lt;&gt;Lost",Pipeline!$C:$C,"&lt;&gt;")</f>
        <v>0</v>
      </c>
    </row>
    <row r="11" customFormat="false" ht="15" hidden="false" customHeight="false" outlineLevel="0" collapsed="false">
      <c r="A11" s="22" t="s">
        <v>89</v>
      </c>
      <c r="B11" s="17" t="n">
        <f aca="false">COUNTIFS(Pipeline!$N:$N,$A11,Pipeline!$J:$J,"&lt;&gt;Won",Pipeline!$J:$J,"&lt;&gt;Lost",Pipeline!$C:$C,"&lt;&gt;")</f>
        <v>0</v>
      </c>
      <c r="C11" s="17" t="n">
        <f aca="false">COUNTIFS(Pipeline!$N:$N,$A11,Pipeline!$M:$M,"Yellow",Pipeline!$J:$J,"&lt;&gt;Won",Pipeline!$J:$J,"&lt;&gt;Lost",Pipeline!$C:$C,"&lt;&gt;")</f>
        <v>0</v>
      </c>
    </row>
    <row r="12" customFormat="false" ht="15" hidden="false" customHeight="false" outlineLevel="0" collapsed="false">
      <c r="A12" s="22" t="s">
        <v>90</v>
      </c>
      <c r="B12" s="17" t="n">
        <f aca="false">COUNTIFS(Pipeline!$N:$N,$A12,Pipeline!$J:$J,"&lt;&gt;Won",Pipeline!$J:$J,"&lt;&gt;Lost",Pipeline!$C:$C,"&lt;&gt;")</f>
        <v>0</v>
      </c>
      <c r="C12" s="17" t="n">
        <f aca="false">COUNTIFS(Pipeline!$N:$N,$A12,Pipeline!$M:$M,"Yellow",Pipeline!$J:$J,"&lt;&gt;Won",Pipeline!$J:$J,"&lt;&gt;Lost",Pipeline!$C:$C,"&lt;&gt;")</f>
        <v>0</v>
      </c>
    </row>
    <row r="13" customFormat="false" ht="15" hidden="false" customHeight="false" outlineLevel="0" collapsed="false">
      <c r="A13" s="22" t="s">
        <v>91</v>
      </c>
      <c r="B13" s="17" t="n">
        <f aca="false">COUNTIFS(Pipeline!$N:$N,$A13,Pipeline!$J:$J,"&lt;&gt;Won",Pipeline!$J:$J,"&lt;&gt;Lost",Pipeline!$C:$C,"&lt;&gt;")</f>
        <v>0</v>
      </c>
      <c r="C13" s="17" t="n">
        <f aca="false">COUNTIFS(Pipeline!$N:$N,$A13,Pipeline!$M:$M,"Yellow",Pipeline!$J:$J,"&lt;&gt;Won",Pipeline!$J:$J,"&lt;&gt;Lost",Pipeline!$C:$C,"&lt;&gt;")</f>
        <v>0</v>
      </c>
    </row>
    <row r="14" customFormat="false" ht="15" hidden="false" customHeight="false" outlineLevel="0" collapsed="false">
      <c r="A14" s="22" t="s">
        <v>92</v>
      </c>
      <c r="B14" s="17" t="n">
        <f aca="false">COUNTIFS(Pipeline!$N:$N,$A14,Pipeline!$J:$J,"&lt;&gt;Won",Pipeline!$J:$J,"&lt;&gt;Lost",Pipeline!$C:$C,"&lt;&gt;")</f>
        <v>0</v>
      </c>
      <c r="C14" s="17" t="n">
        <f aca="false">COUNTIFS(Pipeline!$N:$N,$A14,Pipeline!$M:$M,"Yellow",Pipeline!$J:$J,"&lt;&gt;Won",Pipeline!$J:$J,"&lt;&gt;Lost",Pipeline!$C:$C,"&lt;&gt;")</f>
        <v>0</v>
      </c>
    </row>
    <row r="15" customFormat="false" ht="15" hidden="false" customHeight="false" outlineLevel="0" collapsed="false">
      <c r="A15" s="22" t="s">
        <v>93</v>
      </c>
      <c r="B15" s="17" t="n">
        <f aca="false">COUNTIFS(Pipeline!$N:$N,$A15,Pipeline!$J:$J,"&lt;&gt;Won",Pipeline!$J:$J,"&lt;&gt;Lost",Pipeline!$C:$C,"&lt;&gt;")</f>
        <v>0</v>
      </c>
      <c r="C15" s="17" t="n">
        <f aca="false">COUNTIFS(Pipeline!$N:$N,$A15,Pipeline!$M:$M,"Yellow",Pipeline!$J:$J,"&lt;&gt;Won",Pipeline!$J:$J,"&lt;&gt;Lost",Pipeline!$C:$C,"&lt;&gt;")</f>
        <v>0</v>
      </c>
    </row>
    <row r="16" customFormat="false" ht="15" hidden="false" customHeight="false" outlineLevel="0" collapsed="false">
      <c r="A16" s="22" t="s">
        <v>94</v>
      </c>
      <c r="B16" s="17" t="n">
        <f aca="false">COUNTIFS(Pipeline!$N:$N,$A16,Pipeline!$J:$J,"&lt;&gt;Won",Pipeline!$J:$J,"&lt;&gt;Lost",Pipeline!$C:$C,"&lt;&gt;")</f>
        <v>0</v>
      </c>
      <c r="C16" s="17" t="n">
        <f aca="false">COUNTIFS(Pipeline!$N:$N,$A16,Pipeline!$M:$M,"Yellow",Pipeline!$J:$J,"&lt;&gt;Won",Pipeline!$J:$J,"&lt;&gt;Lost",Pipeline!$C:$C,"&lt;&gt;")</f>
        <v>0</v>
      </c>
    </row>
    <row r="17" customFormat="false" ht="15" hidden="false" customHeight="false" outlineLevel="0" collapsed="false">
      <c r="A17" s="22" t="s">
        <v>95</v>
      </c>
      <c r="B17" s="17" t="n">
        <f aca="false">COUNTIFS(Pipeline!$N:$N,$A17,Pipeline!$J:$J,"&lt;&gt;Won",Pipeline!$J:$J,"&lt;&gt;Lost",Pipeline!$C:$C,"&lt;&gt;")</f>
        <v>0</v>
      </c>
      <c r="C17" s="17" t="n">
        <f aca="false">COUNTIFS(Pipeline!$N:$N,$A17,Pipeline!$M:$M,"Yellow",Pipeline!$J:$J,"&lt;&gt;Won",Pipeline!$J:$J,"&lt;&gt;Lost",Pipeline!$C:$C,"&lt;&gt;")</f>
        <v>0</v>
      </c>
    </row>
  </sheetData>
  <conditionalFormatting sqref="B2:B5">
    <cfRule type="cellIs" priority="2" operator="greaterThan" aboveAverage="0" equalAverage="0" bottom="0" percent="0" rank="0" text="" dxfId="7">
      <formula>0</formula>
    </cfRule>
  </conditionalFormatting>
  <conditionalFormatting sqref="C2:C5">
    <cfRule type="cellIs" priority="3" operator="greaterThan" aboveAverage="0" equalAverage="0" bottom="0" percent="0" rank="0" text="" dxfId="11">
      <formula>0</formula>
    </cfRule>
  </conditionalFormatting>
  <conditionalFormatting sqref="D2:D5">
    <cfRule type="cellIs" priority="4" operator="greater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4"/>
  </cols>
  <sheetData>
    <row r="1" customFormat="false" ht="15" hidden="false" customHeight="false" outlineLevel="0" collapsed="false">
      <c r="A1" s="27" t="s">
        <v>96</v>
      </c>
      <c r="B1" s="27" t="s">
        <v>47</v>
      </c>
      <c r="C1" s="27" t="s">
        <v>97</v>
      </c>
      <c r="D1" s="27" t="s">
        <v>51</v>
      </c>
      <c r="E1" s="27" t="s">
        <v>46</v>
      </c>
      <c r="F1" s="27" t="s">
        <v>98</v>
      </c>
      <c r="G1" s="27" t="s">
        <v>99</v>
      </c>
    </row>
    <row r="2" customFormat="false" ht="15" hidden="false" customHeight="false" outlineLevel="0" collapsed="false">
      <c r="A2" s="28" t="s">
        <v>28</v>
      </c>
      <c r="B2" s="28" t="s">
        <v>100</v>
      </c>
      <c r="C2" s="28" t="s">
        <v>76</v>
      </c>
      <c r="D2" s="28" t="s">
        <v>95</v>
      </c>
      <c r="E2" s="28" t="s">
        <v>64</v>
      </c>
      <c r="F2" s="28" t="s">
        <v>101</v>
      </c>
      <c r="G2" s="28" t="n">
        <v>5000</v>
      </c>
    </row>
    <row r="3" customFormat="false" ht="15" hidden="false" customHeight="false" outlineLevel="0" collapsed="false">
      <c r="A3" s="28" t="s">
        <v>83</v>
      </c>
      <c r="B3" s="28" t="s">
        <v>102</v>
      </c>
      <c r="C3" s="28" t="s">
        <v>67</v>
      </c>
      <c r="D3" s="28" t="s">
        <v>68</v>
      </c>
      <c r="E3" s="28" t="s">
        <v>44</v>
      </c>
      <c r="F3" s="28" t="s">
        <v>66</v>
      </c>
      <c r="G3" s="28" t="n">
        <v>7500</v>
      </c>
    </row>
    <row r="4" customFormat="false" ht="15" hidden="false" customHeight="false" outlineLevel="0" collapsed="false">
      <c r="A4" s="28" t="s">
        <v>84</v>
      </c>
      <c r="B4" s="28" t="s">
        <v>103</v>
      </c>
      <c r="C4" s="28" t="s">
        <v>77</v>
      </c>
      <c r="D4" s="28" t="s">
        <v>88</v>
      </c>
      <c r="E4" s="28" t="s">
        <v>104</v>
      </c>
      <c r="F4" s="28" t="s">
        <v>105</v>
      </c>
      <c r="G4" s="28" t="n">
        <v>10000</v>
      </c>
    </row>
    <row r="5" customFormat="false" ht="15" hidden="false" customHeight="false" outlineLevel="0" collapsed="false">
      <c r="B5" s="28" t="s">
        <v>106</v>
      </c>
      <c r="D5" s="28" t="s">
        <v>89</v>
      </c>
      <c r="E5" s="28" t="s">
        <v>107</v>
      </c>
      <c r="F5" s="28" t="s">
        <v>108</v>
      </c>
      <c r="G5" s="28" t="n">
        <v>0</v>
      </c>
    </row>
    <row r="6" customFormat="false" ht="15" hidden="false" customHeight="false" outlineLevel="0" collapsed="false">
      <c r="B6" s="28" t="s">
        <v>109</v>
      </c>
      <c r="D6" s="28" t="s">
        <v>90</v>
      </c>
      <c r="E6" s="28" t="s">
        <v>45</v>
      </c>
    </row>
    <row r="7" customFormat="false" ht="15" hidden="false" customHeight="false" outlineLevel="0" collapsed="false">
      <c r="B7" s="28" t="s">
        <v>65</v>
      </c>
      <c r="D7" s="28" t="s">
        <v>91</v>
      </c>
      <c r="E7" s="28" t="s">
        <v>94</v>
      </c>
    </row>
    <row r="8" customFormat="false" ht="15" hidden="false" customHeight="false" outlineLevel="0" collapsed="false">
      <c r="B8" s="28" t="s">
        <v>110</v>
      </c>
      <c r="D8" s="28" t="s">
        <v>92</v>
      </c>
    </row>
    <row r="9" customFormat="false" ht="15" hidden="false" customHeight="false" outlineLevel="0" collapsed="false">
      <c r="B9" s="28" t="s">
        <v>111</v>
      </c>
      <c r="D9" s="28" t="s">
        <v>93</v>
      </c>
    </row>
    <row r="10" customFormat="false" ht="15" hidden="false" customHeight="false" outlineLevel="0" collapsed="false">
      <c r="B10" s="28" t="s">
        <v>112</v>
      </c>
      <c r="D10" s="28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27" t="s">
        <v>34</v>
      </c>
      <c r="B1" s="27" t="s">
        <v>113</v>
      </c>
      <c r="C1" s="27" t="s">
        <v>46</v>
      </c>
    </row>
    <row r="2" customFormat="false" ht="15" hidden="false" customHeight="false" outlineLevel="0" collapsed="false">
      <c r="A2" s="28" t="s">
        <v>114</v>
      </c>
      <c r="B2" s="4" t="n">
        <v>100</v>
      </c>
      <c r="C2" s="6" t="s">
        <v>115</v>
      </c>
    </row>
    <row r="3" customFormat="false" ht="15" hidden="false" customHeight="false" outlineLevel="0" collapsed="false">
      <c r="A3" s="28" t="s">
        <v>116</v>
      </c>
      <c r="B3" s="4" t="n">
        <v>4</v>
      </c>
      <c r="C3" s="6" t="s">
        <v>115</v>
      </c>
    </row>
    <row r="4" customFormat="false" ht="15" hidden="false" customHeight="false" outlineLevel="0" collapsed="false">
      <c r="A4" s="28" t="s">
        <v>117</v>
      </c>
      <c r="B4" s="4" t="n">
        <v>2</v>
      </c>
      <c r="C4" s="6" t="s">
        <v>115</v>
      </c>
    </row>
    <row r="5" customFormat="false" ht="15" hidden="false" customHeight="false" outlineLevel="0" collapsed="false">
      <c r="A5" s="28" t="s">
        <v>118</v>
      </c>
      <c r="B5" s="4" t="n">
        <v>2</v>
      </c>
      <c r="C5" s="6" t="s">
        <v>115</v>
      </c>
    </row>
    <row r="6" customFormat="false" ht="15" hidden="false" customHeight="false" outlineLevel="0" collapsed="false">
      <c r="A6" s="28" t="s">
        <v>119</v>
      </c>
      <c r="B6" s="4" t="n">
        <v>6</v>
      </c>
      <c r="C6" s="6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2026-10-29T09:37:43Z</dcterms:created>
  <dc:creator>openpyxl</dc:creator>
  <dc:description/>
  <dc:language>en-US</dc:language>
  <cp:lastModifiedBy/>
  <dcterms:modified xsi:type="dcterms:W3CDTF">2026-10-29T09:37:44Z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