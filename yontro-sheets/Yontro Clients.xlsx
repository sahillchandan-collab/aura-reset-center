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Content Plan" sheetId="3" state="visible" r:id="rId3"/>
    <sheet xmlns:r="http://schemas.openxmlformats.org/officeDocument/2006/relationships" name="Uploads" sheetId="4" state="visible" r:id="rId4"/>
    <sheet xmlns:r="http://schemas.openxmlformats.org/officeDocument/2006/relationships" name="Enquiries" sheetId="5" state="visible" r:id="rId5"/>
    <sheet xmlns:r="http://schemas.openxmlformats.org/officeDocument/2006/relationships" name="Monthly Report" sheetId="6" state="visible" r:id="rId6"/>
    <sheet xmlns:r="http://schemas.openxmlformats.org/officeDocument/2006/relationships" name="Packages" sheetId="7" state="visible" r:id="rId7"/>
    <sheet xmlns:r="http://schemas.openxmlformats.org/officeDocument/2006/relationships" name="Lists" sheetId="8" state="visible" r:id="rId8"/>
  </sheets>
  <definedNames>
    <definedName name="_xlnm._FilterDatabase" localSheetId="1" hidden="1">'Clients'!$A$1:$M$201</definedName>
    <definedName name="_xlnm._FilterDatabase" localSheetId="2" hidden="1">'Content Plan'!$A$1:$L$401</definedName>
    <definedName name="_xlnm._FilterDatabase" localSheetId="3" hidden="1">'Uploads'!$A$1:$N$401</definedName>
    <definedName name="_xlnm._FilterDatabase" localSheetId="4" hidden="1">'Enquiries'!$A$1:$H$401</definedName>
    <definedName name="_xlnm._FilterDatabase" localSheetId="5" hidden="1">'Monthly Report'!$A$1:$P$201</definedName>
    <definedName name="_xlnm._FilterDatabase" localSheetId="6" hidden="1">'Packages'!$A$1:$E$7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-mmm-yyyy"/>
    <numFmt numFmtId="165" formatCode="mmm-yyyy"/>
    <numFmt numFmtId="166" formatCode="0.0%"/>
  </numFmts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0"/>
    </font>
    <font>
      <name val="Arial"/>
      <b val="1"/>
      <sz val="10"/>
    </font>
    <font>
      <name val="Arial"/>
      <i val="1"/>
      <color rgb="007F7F7F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4E5"/>
      </patternFill>
    </fill>
    <fill>
      <patternFill patternType="solid">
        <fgColor rgb="00EDEDED"/>
      </patternFill>
    </fill>
    <fill>
      <patternFill patternType="solid">
        <fgColor rgb="000B0B0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2" borderId="0" pivotButton="0" quotePrefix="0" xfId="0"/>
    <xf numFmtId="0" fontId="2" fillId="3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vertical="center" wrapText="1"/>
    </xf>
    <xf numFmtId="0" fontId="4" fillId="2" borderId="1" pivotButton="0" quotePrefix="0" xfId="0"/>
    <xf numFmtId="3" fontId="4" fillId="3" borderId="1" pivotButton="0" quotePrefix="0" xfId="0"/>
    <xf numFmtId="164" fontId="4" fillId="2" borderId="1" pivotButton="0" quotePrefix="0" xfId="0"/>
    <xf numFmtId="164" fontId="4" fillId="3" borderId="1" pivotButton="0" quotePrefix="0" xfId="0"/>
    <xf numFmtId="0" fontId="2" fillId="2" borderId="1" pivotButton="0" quotePrefix="0" xfId="0"/>
    <xf numFmtId="3" fontId="2" fillId="3" borderId="1" pivotButton="0" quotePrefix="0" xfId="0"/>
    <xf numFmtId="164" fontId="2" fillId="2" borderId="1" pivotButton="0" quotePrefix="0" xfId="0"/>
    <xf numFmtId="164" fontId="2" fillId="3" borderId="1" pivotButton="0" quotePrefix="0" xfId="0"/>
    <xf numFmtId="165" fontId="4" fillId="2" borderId="1" pivotButton="0" quotePrefix="0" xfId="0"/>
    <xf numFmtId="165" fontId="2" fillId="2" borderId="1" pivotButton="0" quotePrefix="0" xfId="0"/>
    <xf numFmtId="3" fontId="4" fillId="2" borderId="1" pivotButton="0" quotePrefix="0" xfId="0"/>
    <xf numFmtId="166" fontId="4" fillId="2" borderId="1" pivotButton="0" quotePrefix="0" xfId="0"/>
    <xf numFmtId="3" fontId="2" fillId="2" borderId="1" pivotButton="0" quotePrefix="0" xfId="0"/>
    <xf numFmtId="166" fontId="2" fillId="2" borderId="1" pivotButton="0" quotePrefix="0" xfId="0"/>
    <xf numFmtId="0" fontId="4" fillId="3" borderId="1" pivotButton="0" quotePrefix="0" xfId="0"/>
    <xf numFmtId="166" fontId="4" fillId="3" borderId="1" pivotButton="0" quotePrefix="0" xfId="0"/>
    <xf numFmtId="0" fontId="2" fillId="3" borderId="1" pivotButton="0" quotePrefix="0" xfId="0"/>
    <xf numFmtId="166" fontId="2" fillId="3" borderId="1" pivotButton="0" quotePrefix="0" xfId="0"/>
    <xf numFmtId="0" fontId="5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Yontro</author>
  </authors>
  <commentList>
    <comment ref="J1" authorId="0" shapeId="0">
      <text>
        <t>3-month minimum from start date</t>
      </text>
    </comment>
  </commentList>
</comments>
</file>

<file path=xl/comments/comment2.xml><?xml version="1.0" encoding="utf-8"?>
<comments xmlns="http://schemas.openxmlformats.org/spreadsheetml/2006/main">
  <authors>
    <author>Yontro</author>
  </authors>
  <commentList>
    <comment ref="B1" authorId="0" shapeId="0">
      <text>
        <t>Type the 1st of the month</t>
      </text>
    </comment>
    <comment ref="H1" authorId="0" shapeId="0">
      <text>
        <t>Unique per convert video, e.g. SPA1</t>
      </text>
    </comment>
  </commentList>
</comments>
</file>

<file path=xl/comments/comment3.xml><?xml version="1.0" encoding="utf-8"?>
<comments xmlns="http://schemas.openxmlformats.org/spreadsheetml/2006/main">
  <authors>
    <author>Yontro</author>
  </authors>
  <commentList>
    <comment ref="M1" authorId="0" shapeId="0">
      <text>
        <t>Counted from the Enquiries tab</t>
      </text>
    </comment>
  </commentList>
</comments>
</file>

<file path=xl/comments/comment4.xml><?xml version="1.0" encoding="utf-8"?>
<comments xmlns="http://schemas.openxmlformats.org/spreadsheetml/2006/main">
  <authors>
    <author>Yontro</author>
  </authors>
  <commentList>
    <comment ref="G1" authorId="0" shapeId="0">
      <text>
        <t>Booking or sale value the client confirmed</t>
      </text>
    </comment>
  </commentList>
</comments>
</file>

<file path=xl/comments/comment5.xml><?xml version="1.0" encoding="utf-8"?>
<comments xmlns="http://schemas.openxmlformats.org/spreadsheetml/2006/main">
  <authors>
    <author>Yontro</author>
  </authors>
  <commentList>
    <comment ref="B1" authorId="0" shapeId="0">
      <text>
        <t>Type the 1st of the month</t>
      </text>
    </comment>
    <comment ref="L1" authorId="0" shapeId="0">
      <text>
        <t>Fee reduced pro rata if fewer videos delivered than due (service agreement clause 4)</t>
      </text>
    </comment>
    <comment ref="O1" authorId="0" shapeId="0">
      <text>
        <t>Due within 5 days of invoice</t>
      </text>
    </comment>
  </commentList>
</comments>
</file>

<file path=xl/comments/comment6.xml><?xml version="1.0" encoding="utf-8"?>
<comments xmlns="http://schemas.openxmlformats.org/spreadsheetml/2006/main">
  <authors>
    <author>Yontro</author>
  </authors>
  <commentList>
    <comment ref="B1" authorId="0" shapeId="0">
      <text>
        <t>From the Yontro service agreement (sales deck p.7)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7"/>
  <sheetViews>
    <sheetView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Yontro Clients</t>
        </is>
      </c>
    </row>
    <row r="4">
      <c r="B4" s="2" t="inlineStr">
        <is>
          <t>Owner: Lianna Gozmao. Only Lianna records and edits data. Usama: edit on the Clients tab for new sign-ups. Azeem: comment. Sahill: view.</t>
        </is>
      </c>
    </row>
    <row r="5">
      <c r="B5" s="2" t="inlineStr">
        <is>
          <t>Keep this file separate from 'Yontro Content &amp; Uploads' so client data never mixes with our own pages.</t>
        </is>
      </c>
    </row>
    <row r="6">
      <c r="B6" s="2" t="inlineStr"/>
    </row>
    <row r="7">
      <c r="B7" s="3" t="inlineStr">
        <is>
          <t>Tabs:</t>
        </is>
      </c>
    </row>
    <row r="8">
      <c r="B8" s="2" t="inlineStr">
        <is>
          <t>Clients - one row per client. Usama adds the row on signing; Lianna keeps it current.</t>
        </is>
      </c>
    </row>
    <row r="9">
      <c r="B9" s="2" t="inlineStr">
        <is>
          <t>Packages - prices and deliverables from the service agreement (Launch, Growth, Scale).</t>
        </is>
      </c>
    </row>
    <row r="10">
      <c r="B10" s="2" t="inlineStr">
        <is>
          <t>Content Plan - every planned video per client per month, with its code word.</t>
        </is>
      </c>
    </row>
    <row r="11">
      <c r="B11" s="2" t="inlineStr">
        <is>
          <t>Uploads - every video posted for a client, with its numbers.</t>
        </is>
      </c>
    </row>
    <row r="12">
      <c r="B12" s="2" t="inlineStr">
        <is>
          <t>Enquiries - every customer who messaged a code word. Enquiries per video and per month calculate from here.</t>
        </is>
      </c>
    </row>
    <row r="13">
      <c r="B13" s="2" t="inlineStr">
        <is>
          <t>Monthly Report - one row per client per month: delivered vs due, views, enquiries, and the invoice amount (pro rata if a video was missed).</t>
        </is>
      </c>
    </row>
    <row r="15">
      <c r="B15" s="4" t="inlineStr">
        <is>
          <t>Light orange cell = Lianna types here (input).</t>
        </is>
      </c>
    </row>
    <row r="16">
      <c r="B16" s="5" t="inlineStr">
        <is>
          <t>Grey cell = formula, calculates by itself. Do not type over it.</t>
        </is>
      </c>
    </row>
    <row r="17">
      <c r="B17" s="6" t="inlineStr">
        <is>
          <t>Grey italic row 2 on each tab = EXAMPLE showing the format. Delete it once real data starts.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6" customWidth="1" min="4" max="4"/>
    <col width="16" customWidth="1" min="5" max="5"/>
    <col width="18" customWidth="1" min="6" max="6"/>
    <col width="11" customWidth="1" min="7" max="7"/>
    <col width="12" customWidth="1" min="8" max="8"/>
    <col width="13" customWidth="1" min="9" max="9"/>
    <col width="13" customWidth="1" min="10" max="10"/>
    <col width="18" customWidth="1" min="11" max="11"/>
    <col width="11" customWidth="1" min="12" max="12"/>
    <col width="34" customWidth="1" min="13" max="13"/>
  </cols>
  <sheetData>
    <row r="1" ht="34" customHeight="1">
      <c r="A1" s="7" t="inlineStr">
        <is>
          <t>Business</t>
        </is>
      </c>
      <c r="B1" s="7" t="inlineStr">
        <is>
          <t>Niche</t>
        </is>
      </c>
      <c r="C1" s="7" t="inlineStr">
        <is>
          <t>Area</t>
        </is>
      </c>
      <c r="D1" s="7" t="inlineStr">
        <is>
          <t>Contact name</t>
        </is>
      </c>
      <c r="E1" s="7" t="inlineStr">
        <is>
          <t>Contact WhatsApp</t>
        </is>
      </c>
      <c r="F1" s="7" t="inlineStr">
        <is>
          <t>Instagram</t>
        </is>
      </c>
      <c r="G1" s="7" t="inlineStr">
        <is>
          <t>Package</t>
        </is>
      </c>
      <c r="H1" s="7" t="inlineStr">
        <is>
          <t>Monthly fee (AED)</t>
        </is>
      </c>
      <c r="I1" s="7" t="inlineStr">
        <is>
          <t>Start date</t>
        </is>
      </c>
      <c r="J1" s="7" t="inlineStr">
        <is>
          <t>Minimum term ends</t>
        </is>
      </c>
      <c r="K1" s="7" t="inlineStr">
        <is>
          <t>Status</t>
        </is>
      </c>
      <c r="L1" s="7" t="inlineStr">
        <is>
          <t>Sold by</t>
        </is>
      </c>
      <c r="M1" s="7" t="inlineStr">
        <is>
          <t>Notes</t>
        </is>
      </c>
    </row>
    <row r="2">
      <c r="A2" s="8" t="inlineStr">
        <is>
          <t>EXAMPLE Spa Co</t>
        </is>
      </c>
      <c r="B2" s="8" t="inlineStr">
        <is>
          <t>Spa</t>
        </is>
      </c>
      <c r="C2" s="8" t="inlineStr">
        <is>
          <t>JLT</t>
        </is>
      </c>
      <c r="D2" s="8" t="inlineStr">
        <is>
          <t>Sara M.</t>
        </is>
      </c>
      <c r="E2" s="8" t="inlineStr">
        <is>
          <t>+971 50 000 0000</t>
        </is>
      </c>
      <c r="F2" s="8" t="inlineStr">
        <is>
          <t>@examplespa</t>
        </is>
      </c>
      <c r="G2" s="8" t="inlineStr">
        <is>
          <t>Growth</t>
        </is>
      </c>
      <c r="H2" s="9">
        <f>IF(G2="","",IFERROR(INDEX(Packages!$B:$B,MATCH(G2,Packages!$A:$A,0)),""))</f>
        <v/>
      </c>
      <c r="I2" s="10" t="n">
        <v>46327</v>
      </c>
      <c r="J2" s="11">
        <f>IF(I2="","",EDATE(I2,3))</f>
        <v/>
      </c>
      <c r="K2" s="8" t="inlineStr">
        <is>
          <t>Active</t>
        </is>
      </c>
      <c r="L2" s="8" t="inlineStr">
        <is>
          <t>Usama</t>
        </is>
      </c>
      <c r="M2" s="8" t="inlineStr">
        <is>
          <t>Delete this row</t>
        </is>
      </c>
    </row>
    <row r="3">
      <c r="A3" s="12" t="inlineStr">
        <is>
          <t>Mobile shop (name to add)</t>
        </is>
      </c>
      <c r="B3" s="12" t="inlineStr">
        <is>
          <t>Mobile phones</t>
        </is>
      </c>
      <c r="C3" s="12" t="n"/>
      <c r="D3" s="12" t="n"/>
      <c r="E3" s="12" t="n"/>
      <c r="F3" s="12" t="n"/>
      <c r="G3" s="12" t="n"/>
      <c r="H3" s="13">
        <f>IF(G3="","",IFERROR(INDEX(Packages!$B:$B,MATCH(G3,Packages!$A:$A,0)),""))</f>
        <v/>
      </c>
      <c r="I3" s="14" t="n"/>
      <c r="J3" s="15">
        <f>IF(I3="","",EDATE(I3,3))</f>
        <v/>
      </c>
      <c r="K3" s="12" t="inlineStr">
        <is>
          <t>Free video delivered</t>
        </is>
      </c>
      <c r="L3" s="12" t="inlineStr">
        <is>
          <t>Usama</t>
        </is>
      </c>
      <c r="M3" s="12" t="n"/>
    </row>
    <row r="4">
      <c r="A4" s="12" t="inlineStr">
        <is>
          <t>Spa (name to add)</t>
        </is>
      </c>
      <c r="B4" s="12" t="inlineStr">
        <is>
          <t>Spa</t>
        </is>
      </c>
      <c r="C4" s="12" t="n"/>
      <c r="D4" s="12" t="n"/>
      <c r="E4" s="12" t="n"/>
      <c r="F4" s="12" t="n"/>
      <c r="G4" s="12" t="n"/>
      <c r="H4" s="13">
        <f>IF(G4="","",IFERROR(INDEX(Packages!$B:$B,MATCH(G4,Packages!$A:$A,0)),""))</f>
        <v/>
      </c>
      <c r="I4" s="14" t="n"/>
      <c r="J4" s="15">
        <f>IF(I4="","",EDATE(I4,3))</f>
        <v/>
      </c>
      <c r="K4" s="12" t="inlineStr">
        <is>
          <t>Free video delivered</t>
        </is>
      </c>
      <c r="L4" s="12" t="inlineStr">
        <is>
          <t>Usama</t>
        </is>
      </c>
      <c r="M4" s="12" t="n"/>
    </row>
    <row r="5">
      <c r="A5" s="12" t="n"/>
      <c r="B5" s="12" t="n"/>
      <c r="C5" s="12" t="n"/>
      <c r="D5" s="12" t="n"/>
      <c r="E5" s="12" t="n"/>
      <c r="F5" s="12" t="n"/>
      <c r="G5" s="12" t="n"/>
      <c r="H5" s="13">
        <f>IF(G5="","",IFERROR(INDEX(Packages!$B:$B,MATCH(G5,Packages!$A:$A,0)),""))</f>
        <v/>
      </c>
      <c r="I5" s="14" t="n"/>
      <c r="J5" s="15">
        <f>IF(I5="","",EDATE(I5,3))</f>
        <v/>
      </c>
      <c r="K5" s="12" t="n"/>
      <c r="L5" s="12" t="n"/>
      <c r="M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3">
        <f>IF(G6="","",IFERROR(INDEX(Packages!$B:$B,MATCH(G6,Packages!$A:$A,0)),""))</f>
        <v/>
      </c>
      <c r="I6" s="14" t="n"/>
      <c r="J6" s="15">
        <f>IF(I6="","",EDATE(I6,3))</f>
        <v/>
      </c>
      <c r="K6" s="12" t="n"/>
      <c r="L6" s="12" t="n"/>
      <c r="M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3">
        <f>IF(G7="","",IFERROR(INDEX(Packages!$B:$B,MATCH(G7,Packages!$A:$A,0)),""))</f>
        <v/>
      </c>
      <c r="I7" s="14" t="n"/>
      <c r="J7" s="15">
        <f>IF(I7="","",EDATE(I7,3))</f>
        <v/>
      </c>
      <c r="K7" s="12" t="n"/>
      <c r="L7" s="12" t="n"/>
      <c r="M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3">
        <f>IF(G8="","",IFERROR(INDEX(Packages!$B:$B,MATCH(G8,Packages!$A:$A,0)),""))</f>
        <v/>
      </c>
      <c r="I8" s="14" t="n"/>
      <c r="J8" s="15">
        <f>IF(I8="","",EDATE(I8,3))</f>
        <v/>
      </c>
      <c r="K8" s="12" t="n"/>
      <c r="L8" s="12" t="n"/>
      <c r="M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3">
        <f>IF(G9="","",IFERROR(INDEX(Packages!$B:$B,MATCH(G9,Packages!$A:$A,0)),""))</f>
        <v/>
      </c>
      <c r="I9" s="14" t="n"/>
      <c r="J9" s="15">
        <f>IF(I9="","",EDATE(I9,3))</f>
        <v/>
      </c>
      <c r="K9" s="12" t="n"/>
      <c r="L9" s="12" t="n"/>
      <c r="M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3">
        <f>IF(G10="","",IFERROR(INDEX(Packages!$B:$B,MATCH(G10,Packages!$A:$A,0)),""))</f>
        <v/>
      </c>
      <c r="I10" s="14" t="n"/>
      <c r="J10" s="15">
        <f>IF(I10="","",EDATE(I10,3))</f>
        <v/>
      </c>
      <c r="K10" s="12" t="n"/>
      <c r="L10" s="12" t="n"/>
      <c r="M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3">
        <f>IF(G11="","",IFERROR(INDEX(Packages!$B:$B,MATCH(G11,Packages!$A:$A,0)),""))</f>
        <v/>
      </c>
      <c r="I11" s="14" t="n"/>
      <c r="J11" s="15">
        <f>IF(I11="","",EDATE(I11,3))</f>
        <v/>
      </c>
      <c r="K11" s="12" t="n"/>
      <c r="L11" s="12" t="n"/>
      <c r="M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3">
        <f>IF(G12="","",IFERROR(INDEX(Packages!$B:$B,MATCH(G12,Packages!$A:$A,0)),""))</f>
        <v/>
      </c>
      <c r="I12" s="14" t="n"/>
      <c r="J12" s="15">
        <f>IF(I12="","",EDATE(I12,3))</f>
        <v/>
      </c>
      <c r="K12" s="12" t="n"/>
      <c r="L12" s="12" t="n"/>
      <c r="M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3">
        <f>IF(G13="","",IFERROR(INDEX(Packages!$B:$B,MATCH(G13,Packages!$A:$A,0)),""))</f>
        <v/>
      </c>
      <c r="I13" s="14" t="n"/>
      <c r="J13" s="15">
        <f>IF(I13="","",EDATE(I13,3))</f>
        <v/>
      </c>
      <c r="K13" s="12" t="n"/>
      <c r="L13" s="12" t="n"/>
      <c r="M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3">
        <f>IF(G14="","",IFERROR(INDEX(Packages!$B:$B,MATCH(G14,Packages!$A:$A,0)),""))</f>
        <v/>
      </c>
      <c r="I14" s="14" t="n"/>
      <c r="J14" s="15">
        <f>IF(I14="","",EDATE(I14,3))</f>
        <v/>
      </c>
      <c r="K14" s="12" t="n"/>
      <c r="L14" s="12" t="n"/>
      <c r="M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3">
        <f>IF(G15="","",IFERROR(INDEX(Packages!$B:$B,MATCH(G15,Packages!$A:$A,0)),""))</f>
        <v/>
      </c>
      <c r="I15" s="14" t="n"/>
      <c r="J15" s="15">
        <f>IF(I15="","",EDATE(I15,3))</f>
        <v/>
      </c>
      <c r="K15" s="12" t="n"/>
      <c r="L15" s="12" t="n"/>
      <c r="M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3">
        <f>IF(G16="","",IFERROR(INDEX(Packages!$B:$B,MATCH(G16,Packages!$A:$A,0)),""))</f>
        <v/>
      </c>
      <c r="I16" s="14" t="n"/>
      <c r="J16" s="15">
        <f>IF(I16="","",EDATE(I16,3))</f>
        <v/>
      </c>
      <c r="K16" s="12" t="n"/>
      <c r="L16" s="12" t="n"/>
      <c r="M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3">
        <f>IF(G17="","",IFERROR(INDEX(Packages!$B:$B,MATCH(G17,Packages!$A:$A,0)),""))</f>
        <v/>
      </c>
      <c r="I17" s="14" t="n"/>
      <c r="J17" s="15">
        <f>IF(I17="","",EDATE(I17,3))</f>
        <v/>
      </c>
      <c r="K17" s="12" t="n"/>
      <c r="L17" s="12" t="n"/>
      <c r="M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3">
        <f>IF(G18="","",IFERROR(INDEX(Packages!$B:$B,MATCH(G18,Packages!$A:$A,0)),""))</f>
        <v/>
      </c>
      <c r="I18" s="14" t="n"/>
      <c r="J18" s="15">
        <f>IF(I18="","",EDATE(I18,3))</f>
        <v/>
      </c>
      <c r="K18" s="12" t="n"/>
      <c r="L18" s="12" t="n"/>
      <c r="M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3">
        <f>IF(G19="","",IFERROR(INDEX(Packages!$B:$B,MATCH(G19,Packages!$A:$A,0)),""))</f>
        <v/>
      </c>
      <c r="I19" s="14" t="n"/>
      <c r="J19" s="15">
        <f>IF(I19="","",EDATE(I19,3))</f>
        <v/>
      </c>
      <c r="K19" s="12" t="n"/>
      <c r="L19" s="12" t="n"/>
      <c r="M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3">
        <f>IF(G20="","",IFERROR(INDEX(Packages!$B:$B,MATCH(G20,Packages!$A:$A,0)),""))</f>
        <v/>
      </c>
      <c r="I20" s="14" t="n"/>
      <c r="J20" s="15">
        <f>IF(I20="","",EDATE(I20,3))</f>
        <v/>
      </c>
      <c r="K20" s="12" t="n"/>
      <c r="L20" s="12" t="n"/>
      <c r="M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3">
        <f>IF(G21="","",IFERROR(INDEX(Packages!$B:$B,MATCH(G21,Packages!$A:$A,0)),""))</f>
        <v/>
      </c>
      <c r="I21" s="14" t="n"/>
      <c r="J21" s="15">
        <f>IF(I21="","",EDATE(I21,3))</f>
        <v/>
      </c>
      <c r="K21" s="12" t="n"/>
      <c r="L21" s="12" t="n"/>
      <c r="M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3">
        <f>IF(G22="","",IFERROR(INDEX(Packages!$B:$B,MATCH(G22,Packages!$A:$A,0)),""))</f>
        <v/>
      </c>
      <c r="I22" s="14" t="n"/>
      <c r="J22" s="15">
        <f>IF(I22="","",EDATE(I22,3))</f>
        <v/>
      </c>
      <c r="K22" s="12" t="n"/>
      <c r="L22" s="12" t="n"/>
      <c r="M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3">
        <f>IF(G23="","",IFERROR(INDEX(Packages!$B:$B,MATCH(G23,Packages!$A:$A,0)),""))</f>
        <v/>
      </c>
      <c r="I23" s="14" t="n"/>
      <c r="J23" s="15">
        <f>IF(I23="","",EDATE(I23,3))</f>
        <v/>
      </c>
      <c r="K23" s="12" t="n"/>
      <c r="L23" s="12" t="n"/>
      <c r="M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3">
        <f>IF(G24="","",IFERROR(INDEX(Packages!$B:$B,MATCH(G24,Packages!$A:$A,0)),""))</f>
        <v/>
      </c>
      <c r="I24" s="14" t="n"/>
      <c r="J24" s="15">
        <f>IF(I24="","",EDATE(I24,3))</f>
        <v/>
      </c>
      <c r="K24" s="12" t="n"/>
      <c r="L24" s="12" t="n"/>
      <c r="M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3">
        <f>IF(G25="","",IFERROR(INDEX(Packages!$B:$B,MATCH(G25,Packages!$A:$A,0)),""))</f>
        <v/>
      </c>
      <c r="I25" s="14" t="n"/>
      <c r="J25" s="15">
        <f>IF(I25="","",EDATE(I25,3))</f>
        <v/>
      </c>
      <c r="K25" s="12" t="n"/>
      <c r="L25" s="12" t="n"/>
      <c r="M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3">
        <f>IF(G26="","",IFERROR(INDEX(Packages!$B:$B,MATCH(G26,Packages!$A:$A,0)),""))</f>
        <v/>
      </c>
      <c r="I26" s="14" t="n"/>
      <c r="J26" s="15">
        <f>IF(I26="","",EDATE(I26,3))</f>
        <v/>
      </c>
      <c r="K26" s="12" t="n"/>
      <c r="L26" s="12" t="n"/>
      <c r="M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3">
        <f>IF(G27="","",IFERROR(INDEX(Packages!$B:$B,MATCH(G27,Packages!$A:$A,0)),""))</f>
        <v/>
      </c>
      <c r="I27" s="14" t="n"/>
      <c r="J27" s="15">
        <f>IF(I27="","",EDATE(I27,3))</f>
        <v/>
      </c>
      <c r="K27" s="12" t="n"/>
      <c r="L27" s="12" t="n"/>
      <c r="M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3">
        <f>IF(G28="","",IFERROR(INDEX(Packages!$B:$B,MATCH(G28,Packages!$A:$A,0)),""))</f>
        <v/>
      </c>
      <c r="I28" s="14" t="n"/>
      <c r="J28" s="15">
        <f>IF(I28="","",EDATE(I28,3))</f>
        <v/>
      </c>
      <c r="K28" s="12" t="n"/>
      <c r="L28" s="12" t="n"/>
      <c r="M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3">
        <f>IF(G29="","",IFERROR(INDEX(Packages!$B:$B,MATCH(G29,Packages!$A:$A,0)),""))</f>
        <v/>
      </c>
      <c r="I29" s="14" t="n"/>
      <c r="J29" s="15">
        <f>IF(I29="","",EDATE(I29,3))</f>
        <v/>
      </c>
      <c r="K29" s="12" t="n"/>
      <c r="L29" s="12" t="n"/>
      <c r="M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3">
        <f>IF(G30="","",IFERROR(INDEX(Packages!$B:$B,MATCH(G30,Packages!$A:$A,0)),""))</f>
        <v/>
      </c>
      <c r="I30" s="14" t="n"/>
      <c r="J30" s="15">
        <f>IF(I30="","",EDATE(I30,3))</f>
        <v/>
      </c>
      <c r="K30" s="12" t="n"/>
      <c r="L30" s="12" t="n"/>
      <c r="M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3">
        <f>IF(G31="","",IFERROR(INDEX(Packages!$B:$B,MATCH(G31,Packages!$A:$A,0)),""))</f>
        <v/>
      </c>
      <c r="I31" s="14" t="n"/>
      <c r="J31" s="15">
        <f>IF(I31="","",EDATE(I31,3))</f>
        <v/>
      </c>
      <c r="K31" s="12" t="n"/>
      <c r="L31" s="12" t="n"/>
      <c r="M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3">
        <f>IF(G32="","",IFERROR(INDEX(Packages!$B:$B,MATCH(G32,Packages!$A:$A,0)),""))</f>
        <v/>
      </c>
      <c r="I32" s="14" t="n"/>
      <c r="J32" s="15">
        <f>IF(I32="","",EDATE(I32,3))</f>
        <v/>
      </c>
      <c r="K32" s="12" t="n"/>
      <c r="L32" s="12" t="n"/>
      <c r="M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3">
        <f>IF(G33="","",IFERROR(INDEX(Packages!$B:$B,MATCH(G33,Packages!$A:$A,0)),""))</f>
        <v/>
      </c>
      <c r="I33" s="14" t="n"/>
      <c r="J33" s="15">
        <f>IF(I33="","",EDATE(I33,3))</f>
        <v/>
      </c>
      <c r="K33" s="12" t="n"/>
      <c r="L33" s="12" t="n"/>
      <c r="M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3">
        <f>IF(G34="","",IFERROR(INDEX(Packages!$B:$B,MATCH(G34,Packages!$A:$A,0)),""))</f>
        <v/>
      </c>
      <c r="I34" s="14" t="n"/>
      <c r="J34" s="15">
        <f>IF(I34="","",EDATE(I34,3))</f>
        <v/>
      </c>
      <c r="K34" s="12" t="n"/>
      <c r="L34" s="12" t="n"/>
      <c r="M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3">
        <f>IF(G35="","",IFERROR(INDEX(Packages!$B:$B,MATCH(G35,Packages!$A:$A,0)),""))</f>
        <v/>
      </c>
      <c r="I35" s="14" t="n"/>
      <c r="J35" s="15">
        <f>IF(I35="","",EDATE(I35,3))</f>
        <v/>
      </c>
      <c r="K35" s="12" t="n"/>
      <c r="L35" s="12" t="n"/>
      <c r="M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3">
        <f>IF(G36="","",IFERROR(INDEX(Packages!$B:$B,MATCH(G36,Packages!$A:$A,0)),""))</f>
        <v/>
      </c>
      <c r="I36" s="14" t="n"/>
      <c r="J36" s="15">
        <f>IF(I36="","",EDATE(I36,3))</f>
        <v/>
      </c>
      <c r="K36" s="12" t="n"/>
      <c r="L36" s="12" t="n"/>
      <c r="M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3">
        <f>IF(G37="","",IFERROR(INDEX(Packages!$B:$B,MATCH(G37,Packages!$A:$A,0)),""))</f>
        <v/>
      </c>
      <c r="I37" s="14" t="n"/>
      <c r="J37" s="15">
        <f>IF(I37="","",EDATE(I37,3))</f>
        <v/>
      </c>
      <c r="K37" s="12" t="n"/>
      <c r="L37" s="12" t="n"/>
      <c r="M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3">
        <f>IF(G38="","",IFERROR(INDEX(Packages!$B:$B,MATCH(G38,Packages!$A:$A,0)),""))</f>
        <v/>
      </c>
      <c r="I38" s="14" t="n"/>
      <c r="J38" s="15">
        <f>IF(I38="","",EDATE(I38,3))</f>
        <v/>
      </c>
      <c r="K38" s="12" t="n"/>
      <c r="L38" s="12" t="n"/>
      <c r="M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3">
        <f>IF(G39="","",IFERROR(INDEX(Packages!$B:$B,MATCH(G39,Packages!$A:$A,0)),""))</f>
        <v/>
      </c>
      <c r="I39" s="14" t="n"/>
      <c r="J39" s="15">
        <f>IF(I39="","",EDATE(I39,3))</f>
        <v/>
      </c>
      <c r="K39" s="12" t="n"/>
      <c r="L39" s="12" t="n"/>
      <c r="M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3">
        <f>IF(G40="","",IFERROR(INDEX(Packages!$B:$B,MATCH(G40,Packages!$A:$A,0)),""))</f>
        <v/>
      </c>
      <c r="I40" s="14" t="n"/>
      <c r="J40" s="15">
        <f>IF(I40="","",EDATE(I40,3))</f>
        <v/>
      </c>
      <c r="K40" s="12" t="n"/>
      <c r="L40" s="12" t="n"/>
      <c r="M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3">
        <f>IF(G41="","",IFERROR(INDEX(Packages!$B:$B,MATCH(G41,Packages!$A:$A,0)),""))</f>
        <v/>
      </c>
      <c r="I41" s="14" t="n"/>
      <c r="J41" s="15">
        <f>IF(I41="","",EDATE(I41,3))</f>
        <v/>
      </c>
      <c r="K41" s="12" t="n"/>
      <c r="L41" s="12" t="n"/>
      <c r="M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3">
        <f>IF(G42="","",IFERROR(INDEX(Packages!$B:$B,MATCH(G42,Packages!$A:$A,0)),""))</f>
        <v/>
      </c>
      <c r="I42" s="14" t="n"/>
      <c r="J42" s="15">
        <f>IF(I42="","",EDATE(I42,3))</f>
        <v/>
      </c>
      <c r="K42" s="12" t="n"/>
      <c r="L42" s="12" t="n"/>
      <c r="M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3">
        <f>IF(G43="","",IFERROR(INDEX(Packages!$B:$B,MATCH(G43,Packages!$A:$A,0)),""))</f>
        <v/>
      </c>
      <c r="I43" s="14" t="n"/>
      <c r="J43" s="15">
        <f>IF(I43="","",EDATE(I43,3))</f>
        <v/>
      </c>
      <c r="K43" s="12" t="n"/>
      <c r="L43" s="12" t="n"/>
      <c r="M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3">
        <f>IF(G44="","",IFERROR(INDEX(Packages!$B:$B,MATCH(G44,Packages!$A:$A,0)),""))</f>
        <v/>
      </c>
      <c r="I44" s="14" t="n"/>
      <c r="J44" s="15">
        <f>IF(I44="","",EDATE(I44,3))</f>
        <v/>
      </c>
      <c r="K44" s="12" t="n"/>
      <c r="L44" s="12" t="n"/>
      <c r="M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3">
        <f>IF(G45="","",IFERROR(INDEX(Packages!$B:$B,MATCH(G45,Packages!$A:$A,0)),""))</f>
        <v/>
      </c>
      <c r="I45" s="14" t="n"/>
      <c r="J45" s="15">
        <f>IF(I45="","",EDATE(I45,3))</f>
        <v/>
      </c>
      <c r="K45" s="12" t="n"/>
      <c r="L45" s="12" t="n"/>
      <c r="M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3">
        <f>IF(G46="","",IFERROR(INDEX(Packages!$B:$B,MATCH(G46,Packages!$A:$A,0)),""))</f>
        <v/>
      </c>
      <c r="I46" s="14" t="n"/>
      <c r="J46" s="15">
        <f>IF(I46="","",EDATE(I46,3))</f>
        <v/>
      </c>
      <c r="K46" s="12" t="n"/>
      <c r="L46" s="12" t="n"/>
      <c r="M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3">
        <f>IF(G47="","",IFERROR(INDEX(Packages!$B:$B,MATCH(G47,Packages!$A:$A,0)),""))</f>
        <v/>
      </c>
      <c r="I47" s="14" t="n"/>
      <c r="J47" s="15">
        <f>IF(I47="","",EDATE(I47,3))</f>
        <v/>
      </c>
      <c r="K47" s="12" t="n"/>
      <c r="L47" s="12" t="n"/>
      <c r="M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3">
        <f>IF(G48="","",IFERROR(INDEX(Packages!$B:$B,MATCH(G48,Packages!$A:$A,0)),""))</f>
        <v/>
      </c>
      <c r="I48" s="14" t="n"/>
      <c r="J48" s="15">
        <f>IF(I48="","",EDATE(I48,3))</f>
        <v/>
      </c>
      <c r="K48" s="12" t="n"/>
      <c r="L48" s="12" t="n"/>
      <c r="M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3">
        <f>IF(G49="","",IFERROR(INDEX(Packages!$B:$B,MATCH(G49,Packages!$A:$A,0)),""))</f>
        <v/>
      </c>
      <c r="I49" s="14" t="n"/>
      <c r="J49" s="15">
        <f>IF(I49="","",EDATE(I49,3))</f>
        <v/>
      </c>
      <c r="K49" s="12" t="n"/>
      <c r="L49" s="12" t="n"/>
      <c r="M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3">
        <f>IF(G50="","",IFERROR(INDEX(Packages!$B:$B,MATCH(G50,Packages!$A:$A,0)),""))</f>
        <v/>
      </c>
      <c r="I50" s="14" t="n"/>
      <c r="J50" s="15">
        <f>IF(I50="","",EDATE(I50,3))</f>
        <v/>
      </c>
      <c r="K50" s="12" t="n"/>
      <c r="L50" s="12" t="n"/>
      <c r="M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3">
        <f>IF(G51="","",IFERROR(INDEX(Packages!$B:$B,MATCH(G51,Packages!$A:$A,0)),""))</f>
        <v/>
      </c>
      <c r="I51" s="14" t="n"/>
      <c r="J51" s="15">
        <f>IF(I51="","",EDATE(I51,3))</f>
        <v/>
      </c>
      <c r="K51" s="12" t="n"/>
      <c r="L51" s="12" t="n"/>
      <c r="M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3">
        <f>IF(G52="","",IFERROR(INDEX(Packages!$B:$B,MATCH(G52,Packages!$A:$A,0)),""))</f>
        <v/>
      </c>
      <c r="I52" s="14" t="n"/>
      <c r="J52" s="15">
        <f>IF(I52="","",EDATE(I52,3))</f>
        <v/>
      </c>
      <c r="K52" s="12" t="n"/>
      <c r="L52" s="12" t="n"/>
      <c r="M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3">
        <f>IF(G53="","",IFERROR(INDEX(Packages!$B:$B,MATCH(G53,Packages!$A:$A,0)),""))</f>
        <v/>
      </c>
      <c r="I53" s="14" t="n"/>
      <c r="J53" s="15">
        <f>IF(I53="","",EDATE(I53,3))</f>
        <v/>
      </c>
      <c r="K53" s="12" t="n"/>
      <c r="L53" s="12" t="n"/>
      <c r="M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3">
        <f>IF(G54="","",IFERROR(INDEX(Packages!$B:$B,MATCH(G54,Packages!$A:$A,0)),""))</f>
        <v/>
      </c>
      <c r="I54" s="14" t="n"/>
      <c r="J54" s="15">
        <f>IF(I54="","",EDATE(I54,3))</f>
        <v/>
      </c>
      <c r="K54" s="12" t="n"/>
      <c r="L54" s="12" t="n"/>
      <c r="M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3">
        <f>IF(G55="","",IFERROR(INDEX(Packages!$B:$B,MATCH(G55,Packages!$A:$A,0)),""))</f>
        <v/>
      </c>
      <c r="I55" s="14" t="n"/>
      <c r="J55" s="15">
        <f>IF(I55="","",EDATE(I55,3))</f>
        <v/>
      </c>
      <c r="K55" s="12" t="n"/>
      <c r="L55" s="12" t="n"/>
      <c r="M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3">
        <f>IF(G56="","",IFERROR(INDEX(Packages!$B:$B,MATCH(G56,Packages!$A:$A,0)),""))</f>
        <v/>
      </c>
      <c r="I56" s="14" t="n"/>
      <c r="J56" s="15">
        <f>IF(I56="","",EDATE(I56,3))</f>
        <v/>
      </c>
      <c r="K56" s="12" t="n"/>
      <c r="L56" s="12" t="n"/>
      <c r="M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3">
        <f>IF(G57="","",IFERROR(INDEX(Packages!$B:$B,MATCH(G57,Packages!$A:$A,0)),""))</f>
        <v/>
      </c>
      <c r="I57" s="14" t="n"/>
      <c r="J57" s="15">
        <f>IF(I57="","",EDATE(I57,3))</f>
        <v/>
      </c>
      <c r="K57" s="12" t="n"/>
      <c r="L57" s="12" t="n"/>
      <c r="M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3">
        <f>IF(G58="","",IFERROR(INDEX(Packages!$B:$B,MATCH(G58,Packages!$A:$A,0)),""))</f>
        <v/>
      </c>
      <c r="I58" s="14" t="n"/>
      <c r="J58" s="15">
        <f>IF(I58="","",EDATE(I58,3))</f>
        <v/>
      </c>
      <c r="K58" s="12" t="n"/>
      <c r="L58" s="12" t="n"/>
      <c r="M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3">
        <f>IF(G59="","",IFERROR(INDEX(Packages!$B:$B,MATCH(G59,Packages!$A:$A,0)),""))</f>
        <v/>
      </c>
      <c r="I59" s="14" t="n"/>
      <c r="J59" s="15">
        <f>IF(I59="","",EDATE(I59,3))</f>
        <v/>
      </c>
      <c r="K59" s="12" t="n"/>
      <c r="L59" s="12" t="n"/>
      <c r="M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3">
        <f>IF(G60="","",IFERROR(INDEX(Packages!$B:$B,MATCH(G60,Packages!$A:$A,0)),""))</f>
        <v/>
      </c>
      <c r="I60" s="14" t="n"/>
      <c r="J60" s="15">
        <f>IF(I60="","",EDATE(I60,3))</f>
        <v/>
      </c>
      <c r="K60" s="12" t="n"/>
      <c r="L60" s="12" t="n"/>
      <c r="M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3">
        <f>IF(G61="","",IFERROR(INDEX(Packages!$B:$B,MATCH(G61,Packages!$A:$A,0)),""))</f>
        <v/>
      </c>
      <c r="I61" s="14" t="n"/>
      <c r="J61" s="15">
        <f>IF(I61="","",EDATE(I61,3))</f>
        <v/>
      </c>
      <c r="K61" s="12" t="n"/>
      <c r="L61" s="12" t="n"/>
      <c r="M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3">
        <f>IF(G62="","",IFERROR(INDEX(Packages!$B:$B,MATCH(G62,Packages!$A:$A,0)),""))</f>
        <v/>
      </c>
      <c r="I62" s="14" t="n"/>
      <c r="J62" s="15">
        <f>IF(I62="","",EDATE(I62,3))</f>
        <v/>
      </c>
      <c r="K62" s="12" t="n"/>
      <c r="L62" s="12" t="n"/>
      <c r="M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3">
        <f>IF(G63="","",IFERROR(INDEX(Packages!$B:$B,MATCH(G63,Packages!$A:$A,0)),""))</f>
        <v/>
      </c>
      <c r="I63" s="14" t="n"/>
      <c r="J63" s="15">
        <f>IF(I63="","",EDATE(I63,3))</f>
        <v/>
      </c>
      <c r="K63" s="12" t="n"/>
      <c r="L63" s="12" t="n"/>
      <c r="M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3">
        <f>IF(G64="","",IFERROR(INDEX(Packages!$B:$B,MATCH(G64,Packages!$A:$A,0)),""))</f>
        <v/>
      </c>
      <c r="I64" s="14" t="n"/>
      <c r="J64" s="15">
        <f>IF(I64="","",EDATE(I64,3))</f>
        <v/>
      </c>
      <c r="K64" s="12" t="n"/>
      <c r="L64" s="12" t="n"/>
      <c r="M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3">
        <f>IF(G65="","",IFERROR(INDEX(Packages!$B:$B,MATCH(G65,Packages!$A:$A,0)),""))</f>
        <v/>
      </c>
      <c r="I65" s="14" t="n"/>
      <c r="J65" s="15">
        <f>IF(I65="","",EDATE(I65,3))</f>
        <v/>
      </c>
      <c r="K65" s="12" t="n"/>
      <c r="L65" s="12" t="n"/>
      <c r="M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3">
        <f>IF(G66="","",IFERROR(INDEX(Packages!$B:$B,MATCH(G66,Packages!$A:$A,0)),""))</f>
        <v/>
      </c>
      <c r="I66" s="14" t="n"/>
      <c r="J66" s="15">
        <f>IF(I66="","",EDATE(I66,3))</f>
        <v/>
      </c>
      <c r="K66" s="12" t="n"/>
      <c r="L66" s="12" t="n"/>
      <c r="M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3">
        <f>IF(G67="","",IFERROR(INDEX(Packages!$B:$B,MATCH(G67,Packages!$A:$A,0)),""))</f>
        <v/>
      </c>
      <c r="I67" s="14" t="n"/>
      <c r="J67" s="15">
        <f>IF(I67="","",EDATE(I67,3))</f>
        <v/>
      </c>
      <c r="K67" s="12" t="n"/>
      <c r="L67" s="12" t="n"/>
      <c r="M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3">
        <f>IF(G68="","",IFERROR(INDEX(Packages!$B:$B,MATCH(G68,Packages!$A:$A,0)),""))</f>
        <v/>
      </c>
      <c r="I68" s="14" t="n"/>
      <c r="J68" s="15">
        <f>IF(I68="","",EDATE(I68,3))</f>
        <v/>
      </c>
      <c r="K68" s="12" t="n"/>
      <c r="L68" s="12" t="n"/>
      <c r="M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3">
        <f>IF(G69="","",IFERROR(INDEX(Packages!$B:$B,MATCH(G69,Packages!$A:$A,0)),""))</f>
        <v/>
      </c>
      <c r="I69" s="14" t="n"/>
      <c r="J69" s="15">
        <f>IF(I69="","",EDATE(I69,3))</f>
        <v/>
      </c>
      <c r="K69" s="12" t="n"/>
      <c r="L69" s="12" t="n"/>
      <c r="M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3">
        <f>IF(G70="","",IFERROR(INDEX(Packages!$B:$B,MATCH(G70,Packages!$A:$A,0)),""))</f>
        <v/>
      </c>
      <c r="I70" s="14" t="n"/>
      <c r="J70" s="15">
        <f>IF(I70="","",EDATE(I70,3))</f>
        <v/>
      </c>
      <c r="K70" s="12" t="n"/>
      <c r="L70" s="12" t="n"/>
      <c r="M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3">
        <f>IF(G71="","",IFERROR(INDEX(Packages!$B:$B,MATCH(G71,Packages!$A:$A,0)),""))</f>
        <v/>
      </c>
      <c r="I71" s="14" t="n"/>
      <c r="J71" s="15">
        <f>IF(I71="","",EDATE(I71,3))</f>
        <v/>
      </c>
      <c r="K71" s="12" t="n"/>
      <c r="L71" s="12" t="n"/>
      <c r="M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3">
        <f>IF(G72="","",IFERROR(INDEX(Packages!$B:$B,MATCH(G72,Packages!$A:$A,0)),""))</f>
        <v/>
      </c>
      <c r="I72" s="14" t="n"/>
      <c r="J72" s="15">
        <f>IF(I72="","",EDATE(I72,3))</f>
        <v/>
      </c>
      <c r="K72" s="12" t="n"/>
      <c r="L72" s="12" t="n"/>
      <c r="M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3">
        <f>IF(G73="","",IFERROR(INDEX(Packages!$B:$B,MATCH(G73,Packages!$A:$A,0)),""))</f>
        <v/>
      </c>
      <c r="I73" s="14" t="n"/>
      <c r="J73" s="15">
        <f>IF(I73="","",EDATE(I73,3))</f>
        <v/>
      </c>
      <c r="K73" s="12" t="n"/>
      <c r="L73" s="12" t="n"/>
      <c r="M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3">
        <f>IF(G74="","",IFERROR(INDEX(Packages!$B:$B,MATCH(G74,Packages!$A:$A,0)),""))</f>
        <v/>
      </c>
      <c r="I74" s="14" t="n"/>
      <c r="J74" s="15">
        <f>IF(I74="","",EDATE(I74,3))</f>
        <v/>
      </c>
      <c r="K74" s="12" t="n"/>
      <c r="L74" s="12" t="n"/>
      <c r="M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3">
        <f>IF(G75="","",IFERROR(INDEX(Packages!$B:$B,MATCH(G75,Packages!$A:$A,0)),""))</f>
        <v/>
      </c>
      <c r="I75" s="14" t="n"/>
      <c r="J75" s="15">
        <f>IF(I75="","",EDATE(I75,3))</f>
        <v/>
      </c>
      <c r="K75" s="12" t="n"/>
      <c r="L75" s="12" t="n"/>
      <c r="M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3">
        <f>IF(G76="","",IFERROR(INDEX(Packages!$B:$B,MATCH(G76,Packages!$A:$A,0)),""))</f>
        <v/>
      </c>
      <c r="I76" s="14" t="n"/>
      <c r="J76" s="15">
        <f>IF(I76="","",EDATE(I76,3))</f>
        <v/>
      </c>
      <c r="K76" s="12" t="n"/>
      <c r="L76" s="12" t="n"/>
      <c r="M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3">
        <f>IF(G77="","",IFERROR(INDEX(Packages!$B:$B,MATCH(G77,Packages!$A:$A,0)),""))</f>
        <v/>
      </c>
      <c r="I77" s="14" t="n"/>
      <c r="J77" s="15">
        <f>IF(I77="","",EDATE(I77,3))</f>
        <v/>
      </c>
      <c r="K77" s="12" t="n"/>
      <c r="L77" s="12" t="n"/>
      <c r="M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3">
        <f>IF(G78="","",IFERROR(INDEX(Packages!$B:$B,MATCH(G78,Packages!$A:$A,0)),""))</f>
        <v/>
      </c>
      <c r="I78" s="14" t="n"/>
      <c r="J78" s="15">
        <f>IF(I78="","",EDATE(I78,3))</f>
        <v/>
      </c>
      <c r="K78" s="12" t="n"/>
      <c r="L78" s="12" t="n"/>
      <c r="M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3">
        <f>IF(G79="","",IFERROR(INDEX(Packages!$B:$B,MATCH(G79,Packages!$A:$A,0)),""))</f>
        <v/>
      </c>
      <c r="I79" s="14" t="n"/>
      <c r="J79" s="15">
        <f>IF(I79="","",EDATE(I79,3))</f>
        <v/>
      </c>
      <c r="K79" s="12" t="n"/>
      <c r="L79" s="12" t="n"/>
      <c r="M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3">
        <f>IF(G80="","",IFERROR(INDEX(Packages!$B:$B,MATCH(G80,Packages!$A:$A,0)),""))</f>
        <v/>
      </c>
      <c r="I80" s="14" t="n"/>
      <c r="J80" s="15">
        <f>IF(I80="","",EDATE(I80,3))</f>
        <v/>
      </c>
      <c r="K80" s="12" t="n"/>
      <c r="L80" s="12" t="n"/>
      <c r="M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3">
        <f>IF(G81="","",IFERROR(INDEX(Packages!$B:$B,MATCH(G81,Packages!$A:$A,0)),""))</f>
        <v/>
      </c>
      <c r="I81" s="14" t="n"/>
      <c r="J81" s="15">
        <f>IF(I81="","",EDATE(I81,3))</f>
        <v/>
      </c>
      <c r="K81" s="12" t="n"/>
      <c r="L81" s="12" t="n"/>
      <c r="M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3">
        <f>IF(G82="","",IFERROR(INDEX(Packages!$B:$B,MATCH(G82,Packages!$A:$A,0)),""))</f>
        <v/>
      </c>
      <c r="I82" s="14" t="n"/>
      <c r="J82" s="15">
        <f>IF(I82="","",EDATE(I82,3))</f>
        <v/>
      </c>
      <c r="K82" s="12" t="n"/>
      <c r="L82" s="12" t="n"/>
      <c r="M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3">
        <f>IF(G83="","",IFERROR(INDEX(Packages!$B:$B,MATCH(G83,Packages!$A:$A,0)),""))</f>
        <v/>
      </c>
      <c r="I83" s="14" t="n"/>
      <c r="J83" s="15">
        <f>IF(I83="","",EDATE(I83,3))</f>
        <v/>
      </c>
      <c r="K83" s="12" t="n"/>
      <c r="L83" s="12" t="n"/>
      <c r="M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3">
        <f>IF(G84="","",IFERROR(INDEX(Packages!$B:$B,MATCH(G84,Packages!$A:$A,0)),""))</f>
        <v/>
      </c>
      <c r="I84" s="14" t="n"/>
      <c r="J84" s="15">
        <f>IF(I84="","",EDATE(I84,3))</f>
        <v/>
      </c>
      <c r="K84" s="12" t="n"/>
      <c r="L84" s="12" t="n"/>
      <c r="M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3">
        <f>IF(G85="","",IFERROR(INDEX(Packages!$B:$B,MATCH(G85,Packages!$A:$A,0)),""))</f>
        <v/>
      </c>
      <c r="I85" s="14" t="n"/>
      <c r="J85" s="15">
        <f>IF(I85="","",EDATE(I85,3))</f>
        <v/>
      </c>
      <c r="K85" s="12" t="n"/>
      <c r="L85" s="12" t="n"/>
      <c r="M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3">
        <f>IF(G86="","",IFERROR(INDEX(Packages!$B:$B,MATCH(G86,Packages!$A:$A,0)),""))</f>
        <v/>
      </c>
      <c r="I86" s="14" t="n"/>
      <c r="J86" s="15">
        <f>IF(I86="","",EDATE(I86,3))</f>
        <v/>
      </c>
      <c r="K86" s="12" t="n"/>
      <c r="L86" s="12" t="n"/>
      <c r="M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3">
        <f>IF(G87="","",IFERROR(INDEX(Packages!$B:$B,MATCH(G87,Packages!$A:$A,0)),""))</f>
        <v/>
      </c>
      <c r="I87" s="14" t="n"/>
      <c r="J87" s="15">
        <f>IF(I87="","",EDATE(I87,3))</f>
        <v/>
      </c>
      <c r="K87" s="12" t="n"/>
      <c r="L87" s="12" t="n"/>
      <c r="M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3">
        <f>IF(G88="","",IFERROR(INDEX(Packages!$B:$B,MATCH(G88,Packages!$A:$A,0)),""))</f>
        <v/>
      </c>
      <c r="I88" s="14" t="n"/>
      <c r="J88" s="15">
        <f>IF(I88="","",EDATE(I88,3))</f>
        <v/>
      </c>
      <c r="K88" s="12" t="n"/>
      <c r="L88" s="12" t="n"/>
      <c r="M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3">
        <f>IF(G89="","",IFERROR(INDEX(Packages!$B:$B,MATCH(G89,Packages!$A:$A,0)),""))</f>
        <v/>
      </c>
      <c r="I89" s="14" t="n"/>
      <c r="J89" s="15">
        <f>IF(I89="","",EDATE(I89,3))</f>
        <v/>
      </c>
      <c r="K89" s="12" t="n"/>
      <c r="L89" s="12" t="n"/>
      <c r="M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3">
        <f>IF(G90="","",IFERROR(INDEX(Packages!$B:$B,MATCH(G90,Packages!$A:$A,0)),""))</f>
        <v/>
      </c>
      <c r="I90" s="14" t="n"/>
      <c r="J90" s="15">
        <f>IF(I90="","",EDATE(I90,3))</f>
        <v/>
      </c>
      <c r="K90" s="12" t="n"/>
      <c r="L90" s="12" t="n"/>
      <c r="M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3">
        <f>IF(G91="","",IFERROR(INDEX(Packages!$B:$B,MATCH(G91,Packages!$A:$A,0)),""))</f>
        <v/>
      </c>
      <c r="I91" s="14" t="n"/>
      <c r="J91" s="15">
        <f>IF(I91="","",EDATE(I91,3))</f>
        <v/>
      </c>
      <c r="K91" s="12" t="n"/>
      <c r="L91" s="12" t="n"/>
      <c r="M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3">
        <f>IF(G92="","",IFERROR(INDEX(Packages!$B:$B,MATCH(G92,Packages!$A:$A,0)),""))</f>
        <v/>
      </c>
      <c r="I92" s="14" t="n"/>
      <c r="J92" s="15">
        <f>IF(I92="","",EDATE(I92,3))</f>
        <v/>
      </c>
      <c r="K92" s="12" t="n"/>
      <c r="L92" s="12" t="n"/>
      <c r="M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3">
        <f>IF(G93="","",IFERROR(INDEX(Packages!$B:$B,MATCH(G93,Packages!$A:$A,0)),""))</f>
        <v/>
      </c>
      <c r="I93" s="14" t="n"/>
      <c r="J93" s="15">
        <f>IF(I93="","",EDATE(I93,3))</f>
        <v/>
      </c>
      <c r="K93" s="12" t="n"/>
      <c r="L93" s="12" t="n"/>
      <c r="M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3">
        <f>IF(G94="","",IFERROR(INDEX(Packages!$B:$B,MATCH(G94,Packages!$A:$A,0)),""))</f>
        <v/>
      </c>
      <c r="I94" s="14" t="n"/>
      <c r="J94" s="15">
        <f>IF(I94="","",EDATE(I94,3))</f>
        <v/>
      </c>
      <c r="K94" s="12" t="n"/>
      <c r="L94" s="12" t="n"/>
      <c r="M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3">
        <f>IF(G95="","",IFERROR(INDEX(Packages!$B:$B,MATCH(G95,Packages!$A:$A,0)),""))</f>
        <v/>
      </c>
      <c r="I95" s="14" t="n"/>
      <c r="J95" s="15">
        <f>IF(I95="","",EDATE(I95,3))</f>
        <v/>
      </c>
      <c r="K95" s="12" t="n"/>
      <c r="L95" s="12" t="n"/>
      <c r="M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3">
        <f>IF(G96="","",IFERROR(INDEX(Packages!$B:$B,MATCH(G96,Packages!$A:$A,0)),""))</f>
        <v/>
      </c>
      <c r="I96" s="14" t="n"/>
      <c r="J96" s="15">
        <f>IF(I96="","",EDATE(I96,3))</f>
        <v/>
      </c>
      <c r="K96" s="12" t="n"/>
      <c r="L96" s="12" t="n"/>
      <c r="M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3">
        <f>IF(G97="","",IFERROR(INDEX(Packages!$B:$B,MATCH(G97,Packages!$A:$A,0)),""))</f>
        <v/>
      </c>
      <c r="I97" s="14" t="n"/>
      <c r="J97" s="15">
        <f>IF(I97="","",EDATE(I97,3))</f>
        <v/>
      </c>
      <c r="K97" s="12" t="n"/>
      <c r="L97" s="12" t="n"/>
      <c r="M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3">
        <f>IF(G98="","",IFERROR(INDEX(Packages!$B:$B,MATCH(G98,Packages!$A:$A,0)),""))</f>
        <v/>
      </c>
      <c r="I98" s="14" t="n"/>
      <c r="J98" s="15">
        <f>IF(I98="","",EDATE(I98,3))</f>
        <v/>
      </c>
      <c r="K98" s="12" t="n"/>
      <c r="L98" s="12" t="n"/>
      <c r="M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3">
        <f>IF(G99="","",IFERROR(INDEX(Packages!$B:$B,MATCH(G99,Packages!$A:$A,0)),""))</f>
        <v/>
      </c>
      <c r="I99" s="14" t="n"/>
      <c r="J99" s="15">
        <f>IF(I99="","",EDATE(I99,3))</f>
        <v/>
      </c>
      <c r="K99" s="12" t="n"/>
      <c r="L99" s="12" t="n"/>
      <c r="M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3">
        <f>IF(G100="","",IFERROR(INDEX(Packages!$B:$B,MATCH(G100,Packages!$A:$A,0)),""))</f>
        <v/>
      </c>
      <c r="I100" s="14" t="n"/>
      <c r="J100" s="15">
        <f>IF(I100="","",EDATE(I100,3))</f>
        <v/>
      </c>
      <c r="K100" s="12" t="n"/>
      <c r="L100" s="12" t="n"/>
      <c r="M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3">
        <f>IF(G101="","",IFERROR(INDEX(Packages!$B:$B,MATCH(G101,Packages!$A:$A,0)),""))</f>
        <v/>
      </c>
      <c r="I101" s="14" t="n"/>
      <c r="J101" s="15">
        <f>IF(I101="","",EDATE(I101,3))</f>
        <v/>
      </c>
      <c r="K101" s="12" t="n"/>
      <c r="L101" s="12" t="n"/>
      <c r="M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3">
        <f>IF(G102="","",IFERROR(INDEX(Packages!$B:$B,MATCH(G102,Packages!$A:$A,0)),""))</f>
        <v/>
      </c>
      <c r="I102" s="14" t="n"/>
      <c r="J102" s="15">
        <f>IF(I102="","",EDATE(I102,3))</f>
        <v/>
      </c>
      <c r="K102" s="12" t="n"/>
      <c r="L102" s="12" t="n"/>
      <c r="M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3">
        <f>IF(G103="","",IFERROR(INDEX(Packages!$B:$B,MATCH(G103,Packages!$A:$A,0)),""))</f>
        <v/>
      </c>
      <c r="I103" s="14" t="n"/>
      <c r="J103" s="15">
        <f>IF(I103="","",EDATE(I103,3))</f>
        <v/>
      </c>
      <c r="K103" s="12" t="n"/>
      <c r="L103" s="12" t="n"/>
      <c r="M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3">
        <f>IF(G104="","",IFERROR(INDEX(Packages!$B:$B,MATCH(G104,Packages!$A:$A,0)),""))</f>
        <v/>
      </c>
      <c r="I104" s="14" t="n"/>
      <c r="J104" s="15">
        <f>IF(I104="","",EDATE(I104,3))</f>
        <v/>
      </c>
      <c r="K104" s="12" t="n"/>
      <c r="L104" s="12" t="n"/>
      <c r="M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3">
        <f>IF(G105="","",IFERROR(INDEX(Packages!$B:$B,MATCH(G105,Packages!$A:$A,0)),""))</f>
        <v/>
      </c>
      <c r="I105" s="14" t="n"/>
      <c r="J105" s="15">
        <f>IF(I105="","",EDATE(I105,3))</f>
        <v/>
      </c>
      <c r="K105" s="12" t="n"/>
      <c r="L105" s="12" t="n"/>
      <c r="M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3">
        <f>IF(G106="","",IFERROR(INDEX(Packages!$B:$B,MATCH(G106,Packages!$A:$A,0)),""))</f>
        <v/>
      </c>
      <c r="I106" s="14" t="n"/>
      <c r="J106" s="15">
        <f>IF(I106="","",EDATE(I106,3))</f>
        <v/>
      </c>
      <c r="K106" s="12" t="n"/>
      <c r="L106" s="12" t="n"/>
      <c r="M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3">
        <f>IF(G107="","",IFERROR(INDEX(Packages!$B:$B,MATCH(G107,Packages!$A:$A,0)),""))</f>
        <v/>
      </c>
      <c r="I107" s="14" t="n"/>
      <c r="J107" s="15">
        <f>IF(I107="","",EDATE(I107,3))</f>
        <v/>
      </c>
      <c r="K107" s="12" t="n"/>
      <c r="L107" s="12" t="n"/>
      <c r="M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3">
        <f>IF(G108="","",IFERROR(INDEX(Packages!$B:$B,MATCH(G108,Packages!$A:$A,0)),""))</f>
        <v/>
      </c>
      <c r="I108" s="14" t="n"/>
      <c r="J108" s="15">
        <f>IF(I108="","",EDATE(I108,3))</f>
        <v/>
      </c>
      <c r="K108" s="12" t="n"/>
      <c r="L108" s="12" t="n"/>
      <c r="M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3">
        <f>IF(G109="","",IFERROR(INDEX(Packages!$B:$B,MATCH(G109,Packages!$A:$A,0)),""))</f>
        <v/>
      </c>
      <c r="I109" s="14" t="n"/>
      <c r="J109" s="15">
        <f>IF(I109="","",EDATE(I109,3))</f>
        <v/>
      </c>
      <c r="K109" s="12" t="n"/>
      <c r="L109" s="12" t="n"/>
      <c r="M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3">
        <f>IF(G110="","",IFERROR(INDEX(Packages!$B:$B,MATCH(G110,Packages!$A:$A,0)),""))</f>
        <v/>
      </c>
      <c r="I110" s="14" t="n"/>
      <c r="J110" s="15">
        <f>IF(I110="","",EDATE(I110,3))</f>
        <v/>
      </c>
      <c r="K110" s="12" t="n"/>
      <c r="L110" s="12" t="n"/>
      <c r="M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3">
        <f>IF(G111="","",IFERROR(INDEX(Packages!$B:$B,MATCH(G111,Packages!$A:$A,0)),""))</f>
        <v/>
      </c>
      <c r="I111" s="14" t="n"/>
      <c r="J111" s="15">
        <f>IF(I111="","",EDATE(I111,3))</f>
        <v/>
      </c>
      <c r="K111" s="12" t="n"/>
      <c r="L111" s="12" t="n"/>
      <c r="M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3">
        <f>IF(G112="","",IFERROR(INDEX(Packages!$B:$B,MATCH(G112,Packages!$A:$A,0)),""))</f>
        <v/>
      </c>
      <c r="I112" s="14" t="n"/>
      <c r="J112" s="15">
        <f>IF(I112="","",EDATE(I112,3))</f>
        <v/>
      </c>
      <c r="K112" s="12" t="n"/>
      <c r="L112" s="12" t="n"/>
      <c r="M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3">
        <f>IF(G113="","",IFERROR(INDEX(Packages!$B:$B,MATCH(G113,Packages!$A:$A,0)),""))</f>
        <v/>
      </c>
      <c r="I113" s="14" t="n"/>
      <c r="J113" s="15">
        <f>IF(I113="","",EDATE(I113,3))</f>
        <v/>
      </c>
      <c r="K113" s="12" t="n"/>
      <c r="L113" s="12" t="n"/>
      <c r="M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3">
        <f>IF(G114="","",IFERROR(INDEX(Packages!$B:$B,MATCH(G114,Packages!$A:$A,0)),""))</f>
        <v/>
      </c>
      <c r="I114" s="14" t="n"/>
      <c r="J114" s="15">
        <f>IF(I114="","",EDATE(I114,3))</f>
        <v/>
      </c>
      <c r="K114" s="12" t="n"/>
      <c r="L114" s="12" t="n"/>
      <c r="M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3">
        <f>IF(G115="","",IFERROR(INDEX(Packages!$B:$B,MATCH(G115,Packages!$A:$A,0)),""))</f>
        <v/>
      </c>
      <c r="I115" s="14" t="n"/>
      <c r="J115" s="15">
        <f>IF(I115="","",EDATE(I115,3))</f>
        <v/>
      </c>
      <c r="K115" s="12" t="n"/>
      <c r="L115" s="12" t="n"/>
      <c r="M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3">
        <f>IF(G116="","",IFERROR(INDEX(Packages!$B:$B,MATCH(G116,Packages!$A:$A,0)),""))</f>
        <v/>
      </c>
      <c r="I116" s="14" t="n"/>
      <c r="J116" s="15">
        <f>IF(I116="","",EDATE(I116,3))</f>
        <v/>
      </c>
      <c r="K116" s="12" t="n"/>
      <c r="L116" s="12" t="n"/>
      <c r="M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3">
        <f>IF(G117="","",IFERROR(INDEX(Packages!$B:$B,MATCH(G117,Packages!$A:$A,0)),""))</f>
        <v/>
      </c>
      <c r="I117" s="14" t="n"/>
      <c r="J117" s="15">
        <f>IF(I117="","",EDATE(I117,3))</f>
        <v/>
      </c>
      <c r="K117" s="12" t="n"/>
      <c r="L117" s="12" t="n"/>
      <c r="M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3">
        <f>IF(G118="","",IFERROR(INDEX(Packages!$B:$B,MATCH(G118,Packages!$A:$A,0)),""))</f>
        <v/>
      </c>
      <c r="I118" s="14" t="n"/>
      <c r="J118" s="15">
        <f>IF(I118="","",EDATE(I118,3))</f>
        <v/>
      </c>
      <c r="K118" s="12" t="n"/>
      <c r="L118" s="12" t="n"/>
      <c r="M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3">
        <f>IF(G119="","",IFERROR(INDEX(Packages!$B:$B,MATCH(G119,Packages!$A:$A,0)),""))</f>
        <v/>
      </c>
      <c r="I119" s="14" t="n"/>
      <c r="J119" s="15">
        <f>IF(I119="","",EDATE(I119,3))</f>
        <v/>
      </c>
      <c r="K119" s="12" t="n"/>
      <c r="L119" s="12" t="n"/>
      <c r="M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3">
        <f>IF(G120="","",IFERROR(INDEX(Packages!$B:$B,MATCH(G120,Packages!$A:$A,0)),""))</f>
        <v/>
      </c>
      <c r="I120" s="14" t="n"/>
      <c r="J120" s="15">
        <f>IF(I120="","",EDATE(I120,3))</f>
        <v/>
      </c>
      <c r="K120" s="12" t="n"/>
      <c r="L120" s="12" t="n"/>
      <c r="M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3">
        <f>IF(G121="","",IFERROR(INDEX(Packages!$B:$B,MATCH(G121,Packages!$A:$A,0)),""))</f>
        <v/>
      </c>
      <c r="I121" s="14" t="n"/>
      <c r="J121" s="15">
        <f>IF(I121="","",EDATE(I121,3))</f>
        <v/>
      </c>
      <c r="K121" s="12" t="n"/>
      <c r="L121" s="12" t="n"/>
      <c r="M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3">
        <f>IF(G122="","",IFERROR(INDEX(Packages!$B:$B,MATCH(G122,Packages!$A:$A,0)),""))</f>
        <v/>
      </c>
      <c r="I122" s="14" t="n"/>
      <c r="J122" s="15">
        <f>IF(I122="","",EDATE(I122,3))</f>
        <v/>
      </c>
      <c r="K122" s="12" t="n"/>
      <c r="L122" s="12" t="n"/>
      <c r="M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3">
        <f>IF(G123="","",IFERROR(INDEX(Packages!$B:$B,MATCH(G123,Packages!$A:$A,0)),""))</f>
        <v/>
      </c>
      <c r="I123" s="14" t="n"/>
      <c r="J123" s="15">
        <f>IF(I123="","",EDATE(I123,3))</f>
        <v/>
      </c>
      <c r="K123" s="12" t="n"/>
      <c r="L123" s="12" t="n"/>
      <c r="M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3">
        <f>IF(G124="","",IFERROR(INDEX(Packages!$B:$B,MATCH(G124,Packages!$A:$A,0)),""))</f>
        <v/>
      </c>
      <c r="I124" s="14" t="n"/>
      <c r="J124" s="15">
        <f>IF(I124="","",EDATE(I124,3))</f>
        <v/>
      </c>
      <c r="K124" s="12" t="n"/>
      <c r="L124" s="12" t="n"/>
      <c r="M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3">
        <f>IF(G125="","",IFERROR(INDEX(Packages!$B:$B,MATCH(G125,Packages!$A:$A,0)),""))</f>
        <v/>
      </c>
      <c r="I125" s="14" t="n"/>
      <c r="J125" s="15">
        <f>IF(I125="","",EDATE(I125,3))</f>
        <v/>
      </c>
      <c r="K125" s="12" t="n"/>
      <c r="L125" s="12" t="n"/>
      <c r="M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3">
        <f>IF(G126="","",IFERROR(INDEX(Packages!$B:$B,MATCH(G126,Packages!$A:$A,0)),""))</f>
        <v/>
      </c>
      <c r="I126" s="14" t="n"/>
      <c r="J126" s="15">
        <f>IF(I126="","",EDATE(I126,3))</f>
        <v/>
      </c>
      <c r="K126" s="12" t="n"/>
      <c r="L126" s="12" t="n"/>
      <c r="M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3">
        <f>IF(G127="","",IFERROR(INDEX(Packages!$B:$B,MATCH(G127,Packages!$A:$A,0)),""))</f>
        <v/>
      </c>
      <c r="I127" s="14" t="n"/>
      <c r="J127" s="15">
        <f>IF(I127="","",EDATE(I127,3))</f>
        <v/>
      </c>
      <c r="K127" s="12" t="n"/>
      <c r="L127" s="12" t="n"/>
      <c r="M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3">
        <f>IF(G128="","",IFERROR(INDEX(Packages!$B:$B,MATCH(G128,Packages!$A:$A,0)),""))</f>
        <v/>
      </c>
      <c r="I128" s="14" t="n"/>
      <c r="J128" s="15">
        <f>IF(I128="","",EDATE(I128,3))</f>
        <v/>
      </c>
      <c r="K128" s="12" t="n"/>
      <c r="L128" s="12" t="n"/>
      <c r="M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3">
        <f>IF(G129="","",IFERROR(INDEX(Packages!$B:$B,MATCH(G129,Packages!$A:$A,0)),""))</f>
        <v/>
      </c>
      <c r="I129" s="14" t="n"/>
      <c r="J129" s="15">
        <f>IF(I129="","",EDATE(I129,3))</f>
        <v/>
      </c>
      <c r="K129" s="12" t="n"/>
      <c r="L129" s="12" t="n"/>
      <c r="M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3">
        <f>IF(G130="","",IFERROR(INDEX(Packages!$B:$B,MATCH(G130,Packages!$A:$A,0)),""))</f>
        <v/>
      </c>
      <c r="I130" s="14" t="n"/>
      <c r="J130" s="15">
        <f>IF(I130="","",EDATE(I130,3))</f>
        <v/>
      </c>
      <c r="K130" s="12" t="n"/>
      <c r="L130" s="12" t="n"/>
      <c r="M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3">
        <f>IF(G131="","",IFERROR(INDEX(Packages!$B:$B,MATCH(G131,Packages!$A:$A,0)),""))</f>
        <v/>
      </c>
      <c r="I131" s="14" t="n"/>
      <c r="J131" s="15">
        <f>IF(I131="","",EDATE(I131,3))</f>
        <v/>
      </c>
      <c r="K131" s="12" t="n"/>
      <c r="L131" s="12" t="n"/>
      <c r="M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3">
        <f>IF(G132="","",IFERROR(INDEX(Packages!$B:$B,MATCH(G132,Packages!$A:$A,0)),""))</f>
        <v/>
      </c>
      <c r="I132" s="14" t="n"/>
      <c r="J132" s="15">
        <f>IF(I132="","",EDATE(I132,3))</f>
        <v/>
      </c>
      <c r="K132" s="12" t="n"/>
      <c r="L132" s="12" t="n"/>
      <c r="M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3">
        <f>IF(G133="","",IFERROR(INDEX(Packages!$B:$B,MATCH(G133,Packages!$A:$A,0)),""))</f>
        <v/>
      </c>
      <c r="I133" s="14" t="n"/>
      <c r="J133" s="15">
        <f>IF(I133="","",EDATE(I133,3))</f>
        <v/>
      </c>
      <c r="K133" s="12" t="n"/>
      <c r="L133" s="12" t="n"/>
      <c r="M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3">
        <f>IF(G134="","",IFERROR(INDEX(Packages!$B:$B,MATCH(G134,Packages!$A:$A,0)),""))</f>
        <v/>
      </c>
      <c r="I134" s="14" t="n"/>
      <c r="J134" s="15">
        <f>IF(I134="","",EDATE(I134,3))</f>
        <v/>
      </c>
      <c r="K134" s="12" t="n"/>
      <c r="L134" s="12" t="n"/>
      <c r="M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3">
        <f>IF(G135="","",IFERROR(INDEX(Packages!$B:$B,MATCH(G135,Packages!$A:$A,0)),""))</f>
        <v/>
      </c>
      <c r="I135" s="14" t="n"/>
      <c r="J135" s="15">
        <f>IF(I135="","",EDATE(I135,3))</f>
        <v/>
      </c>
      <c r="K135" s="12" t="n"/>
      <c r="L135" s="12" t="n"/>
      <c r="M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3">
        <f>IF(G136="","",IFERROR(INDEX(Packages!$B:$B,MATCH(G136,Packages!$A:$A,0)),""))</f>
        <v/>
      </c>
      <c r="I136" s="14" t="n"/>
      <c r="J136" s="15">
        <f>IF(I136="","",EDATE(I136,3))</f>
        <v/>
      </c>
      <c r="K136" s="12" t="n"/>
      <c r="L136" s="12" t="n"/>
      <c r="M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3">
        <f>IF(G137="","",IFERROR(INDEX(Packages!$B:$B,MATCH(G137,Packages!$A:$A,0)),""))</f>
        <v/>
      </c>
      <c r="I137" s="14" t="n"/>
      <c r="J137" s="15">
        <f>IF(I137="","",EDATE(I137,3))</f>
        <v/>
      </c>
      <c r="K137" s="12" t="n"/>
      <c r="L137" s="12" t="n"/>
      <c r="M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3">
        <f>IF(G138="","",IFERROR(INDEX(Packages!$B:$B,MATCH(G138,Packages!$A:$A,0)),""))</f>
        <v/>
      </c>
      <c r="I138" s="14" t="n"/>
      <c r="J138" s="15">
        <f>IF(I138="","",EDATE(I138,3))</f>
        <v/>
      </c>
      <c r="K138" s="12" t="n"/>
      <c r="L138" s="12" t="n"/>
      <c r="M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3">
        <f>IF(G139="","",IFERROR(INDEX(Packages!$B:$B,MATCH(G139,Packages!$A:$A,0)),""))</f>
        <v/>
      </c>
      <c r="I139" s="14" t="n"/>
      <c r="J139" s="15">
        <f>IF(I139="","",EDATE(I139,3))</f>
        <v/>
      </c>
      <c r="K139" s="12" t="n"/>
      <c r="L139" s="12" t="n"/>
      <c r="M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3">
        <f>IF(G140="","",IFERROR(INDEX(Packages!$B:$B,MATCH(G140,Packages!$A:$A,0)),""))</f>
        <v/>
      </c>
      <c r="I140" s="14" t="n"/>
      <c r="J140" s="15">
        <f>IF(I140="","",EDATE(I140,3))</f>
        <v/>
      </c>
      <c r="K140" s="12" t="n"/>
      <c r="L140" s="12" t="n"/>
      <c r="M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3">
        <f>IF(G141="","",IFERROR(INDEX(Packages!$B:$B,MATCH(G141,Packages!$A:$A,0)),""))</f>
        <v/>
      </c>
      <c r="I141" s="14" t="n"/>
      <c r="J141" s="15">
        <f>IF(I141="","",EDATE(I141,3))</f>
        <v/>
      </c>
      <c r="K141" s="12" t="n"/>
      <c r="L141" s="12" t="n"/>
      <c r="M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3">
        <f>IF(G142="","",IFERROR(INDEX(Packages!$B:$B,MATCH(G142,Packages!$A:$A,0)),""))</f>
        <v/>
      </c>
      <c r="I142" s="14" t="n"/>
      <c r="J142" s="15">
        <f>IF(I142="","",EDATE(I142,3))</f>
        <v/>
      </c>
      <c r="K142" s="12" t="n"/>
      <c r="L142" s="12" t="n"/>
      <c r="M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3">
        <f>IF(G143="","",IFERROR(INDEX(Packages!$B:$B,MATCH(G143,Packages!$A:$A,0)),""))</f>
        <v/>
      </c>
      <c r="I143" s="14" t="n"/>
      <c r="J143" s="15">
        <f>IF(I143="","",EDATE(I143,3))</f>
        <v/>
      </c>
      <c r="K143" s="12" t="n"/>
      <c r="L143" s="12" t="n"/>
      <c r="M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3">
        <f>IF(G144="","",IFERROR(INDEX(Packages!$B:$B,MATCH(G144,Packages!$A:$A,0)),""))</f>
        <v/>
      </c>
      <c r="I144" s="14" t="n"/>
      <c r="J144" s="15">
        <f>IF(I144="","",EDATE(I144,3))</f>
        <v/>
      </c>
      <c r="K144" s="12" t="n"/>
      <c r="L144" s="12" t="n"/>
      <c r="M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3">
        <f>IF(G145="","",IFERROR(INDEX(Packages!$B:$B,MATCH(G145,Packages!$A:$A,0)),""))</f>
        <v/>
      </c>
      <c r="I145" s="14" t="n"/>
      <c r="J145" s="15">
        <f>IF(I145="","",EDATE(I145,3))</f>
        <v/>
      </c>
      <c r="K145" s="12" t="n"/>
      <c r="L145" s="12" t="n"/>
      <c r="M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3">
        <f>IF(G146="","",IFERROR(INDEX(Packages!$B:$B,MATCH(G146,Packages!$A:$A,0)),""))</f>
        <v/>
      </c>
      <c r="I146" s="14" t="n"/>
      <c r="J146" s="15">
        <f>IF(I146="","",EDATE(I146,3))</f>
        <v/>
      </c>
      <c r="K146" s="12" t="n"/>
      <c r="L146" s="12" t="n"/>
      <c r="M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3">
        <f>IF(G147="","",IFERROR(INDEX(Packages!$B:$B,MATCH(G147,Packages!$A:$A,0)),""))</f>
        <v/>
      </c>
      <c r="I147" s="14" t="n"/>
      <c r="J147" s="15">
        <f>IF(I147="","",EDATE(I147,3))</f>
        <v/>
      </c>
      <c r="K147" s="12" t="n"/>
      <c r="L147" s="12" t="n"/>
      <c r="M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3">
        <f>IF(G148="","",IFERROR(INDEX(Packages!$B:$B,MATCH(G148,Packages!$A:$A,0)),""))</f>
        <v/>
      </c>
      <c r="I148" s="14" t="n"/>
      <c r="J148" s="15">
        <f>IF(I148="","",EDATE(I148,3))</f>
        <v/>
      </c>
      <c r="K148" s="12" t="n"/>
      <c r="L148" s="12" t="n"/>
      <c r="M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3">
        <f>IF(G149="","",IFERROR(INDEX(Packages!$B:$B,MATCH(G149,Packages!$A:$A,0)),""))</f>
        <v/>
      </c>
      <c r="I149" s="14" t="n"/>
      <c r="J149" s="15">
        <f>IF(I149="","",EDATE(I149,3))</f>
        <v/>
      </c>
      <c r="K149" s="12" t="n"/>
      <c r="L149" s="12" t="n"/>
      <c r="M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3">
        <f>IF(G150="","",IFERROR(INDEX(Packages!$B:$B,MATCH(G150,Packages!$A:$A,0)),""))</f>
        <v/>
      </c>
      <c r="I150" s="14" t="n"/>
      <c r="J150" s="15">
        <f>IF(I150="","",EDATE(I150,3))</f>
        <v/>
      </c>
      <c r="K150" s="12" t="n"/>
      <c r="L150" s="12" t="n"/>
      <c r="M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3">
        <f>IF(G151="","",IFERROR(INDEX(Packages!$B:$B,MATCH(G151,Packages!$A:$A,0)),""))</f>
        <v/>
      </c>
      <c r="I151" s="14" t="n"/>
      <c r="J151" s="15">
        <f>IF(I151="","",EDATE(I151,3))</f>
        <v/>
      </c>
      <c r="K151" s="12" t="n"/>
      <c r="L151" s="12" t="n"/>
      <c r="M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3">
        <f>IF(G152="","",IFERROR(INDEX(Packages!$B:$B,MATCH(G152,Packages!$A:$A,0)),""))</f>
        <v/>
      </c>
      <c r="I152" s="14" t="n"/>
      <c r="J152" s="15">
        <f>IF(I152="","",EDATE(I152,3))</f>
        <v/>
      </c>
      <c r="K152" s="12" t="n"/>
      <c r="L152" s="12" t="n"/>
      <c r="M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3">
        <f>IF(G153="","",IFERROR(INDEX(Packages!$B:$B,MATCH(G153,Packages!$A:$A,0)),""))</f>
        <v/>
      </c>
      <c r="I153" s="14" t="n"/>
      <c r="J153" s="15">
        <f>IF(I153="","",EDATE(I153,3))</f>
        <v/>
      </c>
      <c r="K153" s="12" t="n"/>
      <c r="L153" s="12" t="n"/>
      <c r="M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3">
        <f>IF(G154="","",IFERROR(INDEX(Packages!$B:$B,MATCH(G154,Packages!$A:$A,0)),""))</f>
        <v/>
      </c>
      <c r="I154" s="14" t="n"/>
      <c r="J154" s="15">
        <f>IF(I154="","",EDATE(I154,3))</f>
        <v/>
      </c>
      <c r="K154" s="12" t="n"/>
      <c r="L154" s="12" t="n"/>
      <c r="M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3">
        <f>IF(G155="","",IFERROR(INDEX(Packages!$B:$B,MATCH(G155,Packages!$A:$A,0)),""))</f>
        <v/>
      </c>
      <c r="I155" s="14" t="n"/>
      <c r="J155" s="15">
        <f>IF(I155="","",EDATE(I155,3))</f>
        <v/>
      </c>
      <c r="K155" s="12" t="n"/>
      <c r="L155" s="12" t="n"/>
      <c r="M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3">
        <f>IF(G156="","",IFERROR(INDEX(Packages!$B:$B,MATCH(G156,Packages!$A:$A,0)),""))</f>
        <v/>
      </c>
      <c r="I156" s="14" t="n"/>
      <c r="J156" s="15">
        <f>IF(I156="","",EDATE(I156,3))</f>
        <v/>
      </c>
      <c r="K156" s="12" t="n"/>
      <c r="L156" s="12" t="n"/>
      <c r="M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3">
        <f>IF(G157="","",IFERROR(INDEX(Packages!$B:$B,MATCH(G157,Packages!$A:$A,0)),""))</f>
        <v/>
      </c>
      <c r="I157" s="14" t="n"/>
      <c r="J157" s="15">
        <f>IF(I157="","",EDATE(I157,3))</f>
        <v/>
      </c>
      <c r="K157" s="12" t="n"/>
      <c r="L157" s="12" t="n"/>
      <c r="M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3">
        <f>IF(G158="","",IFERROR(INDEX(Packages!$B:$B,MATCH(G158,Packages!$A:$A,0)),""))</f>
        <v/>
      </c>
      <c r="I158" s="14" t="n"/>
      <c r="J158" s="15">
        <f>IF(I158="","",EDATE(I158,3))</f>
        <v/>
      </c>
      <c r="K158" s="12" t="n"/>
      <c r="L158" s="12" t="n"/>
      <c r="M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3">
        <f>IF(G159="","",IFERROR(INDEX(Packages!$B:$B,MATCH(G159,Packages!$A:$A,0)),""))</f>
        <v/>
      </c>
      <c r="I159" s="14" t="n"/>
      <c r="J159" s="15">
        <f>IF(I159="","",EDATE(I159,3))</f>
        <v/>
      </c>
      <c r="K159" s="12" t="n"/>
      <c r="L159" s="12" t="n"/>
      <c r="M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3">
        <f>IF(G160="","",IFERROR(INDEX(Packages!$B:$B,MATCH(G160,Packages!$A:$A,0)),""))</f>
        <v/>
      </c>
      <c r="I160" s="14" t="n"/>
      <c r="J160" s="15">
        <f>IF(I160="","",EDATE(I160,3))</f>
        <v/>
      </c>
      <c r="K160" s="12" t="n"/>
      <c r="L160" s="12" t="n"/>
      <c r="M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3">
        <f>IF(G161="","",IFERROR(INDEX(Packages!$B:$B,MATCH(G161,Packages!$A:$A,0)),""))</f>
        <v/>
      </c>
      <c r="I161" s="14" t="n"/>
      <c r="J161" s="15">
        <f>IF(I161="","",EDATE(I161,3))</f>
        <v/>
      </c>
      <c r="K161" s="12" t="n"/>
      <c r="L161" s="12" t="n"/>
      <c r="M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3">
        <f>IF(G162="","",IFERROR(INDEX(Packages!$B:$B,MATCH(G162,Packages!$A:$A,0)),""))</f>
        <v/>
      </c>
      <c r="I162" s="14" t="n"/>
      <c r="J162" s="15">
        <f>IF(I162="","",EDATE(I162,3))</f>
        <v/>
      </c>
      <c r="K162" s="12" t="n"/>
      <c r="L162" s="12" t="n"/>
      <c r="M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3">
        <f>IF(G163="","",IFERROR(INDEX(Packages!$B:$B,MATCH(G163,Packages!$A:$A,0)),""))</f>
        <v/>
      </c>
      <c r="I163" s="14" t="n"/>
      <c r="J163" s="15">
        <f>IF(I163="","",EDATE(I163,3))</f>
        <v/>
      </c>
      <c r="K163" s="12" t="n"/>
      <c r="L163" s="12" t="n"/>
      <c r="M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3">
        <f>IF(G164="","",IFERROR(INDEX(Packages!$B:$B,MATCH(G164,Packages!$A:$A,0)),""))</f>
        <v/>
      </c>
      <c r="I164" s="14" t="n"/>
      <c r="J164" s="15">
        <f>IF(I164="","",EDATE(I164,3))</f>
        <v/>
      </c>
      <c r="K164" s="12" t="n"/>
      <c r="L164" s="12" t="n"/>
      <c r="M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3">
        <f>IF(G165="","",IFERROR(INDEX(Packages!$B:$B,MATCH(G165,Packages!$A:$A,0)),""))</f>
        <v/>
      </c>
      <c r="I165" s="14" t="n"/>
      <c r="J165" s="15">
        <f>IF(I165="","",EDATE(I165,3))</f>
        <v/>
      </c>
      <c r="K165" s="12" t="n"/>
      <c r="L165" s="12" t="n"/>
      <c r="M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3">
        <f>IF(G166="","",IFERROR(INDEX(Packages!$B:$B,MATCH(G166,Packages!$A:$A,0)),""))</f>
        <v/>
      </c>
      <c r="I166" s="14" t="n"/>
      <c r="J166" s="15">
        <f>IF(I166="","",EDATE(I166,3))</f>
        <v/>
      </c>
      <c r="K166" s="12" t="n"/>
      <c r="L166" s="12" t="n"/>
      <c r="M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3">
        <f>IF(G167="","",IFERROR(INDEX(Packages!$B:$B,MATCH(G167,Packages!$A:$A,0)),""))</f>
        <v/>
      </c>
      <c r="I167" s="14" t="n"/>
      <c r="J167" s="15">
        <f>IF(I167="","",EDATE(I167,3))</f>
        <v/>
      </c>
      <c r="K167" s="12" t="n"/>
      <c r="L167" s="12" t="n"/>
      <c r="M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3">
        <f>IF(G168="","",IFERROR(INDEX(Packages!$B:$B,MATCH(G168,Packages!$A:$A,0)),""))</f>
        <v/>
      </c>
      <c r="I168" s="14" t="n"/>
      <c r="J168" s="15">
        <f>IF(I168="","",EDATE(I168,3))</f>
        <v/>
      </c>
      <c r="K168" s="12" t="n"/>
      <c r="L168" s="12" t="n"/>
      <c r="M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3">
        <f>IF(G169="","",IFERROR(INDEX(Packages!$B:$B,MATCH(G169,Packages!$A:$A,0)),""))</f>
        <v/>
      </c>
      <c r="I169" s="14" t="n"/>
      <c r="J169" s="15">
        <f>IF(I169="","",EDATE(I169,3))</f>
        <v/>
      </c>
      <c r="K169" s="12" t="n"/>
      <c r="L169" s="12" t="n"/>
      <c r="M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3">
        <f>IF(G170="","",IFERROR(INDEX(Packages!$B:$B,MATCH(G170,Packages!$A:$A,0)),""))</f>
        <v/>
      </c>
      <c r="I170" s="14" t="n"/>
      <c r="J170" s="15">
        <f>IF(I170="","",EDATE(I170,3))</f>
        <v/>
      </c>
      <c r="K170" s="12" t="n"/>
      <c r="L170" s="12" t="n"/>
      <c r="M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3">
        <f>IF(G171="","",IFERROR(INDEX(Packages!$B:$B,MATCH(G171,Packages!$A:$A,0)),""))</f>
        <v/>
      </c>
      <c r="I171" s="14" t="n"/>
      <c r="J171" s="15">
        <f>IF(I171="","",EDATE(I171,3))</f>
        <v/>
      </c>
      <c r="K171" s="12" t="n"/>
      <c r="L171" s="12" t="n"/>
      <c r="M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3">
        <f>IF(G172="","",IFERROR(INDEX(Packages!$B:$B,MATCH(G172,Packages!$A:$A,0)),""))</f>
        <v/>
      </c>
      <c r="I172" s="14" t="n"/>
      <c r="J172" s="15">
        <f>IF(I172="","",EDATE(I172,3))</f>
        <v/>
      </c>
      <c r="K172" s="12" t="n"/>
      <c r="L172" s="12" t="n"/>
      <c r="M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3">
        <f>IF(G173="","",IFERROR(INDEX(Packages!$B:$B,MATCH(G173,Packages!$A:$A,0)),""))</f>
        <v/>
      </c>
      <c r="I173" s="14" t="n"/>
      <c r="J173" s="15">
        <f>IF(I173="","",EDATE(I173,3))</f>
        <v/>
      </c>
      <c r="K173" s="12" t="n"/>
      <c r="L173" s="12" t="n"/>
      <c r="M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3">
        <f>IF(G174="","",IFERROR(INDEX(Packages!$B:$B,MATCH(G174,Packages!$A:$A,0)),""))</f>
        <v/>
      </c>
      <c r="I174" s="14" t="n"/>
      <c r="J174" s="15">
        <f>IF(I174="","",EDATE(I174,3))</f>
        <v/>
      </c>
      <c r="K174" s="12" t="n"/>
      <c r="L174" s="12" t="n"/>
      <c r="M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3">
        <f>IF(G175="","",IFERROR(INDEX(Packages!$B:$B,MATCH(G175,Packages!$A:$A,0)),""))</f>
        <v/>
      </c>
      <c r="I175" s="14" t="n"/>
      <c r="J175" s="15">
        <f>IF(I175="","",EDATE(I175,3))</f>
        <v/>
      </c>
      <c r="K175" s="12" t="n"/>
      <c r="L175" s="12" t="n"/>
      <c r="M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3">
        <f>IF(G176="","",IFERROR(INDEX(Packages!$B:$B,MATCH(G176,Packages!$A:$A,0)),""))</f>
        <v/>
      </c>
      <c r="I176" s="14" t="n"/>
      <c r="J176" s="15">
        <f>IF(I176="","",EDATE(I176,3))</f>
        <v/>
      </c>
      <c r="K176" s="12" t="n"/>
      <c r="L176" s="12" t="n"/>
      <c r="M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3">
        <f>IF(G177="","",IFERROR(INDEX(Packages!$B:$B,MATCH(G177,Packages!$A:$A,0)),""))</f>
        <v/>
      </c>
      <c r="I177" s="14" t="n"/>
      <c r="J177" s="15">
        <f>IF(I177="","",EDATE(I177,3))</f>
        <v/>
      </c>
      <c r="K177" s="12" t="n"/>
      <c r="L177" s="12" t="n"/>
      <c r="M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3">
        <f>IF(G178="","",IFERROR(INDEX(Packages!$B:$B,MATCH(G178,Packages!$A:$A,0)),""))</f>
        <v/>
      </c>
      <c r="I178" s="14" t="n"/>
      <c r="J178" s="15">
        <f>IF(I178="","",EDATE(I178,3))</f>
        <v/>
      </c>
      <c r="K178" s="12" t="n"/>
      <c r="L178" s="12" t="n"/>
      <c r="M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3">
        <f>IF(G179="","",IFERROR(INDEX(Packages!$B:$B,MATCH(G179,Packages!$A:$A,0)),""))</f>
        <v/>
      </c>
      <c r="I179" s="14" t="n"/>
      <c r="J179" s="15">
        <f>IF(I179="","",EDATE(I179,3))</f>
        <v/>
      </c>
      <c r="K179" s="12" t="n"/>
      <c r="L179" s="12" t="n"/>
      <c r="M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3">
        <f>IF(G180="","",IFERROR(INDEX(Packages!$B:$B,MATCH(G180,Packages!$A:$A,0)),""))</f>
        <v/>
      </c>
      <c r="I180" s="14" t="n"/>
      <c r="J180" s="15">
        <f>IF(I180="","",EDATE(I180,3))</f>
        <v/>
      </c>
      <c r="K180" s="12" t="n"/>
      <c r="L180" s="12" t="n"/>
      <c r="M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3">
        <f>IF(G181="","",IFERROR(INDEX(Packages!$B:$B,MATCH(G181,Packages!$A:$A,0)),""))</f>
        <v/>
      </c>
      <c r="I181" s="14" t="n"/>
      <c r="J181" s="15">
        <f>IF(I181="","",EDATE(I181,3))</f>
        <v/>
      </c>
      <c r="K181" s="12" t="n"/>
      <c r="L181" s="12" t="n"/>
      <c r="M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3">
        <f>IF(G182="","",IFERROR(INDEX(Packages!$B:$B,MATCH(G182,Packages!$A:$A,0)),""))</f>
        <v/>
      </c>
      <c r="I182" s="14" t="n"/>
      <c r="J182" s="15">
        <f>IF(I182="","",EDATE(I182,3))</f>
        <v/>
      </c>
      <c r="K182" s="12" t="n"/>
      <c r="L182" s="12" t="n"/>
      <c r="M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3">
        <f>IF(G183="","",IFERROR(INDEX(Packages!$B:$B,MATCH(G183,Packages!$A:$A,0)),""))</f>
        <v/>
      </c>
      <c r="I183" s="14" t="n"/>
      <c r="J183" s="15">
        <f>IF(I183="","",EDATE(I183,3))</f>
        <v/>
      </c>
      <c r="K183" s="12" t="n"/>
      <c r="L183" s="12" t="n"/>
      <c r="M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3">
        <f>IF(G184="","",IFERROR(INDEX(Packages!$B:$B,MATCH(G184,Packages!$A:$A,0)),""))</f>
        <v/>
      </c>
      <c r="I184" s="14" t="n"/>
      <c r="J184" s="15">
        <f>IF(I184="","",EDATE(I184,3))</f>
        <v/>
      </c>
      <c r="K184" s="12" t="n"/>
      <c r="L184" s="12" t="n"/>
      <c r="M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3">
        <f>IF(G185="","",IFERROR(INDEX(Packages!$B:$B,MATCH(G185,Packages!$A:$A,0)),""))</f>
        <v/>
      </c>
      <c r="I185" s="14" t="n"/>
      <c r="J185" s="15">
        <f>IF(I185="","",EDATE(I185,3))</f>
        <v/>
      </c>
      <c r="K185" s="12" t="n"/>
      <c r="L185" s="12" t="n"/>
      <c r="M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3">
        <f>IF(G186="","",IFERROR(INDEX(Packages!$B:$B,MATCH(G186,Packages!$A:$A,0)),""))</f>
        <v/>
      </c>
      <c r="I186" s="14" t="n"/>
      <c r="J186" s="15">
        <f>IF(I186="","",EDATE(I186,3))</f>
        <v/>
      </c>
      <c r="K186" s="12" t="n"/>
      <c r="L186" s="12" t="n"/>
      <c r="M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3">
        <f>IF(G187="","",IFERROR(INDEX(Packages!$B:$B,MATCH(G187,Packages!$A:$A,0)),""))</f>
        <v/>
      </c>
      <c r="I187" s="14" t="n"/>
      <c r="J187" s="15">
        <f>IF(I187="","",EDATE(I187,3))</f>
        <v/>
      </c>
      <c r="K187" s="12" t="n"/>
      <c r="L187" s="12" t="n"/>
      <c r="M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3">
        <f>IF(G188="","",IFERROR(INDEX(Packages!$B:$B,MATCH(G188,Packages!$A:$A,0)),""))</f>
        <v/>
      </c>
      <c r="I188" s="14" t="n"/>
      <c r="J188" s="15">
        <f>IF(I188="","",EDATE(I188,3))</f>
        <v/>
      </c>
      <c r="K188" s="12" t="n"/>
      <c r="L188" s="12" t="n"/>
      <c r="M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3">
        <f>IF(G189="","",IFERROR(INDEX(Packages!$B:$B,MATCH(G189,Packages!$A:$A,0)),""))</f>
        <v/>
      </c>
      <c r="I189" s="14" t="n"/>
      <c r="J189" s="15">
        <f>IF(I189="","",EDATE(I189,3))</f>
        <v/>
      </c>
      <c r="K189" s="12" t="n"/>
      <c r="L189" s="12" t="n"/>
      <c r="M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3">
        <f>IF(G190="","",IFERROR(INDEX(Packages!$B:$B,MATCH(G190,Packages!$A:$A,0)),""))</f>
        <v/>
      </c>
      <c r="I190" s="14" t="n"/>
      <c r="J190" s="15">
        <f>IF(I190="","",EDATE(I190,3))</f>
        <v/>
      </c>
      <c r="K190" s="12" t="n"/>
      <c r="L190" s="12" t="n"/>
      <c r="M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3">
        <f>IF(G191="","",IFERROR(INDEX(Packages!$B:$B,MATCH(G191,Packages!$A:$A,0)),""))</f>
        <v/>
      </c>
      <c r="I191" s="14" t="n"/>
      <c r="J191" s="15">
        <f>IF(I191="","",EDATE(I191,3))</f>
        <v/>
      </c>
      <c r="K191" s="12" t="n"/>
      <c r="L191" s="12" t="n"/>
      <c r="M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3">
        <f>IF(G192="","",IFERROR(INDEX(Packages!$B:$B,MATCH(G192,Packages!$A:$A,0)),""))</f>
        <v/>
      </c>
      <c r="I192" s="14" t="n"/>
      <c r="J192" s="15">
        <f>IF(I192="","",EDATE(I192,3))</f>
        <v/>
      </c>
      <c r="K192" s="12" t="n"/>
      <c r="L192" s="12" t="n"/>
      <c r="M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3">
        <f>IF(G193="","",IFERROR(INDEX(Packages!$B:$B,MATCH(G193,Packages!$A:$A,0)),""))</f>
        <v/>
      </c>
      <c r="I193" s="14" t="n"/>
      <c r="J193" s="15">
        <f>IF(I193="","",EDATE(I193,3))</f>
        <v/>
      </c>
      <c r="K193" s="12" t="n"/>
      <c r="L193" s="12" t="n"/>
      <c r="M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3">
        <f>IF(G194="","",IFERROR(INDEX(Packages!$B:$B,MATCH(G194,Packages!$A:$A,0)),""))</f>
        <v/>
      </c>
      <c r="I194" s="14" t="n"/>
      <c r="J194" s="15">
        <f>IF(I194="","",EDATE(I194,3))</f>
        <v/>
      </c>
      <c r="K194" s="12" t="n"/>
      <c r="L194" s="12" t="n"/>
      <c r="M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3">
        <f>IF(G195="","",IFERROR(INDEX(Packages!$B:$B,MATCH(G195,Packages!$A:$A,0)),""))</f>
        <v/>
      </c>
      <c r="I195" s="14" t="n"/>
      <c r="J195" s="15">
        <f>IF(I195="","",EDATE(I195,3))</f>
        <v/>
      </c>
      <c r="K195" s="12" t="n"/>
      <c r="L195" s="12" t="n"/>
      <c r="M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3">
        <f>IF(G196="","",IFERROR(INDEX(Packages!$B:$B,MATCH(G196,Packages!$A:$A,0)),""))</f>
        <v/>
      </c>
      <c r="I196" s="14" t="n"/>
      <c r="J196" s="15">
        <f>IF(I196="","",EDATE(I196,3))</f>
        <v/>
      </c>
      <c r="K196" s="12" t="n"/>
      <c r="L196" s="12" t="n"/>
      <c r="M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3">
        <f>IF(G197="","",IFERROR(INDEX(Packages!$B:$B,MATCH(G197,Packages!$A:$A,0)),""))</f>
        <v/>
      </c>
      <c r="I197" s="14" t="n"/>
      <c r="J197" s="15">
        <f>IF(I197="","",EDATE(I197,3))</f>
        <v/>
      </c>
      <c r="K197" s="12" t="n"/>
      <c r="L197" s="12" t="n"/>
      <c r="M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3">
        <f>IF(G198="","",IFERROR(INDEX(Packages!$B:$B,MATCH(G198,Packages!$A:$A,0)),""))</f>
        <v/>
      </c>
      <c r="I198" s="14" t="n"/>
      <c r="J198" s="15">
        <f>IF(I198="","",EDATE(I198,3))</f>
        <v/>
      </c>
      <c r="K198" s="12" t="n"/>
      <c r="L198" s="12" t="n"/>
      <c r="M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3">
        <f>IF(G199="","",IFERROR(INDEX(Packages!$B:$B,MATCH(G199,Packages!$A:$A,0)),""))</f>
        <v/>
      </c>
      <c r="I199" s="14" t="n"/>
      <c r="J199" s="15">
        <f>IF(I199="","",EDATE(I199,3))</f>
        <v/>
      </c>
      <c r="K199" s="12" t="n"/>
      <c r="L199" s="12" t="n"/>
      <c r="M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3">
        <f>IF(G200="","",IFERROR(INDEX(Packages!$B:$B,MATCH(G200,Packages!$A:$A,0)),""))</f>
        <v/>
      </c>
      <c r="I200" s="14" t="n"/>
      <c r="J200" s="15">
        <f>IF(I200="","",EDATE(I200,3))</f>
        <v/>
      </c>
      <c r="K200" s="12" t="n"/>
      <c r="L200" s="12" t="n"/>
      <c r="M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3">
        <f>IF(G201="","",IFERROR(INDEX(Packages!$B:$B,MATCH(G201,Packages!$A:$A,0)),""))</f>
        <v/>
      </c>
      <c r="I201" s="14" t="n"/>
      <c r="J201" s="15">
        <f>IF(I201="","",EDATE(I201,3))</f>
        <v/>
      </c>
      <c r="K201" s="12" t="n"/>
      <c r="L201" s="12" t="n"/>
      <c r="M201" s="12" t="n"/>
    </row>
  </sheetData>
  <autoFilter ref="A1:M201"/>
  <dataValidations count="2">
    <dataValidation sqref="G2:G201" showDropDown="0" showInputMessage="0" showErrorMessage="0" allowBlank="1" type="list">
      <formula1>Packages!$A$2:$A$7</formula1>
    </dataValidation>
    <dataValidation sqref="K2:K201" showDropDown="0" showInputMessage="0" showErrorMessage="0" allowBlank="1" type="list">
      <formula1>Lists!$A$2:$A$7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5" customWidth="1" min="3" max="3"/>
    <col width="10" customWidth="1" min="4" max="4"/>
    <col width="44" customWidth="1" min="5" max="5"/>
    <col width="14" customWidth="1" min="6" max="6"/>
    <col width="24" customWidth="1" min="7" max="7"/>
    <col width="11" customWidth="1" min="8" max="8"/>
    <col width="13" customWidth="1" min="9" max="9"/>
    <col width="13" customWidth="1" min="10" max="10"/>
    <col width="10" customWidth="1" min="11" max="11"/>
    <col width="28" customWidth="1" min="12" max="12"/>
  </cols>
  <sheetData>
    <row r="1" ht="34" customHeight="1">
      <c r="A1" s="7" t="inlineStr">
        <is>
          <t>Client</t>
        </is>
      </c>
      <c r="B1" s="7" t="inlineStr">
        <is>
          <t>Month (1st)</t>
        </is>
      </c>
      <c r="C1" s="7" t="inlineStr">
        <is>
          <t>#</t>
        </is>
      </c>
      <c r="D1" s="7" t="inlineStr">
        <is>
          <t>Bucket</t>
        </is>
      </c>
      <c r="E1" s="7" t="inlineStr">
        <is>
          <t>Idea and hook (first 2 seconds)</t>
        </is>
      </c>
      <c r="F1" s="7" t="inlineStr">
        <is>
          <t>On camera</t>
        </is>
      </c>
      <c r="G1" s="7" t="inlineStr">
        <is>
          <t>Call to action</t>
        </is>
      </c>
      <c r="H1" s="7" t="inlineStr">
        <is>
          <t>Code word</t>
        </is>
      </c>
      <c r="I1" s="7" t="inlineStr">
        <is>
          <t>Shoot date</t>
        </is>
      </c>
      <c r="J1" s="7" t="inlineStr">
        <is>
          <t>Planned post date</t>
        </is>
      </c>
      <c r="K1" s="7" t="inlineStr">
        <is>
          <t>Status</t>
        </is>
      </c>
      <c r="L1" s="7" t="inlineStr">
        <is>
          <t>Notes</t>
        </is>
      </c>
    </row>
    <row r="2">
      <c r="A2" s="8" t="inlineStr">
        <is>
          <t>EXAMPLE Spa Co</t>
        </is>
      </c>
      <c r="B2" s="16" t="n">
        <v>46327</v>
      </c>
      <c r="C2" s="8" t="n">
        <v>1</v>
      </c>
      <c r="D2" s="8" t="inlineStr">
        <is>
          <t>Convert</t>
        </is>
      </c>
      <c r="E2" s="8" t="inlineStr">
        <is>
          <t>Weekday slots open: 'Your back after a 6-day week'</t>
        </is>
      </c>
      <c r="F2" s="8" t="inlineStr">
        <is>
          <t>Therapist Ana</t>
        </is>
      </c>
      <c r="G2" s="8" t="inlineStr">
        <is>
          <t>WhatsApp RELAX for a weekday slot</t>
        </is>
      </c>
      <c r="H2" s="8" t="inlineStr">
        <is>
          <t>RELAX</t>
        </is>
      </c>
      <c r="I2" s="10" t="n">
        <v>46329</v>
      </c>
      <c r="J2" s="10" t="n">
        <v>46332</v>
      </c>
      <c r="K2" s="8" t="inlineStr">
        <is>
          <t>Planned</t>
        </is>
      </c>
      <c r="L2" s="8" t="n"/>
    </row>
    <row r="3">
      <c r="A3" s="12" t="n"/>
      <c r="B3" s="17" t="n"/>
      <c r="C3" s="12" t="n"/>
      <c r="D3" s="12" t="n"/>
      <c r="E3" s="12" t="n"/>
      <c r="F3" s="12" t="n"/>
      <c r="G3" s="12" t="n"/>
      <c r="H3" s="12" t="n"/>
      <c r="I3" s="14" t="n"/>
      <c r="J3" s="14" t="n"/>
      <c r="K3" s="12" t="n"/>
      <c r="L3" s="12" t="n"/>
    </row>
    <row r="4">
      <c r="A4" s="12" t="n"/>
      <c r="B4" s="17" t="n"/>
      <c r="C4" s="12" t="n"/>
      <c r="D4" s="12" t="n"/>
      <c r="E4" s="12" t="n"/>
      <c r="F4" s="12" t="n"/>
      <c r="G4" s="12" t="n"/>
      <c r="H4" s="12" t="n"/>
      <c r="I4" s="14" t="n"/>
      <c r="J4" s="14" t="n"/>
      <c r="K4" s="12" t="n"/>
      <c r="L4" s="12" t="n"/>
    </row>
    <row r="5">
      <c r="A5" s="12" t="n"/>
      <c r="B5" s="17" t="n"/>
      <c r="C5" s="12" t="n"/>
      <c r="D5" s="12" t="n"/>
      <c r="E5" s="12" t="n"/>
      <c r="F5" s="12" t="n"/>
      <c r="G5" s="12" t="n"/>
      <c r="H5" s="12" t="n"/>
      <c r="I5" s="14" t="n"/>
      <c r="J5" s="14" t="n"/>
      <c r="K5" s="12" t="n"/>
      <c r="L5" s="12" t="n"/>
    </row>
    <row r="6">
      <c r="A6" s="12" t="n"/>
      <c r="B6" s="17" t="n"/>
      <c r="C6" s="12" t="n"/>
      <c r="D6" s="12" t="n"/>
      <c r="E6" s="12" t="n"/>
      <c r="F6" s="12" t="n"/>
      <c r="G6" s="12" t="n"/>
      <c r="H6" s="12" t="n"/>
      <c r="I6" s="14" t="n"/>
      <c r="J6" s="14" t="n"/>
      <c r="K6" s="12" t="n"/>
      <c r="L6" s="12" t="n"/>
    </row>
    <row r="7">
      <c r="A7" s="12" t="n"/>
      <c r="B7" s="17" t="n"/>
      <c r="C7" s="12" t="n"/>
      <c r="D7" s="12" t="n"/>
      <c r="E7" s="12" t="n"/>
      <c r="F7" s="12" t="n"/>
      <c r="G7" s="12" t="n"/>
      <c r="H7" s="12" t="n"/>
      <c r="I7" s="14" t="n"/>
      <c r="J7" s="14" t="n"/>
      <c r="K7" s="12" t="n"/>
      <c r="L7" s="12" t="n"/>
    </row>
    <row r="8">
      <c r="A8" s="12" t="n"/>
      <c r="B8" s="17" t="n"/>
      <c r="C8" s="12" t="n"/>
      <c r="D8" s="12" t="n"/>
      <c r="E8" s="12" t="n"/>
      <c r="F8" s="12" t="n"/>
      <c r="G8" s="12" t="n"/>
      <c r="H8" s="12" t="n"/>
      <c r="I8" s="14" t="n"/>
      <c r="J8" s="14" t="n"/>
      <c r="K8" s="12" t="n"/>
      <c r="L8" s="12" t="n"/>
    </row>
    <row r="9">
      <c r="A9" s="12" t="n"/>
      <c r="B9" s="17" t="n"/>
      <c r="C9" s="12" t="n"/>
      <c r="D9" s="12" t="n"/>
      <c r="E9" s="12" t="n"/>
      <c r="F9" s="12" t="n"/>
      <c r="G9" s="12" t="n"/>
      <c r="H9" s="12" t="n"/>
      <c r="I9" s="14" t="n"/>
      <c r="J9" s="14" t="n"/>
      <c r="K9" s="12" t="n"/>
      <c r="L9" s="12" t="n"/>
    </row>
    <row r="10">
      <c r="A10" s="12" t="n"/>
      <c r="B10" s="17" t="n"/>
      <c r="C10" s="12" t="n"/>
      <c r="D10" s="12" t="n"/>
      <c r="E10" s="12" t="n"/>
      <c r="F10" s="12" t="n"/>
      <c r="G10" s="12" t="n"/>
      <c r="H10" s="12" t="n"/>
      <c r="I10" s="14" t="n"/>
      <c r="J10" s="14" t="n"/>
      <c r="K10" s="12" t="n"/>
      <c r="L10" s="12" t="n"/>
    </row>
    <row r="11">
      <c r="A11" s="12" t="n"/>
      <c r="B11" s="17" t="n"/>
      <c r="C11" s="12" t="n"/>
      <c r="D11" s="12" t="n"/>
      <c r="E11" s="12" t="n"/>
      <c r="F11" s="12" t="n"/>
      <c r="G11" s="12" t="n"/>
      <c r="H11" s="12" t="n"/>
      <c r="I11" s="14" t="n"/>
      <c r="J11" s="14" t="n"/>
      <c r="K11" s="12" t="n"/>
      <c r="L11" s="12" t="n"/>
    </row>
    <row r="12">
      <c r="A12" s="12" t="n"/>
      <c r="B12" s="17" t="n"/>
      <c r="C12" s="12" t="n"/>
      <c r="D12" s="12" t="n"/>
      <c r="E12" s="12" t="n"/>
      <c r="F12" s="12" t="n"/>
      <c r="G12" s="12" t="n"/>
      <c r="H12" s="12" t="n"/>
      <c r="I12" s="14" t="n"/>
      <c r="J12" s="14" t="n"/>
      <c r="K12" s="12" t="n"/>
      <c r="L12" s="12" t="n"/>
    </row>
    <row r="13">
      <c r="A13" s="12" t="n"/>
      <c r="B13" s="17" t="n"/>
      <c r="C13" s="12" t="n"/>
      <c r="D13" s="12" t="n"/>
      <c r="E13" s="12" t="n"/>
      <c r="F13" s="12" t="n"/>
      <c r="G13" s="12" t="n"/>
      <c r="H13" s="12" t="n"/>
      <c r="I13" s="14" t="n"/>
      <c r="J13" s="14" t="n"/>
      <c r="K13" s="12" t="n"/>
      <c r="L13" s="12" t="n"/>
    </row>
    <row r="14">
      <c r="A14" s="12" t="n"/>
      <c r="B14" s="17" t="n"/>
      <c r="C14" s="12" t="n"/>
      <c r="D14" s="12" t="n"/>
      <c r="E14" s="12" t="n"/>
      <c r="F14" s="12" t="n"/>
      <c r="G14" s="12" t="n"/>
      <c r="H14" s="12" t="n"/>
      <c r="I14" s="14" t="n"/>
      <c r="J14" s="14" t="n"/>
      <c r="K14" s="12" t="n"/>
      <c r="L14" s="12" t="n"/>
    </row>
    <row r="15">
      <c r="A15" s="12" t="n"/>
      <c r="B15" s="17" t="n"/>
      <c r="C15" s="12" t="n"/>
      <c r="D15" s="12" t="n"/>
      <c r="E15" s="12" t="n"/>
      <c r="F15" s="12" t="n"/>
      <c r="G15" s="12" t="n"/>
      <c r="H15" s="12" t="n"/>
      <c r="I15" s="14" t="n"/>
      <c r="J15" s="14" t="n"/>
      <c r="K15" s="12" t="n"/>
      <c r="L15" s="12" t="n"/>
    </row>
    <row r="16">
      <c r="A16" s="12" t="n"/>
      <c r="B16" s="17" t="n"/>
      <c r="C16" s="12" t="n"/>
      <c r="D16" s="12" t="n"/>
      <c r="E16" s="12" t="n"/>
      <c r="F16" s="12" t="n"/>
      <c r="G16" s="12" t="n"/>
      <c r="H16" s="12" t="n"/>
      <c r="I16" s="14" t="n"/>
      <c r="J16" s="14" t="n"/>
      <c r="K16" s="12" t="n"/>
      <c r="L16" s="12" t="n"/>
    </row>
    <row r="17">
      <c r="A17" s="12" t="n"/>
      <c r="B17" s="17" t="n"/>
      <c r="C17" s="12" t="n"/>
      <c r="D17" s="12" t="n"/>
      <c r="E17" s="12" t="n"/>
      <c r="F17" s="12" t="n"/>
      <c r="G17" s="12" t="n"/>
      <c r="H17" s="12" t="n"/>
      <c r="I17" s="14" t="n"/>
      <c r="J17" s="14" t="n"/>
      <c r="K17" s="12" t="n"/>
      <c r="L17" s="12" t="n"/>
    </row>
    <row r="18">
      <c r="A18" s="12" t="n"/>
      <c r="B18" s="17" t="n"/>
      <c r="C18" s="12" t="n"/>
      <c r="D18" s="12" t="n"/>
      <c r="E18" s="12" t="n"/>
      <c r="F18" s="12" t="n"/>
      <c r="G18" s="12" t="n"/>
      <c r="H18" s="12" t="n"/>
      <c r="I18" s="14" t="n"/>
      <c r="J18" s="14" t="n"/>
      <c r="K18" s="12" t="n"/>
      <c r="L18" s="12" t="n"/>
    </row>
    <row r="19">
      <c r="A19" s="12" t="n"/>
      <c r="B19" s="17" t="n"/>
      <c r="C19" s="12" t="n"/>
      <c r="D19" s="12" t="n"/>
      <c r="E19" s="12" t="n"/>
      <c r="F19" s="12" t="n"/>
      <c r="G19" s="12" t="n"/>
      <c r="H19" s="12" t="n"/>
      <c r="I19" s="14" t="n"/>
      <c r="J19" s="14" t="n"/>
      <c r="K19" s="12" t="n"/>
      <c r="L19" s="12" t="n"/>
    </row>
    <row r="20">
      <c r="A20" s="12" t="n"/>
      <c r="B20" s="17" t="n"/>
      <c r="C20" s="12" t="n"/>
      <c r="D20" s="12" t="n"/>
      <c r="E20" s="12" t="n"/>
      <c r="F20" s="12" t="n"/>
      <c r="G20" s="12" t="n"/>
      <c r="H20" s="12" t="n"/>
      <c r="I20" s="14" t="n"/>
      <c r="J20" s="14" t="n"/>
      <c r="K20" s="12" t="n"/>
      <c r="L20" s="12" t="n"/>
    </row>
    <row r="21">
      <c r="A21" s="12" t="n"/>
      <c r="B21" s="17" t="n"/>
      <c r="C21" s="12" t="n"/>
      <c r="D21" s="12" t="n"/>
      <c r="E21" s="12" t="n"/>
      <c r="F21" s="12" t="n"/>
      <c r="G21" s="12" t="n"/>
      <c r="H21" s="12" t="n"/>
      <c r="I21" s="14" t="n"/>
      <c r="J21" s="14" t="n"/>
      <c r="K21" s="12" t="n"/>
      <c r="L21" s="12" t="n"/>
    </row>
    <row r="22">
      <c r="A22" s="12" t="n"/>
      <c r="B22" s="17" t="n"/>
      <c r="C22" s="12" t="n"/>
      <c r="D22" s="12" t="n"/>
      <c r="E22" s="12" t="n"/>
      <c r="F22" s="12" t="n"/>
      <c r="G22" s="12" t="n"/>
      <c r="H22" s="12" t="n"/>
      <c r="I22" s="14" t="n"/>
      <c r="J22" s="14" t="n"/>
      <c r="K22" s="12" t="n"/>
      <c r="L22" s="12" t="n"/>
    </row>
    <row r="23">
      <c r="A23" s="12" t="n"/>
      <c r="B23" s="17" t="n"/>
      <c r="C23" s="12" t="n"/>
      <c r="D23" s="12" t="n"/>
      <c r="E23" s="12" t="n"/>
      <c r="F23" s="12" t="n"/>
      <c r="G23" s="12" t="n"/>
      <c r="H23" s="12" t="n"/>
      <c r="I23" s="14" t="n"/>
      <c r="J23" s="14" t="n"/>
      <c r="K23" s="12" t="n"/>
      <c r="L23" s="12" t="n"/>
    </row>
    <row r="24">
      <c r="A24" s="12" t="n"/>
      <c r="B24" s="17" t="n"/>
      <c r="C24" s="12" t="n"/>
      <c r="D24" s="12" t="n"/>
      <c r="E24" s="12" t="n"/>
      <c r="F24" s="12" t="n"/>
      <c r="G24" s="12" t="n"/>
      <c r="H24" s="12" t="n"/>
      <c r="I24" s="14" t="n"/>
      <c r="J24" s="14" t="n"/>
      <c r="K24" s="12" t="n"/>
      <c r="L24" s="12" t="n"/>
    </row>
    <row r="25">
      <c r="A25" s="12" t="n"/>
      <c r="B25" s="17" t="n"/>
      <c r="C25" s="12" t="n"/>
      <c r="D25" s="12" t="n"/>
      <c r="E25" s="12" t="n"/>
      <c r="F25" s="12" t="n"/>
      <c r="G25" s="12" t="n"/>
      <c r="H25" s="12" t="n"/>
      <c r="I25" s="14" t="n"/>
      <c r="J25" s="14" t="n"/>
      <c r="K25" s="12" t="n"/>
      <c r="L25" s="12" t="n"/>
    </row>
    <row r="26">
      <c r="A26" s="12" t="n"/>
      <c r="B26" s="17" t="n"/>
      <c r="C26" s="12" t="n"/>
      <c r="D26" s="12" t="n"/>
      <c r="E26" s="12" t="n"/>
      <c r="F26" s="12" t="n"/>
      <c r="G26" s="12" t="n"/>
      <c r="H26" s="12" t="n"/>
      <c r="I26" s="14" t="n"/>
      <c r="J26" s="14" t="n"/>
      <c r="K26" s="12" t="n"/>
      <c r="L26" s="12" t="n"/>
    </row>
    <row r="27">
      <c r="A27" s="12" t="n"/>
      <c r="B27" s="17" t="n"/>
      <c r="C27" s="12" t="n"/>
      <c r="D27" s="12" t="n"/>
      <c r="E27" s="12" t="n"/>
      <c r="F27" s="12" t="n"/>
      <c r="G27" s="12" t="n"/>
      <c r="H27" s="12" t="n"/>
      <c r="I27" s="14" t="n"/>
      <c r="J27" s="14" t="n"/>
      <c r="K27" s="12" t="n"/>
      <c r="L27" s="12" t="n"/>
    </row>
    <row r="28">
      <c r="A28" s="12" t="n"/>
      <c r="B28" s="17" t="n"/>
      <c r="C28" s="12" t="n"/>
      <c r="D28" s="12" t="n"/>
      <c r="E28" s="12" t="n"/>
      <c r="F28" s="12" t="n"/>
      <c r="G28" s="12" t="n"/>
      <c r="H28" s="12" t="n"/>
      <c r="I28" s="14" t="n"/>
      <c r="J28" s="14" t="n"/>
      <c r="K28" s="12" t="n"/>
      <c r="L28" s="12" t="n"/>
    </row>
    <row r="29">
      <c r="A29" s="12" t="n"/>
      <c r="B29" s="17" t="n"/>
      <c r="C29" s="12" t="n"/>
      <c r="D29" s="12" t="n"/>
      <c r="E29" s="12" t="n"/>
      <c r="F29" s="12" t="n"/>
      <c r="G29" s="12" t="n"/>
      <c r="H29" s="12" t="n"/>
      <c r="I29" s="14" t="n"/>
      <c r="J29" s="14" t="n"/>
      <c r="K29" s="12" t="n"/>
      <c r="L29" s="12" t="n"/>
    </row>
    <row r="30">
      <c r="A30" s="12" t="n"/>
      <c r="B30" s="17" t="n"/>
      <c r="C30" s="12" t="n"/>
      <c r="D30" s="12" t="n"/>
      <c r="E30" s="12" t="n"/>
      <c r="F30" s="12" t="n"/>
      <c r="G30" s="12" t="n"/>
      <c r="H30" s="12" t="n"/>
      <c r="I30" s="14" t="n"/>
      <c r="J30" s="14" t="n"/>
      <c r="K30" s="12" t="n"/>
      <c r="L30" s="12" t="n"/>
    </row>
    <row r="31">
      <c r="A31" s="12" t="n"/>
      <c r="B31" s="17" t="n"/>
      <c r="C31" s="12" t="n"/>
      <c r="D31" s="12" t="n"/>
      <c r="E31" s="12" t="n"/>
      <c r="F31" s="12" t="n"/>
      <c r="G31" s="12" t="n"/>
      <c r="H31" s="12" t="n"/>
      <c r="I31" s="14" t="n"/>
      <c r="J31" s="14" t="n"/>
      <c r="K31" s="12" t="n"/>
      <c r="L31" s="12" t="n"/>
    </row>
    <row r="32">
      <c r="A32" s="12" t="n"/>
      <c r="B32" s="17" t="n"/>
      <c r="C32" s="12" t="n"/>
      <c r="D32" s="12" t="n"/>
      <c r="E32" s="12" t="n"/>
      <c r="F32" s="12" t="n"/>
      <c r="G32" s="12" t="n"/>
      <c r="H32" s="12" t="n"/>
      <c r="I32" s="14" t="n"/>
      <c r="J32" s="14" t="n"/>
      <c r="K32" s="12" t="n"/>
      <c r="L32" s="12" t="n"/>
    </row>
    <row r="33">
      <c r="A33" s="12" t="n"/>
      <c r="B33" s="17" t="n"/>
      <c r="C33" s="12" t="n"/>
      <c r="D33" s="12" t="n"/>
      <c r="E33" s="12" t="n"/>
      <c r="F33" s="12" t="n"/>
      <c r="G33" s="12" t="n"/>
      <c r="H33" s="12" t="n"/>
      <c r="I33" s="14" t="n"/>
      <c r="J33" s="14" t="n"/>
      <c r="K33" s="12" t="n"/>
      <c r="L33" s="12" t="n"/>
    </row>
    <row r="34">
      <c r="A34" s="12" t="n"/>
      <c r="B34" s="17" t="n"/>
      <c r="C34" s="12" t="n"/>
      <c r="D34" s="12" t="n"/>
      <c r="E34" s="12" t="n"/>
      <c r="F34" s="12" t="n"/>
      <c r="G34" s="12" t="n"/>
      <c r="H34" s="12" t="n"/>
      <c r="I34" s="14" t="n"/>
      <c r="J34" s="14" t="n"/>
      <c r="K34" s="12" t="n"/>
      <c r="L34" s="12" t="n"/>
    </row>
    <row r="35">
      <c r="A35" s="12" t="n"/>
      <c r="B35" s="17" t="n"/>
      <c r="C35" s="12" t="n"/>
      <c r="D35" s="12" t="n"/>
      <c r="E35" s="12" t="n"/>
      <c r="F35" s="12" t="n"/>
      <c r="G35" s="12" t="n"/>
      <c r="H35" s="12" t="n"/>
      <c r="I35" s="14" t="n"/>
      <c r="J35" s="14" t="n"/>
      <c r="K35" s="12" t="n"/>
      <c r="L35" s="12" t="n"/>
    </row>
    <row r="36">
      <c r="A36" s="12" t="n"/>
      <c r="B36" s="17" t="n"/>
      <c r="C36" s="12" t="n"/>
      <c r="D36" s="12" t="n"/>
      <c r="E36" s="12" t="n"/>
      <c r="F36" s="12" t="n"/>
      <c r="G36" s="12" t="n"/>
      <c r="H36" s="12" t="n"/>
      <c r="I36" s="14" t="n"/>
      <c r="J36" s="14" t="n"/>
      <c r="K36" s="12" t="n"/>
      <c r="L36" s="12" t="n"/>
    </row>
    <row r="37">
      <c r="A37" s="12" t="n"/>
      <c r="B37" s="17" t="n"/>
      <c r="C37" s="12" t="n"/>
      <c r="D37" s="12" t="n"/>
      <c r="E37" s="12" t="n"/>
      <c r="F37" s="12" t="n"/>
      <c r="G37" s="12" t="n"/>
      <c r="H37" s="12" t="n"/>
      <c r="I37" s="14" t="n"/>
      <c r="J37" s="14" t="n"/>
      <c r="K37" s="12" t="n"/>
      <c r="L37" s="12" t="n"/>
    </row>
    <row r="38">
      <c r="A38" s="12" t="n"/>
      <c r="B38" s="17" t="n"/>
      <c r="C38" s="12" t="n"/>
      <c r="D38" s="12" t="n"/>
      <c r="E38" s="12" t="n"/>
      <c r="F38" s="12" t="n"/>
      <c r="G38" s="12" t="n"/>
      <c r="H38" s="12" t="n"/>
      <c r="I38" s="14" t="n"/>
      <c r="J38" s="14" t="n"/>
      <c r="K38" s="12" t="n"/>
      <c r="L38" s="12" t="n"/>
    </row>
    <row r="39">
      <c r="A39" s="12" t="n"/>
      <c r="B39" s="17" t="n"/>
      <c r="C39" s="12" t="n"/>
      <c r="D39" s="12" t="n"/>
      <c r="E39" s="12" t="n"/>
      <c r="F39" s="12" t="n"/>
      <c r="G39" s="12" t="n"/>
      <c r="H39" s="12" t="n"/>
      <c r="I39" s="14" t="n"/>
      <c r="J39" s="14" t="n"/>
      <c r="K39" s="12" t="n"/>
      <c r="L39" s="12" t="n"/>
    </row>
    <row r="40">
      <c r="A40" s="12" t="n"/>
      <c r="B40" s="17" t="n"/>
      <c r="C40" s="12" t="n"/>
      <c r="D40" s="12" t="n"/>
      <c r="E40" s="12" t="n"/>
      <c r="F40" s="12" t="n"/>
      <c r="G40" s="12" t="n"/>
      <c r="H40" s="12" t="n"/>
      <c r="I40" s="14" t="n"/>
      <c r="J40" s="14" t="n"/>
      <c r="K40" s="12" t="n"/>
      <c r="L40" s="12" t="n"/>
    </row>
    <row r="41">
      <c r="A41" s="12" t="n"/>
      <c r="B41" s="17" t="n"/>
      <c r="C41" s="12" t="n"/>
      <c r="D41" s="12" t="n"/>
      <c r="E41" s="12" t="n"/>
      <c r="F41" s="12" t="n"/>
      <c r="G41" s="12" t="n"/>
      <c r="H41" s="12" t="n"/>
      <c r="I41" s="14" t="n"/>
      <c r="J41" s="14" t="n"/>
      <c r="K41" s="12" t="n"/>
      <c r="L41" s="12" t="n"/>
    </row>
    <row r="42">
      <c r="A42" s="12" t="n"/>
      <c r="B42" s="17" t="n"/>
      <c r="C42" s="12" t="n"/>
      <c r="D42" s="12" t="n"/>
      <c r="E42" s="12" t="n"/>
      <c r="F42" s="12" t="n"/>
      <c r="G42" s="12" t="n"/>
      <c r="H42" s="12" t="n"/>
      <c r="I42" s="14" t="n"/>
      <c r="J42" s="14" t="n"/>
      <c r="K42" s="12" t="n"/>
      <c r="L42" s="12" t="n"/>
    </row>
    <row r="43">
      <c r="A43" s="12" t="n"/>
      <c r="B43" s="17" t="n"/>
      <c r="C43" s="12" t="n"/>
      <c r="D43" s="12" t="n"/>
      <c r="E43" s="12" t="n"/>
      <c r="F43" s="12" t="n"/>
      <c r="G43" s="12" t="n"/>
      <c r="H43" s="12" t="n"/>
      <c r="I43" s="14" t="n"/>
      <c r="J43" s="14" t="n"/>
      <c r="K43" s="12" t="n"/>
      <c r="L43" s="12" t="n"/>
    </row>
    <row r="44">
      <c r="A44" s="12" t="n"/>
      <c r="B44" s="17" t="n"/>
      <c r="C44" s="12" t="n"/>
      <c r="D44" s="12" t="n"/>
      <c r="E44" s="12" t="n"/>
      <c r="F44" s="12" t="n"/>
      <c r="G44" s="12" t="n"/>
      <c r="H44" s="12" t="n"/>
      <c r="I44" s="14" t="n"/>
      <c r="J44" s="14" t="n"/>
      <c r="K44" s="12" t="n"/>
      <c r="L44" s="12" t="n"/>
    </row>
    <row r="45">
      <c r="A45" s="12" t="n"/>
      <c r="B45" s="17" t="n"/>
      <c r="C45" s="12" t="n"/>
      <c r="D45" s="12" t="n"/>
      <c r="E45" s="12" t="n"/>
      <c r="F45" s="12" t="n"/>
      <c r="G45" s="12" t="n"/>
      <c r="H45" s="12" t="n"/>
      <c r="I45" s="14" t="n"/>
      <c r="J45" s="14" t="n"/>
      <c r="K45" s="12" t="n"/>
      <c r="L45" s="12" t="n"/>
    </row>
    <row r="46">
      <c r="A46" s="12" t="n"/>
      <c r="B46" s="17" t="n"/>
      <c r="C46" s="12" t="n"/>
      <c r="D46" s="12" t="n"/>
      <c r="E46" s="12" t="n"/>
      <c r="F46" s="12" t="n"/>
      <c r="G46" s="12" t="n"/>
      <c r="H46" s="12" t="n"/>
      <c r="I46" s="14" t="n"/>
      <c r="J46" s="14" t="n"/>
      <c r="K46" s="12" t="n"/>
      <c r="L46" s="12" t="n"/>
    </row>
    <row r="47">
      <c r="A47" s="12" t="n"/>
      <c r="B47" s="17" t="n"/>
      <c r="C47" s="12" t="n"/>
      <c r="D47" s="12" t="n"/>
      <c r="E47" s="12" t="n"/>
      <c r="F47" s="12" t="n"/>
      <c r="G47" s="12" t="n"/>
      <c r="H47" s="12" t="n"/>
      <c r="I47" s="14" t="n"/>
      <c r="J47" s="14" t="n"/>
      <c r="K47" s="12" t="n"/>
      <c r="L47" s="12" t="n"/>
    </row>
    <row r="48">
      <c r="A48" s="12" t="n"/>
      <c r="B48" s="17" t="n"/>
      <c r="C48" s="12" t="n"/>
      <c r="D48" s="12" t="n"/>
      <c r="E48" s="12" t="n"/>
      <c r="F48" s="12" t="n"/>
      <c r="G48" s="12" t="n"/>
      <c r="H48" s="12" t="n"/>
      <c r="I48" s="14" t="n"/>
      <c r="J48" s="14" t="n"/>
      <c r="K48" s="12" t="n"/>
      <c r="L48" s="12" t="n"/>
    </row>
    <row r="49">
      <c r="A49" s="12" t="n"/>
      <c r="B49" s="17" t="n"/>
      <c r="C49" s="12" t="n"/>
      <c r="D49" s="12" t="n"/>
      <c r="E49" s="12" t="n"/>
      <c r="F49" s="12" t="n"/>
      <c r="G49" s="12" t="n"/>
      <c r="H49" s="12" t="n"/>
      <c r="I49" s="14" t="n"/>
      <c r="J49" s="14" t="n"/>
      <c r="K49" s="12" t="n"/>
      <c r="L49" s="12" t="n"/>
    </row>
    <row r="50">
      <c r="A50" s="12" t="n"/>
      <c r="B50" s="17" t="n"/>
      <c r="C50" s="12" t="n"/>
      <c r="D50" s="12" t="n"/>
      <c r="E50" s="12" t="n"/>
      <c r="F50" s="12" t="n"/>
      <c r="G50" s="12" t="n"/>
      <c r="H50" s="12" t="n"/>
      <c r="I50" s="14" t="n"/>
      <c r="J50" s="14" t="n"/>
      <c r="K50" s="12" t="n"/>
      <c r="L50" s="12" t="n"/>
    </row>
    <row r="51">
      <c r="A51" s="12" t="n"/>
      <c r="B51" s="17" t="n"/>
      <c r="C51" s="12" t="n"/>
      <c r="D51" s="12" t="n"/>
      <c r="E51" s="12" t="n"/>
      <c r="F51" s="12" t="n"/>
      <c r="G51" s="12" t="n"/>
      <c r="H51" s="12" t="n"/>
      <c r="I51" s="14" t="n"/>
      <c r="J51" s="14" t="n"/>
      <c r="K51" s="12" t="n"/>
      <c r="L51" s="12" t="n"/>
    </row>
    <row r="52">
      <c r="A52" s="12" t="n"/>
      <c r="B52" s="17" t="n"/>
      <c r="C52" s="12" t="n"/>
      <c r="D52" s="12" t="n"/>
      <c r="E52" s="12" t="n"/>
      <c r="F52" s="12" t="n"/>
      <c r="G52" s="12" t="n"/>
      <c r="H52" s="12" t="n"/>
      <c r="I52" s="14" t="n"/>
      <c r="J52" s="14" t="n"/>
      <c r="K52" s="12" t="n"/>
      <c r="L52" s="12" t="n"/>
    </row>
    <row r="53">
      <c r="A53" s="12" t="n"/>
      <c r="B53" s="17" t="n"/>
      <c r="C53" s="12" t="n"/>
      <c r="D53" s="12" t="n"/>
      <c r="E53" s="12" t="n"/>
      <c r="F53" s="12" t="n"/>
      <c r="G53" s="12" t="n"/>
      <c r="H53" s="12" t="n"/>
      <c r="I53" s="14" t="n"/>
      <c r="J53" s="14" t="n"/>
      <c r="K53" s="12" t="n"/>
      <c r="L53" s="12" t="n"/>
    </row>
    <row r="54">
      <c r="A54" s="12" t="n"/>
      <c r="B54" s="17" t="n"/>
      <c r="C54" s="12" t="n"/>
      <c r="D54" s="12" t="n"/>
      <c r="E54" s="12" t="n"/>
      <c r="F54" s="12" t="n"/>
      <c r="G54" s="12" t="n"/>
      <c r="H54" s="12" t="n"/>
      <c r="I54" s="14" t="n"/>
      <c r="J54" s="14" t="n"/>
      <c r="K54" s="12" t="n"/>
      <c r="L54" s="12" t="n"/>
    </row>
    <row r="55">
      <c r="A55" s="12" t="n"/>
      <c r="B55" s="17" t="n"/>
      <c r="C55" s="12" t="n"/>
      <c r="D55" s="12" t="n"/>
      <c r="E55" s="12" t="n"/>
      <c r="F55" s="12" t="n"/>
      <c r="G55" s="12" t="n"/>
      <c r="H55" s="12" t="n"/>
      <c r="I55" s="14" t="n"/>
      <c r="J55" s="14" t="n"/>
      <c r="K55" s="12" t="n"/>
      <c r="L55" s="12" t="n"/>
    </row>
    <row r="56">
      <c r="A56" s="12" t="n"/>
      <c r="B56" s="17" t="n"/>
      <c r="C56" s="12" t="n"/>
      <c r="D56" s="12" t="n"/>
      <c r="E56" s="12" t="n"/>
      <c r="F56" s="12" t="n"/>
      <c r="G56" s="12" t="n"/>
      <c r="H56" s="12" t="n"/>
      <c r="I56" s="14" t="n"/>
      <c r="J56" s="14" t="n"/>
      <c r="K56" s="12" t="n"/>
      <c r="L56" s="12" t="n"/>
    </row>
    <row r="57">
      <c r="A57" s="12" t="n"/>
      <c r="B57" s="17" t="n"/>
      <c r="C57" s="12" t="n"/>
      <c r="D57" s="12" t="n"/>
      <c r="E57" s="12" t="n"/>
      <c r="F57" s="12" t="n"/>
      <c r="G57" s="12" t="n"/>
      <c r="H57" s="12" t="n"/>
      <c r="I57" s="14" t="n"/>
      <c r="J57" s="14" t="n"/>
      <c r="K57" s="12" t="n"/>
      <c r="L57" s="12" t="n"/>
    </row>
    <row r="58">
      <c r="A58" s="12" t="n"/>
      <c r="B58" s="17" t="n"/>
      <c r="C58" s="12" t="n"/>
      <c r="D58" s="12" t="n"/>
      <c r="E58" s="12" t="n"/>
      <c r="F58" s="12" t="n"/>
      <c r="G58" s="12" t="n"/>
      <c r="H58" s="12" t="n"/>
      <c r="I58" s="14" t="n"/>
      <c r="J58" s="14" t="n"/>
      <c r="K58" s="12" t="n"/>
      <c r="L58" s="12" t="n"/>
    </row>
    <row r="59">
      <c r="A59" s="12" t="n"/>
      <c r="B59" s="17" t="n"/>
      <c r="C59" s="12" t="n"/>
      <c r="D59" s="12" t="n"/>
      <c r="E59" s="12" t="n"/>
      <c r="F59" s="12" t="n"/>
      <c r="G59" s="12" t="n"/>
      <c r="H59" s="12" t="n"/>
      <c r="I59" s="14" t="n"/>
      <c r="J59" s="14" t="n"/>
      <c r="K59" s="12" t="n"/>
      <c r="L59" s="12" t="n"/>
    </row>
    <row r="60">
      <c r="A60" s="12" t="n"/>
      <c r="B60" s="17" t="n"/>
      <c r="C60" s="12" t="n"/>
      <c r="D60" s="12" t="n"/>
      <c r="E60" s="12" t="n"/>
      <c r="F60" s="12" t="n"/>
      <c r="G60" s="12" t="n"/>
      <c r="H60" s="12" t="n"/>
      <c r="I60" s="14" t="n"/>
      <c r="J60" s="14" t="n"/>
      <c r="K60" s="12" t="n"/>
      <c r="L60" s="12" t="n"/>
    </row>
    <row r="61">
      <c r="A61" s="12" t="n"/>
      <c r="B61" s="17" t="n"/>
      <c r="C61" s="12" t="n"/>
      <c r="D61" s="12" t="n"/>
      <c r="E61" s="12" t="n"/>
      <c r="F61" s="12" t="n"/>
      <c r="G61" s="12" t="n"/>
      <c r="H61" s="12" t="n"/>
      <c r="I61" s="14" t="n"/>
      <c r="J61" s="14" t="n"/>
      <c r="K61" s="12" t="n"/>
      <c r="L61" s="12" t="n"/>
    </row>
    <row r="62">
      <c r="A62" s="12" t="n"/>
      <c r="B62" s="17" t="n"/>
      <c r="C62" s="12" t="n"/>
      <c r="D62" s="12" t="n"/>
      <c r="E62" s="12" t="n"/>
      <c r="F62" s="12" t="n"/>
      <c r="G62" s="12" t="n"/>
      <c r="H62" s="12" t="n"/>
      <c r="I62" s="14" t="n"/>
      <c r="J62" s="14" t="n"/>
      <c r="K62" s="12" t="n"/>
      <c r="L62" s="12" t="n"/>
    </row>
    <row r="63">
      <c r="A63" s="12" t="n"/>
      <c r="B63" s="17" t="n"/>
      <c r="C63" s="12" t="n"/>
      <c r="D63" s="12" t="n"/>
      <c r="E63" s="12" t="n"/>
      <c r="F63" s="12" t="n"/>
      <c r="G63" s="12" t="n"/>
      <c r="H63" s="12" t="n"/>
      <c r="I63" s="14" t="n"/>
      <c r="J63" s="14" t="n"/>
      <c r="K63" s="12" t="n"/>
      <c r="L63" s="12" t="n"/>
    </row>
    <row r="64">
      <c r="A64" s="12" t="n"/>
      <c r="B64" s="17" t="n"/>
      <c r="C64" s="12" t="n"/>
      <c r="D64" s="12" t="n"/>
      <c r="E64" s="12" t="n"/>
      <c r="F64" s="12" t="n"/>
      <c r="G64" s="12" t="n"/>
      <c r="H64" s="12" t="n"/>
      <c r="I64" s="14" t="n"/>
      <c r="J64" s="14" t="n"/>
      <c r="K64" s="12" t="n"/>
      <c r="L64" s="12" t="n"/>
    </row>
    <row r="65">
      <c r="A65" s="12" t="n"/>
      <c r="B65" s="17" t="n"/>
      <c r="C65" s="12" t="n"/>
      <c r="D65" s="12" t="n"/>
      <c r="E65" s="12" t="n"/>
      <c r="F65" s="12" t="n"/>
      <c r="G65" s="12" t="n"/>
      <c r="H65" s="12" t="n"/>
      <c r="I65" s="14" t="n"/>
      <c r="J65" s="14" t="n"/>
      <c r="K65" s="12" t="n"/>
      <c r="L65" s="12" t="n"/>
    </row>
    <row r="66">
      <c r="A66" s="12" t="n"/>
      <c r="B66" s="17" t="n"/>
      <c r="C66" s="12" t="n"/>
      <c r="D66" s="12" t="n"/>
      <c r="E66" s="12" t="n"/>
      <c r="F66" s="12" t="n"/>
      <c r="G66" s="12" t="n"/>
      <c r="H66" s="12" t="n"/>
      <c r="I66" s="14" t="n"/>
      <c r="J66" s="14" t="n"/>
      <c r="K66" s="12" t="n"/>
      <c r="L66" s="12" t="n"/>
    </row>
    <row r="67">
      <c r="A67" s="12" t="n"/>
      <c r="B67" s="17" t="n"/>
      <c r="C67" s="12" t="n"/>
      <c r="D67" s="12" t="n"/>
      <c r="E67" s="12" t="n"/>
      <c r="F67" s="12" t="n"/>
      <c r="G67" s="12" t="n"/>
      <c r="H67" s="12" t="n"/>
      <c r="I67" s="14" t="n"/>
      <c r="J67" s="14" t="n"/>
      <c r="K67" s="12" t="n"/>
      <c r="L67" s="12" t="n"/>
    </row>
    <row r="68">
      <c r="A68" s="12" t="n"/>
      <c r="B68" s="17" t="n"/>
      <c r="C68" s="12" t="n"/>
      <c r="D68" s="12" t="n"/>
      <c r="E68" s="12" t="n"/>
      <c r="F68" s="12" t="n"/>
      <c r="G68" s="12" t="n"/>
      <c r="H68" s="12" t="n"/>
      <c r="I68" s="14" t="n"/>
      <c r="J68" s="14" t="n"/>
      <c r="K68" s="12" t="n"/>
      <c r="L68" s="12" t="n"/>
    </row>
    <row r="69">
      <c r="A69" s="12" t="n"/>
      <c r="B69" s="17" t="n"/>
      <c r="C69" s="12" t="n"/>
      <c r="D69" s="12" t="n"/>
      <c r="E69" s="12" t="n"/>
      <c r="F69" s="12" t="n"/>
      <c r="G69" s="12" t="n"/>
      <c r="H69" s="12" t="n"/>
      <c r="I69" s="14" t="n"/>
      <c r="J69" s="14" t="n"/>
      <c r="K69" s="12" t="n"/>
      <c r="L69" s="12" t="n"/>
    </row>
    <row r="70">
      <c r="A70" s="12" t="n"/>
      <c r="B70" s="17" t="n"/>
      <c r="C70" s="12" t="n"/>
      <c r="D70" s="12" t="n"/>
      <c r="E70" s="12" t="n"/>
      <c r="F70" s="12" t="n"/>
      <c r="G70" s="12" t="n"/>
      <c r="H70" s="12" t="n"/>
      <c r="I70" s="14" t="n"/>
      <c r="J70" s="14" t="n"/>
      <c r="K70" s="12" t="n"/>
      <c r="L70" s="12" t="n"/>
    </row>
    <row r="71">
      <c r="A71" s="12" t="n"/>
      <c r="B71" s="17" t="n"/>
      <c r="C71" s="12" t="n"/>
      <c r="D71" s="12" t="n"/>
      <c r="E71" s="12" t="n"/>
      <c r="F71" s="12" t="n"/>
      <c r="G71" s="12" t="n"/>
      <c r="H71" s="12" t="n"/>
      <c r="I71" s="14" t="n"/>
      <c r="J71" s="14" t="n"/>
      <c r="K71" s="12" t="n"/>
      <c r="L71" s="12" t="n"/>
    </row>
    <row r="72">
      <c r="A72" s="12" t="n"/>
      <c r="B72" s="17" t="n"/>
      <c r="C72" s="12" t="n"/>
      <c r="D72" s="12" t="n"/>
      <c r="E72" s="12" t="n"/>
      <c r="F72" s="12" t="n"/>
      <c r="G72" s="12" t="n"/>
      <c r="H72" s="12" t="n"/>
      <c r="I72" s="14" t="n"/>
      <c r="J72" s="14" t="n"/>
      <c r="K72" s="12" t="n"/>
      <c r="L72" s="12" t="n"/>
    </row>
    <row r="73">
      <c r="A73" s="12" t="n"/>
      <c r="B73" s="17" t="n"/>
      <c r="C73" s="12" t="n"/>
      <c r="D73" s="12" t="n"/>
      <c r="E73" s="12" t="n"/>
      <c r="F73" s="12" t="n"/>
      <c r="G73" s="12" t="n"/>
      <c r="H73" s="12" t="n"/>
      <c r="I73" s="14" t="n"/>
      <c r="J73" s="14" t="n"/>
      <c r="K73" s="12" t="n"/>
      <c r="L73" s="12" t="n"/>
    </row>
    <row r="74">
      <c r="A74" s="12" t="n"/>
      <c r="B74" s="17" t="n"/>
      <c r="C74" s="12" t="n"/>
      <c r="D74" s="12" t="n"/>
      <c r="E74" s="12" t="n"/>
      <c r="F74" s="12" t="n"/>
      <c r="G74" s="12" t="n"/>
      <c r="H74" s="12" t="n"/>
      <c r="I74" s="14" t="n"/>
      <c r="J74" s="14" t="n"/>
      <c r="K74" s="12" t="n"/>
      <c r="L74" s="12" t="n"/>
    </row>
    <row r="75">
      <c r="A75" s="12" t="n"/>
      <c r="B75" s="17" t="n"/>
      <c r="C75" s="12" t="n"/>
      <c r="D75" s="12" t="n"/>
      <c r="E75" s="12" t="n"/>
      <c r="F75" s="12" t="n"/>
      <c r="G75" s="12" t="n"/>
      <c r="H75" s="12" t="n"/>
      <c r="I75" s="14" t="n"/>
      <c r="J75" s="14" t="n"/>
      <c r="K75" s="12" t="n"/>
      <c r="L75" s="12" t="n"/>
    </row>
    <row r="76">
      <c r="A76" s="12" t="n"/>
      <c r="B76" s="17" t="n"/>
      <c r="C76" s="12" t="n"/>
      <c r="D76" s="12" t="n"/>
      <c r="E76" s="12" t="n"/>
      <c r="F76" s="12" t="n"/>
      <c r="G76" s="12" t="n"/>
      <c r="H76" s="12" t="n"/>
      <c r="I76" s="14" t="n"/>
      <c r="J76" s="14" t="n"/>
      <c r="K76" s="12" t="n"/>
      <c r="L76" s="12" t="n"/>
    </row>
    <row r="77">
      <c r="A77" s="12" t="n"/>
      <c r="B77" s="17" t="n"/>
      <c r="C77" s="12" t="n"/>
      <c r="D77" s="12" t="n"/>
      <c r="E77" s="12" t="n"/>
      <c r="F77" s="12" t="n"/>
      <c r="G77" s="12" t="n"/>
      <c r="H77" s="12" t="n"/>
      <c r="I77" s="14" t="n"/>
      <c r="J77" s="14" t="n"/>
      <c r="K77" s="12" t="n"/>
      <c r="L77" s="12" t="n"/>
    </row>
    <row r="78">
      <c r="A78" s="12" t="n"/>
      <c r="B78" s="17" t="n"/>
      <c r="C78" s="12" t="n"/>
      <c r="D78" s="12" t="n"/>
      <c r="E78" s="12" t="n"/>
      <c r="F78" s="12" t="n"/>
      <c r="G78" s="12" t="n"/>
      <c r="H78" s="12" t="n"/>
      <c r="I78" s="14" t="n"/>
      <c r="J78" s="14" t="n"/>
      <c r="K78" s="12" t="n"/>
      <c r="L78" s="12" t="n"/>
    </row>
    <row r="79">
      <c r="A79" s="12" t="n"/>
      <c r="B79" s="17" t="n"/>
      <c r="C79" s="12" t="n"/>
      <c r="D79" s="12" t="n"/>
      <c r="E79" s="12" t="n"/>
      <c r="F79" s="12" t="n"/>
      <c r="G79" s="12" t="n"/>
      <c r="H79" s="12" t="n"/>
      <c r="I79" s="14" t="n"/>
      <c r="J79" s="14" t="n"/>
      <c r="K79" s="12" t="n"/>
      <c r="L79" s="12" t="n"/>
    </row>
    <row r="80">
      <c r="A80" s="12" t="n"/>
      <c r="B80" s="17" t="n"/>
      <c r="C80" s="12" t="n"/>
      <c r="D80" s="12" t="n"/>
      <c r="E80" s="12" t="n"/>
      <c r="F80" s="12" t="n"/>
      <c r="G80" s="12" t="n"/>
      <c r="H80" s="12" t="n"/>
      <c r="I80" s="14" t="n"/>
      <c r="J80" s="14" t="n"/>
      <c r="K80" s="12" t="n"/>
      <c r="L80" s="12" t="n"/>
    </row>
    <row r="81">
      <c r="A81" s="12" t="n"/>
      <c r="B81" s="17" t="n"/>
      <c r="C81" s="12" t="n"/>
      <c r="D81" s="12" t="n"/>
      <c r="E81" s="12" t="n"/>
      <c r="F81" s="12" t="n"/>
      <c r="G81" s="12" t="n"/>
      <c r="H81" s="12" t="n"/>
      <c r="I81" s="14" t="n"/>
      <c r="J81" s="14" t="n"/>
      <c r="K81" s="12" t="n"/>
      <c r="L81" s="12" t="n"/>
    </row>
    <row r="82">
      <c r="A82" s="12" t="n"/>
      <c r="B82" s="17" t="n"/>
      <c r="C82" s="12" t="n"/>
      <c r="D82" s="12" t="n"/>
      <c r="E82" s="12" t="n"/>
      <c r="F82" s="12" t="n"/>
      <c r="G82" s="12" t="n"/>
      <c r="H82" s="12" t="n"/>
      <c r="I82" s="14" t="n"/>
      <c r="J82" s="14" t="n"/>
      <c r="K82" s="12" t="n"/>
      <c r="L82" s="12" t="n"/>
    </row>
    <row r="83">
      <c r="A83" s="12" t="n"/>
      <c r="B83" s="17" t="n"/>
      <c r="C83" s="12" t="n"/>
      <c r="D83" s="12" t="n"/>
      <c r="E83" s="12" t="n"/>
      <c r="F83" s="12" t="n"/>
      <c r="G83" s="12" t="n"/>
      <c r="H83" s="12" t="n"/>
      <c r="I83" s="14" t="n"/>
      <c r="J83" s="14" t="n"/>
      <c r="K83" s="12" t="n"/>
      <c r="L83" s="12" t="n"/>
    </row>
    <row r="84">
      <c r="A84" s="12" t="n"/>
      <c r="B84" s="17" t="n"/>
      <c r="C84" s="12" t="n"/>
      <c r="D84" s="12" t="n"/>
      <c r="E84" s="12" t="n"/>
      <c r="F84" s="12" t="n"/>
      <c r="G84" s="12" t="n"/>
      <c r="H84" s="12" t="n"/>
      <c r="I84" s="14" t="n"/>
      <c r="J84" s="14" t="n"/>
      <c r="K84" s="12" t="n"/>
      <c r="L84" s="12" t="n"/>
    </row>
    <row r="85">
      <c r="A85" s="12" t="n"/>
      <c r="B85" s="17" t="n"/>
      <c r="C85" s="12" t="n"/>
      <c r="D85" s="12" t="n"/>
      <c r="E85" s="12" t="n"/>
      <c r="F85" s="12" t="n"/>
      <c r="G85" s="12" t="n"/>
      <c r="H85" s="12" t="n"/>
      <c r="I85" s="14" t="n"/>
      <c r="J85" s="14" t="n"/>
      <c r="K85" s="12" t="n"/>
      <c r="L85" s="12" t="n"/>
    </row>
    <row r="86">
      <c r="A86" s="12" t="n"/>
      <c r="B86" s="17" t="n"/>
      <c r="C86" s="12" t="n"/>
      <c r="D86" s="12" t="n"/>
      <c r="E86" s="12" t="n"/>
      <c r="F86" s="12" t="n"/>
      <c r="G86" s="12" t="n"/>
      <c r="H86" s="12" t="n"/>
      <c r="I86" s="14" t="n"/>
      <c r="J86" s="14" t="n"/>
      <c r="K86" s="12" t="n"/>
      <c r="L86" s="12" t="n"/>
    </row>
    <row r="87">
      <c r="A87" s="12" t="n"/>
      <c r="B87" s="17" t="n"/>
      <c r="C87" s="12" t="n"/>
      <c r="D87" s="12" t="n"/>
      <c r="E87" s="12" t="n"/>
      <c r="F87" s="12" t="n"/>
      <c r="G87" s="12" t="n"/>
      <c r="H87" s="12" t="n"/>
      <c r="I87" s="14" t="n"/>
      <c r="J87" s="14" t="n"/>
      <c r="K87" s="12" t="n"/>
      <c r="L87" s="12" t="n"/>
    </row>
    <row r="88">
      <c r="A88" s="12" t="n"/>
      <c r="B88" s="17" t="n"/>
      <c r="C88" s="12" t="n"/>
      <c r="D88" s="12" t="n"/>
      <c r="E88" s="12" t="n"/>
      <c r="F88" s="12" t="n"/>
      <c r="G88" s="12" t="n"/>
      <c r="H88" s="12" t="n"/>
      <c r="I88" s="14" t="n"/>
      <c r="J88" s="14" t="n"/>
      <c r="K88" s="12" t="n"/>
      <c r="L88" s="12" t="n"/>
    </row>
    <row r="89">
      <c r="A89" s="12" t="n"/>
      <c r="B89" s="17" t="n"/>
      <c r="C89" s="12" t="n"/>
      <c r="D89" s="12" t="n"/>
      <c r="E89" s="12" t="n"/>
      <c r="F89" s="12" t="n"/>
      <c r="G89" s="12" t="n"/>
      <c r="H89" s="12" t="n"/>
      <c r="I89" s="14" t="n"/>
      <c r="J89" s="14" t="n"/>
      <c r="K89" s="12" t="n"/>
      <c r="L89" s="12" t="n"/>
    </row>
    <row r="90">
      <c r="A90" s="12" t="n"/>
      <c r="B90" s="17" t="n"/>
      <c r="C90" s="12" t="n"/>
      <c r="D90" s="12" t="n"/>
      <c r="E90" s="12" t="n"/>
      <c r="F90" s="12" t="n"/>
      <c r="G90" s="12" t="n"/>
      <c r="H90" s="12" t="n"/>
      <c r="I90" s="14" t="n"/>
      <c r="J90" s="14" t="n"/>
      <c r="K90" s="12" t="n"/>
      <c r="L90" s="12" t="n"/>
    </row>
    <row r="91">
      <c r="A91" s="12" t="n"/>
      <c r="B91" s="17" t="n"/>
      <c r="C91" s="12" t="n"/>
      <c r="D91" s="12" t="n"/>
      <c r="E91" s="12" t="n"/>
      <c r="F91" s="12" t="n"/>
      <c r="G91" s="12" t="n"/>
      <c r="H91" s="12" t="n"/>
      <c r="I91" s="14" t="n"/>
      <c r="J91" s="14" t="n"/>
      <c r="K91" s="12" t="n"/>
      <c r="L91" s="12" t="n"/>
    </row>
    <row r="92">
      <c r="A92" s="12" t="n"/>
      <c r="B92" s="17" t="n"/>
      <c r="C92" s="12" t="n"/>
      <c r="D92" s="12" t="n"/>
      <c r="E92" s="12" t="n"/>
      <c r="F92" s="12" t="n"/>
      <c r="G92" s="12" t="n"/>
      <c r="H92" s="12" t="n"/>
      <c r="I92" s="14" t="n"/>
      <c r="J92" s="14" t="n"/>
      <c r="K92" s="12" t="n"/>
      <c r="L92" s="12" t="n"/>
    </row>
    <row r="93">
      <c r="A93" s="12" t="n"/>
      <c r="B93" s="17" t="n"/>
      <c r="C93" s="12" t="n"/>
      <c r="D93" s="12" t="n"/>
      <c r="E93" s="12" t="n"/>
      <c r="F93" s="12" t="n"/>
      <c r="G93" s="12" t="n"/>
      <c r="H93" s="12" t="n"/>
      <c r="I93" s="14" t="n"/>
      <c r="J93" s="14" t="n"/>
      <c r="K93" s="12" t="n"/>
      <c r="L93" s="12" t="n"/>
    </row>
    <row r="94">
      <c r="A94" s="12" t="n"/>
      <c r="B94" s="17" t="n"/>
      <c r="C94" s="12" t="n"/>
      <c r="D94" s="12" t="n"/>
      <c r="E94" s="12" t="n"/>
      <c r="F94" s="12" t="n"/>
      <c r="G94" s="12" t="n"/>
      <c r="H94" s="12" t="n"/>
      <c r="I94" s="14" t="n"/>
      <c r="J94" s="14" t="n"/>
      <c r="K94" s="12" t="n"/>
      <c r="L94" s="12" t="n"/>
    </row>
    <row r="95">
      <c r="A95" s="12" t="n"/>
      <c r="B95" s="17" t="n"/>
      <c r="C95" s="12" t="n"/>
      <c r="D95" s="12" t="n"/>
      <c r="E95" s="12" t="n"/>
      <c r="F95" s="12" t="n"/>
      <c r="G95" s="12" t="n"/>
      <c r="H95" s="12" t="n"/>
      <c r="I95" s="14" t="n"/>
      <c r="J95" s="14" t="n"/>
      <c r="K95" s="12" t="n"/>
      <c r="L95" s="12" t="n"/>
    </row>
    <row r="96">
      <c r="A96" s="12" t="n"/>
      <c r="B96" s="17" t="n"/>
      <c r="C96" s="12" t="n"/>
      <c r="D96" s="12" t="n"/>
      <c r="E96" s="12" t="n"/>
      <c r="F96" s="12" t="n"/>
      <c r="G96" s="12" t="n"/>
      <c r="H96" s="12" t="n"/>
      <c r="I96" s="14" t="n"/>
      <c r="J96" s="14" t="n"/>
      <c r="K96" s="12" t="n"/>
      <c r="L96" s="12" t="n"/>
    </row>
    <row r="97">
      <c r="A97" s="12" t="n"/>
      <c r="B97" s="17" t="n"/>
      <c r="C97" s="12" t="n"/>
      <c r="D97" s="12" t="n"/>
      <c r="E97" s="12" t="n"/>
      <c r="F97" s="12" t="n"/>
      <c r="G97" s="12" t="n"/>
      <c r="H97" s="12" t="n"/>
      <c r="I97" s="14" t="n"/>
      <c r="J97" s="14" t="n"/>
      <c r="K97" s="12" t="n"/>
      <c r="L97" s="12" t="n"/>
    </row>
    <row r="98">
      <c r="A98" s="12" t="n"/>
      <c r="B98" s="17" t="n"/>
      <c r="C98" s="12" t="n"/>
      <c r="D98" s="12" t="n"/>
      <c r="E98" s="12" t="n"/>
      <c r="F98" s="12" t="n"/>
      <c r="G98" s="12" t="n"/>
      <c r="H98" s="12" t="n"/>
      <c r="I98" s="14" t="n"/>
      <c r="J98" s="14" t="n"/>
      <c r="K98" s="12" t="n"/>
      <c r="L98" s="12" t="n"/>
    </row>
    <row r="99">
      <c r="A99" s="12" t="n"/>
      <c r="B99" s="17" t="n"/>
      <c r="C99" s="12" t="n"/>
      <c r="D99" s="12" t="n"/>
      <c r="E99" s="12" t="n"/>
      <c r="F99" s="12" t="n"/>
      <c r="G99" s="12" t="n"/>
      <c r="H99" s="12" t="n"/>
      <c r="I99" s="14" t="n"/>
      <c r="J99" s="14" t="n"/>
      <c r="K99" s="12" t="n"/>
      <c r="L99" s="12" t="n"/>
    </row>
    <row r="100">
      <c r="A100" s="12" t="n"/>
      <c r="B100" s="17" t="n"/>
      <c r="C100" s="12" t="n"/>
      <c r="D100" s="12" t="n"/>
      <c r="E100" s="12" t="n"/>
      <c r="F100" s="12" t="n"/>
      <c r="G100" s="12" t="n"/>
      <c r="H100" s="12" t="n"/>
      <c r="I100" s="14" t="n"/>
      <c r="J100" s="14" t="n"/>
      <c r="K100" s="12" t="n"/>
      <c r="L100" s="12" t="n"/>
    </row>
    <row r="101">
      <c r="A101" s="12" t="n"/>
      <c r="B101" s="17" t="n"/>
      <c r="C101" s="12" t="n"/>
      <c r="D101" s="12" t="n"/>
      <c r="E101" s="12" t="n"/>
      <c r="F101" s="12" t="n"/>
      <c r="G101" s="12" t="n"/>
      <c r="H101" s="12" t="n"/>
      <c r="I101" s="14" t="n"/>
      <c r="J101" s="14" t="n"/>
      <c r="K101" s="12" t="n"/>
      <c r="L101" s="12" t="n"/>
    </row>
    <row r="102">
      <c r="A102" s="12" t="n"/>
      <c r="B102" s="17" t="n"/>
      <c r="C102" s="12" t="n"/>
      <c r="D102" s="12" t="n"/>
      <c r="E102" s="12" t="n"/>
      <c r="F102" s="12" t="n"/>
      <c r="G102" s="12" t="n"/>
      <c r="H102" s="12" t="n"/>
      <c r="I102" s="14" t="n"/>
      <c r="J102" s="14" t="n"/>
      <c r="K102" s="12" t="n"/>
      <c r="L102" s="12" t="n"/>
    </row>
    <row r="103">
      <c r="A103" s="12" t="n"/>
      <c r="B103" s="17" t="n"/>
      <c r="C103" s="12" t="n"/>
      <c r="D103" s="12" t="n"/>
      <c r="E103" s="12" t="n"/>
      <c r="F103" s="12" t="n"/>
      <c r="G103" s="12" t="n"/>
      <c r="H103" s="12" t="n"/>
      <c r="I103" s="14" t="n"/>
      <c r="J103" s="14" t="n"/>
      <c r="K103" s="12" t="n"/>
      <c r="L103" s="12" t="n"/>
    </row>
    <row r="104">
      <c r="A104" s="12" t="n"/>
      <c r="B104" s="17" t="n"/>
      <c r="C104" s="12" t="n"/>
      <c r="D104" s="12" t="n"/>
      <c r="E104" s="12" t="n"/>
      <c r="F104" s="12" t="n"/>
      <c r="G104" s="12" t="n"/>
      <c r="H104" s="12" t="n"/>
      <c r="I104" s="14" t="n"/>
      <c r="J104" s="14" t="n"/>
      <c r="K104" s="12" t="n"/>
      <c r="L104" s="12" t="n"/>
    </row>
    <row r="105">
      <c r="A105" s="12" t="n"/>
      <c r="B105" s="17" t="n"/>
      <c r="C105" s="12" t="n"/>
      <c r="D105" s="12" t="n"/>
      <c r="E105" s="12" t="n"/>
      <c r="F105" s="12" t="n"/>
      <c r="G105" s="12" t="n"/>
      <c r="H105" s="12" t="n"/>
      <c r="I105" s="14" t="n"/>
      <c r="J105" s="14" t="n"/>
      <c r="K105" s="12" t="n"/>
      <c r="L105" s="12" t="n"/>
    </row>
    <row r="106">
      <c r="A106" s="12" t="n"/>
      <c r="B106" s="17" t="n"/>
      <c r="C106" s="12" t="n"/>
      <c r="D106" s="12" t="n"/>
      <c r="E106" s="12" t="n"/>
      <c r="F106" s="12" t="n"/>
      <c r="G106" s="12" t="n"/>
      <c r="H106" s="12" t="n"/>
      <c r="I106" s="14" t="n"/>
      <c r="J106" s="14" t="n"/>
      <c r="K106" s="12" t="n"/>
      <c r="L106" s="12" t="n"/>
    </row>
    <row r="107">
      <c r="A107" s="12" t="n"/>
      <c r="B107" s="17" t="n"/>
      <c r="C107" s="12" t="n"/>
      <c r="D107" s="12" t="n"/>
      <c r="E107" s="12" t="n"/>
      <c r="F107" s="12" t="n"/>
      <c r="G107" s="12" t="n"/>
      <c r="H107" s="12" t="n"/>
      <c r="I107" s="14" t="n"/>
      <c r="J107" s="14" t="n"/>
      <c r="K107" s="12" t="n"/>
      <c r="L107" s="12" t="n"/>
    </row>
    <row r="108">
      <c r="A108" s="12" t="n"/>
      <c r="B108" s="17" t="n"/>
      <c r="C108" s="12" t="n"/>
      <c r="D108" s="12" t="n"/>
      <c r="E108" s="12" t="n"/>
      <c r="F108" s="12" t="n"/>
      <c r="G108" s="12" t="n"/>
      <c r="H108" s="12" t="n"/>
      <c r="I108" s="14" t="n"/>
      <c r="J108" s="14" t="n"/>
      <c r="K108" s="12" t="n"/>
      <c r="L108" s="12" t="n"/>
    </row>
    <row r="109">
      <c r="A109" s="12" t="n"/>
      <c r="B109" s="17" t="n"/>
      <c r="C109" s="12" t="n"/>
      <c r="D109" s="12" t="n"/>
      <c r="E109" s="12" t="n"/>
      <c r="F109" s="12" t="n"/>
      <c r="G109" s="12" t="n"/>
      <c r="H109" s="12" t="n"/>
      <c r="I109" s="14" t="n"/>
      <c r="J109" s="14" t="n"/>
      <c r="K109" s="12" t="n"/>
      <c r="L109" s="12" t="n"/>
    </row>
    <row r="110">
      <c r="A110" s="12" t="n"/>
      <c r="B110" s="17" t="n"/>
      <c r="C110" s="12" t="n"/>
      <c r="D110" s="12" t="n"/>
      <c r="E110" s="12" t="n"/>
      <c r="F110" s="12" t="n"/>
      <c r="G110" s="12" t="n"/>
      <c r="H110" s="12" t="n"/>
      <c r="I110" s="14" t="n"/>
      <c r="J110" s="14" t="n"/>
      <c r="K110" s="12" t="n"/>
      <c r="L110" s="12" t="n"/>
    </row>
    <row r="111">
      <c r="A111" s="12" t="n"/>
      <c r="B111" s="17" t="n"/>
      <c r="C111" s="12" t="n"/>
      <c r="D111" s="12" t="n"/>
      <c r="E111" s="12" t="n"/>
      <c r="F111" s="12" t="n"/>
      <c r="G111" s="12" t="n"/>
      <c r="H111" s="12" t="n"/>
      <c r="I111" s="14" t="n"/>
      <c r="J111" s="14" t="n"/>
      <c r="K111" s="12" t="n"/>
      <c r="L111" s="12" t="n"/>
    </row>
    <row r="112">
      <c r="A112" s="12" t="n"/>
      <c r="B112" s="17" t="n"/>
      <c r="C112" s="12" t="n"/>
      <c r="D112" s="12" t="n"/>
      <c r="E112" s="12" t="n"/>
      <c r="F112" s="12" t="n"/>
      <c r="G112" s="12" t="n"/>
      <c r="H112" s="12" t="n"/>
      <c r="I112" s="14" t="n"/>
      <c r="J112" s="14" t="n"/>
      <c r="K112" s="12" t="n"/>
      <c r="L112" s="12" t="n"/>
    </row>
    <row r="113">
      <c r="A113" s="12" t="n"/>
      <c r="B113" s="17" t="n"/>
      <c r="C113" s="12" t="n"/>
      <c r="D113" s="12" t="n"/>
      <c r="E113" s="12" t="n"/>
      <c r="F113" s="12" t="n"/>
      <c r="G113" s="12" t="n"/>
      <c r="H113" s="12" t="n"/>
      <c r="I113" s="14" t="n"/>
      <c r="J113" s="14" t="n"/>
      <c r="K113" s="12" t="n"/>
      <c r="L113" s="12" t="n"/>
    </row>
    <row r="114">
      <c r="A114" s="12" t="n"/>
      <c r="B114" s="17" t="n"/>
      <c r="C114" s="12" t="n"/>
      <c r="D114" s="12" t="n"/>
      <c r="E114" s="12" t="n"/>
      <c r="F114" s="12" t="n"/>
      <c r="G114" s="12" t="n"/>
      <c r="H114" s="12" t="n"/>
      <c r="I114" s="14" t="n"/>
      <c r="J114" s="14" t="n"/>
      <c r="K114" s="12" t="n"/>
      <c r="L114" s="12" t="n"/>
    </row>
    <row r="115">
      <c r="A115" s="12" t="n"/>
      <c r="B115" s="17" t="n"/>
      <c r="C115" s="12" t="n"/>
      <c r="D115" s="12" t="n"/>
      <c r="E115" s="12" t="n"/>
      <c r="F115" s="12" t="n"/>
      <c r="G115" s="12" t="n"/>
      <c r="H115" s="12" t="n"/>
      <c r="I115" s="14" t="n"/>
      <c r="J115" s="14" t="n"/>
      <c r="K115" s="12" t="n"/>
      <c r="L115" s="12" t="n"/>
    </row>
    <row r="116">
      <c r="A116" s="12" t="n"/>
      <c r="B116" s="17" t="n"/>
      <c r="C116" s="12" t="n"/>
      <c r="D116" s="12" t="n"/>
      <c r="E116" s="12" t="n"/>
      <c r="F116" s="12" t="n"/>
      <c r="G116" s="12" t="n"/>
      <c r="H116" s="12" t="n"/>
      <c r="I116" s="14" t="n"/>
      <c r="J116" s="14" t="n"/>
      <c r="K116" s="12" t="n"/>
      <c r="L116" s="12" t="n"/>
    </row>
    <row r="117">
      <c r="A117" s="12" t="n"/>
      <c r="B117" s="17" t="n"/>
      <c r="C117" s="12" t="n"/>
      <c r="D117" s="12" t="n"/>
      <c r="E117" s="12" t="n"/>
      <c r="F117" s="12" t="n"/>
      <c r="G117" s="12" t="n"/>
      <c r="H117" s="12" t="n"/>
      <c r="I117" s="14" t="n"/>
      <c r="J117" s="14" t="n"/>
      <c r="K117" s="12" t="n"/>
      <c r="L117" s="12" t="n"/>
    </row>
    <row r="118">
      <c r="A118" s="12" t="n"/>
      <c r="B118" s="17" t="n"/>
      <c r="C118" s="12" t="n"/>
      <c r="D118" s="12" t="n"/>
      <c r="E118" s="12" t="n"/>
      <c r="F118" s="12" t="n"/>
      <c r="G118" s="12" t="n"/>
      <c r="H118" s="12" t="n"/>
      <c r="I118" s="14" t="n"/>
      <c r="J118" s="14" t="n"/>
      <c r="K118" s="12" t="n"/>
      <c r="L118" s="12" t="n"/>
    </row>
    <row r="119">
      <c r="A119" s="12" t="n"/>
      <c r="B119" s="17" t="n"/>
      <c r="C119" s="12" t="n"/>
      <c r="D119" s="12" t="n"/>
      <c r="E119" s="12" t="n"/>
      <c r="F119" s="12" t="n"/>
      <c r="G119" s="12" t="n"/>
      <c r="H119" s="12" t="n"/>
      <c r="I119" s="14" t="n"/>
      <c r="J119" s="14" t="n"/>
      <c r="K119" s="12" t="n"/>
      <c r="L119" s="12" t="n"/>
    </row>
    <row r="120">
      <c r="A120" s="12" t="n"/>
      <c r="B120" s="17" t="n"/>
      <c r="C120" s="12" t="n"/>
      <c r="D120" s="12" t="n"/>
      <c r="E120" s="12" t="n"/>
      <c r="F120" s="12" t="n"/>
      <c r="G120" s="12" t="n"/>
      <c r="H120" s="12" t="n"/>
      <c r="I120" s="14" t="n"/>
      <c r="J120" s="14" t="n"/>
      <c r="K120" s="12" t="n"/>
      <c r="L120" s="12" t="n"/>
    </row>
    <row r="121">
      <c r="A121" s="12" t="n"/>
      <c r="B121" s="17" t="n"/>
      <c r="C121" s="12" t="n"/>
      <c r="D121" s="12" t="n"/>
      <c r="E121" s="12" t="n"/>
      <c r="F121" s="12" t="n"/>
      <c r="G121" s="12" t="n"/>
      <c r="H121" s="12" t="n"/>
      <c r="I121" s="14" t="n"/>
      <c r="J121" s="14" t="n"/>
      <c r="K121" s="12" t="n"/>
      <c r="L121" s="12" t="n"/>
    </row>
    <row r="122">
      <c r="A122" s="12" t="n"/>
      <c r="B122" s="17" t="n"/>
      <c r="C122" s="12" t="n"/>
      <c r="D122" s="12" t="n"/>
      <c r="E122" s="12" t="n"/>
      <c r="F122" s="12" t="n"/>
      <c r="G122" s="12" t="n"/>
      <c r="H122" s="12" t="n"/>
      <c r="I122" s="14" t="n"/>
      <c r="J122" s="14" t="n"/>
      <c r="K122" s="12" t="n"/>
      <c r="L122" s="12" t="n"/>
    </row>
    <row r="123">
      <c r="A123" s="12" t="n"/>
      <c r="B123" s="17" t="n"/>
      <c r="C123" s="12" t="n"/>
      <c r="D123" s="12" t="n"/>
      <c r="E123" s="12" t="n"/>
      <c r="F123" s="12" t="n"/>
      <c r="G123" s="12" t="n"/>
      <c r="H123" s="12" t="n"/>
      <c r="I123" s="14" t="n"/>
      <c r="J123" s="14" t="n"/>
      <c r="K123" s="12" t="n"/>
      <c r="L123" s="12" t="n"/>
    </row>
    <row r="124">
      <c r="A124" s="12" t="n"/>
      <c r="B124" s="17" t="n"/>
      <c r="C124" s="12" t="n"/>
      <c r="D124" s="12" t="n"/>
      <c r="E124" s="12" t="n"/>
      <c r="F124" s="12" t="n"/>
      <c r="G124" s="12" t="n"/>
      <c r="H124" s="12" t="n"/>
      <c r="I124" s="14" t="n"/>
      <c r="J124" s="14" t="n"/>
      <c r="K124" s="12" t="n"/>
      <c r="L124" s="12" t="n"/>
    </row>
    <row r="125">
      <c r="A125" s="12" t="n"/>
      <c r="B125" s="17" t="n"/>
      <c r="C125" s="12" t="n"/>
      <c r="D125" s="12" t="n"/>
      <c r="E125" s="12" t="n"/>
      <c r="F125" s="12" t="n"/>
      <c r="G125" s="12" t="n"/>
      <c r="H125" s="12" t="n"/>
      <c r="I125" s="14" t="n"/>
      <c r="J125" s="14" t="n"/>
      <c r="K125" s="12" t="n"/>
      <c r="L125" s="12" t="n"/>
    </row>
    <row r="126">
      <c r="A126" s="12" t="n"/>
      <c r="B126" s="17" t="n"/>
      <c r="C126" s="12" t="n"/>
      <c r="D126" s="12" t="n"/>
      <c r="E126" s="12" t="n"/>
      <c r="F126" s="12" t="n"/>
      <c r="G126" s="12" t="n"/>
      <c r="H126" s="12" t="n"/>
      <c r="I126" s="14" t="n"/>
      <c r="J126" s="14" t="n"/>
      <c r="K126" s="12" t="n"/>
      <c r="L126" s="12" t="n"/>
    </row>
    <row r="127">
      <c r="A127" s="12" t="n"/>
      <c r="B127" s="17" t="n"/>
      <c r="C127" s="12" t="n"/>
      <c r="D127" s="12" t="n"/>
      <c r="E127" s="12" t="n"/>
      <c r="F127" s="12" t="n"/>
      <c r="G127" s="12" t="n"/>
      <c r="H127" s="12" t="n"/>
      <c r="I127" s="14" t="n"/>
      <c r="J127" s="14" t="n"/>
      <c r="K127" s="12" t="n"/>
      <c r="L127" s="12" t="n"/>
    </row>
    <row r="128">
      <c r="A128" s="12" t="n"/>
      <c r="B128" s="17" t="n"/>
      <c r="C128" s="12" t="n"/>
      <c r="D128" s="12" t="n"/>
      <c r="E128" s="12" t="n"/>
      <c r="F128" s="12" t="n"/>
      <c r="G128" s="12" t="n"/>
      <c r="H128" s="12" t="n"/>
      <c r="I128" s="14" t="n"/>
      <c r="J128" s="14" t="n"/>
      <c r="K128" s="12" t="n"/>
      <c r="L128" s="12" t="n"/>
    </row>
    <row r="129">
      <c r="A129" s="12" t="n"/>
      <c r="B129" s="17" t="n"/>
      <c r="C129" s="12" t="n"/>
      <c r="D129" s="12" t="n"/>
      <c r="E129" s="12" t="n"/>
      <c r="F129" s="12" t="n"/>
      <c r="G129" s="12" t="n"/>
      <c r="H129" s="12" t="n"/>
      <c r="I129" s="14" t="n"/>
      <c r="J129" s="14" t="n"/>
      <c r="K129" s="12" t="n"/>
      <c r="L129" s="12" t="n"/>
    </row>
    <row r="130">
      <c r="A130" s="12" t="n"/>
      <c r="B130" s="17" t="n"/>
      <c r="C130" s="12" t="n"/>
      <c r="D130" s="12" t="n"/>
      <c r="E130" s="12" t="n"/>
      <c r="F130" s="12" t="n"/>
      <c r="G130" s="12" t="n"/>
      <c r="H130" s="12" t="n"/>
      <c r="I130" s="14" t="n"/>
      <c r="J130" s="14" t="n"/>
      <c r="K130" s="12" t="n"/>
      <c r="L130" s="12" t="n"/>
    </row>
    <row r="131">
      <c r="A131" s="12" t="n"/>
      <c r="B131" s="17" t="n"/>
      <c r="C131" s="12" t="n"/>
      <c r="D131" s="12" t="n"/>
      <c r="E131" s="12" t="n"/>
      <c r="F131" s="12" t="n"/>
      <c r="G131" s="12" t="n"/>
      <c r="H131" s="12" t="n"/>
      <c r="I131" s="14" t="n"/>
      <c r="J131" s="14" t="n"/>
      <c r="K131" s="12" t="n"/>
      <c r="L131" s="12" t="n"/>
    </row>
    <row r="132">
      <c r="A132" s="12" t="n"/>
      <c r="B132" s="17" t="n"/>
      <c r="C132" s="12" t="n"/>
      <c r="D132" s="12" t="n"/>
      <c r="E132" s="12" t="n"/>
      <c r="F132" s="12" t="n"/>
      <c r="G132" s="12" t="n"/>
      <c r="H132" s="12" t="n"/>
      <c r="I132" s="14" t="n"/>
      <c r="J132" s="14" t="n"/>
      <c r="K132" s="12" t="n"/>
      <c r="L132" s="12" t="n"/>
    </row>
    <row r="133">
      <c r="A133" s="12" t="n"/>
      <c r="B133" s="17" t="n"/>
      <c r="C133" s="12" t="n"/>
      <c r="D133" s="12" t="n"/>
      <c r="E133" s="12" t="n"/>
      <c r="F133" s="12" t="n"/>
      <c r="G133" s="12" t="n"/>
      <c r="H133" s="12" t="n"/>
      <c r="I133" s="14" t="n"/>
      <c r="J133" s="14" t="n"/>
      <c r="K133" s="12" t="n"/>
      <c r="L133" s="12" t="n"/>
    </row>
    <row r="134">
      <c r="A134" s="12" t="n"/>
      <c r="B134" s="17" t="n"/>
      <c r="C134" s="12" t="n"/>
      <c r="D134" s="12" t="n"/>
      <c r="E134" s="12" t="n"/>
      <c r="F134" s="12" t="n"/>
      <c r="G134" s="12" t="n"/>
      <c r="H134" s="12" t="n"/>
      <c r="I134" s="14" t="n"/>
      <c r="J134" s="14" t="n"/>
      <c r="K134" s="12" t="n"/>
      <c r="L134" s="12" t="n"/>
    </row>
    <row r="135">
      <c r="A135" s="12" t="n"/>
      <c r="B135" s="17" t="n"/>
      <c r="C135" s="12" t="n"/>
      <c r="D135" s="12" t="n"/>
      <c r="E135" s="12" t="n"/>
      <c r="F135" s="12" t="n"/>
      <c r="G135" s="12" t="n"/>
      <c r="H135" s="12" t="n"/>
      <c r="I135" s="14" t="n"/>
      <c r="J135" s="14" t="n"/>
      <c r="K135" s="12" t="n"/>
      <c r="L135" s="12" t="n"/>
    </row>
    <row r="136">
      <c r="A136" s="12" t="n"/>
      <c r="B136" s="17" t="n"/>
      <c r="C136" s="12" t="n"/>
      <c r="D136" s="12" t="n"/>
      <c r="E136" s="12" t="n"/>
      <c r="F136" s="12" t="n"/>
      <c r="G136" s="12" t="n"/>
      <c r="H136" s="12" t="n"/>
      <c r="I136" s="14" t="n"/>
      <c r="J136" s="14" t="n"/>
      <c r="K136" s="12" t="n"/>
      <c r="L136" s="12" t="n"/>
    </row>
    <row r="137">
      <c r="A137" s="12" t="n"/>
      <c r="B137" s="17" t="n"/>
      <c r="C137" s="12" t="n"/>
      <c r="D137" s="12" t="n"/>
      <c r="E137" s="12" t="n"/>
      <c r="F137" s="12" t="n"/>
      <c r="G137" s="12" t="n"/>
      <c r="H137" s="12" t="n"/>
      <c r="I137" s="14" t="n"/>
      <c r="J137" s="14" t="n"/>
      <c r="K137" s="12" t="n"/>
      <c r="L137" s="12" t="n"/>
    </row>
    <row r="138">
      <c r="A138" s="12" t="n"/>
      <c r="B138" s="17" t="n"/>
      <c r="C138" s="12" t="n"/>
      <c r="D138" s="12" t="n"/>
      <c r="E138" s="12" t="n"/>
      <c r="F138" s="12" t="n"/>
      <c r="G138" s="12" t="n"/>
      <c r="H138" s="12" t="n"/>
      <c r="I138" s="14" t="n"/>
      <c r="J138" s="14" t="n"/>
      <c r="K138" s="12" t="n"/>
      <c r="L138" s="12" t="n"/>
    </row>
    <row r="139">
      <c r="A139" s="12" t="n"/>
      <c r="B139" s="17" t="n"/>
      <c r="C139" s="12" t="n"/>
      <c r="D139" s="12" t="n"/>
      <c r="E139" s="12" t="n"/>
      <c r="F139" s="12" t="n"/>
      <c r="G139" s="12" t="n"/>
      <c r="H139" s="12" t="n"/>
      <c r="I139" s="14" t="n"/>
      <c r="J139" s="14" t="n"/>
      <c r="K139" s="12" t="n"/>
      <c r="L139" s="12" t="n"/>
    </row>
    <row r="140">
      <c r="A140" s="12" t="n"/>
      <c r="B140" s="17" t="n"/>
      <c r="C140" s="12" t="n"/>
      <c r="D140" s="12" t="n"/>
      <c r="E140" s="12" t="n"/>
      <c r="F140" s="12" t="n"/>
      <c r="G140" s="12" t="n"/>
      <c r="H140" s="12" t="n"/>
      <c r="I140" s="14" t="n"/>
      <c r="J140" s="14" t="n"/>
      <c r="K140" s="12" t="n"/>
      <c r="L140" s="12" t="n"/>
    </row>
    <row r="141">
      <c r="A141" s="12" t="n"/>
      <c r="B141" s="17" t="n"/>
      <c r="C141" s="12" t="n"/>
      <c r="D141" s="12" t="n"/>
      <c r="E141" s="12" t="n"/>
      <c r="F141" s="12" t="n"/>
      <c r="G141" s="12" t="n"/>
      <c r="H141" s="12" t="n"/>
      <c r="I141" s="14" t="n"/>
      <c r="J141" s="14" t="n"/>
      <c r="K141" s="12" t="n"/>
      <c r="L141" s="12" t="n"/>
    </row>
    <row r="142">
      <c r="A142" s="12" t="n"/>
      <c r="B142" s="17" t="n"/>
      <c r="C142" s="12" t="n"/>
      <c r="D142" s="12" t="n"/>
      <c r="E142" s="12" t="n"/>
      <c r="F142" s="12" t="n"/>
      <c r="G142" s="12" t="n"/>
      <c r="H142" s="12" t="n"/>
      <c r="I142" s="14" t="n"/>
      <c r="J142" s="14" t="n"/>
      <c r="K142" s="12" t="n"/>
      <c r="L142" s="12" t="n"/>
    </row>
    <row r="143">
      <c r="A143" s="12" t="n"/>
      <c r="B143" s="17" t="n"/>
      <c r="C143" s="12" t="n"/>
      <c r="D143" s="12" t="n"/>
      <c r="E143" s="12" t="n"/>
      <c r="F143" s="12" t="n"/>
      <c r="G143" s="12" t="n"/>
      <c r="H143" s="12" t="n"/>
      <c r="I143" s="14" t="n"/>
      <c r="J143" s="14" t="n"/>
      <c r="K143" s="12" t="n"/>
      <c r="L143" s="12" t="n"/>
    </row>
    <row r="144">
      <c r="A144" s="12" t="n"/>
      <c r="B144" s="17" t="n"/>
      <c r="C144" s="12" t="n"/>
      <c r="D144" s="12" t="n"/>
      <c r="E144" s="12" t="n"/>
      <c r="F144" s="12" t="n"/>
      <c r="G144" s="12" t="n"/>
      <c r="H144" s="12" t="n"/>
      <c r="I144" s="14" t="n"/>
      <c r="J144" s="14" t="n"/>
      <c r="K144" s="12" t="n"/>
      <c r="L144" s="12" t="n"/>
    </row>
    <row r="145">
      <c r="A145" s="12" t="n"/>
      <c r="B145" s="17" t="n"/>
      <c r="C145" s="12" t="n"/>
      <c r="D145" s="12" t="n"/>
      <c r="E145" s="12" t="n"/>
      <c r="F145" s="12" t="n"/>
      <c r="G145" s="12" t="n"/>
      <c r="H145" s="12" t="n"/>
      <c r="I145" s="14" t="n"/>
      <c r="J145" s="14" t="n"/>
      <c r="K145" s="12" t="n"/>
      <c r="L145" s="12" t="n"/>
    </row>
    <row r="146">
      <c r="A146" s="12" t="n"/>
      <c r="B146" s="17" t="n"/>
      <c r="C146" s="12" t="n"/>
      <c r="D146" s="12" t="n"/>
      <c r="E146" s="12" t="n"/>
      <c r="F146" s="12" t="n"/>
      <c r="G146" s="12" t="n"/>
      <c r="H146" s="12" t="n"/>
      <c r="I146" s="14" t="n"/>
      <c r="J146" s="14" t="n"/>
      <c r="K146" s="12" t="n"/>
      <c r="L146" s="12" t="n"/>
    </row>
    <row r="147">
      <c r="A147" s="12" t="n"/>
      <c r="B147" s="17" t="n"/>
      <c r="C147" s="12" t="n"/>
      <c r="D147" s="12" t="n"/>
      <c r="E147" s="12" t="n"/>
      <c r="F147" s="12" t="n"/>
      <c r="G147" s="12" t="n"/>
      <c r="H147" s="12" t="n"/>
      <c r="I147" s="14" t="n"/>
      <c r="J147" s="14" t="n"/>
      <c r="K147" s="12" t="n"/>
      <c r="L147" s="12" t="n"/>
    </row>
    <row r="148">
      <c r="A148" s="12" t="n"/>
      <c r="B148" s="17" t="n"/>
      <c r="C148" s="12" t="n"/>
      <c r="D148" s="12" t="n"/>
      <c r="E148" s="12" t="n"/>
      <c r="F148" s="12" t="n"/>
      <c r="G148" s="12" t="n"/>
      <c r="H148" s="12" t="n"/>
      <c r="I148" s="14" t="n"/>
      <c r="J148" s="14" t="n"/>
      <c r="K148" s="12" t="n"/>
      <c r="L148" s="12" t="n"/>
    </row>
    <row r="149">
      <c r="A149" s="12" t="n"/>
      <c r="B149" s="17" t="n"/>
      <c r="C149" s="12" t="n"/>
      <c r="D149" s="12" t="n"/>
      <c r="E149" s="12" t="n"/>
      <c r="F149" s="12" t="n"/>
      <c r="G149" s="12" t="n"/>
      <c r="H149" s="12" t="n"/>
      <c r="I149" s="14" t="n"/>
      <c r="J149" s="14" t="n"/>
      <c r="K149" s="12" t="n"/>
      <c r="L149" s="12" t="n"/>
    </row>
    <row r="150">
      <c r="A150" s="12" t="n"/>
      <c r="B150" s="17" t="n"/>
      <c r="C150" s="12" t="n"/>
      <c r="D150" s="12" t="n"/>
      <c r="E150" s="12" t="n"/>
      <c r="F150" s="12" t="n"/>
      <c r="G150" s="12" t="n"/>
      <c r="H150" s="12" t="n"/>
      <c r="I150" s="14" t="n"/>
      <c r="J150" s="14" t="n"/>
      <c r="K150" s="12" t="n"/>
      <c r="L150" s="12" t="n"/>
    </row>
    <row r="151">
      <c r="A151" s="12" t="n"/>
      <c r="B151" s="17" t="n"/>
      <c r="C151" s="12" t="n"/>
      <c r="D151" s="12" t="n"/>
      <c r="E151" s="12" t="n"/>
      <c r="F151" s="12" t="n"/>
      <c r="G151" s="12" t="n"/>
      <c r="H151" s="12" t="n"/>
      <c r="I151" s="14" t="n"/>
      <c r="J151" s="14" t="n"/>
      <c r="K151" s="12" t="n"/>
      <c r="L151" s="12" t="n"/>
    </row>
    <row r="152">
      <c r="A152" s="12" t="n"/>
      <c r="B152" s="17" t="n"/>
      <c r="C152" s="12" t="n"/>
      <c r="D152" s="12" t="n"/>
      <c r="E152" s="12" t="n"/>
      <c r="F152" s="12" t="n"/>
      <c r="G152" s="12" t="n"/>
      <c r="H152" s="12" t="n"/>
      <c r="I152" s="14" t="n"/>
      <c r="J152" s="14" t="n"/>
      <c r="K152" s="12" t="n"/>
      <c r="L152" s="12" t="n"/>
    </row>
    <row r="153">
      <c r="A153" s="12" t="n"/>
      <c r="B153" s="17" t="n"/>
      <c r="C153" s="12" t="n"/>
      <c r="D153" s="12" t="n"/>
      <c r="E153" s="12" t="n"/>
      <c r="F153" s="12" t="n"/>
      <c r="G153" s="12" t="n"/>
      <c r="H153" s="12" t="n"/>
      <c r="I153" s="14" t="n"/>
      <c r="J153" s="14" t="n"/>
      <c r="K153" s="12" t="n"/>
      <c r="L153" s="12" t="n"/>
    </row>
    <row r="154">
      <c r="A154" s="12" t="n"/>
      <c r="B154" s="17" t="n"/>
      <c r="C154" s="12" t="n"/>
      <c r="D154" s="12" t="n"/>
      <c r="E154" s="12" t="n"/>
      <c r="F154" s="12" t="n"/>
      <c r="G154" s="12" t="n"/>
      <c r="H154" s="12" t="n"/>
      <c r="I154" s="14" t="n"/>
      <c r="J154" s="14" t="n"/>
      <c r="K154" s="12" t="n"/>
      <c r="L154" s="12" t="n"/>
    </row>
    <row r="155">
      <c r="A155" s="12" t="n"/>
      <c r="B155" s="17" t="n"/>
      <c r="C155" s="12" t="n"/>
      <c r="D155" s="12" t="n"/>
      <c r="E155" s="12" t="n"/>
      <c r="F155" s="12" t="n"/>
      <c r="G155" s="12" t="n"/>
      <c r="H155" s="12" t="n"/>
      <c r="I155" s="14" t="n"/>
      <c r="J155" s="14" t="n"/>
      <c r="K155" s="12" t="n"/>
      <c r="L155" s="12" t="n"/>
    </row>
    <row r="156">
      <c r="A156" s="12" t="n"/>
      <c r="B156" s="17" t="n"/>
      <c r="C156" s="12" t="n"/>
      <c r="D156" s="12" t="n"/>
      <c r="E156" s="12" t="n"/>
      <c r="F156" s="12" t="n"/>
      <c r="G156" s="12" t="n"/>
      <c r="H156" s="12" t="n"/>
      <c r="I156" s="14" t="n"/>
      <c r="J156" s="14" t="n"/>
      <c r="K156" s="12" t="n"/>
      <c r="L156" s="12" t="n"/>
    </row>
    <row r="157">
      <c r="A157" s="12" t="n"/>
      <c r="B157" s="17" t="n"/>
      <c r="C157" s="12" t="n"/>
      <c r="D157" s="12" t="n"/>
      <c r="E157" s="12" t="n"/>
      <c r="F157" s="12" t="n"/>
      <c r="G157" s="12" t="n"/>
      <c r="H157" s="12" t="n"/>
      <c r="I157" s="14" t="n"/>
      <c r="J157" s="14" t="n"/>
      <c r="K157" s="12" t="n"/>
      <c r="L157" s="12" t="n"/>
    </row>
    <row r="158">
      <c r="A158" s="12" t="n"/>
      <c r="B158" s="17" t="n"/>
      <c r="C158" s="12" t="n"/>
      <c r="D158" s="12" t="n"/>
      <c r="E158" s="12" t="n"/>
      <c r="F158" s="12" t="n"/>
      <c r="G158" s="12" t="n"/>
      <c r="H158" s="12" t="n"/>
      <c r="I158" s="14" t="n"/>
      <c r="J158" s="14" t="n"/>
      <c r="K158" s="12" t="n"/>
      <c r="L158" s="12" t="n"/>
    </row>
    <row r="159">
      <c r="A159" s="12" t="n"/>
      <c r="B159" s="17" t="n"/>
      <c r="C159" s="12" t="n"/>
      <c r="D159" s="12" t="n"/>
      <c r="E159" s="12" t="n"/>
      <c r="F159" s="12" t="n"/>
      <c r="G159" s="12" t="n"/>
      <c r="H159" s="12" t="n"/>
      <c r="I159" s="14" t="n"/>
      <c r="J159" s="14" t="n"/>
      <c r="K159" s="12" t="n"/>
      <c r="L159" s="12" t="n"/>
    </row>
    <row r="160">
      <c r="A160" s="12" t="n"/>
      <c r="B160" s="17" t="n"/>
      <c r="C160" s="12" t="n"/>
      <c r="D160" s="12" t="n"/>
      <c r="E160" s="12" t="n"/>
      <c r="F160" s="12" t="n"/>
      <c r="G160" s="12" t="n"/>
      <c r="H160" s="12" t="n"/>
      <c r="I160" s="14" t="n"/>
      <c r="J160" s="14" t="n"/>
      <c r="K160" s="12" t="n"/>
      <c r="L160" s="12" t="n"/>
    </row>
    <row r="161">
      <c r="A161" s="12" t="n"/>
      <c r="B161" s="17" t="n"/>
      <c r="C161" s="12" t="n"/>
      <c r="D161" s="12" t="n"/>
      <c r="E161" s="12" t="n"/>
      <c r="F161" s="12" t="n"/>
      <c r="G161" s="12" t="n"/>
      <c r="H161" s="12" t="n"/>
      <c r="I161" s="14" t="n"/>
      <c r="J161" s="14" t="n"/>
      <c r="K161" s="12" t="n"/>
      <c r="L161" s="12" t="n"/>
    </row>
    <row r="162">
      <c r="A162" s="12" t="n"/>
      <c r="B162" s="17" t="n"/>
      <c r="C162" s="12" t="n"/>
      <c r="D162" s="12" t="n"/>
      <c r="E162" s="12" t="n"/>
      <c r="F162" s="12" t="n"/>
      <c r="G162" s="12" t="n"/>
      <c r="H162" s="12" t="n"/>
      <c r="I162" s="14" t="n"/>
      <c r="J162" s="14" t="n"/>
      <c r="K162" s="12" t="n"/>
      <c r="L162" s="12" t="n"/>
    </row>
    <row r="163">
      <c r="A163" s="12" t="n"/>
      <c r="B163" s="17" t="n"/>
      <c r="C163" s="12" t="n"/>
      <c r="D163" s="12" t="n"/>
      <c r="E163" s="12" t="n"/>
      <c r="F163" s="12" t="n"/>
      <c r="G163" s="12" t="n"/>
      <c r="H163" s="12" t="n"/>
      <c r="I163" s="14" t="n"/>
      <c r="J163" s="14" t="n"/>
      <c r="K163" s="12" t="n"/>
      <c r="L163" s="12" t="n"/>
    </row>
    <row r="164">
      <c r="A164" s="12" t="n"/>
      <c r="B164" s="17" t="n"/>
      <c r="C164" s="12" t="n"/>
      <c r="D164" s="12" t="n"/>
      <c r="E164" s="12" t="n"/>
      <c r="F164" s="12" t="n"/>
      <c r="G164" s="12" t="n"/>
      <c r="H164" s="12" t="n"/>
      <c r="I164" s="14" t="n"/>
      <c r="J164" s="14" t="n"/>
      <c r="K164" s="12" t="n"/>
      <c r="L164" s="12" t="n"/>
    </row>
    <row r="165">
      <c r="A165" s="12" t="n"/>
      <c r="B165" s="17" t="n"/>
      <c r="C165" s="12" t="n"/>
      <c r="D165" s="12" t="n"/>
      <c r="E165" s="12" t="n"/>
      <c r="F165" s="12" t="n"/>
      <c r="G165" s="12" t="n"/>
      <c r="H165" s="12" t="n"/>
      <c r="I165" s="14" t="n"/>
      <c r="J165" s="14" t="n"/>
      <c r="K165" s="12" t="n"/>
      <c r="L165" s="12" t="n"/>
    </row>
    <row r="166">
      <c r="A166" s="12" t="n"/>
      <c r="B166" s="17" t="n"/>
      <c r="C166" s="12" t="n"/>
      <c r="D166" s="12" t="n"/>
      <c r="E166" s="12" t="n"/>
      <c r="F166" s="12" t="n"/>
      <c r="G166" s="12" t="n"/>
      <c r="H166" s="12" t="n"/>
      <c r="I166" s="14" t="n"/>
      <c r="J166" s="14" t="n"/>
      <c r="K166" s="12" t="n"/>
      <c r="L166" s="12" t="n"/>
    </row>
    <row r="167">
      <c r="A167" s="12" t="n"/>
      <c r="B167" s="17" t="n"/>
      <c r="C167" s="12" t="n"/>
      <c r="D167" s="12" t="n"/>
      <c r="E167" s="12" t="n"/>
      <c r="F167" s="12" t="n"/>
      <c r="G167" s="12" t="n"/>
      <c r="H167" s="12" t="n"/>
      <c r="I167" s="14" t="n"/>
      <c r="J167" s="14" t="n"/>
      <c r="K167" s="12" t="n"/>
      <c r="L167" s="12" t="n"/>
    </row>
    <row r="168">
      <c r="A168" s="12" t="n"/>
      <c r="B168" s="17" t="n"/>
      <c r="C168" s="12" t="n"/>
      <c r="D168" s="12" t="n"/>
      <c r="E168" s="12" t="n"/>
      <c r="F168" s="12" t="n"/>
      <c r="G168" s="12" t="n"/>
      <c r="H168" s="12" t="n"/>
      <c r="I168" s="14" t="n"/>
      <c r="J168" s="14" t="n"/>
      <c r="K168" s="12" t="n"/>
      <c r="L168" s="12" t="n"/>
    </row>
    <row r="169">
      <c r="A169" s="12" t="n"/>
      <c r="B169" s="17" t="n"/>
      <c r="C169" s="12" t="n"/>
      <c r="D169" s="12" t="n"/>
      <c r="E169" s="12" t="n"/>
      <c r="F169" s="12" t="n"/>
      <c r="G169" s="12" t="n"/>
      <c r="H169" s="12" t="n"/>
      <c r="I169" s="14" t="n"/>
      <c r="J169" s="14" t="n"/>
      <c r="K169" s="12" t="n"/>
      <c r="L169" s="12" t="n"/>
    </row>
    <row r="170">
      <c r="A170" s="12" t="n"/>
      <c r="B170" s="17" t="n"/>
      <c r="C170" s="12" t="n"/>
      <c r="D170" s="12" t="n"/>
      <c r="E170" s="12" t="n"/>
      <c r="F170" s="12" t="n"/>
      <c r="G170" s="12" t="n"/>
      <c r="H170" s="12" t="n"/>
      <c r="I170" s="14" t="n"/>
      <c r="J170" s="14" t="n"/>
      <c r="K170" s="12" t="n"/>
      <c r="L170" s="12" t="n"/>
    </row>
    <row r="171">
      <c r="A171" s="12" t="n"/>
      <c r="B171" s="17" t="n"/>
      <c r="C171" s="12" t="n"/>
      <c r="D171" s="12" t="n"/>
      <c r="E171" s="12" t="n"/>
      <c r="F171" s="12" t="n"/>
      <c r="G171" s="12" t="n"/>
      <c r="H171" s="12" t="n"/>
      <c r="I171" s="14" t="n"/>
      <c r="J171" s="14" t="n"/>
      <c r="K171" s="12" t="n"/>
      <c r="L171" s="12" t="n"/>
    </row>
    <row r="172">
      <c r="A172" s="12" t="n"/>
      <c r="B172" s="17" t="n"/>
      <c r="C172" s="12" t="n"/>
      <c r="D172" s="12" t="n"/>
      <c r="E172" s="12" t="n"/>
      <c r="F172" s="12" t="n"/>
      <c r="G172" s="12" t="n"/>
      <c r="H172" s="12" t="n"/>
      <c r="I172" s="14" t="n"/>
      <c r="J172" s="14" t="n"/>
      <c r="K172" s="12" t="n"/>
      <c r="L172" s="12" t="n"/>
    </row>
    <row r="173">
      <c r="A173" s="12" t="n"/>
      <c r="B173" s="17" t="n"/>
      <c r="C173" s="12" t="n"/>
      <c r="D173" s="12" t="n"/>
      <c r="E173" s="12" t="n"/>
      <c r="F173" s="12" t="n"/>
      <c r="G173" s="12" t="n"/>
      <c r="H173" s="12" t="n"/>
      <c r="I173" s="14" t="n"/>
      <c r="J173" s="14" t="n"/>
      <c r="K173" s="12" t="n"/>
      <c r="L173" s="12" t="n"/>
    </row>
    <row r="174">
      <c r="A174" s="12" t="n"/>
      <c r="B174" s="17" t="n"/>
      <c r="C174" s="12" t="n"/>
      <c r="D174" s="12" t="n"/>
      <c r="E174" s="12" t="n"/>
      <c r="F174" s="12" t="n"/>
      <c r="G174" s="12" t="n"/>
      <c r="H174" s="12" t="n"/>
      <c r="I174" s="14" t="n"/>
      <c r="J174" s="14" t="n"/>
      <c r="K174" s="12" t="n"/>
      <c r="L174" s="12" t="n"/>
    </row>
    <row r="175">
      <c r="A175" s="12" t="n"/>
      <c r="B175" s="17" t="n"/>
      <c r="C175" s="12" t="n"/>
      <c r="D175" s="12" t="n"/>
      <c r="E175" s="12" t="n"/>
      <c r="F175" s="12" t="n"/>
      <c r="G175" s="12" t="n"/>
      <c r="H175" s="12" t="n"/>
      <c r="I175" s="14" t="n"/>
      <c r="J175" s="14" t="n"/>
      <c r="K175" s="12" t="n"/>
      <c r="L175" s="12" t="n"/>
    </row>
    <row r="176">
      <c r="A176" s="12" t="n"/>
      <c r="B176" s="17" t="n"/>
      <c r="C176" s="12" t="n"/>
      <c r="D176" s="12" t="n"/>
      <c r="E176" s="12" t="n"/>
      <c r="F176" s="12" t="n"/>
      <c r="G176" s="12" t="n"/>
      <c r="H176" s="12" t="n"/>
      <c r="I176" s="14" t="n"/>
      <c r="J176" s="14" t="n"/>
      <c r="K176" s="12" t="n"/>
      <c r="L176" s="12" t="n"/>
    </row>
    <row r="177">
      <c r="A177" s="12" t="n"/>
      <c r="B177" s="17" t="n"/>
      <c r="C177" s="12" t="n"/>
      <c r="D177" s="12" t="n"/>
      <c r="E177" s="12" t="n"/>
      <c r="F177" s="12" t="n"/>
      <c r="G177" s="12" t="n"/>
      <c r="H177" s="12" t="n"/>
      <c r="I177" s="14" t="n"/>
      <c r="J177" s="14" t="n"/>
      <c r="K177" s="12" t="n"/>
      <c r="L177" s="12" t="n"/>
    </row>
    <row r="178">
      <c r="A178" s="12" t="n"/>
      <c r="B178" s="17" t="n"/>
      <c r="C178" s="12" t="n"/>
      <c r="D178" s="12" t="n"/>
      <c r="E178" s="12" t="n"/>
      <c r="F178" s="12" t="n"/>
      <c r="G178" s="12" t="n"/>
      <c r="H178" s="12" t="n"/>
      <c r="I178" s="14" t="n"/>
      <c r="J178" s="14" t="n"/>
      <c r="K178" s="12" t="n"/>
      <c r="L178" s="12" t="n"/>
    </row>
    <row r="179">
      <c r="A179" s="12" t="n"/>
      <c r="B179" s="17" t="n"/>
      <c r="C179" s="12" t="n"/>
      <c r="D179" s="12" t="n"/>
      <c r="E179" s="12" t="n"/>
      <c r="F179" s="12" t="n"/>
      <c r="G179" s="12" t="n"/>
      <c r="H179" s="12" t="n"/>
      <c r="I179" s="14" t="n"/>
      <c r="J179" s="14" t="n"/>
      <c r="K179" s="12" t="n"/>
      <c r="L179" s="12" t="n"/>
    </row>
    <row r="180">
      <c r="A180" s="12" t="n"/>
      <c r="B180" s="17" t="n"/>
      <c r="C180" s="12" t="n"/>
      <c r="D180" s="12" t="n"/>
      <c r="E180" s="12" t="n"/>
      <c r="F180" s="12" t="n"/>
      <c r="G180" s="12" t="n"/>
      <c r="H180" s="12" t="n"/>
      <c r="I180" s="14" t="n"/>
      <c r="J180" s="14" t="n"/>
      <c r="K180" s="12" t="n"/>
      <c r="L180" s="12" t="n"/>
    </row>
    <row r="181">
      <c r="A181" s="12" t="n"/>
      <c r="B181" s="17" t="n"/>
      <c r="C181" s="12" t="n"/>
      <c r="D181" s="12" t="n"/>
      <c r="E181" s="12" t="n"/>
      <c r="F181" s="12" t="n"/>
      <c r="G181" s="12" t="n"/>
      <c r="H181" s="12" t="n"/>
      <c r="I181" s="14" t="n"/>
      <c r="J181" s="14" t="n"/>
      <c r="K181" s="12" t="n"/>
      <c r="L181" s="12" t="n"/>
    </row>
    <row r="182">
      <c r="A182" s="12" t="n"/>
      <c r="B182" s="17" t="n"/>
      <c r="C182" s="12" t="n"/>
      <c r="D182" s="12" t="n"/>
      <c r="E182" s="12" t="n"/>
      <c r="F182" s="12" t="n"/>
      <c r="G182" s="12" t="n"/>
      <c r="H182" s="12" t="n"/>
      <c r="I182" s="14" t="n"/>
      <c r="J182" s="14" t="n"/>
      <c r="K182" s="12" t="n"/>
      <c r="L182" s="12" t="n"/>
    </row>
    <row r="183">
      <c r="A183" s="12" t="n"/>
      <c r="B183" s="17" t="n"/>
      <c r="C183" s="12" t="n"/>
      <c r="D183" s="12" t="n"/>
      <c r="E183" s="12" t="n"/>
      <c r="F183" s="12" t="n"/>
      <c r="G183" s="12" t="n"/>
      <c r="H183" s="12" t="n"/>
      <c r="I183" s="14" t="n"/>
      <c r="J183" s="14" t="n"/>
      <c r="K183" s="12" t="n"/>
      <c r="L183" s="12" t="n"/>
    </row>
    <row r="184">
      <c r="A184" s="12" t="n"/>
      <c r="B184" s="17" t="n"/>
      <c r="C184" s="12" t="n"/>
      <c r="D184" s="12" t="n"/>
      <c r="E184" s="12" t="n"/>
      <c r="F184" s="12" t="n"/>
      <c r="G184" s="12" t="n"/>
      <c r="H184" s="12" t="n"/>
      <c r="I184" s="14" t="n"/>
      <c r="J184" s="14" t="n"/>
      <c r="K184" s="12" t="n"/>
      <c r="L184" s="12" t="n"/>
    </row>
    <row r="185">
      <c r="A185" s="12" t="n"/>
      <c r="B185" s="17" t="n"/>
      <c r="C185" s="12" t="n"/>
      <c r="D185" s="12" t="n"/>
      <c r="E185" s="12" t="n"/>
      <c r="F185" s="12" t="n"/>
      <c r="G185" s="12" t="n"/>
      <c r="H185" s="12" t="n"/>
      <c r="I185" s="14" t="n"/>
      <c r="J185" s="14" t="n"/>
      <c r="K185" s="12" t="n"/>
      <c r="L185" s="12" t="n"/>
    </row>
    <row r="186">
      <c r="A186" s="12" t="n"/>
      <c r="B186" s="17" t="n"/>
      <c r="C186" s="12" t="n"/>
      <c r="D186" s="12" t="n"/>
      <c r="E186" s="12" t="n"/>
      <c r="F186" s="12" t="n"/>
      <c r="G186" s="12" t="n"/>
      <c r="H186" s="12" t="n"/>
      <c r="I186" s="14" t="n"/>
      <c r="J186" s="14" t="n"/>
      <c r="K186" s="12" t="n"/>
      <c r="L186" s="12" t="n"/>
    </row>
    <row r="187">
      <c r="A187" s="12" t="n"/>
      <c r="B187" s="17" t="n"/>
      <c r="C187" s="12" t="n"/>
      <c r="D187" s="12" t="n"/>
      <c r="E187" s="12" t="n"/>
      <c r="F187" s="12" t="n"/>
      <c r="G187" s="12" t="n"/>
      <c r="H187" s="12" t="n"/>
      <c r="I187" s="14" t="n"/>
      <c r="J187" s="14" t="n"/>
      <c r="K187" s="12" t="n"/>
      <c r="L187" s="12" t="n"/>
    </row>
    <row r="188">
      <c r="A188" s="12" t="n"/>
      <c r="B188" s="17" t="n"/>
      <c r="C188" s="12" t="n"/>
      <c r="D188" s="12" t="n"/>
      <c r="E188" s="12" t="n"/>
      <c r="F188" s="12" t="n"/>
      <c r="G188" s="12" t="n"/>
      <c r="H188" s="12" t="n"/>
      <c r="I188" s="14" t="n"/>
      <c r="J188" s="14" t="n"/>
      <c r="K188" s="12" t="n"/>
      <c r="L188" s="12" t="n"/>
    </row>
    <row r="189">
      <c r="A189" s="12" t="n"/>
      <c r="B189" s="17" t="n"/>
      <c r="C189" s="12" t="n"/>
      <c r="D189" s="12" t="n"/>
      <c r="E189" s="12" t="n"/>
      <c r="F189" s="12" t="n"/>
      <c r="G189" s="12" t="n"/>
      <c r="H189" s="12" t="n"/>
      <c r="I189" s="14" t="n"/>
      <c r="J189" s="14" t="n"/>
      <c r="K189" s="12" t="n"/>
      <c r="L189" s="12" t="n"/>
    </row>
    <row r="190">
      <c r="A190" s="12" t="n"/>
      <c r="B190" s="17" t="n"/>
      <c r="C190" s="12" t="n"/>
      <c r="D190" s="12" t="n"/>
      <c r="E190" s="12" t="n"/>
      <c r="F190" s="12" t="n"/>
      <c r="G190" s="12" t="n"/>
      <c r="H190" s="12" t="n"/>
      <c r="I190" s="14" t="n"/>
      <c r="J190" s="14" t="n"/>
      <c r="K190" s="12" t="n"/>
      <c r="L190" s="12" t="n"/>
    </row>
    <row r="191">
      <c r="A191" s="12" t="n"/>
      <c r="B191" s="17" t="n"/>
      <c r="C191" s="12" t="n"/>
      <c r="D191" s="12" t="n"/>
      <c r="E191" s="12" t="n"/>
      <c r="F191" s="12" t="n"/>
      <c r="G191" s="12" t="n"/>
      <c r="H191" s="12" t="n"/>
      <c r="I191" s="14" t="n"/>
      <c r="J191" s="14" t="n"/>
      <c r="K191" s="12" t="n"/>
      <c r="L191" s="12" t="n"/>
    </row>
    <row r="192">
      <c r="A192" s="12" t="n"/>
      <c r="B192" s="17" t="n"/>
      <c r="C192" s="12" t="n"/>
      <c r="D192" s="12" t="n"/>
      <c r="E192" s="12" t="n"/>
      <c r="F192" s="12" t="n"/>
      <c r="G192" s="12" t="n"/>
      <c r="H192" s="12" t="n"/>
      <c r="I192" s="14" t="n"/>
      <c r="J192" s="14" t="n"/>
      <c r="K192" s="12" t="n"/>
      <c r="L192" s="12" t="n"/>
    </row>
    <row r="193">
      <c r="A193" s="12" t="n"/>
      <c r="B193" s="17" t="n"/>
      <c r="C193" s="12" t="n"/>
      <c r="D193" s="12" t="n"/>
      <c r="E193" s="12" t="n"/>
      <c r="F193" s="12" t="n"/>
      <c r="G193" s="12" t="n"/>
      <c r="H193" s="12" t="n"/>
      <c r="I193" s="14" t="n"/>
      <c r="J193" s="14" t="n"/>
      <c r="K193" s="12" t="n"/>
      <c r="L193" s="12" t="n"/>
    </row>
    <row r="194">
      <c r="A194" s="12" t="n"/>
      <c r="B194" s="17" t="n"/>
      <c r="C194" s="12" t="n"/>
      <c r="D194" s="12" t="n"/>
      <c r="E194" s="12" t="n"/>
      <c r="F194" s="12" t="n"/>
      <c r="G194" s="12" t="n"/>
      <c r="H194" s="12" t="n"/>
      <c r="I194" s="14" t="n"/>
      <c r="J194" s="14" t="n"/>
      <c r="K194" s="12" t="n"/>
      <c r="L194" s="12" t="n"/>
    </row>
    <row r="195">
      <c r="A195" s="12" t="n"/>
      <c r="B195" s="17" t="n"/>
      <c r="C195" s="12" t="n"/>
      <c r="D195" s="12" t="n"/>
      <c r="E195" s="12" t="n"/>
      <c r="F195" s="12" t="n"/>
      <c r="G195" s="12" t="n"/>
      <c r="H195" s="12" t="n"/>
      <c r="I195" s="14" t="n"/>
      <c r="J195" s="14" t="n"/>
      <c r="K195" s="12" t="n"/>
      <c r="L195" s="12" t="n"/>
    </row>
    <row r="196">
      <c r="A196" s="12" t="n"/>
      <c r="B196" s="17" t="n"/>
      <c r="C196" s="12" t="n"/>
      <c r="D196" s="12" t="n"/>
      <c r="E196" s="12" t="n"/>
      <c r="F196" s="12" t="n"/>
      <c r="G196" s="12" t="n"/>
      <c r="H196" s="12" t="n"/>
      <c r="I196" s="14" t="n"/>
      <c r="J196" s="14" t="n"/>
      <c r="K196" s="12" t="n"/>
      <c r="L196" s="12" t="n"/>
    </row>
    <row r="197">
      <c r="A197" s="12" t="n"/>
      <c r="B197" s="17" t="n"/>
      <c r="C197" s="12" t="n"/>
      <c r="D197" s="12" t="n"/>
      <c r="E197" s="12" t="n"/>
      <c r="F197" s="12" t="n"/>
      <c r="G197" s="12" t="n"/>
      <c r="H197" s="12" t="n"/>
      <c r="I197" s="14" t="n"/>
      <c r="J197" s="14" t="n"/>
      <c r="K197" s="12" t="n"/>
      <c r="L197" s="12" t="n"/>
    </row>
    <row r="198">
      <c r="A198" s="12" t="n"/>
      <c r="B198" s="17" t="n"/>
      <c r="C198" s="12" t="n"/>
      <c r="D198" s="12" t="n"/>
      <c r="E198" s="12" t="n"/>
      <c r="F198" s="12" t="n"/>
      <c r="G198" s="12" t="n"/>
      <c r="H198" s="12" t="n"/>
      <c r="I198" s="14" t="n"/>
      <c r="J198" s="14" t="n"/>
      <c r="K198" s="12" t="n"/>
      <c r="L198" s="12" t="n"/>
    </row>
    <row r="199">
      <c r="A199" s="12" t="n"/>
      <c r="B199" s="17" t="n"/>
      <c r="C199" s="12" t="n"/>
      <c r="D199" s="12" t="n"/>
      <c r="E199" s="12" t="n"/>
      <c r="F199" s="12" t="n"/>
      <c r="G199" s="12" t="n"/>
      <c r="H199" s="12" t="n"/>
      <c r="I199" s="14" t="n"/>
      <c r="J199" s="14" t="n"/>
      <c r="K199" s="12" t="n"/>
      <c r="L199" s="12" t="n"/>
    </row>
    <row r="200">
      <c r="A200" s="12" t="n"/>
      <c r="B200" s="17" t="n"/>
      <c r="C200" s="12" t="n"/>
      <c r="D200" s="12" t="n"/>
      <c r="E200" s="12" t="n"/>
      <c r="F200" s="12" t="n"/>
      <c r="G200" s="12" t="n"/>
      <c r="H200" s="12" t="n"/>
      <c r="I200" s="14" t="n"/>
      <c r="J200" s="14" t="n"/>
      <c r="K200" s="12" t="n"/>
      <c r="L200" s="12" t="n"/>
    </row>
    <row r="201">
      <c r="A201" s="12" t="n"/>
      <c r="B201" s="17" t="n"/>
      <c r="C201" s="12" t="n"/>
      <c r="D201" s="12" t="n"/>
      <c r="E201" s="12" t="n"/>
      <c r="F201" s="12" t="n"/>
      <c r="G201" s="12" t="n"/>
      <c r="H201" s="12" t="n"/>
      <c r="I201" s="14" t="n"/>
      <c r="J201" s="14" t="n"/>
      <c r="K201" s="12" t="n"/>
      <c r="L201" s="12" t="n"/>
    </row>
    <row r="202">
      <c r="A202" s="12" t="n"/>
      <c r="B202" s="17" t="n"/>
      <c r="C202" s="12" t="n"/>
      <c r="D202" s="12" t="n"/>
      <c r="E202" s="12" t="n"/>
      <c r="F202" s="12" t="n"/>
      <c r="G202" s="12" t="n"/>
      <c r="H202" s="12" t="n"/>
      <c r="I202" s="14" t="n"/>
      <c r="J202" s="14" t="n"/>
      <c r="K202" s="12" t="n"/>
      <c r="L202" s="12" t="n"/>
    </row>
    <row r="203">
      <c r="A203" s="12" t="n"/>
      <c r="B203" s="17" t="n"/>
      <c r="C203" s="12" t="n"/>
      <c r="D203" s="12" t="n"/>
      <c r="E203" s="12" t="n"/>
      <c r="F203" s="12" t="n"/>
      <c r="G203" s="12" t="n"/>
      <c r="H203" s="12" t="n"/>
      <c r="I203" s="14" t="n"/>
      <c r="J203" s="14" t="n"/>
      <c r="K203" s="12" t="n"/>
      <c r="L203" s="12" t="n"/>
    </row>
    <row r="204">
      <c r="A204" s="12" t="n"/>
      <c r="B204" s="17" t="n"/>
      <c r="C204" s="12" t="n"/>
      <c r="D204" s="12" t="n"/>
      <c r="E204" s="12" t="n"/>
      <c r="F204" s="12" t="n"/>
      <c r="G204" s="12" t="n"/>
      <c r="H204" s="12" t="n"/>
      <c r="I204" s="14" t="n"/>
      <c r="J204" s="14" t="n"/>
      <c r="K204" s="12" t="n"/>
      <c r="L204" s="12" t="n"/>
    </row>
    <row r="205">
      <c r="A205" s="12" t="n"/>
      <c r="B205" s="17" t="n"/>
      <c r="C205" s="12" t="n"/>
      <c r="D205" s="12" t="n"/>
      <c r="E205" s="12" t="n"/>
      <c r="F205" s="12" t="n"/>
      <c r="G205" s="12" t="n"/>
      <c r="H205" s="12" t="n"/>
      <c r="I205" s="14" t="n"/>
      <c r="J205" s="14" t="n"/>
      <c r="K205" s="12" t="n"/>
      <c r="L205" s="12" t="n"/>
    </row>
    <row r="206">
      <c r="A206" s="12" t="n"/>
      <c r="B206" s="17" t="n"/>
      <c r="C206" s="12" t="n"/>
      <c r="D206" s="12" t="n"/>
      <c r="E206" s="12" t="n"/>
      <c r="F206" s="12" t="n"/>
      <c r="G206" s="12" t="n"/>
      <c r="H206" s="12" t="n"/>
      <c r="I206" s="14" t="n"/>
      <c r="J206" s="14" t="n"/>
      <c r="K206" s="12" t="n"/>
      <c r="L206" s="12" t="n"/>
    </row>
    <row r="207">
      <c r="A207" s="12" t="n"/>
      <c r="B207" s="17" t="n"/>
      <c r="C207" s="12" t="n"/>
      <c r="D207" s="12" t="n"/>
      <c r="E207" s="12" t="n"/>
      <c r="F207" s="12" t="n"/>
      <c r="G207" s="12" t="n"/>
      <c r="H207" s="12" t="n"/>
      <c r="I207" s="14" t="n"/>
      <c r="J207" s="14" t="n"/>
      <c r="K207" s="12" t="n"/>
      <c r="L207" s="12" t="n"/>
    </row>
    <row r="208">
      <c r="A208" s="12" t="n"/>
      <c r="B208" s="17" t="n"/>
      <c r="C208" s="12" t="n"/>
      <c r="D208" s="12" t="n"/>
      <c r="E208" s="12" t="n"/>
      <c r="F208" s="12" t="n"/>
      <c r="G208" s="12" t="n"/>
      <c r="H208" s="12" t="n"/>
      <c r="I208" s="14" t="n"/>
      <c r="J208" s="14" t="n"/>
      <c r="K208" s="12" t="n"/>
      <c r="L208" s="12" t="n"/>
    </row>
    <row r="209">
      <c r="A209" s="12" t="n"/>
      <c r="B209" s="17" t="n"/>
      <c r="C209" s="12" t="n"/>
      <c r="D209" s="12" t="n"/>
      <c r="E209" s="12" t="n"/>
      <c r="F209" s="12" t="n"/>
      <c r="G209" s="12" t="n"/>
      <c r="H209" s="12" t="n"/>
      <c r="I209" s="14" t="n"/>
      <c r="J209" s="14" t="n"/>
      <c r="K209" s="12" t="n"/>
      <c r="L209" s="12" t="n"/>
    </row>
    <row r="210">
      <c r="A210" s="12" t="n"/>
      <c r="B210" s="17" t="n"/>
      <c r="C210" s="12" t="n"/>
      <c r="D210" s="12" t="n"/>
      <c r="E210" s="12" t="n"/>
      <c r="F210" s="12" t="n"/>
      <c r="G210" s="12" t="n"/>
      <c r="H210" s="12" t="n"/>
      <c r="I210" s="14" t="n"/>
      <c r="J210" s="14" t="n"/>
      <c r="K210" s="12" t="n"/>
      <c r="L210" s="12" t="n"/>
    </row>
    <row r="211">
      <c r="A211" s="12" t="n"/>
      <c r="B211" s="17" t="n"/>
      <c r="C211" s="12" t="n"/>
      <c r="D211" s="12" t="n"/>
      <c r="E211" s="12" t="n"/>
      <c r="F211" s="12" t="n"/>
      <c r="G211" s="12" t="n"/>
      <c r="H211" s="12" t="n"/>
      <c r="I211" s="14" t="n"/>
      <c r="J211" s="14" t="n"/>
      <c r="K211" s="12" t="n"/>
      <c r="L211" s="12" t="n"/>
    </row>
    <row r="212">
      <c r="A212" s="12" t="n"/>
      <c r="B212" s="17" t="n"/>
      <c r="C212" s="12" t="n"/>
      <c r="D212" s="12" t="n"/>
      <c r="E212" s="12" t="n"/>
      <c r="F212" s="12" t="n"/>
      <c r="G212" s="12" t="n"/>
      <c r="H212" s="12" t="n"/>
      <c r="I212" s="14" t="n"/>
      <c r="J212" s="14" t="n"/>
      <c r="K212" s="12" t="n"/>
      <c r="L212" s="12" t="n"/>
    </row>
    <row r="213">
      <c r="A213" s="12" t="n"/>
      <c r="B213" s="17" t="n"/>
      <c r="C213" s="12" t="n"/>
      <c r="D213" s="12" t="n"/>
      <c r="E213" s="12" t="n"/>
      <c r="F213" s="12" t="n"/>
      <c r="G213" s="12" t="n"/>
      <c r="H213" s="12" t="n"/>
      <c r="I213" s="14" t="n"/>
      <c r="J213" s="14" t="n"/>
      <c r="K213" s="12" t="n"/>
      <c r="L213" s="12" t="n"/>
    </row>
    <row r="214">
      <c r="A214" s="12" t="n"/>
      <c r="B214" s="17" t="n"/>
      <c r="C214" s="12" t="n"/>
      <c r="D214" s="12" t="n"/>
      <c r="E214" s="12" t="n"/>
      <c r="F214" s="12" t="n"/>
      <c r="G214" s="12" t="n"/>
      <c r="H214" s="12" t="n"/>
      <c r="I214" s="14" t="n"/>
      <c r="J214" s="14" t="n"/>
      <c r="K214" s="12" t="n"/>
      <c r="L214" s="12" t="n"/>
    </row>
    <row r="215">
      <c r="A215" s="12" t="n"/>
      <c r="B215" s="17" t="n"/>
      <c r="C215" s="12" t="n"/>
      <c r="D215" s="12" t="n"/>
      <c r="E215" s="12" t="n"/>
      <c r="F215" s="12" t="n"/>
      <c r="G215" s="12" t="n"/>
      <c r="H215" s="12" t="n"/>
      <c r="I215" s="14" t="n"/>
      <c r="J215" s="14" t="n"/>
      <c r="K215" s="12" t="n"/>
      <c r="L215" s="12" t="n"/>
    </row>
    <row r="216">
      <c r="A216" s="12" t="n"/>
      <c r="B216" s="17" t="n"/>
      <c r="C216" s="12" t="n"/>
      <c r="D216" s="12" t="n"/>
      <c r="E216" s="12" t="n"/>
      <c r="F216" s="12" t="n"/>
      <c r="G216" s="12" t="n"/>
      <c r="H216" s="12" t="n"/>
      <c r="I216" s="14" t="n"/>
      <c r="J216" s="14" t="n"/>
      <c r="K216" s="12" t="n"/>
      <c r="L216" s="12" t="n"/>
    </row>
    <row r="217">
      <c r="A217" s="12" t="n"/>
      <c r="B217" s="17" t="n"/>
      <c r="C217" s="12" t="n"/>
      <c r="D217" s="12" t="n"/>
      <c r="E217" s="12" t="n"/>
      <c r="F217" s="12" t="n"/>
      <c r="G217" s="12" t="n"/>
      <c r="H217" s="12" t="n"/>
      <c r="I217" s="14" t="n"/>
      <c r="J217" s="14" t="n"/>
      <c r="K217" s="12" t="n"/>
      <c r="L217" s="12" t="n"/>
    </row>
    <row r="218">
      <c r="A218" s="12" t="n"/>
      <c r="B218" s="17" t="n"/>
      <c r="C218" s="12" t="n"/>
      <c r="D218" s="12" t="n"/>
      <c r="E218" s="12" t="n"/>
      <c r="F218" s="12" t="n"/>
      <c r="G218" s="12" t="n"/>
      <c r="H218" s="12" t="n"/>
      <c r="I218" s="14" t="n"/>
      <c r="J218" s="14" t="n"/>
      <c r="K218" s="12" t="n"/>
      <c r="L218" s="12" t="n"/>
    </row>
    <row r="219">
      <c r="A219" s="12" t="n"/>
      <c r="B219" s="17" t="n"/>
      <c r="C219" s="12" t="n"/>
      <c r="D219" s="12" t="n"/>
      <c r="E219" s="12" t="n"/>
      <c r="F219" s="12" t="n"/>
      <c r="G219" s="12" t="n"/>
      <c r="H219" s="12" t="n"/>
      <c r="I219" s="14" t="n"/>
      <c r="J219" s="14" t="n"/>
      <c r="K219" s="12" t="n"/>
      <c r="L219" s="12" t="n"/>
    </row>
    <row r="220">
      <c r="A220" s="12" t="n"/>
      <c r="B220" s="17" t="n"/>
      <c r="C220" s="12" t="n"/>
      <c r="D220" s="12" t="n"/>
      <c r="E220" s="12" t="n"/>
      <c r="F220" s="12" t="n"/>
      <c r="G220" s="12" t="n"/>
      <c r="H220" s="12" t="n"/>
      <c r="I220" s="14" t="n"/>
      <c r="J220" s="14" t="n"/>
      <c r="K220" s="12" t="n"/>
      <c r="L220" s="12" t="n"/>
    </row>
    <row r="221">
      <c r="A221" s="12" t="n"/>
      <c r="B221" s="17" t="n"/>
      <c r="C221" s="12" t="n"/>
      <c r="D221" s="12" t="n"/>
      <c r="E221" s="12" t="n"/>
      <c r="F221" s="12" t="n"/>
      <c r="G221" s="12" t="n"/>
      <c r="H221" s="12" t="n"/>
      <c r="I221" s="14" t="n"/>
      <c r="J221" s="14" t="n"/>
      <c r="K221" s="12" t="n"/>
      <c r="L221" s="12" t="n"/>
    </row>
    <row r="222">
      <c r="A222" s="12" t="n"/>
      <c r="B222" s="17" t="n"/>
      <c r="C222" s="12" t="n"/>
      <c r="D222" s="12" t="n"/>
      <c r="E222" s="12" t="n"/>
      <c r="F222" s="12" t="n"/>
      <c r="G222" s="12" t="n"/>
      <c r="H222" s="12" t="n"/>
      <c r="I222" s="14" t="n"/>
      <c r="J222" s="14" t="n"/>
      <c r="K222" s="12" t="n"/>
      <c r="L222" s="12" t="n"/>
    </row>
    <row r="223">
      <c r="A223" s="12" t="n"/>
      <c r="B223" s="17" t="n"/>
      <c r="C223" s="12" t="n"/>
      <c r="D223" s="12" t="n"/>
      <c r="E223" s="12" t="n"/>
      <c r="F223" s="12" t="n"/>
      <c r="G223" s="12" t="n"/>
      <c r="H223" s="12" t="n"/>
      <c r="I223" s="14" t="n"/>
      <c r="J223" s="14" t="n"/>
      <c r="K223" s="12" t="n"/>
      <c r="L223" s="12" t="n"/>
    </row>
    <row r="224">
      <c r="A224" s="12" t="n"/>
      <c r="B224" s="17" t="n"/>
      <c r="C224" s="12" t="n"/>
      <c r="D224" s="12" t="n"/>
      <c r="E224" s="12" t="n"/>
      <c r="F224" s="12" t="n"/>
      <c r="G224" s="12" t="n"/>
      <c r="H224" s="12" t="n"/>
      <c r="I224" s="14" t="n"/>
      <c r="J224" s="14" t="n"/>
      <c r="K224" s="12" t="n"/>
      <c r="L224" s="12" t="n"/>
    </row>
    <row r="225">
      <c r="A225" s="12" t="n"/>
      <c r="B225" s="17" t="n"/>
      <c r="C225" s="12" t="n"/>
      <c r="D225" s="12" t="n"/>
      <c r="E225" s="12" t="n"/>
      <c r="F225" s="12" t="n"/>
      <c r="G225" s="12" t="n"/>
      <c r="H225" s="12" t="n"/>
      <c r="I225" s="14" t="n"/>
      <c r="J225" s="14" t="n"/>
      <c r="K225" s="12" t="n"/>
      <c r="L225" s="12" t="n"/>
    </row>
    <row r="226">
      <c r="A226" s="12" t="n"/>
      <c r="B226" s="17" t="n"/>
      <c r="C226" s="12" t="n"/>
      <c r="D226" s="12" t="n"/>
      <c r="E226" s="12" t="n"/>
      <c r="F226" s="12" t="n"/>
      <c r="G226" s="12" t="n"/>
      <c r="H226" s="12" t="n"/>
      <c r="I226" s="14" t="n"/>
      <c r="J226" s="14" t="n"/>
      <c r="K226" s="12" t="n"/>
      <c r="L226" s="12" t="n"/>
    </row>
    <row r="227">
      <c r="A227" s="12" t="n"/>
      <c r="B227" s="17" t="n"/>
      <c r="C227" s="12" t="n"/>
      <c r="D227" s="12" t="n"/>
      <c r="E227" s="12" t="n"/>
      <c r="F227" s="12" t="n"/>
      <c r="G227" s="12" t="n"/>
      <c r="H227" s="12" t="n"/>
      <c r="I227" s="14" t="n"/>
      <c r="J227" s="14" t="n"/>
      <c r="K227" s="12" t="n"/>
      <c r="L227" s="12" t="n"/>
    </row>
    <row r="228">
      <c r="A228" s="12" t="n"/>
      <c r="B228" s="17" t="n"/>
      <c r="C228" s="12" t="n"/>
      <c r="D228" s="12" t="n"/>
      <c r="E228" s="12" t="n"/>
      <c r="F228" s="12" t="n"/>
      <c r="G228" s="12" t="n"/>
      <c r="H228" s="12" t="n"/>
      <c r="I228" s="14" t="n"/>
      <c r="J228" s="14" t="n"/>
      <c r="K228" s="12" t="n"/>
      <c r="L228" s="12" t="n"/>
    </row>
    <row r="229">
      <c r="A229" s="12" t="n"/>
      <c r="B229" s="17" t="n"/>
      <c r="C229" s="12" t="n"/>
      <c r="D229" s="12" t="n"/>
      <c r="E229" s="12" t="n"/>
      <c r="F229" s="12" t="n"/>
      <c r="G229" s="12" t="n"/>
      <c r="H229" s="12" t="n"/>
      <c r="I229" s="14" t="n"/>
      <c r="J229" s="14" t="n"/>
      <c r="K229" s="12" t="n"/>
      <c r="L229" s="12" t="n"/>
    </row>
    <row r="230">
      <c r="A230" s="12" t="n"/>
      <c r="B230" s="17" t="n"/>
      <c r="C230" s="12" t="n"/>
      <c r="D230" s="12" t="n"/>
      <c r="E230" s="12" t="n"/>
      <c r="F230" s="12" t="n"/>
      <c r="G230" s="12" t="n"/>
      <c r="H230" s="12" t="n"/>
      <c r="I230" s="14" t="n"/>
      <c r="J230" s="14" t="n"/>
      <c r="K230" s="12" t="n"/>
      <c r="L230" s="12" t="n"/>
    </row>
    <row r="231">
      <c r="A231" s="12" t="n"/>
      <c r="B231" s="17" t="n"/>
      <c r="C231" s="12" t="n"/>
      <c r="D231" s="12" t="n"/>
      <c r="E231" s="12" t="n"/>
      <c r="F231" s="12" t="n"/>
      <c r="G231" s="12" t="n"/>
      <c r="H231" s="12" t="n"/>
      <c r="I231" s="14" t="n"/>
      <c r="J231" s="14" t="n"/>
      <c r="K231" s="12" t="n"/>
      <c r="L231" s="12" t="n"/>
    </row>
    <row r="232">
      <c r="A232" s="12" t="n"/>
      <c r="B232" s="17" t="n"/>
      <c r="C232" s="12" t="n"/>
      <c r="D232" s="12" t="n"/>
      <c r="E232" s="12" t="n"/>
      <c r="F232" s="12" t="n"/>
      <c r="G232" s="12" t="n"/>
      <c r="H232" s="12" t="n"/>
      <c r="I232" s="14" t="n"/>
      <c r="J232" s="14" t="n"/>
      <c r="K232" s="12" t="n"/>
      <c r="L232" s="12" t="n"/>
    </row>
    <row r="233">
      <c r="A233" s="12" t="n"/>
      <c r="B233" s="17" t="n"/>
      <c r="C233" s="12" t="n"/>
      <c r="D233" s="12" t="n"/>
      <c r="E233" s="12" t="n"/>
      <c r="F233" s="12" t="n"/>
      <c r="G233" s="12" t="n"/>
      <c r="H233" s="12" t="n"/>
      <c r="I233" s="14" t="n"/>
      <c r="J233" s="14" t="n"/>
      <c r="K233" s="12" t="n"/>
      <c r="L233" s="12" t="n"/>
    </row>
    <row r="234">
      <c r="A234" s="12" t="n"/>
      <c r="B234" s="17" t="n"/>
      <c r="C234" s="12" t="n"/>
      <c r="D234" s="12" t="n"/>
      <c r="E234" s="12" t="n"/>
      <c r="F234" s="12" t="n"/>
      <c r="G234" s="12" t="n"/>
      <c r="H234" s="12" t="n"/>
      <c r="I234" s="14" t="n"/>
      <c r="J234" s="14" t="n"/>
      <c r="K234" s="12" t="n"/>
      <c r="L234" s="12" t="n"/>
    </row>
    <row r="235">
      <c r="A235" s="12" t="n"/>
      <c r="B235" s="17" t="n"/>
      <c r="C235" s="12" t="n"/>
      <c r="D235" s="12" t="n"/>
      <c r="E235" s="12" t="n"/>
      <c r="F235" s="12" t="n"/>
      <c r="G235" s="12" t="n"/>
      <c r="H235" s="12" t="n"/>
      <c r="I235" s="14" t="n"/>
      <c r="J235" s="14" t="n"/>
      <c r="K235" s="12" t="n"/>
      <c r="L235" s="12" t="n"/>
    </row>
    <row r="236">
      <c r="A236" s="12" t="n"/>
      <c r="B236" s="17" t="n"/>
      <c r="C236" s="12" t="n"/>
      <c r="D236" s="12" t="n"/>
      <c r="E236" s="12" t="n"/>
      <c r="F236" s="12" t="n"/>
      <c r="G236" s="12" t="n"/>
      <c r="H236" s="12" t="n"/>
      <c r="I236" s="14" t="n"/>
      <c r="J236" s="14" t="n"/>
      <c r="K236" s="12" t="n"/>
      <c r="L236" s="12" t="n"/>
    </row>
    <row r="237">
      <c r="A237" s="12" t="n"/>
      <c r="B237" s="17" t="n"/>
      <c r="C237" s="12" t="n"/>
      <c r="D237" s="12" t="n"/>
      <c r="E237" s="12" t="n"/>
      <c r="F237" s="12" t="n"/>
      <c r="G237" s="12" t="n"/>
      <c r="H237" s="12" t="n"/>
      <c r="I237" s="14" t="n"/>
      <c r="J237" s="14" t="n"/>
      <c r="K237" s="12" t="n"/>
      <c r="L237" s="12" t="n"/>
    </row>
    <row r="238">
      <c r="A238" s="12" t="n"/>
      <c r="B238" s="17" t="n"/>
      <c r="C238" s="12" t="n"/>
      <c r="D238" s="12" t="n"/>
      <c r="E238" s="12" t="n"/>
      <c r="F238" s="12" t="n"/>
      <c r="G238" s="12" t="n"/>
      <c r="H238" s="12" t="n"/>
      <c r="I238" s="14" t="n"/>
      <c r="J238" s="14" t="n"/>
      <c r="K238" s="12" t="n"/>
      <c r="L238" s="12" t="n"/>
    </row>
    <row r="239">
      <c r="A239" s="12" t="n"/>
      <c r="B239" s="17" t="n"/>
      <c r="C239" s="12" t="n"/>
      <c r="D239" s="12" t="n"/>
      <c r="E239" s="12" t="n"/>
      <c r="F239" s="12" t="n"/>
      <c r="G239" s="12" t="n"/>
      <c r="H239" s="12" t="n"/>
      <c r="I239" s="14" t="n"/>
      <c r="J239" s="14" t="n"/>
      <c r="K239" s="12" t="n"/>
      <c r="L239" s="12" t="n"/>
    </row>
    <row r="240">
      <c r="A240" s="12" t="n"/>
      <c r="B240" s="17" t="n"/>
      <c r="C240" s="12" t="n"/>
      <c r="D240" s="12" t="n"/>
      <c r="E240" s="12" t="n"/>
      <c r="F240" s="12" t="n"/>
      <c r="G240" s="12" t="n"/>
      <c r="H240" s="12" t="n"/>
      <c r="I240" s="14" t="n"/>
      <c r="J240" s="14" t="n"/>
      <c r="K240" s="12" t="n"/>
      <c r="L240" s="12" t="n"/>
    </row>
    <row r="241">
      <c r="A241" s="12" t="n"/>
      <c r="B241" s="17" t="n"/>
      <c r="C241" s="12" t="n"/>
      <c r="D241" s="12" t="n"/>
      <c r="E241" s="12" t="n"/>
      <c r="F241" s="12" t="n"/>
      <c r="G241" s="12" t="n"/>
      <c r="H241" s="12" t="n"/>
      <c r="I241" s="14" t="n"/>
      <c r="J241" s="14" t="n"/>
      <c r="K241" s="12" t="n"/>
      <c r="L241" s="12" t="n"/>
    </row>
    <row r="242">
      <c r="A242" s="12" t="n"/>
      <c r="B242" s="17" t="n"/>
      <c r="C242" s="12" t="n"/>
      <c r="D242" s="12" t="n"/>
      <c r="E242" s="12" t="n"/>
      <c r="F242" s="12" t="n"/>
      <c r="G242" s="12" t="n"/>
      <c r="H242" s="12" t="n"/>
      <c r="I242" s="14" t="n"/>
      <c r="J242" s="14" t="n"/>
      <c r="K242" s="12" t="n"/>
      <c r="L242" s="12" t="n"/>
    </row>
    <row r="243">
      <c r="A243" s="12" t="n"/>
      <c r="B243" s="17" t="n"/>
      <c r="C243" s="12" t="n"/>
      <c r="D243" s="12" t="n"/>
      <c r="E243" s="12" t="n"/>
      <c r="F243" s="12" t="n"/>
      <c r="G243" s="12" t="n"/>
      <c r="H243" s="12" t="n"/>
      <c r="I243" s="14" t="n"/>
      <c r="J243" s="14" t="n"/>
      <c r="K243" s="12" t="n"/>
      <c r="L243" s="12" t="n"/>
    </row>
    <row r="244">
      <c r="A244" s="12" t="n"/>
      <c r="B244" s="17" t="n"/>
      <c r="C244" s="12" t="n"/>
      <c r="D244" s="12" t="n"/>
      <c r="E244" s="12" t="n"/>
      <c r="F244" s="12" t="n"/>
      <c r="G244" s="12" t="n"/>
      <c r="H244" s="12" t="n"/>
      <c r="I244" s="14" t="n"/>
      <c r="J244" s="14" t="n"/>
      <c r="K244" s="12" t="n"/>
      <c r="L244" s="12" t="n"/>
    </row>
    <row r="245">
      <c r="A245" s="12" t="n"/>
      <c r="B245" s="17" t="n"/>
      <c r="C245" s="12" t="n"/>
      <c r="D245" s="12" t="n"/>
      <c r="E245" s="12" t="n"/>
      <c r="F245" s="12" t="n"/>
      <c r="G245" s="12" t="n"/>
      <c r="H245" s="12" t="n"/>
      <c r="I245" s="14" t="n"/>
      <c r="J245" s="14" t="n"/>
      <c r="K245" s="12" t="n"/>
      <c r="L245" s="12" t="n"/>
    </row>
    <row r="246">
      <c r="A246" s="12" t="n"/>
      <c r="B246" s="17" t="n"/>
      <c r="C246" s="12" t="n"/>
      <c r="D246" s="12" t="n"/>
      <c r="E246" s="12" t="n"/>
      <c r="F246" s="12" t="n"/>
      <c r="G246" s="12" t="n"/>
      <c r="H246" s="12" t="n"/>
      <c r="I246" s="14" t="n"/>
      <c r="J246" s="14" t="n"/>
      <c r="K246" s="12" t="n"/>
      <c r="L246" s="12" t="n"/>
    </row>
    <row r="247">
      <c r="A247" s="12" t="n"/>
      <c r="B247" s="17" t="n"/>
      <c r="C247" s="12" t="n"/>
      <c r="D247" s="12" t="n"/>
      <c r="E247" s="12" t="n"/>
      <c r="F247" s="12" t="n"/>
      <c r="G247" s="12" t="n"/>
      <c r="H247" s="12" t="n"/>
      <c r="I247" s="14" t="n"/>
      <c r="J247" s="14" t="n"/>
      <c r="K247" s="12" t="n"/>
      <c r="L247" s="12" t="n"/>
    </row>
    <row r="248">
      <c r="A248" s="12" t="n"/>
      <c r="B248" s="17" t="n"/>
      <c r="C248" s="12" t="n"/>
      <c r="D248" s="12" t="n"/>
      <c r="E248" s="12" t="n"/>
      <c r="F248" s="12" t="n"/>
      <c r="G248" s="12" t="n"/>
      <c r="H248" s="12" t="n"/>
      <c r="I248" s="14" t="n"/>
      <c r="J248" s="14" t="n"/>
      <c r="K248" s="12" t="n"/>
      <c r="L248" s="12" t="n"/>
    </row>
    <row r="249">
      <c r="A249" s="12" t="n"/>
      <c r="B249" s="17" t="n"/>
      <c r="C249" s="12" t="n"/>
      <c r="D249" s="12" t="n"/>
      <c r="E249" s="12" t="n"/>
      <c r="F249" s="12" t="n"/>
      <c r="G249" s="12" t="n"/>
      <c r="H249" s="12" t="n"/>
      <c r="I249" s="14" t="n"/>
      <c r="J249" s="14" t="n"/>
      <c r="K249" s="12" t="n"/>
      <c r="L249" s="12" t="n"/>
    </row>
    <row r="250">
      <c r="A250" s="12" t="n"/>
      <c r="B250" s="17" t="n"/>
      <c r="C250" s="12" t="n"/>
      <c r="D250" s="12" t="n"/>
      <c r="E250" s="12" t="n"/>
      <c r="F250" s="12" t="n"/>
      <c r="G250" s="12" t="n"/>
      <c r="H250" s="12" t="n"/>
      <c r="I250" s="14" t="n"/>
      <c r="J250" s="14" t="n"/>
      <c r="K250" s="12" t="n"/>
      <c r="L250" s="12" t="n"/>
    </row>
    <row r="251">
      <c r="A251" s="12" t="n"/>
      <c r="B251" s="17" t="n"/>
      <c r="C251" s="12" t="n"/>
      <c r="D251" s="12" t="n"/>
      <c r="E251" s="12" t="n"/>
      <c r="F251" s="12" t="n"/>
      <c r="G251" s="12" t="n"/>
      <c r="H251" s="12" t="n"/>
      <c r="I251" s="14" t="n"/>
      <c r="J251" s="14" t="n"/>
      <c r="K251" s="12" t="n"/>
      <c r="L251" s="12" t="n"/>
    </row>
    <row r="252">
      <c r="A252" s="12" t="n"/>
      <c r="B252" s="17" t="n"/>
      <c r="C252" s="12" t="n"/>
      <c r="D252" s="12" t="n"/>
      <c r="E252" s="12" t="n"/>
      <c r="F252" s="12" t="n"/>
      <c r="G252" s="12" t="n"/>
      <c r="H252" s="12" t="n"/>
      <c r="I252" s="14" t="n"/>
      <c r="J252" s="14" t="n"/>
      <c r="K252" s="12" t="n"/>
      <c r="L252" s="12" t="n"/>
    </row>
    <row r="253">
      <c r="A253" s="12" t="n"/>
      <c r="B253" s="17" t="n"/>
      <c r="C253" s="12" t="n"/>
      <c r="D253" s="12" t="n"/>
      <c r="E253" s="12" t="n"/>
      <c r="F253" s="12" t="n"/>
      <c r="G253" s="12" t="n"/>
      <c r="H253" s="12" t="n"/>
      <c r="I253" s="14" t="n"/>
      <c r="J253" s="14" t="n"/>
      <c r="K253" s="12" t="n"/>
      <c r="L253" s="12" t="n"/>
    </row>
    <row r="254">
      <c r="A254" s="12" t="n"/>
      <c r="B254" s="17" t="n"/>
      <c r="C254" s="12" t="n"/>
      <c r="D254" s="12" t="n"/>
      <c r="E254" s="12" t="n"/>
      <c r="F254" s="12" t="n"/>
      <c r="G254" s="12" t="n"/>
      <c r="H254" s="12" t="n"/>
      <c r="I254" s="14" t="n"/>
      <c r="J254" s="14" t="n"/>
      <c r="K254" s="12" t="n"/>
      <c r="L254" s="12" t="n"/>
    </row>
    <row r="255">
      <c r="A255" s="12" t="n"/>
      <c r="B255" s="17" t="n"/>
      <c r="C255" s="12" t="n"/>
      <c r="D255" s="12" t="n"/>
      <c r="E255" s="12" t="n"/>
      <c r="F255" s="12" t="n"/>
      <c r="G255" s="12" t="n"/>
      <c r="H255" s="12" t="n"/>
      <c r="I255" s="14" t="n"/>
      <c r="J255" s="14" t="n"/>
      <c r="K255" s="12" t="n"/>
      <c r="L255" s="12" t="n"/>
    </row>
    <row r="256">
      <c r="A256" s="12" t="n"/>
      <c r="B256" s="17" t="n"/>
      <c r="C256" s="12" t="n"/>
      <c r="D256" s="12" t="n"/>
      <c r="E256" s="12" t="n"/>
      <c r="F256" s="12" t="n"/>
      <c r="G256" s="12" t="n"/>
      <c r="H256" s="12" t="n"/>
      <c r="I256" s="14" t="n"/>
      <c r="J256" s="14" t="n"/>
      <c r="K256" s="12" t="n"/>
      <c r="L256" s="12" t="n"/>
    </row>
    <row r="257">
      <c r="A257" s="12" t="n"/>
      <c r="B257" s="17" t="n"/>
      <c r="C257" s="12" t="n"/>
      <c r="D257" s="12" t="n"/>
      <c r="E257" s="12" t="n"/>
      <c r="F257" s="12" t="n"/>
      <c r="G257" s="12" t="n"/>
      <c r="H257" s="12" t="n"/>
      <c r="I257" s="14" t="n"/>
      <c r="J257" s="14" t="n"/>
      <c r="K257" s="12" t="n"/>
      <c r="L257" s="12" t="n"/>
    </row>
    <row r="258">
      <c r="A258" s="12" t="n"/>
      <c r="B258" s="17" t="n"/>
      <c r="C258" s="12" t="n"/>
      <c r="D258" s="12" t="n"/>
      <c r="E258" s="12" t="n"/>
      <c r="F258" s="12" t="n"/>
      <c r="G258" s="12" t="n"/>
      <c r="H258" s="12" t="n"/>
      <c r="I258" s="14" t="n"/>
      <c r="J258" s="14" t="n"/>
      <c r="K258" s="12" t="n"/>
      <c r="L258" s="12" t="n"/>
    </row>
    <row r="259">
      <c r="A259" s="12" t="n"/>
      <c r="B259" s="17" t="n"/>
      <c r="C259" s="12" t="n"/>
      <c r="D259" s="12" t="n"/>
      <c r="E259" s="12" t="n"/>
      <c r="F259" s="12" t="n"/>
      <c r="G259" s="12" t="n"/>
      <c r="H259" s="12" t="n"/>
      <c r="I259" s="14" t="n"/>
      <c r="J259" s="14" t="n"/>
      <c r="K259" s="12" t="n"/>
      <c r="L259" s="12" t="n"/>
    </row>
    <row r="260">
      <c r="A260" s="12" t="n"/>
      <c r="B260" s="17" t="n"/>
      <c r="C260" s="12" t="n"/>
      <c r="D260" s="12" t="n"/>
      <c r="E260" s="12" t="n"/>
      <c r="F260" s="12" t="n"/>
      <c r="G260" s="12" t="n"/>
      <c r="H260" s="12" t="n"/>
      <c r="I260" s="14" t="n"/>
      <c r="J260" s="14" t="n"/>
      <c r="K260" s="12" t="n"/>
      <c r="L260" s="12" t="n"/>
    </row>
    <row r="261">
      <c r="A261" s="12" t="n"/>
      <c r="B261" s="17" t="n"/>
      <c r="C261" s="12" t="n"/>
      <c r="D261" s="12" t="n"/>
      <c r="E261" s="12" t="n"/>
      <c r="F261" s="12" t="n"/>
      <c r="G261" s="12" t="n"/>
      <c r="H261" s="12" t="n"/>
      <c r="I261" s="14" t="n"/>
      <c r="J261" s="14" t="n"/>
      <c r="K261" s="12" t="n"/>
      <c r="L261" s="12" t="n"/>
    </row>
    <row r="262">
      <c r="A262" s="12" t="n"/>
      <c r="B262" s="17" t="n"/>
      <c r="C262" s="12" t="n"/>
      <c r="D262" s="12" t="n"/>
      <c r="E262" s="12" t="n"/>
      <c r="F262" s="12" t="n"/>
      <c r="G262" s="12" t="n"/>
      <c r="H262" s="12" t="n"/>
      <c r="I262" s="14" t="n"/>
      <c r="J262" s="14" t="n"/>
      <c r="K262" s="12" t="n"/>
      <c r="L262" s="12" t="n"/>
    </row>
    <row r="263">
      <c r="A263" s="12" t="n"/>
      <c r="B263" s="17" t="n"/>
      <c r="C263" s="12" t="n"/>
      <c r="D263" s="12" t="n"/>
      <c r="E263" s="12" t="n"/>
      <c r="F263" s="12" t="n"/>
      <c r="G263" s="12" t="n"/>
      <c r="H263" s="12" t="n"/>
      <c r="I263" s="14" t="n"/>
      <c r="J263" s="14" t="n"/>
      <c r="K263" s="12" t="n"/>
      <c r="L263" s="12" t="n"/>
    </row>
    <row r="264">
      <c r="A264" s="12" t="n"/>
      <c r="B264" s="17" t="n"/>
      <c r="C264" s="12" t="n"/>
      <c r="D264" s="12" t="n"/>
      <c r="E264" s="12" t="n"/>
      <c r="F264" s="12" t="n"/>
      <c r="G264" s="12" t="n"/>
      <c r="H264" s="12" t="n"/>
      <c r="I264" s="14" t="n"/>
      <c r="J264" s="14" t="n"/>
      <c r="K264" s="12" t="n"/>
      <c r="L264" s="12" t="n"/>
    </row>
    <row r="265">
      <c r="A265" s="12" t="n"/>
      <c r="B265" s="17" t="n"/>
      <c r="C265" s="12" t="n"/>
      <c r="D265" s="12" t="n"/>
      <c r="E265" s="12" t="n"/>
      <c r="F265" s="12" t="n"/>
      <c r="G265" s="12" t="n"/>
      <c r="H265" s="12" t="n"/>
      <c r="I265" s="14" t="n"/>
      <c r="J265" s="14" t="n"/>
      <c r="K265" s="12" t="n"/>
      <c r="L265" s="12" t="n"/>
    </row>
    <row r="266">
      <c r="A266" s="12" t="n"/>
      <c r="B266" s="17" t="n"/>
      <c r="C266" s="12" t="n"/>
      <c r="D266" s="12" t="n"/>
      <c r="E266" s="12" t="n"/>
      <c r="F266" s="12" t="n"/>
      <c r="G266" s="12" t="n"/>
      <c r="H266" s="12" t="n"/>
      <c r="I266" s="14" t="n"/>
      <c r="J266" s="14" t="n"/>
      <c r="K266" s="12" t="n"/>
      <c r="L266" s="12" t="n"/>
    </row>
    <row r="267">
      <c r="A267" s="12" t="n"/>
      <c r="B267" s="17" t="n"/>
      <c r="C267" s="12" t="n"/>
      <c r="D267" s="12" t="n"/>
      <c r="E267" s="12" t="n"/>
      <c r="F267" s="12" t="n"/>
      <c r="G267" s="12" t="n"/>
      <c r="H267" s="12" t="n"/>
      <c r="I267" s="14" t="n"/>
      <c r="J267" s="14" t="n"/>
      <c r="K267" s="12" t="n"/>
      <c r="L267" s="12" t="n"/>
    </row>
    <row r="268">
      <c r="A268" s="12" t="n"/>
      <c r="B268" s="17" t="n"/>
      <c r="C268" s="12" t="n"/>
      <c r="D268" s="12" t="n"/>
      <c r="E268" s="12" t="n"/>
      <c r="F268" s="12" t="n"/>
      <c r="G268" s="12" t="n"/>
      <c r="H268" s="12" t="n"/>
      <c r="I268" s="14" t="n"/>
      <c r="J268" s="14" t="n"/>
      <c r="K268" s="12" t="n"/>
      <c r="L268" s="12" t="n"/>
    </row>
    <row r="269">
      <c r="A269" s="12" t="n"/>
      <c r="B269" s="17" t="n"/>
      <c r="C269" s="12" t="n"/>
      <c r="D269" s="12" t="n"/>
      <c r="E269" s="12" t="n"/>
      <c r="F269" s="12" t="n"/>
      <c r="G269" s="12" t="n"/>
      <c r="H269" s="12" t="n"/>
      <c r="I269" s="14" t="n"/>
      <c r="J269" s="14" t="n"/>
      <c r="K269" s="12" t="n"/>
      <c r="L269" s="12" t="n"/>
    </row>
    <row r="270">
      <c r="A270" s="12" t="n"/>
      <c r="B270" s="17" t="n"/>
      <c r="C270" s="12" t="n"/>
      <c r="D270" s="12" t="n"/>
      <c r="E270" s="12" t="n"/>
      <c r="F270" s="12" t="n"/>
      <c r="G270" s="12" t="n"/>
      <c r="H270" s="12" t="n"/>
      <c r="I270" s="14" t="n"/>
      <c r="J270" s="14" t="n"/>
      <c r="K270" s="12" t="n"/>
      <c r="L270" s="12" t="n"/>
    </row>
    <row r="271">
      <c r="A271" s="12" t="n"/>
      <c r="B271" s="17" t="n"/>
      <c r="C271" s="12" t="n"/>
      <c r="D271" s="12" t="n"/>
      <c r="E271" s="12" t="n"/>
      <c r="F271" s="12" t="n"/>
      <c r="G271" s="12" t="n"/>
      <c r="H271" s="12" t="n"/>
      <c r="I271" s="14" t="n"/>
      <c r="J271" s="14" t="n"/>
      <c r="K271" s="12" t="n"/>
      <c r="L271" s="12" t="n"/>
    </row>
    <row r="272">
      <c r="A272" s="12" t="n"/>
      <c r="B272" s="17" t="n"/>
      <c r="C272" s="12" t="n"/>
      <c r="D272" s="12" t="n"/>
      <c r="E272" s="12" t="n"/>
      <c r="F272" s="12" t="n"/>
      <c r="G272" s="12" t="n"/>
      <c r="H272" s="12" t="n"/>
      <c r="I272" s="14" t="n"/>
      <c r="J272" s="14" t="n"/>
      <c r="K272" s="12" t="n"/>
      <c r="L272" s="12" t="n"/>
    </row>
    <row r="273">
      <c r="A273" s="12" t="n"/>
      <c r="B273" s="17" t="n"/>
      <c r="C273" s="12" t="n"/>
      <c r="D273" s="12" t="n"/>
      <c r="E273" s="12" t="n"/>
      <c r="F273" s="12" t="n"/>
      <c r="G273" s="12" t="n"/>
      <c r="H273" s="12" t="n"/>
      <c r="I273" s="14" t="n"/>
      <c r="J273" s="14" t="n"/>
      <c r="K273" s="12" t="n"/>
      <c r="L273" s="12" t="n"/>
    </row>
    <row r="274">
      <c r="A274" s="12" t="n"/>
      <c r="B274" s="17" t="n"/>
      <c r="C274" s="12" t="n"/>
      <c r="D274" s="12" t="n"/>
      <c r="E274" s="12" t="n"/>
      <c r="F274" s="12" t="n"/>
      <c r="G274" s="12" t="n"/>
      <c r="H274" s="12" t="n"/>
      <c r="I274" s="14" t="n"/>
      <c r="J274" s="14" t="n"/>
      <c r="K274" s="12" t="n"/>
      <c r="L274" s="12" t="n"/>
    </row>
    <row r="275">
      <c r="A275" s="12" t="n"/>
      <c r="B275" s="17" t="n"/>
      <c r="C275" s="12" t="n"/>
      <c r="D275" s="12" t="n"/>
      <c r="E275" s="12" t="n"/>
      <c r="F275" s="12" t="n"/>
      <c r="G275" s="12" t="n"/>
      <c r="H275" s="12" t="n"/>
      <c r="I275" s="14" t="n"/>
      <c r="J275" s="14" t="n"/>
      <c r="K275" s="12" t="n"/>
      <c r="L275" s="12" t="n"/>
    </row>
    <row r="276">
      <c r="A276" s="12" t="n"/>
      <c r="B276" s="17" t="n"/>
      <c r="C276" s="12" t="n"/>
      <c r="D276" s="12" t="n"/>
      <c r="E276" s="12" t="n"/>
      <c r="F276" s="12" t="n"/>
      <c r="G276" s="12" t="n"/>
      <c r="H276" s="12" t="n"/>
      <c r="I276" s="14" t="n"/>
      <c r="J276" s="14" t="n"/>
      <c r="K276" s="12" t="n"/>
      <c r="L276" s="12" t="n"/>
    </row>
    <row r="277">
      <c r="A277" s="12" t="n"/>
      <c r="B277" s="17" t="n"/>
      <c r="C277" s="12" t="n"/>
      <c r="D277" s="12" t="n"/>
      <c r="E277" s="12" t="n"/>
      <c r="F277" s="12" t="n"/>
      <c r="G277" s="12" t="n"/>
      <c r="H277" s="12" t="n"/>
      <c r="I277" s="14" t="n"/>
      <c r="J277" s="14" t="n"/>
      <c r="K277" s="12" t="n"/>
      <c r="L277" s="12" t="n"/>
    </row>
    <row r="278">
      <c r="A278" s="12" t="n"/>
      <c r="B278" s="17" t="n"/>
      <c r="C278" s="12" t="n"/>
      <c r="D278" s="12" t="n"/>
      <c r="E278" s="12" t="n"/>
      <c r="F278" s="12" t="n"/>
      <c r="G278" s="12" t="n"/>
      <c r="H278" s="12" t="n"/>
      <c r="I278" s="14" t="n"/>
      <c r="J278" s="14" t="n"/>
      <c r="K278" s="12" t="n"/>
      <c r="L278" s="12" t="n"/>
    </row>
    <row r="279">
      <c r="A279" s="12" t="n"/>
      <c r="B279" s="17" t="n"/>
      <c r="C279" s="12" t="n"/>
      <c r="D279" s="12" t="n"/>
      <c r="E279" s="12" t="n"/>
      <c r="F279" s="12" t="n"/>
      <c r="G279" s="12" t="n"/>
      <c r="H279" s="12" t="n"/>
      <c r="I279" s="14" t="n"/>
      <c r="J279" s="14" t="n"/>
      <c r="K279" s="12" t="n"/>
      <c r="L279" s="12" t="n"/>
    </row>
    <row r="280">
      <c r="A280" s="12" t="n"/>
      <c r="B280" s="17" t="n"/>
      <c r="C280" s="12" t="n"/>
      <c r="D280" s="12" t="n"/>
      <c r="E280" s="12" t="n"/>
      <c r="F280" s="12" t="n"/>
      <c r="G280" s="12" t="n"/>
      <c r="H280" s="12" t="n"/>
      <c r="I280" s="14" t="n"/>
      <c r="J280" s="14" t="n"/>
      <c r="K280" s="12" t="n"/>
      <c r="L280" s="12" t="n"/>
    </row>
    <row r="281">
      <c r="A281" s="12" t="n"/>
      <c r="B281" s="17" t="n"/>
      <c r="C281" s="12" t="n"/>
      <c r="D281" s="12" t="n"/>
      <c r="E281" s="12" t="n"/>
      <c r="F281" s="12" t="n"/>
      <c r="G281" s="12" t="n"/>
      <c r="H281" s="12" t="n"/>
      <c r="I281" s="14" t="n"/>
      <c r="J281" s="14" t="n"/>
      <c r="K281" s="12" t="n"/>
      <c r="L281" s="12" t="n"/>
    </row>
    <row r="282">
      <c r="A282" s="12" t="n"/>
      <c r="B282" s="17" t="n"/>
      <c r="C282" s="12" t="n"/>
      <c r="D282" s="12" t="n"/>
      <c r="E282" s="12" t="n"/>
      <c r="F282" s="12" t="n"/>
      <c r="G282" s="12" t="n"/>
      <c r="H282" s="12" t="n"/>
      <c r="I282" s="14" t="n"/>
      <c r="J282" s="14" t="n"/>
      <c r="K282" s="12" t="n"/>
      <c r="L282" s="12" t="n"/>
    </row>
    <row r="283">
      <c r="A283" s="12" t="n"/>
      <c r="B283" s="17" t="n"/>
      <c r="C283" s="12" t="n"/>
      <c r="D283" s="12" t="n"/>
      <c r="E283" s="12" t="n"/>
      <c r="F283" s="12" t="n"/>
      <c r="G283" s="12" t="n"/>
      <c r="H283" s="12" t="n"/>
      <c r="I283" s="14" t="n"/>
      <c r="J283" s="14" t="n"/>
      <c r="K283" s="12" t="n"/>
      <c r="L283" s="12" t="n"/>
    </row>
    <row r="284">
      <c r="A284" s="12" t="n"/>
      <c r="B284" s="17" t="n"/>
      <c r="C284" s="12" t="n"/>
      <c r="D284" s="12" t="n"/>
      <c r="E284" s="12" t="n"/>
      <c r="F284" s="12" t="n"/>
      <c r="G284" s="12" t="n"/>
      <c r="H284" s="12" t="n"/>
      <c r="I284" s="14" t="n"/>
      <c r="J284" s="14" t="n"/>
      <c r="K284" s="12" t="n"/>
      <c r="L284" s="12" t="n"/>
    </row>
    <row r="285">
      <c r="A285" s="12" t="n"/>
      <c r="B285" s="17" t="n"/>
      <c r="C285" s="12" t="n"/>
      <c r="D285" s="12" t="n"/>
      <c r="E285" s="12" t="n"/>
      <c r="F285" s="12" t="n"/>
      <c r="G285" s="12" t="n"/>
      <c r="H285" s="12" t="n"/>
      <c r="I285" s="14" t="n"/>
      <c r="J285" s="14" t="n"/>
      <c r="K285" s="12" t="n"/>
      <c r="L285" s="12" t="n"/>
    </row>
    <row r="286">
      <c r="A286" s="12" t="n"/>
      <c r="B286" s="17" t="n"/>
      <c r="C286" s="12" t="n"/>
      <c r="D286" s="12" t="n"/>
      <c r="E286" s="12" t="n"/>
      <c r="F286" s="12" t="n"/>
      <c r="G286" s="12" t="n"/>
      <c r="H286" s="12" t="n"/>
      <c r="I286" s="14" t="n"/>
      <c r="J286" s="14" t="n"/>
      <c r="K286" s="12" t="n"/>
      <c r="L286" s="12" t="n"/>
    </row>
    <row r="287">
      <c r="A287" s="12" t="n"/>
      <c r="B287" s="17" t="n"/>
      <c r="C287" s="12" t="n"/>
      <c r="D287" s="12" t="n"/>
      <c r="E287" s="12" t="n"/>
      <c r="F287" s="12" t="n"/>
      <c r="G287" s="12" t="n"/>
      <c r="H287" s="12" t="n"/>
      <c r="I287" s="14" t="n"/>
      <c r="J287" s="14" t="n"/>
      <c r="K287" s="12" t="n"/>
      <c r="L287" s="12" t="n"/>
    </row>
    <row r="288">
      <c r="A288" s="12" t="n"/>
      <c r="B288" s="17" t="n"/>
      <c r="C288" s="12" t="n"/>
      <c r="D288" s="12" t="n"/>
      <c r="E288" s="12" t="n"/>
      <c r="F288" s="12" t="n"/>
      <c r="G288" s="12" t="n"/>
      <c r="H288" s="12" t="n"/>
      <c r="I288" s="14" t="n"/>
      <c r="J288" s="14" t="n"/>
      <c r="K288" s="12" t="n"/>
      <c r="L288" s="12" t="n"/>
    </row>
    <row r="289">
      <c r="A289" s="12" t="n"/>
      <c r="B289" s="17" t="n"/>
      <c r="C289" s="12" t="n"/>
      <c r="D289" s="12" t="n"/>
      <c r="E289" s="12" t="n"/>
      <c r="F289" s="12" t="n"/>
      <c r="G289" s="12" t="n"/>
      <c r="H289" s="12" t="n"/>
      <c r="I289" s="14" t="n"/>
      <c r="J289" s="14" t="n"/>
      <c r="K289" s="12" t="n"/>
      <c r="L289" s="12" t="n"/>
    </row>
    <row r="290">
      <c r="A290" s="12" t="n"/>
      <c r="B290" s="17" t="n"/>
      <c r="C290" s="12" t="n"/>
      <c r="D290" s="12" t="n"/>
      <c r="E290" s="12" t="n"/>
      <c r="F290" s="12" t="n"/>
      <c r="G290" s="12" t="n"/>
      <c r="H290" s="12" t="n"/>
      <c r="I290" s="14" t="n"/>
      <c r="J290" s="14" t="n"/>
      <c r="K290" s="12" t="n"/>
      <c r="L290" s="12" t="n"/>
    </row>
    <row r="291">
      <c r="A291" s="12" t="n"/>
      <c r="B291" s="17" t="n"/>
      <c r="C291" s="12" t="n"/>
      <c r="D291" s="12" t="n"/>
      <c r="E291" s="12" t="n"/>
      <c r="F291" s="12" t="n"/>
      <c r="G291" s="12" t="n"/>
      <c r="H291" s="12" t="n"/>
      <c r="I291" s="14" t="n"/>
      <c r="J291" s="14" t="n"/>
      <c r="K291" s="12" t="n"/>
      <c r="L291" s="12" t="n"/>
    </row>
    <row r="292">
      <c r="A292" s="12" t="n"/>
      <c r="B292" s="17" t="n"/>
      <c r="C292" s="12" t="n"/>
      <c r="D292" s="12" t="n"/>
      <c r="E292" s="12" t="n"/>
      <c r="F292" s="12" t="n"/>
      <c r="G292" s="12" t="n"/>
      <c r="H292" s="12" t="n"/>
      <c r="I292" s="14" t="n"/>
      <c r="J292" s="14" t="n"/>
      <c r="K292" s="12" t="n"/>
      <c r="L292" s="12" t="n"/>
    </row>
    <row r="293">
      <c r="A293" s="12" t="n"/>
      <c r="B293" s="17" t="n"/>
      <c r="C293" s="12" t="n"/>
      <c r="D293" s="12" t="n"/>
      <c r="E293" s="12" t="n"/>
      <c r="F293" s="12" t="n"/>
      <c r="G293" s="12" t="n"/>
      <c r="H293" s="12" t="n"/>
      <c r="I293" s="14" t="n"/>
      <c r="J293" s="14" t="n"/>
      <c r="K293" s="12" t="n"/>
      <c r="L293" s="12" t="n"/>
    </row>
    <row r="294">
      <c r="A294" s="12" t="n"/>
      <c r="B294" s="17" t="n"/>
      <c r="C294" s="12" t="n"/>
      <c r="D294" s="12" t="n"/>
      <c r="E294" s="12" t="n"/>
      <c r="F294" s="12" t="n"/>
      <c r="G294" s="12" t="n"/>
      <c r="H294" s="12" t="n"/>
      <c r="I294" s="14" t="n"/>
      <c r="J294" s="14" t="n"/>
      <c r="K294" s="12" t="n"/>
      <c r="L294" s="12" t="n"/>
    </row>
    <row r="295">
      <c r="A295" s="12" t="n"/>
      <c r="B295" s="17" t="n"/>
      <c r="C295" s="12" t="n"/>
      <c r="D295" s="12" t="n"/>
      <c r="E295" s="12" t="n"/>
      <c r="F295" s="12" t="n"/>
      <c r="G295" s="12" t="n"/>
      <c r="H295" s="12" t="n"/>
      <c r="I295" s="14" t="n"/>
      <c r="J295" s="14" t="n"/>
      <c r="K295" s="12" t="n"/>
      <c r="L295" s="12" t="n"/>
    </row>
    <row r="296">
      <c r="A296" s="12" t="n"/>
      <c r="B296" s="17" t="n"/>
      <c r="C296" s="12" t="n"/>
      <c r="D296" s="12" t="n"/>
      <c r="E296" s="12" t="n"/>
      <c r="F296" s="12" t="n"/>
      <c r="G296" s="12" t="n"/>
      <c r="H296" s="12" t="n"/>
      <c r="I296" s="14" t="n"/>
      <c r="J296" s="14" t="n"/>
      <c r="K296" s="12" t="n"/>
      <c r="L296" s="12" t="n"/>
    </row>
    <row r="297">
      <c r="A297" s="12" t="n"/>
      <c r="B297" s="17" t="n"/>
      <c r="C297" s="12" t="n"/>
      <c r="D297" s="12" t="n"/>
      <c r="E297" s="12" t="n"/>
      <c r="F297" s="12" t="n"/>
      <c r="G297" s="12" t="n"/>
      <c r="H297" s="12" t="n"/>
      <c r="I297" s="14" t="n"/>
      <c r="J297" s="14" t="n"/>
      <c r="K297" s="12" t="n"/>
      <c r="L297" s="12" t="n"/>
    </row>
    <row r="298">
      <c r="A298" s="12" t="n"/>
      <c r="B298" s="17" t="n"/>
      <c r="C298" s="12" t="n"/>
      <c r="D298" s="12" t="n"/>
      <c r="E298" s="12" t="n"/>
      <c r="F298" s="12" t="n"/>
      <c r="G298" s="12" t="n"/>
      <c r="H298" s="12" t="n"/>
      <c r="I298" s="14" t="n"/>
      <c r="J298" s="14" t="n"/>
      <c r="K298" s="12" t="n"/>
      <c r="L298" s="12" t="n"/>
    </row>
    <row r="299">
      <c r="A299" s="12" t="n"/>
      <c r="B299" s="17" t="n"/>
      <c r="C299" s="12" t="n"/>
      <c r="D299" s="12" t="n"/>
      <c r="E299" s="12" t="n"/>
      <c r="F299" s="12" t="n"/>
      <c r="G299" s="12" t="n"/>
      <c r="H299" s="12" t="n"/>
      <c r="I299" s="14" t="n"/>
      <c r="J299" s="14" t="n"/>
      <c r="K299" s="12" t="n"/>
      <c r="L299" s="12" t="n"/>
    </row>
    <row r="300">
      <c r="A300" s="12" t="n"/>
      <c r="B300" s="17" t="n"/>
      <c r="C300" s="12" t="n"/>
      <c r="D300" s="12" t="n"/>
      <c r="E300" s="12" t="n"/>
      <c r="F300" s="12" t="n"/>
      <c r="G300" s="12" t="n"/>
      <c r="H300" s="12" t="n"/>
      <c r="I300" s="14" t="n"/>
      <c r="J300" s="14" t="n"/>
      <c r="K300" s="12" t="n"/>
      <c r="L300" s="12" t="n"/>
    </row>
    <row r="301">
      <c r="A301" s="12" t="n"/>
      <c r="B301" s="17" t="n"/>
      <c r="C301" s="12" t="n"/>
      <c r="D301" s="12" t="n"/>
      <c r="E301" s="12" t="n"/>
      <c r="F301" s="12" t="n"/>
      <c r="G301" s="12" t="n"/>
      <c r="H301" s="12" t="n"/>
      <c r="I301" s="14" t="n"/>
      <c r="J301" s="14" t="n"/>
      <c r="K301" s="12" t="n"/>
      <c r="L301" s="12" t="n"/>
    </row>
    <row r="302">
      <c r="A302" s="12" t="n"/>
      <c r="B302" s="17" t="n"/>
      <c r="C302" s="12" t="n"/>
      <c r="D302" s="12" t="n"/>
      <c r="E302" s="12" t="n"/>
      <c r="F302" s="12" t="n"/>
      <c r="G302" s="12" t="n"/>
      <c r="H302" s="12" t="n"/>
      <c r="I302" s="14" t="n"/>
      <c r="J302" s="14" t="n"/>
      <c r="K302" s="12" t="n"/>
      <c r="L302" s="12" t="n"/>
    </row>
    <row r="303">
      <c r="A303" s="12" t="n"/>
      <c r="B303" s="17" t="n"/>
      <c r="C303" s="12" t="n"/>
      <c r="D303" s="12" t="n"/>
      <c r="E303" s="12" t="n"/>
      <c r="F303" s="12" t="n"/>
      <c r="G303" s="12" t="n"/>
      <c r="H303" s="12" t="n"/>
      <c r="I303" s="14" t="n"/>
      <c r="J303" s="14" t="n"/>
      <c r="K303" s="12" t="n"/>
      <c r="L303" s="12" t="n"/>
    </row>
    <row r="304">
      <c r="A304" s="12" t="n"/>
      <c r="B304" s="17" t="n"/>
      <c r="C304" s="12" t="n"/>
      <c r="D304" s="12" t="n"/>
      <c r="E304" s="12" t="n"/>
      <c r="F304" s="12" t="n"/>
      <c r="G304" s="12" t="n"/>
      <c r="H304" s="12" t="n"/>
      <c r="I304" s="14" t="n"/>
      <c r="J304" s="14" t="n"/>
      <c r="K304" s="12" t="n"/>
      <c r="L304" s="12" t="n"/>
    </row>
    <row r="305">
      <c r="A305" s="12" t="n"/>
      <c r="B305" s="17" t="n"/>
      <c r="C305" s="12" t="n"/>
      <c r="D305" s="12" t="n"/>
      <c r="E305" s="12" t="n"/>
      <c r="F305" s="12" t="n"/>
      <c r="G305" s="12" t="n"/>
      <c r="H305" s="12" t="n"/>
      <c r="I305" s="14" t="n"/>
      <c r="J305" s="14" t="n"/>
      <c r="K305" s="12" t="n"/>
      <c r="L305" s="12" t="n"/>
    </row>
    <row r="306">
      <c r="A306" s="12" t="n"/>
      <c r="B306" s="17" t="n"/>
      <c r="C306" s="12" t="n"/>
      <c r="D306" s="12" t="n"/>
      <c r="E306" s="12" t="n"/>
      <c r="F306" s="12" t="n"/>
      <c r="G306" s="12" t="n"/>
      <c r="H306" s="12" t="n"/>
      <c r="I306" s="14" t="n"/>
      <c r="J306" s="14" t="n"/>
      <c r="K306" s="12" t="n"/>
      <c r="L306" s="12" t="n"/>
    </row>
    <row r="307">
      <c r="A307" s="12" t="n"/>
      <c r="B307" s="17" t="n"/>
      <c r="C307" s="12" t="n"/>
      <c r="D307" s="12" t="n"/>
      <c r="E307" s="12" t="n"/>
      <c r="F307" s="12" t="n"/>
      <c r="G307" s="12" t="n"/>
      <c r="H307" s="12" t="n"/>
      <c r="I307" s="14" t="n"/>
      <c r="J307" s="14" t="n"/>
      <c r="K307" s="12" t="n"/>
      <c r="L307" s="12" t="n"/>
    </row>
    <row r="308">
      <c r="A308" s="12" t="n"/>
      <c r="B308" s="17" t="n"/>
      <c r="C308" s="12" t="n"/>
      <c r="D308" s="12" t="n"/>
      <c r="E308" s="12" t="n"/>
      <c r="F308" s="12" t="n"/>
      <c r="G308" s="12" t="n"/>
      <c r="H308" s="12" t="n"/>
      <c r="I308" s="14" t="n"/>
      <c r="J308" s="14" t="n"/>
      <c r="K308" s="12" t="n"/>
      <c r="L308" s="12" t="n"/>
    </row>
    <row r="309">
      <c r="A309" s="12" t="n"/>
      <c r="B309" s="17" t="n"/>
      <c r="C309" s="12" t="n"/>
      <c r="D309" s="12" t="n"/>
      <c r="E309" s="12" t="n"/>
      <c r="F309" s="12" t="n"/>
      <c r="G309" s="12" t="n"/>
      <c r="H309" s="12" t="n"/>
      <c r="I309" s="14" t="n"/>
      <c r="J309" s="14" t="n"/>
      <c r="K309" s="12" t="n"/>
      <c r="L309" s="12" t="n"/>
    </row>
    <row r="310">
      <c r="A310" s="12" t="n"/>
      <c r="B310" s="17" t="n"/>
      <c r="C310" s="12" t="n"/>
      <c r="D310" s="12" t="n"/>
      <c r="E310" s="12" t="n"/>
      <c r="F310" s="12" t="n"/>
      <c r="G310" s="12" t="n"/>
      <c r="H310" s="12" t="n"/>
      <c r="I310" s="14" t="n"/>
      <c r="J310" s="14" t="n"/>
      <c r="K310" s="12" t="n"/>
      <c r="L310" s="12" t="n"/>
    </row>
    <row r="311">
      <c r="A311" s="12" t="n"/>
      <c r="B311" s="17" t="n"/>
      <c r="C311" s="12" t="n"/>
      <c r="D311" s="12" t="n"/>
      <c r="E311" s="12" t="n"/>
      <c r="F311" s="12" t="n"/>
      <c r="G311" s="12" t="n"/>
      <c r="H311" s="12" t="n"/>
      <c r="I311" s="14" t="n"/>
      <c r="J311" s="14" t="n"/>
      <c r="K311" s="12" t="n"/>
      <c r="L311" s="12" t="n"/>
    </row>
    <row r="312">
      <c r="A312" s="12" t="n"/>
      <c r="B312" s="17" t="n"/>
      <c r="C312" s="12" t="n"/>
      <c r="D312" s="12" t="n"/>
      <c r="E312" s="12" t="n"/>
      <c r="F312" s="12" t="n"/>
      <c r="G312" s="12" t="n"/>
      <c r="H312" s="12" t="n"/>
      <c r="I312" s="14" t="n"/>
      <c r="J312" s="14" t="n"/>
      <c r="K312" s="12" t="n"/>
      <c r="L312" s="12" t="n"/>
    </row>
    <row r="313">
      <c r="A313" s="12" t="n"/>
      <c r="B313" s="17" t="n"/>
      <c r="C313" s="12" t="n"/>
      <c r="D313" s="12" t="n"/>
      <c r="E313" s="12" t="n"/>
      <c r="F313" s="12" t="n"/>
      <c r="G313" s="12" t="n"/>
      <c r="H313" s="12" t="n"/>
      <c r="I313" s="14" t="n"/>
      <c r="J313" s="14" t="n"/>
      <c r="K313" s="12" t="n"/>
      <c r="L313" s="12" t="n"/>
    </row>
    <row r="314">
      <c r="A314" s="12" t="n"/>
      <c r="B314" s="17" t="n"/>
      <c r="C314" s="12" t="n"/>
      <c r="D314" s="12" t="n"/>
      <c r="E314" s="12" t="n"/>
      <c r="F314" s="12" t="n"/>
      <c r="G314" s="12" t="n"/>
      <c r="H314" s="12" t="n"/>
      <c r="I314" s="14" t="n"/>
      <c r="J314" s="14" t="n"/>
      <c r="K314" s="12" t="n"/>
      <c r="L314" s="12" t="n"/>
    </row>
    <row r="315">
      <c r="A315" s="12" t="n"/>
      <c r="B315" s="17" t="n"/>
      <c r="C315" s="12" t="n"/>
      <c r="D315" s="12" t="n"/>
      <c r="E315" s="12" t="n"/>
      <c r="F315" s="12" t="n"/>
      <c r="G315" s="12" t="n"/>
      <c r="H315" s="12" t="n"/>
      <c r="I315" s="14" t="n"/>
      <c r="J315" s="14" t="n"/>
      <c r="K315" s="12" t="n"/>
      <c r="L315" s="12" t="n"/>
    </row>
    <row r="316">
      <c r="A316" s="12" t="n"/>
      <c r="B316" s="17" t="n"/>
      <c r="C316" s="12" t="n"/>
      <c r="D316" s="12" t="n"/>
      <c r="E316" s="12" t="n"/>
      <c r="F316" s="12" t="n"/>
      <c r="G316" s="12" t="n"/>
      <c r="H316" s="12" t="n"/>
      <c r="I316" s="14" t="n"/>
      <c r="J316" s="14" t="n"/>
      <c r="K316" s="12" t="n"/>
      <c r="L316" s="12" t="n"/>
    </row>
    <row r="317">
      <c r="A317" s="12" t="n"/>
      <c r="B317" s="17" t="n"/>
      <c r="C317" s="12" t="n"/>
      <c r="D317" s="12" t="n"/>
      <c r="E317" s="12" t="n"/>
      <c r="F317" s="12" t="n"/>
      <c r="G317" s="12" t="n"/>
      <c r="H317" s="12" t="n"/>
      <c r="I317" s="14" t="n"/>
      <c r="J317" s="14" t="n"/>
      <c r="K317" s="12" t="n"/>
      <c r="L317" s="12" t="n"/>
    </row>
    <row r="318">
      <c r="A318" s="12" t="n"/>
      <c r="B318" s="17" t="n"/>
      <c r="C318" s="12" t="n"/>
      <c r="D318" s="12" t="n"/>
      <c r="E318" s="12" t="n"/>
      <c r="F318" s="12" t="n"/>
      <c r="G318" s="12" t="n"/>
      <c r="H318" s="12" t="n"/>
      <c r="I318" s="14" t="n"/>
      <c r="J318" s="14" t="n"/>
      <c r="K318" s="12" t="n"/>
      <c r="L318" s="12" t="n"/>
    </row>
    <row r="319">
      <c r="A319" s="12" t="n"/>
      <c r="B319" s="17" t="n"/>
      <c r="C319" s="12" t="n"/>
      <c r="D319" s="12" t="n"/>
      <c r="E319" s="12" t="n"/>
      <c r="F319" s="12" t="n"/>
      <c r="G319" s="12" t="n"/>
      <c r="H319" s="12" t="n"/>
      <c r="I319" s="14" t="n"/>
      <c r="J319" s="14" t="n"/>
      <c r="K319" s="12" t="n"/>
      <c r="L319" s="12" t="n"/>
    </row>
    <row r="320">
      <c r="A320" s="12" t="n"/>
      <c r="B320" s="17" t="n"/>
      <c r="C320" s="12" t="n"/>
      <c r="D320" s="12" t="n"/>
      <c r="E320" s="12" t="n"/>
      <c r="F320" s="12" t="n"/>
      <c r="G320" s="12" t="n"/>
      <c r="H320" s="12" t="n"/>
      <c r="I320" s="14" t="n"/>
      <c r="J320" s="14" t="n"/>
      <c r="K320" s="12" t="n"/>
      <c r="L320" s="12" t="n"/>
    </row>
    <row r="321">
      <c r="A321" s="12" t="n"/>
      <c r="B321" s="17" t="n"/>
      <c r="C321" s="12" t="n"/>
      <c r="D321" s="12" t="n"/>
      <c r="E321" s="12" t="n"/>
      <c r="F321" s="12" t="n"/>
      <c r="G321" s="12" t="n"/>
      <c r="H321" s="12" t="n"/>
      <c r="I321" s="14" t="n"/>
      <c r="J321" s="14" t="n"/>
      <c r="K321" s="12" t="n"/>
      <c r="L321" s="12" t="n"/>
    </row>
    <row r="322">
      <c r="A322" s="12" t="n"/>
      <c r="B322" s="17" t="n"/>
      <c r="C322" s="12" t="n"/>
      <c r="D322" s="12" t="n"/>
      <c r="E322" s="12" t="n"/>
      <c r="F322" s="12" t="n"/>
      <c r="G322" s="12" t="n"/>
      <c r="H322" s="12" t="n"/>
      <c r="I322" s="14" t="n"/>
      <c r="J322" s="14" t="n"/>
      <c r="K322" s="12" t="n"/>
      <c r="L322" s="12" t="n"/>
    </row>
    <row r="323">
      <c r="A323" s="12" t="n"/>
      <c r="B323" s="17" t="n"/>
      <c r="C323" s="12" t="n"/>
      <c r="D323" s="12" t="n"/>
      <c r="E323" s="12" t="n"/>
      <c r="F323" s="12" t="n"/>
      <c r="G323" s="12" t="n"/>
      <c r="H323" s="12" t="n"/>
      <c r="I323" s="14" t="n"/>
      <c r="J323" s="14" t="n"/>
      <c r="K323" s="12" t="n"/>
      <c r="L323" s="12" t="n"/>
    </row>
    <row r="324">
      <c r="A324" s="12" t="n"/>
      <c r="B324" s="17" t="n"/>
      <c r="C324" s="12" t="n"/>
      <c r="D324" s="12" t="n"/>
      <c r="E324" s="12" t="n"/>
      <c r="F324" s="12" t="n"/>
      <c r="G324" s="12" t="n"/>
      <c r="H324" s="12" t="n"/>
      <c r="I324" s="14" t="n"/>
      <c r="J324" s="14" t="n"/>
      <c r="K324" s="12" t="n"/>
      <c r="L324" s="12" t="n"/>
    </row>
    <row r="325">
      <c r="A325" s="12" t="n"/>
      <c r="B325" s="17" t="n"/>
      <c r="C325" s="12" t="n"/>
      <c r="D325" s="12" t="n"/>
      <c r="E325" s="12" t="n"/>
      <c r="F325" s="12" t="n"/>
      <c r="G325" s="12" t="n"/>
      <c r="H325" s="12" t="n"/>
      <c r="I325" s="14" t="n"/>
      <c r="J325" s="14" t="n"/>
      <c r="K325" s="12" t="n"/>
      <c r="L325" s="12" t="n"/>
    </row>
    <row r="326">
      <c r="A326" s="12" t="n"/>
      <c r="B326" s="17" t="n"/>
      <c r="C326" s="12" t="n"/>
      <c r="D326" s="12" t="n"/>
      <c r="E326" s="12" t="n"/>
      <c r="F326" s="12" t="n"/>
      <c r="G326" s="12" t="n"/>
      <c r="H326" s="12" t="n"/>
      <c r="I326" s="14" t="n"/>
      <c r="J326" s="14" t="n"/>
      <c r="K326" s="12" t="n"/>
      <c r="L326" s="12" t="n"/>
    </row>
    <row r="327">
      <c r="A327" s="12" t="n"/>
      <c r="B327" s="17" t="n"/>
      <c r="C327" s="12" t="n"/>
      <c r="D327" s="12" t="n"/>
      <c r="E327" s="12" t="n"/>
      <c r="F327" s="12" t="n"/>
      <c r="G327" s="12" t="n"/>
      <c r="H327" s="12" t="n"/>
      <c r="I327" s="14" t="n"/>
      <c r="J327" s="14" t="n"/>
      <c r="K327" s="12" t="n"/>
      <c r="L327" s="12" t="n"/>
    </row>
    <row r="328">
      <c r="A328" s="12" t="n"/>
      <c r="B328" s="17" t="n"/>
      <c r="C328" s="12" t="n"/>
      <c r="D328" s="12" t="n"/>
      <c r="E328" s="12" t="n"/>
      <c r="F328" s="12" t="n"/>
      <c r="G328" s="12" t="n"/>
      <c r="H328" s="12" t="n"/>
      <c r="I328" s="14" t="n"/>
      <c r="J328" s="14" t="n"/>
      <c r="K328" s="12" t="n"/>
      <c r="L328" s="12" t="n"/>
    </row>
    <row r="329">
      <c r="A329" s="12" t="n"/>
      <c r="B329" s="17" t="n"/>
      <c r="C329" s="12" t="n"/>
      <c r="D329" s="12" t="n"/>
      <c r="E329" s="12" t="n"/>
      <c r="F329" s="12" t="n"/>
      <c r="G329" s="12" t="n"/>
      <c r="H329" s="12" t="n"/>
      <c r="I329" s="14" t="n"/>
      <c r="J329" s="14" t="n"/>
      <c r="K329" s="12" t="n"/>
      <c r="L329" s="12" t="n"/>
    </row>
    <row r="330">
      <c r="A330" s="12" t="n"/>
      <c r="B330" s="17" t="n"/>
      <c r="C330" s="12" t="n"/>
      <c r="D330" s="12" t="n"/>
      <c r="E330" s="12" t="n"/>
      <c r="F330" s="12" t="n"/>
      <c r="G330" s="12" t="n"/>
      <c r="H330" s="12" t="n"/>
      <c r="I330" s="14" t="n"/>
      <c r="J330" s="14" t="n"/>
      <c r="K330" s="12" t="n"/>
      <c r="L330" s="12" t="n"/>
    </row>
    <row r="331">
      <c r="A331" s="12" t="n"/>
      <c r="B331" s="17" t="n"/>
      <c r="C331" s="12" t="n"/>
      <c r="D331" s="12" t="n"/>
      <c r="E331" s="12" t="n"/>
      <c r="F331" s="12" t="n"/>
      <c r="G331" s="12" t="n"/>
      <c r="H331" s="12" t="n"/>
      <c r="I331" s="14" t="n"/>
      <c r="J331" s="14" t="n"/>
      <c r="K331" s="12" t="n"/>
      <c r="L331" s="12" t="n"/>
    </row>
    <row r="332">
      <c r="A332" s="12" t="n"/>
      <c r="B332" s="17" t="n"/>
      <c r="C332" s="12" t="n"/>
      <c r="D332" s="12" t="n"/>
      <c r="E332" s="12" t="n"/>
      <c r="F332" s="12" t="n"/>
      <c r="G332" s="12" t="n"/>
      <c r="H332" s="12" t="n"/>
      <c r="I332" s="14" t="n"/>
      <c r="J332" s="14" t="n"/>
      <c r="K332" s="12" t="n"/>
      <c r="L332" s="12" t="n"/>
    </row>
    <row r="333">
      <c r="A333" s="12" t="n"/>
      <c r="B333" s="17" t="n"/>
      <c r="C333" s="12" t="n"/>
      <c r="D333" s="12" t="n"/>
      <c r="E333" s="12" t="n"/>
      <c r="F333" s="12" t="n"/>
      <c r="G333" s="12" t="n"/>
      <c r="H333" s="12" t="n"/>
      <c r="I333" s="14" t="n"/>
      <c r="J333" s="14" t="n"/>
      <c r="K333" s="12" t="n"/>
      <c r="L333" s="12" t="n"/>
    </row>
    <row r="334">
      <c r="A334" s="12" t="n"/>
      <c r="B334" s="17" t="n"/>
      <c r="C334" s="12" t="n"/>
      <c r="D334" s="12" t="n"/>
      <c r="E334" s="12" t="n"/>
      <c r="F334" s="12" t="n"/>
      <c r="G334" s="12" t="n"/>
      <c r="H334" s="12" t="n"/>
      <c r="I334" s="14" t="n"/>
      <c r="J334" s="14" t="n"/>
      <c r="K334" s="12" t="n"/>
      <c r="L334" s="12" t="n"/>
    </row>
    <row r="335">
      <c r="A335" s="12" t="n"/>
      <c r="B335" s="17" t="n"/>
      <c r="C335" s="12" t="n"/>
      <c r="D335" s="12" t="n"/>
      <c r="E335" s="12" t="n"/>
      <c r="F335" s="12" t="n"/>
      <c r="G335" s="12" t="n"/>
      <c r="H335" s="12" t="n"/>
      <c r="I335" s="14" t="n"/>
      <c r="J335" s="14" t="n"/>
      <c r="K335" s="12" t="n"/>
      <c r="L335" s="12" t="n"/>
    </row>
    <row r="336">
      <c r="A336" s="12" t="n"/>
      <c r="B336" s="17" t="n"/>
      <c r="C336" s="12" t="n"/>
      <c r="D336" s="12" t="n"/>
      <c r="E336" s="12" t="n"/>
      <c r="F336" s="12" t="n"/>
      <c r="G336" s="12" t="n"/>
      <c r="H336" s="12" t="n"/>
      <c r="I336" s="14" t="n"/>
      <c r="J336" s="14" t="n"/>
      <c r="K336" s="12" t="n"/>
      <c r="L336" s="12" t="n"/>
    </row>
    <row r="337">
      <c r="A337" s="12" t="n"/>
      <c r="B337" s="17" t="n"/>
      <c r="C337" s="12" t="n"/>
      <c r="D337" s="12" t="n"/>
      <c r="E337" s="12" t="n"/>
      <c r="F337" s="12" t="n"/>
      <c r="G337" s="12" t="n"/>
      <c r="H337" s="12" t="n"/>
      <c r="I337" s="14" t="n"/>
      <c r="J337" s="14" t="n"/>
      <c r="K337" s="12" t="n"/>
      <c r="L337" s="12" t="n"/>
    </row>
    <row r="338">
      <c r="A338" s="12" t="n"/>
      <c r="B338" s="17" t="n"/>
      <c r="C338" s="12" t="n"/>
      <c r="D338" s="12" t="n"/>
      <c r="E338" s="12" t="n"/>
      <c r="F338" s="12" t="n"/>
      <c r="G338" s="12" t="n"/>
      <c r="H338" s="12" t="n"/>
      <c r="I338" s="14" t="n"/>
      <c r="J338" s="14" t="n"/>
      <c r="K338" s="12" t="n"/>
      <c r="L338" s="12" t="n"/>
    </row>
    <row r="339">
      <c r="A339" s="12" t="n"/>
      <c r="B339" s="17" t="n"/>
      <c r="C339" s="12" t="n"/>
      <c r="D339" s="12" t="n"/>
      <c r="E339" s="12" t="n"/>
      <c r="F339" s="12" t="n"/>
      <c r="G339" s="12" t="n"/>
      <c r="H339" s="12" t="n"/>
      <c r="I339" s="14" t="n"/>
      <c r="J339" s="14" t="n"/>
      <c r="K339" s="12" t="n"/>
      <c r="L339" s="12" t="n"/>
    </row>
    <row r="340">
      <c r="A340" s="12" t="n"/>
      <c r="B340" s="17" t="n"/>
      <c r="C340" s="12" t="n"/>
      <c r="D340" s="12" t="n"/>
      <c r="E340" s="12" t="n"/>
      <c r="F340" s="12" t="n"/>
      <c r="G340" s="12" t="n"/>
      <c r="H340" s="12" t="n"/>
      <c r="I340" s="14" t="n"/>
      <c r="J340" s="14" t="n"/>
      <c r="K340" s="12" t="n"/>
      <c r="L340" s="12" t="n"/>
    </row>
    <row r="341">
      <c r="A341" s="12" t="n"/>
      <c r="B341" s="17" t="n"/>
      <c r="C341" s="12" t="n"/>
      <c r="D341" s="12" t="n"/>
      <c r="E341" s="12" t="n"/>
      <c r="F341" s="12" t="n"/>
      <c r="G341" s="12" t="n"/>
      <c r="H341" s="12" t="n"/>
      <c r="I341" s="14" t="n"/>
      <c r="J341" s="14" t="n"/>
      <c r="K341" s="12" t="n"/>
      <c r="L341" s="12" t="n"/>
    </row>
    <row r="342">
      <c r="A342" s="12" t="n"/>
      <c r="B342" s="17" t="n"/>
      <c r="C342" s="12" t="n"/>
      <c r="D342" s="12" t="n"/>
      <c r="E342" s="12" t="n"/>
      <c r="F342" s="12" t="n"/>
      <c r="G342" s="12" t="n"/>
      <c r="H342" s="12" t="n"/>
      <c r="I342" s="14" t="n"/>
      <c r="J342" s="14" t="n"/>
      <c r="K342" s="12" t="n"/>
      <c r="L342" s="12" t="n"/>
    </row>
    <row r="343">
      <c r="A343" s="12" t="n"/>
      <c r="B343" s="17" t="n"/>
      <c r="C343" s="12" t="n"/>
      <c r="D343" s="12" t="n"/>
      <c r="E343" s="12" t="n"/>
      <c r="F343" s="12" t="n"/>
      <c r="G343" s="12" t="n"/>
      <c r="H343" s="12" t="n"/>
      <c r="I343" s="14" t="n"/>
      <c r="J343" s="14" t="n"/>
      <c r="K343" s="12" t="n"/>
      <c r="L343" s="12" t="n"/>
    </row>
    <row r="344">
      <c r="A344" s="12" t="n"/>
      <c r="B344" s="17" t="n"/>
      <c r="C344" s="12" t="n"/>
      <c r="D344" s="12" t="n"/>
      <c r="E344" s="12" t="n"/>
      <c r="F344" s="12" t="n"/>
      <c r="G344" s="12" t="n"/>
      <c r="H344" s="12" t="n"/>
      <c r="I344" s="14" t="n"/>
      <c r="J344" s="14" t="n"/>
      <c r="K344" s="12" t="n"/>
      <c r="L344" s="12" t="n"/>
    </row>
    <row r="345">
      <c r="A345" s="12" t="n"/>
      <c r="B345" s="17" t="n"/>
      <c r="C345" s="12" t="n"/>
      <c r="D345" s="12" t="n"/>
      <c r="E345" s="12" t="n"/>
      <c r="F345" s="12" t="n"/>
      <c r="G345" s="12" t="n"/>
      <c r="H345" s="12" t="n"/>
      <c r="I345" s="14" t="n"/>
      <c r="J345" s="14" t="n"/>
      <c r="K345" s="12" t="n"/>
      <c r="L345" s="12" t="n"/>
    </row>
    <row r="346">
      <c r="A346" s="12" t="n"/>
      <c r="B346" s="17" t="n"/>
      <c r="C346" s="12" t="n"/>
      <c r="D346" s="12" t="n"/>
      <c r="E346" s="12" t="n"/>
      <c r="F346" s="12" t="n"/>
      <c r="G346" s="12" t="n"/>
      <c r="H346" s="12" t="n"/>
      <c r="I346" s="14" t="n"/>
      <c r="J346" s="14" t="n"/>
      <c r="K346" s="12" t="n"/>
      <c r="L346" s="12" t="n"/>
    </row>
    <row r="347">
      <c r="A347" s="12" t="n"/>
      <c r="B347" s="17" t="n"/>
      <c r="C347" s="12" t="n"/>
      <c r="D347" s="12" t="n"/>
      <c r="E347" s="12" t="n"/>
      <c r="F347" s="12" t="n"/>
      <c r="G347" s="12" t="n"/>
      <c r="H347" s="12" t="n"/>
      <c r="I347" s="14" t="n"/>
      <c r="J347" s="14" t="n"/>
      <c r="K347" s="12" t="n"/>
      <c r="L347" s="12" t="n"/>
    </row>
    <row r="348">
      <c r="A348" s="12" t="n"/>
      <c r="B348" s="17" t="n"/>
      <c r="C348" s="12" t="n"/>
      <c r="D348" s="12" t="n"/>
      <c r="E348" s="12" t="n"/>
      <c r="F348" s="12" t="n"/>
      <c r="G348" s="12" t="n"/>
      <c r="H348" s="12" t="n"/>
      <c r="I348" s="14" t="n"/>
      <c r="J348" s="14" t="n"/>
      <c r="K348" s="12" t="n"/>
      <c r="L348" s="12" t="n"/>
    </row>
    <row r="349">
      <c r="A349" s="12" t="n"/>
      <c r="B349" s="17" t="n"/>
      <c r="C349" s="12" t="n"/>
      <c r="D349" s="12" t="n"/>
      <c r="E349" s="12" t="n"/>
      <c r="F349" s="12" t="n"/>
      <c r="G349" s="12" t="n"/>
      <c r="H349" s="12" t="n"/>
      <c r="I349" s="14" t="n"/>
      <c r="J349" s="14" t="n"/>
      <c r="K349" s="12" t="n"/>
      <c r="L349" s="12" t="n"/>
    </row>
    <row r="350">
      <c r="A350" s="12" t="n"/>
      <c r="B350" s="17" t="n"/>
      <c r="C350" s="12" t="n"/>
      <c r="D350" s="12" t="n"/>
      <c r="E350" s="12" t="n"/>
      <c r="F350" s="12" t="n"/>
      <c r="G350" s="12" t="n"/>
      <c r="H350" s="12" t="n"/>
      <c r="I350" s="14" t="n"/>
      <c r="J350" s="14" t="n"/>
      <c r="K350" s="12" t="n"/>
      <c r="L350" s="12" t="n"/>
    </row>
    <row r="351">
      <c r="A351" s="12" t="n"/>
      <c r="B351" s="17" t="n"/>
      <c r="C351" s="12" t="n"/>
      <c r="D351" s="12" t="n"/>
      <c r="E351" s="12" t="n"/>
      <c r="F351" s="12" t="n"/>
      <c r="G351" s="12" t="n"/>
      <c r="H351" s="12" t="n"/>
      <c r="I351" s="14" t="n"/>
      <c r="J351" s="14" t="n"/>
      <c r="K351" s="12" t="n"/>
      <c r="L351" s="12" t="n"/>
    </row>
    <row r="352">
      <c r="A352" s="12" t="n"/>
      <c r="B352" s="17" t="n"/>
      <c r="C352" s="12" t="n"/>
      <c r="D352" s="12" t="n"/>
      <c r="E352" s="12" t="n"/>
      <c r="F352" s="12" t="n"/>
      <c r="G352" s="12" t="n"/>
      <c r="H352" s="12" t="n"/>
      <c r="I352" s="14" t="n"/>
      <c r="J352" s="14" t="n"/>
      <c r="K352" s="12" t="n"/>
      <c r="L352" s="12" t="n"/>
    </row>
    <row r="353">
      <c r="A353" s="12" t="n"/>
      <c r="B353" s="17" t="n"/>
      <c r="C353" s="12" t="n"/>
      <c r="D353" s="12" t="n"/>
      <c r="E353" s="12" t="n"/>
      <c r="F353" s="12" t="n"/>
      <c r="G353" s="12" t="n"/>
      <c r="H353" s="12" t="n"/>
      <c r="I353" s="14" t="n"/>
      <c r="J353" s="14" t="n"/>
      <c r="K353" s="12" t="n"/>
      <c r="L353" s="12" t="n"/>
    </row>
    <row r="354">
      <c r="A354" s="12" t="n"/>
      <c r="B354" s="17" t="n"/>
      <c r="C354" s="12" t="n"/>
      <c r="D354" s="12" t="n"/>
      <c r="E354" s="12" t="n"/>
      <c r="F354" s="12" t="n"/>
      <c r="G354" s="12" t="n"/>
      <c r="H354" s="12" t="n"/>
      <c r="I354" s="14" t="n"/>
      <c r="J354" s="14" t="n"/>
      <c r="K354" s="12" t="n"/>
      <c r="L354" s="12" t="n"/>
    </row>
    <row r="355">
      <c r="A355" s="12" t="n"/>
      <c r="B355" s="17" t="n"/>
      <c r="C355" s="12" t="n"/>
      <c r="D355" s="12" t="n"/>
      <c r="E355" s="12" t="n"/>
      <c r="F355" s="12" t="n"/>
      <c r="G355" s="12" t="n"/>
      <c r="H355" s="12" t="n"/>
      <c r="I355" s="14" t="n"/>
      <c r="J355" s="14" t="n"/>
      <c r="K355" s="12" t="n"/>
      <c r="L355" s="12" t="n"/>
    </row>
    <row r="356">
      <c r="A356" s="12" t="n"/>
      <c r="B356" s="17" t="n"/>
      <c r="C356" s="12" t="n"/>
      <c r="D356" s="12" t="n"/>
      <c r="E356" s="12" t="n"/>
      <c r="F356" s="12" t="n"/>
      <c r="G356" s="12" t="n"/>
      <c r="H356" s="12" t="n"/>
      <c r="I356" s="14" t="n"/>
      <c r="J356" s="14" t="n"/>
      <c r="K356" s="12" t="n"/>
      <c r="L356" s="12" t="n"/>
    </row>
    <row r="357">
      <c r="A357" s="12" t="n"/>
      <c r="B357" s="17" t="n"/>
      <c r="C357" s="12" t="n"/>
      <c r="D357" s="12" t="n"/>
      <c r="E357" s="12" t="n"/>
      <c r="F357" s="12" t="n"/>
      <c r="G357" s="12" t="n"/>
      <c r="H357" s="12" t="n"/>
      <c r="I357" s="14" t="n"/>
      <c r="J357" s="14" t="n"/>
      <c r="K357" s="12" t="n"/>
      <c r="L357" s="12" t="n"/>
    </row>
    <row r="358">
      <c r="A358" s="12" t="n"/>
      <c r="B358" s="17" t="n"/>
      <c r="C358" s="12" t="n"/>
      <c r="D358" s="12" t="n"/>
      <c r="E358" s="12" t="n"/>
      <c r="F358" s="12" t="n"/>
      <c r="G358" s="12" t="n"/>
      <c r="H358" s="12" t="n"/>
      <c r="I358" s="14" t="n"/>
      <c r="J358" s="14" t="n"/>
      <c r="K358" s="12" t="n"/>
      <c r="L358" s="12" t="n"/>
    </row>
    <row r="359">
      <c r="A359" s="12" t="n"/>
      <c r="B359" s="17" t="n"/>
      <c r="C359" s="12" t="n"/>
      <c r="D359" s="12" t="n"/>
      <c r="E359" s="12" t="n"/>
      <c r="F359" s="12" t="n"/>
      <c r="G359" s="12" t="n"/>
      <c r="H359" s="12" t="n"/>
      <c r="I359" s="14" t="n"/>
      <c r="J359" s="14" t="n"/>
      <c r="K359" s="12" t="n"/>
      <c r="L359" s="12" t="n"/>
    </row>
    <row r="360">
      <c r="A360" s="12" t="n"/>
      <c r="B360" s="17" t="n"/>
      <c r="C360" s="12" t="n"/>
      <c r="D360" s="12" t="n"/>
      <c r="E360" s="12" t="n"/>
      <c r="F360" s="12" t="n"/>
      <c r="G360" s="12" t="n"/>
      <c r="H360" s="12" t="n"/>
      <c r="I360" s="14" t="n"/>
      <c r="J360" s="14" t="n"/>
      <c r="K360" s="12" t="n"/>
      <c r="L360" s="12" t="n"/>
    </row>
    <row r="361">
      <c r="A361" s="12" t="n"/>
      <c r="B361" s="17" t="n"/>
      <c r="C361" s="12" t="n"/>
      <c r="D361" s="12" t="n"/>
      <c r="E361" s="12" t="n"/>
      <c r="F361" s="12" t="n"/>
      <c r="G361" s="12" t="n"/>
      <c r="H361" s="12" t="n"/>
      <c r="I361" s="14" t="n"/>
      <c r="J361" s="14" t="n"/>
      <c r="K361" s="12" t="n"/>
      <c r="L361" s="12" t="n"/>
    </row>
    <row r="362">
      <c r="A362" s="12" t="n"/>
      <c r="B362" s="17" t="n"/>
      <c r="C362" s="12" t="n"/>
      <c r="D362" s="12" t="n"/>
      <c r="E362" s="12" t="n"/>
      <c r="F362" s="12" t="n"/>
      <c r="G362" s="12" t="n"/>
      <c r="H362" s="12" t="n"/>
      <c r="I362" s="14" t="n"/>
      <c r="J362" s="14" t="n"/>
      <c r="K362" s="12" t="n"/>
      <c r="L362" s="12" t="n"/>
    </row>
    <row r="363">
      <c r="A363" s="12" t="n"/>
      <c r="B363" s="17" t="n"/>
      <c r="C363" s="12" t="n"/>
      <c r="D363" s="12" t="n"/>
      <c r="E363" s="12" t="n"/>
      <c r="F363" s="12" t="n"/>
      <c r="G363" s="12" t="n"/>
      <c r="H363" s="12" t="n"/>
      <c r="I363" s="14" t="n"/>
      <c r="J363" s="14" t="n"/>
      <c r="K363" s="12" t="n"/>
      <c r="L363" s="12" t="n"/>
    </row>
    <row r="364">
      <c r="A364" s="12" t="n"/>
      <c r="B364" s="17" t="n"/>
      <c r="C364" s="12" t="n"/>
      <c r="D364" s="12" t="n"/>
      <c r="E364" s="12" t="n"/>
      <c r="F364" s="12" t="n"/>
      <c r="G364" s="12" t="n"/>
      <c r="H364" s="12" t="n"/>
      <c r="I364" s="14" t="n"/>
      <c r="J364" s="14" t="n"/>
      <c r="K364" s="12" t="n"/>
      <c r="L364" s="12" t="n"/>
    </row>
    <row r="365">
      <c r="A365" s="12" t="n"/>
      <c r="B365" s="17" t="n"/>
      <c r="C365" s="12" t="n"/>
      <c r="D365" s="12" t="n"/>
      <c r="E365" s="12" t="n"/>
      <c r="F365" s="12" t="n"/>
      <c r="G365" s="12" t="n"/>
      <c r="H365" s="12" t="n"/>
      <c r="I365" s="14" t="n"/>
      <c r="J365" s="14" t="n"/>
      <c r="K365" s="12" t="n"/>
      <c r="L365" s="12" t="n"/>
    </row>
    <row r="366">
      <c r="A366" s="12" t="n"/>
      <c r="B366" s="17" t="n"/>
      <c r="C366" s="12" t="n"/>
      <c r="D366" s="12" t="n"/>
      <c r="E366" s="12" t="n"/>
      <c r="F366" s="12" t="n"/>
      <c r="G366" s="12" t="n"/>
      <c r="H366" s="12" t="n"/>
      <c r="I366" s="14" t="n"/>
      <c r="J366" s="14" t="n"/>
      <c r="K366" s="12" t="n"/>
      <c r="L366" s="12" t="n"/>
    </row>
    <row r="367">
      <c r="A367" s="12" t="n"/>
      <c r="B367" s="17" t="n"/>
      <c r="C367" s="12" t="n"/>
      <c r="D367" s="12" t="n"/>
      <c r="E367" s="12" t="n"/>
      <c r="F367" s="12" t="n"/>
      <c r="G367" s="12" t="n"/>
      <c r="H367" s="12" t="n"/>
      <c r="I367" s="14" t="n"/>
      <c r="J367" s="14" t="n"/>
      <c r="K367" s="12" t="n"/>
      <c r="L367" s="12" t="n"/>
    </row>
    <row r="368">
      <c r="A368" s="12" t="n"/>
      <c r="B368" s="17" t="n"/>
      <c r="C368" s="12" t="n"/>
      <c r="D368" s="12" t="n"/>
      <c r="E368" s="12" t="n"/>
      <c r="F368" s="12" t="n"/>
      <c r="G368" s="12" t="n"/>
      <c r="H368" s="12" t="n"/>
      <c r="I368" s="14" t="n"/>
      <c r="J368" s="14" t="n"/>
      <c r="K368" s="12" t="n"/>
      <c r="L368" s="12" t="n"/>
    </row>
    <row r="369">
      <c r="A369" s="12" t="n"/>
      <c r="B369" s="17" t="n"/>
      <c r="C369" s="12" t="n"/>
      <c r="D369" s="12" t="n"/>
      <c r="E369" s="12" t="n"/>
      <c r="F369" s="12" t="n"/>
      <c r="G369" s="12" t="n"/>
      <c r="H369" s="12" t="n"/>
      <c r="I369" s="14" t="n"/>
      <c r="J369" s="14" t="n"/>
      <c r="K369" s="12" t="n"/>
      <c r="L369" s="12" t="n"/>
    </row>
    <row r="370">
      <c r="A370" s="12" t="n"/>
      <c r="B370" s="17" t="n"/>
      <c r="C370" s="12" t="n"/>
      <c r="D370" s="12" t="n"/>
      <c r="E370" s="12" t="n"/>
      <c r="F370" s="12" t="n"/>
      <c r="G370" s="12" t="n"/>
      <c r="H370" s="12" t="n"/>
      <c r="I370" s="14" t="n"/>
      <c r="J370" s="14" t="n"/>
      <c r="K370" s="12" t="n"/>
      <c r="L370" s="12" t="n"/>
    </row>
    <row r="371">
      <c r="A371" s="12" t="n"/>
      <c r="B371" s="17" t="n"/>
      <c r="C371" s="12" t="n"/>
      <c r="D371" s="12" t="n"/>
      <c r="E371" s="12" t="n"/>
      <c r="F371" s="12" t="n"/>
      <c r="G371" s="12" t="n"/>
      <c r="H371" s="12" t="n"/>
      <c r="I371" s="14" t="n"/>
      <c r="J371" s="14" t="n"/>
      <c r="K371" s="12" t="n"/>
      <c r="L371" s="12" t="n"/>
    </row>
    <row r="372">
      <c r="A372" s="12" t="n"/>
      <c r="B372" s="17" t="n"/>
      <c r="C372" s="12" t="n"/>
      <c r="D372" s="12" t="n"/>
      <c r="E372" s="12" t="n"/>
      <c r="F372" s="12" t="n"/>
      <c r="G372" s="12" t="n"/>
      <c r="H372" s="12" t="n"/>
      <c r="I372" s="14" t="n"/>
      <c r="J372" s="14" t="n"/>
      <c r="K372" s="12" t="n"/>
      <c r="L372" s="12" t="n"/>
    </row>
    <row r="373">
      <c r="A373" s="12" t="n"/>
      <c r="B373" s="17" t="n"/>
      <c r="C373" s="12" t="n"/>
      <c r="D373" s="12" t="n"/>
      <c r="E373" s="12" t="n"/>
      <c r="F373" s="12" t="n"/>
      <c r="G373" s="12" t="n"/>
      <c r="H373" s="12" t="n"/>
      <c r="I373" s="14" t="n"/>
      <c r="J373" s="14" t="n"/>
      <c r="K373" s="12" t="n"/>
      <c r="L373" s="12" t="n"/>
    </row>
    <row r="374">
      <c r="A374" s="12" t="n"/>
      <c r="B374" s="17" t="n"/>
      <c r="C374" s="12" t="n"/>
      <c r="D374" s="12" t="n"/>
      <c r="E374" s="12" t="n"/>
      <c r="F374" s="12" t="n"/>
      <c r="G374" s="12" t="n"/>
      <c r="H374" s="12" t="n"/>
      <c r="I374" s="14" t="n"/>
      <c r="J374" s="14" t="n"/>
      <c r="K374" s="12" t="n"/>
      <c r="L374" s="12" t="n"/>
    </row>
    <row r="375">
      <c r="A375" s="12" t="n"/>
      <c r="B375" s="17" t="n"/>
      <c r="C375" s="12" t="n"/>
      <c r="D375" s="12" t="n"/>
      <c r="E375" s="12" t="n"/>
      <c r="F375" s="12" t="n"/>
      <c r="G375" s="12" t="n"/>
      <c r="H375" s="12" t="n"/>
      <c r="I375" s="14" t="n"/>
      <c r="J375" s="14" t="n"/>
      <c r="K375" s="12" t="n"/>
      <c r="L375" s="12" t="n"/>
    </row>
    <row r="376">
      <c r="A376" s="12" t="n"/>
      <c r="B376" s="17" t="n"/>
      <c r="C376" s="12" t="n"/>
      <c r="D376" s="12" t="n"/>
      <c r="E376" s="12" t="n"/>
      <c r="F376" s="12" t="n"/>
      <c r="G376" s="12" t="n"/>
      <c r="H376" s="12" t="n"/>
      <c r="I376" s="14" t="n"/>
      <c r="J376" s="14" t="n"/>
      <c r="K376" s="12" t="n"/>
      <c r="L376" s="12" t="n"/>
    </row>
    <row r="377">
      <c r="A377" s="12" t="n"/>
      <c r="B377" s="17" t="n"/>
      <c r="C377" s="12" t="n"/>
      <c r="D377" s="12" t="n"/>
      <c r="E377" s="12" t="n"/>
      <c r="F377" s="12" t="n"/>
      <c r="G377" s="12" t="n"/>
      <c r="H377" s="12" t="n"/>
      <c r="I377" s="14" t="n"/>
      <c r="J377" s="14" t="n"/>
      <c r="K377" s="12" t="n"/>
      <c r="L377" s="12" t="n"/>
    </row>
    <row r="378">
      <c r="A378" s="12" t="n"/>
      <c r="B378" s="17" t="n"/>
      <c r="C378" s="12" t="n"/>
      <c r="D378" s="12" t="n"/>
      <c r="E378" s="12" t="n"/>
      <c r="F378" s="12" t="n"/>
      <c r="G378" s="12" t="n"/>
      <c r="H378" s="12" t="n"/>
      <c r="I378" s="14" t="n"/>
      <c r="J378" s="14" t="n"/>
      <c r="K378" s="12" t="n"/>
      <c r="L378" s="12" t="n"/>
    </row>
    <row r="379">
      <c r="A379" s="12" t="n"/>
      <c r="B379" s="17" t="n"/>
      <c r="C379" s="12" t="n"/>
      <c r="D379" s="12" t="n"/>
      <c r="E379" s="12" t="n"/>
      <c r="F379" s="12" t="n"/>
      <c r="G379" s="12" t="n"/>
      <c r="H379" s="12" t="n"/>
      <c r="I379" s="14" t="n"/>
      <c r="J379" s="14" t="n"/>
      <c r="K379" s="12" t="n"/>
      <c r="L379" s="12" t="n"/>
    </row>
    <row r="380">
      <c r="A380" s="12" t="n"/>
      <c r="B380" s="17" t="n"/>
      <c r="C380" s="12" t="n"/>
      <c r="D380" s="12" t="n"/>
      <c r="E380" s="12" t="n"/>
      <c r="F380" s="12" t="n"/>
      <c r="G380" s="12" t="n"/>
      <c r="H380" s="12" t="n"/>
      <c r="I380" s="14" t="n"/>
      <c r="J380" s="14" t="n"/>
      <c r="K380" s="12" t="n"/>
      <c r="L380" s="12" t="n"/>
    </row>
    <row r="381">
      <c r="A381" s="12" t="n"/>
      <c r="B381" s="17" t="n"/>
      <c r="C381" s="12" t="n"/>
      <c r="D381" s="12" t="n"/>
      <c r="E381" s="12" t="n"/>
      <c r="F381" s="12" t="n"/>
      <c r="G381" s="12" t="n"/>
      <c r="H381" s="12" t="n"/>
      <c r="I381" s="14" t="n"/>
      <c r="J381" s="14" t="n"/>
      <c r="K381" s="12" t="n"/>
      <c r="L381" s="12" t="n"/>
    </row>
    <row r="382">
      <c r="A382" s="12" t="n"/>
      <c r="B382" s="17" t="n"/>
      <c r="C382" s="12" t="n"/>
      <c r="D382" s="12" t="n"/>
      <c r="E382" s="12" t="n"/>
      <c r="F382" s="12" t="n"/>
      <c r="G382" s="12" t="n"/>
      <c r="H382" s="12" t="n"/>
      <c r="I382" s="14" t="n"/>
      <c r="J382" s="14" t="n"/>
      <c r="K382" s="12" t="n"/>
      <c r="L382" s="12" t="n"/>
    </row>
    <row r="383">
      <c r="A383" s="12" t="n"/>
      <c r="B383" s="17" t="n"/>
      <c r="C383" s="12" t="n"/>
      <c r="D383" s="12" t="n"/>
      <c r="E383" s="12" t="n"/>
      <c r="F383" s="12" t="n"/>
      <c r="G383" s="12" t="n"/>
      <c r="H383" s="12" t="n"/>
      <c r="I383" s="14" t="n"/>
      <c r="J383" s="14" t="n"/>
      <c r="K383" s="12" t="n"/>
      <c r="L383" s="12" t="n"/>
    </row>
    <row r="384">
      <c r="A384" s="12" t="n"/>
      <c r="B384" s="17" t="n"/>
      <c r="C384" s="12" t="n"/>
      <c r="D384" s="12" t="n"/>
      <c r="E384" s="12" t="n"/>
      <c r="F384" s="12" t="n"/>
      <c r="G384" s="12" t="n"/>
      <c r="H384" s="12" t="n"/>
      <c r="I384" s="14" t="n"/>
      <c r="J384" s="14" t="n"/>
      <c r="K384" s="12" t="n"/>
      <c r="L384" s="12" t="n"/>
    </row>
    <row r="385">
      <c r="A385" s="12" t="n"/>
      <c r="B385" s="17" t="n"/>
      <c r="C385" s="12" t="n"/>
      <c r="D385" s="12" t="n"/>
      <c r="E385" s="12" t="n"/>
      <c r="F385" s="12" t="n"/>
      <c r="G385" s="12" t="n"/>
      <c r="H385" s="12" t="n"/>
      <c r="I385" s="14" t="n"/>
      <c r="J385" s="14" t="n"/>
      <c r="K385" s="12" t="n"/>
      <c r="L385" s="12" t="n"/>
    </row>
    <row r="386">
      <c r="A386" s="12" t="n"/>
      <c r="B386" s="17" t="n"/>
      <c r="C386" s="12" t="n"/>
      <c r="D386" s="12" t="n"/>
      <c r="E386" s="12" t="n"/>
      <c r="F386" s="12" t="n"/>
      <c r="G386" s="12" t="n"/>
      <c r="H386" s="12" t="n"/>
      <c r="I386" s="14" t="n"/>
      <c r="J386" s="14" t="n"/>
      <c r="K386" s="12" t="n"/>
      <c r="L386" s="12" t="n"/>
    </row>
    <row r="387">
      <c r="A387" s="12" t="n"/>
      <c r="B387" s="17" t="n"/>
      <c r="C387" s="12" t="n"/>
      <c r="D387" s="12" t="n"/>
      <c r="E387" s="12" t="n"/>
      <c r="F387" s="12" t="n"/>
      <c r="G387" s="12" t="n"/>
      <c r="H387" s="12" t="n"/>
      <c r="I387" s="14" t="n"/>
      <c r="J387" s="14" t="n"/>
      <c r="K387" s="12" t="n"/>
      <c r="L387" s="12" t="n"/>
    </row>
    <row r="388">
      <c r="A388" s="12" t="n"/>
      <c r="B388" s="17" t="n"/>
      <c r="C388" s="12" t="n"/>
      <c r="D388" s="12" t="n"/>
      <c r="E388" s="12" t="n"/>
      <c r="F388" s="12" t="n"/>
      <c r="G388" s="12" t="n"/>
      <c r="H388" s="12" t="n"/>
      <c r="I388" s="14" t="n"/>
      <c r="J388" s="14" t="n"/>
      <c r="K388" s="12" t="n"/>
      <c r="L388" s="12" t="n"/>
    </row>
    <row r="389">
      <c r="A389" s="12" t="n"/>
      <c r="B389" s="17" t="n"/>
      <c r="C389" s="12" t="n"/>
      <c r="D389" s="12" t="n"/>
      <c r="E389" s="12" t="n"/>
      <c r="F389" s="12" t="n"/>
      <c r="G389" s="12" t="n"/>
      <c r="H389" s="12" t="n"/>
      <c r="I389" s="14" t="n"/>
      <c r="J389" s="14" t="n"/>
      <c r="K389" s="12" t="n"/>
      <c r="L389" s="12" t="n"/>
    </row>
    <row r="390">
      <c r="A390" s="12" t="n"/>
      <c r="B390" s="17" t="n"/>
      <c r="C390" s="12" t="n"/>
      <c r="D390" s="12" t="n"/>
      <c r="E390" s="12" t="n"/>
      <c r="F390" s="12" t="n"/>
      <c r="G390" s="12" t="n"/>
      <c r="H390" s="12" t="n"/>
      <c r="I390" s="14" t="n"/>
      <c r="J390" s="14" t="n"/>
      <c r="K390" s="12" t="n"/>
      <c r="L390" s="12" t="n"/>
    </row>
    <row r="391">
      <c r="A391" s="12" t="n"/>
      <c r="B391" s="17" t="n"/>
      <c r="C391" s="12" t="n"/>
      <c r="D391" s="12" t="n"/>
      <c r="E391" s="12" t="n"/>
      <c r="F391" s="12" t="n"/>
      <c r="G391" s="12" t="n"/>
      <c r="H391" s="12" t="n"/>
      <c r="I391" s="14" t="n"/>
      <c r="J391" s="14" t="n"/>
      <c r="K391" s="12" t="n"/>
      <c r="L391" s="12" t="n"/>
    </row>
    <row r="392">
      <c r="A392" s="12" t="n"/>
      <c r="B392" s="17" t="n"/>
      <c r="C392" s="12" t="n"/>
      <c r="D392" s="12" t="n"/>
      <c r="E392" s="12" t="n"/>
      <c r="F392" s="12" t="n"/>
      <c r="G392" s="12" t="n"/>
      <c r="H392" s="12" t="n"/>
      <c r="I392" s="14" t="n"/>
      <c r="J392" s="14" t="n"/>
      <c r="K392" s="12" t="n"/>
      <c r="L392" s="12" t="n"/>
    </row>
    <row r="393">
      <c r="A393" s="12" t="n"/>
      <c r="B393" s="17" t="n"/>
      <c r="C393" s="12" t="n"/>
      <c r="D393" s="12" t="n"/>
      <c r="E393" s="12" t="n"/>
      <c r="F393" s="12" t="n"/>
      <c r="G393" s="12" t="n"/>
      <c r="H393" s="12" t="n"/>
      <c r="I393" s="14" t="n"/>
      <c r="J393" s="14" t="n"/>
      <c r="K393" s="12" t="n"/>
      <c r="L393" s="12" t="n"/>
    </row>
    <row r="394">
      <c r="A394" s="12" t="n"/>
      <c r="B394" s="17" t="n"/>
      <c r="C394" s="12" t="n"/>
      <c r="D394" s="12" t="n"/>
      <c r="E394" s="12" t="n"/>
      <c r="F394" s="12" t="n"/>
      <c r="G394" s="12" t="n"/>
      <c r="H394" s="12" t="n"/>
      <c r="I394" s="14" t="n"/>
      <c r="J394" s="14" t="n"/>
      <c r="K394" s="12" t="n"/>
      <c r="L394" s="12" t="n"/>
    </row>
    <row r="395">
      <c r="A395" s="12" t="n"/>
      <c r="B395" s="17" t="n"/>
      <c r="C395" s="12" t="n"/>
      <c r="D395" s="12" t="n"/>
      <c r="E395" s="12" t="n"/>
      <c r="F395" s="12" t="n"/>
      <c r="G395" s="12" t="n"/>
      <c r="H395" s="12" t="n"/>
      <c r="I395" s="14" t="n"/>
      <c r="J395" s="14" t="n"/>
      <c r="K395" s="12" t="n"/>
      <c r="L395" s="12" t="n"/>
    </row>
    <row r="396">
      <c r="A396" s="12" t="n"/>
      <c r="B396" s="17" t="n"/>
      <c r="C396" s="12" t="n"/>
      <c r="D396" s="12" t="n"/>
      <c r="E396" s="12" t="n"/>
      <c r="F396" s="12" t="n"/>
      <c r="G396" s="12" t="n"/>
      <c r="H396" s="12" t="n"/>
      <c r="I396" s="14" t="n"/>
      <c r="J396" s="14" t="n"/>
      <c r="K396" s="12" t="n"/>
      <c r="L396" s="12" t="n"/>
    </row>
    <row r="397">
      <c r="A397" s="12" t="n"/>
      <c r="B397" s="17" t="n"/>
      <c r="C397" s="12" t="n"/>
      <c r="D397" s="12" t="n"/>
      <c r="E397" s="12" t="n"/>
      <c r="F397" s="12" t="n"/>
      <c r="G397" s="12" t="n"/>
      <c r="H397" s="12" t="n"/>
      <c r="I397" s="14" t="n"/>
      <c r="J397" s="14" t="n"/>
      <c r="K397" s="12" t="n"/>
      <c r="L397" s="12" t="n"/>
    </row>
    <row r="398">
      <c r="A398" s="12" t="n"/>
      <c r="B398" s="17" t="n"/>
      <c r="C398" s="12" t="n"/>
      <c r="D398" s="12" t="n"/>
      <c r="E398" s="12" t="n"/>
      <c r="F398" s="12" t="n"/>
      <c r="G398" s="12" t="n"/>
      <c r="H398" s="12" t="n"/>
      <c r="I398" s="14" t="n"/>
      <c r="J398" s="14" t="n"/>
      <c r="K398" s="12" t="n"/>
      <c r="L398" s="12" t="n"/>
    </row>
    <row r="399">
      <c r="A399" s="12" t="n"/>
      <c r="B399" s="17" t="n"/>
      <c r="C399" s="12" t="n"/>
      <c r="D399" s="12" t="n"/>
      <c r="E399" s="12" t="n"/>
      <c r="F399" s="12" t="n"/>
      <c r="G399" s="12" t="n"/>
      <c r="H399" s="12" t="n"/>
      <c r="I399" s="14" t="n"/>
      <c r="J399" s="14" t="n"/>
      <c r="K399" s="12" t="n"/>
      <c r="L399" s="12" t="n"/>
    </row>
    <row r="400">
      <c r="A400" s="12" t="n"/>
      <c r="B400" s="17" t="n"/>
      <c r="C400" s="12" t="n"/>
      <c r="D400" s="12" t="n"/>
      <c r="E400" s="12" t="n"/>
      <c r="F400" s="12" t="n"/>
      <c r="G400" s="12" t="n"/>
      <c r="H400" s="12" t="n"/>
      <c r="I400" s="14" t="n"/>
      <c r="J400" s="14" t="n"/>
      <c r="K400" s="12" t="n"/>
      <c r="L400" s="12" t="n"/>
    </row>
    <row r="401">
      <c r="A401" s="12" t="n"/>
      <c r="B401" s="17" t="n"/>
      <c r="C401" s="12" t="n"/>
      <c r="D401" s="12" t="n"/>
      <c r="E401" s="12" t="n"/>
      <c r="F401" s="12" t="n"/>
      <c r="G401" s="12" t="n"/>
      <c r="H401" s="12" t="n"/>
      <c r="I401" s="14" t="n"/>
      <c r="J401" s="14" t="n"/>
      <c r="K401" s="12" t="n"/>
      <c r="L401" s="12" t="n"/>
    </row>
  </sheetData>
  <autoFilter ref="A1:L401"/>
  <dataValidations count="3">
    <dataValidation sqref="A2:A401" showDropDown="0" showInputMessage="0" showErrorMessage="0" allowBlank="1" type="list">
      <formula1>Clients!$A$2:$A$201</formula1>
    </dataValidation>
    <dataValidation sqref="D2:D401" showDropDown="0" showInputMessage="0" showErrorMessage="0" allowBlank="1" type="list">
      <formula1>Lists!$B$2:$B$4</formula1>
    </dataValidation>
    <dataValidation sqref="K2:K401" showDropDown="0" showInputMessage="0" showErrorMessage="0" allowBlank="1" type="list">
      <formula1>Lists!$C$2:$C$6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32" customWidth="1" min="3" max="3"/>
    <col width="10" customWidth="1" min="4" max="4"/>
    <col width="11" customWidth="1" min="5" max="5"/>
    <col width="26" customWidth="1" min="6" max="6"/>
    <col width="10" customWidth="1" min="7" max="7"/>
    <col width="9" customWidth="1" min="8" max="8"/>
    <col width="8" customWidth="1" min="9" max="9"/>
    <col width="8" customWidth="1" min="10" max="10"/>
    <col width="8" customWidth="1" min="11" max="11"/>
    <col width="10" customWidth="1" min="12" max="12"/>
    <col width="11" customWidth="1" min="13" max="13"/>
    <col width="28" customWidth="1" min="14" max="14"/>
  </cols>
  <sheetData>
    <row r="1" ht="34" customHeight="1">
      <c r="A1" s="7" t="inlineStr">
        <is>
          <t>Client</t>
        </is>
      </c>
      <c r="B1" s="7" t="inlineStr">
        <is>
          <t>Date posted</t>
        </is>
      </c>
      <c r="C1" s="7" t="inlineStr">
        <is>
          <t>Video title</t>
        </is>
      </c>
      <c r="D1" s="7" t="inlineStr">
        <is>
          <t>Bucket</t>
        </is>
      </c>
      <c r="E1" s="7" t="inlineStr">
        <is>
          <t>Code word</t>
        </is>
      </c>
      <c r="F1" s="7" t="inlineStr">
        <is>
          <t>Link</t>
        </is>
      </c>
      <c r="G1" s="7" t="inlineStr">
        <is>
          <t>Views 24 h</t>
        </is>
      </c>
      <c r="H1" s="7" t="inlineStr">
        <is>
          <t>Avg watch %</t>
        </is>
      </c>
      <c r="I1" s="7" t="inlineStr">
        <is>
          <t>Shares</t>
        </is>
      </c>
      <c r="J1" s="7" t="inlineStr">
        <is>
          <t>Saves</t>
        </is>
      </c>
      <c r="K1" s="7" t="inlineStr">
        <is>
          <t>Follows</t>
        </is>
      </c>
      <c r="L1" s="7" t="inlineStr">
        <is>
          <t>Views 7 d</t>
        </is>
      </c>
      <c r="M1" s="7" t="inlineStr">
        <is>
          <t>Enquiries from code word</t>
        </is>
      </c>
      <c r="N1" s="7" t="inlineStr">
        <is>
          <t>Notes</t>
        </is>
      </c>
    </row>
    <row r="2">
      <c r="A2" s="8" t="inlineStr">
        <is>
          <t>EXAMPLE Spa Co</t>
        </is>
      </c>
      <c r="B2" s="10" t="n">
        <v>46332</v>
      </c>
      <c r="C2" s="8" t="inlineStr">
        <is>
          <t>Your back after a 6-day week</t>
        </is>
      </c>
      <c r="D2" s="8" t="inlineStr">
        <is>
          <t>Convert</t>
        </is>
      </c>
      <c r="E2" s="8" t="inlineStr">
        <is>
          <t>RELAX</t>
        </is>
      </c>
      <c r="F2" s="8" t="inlineStr">
        <is>
          <t>instagram.com/reel/...</t>
        </is>
      </c>
      <c r="G2" s="18" t="n">
        <v>4100</v>
      </c>
      <c r="H2" s="19" t="n">
        <v>0.38</v>
      </c>
      <c r="I2" s="18" t="n">
        <v>52</v>
      </c>
      <c r="J2" s="18" t="n">
        <v>61</v>
      </c>
      <c r="K2" s="18" t="n">
        <v>34</v>
      </c>
      <c r="L2" s="18" t="n">
        <v>11200</v>
      </c>
      <c r="M2" s="9">
        <f>IF(OR(A2="",E2=""),"",COUNTIFS(Enquiries!$B:$B,A2,Enquiries!$C:$C,E2))</f>
        <v/>
      </c>
      <c r="N2" s="8" t="n"/>
    </row>
    <row r="3">
      <c r="A3" s="12" t="n"/>
      <c r="B3" s="14" t="n"/>
      <c r="C3" s="12" t="n"/>
      <c r="D3" s="12" t="n"/>
      <c r="E3" s="12" t="n"/>
      <c r="F3" s="12" t="n"/>
      <c r="G3" s="20" t="n"/>
      <c r="H3" s="21" t="n"/>
      <c r="I3" s="20" t="n"/>
      <c r="J3" s="20" t="n"/>
      <c r="K3" s="20" t="n"/>
      <c r="L3" s="20" t="n"/>
      <c r="M3" s="13">
        <f>IF(OR(A3="",E3=""),"",COUNTIFS(Enquiries!$B:$B,A3,Enquiries!$C:$C,E3))</f>
        <v/>
      </c>
      <c r="N3" s="12" t="n"/>
    </row>
    <row r="4">
      <c r="A4" s="12" t="n"/>
      <c r="B4" s="14" t="n"/>
      <c r="C4" s="12" t="n"/>
      <c r="D4" s="12" t="n"/>
      <c r="E4" s="12" t="n"/>
      <c r="F4" s="12" t="n"/>
      <c r="G4" s="20" t="n"/>
      <c r="H4" s="21" t="n"/>
      <c r="I4" s="20" t="n"/>
      <c r="J4" s="20" t="n"/>
      <c r="K4" s="20" t="n"/>
      <c r="L4" s="20" t="n"/>
      <c r="M4" s="13">
        <f>IF(OR(A4="",E4=""),"",COUNTIFS(Enquiries!$B:$B,A4,Enquiries!$C:$C,E4))</f>
        <v/>
      </c>
      <c r="N4" s="12" t="n"/>
    </row>
    <row r="5">
      <c r="A5" s="12" t="n"/>
      <c r="B5" s="14" t="n"/>
      <c r="C5" s="12" t="n"/>
      <c r="D5" s="12" t="n"/>
      <c r="E5" s="12" t="n"/>
      <c r="F5" s="12" t="n"/>
      <c r="G5" s="20" t="n"/>
      <c r="H5" s="21" t="n"/>
      <c r="I5" s="20" t="n"/>
      <c r="J5" s="20" t="n"/>
      <c r="K5" s="20" t="n"/>
      <c r="L5" s="20" t="n"/>
      <c r="M5" s="13">
        <f>IF(OR(A5="",E5=""),"",COUNTIFS(Enquiries!$B:$B,A5,Enquiries!$C:$C,E5))</f>
        <v/>
      </c>
      <c r="N5" s="12" t="n"/>
    </row>
    <row r="6">
      <c r="A6" s="12" t="n"/>
      <c r="B6" s="14" t="n"/>
      <c r="C6" s="12" t="n"/>
      <c r="D6" s="12" t="n"/>
      <c r="E6" s="12" t="n"/>
      <c r="F6" s="12" t="n"/>
      <c r="G6" s="20" t="n"/>
      <c r="H6" s="21" t="n"/>
      <c r="I6" s="20" t="n"/>
      <c r="J6" s="20" t="n"/>
      <c r="K6" s="20" t="n"/>
      <c r="L6" s="20" t="n"/>
      <c r="M6" s="13">
        <f>IF(OR(A6="",E6=""),"",COUNTIFS(Enquiries!$B:$B,A6,Enquiries!$C:$C,E6))</f>
        <v/>
      </c>
      <c r="N6" s="12" t="n"/>
    </row>
    <row r="7">
      <c r="A7" s="12" t="n"/>
      <c r="B7" s="14" t="n"/>
      <c r="C7" s="12" t="n"/>
      <c r="D7" s="12" t="n"/>
      <c r="E7" s="12" t="n"/>
      <c r="F7" s="12" t="n"/>
      <c r="G7" s="20" t="n"/>
      <c r="H7" s="21" t="n"/>
      <c r="I7" s="20" t="n"/>
      <c r="J7" s="20" t="n"/>
      <c r="K7" s="20" t="n"/>
      <c r="L7" s="20" t="n"/>
      <c r="M7" s="13">
        <f>IF(OR(A7="",E7=""),"",COUNTIFS(Enquiries!$B:$B,A7,Enquiries!$C:$C,E7))</f>
        <v/>
      </c>
      <c r="N7" s="12" t="n"/>
    </row>
    <row r="8">
      <c r="A8" s="12" t="n"/>
      <c r="B8" s="14" t="n"/>
      <c r="C8" s="12" t="n"/>
      <c r="D8" s="12" t="n"/>
      <c r="E8" s="12" t="n"/>
      <c r="F8" s="12" t="n"/>
      <c r="G8" s="20" t="n"/>
      <c r="H8" s="21" t="n"/>
      <c r="I8" s="20" t="n"/>
      <c r="J8" s="20" t="n"/>
      <c r="K8" s="20" t="n"/>
      <c r="L8" s="20" t="n"/>
      <c r="M8" s="13">
        <f>IF(OR(A8="",E8=""),"",COUNTIFS(Enquiries!$B:$B,A8,Enquiries!$C:$C,E8))</f>
        <v/>
      </c>
      <c r="N8" s="12" t="n"/>
    </row>
    <row r="9">
      <c r="A9" s="12" t="n"/>
      <c r="B9" s="14" t="n"/>
      <c r="C9" s="12" t="n"/>
      <c r="D9" s="12" t="n"/>
      <c r="E9" s="12" t="n"/>
      <c r="F9" s="12" t="n"/>
      <c r="G9" s="20" t="n"/>
      <c r="H9" s="21" t="n"/>
      <c r="I9" s="20" t="n"/>
      <c r="J9" s="20" t="n"/>
      <c r="K9" s="20" t="n"/>
      <c r="L9" s="20" t="n"/>
      <c r="M9" s="13">
        <f>IF(OR(A9="",E9=""),"",COUNTIFS(Enquiries!$B:$B,A9,Enquiries!$C:$C,E9))</f>
        <v/>
      </c>
      <c r="N9" s="12" t="n"/>
    </row>
    <row r="10">
      <c r="A10" s="12" t="n"/>
      <c r="B10" s="14" t="n"/>
      <c r="C10" s="12" t="n"/>
      <c r="D10" s="12" t="n"/>
      <c r="E10" s="12" t="n"/>
      <c r="F10" s="12" t="n"/>
      <c r="G10" s="20" t="n"/>
      <c r="H10" s="21" t="n"/>
      <c r="I10" s="20" t="n"/>
      <c r="J10" s="20" t="n"/>
      <c r="K10" s="20" t="n"/>
      <c r="L10" s="20" t="n"/>
      <c r="M10" s="13">
        <f>IF(OR(A10="",E10=""),"",COUNTIFS(Enquiries!$B:$B,A10,Enquiries!$C:$C,E10))</f>
        <v/>
      </c>
      <c r="N10" s="12" t="n"/>
    </row>
    <row r="11">
      <c r="A11" s="12" t="n"/>
      <c r="B11" s="14" t="n"/>
      <c r="C11" s="12" t="n"/>
      <c r="D11" s="12" t="n"/>
      <c r="E11" s="12" t="n"/>
      <c r="F11" s="12" t="n"/>
      <c r="G11" s="20" t="n"/>
      <c r="H11" s="21" t="n"/>
      <c r="I11" s="20" t="n"/>
      <c r="J11" s="20" t="n"/>
      <c r="K11" s="20" t="n"/>
      <c r="L11" s="20" t="n"/>
      <c r="M11" s="13">
        <f>IF(OR(A11="",E11=""),"",COUNTIFS(Enquiries!$B:$B,A11,Enquiries!$C:$C,E11))</f>
        <v/>
      </c>
      <c r="N11" s="12" t="n"/>
    </row>
    <row r="12">
      <c r="A12" s="12" t="n"/>
      <c r="B12" s="14" t="n"/>
      <c r="C12" s="12" t="n"/>
      <c r="D12" s="12" t="n"/>
      <c r="E12" s="12" t="n"/>
      <c r="F12" s="12" t="n"/>
      <c r="G12" s="20" t="n"/>
      <c r="H12" s="21" t="n"/>
      <c r="I12" s="20" t="n"/>
      <c r="J12" s="20" t="n"/>
      <c r="K12" s="20" t="n"/>
      <c r="L12" s="20" t="n"/>
      <c r="M12" s="13">
        <f>IF(OR(A12="",E12=""),"",COUNTIFS(Enquiries!$B:$B,A12,Enquiries!$C:$C,E12))</f>
        <v/>
      </c>
      <c r="N12" s="12" t="n"/>
    </row>
    <row r="13">
      <c r="A13" s="12" t="n"/>
      <c r="B13" s="14" t="n"/>
      <c r="C13" s="12" t="n"/>
      <c r="D13" s="12" t="n"/>
      <c r="E13" s="12" t="n"/>
      <c r="F13" s="12" t="n"/>
      <c r="G13" s="20" t="n"/>
      <c r="H13" s="21" t="n"/>
      <c r="I13" s="20" t="n"/>
      <c r="J13" s="20" t="n"/>
      <c r="K13" s="20" t="n"/>
      <c r="L13" s="20" t="n"/>
      <c r="M13" s="13">
        <f>IF(OR(A13="",E13=""),"",COUNTIFS(Enquiries!$B:$B,A13,Enquiries!$C:$C,E13))</f>
        <v/>
      </c>
      <c r="N13" s="12" t="n"/>
    </row>
    <row r="14">
      <c r="A14" s="12" t="n"/>
      <c r="B14" s="14" t="n"/>
      <c r="C14" s="12" t="n"/>
      <c r="D14" s="12" t="n"/>
      <c r="E14" s="12" t="n"/>
      <c r="F14" s="12" t="n"/>
      <c r="G14" s="20" t="n"/>
      <c r="H14" s="21" t="n"/>
      <c r="I14" s="20" t="n"/>
      <c r="J14" s="20" t="n"/>
      <c r="K14" s="20" t="n"/>
      <c r="L14" s="20" t="n"/>
      <c r="M14" s="13">
        <f>IF(OR(A14="",E14=""),"",COUNTIFS(Enquiries!$B:$B,A14,Enquiries!$C:$C,E14))</f>
        <v/>
      </c>
      <c r="N14" s="12" t="n"/>
    </row>
    <row r="15">
      <c r="A15" s="12" t="n"/>
      <c r="B15" s="14" t="n"/>
      <c r="C15" s="12" t="n"/>
      <c r="D15" s="12" t="n"/>
      <c r="E15" s="12" t="n"/>
      <c r="F15" s="12" t="n"/>
      <c r="G15" s="20" t="n"/>
      <c r="H15" s="21" t="n"/>
      <c r="I15" s="20" t="n"/>
      <c r="J15" s="20" t="n"/>
      <c r="K15" s="20" t="n"/>
      <c r="L15" s="20" t="n"/>
      <c r="M15" s="13">
        <f>IF(OR(A15="",E15=""),"",COUNTIFS(Enquiries!$B:$B,A15,Enquiries!$C:$C,E15))</f>
        <v/>
      </c>
      <c r="N15" s="12" t="n"/>
    </row>
    <row r="16">
      <c r="A16" s="12" t="n"/>
      <c r="B16" s="14" t="n"/>
      <c r="C16" s="12" t="n"/>
      <c r="D16" s="12" t="n"/>
      <c r="E16" s="12" t="n"/>
      <c r="F16" s="12" t="n"/>
      <c r="G16" s="20" t="n"/>
      <c r="H16" s="21" t="n"/>
      <c r="I16" s="20" t="n"/>
      <c r="J16" s="20" t="n"/>
      <c r="K16" s="20" t="n"/>
      <c r="L16" s="20" t="n"/>
      <c r="M16" s="13">
        <f>IF(OR(A16="",E16=""),"",COUNTIFS(Enquiries!$B:$B,A16,Enquiries!$C:$C,E16))</f>
        <v/>
      </c>
      <c r="N16" s="12" t="n"/>
    </row>
    <row r="17">
      <c r="A17" s="12" t="n"/>
      <c r="B17" s="14" t="n"/>
      <c r="C17" s="12" t="n"/>
      <c r="D17" s="12" t="n"/>
      <c r="E17" s="12" t="n"/>
      <c r="F17" s="12" t="n"/>
      <c r="G17" s="20" t="n"/>
      <c r="H17" s="21" t="n"/>
      <c r="I17" s="20" t="n"/>
      <c r="J17" s="20" t="n"/>
      <c r="K17" s="20" t="n"/>
      <c r="L17" s="20" t="n"/>
      <c r="M17" s="13">
        <f>IF(OR(A17="",E17=""),"",COUNTIFS(Enquiries!$B:$B,A17,Enquiries!$C:$C,E17))</f>
        <v/>
      </c>
      <c r="N17" s="12" t="n"/>
    </row>
    <row r="18">
      <c r="A18" s="12" t="n"/>
      <c r="B18" s="14" t="n"/>
      <c r="C18" s="12" t="n"/>
      <c r="D18" s="12" t="n"/>
      <c r="E18" s="12" t="n"/>
      <c r="F18" s="12" t="n"/>
      <c r="G18" s="20" t="n"/>
      <c r="H18" s="21" t="n"/>
      <c r="I18" s="20" t="n"/>
      <c r="J18" s="20" t="n"/>
      <c r="K18" s="20" t="n"/>
      <c r="L18" s="20" t="n"/>
      <c r="M18" s="13">
        <f>IF(OR(A18="",E18=""),"",COUNTIFS(Enquiries!$B:$B,A18,Enquiries!$C:$C,E18))</f>
        <v/>
      </c>
      <c r="N18" s="12" t="n"/>
    </row>
    <row r="19">
      <c r="A19" s="12" t="n"/>
      <c r="B19" s="14" t="n"/>
      <c r="C19" s="12" t="n"/>
      <c r="D19" s="12" t="n"/>
      <c r="E19" s="12" t="n"/>
      <c r="F19" s="12" t="n"/>
      <c r="G19" s="20" t="n"/>
      <c r="H19" s="21" t="n"/>
      <c r="I19" s="20" t="n"/>
      <c r="J19" s="20" t="n"/>
      <c r="K19" s="20" t="n"/>
      <c r="L19" s="20" t="n"/>
      <c r="M19" s="13">
        <f>IF(OR(A19="",E19=""),"",COUNTIFS(Enquiries!$B:$B,A19,Enquiries!$C:$C,E19))</f>
        <v/>
      </c>
      <c r="N19" s="12" t="n"/>
    </row>
    <row r="20">
      <c r="A20" s="12" t="n"/>
      <c r="B20" s="14" t="n"/>
      <c r="C20" s="12" t="n"/>
      <c r="D20" s="12" t="n"/>
      <c r="E20" s="12" t="n"/>
      <c r="F20" s="12" t="n"/>
      <c r="G20" s="20" t="n"/>
      <c r="H20" s="21" t="n"/>
      <c r="I20" s="20" t="n"/>
      <c r="J20" s="20" t="n"/>
      <c r="K20" s="20" t="n"/>
      <c r="L20" s="20" t="n"/>
      <c r="M20" s="13">
        <f>IF(OR(A20="",E20=""),"",COUNTIFS(Enquiries!$B:$B,A20,Enquiries!$C:$C,E20))</f>
        <v/>
      </c>
      <c r="N20" s="12" t="n"/>
    </row>
    <row r="21">
      <c r="A21" s="12" t="n"/>
      <c r="B21" s="14" t="n"/>
      <c r="C21" s="12" t="n"/>
      <c r="D21" s="12" t="n"/>
      <c r="E21" s="12" t="n"/>
      <c r="F21" s="12" t="n"/>
      <c r="G21" s="20" t="n"/>
      <c r="H21" s="21" t="n"/>
      <c r="I21" s="20" t="n"/>
      <c r="J21" s="20" t="n"/>
      <c r="K21" s="20" t="n"/>
      <c r="L21" s="20" t="n"/>
      <c r="M21" s="13">
        <f>IF(OR(A21="",E21=""),"",COUNTIFS(Enquiries!$B:$B,A21,Enquiries!$C:$C,E21))</f>
        <v/>
      </c>
      <c r="N21" s="12" t="n"/>
    </row>
    <row r="22">
      <c r="A22" s="12" t="n"/>
      <c r="B22" s="14" t="n"/>
      <c r="C22" s="12" t="n"/>
      <c r="D22" s="12" t="n"/>
      <c r="E22" s="12" t="n"/>
      <c r="F22" s="12" t="n"/>
      <c r="G22" s="20" t="n"/>
      <c r="H22" s="21" t="n"/>
      <c r="I22" s="20" t="n"/>
      <c r="J22" s="20" t="n"/>
      <c r="K22" s="20" t="n"/>
      <c r="L22" s="20" t="n"/>
      <c r="M22" s="13">
        <f>IF(OR(A22="",E22=""),"",COUNTIFS(Enquiries!$B:$B,A22,Enquiries!$C:$C,E22))</f>
        <v/>
      </c>
      <c r="N22" s="12" t="n"/>
    </row>
    <row r="23">
      <c r="A23" s="12" t="n"/>
      <c r="B23" s="14" t="n"/>
      <c r="C23" s="12" t="n"/>
      <c r="D23" s="12" t="n"/>
      <c r="E23" s="12" t="n"/>
      <c r="F23" s="12" t="n"/>
      <c r="G23" s="20" t="n"/>
      <c r="H23" s="21" t="n"/>
      <c r="I23" s="20" t="n"/>
      <c r="J23" s="20" t="n"/>
      <c r="K23" s="20" t="n"/>
      <c r="L23" s="20" t="n"/>
      <c r="M23" s="13">
        <f>IF(OR(A23="",E23=""),"",COUNTIFS(Enquiries!$B:$B,A23,Enquiries!$C:$C,E23))</f>
        <v/>
      </c>
      <c r="N23" s="12" t="n"/>
    </row>
    <row r="24">
      <c r="A24" s="12" t="n"/>
      <c r="B24" s="14" t="n"/>
      <c r="C24" s="12" t="n"/>
      <c r="D24" s="12" t="n"/>
      <c r="E24" s="12" t="n"/>
      <c r="F24" s="12" t="n"/>
      <c r="G24" s="20" t="n"/>
      <c r="H24" s="21" t="n"/>
      <c r="I24" s="20" t="n"/>
      <c r="J24" s="20" t="n"/>
      <c r="K24" s="20" t="n"/>
      <c r="L24" s="20" t="n"/>
      <c r="M24" s="13">
        <f>IF(OR(A24="",E24=""),"",COUNTIFS(Enquiries!$B:$B,A24,Enquiries!$C:$C,E24))</f>
        <v/>
      </c>
      <c r="N24" s="12" t="n"/>
    </row>
    <row r="25">
      <c r="A25" s="12" t="n"/>
      <c r="B25" s="14" t="n"/>
      <c r="C25" s="12" t="n"/>
      <c r="D25" s="12" t="n"/>
      <c r="E25" s="12" t="n"/>
      <c r="F25" s="12" t="n"/>
      <c r="G25" s="20" t="n"/>
      <c r="H25" s="21" t="n"/>
      <c r="I25" s="20" t="n"/>
      <c r="J25" s="20" t="n"/>
      <c r="K25" s="20" t="n"/>
      <c r="L25" s="20" t="n"/>
      <c r="M25" s="13">
        <f>IF(OR(A25="",E25=""),"",COUNTIFS(Enquiries!$B:$B,A25,Enquiries!$C:$C,E25))</f>
        <v/>
      </c>
      <c r="N25" s="12" t="n"/>
    </row>
    <row r="26">
      <c r="A26" s="12" t="n"/>
      <c r="B26" s="14" t="n"/>
      <c r="C26" s="12" t="n"/>
      <c r="D26" s="12" t="n"/>
      <c r="E26" s="12" t="n"/>
      <c r="F26" s="12" t="n"/>
      <c r="G26" s="20" t="n"/>
      <c r="H26" s="21" t="n"/>
      <c r="I26" s="20" t="n"/>
      <c r="J26" s="20" t="n"/>
      <c r="K26" s="20" t="n"/>
      <c r="L26" s="20" t="n"/>
      <c r="M26" s="13">
        <f>IF(OR(A26="",E26=""),"",COUNTIFS(Enquiries!$B:$B,A26,Enquiries!$C:$C,E26))</f>
        <v/>
      </c>
      <c r="N26" s="12" t="n"/>
    </row>
    <row r="27">
      <c r="A27" s="12" t="n"/>
      <c r="B27" s="14" t="n"/>
      <c r="C27" s="12" t="n"/>
      <c r="D27" s="12" t="n"/>
      <c r="E27" s="12" t="n"/>
      <c r="F27" s="12" t="n"/>
      <c r="G27" s="20" t="n"/>
      <c r="H27" s="21" t="n"/>
      <c r="I27" s="20" t="n"/>
      <c r="J27" s="20" t="n"/>
      <c r="K27" s="20" t="n"/>
      <c r="L27" s="20" t="n"/>
      <c r="M27" s="13">
        <f>IF(OR(A27="",E27=""),"",COUNTIFS(Enquiries!$B:$B,A27,Enquiries!$C:$C,E27))</f>
        <v/>
      </c>
      <c r="N27" s="12" t="n"/>
    </row>
    <row r="28">
      <c r="A28" s="12" t="n"/>
      <c r="B28" s="14" t="n"/>
      <c r="C28" s="12" t="n"/>
      <c r="D28" s="12" t="n"/>
      <c r="E28" s="12" t="n"/>
      <c r="F28" s="12" t="n"/>
      <c r="G28" s="20" t="n"/>
      <c r="H28" s="21" t="n"/>
      <c r="I28" s="20" t="n"/>
      <c r="J28" s="20" t="n"/>
      <c r="K28" s="20" t="n"/>
      <c r="L28" s="20" t="n"/>
      <c r="M28" s="13">
        <f>IF(OR(A28="",E28=""),"",COUNTIFS(Enquiries!$B:$B,A28,Enquiries!$C:$C,E28))</f>
        <v/>
      </c>
      <c r="N28" s="12" t="n"/>
    </row>
    <row r="29">
      <c r="A29" s="12" t="n"/>
      <c r="B29" s="14" t="n"/>
      <c r="C29" s="12" t="n"/>
      <c r="D29" s="12" t="n"/>
      <c r="E29" s="12" t="n"/>
      <c r="F29" s="12" t="n"/>
      <c r="G29" s="20" t="n"/>
      <c r="H29" s="21" t="n"/>
      <c r="I29" s="20" t="n"/>
      <c r="J29" s="20" t="n"/>
      <c r="K29" s="20" t="n"/>
      <c r="L29" s="20" t="n"/>
      <c r="M29" s="13">
        <f>IF(OR(A29="",E29=""),"",COUNTIFS(Enquiries!$B:$B,A29,Enquiries!$C:$C,E29))</f>
        <v/>
      </c>
      <c r="N29" s="12" t="n"/>
    </row>
    <row r="30">
      <c r="A30" s="12" t="n"/>
      <c r="B30" s="14" t="n"/>
      <c r="C30" s="12" t="n"/>
      <c r="D30" s="12" t="n"/>
      <c r="E30" s="12" t="n"/>
      <c r="F30" s="12" t="n"/>
      <c r="G30" s="20" t="n"/>
      <c r="H30" s="21" t="n"/>
      <c r="I30" s="20" t="n"/>
      <c r="J30" s="20" t="n"/>
      <c r="K30" s="20" t="n"/>
      <c r="L30" s="20" t="n"/>
      <c r="M30" s="13">
        <f>IF(OR(A30="",E30=""),"",COUNTIFS(Enquiries!$B:$B,A30,Enquiries!$C:$C,E30))</f>
        <v/>
      </c>
      <c r="N30" s="12" t="n"/>
    </row>
    <row r="31">
      <c r="A31" s="12" t="n"/>
      <c r="B31" s="14" t="n"/>
      <c r="C31" s="12" t="n"/>
      <c r="D31" s="12" t="n"/>
      <c r="E31" s="12" t="n"/>
      <c r="F31" s="12" t="n"/>
      <c r="G31" s="20" t="n"/>
      <c r="H31" s="21" t="n"/>
      <c r="I31" s="20" t="n"/>
      <c r="J31" s="20" t="n"/>
      <c r="K31" s="20" t="n"/>
      <c r="L31" s="20" t="n"/>
      <c r="M31" s="13">
        <f>IF(OR(A31="",E31=""),"",COUNTIFS(Enquiries!$B:$B,A31,Enquiries!$C:$C,E31))</f>
        <v/>
      </c>
      <c r="N31" s="12" t="n"/>
    </row>
    <row r="32">
      <c r="A32" s="12" t="n"/>
      <c r="B32" s="14" t="n"/>
      <c r="C32" s="12" t="n"/>
      <c r="D32" s="12" t="n"/>
      <c r="E32" s="12" t="n"/>
      <c r="F32" s="12" t="n"/>
      <c r="G32" s="20" t="n"/>
      <c r="H32" s="21" t="n"/>
      <c r="I32" s="20" t="n"/>
      <c r="J32" s="20" t="n"/>
      <c r="K32" s="20" t="n"/>
      <c r="L32" s="20" t="n"/>
      <c r="M32" s="13">
        <f>IF(OR(A32="",E32=""),"",COUNTIFS(Enquiries!$B:$B,A32,Enquiries!$C:$C,E32))</f>
        <v/>
      </c>
      <c r="N32" s="12" t="n"/>
    </row>
    <row r="33">
      <c r="A33" s="12" t="n"/>
      <c r="B33" s="14" t="n"/>
      <c r="C33" s="12" t="n"/>
      <c r="D33" s="12" t="n"/>
      <c r="E33" s="12" t="n"/>
      <c r="F33" s="12" t="n"/>
      <c r="G33" s="20" t="n"/>
      <c r="H33" s="21" t="n"/>
      <c r="I33" s="20" t="n"/>
      <c r="J33" s="20" t="n"/>
      <c r="K33" s="20" t="n"/>
      <c r="L33" s="20" t="n"/>
      <c r="M33" s="13">
        <f>IF(OR(A33="",E33=""),"",COUNTIFS(Enquiries!$B:$B,A33,Enquiries!$C:$C,E33))</f>
        <v/>
      </c>
      <c r="N33" s="12" t="n"/>
    </row>
    <row r="34">
      <c r="A34" s="12" t="n"/>
      <c r="B34" s="14" t="n"/>
      <c r="C34" s="12" t="n"/>
      <c r="D34" s="12" t="n"/>
      <c r="E34" s="12" t="n"/>
      <c r="F34" s="12" t="n"/>
      <c r="G34" s="20" t="n"/>
      <c r="H34" s="21" t="n"/>
      <c r="I34" s="20" t="n"/>
      <c r="J34" s="20" t="n"/>
      <c r="K34" s="20" t="n"/>
      <c r="L34" s="20" t="n"/>
      <c r="M34" s="13">
        <f>IF(OR(A34="",E34=""),"",COUNTIFS(Enquiries!$B:$B,A34,Enquiries!$C:$C,E34))</f>
        <v/>
      </c>
      <c r="N34" s="12" t="n"/>
    </row>
    <row r="35">
      <c r="A35" s="12" t="n"/>
      <c r="B35" s="14" t="n"/>
      <c r="C35" s="12" t="n"/>
      <c r="D35" s="12" t="n"/>
      <c r="E35" s="12" t="n"/>
      <c r="F35" s="12" t="n"/>
      <c r="G35" s="20" t="n"/>
      <c r="H35" s="21" t="n"/>
      <c r="I35" s="20" t="n"/>
      <c r="J35" s="20" t="n"/>
      <c r="K35" s="20" t="n"/>
      <c r="L35" s="20" t="n"/>
      <c r="M35" s="13">
        <f>IF(OR(A35="",E35=""),"",COUNTIFS(Enquiries!$B:$B,A35,Enquiries!$C:$C,E35))</f>
        <v/>
      </c>
      <c r="N35" s="12" t="n"/>
    </row>
    <row r="36">
      <c r="A36" s="12" t="n"/>
      <c r="B36" s="14" t="n"/>
      <c r="C36" s="12" t="n"/>
      <c r="D36" s="12" t="n"/>
      <c r="E36" s="12" t="n"/>
      <c r="F36" s="12" t="n"/>
      <c r="G36" s="20" t="n"/>
      <c r="H36" s="21" t="n"/>
      <c r="I36" s="20" t="n"/>
      <c r="J36" s="20" t="n"/>
      <c r="K36" s="20" t="n"/>
      <c r="L36" s="20" t="n"/>
      <c r="M36" s="13">
        <f>IF(OR(A36="",E36=""),"",COUNTIFS(Enquiries!$B:$B,A36,Enquiries!$C:$C,E36))</f>
        <v/>
      </c>
      <c r="N36" s="12" t="n"/>
    </row>
    <row r="37">
      <c r="A37" s="12" t="n"/>
      <c r="B37" s="14" t="n"/>
      <c r="C37" s="12" t="n"/>
      <c r="D37" s="12" t="n"/>
      <c r="E37" s="12" t="n"/>
      <c r="F37" s="12" t="n"/>
      <c r="G37" s="20" t="n"/>
      <c r="H37" s="21" t="n"/>
      <c r="I37" s="20" t="n"/>
      <c r="J37" s="20" t="n"/>
      <c r="K37" s="20" t="n"/>
      <c r="L37" s="20" t="n"/>
      <c r="M37" s="13">
        <f>IF(OR(A37="",E37=""),"",COUNTIFS(Enquiries!$B:$B,A37,Enquiries!$C:$C,E37))</f>
        <v/>
      </c>
      <c r="N37" s="12" t="n"/>
    </row>
    <row r="38">
      <c r="A38" s="12" t="n"/>
      <c r="B38" s="14" t="n"/>
      <c r="C38" s="12" t="n"/>
      <c r="D38" s="12" t="n"/>
      <c r="E38" s="12" t="n"/>
      <c r="F38" s="12" t="n"/>
      <c r="G38" s="20" t="n"/>
      <c r="H38" s="21" t="n"/>
      <c r="I38" s="20" t="n"/>
      <c r="J38" s="20" t="n"/>
      <c r="K38" s="20" t="n"/>
      <c r="L38" s="20" t="n"/>
      <c r="M38" s="13">
        <f>IF(OR(A38="",E38=""),"",COUNTIFS(Enquiries!$B:$B,A38,Enquiries!$C:$C,E38))</f>
        <v/>
      </c>
      <c r="N38" s="12" t="n"/>
    </row>
    <row r="39">
      <c r="A39" s="12" t="n"/>
      <c r="B39" s="14" t="n"/>
      <c r="C39" s="12" t="n"/>
      <c r="D39" s="12" t="n"/>
      <c r="E39" s="12" t="n"/>
      <c r="F39" s="12" t="n"/>
      <c r="G39" s="20" t="n"/>
      <c r="H39" s="21" t="n"/>
      <c r="I39" s="20" t="n"/>
      <c r="J39" s="20" t="n"/>
      <c r="K39" s="20" t="n"/>
      <c r="L39" s="20" t="n"/>
      <c r="M39" s="13">
        <f>IF(OR(A39="",E39=""),"",COUNTIFS(Enquiries!$B:$B,A39,Enquiries!$C:$C,E39))</f>
        <v/>
      </c>
      <c r="N39" s="12" t="n"/>
    </row>
    <row r="40">
      <c r="A40" s="12" t="n"/>
      <c r="B40" s="14" t="n"/>
      <c r="C40" s="12" t="n"/>
      <c r="D40" s="12" t="n"/>
      <c r="E40" s="12" t="n"/>
      <c r="F40" s="12" t="n"/>
      <c r="G40" s="20" t="n"/>
      <c r="H40" s="21" t="n"/>
      <c r="I40" s="20" t="n"/>
      <c r="J40" s="20" t="n"/>
      <c r="K40" s="20" t="n"/>
      <c r="L40" s="20" t="n"/>
      <c r="M40" s="13">
        <f>IF(OR(A40="",E40=""),"",COUNTIFS(Enquiries!$B:$B,A40,Enquiries!$C:$C,E40))</f>
        <v/>
      </c>
      <c r="N40" s="12" t="n"/>
    </row>
    <row r="41">
      <c r="A41" s="12" t="n"/>
      <c r="B41" s="14" t="n"/>
      <c r="C41" s="12" t="n"/>
      <c r="D41" s="12" t="n"/>
      <c r="E41" s="12" t="n"/>
      <c r="F41" s="12" t="n"/>
      <c r="G41" s="20" t="n"/>
      <c r="H41" s="21" t="n"/>
      <c r="I41" s="20" t="n"/>
      <c r="J41" s="20" t="n"/>
      <c r="K41" s="20" t="n"/>
      <c r="L41" s="20" t="n"/>
      <c r="M41" s="13">
        <f>IF(OR(A41="",E41=""),"",COUNTIFS(Enquiries!$B:$B,A41,Enquiries!$C:$C,E41))</f>
        <v/>
      </c>
      <c r="N41" s="12" t="n"/>
    </row>
    <row r="42">
      <c r="A42" s="12" t="n"/>
      <c r="B42" s="14" t="n"/>
      <c r="C42" s="12" t="n"/>
      <c r="D42" s="12" t="n"/>
      <c r="E42" s="12" t="n"/>
      <c r="F42" s="12" t="n"/>
      <c r="G42" s="20" t="n"/>
      <c r="H42" s="21" t="n"/>
      <c r="I42" s="20" t="n"/>
      <c r="J42" s="20" t="n"/>
      <c r="K42" s="20" t="n"/>
      <c r="L42" s="20" t="n"/>
      <c r="M42" s="13">
        <f>IF(OR(A42="",E42=""),"",COUNTIFS(Enquiries!$B:$B,A42,Enquiries!$C:$C,E42))</f>
        <v/>
      </c>
      <c r="N42" s="12" t="n"/>
    </row>
    <row r="43">
      <c r="A43" s="12" t="n"/>
      <c r="B43" s="14" t="n"/>
      <c r="C43" s="12" t="n"/>
      <c r="D43" s="12" t="n"/>
      <c r="E43" s="12" t="n"/>
      <c r="F43" s="12" t="n"/>
      <c r="G43" s="20" t="n"/>
      <c r="H43" s="21" t="n"/>
      <c r="I43" s="20" t="n"/>
      <c r="J43" s="20" t="n"/>
      <c r="K43" s="20" t="n"/>
      <c r="L43" s="20" t="n"/>
      <c r="M43" s="13">
        <f>IF(OR(A43="",E43=""),"",COUNTIFS(Enquiries!$B:$B,A43,Enquiries!$C:$C,E43))</f>
        <v/>
      </c>
      <c r="N43" s="12" t="n"/>
    </row>
    <row r="44">
      <c r="A44" s="12" t="n"/>
      <c r="B44" s="14" t="n"/>
      <c r="C44" s="12" t="n"/>
      <c r="D44" s="12" t="n"/>
      <c r="E44" s="12" t="n"/>
      <c r="F44" s="12" t="n"/>
      <c r="G44" s="20" t="n"/>
      <c r="H44" s="21" t="n"/>
      <c r="I44" s="20" t="n"/>
      <c r="J44" s="20" t="n"/>
      <c r="K44" s="20" t="n"/>
      <c r="L44" s="20" t="n"/>
      <c r="M44" s="13">
        <f>IF(OR(A44="",E44=""),"",COUNTIFS(Enquiries!$B:$B,A44,Enquiries!$C:$C,E44))</f>
        <v/>
      </c>
      <c r="N44" s="12" t="n"/>
    </row>
    <row r="45">
      <c r="A45" s="12" t="n"/>
      <c r="B45" s="14" t="n"/>
      <c r="C45" s="12" t="n"/>
      <c r="D45" s="12" t="n"/>
      <c r="E45" s="12" t="n"/>
      <c r="F45" s="12" t="n"/>
      <c r="G45" s="20" t="n"/>
      <c r="H45" s="21" t="n"/>
      <c r="I45" s="20" t="n"/>
      <c r="J45" s="20" t="n"/>
      <c r="K45" s="20" t="n"/>
      <c r="L45" s="20" t="n"/>
      <c r="M45" s="13">
        <f>IF(OR(A45="",E45=""),"",COUNTIFS(Enquiries!$B:$B,A45,Enquiries!$C:$C,E45))</f>
        <v/>
      </c>
      <c r="N45" s="12" t="n"/>
    </row>
    <row r="46">
      <c r="A46" s="12" t="n"/>
      <c r="B46" s="14" t="n"/>
      <c r="C46" s="12" t="n"/>
      <c r="D46" s="12" t="n"/>
      <c r="E46" s="12" t="n"/>
      <c r="F46" s="12" t="n"/>
      <c r="G46" s="20" t="n"/>
      <c r="H46" s="21" t="n"/>
      <c r="I46" s="20" t="n"/>
      <c r="J46" s="20" t="n"/>
      <c r="K46" s="20" t="n"/>
      <c r="L46" s="20" t="n"/>
      <c r="M46" s="13">
        <f>IF(OR(A46="",E46=""),"",COUNTIFS(Enquiries!$B:$B,A46,Enquiries!$C:$C,E46))</f>
        <v/>
      </c>
      <c r="N46" s="12" t="n"/>
    </row>
    <row r="47">
      <c r="A47" s="12" t="n"/>
      <c r="B47" s="14" t="n"/>
      <c r="C47" s="12" t="n"/>
      <c r="D47" s="12" t="n"/>
      <c r="E47" s="12" t="n"/>
      <c r="F47" s="12" t="n"/>
      <c r="G47" s="20" t="n"/>
      <c r="H47" s="21" t="n"/>
      <c r="I47" s="20" t="n"/>
      <c r="J47" s="20" t="n"/>
      <c r="K47" s="20" t="n"/>
      <c r="L47" s="20" t="n"/>
      <c r="M47" s="13">
        <f>IF(OR(A47="",E47=""),"",COUNTIFS(Enquiries!$B:$B,A47,Enquiries!$C:$C,E47))</f>
        <v/>
      </c>
      <c r="N47" s="12" t="n"/>
    </row>
    <row r="48">
      <c r="A48" s="12" t="n"/>
      <c r="B48" s="14" t="n"/>
      <c r="C48" s="12" t="n"/>
      <c r="D48" s="12" t="n"/>
      <c r="E48" s="12" t="n"/>
      <c r="F48" s="12" t="n"/>
      <c r="G48" s="20" t="n"/>
      <c r="H48" s="21" t="n"/>
      <c r="I48" s="20" t="n"/>
      <c r="J48" s="20" t="n"/>
      <c r="K48" s="20" t="n"/>
      <c r="L48" s="20" t="n"/>
      <c r="M48" s="13">
        <f>IF(OR(A48="",E48=""),"",COUNTIFS(Enquiries!$B:$B,A48,Enquiries!$C:$C,E48))</f>
        <v/>
      </c>
      <c r="N48" s="12" t="n"/>
    </row>
    <row r="49">
      <c r="A49" s="12" t="n"/>
      <c r="B49" s="14" t="n"/>
      <c r="C49" s="12" t="n"/>
      <c r="D49" s="12" t="n"/>
      <c r="E49" s="12" t="n"/>
      <c r="F49" s="12" t="n"/>
      <c r="G49" s="20" t="n"/>
      <c r="H49" s="21" t="n"/>
      <c r="I49" s="20" t="n"/>
      <c r="J49" s="20" t="n"/>
      <c r="K49" s="20" t="n"/>
      <c r="L49" s="20" t="n"/>
      <c r="M49" s="13">
        <f>IF(OR(A49="",E49=""),"",COUNTIFS(Enquiries!$B:$B,A49,Enquiries!$C:$C,E49))</f>
        <v/>
      </c>
      <c r="N49" s="12" t="n"/>
    </row>
    <row r="50">
      <c r="A50" s="12" t="n"/>
      <c r="B50" s="14" t="n"/>
      <c r="C50" s="12" t="n"/>
      <c r="D50" s="12" t="n"/>
      <c r="E50" s="12" t="n"/>
      <c r="F50" s="12" t="n"/>
      <c r="G50" s="20" t="n"/>
      <c r="H50" s="21" t="n"/>
      <c r="I50" s="20" t="n"/>
      <c r="J50" s="20" t="n"/>
      <c r="K50" s="20" t="n"/>
      <c r="L50" s="20" t="n"/>
      <c r="M50" s="13">
        <f>IF(OR(A50="",E50=""),"",COUNTIFS(Enquiries!$B:$B,A50,Enquiries!$C:$C,E50))</f>
        <v/>
      </c>
      <c r="N50" s="12" t="n"/>
    </row>
    <row r="51">
      <c r="A51" s="12" t="n"/>
      <c r="B51" s="14" t="n"/>
      <c r="C51" s="12" t="n"/>
      <c r="D51" s="12" t="n"/>
      <c r="E51" s="12" t="n"/>
      <c r="F51" s="12" t="n"/>
      <c r="G51" s="20" t="n"/>
      <c r="H51" s="21" t="n"/>
      <c r="I51" s="20" t="n"/>
      <c r="J51" s="20" t="n"/>
      <c r="K51" s="20" t="n"/>
      <c r="L51" s="20" t="n"/>
      <c r="M51" s="13">
        <f>IF(OR(A51="",E51=""),"",COUNTIFS(Enquiries!$B:$B,A51,Enquiries!$C:$C,E51))</f>
        <v/>
      </c>
      <c r="N51" s="12" t="n"/>
    </row>
    <row r="52">
      <c r="A52" s="12" t="n"/>
      <c r="B52" s="14" t="n"/>
      <c r="C52" s="12" t="n"/>
      <c r="D52" s="12" t="n"/>
      <c r="E52" s="12" t="n"/>
      <c r="F52" s="12" t="n"/>
      <c r="G52" s="20" t="n"/>
      <c r="H52" s="21" t="n"/>
      <c r="I52" s="20" t="n"/>
      <c r="J52" s="20" t="n"/>
      <c r="K52" s="20" t="n"/>
      <c r="L52" s="20" t="n"/>
      <c r="M52" s="13">
        <f>IF(OR(A52="",E52=""),"",COUNTIFS(Enquiries!$B:$B,A52,Enquiries!$C:$C,E52))</f>
        <v/>
      </c>
      <c r="N52" s="12" t="n"/>
    </row>
    <row r="53">
      <c r="A53" s="12" t="n"/>
      <c r="B53" s="14" t="n"/>
      <c r="C53" s="12" t="n"/>
      <c r="D53" s="12" t="n"/>
      <c r="E53" s="12" t="n"/>
      <c r="F53" s="12" t="n"/>
      <c r="G53" s="20" t="n"/>
      <c r="H53" s="21" t="n"/>
      <c r="I53" s="20" t="n"/>
      <c r="J53" s="20" t="n"/>
      <c r="K53" s="20" t="n"/>
      <c r="L53" s="20" t="n"/>
      <c r="M53" s="13">
        <f>IF(OR(A53="",E53=""),"",COUNTIFS(Enquiries!$B:$B,A53,Enquiries!$C:$C,E53))</f>
        <v/>
      </c>
      <c r="N53" s="12" t="n"/>
    </row>
    <row r="54">
      <c r="A54" s="12" t="n"/>
      <c r="B54" s="14" t="n"/>
      <c r="C54" s="12" t="n"/>
      <c r="D54" s="12" t="n"/>
      <c r="E54" s="12" t="n"/>
      <c r="F54" s="12" t="n"/>
      <c r="G54" s="20" t="n"/>
      <c r="H54" s="21" t="n"/>
      <c r="I54" s="20" t="n"/>
      <c r="J54" s="20" t="n"/>
      <c r="K54" s="20" t="n"/>
      <c r="L54" s="20" t="n"/>
      <c r="M54" s="13">
        <f>IF(OR(A54="",E54=""),"",COUNTIFS(Enquiries!$B:$B,A54,Enquiries!$C:$C,E54))</f>
        <v/>
      </c>
      <c r="N54" s="12" t="n"/>
    </row>
    <row r="55">
      <c r="A55" s="12" t="n"/>
      <c r="B55" s="14" t="n"/>
      <c r="C55" s="12" t="n"/>
      <c r="D55" s="12" t="n"/>
      <c r="E55" s="12" t="n"/>
      <c r="F55" s="12" t="n"/>
      <c r="G55" s="20" t="n"/>
      <c r="H55" s="21" t="n"/>
      <c r="I55" s="20" t="n"/>
      <c r="J55" s="20" t="n"/>
      <c r="K55" s="20" t="n"/>
      <c r="L55" s="20" t="n"/>
      <c r="M55" s="13">
        <f>IF(OR(A55="",E55=""),"",COUNTIFS(Enquiries!$B:$B,A55,Enquiries!$C:$C,E55))</f>
        <v/>
      </c>
      <c r="N55" s="12" t="n"/>
    </row>
    <row r="56">
      <c r="A56" s="12" t="n"/>
      <c r="B56" s="14" t="n"/>
      <c r="C56" s="12" t="n"/>
      <c r="D56" s="12" t="n"/>
      <c r="E56" s="12" t="n"/>
      <c r="F56" s="12" t="n"/>
      <c r="G56" s="20" t="n"/>
      <c r="H56" s="21" t="n"/>
      <c r="I56" s="20" t="n"/>
      <c r="J56" s="20" t="n"/>
      <c r="K56" s="20" t="n"/>
      <c r="L56" s="20" t="n"/>
      <c r="M56" s="13">
        <f>IF(OR(A56="",E56=""),"",COUNTIFS(Enquiries!$B:$B,A56,Enquiries!$C:$C,E56))</f>
        <v/>
      </c>
      <c r="N56" s="12" t="n"/>
    </row>
    <row r="57">
      <c r="A57" s="12" t="n"/>
      <c r="B57" s="14" t="n"/>
      <c r="C57" s="12" t="n"/>
      <c r="D57" s="12" t="n"/>
      <c r="E57" s="12" t="n"/>
      <c r="F57" s="12" t="n"/>
      <c r="G57" s="20" t="n"/>
      <c r="H57" s="21" t="n"/>
      <c r="I57" s="20" t="n"/>
      <c r="J57" s="20" t="n"/>
      <c r="K57" s="20" t="n"/>
      <c r="L57" s="20" t="n"/>
      <c r="M57" s="13">
        <f>IF(OR(A57="",E57=""),"",COUNTIFS(Enquiries!$B:$B,A57,Enquiries!$C:$C,E57))</f>
        <v/>
      </c>
      <c r="N57" s="12" t="n"/>
    </row>
    <row r="58">
      <c r="A58" s="12" t="n"/>
      <c r="B58" s="14" t="n"/>
      <c r="C58" s="12" t="n"/>
      <c r="D58" s="12" t="n"/>
      <c r="E58" s="12" t="n"/>
      <c r="F58" s="12" t="n"/>
      <c r="G58" s="20" t="n"/>
      <c r="H58" s="21" t="n"/>
      <c r="I58" s="20" t="n"/>
      <c r="J58" s="20" t="n"/>
      <c r="K58" s="20" t="n"/>
      <c r="L58" s="20" t="n"/>
      <c r="M58" s="13">
        <f>IF(OR(A58="",E58=""),"",COUNTIFS(Enquiries!$B:$B,A58,Enquiries!$C:$C,E58))</f>
        <v/>
      </c>
      <c r="N58" s="12" t="n"/>
    </row>
    <row r="59">
      <c r="A59" s="12" t="n"/>
      <c r="B59" s="14" t="n"/>
      <c r="C59" s="12" t="n"/>
      <c r="D59" s="12" t="n"/>
      <c r="E59" s="12" t="n"/>
      <c r="F59" s="12" t="n"/>
      <c r="G59" s="20" t="n"/>
      <c r="H59" s="21" t="n"/>
      <c r="I59" s="20" t="n"/>
      <c r="J59" s="20" t="n"/>
      <c r="K59" s="20" t="n"/>
      <c r="L59" s="20" t="n"/>
      <c r="M59" s="13">
        <f>IF(OR(A59="",E59=""),"",COUNTIFS(Enquiries!$B:$B,A59,Enquiries!$C:$C,E59))</f>
        <v/>
      </c>
      <c r="N59" s="12" t="n"/>
    </row>
    <row r="60">
      <c r="A60" s="12" t="n"/>
      <c r="B60" s="14" t="n"/>
      <c r="C60" s="12" t="n"/>
      <c r="D60" s="12" t="n"/>
      <c r="E60" s="12" t="n"/>
      <c r="F60" s="12" t="n"/>
      <c r="G60" s="20" t="n"/>
      <c r="H60" s="21" t="n"/>
      <c r="I60" s="20" t="n"/>
      <c r="J60" s="20" t="n"/>
      <c r="K60" s="20" t="n"/>
      <c r="L60" s="20" t="n"/>
      <c r="M60" s="13">
        <f>IF(OR(A60="",E60=""),"",COUNTIFS(Enquiries!$B:$B,A60,Enquiries!$C:$C,E60))</f>
        <v/>
      </c>
      <c r="N60" s="12" t="n"/>
    </row>
    <row r="61">
      <c r="A61" s="12" t="n"/>
      <c r="B61" s="14" t="n"/>
      <c r="C61" s="12" t="n"/>
      <c r="D61" s="12" t="n"/>
      <c r="E61" s="12" t="n"/>
      <c r="F61" s="12" t="n"/>
      <c r="G61" s="20" t="n"/>
      <c r="H61" s="21" t="n"/>
      <c r="I61" s="20" t="n"/>
      <c r="J61" s="20" t="n"/>
      <c r="K61" s="20" t="n"/>
      <c r="L61" s="20" t="n"/>
      <c r="M61" s="13">
        <f>IF(OR(A61="",E61=""),"",COUNTIFS(Enquiries!$B:$B,A61,Enquiries!$C:$C,E61))</f>
        <v/>
      </c>
      <c r="N61" s="12" t="n"/>
    </row>
    <row r="62">
      <c r="A62" s="12" t="n"/>
      <c r="B62" s="14" t="n"/>
      <c r="C62" s="12" t="n"/>
      <c r="D62" s="12" t="n"/>
      <c r="E62" s="12" t="n"/>
      <c r="F62" s="12" t="n"/>
      <c r="G62" s="20" t="n"/>
      <c r="H62" s="21" t="n"/>
      <c r="I62" s="20" t="n"/>
      <c r="J62" s="20" t="n"/>
      <c r="K62" s="20" t="n"/>
      <c r="L62" s="20" t="n"/>
      <c r="M62" s="13">
        <f>IF(OR(A62="",E62=""),"",COUNTIFS(Enquiries!$B:$B,A62,Enquiries!$C:$C,E62))</f>
        <v/>
      </c>
      <c r="N62" s="12" t="n"/>
    </row>
    <row r="63">
      <c r="A63" s="12" t="n"/>
      <c r="B63" s="14" t="n"/>
      <c r="C63" s="12" t="n"/>
      <c r="D63" s="12" t="n"/>
      <c r="E63" s="12" t="n"/>
      <c r="F63" s="12" t="n"/>
      <c r="G63" s="20" t="n"/>
      <c r="H63" s="21" t="n"/>
      <c r="I63" s="20" t="n"/>
      <c r="J63" s="20" t="n"/>
      <c r="K63" s="20" t="n"/>
      <c r="L63" s="20" t="n"/>
      <c r="M63" s="13">
        <f>IF(OR(A63="",E63=""),"",COUNTIFS(Enquiries!$B:$B,A63,Enquiries!$C:$C,E63))</f>
        <v/>
      </c>
      <c r="N63" s="12" t="n"/>
    </row>
    <row r="64">
      <c r="A64" s="12" t="n"/>
      <c r="B64" s="14" t="n"/>
      <c r="C64" s="12" t="n"/>
      <c r="D64" s="12" t="n"/>
      <c r="E64" s="12" t="n"/>
      <c r="F64" s="12" t="n"/>
      <c r="G64" s="20" t="n"/>
      <c r="H64" s="21" t="n"/>
      <c r="I64" s="20" t="n"/>
      <c r="J64" s="20" t="n"/>
      <c r="K64" s="20" t="n"/>
      <c r="L64" s="20" t="n"/>
      <c r="M64" s="13">
        <f>IF(OR(A64="",E64=""),"",COUNTIFS(Enquiries!$B:$B,A64,Enquiries!$C:$C,E64))</f>
        <v/>
      </c>
      <c r="N64" s="12" t="n"/>
    </row>
    <row r="65">
      <c r="A65" s="12" t="n"/>
      <c r="B65" s="14" t="n"/>
      <c r="C65" s="12" t="n"/>
      <c r="D65" s="12" t="n"/>
      <c r="E65" s="12" t="n"/>
      <c r="F65" s="12" t="n"/>
      <c r="G65" s="20" t="n"/>
      <c r="H65" s="21" t="n"/>
      <c r="I65" s="20" t="n"/>
      <c r="J65" s="20" t="n"/>
      <c r="K65" s="20" t="n"/>
      <c r="L65" s="20" t="n"/>
      <c r="M65" s="13">
        <f>IF(OR(A65="",E65=""),"",COUNTIFS(Enquiries!$B:$B,A65,Enquiries!$C:$C,E65))</f>
        <v/>
      </c>
      <c r="N65" s="12" t="n"/>
    </row>
    <row r="66">
      <c r="A66" s="12" t="n"/>
      <c r="B66" s="14" t="n"/>
      <c r="C66" s="12" t="n"/>
      <c r="D66" s="12" t="n"/>
      <c r="E66" s="12" t="n"/>
      <c r="F66" s="12" t="n"/>
      <c r="G66" s="20" t="n"/>
      <c r="H66" s="21" t="n"/>
      <c r="I66" s="20" t="n"/>
      <c r="J66" s="20" t="n"/>
      <c r="K66" s="20" t="n"/>
      <c r="L66" s="20" t="n"/>
      <c r="M66" s="13">
        <f>IF(OR(A66="",E66=""),"",COUNTIFS(Enquiries!$B:$B,A66,Enquiries!$C:$C,E66))</f>
        <v/>
      </c>
      <c r="N66" s="12" t="n"/>
    </row>
    <row r="67">
      <c r="A67" s="12" t="n"/>
      <c r="B67" s="14" t="n"/>
      <c r="C67" s="12" t="n"/>
      <c r="D67" s="12" t="n"/>
      <c r="E67" s="12" t="n"/>
      <c r="F67" s="12" t="n"/>
      <c r="G67" s="20" t="n"/>
      <c r="H67" s="21" t="n"/>
      <c r="I67" s="20" t="n"/>
      <c r="J67" s="20" t="n"/>
      <c r="K67" s="20" t="n"/>
      <c r="L67" s="20" t="n"/>
      <c r="M67" s="13">
        <f>IF(OR(A67="",E67=""),"",COUNTIFS(Enquiries!$B:$B,A67,Enquiries!$C:$C,E67))</f>
        <v/>
      </c>
      <c r="N67" s="12" t="n"/>
    </row>
    <row r="68">
      <c r="A68" s="12" t="n"/>
      <c r="B68" s="14" t="n"/>
      <c r="C68" s="12" t="n"/>
      <c r="D68" s="12" t="n"/>
      <c r="E68" s="12" t="n"/>
      <c r="F68" s="12" t="n"/>
      <c r="G68" s="20" t="n"/>
      <c r="H68" s="21" t="n"/>
      <c r="I68" s="20" t="n"/>
      <c r="J68" s="20" t="n"/>
      <c r="K68" s="20" t="n"/>
      <c r="L68" s="20" t="n"/>
      <c r="M68" s="13">
        <f>IF(OR(A68="",E68=""),"",COUNTIFS(Enquiries!$B:$B,A68,Enquiries!$C:$C,E68))</f>
        <v/>
      </c>
      <c r="N68" s="12" t="n"/>
    </row>
    <row r="69">
      <c r="A69" s="12" t="n"/>
      <c r="B69" s="14" t="n"/>
      <c r="C69" s="12" t="n"/>
      <c r="D69" s="12" t="n"/>
      <c r="E69" s="12" t="n"/>
      <c r="F69" s="12" t="n"/>
      <c r="G69" s="20" t="n"/>
      <c r="H69" s="21" t="n"/>
      <c r="I69" s="20" t="n"/>
      <c r="J69" s="20" t="n"/>
      <c r="K69" s="20" t="n"/>
      <c r="L69" s="20" t="n"/>
      <c r="M69" s="13">
        <f>IF(OR(A69="",E69=""),"",COUNTIFS(Enquiries!$B:$B,A69,Enquiries!$C:$C,E69))</f>
        <v/>
      </c>
      <c r="N69" s="12" t="n"/>
    </row>
    <row r="70">
      <c r="A70" s="12" t="n"/>
      <c r="B70" s="14" t="n"/>
      <c r="C70" s="12" t="n"/>
      <c r="D70" s="12" t="n"/>
      <c r="E70" s="12" t="n"/>
      <c r="F70" s="12" t="n"/>
      <c r="G70" s="20" t="n"/>
      <c r="H70" s="21" t="n"/>
      <c r="I70" s="20" t="n"/>
      <c r="J70" s="20" t="n"/>
      <c r="K70" s="20" t="n"/>
      <c r="L70" s="20" t="n"/>
      <c r="M70" s="13">
        <f>IF(OR(A70="",E70=""),"",COUNTIFS(Enquiries!$B:$B,A70,Enquiries!$C:$C,E70))</f>
        <v/>
      </c>
      <c r="N70" s="12" t="n"/>
    </row>
    <row r="71">
      <c r="A71" s="12" t="n"/>
      <c r="B71" s="14" t="n"/>
      <c r="C71" s="12" t="n"/>
      <c r="D71" s="12" t="n"/>
      <c r="E71" s="12" t="n"/>
      <c r="F71" s="12" t="n"/>
      <c r="G71" s="20" t="n"/>
      <c r="H71" s="21" t="n"/>
      <c r="I71" s="20" t="n"/>
      <c r="J71" s="20" t="n"/>
      <c r="K71" s="20" t="n"/>
      <c r="L71" s="20" t="n"/>
      <c r="M71" s="13">
        <f>IF(OR(A71="",E71=""),"",COUNTIFS(Enquiries!$B:$B,A71,Enquiries!$C:$C,E71))</f>
        <v/>
      </c>
      <c r="N71" s="12" t="n"/>
    </row>
    <row r="72">
      <c r="A72" s="12" t="n"/>
      <c r="B72" s="14" t="n"/>
      <c r="C72" s="12" t="n"/>
      <c r="D72" s="12" t="n"/>
      <c r="E72" s="12" t="n"/>
      <c r="F72" s="12" t="n"/>
      <c r="G72" s="20" t="n"/>
      <c r="H72" s="21" t="n"/>
      <c r="I72" s="20" t="n"/>
      <c r="J72" s="20" t="n"/>
      <c r="K72" s="20" t="n"/>
      <c r="L72" s="20" t="n"/>
      <c r="M72" s="13">
        <f>IF(OR(A72="",E72=""),"",COUNTIFS(Enquiries!$B:$B,A72,Enquiries!$C:$C,E72))</f>
        <v/>
      </c>
      <c r="N72" s="12" t="n"/>
    </row>
    <row r="73">
      <c r="A73" s="12" t="n"/>
      <c r="B73" s="14" t="n"/>
      <c r="C73" s="12" t="n"/>
      <c r="D73" s="12" t="n"/>
      <c r="E73" s="12" t="n"/>
      <c r="F73" s="12" t="n"/>
      <c r="G73" s="20" t="n"/>
      <c r="H73" s="21" t="n"/>
      <c r="I73" s="20" t="n"/>
      <c r="J73" s="20" t="n"/>
      <c r="K73" s="20" t="n"/>
      <c r="L73" s="20" t="n"/>
      <c r="M73" s="13">
        <f>IF(OR(A73="",E73=""),"",COUNTIFS(Enquiries!$B:$B,A73,Enquiries!$C:$C,E73))</f>
        <v/>
      </c>
      <c r="N73" s="12" t="n"/>
    </row>
    <row r="74">
      <c r="A74" s="12" t="n"/>
      <c r="B74" s="14" t="n"/>
      <c r="C74" s="12" t="n"/>
      <c r="D74" s="12" t="n"/>
      <c r="E74" s="12" t="n"/>
      <c r="F74" s="12" t="n"/>
      <c r="G74" s="20" t="n"/>
      <c r="H74" s="21" t="n"/>
      <c r="I74" s="20" t="n"/>
      <c r="J74" s="20" t="n"/>
      <c r="K74" s="20" t="n"/>
      <c r="L74" s="20" t="n"/>
      <c r="M74" s="13">
        <f>IF(OR(A74="",E74=""),"",COUNTIFS(Enquiries!$B:$B,A74,Enquiries!$C:$C,E74))</f>
        <v/>
      </c>
      <c r="N74" s="12" t="n"/>
    </row>
    <row r="75">
      <c r="A75" s="12" t="n"/>
      <c r="B75" s="14" t="n"/>
      <c r="C75" s="12" t="n"/>
      <c r="D75" s="12" t="n"/>
      <c r="E75" s="12" t="n"/>
      <c r="F75" s="12" t="n"/>
      <c r="G75" s="20" t="n"/>
      <c r="H75" s="21" t="n"/>
      <c r="I75" s="20" t="n"/>
      <c r="J75" s="20" t="n"/>
      <c r="K75" s="20" t="n"/>
      <c r="L75" s="20" t="n"/>
      <c r="M75" s="13">
        <f>IF(OR(A75="",E75=""),"",COUNTIFS(Enquiries!$B:$B,A75,Enquiries!$C:$C,E75))</f>
        <v/>
      </c>
      <c r="N75" s="12" t="n"/>
    </row>
    <row r="76">
      <c r="A76" s="12" t="n"/>
      <c r="B76" s="14" t="n"/>
      <c r="C76" s="12" t="n"/>
      <c r="D76" s="12" t="n"/>
      <c r="E76" s="12" t="n"/>
      <c r="F76" s="12" t="n"/>
      <c r="G76" s="20" t="n"/>
      <c r="H76" s="21" t="n"/>
      <c r="I76" s="20" t="n"/>
      <c r="J76" s="20" t="n"/>
      <c r="K76" s="20" t="n"/>
      <c r="L76" s="20" t="n"/>
      <c r="M76" s="13">
        <f>IF(OR(A76="",E76=""),"",COUNTIFS(Enquiries!$B:$B,A76,Enquiries!$C:$C,E76))</f>
        <v/>
      </c>
      <c r="N76" s="12" t="n"/>
    </row>
    <row r="77">
      <c r="A77" s="12" t="n"/>
      <c r="B77" s="14" t="n"/>
      <c r="C77" s="12" t="n"/>
      <c r="D77" s="12" t="n"/>
      <c r="E77" s="12" t="n"/>
      <c r="F77" s="12" t="n"/>
      <c r="G77" s="20" t="n"/>
      <c r="H77" s="21" t="n"/>
      <c r="I77" s="20" t="n"/>
      <c r="J77" s="20" t="n"/>
      <c r="K77" s="20" t="n"/>
      <c r="L77" s="20" t="n"/>
      <c r="M77" s="13">
        <f>IF(OR(A77="",E77=""),"",COUNTIFS(Enquiries!$B:$B,A77,Enquiries!$C:$C,E77))</f>
        <v/>
      </c>
      <c r="N77" s="12" t="n"/>
    </row>
    <row r="78">
      <c r="A78" s="12" t="n"/>
      <c r="B78" s="14" t="n"/>
      <c r="C78" s="12" t="n"/>
      <c r="D78" s="12" t="n"/>
      <c r="E78" s="12" t="n"/>
      <c r="F78" s="12" t="n"/>
      <c r="G78" s="20" t="n"/>
      <c r="H78" s="21" t="n"/>
      <c r="I78" s="20" t="n"/>
      <c r="J78" s="20" t="n"/>
      <c r="K78" s="20" t="n"/>
      <c r="L78" s="20" t="n"/>
      <c r="M78" s="13">
        <f>IF(OR(A78="",E78=""),"",COUNTIFS(Enquiries!$B:$B,A78,Enquiries!$C:$C,E78))</f>
        <v/>
      </c>
      <c r="N78" s="12" t="n"/>
    </row>
    <row r="79">
      <c r="A79" s="12" t="n"/>
      <c r="B79" s="14" t="n"/>
      <c r="C79" s="12" t="n"/>
      <c r="D79" s="12" t="n"/>
      <c r="E79" s="12" t="n"/>
      <c r="F79" s="12" t="n"/>
      <c r="G79" s="20" t="n"/>
      <c r="H79" s="21" t="n"/>
      <c r="I79" s="20" t="n"/>
      <c r="J79" s="20" t="n"/>
      <c r="K79" s="20" t="n"/>
      <c r="L79" s="20" t="n"/>
      <c r="M79" s="13">
        <f>IF(OR(A79="",E79=""),"",COUNTIFS(Enquiries!$B:$B,A79,Enquiries!$C:$C,E79))</f>
        <v/>
      </c>
      <c r="N79" s="12" t="n"/>
    </row>
    <row r="80">
      <c r="A80" s="12" t="n"/>
      <c r="B80" s="14" t="n"/>
      <c r="C80" s="12" t="n"/>
      <c r="D80" s="12" t="n"/>
      <c r="E80" s="12" t="n"/>
      <c r="F80" s="12" t="n"/>
      <c r="G80" s="20" t="n"/>
      <c r="H80" s="21" t="n"/>
      <c r="I80" s="20" t="n"/>
      <c r="J80" s="20" t="n"/>
      <c r="K80" s="20" t="n"/>
      <c r="L80" s="20" t="n"/>
      <c r="M80" s="13">
        <f>IF(OR(A80="",E80=""),"",COUNTIFS(Enquiries!$B:$B,A80,Enquiries!$C:$C,E80))</f>
        <v/>
      </c>
      <c r="N80" s="12" t="n"/>
    </row>
    <row r="81">
      <c r="A81" s="12" t="n"/>
      <c r="B81" s="14" t="n"/>
      <c r="C81" s="12" t="n"/>
      <c r="D81" s="12" t="n"/>
      <c r="E81" s="12" t="n"/>
      <c r="F81" s="12" t="n"/>
      <c r="G81" s="20" t="n"/>
      <c r="H81" s="21" t="n"/>
      <c r="I81" s="20" t="n"/>
      <c r="J81" s="20" t="n"/>
      <c r="K81" s="20" t="n"/>
      <c r="L81" s="20" t="n"/>
      <c r="M81" s="13">
        <f>IF(OR(A81="",E81=""),"",COUNTIFS(Enquiries!$B:$B,A81,Enquiries!$C:$C,E81))</f>
        <v/>
      </c>
      <c r="N81" s="12" t="n"/>
    </row>
    <row r="82">
      <c r="A82" s="12" t="n"/>
      <c r="B82" s="14" t="n"/>
      <c r="C82" s="12" t="n"/>
      <c r="D82" s="12" t="n"/>
      <c r="E82" s="12" t="n"/>
      <c r="F82" s="12" t="n"/>
      <c r="G82" s="20" t="n"/>
      <c r="H82" s="21" t="n"/>
      <c r="I82" s="20" t="n"/>
      <c r="J82" s="20" t="n"/>
      <c r="K82" s="20" t="n"/>
      <c r="L82" s="20" t="n"/>
      <c r="M82" s="13">
        <f>IF(OR(A82="",E82=""),"",COUNTIFS(Enquiries!$B:$B,A82,Enquiries!$C:$C,E82))</f>
        <v/>
      </c>
      <c r="N82" s="12" t="n"/>
    </row>
    <row r="83">
      <c r="A83" s="12" t="n"/>
      <c r="B83" s="14" t="n"/>
      <c r="C83" s="12" t="n"/>
      <c r="D83" s="12" t="n"/>
      <c r="E83" s="12" t="n"/>
      <c r="F83" s="12" t="n"/>
      <c r="G83" s="20" t="n"/>
      <c r="H83" s="21" t="n"/>
      <c r="I83" s="20" t="n"/>
      <c r="J83" s="20" t="n"/>
      <c r="K83" s="20" t="n"/>
      <c r="L83" s="20" t="n"/>
      <c r="M83" s="13">
        <f>IF(OR(A83="",E83=""),"",COUNTIFS(Enquiries!$B:$B,A83,Enquiries!$C:$C,E83))</f>
        <v/>
      </c>
      <c r="N83" s="12" t="n"/>
    </row>
    <row r="84">
      <c r="A84" s="12" t="n"/>
      <c r="B84" s="14" t="n"/>
      <c r="C84" s="12" t="n"/>
      <c r="D84" s="12" t="n"/>
      <c r="E84" s="12" t="n"/>
      <c r="F84" s="12" t="n"/>
      <c r="G84" s="20" t="n"/>
      <c r="H84" s="21" t="n"/>
      <c r="I84" s="20" t="n"/>
      <c r="J84" s="20" t="n"/>
      <c r="K84" s="20" t="n"/>
      <c r="L84" s="20" t="n"/>
      <c r="M84" s="13">
        <f>IF(OR(A84="",E84=""),"",COUNTIFS(Enquiries!$B:$B,A84,Enquiries!$C:$C,E84))</f>
        <v/>
      </c>
      <c r="N84" s="12" t="n"/>
    </row>
    <row r="85">
      <c r="A85" s="12" t="n"/>
      <c r="B85" s="14" t="n"/>
      <c r="C85" s="12" t="n"/>
      <c r="D85" s="12" t="n"/>
      <c r="E85" s="12" t="n"/>
      <c r="F85" s="12" t="n"/>
      <c r="G85" s="20" t="n"/>
      <c r="H85" s="21" t="n"/>
      <c r="I85" s="20" t="n"/>
      <c r="J85" s="20" t="n"/>
      <c r="K85" s="20" t="n"/>
      <c r="L85" s="20" t="n"/>
      <c r="M85" s="13">
        <f>IF(OR(A85="",E85=""),"",COUNTIFS(Enquiries!$B:$B,A85,Enquiries!$C:$C,E85))</f>
        <v/>
      </c>
      <c r="N85" s="12" t="n"/>
    </row>
    <row r="86">
      <c r="A86" s="12" t="n"/>
      <c r="B86" s="14" t="n"/>
      <c r="C86" s="12" t="n"/>
      <c r="D86" s="12" t="n"/>
      <c r="E86" s="12" t="n"/>
      <c r="F86" s="12" t="n"/>
      <c r="G86" s="20" t="n"/>
      <c r="H86" s="21" t="n"/>
      <c r="I86" s="20" t="n"/>
      <c r="J86" s="20" t="n"/>
      <c r="K86" s="20" t="n"/>
      <c r="L86" s="20" t="n"/>
      <c r="M86" s="13">
        <f>IF(OR(A86="",E86=""),"",COUNTIFS(Enquiries!$B:$B,A86,Enquiries!$C:$C,E86))</f>
        <v/>
      </c>
      <c r="N86" s="12" t="n"/>
    </row>
    <row r="87">
      <c r="A87" s="12" t="n"/>
      <c r="B87" s="14" t="n"/>
      <c r="C87" s="12" t="n"/>
      <c r="D87" s="12" t="n"/>
      <c r="E87" s="12" t="n"/>
      <c r="F87" s="12" t="n"/>
      <c r="G87" s="20" t="n"/>
      <c r="H87" s="21" t="n"/>
      <c r="I87" s="20" t="n"/>
      <c r="J87" s="20" t="n"/>
      <c r="K87" s="20" t="n"/>
      <c r="L87" s="20" t="n"/>
      <c r="M87" s="13">
        <f>IF(OR(A87="",E87=""),"",COUNTIFS(Enquiries!$B:$B,A87,Enquiries!$C:$C,E87))</f>
        <v/>
      </c>
      <c r="N87" s="12" t="n"/>
    </row>
    <row r="88">
      <c r="A88" s="12" t="n"/>
      <c r="B88" s="14" t="n"/>
      <c r="C88" s="12" t="n"/>
      <c r="D88" s="12" t="n"/>
      <c r="E88" s="12" t="n"/>
      <c r="F88" s="12" t="n"/>
      <c r="G88" s="20" t="n"/>
      <c r="H88" s="21" t="n"/>
      <c r="I88" s="20" t="n"/>
      <c r="J88" s="20" t="n"/>
      <c r="K88" s="20" t="n"/>
      <c r="L88" s="20" t="n"/>
      <c r="M88" s="13">
        <f>IF(OR(A88="",E88=""),"",COUNTIFS(Enquiries!$B:$B,A88,Enquiries!$C:$C,E88))</f>
        <v/>
      </c>
      <c r="N88" s="12" t="n"/>
    </row>
    <row r="89">
      <c r="A89" s="12" t="n"/>
      <c r="B89" s="14" t="n"/>
      <c r="C89" s="12" t="n"/>
      <c r="D89" s="12" t="n"/>
      <c r="E89" s="12" t="n"/>
      <c r="F89" s="12" t="n"/>
      <c r="G89" s="20" t="n"/>
      <c r="H89" s="21" t="n"/>
      <c r="I89" s="20" t="n"/>
      <c r="J89" s="20" t="n"/>
      <c r="K89" s="20" t="n"/>
      <c r="L89" s="20" t="n"/>
      <c r="M89" s="13">
        <f>IF(OR(A89="",E89=""),"",COUNTIFS(Enquiries!$B:$B,A89,Enquiries!$C:$C,E89))</f>
        <v/>
      </c>
      <c r="N89" s="12" t="n"/>
    </row>
    <row r="90">
      <c r="A90" s="12" t="n"/>
      <c r="B90" s="14" t="n"/>
      <c r="C90" s="12" t="n"/>
      <c r="D90" s="12" t="n"/>
      <c r="E90" s="12" t="n"/>
      <c r="F90" s="12" t="n"/>
      <c r="G90" s="20" t="n"/>
      <c r="H90" s="21" t="n"/>
      <c r="I90" s="20" t="n"/>
      <c r="J90" s="20" t="n"/>
      <c r="K90" s="20" t="n"/>
      <c r="L90" s="20" t="n"/>
      <c r="M90" s="13">
        <f>IF(OR(A90="",E90=""),"",COUNTIFS(Enquiries!$B:$B,A90,Enquiries!$C:$C,E90))</f>
        <v/>
      </c>
      <c r="N90" s="12" t="n"/>
    </row>
    <row r="91">
      <c r="A91" s="12" t="n"/>
      <c r="B91" s="14" t="n"/>
      <c r="C91" s="12" t="n"/>
      <c r="D91" s="12" t="n"/>
      <c r="E91" s="12" t="n"/>
      <c r="F91" s="12" t="n"/>
      <c r="G91" s="20" t="n"/>
      <c r="H91" s="21" t="n"/>
      <c r="I91" s="20" t="n"/>
      <c r="J91" s="20" t="n"/>
      <c r="K91" s="20" t="n"/>
      <c r="L91" s="20" t="n"/>
      <c r="M91" s="13">
        <f>IF(OR(A91="",E91=""),"",COUNTIFS(Enquiries!$B:$B,A91,Enquiries!$C:$C,E91))</f>
        <v/>
      </c>
      <c r="N91" s="12" t="n"/>
    </row>
    <row r="92">
      <c r="A92" s="12" t="n"/>
      <c r="B92" s="14" t="n"/>
      <c r="C92" s="12" t="n"/>
      <c r="D92" s="12" t="n"/>
      <c r="E92" s="12" t="n"/>
      <c r="F92" s="12" t="n"/>
      <c r="G92" s="20" t="n"/>
      <c r="H92" s="21" t="n"/>
      <c r="I92" s="20" t="n"/>
      <c r="J92" s="20" t="n"/>
      <c r="K92" s="20" t="n"/>
      <c r="L92" s="20" t="n"/>
      <c r="M92" s="13">
        <f>IF(OR(A92="",E92=""),"",COUNTIFS(Enquiries!$B:$B,A92,Enquiries!$C:$C,E92))</f>
        <v/>
      </c>
      <c r="N92" s="12" t="n"/>
    </row>
    <row r="93">
      <c r="A93" s="12" t="n"/>
      <c r="B93" s="14" t="n"/>
      <c r="C93" s="12" t="n"/>
      <c r="D93" s="12" t="n"/>
      <c r="E93" s="12" t="n"/>
      <c r="F93" s="12" t="n"/>
      <c r="G93" s="20" t="n"/>
      <c r="H93" s="21" t="n"/>
      <c r="I93" s="20" t="n"/>
      <c r="J93" s="20" t="n"/>
      <c r="K93" s="20" t="n"/>
      <c r="L93" s="20" t="n"/>
      <c r="M93" s="13">
        <f>IF(OR(A93="",E93=""),"",COUNTIFS(Enquiries!$B:$B,A93,Enquiries!$C:$C,E93))</f>
        <v/>
      </c>
      <c r="N93" s="12" t="n"/>
    </row>
    <row r="94">
      <c r="A94" s="12" t="n"/>
      <c r="B94" s="14" t="n"/>
      <c r="C94" s="12" t="n"/>
      <c r="D94" s="12" t="n"/>
      <c r="E94" s="12" t="n"/>
      <c r="F94" s="12" t="n"/>
      <c r="G94" s="20" t="n"/>
      <c r="H94" s="21" t="n"/>
      <c r="I94" s="20" t="n"/>
      <c r="J94" s="20" t="n"/>
      <c r="K94" s="20" t="n"/>
      <c r="L94" s="20" t="n"/>
      <c r="M94" s="13">
        <f>IF(OR(A94="",E94=""),"",COUNTIFS(Enquiries!$B:$B,A94,Enquiries!$C:$C,E94))</f>
        <v/>
      </c>
      <c r="N94" s="12" t="n"/>
    </row>
    <row r="95">
      <c r="A95" s="12" t="n"/>
      <c r="B95" s="14" t="n"/>
      <c r="C95" s="12" t="n"/>
      <c r="D95" s="12" t="n"/>
      <c r="E95" s="12" t="n"/>
      <c r="F95" s="12" t="n"/>
      <c r="G95" s="20" t="n"/>
      <c r="H95" s="21" t="n"/>
      <c r="I95" s="20" t="n"/>
      <c r="J95" s="20" t="n"/>
      <c r="K95" s="20" t="n"/>
      <c r="L95" s="20" t="n"/>
      <c r="M95" s="13">
        <f>IF(OR(A95="",E95=""),"",COUNTIFS(Enquiries!$B:$B,A95,Enquiries!$C:$C,E95))</f>
        <v/>
      </c>
      <c r="N95" s="12" t="n"/>
    </row>
    <row r="96">
      <c r="A96" s="12" t="n"/>
      <c r="B96" s="14" t="n"/>
      <c r="C96" s="12" t="n"/>
      <c r="D96" s="12" t="n"/>
      <c r="E96" s="12" t="n"/>
      <c r="F96" s="12" t="n"/>
      <c r="G96" s="20" t="n"/>
      <c r="H96" s="21" t="n"/>
      <c r="I96" s="20" t="n"/>
      <c r="J96" s="20" t="n"/>
      <c r="K96" s="20" t="n"/>
      <c r="L96" s="20" t="n"/>
      <c r="M96" s="13">
        <f>IF(OR(A96="",E96=""),"",COUNTIFS(Enquiries!$B:$B,A96,Enquiries!$C:$C,E96))</f>
        <v/>
      </c>
      <c r="N96" s="12" t="n"/>
    </row>
    <row r="97">
      <c r="A97" s="12" t="n"/>
      <c r="B97" s="14" t="n"/>
      <c r="C97" s="12" t="n"/>
      <c r="D97" s="12" t="n"/>
      <c r="E97" s="12" t="n"/>
      <c r="F97" s="12" t="n"/>
      <c r="G97" s="20" t="n"/>
      <c r="H97" s="21" t="n"/>
      <c r="I97" s="20" t="n"/>
      <c r="J97" s="20" t="n"/>
      <c r="K97" s="20" t="n"/>
      <c r="L97" s="20" t="n"/>
      <c r="M97" s="13">
        <f>IF(OR(A97="",E97=""),"",COUNTIFS(Enquiries!$B:$B,A97,Enquiries!$C:$C,E97))</f>
        <v/>
      </c>
      <c r="N97" s="12" t="n"/>
    </row>
    <row r="98">
      <c r="A98" s="12" t="n"/>
      <c r="B98" s="14" t="n"/>
      <c r="C98" s="12" t="n"/>
      <c r="D98" s="12" t="n"/>
      <c r="E98" s="12" t="n"/>
      <c r="F98" s="12" t="n"/>
      <c r="G98" s="20" t="n"/>
      <c r="H98" s="21" t="n"/>
      <c r="I98" s="20" t="n"/>
      <c r="J98" s="20" t="n"/>
      <c r="K98" s="20" t="n"/>
      <c r="L98" s="20" t="n"/>
      <c r="M98" s="13">
        <f>IF(OR(A98="",E98=""),"",COUNTIFS(Enquiries!$B:$B,A98,Enquiries!$C:$C,E98))</f>
        <v/>
      </c>
      <c r="N98" s="12" t="n"/>
    </row>
    <row r="99">
      <c r="A99" s="12" t="n"/>
      <c r="B99" s="14" t="n"/>
      <c r="C99" s="12" t="n"/>
      <c r="D99" s="12" t="n"/>
      <c r="E99" s="12" t="n"/>
      <c r="F99" s="12" t="n"/>
      <c r="G99" s="20" t="n"/>
      <c r="H99" s="21" t="n"/>
      <c r="I99" s="20" t="n"/>
      <c r="J99" s="20" t="n"/>
      <c r="K99" s="20" t="n"/>
      <c r="L99" s="20" t="n"/>
      <c r="M99" s="13">
        <f>IF(OR(A99="",E99=""),"",COUNTIFS(Enquiries!$B:$B,A99,Enquiries!$C:$C,E99))</f>
        <v/>
      </c>
      <c r="N99" s="12" t="n"/>
    </row>
    <row r="100">
      <c r="A100" s="12" t="n"/>
      <c r="B100" s="14" t="n"/>
      <c r="C100" s="12" t="n"/>
      <c r="D100" s="12" t="n"/>
      <c r="E100" s="12" t="n"/>
      <c r="F100" s="12" t="n"/>
      <c r="G100" s="20" t="n"/>
      <c r="H100" s="21" t="n"/>
      <c r="I100" s="20" t="n"/>
      <c r="J100" s="20" t="n"/>
      <c r="K100" s="20" t="n"/>
      <c r="L100" s="20" t="n"/>
      <c r="M100" s="13">
        <f>IF(OR(A100="",E100=""),"",COUNTIFS(Enquiries!$B:$B,A100,Enquiries!$C:$C,E100))</f>
        <v/>
      </c>
      <c r="N100" s="12" t="n"/>
    </row>
    <row r="101">
      <c r="A101" s="12" t="n"/>
      <c r="B101" s="14" t="n"/>
      <c r="C101" s="12" t="n"/>
      <c r="D101" s="12" t="n"/>
      <c r="E101" s="12" t="n"/>
      <c r="F101" s="12" t="n"/>
      <c r="G101" s="20" t="n"/>
      <c r="H101" s="21" t="n"/>
      <c r="I101" s="20" t="n"/>
      <c r="J101" s="20" t="n"/>
      <c r="K101" s="20" t="n"/>
      <c r="L101" s="20" t="n"/>
      <c r="M101" s="13">
        <f>IF(OR(A101="",E101=""),"",COUNTIFS(Enquiries!$B:$B,A101,Enquiries!$C:$C,E101))</f>
        <v/>
      </c>
      <c r="N101" s="12" t="n"/>
    </row>
    <row r="102">
      <c r="A102" s="12" t="n"/>
      <c r="B102" s="14" t="n"/>
      <c r="C102" s="12" t="n"/>
      <c r="D102" s="12" t="n"/>
      <c r="E102" s="12" t="n"/>
      <c r="F102" s="12" t="n"/>
      <c r="G102" s="20" t="n"/>
      <c r="H102" s="21" t="n"/>
      <c r="I102" s="20" t="n"/>
      <c r="J102" s="20" t="n"/>
      <c r="K102" s="20" t="n"/>
      <c r="L102" s="20" t="n"/>
      <c r="M102" s="13">
        <f>IF(OR(A102="",E102=""),"",COUNTIFS(Enquiries!$B:$B,A102,Enquiries!$C:$C,E102))</f>
        <v/>
      </c>
      <c r="N102" s="12" t="n"/>
    </row>
    <row r="103">
      <c r="A103" s="12" t="n"/>
      <c r="B103" s="14" t="n"/>
      <c r="C103" s="12" t="n"/>
      <c r="D103" s="12" t="n"/>
      <c r="E103" s="12" t="n"/>
      <c r="F103" s="12" t="n"/>
      <c r="G103" s="20" t="n"/>
      <c r="H103" s="21" t="n"/>
      <c r="I103" s="20" t="n"/>
      <c r="J103" s="20" t="n"/>
      <c r="K103" s="20" t="n"/>
      <c r="L103" s="20" t="n"/>
      <c r="M103" s="13">
        <f>IF(OR(A103="",E103=""),"",COUNTIFS(Enquiries!$B:$B,A103,Enquiries!$C:$C,E103))</f>
        <v/>
      </c>
      <c r="N103" s="12" t="n"/>
    </row>
    <row r="104">
      <c r="A104" s="12" t="n"/>
      <c r="B104" s="14" t="n"/>
      <c r="C104" s="12" t="n"/>
      <c r="D104" s="12" t="n"/>
      <c r="E104" s="12" t="n"/>
      <c r="F104" s="12" t="n"/>
      <c r="G104" s="20" t="n"/>
      <c r="H104" s="21" t="n"/>
      <c r="I104" s="20" t="n"/>
      <c r="J104" s="20" t="n"/>
      <c r="K104" s="20" t="n"/>
      <c r="L104" s="20" t="n"/>
      <c r="M104" s="13">
        <f>IF(OR(A104="",E104=""),"",COUNTIFS(Enquiries!$B:$B,A104,Enquiries!$C:$C,E104))</f>
        <v/>
      </c>
      <c r="N104" s="12" t="n"/>
    </row>
    <row r="105">
      <c r="A105" s="12" t="n"/>
      <c r="B105" s="14" t="n"/>
      <c r="C105" s="12" t="n"/>
      <c r="D105" s="12" t="n"/>
      <c r="E105" s="12" t="n"/>
      <c r="F105" s="12" t="n"/>
      <c r="G105" s="20" t="n"/>
      <c r="H105" s="21" t="n"/>
      <c r="I105" s="20" t="n"/>
      <c r="J105" s="20" t="n"/>
      <c r="K105" s="20" t="n"/>
      <c r="L105" s="20" t="n"/>
      <c r="M105" s="13">
        <f>IF(OR(A105="",E105=""),"",COUNTIFS(Enquiries!$B:$B,A105,Enquiries!$C:$C,E105))</f>
        <v/>
      </c>
      <c r="N105" s="12" t="n"/>
    </row>
    <row r="106">
      <c r="A106" s="12" t="n"/>
      <c r="B106" s="14" t="n"/>
      <c r="C106" s="12" t="n"/>
      <c r="D106" s="12" t="n"/>
      <c r="E106" s="12" t="n"/>
      <c r="F106" s="12" t="n"/>
      <c r="G106" s="20" t="n"/>
      <c r="H106" s="21" t="n"/>
      <c r="I106" s="20" t="n"/>
      <c r="J106" s="20" t="n"/>
      <c r="K106" s="20" t="n"/>
      <c r="L106" s="20" t="n"/>
      <c r="M106" s="13">
        <f>IF(OR(A106="",E106=""),"",COUNTIFS(Enquiries!$B:$B,A106,Enquiries!$C:$C,E106))</f>
        <v/>
      </c>
      <c r="N106" s="12" t="n"/>
    </row>
    <row r="107">
      <c r="A107" s="12" t="n"/>
      <c r="B107" s="14" t="n"/>
      <c r="C107" s="12" t="n"/>
      <c r="D107" s="12" t="n"/>
      <c r="E107" s="12" t="n"/>
      <c r="F107" s="12" t="n"/>
      <c r="G107" s="20" t="n"/>
      <c r="H107" s="21" t="n"/>
      <c r="I107" s="20" t="n"/>
      <c r="J107" s="20" t="n"/>
      <c r="K107" s="20" t="n"/>
      <c r="L107" s="20" t="n"/>
      <c r="M107" s="13">
        <f>IF(OR(A107="",E107=""),"",COUNTIFS(Enquiries!$B:$B,A107,Enquiries!$C:$C,E107))</f>
        <v/>
      </c>
      <c r="N107" s="12" t="n"/>
    </row>
    <row r="108">
      <c r="A108" s="12" t="n"/>
      <c r="B108" s="14" t="n"/>
      <c r="C108" s="12" t="n"/>
      <c r="D108" s="12" t="n"/>
      <c r="E108" s="12" t="n"/>
      <c r="F108" s="12" t="n"/>
      <c r="G108" s="20" t="n"/>
      <c r="H108" s="21" t="n"/>
      <c r="I108" s="20" t="n"/>
      <c r="J108" s="20" t="n"/>
      <c r="K108" s="20" t="n"/>
      <c r="L108" s="20" t="n"/>
      <c r="M108" s="13">
        <f>IF(OR(A108="",E108=""),"",COUNTIFS(Enquiries!$B:$B,A108,Enquiries!$C:$C,E108))</f>
        <v/>
      </c>
      <c r="N108" s="12" t="n"/>
    </row>
    <row r="109">
      <c r="A109" s="12" t="n"/>
      <c r="B109" s="14" t="n"/>
      <c r="C109" s="12" t="n"/>
      <c r="D109" s="12" t="n"/>
      <c r="E109" s="12" t="n"/>
      <c r="F109" s="12" t="n"/>
      <c r="G109" s="20" t="n"/>
      <c r="H109" s="21" t="n"/>
      <c r="I109" s="20" t="n"/>
      <c r="J109" s="20" t="n"/>
      <c r="K109" s="20" t="n"/>
      <c r="L109" s="20" t="n"/>
      <c r="M109" s="13">
        <f>IF(OR(A109="",E109=""),"",COUNTIFS(Enquiries!$B:$B,A109,Enquiries!$C:$C,E109))</f>
        <v/>
      </c>
      <c r="N109" s="12" t="n"/>
    </row>
    <row r="110">
      <c r="A110" s="12" t="n"/>
      <c r="B110" s="14" t="n"/>
      <c r="C110" s="12" t="n"/>
      <c r="D110" s="12" t="n"/>
      <c r="E110" s="12" t="n"/>
      <c r="F110" s="12" t="n"/>
      <c r="G110" s="20" t="n"/>
      <c r="H110" s="21" t="n"/>
      <c r="I110" s="20" t="n"/>
      <c r="J110" s="20" t="n"/>
      <c r="K110" s="20" t="n"/>
      <c r="L110" s="20" t="n"/>
      <c r="M110" s="13">
        <f>IF(OR(A110="",E110=""),"",COUNTIFS(Enquiries!$B:$B,A110,Enquiries!$C:$C,E110))</f>
        <v/>
      </c>
      <c r="N110" s="12" t="n"/>
    </row>
    <row r="111">
      <c r="A111" s="12" t="n"/>
      <c r="B111" s="14" t="n"/>
      <c r="C111" s="12" t="n"/>
      <c r="D111" s="12" t="n"/>
      <c r="E111" s="12" t="n"/>
      <c r="F111" s="12" t="n"/>
      <c r="G111" s="20" t="n"/>
      <c r="H111" s="21" t="n"/>
      <c r="I111" s="20" t="n"/>
      <c r="J111" s="20" t="n"/>
      <c r="K111" s="20" t="n"/>
      <c r="L111" s="20" t="n"/>
      <c r="M111" s="13">
        <f>IF(OR(A111="",E111=""),"",COUNTIFS(Enquiries!$B:$B,A111,Enquiries!$C:$C,E111))</f>
        <v/>
      </c>
      <c r="N111" s="12" t="n"/>
    </row>
    <row r="112">
      <c r="A112" s="12" t="n"/>
      <c r="B112" s="14" t="n"/>
      <c r="C112" s="12" t="n"/>
      <c r="D112" s="12" t="n"/>
      <c r="E112" s="12" t="n"/>
      <c r="F112" s="12" t="n"/>
      <c r="G112" s="20" t="n"/>
      <c r="H112" s="21" t="n"/>
      <c r="I112" s="20" t="n"/>
      <c r="J112" s="20" t="n"/>
      <c r="K112" s="20" t="n"/>
      <c r="L112" s="20" t="n"/>
      <c r="M112" s="13">
        <f>IF(OR(A112="",E112=""),"",COUNTIFS(Enquiries!$B:$B,A112,Enquiries!$C:$C,E112))</f>
        <v/>
      </c>
      <c r="N112" s="12" t="n"/>
    </row>
    <row r="113">
      <c r="A113" s="12" t="n"/>
      <c r="B113" s="14" t="n"/>
      <c r="C113" s="12" t="n"/>
      <c r="D113" s="12" t="n"/>
      <c r="E113" s="12" t="n"/>
      <c r="F113" s="12" t="n"/>
      <c r="G113" s="20" t="n"/>
      <c r="H113" s="21" t="n"/>
      <c r="I113" s="20" t="n"/>
      <c r="J113" s="20" t="n"/>
      <c r="K113" s="20" t="n"/>
      <c r="L113" s="20" t="n"/>
      <c r="M113" s="13">
        <f>IF(OR(A113="",E113=""),"",COUNTIFS(Enquiries!$B:$B,A113,Enquiries!$C:$C,E113))</f>
        <v/>
      </c>
      <c r="N113" s="12" t="n"/>
    </row>
    <row r="114">
      <c r="A114" s="12" t="n"/>
      <c r="B114" s="14" t="n"/>
      <c r="C114" s="12" t="n"/>
      <c r="D114" s="12" t="n"/>
      <c r="E114" s="12" t="n"/>
      <c r="F114" s="12" t="n"/>
      <c r="G114" s="20" t="n"/>
      <c r="H114" s="21" t="n"/>
      <c r="I114" s="20" t="n"/>
      <c r="J114" s="20" t="n"/>
      <c r="K114" s="20" t="n"/>
      <c r="L114" s="20" t="n"/>
      <c r="M114" s="13">
        <f>IF(OR(A114="",E114=""),"",COUNTIFS(Enquiries!$B:$B,A114,Enquiries!$C:$C,E114))</f>
        <v/>
      </c>
      <c r="N114" s="12" t="n"/>
    </row>
    <row r="115">
      <c r="A115" s="12" t="n"/>
      <c r="B115" s="14" t="n"/>
      <c r="C115" s="12" t="n"/>
      <c r="D115" s="12" t="n"/>
      <c r="E115" s="12" t="n"/>
      <c r="F115" s="12" t="n"/>
      <c r="G115" s="20" t="n"/>
      <c r="H115" s="21" t="n"/>
      <c r="I115" s="20" t="n"/>
      <c r="J115" s="20" t="n"/>
      <c r="K115" s="20" t="n"/>
      <c r="L115" s="20" t="n"/>
      <c r="M115" s="13">
        <f>IF(OR(A115="",E115=""),"",COUNTIFS(Enquiries!$B:$B,A115,Enquiries!$C:$C,E115))</f>
        <v/>
      </c>
      <c r="N115" s="12" t="n"/>
    </row>
    <row r="116">
      <c r="A116" s="12" t="n"/>
      <c r="B116" s="14" t="n"/>
      <c r="C116" s="12" t="n"/>
      <c r="D116" s="12" t="n"/>
      <c r="E116" s="12" t="n"/>
      <c r="F116" s="12" t="n"/>
      <c r="G116" s="20" t="n"/>
      <c r="H116" s="21" t="n"/>
      <c r="I116" s="20" t="n"/>
      <c r="J116" s="20" t="n"/>
      <c r="K116" s="20" t="n"/>
      <c r="L116" s="20" t="n"/>
      <c r="M116" s="13">
        <f>IF(OR(A116="",E116=""),"",COUNTIFS(Enquiries!$B:$B,A116,Enquiries!$C:$C,E116))</f>
        <v/>
      </c>
      <c r="N116" s="12" t="n"/>
    </row>
    <row r="117">
      <c r="A117" s="12" t="n"/>
      <c r="B117" s="14" t="n"/>
      <c r="C117" s="12" t="n"/>
      <c r="D117" s="12" t="n"/>
      <c r="E117" s="12" t="n"/>
      <c r="F117" s="12" t="n"/>
      <c r="G117" s="20" t="n"/>
      <c r="H117" s="21" t="n"/>
      <c r="I117" s="20" t="n"/>
      <c r="J117" s="20" t="n"/>
      <c r="K117" s="20" t="n"/>
      <c r="L117" s="20" t="n"/>
      <c r="M117" s="13">
        <f>IF(OR(A117="",E117=""),"",COUNTIFS(Enquiries!$B:$B,A117,Enquiries!$C:$C,E117))</f>
        <v/>
      </c>
      <c r="N117" s="12" t="n"/>
    </row>
    <row r="118">
      <c r="A118" s="12" t="n"/>
      <c r="B118" s="14" t="n"/>
      <c r="C118" s="12" t="n"/>
      <c r="D118" s="12" t="n"/>
      <c r="E118" s="12" t="n"/>
      <c r="F118" s="12" t="n"/>
      <c r="G118" s="20" t="n"/>
      <c r="H118" s="21" t="n"/>
      <c r="I118" s="20" t="n"/>
      <c r="J118" s="20" t="n"/>
      <c r="K118" s="20" t="n"/>
      <c r="L118" s="20" t="n"/>
      <c r="M118" s="13">
        <f>IF(OR(A118="",E118=""),"",COUNTIFS(Enquiries!$B:$B,A118,Enquiries!$C:$C,E118))</f>
        <v/>
      </c>
      <c r="N118" s="12" t="n"/>
    </row>
    <row r="119">
      <c r="A119" s="12" t="n"/>
      <c r="B119" s="14" t="n"/>
      <c r="C119" s="12" t="n"/>
      <c r="D119" s="12" t="n"/>
      <c r="E119" s="12" t="n"/>
      <c r="F119" s="12" t="n"/>
      <c r="G119" s="20" t="n"/>
      <c r="H119" s="21" t="n"/>
      <c r="I119" s="20" t="n"/>
      <c r="J119" s="20" t="n"/>
      <c r="K119" s="20" t="n"/>
      <c r="L119" s="20" t="n"/>
      <c r="M119" s="13">
        <f>IF(OR(A119="",E119=""),"",COUNTIFS(Enquiries!$B:$B,A119,Enquiries!$C:$C,E119))</f>
        <v/>
      </c>
      <c r="N119" s="12" t="n"/>
    </row>
    <row r="120">
      <c r="A120" s="12" t="n"/>
      <c r="B120" s="14" t="n"/>
      <c r="C120" s="12" t="n"/>
      <c r="D120" s="12" t="n"/>
      <c r="E120" s="12" t="n"/>
      <c r="F120" s="12" t="n"/>
      <c r="G120" s="20" t="n"/>
      <c r="H120" s="21" t="n"/>
      <c r="I120" s="20" t="n"/>
      <c r="J120" s="20" t="n"/>
      <c r="K120" s="20" t="n"/>
      <c r="L120" s="20" t="n"/>
      <c r="M120" s="13">
        <f>IF(OR(A120="",E120=""),"",COUNTIFS(Enquiries!$B:$B,A120,Enquiries!$C:$C,E120))</f>
        <v/>
      </c>
      <c r="N120" s="12" t="n"/>
    </row>
    <row r="121">
      <c r="A121" s="12" t="n"/>
      <c r="B121" s="14" t="n"/>
      <c r="C121" s="12" t="n"/>
      <c r="D121" s="12" t="n"/>
      <c r="E121" s="12" t="n"/>
      <c r="F121" s="12" t="n"/>
      <c r="G121" s="20" t="n"/>
      <c r="H121" s="21" t="n"/>
      <c r="I121" s="20" t="n"/>
      <c r="J121" s="20" t="n"/>
      <c r="K121" s="20" t="n"/>
      <c r="L121" s="20" t="n"/>
      <c r="M121" s="13">
        <f>IF(OR(A121="",E121=""),"",COUNTIFS(Enquiries!$B:$B,A121,Enquiries!$C:$C,E121))</f>
        <v/>
      </c>
      <c r="N121" s="12" t="n"/>
    </row>
    <row r="122">
      <c r="A122" s="12" t="n"/>
      <c r="B122" s="14" t="n"/>
      <c r="C122" s="12" t="n"/>
      <c r="D122" s="12" t="n"/>
      <c r="E122" s="12" t="n"/>
      <c r="F122" s="12" t="n"/>
      <c r="G122" s="20" t="n"/>
      <c r="H122" s="21" t="n"/>
      <c r="I122" s="20" t="n"/>
      <c r="J122" s="20" t="n"/>
      <c r="K122" s="20" t="n"/>
      <c r="L122" s="20" t="n"/>
      <c r="M122" s="13">
        <f>IF(OR(A122="",E122=""),"",COUNTIFS(Enquiries!$B:$B,A122,Enquiries!$C:$C,E122))</f>
        <v/>
      </c>
      <c r="N122" s="12" t="n"/>
    </row>
    <row r="123">
      <c r="A123" s="12" t="n"/>
      <c r="B123" s="14" t="n"/>
      <c r="C123" s="12" t="n"/>
      <c r="D123" s="12" t="n"/>
      <c r="E123" s="12" t="n"/>
      <c r="F123" s="12" t="n"/>
      <c r="G123" s="20" t="n"/>
      <c r="H123" s="21" t="n"/>
      <c r="I123" s="20" t="n"/>
      <c r="J123" s="20" t="n"/>
      <c r="K123" s="20" t="n"/>
      <c r="L123" s="20" t="n"/>
      <c r="M123" s="13">
        <f>IF(OR(A123="",E123=""),"",COUNTIFS(Enquiries!$B:$B,A123,Enquiries!$C:$C,E123))</f>
        <v/>
      </c>
      <c r="N123" s="12" t="n"/>
    </row>
    <row r="124">
      <c r="A124" s="12" t="n"/>
      <c r="B124" s="14" t="n"/>
      <c r="C124" s="12" t="n"/>
      <c r="D124" s="12" t="n"/>
      <c r="E124" s="12" t="n"/>
      <c r="F124" s="12" t="n"/>
      <c r="G124" s="20" t="n"/>
      <c r="H124" s="21" t="n"/>
      <c r="I124" s="20" t="n"/>
      <c r="J124" s="20" t="n"/>
      <c r="K124" s="20" t="n"/>
      <c r="L124" s="20" t="n"/>
      <c r="M124" s="13">
        <f>IF(OR(A124="",E124=""),"",COUNTIFS(Enquiries!$B:$B,A124,Enquiries!$C:$C,E124))</f>
        <v/>
      </c>
      <c r="N124" s="12" t="n"/>
    </row>
    <row r="125">
      <c r="A125" s="12" t="n"/>
      <c r="B125" s="14" t="n"/>
      <c r="C125" s="12" t="n"/>
      <c r="D125" s="12" t="n"/>
      <c r="E125" s="12" t="n"/>
      <c r="F125" s="12" t="n"/>
      <c r="G125" s="20" t="n"/>
      <c r="H125" s="21" t="n"/>
      <c r="I125" s="20" t="n"/>
      <c r="J125" s="20" t="n"/>
      <c r="K125" s="20" t="n"/>
      <c r="L125" s="20" t="n"/>
      <c r="M125" s="13">
        <f>IF(OR(A125="",E125=""),"",COUNTIFS(Enquiries!$B:$B,A125,Enquiries!$C:$C,E125))</f>
        <v/>
      </c>
      <c r="N125" s="12" t="n"/>
    </row>
    <row r="126">
      <c r="A126" s="12" t="n"/>
      <c r="B126" s="14" t="n"/>
      <c r="C126" s="12" t="n"/>
      <c r="D126" s="12" t="n"/>
      <c r="E126" s="12" t="n"/>
      <c r="F126" s="12" t="n"/>
      <c r="G126" s="20" t="n"/>
      <c r="H126" s="21" t="n"/>
      <c r="I126" s="20" t="n"/>
      <c r="J126" s="20" t="n"/>
      <c r="K126" s="20" t="n"/>
      <c r="L126" s="20" t="n"/>
      <c r="M126" s="13">
        <f>IF(OR(A126="",E126=""),"",COUNTIFS(Enquiries!$B:$B,A126,Enquiries!$C:$C,E126))</f>
        <v/>
      </c>
      <c r="N126" s="12" t="n"/>
    </row>
    <row r="127">
      <c r="A127" s="12" t="n"/>
      <c r="B127" s="14" t="n"/>
      <c r="C127" s="12" t="n"/>
      <c r="D127" s="12" t="n"/>
      <c r="E127" s="12" t="n"/>
      <c r="F127" s="12" t="n"/>
      <c r="G127" s="20" t="n"/>
      <c r="H127" s="21" t="n"/>
      <c r="I127" s="20" t="n"/>
      <c r="J127" s="20" t="n"/>
      <c r="K127" s="20" t="n"/>
      <c r="L127" s="20" t="n"/>
      <c r="M127" s="13">
        <f>IF(OR(A127="",E127=""),"",COUNTIFS(Enquiries!$B:$B,A127,Enquiries!$C:$C,E127))</f>
        <v/>
      </c>
      <c r="N127" s="12" t="n"/>
    </row>
    <row r="128">
      <c r="A128" s="12" t="n"/>
      <c r="B128" s="14" t="n"/>
      <c r="C128" s="12" t="n"/>
      <c r="D128" s="12" t="n"/>
      <c r="E128" s="12" t="n"/>
      <c r="F128" s="12" t="n"/>
      <c r="G128" s="20" t="n"/>
      <c r="H128" s="21" t="n"/>
      <c r="I128" s="20" t="n"/>
      <c r="J128" s="20" t="n"/>
      <c r="K128" s="20" t="n"/>
      <c r="L128" s="20" t="n"/>
      <c r="M128" s="13">
        <f>IF(OR(A128="",E128=""),"",COUNTIFS(Enquiries!$B:$B,A128,Enquiries!$C:$C,E128))</f>
        <v/>
      </c>
      <c r="N128" s="12" t="n"/>
    </row>
    <row r="129">
      <c r="A129" s="12" t="n"/>
      <c r="B129" s="14" t="n"/>
      <c r="C129" s="12" t="n"/>
      <c r="D129" s="12" t="n"/>
      <c r="E129" s="12" t="n"/>
      <c r="F129" s="12" t="n"/>
      <c r="G129" s="20" t="n"/>
      <c r="H129" s="21" t="n"/>
      <c r="I129" s="20" t="n"/>
      <c r="J129" s="20" t="n"/>
      <c r="K129" s="20" t="n"/>
      <c r="L129" s="20" t="n"/>
      <c r="M129" s="13">
        <f>IF(OR(A129="",E129=""),"",COUNTIFS(Enquiries!$B:$B,A129,Enquiries!$C:$C,E129))</f>
        <v/>
      </c>
      <c r="N129" s="12" t="n"/>
    </row>
    <row r="130">
      <c r="A130" s="12" t="n"/>
      <c r="B130" s="14" t="n"/>
      <c r="C130" s="12" t="n"/>
      <c r="D130" s="12" t="n"/>
      <c r="E130" s="12" t="n"/>
      <c r="F130" s="12" t="n"/>
      <c r="G130" s="20" t="n"/>
      <c r="H130" s="21" t="n"/>
      <c r="I130" s="20" t="n"/>
      <c r="J130" s="20" t="n"/>
      <c r="K130" s="20" t="n"/>
      <c r="L130" s="20" t="n"/>
      <c r="M130" s="13">
        <f>IF(OR(A130="",E130=""),"",COUNTIFS(Enquiries!$B:$B,A130,Enquiries!$C:$C,E130))</f>
        <v/>
      </c>
      <c r="N130" s="12" t="n"/>
    </row>
    <row r="131">
      <c r="A131" s="12" t="n"/>
      <c r="B131" s="14" t="n"/>
      <c r="C131" s="12" t="n"/>
      <c r="D131" s="12" t="n"/>
      <c r="E131" s="12" t="n"/>
      <c r="F131" s="12" t="n"/>
      <c r="G131" s="20" t="n"/>
      <c r="H131" s="21" t="n"/>
      <c r="I131" s="20" t="n"/>
      <c r="J131" s="20" t="n"/>
      <c r="K131" s="20" t="n"/>
      <c r="L131" s="20" t="n"/>
      <c r="M131" s="13">
        <f>IF(OR(A131="",E131=""),"",COUNTIFS(Enquiries!$B:$B,A131,Enquiries!$C:$C,E131))</f>
        <v/>
      </c>
      <c r="N131" s="12" t="n"/>
    </row>
    <row r="132">
      <c r="A132" s="12" t="n"/>
      <c r="B132" s="14" t="n"/>
      <c r="C132" s="12" t="n"/>
      <c r="D132" s="12" t="n"/>
      <c r="E132" s="12" t="n"/>
      <c r="F132" s="12" t="n"/>
      <c r="G132" s="20" t="n"/>
      <c r="H132" s="21" t="n"/>
      <c r="I132" s="20" t="n"/>
      <c r="J132" s="20" t="n"/>
      <c r="K132" s="20" t="n"/>
      <c r="L132" s="20" t="n"/>
      <c r="M132" s="13">
        <f>IF(OR(A132="",E132=""),"",COUNTIFS(Enquiries!$B:$B,A132,Enquiries!$C:$C,E132))</f>
        <v/>
      </c>
      <c r="N132" s="12" t="n"/>
    </row>
    <row r="133">
      <c r="A133" s="12" t="n"/>
      <c r="B133" s="14" t="n"/>
      <c r="C133" s="12" t="n"/>
      <c r="D133" s="12" t="n"/>
      <c r="E133" s="12" t="n"/>
      <c r="F133" s="12" t="n"/>
      <c r="G133" s="20" t="n"/>
      <c r="H133" s="21" t="n"/>
      <c r="I133" s="20" t="n"/>
      <c r="J133" s="20" t="n"/>
      <c r="K133" s="20" t="n"/>
      <c r="L133" s="20" t="n"/>
      <c r="M133" s="13">
        <f>IF(OR(A133="",E133=""),"",COUNTIFS(Enquiries!$B:$B,A133,Enquiries!$C:$C,E133))</f>
        <v/>
      </c>
      <c r="N133" s="12" t="n"/>
    </row>
    <row r="134">
      <c r="A134" s="12" t="n"/>
      <c r="B134" s="14" t="n"/>
      <c r="C134" s="12" t="n"/>
      <c r="D134" s="12" t="n"/>
      <c r="E134" s="12" t="n"/>
      <c r="F134" s="12" t="n"/>
      <c r="G134" s="20" t="n"/>
      <c r="H134" s="21" t="n"/>
      <c r="I134" s="20" t="n"/>
      <c r="J134" s="20" t="n"/>
      <c r="K134" s="20" t="n"/>
      <c r="L134" s="20" t="n"/>
      <c r="M134" s="13">
        <f>IF(OR(A134="",E134=""),"",COUNTIFS(Enquiries!$B:$B,A134,Enquiries!$C:$C,E134))</f>
        <v/>
      </c>
      <c r="N134" s="12" t="n"/>
    </row>
    <row r="135">
      <c r="A135" s="12" t="n"/>
      <c r="B135" s="14" t="n"/>
      <c r="C135" s="12" t="n"/>
      <c r="D135" s="12" t="n"/>
      <c r="E135" s="12" t="n"/>
      <c r="F135" s="12" t="n"/>
      <c r="G135" s="20" t="n"/>
      <c r="H135" s="21" t="n"/>
      <c r="I135" s="20" t="n"/>
      <c r="J135" s="20" t="n"/>
      <c r="K135" s="20" t="n"/>
      <c r="L135" s="20" t="n"/>
      <c r="M135" s="13">
        <f>IF(OR(A135="",E135=""),"",COUNTIFS(Enquiries!$B:$B,A135,Enquiries!$C:$C,E135))</f>
        <v/>
      </c>
      <c r="N135" s="12" t="n"/>
    </row>
    <row r="136">
      <c r="A136" s="12" t="n"/>
      <c r="B136" s="14" t="n"/>
      <c r="C136" s="12" t="n"/>
      <c r="D136" s="12" t="n"/>
      <c r="E136" s="12" t="n"/>
      <c r="F136" s="12" t="n"/>
      <c r="G136" s="20" t="n"/>
      <c r="H136" s="21" t="n"/>
      <c r="I136" s="20" t="n"/>
      <c r="J136" s="20" t="n"/>
      <c r="K136" s="20" t="n"/>
      <c r="L136" s="20" t="n"/>
      <c r="M136" s="13">
        <f>IF(OR(A136="",E136=""),"",COUNTIFS(Enquiries!$B:$B,A136,Enquiries!$C:$C,E136))</f>
        <v/>
      </c>
      <c r="N136" s="12" t="n"/>
    </row>
    <row r="137">
      <c r="A137" s="12" t="n"/>
      <c r="B137" s="14" t="n"/>
      <c r="C137" s="12" t="n"/>
      <c r="D137" s="12" t="n"/>
      <c r="E137" s="12" t="n"/>
      <c r="F137" s="12" t="n"/>
      <c r="G137" s="20" t="n"/>
      <c r="H137" s="21" t="n"/>
      <c r="I137" s="20" t="n"/>
      <c r="J137" s="20" t="n"/>
      <c r="K137" s="20" t="n"/>
      <c r="L137" s="20" t="n"/>
      <c r="M137" s="13">
        <f>IF(OR(A137="",E137=""),"",COUNTIFS(Enquiries!$B:$B,A137,Enquiries!$C:$C,E137))</f>
        <v/>
      </c>
      <c r="N137" s="12" t="n"/>
    </row>
    <row r="138">
      <c r="A138" s="12" t="n"/>
      <c r="B138" s="14" t="n"/>
      <c r="C138" s="12" t="n"/>
      <c r="D138" s="12" t="n"/>
      <c r="E138" s="12" t="n"/>
      <c r="F138" s="12" t="n"/>
      <c r="G138" s="20" t="n"/>
      <c r="H138" s="21" t="n"/>
      <c r="I138" s="20" t="n"/>
      <c r="J138" s="20" t="n"/>
      <c r="K138" s="20" t="n"/>
      <c r="L138" s="20" t="n"/>
      <c r="M138" s="13">
        <f>IF(OR(A138="",E138=""),"",COUNTIFS(Enquiries!$B:$B,A138,Enquiries!$C:$C,E138))</f>
        <v/>
      </c>
      <c r="N138" s="12" t="n"/>
    </row>
    <row r="139">
      <c r="A139" s="12" t="n"/>
      <c r="B139" s="14" t="n"/>
      <c r="C139" s="12" t="n"/>
      <c r="D139" s="12" t="n"/>
      <c r="E139" s="12" t="n"/>
      <c r="F139" s="12" t="n"/>
      <c r="G139" s="20" t="n"/>
      <c r="H139" s="21" t="n"/>
      <c r="I139" s="20" t="n"/>
      <c r="J139" s="20" t="n"/>
      <c r="K139" s="20" t="n"/>
      <c r="L139" s="20" t="n"/>
      <c r="M139" s="13">
        <f>IF(OR(A139="",E139=""),"",COUNTIFS(Enquiries!$B:$B,A139,Enquiries!$C:$C,E139))</f>
        <v/>
      </c>
      <c r="N139" s="12" t="n"/>
    </row>
    <row r="140">
      <c r="A140" s="12" t="n"/>
      <c r="B140" s="14" t="n"/>
      <c r="C140" s="12" t="n"/>
      <c r="D140" s="12" t="n"/>
      <c r="E140" s="12" t="n"/>
      <c r="F140" s="12" t="n"/>
      <c r="G140" s="20" t="n"/>
      <c r="H140" s="21" t="n"/>
      <c r="I140" s="20" t="n"/>
      <c r="J140" s="20" t="n"/>
      <c r="K140" s="20" t="n"/>
      <c r="L140" s="20" t="n"/>
      <c r="M140" s="13">
        <f>IF(OR(A140="",E140=""),"",COUNTIFS(Enquiries!$B:$B,A140,Enquiries!$C:$C,E140))</f>
        <v/>
      </c>
      <c r="N140" s="12" t="n"/>
    </row>
    <row r="141">
      <c r="A141" s="12" t="n"/>
      <c r="B141" s="14" t="n"/>
      <c r="C141" s="12" t="n"/>
      <c r="D141" s="12" t="n"/>
      <c r="E141" s="12" t="n"/>
      <c r="F141" s="12" t="n"/>
      <c r="G141" s="20" t="n"/>
      <c r="H141" s="21" t="n"/>
      <c r="I141" s="20" t="n"/>
      <c r="J141" s="20" t="n"/>
      <c r="K141" s="20" t="n"/>
      <c r="L141" s="20" t="n"/>
      <c r="M141" s="13">
        <f>IF(OR(A141="",E141=""),"",COUNTIFS(Enquiries!$B:$B,A141,Enquiries!$C:$C,E141))</f>
        <v/>
      </c>
      <c r="N141" s="12" t="n"/>
    </row>
    <row r="142">
      <c r="A142" s="12" t="n"/>
      <c r="B142" s="14" t="n"/>
      <c r="C142" s="12" t="n"/>
      <c r="D142" s="12" t="n"/>
      <c r="E142" s="12" t="n"/>
      <c r="F142" s="12" t="n"/>
      <c r="G142" s="20" t="n"/>
      <c r="H142" s="21" t="n"/>
      <c r="I142" s="20" t="n"/>
      <c r="J142" s="20" t="n"/>
      <c r="K142" s="20" t="n"/>
      <c r="L142" s="20" t="n"/>
      <c r="M142" s="13">
        <f>IF(OR(A142="",E142=""),"",COUNTIFS(Enquiries!$B:$B,A142,Enquiries!$C:$C,E142))</f>
        <v/>
      </c>
      <c r="N142" s="12" t="n"/>
    </row>
    <row r="143">
      <c r="A143" s="12" t="n"/>
      <c r="B143" s="14" t="n"/>
      <c r="C143" s="12" t="n"/>
      <c r="D143" s="12" t="n"/>
      <c r="E143" s="12" t="n"/>
      <c r="F143" s="12" t="n"/>
      <c r="G143" s="20" t="n"/>
      <c r="H143" s="21" t="n"/>
      <c r="I143" s="20" t="n"/>
      <c r="J143" s="20" t="n"/>
      <c r="K143" s="20" t="n"/>
      <c r="L143" s="20" t="n"/>
      <c r="M143" s="13">
        <f>IF(OR(A143="",E143=""),"",COUNTIFS(Enquiries!$B:$B,A143,Enquiries!$C:$C,E143))</f>
        <v/>
      </c>
      <c r="N143" s="12" t="n"/>
    </row>
    <row r="144">
      <c r="A144" s="12" t="n"/>
      <c r="B144" s="14" t="n"/>
      <c r="C144" s="12" t="n"/>
      <c r="D144" s="12" t="n"/>
      <c r="E144" s="12" t="n"/>
      <c r="F144" s="12" t="n"/>
      <c r="G144" s="20" t="n"/>
      <c r="H144" s="21" t="n"/>
      <c r="I144" s="20" t="n"/>
      <c r="J144" s="20" t="n"/>
      <c r="K144" s="20" t="n"/>
      <c r="L144" s="20" t="n"/>
      <c r="M144" s="13">
        <f>IF(OR(A144="",E144=""),"",COUNTIFS(Enquiries!$B:$B,A144,Enquiries!$C:$C,E144))</f>
        <v/>
      </c>
      <c r="N144" s="12" t="n"/>
    </row>
    <row r="145">
      <c r="A145" s="12" t="n"/>
      <c r="B145" s="14" t="n"/>
      <c r="C145" s="12" t="n"/>
      <c r="D145" s="12" t="n"/>
      <c r="E145" s="12" t="n"/>
      <c r="F145" s="12" t="n"/>
      <c r="G145" s="20" t="n"/>
      <c r="H145" s="21" t="n"/>
      <c r="I145" s="20" t="n"/>
      <c r="J145" s="20" t="n"/>
      <c r="K145" s="20" t="n"/>
      <c r="L145" s="20" t="n"/>
      <c r="M145" s="13">
        <f>IF(OR(A145="",E145=""),"",COUNTIFS(Enquiries!$B:$B,A145,Enquiries!$C:$C,E145))</f>
        <v/>
      </c>
      <c r="N145" s="12" t="n"/>
    </row>
    <row r="146">
      <c r="A146" s="12" t="n"/>
      <c r="B146" s="14" t="n"/>
      <c r="C146" s="12" t="n"/>
      <c r="D146" s="12" t="n"/>
      <c r="E146" s="12" t="n"/>
      <c r="F146" s="12" t="n"/>
      <c r="G146" s="20" t="n"/>
      <c r="H146" s="21" t="n"/>
      <c r="I146" s="20" t="n"/>
      <c r="J146" s="20" t="n"/>
      <c r="K146" s="20" t="n"/>
      <c r="L146" s="20" t="n"/>
      <c r="M146" s="13">
        <f>IF(OR(A146="",E146=""),"",COUNTIFS(Enquiries!$B:$B,A146,Enquiries!$C:$C,E146))</f>
        <v/>
      </c>
      <c r="N146" s="12" t="n"/>
    </row>
    <row r="147">
      <c r="A147" s="12" t="n"/>
      <c r="B147" s="14" t="n"/>
      <c r="C147" s="12" t="n"/>
      <c r="D147" s="12" t="n"/>
      <c r="E147" s="12" t="n"/>
      <c r="F147" s="12" t="n"/>
      <c r="G147" s="20" t="n"/>
      <c r="H147" s="21" t="n"/>
      <c r="I147" s="20" t="n"/>
      <c r="J147" s="20" t="n"/>
      <c r="K147" s="20" t="n"/>
      <c r="L147" s="20" t="n"/>
      <c r="M147" s="13">
        <f>IF(OR(A147="",E147=""),"",COUNTIFS(Enquiries!$B:$B,A147,Enquiries!$C:$C,E147))</f>
        <v/>
      </c>
      <c r="N147" s="12" t="n"/>
    </row>
    <row r="148">
      <c r="A148" s="12" t="n"/>
      <c r="B148" s="14" t="n"/>
      <c r="C148" s="12" t="n"/>
      <c r="D148" s="12" t="n"/>
      <c r="E148" s="12" t="n"/>
      <c r="F148" s="12" t="n"/>
      <c r="G148" s="20" t="n"/>
      <c r="H148" s="21" t="n"/>
      <c r="I148" s="20" t="n"/>
      <c r="J148" s="20" t="n"/>
      <c r="K148" s="20" t="n"/>
      <c r="L148" s="20" t="n"/>
      <c r="M148" s="13">
        <f>IF(OR(A148="",E148=""),"",COUNTIFS(Enquiries!$B:$B,A148,Enquiries!$C:$C,E148))</f>
        <v/>
      </c>
      <c r="N148" s="12" t="n"/>
    </row>
    <row r="149">
      <c r="A149" s="12" t="n"/>
      <c r="B149" s="14" t="n"/>
      <c r="C149" s="12" t="n"/>
      <c r="D149" s="12" t="n"/>
      <c r="E149" s="12" t="n"/>
      <c r="F149" s="12" t="n"/>
      <c r="G149" s="20" t="n"/>
      <c r="H149" s="21" t="n"/>
      <c r="I149" s="20" t="n"/>
      <c r="J149" s="20" t="n"/>
      <c r="K149" s="20" t="n"/>
      <c r="L149" s="20" t="n"/>
      <c r="M149" s="13">
        <f>IF(OR(A149="",E149=""),"",COUNTIFS(Enquiries!$B:$B,A149,Enquiries!$C:$C,E149))</f>
        <v/>
      </c>
      <c r="N149" s="12" t="n"/>
    </row>
    <row r="150">
      <c r="A150" s="12" t="n"/>
      <c r="B150" s="14" t="n"/>
      <c r="C150" s="12" t="n"/>
      <c r="D150" s="12" t="n"/>
      <c r="E150" s="12" t="n"/>
      <c r="F150" s="12" t="n"/>
      <c r="G150" s="20" t="n"/>
      <c r="H150" s="21" t="n"/>
      <c r="I150" s="20" t="n"/>
      <c r="J150" s="20" t="n"/>
      <c r="K150" s="20" t="n"/>
      <c r="L150" s="20" t="n"/>
      <c r="M150" s="13">
        <f>IF(OR(A150="",E150=""),"",COUNTIFS(Enquiries!$B:$B,A150,Enquiries!$C:$C,E150))</f>
        <v/>
      </c>
      <c r="N150" s="12" t="n"/>
    </row>
    <row r="151">
      <c r="A151" s="12" t="n"/>
      <c r="B151" s="14" t="n"/>
      <c r="C151" s="12" t="n"/>
      <c r="D151" s="12" t="n"/>
      <c r="E151" s="12" t="n"/>
      <c r="F151" s="12" t="n"/>
      <c r="G151" s="20" t="n"/>
      <c r="H151" s="21" t="n"/>
      <c r="I151" s="20" t="n"/>
      <c r="J151" s="20" t="n"/>
      <c r="K151" s="20" t="n"/>
      <c r="L151" s="20" t="n"/>
      <c r="M151" s="13">
        <f>IF(OR(A151="",E151=""),"",COUNTIFS(Enquiries!$B:$B,A151,Enquiries!$C:$C,E151))</f>
        <v/>
      </c>
      <c r="N151" s="12" t="n"/>
    </row>
    <row r="152">
      <c r="A152" s="12" t="n"/>
      <c r="B152" s="14" t="n"/>
      <c r="C152" s="12" t="n"/>
      <c r="D152" s="12" t="n"/>
      <c r="E152" s="12" t="n"/>
      <c r="F152" s="12" t="n"/>
      <c r="G152" s="20" t="n"/>
      <c r="H152" s="21" t="n"/>
      <c r="I152" s="20" t="n"/>
      <c r="J152" s="20" t="n"/>
      <c r="K152" s="20" t="n"/>
      <c r="L152" s="20" t="n"/>
      <c r="M152" s="13">
        <f>IF(OR(A152="",E152=""),"",COUNTIFS(Enquiries!$B:$B,A152,Enquiries!$C:$C,E152))</f>
        <v/>
      </c>
      <c r="N152" s="12" t="n"/>
    </row>
    <row r="153">
      <c r="A153" s="12" t="n"/>
      <c r="B153" s="14" t="n"/>
      <c r="C153" s="12" t="n"/>
      <c r="D153" s="12" t="n"/>
      <c r="E153" s="12" t="n"/>
      <c r="F153" s="12" t="n"/>
      <c r="G153" s="20" t="n"/>
      <c r="H153" s="21" t="n"/>
      <c r="I153" s="20" t="n"/>
      <c r="J153" s="20" t="n"/>
      <c r="K153" s="20" t="n"/>
      <c r="L153" s="20" t="n"/>
      <c r="M153" s="13">
        <f>IF(OR(A153="",E153=""),"",COUNTIFS(Enquiries!$B:$B,A153,Enquiries!$C:$C,E153))</f>
        <v/>
      </c>
      <c r="N153" s="12" t="n"/>
    </row>
    <row r="154">
      <c r="A154" s="12" t="n"/>
      <c r="B154" s="14" t="n"/>
      <c r="C154" s="12" t="n"/>
      <c r="D154" s="12" t="n"/>
      <c r="E154" s="12" t="n"/>
      <c r="F154" s="12" t="n"/>
      <c r="G154" s="20" t="n"/>
      <c r="H154" s="21" t="n"/>
      <c r="I154" s="20" t="n"/>
      <c r="J154" s="20" t="n"/>
      <c r="K154" s="20" t="n"/>
      <c r="L154" s="20" t="n"/>
      <c r="M154" s="13">
        <f>IF(OR(A154="",E154=""),"",COUNTIFS(Enquiries!$B:$B,A154,Enquiries!$C:$C,E154))</f>
        <v/>
      </c>
      <c r="N154" s="12" t="n"/>
    </row>
    <row r="155">
      <c r="A155" s="12" t="n"/>
      <c r="B155" s="14" t="n"/>
      <c r="C155" s="12" t="n"/>
      <c r="D155" s="12" t="n"/>
      <c r="E155" s="12" t="n"/>
      <c r="F155" s="12" t="n"/>
      <c r="G155" s="20" t="n"/>
      <c r="H155" s="21" t="n"/>
      <c r="I155" s="20" t="n"/>
      <c r="J155" s="20" t="n"/>
      <c r="K155" s="20" t="n"/>
      <c r="L155" s="20" t="n"/>
      <c r="M155" s="13">
        <f>IF(OR(A155="",E155=""),"",COUNTIFS(Enquiries!$B:$B,A155,Enquiries!$C:$C,E155))</f>
        <v/>
      </c>
      <c r="N155" s="12" t="n"/>
    </row>
    <row r="156">
      <c r="A156" s="12" t="n"/>
      <c r="B156" s="14" t="n"/>
      <c r="C156" s="12" t="n"/>
      <c r="D156" s="12" t="n"/>
      <c r="E156" s="12" t="n"/>
      <c r="F156" s="12" t="n"/>
      <c r="G156" s="20" t="n"/>
      <c r="H156" s="21" t="n"/>
      <c r="I156" s="20" t="n"/>
      <c r="J156" s="20" t="n"/>
      <c r="K156" s="20" t="n"/>
      <c r="L156" s="20" t="n"/>
      <c r="M156" s="13">
        <f>IF(OR(A156="",E156=""),"",COUNTIFS(Enquiries!$B:$B,A156,Enquiries!$C:$C,E156))</f>
        <v/>
      </c>
      <c r="N156" s="12" t="n"/>
    </row>
    <row r="157">
      <c r="A157" s="12" t="n"/>
      <c r="B157" s="14" t="n"/>
      <c r="C157" s="12" t="n"/>
      <c r="D157" s="12" t="n"/>
      <c r="E157" s="12" t="n"/>
      <c r="F157" s="12" t="n"/>
      <c r="G157" s="20" t="n"/>
      <c r="H157" s="21" t="n"/>
      <c r="I157" s="20" t="n"/>
      <c r="J157" s="20" t="n"/>
      <c r="K157" s="20" t="n"/>
      <c r="L157" s="20" t="n"/>
      <c r="M157" s="13">
        <f>IF(OR(A157="",E157=""),"",COUNTIFS(Enquiries!$B:$B,A157,Enquiries!$C:$C,E157))</f>
        <v/>
      </c>
      <c r="N157" s="12" t="n"/>
    </row>
    <row r="158">
      <c r="A158" s="12" t="n"/>
      <c r="B158" s="14" t="n"/>
      <c r="C158" s="12" t="n"/>
      <c r="D158" s="12" t="n"/>
      <c r="E158" s="12" t="n"/>
      <c r="F158" s="12" t="n"/>
      <c r="G158" s="20" t="n"/>
      <c r="H158" s="21" t="n"/>
      <c r="I158" s="20" t="n"/>
      <c r="J158" s="20" t="n"/>
      <c r="K158" s="20" t="n"/>
      <c r="L158" s="20" t="n"/>
      <c r="M158" s="13">
        <f>IF(OR(A158="",E158=""),"",COUNTIFS(Enquiries!$B:$B,A158,Enquiries!$C:$C,E158))</f>
        <v/>
      </c>
      <c r="N158" s="12" t="n"/>
    </row>
    <row r="159">
      <c r="A159" s="12" t="n"/>
      <c r="B159" s="14" t="n"/>
      <c r="C159" s="12" t="n"/>
      <c r="D159" s="12" t="n"/>
      <c r="E159" s="12" t="n"/>
      <c r="F159" s="12" t="n"/>
      <c r="G159" s="20" t="n"/>
      <c r="H159" s="21" t="n"/>
      <c r="I159" s="20" t="n"/>
      <c r="J159" s="20" t="n"/>
      <c r="K159" s="20" t="n"/>
      <c r="L159" s="20" t="n"/>
      <c r="M159" s="13">
        <f>IF(OR(A159="",E159=""),"",COUNTIFS(Enquiries!$B:$B,A159,Enquiries!$C:$C,E159))</f>
        <v/>
      </c>
      <c r="N159" s="12" t="n"/>
    </row>
    <row r="160">
      <c r="A160" s="12" t="n"/>
      <c r="B160" s="14" t="n"/>
      <c r="C160" s="12" t="n"/>
      <c r="D160" s="12" t="n"/>
      <c r="E160" s="12" t="n"/>
      <c r="F160" s="12" t="n"/>
      <c r="G160" s="20" t="n"/>
      <c r="H160" s="21" t="n"/>
      <c r="I160" s="20" t="n"/>
      <c r="J160" s="20" t="n"/>
      <c r="K160" s="20" t="n"/>
      <c r="L160" s="20" t="n"/>
      <c r="M160" s="13">
        <f>IF(OR(A160="",E160=""),"",COUNTIFS(Enquiries!$B:$B,A160,Enquiries!$C:$C,E160))</f>
        <v/>
      </c>
      <c r="N160" s="12" t="n"/>
    </row>
    <row r="161">
      <c r="A161" s="12" t="n"/>
      <c r="B161" s="14" t="n"/>
      <c r="C161" s="12" t="n"/>
      <c r="D161" s="12" t="n"/>
      <c r="E161" s="12" t="n"/>
      <c r="F161" s="12" t="n"/>
      <c r="G161" s="20" t="n"/>
      <c r="H161" s="21" t="n"/>
      <c r="I161" s="20" t="n"/>
      <c r="J161" s="20" t="n"/>
      <c r="K161" s="20" t="n"/>
      <c r="L161" s="20" t="n"/>
      <c r="M161" s="13">
        <f>IF(OR(A161="",E161=""),"",COUNTIFS(Enquiries!$B:$B,A161,Enquiries!$C:$C,E161))</f>
        <v/>
      </c>
      <c r="N161" s="12" t="n"/>
    </row>
    <row r="162">
      <c r="A162" s="12" t="n"/>
      <c r="B162" s="14" t="n"/>
      <c r="C162" s="12" t="n"/>
      <c r="D162" s="12" t="n"/>
      <c r="E162" s="12" t="n"/>
      <c r="F162" s="12" t="n"/>
      <c r="G162" s="20" t="n"/>
      <c r="H162" s="21" t="n"/>
      <c r="I162" s="20" t="n"/>
      <c r="J162" s="20" t="n"/>
      <c r="K162" s="20" t="n"/>
      <c r="L162" s="20" t="n"/>
      <c r="M162" s="13">
        <f>IF(OR(A162="",E162=""),"",COUNTIFS(Enquiries!$B:$B,A162,Enquiries!$C:$C,E162))</f>
        <v/>
      </c>
      <c r="N162" s="12" t="n"/>
    </row>
    <row r="163">
      <c r="A163" s="12" t="n"/>
      <c r="B163" s="14" t="n"/>
      <c r="C163" s="12" t="n"/>
      <c r="D163" s="12" t="n"/>
      <c r="E163" s="12" t="n"/>
      <c r="F163" s="12" t="n"/>
      <c r="G163" s="20" t="n"/>
      <c r="H163" s="21" t="n"/>
      <c r="I163" s="20" t="n"/>
      <c r="J163" s="20" t="n"/>
      <c r="K163" s="20" t="n"/>
      <c r="L163" s="20" t="n"/>
      <c r="M163" s="13">
        <f>IF(OR(A163="",E163=""),"",COUNTIFS(Enquiries!$B:$B,A163,Enquiries!$C:$C,E163))</f>
        <v/>
      </c>
      <c r="N163" s="12" t="n"/>
    </row>
    <row r="164">
      <c r="A164" s="12" t="n"/>
      <c r="B164" s="14" t="n"/>
      <c r="C164" s="12" t="n"/>
      <c r="D164" s="12" t="n"/>
      <c r="E164" s="12" t="n"/>
      <c r="F164" s="12" t="n"/>
      <c r="G164" s="20" t="n"/>
      <c r="H164" s="21" t="n"/>
      <c r="I164" s="20" t="n"/>
      <c r="J164" s="20" t="n"/>
      <c r="K164" s="20" t="n"/>
      <c r="L164" s="20" t="n"/>
      <c r="M164" s="13">
        <f>IF(OR(A164="",E164=""),"",COUNTIFS(Enquiries!$B:$B,A164,Enquiries!$C:$C,E164))</f>
        <v/>
      </c>
      <c r="N164" s="12" t="n"/>
    </row>
    <row r="165">
      <c r="A165" s="12" t="n"/>
      <c r="B165" s="14" t="n"/>
      <c r="C165" s="12" t="n"/>
      <c r="D165" s="12" t="n"/>
      <c r="E165" s="12" t="n"/>
      <c r="F165" s="12" t="n"/>
      <c r="G165" s="20" t="n"/>
      <c r="H165" s="21" t="n"/>
      <c r="I165" s="20" t="n"/>
      <c r="J165" s="20" t="n"/>
      <c r="K165" s="20" t="n"/>
      <c r="L165" s="20" t="n"/>
      <c r="M165" s="13">
        <f>IF(OR(A165="",E165=""),"",COUNTIFS(Enquiries!$B:$B,A165,Enquiries!$C:$C,E165))</f>
        <v/>
      </c>
      <c r="N165" s="12" t="n"/>
    </row>
    <row r="166">
      <c r="A166" s="12" t="n"/>
      <c r="B166" s="14" t="n"/>
      <c r="C166" s="12" t="n"/>
      <c r="D166" s="12" t="n"/>
      <c r="E166" s="12" t="n"/>
      <c r="F166" s="12" t="n"/>
      <c r="G166" s="20" t="n"/>
      <c r="H166" s="21" t="n"/>
      <c r="I166" s="20" t="n"/>
      <c r="J166" s="20" t="n"/>
      <c r="K166" s="20" t="n"/>
      <c r="L166" s="20" t="n"/>
      <c r="M166" s="13">
        <f>IF(OR(A166="",E166=""),"",COUNTIFS(Enquiries!$B:$B,A166,Enquiries!$C:$C,E166))</f>
        <v/>
      </c>
      <c r="N166" s="12" t="n"/>
    </row>
    <row r="167">
      <c r="A167" s="12" t="n"/>
      <c r="B167" s="14" t="n"/>
      <c r="C167" s="12" t="n"/>
      <c r="D167" s="12" t="n"/>
      <c r="E167" s="12" t="n"/>
      <c r="F167" s="12" t="n"/>
      <c r="G167" s="20" t="n"/>
      <c r="H167" s="21" t="n"/>
      <c r="I167" s="20" t="n"/>
      <c r="J167" s="20" t="n"/>
      <c r="K167" s="20" t="n"/>
      <c r="L167" s="20" t="n"/>
      <c r="M167" s="13">
        <f>IF(OR(A167="",E167=""),"",COUNTIFS(Enquiries!$B:$B,A167,Enquiries!$C:$C,E167))</f>
        <v/>
      </c>
      <c r="N167" s="12" t="n"/>
    </row>
    <row r="168">
      <c r="A168" s="12" t="n"/>
      <c r="B168" s="14" t="n"/>
      <c r="C168" s="12" t="n"/>
      <c r="D168" s="12" t="n"/>
      <c r="E168" s="12" t="n"/>
      <c r="F168" s="12" t="n"/>
      <c r="G168" s="20" t="n"/>
      <c r="H168" s="21" t="n"/>
      <c r="I168" s="20" t="n"/>
      <c r="J168" s="20" t="n"/>
      <c r="K168" s="20" t="n"/>
      <c r="L168" s="20" t="n"/>
      <c r="M168" s="13">
        <f>IF(OR(A168="",E168=""),"",COUNTIFS(Enquiries!$B:$B,A168,Enquiries!$C:$C,E168))</f>
        <v/>
      </c>
      <c r="N168" s="12" t="n"/>
    </row>
    <row r="169">
      <c r="A169" s="12" t="n"/>
      <c r="B169" s="14" t="n"/>
      <c r="C169" s="12" t="n"/>
      <c r="D169" s="12" t="n"/>
      <c r="E169" s="12" t="n"/>
      <c r="F169" s="12" t="n"/>
      <c r="G169" s="20" t="n"/>
      <c r="H169" s="21" t="n"/>
      <c r="I169" s="20" t="n"/>
      <c r="J169" s="20" t="n"/>
      <c r="K169" s="20" t="n"/>
      <c r="L169" s="20" t="n"/>
      <c r="M169" s="13">
        <f>IF(OR(A169="",E169=""),"",COUNTIFS(Enquiries!$B:$B,A169,Enquiries!$C:$C,E169))</f>
        <v/>
      </c>
      <c r="N169" s="12" t="n"/>
    </row>
    <row r="170">
      <c r="A170" s="12" t="n"/>
      <c r="B170" s="14" t="n"/>
      <c r="C170" s="12" t="n"/>
      <c r="D170" s="12" t="n"/>
      <c r="E170" s="12" t="n"/>
      <c r="F170" s="12" t="n"/>
      <c r="G170" s="20" t="n"/>
      <c r="H170" s="21" t="n"/>
      <c r="I170" s="20" t="n"/>
      <c r="J170" s="20" t="n"/>
      <c r="K170" s="20" t="n"/>
      <c r="L170" s="20" t="n"/>
      <c r="M170" s="13">
        <f>IF(OR(A170="",E170=""),"",COUNTIFS(Enquiries!$B:$B,A170,Enquiries!$C:$C,E170))</f>
        <v/>
      </c>
      <c r="N170" s="12" t="n"/>
    </row>
    <row r="171">
      <c r="A171" s="12" t="n"/>
      <c r="B171" s="14" t="n"/>
      <c r="C171" s="12" t="n"/>
      <c r="D171" s="12" t="n"/>
      <c r="E171" s="12" t="n"/>
      <c r="F171" s="12" t="n"/>
      <c r="G171" s="20" t="n"/>
      <c r="H171" s="21" t="n"/>
      <c r="I171" s="20" t="n"/>
      <c r="J171" s="20" t="n"/>
      <c r="K171" s="20" t="n"/>
      <c r="L171" s="20" t="n"/>
      <c r="M171" s="13">
        <f>IF(OR(A171="",E171=""),"",COUNTIFS(Enquiries!$B:$B,A171,Enquiries!$C:$C,E171))</f>
        <v/>
      </c>
      <c r="N171" s="12" t="n"/>
    </row>
    <row r="172">
      <c r="A172" s="12" t="n"/>
      <c r="B172" s="14" t="n"/>
      <c r="C172" s="12" t="n"/>
      <c r="D172" s="12" t="n"/>
      <c r="E172" s="12" t="n"/>
      <c r="F172" s="12" t="n"/>
      <c r="G172" s="20" t="n"/>
      <c r="H172" s="21" t="n"/>
      <c r="I172" s="20" t="n"/>
      <c r="J172" s="20" t="n"/>
      <c r="K172" s="20" t="n"/>
      <c r="L172" s="20" t="n"/>
      <c r="M172" s="13">
        <f>IF(OR(A172="",E172=""),"",COUNTIFS(Enquiries!$B:$B,A172,Enquiries!$C:$C,E172))</f>
        <v/>
      </c>
      <c r="N172" s="12" t="n"/>
    </row>
    <row r="173">
      <c r="A173" s="12" t="n"/>
      <c r="B173" s="14" t="n"/>
      <c r="C173" s="12" t="n"/>
      <c r="D173" s="12" t="n"/>
      <c r="E173" s="12" t="n"/>
      <c r="F173" s="12" t="n"/>
      <c r="G173" s="20" t="n"/>
      <c r="H173" s="21" t="n"/>
      <c r="I173" s="20" t="n"/>
      <c r="J173" s="20" t="n"/>
      <c r="K173" s="20" t="n"/>
      <c r="L173" s="20" t="n"/>
      <c r="M173" s="13">
        <f>IF(OR(A173="",E173=""),"",COUNTIFS(Enquiries!$B:$B,A173,Enquiries!$C:$C,E173))</f>
        <v/>
      </c>
      <c r="N173" s="12" t="n"/>
    </row>
    <row r="174">
      <c r="A174" s="12" t="n"/>
      <c r="B174" s="14" t="n"/>
      <c r="C174" s="12" t="n"/>
      <c r="D174" s="12" t="n"/>
      <c r="E174" s="12" t="n"/>
      <c r="F174" s="12" t="n"/>
      <c r="G174" s="20" t="n"/>
      <c r="H174" s="21" t="n"/>
      <c r="I174" s="20" t="n"/>
      <c r="J174" s="20" t="n"/>
      <c r="K174" s="20" t="n"/>
      <c r="L174" s="20" t="n"/>
      <c r="M174" s="13">
        <f>IF(OR(A174="",E174=""),"",COUNTIFS(Enquiries!$B:$B,A174,Enquiries!$C:$C,E174))</f>
        <v/>
      </c>
      <c r="N174" s="12" t="n"/>
    </row>
    <row r="175">
      <c r="A175" s="12" t="n"/>
      <c r="B175" s="14" t="n"/>
      <c r="C175" s="12" t="n"/>
      <c r="D175" s="12" t="n"/>
      <c r="E175" s="12" t="n"/>
      <c r="F175" s="12" t="n"/>
      <c r="G175" s="20" t="n"/>
      <c r="H175" s="21" t="n"/>
      <c r="I175" s="20" t="n"/>
      <c r="J175" s="20" t="n"/>
      <c r="K175" s="20" t="n"/>
      <c r="L175" s="20" t="n"/>
      <c r="M175" s="13">
        <f>IF(OR(A175="",E175=""),"",COUNTIFS(Enquiries!$B:$B,A175,Enquiries!$C:$C,E175))</f>
        <v/>
      </c>
      <c r="N175" s="12" t="n"/>
    </row>
    <row r="176">
      <c r="A176" s="12" t="n"/>
      <c r="B176" s="14" t="n"/>
      <c r="C176" s="12" t="n"/>
      <c r="D176" s="12" t="n"/>
      <c r="E176" s="12" t="n"/>
      <c r="F176" s="12" t="n"/>
      <c r="G176" s="20" t="n"/>
      <c r="H176" s="21" t="n"/>
      <c r="I176" s="20" t="n"/>
      <c r="J176" s="20" t="n"/>
      <c r="K176" s="20" t="n"/>
      <c r="L176" s="20" t="n"/>
      <c r="M176" s="13">
        <f>IF(OR(A176="",E176=""),"",COUNTIFS(Enquiries!$B:$B,A176,Enquiries!$C:$C,E176))</f>
        <v/>
      </c>
      <c r="N176" s="12" t="n"/>
    </row>
    <row r="177">
      <c r="A177" s="12" t="n"/>
      <c r="B177" s="14" t="n"/>
      <c r="C177" s="12" t="n"/>
      <c r="D177" s="12" t="n"/>
      <c r="E177" s="12" t="n"/>
      <c r="F177" s="12" t="n"/>
      <c r="G177" s="20" t="n"/>
      <c r="H177" s="21" t="n"/>
      <c r="I177" s="20" t="n"/>
      <c r="J177" s="20" t="n"/>
      <c r="K177" s="20" t="n"/>
      <c r="L177" s="20" t="n"/>
      <c r="M177" s="13">
        <f>IF(OR(A177="",E177=""),"",COUNTIFS(Enquiries!$B:$B,A177,Enquiries!$C:$C,E177))</f>
        <v/>
      </c>
      <c r="N177" s="12" t="n"/>
    </row>
    <row r="178">
      <c r="A178" s="12" t="n"/>
      <c r="B178" s="14" t="n"/>
      <c r="C178" s="12" t="n"/>
      <c r="D178" s="12" t="n"/>
      <c r="E178" s="12" t="n"/>
      <c r="F178" s="12" t="n"/>
      <c r="G178" s="20" t="n"/>
      <c r="H178" s="21" t="n"/>
      <c r="I178" s="20" t="n"/>
      <c r="J178" s="20" t="n"/>
      <c r="K178" s="20" t="n"/>
      <c r="L178" s="20" t="n"/>
      <c r="M178" s="13">
        <f>IF(OR(A178="",E178=""),"",COUNTIFS(Enquiries!$B:$B,A178,Enquiries!$C:$C,E178))</f>
        <v/>
      </c>
      <c r="N178" s="12" t="n"/>
    </row>
    <row r="179">
      <c r="A179" s="12" t="n"/>
      <c r="B179" s="14" t="n"/>
      <c r="C179" s="12" t="n"/>
      <c r="D179" s="12" t="n"/>
      <c r="E179" s="12" t="n"/>
      <c r="F179" s="12" t="n"/>
      <c r="G179" s="20" t="n"/>
      <c r="H179" s="21" t="n"/>
      <c r="I179" s="20" t="n"/>
      <c r="J179" s="20" t="n"/>
      <c r="K179" s="20" t="n"/>
      <c r="L179" s="20" t="n"/>
      <c r="M179" s="13">
        <f>IF(OR(A179="",E179=""),"",COUNTIFS(Enquiries!$B:$B,A179,Enquiries!$C:$C,E179))</f>
        <v/>
      </c>
      <c r="N179" s="12" t="n"/>
    </row>
    <row r="180">
      <c r="A180" s="12" t="n"/>
      <c r="B180" s="14" t="n"/>
      <c r="C180" s="12" t="n"/>
      <c r="D180" s="12" t="n"/>
      <c r="E180" s="12" t="n"/>
      <c r="F180" s="12" t="n"/>
      <c r="G180" s="20" t="n"/>
      <c r="H180" s="21" t="n"/>
      <c r="I180" s="20" t="n"/>
      <c r="J180" s="20" t="n"/>
      <c r="K180" s="20" t="n"/>
      <c r="L180" s="20" t="n"/>
      <c r="M180" s="13">
        <f>IF(OR(A180="",E180=""),"",COUNTIFS(Enquiries!$B:$B,A180,Enquiries!$C:$C,E180))</f>
        <v/>
      </c>
      <c r="N180" s="12" t="n"/>
    </row>
    <row r="181">
      <c r="A181" s="12" t="n"/>
      <c r="B181" s="14" t="n"/>
      <c r="C181" s="12" t="n"/>
      <c r="D181" s="12" t="n"/>
      <c r="E181" s="12" t="n"/>
      <c r="F181" s="12" t="n"/>
      <c r="G181" s="20" t="n"/>
      <c r="H181" s="21" t="n"/>
      <c r="I181" s="20" t="n"/>
      <c r="J181" s="20" t="n"/>
      <c r="K181" s="20" t="n"/>
      <c r="L181" s="20" t="n"/>
      <c r="M181" s="13">
        <f>IF(OR(A181="",E181=""),"",COUNTIFS(Enquiries!$B:$B,A181,Enquiries!$C:$C,E181))</f>
        <v/>
      </c>
      <c r="N181" s="12" t="n"/>
    </row>
    <row r="182">
      <c r="A182" s="12" t="n"/>
      <c r="B182" s="14" t="n"/>
      <c r="C182" s="12" t="n"/>
      <c r="D182" s="12" t="n"/>
      <c r="E182" s="12" t="n"/>
      <c r="F182" s="12" t="n"/>
      <c r="G182" s="20" t="n"/>
      <c r="H182" s="21" t="n"/>
      <c r="I182" s="20" t="n"/>
      <c r="J182" s="20" t="n"/>
      <c r="K182" s="20" t="n"/>
      <c r="L182" s="20" t="n"/>
      <c r="M182" s="13">
        <f>IF(OR(A182="",E182=""),"",COUNTIFS(Enquiries!$B:$B,A182,Enquiries!$C:$C,E182))</f>
        <v/>
      </c>
      <c r="N182" s="12" t="n"/>
    </row>
    <row r="183">
      <c r="A183" s="12" t="n"/>
      <c r="B183" s="14" t="n"/>
      <c r="C183" s="12" t="n"/>
      <c r="D183" s="12" t="n"/>
      <c r="E183" s="12" t="n"/>
      <c r="F183" s="12" t="n"/>
      <c r="G183" s="20" t="n"/>
      <c r="H183" s="21" t="n"/>
      <c r="I183" s="20" t="n"/>
      <c r="J183" s="20" t="n"/>
      <c r="K183" s="20" t="n"/>
      <c r="L183" s="20" t="n"/>
      <c r="M183" s="13">
        <f>IF(OR(A183="",E183=""),"",COUNTIFS(Enquiries!$B:$B,A183,Enquiries!$C:$C,E183))</f>
        <v/>
      </c>
      <c r="N183" s="12" t="n"/>
    </row>
    <row r="184">
      <c r="A184" s="12" t="n"/>
      <c r="B184" s="14" t="n"/>
      <c r="C184" s="12" t="n"/>
      <c r="D184" s="12" t="n"/>
      <c r="E184" s="12" t="n"/>
      <c r="F184" s="12" t="n"/>
      <c r="G184" s="20" t="n"/>
      <c r="H184" s="21" t="n"/>
      <c r="I184" s="20" t="n"/>
      <c r="J184" s="20" t="n"/>
      <c r="K184" s="20" t="n"/>
      <c r="L184" s="20" t="n"/>
      <c r="M184" s="13">
        <f>IF(OR(A184="",E184=""),"",COUNTIFS(Enquiries!$B:$B,A184,Enquiries!$C:$C,E184))</f>
        <v/>
      </c>
      <c r="N184" s="12" t="n"/>
    </row>
    <row r="185">
      <c r="A185" s="12" t="n"/>
      <c r="B185" s="14" t="n"/>
      <c r="C185" s="12" t="n"/>
      <c r="D185" s="12" t="n"/>
      <c r="E185" s="12" t="n"/>
      <c r="F185" s="12" t="n"/>
      <c r="G185" s="20" t="n"/>
      <c r="H185" s="21" t="n"/>
      <c r="I185" s="20" t="n"/>
      <c r="J185" s="20" t="n"/>
      <c r="K185" s="20" t="n"/>
      <c r="L185" s="20" t="n"/>
      <c r="M185" s="13">
        <f>IF(OR(A185="",E185=""),"",COUNTIFS(Enquiries!$B:$B,A185,Enquiries!$C:$C,E185))</f>
        <v/>
      </c>
      <c r="N185" s="12" t="n"/>
    </row>
    <row r="186">
      <c r="A186" s="12" t="n"/>
      <c r="B186" s="14" t="n"/>
      <c r="C186" s="12" t="n"/>
      <c r="D186" s="12" t="n"/>
      <c r="E186" s="12" t="n"/>
      <c r="F186" s="12" t="n"/>
      <c r="G186" s="20" t="n"/>
      <c r="H186" s="21" t="n"/>
      <c r="I186" s="20" t="n"/>
      <c r="J186" s="20" t="n"/>
      <c r="K186" s="20" t="n"/>
      <c r="L186" s="20" t="n"/>
      <c r="M186" s="13">
        <f>IF(OR(A186="",E186=""),"",COUNTIFS(Enquiries!$B:$B,A186,Enquiries!$C:$C,E186))</f>
        <v/>
      </c>
      <c r="N186" s="12" t="n"/>
    </row>
    <row r="187">
      <c r="A187" s="12" t="n"/>
      <c r="B187" s="14" t="n"/>
      <c r="C187" s="12" t="n"/>
      <c r="D187" s="12" t="n"/>
      <c r="E187" s="12" t="n"/>
      <c r="F187" s="12" t="n"/>
      <c r="G187" s="20" t="n"/>
      <c r="H187" s="21" t="n"/>
      <c r="I187" s="20" t="n"/>
      <c r="J187" s="20" t="n"/>
      <c r="K187" s="20" t="n"/>
      <c r="L187" s="20" t="n"/>
      <c r="M187" s="13">
        <f>IF(OR(A187="",E187=""),"",COUNTIFS(Enquiries!$B:$B,A187,Enquiries!$C:$C,E187))</f>
        <v/>
      </c>
      <c r="N187" s="12" t="n"/>
    </row>
    <row r="188">
      <c r="A188" s="12" t="n"/>
      <c r="B188" s="14" t="n"/>
      <c r="C188" s="12" t="n"/>
      <c r="D188" s="12" t="n"/>
      <c r="E188" s="12" t="n"/>
      <c r="F188" s="12" t="n"/>
      <c r="G188" s="20" t="n"/>
      <c r="H188" s="21" t="n"/>
      <c r="I188" s="20" t="n"/>
      <c r="J188" s="20" t="n"/>
      <c r="K188" s="20" t="n"/>
      <c r="L188" s="20" t="n"/>
      <c r="M188" s="13">
        <f>IF(OR(A188="",E188=""),"",COUNTIFS(Enquiries!$B:$B,A188,Enquiries!$C:$C,E188))</f>
        <v/>
      </c>
      <c r="N188" s="12" t="n"/>
    </row>
    <row r="189">
      <c r="A189" s="12" t="n"/>
      <c r="B189" s="14" t="n"/>
      <c r="C189" s="12" t="n"/>
      <c r="D189" s="12" t="n"/>
      <c r="E189" s="12" t="n"/>
      <c r="F189" s="12" t="n"/>
      <c r="G189" s="20" t="n"/>
      <c r="H189" s="21" t="n"/>
      <c r="I189" s="20" t="n"/>
      <c r="J189" s="20" t="n"/>
      <c r="K189" s="20" t="n"/>
      <c r="L189" s="20" t="n"/>
      <c r="M189" s="13">
        <f>IF(OR(A189="",E189=""),"",COUNTIFS(Enquiries!$B:$B,A189,Enquiries!$C:$C,E189))</f>
        <v/>
      </c>
      <c r="N189" s="12" t="n"/>
    </row>
    <row r="190">
      <c r="A190" s="12" t="n"/>
      <c r="B190" s="14" t="n"/>
      <c r="C190" s="12" t="n"/>
      <c r="D190" s="12" t="n"/>
      <c r="E190" s="12" t="n"/>
      <c r="F190" s="12" t="n"/>
      <c r="G190" s="20" t="n"/>
      <c r="H190" s="21" t="n"/>
      <c r="I190" s="20" t="n"/>
      <c r="J190" s="20" t="n"/>
      <c r="K190" s="20" t="n"/>
      <c r="L190" s="20" t="n"/>
      <c r="M190" s="13">
        <f>IF(OR(A190="",E190=""),"",COUNTIFS(Enquiries!$B:$B,A190,Enquiries!$C:$C,E190))</f>
        <v/>
      </c>
      <c r="N190" s="12" t="n"/>
    </row>
    <row r="191">
      <c r="A191" s="12" t="n"/>
      <c r="B191" s="14" t="n"/>
      <c r="C191" s="12" t="n"/>
      <c r="D191" s="12" t="n"/>
      <c r="E191" s="12" t="n"/>
      <c r="F191" s="12" t="n"/>
      <c r="G191" s="20" t="n"/>
      <c r="H191" s="21" t="n"/>
      <c r="I191" s="20" t="n"/>
      <c r="J191" s="20" t="n"/>
      <c r="K191" s="20" t="n"/>
      <c r="L191" s="20" t="n"/>
      <c r="M191" s="13">
        <f>IF(OR(A191="",E191=""),"",COUNTIFS(Enquiries!$B:$B,A191,Enquiries!$C:$C,E191))</f>
        <v/>
      </c>
      <c r="N191" s="12" t="n"/>
    </row>
    <row r="192">
      <c r="A192" s="12" t="n"/>
      <c r="B192" s="14" t="n"/>
      <c r="C192" s="12" t="n"/>
      <c r="D192" s="12" t="n"/>
      <c r="E192" s="12" t="n"/>
      <c r="F192" s="12" t="n"/>
      <c r="G192" s="20" t="n"/>
      <c r="H192" s="21" t="n"/>
      <c r="I192" s="20" t="n"/>
      <c r="J192" s="20" t="n"/>
      <c r="K192" s="20" t="n"/>
      <c r="L192" s="20" t="n"/>
      <c r="M192" s="13">
        <f>IF(OR(A192="",E192=""),"",COUNTIFS(Enquiries!$B:$B,A192,Enquiries!$C:$C,E192))</f>
        <v/>
      </c>
      <c r="N192" s="12" t="n"/>
    </row>
    <row r="193">
      <c r="A193" s="12" t="n"/>
      <c r="B193" s="14" t="n"/>
      <c r="C193" s="12" t="n"/>
      <c r="D193" s="12" t="n"/>
      <c r="E193" s="12" t="n"/>
      <c r="F193" s="12" t="n"/>
      <c r="G193" s="20" t="n"/>
      <c r="H193" s="21" t="n"/>
      <c r="I193" s="20" t="n"/>
      <c r="J193" s="20" t="n"/>
      <c r="K193" s="20" t="n"/>
      <c r="L193" s="20" t="n"/>
      <c r="M193" s="13">
        <f>IF(OR(A193="",E193=""),"",COUNTIFS(Enquiries!$B:$B,A193,Enquiries!$C:$C,E193))</f>
        <v/>
      </c>
      <c r="N193" s="12" t="n"/>
    </row>
    <row r="194">
      <c r="A194" s="12" t="n"/>
      <c r="B194" s="14" t="n"/>
      <c r="C194" s="12" t="n"/>
      <c r="D194" s="12" t="n"/>
      <c r="E194" s="12" t="n"/>
      <c r="F194" s="12" t="n"/>
      <c r="G194" s="20" t="n"/>
      <c r="H194" s="21" t="n"/>
      <c r="I194" s="20" t="n"/>
      <c r="J194" s="20" t="n"/>
      <c r="K194" s="20" t="n"/>
      <c r="L194" s="20" t="n"/>
      <c r="M194" s="13">
        <f>IF(OR(A194="",E194=""),"",COUNTIFS(Enquiries!$B:$B,A194,Enquiries!$C:$C,E194))</f>
        <v/>
      </c>
      <c r="N194" s="12" t="n"/>
    </row>
    <row r="195">
      <c r="A195" s="12" t="n"/>
      <c r="B195" s="14" t="n"/>
      <c r="C195" s="12" t="n"/>
      <c r="D195" s="12" t="n"/>
      <c r="E195" s="12" t="n"/>
      <c r="F195" s="12" t="n"/>
      <c r="G195" s="20" t="n"/>
      <c r="H195" s="21" t="n"/>
      <c r="I195" s="20" t="n"/>
      <c r="J195" s="20" t="n"/>
      <c r="K195" s="20" t="n"/>
      <c r="L195" s="20" t="n"/>
      <c r="M195" s="13">
        <f>IF(OR(A195="",E195=""),"",COUNTIFS(Enquiries!$B:$B,A195,Enquiries!$C:$C,E195))</f>
        <v/>
      </c>
      <c r="N195" s="12" t="n"/>
    </row>
    <row r="196">
      <c r="A196" s="12" t="n"/>
      <c r="B196" s="14" t="n"/>
      <c r="C196" s="12" t="n"/>
      <c r="D196" s="12" t="n"/>
      <c r="E196" s="12" t="n"/>
      <c r="F196" s="12" t="n"/>
      <c r="G196" s="20" t="n"/>
      <c r="H196" s="21" t="n"/>
      <c r="I196" s="20" t="n"/>
      <c r="J196" s="20" t="n"/>
      <c r="K196" s="20" t="n"/>
      <c r="L196" s="20" t="n"/>
      <c r="M196" s="13">
        <f>IF(OR(A196="",E196=""),"",COUNTIFS(Enquiries!$B:$B,A196,Enquiries!$C:$C,E196))</f>
        <v/>
      </c>
      <c r="N196" s="12" t="n"/>
    </row>
    <row r="197">
      <c r="A197" s="12" t="n"/>
      <c r="B197" s="14" t="n"/>
      <c r="C197" s="12" t="n"/>
      <c r="D197" s="12" t="n"/>
      <c r="E197" s="12" t="n"/>
      <c r="F197" s="12" t="n"/>
      <c r="G197" s="20" t="n"/>
      <c r="H197" s="21" t="n"/>
      <c r="I197" s="20" t="n"/>
      <c r="J197" s="20" t="n"/>
      <c r="K197" s="20" t="n"/>
      <c r="L197" s="20" t="n"/>
      <c r="M197" s="13">
        <f>IF(OR(A197="",E197=""),"",COUNTIFS(Enquiries!$B:$B,A197,Enquiries!$C:$C,E197))</f>
        <v/>
      </c>
      <c r="N197" s="12" t="n"/>
    </row>
    <row r="198">
      <c r="A198" s="12" t="n"/>
      <c r="B198" s="14" t="n"/>
      <c r="C198" s="12" t="n"/>
      <c r="D198" s="12" t="n"/>
      <c r="E198" s="12" t="n"/>
      <c r="F198" s="12" t="n"/>
      <c r="G198" s="20" t="n"/>
      <c r="H198" s="21" t="n"/>
      <c r="I198" s="20" t="n"/>
      <c r="J198" s="20" t="n"/>
      <c r="K198" s="20" t="n"/>
      <c r="L198" s="20" t="n"/>
      <c r="M198" s="13">
        <f>IF(OR(A198="",E198=""),"",COUNTIFS(Enquiries!$B:$B,A198,Enquiries!$C:$C,E198))</f>
        <v/>
      </c>
      <c r="N198" s="12" t="n"/>
    </row>
    <row r="199">
      <c r="A199" s="12" t="n"/>
      <c r="B199" s="14" t="n"/>
      <c r="C199" s="12" t="n"/>
      <c r="D199" s="12" t="n"/>
      <c r="E199" s="12" t="n"/>
      <c r="F199" s="12" t="n"/>
      <c r="G199" s="20" t="n"/>
      <c r="H199" s="21" t="n"/>
      <c r="I199" s="20" t="n"/>
      <c r="J199" s="20" t="n"/>
      <c r="K199" s="20" t="n"/>
      <c r="L199" s="20" t="n"/>
      <c r="M199" s="13">
        <f>IF(OR(A199="",E199=""),"",COUNTIFS(Enquiries!$B:$B,A199,Enquiries!$C:$C,E199))</f>
        <v/>
      </c>
      <c r="N199" s="12" t="n"/>
    </row>
    <row r="200">
      <c r="A200" s="12" t="n"/>
      <c r="B200" s="14" t="n"/>
      <c r="C200" s="12" t="n"/>
      <c r="D200" s="12" t="n"/>
      <c r="E200" s="12" t="n"/>
      <c r="F200" s="12" t="n"/>
      <c r="G200" s="20" t="n"/>
      <c r="H200" s="21" t="n"/>
      <c r="I200" s="20" t="n"/>
      <c r="J200" s="20" t="n"/>
      <c r="K200" s="20" t="n"/>
      <c r="L200" s="20" t="n"/>
      <c r="M200" s="13">
        <f>IF(OR(A200="",E200=""),"",COUNTIFS(Enquiries!$B:$B,A200,Enquiries!$C:$C,E200))</f>
        <v/>
      </c>
      <c r="N200" s="12" t="n"/>
    </row>
    <row r="201">
      <c r="A201" s="12" t="n"/>
      <c r="B201" s="14" t="n"/>
      <c r="C201" s="12" t="n"/>
      <c r="D201" s="12" t="n"/>
      <c r="E201" s="12" t="n"/>
      <c r="F201" s="12" t="n"/>
      <c r="G201" s="20" t="n"/>
      <c r="H201" s="21" t="n"/>
      <c r="I201" s="20" t="n"/>
      <c r="J201" s="20" t="n"/>
      <c r="K201" s="20" t="n"/>
      <c r="L201" s="20" t="n"/>
      <c r="M201" s="13">
        <f>IF(OR(A201="",E201=""),"",COUNTIFS(Enquiries!$B:$B,A201,Enquiries!$C:$C,E201))</f>
        <v/>
      </c>
      <c r="N201" s="12" t="n"/>
    </row>
    <row r="202">
      <c r="A202" s="12" t="n"/>
      <c r="B202" s="14" t="n"/>
      <c r="C202" s="12" t="n"/>
      <c r="D202" s="12" t="n"/>
      <c r="E202" s="12" t="n"/>
      <c r="F202" s="12" t="n"/>
      <c r="G202" s="20" t="n"/>
      <c r="H202" s="21" t="n"/>
      <c r="I202" s="20" t="n"/>
      <c r="J202" s="20" t="n"/>
      <c r="K202" s="20" t="n"/>
      <c r="L202" s="20" t="n"/>
      <c r="M202" s="13">
        <f>IF(OR(A202="",E202=""),"",COUNTIFS(Enquiries!$B:$B,A202,Enquiries!$C:$C,E202))</f>
        <v/>
      </c>
      <c r="N202" s="12" t="n"/>
    </row>
    <row r="203">
      <c r="A203" s="12" t="n"/>
      <c r="B203" s="14" t="n"/>
      <c r="C203" s="12" t="n"/>
      <c r="D203" s="12" t="n"/>
      <c r="E203" s="12" t="n"/>
      <c r="F203" s="12" t="n"/>
      <c r="G203" s="20" t="n"/>
      <c r="H203" s="21" t="n"/>
      <c r="I203" s="20" t="n"/>
      <c r="J203" s="20" t="n"/>
      <c r="K203" s="20" t="n"/>
      <c r="L203" s="20" t="n"/>
      <c r="M203" s="13">
        <f>IF(OR(A203="",E203=""),"",COUNTIFS(Enquiries!$B:$B,A203,Enquiries!$C:$C,E203))</f>
        <v/>
      </c>
      <c r="N203" s="12" t="n"/>
    </row>
    <row r="204">
      <c r="A204" s="12" t="n"/>
      <c r="B204" s="14" t="n"/>
      <c r="C204" s="12" t="n"/>
      <c r="D204" s="12" t="n"/>
      <c r="E204" s="12" t="n"/>
      <c r="F204" s="12" t="n"/>
      <c r="G204" s="20" t="n"/>
      <c r="H204" s="21" t="n"/>
      <c r="I204" s="20" t="n"/>
      <c r="J204" s="20" t="n"/>
      <c r="K204" s="20" t="n"/>
      <c r="L204" s="20" t="n"/>
      <c r="M204" s="13">
        <f>IF(OR(A204="",E204=""),"",COUNTIFS(Enquiries!$B:$B,A204,Enquiries!$C:$C,E204))</f>
        <v/>
      </c>
      <c r="N204" s="12" t="n"/>
    </row>
    <row r="205">
      <c r="A205" s="12" t="n"/>
      <c r="B205" s="14" t="n"/>
      <c r="C205" s="12" t="n"/>
      <c r="D205" s="12" t="n"/>
      <c r="E205" s="12" t="n"/>
      <c r="F205" s="12" t="n"/>
      <c r="G205" s="20" t="n"/>
      <c r="H205" s="21" t="n"/>
      <c r="I205" s="20" t="n"/>
      <c r="J205" s="20" t="n"/>
      <c r="K205" s="20" t="n"/>
      <c r="L205" s="20" t="n"/>
      <c r="M205" s="13">
        <f>IF(OR(A205="",E205=""),"",COUNTIFS(Enquiries!$B:$B,A205,Enquiries!$C:$C,E205))</f>
        <v/>
      </c>
      <c r="N205" s="12" t="n"/>
    </row>
    <row r="206">
      <c r="A206" s="12" t="n"/>
      <c r="B206" s="14" t="n"/>
      <c r="C206" s="12" t="n"/>
      <c r="D206" s="12" t="n"/>
      <c r="E206" s="12" t="n"/>
      <c r="F206" s="12" t="n"/>
      <c r="G206" s="20" t="n"/>
      <c r="H206" s="21" t="n"/>
      <c r="I206" s="20" t="n"/>
      <c r="J206" s="20" t="n"/>
      <c r="K206" s="20" t="n"/>
      <c r="L206" s="20" t="n"/>
      <c r="M206" s="13">
        <f>IF(OR(A206="",E206=""),"",COUNTIFS(Enquiries!$B:$B,A206,Enquiries!$C:$C,E206))</f>
        <v/>
      </c>
      <c r="N206" s="12" t="n"/>
    </row>
    <row r="207">
      <c r="A207" s="12" t="n"/>
      <c r="B207" s="14" t="n"/>
      <c r="C207" s="12" t="n"/>
      <c r="D207" s="12" t="n"/>
      <c r="E207" s="12" t="n"/>
      <c r="F207" s="12" t="n"/>
      <c r="G207" s="20" t="n"/>
      <c r="H207" s="21" t="n"/>
      <c r="I207" s="20" t="n"/>
      <c r="J207" s="20" t="n"/>
      <c r="K207" s="20" t="n"/>
      <c r="L207" s="20" t="n"/>
      <c r="M207" s="13">
        <f>IF(OR(A207="",E207=""),"",COUNTIFS(Enquiries!$B:$B,A207,Enquiries!$C:$C,E207))</f>
        <v/>
      </c>
      <c r="N207" s="12" t="n"/>
    </row>
    <row r="208">
      <c r="A208" s="12" t="n"/>
      <c r="B208" s="14" t="n"/>
      <c r="C208" s="12" t="n"/>
      <c r="D208" s="12" t="n"/>
      <c r="E208" s="12" t="n"/>
      <c r="F208" s="12" t="n"/>
      <c r="G208" s="20" t="n"/>
      <c r="H208" s="21" t="n"/>
      <c r="I208" s="20" t="n"/>
      <c r="J208" s="20" t="n"/>
      <c r="K208" s="20" t="n"/>
      <c r="L208" s="20" t="n"/>
      <c r="M208" s="13">
        <f>IF(OR(A208="",E208=""),"",COUNTIFS(Enquiries!$B:$B,A208,Enquiries!$C:$C,E208))</f>
        <v/>
      </c>
      <c r="N208" s="12" t="n"/>
    </row>
    <row r="209">
      <c r="A209" s="12" t="n"/>
      <c r="B209" s="14" t="n"/>
      <c r="C209" s="12" t="n"/>
      <c r="D209" s="12" t="n"/>
      <c r="E209" s="12" t="n"/>
      <c r="F209" s="12" t="n"/>
      <c r="G209" s="20" t="n"/>
      <c r="H209" s="21" t="n"/>
      <c r="I209" s="20" t="n"/>
      <c r="J209" s="20" t="n"/>
      <c r="K209" s="20" t="n"/>
      <c r="L209" s="20" t="n"/>
      <c r="M209" s="13">
        <f>IF(OR(A209="",E209=""),"",COUNTIFS(Enquiries!$B:$B,A209,Enquiries!$C:$C,E209))</f>
        <v/>
      </c>
      <c r="N209" s="12" t="n"/>
    </row>
    <row r="210">
      <c r="A210" s="12" t="n"/>
      <c r="B210" s="14" t="n"/>
      <c r="C210" s="12" t="n"/>
      <c r="D210" s="12" t="n"/>
      <c r="E210" s="12" t="n"/>
      <c r="F210" s="12" t="n"/>
      <c r="G210" s="20" t="n"/>
      <c r="H210" s="21" t="n"/>
      <c r="I210" s="20" t="n"/>
      <c r="J210" s="20" t="n"/>
      <c r="K210" s="20" t="n"/>
      <c r="L210" s="20" t="n"/>
      <c r="M210" s="13">
        <f>IF(OR(A210="",E210=""),"",COUNTIFS(Enquiries!$B:$B,A210,Enquiries!$C:$C,E210))</f>
        <v/>
      </c>
      <c r="N210" s="12" t="n"/>
    </row>
    <row r="211">
      <c r="A211" s="12" t="n"/>
      <c r="B211" s="14" t="n"/>
      <c r="C211" s="12" t="n"/>
      <c r="D211" s="12" t="n"/>
      <c r="E211" s="12" t="n"/>
      <c r="F211" s="12" t="n"/>
      <c r="G211" s="20" t="n"/>
      <c r="H211" s="21" t="n"/>
      <c r="I211" s="20" t="n"/>
      <c r="J211" s="20" t="n"/>
      <c r="K211" s="20" t="n"/>
      <c r="L211" s="20" t="n"/>
      <c r="M211" s="13">
        <f>IF(OR(A211="",E211=""),"",COUNTIFS(Enquiries!$B:$B,A211,Enquiries!$C:$C,E211))</f>
        <v/>
      </c>
      <c r="N211" s="12" t="n"/>
    </row>
    <row r="212">
      <c r="A212" s="12" t="n"/>
      <c r="B212" s="14" t="n"/>
      <c r="C212" s="12" t="n"/>
      <c r="D212" s="12" t="n"/>
      <c r="E212" s="12" t="n"/>
      <c r="F212" s="12" t="n"/>
      <c r="G212" s="20" t="n"/>
      <c r="H212" s="21" t="n"/>
      <c r="I212" s="20" t="n"/>
      <c r="J212" s="20" t="n"/>
      <c r="K212" s="20" t="n"/>
      <c r="L212" s="20" t="n"/>
      <c r="M212" s="13">
        <f>IF(OR(A212="",E212=""),"",COUNTIFS(Enquiries!$B:$B,A212,Enquiries!$C:$C,E212))</f>
        <v/>
      </c>
      <c r="N212" s="12" t="n"/>
    </row>
    <row r="213">
      <c r="A213" s="12" t="n"/>
      <c r="B213" s="14" t="n"/>
      <c r="C213" s="12" t="n"/>
      <c r="D213" s="12" t="n"/>
      <c r="E213" s="12" t="n"/>
      <c r="F213" s="12" t="n"/>
      <c r="G213" s="20" t="n"/>
      <c r="H213" s="21" t="n"/>
      <c r="I213" s="20" t="n"/>
      <c r="J213" s="20" t="n"/>
      <c r="K213" s="20" t="n"/>
      <c r="L213" s="20" t="n"/>
      <c r="M213" s="13">
        <f>IF(OR(A213="",E213=""),"",COUNTIFS(Enquiries!$B:$B,A213,Enquiries!$C:$C,E213))</f>
        <v/>
      </c>
      <c r="N213" s="12" t="n"/>
    </row>
    <row r="214">
      <c r="A214" s="12" t="n"/>
      <c r="B214" s="14" t="n"/>
      <c r="C214" s="12" t="n"/>
      <c r="D214" s="12" t="n"/>
      <c r="E214" s="12" t="n"/>
      <c r="F214" s="12" t="n"/>
      <c r="G214" s="20" t="n"/>
      <c r="H214" s="21" t="n"/>
      <c r="I214" s="20" t="n"/>
      <c r="J214" s="20" t="n"/>
      <c r="K214" s="20" t="n"/>
      <c r="L214" s="20" t="n"/>
      <c r="M214" s="13">
        <f>IF(OR(A214="",E214=""),"",COUNTIFS(Enquiries!$B:$B,A214,Enquiries!$C:$C,E214))</f>
        <v/>
      </c>
      <c r="N214" s="12" t="n"/>
    </row>
    <row r="215">
      <c r="A215" s="12" t="n"/>
      <c r="B215" s="14" t="n"/>
      <c r="C215" s="12" t="n"/>
      <c r="D215" s="12" t="n"/>
      <c r="E215" s="12" t="n"/>
      <c r="F215" s="12" t="n"/>
      <c r="G215" s="20" t="n"/>
      <c r="H215" s="21" t="n"/>
      <c r="I215" s="20" t="n"/>
      <c r="J215" s="20" t="n"/>
      <c r="K215" s="20" t="n"/>
      <c r="L215" s="20" t="n"/>
      <c r="M215" s="13">
        <f>IF(OR(A215="",E215=""),"",COUNTIFS(Enquiries!$B:$B,A215,Enquiries!$C:$C,E215))</f>
        <v/>
      </c>
      <c r="N215" s="12" t="n"/>
    </row>
    <row r="216">
      <c r="A216" s="12" t="n"/>
      <c r="B216" s="14" t="n"/>
      <c r="C216" s="12" t="n"/>
      <c r="D216" s="12" t="n"/>
      <c r="E216" s="12" t="n"/>
      <c r="F216" s="12" t="n"/>
      <c r="G216" s="20" t="n"/>
      <c r="H216" s="21" t="n"/>
      <c r="I216" s="20" t="n"/>
      <c r="J216" s="20" t="n"/>
      <c r="K216" s="20" t="n"/>
      <c r="L216" s="20" t="n"/>
      <c r="M216" s="13">
        <f>IF(OR(A216="",E216=""),"",COUNTIFS(Enquiries!$B:$B,A216,Enquiries!$C:$C,E216))</f>
        <v/>
      </c>
      <c r="N216" s="12" t="n"/>
    </row>
    <row r="217">
      <c r="A217" s="12" t="n"/>
      <c r="B217" s="14" t="n"/>
      <c r="C217" s="12" t="n"/>
      <c r="D217" s="12" t="n"/>
      <c r="E217" s="12" t="n"/>
      <c r="F217" s="12" t="n"/>
      <c r="G217" s="20" t="n"/>
      <c r="H217" s="21" t="n"/>
      <c r="I217" s="20" t="n"/>
      <c r="J217" s="20" t="n"/>
      <c r="K217" s="20" t="n"/>
      <c r="L217" s="20" t="n"/>
      <c r="M217" s="13">
        <f>IF(OR(A217="",E217=""),"",COUNTIFS(Enquiries!$B:$B,A217,Enquiries!$C:$C,E217))</f>
        <v/>
      </c>
      <c r="N217" s="12" t="n"/>
    </row>
    <row r="218">
      <c r="A218" s="12" t="n"/>
      <c r="B218" s="14" t="n"/>
      <c r="C218" s="12" t="n"/>
      <c r="D218" s="12" t="n"/>
      <c r="E218" s="12" t="n"/>
      <c r="F218" s="12" t="n"/>
      <c r="G218" s="20" t="n"/>
      <c r="H218" s="21" t="n"/>
      <c r="I218" s="20" t="n"/>
      <c r="J218" s="20" t="n"/>
      <c r="K218" s="20" t="n"/>
      <c r="L218" s="20" t="n"/>
      <c r="M218" s="13">
        <f>IF(OR(A218="",E218=""),"",COUNTIFS(Enquiries!$B:$B,A218,Enquiries!$C:$C,E218))</f>
        <v/>
      </c>
      <c r="N218" s="12" t="n"/>
    </row>
    <row r="219">
      <c r="A219" s="12" t="n"/>
      <c r="B219" s="14" t="n"/>
      <c r="C219" s="12" t="n"/>
      <c r="D219" s="12" t="n"/>
      <c r="E219" s="12" t="n"/>
      <c r="F219" s="12" t="n"/>
      <c r="G219" s="20" t="n"/>
      <c r="H219" s="21" t="n"/>
      <c r="I219" s="20" t="n"/>
      <c r="J219" s="20" t="n"/>
      <c r="K219" s="20" t="n"/>
      <c r="L219" s="20" t="n"/>
      <c r="M219" s="13">
        <f>IF(OR(A219="",E219=""),"",COUNTIFS(Enquiries!$B:$B,A219,Enquiries!$C:$C,E219))</f>
        <v/>
      </c>
      <c r="N219" s="12" t="n"/>
    </row>
    <row r="220">
      <c r="A220" s="12" t="n"/>
      <c r="B220" s="14" t="n"/>
      <c r="C220" s="12" t="n"/>
      <c r="D220" s="12" t="n"/>
      <c r="E220" s="12" t="n"/>
      <c r="F220" s="12" t="n"/>
      <c r="G220" s="20" t="n"/>
      <c r="H220" s="21" t="n"/>
      <c r="I220" s="20" t="n"/>
      <c r="J220" s="20" t="n"/>
      <c r="K220" s="20" t="n"/>
      <c r="L220" s="20" t="n"/>
      <c r="M220" s="13">
        <f>IF(OR(A220="",E220=""),"",COUNTIFS(Enquiries!$B:$B,A220,Enquiries!$C:$C,E220))</f>
        <v/>
      </c>
      <c r="N220" s="12" t="n"/>
    </row>
    <row r="221">
      <c r="A221" s="12" t="n"/>
      <c r="B221" s="14" t="n"/>
      <c r="C221" s="12" t="n"/>
      <c r="D221" s="12" t="n"/>
      <c r="E221" s="12" t="n"/>
      <c r="F221" s="12" t="n"/>
      <c r="G221" s="20" t="n"/>
      <c r="H221" s="21" t="n"/>
      <c r="I221" s="20" t="n"/>
      <c r="J221" s="20" t="n"/>
      <c r="K221" s="20" t="n"/>
      <c r="L221" s="20" t="n"/>
      <c r="M221" s="13">
        <f>IF(OR(A221="",E221=""),"",COUNTIFS(Enquiries!$B:$B,A221,Enquiries!$C:$C,E221))</f>
        <v/>
      </c>
      <c r="N221" s="12" t="n"/>
    </row>
    <row r="222">
      <c r="A222" s="12" t="n"/>
      <c r="B222" s="14" t="n"/>
      <c r="C222" s="12" t="n"/>
      <c r="D222" s="12" t="n"/>
      <c r="E222" s="12" t="n"/>
      <c r="F222" s="12" t="n"/>
      <c r="G222" s="20" t="n"/>
      <c r="H222" s="21" t="n"/>
      <c r="I222" s="20" t="n"/>
      <c r="J222" s="20" t="n"/>
      <c r="K222" s="20" t="n"/>
      <c r="L222" s="20" t="n"/>
      <c r="M222" s="13">
        <f>IF(OR(A222="",E222=""),"",COUNTIFS(Enquiries!$B:$B,A222,Enquiries!$C:$C,E222))</f>
        <v/>
      </c>
      <c r="N222" s="12" t="n"/>
    </row>
    <row r="223">
      <c r="A223" s="12" t="n"/>
      <c r="B223" s="14" t="n"/>
      <c r="C223" s="12" t="n"/>
      <c r="D223" s="12" t="n"/>
      <c r="E223" s="12" t="n"/>
      <c r="F223" s="12" t="n"/>
      <c r="G223" s="20" t="n"/>
      <c r="H223" s="21" t="n"/>
      <c r="I223" s="20" t="n"/>
      <c r="J223" s="20" t="n"/>
      <c r="K223" s="20" t="n"/>
      <c r="L223" s="20" t="n"/>
      <c r="M223" s="13">
        <f>IF(OR(A223="",E223=""),"",COUNTIFS(Enquiries!$B:$B,A223,Enquiries!$C:$C,E223))</f>
        <v/>
      </c>
      <c r="N223" s="12" t="n"/>
    </row>
    <row r="224">
      <c r="A224" s="12" t="n"/>
      <c r="B224" s="14" t="n"/>
      <c r="C224" s="12" t="n"/>
      <c r="D224" s="12" t="n"/>
      <c r="E224" s="12" t="n"/>
      <c r="F224" s="12" t="n"/>
      <c r="G224" s="20" t="n"/>
      <c r="H224" s="21" t="n"/>
      <c r="I224" s="20" t="n"/>
      <c r="J224" s="20" t="n"/>
      <c r="K224" s="20" t="n"/>
      <c r="L224" s="20" t="n"/>
      <c r="M224" s="13">
        <f>IF(OR(A224="",E224=""),"",COUNTIFS(Enquiries!$B:$B,A224,Enquiries!$C:$C,E224))</f>
        <v/>
      </c>
      <c r="N224" s="12" t="n"/>
    </row>
    <row r="225">
      <c r="A225" s="12" t="n"/>
      <c r="B225" s="14" t="n"/>
      <c r="C225" s="12" t="n"/>
      <c r="D225" s="12" t="n"/>
      <c r="E225" s="12" t="n"/>
      <c r="F225" s="12" t="n"/>
      <c r="G225" s="20" t="n"/>
      <c r="H225" s="21" t="n"/>
      <c r="I225" s="20" t="n"/>
      <c r="J225" s="20" t="n"/>
      <c r="K225" s="20" t="n"/>
      <c r="L225" s="20" t="n"/>
      <c r="M225" s="13">
        <f>IF(OR(A225="",E225=""),"",COUNTIFS(Enquiries!$B:$B,A225,Enquiries!$C:$C,E225))</f>
        <v/>
      </c>
      <c r="N225" s="12" t="n"/>
    </row>
    <row r="226">
      <c r="A226" s="12" t="n"/>
      <c r="B226" s="14" t="n"/>
      <c r="C226" s="12" t="n"/>
      <c r="D226" s="12" t="n"/>
      <c r="E226" s="12" t="n"/>
      <c r="F226" s="12" t="n"/>
      <c r="G226" s="20" t="n"/>
      <c r="H226" s="21" t="n"/>
      <c r="I226" s="20" t="n"/>
      <c r="J226" s="20" t="n"/>
      <c r="K226" s="20" t="n"/>
      <c r="L226" s="20" t="n"/>
      <c r="M226" s="13">
        <f>IF(OR(A226="",E226=""),"",COUNTIFS(Enquiries!$B:$B,A226,Enquiries!$C:$C,E226))</f>
        <v/>
      </c>
      <c r="N226" s="12" t="n"/>
    </row>
    <row r="227">
      <c r="A227" s="12" t="n"/>
      <c r="B227" s="14" t="n"/>
      <c r="C227" s="12" t="n"/>
      <c r="D227" s="12" t="n"/>
      <c r="E227" s="12" t="n"/>
      <c r="F227" s="12" t="n"/>
      <c r="G227" s="20" t="n"/>
      <c r="H227" s="21" t="n"/>
      <c r="I227" s="20" t="n"/>
      <c r="J227" s="20" t="n"/>
      <c r="K227" s="20" t="n"/>
      <c r="L227" s="20" t="n"/>
      <c r="M227" s="13">
        <f>IF(OR(A227="",E227=""),"",COUNTIFS(Enquiries!$B:$B,A227,Enquiries!$C:$C,E227))</f>
        <v/>
      </c>
      <c r="N227" s="12" t="n"/>
    </row>
    <row r="228">
      <c r="A228" s="12" t="n"/>
      <c r="B228" s="14" t="n"/>
      <c r="C228" s="12" t="n"/>
      <c r="D228" s="12" t="n"/>
      <c r="E228" s="12" t="n"/>
      <c r="F228" s="12" t="n"/>
      <c r="G228" s="20" t="n"/>
      <c r="H228" s="21" t="n"/>
      <c r="I228" s="20" t="n"/>
      <c r="J228" s="20" t="n"/>
      <c r="K228" s="20" t="n"/>
      <c r="L228" s="20" t="n"/>
      <c r="M228" s="13">
        <f>IF(OR(A228="",E228=""),"",COUNTIFS(Enquiries!$B:$B,A228,Enquiries!$C:$C,E228))</f>
        <v/>
      </c>
      <c r="N228" s="12" t="n"/>
    </row>
    <row r="229">
      <c r="A229" s="12" t="n"/>
      <c r="B229" s="14" t="n"/>
      <c r="C229" s="12" t="n"/>
      <c r="D229" s="12" t="n"/>
      <c r="E229" s="12" t="n"/>
      <c r="F229" s="12" t="n"/>
      <c r="G229" s="20" t="n"/>
      <c r="H229" s="21" t="n"/>
      <c r="I229" s="20" t="n"/>
      <c r="J229" s="20" t="n"/>
      <c r="K229" s="20" t="n"/>
      <c r="L229" s="20" t="n"/>
      <c r="M229" s="13">
        <f>IF(OR(A229="",E229=""),"",COUNTIFS(Enquiries!$B:$B,A229,Enquiries!$C:$C,E229))</f>
        <v/>
      </c>
      <c r="N229" s="12" t="n"/>
    </row>
    <row r="230">
      <c r="A230" s="12" t="n"/>
      <c r="B230" s="14" t="n"/>
      <c r="C230" s="12" t="n"/>
      <c r="D230" s="12" t="n"/>
      <c r="E230" s="12" t="n"/>
      <c r="F230" s="12" t="n"/>
      <c r="G230" s="20" t="n"/>
      <c r="H230" s="21" t="n"/>
      <c r="I230" s="20" t="n"/>
      <c r="J230" s="20" t="n"/>
      <c r="K230" s="20" t="n"/>
      <c r="L230" s="20" t="n"/>
      <c r="M230" s="13">
        <f>IF(OR(A230="",E230=""),"",COUNTIFS(Enquiries!$B:$B,A230,Enquiries!$C:$C,E230))</f>
        <v/>
      </c>
      <c r="N230" s="12" t="n"/>
    </row>
    <row r="231">
      <c r="A231" s="12" t="n"/>
      <c r="B231" s="14" t="n"/>
      <c r="C231" s="12" t="n"/>
      <c r="D231" s="12" t="n"/>
      <c r="E231" s="12" t="n"/>
      <c r="F231" s="12" t="n"/>
      <c r="G231" s="20" t="n"/>
      <c r="H231" s="21" t="n"/>
      <c r="I231" s="20" t="n"/>
      <c r="J231" s="20" t="n"/>
      <c r="K231" s="20" t="n"/>
      <c r="L231" s="20" t="n"/>
      <c r="M231" s="13">
        <f>IF(OR(A231="",E231=""),"",COUNTIFS(Enquiries!$B:$B,A231,Enquiries!$C:$C,E231))</f>
        <v/>
      </c>
      <c r="N231" s="12" t="n"/>
    </row>
    <row r="232">
      <c r="A232" s="12" t="n"/>
      <c r="B232" s="14" t="n"/>
      <c r="C232" s="12" t="n"/>
      <c r="D232" s="12" t="n"/>
      <c r="E232" s="12" t="n"/>
      <c r="F232" s="12" t="n"/>
      <c r="G232" s="20" t="n"/>
      <c r="H232" s="21" t="n"/>
      <c r="I232" s="20" t="n"/>
      <c r="J232" s="20" t="n"/>
      <c r="K232" s="20" t="n"/>
      <c r="L232" s="20" t="n"/>
      <c r="M232" s="13">
        <f>IF(OR(A232="",E232=""),"",COUNTIFS(Enquiries!$B:$B,A232,Enquiries!$C:$C,E232))</f>
        <v/>
      </c>
      <c r="N232" s="12" t="n"/>
    </row>
    <row r="233">
      <c r="A233" s="12" t="n"/>
      <c r="B233" s="14" t="n"/>
      <c r="C233" s="12" t="n"/>
      <c r="D233" s="12" t="n"/>
      <c r="E233" s="12" t="n"/>
      <c r="F233" s="12" t="n"/>
      <c r="G233" s="20" t="n"/>
      <c r="H233" s="21" t="n"/>
      <c r="I233" s="20" t="n"/>
      <c r="J233" s="20" t="n"/>
      <c r="K233" s="20" t="n"/>
      <c r="L233" s="20" t="n"/>
      <c r="M233" s="13">
        <f>IF(OR(A233="",E233=""),"",COUNTIFS(Enquiries!$B:$B,A233,Enquiries!$C:$C,E233))</f>
        <v/>
      </c>
      <c r="N233" s="12" t="n"/>
    </row>
    <row r="234">
      <c r="A234" s="12" t="n"/>
      <c r="B234" s="14" t="n"/>
      <c r="C234" s="12" t="n"/>
      <c r="D234" s="12" t="n"/>
      <c r="E234" s="12" t="n"/>
      <c r="F234" s="12" t="n"/>
      <c r="G234" s="20" t="n"/>
      <c r="H234" s="21" t="n"/>
      <c r="I234" s="20" t="n"/>
      <c r="J234" s="20" t="n"/>
      <c r="K234" s="20" t="n"/>
      <c r="L234" s="20" t="n"/>
      <c r="M234" s="13">
        <f>IF(OR(A234="",E234=""),"",COUNTIFS(Enquiries!$B:$B,A234,Enquiries!$C:$C,E234))</f>
        <v/>
      </c>
      <c r="N234" s="12" t="n"/>
    </row>
    <row r="235">
      <c r="A235" s="12" t="n"/>
      <c r="B235" s="14" t="n"/>
      <c r="C235" s="12" t="n"/>
      <c r="D235" s="12" t="n"/>
      <c r="E235" s="12" t="n"/>
      <c r="F235" s="12" t="n"/>
      <c r="G235" s="20" t="n"/>
      <c r="H235" s="21" t="n"/>
      <c r="I235" s="20" t="n"/>
      <c r="J235" s="20" t="n"/>
      <c r="K235" s="20" t="n"/>
      <c r="L235" s="20" t="n"/>
      <c r="M235" s="13">
        <f>IF(OR(A235="",E235=""),"",COUNTIFS(Enquiries!$B:$B,A235,Enquiries!$C:$C,E235))</f>
        <v/>
      </c>
      <c r="N235" s="12" t="n"/>
    </row>
    <row r="236">
      <c r="A236" s="12" t="n"/>
      <c r="B236" s="14" t="n"/>
      <c r="C236" s="12" t="n"/>
      <c r="D236" s="12" t="n"/>
      <c r="E236" s="12" t="n"/>
      <c r="F236" s="12" t="n"/>
      <c r="G236" s="20" t="n"/>
      <c r="H236" s="21" t="n"/>
      <c r="I236" s="20" t="n"/>
      <c r="J236" s="20" t="n"/>
      <c r="K236" s="20" t="n"/>
      <c r="L236" s="20" t="n"/>
      <c r="M236" s="13">
        <f>IF(OR(A236="",E236=""),"",COUNTIFS(Enquiries!$B:$B,A236,Enquiries!$C:$C,E236))</f>
        <v/>
      </c>
      <c r="N236" s="12" t="n"/>
    </row>
    <row r="237">
      <c r="A237" s="12" t="n"/>
      <c r="B237" s="14" t="n"/>
      <c r="C237" s="12" t="n"/>
      <c r="D237" s="12" t="n"/>
      <c r="E237" s="12" t="n"/>
      <c r="F237" s="12" t="n"/>
      <c r="G237" s="20" t="n"/>
      <c r="H237" s="21" t="n"/>
      <c r="I237" s="20" t="n"/>
      <c r="J237" s="20" t="n"/>
      <c r="K237" s="20" t="n"/>
      <c r="L237" s="20" t="n"/>
      <c r="M237" s="13">
        <f>IF(OR(A237="",E237=""),"",COUNTIFS(Enquiries!$B:$B,A237,Enquiries!$C:$C,E237))</f>
        <v/>
      </c>
      <c r="N237" s="12" t="n"/>
    </row>
    <row r="238">
      <c r="A238" s="12" t="n"/>
      <c r="B238" s="14" t="n"/>
      <c r="C238" s="12" t="n"/>
      <c r="D238" s="12" t="n"/>
      <c r="E238" s="12" t="n"/>
      <c r="F238" s="12" t="n"/>
      <c r="G238" s="20" t="n"/>
      <c r="H238" s="21" t="n"/>
      <c r="I238" s="20" t="n"/>
      <c r="J238" s="20" t="n"/>
      <c r="K238" s="20" t="n"/>
      <c r="L238" s="20" t="n"/>
      <c r="M238" s="13">
        <f>IF(OR(A238="",E238=""),"",COUNTIFS(Enquiries!$B:$B,A238,Enquiries!$C:$C,E238))</f>
        <v/>
      </c>
      <c r="N238" s="12" t="n"/>
    </row>
    <row r="239">
      <c r="A239" s="12" t="n"/>
      <c r="B239" s="14" t="n"/>
      <c r="C239" s="12" t="n"/>
      <c r="D239" s="12" t="n"/>
      <c r="E239" s="12" t="n"/>
      <c r="F239" s="12" t="n"/>
      <c r="G239" s="20" t="n"/>
      <c r="H239" s="21" t="n"/>
      <c r="I239" s="20" t="n"/>
      <c r="J239" s="20" t="n"/>
      <c r="K239" s="20" t="n"/>
      <c r="L239" s="20" t="n"/>
      <c r="M239" s="13">
        <f>IF(OR(A239="",E239=""),"",COUNTIFS(Enquiries!$B:$B,A239,Enquiries!$C:$C,E239))</f>
        <v/>
      </c>
      <c r="N239" s="12" t="n"/>
    </row>
    <row r="240">
      <c r="A240" s="12" t="n"/>
      <c r="B240" s="14" t="n"/>
      <c r="C240" s="12" t="n"/>
      <c r="D240" s="12" t="n"/>
      <c r="E240" s="12" t="n"/>
      <c r="F240" s="12" t="n"/>
      <c r="G240" s="20" t="n"/>
      <c r="H240" s="21" t="n"/>
      <c r="I240" s="20" t="n"/>
      <c r="J240" s="20" t="n"/>
      <c r="K240" s="20" t="n"/>
      <c r="L240" s="20" t="n"/>
      <c r="M240" s="13">
        <f>IF(OR(A240="",E240=""),"",COUNTIFS(Enquiries!$B:$B,A240,Enquiries!$C:$C,E240))</f>
        <v/>
      </c>
      <c r="N240" s="12" t="n"/>
    </row>
    <row r="241">
      <c r="A241" s="12" t="n"/>
      <c r="B241" s="14" t="n"/>
      <c r="C241" s="12" t="n"/>
      <c r="D241" s="12" t="n"/>
      <c r="E241" s="12" t="n"/>
      <c r="F241" s="12" t="n"/>
      <c r="G241" s="20" t="n"/>
      <c r="H241" s="21" t="n"/>
      <c r="I241" s="20" t="n"/>
      <c r="J241" s="20" t="n"/>
      <c r="K241" s="20" t="n"/>
      <c r="L241" s="20" t="n"/>
      <c r="M241" s="13">
        <f>IF(OR(A241="",E241=""),"",COUNTIFS(Enquiries!$B:$B,A241,Enquiries!$C:$C,E241))</f>
        <v/>
      </c>
      <c r="N241" s="12" t="n"/>
    </row>
    <row r="242">
      <c r="A242" s="12" t="n"/>
      <c r="B242" s="14" t="n"/>
      <c r="C242" s="12" t="n"/>
      <c r="D242" s="12" t="n"/>
      <c r="E242" s="12" t="n"/>
      <c r="F242" s="12" t="n"/>
      <c r="G242" s="20" t="n"/>
      <c r="H242" s="21" t="n"/>
      <c r="I242" s="20" t="n"/>
      <c r="J242" s="20" t="n"/>
      <c r="K242" s="20" t="n"/>
      <c r="L242" s="20" t="n"/>
      <c r="M242" s="13">
        <f>IF(OR(A242="",E242=""),"",COUNTIFS(Enquiries!$B:$B,A242,Enquiries!$C:$C,E242))</f>
        <v/>
      </c>
      <c r="N242" s="12" t="n"/>
    </row>
    <row r="243">
      <c r="A243" s="12" t="n"/>
      <c r="B243" s="14" t="n"/>
      <c r="C243" s="12" t="n"/>
      <c r="D243" s="12" t="n"/>
      <c r="E243" s="12" t="n"/>
      <c r="F243" s="12" t="n"/>
      <c r="G243" s="20" t="n"/>
      <c r="H243" s="21" t="n"/>
      <c r="I243" s="20" t="n"/>
      <c r="J243" s="20" t="n"/>
      <c r="K243" s="20" t="n"/>
      <c r="L243" s="20" t="n"/>
      <c r="M243" s="13">
        <f>IF(OR(A243="",E243=""),"",COUNTIFS(Enquiries!$B:$B,A243,Enquiries!$C:$C,E243))</f>
        <v/>
      </c>
      <c r="N243" s="12" t="n"/>
    </row>
    <row r="244">
      <c r="A244" s="12" t="n"/>
      <c r="B244" s="14" t="n"/>
      <c r="C244" s="12" t="n"/>
      <c r="D244" s="12" t="n"/>
      <c r="E244" s="12" t="n"/>
      <c r="F244" s="12" t="n"/>
      <c r="G244" s="20" t="n"/>
      <c r="H244" s="21" t="n"/>
      <c r="I244" s="20" t="n"/>
      <c r="J244" s="20" t="n"/>
      <c r="K244" s="20" t="n"/>
      <c r="L244" s="20" t="n"/>
      <c r="M244" s="13">
        <f>IF(OR(A244="",E244=""),"",COUNTIFS(Enquiries!$B:$B,A244,Enquiries!$C:$C,E244))</f>
        <v/>
      </c>
      <c r="N244" s="12" t="n"/>
    </row>
    <row r="245">
      <c r="A245" s="12" t="n"/>
      <c r="B245" s="14" t="n"/>
      <c r="C245" s="12" t="n"/>
      <c r="D245" s="12" t="n"/>
      <c r="E245" s="12" t="n"/>
      <c r="F245" s="12" t="n"/>
      <c r="G245" s="20" t="n"/>
      <c r="H245" s="21" t="n"/>
      <c r="I245" s="20" t="n"/>
      <c r="J245" s="20" t="n"/>
      <c r="K245" s="20" t="n"/>
      <c r="L245" s="20" t="n"/>
      <c r="M245" s="13">
        <f>IF(OR(A245="",E245=""),"",COUNTIFS(Enquiries!$B:$B,A245,Enquiries!$C:$C,E245))</f>
        <v/>
      </c>
      <c r="N245" s="12" t="n"/>
    </row>
    <row r="246">
      <c r="A246" s="12" t="n"/>
      <c r="B246" s="14" t="n"/>
      <c r="C246" s="12" t="n"/>
      <c r="D246" s="12" t="n"/>
      <c r="E246" s="12" t="n"/>
      <c r="F246" s="12" t="n"/>
      <c r="G246" s="20" t="n"/>
      <c r="H246" s="21" t="n"/>
      <c r="I246" s="20" t="n"/>
      <c r="J246" s="20" t="n"/>
      <c r="K246" s="20" t="n"/>
      <c r="L246" s="20" t="n"/>
      <c r="M246" s="13">
        <f>IF(OR(A246="",E246=""),"",COUNTIFS(Enquiries!$B:$B,A246,Enquiries!$C:$C,E246))</f>
        <v/>
      </c>
      <c r="N246" s="12" t="n"/>
    </row>
    <row r="247">
      <c r="A247" s="12" t="n"/>
      <c r="B247" s="14" t="n"/>
      <c r="C247" s="12" t="n"/>
      <c r="D247" s="12" t="n"/>
      <c r="E247" s="12" t="n"/>
      <c r="F247" s="12" t="n"/>
      <c r="G247" s="20" t="n"/>
      <c r="H247" s="21" t="n"/>
      <c r="I247" s="20" t="n"/>
      <c r="J247" s="20" t="n"/>
      <c r="K247" s="20" t="n"/>
      <c r="L247" s="20" t="n"/>
      <c r="M247" s="13">
        <f>IF(OR(A247="",E247=""),"",COUNTIFS(Enquiries!$B:$B,A247,Enquiries!$C:$C,E247))</f>
        <v/>
      </c>
      <c r="N247" s="12" t="n"/>
    </row>
    <row r="248">
      <c r="A248" s="12" t="n"/>
      <c r="B248" s="14" t="n"/>
      <c r="C248" s="12" t="n"/>
      <c r="D248" s="12" t="n"/>
      <c r="E248" s="12" t="n"/>
      <c r="F248" s="12" t="n"/>
      <c r="G248" s="20" t="n"/>
      <c r="H248" s="21" t="n"/>
      <c r="I248" s="20" t="n"/>
      <c r="J248" s="20" t="n"/>
      <c r="K248" s="20" t="n"/>
      <c r="L248" s="20" t="n"/>
      <c r="M248" s="13">
        <f>IF(OR(A248="",E248=""),"",COUNTIFS(Enquiries!$B:$B,A248,Enquiries!$C:$C,E248))</f>
        <v/>
      </c>
      <c r="N248" s="12" t="n"/>
    </row>
    <row r="249">
      <c r="A249" s="12" t="n"/>
      <c r="B249" s="14" t="n"/>
      <c r="C249" s="12" t="n"/>
      <c r="D249" s="12" t="n"/>
      <c r="E249" s="12" t="n"/>
      <c r="F249" s="12" t="n"/>
      <c r="G249" s="20" t="n"/>
      <c r="H249" s="21" t="n"/>
      <c r="I249" s="20" t="n"/>
      <c r="J249" s="20" t="n"/>
      <c r="K249" s="20" t="n"/>
      <c r="L249" s="20" t="n"/>
      <c r="M249" s="13">
        <f>IF(OR(A249="",E249=""),"",COUNTIFS(Enquiries!$B:$B,A249,Enquiries!$C:$C,E249))</f>
        <v/>
      </c>
      <c r="N249" s="12" t="n"/>
    </row>
    <row r="250">
      <c r="A250" s="12" t="n"/>
      <c r="B250" s="14" t="n"/>
      <c r="C250" s="12" t="n"/>
      <c r="D250" s="12" t="n"/>
      <c r="E250" s="12" t="n"/>
      <c r="F250" s="12" t="n"/>
      <c r="G250" s="20" t="n"/>
      <c r="H250" s="21" t="n"/>
      <c r="I250" s="20" t="n"/>
      <c r="J250" s="20" t="n"/>
      <c r="K250" s="20" t="n"/>
      <c r="L250" s="20" t="n"/>
      <c r="M250" s="13">
        <f>IF(OR(A250="",E250=""),"",COUNTIFS(Enquiries!$B:$B,A250,Enquiries!$C:$C,E250))</f>
        <v/>
      </c>
      <c r="N250" s="12" t="n"/>
    </row>
    <row r="251">
      <c r="A251" s="12" t="n"/>
      <c r="B251" s="14" t="n"/>
      <c r="C251" s="12" t="n"/>
      <c r="D251" s="12" t="n"/>
      <c r="E251" s="12" t="n"/>
      <c r="F251" s="12" t="n"/>
      <c r="G251" s="20" t="n"/>
      <c r="H251" s="21" t="n"/>
      <c r="I251" s="20" t="n"/>
      <c r="J251" s="20" t="n"/>
      <c r="K251" s="20" t="n"/>
      <c r="L251" s="20" t="n"/>
      <c r="M251" s="13">
        <f>IF(OR(A251="",E251=""),"",COUNTIFS(Enquiries!$B:$B,A251,Enquiries!$C:$C,E251))</f>
        <v/>
      </c>
      <c r="N251" s="12" t="n"/>
    </row>
    <row r="252">
      <c r="A252" s="12" t="n"/>
      <c r="B252" s="14" t="n"/>
      <c r="C252" s="12" t="n"/>
      <c r="D252" s="12" t="n"/>
      <c r="E252" s="12" t="n"/>
      <c r="F252" s="12" t="n"/>
      <c r="G252" s="20" t="n"/>
      <c r="H252" s="21" t="n"/>
      <c r="I252" s="20" t="n"/>
      <c r="J252" s="20" t="n"/>
      <c r="K252" s="20" t="n"/>
      <c r="L252" s="20" t="n"/>
      <c r="M252" s="13">
        <f>IF(OR(A252="",E252=""),"",COUNTIFS(Enquiries!$B:$B,A252,Enquiries!$C:$C,E252))</f>
        <v/>
      </c>
      <c r="N252" s="12" t="n"/>
    </row>
    <row r="253">
      <c r="A253" s="12" t="n"/>
      <c r="B253" s="14" t="n"/>
      <c r="C253" s="12" t="n"/>
      <c r="D253" s="12" t="n"/>
      <c r="E253" s="12" t="n"/>
      <c r="F253" s="12" t="n"/>
      <c r="G253" s="20" t="n"/>
      <c r="H253" s="21" t="n"/>
      <c r="I253" s="20" t="n"/>
      <c r="J253" s="20" t="n"/>
      <c r="K253" s="20" t="n"/>
      <c r="L253" s="20" t="n"/>
      <c r="M253" s="13">
        <f>IF(OR(A253="",E253=""),"",COUNTIFS(Enquiries!$B:$B,A253,Enquiries!$C:$C,E253))</f>
        <v/>
      </c>
      <c r="N253" s="12" t="n"/>
    </row>
    <row r="254">
      <c r="A254" s="12" t="n"/>
      <c r="B254" s="14" t="n"/>
      <c r="C254" s="12" t="n"/>
      <c r="D254" s="12" t="n"/>
      <c r="E254" s="12" t="n"/>
      <c r="F254" s="12" t="n"/>
      <c r="G254" s="20" t="n"/>
      <c r="H254" s="21" t="n"/>
      <c r="I254" s="20" t="n"/>
      <c r="J254" s="20" t="n"/>
      <c r="K254" s="20" t="n"/>
      <c r="L254" s="20" t="n"/>
      <c r="M254" s="13">
        <f>IF(OR(A254="",E254=""),"",COUNTIFS(Enquiries!$B:$B,A254,Enquiries!$C:$C,E254))</f>
        <v/>
      </c>
      <c r="N254" s="12" t="n"/>
    </row>
    <row r="255">
      <c r="A255" s="12" t="n"/>
      <c r="B255" s="14" t="n"/>
      <c r="C255" s="12" t="n"/>
      <c r="D255" s="12" t="n"/>
      <c r="E255" s="12" t="n"/>
      <c r="F255" s="12" t="n"/>
      <c r="G255" s="20" t="n"/>
      <c r="H255" s="21" t="n"/>
      <c r="I255" s="20" t="n"/>
      <c r="J255" s="20" t="n"/>
      <c r="K255" s="20" t="n"/>
      <c r="L255" s="20" t="n"/>
      <c r="M255" s="13">
        <f>IF(OR(A255="",E255=""),"",COUNTIFS(Enquiries!$B:$B,A255,Enquiries!$C:$C,E255))</f>
        <v/>
      </c>
      <c r="N255" s="12" t="n"/>
    </row>
    <row r="256">
      <c r="A256" s="12" t="n"/>
      <c r="B256" s="14" t="n"/>
      <c r="C256" s="12" t="n"/>
      <c r="D256" s="12" t="n"/>
      <c r="E256" s="12" t="n"/>
      <c r="F256" s="12" t="n"/>
      <c r="G256" s="20" t="n"/>
      <c r="H256" s="21" t="n"/>
      <c r="I256" s="20" t="n"/>
      <c r="J256" s="20" t="n"/>
      <c r="K256" s="20" t="n"/>
      <c r="L256" s="20" t="n"/>
      <c r="M256" s="13">
        <f>IF(OR(A256="",E256=""),"",COUNTIFS(Enquiries!$B:$B,A256,Enquiries!$C:$C,E256))</f>
        <v/>
      </c>
      <c r="N256" s="12" t="n"/>
    </row>
    <row r="257">
      <c r="A257" s="12" t="n"/>
      <c r="B257" s="14" t="n"/>
      <c r="C257" s="12" t="n"/>
      <c r="D257" s="12" t="n"/>
      <c r="E257" s="12" t="n"/>
      <c r="F257" s="12" t="n"/>
      <c r="G257" s="20" t="n"/>
      <c r="H257" s="21" t="n"/>
      <c r="I257" s="20" t="n"/>
      <c r="J257" s="20" t="n"/>
      <c r="K257" s="20" t="n"/>
      <c r="L257" s="20" t="n"/>
      <c r="M257" s="13">
        <f>IF(OR(A257="",E257=""),"",COUNTIFS(Enquiries!$B:$B,A257,Enquiries!$C:$C,E257))</f>
        <v/>
      </c>
      <c r="N257" s="12" t="n"/>
    </row>
    <row r="258">
      <c r="A258" s="12" t="n"/>
      <c r="B258" s="14" t="n"/>
      <c r="C258" s="12" t="n"/>
      <c r="D258" s="12" t="n"/>
      <c r="E258" s="12" t="n"/>
      <c r="F258" s="12" t="n"/>
      <c r="G258" s="20" t="n"/>
      <c r="H258" s="21" t="n"/>
      <c r="I258" s="20" t="n"/>
      <c r="J258" s="20" t="n"/>
      <c r="K258" s="20" t="n"/>
      <c r="L258" s="20" t="n"/>
      <c r="M258" s="13">
        <f>IF(OR(A258="",E258=""),"",COUNTIFS(Enquiries!$B:$B,A258,Enquiries!$C:$C,E258))</f>
        <v/>
      </c>
      <c r="N258" s="12" t="n"/>
    </row>
    <row r="259">
      <c r="A259" s="12" t="n"/>
      <c r="B259" s="14" t="n"/>
      <c r="C259" s="12" t="n"/>
      <c r="D259" s="12" t="n"/>
      <c r="E259" s="12" t="n"/>
      <c r="F259" s="12" t="n"/>
      <c r="G259" s="20" t="n"/>
      <c r="H259" s="21" t="n"/>
      <c r="I259" s="20" t="n"/>
      <c r="J259" s="20" t="n"/>
      <c r="K259" s="20" t="n"/>
      <c r="L259" s="20" t="n"/>
      <c r="M259" s="13">
        <f>IF(OR(A259="",E259=""),"",COUNTIFS(Enquiries!$B:$B,A259,Enquiries!$C:$C,E259))</f>
        <v/>
      </c>
      <c r="N259" s="12" t="n"/>
    </row>
    <row r="260">
      <c r="A260" s="12" t="n"/>
      <c r="B260" s="14" t="n"/>
      <c r="C260" s="12" t="n"/>
      <c r="D260" s="12" t="n"/>
      <c r="E260" s="12" t="n"/>
      <c r="F260" s="12" t="n"/>
      <c r="G260" s="20" t="n"/>
      <c r="H260" s="21" t="n"/>
      <c r="I260" s="20" t="n"/>
      <c r="J260" s="20" t="n"/>
      <c r="K260" s="20" t="n"/>
      <c r="L260" s="20" t="n"/>
      <c r="M260" s="13">
        <f>IF(OR(A260="",E260=""),"",COUNTIFS(Enquiries!$B:$B,A260,Enquiries!$C:$C,E260))</f>
        <v/>
      </c>
      <c r="N260" s="12" t="n"/>
    </row>
    <row r="261">
      <c r="A261" s="12" t="n"/>
      <c r="B261" s="14" t="n"/>
      <c r="C261" s="12" t="n"/>
      <c r="D261" s="12" t="n"/>
      <c r="E261" s="12" t="n"/>
      <c r="F261" s="12" t="n"/>
      <c r="G261" s="20" t="n"/>
      <c r="H261" s="21" t="n"/>
      <c r="I261" s="20" t="n"/>
      <c r="J261" s="20" t="n"/>
      <c r="K261" s="20" t="n"/>
      <c r="L261" s="20" t="n"/>
      <c r="M261" s="13">
        <f>IF(OR(A261="",E261=""),"",COUNTIFS(Enquiries!$B:$B,A261,Enquiries!$C:$C,E261))</f>
        <v/>
      </c>
      <c r="N261" s="12" t="n"/>
    </row>
    <row r="262">
      <c r="A262" s="12" t="n"/>
      <c r="B262" s="14" t="n"/>
      <c r="C262" s="12" t="n"/>
      <c r="D262" s="12" t="n"/>
      <c r="E262" s="12" t="n"/>
      <c r="F262" s="12" t="n"/>
      <c r="G262" s="20" t="n"/>
      <c r="H262" s="21" t="n"/>
      <c r="I262" s="20" t="n"/>
      <c r="J262" s="20" t="n"/>
      <c r="K262" s="20" t="n"/>
      <c r="L262" s="20" t="n"/>
      <c r="M262" s="13">
        <f>IF(OR(A262="",E262=""),"",COUNTIFS(Enquiries!$B:$B,A262,Enquiries!$C:$C,E262))</f>
        <v/>
      </c>
      <c r="N262" s="12" t="n"/>
    </row>
    <row r="263">
      <c r="A263" s="12" t="n"/>
      <c r="B263" s="14" t="n"/>
      <c r="C263" s="12" t="n"/>
      <c r="D263" s="12" t="n"/>
      <c r="E263" s="12" t="n"/>
      <c r="F263" s="12" t="n"/>
      <c r="G263" s="20" t="n"/>
      <c r="H263" s="21" t="n"/>
      <c r="I263" s="20" t="n"/>
      <c r="J263" s="20" t="n"/>
      <c r="K263" s="20" t="n"/>
      <c r="L263" s="20" t="n"/>
      <c r="M263" s="13">
        <f>IF(OR(A263="",E263=""),"",COUNTIFS(Enquiries!$B:$B,A263,Enquiries!$C:$C,E263))</f>
        <v/>
      </c>
      <c r="N263" s="12" t="n"/>
    </row>
    <row r="264">
      <c r="A264" s="12" t="n"/>
      <c r="B264" s="14" t="n"/>
      <c r="C264" s="12" t="n"/>
      <c r="D264" s="12" t="n"/>
      <c r="E264" s="12" t="n"/>
      <c r="F264" s="12" t="n"/>
      <c r="G264" s="20" t="n"/>
      <c r="H264" s="21" t="n"/>
      <c r="I264" s="20" t="n"/>
      <c r="J264" s="20" t="n"/>
      <c r="K264" s="20" t="n"/>
      <c r="L264" s="20" t="n"/>
      <c r="M264" s="13">
        <f>IF(OR(A264="",E264=""),"",COUNTIFS(Enquiries!$B:$B,A264,Enquiries!$C:$C,E264))</f>
        <v/>
      </c>
      <c r="N264" s="12" t="n"/>
    </row>
    <row r="265">
      <c r="A265" s="12" t="n"/>
      <c r="B265" s="14" t="n"/>
      <c r="C265" s="12" t="n"/>
      <c r="D265" s="12" t="n"/>
      <c r="E265" s="12" t="n"/>
      <c r="F265" s="12" t="n"/>
      <c r="G265" s="20" t="n"/>
      <c r="H265" s="21" t="n"/>
      <c r="I265" s="20" t="n"/>
      <c r="J265" s="20" t="n"/>
      <c r="K265" s="20" t="n"/>
      <c r="L265" s="20" t="n"/>
      <c r="M265" s="13">
        <f>IF(OR(A265="",E265=""),"",COUNTIFS(Enquiries!$B:$B,A265,Enquiries!$C:$C,E265))</f>
        <v/>
      </c>
      <c r="N265" s="12" t="n"/>
    </row>
    <row r="266">
      <c r="A266" s="12" t="n"/>
      <c r="B266" s="14" t="n"/>
      <c r="C266" s="12" t="n"/>
      <c r="D266" s="12" t="n"/>
      <c r="E266" s="12" t="n"/>
      <c r="F266" s="12" t="n"/>
      <c r="G266" s="20" t="n"/>
      <c r="H266" s="21" t="n"/>
      <c r="I266" s="20" t="n"/>
      <c r="J266" s="20" t="n"/>
      <c r="K266" s="20" t="n"/>
      <c r="L266" s="20" t="n"/>
      <c r="M266" s="13">
        <f>IF(OR(A266="",E266=""),"",COUNTIFS(Enquiries!$B:$B,A266,Enquiries!$C:$C,E266))</f>
        <v/>
      </c>
      <c r="N266" s="12" t="n"/>
    </row>
    <row r="267">
      <c r="A267" s="12" t="n"/>
      <c r="B267" s="14" t="n"/>
      <c r="C267" s="12" t="n"/>
      <c r="D267" s="12" t="n"/>
      <c r="E267" s="12" t="n"/>
      <c r="F267" s="12" t="n"/>
      <c r="G267" s="20" t="n"/>
      <c r="H267" s="21" t="n"/>
      <c r="I267" s="20" t="n"/>
      <c r="J267" s="20" t="n"/>
      <c r="K267" s="20" t="n"/>
      <c r="L267" s="20" t="n"/>
      <c r="M267" s="13">
        <f>IF(OR(A267="",E267=""),"",COUNTIFS(Enquiries!$B:$B,A267,Enquiries!$C:$C,E267))</f>
        <v/>
      </c>
      <c r="N267" s="12" t="n"/>
    </row>
    <row r="268">
      <c r="A268" s="12" t="n"/>
      <c r="B268" s="14" t="n"/>
      <c r="C268" s="12" t="n"/>
      <c r="D268" s="12" t="n"/>
      <c r="E268" s="12" t="n"/>
      <c r="F268" s="12" t="n"/>
      <c r="G268" s="20" t="n"/>
      <c r="H268" s="21" t="n"/>
      <c r="I268" s="20" t="n"/>
      <c r="J268" s="20" t="n"/>
      <c r="K268" s="20" t="n"/>
      <c r="L268" s="20" t="n"/>
      <c r="M268" s="13">
        <f>IF(OR(A268="",E268=""),"",COUNTIFS(Enquiries!$B:$B,A268,Enquiries!$C:$C,E268))</f>
        <v/>
      </c>
      <c r="N268" s="12" t="n"/>
    </row>
    <row r="269">
      <c r="A269" s="12" t="n"/>
      <c r="B269" s="14" t="n"/>
      <c r="C269" s="12" t="n"/>
      <c r="D269" s="12" t="n"/>
      <c r="E269" s="12" t="n"/>
      <c r="F269" s="12" t="n"/>
      <c r="G269" s="20" t="n"/>
      <c r="H269" s="21" t="n"/>
      <c r="I269" s="20" t="n"/>
      <c r="J269" s="20" t="n"/>
      <c r="K269" s="20" t="n"/>
      <c r="L269" s="20" t="n"/>
      <c r="M269" s="13">
        <f>IF(OR(A269="",E269=""),"",COUNTIFS(Enquiries!$B:$B,A269,Enquiries!$C:$C,E269))</f>
        <v/>
      </c>
      <c r="N269" s="12" t="n"/>
    </row>
    <row r="270">
      <c r="A270" s="12" t="n"/>
      <c r="B270" s="14" t="n"/>
      <c r="C270" s="12" t="n"/>
      <c r="D270" s="12" t="n"/>
      <c r="E270" s="12" t="n"/>
      <c r="F270" s="12" t="n"/>
      <c r="G270" s="20" t="n"/>
      <c r="H270" s="21" t="n"/>
      <c r="I270" s="20" t="n"/>
      <c r="J270" s="20" t="n"/>
      <c r="K270" s="20" t="n"/>
      <c r="L270" s="20" t="n"/>
      <c r="M270" s="13">
        <f>IF(OR(A270="",E270=""),"",COUNTIFS(Enquiries!$B:$B,A270,Enquiries!$C:$C,E270))</f>
        <v/>
      </c>
      <c r="N270" s="12" t="n"/>
    </row>
    <row r="271">
      <c r="A271" s="12" t="n"/>
      <c r="B271" s="14" t="n"/>
      <c r="C271" s="12" t="n"/>
      <c r="D271" s="12" t="n"/>
      <c r="E271" s="12" t="n"/>
      <c r="F271" s="12" t="n"/>
      <c r="G271" s="20" t="n"/>
      <c r="H271" s="21" t="n"/>
      <c r="I271" s="20" t="n"/>
      <c r="J271" s="20" t="n"/>
      <c r="K271" s="20" t="n"/>
      <c r="L271" s="20" t="n"/>
      <c r="M271" s="13">
        <f>IF(OR(A271="",E271=""),"",COUNTIFS(Enquiries!$B:$B,A271,Enquiries!$C:$C,E271))</f>
        <v/>
      </c>
      <c r="N271" s="12" t="n"/>
    </row>
    <row r="272">
      <c r="A272" s="12" t="n"/>
      <c r="B272" s="14" t="n"/>
      <c r="C272" s="12" t="n"/>
      <c r="D272" s="12" t="n"/>
      <c r="E272" s="12" t="n"/>
      <c r="F272" s="12" t="n"/>
      <c r="G272" s="20" t="n"/>
      <c r="H272" s="21" t="n"/>
      <c r="I272" s="20" t="n"/>
      <c r="J272" s="20" t="n"/>
      <c r="K272" s="20" t="n"/>
      <c r="L272" s="20" t="n"/>
      <c r="M272" s="13">
        <f>IF(OR(A272="",E272=""),"",COUNTIFS(Enquiries!$B:$B,A272,Enquiries!$C:$C,E272))</f>
        <v/>
      </c>
      <c r="N272" s="12" t="n"/>
    </row>
    <row r="273">
      <c r="A273" s="12" t="n"/>
      <c r="B273" s="14" t="n"/>
      <c r="C273" s="12" t="n"/>
      <c r="D273" s="12" t="n"/>
      <c r="E273" s="12" t="n"/>
      <c r="F273" s="12" t="n"/>
      <c r="G273" s="20" t="n"/>
      <c r="H273" s="21" t="n"/>
      <c r="I273" s="20" t="n"/>
      <c r="J273" s="20" t="n"/>
      <c r="K273" s="20" t="n"/>
      <c r="L273" s="20" t="n"/>
      <c r="M273" s="13">
        <f>IF(OR(A273="",E273=""),"",COUNTIFS(Enquiries!$B:$B,A273,Enquiries!$C:$C,E273))</f>
        <v/>
      </c>
      <c r="N273" s="12" t="n"/>
    </row>
    <row r="274">
      <c r="A274" s="12" t="n"/>
      <c r="B274" s="14" t="n"/>
      <c r="C274" s="12" t="n"/>
      <c r="D274" s="12" t="n"/>
      <c r="E274" s="12" t="n"/>
      <c r="F274" s="12" t="n"/>
      <c r="G274" s="20" t="n"/>
      <c r="H274" s="21" t="n"/>
      <c r="I274" s="20" t="n"/>
      <c r="J274" s="20" t="n"/>
      <c r="K274" s="20" t="n"/>
      <c r="L274" s="20" t="n"/>
      <c r="M274" s="13">
        <f>IF(OR(A274="",E274=""),"",COUNTIFS(Enquiries!$B:$B,A274,Enquiries!$C:$C,E274))</f>
        <v/>
      </c>
      <c r="N274" s="12" t="n"/>
    </row>
    <row r="275">
      <c r="A275" s="12" t="n"/>
      <c r="B275" s="14" t="n"/>
      <c r="C275" s="12" t="n"/>
      <c r="D275" s="12" t="n"/>
      <c r="E275" s="12" t="n"/>
      <c r="F275" s="12" t="n"/>
      <c r="G275" s="20" t="n"/>
      <c r="H275" s="21" t="n"/>
      <c r="I275" s="20" t="n"/>
      <c r="J275" s="20" t="n"/>
      <c r="K275" s="20" t="n"/>
      <c r="L275" s="20" t="n"/>
      <c r="M275" s="13">
        <f>IF(OR(A275="",E275=""),"",COUNTIFS(Enquiries!$B:$B,A275,Enquiries!$C:$C,E275))</f>
        <v/>
      </c>
      <c r="N275" s="12" t="n"/>
    </row>
    <row r="276">
      <c r="A276" s="12" t="n"/>
      <c r="B276" s="14" t="n"/>
      <c r="C276" s="12" t="n"/>
      <c r="D276" s="12" t="n"/>
      <c r="E276" s="12" t="n"/>
      <c r="F276" s="12" t="n"/>
      <c r="G276" s="20" t="n"/>
      <c r="H276" s="21" t="n"/>
      <c r="I276" s="20" t="n"/>
      <c r="J276" s="20" t="n"/>
      <c r="K276" s="20" t="n"/>
      <c r="L276" s="20" t="n"/>
      <c r="M276" s="13">
        <f>IF(OR(A276="",E276=""),"",COUNTIFS(Enquiries!$B:$B,A276,Enquiries!$C:$C,E276))</f>
        <v/>
      </c>
      <c r="N276" s="12" t="n"/>
    </row>
    <row r="277">
      <c r="A277" s="12" t="n"/>
      <c r="B277" s="14" t="n"/>
      <c r="C277" s="12" t="n"/>
      <c r="D277" s="12" t="n"/>
      <c r="E277" s="12" t="n"/>
      <c r="F277" s="12" t="n"/>
      <c r="G277" s="20" t="n"/>
      <c r="H277" s="21" t="n"/>
      <c r="I277" s="20" t="n"/>
      <c r="J277" s="20" t="n"/>
      <c r="K277" s="20" t="n"/>
      <c r="L277" s="20" t="n"/>
      <c r="M277" s="13">
        <f>IF(OR(A277="",E277=""),"",COUNTIFS(Enquiries!$B:$B,A277,Enquiries!$C:$C,E277))</f>
        <v/>
      </c>
      <c r="N277" s="12" t="n"/>
    </row>
    <row r="278">
      <c r="A278" s="12" t="n"/>
      <c r="B278" s="14" t="n"/>
      <c r="C278" s="12" t="n"/>
      <c r="D278" s="12" t="n"/>
      <c r="E278" s="12" t="n"/>
      <c r="F278" s="12" t="n"/>
      <c r="G278" s="20" t="n"/>
      <c r="H278" s="21" t="n"/>
      <c r="I278" s="20" t="n"/>
      <c r="J278" s="20" t="n"/>
      <c r="K278" s="20" t="n"/>
      <c r="L278" s="20" t="n"/>
      <c r="M278" s="13">
        <f>IF(OR(A278="",E278=""),"",COUNTIFS(Enquiries!$B:$B,A278,Enquiries!$C:$C,E278))</f>
        <v/>
      </c>
      <c r="N278" s="12" t="n"/>
    </row>
    <row r="279">
      <c r="A279" s="12" t="n"/>
      <c r="B279" s="14" t="n"/>
      <c r="C279" s="12" t="n"/>
      <c r="D279" s="12" t="n"/>
      <c r="E279" s="12" t="n"/>
      <c r="F279" s="12" t="n"/>
      <c r="G279" s="20" t="n"/>
      <c r="H279" s="21" t="n"/>
      <c r="I279" s="20" t="n"/>
      <c r="J279" s="20" t="n"/>
      <c r="K279" s="20" t="n"/>
      <c r="L279" s="20" t="n"/>
      <c r="M279" s="13">
        <f>IF(OR(A279="",E279=""),"",COUNTIFS(Enquiries!$B:$B,A279,Enquiries!$C:$C,E279))</f>
        <v/>
      </c>
      <c r="N279" s="12" t="n"/>
    </row>
    <row r="280">
      <c r="A280" s="12" t="n"/>
      <c r="B280" s="14" t="n"/>
      <c r="C280" s="12" t="n"/>
      <c r="D280" s="12" t="n"/>
      <c r="E280" s="12" t="n"/>
      <c r="F280" s="12" t="n"/>
      <c r="G280" s="20" t="n"/>
      <c r="H280" s="21" t="n"/>
      <c r="I280" s="20" t="n"/>
      <c r="J280" s="20" t="n"/>
      <c r="K280" s="20" t="n"/>
      <c r="L280" s="20" t="n"/>
      <c r="M280" s="13">
        <f>IF(OR(A280="",E280=""),"",COUNTIFS(Enquiries!$B:$B,A280,Enquiries!$C:$C,E280))</f>
        <v/>
      </c>
      <c r="N280" s="12" t="n"/>
    </row>
    <row r="281">
      <c r="A281" s="12" t="n"/>
      <c r="B281" s="14" t="n"/>
      <c r="C281" s="12" t="n"/>
      <c r="D281" s="12" t="n"/>
      <c r="E281" s="12" t="n"/>
      <c r="F281" s="12" t="n"/>
      <c r="G281" s="20" t="n"/>
      <c r="H281" s="21" t="n"/>
      <c r="I281" s="20" t="n"/>
      <c r="J281" s="20" t="n"/>
      <c r="K281" s="20" t="n"/>
      <c r="L281" s="20" t="n"/>
      <c r="M281" s="13">
        <f>IF(OR(A281="",E281=""),"",COUNTIFS(Enquiries!$B:$B,A281,Enquiries!$C:$C,E281))</f>
        <v/>
      </c>
      <c r="N281" s="12" t="n"/>
    </row>
    <row r="282">
      <c r="A282" s="12" t="n"/>
      <c r="B282" s="14" t="n"/>
      <c r="C282" s="12" t="n"/>
      <c r="D282" s="12" t="n"/>
      <c r="E282" s="12" t="n"/>
      <c r="F282" s="12" t="n"/>
      <c r="G282" s="20" t="n"/>
      <c r="H282" s="21" t="n"/>
      <c r="I282" s="20" t="n"/>
      <c r="J282" s="20" t="n"/>
      <c r="K282" s="20" t="n"/>
      <c r="L282" s="20" t="n"/>
      <c r="M282" s="13">
        <f>IF(OR(A282="",E282=""),"",COUNTIFS(Enquiries!$B:$B,A282,Enquiries!$C:$C,E282))</f>
        <v/>
      </c>
      <c r="N282" s="12" t="n"/>
    </row>
    <row r="283">
      <c r="A283" s="12" t="n"/>
      <c r="B283" s="14" t="n"/>
      <c r="C283" s="12" t="n"/>
      <c r="D283" s="12" t="n"/>
      <c r="E283" s="12" t="n"/>
      <c r="F283" s="12" t="n"/>
      <c r="G283" s="20" t="n"/>
      <c r="H283" s="21" t="n"/>
      <c r="I283" s="20" t="n"/>
      <c r="J283" s="20" t="n"/>
      <c r="K283" s="20" t="n"/>
      <c r="L283" s="20" t="n"/>
      <c r="M283" s="13">
        <f>IF(OR(A283="",E283=""),"",COUNTIFS(Enquiries!$B:$B,A283,Enquiries!$C:$C,E283))</f>
        <v/>
      </c>
      <c r="N283" s="12" t="n"/>
    </row>
    <row r="284">
      <c r="A284" s="12" t="n"/>
      <c r="B284" s="14" t="n"/>
      <c r="C284" s="12" t="n"/>
      <c r="D284" s="12" t="n"/>
      <c r="E284" s="12" t="n"/>
      <c r="F284" s="12" t="n"/>
      <c r="G284" s="20" t="n"/>
      <c r="H284" s="21" t="n"/>
      <c r="I284" s="20" t="n"/>
      <c r="J284" s="20" t="n"/>
      <c r="K284" s="20" t="n"/>
      <c r="L284" s="20" t="n"/>
      <c r="M284" s="13">
        <f>IF(OR(A284="",E284=""),"",COUNTIFS(Enquiries!$B:$B,A284,Enquiries!$C:$C,E284))</f>
        <v/>
      </c>
      <c r="N284" s="12" t="n"/>
    </row>
    <row r="285">
      <c r="A285" s="12" t="n"/>
      <c r="B285" s="14" t="n"/>
      <c r="C285" s="12" t="n"/>
      <c r="D285" s="12" t="n"/>
      <c r="E285" s="12" t="n"/>
      <c r="F285" s="12" t="n"/>
      <c r="G285" s="20" t="n"/>
      <c r="H285" s="21" t="n"/>
      <c r="I285" s="20" t="n"/>
      <c r="J285" s="20" t="n"/>
      <c r="K285" s="20" t="n"/>
      <c r="L285" s="20" t="n"/>
      <c r="M285" s="13">
        <f>IF(OR(A285="",E285=""),"",COUNTIFS(Enquiries!$B:$B,A285,Enquiries!$C:$C,E285))</f>
        <v/>
      </c>
      <c r="N285" s="12" t="n"/>
    </row>
    <row r="286">
      <c r="A286" s="12" t="n"/>
      <c r="B286" s="14" t="n"/>
      <c r="C286" s="12" t="n"/>
      <c r="D286" s="12" t="n"/>
      <c r="E286" s="12" t="n"/>
      <c r="F286" s="12" t="n"/>
      <c r="G286" s="20" t="n"/>
      <c r="H286" s="21" t="n"/>
      <c r="I286" s="20" t="n"/>
      <c r="J286" s="20" t="n"/>
      <c r="K286" s="20" t="n"/>
      <c r="L286" s="20" t="n"/>
      <c r="M286" s="13">
        <f>IF(OR(A286="",E286=""),"",COUNTIFS(Enquiries!$B:$B,A286,Enquiries!$C:$C,E286))</f>
        <v/>
      </c>
      <c r="N286" s="12" t="n"/>
    </row>
    <row r="287">
      <c r="A287" s="12" t="n"/>
      <c r="B287" s="14" t="n"/>
      <c r="C287" s="12" t="n"/>
      <c r="D287" s="12" t="n"/>
      <c r="E287" s="12" t="n"/>
      <c r="F287" s="12" t="n"/>
      <c r="G287" s="20" t="n"/>
      <c r="H287" s="21" t="n"/>
      <c r="I287" s="20" t="n"/>
      <c r="J287" s="20" t="n"/>
      <c r="K287" s="20" t="n"/>
      <c r="L287" s="20" t="n"/>
      <c r="M287" s="13">
        <f>IF(OR(A287="",E287=""),"",COUNTIFS(Enquiries!$B:$B,A287,Enquiries!$C:$C,E287))</f>
        <v/>
      </c>
      <c r="N287" s="12" t="n"/>
    </row>
    <row r="288">
      <c r="A288" s="12" t="n"/>
      <c r="B288" s="14" t="n"/>
      <c r="C288" s="12" t="n"/>
      <c r="D288" s="12" t="n"/>
      <c r="E288" s="12" t="n"/>
      <c r="F288" s="12" t="n"/>
      <c r="G288" s="20" t="n"/>
      <c r="H288" s="21" t="n"/>
      <c r="I288" s="20" t="n"/>
      <c r="J288" s="20" t="n"/>
      <c r="K288" s="20" t="n"/>
      <c r="L288" s="20" t="n"/>
      <c r="M288" s="13">
        <f>IF(OR(A288="",E288=""),"",COUNTIFS(Enquiries!$B:$B,A288,Enquiries!$C:$C,E288))</f>
        <v/>
      </c>
      <c r="N288" s="12" t="n"/>
    </row>
    <row r="289">
      <c r="A289" s="12" t="n"/>
      <c r="B289" s="14" t="n"/>
      <c r="C289" s="12" t="n"/>
      <c r="D289" s="12" t="n"/>
      <c r="E289" s="12" t="n"/>
      <c r="F289" s="12" t="n"/>
      <c r="G289" s="20" t="n"/>
      <c r="H289" s="21" t="n"/>
      <c r="I289" s="20" t="n"/>
      <c r="J289" s="20" t="n"/>
      <c r="K289" s="20" t="n"/>
      <c r="L289" s="20" t="n"/>
      <c r="M289" s="13">
        <f>IF(OR(A289="",E289=""),"",COUNTIFS(Enquiries!$B:$B,A289,Enquiries!$C:$C,E289))</f>
        <v/>
      </c>
      <c r="N289" s="12" t="n"/>
    </row>
    <row r="290">
      <c r="A290" s="12" t="n"/>
      <c r="B290" s="14" t="n"/>
      <c r="C290" s="12" t="n"/>
      <c r="D290" s="12" t="n"/>
      <c r="E290" s="12" t="n"/>
      <c r="F290" s="12" t="n"/>
      <c r="G290" s="20" t="n"/>
      <c r="H290" s="21" t="n"/>
      <c r="I290" s="20" t="n"/>
      <c r="J290" s="20" t="n"/>
      <c r="K290" s="20" t="n"/>
      <c r="L290" s="20" t="n"/>
      <c r="M290" s="13">
        <f>IF(OR(A290="",E290=""),"",COUNTIFS(Enquiries!$B:$B,A290,Enquiries!$C:$C,E290))</f>
        <v/>
      </c>
      <c r="N290" s="12" t="n"/>
    </row>
    <row r="291">
      <c r="A291" s="12" t="n"/>
      <c r="B291" s="14" t="n"/>
      <c r="C291" s="12" t="n"/>
      <c r="D291" s="12" t="n"/>
      <c r="E291" s="12" t="n"/>
      <c r="F291" s="12" t="n"/>
      <c r="G291" s="20" t="n"/>
      <c r="H291" s="21" t="n"/>
      <c r="I291" s="20" t="n"/>
      <c r="J291" s="20" t="n"/>
      <c r="K291" s="20" t="n"/>
      <c r="L291" s="20" t="n"/>
      <c r="M291" s="13">
        <f>IF(OR(A291="",E291=""),"",COUNTIFS(Enquiries!$B:$B,A291,Enquiries!$C:$C,E291))</f>
        <v/>
      </c>
      <c r="N291" s="12" t="n"/>
    </row>
    <row r="292">
      <c r="A292" s="12" t="n"/>
      <c r="B292" s="14" t="n"/>
      <c r="C292" s="12" t="n"/>
      <c r="D292" s="12" t="n"/>
      <c r="E292" s="12" t="n"/>
      <c r="F292" s="12" t="n"/>
      <c r="G292" s="20" t="n"/>
      <c r="H292" s="21" t="n"/>
      <c r="I292" s="20" t="n"/>
      <c r="J292" s="20" t="n"/>
      <c r="K292" s="20" t="n"/>
      <c r="L292" s="20" t="n"/>
      <c r="M292" s="13">
        <f>IF(OR(A292="",E292=""),"",COUNTIFS(Enquiries!$B:$B,A292,Enquiries!$C:$C,E292))</f>
        <v/>
      </c>
      <c r="N292" s="12" t="n"/>
    </row>
    <row r="293">
      <c r="A293" s="12" t="n"/>
      <c r="B293" s="14" t="n"/>
      <c r="C293" s="12" t="n"/>
      <c r="D293" s="12" t="n"/>
      <c r="E293" s="12" t="n"/>
      <c r="F293" s="12" t="n"/>
      <c r="G293" s="20" t="n"/>
      <c r="H293" s="21" t="n"/>
      <c r="I293" s="20" t="n"/>
      <c r="J293" s="20" t="n"/>
      <c r="K293" s="20" t="n"/>
      <c r="L293" s="20" t="n"/>
      <c r="M293" s="13">
        <f>IF(OR(A293="",E293=""),"",COUNTIFS(Enquiries!$B:$B,A293,Enquiries!$C:$C,E293))</f>
        <v/>
      </c>
      <c r="N293" s="12" t="n"/>
    </row>
    <row r="294">
      <c r="A294" s="12" t="n"/>
      <c r="B294" s="14" t="n"/>
      <c r="C294" s="12" t="n"/>
      <c r="D294" s="12" t="n"/>
      <c r="E294" s="12" t="n"/>
      <c r="F294" s="12" t="n"/>
      <c r="G294" s="20" t="n"/>
      <c r="H294" s="21" t="n"/>
      <c r="I294" s="20" t="n"/>
      <c r="J294" s="20" t="n"/>
      <c r="K294" s="20" t="n"/>
      <c r="L294" s="20" t="n"/>
      <c r="M294" s="13">
        <f>IF(OR(A294="",E294=""),"",COUNTIFS(Enquiries!$B:$B,A294,Enquiries!$C:$C,E294))</f>
        <v/>
      </c>
      <c r="N294" s="12" t="n"/>
    </row>
    <row r="295">
      <c r="A295" s="12" t="n"/>
      <c r="B295" s="14" t="n"/>
      <c r="C295" s="12" t="n"/>
      <c r="D295" s="12" t="n"/>
      <c r="E295" s="12" t="n"/>
      <c r="F295" s="12" t="n"/>
      <c r="G295" s="20" t="n"/>
      <c r="H295" s="21" t="n"/>
      <c r="I295" s="20" t="n"/>
      <c r="J295" s="20" t="n"/>
      <c r="K295" s="20" t="n"/>
      <c r="L295" s="20" t="n"/>
      <c r="M295" s="13">
        <f>IF(OR(A295="",E295=""),"",COUNTIFS(Enquiries!$B:$B,A295,Enquiries!$C:$C,E295))</f>
        <v/>
      </c>
      <c r="N295" s="12" t="n"/>
    </row>
    <row r="296">
      <c r="A296" s="12" t="n"/>
      <c r="B296" s="14" t="n"/>
      <c r="C296" s="12" t="n"/>
      <c r="D296" s="12" t="n"/>
      <c r="E296" s="12" t="n"/>
      <c r="F296" s="12" t="n"/>
      <c r="G296" s="20" t="n"/>
      <c r="H296" s="21" t="n"/>
      <c r="I296" s="20" t="n"/>
      <c r="J296" s="20" t="n"/>
      <c r="K296" s="20" t="n"/>
      <c r="L296" s="20" t="n"/>
      <c r="M296" s="13">
        <f>IF(OR(A296="",E296=""),"",COUNTIFS(Enquiries!$B:$B,A296,Enquiries!$C:$C,E296))</f>
        <v/>
      </c>
      <c r="N296" s="12" t="n"/>
    </row>
    <row r="297">
      <c r="A297" s="12" t="n"/>
      <c r="B297" s="14" t="n"/>
      <c r="C297" s="12" t="n"/>
      <c r="D297" s="12" t="n"/>
      <c r="E297" s="12" t="n"/>
      <c r="F297" s="12" t="n"/>
      <c r="G297" s="20" t="n"/>
      <c r="H297" s="21" t="n"/>
      <c r="I297" s="20" t="n"/>
      <c r="J297" s="20" t="n"/>
      <c r="K297" s="20" t="n"/>
      <c r="L297" s="20" t="n"/>
      <c r="M297" s="13">
        <f>IF(OR(A297="",E297=""),"",COUNTIFS(Enquiries!$B:$B,A297,Enquiries!$C:$C,E297))</f>
        <v/>
      </c>
      <c r="N297" s="12" t="n"/>
    </row>
    <row r="298">
      <c r="A298" s="12" t="n"/>
      <c r="B298" s="14" t="n"/>
      <c r="C298" s="12" t="n"/>
      <c r="D298" s="12" t="n"/>
      <c r="E298" s="12" t="n"/>
      <c r="F298" s="12" t="n"/>
      <c r="G298" s="20" t="n"/>
      <c r="H298" s="21" t="n"/>
      <c r="I298" s="20" t="n"/>
      <c r="J298" s="20" t="n"/>
      <c r="K298" s="20" t="n"/>
      <c r="L298" s="20" t="n"/>
      <c r="M298" s="13">
        <f>IF(OR(A298="",E298=""),"",COUNTIFS(Enquiries!$B:$B,A298,Enquiries!$C:$C,E298))</f>
        <v/>
      </c>
      <c r="N298" s="12" t="n"/>
    </row>
    <row r="299">
      <c r="A299" s="12" t="n"/>
      <c r="B299" s="14" t="n"/>
      <c r="C299" s="12" t="n"/>
      <c r="D299" s="12" t="n"/>
      <c r="E299" s="12" t="n"/>
      <c r="F299" s="12" t="n"/>
      <c r="G299" s="20" t="n"/>
      <c r="H299" s="21" t="n"/>
      <c r="I299" s="20" t="n"/>
      <c r="J299" s="20" t="n"/>
      <c r="K299" s="20" t="n"/>
      <c r="L299" s="20" t="n"/>
      <c r="M299" s="13">
        <f>IF(OR(A299="",E299=""),"",COUNTIFS(Enquiries!$B:$B,A299,Enquiries!$C:$C,E299))</f>
        <v/>
      </c>
      <c r="N299" s="12" t="n"/>
    </row>
    <row r="300">
      <c r="A300" s="12" t="n"/>
      <c r="B300" s="14" t="n"/>
      <c r="C300" s="12" t="n"/>
      <c r="D300" s="12" t="n"/>
      <c r="E300" s="12" t="n"/>
      <c r="F300" s="12" t="n"/>
      <c r="G300" s="20" t="n"/>
      <c r="H300" s="21" t="n"/>
      <c r="I300" s="20" t="n"/>
      <c r="J300" s="20" t="n"/>
      <c r="K300" s="20" t="n"/>
      <c r="L300" s="20" t="n"/>
      <c r="M300" s="13">
        <f>IF(OR(A300="",E300=""),"",COUNTIFS(Enquiries!$B:$B,A300,Enquiries!$C:$C,E300))</f>
        <v/>
      </c>
      <c r="N300" s="12" t="n"/>
    </row>
    <row r="301">
      <c r="A301" s="12" t="n"/>
      <c r="B301" s="14" t="n"/>
      <c r="C301" s="12" t="n"/>
      <c r="D301" s="12" t="n"/>
      <c r="E301" s="12" t="n"/>
      <c r="F301" s="12" t="n"/>
      <c r="G301" s="20" t="n"/>
      <c r="H301" s="21" t="n"/>
      <c r="I301" s="20" t="n"/>
      <c r="J301" s="20" t="n"/>
      <c r="K301" s="20" t="n"/>
      <c r="L301" s="20" t="n"/>
      <c r="M301" s="13">
        <f>IF(OR(A301="",E301=""),"",COUNTIFS(Enquiries!$B:$B,A301,Enquiries!$C:$C,E301))</f>
        <v/>
      </c>
      <c r="N301" s="12" t="n"/>
    </row>
    <row r="302">
      <c r="A302" s="12" t="n"/>
      <c r="B302" s="14" t="n"/>
      <c r="C302" s="12" t="n"/>
      <c r="D302" s="12" t="n"/>
      <c r="E302" s="12" t="n"/>
      <c r="F302" s="12" t="n"/>
      <c r="G302" s="20" t="n"/>
      <c r="H302" s="21" t="n"/>
      <c r="I302" s="20" t="n"/>
      <c r="J302" s="20" t="n"/>
      <c r="K302" s="20" t="n"/>
      <c r="L302" s="20" t="n"/>
      <c r="M302" s="13">
        <f>IF(OR(A302="",E302=""),"",COUNTIFS(Enquiries!$B:$B,A302,Enquiries!$C:$C,E302))</f>
        <v/>
      </c>
      <c r="N302" s="12" t="n"/>
    </row>
    <row r="303">
      <c r="A303" s="12" t="n"/>
      <c r="B303" s="14" t="n"/>
      <c r="C303" s="12" t="n"/>
      <c r="D303" s="12" t="n"/>
      <c r="E303" s="12" t="n"/>
      <c r="F303" s="12" t="n"/>
      <c r="G303" s="20" t="n"/>
      <c r="H303" s="21" t="n"/>
      <c r="I303" s="20" t="n"/>
      <c r="J303" s="20" t="n"/>
      <c r="K303" s="20" t="n"/>
      <c r="L303" s="20" t="n"/>
      <c r="M303" s="13">
        <f>IF(OR(A303="",E303=""),"",COUNTIFS(Enquiries!$B:$B,A303,Enquiries!$C:$C,E303))</f>
        <v/>
      </c>
      <c r="N303" s="12" t="n"/>
    </row>
    <row r="304">
      <c r="A304" s="12" t="n"/>
      <c r="B304" s="14" t="n"/>
      <c r="C304" s="12" t="n"/>
      <c r="D304" s="12" t="n"/>
      <c r="E304" s="12" t="n"/>
      <c r="F304" s="12" t="n"/>
      <c r="G304" s="20" t="n"/>
      <c r="H304" s="21" t="n"/>
      <c r="I304" s="20" t="n"/>
      <c r="J304" s="20" t="n"/>
      <c r="K304" s="20" t="n"/>
      <c r="L304" s="20" t="n"/>
      <c r="M304" s="13">
        <f>IF(OR(A304="",E304=""),"",COUNTIFS(Enquiries!$B:$B,A304,Enquiries!$C:$C,E304))</f>
        <v/>
      </c>
      <c r="N304" s="12" t="n"/>
    </row>
    <row r="305">
      <c r="A305" s="12" t="n"/>
      <c r="B305" s="14" t="n"/>
      <c r="C305" s="12" t="n"/>
      <c r="D305" s="12" t="n"/>
      <c r="E305" s="12" t="n"/>
      <c r="F305" s="12" t="n"/>
      <c r="G305" s="20" t="n"/>
      <c r="H305" s="21" t="n"/>
      <c r="I305" s="20" t="n"/>
      <c r="J305" s="20" t="n"/>
      <c r="K305" s="20" t="n"/>
      <c r="L305" s="20" t="n"/>
      <c r="M305" s="13">
        <f>IF(OR(A305="",E305=""),"",COUNTIFS(Enquiries!$B:$B,A305,Enquiries!$C:$C,E305))</f>
        <v/>
      </c>
      <c r="N305" s="12" t="n"/>
    </row>
    <row r="306">
      <c r="A306" s="12" t="n"/>
      <c r="B306" s="14" t="n"/>
      <c r="C306" s="12" t="n"/>
      <c r="D306" s="12" t="n"/>
      <c r="E306" s="12" t="n"/>
      <c r="F306" s="12" t="n"/>
      <c r="G306" s="20" t="n"/>
      <c r="H306" s="21" t="n"/>
      <c r="I306" s="20" t="n"/>
      <c r="J306" s="20" t="n"/>
      <c r="K306" s="20" t="n"/>
      <c r="L306" s="20" t="n"/>
      <c r="M306" s="13">
        <f>IF(OR(A306="",E306=""),"",COUNTIFS(Enquiries!$B:$B,A306,Enquiries!$C:$C,E306))</f>
        <v/>
      </c>
      <c r="N306" s="12" t="n"/>
    </row>
    <row r="307">
      <c r="A307" s="12" t="n"/>
      <c r="B307" s="14" t="n"/>
      <c r="C307" s="12" t="n"/>
      <c r="D307" s="12" t="n"/>
      <c r="E307" s="12" t="n"/>
      <c r="F307" s="12" t="n"/>
      <c r="G307" s="20" t="n"/>
      <c r="H307" s="21" t="n"/>
      <c r="I307" s="20" t="n"/>
      <c r="J307" s="20" t="n"/>
      <c r="K307" s="20" t="n"/>
      <c r="L307" s="20" t="n"/>
      <c r="M307" s="13">
        <f>IF(OR(A307="",E307=""),"",COUNTIFS(Enquiries!$B:$B,A307,Enquiries!$C:$C,E307))</f>
        <v/>
      </c>
      <c r="N307" s="12" t="n"/>
    </row>
    <row r="308">
      <c r="A308" s="12" t="n"/>
      <c r="B308" s="14" t="n"/>
      <c r="C308" s="12" t="n"/>
      <c r="D308" s="12" t="n"/>
      <c r="E308" s="12" t="n"/>
      <c r="F308" s="12" t="n"/>
      <c r="G308" s="20" t="n"/>
      <c r="H308" s="21" t="n"/>
      <c r="I308" s="20" t="n"/>
      <c r="J308" s="20" t="n"/>
      <c r="K308" s="20" t="n"/>
      <c r="L308" s="20" t="n"/>
      <c r="M308" s="13">
        <f>IF(OR(A308="",E308=""),"",COUNTIFS(Enquiries!$B:$B,A308,Enquiries!$C:$C,E308))</f>
        <v/>
      </c>
      <c r="N308" s="12" t="n"/>
    </row>
    <row r="309">
      <c r="A309" s="12" t="n"/>
      <c r="B309" s="14" t="n"/>
      <c r="C309" s="12" t="n"/>
      <c r="D309" s="12" t="n"/>
      <c r="E309" s="12" t="n"/>
      <c r="F309" s="12" t="n"/>
      <c r="G309" s="20" t="n"/>
      <c r="H309" s="21" t="n"/>
      <c r="I309" s="20" t="n"/>
      <c r="J309" s="20" t="n"/>
      <c r="K309" s="20" t="n"/>
      <c r="L309" s="20" t="n"/>
      <c r="M309" s="13">
        <f>IF(OR(A309="",E309=""),"",COUNTIFS(Enquiries!$B:$B,A309,Enquiries!$C:$C,E309))</f>
        <v/>
      </c>
      <c r="N309" s="12" t="n"/>
    </row>
    <row r="310">
      <c r="A310" s="12" t="n"/>
      <c r="B310" s="14" t="n"/>
      <c r="C310" s="12" t="n"/>
      <c r="D310" s="12" t="n"/>
      <c r="E310" s="12" t="n"/>
      <c r="F310" s="12" t="n"/>
      <c r="G310" s="20" t="n"/>
      <c r="H310" s="21" t="n"/>
      <c r="I310" s="20" t="n"/>
      <c r="J310" s="20" t="n"/>
      <c r="K310" s="20" t="n"/>
      <c r="L310" s="20" t="n"/>
      <c r="M310" s="13">
        <f>IF(OR(A310="",E310=""),"",COUNTIFS(Enquiries!$B:$B,A310,Enquiries!$C:$C,E310))</f>
        <v/>
      </c>
      <c r="N310" s="12" t="n"/>
    </row>
    <row r="311">
      <c r="A311" s="12" t="n"/>
      <c r="B311" s="14" t="n"/>
      <c r="C311" s="12" t="n"/>
      <c r="D311" s="12" t="n"/>
      <c r="E311" s="12" t="n"/>
      <c r="F311" s="12" t="n"/>
      <c r="G311" s="20" t="n"/>
      <c r="H311" s="21" t="n"/>
      <c r="I311" s="20" t="n"/>
      <c r="J311" s="20" t="n"/>
      <c r="K311" s="20" t="n"/>
      <c r="L311" s="20" t="n"/>
      <c r="M311" s="13">
        <f>IF(OR(A311="",E311=""),"",COUNTIFS(Enquiries!$B:$B,A311,Enquiries!$C:$C,E311))</f>
        <v/>
      </c>
      <c r="N311" s="12" t="n"/>
    </row>
    <row r="312">
      <c r="A312" s="12" t="n"/>
      <c r="B312" s="14" t="n"/>
      <c r="C312" s="12" t="n"/>
      <c r="D312" s="12" t="n"/>
      <c r="E312" s="12" t="n"/>
      <c r="F312" s="12" t="n"/>
      <c r="G312" s="20" t="n"/>
      <c r="H312" s="21" t="n"/>
      <c r="I312" s="20" t="n"/>
      <c r="J312" s="20" t="n"/>
      <c r="K312" s="20" t="n"/>
      <c r="L312" s="20" t="n"/>
      <c r="M312" s="13">
        <f>IF(OR(A312="",E312=""),"",COUNTIFS(Enquiries!$B:$B,A312,Enquiries!$C:$C,E312))</f>
        <v/>
      </c>
      <c r="N312" s="12" t="n"/>
    </row>
    <row r="313">
      <c r="A313" s="12" t="n"/>
      <c r="B313" s="14" t="n"/>
      <c r="C313" s="12" t="n"/>
      <c r="D313" s="12" t="n"/>
      <c r="E313" s="12" t="n"/>
      <c r="F313" s="12" t="n"/>
      <c r="G313" s="20" t="n"/>
      <c r="H313" s="21" t="n"/>
      <c r="I313" s="20" t="n"/>
      <c r="J313" s="20" t="n"/>
      <c r="K313" s="20" t="n"/>
      <c r="L313" s="20" t="n"/>
      <c r="M313" s="13">
        <f>IF(OR(A313="",E313=""),"",COUNTIFS(Enquiries!$B:$B,A313,Enquiries!$C:$C,E313))</f>
        <v/>
      </c>
      <c r="N313" s="12" t="n"/>
    </row>
    <row r="314">
      <c r="A314" s="12" t="n"/>
      <c r="B314" s="14" t="n"/>
      <c r="C314" s="12" t="n"/>
      <c r="D314" s="12" t="n"/>
      <c r="E314" s="12" t="n"/>
      <c r="F314" s="12" t="n"/>
      <c r="G314" s="20" t="n"/>
      <c r="H314" s="21" t="n"/>
      <c r="I314" s="20" t="n"/>
      <c r="J314" s="20" t="n"/>
      <c r="K314" s="20" t="n"/>
      <c r="L314" s="20" t="n"/>
      <c r="M314" s="13">
        <f>IF(OR(A314="",E314=""),"",COUNTIFS(Enquiries!$B:$B,A314,Enquiries!$C:$C,E314))</f>
        <v/>
      </c>
      <c r="N314" s="12" t="n"/>
    </row>
    <row r="315">
      <c r="A315" s="12" t="n"/>
      <c r="B315" s="14" t="n"/>
      <c r="C315" s="12" t="n"/>
      <c r="D315" s="12" t="n"/>
      <c r="E315" s="12" t="n"/>
      <c r="F315" s="12" t="n"/>
      <c r="G315" s="20" t="n"/>
      <c r="H315" s="21" t="n"/>
      <c r="I315" s="20" t="n"/>
      <c r="J315" s="20" t="n"/>
      <c r="K315" s="20" t="n"/>
      <c r="L315" s="20" t="n"/>
      <c r="M315" s="13">
        <f>IF(OR(A315="",E315=""),"",COUNTIFS(Enquiries!$B:$B,A315,Enquiries!$C:$C,E315))</f>
        <v/>
      </c>
      <c r="N315" s="12" t="n"/>
    </row>
    <row r="316">
      <c r="A316" s="12" t="n"/>
      <c r="B316" s="14" t="n"/>
      <c r="C316" s="12" t="n"/>
      <c r="D316" s="12" t="n"/>
      <c r="E316" s="12" t="n"/>
      <c r="F316" s="12" t="n"/>
      <c r="G316" s="20" t="n"/>
      <c r="H316" s="21" t="n"/>
      <c r="I316" s="20" t="n"/>
      <c r="J316" s="20" t="n"/>
      <c r="K316" s="20" t="n"/>
      <c r="L316" s="20" t="n"/>
      <c r="M316" s="13">
        <f>IF(OR(A316="",E316=""),"",COUNTIFS(Enquiries!$B:$B,A316,Enquiries!$C:$C,E316))</f>
        <v/>
      </c>
      <c r="N316" s="12" t="n"/>
    </row>
    <row r="317">
      <c r="A317" s="12" t="n"/>
      <c r="B317" s="14" t="n"/>
      <c r="C317" s="12" t="n"/>
      <c r="D317" s="12" t="n"/>
      <c r="E317" s="12" t="n"/>
      <c r="F317" s="12" t="n"/>
      <c r="G317" s="20" t="n"/>
      <c r="H317" s="21" t="n"/>
      <c r="I317" s="20" t="n"/>
      <c r="J317" s="20" t="n"/>
      <c r="K317" s="20" t="n"/>
      <c r="L317" s="20" t="n"/>
      <c r="M317" s="13">
        <f>IF(OR(A317="",E317=""),"",COUNTIFS(Enquiries!$B:$B,A317,Enquiries!$C:$C,E317))</f>
        <v/>
      </c>
      <c r="N317" s="12" t="n"/>
    </row>
    <row r="318">
      <c r="A318" s="12" t="n"/>
      <c r="B318" s="14" t="n"/>
      <c r="C318" s="12" t="n"/>
      <c r="D318" s="12" t="n"/>
      <c r="E318" s="12" t="n"/>
      <c r="F318" s="12" t="n"/>
      <c r="G318" s="20" t="n"/>
      <c r="H318" s="21" t="n"/>
      <c r="I318" s="20" t="n"/>
      <c r="J318" s="20" t="n"/>
      <c r="K318" s="20" t="n"/>
      <c r="L318" s="20" t="n"/>
      <c r="M318" s="13">
        <f>IF(OR(A318="",E318=""),"",COUNTIFS(Enquiries!$B:$B,A318,Enquiries!$C:$C,E318))</f>
        <v/>
      </c>
      <c r="N318" s="12" t="n"/>
    </row>
    <row r="319">
      <c r="A319" s="12" t="n"/>
      <c r="B319" s="14" t="n"/>
      <c r="C319" s="12" t="n"/>
      <c r="D319" s="12" t="n"/>
      <c r="E319" s="12" t="n"/>
      <c r="F319" s="12" t="n"/>
      <c r="G319" s="20" t="n"/>
      <c r="H319" s="21" t="n"/>
      <c r="I319" s="20" t="n"/>
      <c r="J319" s="20" t="n"/>
      <c r="K319" s="20" t="n"/>
      <c r="L319" s="20" t="n"/>
      <c r="M319" s="13">
        <f>IF(OR(A319="",E319=""),"",COUNTIFS(Enquiries!$B:$B,A319,Enquiries!$C:$C,E319))</f>
        <v/>
      </c>
      <c r="N319" s="12" t="n"/>
    </row>
    <row r="320">
      <c r="A320" s="12" t="n"/>
      <c r="B320" s="14" t="n"/>
      <c r="C320" s="12" t="n"/>
      <c r="D320" s="12" t="n"/>
      <c r="E320" s="12" t="n"/>
      <c r="F320" s="12" t="n"/>
      <c r="G320" s="20" t="n"/>
      <c r="H320" s="21" t="n"/>
      <c r="I320" s="20" t="n"/>
      <c r="J320" s="20" t="n"/>
      <c r="K320" s="20" t="n"/>
      <c r="L320" s="20" t="n"/>
      <c r="M320" s="13">
        <f>IF(OR(A320="",E320=""),"",COUNTIFS(Enquiries!$B:$B,A320,Enquiries!$C:$C,E320))</f>
        <v/>
      </c>
      <c r="N320" s="12" t="n"/>
    </row>
    <row r="321">
      <c r="A321" s="12" t="n"/>
      <c r="B321" s="14" t="n"/>
      <c r="C321" s="12" t="n"/>
      <c r="D321" s="12" t="n"/>
      <c r="E321" s="12" t="n"/>
      <c r="F321" s="12" t="n"/>
      <c r="G321" s="20" t="n"/>
      <c r="H321" s="21" t="n"/>
      <c r="I321" s="20" t="n"/>
      <c r="J321" s="20" t="n"/>
      <c r="K321" s="20" t="n"/>
      <c r="L321" s="20" t="n"/>
      <c r="M321" s="13">
        <f>IF(OR(A321="",E321=""),"",COUNTIFS(Enquiries!$B:$B,A321,Enquiries!$C:$C,E321))</f>
        <v/>
      </c>
      <c r="N321" s="12" t="n"/>
    </row>
    <row r="322">
      <c r="A322" s="12" t="n"/>
      <c r="B322" s="14" t="n"/>
      <c r="C322" s="12" t="n"/>
      <c r="D322" s="12" t="n"/>
      <c r="E322" s="12" t="n"/>
      <c r="F322" s="12" t="n"/>
      <c r="G322" s="20" t="n"/>
      <c r="H322" s="21" t="n"/>
      <c r="I322" s="20" t="n"/>
      <c r="J322" s="20" t="n"/>
      <c r="K322" s="20" t="n"/>
      <c r="L322" s="20" t="n"/>
      <c r="M322" s="13">
        <f>IF(OR(A322="",E322=""),"",COUNTIFS(Enquiries!$B:$B,A322,Enquiries!$C:$C,E322))</f>
        <v/>
      </c>
      <c r="N322" s="12" t="n"/>
    </row>
    <row r="323">
      <c r="A323" s="12" t="n"/>
      <c r="B323" s="14" t="n"/>
      <c r="C323" s="12" t="n"/>
      <c r="D323" s="12" t="n"/>
      <c r="E323" s="12" t="n"/>
      <c r="F323" s="12" t="n"/>
      <c r="G323" s="20" t="n"/>
      <c r="H323" s="21" t="n"/>
      <c r="I323" s="20" t="n"/>
      <c r="J323" s="20" t="n"/>
      <c r="K323" s="20" t="n"/>
      <c r="L323" s="20" t="n"/>
      <c r="M323" s="13">
        <f>IF(OR(A323="",E323=""),"",COUNTIFS(Enquiries!$B:$B,A323,Enquiries!$C:$C,E323))</f>
        <v/>
      </c>
      <c r="N323" s="12" t="n"/>
    </row>
    <row r="324">
      <c r="A324" s="12" t="n"/>
      <c r="B324" s="14" t="n"/>
      <c r="C324" s="12" t="n"/>
      <c r="D324" s="12" t="n"/>
      <c r="E324" s="12" t="n"/>
      <c r="F324" s="12" t="n"/>
      <c r="G324" s="20" t="n"/>
      <c r="H324" s="21" t="n"/>
      <c r="I324" s="20" t="n"/>
      <c r="J324" s="20" t="n"/>
      <c r="K324" s="20" t="n"/>
      <c r="L324" s="20" t="n"/>
      <c r="M324" s="13">
        <f>IF(OR(A324="",E324=""),"",COUNTIFS(Enquiries!$B:$B,A324,Enquiries!$C:$C,E324))</f>
        <v/>
      </c>
      <c r="N324" s="12" t="n"/>
    </row>
    <row r="325">
      <c r="A325" s="12" t="n"/>
      <c r="B325" s="14" t="n"/>
      <c r="C325" s="12" t="n"/>
      <c r="D325" s="12" t="n"/>
      <c r="E325" s="12" t="n"/>
      <c r="F325" s="12" t="n"/>
      <c r="G325" s="20" t="n"/>
      <c r="H325" s="21" t="n"/>
      <c r="I325" s="20" t="n"/>
      <c r="J325" s="20" t="n"/>
      <c r="K325" s="20" t="n"/>
      <c r="L325" s="20" t="n"/>
      <c r="M325" s="13">
        <f>IF(OR(A325="",E325=""),"",COUNTIFS(Enquiries!$B:$B,A325,Enquiries!$C:$C,E325))</f>
        <v/>
      </c>
      <c r="N325" s="12" t="n"/>
    </row>
    <row r="326">
      <c r="A326" s="12" t="n"/>
      <c r="B326" s="14" t="n"/>
      <c r="C326" s="12" t="n"/>
      <c r="D326" s="12" t="n"/>
      <c r="E326" s="12" t="n"/>
      <c r="F326" s="12" t="n"/>
      <c r="G326" s="20" t="n"/>
      <c r="H326" s="21" t="n"/>
      <c r="I326" s="20" t="n"/>
      <c r="J326" s="20" t="n"/>
      <c r="K326" s="20" t="n"/>
      <c r="L326" s="20" t="n"/>
      <c r="M326" s="13">
        <f>IF(OR(A326="",E326=""),"",COUNTIFS(Enquiries!$B:$B,A326,Enquiries!$C:$C,E326))</f>
        <v/>
      </c>
      <c r="N326" s="12" t="n"/>
    </row>
    <row r="327">
      <c r="A327" s="12" t="n"/>
      <c r="B327" s="14" t="n"/>
      <c r="C327" s="12" t="n"/>
      <c r="D327" s="12" t="n"/>
      <c r="E327" s="12" t="n"/>
      <c r="F327" s="12" t="n"/>
      <c r="G327" s="20" t="n"/>
      <c r="H327" s="21" t="n"/>
      <c r="I327" s="20" t="n"/>
      <c r="J327" s="20" t="n"/>
      <c r="K327" s="20" t="n"/>
      <c r="L327" s="20" t="n"/>
      <c r="M327" s="13">
        <f>IF(OR(A327="",E327=""),"",COUNTIFS(Enquiries!$B:$B,A327,Enquiries!$C:$C,E327))</f>
        <v/>
      </c>
      <c r="N327" s="12" t="n"/>
    </row>
    <row r="328">
      <c r="A328" s="12" t="n"/>
      <c r="B328" s="14" t="n"/>
      <c r="C328" s="12" t="n"/>
      <c r="D328" s="12" t="n"/>
      <c r="E328" s="12" t="n"/>
      <c r="F328" s="12" t="n"/>
      <c r="G328" s="20" t="n"/>
      <c r="H328" s="21" t="n"/>
      <c r="I328" s="20" t="n"/>
      <c r="J328" s="20" t="n"/>
      <c r="K328" s="20" t="n"/>
      <c r="L328" s="20" t="n"/>
      <c r="M328" s="13">
        <f>IF(OR(A328="",E328=""),"",COUNTIFS(Enquiries!$B:$B,A328,Enquiries!$C:$C,E328))</f>
        <v/>
      </c>
      <c r="N328" s="12" t="n"/>
    </row>
    <row r="329">
      <c r="A329" s="12" t="n"/>
      <c r="B329" s="14" t="n"/>
      <c r="C329" s="12" t="n"/>
      <c r="D329" s="12" t="n"/>
      <c r="E329" s="12" t="n"/>
      <c r="F329" s="12" t="n"/>
      <c r="G329" s="20" t="n"/>
      <c r="H329" s="21" t="n"/>
      <c r="I329" s="20" t="n"/>
      <c r="J329" s="20" t="n"/>
      <c r="K329" s="20" t="n"/>
      <c r="L329" s="20" t="n"/>
      <c r="M329" s="13">
        <f>IF(OR(A329="",E329=""),"",COUNTIFS(Enquiries!$B:$B,A329,Enquiries!$C:$C,E329))</f>
        <v/>
      </c>
      <c r="N329" s="12" t="n"/>
    </row>
    <row r="330">
      <c r="A330" s="12" t="n"/>
      <c r="B330" s="14" t="n"/>
      <c r="C330" s="12" t="n"/>
      <c r="D330" s="12" t="n"/>
      <c r="E330" s="12" t="n"/>
      <c r="F330" s="12" t="n"/>
      <c r="G330" s="20" t="n"/>
      <c r="H330" s="21" t="n"/>
      <c r="I330" s="20" t="n"/>
      <c r="J330" s="20" t="n"/>
      <c r="K330" s="20" t="n"/>
      <c r="L330" s="20" t="n"/>
      <c r="M330" s="13">
        <f>IF(OR(A330="",E330=""),"",COUNTIFS(Enquiries!$B:$B,A330,Enquiries!$C:$C,E330))</f>
        <v/>
      </c>
      <c r="N330" s="12" t="n"/>
    </row>
    <row r="331">
      <c r="A331" s="12" t="n"/>
      <c r="B331" s="14" t="n"/>
      <c r="C331" s="12" t="n"/>
      <c r="D331" s="12" t="n"/>
      <c r="E331" s="12" t="n"/>
      <c r="F331" s="12" t="n"/>
      <c r="G331" s="20" t="n"/>
      <c r="H331" s="21" t="n"/>
      <c r="I331" s="20" t="n"/>
      <c r="J331" s="20" t="n"/>
      <c r="K331" s="20" t="n"/>
      <c r="L331" s="20" t="n"/>
      <c r="M331" s="13">
        <f>IF(OR(A331="",E331=""),"",COUNTIFS(Enquiries!$B:$B,A331,Enquiries!$C:$C,E331))</f>
        <v/>
      </c>
      <c r="N331" s="12" t="n"/>
    </row>
    <row r="332">
      <c r="A332" s="12" t="n"/>
      <c r="B332" s="14" t="n"/>
      <c r="C332" s="12" t="n"/>
      <c r="D332" s="12" t="n"/>
      <c r="E332" s="12" t="n"/>
      <c r="F332" s="12" t="n"/>
      <c r="G332" s="20" t="n"/>
      <c r="H332" s="21" t="n"/>
      <c r="I332" s="20" t="n"/>
      <c r="J332" s="20" t="n"/>
      <c r="K332" s="20" t="n"/>
      <c r="L332" s="20" t="n"/>
      <c r="M332" s="13">
        <f>IF(OR(A332="",E332=""),"",COUNTIFS(Enquiries!$B:$B,A332,Enquiries!$C:$C,E332))</f>
        <v/>
      </c>
      <c r="N332" s="12" t="n"/>
    </row>
    <row r="333">
      <c r="A333" s="12" t="n"/>
      <c r="B333" s="14" t="n"/>
      <c r="C333" s="12" t="n"/>
      <c r="D333" s="12" t="n"/>
      <c r="E333" s="12" t="n"/>
      <c r="F333" s="12" t="n"/>
      <c r="G333" s="20" t="n"/>
      <c r="H333" s="21" t="n"/>
      <c r="I333" s="20" t="n"/>
      <c r="J333" s="20" t="n"/>
      <c r="K333" s="20" t="n"/>
      <c r="L333" s="20" t="n"/>
      <c r="M333" s="13">
        <f>IF(OR(A333="",E333=""),"",COUNTIFS(Enquiries!$B:$B,A333,Enquiries!$C:$C,E333))</f>
        <v/>
      </c>
      <c r="N333" s="12" t="n"/>
    </row>
    <row r="334">
      <c r="A334" s="12" t="n"/>
      <c r="B334" s="14" t="n"/>
      <c r="C334" s="12" t="n"/>
      <c r="D334" s="12" t="n"/>
      <c r="E334" s="12" t="n"/>
      <c r="F334" s="12" t="n"/>
      <c r="G334" s="20" t="n"/>
      <c r="H334" s="21" t="n"/>
      <c r="I334" s="20" t="n"/>
      <c r="J334" s="20" t="n"/>
      <c r="K334" s="20" t="n"/>
      <c r="L334" s="20" t="n"/>
      <c r="M334" s="13">
        <f>IF(OR(A334="",E334=""),"",COUNTIFS(Enquiries!$B:$B,A334,Enquiries!$C:$C,E334))</f>
        <v/>
      </c>
      <c r="N334" s="12" t="n"/>
    </row>
    <row r="335">
      <c r="A335" s="12" t="n"/>
      <c r="B335" s="14" t="n"/>
      <c r="C335" s="12" t="n"/>
      <c r="D335" s="12" t="n"/>
      <c r="E335" s="12" t="n"/>
      <c r="F335" s="12" t="n"/>
      <c r="G335" s="20" t="n"/>
      <c r="H335" s="21" t="n"/>
      <c r="I335" s="20" t="n"/>
      <c r="J335" s="20" t="n"/>
      <c r="K335" s="20" t="n"/>
      <c r="L335" s="20" t="n"/>
      <c r="M335" s="13">
        <f>IF(OR(A335="",E335=""),"",COUNTIFS(Enquiries!$B:$B,A335,Enquiries!$C:$C,E335))</f>
        <v/>
      </c>
      <c r="N335" s="12" t="n"/>
    </row>
    <row r="336">
      <c r="A336" s="12" t="n"/>
      <c r="B336" s="14" t="n"/>
      <c r="C336" s="12" t="n"/>
      <c r="D336" s="12" t="n"/>
      <c r="E336" s="12" t="n"/>
      <c r="F336" s="12" t="n"/>
      <c r="G336" s="20" t="n"/>
      <c r="H336" s="21" t="n"/>
      <c r="I336" s="20" t="n"/>
      <c r="J336" s="20" t="n"/>
      <c r="K336" s="20" t="n"/>
      <c r="L336" s="20" t="n"/>
      <c r="M336" s="13">
        <f>IF(OR(A336="",E336=""),"",COUNTIFS(Enquiries!$B:$B,A336,Enquiries!$C:$C,E336))</f>
        <v/>
      </c>
      <c r="N336" s="12" t="n"/>
    </row>
    <row r="337">
      <c r="A337" s="12" t="n"/>
      <c r="B337" s="14" t="n"/>
      <c r="C337" s="12" t="n"/>
      <c r="D337" s="12" t="n"/>
      <c r="E337" s="12" t="n"/>
      <c r="F337" s="12" t="n"/>
      <c r="G337" s="20" t="n"/>
      <c r="H337" s="21" t="n"/>
      <c r="I337" s="20" t="n"/>
      <c r="J337" s="20" t="n"/>
      <c r="K337" s="20" t="n"/>
      <c r="L337" s="20" t="n"/>
      <c r="M337" s="13">
        <f>IF(OR(A337="",E337=""),"",COUNTIFS(Enquiries!$B:$B,A337,Enquiries!$C:$C,E337))</f>
        <v/>
      </c>
      <c r="N337" s="12" t="n"/>
    </row>
    <row r="338">
      <c r="A338" s="12" t="n"/>
      <c r="B338" s="14" t="n"/>
      <c r="C338" s="12" t="n"/>
      <c r="D338" s="12" t="n"/>
      <c r="E338" s="12" t="n"/>
      <c r="F338" s="12" t="n"/>
      <c r="G338" s="20" t="n"/>
      <c r="H338" s="21" t="n"/>
      <c r="I338" s="20" t="n"/>
      <c r="J338" s="20" t="n"/>
      <c r="K338" s="20" t="n"/>
      <c r="L338" s="20" t="n"/>
      <c r="M338" s="13">
        <f>IF(OR(A338="",E338=""),"",COUNTIFS(Enquiries!$B:$B,A338,Enquiries!$C:$C,E338))</f>
        <v/>
      </c>
      <c r="N338" s="12" t="n"/>
    </row>
    <row r="339">
      <c r="A339" s="12" t="n"/>
      <c r="B339" s="14" t="n"/>
      <c r="C339" s="12" t="n"/>
      <c r="D339" s="12" t="n"/>
      <c r="E339" s="12" t="n"/>
      <c r="F339" s="12" t="n"/>
      <c r="G339" s="20" t="n"/>
      <c r="H339" s="21" t="n"/>
      <c r="I339" s="20" t="n"/>
      <c r="J339" s="20" t="n"/>
      <c r="K339" s="20" t="n"/>
      <c r="L339" s="20" t="n"/>
      <c r="M339" s="13">
        <f>IF(OR(A339="",E339=""),"",COUNTIFS(Enquiries!$B:$B,A339,Enquiries!$C:$C,E339))</f>
        <v/>
      </c>
      <c r="N339" s="12" t="n"/>
    </row>
    <row r="340">
      <c r="A340" s="12" t="n"/>
      <c r="B340" s="14" t="n"/>
      <c r="C340" s="12" t="n"/>
      <c r="D340" s="12" t="n"/>
      <c r="E340" s="12" t="n"/>
      <c r="F340" s="12" t="n"/>
      <c r="G340" s="20" t="n"/>
      <c r="H340" s="21" t="n"/>
      <c r="I340" s="20" t="n"/>
      <c r="J340" s="20" t="n"/>
      <c r="K340" s="20" t="n"/>
      <c r="L340" s="20" t="n"/>
      <c r="M340" s="13">
        <f>IF(OR(A340="",E340=""),"",COUNTIFS(Enquiries!$B:$B,A340,Enquiries!$C:$C,E340))</f>
        <v/>
      </c>
      <c r="N340" s="12" t="n"/>
    </row>
    <row r="341">
      <c r="A341" s="12" t="n"/>
      <c r="B341" s="14" t="n"/>
      <c r="C341" s="12" t="n"/>
      <c r="D341" s="12" t="n"/>
      <c r="E341" s="12" t="n"/>
      <c r="F341" s="12" t="n"/>
      <c r="G341" s="20" t="n"/>
      <c r="H341" s="21" t="n"/>
      <c r="I341" s="20" t="n"/>
      <c r="J341" s="20" t="n"/>
      <c r="K341" s="20" t="n"/>
      <c r="L341" s="20" t="n"/>
      <c r="M341" s="13">
        <f>IF(OR(A341="",E341=""),"",COUNTIFS(Enquiries!$B:$B,A341,Enquiries!$C:$C,E341))</f>
        <v/>
      </c>
      <c r="N341" s="12" t="n"/>
    </row>
    <row r="342">
      <c r="A342" s="12" t="n"/>
      <c r="B342" s="14" t="n"/>
      <c r="C342" s="12" t="n"/>
      <c r="D342" s="12" t="n"/>
      <c r="E342" s="12" t="n"/>
      <c r="F342" s="12" t="n"/>
      <c r="G342" s="20" t="n"/>
      <c r="H342" s="21" t="n"/>
      <c r="I342" s="20" t="n"/>
      <c r="J342" s="20" t="n"/>
      <c r="K342" s="20" t="n"/>
      <c r="L342" s="20" t="n"/>
      <c r="M342" s="13">
        <f>IF(OR(A342="",E342=""),"",COUNTIFS(Enquiries!$B:$B,A342,Enquiries!$C:$C,E342))</f>
        <v/>
      </c>
      <c r="N342" s="12" t="n"/>
    </row>
    <row r="343">
      <c r="A343" s="12" t="n"/>
      <c r="B343" s="14" t="n"/>
      <c r="C343" s="12" t="n"/>
      <c r="D343" s="12" t="n"/>
      <c r="E343" s="12" t="n"/>
      <c r="F343" s="12" t="n"/>
      <c r="G343" s="20" t="n"/>
      <c r="H343" s="21" t="n"/>
      <c r="I343" s="20" t="n"/>
      <c r="J343" s="20" t="n"/>
      <c r="K343" s="20" t="n"/>
      <c r="L343" s="20" t="n"/>
      <c r="M343" s="13">
        <f>IF(OR(A343="",E343=""),"",COUNTIFS(Enquiries!$B:$B,A343,Enquiries!$C:$C,E343))</f>
        <v/>
      </c>
      <c r="N343" s="12" t="n"/>
    </row>
    <row r="344">
      <c r="A344" s="12" t="n"/>
      <c r="B344" s="14" t="n"/>
      <c r="C344" s="12" t="n"/>
      <c r="D344" s="12" t="n"/>
      <c r="E344" s="12" t="n"/>
      <c r="F344" s="12" t="n"/>
      <c r="G344" s="20" t="n"/>
      <c r="H344" s="21" t="n"/>
      <c r="I344" s="20" t="n"/>
      <c r="J344" s="20" t="n"/>
      <c r="K344" s="20" t="n"/>
      <c r="L344" s="20" t="n"/>
      <c r="M344" s="13">
        <f>IF(OR(A344="",E344=""),"",COUNTIFS(Enquiries!$B:$B,A344,Enquiries!$C:$C,E344))</f>
        <v/>
      </c>
      <c r="N344" s="12" t="n"/>
    </row>
    <row r="345">
      <c r="A345" s="12" t="n"/>
      <c r="B345" s="14" t="n"/>
      <c r="C345" s="12" t="n"/>
      <c r="D345" s="12" t="n"/>
      <c r="E345" s="12" t="n"/>
      <c r="F345" s="12" t="n"/>
      <c r="G345" s="20" t="n"/>
      <c r="H345" s="21" t="n"/>
      <c r="I345" s="20" t="n"/>
      <c r="J345" s="20" t="n"/>
      <c r="K345" s="20" t="n"/>
      <c r="L345" s="20" t="n"/>
      <c r="M345" s="13">
        <f>IF(OR(A345="",E345=""),"",COUNTIFS(Enquiries!$B:$B,A345,Enquiries!$C:$C,E345))</f>
        <v/>
      </c>
      <c r="N345" s="12" t="n"/>
    </row>
    <row r="346">
      <c r="A346" s="12" t="n"/>
      <c r="B346" s="14" t="n"/>
      <c r="C346" s="12" t="n"/>
      <c r="D346" s="12" t="n"/>
      <c r="E346" s="12" t="n"/>
      <c r="F346" s="12" t="n"/>
      <c r="G346" s="20" t="n"/>
      <c r="H346" s="21" t="n"/>
      <c r="I346" s="20" t="n"/>
      <c r="J346" s="20" t="n"/>
      <c r="K346" s="20" t="n"/>
      <c r="L346" s="20" t="n"/>
      <c r="M346" s="13">
        <f>IF(OR(A346="",E346=""),"",COUNTIFS(Enquiries!$B:$B,A346,Enquiries!$C:$C,E346))</f>
        <v/>
      </c>
      <c r="N346" s="12" t="n"/>
    </row>
    <row r="347">
      <c r="A347" s="12" t="n"/>
      <c r="B347" s="14" t="n"/>
      <c r="C347" s="12" t="n"/>
      <c r="D347" s="12" t="n"/>
      <c r="E347" s="12" t="n"/>
      <c r="F347" s="12" t="n"/>
      <c r="G347" s="20" t="n"/>
      <c r="H347" s="21" t="n"/>
      <c r="I347" s="20" t="n"/>
      <c r="J347" s="20" t="n"/>
      <c r="K347" s="20" t="n"/>
      <c r="L347" s="20" t="n"/>
      <c r="M347" s="13">
        <f>IF(OR(A347="",E347=""),"",COUNTIFS(Enquiries!$B:$B,A347,Enquiries!$C:$C,E347))</f>
        <v/>
      </c>
      <c r="N347" s="12" t="n"/>
    </row>
    <row r="348">
      <c r="A348" s="12" t="n"/>
      <c r="B348" s="14" t="n"/>
      <c r="C348" s="12" t="n"/>
      <c r="D348" s="12" t="n"/>
      <c r="E348" s="12" t="n"/>
      <c r="F348" s="12" t="n"/>
      <c r="G348" s="20" t="n"/>
      <c r="H348" s="21" t="n"/>
      <c r="I348" s="20" t="n"/>
      <c r="J348" s="20" t="n"/>
      <c r="K348" s="20" t="n"/>
      <c r="L348" s="20" t="n"/>
      <c r="M348" s="13">
        <f>IF(OR(A348="",E348=""),"",COUNTIFS(Enquiries!$B:$B,A348,Enquiries!$C:$C,E348))</f>
        <v/>
      </c>
      <c r="N348" s="12" t="n"/>
    </row>
    <row r="349">
      <c r="A349" s="12" t="n"/>
      <c r="B349" s="14" t="n"/>
      <c r="C349" s="12" t="n"/>
      <c r="D349" s="12" t="n"/>
      <c r="E349" s="12" t="n"/>
      <c r="F349" s="12" t="n"/>
      <c r="G349" s="20" t="n"/>
      <c r="H349" s="21" t="n"/>
      <c r="I349" s="20" t="n"/>
      <c r="J349" s="20" t="n"/>
      <c r="K349" s="20" t="n"/>
      <c r="L349" s="20" t="n"/>
      <c r="M349" s="13">
        <f>IF(OR(A349="",E349=""),"",COUNTIFS(Enquiries!$B:$B,A349,Enquiries!$C:$C,E349))</f>
        <v/>
      </c>
      <c r="N349" s="12" t="n"/>
    </row>
    <row r="350">
      <c r="A350" s="12" t="n"/>
      <c r="B350" s="14" t="n"/>
      <c r="C350" s="12" t="n"/>
      <c r="D350" s="12" t="n"/>
      <c r="E350" s="12" t="n"/>
      <c r="F350" s="12" t="n"/>
      <c r="G350" s="20" t="n"/>
      <c r="H350" s="21" t="n"/>
      <c r="I350" s="20" t="n"/>
      <c r="J350" s="20" t="n"/>
      <c r="K350" s="20" t="n"/>
      <c r="L350" s="20" t="n"/>
      <c r="M350" s="13">
        <f>IF(OR(A350="",E350=""),"",COUNTIFS(Enquiries!$B:$B,A350,Enquiries!$C:$C,E350))</f>
        <v/>
      </c>
      <c r="N350" s="12" t="n"/>
    </row>
    <row r="351">
      <c r="A351" s="12" t="n"/>
      <c r="B351" s="14" t="n"/>
      <c r="C351" s="12" t="n"/>
      <c r="D351" s="12" t="n"/>
      <c r="E351" s="12" t="n"/>
      <c r="F351" s="12" t="n"/>
      <c r="G351" s="20" t="n"/>
      <c r="H351" s="21" t="n"/>
      <c r="I351" s="20" t="n"/>
      <c r="J351" s="20" t="n"/>
      <c r="K351" s="20" t="n"/>
      <c r="L351" s="20" t="n"/>
      <c r="M351" s="13">
        <f>IF(OR(A351="",E351=""),"",COUNTIFS(Enquiries!$B:$B,A351,Enquiries!$C:$C,E351))</f>
        <v/>
      </c>
      <c r="N351" s="12" t="n"/>
    </row>
    <row r="352">
      <c r="A352" s="12" t="n"/>
      <c r="B352" s="14" t="n"/>
      <c r="C352" s="12" t="n"/>
      <c r="D352" s="12" t="n"/>
      <c r="E352" s="12" t="n"/>
      <c r="F352" s="12" t="n"/>
      <c r="G352" s="20" t="n"/>
      <c r="H352" s="21" t="n"/>
      <c r="I352" s="20" t="n"/>
      <c r="J352" s="20" t="n"/>
      <c r="K352" s="20" t="n"/>
      <c r="L352" s="20" t="n"/>
      <c r="M352" s="13">
        <f>IF(OR(A352="",E352=""),"",COUNTIFS(Enquiries!$B:$B,A352,Enquiries!$C:$C,E352))</f>
        <v/>
      </c>
      <c r="N352" s="12" t="n"/>
    </row>
    <row r="353">
      <c r="A353" s="12" t="n"/>
      <c r="B353" s="14" t="n"/>
      <c r="C353" s="12" t="n"/>
      <c r="D353" s="12" t="n"/>
      <c r="E353" s="12" t="n"/>
      <c r="F353" s="12" t="n"/>
      <c r="G353" s="20" t="n"/>
      <c r="H353" s="21" t="n"/>
      <c r="I353" s="20" t="n"/>
      <c r="J353" s="20" t="n"/>
      <c r="K353" s="20" t="n"/>
      <c r="L353" s="20" t="n"/>
      <c r="M353" s="13">
        <f>IF(OR(A353="",E353=""),"",COUNTIFS(Enquiries!$B:$B,A353,Enquiries!$C:$C,E353))</f>
        <v/>
      </c>
      <c r="N353" s="12" t="n"/>
    </row>
    <row r="354">
      <c r="A354" s="12" t="n"/>
      <c r="B354" s="14" t="n"/>
      <c r="C354" s="12" t="n"/>
      <c r="D354" s="12" t="n"/>
      <c r="E354" s="12" t="n"/>
      <c r="F354" s="12" t="n"/>
      <c r="G354" s="20" t="n"/>
      <c r="H354" s="21" t="n"/>
      <c r="I354" s="20" t="n"/>
      <c r="J354" s="20" t="n"/>
      <c r="K354" s="20" t="n"/>
      <c r="L354" s="20" t="n"/>
      <c r="M354" s="13">
        <f>IF(OR(A354="",E354=""),"",COUNTIFS(Enquiries!$B:$B,A354,Enquiries!$C:$C,E354))</f>
        <v/>
      </c>
      <c r="N354" s="12" t="n"/>
    </row>
    <row r="355">
      <c r="A355" s="12" t="n"/>
      <c r="B355" s="14" t="n"/>
      <c r="C355" s="12" t="n"/>
      <c r="D355" s="12" t="n"/>
      <c r="E355" s="12" t="n"/>
      <c r="F355" s="12" t="n"/>
      <c r="G355" s="20" t="n"/>
      <c r="H355" s="21" t="n"/>
      <c r="I355" s="20" t="n"/>
      <c r="J355" s="20" t="n"/>
      <c r="K355" s="20" t="n"/>
      <c r="L355" s="20" t="n"/>
      <c r="M355" s="13">
        <f>IF(OR(A355="",E355=""),"",COUNTIFS(Enquiries!$B:$B,A355,Enquiries!$C:$C,E355))</f>
        <v/>
      </c>
      <c r="N355" s="12" t="n"/>
    </row>
    <row r="356">
      <c r="A356" s="12" t="n"/>
      <c r="B356" s="14" t="n"/>
      <c r="C356" s="12" t="n"/>
      <c r="D356" s="12" t="n"/>
      <c r="E356" s="12" t="n"/>
      <c r="F356" s="12" t="n"/>
      <c r="G356" s="20" t="n"/>
      <c r="H356" s="21" t="n"/>
      <c r="I356" s="20" t="n"/>
      <c r="J356" s="20" t="n"/>
      <c r="K356" s="20" t="n"/>
      <c r="L356" s="20" t="n"/>
      <c r="M356" s="13">
        <f>IF(OR(A356="",E356=""),"",COUNTIFS(Enquiries!$B:$B,A356,Enquiries!$C:$C,E356))</f>
        <v/>
      </c>
      <c r="N356" s="12" t="n"/>
    </row>
    <row r="357">
      <c r="A357" s="12" t="n"/>
      <c r="B357" s="14" t="n"/>
      <c r="C357" s="12" t="n"/>
      <c r="D357" s="12" t="n"/>
      <c r="E357" s="12" t="n"/>
      <c r="F357" s="12" t="n"/>
      <c r="G357" s="20" t="n"/>
      <c r="H357" s="21" t="n"/>
      <c r="I357" s="20" t="n"/>
      <c r="J357" s="20" t="n"/>
      <c r="K357" s="20" t="n"/>
      <c r="L357" s="20" t="n"/>
      <c r="M357" s="13">
        <f>IF(OR(A357="",E357=""),"",COUNTIFS(Enquiries!$B:$B,A357,Enquiries!$C:$C,E357))</f>
        <v/>
      </c>
      <c r="N357" s="12" t="n"/>
    </row>
    <row r="358">
      <c r="A358" s="12" t="n"/>
      <c r="B358" s="14" t="n"/>
      <c r="C358" s="12" t="n"/>
      <c r="D358" s="12" t="n"/>
      <c r="E358" s="12" t="n"/>
      <c r="F358" s="12" t="n"/>
      <c r="G358" s="20" t="n"/>
      <c r="H358" s="21" t="n"/>
      <c r="I358" s="20" t="n"/>
      <c r="J358" s="20" t="n"/>
      <c r="K358" s="20" t="n"/>
      <c r="L358" s="20" t="n"/>
      <c r="M358" s="13">
        <f>IF(OR(A358="",E358=""),"",COUNTIFS(Enquiries!$B:$B,A358,Enquiries!$C:$C,E358))</f>
        <v/>
      </c>
      <c r="N358" s="12" t="n"/>
    </row>
    <row r="359">
      <c r="A359" s="12" t="n"/>
      <c r="B359" s="14" t="n"/>
      <c r="C359" s="12" t="n"/>
      <c r="D359" s="12" t="n"/>
      <c r="E359" s="12" t="n"/>
      <c r="F359" s="12" t="n"/>
      <c r="G359" s="20" t="n"/>
      <c r="H359" s="21" t="n"/>
      <c r="I359" s="20" t="n"/>
      <c r="J359" s="20" t="n"/>
      <c r="K359" s="20" t="n"/>
      <c r="L359" s="20" t="n"/>
      <c r="M359" s="13">
        <f>IF(OR(A359="",E359=""),"",COUNTIFS(Enquiries!$B:$B,A359,Enquiries!$C:$C,E359))</f>
        <v/>
      </c>
      <c r="N359" s="12" t="n"/>
    </row>
    <row r="360">
      <c r="A360" s="12" t="n"/>
      <c r="B360" s="14" t="n"/>
      <c r="C360" s="12" t="n"/>
      <c r="D360" s="12" t="n"/>
      <c r="E360" s="12" t="n"/>
      <c r="F360" s="12" t="n"/>
      <c r="G360" s="20" t="n"/>
      <c r="H360" s="21" t="n"/>
      <c r="I360" s="20" t="n"/>
      <c r="J360" s="20" t="n"/>
      <c r="K360" s="20" t="n"/>
      <c r="L360" s="20" t="n"/>
      <c r="M360" s="13">
        <f>IF(OR(A360="",E360=""),"",COUNTIFS(Enquiries!$B:$B,A360,Enquiries!$C:$C,E360))</f>
        <v/>
      </c>
      <c r="N360" s="12" t="n"/>
    </row>
    <row r="361">
      <c r="A361" s="12" t="n"/>
      <c r="B361" s="14" t="n"/>
      <c r="C361" s="12" t="n"/>
      <c r="D361" s="12" t="n"/>
      <c r="E361" s="12" t="n"/>
      <c r="F361" s="12" t="n"/>
      <c r="G361" s="20" t="n"/>
      <c r="H361" s="21" t="n"/>
      <c r="I361" s="20" t="n"/>
      <c r="J361" s="20" t="n"/>
      <c r="K361" s="20" t="n"/>
      <c r="L361" s="20" t="n"/>
      <c r="M361" s="13">
        <f>IF(OR(A361="",E361=""),"",COUNTIFS(Enquiries!$B:$B,A361,Enquiries!$C:$C,E361))</f>
        <v/>
      </c>
      <c r="N361" s="12" t="n"/>
    </row>
    <row r="362">
      <c r="A362" s="12" t="n"/>
      <c r="B362" s="14" t="n"/>
      <c r="C362" s="12" t="n"/>
      <c r="D362" s="12" t="n"/>
      <c r="E362" s="12" t="n"/>
      <c r="F362" s="12" t="n"/>
      <c r="G362" s="20" t="n"/>
      <c r="H362" s="21" t="n"/>
      <c r="I362" s="20" t="n"/>
      <c r="J362" s="20" t="n"/>
      <c r="K362" s="20" t="n"/>
      <c r="L362" s="20" t="n"/>
      <c r="M362" s="13">
        <f>IF(OR(A362="",E362=""),"",COUNTIFS(Enquiries!$B:$B,A362,Enquiries!$C:$C,E362))</f>
        <v/>
      </c>
      <c r="N362" s="12" t="n"/>
    </row>
    <row r="363">
      <c r="A363" s="12" t="n"/>
      <c r="B363" s="14" t="n"/>
      <c r="C363" s="12" t="n"/>
      <c r="D363" s="12" t="n"/>
      <c r="E363" s="12" t="n"/>
      <c r="F363" s="12" t="n"/>
      <c r="G363" s="20" t="n"/>
      <c r="H363" s="21" t="n"/>
      <c r="I363" s="20" t="n"/>
      <c r="J363" s="20" t="n"/>
      <c r="K363" s="20" t="n"/>
      <c r="L363" s="20" t="n"/>
      <c r="M363" s="13">
        <f>IF(OR(A363="",E363=""),"",COUNTIFS(Enquiries!$B:$B,A363,Enquiries!$C:$C,E363))</f>
        <v/>
      </c>
      <c r="N363" s="12" t="n"/>
    </row>
    <row r="364">
      <c r="A364" s="12" t="n"/>
      <c r="B364" s="14" t="n"/>
      <c r="C364" s="12" t="n"/>
      <c r="D364" s="12" t="n"/>
      <c r="E364" s="12" t="n"/>
      <c r="F364" s="12" t="n"/>
      <c r="G364" s="20" t="n"/>
      <c r="H364" s="21" t="n"/>
      <c r="I364" s="20" t="n"/>
      <c r="J364" s="20" t="n"/>
      <c r="K364" s="20" t="n"/>
      <c r="L364" s="20" t="n"/>
      <c r="M364" s="13">
        <f>IF(OR(A364="",E364=""),"",COUNTIFS(Enquiries!$B:$B,A364,Enquiries!$C:$C,E364))</f>
        <v/>
      </c>
      <c r="N364" s="12" t="n"/>
    </row>
    <row r="365">
      <c r="A365" s="12" t="n"/>
      <c r="B365" s="14" t="n"/>
      <c r="C365" s="12" t="n"/>
      <c r="D365" s="12" t="n"/>
      <c r="E365" s="12" t="n"/>
      <c r="F365" s="12" t="n"/>
      <c r="G365" s="20" t="n"/>
      <c r="H365" s="21" t="n"/>
      <c r="I365" s="20" t="n"/>
      <c r="J365" s="20" t="n"/>
      <c r="K365" s="20" t="n"/>
      <c r="L365" s="20" t="n"/>
      <c r="M365" s="13">
        <f>IF(OR(A365="",E365=""),"",COUNTIFS(Enquiries!$B:$B,A365,Enquiries!$C:$C,E365))</f>
        <v/>
      </c>
      <c r="N365" s="12" t="n"/>
    </row>
    <row r="366">
      <c r="A366" s="12" t="n"/>
      <c r="B366" s="14" t="n"/>
      <c r="C366" s="12" t="n"/>
      <c r="D366" s="12" t="n"/>
      <c r="E366" s="12" t="n"/>
      <c r="F366" s="12" t="n"/>
      <c r="G366" s="20" t="n"/>
      <c r="H366" s="21" t="n"/>
      <c r="I366" s="20" t="n"/>
      <c r="J366" s="20" t="n"/>
      <c r="K366" s="20" t="n"/>
      <c r="L366" s="20" t="n"/>
      <c r="M366" s="13">
        <f>IF(OR(A366="",E366=""),"",COUNTIFS(Enquiries!$B:$B,A366,Enquiries!$C:$C,E366))</f>
        <v/>
      </c>
      <c r="N366" s="12" t="n"/>
    </row>
    <row r="367">
      <c r="A367" s="12" t="n"/>
      <c r="B367" s="14" t="n"/>
      <c r="C367" s="12" t="n"/>
      <c r="D367" s="12" t="n"/>
      <c r="E367" s="12" t="n"/>
      <c r="F367" s="12" t="n"/>
      <c r="G367" s="20" t="n"/>
      <c r="H367" s="21" t="n"/>
      <c r="I367" s="20" t="n"/>
      <c r="J367" s="20" t="n"/>
      <c r="K367" s="20" t="n"/>
      <c r="L367" s="20" t="n"/>
      <c r="M367" s="13">
        <f>IF(OR(A367="",E367=""),"",COUNTIFS(Enquiries!$B:$B,A367,Enquiries!$C:$C,E367))</f>
        <v/>
      </c>
      <c r="N367" s="12" t="n"/>
    </row>
    <row r="368">
      <c r="A368" s="12" t="n"/>
      <c r="B368" s="14" t="n"/>
      <c r="C368" s="12" t="n"/>
      <c r="D368" s="12" t="n"/>
      <c r="E368" s="12" t="n"/>
      <c r="F368" s="12" t="n"/>
      <c r="G368" s="20" t="n"/>
      <c r="H368" s="21" t="n"/>
      <c r="I368" s="20" t="n"/>
      <c r="J368" s="20" t="n"/>
      <c r="K368" s="20" t="n"/>
      <c r="L368" s="20" t="n"/>
      <c r="M368" s="13">
        <f>IF(OR(A368="",E368=""),"",COUNTIFS(Enquiries!$B:$B,A368,Enquiries!$C:$C,E368))</f>
        <v/>
      </c>
      <c r="N368" s="12" t="n"/>
    </row>
    <row r="369">
      <c r="A369" s="12" t="n"/>
      <c r="B369" s="14" t="n"/>
      <c r="C369" s="12" t="n"/>
      <c r="D369" s="12" t="n"/>
      <c r="E369" s="12" t="n"/>
      <c r="F369" s="12" t="n"/>
      <c r="G369" s="20" t="n"/>
      <c r="H369" s="21" t="n"/>
      <c r="I369" s="20" t="n"/>
      <c r="J369" s="20" t="n"/>
      <c r="K369" s="20" t="n"/>
      <c r="L369" s="20" t="n"/>
      <c r="M369" s="13">
        <f>IF(OR(A369="",E369=""),"",COUNTIFS(Enquiries!$B:$B,A369,Enquiries!$C:$C,E369))</f>
        <v/>
      </c>
      <c r="N369" s="12" t="n"/>
    </row>
    <row r="370">
      <c r="A370" s="12" t="n"/>
      <c r="B370" s="14" t="n"/>
      <c r="C370" s="12" t="n"/>
      <c r="D370" s="12" t="n"/>
      <c r="E370" s="12" t="n"/>
      <c r="F370" s="12" t="n"/>
      <c r="G370" s="20" t="n"/>
      <c r="H370" s="21" t="n"/>
      <c r="I370" s="20" t="n"/>
      <c r="J370" s="20" t="n"/>
      <c r="K370" s="20" t="n"/>
      <c r="L370" s="20" t="n"/>
      <c r="M370" s="13">
        <f>IF(OR(A370="",E370=""),"",COUNTIFS(Enquiries!$B:$B,A370,Enquiries!$C:$C,E370))</f>
        <v/>
      </c>
      <c r="N370" s="12" t="n"/>
    </row>
    <row r="371">
      <c r="A371" s="12" t="n"/>
      <c r="B371" s="14" t="n"/>
      <c r="C371" s="12" t="n"/>
      <c r="D371" s="12" t="n"/>
      <c r="E371" s="12" t="n"/>
      <c r="F371" s="12" t="n"/>
      <c r="G371" s="20" t="n"/>
      <c r="H371" s="21" t="n"/>
      <c r="I371" s="20" t="n"/>
      <c r="J371" s="20" t="n"/>
      <c r="K371" s="20" t="n"/>
      <c r="L371" s="20" t="n"/>
      <c r="M371" s="13">
        <f>IF(OR(A371="",E371=""),"",COUNTIFS(Enquiries!$B:$B,A371,Enquiries!$C:$C,E371))</f>
        <v/>
      </c>
      <c r="N371" s="12" t="n"/>
    </row>
    <row r="372">
      <c r="A372" s="12" t="n"/>
      <c r="B372" s="14" t="n"/>
      <c r="C372" s="12" t="n"/>
      <c r="D372" s="12" t="n"/>
      <c r="E372" s="12" t="n"/>
      <c r="F372" s="12" t="n"/>
      <c r="G372" s="20" t="n"/>
      <c r="H372" s="21" t="n"/>
      <c r="I372" s="20" t="n"/>
      <c r="J372" s="20" t="n"/>
      <c r="K372" s="20" t="n"/>
      <c r="L372" s="20" t="n"/>
      <c r="M372" s="13">
        <f>IF(OR(A372="",E372=""),"",COUNTIFS(Enquiries!$B:$B,A372,Enquiries!$C:$C,E372))</f>
        <v/>
      </c>
      <c r="N372" s="12" t="n"/>
    </row>
    <row r="373">
      <c r="A373" s="12" t="n"/>
      <c r="B373" s="14" t="n"/>
      <c r="C373" s="12" t="n"/>
      <c r="D373" s="12" t="n"/>
      <c r="E373" s="12" t="n"/>
      <c r="F373" s="12" t="n"/>
      <c r="G373" s="20" t="n"/>
      <c r="H373" s="21" t="n"/>
      <c r="I373" s="20" t="n"/>
      <c r="J373" s="20" t="n"/>
      <c r="K373" s="20" t="n"/>
      <c r="L373" s="20" t="n"/>
      <c r="M373" s="13">
        <f>IF(OR(A373="",E373=""),"",COUNTIFS(Enquiries!$B:$B,A373,Enquiries!$C:$C,E373))</f>
        <v/>
      </c>
      <c r="N373" s="12" t="n"/>
    </row>
    <row r="374">
      <c r="A374" s="12" t="n"/>
      <c r="B374" s="14" t="n"/>
      <c r="C374" s="12" t="n"/>
      <c r="D374" s="12" t="n"/>
      <c r="E374" s="12" t="n"/>
      <c r="F374" s="12" t="n"/>
      <c r="G374" s="20" t="n"/>
      <c r="H374" s="21" t="n"/>
      <c r="I374" s="20" t="n"/>
      <c r="J374" s="20" t="n"/>
      <c r="K374" s="20" t="n"/>
      <c r="L374" s="20" t="n"/>
      <c r="M374" s="13">
        <f>IF(OR(A374="",E374=""),"",COUNTIFS(Enquiries!$B:$B,A374,Enquiries!$C:$C,E374))</f>
        <v/>
      </c>
      <c r="N374" s="12" t="n"/>
    </row>
    <row r="375">
      <c r="A375" s="12" t="n"/>
      <c r="B375" s="14" t="n"/>
      <c r="C375" s="12" t="n"/>
      <c r="D375" s="12" t="n"/>
      <c r="E375" s="12" t="n"/>
      <c r="F375" s="12" t="n"/>
      <c r="G375" s="20" t="n"/>
      <c r="H375" s="21" t="n"/>
      <c r="I375" s="20" t="n"/>
      <c r="J375" s="20" t="n"/>
      <c r="K375" s="20" t="n"/>
      <c r="L375" s="20" t="n"/>
      <c r="M375" s="13">
        <f>IF(OR(A375="",E375=""),"",COUNTIFS(Enquiries!$B:$B,A375,Enquiries!$C:$C,E375))</f>
        <v/>
      </c>
      <c r="N375" s="12" t="n"/>
    </row>
    <row r="376">
      <c r="A376" s="12" t="n"/>
      <c r="B376" s="14" t="n"/>
      <c r="C376" s="12" t="n"/>
      <c r="D376" s="12" t="n"/>
      <c r="E376" s="12" t="n"/>
      <c r="F376" s="12" t="n"/>
      <c r="G376" s="20" t="n"/>
      <c r="H376" s="21" t="n"/>
      <c r="I376" s="20" t="n"/>
      <c r="J376" s="20" t="n"/>
      <c r="K376" s="20" t="n"/>
      <c r="L376" s="20" t="n"/>
      <c r="M376" s="13">
        <f>IF(OR(A376="",E376=""),"",COUNTIFS(Enquiries!$B:$B,A376,Enquiries!$C:$C,E376))</f>
        <v/>
      </c>
      <c r="N376" s="12" t="n"/>
    </row>
    <row r="377">
      <c r="A377" s="12" t="n"/>
      <c r="B377" s="14" t="n"/>
      <c r="C377" s="12" t="n"/>
      <c r="D377" s="12" t="n"/>
      <c r="E377" s="12" t="n"/>
      <c r="F377" s="12" t="n"/>
      <c r="G377" s="20" t="n"/>
      <c r="H377" s="21" t="n"/>
      <c r="I377" s="20" t="n"/>
      <c r="J377" s="20" t="n"/>
      <c r="K377" s="20" t="n"/>
      <c r="L377" s="20" t="n"/>
      <c r="M377" s="13">
        <f>IF(OR(A377="",E377=""),"",COUNTIFS(Enquiries!$B:$B,A377,Enquiries!$C:$C,E377))</f>
        <v/>
      </c>
      <c r="N377" s="12" t="n"/>
    </row>
    <row r="378">
      <c r="A378" s="12" t="n"/>
      <c r="B378" s="14" t="n"/>
      <c r="C378" s="12" t="n"/>
      <c r="D378" s="12" t="n"/>
      <c r="E378" s="12" t="n"/>
      <c r="F378" s="12" t="n"/>
      <c r="G378" s="20" t="n"/>
      <c r="H378" s="21" t="n"/>
      <c r="I378" s="20" t="n"/>
      <c r="J378" s="20" t="n"/>
      <c r="K378" s="20" t="n"/>
      <c r="L378" s="20" t="n"/>
      <c r="M378" s="13">
        <f>IF(OR(A378="",E378=""),"",COUNTIFS(Enquiries!$B:$B,A378,Enquiries!$C:$C,E378))</f>
        <v/>
      </c>
      <c r="N378" s="12" t="n"/>
    </row>
    <row r="379">
      <c r="A379" s="12" t="n"/>
      <c r="B379" s="14" t="n"/>
      <c r="C379" s="12" t="n"/>
      <c r="D379" s="12" t="n"/>
      <c r="E379" s="12" t="n"/>
      <c r="F379" s="12" t="n"/>
      <c r="G379" s="20" t="n"/>
      <c r="H379" s="21" t="n"/>
      <c r="I379" s="20" t="n"/>
      <c r="J379" s="20" t="n"/>
      <c r="K379" s="20" t="n"/>
      <c r="L379" s="20" t="n"/>
      <c r="M379" s="13">
        <f>IF(OR(A379="",E379=""),"",COUNTIFS(Enquiries!$B:$B,A379,Enquiries!$C:$C,E379))</f>
        <v/>
      </c>
      <c r="N379" s="12" t="n"/>
    </row>
    <row r="380">
      <c r="A380" s="12" t="n"/>
      <c r="B380" s="14" t="n"/>
      <c r="C380" s="12" t="n"/>
      <c r="D380" s="12" t="n"/>
      <c r="E380" s="12" t="n"/>
      <c r="F380" s="12" t="n"/>
      <c r="G380" s="20" t="n"/>
      <c r="H380" s="21" t="n"/>
      <c r="I380" s="20" t="n"/>
      <c r="J380" s="20" t="n"/>
      <c r="K380" s="20" t="n"/>
      <c r="L380" s="20" t="n"/>
      <c r="M380" s="13">
        <f>IF(OR(A380="",E380=""),"",COUNTIFS(Enquiries!$B:$B,A380,Enquiries!$C:$C,E380))</f>
        <v/>
      </c>
      <c r="N380" s="12" t="n"/>
    </row>
    <row r="381">
      <c r="A381" s="12" t="n"/>
      <c r="B381" s="14" t="n"/>
      <c r="C381" s="12" t="n"/>
      <c r="D381" s="12" t="n"/>
      <c r="E381" s="12" t="n"/>
      <c r="F381" s="12" t="n"/>
      <c r="G381" s="20" t="n"/>
      <c r="H381" s="21" t="n"/>
      <c r="I381" s="20" t="n"/>
      <c r="J381" s="20" t="n"/>
      <c r="K381" s="20" t="n"/>
      <c r="L381" s="20" t="n"/>
      <c r="M381" s="13">
        <f>IF(OR(A381="",E381=""),"",COUNTIFS(Enquiries!$B:$B,A381,Enquiries!$C:$C,E381))</f>
        <v/>
      </c>
      <c r="N381" s="12" t="n"/>
    </row>
    <row r="382">
      <c r="A382" s="12" t="n"/>
      <c r="B382" s="14" t="n"/>
      <c r="C382" s="12" t="n"/>
      <c r="D382" s="12" t="n"/>
      <c r="E382" s="12" t="n"/>
      <c r="F382" s="12" t="n"/>
      <c r="G382" s="20" t="n"/>
      <c r="H382" s="21" t="n"/>
      <c r="I382" s="20" t="n"/>
      <c r="J382" s="20" t="n"/>
      <c r="K382" s="20" t="n"/>
      <c r="L382" s="20" t="n"/>
      <c r="M382" s="13">
        <f>IF(OR(A382="",E382=""),"",COUNTIFS(Enquiries!$B:$B,A382,Enquiries!$C:$C,E382))</f>
        <v/>
      </c>
      <c r="N382" s="12" t="n"/>
    </row>
    <row r="383">
      <c r="A383" s="12" t="n"/>
      <c r="B383" s="14" t="n"/>
      <c r="C383" s="12" t="n"/>
      <c r="D383" s="12" t="n"/>
      <c r="E383" s="12" t="n"/>
      <c r="F383" s="12" t="n"/>
      <c r="G383" s="20" t="n"/>
      <c r="H383" s="21" t="n"/>
      <c r="I383" s="20" t="n"/>
      <c r="J383" s="20" t="n"/>
      <c r="K383" s="20" t="n"/>
      <c r="L383" s="20" t="n"/>
      <c r="M383" s="13">
        <f>IF(OR(A383="",E383=""),"",COUNTIFS(Enquiries!$B:$B,A383,Enquiries!$C:$C,E383))</f>
        <v/>
      </c>
      <c r="N383" s="12" t="n"/>
    </row>
    <row r="384">
      <c r="A384" s="12" t="n"/>
      <c r="B384" s="14" t="n"/>
      <c r="C384" s="12" t="n"/>
      <c r="D384" s="12" t="n"/>
      <c r="E384" s="12" t="n"/>
      <c r="F384" s="12" t="n"/>
      <c r="G384" s="20" t="n"/>
      <c r="H384" s="21" t="n"/>
      <c r="I384" s="20" t="n"/>
      <c r="J384" s="20" t="n"/>
      <c r="K384" s="20" t="n"/>
      <c r="L384" s="20" t="n"/>
      <c r="M384" s="13">
        <f>IF(OR(A384="",E384=""),"",COUNTIFS(Enquiries!$B:$B,A384,Enquiries!$C:$C,E384))</f>
        <v/>
      </c>
      <c r="N384" s="12" t="n"/>
    </row>
    <row r="385">
      <c r="A385" s="12" t="n"/>
      <c r="B385" s="14" t="n"/>
      <c r="C385" s="12" t="n"/>
      <c r="D385" s="12" t="n"/>
      <c r="E385" s="12" t="n"/>
      <c r="F385" s="12" t="n"/>
      <c r="G385" s="20" t="n"/>
      <c r="H385" s="21" t="n"/>
      <c r="I385" s="20" t="n"/>
      <c r="J385" s="20" t="n"/>
      <c r="K385" s="20" t="n"/>
      <c r="L385" s="20" t="n"/>
      <c r="M385" s="13">
        <f>IF(OR(A385="",E385=""),"",COUNTIFS(Enquiries!$B:$B,A385,Enquiries!$C:$C,E385))</f>
        <v/>
      </c>
      <c r="N385" s="12" t="n"/>
    </row>
    <row r="386">
      <c r="A386" s="12" t="n"/>
      <c r="B386" s="14" t="n"/>
      <c r="C386" s="12" t="n"/>
      <c r="D386" s="12" t="n"/>
      <c r="E386" s="12" t="n"/>
      <c r="F386" s="12" t="n"/>
      <c r="G386" s="20" t="n"/>
      <c r="H386" s="21" t="n"/>
      <c r="I386" s="20" t="n"/>
      <c r="J386" s="20" t="n"/>
      <c r="K386" s="20" t="n"/>
      <c r="L386" s="20" t="n"/>
      <c r="M386" s="13">
        <f>IF(OR(A386="",E386=""),"",COUNTIFS(Enquiries!$B:$B,A386,Enquiries!$C:$C,E386))</f>
        <v/>
      </c>
      <c r="N386" s="12" t="n"/>
    </row>
    <row r="387">
      <c r="A387" s="12" t="n"/>
      <c r="B387" s="14" t="n"/>
      <c r="C387" s="12" t="n"/>
      <c r="D387" s="12" t="n"/>
      <c r="E387" s="12" t="n"/>
      <c r="F387" s="12" t="n"/>
      <c r="G387" s="20" t="n"/>
      <c r="H387" s="21" t="n"/>
      <c r="I387" s="20" t="n"/>
      <c r="J387" s="20" t="n"/>
      <c r="K387" s="20" t="n"/>
      <c r="L387" s="20" t="n"/>
      <c r="M387" s="13">
        <f>IF(OR(A387="",E387=""),"",COUNTIFS(Enquiries!$B:$B,A387,Enquiries!$C:$C,E387))</f>
        <v/>
      </c>
      <c r="N387" s="12" t="n"/>
    </row>
    <row r="388">
      <c r="A388" s="12" t="n"/>
      <c r="B388" s="14" t="n"/>
      <c r="C388" s="12" t="n"/>
      <c r="D388" s="12" t="n"/>
      <c r="E388" s="12" t="n"/>
      <c r="F388" s="12" t="n"/>
      <c r="G388" s="20" t="n"/>
      <c r="H388" s="21" t="n"/>
      <c r="I388" s="20" t="n"/>
      <c r="J388" s="20" t="n"/>
      <c r="K388" s="20" t="n"/>
      <c r="L388" s="20" t="n"/>
      <c r="M388" s="13">
        <f>IF(OR(A388="",E388=""),"",COUNTIFS(Enquiries!$B:$B,A388,Enquiries!$C:$C,E388))</f>
        <v/>
      </c>
      <c r="N388" s="12" t="n"/>
    </row>
    <row r="389">
      <c r="A389" s="12" t="n"/>
      <c r="B389" s="14" t="n"/>
      <c r="C389" s="12" t="n"/>
      <c r="D389" s="12" t="n"/>
      <c r="E389" s="12" t="n"/>
      <c r="F389" s="12" t="n"/>
      <c r="G389" s="20" t="n"/>
      <c r="H389" s="21" t="n"/>
      <c r="I389" s="20" t="n"/>
      <c r="J389" s="20" t="n"/>
      <c r="K389" s="20" t="n"/>
      <c r="L389" s="20" t="n"/>
      <c r="M389" s="13">
        <f>IF(OR(A389="",E389=""),"",COUNTIFS(Enquiries!$B:$B,A389,Enquiries!$C:$C,E389))</f>
        <v/>
      </c>
      <c r="N389" s="12" t="n"/>
    </row>
    <row r="390">
      <c r="A390" s="12" t="n"/>
      <c r="B390" s="14" t="n"/>
      <c r="C390" s="12" t="n"/>
      <c r="D390" s="12" t="n"/>
      <c r="E390" s="12" t="n"/>
      <c r="F390" s="12" t="n"/>
      <c r="G390" s="20" t="n"/>
      <c r="H390" s="21" t="n"/>
      <c r="I390" s="20" t="n"/>
      <c r="J390" s="20" t="n"/>
      <c r="K390" s="20" t="n"/>
      <c r="L390" s="20" t="n"/>
      <c r="M390" s="13">
        <f>IF(OR(A390="",E390=""),"",COUNTIFS(Enquiries!$B:$B,A390,Enquiries!$C:$C,E390))</f>
        <v/>
      </c>
      <c r="N390" s="12" t="n"/>
    </row>
    <row r="391">
      <c r="A391" s="12" t="n"/>
      <c r="B391" s="14" t="n"/>
      <c r="C391" s="12" t="n"/>
      <c r="D391" s="12" t="n"/>
      <c r="E391" s="12" t="n"/>
      <c r="F391" s="12" t="n"/>
      <c r="G391" s="20" t="n"/>
      <c r="H391" s="21" t="n"/>
      <c r="I391" s="20" t="n"/>
      <c r="J391" s="20" t="n"/>
      <c r="K391" s="20" t="n"/>
      <c r="L391" s="20" t="n"/>
      <c r="M391" s="13">
        <f>IF(OR(A391="",E391=""),"",COUNTIFS(Enquiries!$B:$B,A391,Enquiries!$C:$C,E391))</f>
        <v/>
      </c>
      <c r="N391" s="12" t="n"/>
    </row>
    <row r="392">
      <c r="A392" s="12" t="n"/>
      <c r="B392" s="14" t="n"/>
      <c r="C392" s="12" t="n"/>
      <c r="D392" s="12" t="n"/>
      <c r="E392" s="12" t="n"/>
      <c r="F392" s="12" t="n"/>
      <c r="G392" s="20" t="n"/>
      <c r="H392" s="21" t="n"/>
      <c r="I392" s="20" t="n"/>
      <c r="J392" s="20" t="n"/>
      <c r="K392" s="20" t="n"/>
      <c r="L392" s="20" t="n"/>
      <c r="M392" s="13">
        <f>IF(OR(A392="",E392=""),"",COUNTIFS(Enquiries!$B:$B,A392,Enquiries!$C:$C,E392))</f>
        <v/>
      </c>
      <c r="N392" s="12" t="n"/>
    </row>
    <row r="393">
      <c r="A393" s="12" t="n"/>
      <c r="B393" s="14" t="n"/>
      <c r="C393" s="12" t="n"/>
      <c r="D393" s="12" t="n"/>
      <c r="E393" s="12" t="n"/>
      <c r="F393" s="12" t="n"/>
      <c r="G393" s="20" t="n"/>
      <c r="H393" s="21" t="n"/>
      <c r="I393" s="20" t="n"/>
      <c r="J393" s="20" t="n"/>
      <c r="K393" s="20" t="n"/>
      <c r="L393" s="20" t="n"/>
      <c r="M393" s="13">
        <f>IF(OR(A393="",E393=""),"",COUNTIFS(Enquiries!$B:$B,A393,Enquiries!$C:$C,E393))</f>
        <v/>
      </c>
      <c r="N393" s="12" t="n"/>
    </row>
    <row r="394">
      <c r="A394" s="12" t="n"/>
      <c r="B394" s="14" t="n"/>
      <c r="C394" s="12" t="n"/>
      <c r="D394" s="12" t="n"/>
      <c r="E394" s="12" t="n"/>
      <c r="F394" s="12" t="n"/>
      <c r="G394" s="20" t="n"/>
      <c r="H394" s="21" t="n"/>
      <c r="I394" s="20" t="n"/>
      <c r="J394" s="20" t="n"/>
      <c r="K394" s="20" t="n"/>
      <c r="L394" s="20" t="n"/>
      <c r="M394" s="13">
        <f>IF(OR(A394="",E394=""),"",COUNTIFS(Enquiries!$B:$B,A394,Enquiries!$C:$C,E394))</f>
        <v/>
      </c>
      <c r="N394" s="12" t="n"/>
    </row>
    <row r="395">
      <c r="A395" s="12" t="n"/>
      <c r="B395" s="14" t="n"/>
      <c r="C395" s="12" t="n"/>
      <c r="D395" s="12" t="n"/>
      <c r="E395" s="12" t="n"/>
      <c r="F395" s="12" t="n"/>
      <c r="G395" s="20" t="n"/>
      <c r="H395" s="21" t="n"/>
      <c r="I395" s="20" t="n"/>
      <c r="J395" s="20" t="n"/>
      <c r="K395" s="20" t="n"/>
      <c r="L395" s="20" t="n"/>
      <c r="M395" s="13">
        <f>IF(OR(A395="",E395=""),"",COUNTIFS(Enquiries!$B:$B,A395,Enquiries!$C:$C,E395))</f>
        <v/>
      </c>
      <c r="N395" s="12" t="n"/>
    </row>
    <row r="396">
      <c r="A396" s="12" t="n"/>
      <c r="B396" s="14" t="n"/>
      <c r="C396" s="12" t="n"/>
      <c r="D396" s="12" t="n"/>
      <c r="E396" s="12" t="n"/>
      <c r="F396" s="12" t="n"/>
      <c r="G396" s="20" t="n"/>
      <c r="H396" s="21" t="n"/>
      <c r="I396" s="20" t="n"/>
      <c r="J396" s="20" t="n"/>
      <c r="K396" s="20" t="n"/>
      <c r="L396" s="20" t="n"/>
      <c r="M396" s="13">
        <f>IF(OR(A396="",E396=""),"",COUNTIFS(Enquiries!$B:$B,A396,Enquiries!$C:$C,E396))</f>
        <v/>
      </c>
      <c r="N396" s="12" t="n"/>
    </row>
    <row r="397">
      <c r="A397" s="12" t="n"/>
      <c r="B397" s="14" t="n"/>
      <c r="C397" s="12" t="n"/>
      <c r="D397" s="12" t="n"/>
      <c r="E397" s="12" t="n"/>
      <c r="F397" s="12" t="n"/>
      <c r="G397" s="20" t="n"/>
      <c r="H397" s="21" t="n"/>
      <c r="I397" s="20" t="n"/>
      <c r="J397" s="20" t="n"/>
      <c r="K397" s="20" t="n"/>
      <c r="L397" s="20" t="n"/>
      <c r="M397" s="13">
        <f>IF(OR(A397="",E397=""),"",COUNTIFS(Enquiries!$B:$B,A397,Enquiries!$C:$C,E397))</f>
        <v/>
      </c>
      <c r="N397" s="12" t="n"/>
    </row>
    <row r="398">
      <c r="A398" s="12" t="n"/>
      <c r="B398" s="14" t="n"/>
      <c r="C398" s="12" t="n"/>
      <c r="D398" s="12" t="n"/>
      <c r="E398" s="12" t="n"/>
      <c r="F398" s="12" t="n"/>
      <c r="G398" s="20" t="n"/>
      <c r="H398" s="21" t="n"/>
      <c r="I398" s="20" t="n"/>
      <c r="J398" s="20" t="n"/>
      <c r="K398" s="20" t="n"/>
      <c r="L398" s="20" t="n"/>
      <c r="M398" s="13">
        <f>IF(OR(A398="",E398=""),"",COUNTIFS(Enquiries!$B:$B,A398,Enquiries!$C:$C,E398))</f>
        <v/>
      </c>
      <c r="N398" s="12" t="n"/>
    </row>
    <row r="399">
      <c r="A399" s="12" t="n"/>
      <c r="B399" s="14" t="n"/>
      <c r="C399" s="12" t="n"/>
      <c r="D399" s="12" t="n"/>
      <c r="E399" s="12" t="n"/>
      <c r="F399" s="12" t="n"/>
      <c r="G399" s="20" t="n"/>
      <c r="H399" s="21" t="n"/>
      <c r="I399" s="20" t="n"/>
      <c r="J399" s="20" t="n"/>
      <c r="K399" s="20" t="n"/>
      <c r="L399" s="20" t="n"/>
      <c r="M399" s="13">
        <f>IF(OR(A399="",E399=""),"",COUNTIFS(Enquiries!$B:$B,A399,Enquiries!$C:$C,E399))</f>
        <v/>
      </c>
      <c r="N399" s="12" t="n"/>
    </row>
    <row r="400">
      <c r="A400" s="12" t="n"/>
      <c r="B400" s="14" t="n"/>
      <c r="C400" s="12" t="n"/>
      <c r="D400" s="12" t="n"/>
      <c r="E400" s="12" t="n"/>
      <c r="F400" s="12" t="n"/>
      <c r="G400" s="20" t="n"/>
      <c r="H400" s="21" t="n"/>
      <c r="I400" s="20" t="n"/>
      <c r="J400" s="20" t="n"/>
      <c r="K400" s="20" t="n"/>
      <c r="L400" s="20" t="n"/>
      <c r="M400" s="13">
        <f>IF(OR(A400="",E400=""),"",COUNTIFS(Enquiries!$B:$B,A400,Enquiries!$C:$C,E400))</f>
        <v/>
      </c>
      <c r="N400" s="12" t="n"/>
    </row>
    <row r="401">
      <c r="A401" s="12" t="n"/>
      <c r="B401" s="14" t="n"/>
      <c r="C401" s="12" t="n"/>
      <c r="D401" s="12" t="n"/>
      <c r="E401" s="12" t="n"/>
      <c r="F401" s="12" t="n"/>
      <c r="G401" s="20" t="n"/>
      <c r="H401" s="21" t="n"/>
      <c r="I401" s="20" t="n"/>
      <c r="J401" s="20" t="n"/>
      <c r="K401" s="20" t="n"/>
      <c r="L401" s="20" t="n"/>
      <c r="M401" s="13">
        <f>IF(OR(A401="",E401=""),"",COUNTIFS(Enquiries!$B:$B,A401,Enquiries!$C:$C,E401))</f>
        <v/>
      </c>
      <c r="N401" s="12" t="n"/>
    </row>
  </sheetData>
  <autoFilter ref="A1:N401"/>
  <dataValidations count="2">
    <dataValidation sqref="A2:A401" showDropDown="0" showInputMessage="0" showErrorMessage="0" allowBlank="1" type="list">
      <formula1>Clients!$A$2:$A$201</formula1>
    </dataValidation>
    <dataValidation sqref="D2:D401" showDropDown="0" showInputMessage="0" showErrorMessage="0" allowBlank="1" type="list">
      <formula1>Lists!$B$2:$B$4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11" customWidth="1" min="3" max="3"/>
    <col width="18" customWidth="1" min="4" max="4"/>
    <col width="14" customWidth="1" min="5" max="5"/>
    <col width="13" customWidth="1" min="6" max="6"/>
    <col width="11" customWidth="1" min="7" max="7"/>
    <col width="30" customWidth="1" min="8" max="8"/>
  </cols>
  <sheetData>
    <row r="1" ht="34" customHeight="1">
      <c r="A1" s="7" t="inlineStr">
        <is>
          <t>Date</t>
        </is>
      </c>
      <c r="B1" s="7" t="inlineStr">
        <is>
          <t>Client</t>
        </is>
      </c>
      <c r="C1" s="7" t="inlineStr">
        <is>
          <t>Code word</t>
        </is>
      </c>
      <c r="D1" s="7" t="inlineStr">
        <is>
          <t>Customer name</t>
        </is>
      </c>
      <c r="E1" s="7" t="inlineStr">
        <is>
          <t>Channel</t>
        </is>
      </c>
      <c r="F1" s="7" t="inlineStr">
        <is>
          <t>Outcome</t>
        </is>
      </c>
      <c r="G1" s="7" t="inlineStr">
        <is>
          <t>Value (AED)</t>
        </is>
      </c>
      <c r="H1" s="7" t="inlineStr">
        <is>
          <t>Notes</t>
        </is>
      </c>
    </row>
    <row r="2">
      <c r="A2" s="10" t="n">
        <v>46333</v>
      </c>
      <c r="B2" s="8" t="inlineStr">
        <is>
          <t>EXAMPLE Spa Co</t>
        </is>
      </c>
      <c r="C2" s="8" t="inlineStr">
        <is>
          <t>RELAX</t>
        </is>
      </c>
      <c r="D2" s="8" t="inlineStr">
        <is>
          <t>Customer A</t>
        </is>
      </c>
      <c r="E2" s="8" t="inlineStr">
        <is>
          <t>WhatsApp</t>
        </is>
      </c>
      <c r="F2" s="8" t="inlineStr">
        <is>
          <t>Booked</t>
        </is>
      </c>
      <c r="G2" s="18" t="n">
        <v>350</v>
      </c>
      <c r="H2" s="8" t="n"/>
    </row>
    <row r="3">
      <c r="A3" s="14" t="n"/>
      <c r="B3" s="12" t="n"/>
      <c r="C3" s="12" t="n"/>
      <c r="D3" s="12" t="n"/>
      <c r="E3" s="12" t="n"/>
      <c r="F3" s="12" t="n"/>
      <c r="G3" s="20" t="n"/>
      <c r="H3" s="12" t="n"/>
    </row>
    <row r="4">
      <c r="A4" s="14" t="n"/>
      <c r="B4" s="12" t="n"/>
      <c r="C4" s="12" t="n"/>
      <c r="D4" s="12" t="n"/>
      <c r="E4" s="12" t="n"/>
      <c r="F4" s="12" t="n"/>
      <c r="G4" s="20" t="n"/>
      <c r="H4" s="12" t="n"/>
    </row>
    <row r="5">
      <c r="A5" s="14" t="n"/>
      <c r="B5" s="12" t="n"/>
      <c r="C5" s="12" t="n"/>
      <c r="D5" s="12" t="n"/>
      <c r="E5" s="12" t="n"/>
      <c r="F5" s="12" t="n"/>
      <c r="G5" s="20" t="n"/>
      <c r="H5" s="12" t="n"/>
    </row>
    <row r="6">
      <c r="A6" s="14" t="n"/>
      <c r="B6" s="12" t="n"/>
      <c r="C6" s="12" t="n"/>
      <c r="D6" s="12" t="n"/>
      <c r="E6" s="12" t="n"/>
      <c r="F6" s="12" t="n"/>
      <c r="G6" s="20" t="n"/>
      <c r="H6" s="12" t="n"/>
    </row>
    <row r="7">
      <c r="A7" s="14" t="n"/>
      <c r="B7" s="12" t="n"/>
      <c r="C7" s="12" t="n"/>
      <c r="D7" s="12" t="n"/>
      <c r="E7" s="12" t="n"/>
      <c r="F7" s="12" t="n"/>
      <c r="G7" s="20" t="n"/>
      <c r="H7" s="12" t="n"/>
    </row>
    <row r="8">
      <c r="A8" s="14" t="n"/>
      <c r="B8" s="12" t="n"/>
      <c r="C8" s="12" t="n"/>
      <c r="D8" s="12" t="n"/>
      <c r="E8" s="12" t="n"/>
      <c r="F8" s="12" t="n"/>
      <c r="G8" s="20" t="n"/>
      <c r="H8" s="12" t="n"/>
    </row>
    <row r="9">
      <c r="A9" s="14" t="n"/>
      <c r="B9" s="12" t="n"/>
      <c r="C9" s="12" t="n"/>
      <c r="D9" s="12" t="n"/>
      <c r="E9" s="12" t="n"/>
      <c r="F9" s="12" t="n"/>
      <c r="G9" s="20" t="n"/>
      <c r="H9" s="12" t="n"/>
    </row>
    <row r="10">
      <c r="A10" s="14" t="n"/>
      <c r="B10" s="12" t="n"/>
      <c r="C10" s="12" t="n"/>
      <c r="D10" s="12" t="n"/>
      <c r="E10" s="12" t="n"/>
      <c r="F10" s="12" t="n"/>
      <c r="G10" s="20" t="n"/>
      <c r="H10" s="12" t="n"/>
    </row>
    <row r="11">
      <c r="A11" s="14" t="n"/>
      <c r="B11" s="12" t="n"/>
      <c r="C11" s="12" t="n"/>
      <c r="D11" s="12" t="n"/>
      <c r="E11" s="12" t="n"/>
      <c r="F11" s="12" t="n"/>
      <c r="G11" s="20" t="n"/>
      <c r="H11" s="12" t="n"/>
    </row>
    <row r="12">
      <c r="A12" s="14" t="n"/>
      <c r="B12" s="12" t="n"/>
      <c r="C12" s="12" t="n"/>
      <c r="D12" s="12" t="n"/>
      <c r="E12" s="12" t="n"/>
      <c r="F12" s="12" t="n"/>
      <c r="G12" s="20" t="n"/>
      <c r="H12" s="12" t="n"/>
    </row>
    <row r="13">
      <c r="A13" s="14" t="n"/>
      <c r="B13" s="12" t="n"/>
      <c r="C13" s="12" t="n"/>
      <c r="D13" s="12" t="n"/>
      <c r="E13" s="12" t="n"/>
      <c r="F13" s="12" t="n"/>
      <c r="G13" s="20" t="n"/>
      <c r="H13" s="12" t="n"/>
    </row>
    <row r="14">
      <c r="A14" s="14" t="n"/>
      <c r="B14" s="12" t="n"/>
      <c r="C14" s="12" t="n"/>
      <c r="D14" s="12" t="n"/>
      <c r="E14" s="12" t="n"/>
      <c r="F14" s="12" t="n"/>
      <c r="G14" s="20" t="n"/>
      <c r="H14" s="12" t="n"/>
    </row>
    <row r="15">
      <c r="A15" s="14" t="n"/>
      <c r="B15" s="12" t="n"/>
      <c r="C15" s="12" t="n"/>
      <c r="D15" s="12" t="n"/>
      <c r="E15" s="12" t="n"/>
      <c r="F15" s="12" t="n"/>
      <c r="G15" s="20" t="n"/>
      <c r="H15" s="12" t="n"/>
    </row>
    <row r="16">
      <c r="A16" s="14" t="n"/>
      <c r="B16" s="12" t="n"/>
      <c r="C16" s="12" t="n"/>
      <c r="D16" s="12" t="n"/>
      <c r="E16" s="12" t="n"/>
      <c r="F16" s="12" t="n"/>
      <c r="G16" s="20" t="n"/>
      <c r="H16" s="12" t="n"/>
    </row>
    <row r="17">
      <c r="A17" s="14" t="n"/>
      <c r="B17" s="12" t="n"/>
      <c r="C17" s="12" t="n"/>
      <c r="D17" s="12" t="n"/>
      <c r="E17" s="12" t="n"/>
      <c r="F17" s="12" t="n"/>
      <c r="G17" s="20" t="n"/>
      <c r="H17" s="12" t="n"/>
    </row>
    <row r="18">
      <c r="A18" s="14" t="n"/>
      <c r="B18" s="12" t="n"/>
      <c r="C18" s="12" t="n"/>
      <c r="D18" s="12" t="n"/>
      <c r="E18" s="12" t="n"/>
      <c r="F18" s="12" t="n"/>
      <c r="G18" s="20" t="n"/>
      <c r="H18" s="12" t="n"/>
    </row>
    <row r="19">
      <c r="A19" s="14" t="n"/>
      <c r="B19" s="12" t="n"/>
      <c r="C19" s="12" t="n"/>
      <c r="D19" s="12" t="n"/>
      <c r="E19" s="12" t="n"/>
      <c r="F19" s="12" t="n"/>
      <c r="G19" s="20" t="n"/>
      <c r="H19" s="12" t="n"/>
    </row>
    <row r="20">
      <c r="A20" s="14" t="n"/>
      <c r="B20" s="12" t="n"/>
      <c r="C20" s="12" t="n"/>
      <c r="D20" s="12" t="n"/>
      <c r="E20" s="12" t="n"/>
      <c r="F20" s="12" t="n"/>
      <c r="G20" s="20" t="n"/>
      <c r="H20" s="12" t="n"/>
    </row>
    <row r="21">
      <c r="A21" s="14" t="n"/>
      <c r="B21" s="12" t="n"/>
      <c r="C21" s="12" t="n"/>
      <c r="D21" s="12" t="n"/>
      <c r="E21" s="12" t="n"/>
      <c r="F21" s="12" t="n"/>
      <c r="G21" s="20" t="n"/>
      <c r="H21" s="12" t="n"/>
    </row>
    <row r="22">
      <c r="A22" s="14" t="n"/>
      <c r="B22" s="12" t="n"/>
      <c r="C22" s="12" t="n"/>
      <c r="D22" s="12" t="n"/>
      <c r="E22" s="12" t="n"/>
      <c r="F22" s="12" t="n"/>
      <c r="G22" s="20" t="n"/>
      <c r="H22" s="12" t="n"/>
    </row>
    <row r="23">
      <c r="A23" s="14" t="n"/>
      <c r="B23" s="12" t="n"/>
      <c r="C23" s="12" t="n"/>
      <c r="D23" s="12" t="n"/>
      <c r="E23" s="12" t="n"/>
      <c r="F23" s="12" t="n"/>
      <c r="G23" s="20" t="n"/>
      <c r="H23" s="12" t="n"/>
    </row>
    <row r="24">
      <c r="A24" s="14" t="n"/>
      <c r="B24" s="12" t="n"/>
      <c r="C24" s="12" t="n"/>
      <c r="D24" s="12" t="n"/>
      <c r="E24" s="12" t="n"/>
      <c r="F24" s="12" t="n"/>
      <c r="G24" s="20" t="n"/>
      <c r="H24" s="12" t="n"/>
    </row>
    <row r="25">
      <c r="A25" s="14" t="n"/>
      <c r="B25" s="12" t="n"/>
      <c r="C25" s="12" t="n"/>
      <c r="D25" s="12" t="n"/>
      <c r="E25" s="12" t="n"/>
      <c r="F25" s="12" t="n"/>
      <c r="G25" s="20" t="n"/>
      <c r="H25" s="12" t="n"/>
    </row>
    <row r="26">
      <c r="A26" s="14" t="n"/>
      <c r="B26" s="12" t="n"/>
      <c r="C26" s="12" t="n"/>
      <c r="D26" s="12" t="n"/>
      <c r="E26" s="12" t="n"/>
      <c r="F26" s="12" t="n"/>
      <c r="G26" s="20" t="n"/>
      <c r="H26" s="12" t="n"/>
    </row>
    <row r="27">
      <c r="A27" s="14" t="n"/>
      <c r="B27" s="12" t="n"/>
      <c r="C27" s="12" t="n"/>
      <c r="D27" s="12" t="n"/>
      <c r="E27" s="12" t="n"/>
      <c r="F27" s="12" t="n"/>
      <c r="G27" s="20" t="n"/>
      <c r="H27" s="12" t="n"/>
    </row>
    <row r="28">
      <c r="A28" s="14" t="n"/>
      <c r="B28" s="12" t="n"/>
      <c r="C28" s="12" t="n"/>
      <c r="D28" s="12" t="n"/>
      <c r="E28" s="12" t="n"/>
      <c r="F28" s="12" t="n"/>
      <c r="G28" s="20" t="n"/>
      <c r="H28" s="12" t="n"/>
    </row>
    <row r="29">
      <c r="A29" s="14" t="n"/>
      <c r="B29" s="12" t="n"/>
      <c r="C29" s="12" t="n"/>
      <c r="D29" s="12" t="n"/>
      <c r="E29" s="12" t="n"/>
      <c r="F29" s="12" t="n"/>
      <c r="G29" s="20" t="n"/>
      <c r="H29" s="12" t="n"/>
    </row>
    <row r="30">
      <c r="A30" s="14" t="n"/>
      <c r="B30" s="12" t="n"/>
      <c r="C30" s="12" t="n"/>
      <c r="D30" s="12" t="n"/>
      <c r="E30" s="12" t="n"/>
      <c r="F30" s="12" t="n"/>
      <c r="G30" s="20" t="n"/>
      <c r="H30" s="12" t="n"/>
    </row>
    <row r="31">
      <c r="A31" s="14" t="n"/>
      <c r="B31" s="12" t="n"/>
      <c r="C31" s="12" t="n"/>
      <c r="D31" s="12" t="n"/>
      <c r="E31" s="12" t="n"/>
      <c r="F31" s="12" t="n"/>
      <c r="G31" s="20" t="n"/>
      <c r="H31" s="12" t="n"/>
    </row>
    <row r="32">
      <c r="A32" s="14" t="n"/>
      <c r="B32" s="12" t="n"/>
      <c r="C32" s="12" t="n"/>
      <c r="D32" s="12" t="n"/>
      <c r="E32" s="12" t="n"/>
      <c r="F32" s="12" t="n"/>
      <c r="G32" s="20" t="n"/>
      <c r="H32" s="12" t="n"/>
    </row>
    <row r="33">
      <c r="A33" s="14" t="n"/>
      <c r="B33" s="12" t="n"/>
      <c r="C33" s="12" t="n"/>
      <c r="D33" s="12" t="n"/>
      <c r="E33" s="12" t="n"/>
      <c r="F33" s="12" t="n"/>
      <c r="G33" s="20" t="n"/>
      <c r="H33" s="12" t="n"/>
    </row>
    <row r="34">
      <c r="A34" s="14" t="n"/>
      <c r="B34" s="12" t="n"/>
      <c r="C34" s="12" t="n"/>
      <c r="D34" s="12" t="n"/>
      <c r="E34" s="12" t="n"/>
      <c r="F34" s="12" t="n"/>
      <c r="G34" s="20" t="n"/>
      <c r="H34" s="12" t="n"/>
    </row>
    <row r="35">
      <c r="A35" s="14" t="n"/>
      <c r="B35" s="12" t="n"/>
      <c r="C35" s="12" t="n"/>
      <c r="D35" s="12" t="n"/>
      <c r="E35" s="12" t="n"/>
      <c r="F35" s="12" t="n"/>
      <c r="G35" s="20" t="n"/>
      <c r="H35" s="12" t="n"/>
    </row>
    <row r="36">
      <c r="A36" s="14" t="n"/>
      <c r="B36" s="12" t="n"/>
      <c r="C36" s="12" t="n"/>
      <c r="D36" s="12" t="n"/>
      <c r="E36" s="12" t="n"/>
      <c r="F36" s="12" t="n"/>
      <c r="G36" s="20" t="n"/>
      <c r="H36" s="12" t="n"/>
    </row>
    <row r="37">
      <c r="A37" s="14" t="n"/>
      <c r="B37" s="12" t="n"/>
      <c r="C37" s="12" t="n"/>
      <c r="D37" s="12" t="n"/>
      <c r="E37" s="12" t="n"/>
      <c r="F37" s="12" t="n"/>
      <c r="G37" s="20" t="n"/>
      <c r="H37" s="12" t="n"/>
    </row>
    <row r="38">
      <c r="A38" s="14" t="n"/>
      <c r="B38" s="12" t="n"/>
      <c r="C38" s="12" t="n"/>
      <c r="D38" s="12" t="n"/>
      <c r="E38" s="12" t="n"/>
      <c r="F38" s="12" t="n"/>
      <c r="G38" s="20" t="n"/>
      <c r="H38" s="12" t="n"/>
    </row>
    <row r="39">
      <c r="A39" s="14" t="n"/>
      <c r="B39" s="12" t="n"/>
      <c r="C39" s="12" t="n"/>
      <c r="D39" s="12" t="n"/>
      <c r="E39" s="12" t="n"/>
      <c r="F39" s="12" t="n"/>
      <c r="G39" s="20" t="n"/>
      <c r="H39" s="12" t="n"/>
    </row>
    <row r="40">
      <c r="A40" s="14" t="n"/>
      <c r="B40" s="12" t="n"/>
      <c r="C40" s="12" t="n"/>
      <c r="D40" s="12" t="n"/>
      <c r="E40" s="12" t="n"/>
      <c r="F40" s="12" t="n"/>
      <c r="G40" s="20" t="n"/>
      <c r="H40" s="12" t="n"/>
    </row>
    <row r="41">
      <c r="A41" s="14" t="n"/>
      <c r="B41" s="12" t="n"/>
      <c r="C41" s="12" t="n"/>
      <c r="D41" s="12" t="n"/>
      <c r="E41" s="12" t="n"/>
      <c r="F41" s="12" t="n"/>
      <c r="G41" s="20" t="n"/>
      <c r="H41" s="12" t="n"/>
    </row>
    <row r="42">
      <c r="A42" s="14" t="n"/>
      <c r="B42" s="12" t="n"/>
      <c r="C42" s="12" t="n"/>
      <c r="D42" s="12" t="n"/>
      <c r="E42" s="12" t="n"/>
      <c r="F42" s="12" t="n"/>
      <c r="G42" s="20" t="n"/>
      <c r="H42" s="12" t="n"/>
    </row>
    <row r="43">
      <c r="A43" s="14" t="n"/>
      <c r="B43" s="12" t="n"/>
      <c r="C43" s="12" t="n"/>
      <c r="D43" s="12" t="n"/>
      <c r="E43" s="12" t="n"/>
      <c r="F43" s="12" t="n"/>
      <c r="G43" s="20" t="n"/>
      <c r="H43" s="12" t="n"/>
    </row>
    <row r="44">
      <c r="A44" s="14" t="n"/>
      <c r="B44" s="12" t="n"/>
      <c r="C44" s="12" t="n"/>
      <c r="D44" s="12" t="n"/>
      <c r="E44" s="12" t="n"/>
      <c r="F44" s="12" t="n"/>
      <c r="G44" s="20" t="n"/>
      <c r="H44" s="12" t="n"/>
    </row>
    <row r="45">
      <c r="A45" s="14" t="n"/>
      <c r="B45" s="12" t="n"/>
      <c r="C45" s="12" t="n"/>
      <c r="D45" s="12" t="n"/>
      <c r="E45" s="12" t="n"/>
      <c r="F45" s="12" t="n"/>
      <c r="G45" s="20" t="n"/>
      <c r="H45" s="12" t="n"/>
    </row>
    <row r="46">
      <c r="A46" s="14" t="n"/>
      <c r="B46" s="12" t="n"/>
      <c r="C46" s="12" t="n"/>
      <c r="D46" s="12" t="n"/>
      <c r="E46" s="12" t="n"/>
      <c r="F46" s="12" t="n"/>
      <c r="G46" s="20" t="n"/>
      <c r="H46" s="12" t="n"/>
    </row>
    <row r="47">
      <c r="A47" s="14" t="n"/>
      <c r="B47" s="12" t="n"/>
      <c r="C47" s="12" t="n"/>
      <c r="D47" s="12" t="n"/>
      <c r="E47" s="12" t="n"/>
      <c r="F47" s="12" t="n"/>
      <c r="G47" s="20" t="n"/>
      <c r="H47" s="12" t="n"/>
    </row>
    <row r="48">
      <c r="A48" s="14" t="n"/>
      <c r="B48" s="12" t="n"/>
      <c r="C48" s="12" t="n"/>
      <c r="D48" s="12" t="n"/>
      <c r="E48" s="12" t="n"/>
      <c r="F48" s="12" t="n"/>
      <c r="G48" s="20" t="n"/>
      <c r="H48" s="12" t="n"/>
    </row>
    <row r="49">
      <c r="A49" s="14" t="n"/>
      <c r="B49" s="12" t="n"/>
      <c r="C49" s="12" t="n"/>
      <c r="D49" s="12" t="n"/>
      <c r="E49" s="12" t="n"/>
      <c r="F49" s="12" t="n"/>
      <c r="G49" s="20" t="n"/>
      <c r="H49" s="12" t="n"/>
    </row>
    <row r="50">
      <c r="A50" s="14" t="n"/>
      <c r="B50" s="12" t="n"/>
      <c r="C50" s="12" t="n"/>
      <c r="D50" s="12" t="n"/>
      <c r="E50" s="12" t="n"/>
      <c r="F50" s="12" t="n"/>
      <c r="G50" s="20" t="n"/>
      <c r="H50" s="12" t="n"/>
    </row>
    <row r="51">
      <c r="A51" s="14" t="n"/>
      <c r="B51" s="12" t="n"/>
      <c r="C51" s="12" t="n"/>
      <c r="D51" s="12" t="n"/>
      <c r="E51" s="12" t="n"/>
      <c r="F51" s="12" t="n"/>
      <c r="G51" s="20" t="n"/>
      <c r="H51" s="12" t="n"/>
    </row>
    <row r="52">
      <c r="A52" s="14" t="n"/>
      <c r="B52" s="12" t="n"/>
      <c r="C52" s="12" t="n"/>
      <c r="D52" s="12" t="n"/>
      <c r="E52" s="12" t="n"/>
      <c r="F52" s="12" t="n"/>
      <c r="G52" s="20" t="n"/>
      <c r="H52" s="12" t="n"/>
    </row>
    <row r="53">
      <c r="A53" s="14" t="n"/>
      <c r="B53" s="12" t="n"/>
      <c r="C53" s="12" t="n"/>
      <c r="D53" s="12" t="n"/>
      <c r="E53" s="12" t="n"/>
      <c r="F53" s="12" t="n"/>
      <c r="G53" s="20" t="n"/>
      <c r="H53" s="12" t="n"/>
    </row>
    <row r="54">
      <c r="A54" s="14" t="n"/>
      <c r="B54" s="12" t="n"/>
      <c r="C54" s="12" t="n"/>
      <c r="D54" s="12" t="n"/>
      <c r="E54" s="12" t="n"/>
      <c r="F54" s="12" t="n"/>
      <c r="G54" s="20" t="n"/>
      <c r="H54" s="12" t="n"/>
    </row>
    <row r="55">
      <c r="A55" s="14" t="n"/>
      <c r="B55" s="12" t="n"/>
      <c r="C55" s="12" t="n"/>
      <c r="D55" s="12" t="n"/>
      <c r="E55" s="12" t="n"/>
      <c r="F55" s="12" t="n"/>
      <c r="G55" s="20" t="n"/>
      <c r="H55" s="12" t="n"/>
    </row>
    <row r="56">
      <c r="A56" s="14" t="n"/>
      <c r="B56" s="12" t="n"/>
      <c r="C56" s="12" t="n"/>
      <c r="D56" s="12" t="n"/>
      <c r="E56" s="12" t="n"/>
      <c r="F56" s="12" t="n"/>
      <c r="G56" s="20" t="n"/>
      <c r="H56" s="12" t="n"/>
    </row>
    <row r="57">
      <c r="A57" s="14" t="n"/>
      <c r="B57" s="12" t="n"/>
      <c r="C57" s="12" t="n"/>
      <c r="D57" s="12" t="n"/>
      <c r="E57" s="12" t="n"/>
      <c r="F57" s="12" t="n"/>
      <c r="G57" s="20" t="n"/>
      <c r="H57" s="12" t="n"/>
    </row>
    <row r="58">
      <c r="A58" s="14" t="n"/>
      <c r="B58" s="12" t="n"/>
      <c r="C58" s="12" t="n"/>
      <c r="D58" s="12" t="n"/>
      <c r="E58" s="12" t="n"/>
      <c r="F58" s="12" t="n"/>
      <c r="G58" s="20" t="n"/>
      <c r="H58" s="12" t="n"/>
    </row>
    <row r="59">
      <c r="A59" s="14" t="n"/>
      <c r="B59" s="12" t="n"/>
      <c r="C59" s="12" t="n"/>
      <c r="D59" s="12" t="n"/>
      <c r="E59" s="12" t="n"/>
      <c r="F59" s="12" t="n"/>
      <c r="G59" s="20" t="n"/>
      <c r="H59" s="12" t="n"/>
    </row>
    <row r="60">
      <c r="A60" s="14" t="n"/>
      <c r="B60" s="12" t="n"/>
      <c r="C60" s="12" t="n"/>
      <c r="D60" s="12" t="n"/>
      <c r="E60" s="12" t="n"/>
      <c r="F60" s="12" t="n"/>
      <c r="G60" s="20" t="n"/>
      <c r="H60" s="12" t="n"/>
    </row>
    <row r="61">
      <c r="A61" s="14" t="n"/>
      <c r="B61" s="12" t="n"/>
      <c r="C61" s="12" t="n"/>
      <c r="D61" s="12" t="n"/>
      <c r="E61" s="12" t="n"/>
      <c r="F61" s="12" t="n"/>
      <c r="G61" s="20" t="n"/>
      <c r="H61" s="12" t="n"/>
    </row>
    <row r="62">
      <c r="A62" s="14" t="n"/>
      <c r="B62" s="12" t="n"/>
      <c r="C62" s="12" t="n"/>
      <c r="D62" s="12" t="n"/>
      <c r="E62" s="12" t="n"/>
      <c r="F62" s="12" t="n"/>
      <c r="G62" s="20" t="n"/>
      <c r="H62" s="12" t="n"/>
    </row>
    <row r="63">
      <c r="A63" s="14" t="n"/>
      <c r="B63" s="12" t="n"/>
      <c r="C63" s="12" t="n"/>
      <c r="D63" s="12" t="n"/>
      <c r="E63" s="12" t="n"/>
      <c r="F63" s="12" t="n"/>
      <c r="G63" s="20" t="n"/>
      <c r="H63" s="12" t="n"/>
    </row>
    <row r="64">
      <c r="A64" s="14" t="n"/>
      <c r="B64" s="12" t="n"/>
      <c r="C64" s="12" t="n"/>
      <c r="D64" s="12" t="n"/>
      <c r="E64" s="12" t="n"/>
      <c r="F64" s="12" t="n"/>
      <c r="G64" s="20" t="n"/>
      <c r="H64" s="12" t="n"/>
    </row>
    <row r="65">
      <c r="A65" s="14" t="n"/>
      <c r="B65" s="12" t="n"/>
      <c r="C65" s="12" t="n"/>
      <c r="D65" s="12" t="n"/>
      <c r="E65" s="12" t="n"/>
      <c r="F65" s="12" t="n"/>
      <c r="G65" s="20" t="n"/>
      <c r="H65" s="12" t="n"/>
    </row>
    <row r="66">
      <c r="A66" s="14" t="n"/>
      <c r="B66" s="12" t="n"/>
      <c r="C66" s="12" t="n"/>
      <c r="D66" s="12" t="n"/>
      <c r="E66" s="12" t="n"/>
      <c r="F66" s="12" t="n"/>
      <c r="G66" s="20" t="n"/>
      <c r="H66" s="12" t="n"/>
    </row>
    <row r="67">
      <c r="A67" s="14" t="n"/>
      <c r="B67" s="12" t="n"/>
      <c r="C67" s="12" t="n"/>
      <c r="D67" s="12" t="n"/>
      <c r="E67" s="12" t="n"/>
      <c r="F67" s="12" t="n"/>
      <c r="G67" s="20" t="n"/>
      <c r="H67" s="12" t="n"/>
    </row>
    <row r="68">
      <c r="A68" s="14" t="n"/>
      <c r="B68" s="12" t="n"/>
      <c r="C68" s="12" t="n"/>
      <c r="D68" s="12" t="n"/>
      <c r="E68" s="12" t="n"/>
      <c r="F68" s="12" t="n"/>
      <c r="G68" s="20" t="n"/>
      <c r="H68" s="12" t="n"/>
    </row>
    <row r="69">
      <c r="A69" s="14" t="n"/>
      <c r="B69" s="12" t="n"/>
      <c r="C69" s="12" t="n"/>
      <c r="D69" s="12" t="n"/>
      <c r="E69" s="12" t="n"/>
      <c r="F69" s="12" t="n"/>
      <c r="G69" s="20" t="n"/>
      <c r="H69" s="12" t="n"/>
    </row>
    <row r="70">
      <c r="A70" s="14" t="n"/>
      <c r="B70" s="12" t="n"/>
      <c r="C70" s="12" t="n"/>
      <c r="D70" s="12" t="n"/>
      <c r="E70" s="12" t="n"/>
      <c r="F70" s="12" t="n"/>
      <c r="G70" s="20" t="n"/>
      <c r="H70" s="12" t="n"/>
    </row>
    <row r="71">
      <c r="A71" s="14" t="n"/>
      <c r="B71" s="12" t="n"/>
      <c r="C71" s="12" t="n"/>
      <c r="D71" s="12" t="n"/>
      <c r="E71" s="12" t="n"/>
      <c r="F71" s="12" t="n"/>
      <c r="G71" s="20" t="n"/>
      <c r="H71" s="12" t="n"/>
    </row>
    <row r="72">
      <c r="A72" s="14" t="n"/>
      <c r="B72" s="12" t="n"/>
      <c r="C72" s="12" t="n"/>
      <c r="D72" s="12" t="n"/>
      <c r="E72" s="12" t="n"/>
      <c r="F72" s="12" t="n"/>
      <c r="G72" s="20" t="n"/>
      <c r="H72" s="12" t="n"/>
    </row>
    <row r="73">
      <c r="A73" s="14" t="n"/>
      <c r="B73" s="12" t="n"/>
      <c r="C73" s="12" t="n"/>
      <c r="D73" s="12" t="n"/>
      <c r="E73" s="12" t="n"/>
      <c r="F73" s="12" t="n"/>
      <c r="G73" s="20" t="n"/>
      <c r="H73" s="12" t="n"/>
    </row>
    <row r="74">
      <c r="A74" s="14" t="n"/>
      <c r="B74" s="12" t="n"/>
      <c r="C74" s="12" t="n"/>
      <c r="D74" s="12" t="n"/>
      <c r="E74" s="12" t="n"/>
      <c r="F74" s="12" t="n"/>
      <c r="G74" s="20" t="n"/>
      <c r="H74" s="12" t="n"/>
    </row>
    <row r="75">
      <c r="A75" s="14" t="n"/>
      <c r="B75" s="12" t="n"/>
      <c r="C75" s="12" t="n"/>
      <c r="D75" s="12" t="n"/>
      <c r="E75" s="12" t="n"/>
      <c r="F75" s="12" t="n"/>
      <c r="G75" s="20" t="n"/>
      <c r="H75" s="12" t="n"/>
    </row>
    <row r="76">
      <c r="A76" s="14" t="n"/>
      <c r="B76" s="12" t="n"/>
      <c r="C76" s="12" t="n"/>
      <c r="D76" s="12" t="n"/>
      <c r="E76" s="12" t="n"/>
      <c r="F76" s="12" t="n"/>
      <c r="G76" s="20" t="n"/>
      <c r="H76" s="12" t="n"/>
    </row>
    <row r="77">
      <c r="A77" s="14" t="n"/>
      <c r="B77" s="12" t="n"/>
      <c r="C77" s="12" t="n"/>
      <c r="D77" s="12" t="n"/>
      <c r="E77" s="12" t="n"/>
      <c r="F77" s="12" t="n"/>
      <c r="G77" s="20" t="n"/>
      <c r="H77" s="12" t="n"/>
    </row>
    <row r="78">
      <c r="A78" s="14" t="n"/>
      <c r="B78" s="12" t="n"/>
      <c r="C78" s="12" t="n"/>
      <c r="D78" s="12" t="n"/>
      <c r="E78" s="12" t="n"/>
      <c r="F78" s="12" t="n"/>
      <c r="G78" s="20" t="n"/>
      <c r="H78" s="12" t="n"/>
    </row>
    <row r="79">
      <c r="A79" s="14" t="n"/>
      <c r="B79" s="12" t="n"/>
      <c r="C79" s="12" t="n"/>
      <c r="D79" s="12" t="n"/>
      <c r="E79" s="12" t="n"/>
      <c r="F79" s="12" t="n"/>
      <c r="G79" s="20" t="n"/>
      <c r="H79" s="12" t="n"/>
    </row>
    <row r="80">
      <c r="A80" s="14" t="n"/>
      <c r="B80" s="12" t="n"/>
      <c r="C80" s="12" t="n"/>
      <c r="D80" s="12" t="n"/>
      <c r="E80" s="12" t="n"/>
      <c r="F80" s="12" t="n"/>
      <c r="G80" s="20" t="n"/>
      <c r="H80" s="12" t="n"/>
    </row>
    <row r="81">
      <c r="A81" s="14" t="n"/>
      <c r="B81" s="12" t="n"/>
      <c r="C81" s="12" t="n"/>
      <c r="D81" s="12" t="n"/>
      <c r="E81" s="12" t="n"/>
      <c r="F81" s="12" t="n"/>
      <c r="G81" s="20" t="n"/>
      <c r="H81" s="12" t="n"/>
    </row>
    <row r="82">
      <c r="A82" s="14" t="n"/>
      <c r="B82" s="12" t="n"/>
      <c r="C82" s="12" t="n"/>
      <c r="D82" s="12" t="n"/>
      <c r="E82" s="12" t="n"/>
      <c r="F82" s="12" t="n"/>
      <c r="G82" s="20" t="n"/>
      <c r="H82" s="12" t="n"/>
    </row>
    <row r="83">
      <c r="A83" s="14" t="n"/>
      <c r="B83" s="12" t="n"/>
      <c r="C83" s="12" t="n"/>
      <c r="D83" s="12" t="n"/>
      <c r="E83" s="12" t="n"/>
      <c r="F83" s="12" t="n"/>
      <c r="G83" s="20" t="n"/>
      <c r="H83" s="12" t="n"/>
    </row>
    <row r="84">
      <c r="A84" s="14" t="n"/>
      <c r="B84" s="12" t="n"/>
      <c r="C84" s="12" t="n"/>
      <c r="D84" s="12" t="n"/>
      <c r="E84" s="12" t="n"/>
      <c r="F84" s="12" t="n"/>
      <c r="G84" s="20" t="n"/>
      <c r="H84" s="12" t="n"/>
    </row>
    <row r="85">
      <c r="A85" s="14" t="n"/>
      <c r="B85" s="12" t="n"/>
      <c r="C85" s="12" t="n"/>
      <c r="D85" s="12" t="n"/>
      <c r="E85" s="12" t="n"/>
      <c r="F85" s="12" t="n"/>
      <c r="G85" s="20" t="n"/>
      <c r="H85" s="12" t="n"/>
    </row>
    <row r="86">
      <c r="A86" s="14" t="n"/>
      <c r="B86" s="12" t="n"/>
      <c r="C86" s="12" t="n"/>
      <c r="D86" s="12" t="n"/>
      <c r="E86" s="12" t="n"/>
      <c r="F86" s="12" t="n"/>
      <c r="G86" s="20" t="n"/>
      <c r="H86" s="12" t="n"/>
    </row>
    <row r="87">
      <c r="A87" s="14" t="n"/>
      <c r="B87" s="12" t="n"/>
      <c r="C87" s="12" t="n"/>
      <c r="D87" s="12" t="n"/>
      <c r="E87" s="12" t="n"/>
      <c r="F87" s="12" t="n"/>
      <c r="G87" s="20" t="n"/>
      <c r="H87" s="12" t="n"/>
    </row>
    <row r="88">
      <c r="A88" s="14" t="n"/>
      <c r="B88" s="12" t="n"/>
      <c r="C88" s="12" t="n"/>
      <c r="D88" s="12" t="n"/>
      <c r="E88" s="12" t="n"/>
      <c r="F88" s="12" t="n"/>
      <c r="G88" s="20" t="n"/>
      <c r="H88" s="12" t="n"/>
    </row>
    <row r="89">
      <c r="A89" s="14" t="n"/>
      <c r="B89" s="12" t="n"/>
      <c r="C89" s="12" t="n"/>
      <c r="D89" s="12" t="n"/>
      <c r="E89" s="12" t="n"/>
      <c r="F89" s="12" t="n"/>
      <c r="G89" s="20" t="n"/>
      <c r="H89" s="12" t="n"/>
    </row>
    <row r="90">
      <c r="A90" s="14" t="n"/>
      <c r="B90" s="12" t="n"/>
      <c r="C90" s="12" t="n"/>
      <c r="D90" s="12" t="n"/>
      <c r="E90" s="12" t="n"/>
      <c r="F90" s="12" t="n"/>
      <c r="G90" s="20" t="n"/>
      <c r="H90" s="12" t="n"/>
    </row>
    <row r="91">
      <c r="A91" s="14" t="n"/>
      <c r="B91" s="12" t="n"/>
      <c r="C91" s="12" t="n"/>
      <c r="D91" s="12" t="n"/>
      <c r="E91" s="12" t="n"/>
      <c r="F91" s="12" t="n"/>
      <c r="G91" s="20" t="n"/>
      <c r="H91" s="12" t="n"/>
    </row>
    <row r="92">
      <c r="A92" s="14" t="n"/>
      <c r="B92" s="12" t="n"/>
      <c r="C92" s="12" t="n"/>
      <c r="D92" s="12" t="n"/>
      <c r="E92" s="12" t="n"/>
      <c r="F92" s="12" t="n"/>
      <c r="G92" s="20" t="n"/>
      <c r="H92" s="12" t="n"/>
    </row>
    <row r="93">
      <c r="A93" s="14" t="n"/>
      <c r="B93" s="12" t="n"/>
      <c r="C93" s="12" t="n"/>
      <c r="D93" s="12" t="n"/>
      <c r="E93" s="12" t="n"/>
      <c r="F93" s="12" t="n"/>
      <c r="G93" s="20" t="n"/>
      <c r="H93" s="12" t="n"/>
    </row>
    <row r="94">
      <c r="A94" s="14" t="n"/>
      <c r="B94" s="12" t="n"/>
      <c r="C94" s="12" t="n"/>
      <c r="D94" s="12" t="n"/>
      <c r="E94" s="12" t="n"/>
      <c r="F94" s="12" t="n"/>
      <c r="G94" s="20" t="n"/>
      <c r="H94" s="12" t="n"/>
    </row>
    <row r="95">
      <c r="A95" s="14" t="n"/>
      <c r="B95" s="12" t="n"/>
      <c r="C95" s="12" t="n"/>
      <c r="D95" s="12" t="n"/>
      <c r="E95" s="12" t="n"/>
      <c r="F95" s="12" t="n"/>
      <c r="G95" s="20" t="n"/>
      <c r="H95" s="12" t="n"/>
    </row>
    <row r="96">
      <c r="A96" s="14" t="n"/>
      <c r="B96" s="12" t="n"/>
      <c r="C96" s="12" t="n"/>
      <c r="D96" s="12" t="n"/>
      <c r="E96" s="12" t="n"/>
      <c r="F96" s="12" t="n"/>
      <c r="G96" s="20" t="n"/>
      <c r="H96" s="12" t="n"/>
    </row>
    <row r="97">
      <c r="A97" s="14" t="n"/>
      <c r="B97" s="12" t="n"/>
      <c r="C97" s="12" t="n"/>
      <c r="D97" s="12" t="n"/>
      <c r="E97" s="12" t="n"/>
      <c r="F97" s="12" t="n"/>
      <c r="G97" s="20" t="n"/>
      <c r="H97" s="12" t="n"/>
    </row>
    <row r="98">
      <c r="A98" s="14" t="n"/>
      <c r="B98" s="12" t="n"/>
      <c r="C98" s="12" t="n"/>
      <c r="D98" s="12" t="n"/>
      <c r="E98" s="12" t="n"/>
      <c r="F98" s="12" t="n"/>
      <c r="G98" s="20" t="n"/>
      <c r="H98" s="12" t="n"/>
    </row>
    <row r="99">
      <c r="A99" s="14" t="n"/>
      <c r="B99" s="12" t="n"/>
      <c r="C99" s="12" t="n"/>
      <c r="D99" s="12" t="n"/>
      <c r="E99" s="12" t="n"/>
      <c r="F99" s="12" t="n"/>
      <c r="G99" s="20" t="n"/>
      <c r="H99" s="12" t="n"/>
    </row>
    <row r="100">
      <c r="A100" s="14" t="n"/>
      <c r="B100" s="12" t="n"/>
      <c r="C100" s="12" t="n"/>
      <c r="D100" s="12" t="n"/>
      <c r="E100" s="12" t="n"/>
      <c r="F100" s="12" t="n"/>
      <c r="G100" s="20" t="n"/>
      <c r="H100" s="12" t="n"/>
    </row>
    <row r="101">
      <c r="A101" s="14" t="n"/>
      <c r="B101" s="12" t="n"/>
      <c r="C101" s="12" t="n"/>
      <c r="D101" s="12" t="n"/>
      <c r="E101" s="12" t="n"/>
      <c r="F101" s="12" t="n"/>
      <c r="G101" s="20" t="n"/>
      <c r="H101" s="12" t="n"/>
    </row>
    <row r="102">
      <c r="A102" s="14" t="n"/>
      <c r="B102" s="12" t="n"/>
      <c r="C102" s="12" t="n"/>
      <c r="D102" s="12" t="n"/>
      <c r="E102" s="12" t="n"/>
      <c r="F102" s="12" t="n"/>
      <c r="G102" s="20" t="n"/>
      <c r="H102" s="12" t="n"/>
    </row>
    <row r="103">
      <c r="A103" s="14" t="n"/>
      <c r="B103" s="12" t="n"/>
      <c r="C103" s="12" t="n"/>
      <c r="D103" s="12" t="n"/>
      <c r="E103" s="12" t="n"/>
      <c r="F103" s="12" t="n"/>
      <c r="G103" s="20" t="n"/>
      <c r="H103" s="12" t="n"/>
    </row>
    <row r="104">
      <c r="A104" s="14" t="n"/>
      <c r="B104" s="12" t="n"/>
      <c r="C104" s="12" t="n"/>
      <c r="D104" s="12" t="n"/>
      <c r="E104" s="12" t="n"/>
      <c r="F104" s="12" t="n"/>
      <c r="G104" s="20" t="n"/>
      <c r="H104" s="12" t="n"/>
    </row>
    <row r="105">
      <c r="A105" s="14" t="n"/>
      <c r="B105" s="12" t="n"/>
      <c r="C105" s="12" t="n"/>
      <c r="D105" s="12" t="n"/>
      <c r="E105" s="12" t="n"/>
      <c r="F105" s="12" t="n"/>
      <c r="G105" s="20" t="n"/>
      <c r="H105" s="12" t="n"/>
    </row>
    <row r="106">
      <c r="A106" s="14" t="n"/>
      <c r="B106" s="12" t="n"/>
      <c r="C106" s="12" t="n"/>
      <c r="D106" s="12" t="n"/>
      <c r="E106" s="12" t="n"/>
      <c r="F106" s="12" t="n"/>
      <c r="G106" s="20" t="n"/>
      <c r="H106" s="12" t="n"/>
    </row>
    <row r="107">
      <c r="A107" s="14" t="n"/>
      <c r="B107" s="12" t="n"/>
      <c r="C107" s="12" t="n"/>
      <c r="D107" s="12" t="n"/>
      <c r="E107" s="12" t="n"/>
      <c r="F107" s="12" t="n"/>
      <c r="G107" s="20" t="n"/>
      <c r="H107" s="12" t="n"/>
    </row>
    <row r="108">
      <c r="A108" s="14" t="n"/>
      <c r="B108" s="12" t="n"/>
      <c r="C108" s="12" t="n"/>
      <c r="D108" s="12" t="n"/>
      <c r="E108" s="12" t="n"/>
      <c r="F108" s="12" t="n"/>
      <c r="G108" s="20" t="n"/>
      <c r="H108" s="12" t="n"/>
    </row>
    <row r="109">
      <c r="A109" s="14" t="n"/>
      <c r="B109" s="12" t="n"/>
      <c r="C109" s="12" t="n"/>
      <c r="D109" s="12" t="n"/>
      <c r="E109" s="12" t="n"/>
      <c r="F109" s="12" t="n"/>
      <c r="G109" s="20" t="n"/>
      <c r="H109" s="12" t="n"/>
    </row>
    <row r="110">
      <c r="A110" s="14" t="n"/>
      <c r="B110" s="12" t="n"/>
      <c r="C110" s="12" t="n"/>
      <c r="D110" s="12" t="n"/>
      <c r="E110" s="12" t="n"/>
      <c r="F110" s="12" t="n"/>
      <c r="G110" s="20" t="n"/>
      <c r="H110" s="12" t="n"/>
    </row>
    <row r="111">
      <c r="A111" s="14" t="n"/>
      <c r="B111" s="12" t="n"/>
      <c r="C111" s="12" t="n"/>
      <c r="D111" s="12" t="n"/>
      <c r="E111" s="12" t="n"/>
      <c r="F111" s="12" t="n"/>
      <c r="G111" s="20" t="n"/>
      <c r="H111" s="12" t="n"/>
    </row>
    <row r="112">
      <c r="A112" s="14" t="n"/>
      <c r="B112" s="12" t="n"/>
      <c r="C112" s="12" t="n"/>
      <c r="D112" s="12" t="n"/>
      <c r="E112" s="12" t="n"/>
      <c r="F112" s="12" t="n"/>
      <c r="G112" s="20" t="n"/>
      <c r="H112" s="12" t="n"/>
    </row>
    <row r="113">
      <c r="A113" s="14" t="n"/>
      <c r="B113" s="12" t="n"/>
      <c r="C113" s="12" t="n"/>
      <c r="D113" s="12" t="n"/>
      <c r="E113" s="12" t="n"/>
      <c r="F113" s="12" t="n"/>
      <c r="G113" s="20" t="n"/>
      <c r="H113" s="12" t="n"/>
    </row>
    <row r="114">
      <c r="A114" s="14" t="n"/>
      <c r="B114" s="12" t="n"/>
      <c r="C114" s="12" t="n"/>
      <c r="D114" s="12" t="n"/>
      <c r="E114" s="12" t="n"/>
      <c r="F114" s="12" t="n"/>
      <c r="G114" s="20" t="n"/>
      <c r="H114" s="12" t="n"/>
    </row>
    <row r="115">
      <c r="A115" s="14" t="n"/>
      <c r="B115" s="12" t="n"/>
      <c r="C115" s="12" t="n"/>
      <c r="D115" s="12" t="n"/>
      <c r="E115" s="12" t="n"/>
      <c r="F115" s="12" t="n"/>
      <c r="G115" s="20" t="n"/>
      <c r="H115" s="12" t="n"/>
    </row>
    <row r="116">
      <c r="A116" s="14" t="n"/>
      <c r="B116" s="12" t="n"/>
      <c r="C116" s="12" t="n"/>
      <c r="D116" s="12" t="n"/>
      <c r="E116" s="12" t="n"/>
      <c r="F116" s="12" t="n"/>
      <c r="G116" s="20" t="n"/>
      <c r="H116" s="12" t="n"/>
    </row>
    <row r="117">
      <c r="A117" s="14" t="n"/>
      <c r="B117" s="12" t="n"/>
      <c r="C117" s="12" t="n"/>
      <c r="D117" s="12" t="n"/>
      <c r="E117" s="12" t="n"/>
      <c r="F117" s="12" t="n"/>
      <c r="G117" s="20" t="n"/>
      <c r="H117" s="12" t="n"/>
    </row>
    <row r="118">
      <c r="A118" s="14" t="n"/>
      <c r="B118" s="12" t="n"/>
      <c r="C118" s="12" t="n"/>
      <c r="D118" s="12" t="n"/>
      <c r="E118" s="12" t="n"/>
      <c r="F118" s="12" t="n"/>
      <c r="G118" s="20" t="n"/>
      <c r="H118" s="12" t="n"/>
    </row>
    <row r="119">
      <c r="A119" s="14" t="n"/>
      <c r="B119" s="12" t="n"/>
      <c r="C119" s="12" t="n"/>
      <c r="D119" s="12" t="n"/>
      <c r="E119" s="12" t="n"/>
      <c r="F119" s="12" t="n"/>
      <c r="G119" s="20" t="n"/>
      <c r="H119" s="12" t="n"/>
    </row>
    <row r="120">
      <c r="A120" s="14" t="n"/>
      <c r="B120" s="12" t="n"/>
      <c r="C120" s="12" t="n"/>
      <c r="D120" s="12" t="n"/>
      <c r="E120" s="12" t="n"/>
      <c r="F120" s="12" t="n"/>
      <c r="G120" s="20" t="n"/>
      <c r="H120" s="12" t="n"/>
    </row>
    <row r="121">
      <c r="A121" s="14" t="n"/>
      <c r="B121" s="12" t="n"/>
      <c r="C121" s="12" t="n"/>
      <c r="D121" s="12" t="n"/>
      <c r="E121" s="12" t="n"/>
      <c r="F121" s="12" t="n"/>
      <c r="G121" s="20" t="n"/>
      <c r="H121" s="12" t="n"/>
    </row>
    <row r="122">
      <c r="A122" s="14" t="n"/>
      <c r="B122" s="12" t="n"/>
      <c r="C122" s="12" t="n"/>
      <c r="D122" s="12" t="n"/>
      <c r="E122" s="12" t="n"/>
      <c r="F122" s="12" t="n"/>
      <c r="G122" s="20" t="n"/>
      <c r="H122" s="12" t="n"/>
    </row>
    <row r="123">
      <c r="A123" s="14" t="n"/>
      <c r="B123" s="12" t="n"/>
      <c r="C123" s="12" t="n"/>
      <c r="D123" s="12" t="n"/>
      <c r="E123" s="12" t="n"/>
      <c r="F123" s="12" t="n"/>
      <c r="G123" s="20" t="n"/>
      <c r="H123" s="12" t="n"/>
    </row>
    <row r="124">
      <c r="A124" s="14" t="n"/>
      <c r="B124" s="12" t="n"/>
      <c r="C124" s="12" t="n"/>
      <c r="D124" s="12" t="n"/>
      <c r="E124" s="12" t="n"/>
      <c r="F124" s="12" t="n"/>
      <c r="G124" s="20" t="n"/>
      <c r="H124" s="12" t="n"/>
    </row>
    <row r="125">
      <c r="A125" s="14" t="n"/>
      <c r="B125" s="12" t="n"/>
      <c r="C125" s="12" t="n"/>
      <c r="D125" s="12" t="n"/>
      <c r="E125" s="12" t="n"/>
      <c r="F125" s="12" t="n"/>
      <c r="G125" s="20" t="n"/>
      <c r="H125" s="12" t="n"/>
    </row>
    <row r="126">
      <c r="A126" s="14" t="n"/>
      <c r="B126" s="12" t="n"/>
      <c r="C126" s="12" t="n"/>
      <c r="D126" s="12" t="n"/>
      <c r="E126" s="12" t="n"/>
      <c r="F126" s="12" t="n"/>
      <c r="G126" s="20" t="n"/>
      <c r="H126" s="12" t="n"/>
    </row>
    <row r="127">
      <c r="A127" s="14" t="n"/>
      <c r="B127" s="12" t="n"/>
      <c r="C127" s="12" t="n"/>
      <c r="D127" s="12" t="n"/>
      <c r="E127" s="12" t="n"/>
      <c r="F127" s="12" t="n"/>
      <c r="G127" s="20" t="n"/>
      <c r="H127" s="12" t="n"/>
    </row>
    <row r="128">
      <c r="A128" s="14" t="n"/>
      <c r="B128" s="12" t="n"/>
      <c r="C128" s="12" t="n"/>
      <c r="D128" s="12" t="n"/>
      <c r="E128" s="12" t="n"/>
      <c r="F128" s="12" t="n"/>
      <c r="G128" s="20" t="n"/>
      <c r="H128" s="12" t="n"/>
    </row>
    <row r="129">
      <c r="A129" s="14" t="n"/>
      <c r="B129" s="12" t="n"/>
      <c r="C129" s="12" t="n"/>
      <c r="D129" s="12" t="n"/>
      <c r="E129" s="12" t="n"/>
      <c r="F129" s="12" t="n"/>
      <c r="G129" s="20" t="n"/>
      <c r="H129" s="12" t="n"/>
    </row>
    <row r="130">
      <c r="A130" s="14" t="n"/>
      <c r="B130" s="12" t="n"/>
      <c r="C130" s="12" t="n"/>
      <c r="D130" s="12" t="n"/>
      <c r="E130" s="12" t="n"/>
      <c r="F130" s="12" t="n"/>
      <c r="G130" s="20" t="n"/>
      <c r="H130" s="12" t="n"/>
    </row>
    <row r="131">
      <c r="A131" s="14" t="n"/>
      <c r="B131" s="12" t="n"/>
      <c r="C131" s="12" t="n"/>
      <c r="D131" s="12" t="n"/>
      <c r="E131" s="12" t="n"/>
      <c r="F131" s="12" t="n"/>
      <c r="G131" s="20" t="n"/>
      <c r="H131" s="12" t="n"/>
    </row>
    <row r="132">
      <c r="A132" s="14" t="n"/>
      <c r="B132" s="12" t="n"/>
      <c r="C132" s="12" t="n"/>
      <c r="D132" s="12" t="n"/>
      <c r="E132" s="12" t="n"/>
      <c r="F132" s="12" t="n"/>
      <c r="G132" s="20" t="n"/>
      <c r="H132" s="12" t="n"/>
    </row>
    <row r="133">
      <c r="A133" s="14" t="n"/>
      <c r="B133" s="12" t="n"/>
      <c r="C133" s="12" t="n"/>
      <c r="D133" s="12" t="n"/>
      <c r="E133" s="12" t="n"/>
      <c r="F133" s="12" t="n"/>
      <c r="G133" s="20" t="n"/>
      <c r="H133" s="12" t="n"/>
    </row>
    <row r="134">
      <c r="A134" s="14" t="n"/>
      <c r="B134" s="12" t="n"/>
      <c r="C134" s="12" t="n"/>
      <c r="D134" s="12" t="n"/>
      <c r="E134" s="12" t="n"/>
      <c r="F134" s="12" t="n"/>
      <c r="G134" s="20" t="n"/>
      <c r="H134" s="12" t="n"/>
    </row>
    <row r="135">
      <c r="A135" s="14" t="n"/>
      <c r="B135" s="12" t="n"/>
      <c r="C135" s="12" t="n"/>
      <c r="D135" s="12" t="n"/>
      <c r="E135" s="12" t="n"/>
      <c r="F135" s="12" t="n"/>
      <c r="G135" s="20" t="n"/>
      <c r="H135" s="12" t="n"/>
    </row>
    <row r="136">
      <c r="A136" s="14" t="n"/>
      <c r="B136" s="12" t="n"/>
      <c r="C136" s="12" t="n"/>
      <c r="D136" s="12" t="n"/>
      <c r="E136" s="12" t="n"/>
      <c r="F136" s="12" t="n"/>
      <c r="G136" s="20" t="n"/>
      <c r="H136" s="12" t="n"/>
    </row>
    <row r="137">
      <c r="A137" s="14" t="n"/>
      <c r="B137" s="12" t="n"/>
      <c r="C137" s="12" t="n"/>
      <c r="D137" s="12" t="n"/>
      <c r="E137" s="12" t="n"/>
      <c r="F137" s="12" t="n"/>
      <c r="G137" s="20" t="n"/>
      <c r="H137" s="12" t="n"/>
    </row>
    <row r="138">
      <c r="A138" s="14" t="n"/>
      <c r="B138" s="12" t="n"/>
      <c r="C138" s="12" t="n"/>
      <c r="D138" s="12" t="n"/>
      <c r="E138" s="12" t="n"/>
      <c r="F138" s="12" t="n"/>
      <c r="G138" s="20" t="n"/>
      <c r="H138" s="12" t="n"/>
    </row>
    <row r="139">
      <c r="A139" s="14" t="n"/>
      <c r="B139" s="12" t="n"/>
      <c r="C139" s="12" t="n"/>
      <c r="D139" s="12" t="n"/>
      <c r="E139" s="12" t="n"/>
      <c r="F139" s="12" t="n"/>
      <c r="G139" s="20" t="n"/>
      <c r="H139" s="12" t="n"/>
    </row>
    <row r="140">
      <c r="A140" s="14" t="n"/>
      <c r="B140" s="12" t="n"/>
      <c r="C140" s="12" t="n"/>
      <c r="D140" s="12" t="n"/>
      <c r="E140" s="12" t="n"/>
      <c r="F140" s="12" t="n"/>
      <c r="G140" s="20" t="n"/>
      <c r="H140" s="12" t="n"/>
    </row>
    <row r="141">
      <c r="A141" s="14" t="n"/>
      <c r="B141" s="12" t="n"/>
      <c r="C141" s="12" t="n"/>
      <c r="D141" s="12" t="n"/>
      <c r="E141" s="12" t="n"/>
      <c r="F141" s="12" t="n"/>
      <c r="G141" s="20" t="n"/>
      <c r="H141" s="12" t="n"/>
    </row>
    <row r="142">
      <c r="A142" s="14" t="n"/>
      <c r="B142" s="12" t="n"/>
      <c r="C142" s="12" t="n"/>
      <c r="D142" s="12" t="n"/>
      <c r="E142" s="12" t="n"/>
      <c r="F142" s="12" t="n"/>
      <c r="G142" s="20" t="n"/>
      <c r="H142" s="12" t="n"/>
    </row>
    <row r="143">
      <c r="A143" s="14" t="n"/>
      <c r="B143" s="12" t="n"/>
      <c r="C143" s="12" t="n"/>
      <c r="D143" s="12" t="n"/>
      <c r="E143" s="12" t="n"/>
      <c r="F143" s="12" t="n"/>
      <c r="G143" s="20" t="n"/>
      <c r="H143" s="12" t="n"/>
    </row>
    <row r="144">
      <c r="A144" s="14" t="n"/>
      <c r="B144" s="12" t="n"/>
      <c r="C144" s="12" t="n"/>
      <c r="D144" s="12" t="n"/>
      <c r="E144" s="12" t="n"/>
      <c r="F144" s="12" t="n"/>
      <c r="G144" s="20" t="n"/>
      <c r="H144" s="12" t="n"/>
    </row>
    <row r="145">
      <c r="A145" s="14" t="n"/>
      <c r="B145" s="12" t="n"/>
      <c r="C145" s="12" t="n"/>
      <c r="D145" s="12" t="n"/>
      <c r="E145" s="12" t="n"/>
      <c r="F145" s="12" t="n"/>
      <c r="G145" s="20" t="n"/>
      <c r="H145" s="12" t="n"/>
    </row>
    <row r="146">
      <c r="A146" s="14" t="n"/>
      <c r="B146" s="12" t="n"/>
      <c r="C146" s="12" t="n"/>
      <c r="D146" s="12" t="n"/>
      <c r="E146" s="12" t="n"/>
      <c r="F146" s="12" t="n"/>
      <c r="G146" s="20" t="n"/>
      <c r="H146" s="12" t="n"/>
    </row>
    <row r="147">
      <c r="A147" s="14" t="n"/>
      <c r="B147" s="12" t="n"/>
      <c r="C147" s="12" t="n"/>
      <c r="D147" s="12" t="n"/>
      <c r="E147" s="12" t="n"/>
      <c r="F147" s="12" t="n"/>
      <c r="G147" s="20" t="n"/>
      <c r="H147" s="12" t="n"/>
    </row>
    <row r="148">
      <c r="A148" s="14" t="n"/>
      <c r="B148" s="12" t="n"/>
      <c r="C148" s="12" t="n"/>
      <c r="D148" s="12" t="n"/>
      <c r="E148" s="12" t="n"/>
      <c r="F148" s="12" t="n"/>
      <c r="G148" s="20" t="n"/>
      <c r="H148" s="12" t="n"/>
    </row>
    <row r="149">
      <c r="A149" s="14" t="n"/>
      <c r="B149" s="12" t="n"/>
      <c r="C149" s="12" t="n"/>
      <c r="D149" s="12" t="n"/>
      <c r="E149" s="12" t="n"/>
      <c r="F149" s="12" t="n"/>
      <c r="G149" s="20" t="n"/>
      <c r="H149" s="12" t="n"/>
    </row>
    <row r="150">
      <c r="A150" s="14" t="n"/>
      <c r="B150" s="12" t="n"/>
      <c r="C150" s="12" t="n"/>
      <c r="D150" s="12" t="n"/>
      <c r="E150" s="12" t="n"/>
      <c r="F150" s="12" t="n"/>
      <c r="G150" s="20" t="n"/>
      <c r="H150" s="12" t="n"/>
    </row>
    <row r="151">
      <c r="A151" s="14" t="n"/>
      <c r="B151" s="12" t="n"/>
      <c r="C151" s="12" t="n"/>
      <c r="D151" s="12" t="n"/>
      <c r="E151" s="12" t="n"/>
      <c r="F151" s="12" t="n"/>
      <c r="G151" s="20" t="n"/>
      <c r="H151" s="12" t="n"/>
    </row>
    <row r="152">
      <c r="A152" s="14" t="n"/>
      <c r="B152" s="12" t="n"/>
      <c r="C152" s="12" t="n"/>
      <c r="D152" s="12" t="n"/>
      <c r="E152" s="12" t="n"/>
      <c r="F152" s="12" t="n"/>
      <c r="G152" s="20" t="n"/>
      <c r="H152" s="12" t="n"/>
    </row>
    <row r="153">
      <c r="A153" s="14" t="n"/>
      <c r="B153" s="12" t="n"/>
      <c r="C153" s="12" t="n"/>
      <c r="D153" s="12" t="n"/>
      <c r="E153" s="12" t="n"/>
      <c r="F153" s="12" t="n"/>
      <c r="G153" s="20" t="n"/>
      <c r="H153" s="12" t="n"/>
    </row>
    <row r="154">
      <c r="A154" s="14" t="n"/>
      <c r="B154" s="12" t="n"/>
      <c r="C154" s="12" t="n"/>
      <c r="D154" s="12" t="n"/>
      <c r="E154" s="12" t="n"/>
      <c r="F154" s="12" t="n"/>
      <c r="G154" s="20" t="n"/>
      <c r="H154" s="12" t="n"/>
    </row>
    <row r="155">
      <c r="A155" s="14" t="n"/>
      <c r="B155" s="12" t="n"/>
      <c r="C155" s="12" t="n"/>
      <c r="D155" s="12" t="n"/>
      <c r="E155" s="12" t="n"/>
      <c r="F155" s="12" t="n"/>
      <c r="G155" s="20" t="n"/>
      <c r="H155" s="12" t="n"/>
    </row>
    <row r="156">
      <c r="A156" s="14" t="n"/>
      <c r="B156" s="12" t="n"/>
      <c r="C156" s="12" t="n"/>
      <c r="D156" s="12" t="n"/>
      <c r="E156" s="12" t="n"/>
      <c r="F156" s="12" t="n"/>
      <c r="G156" s="20" t="n"/>
      <c r="H156" s="12" t="n"/>
    </row>
    <row r="157">
      <c r="A157" s="14" t="n"/>
      <c r="B157" s="12" t="n"/>
      <c r="C157" s="12" t="n"/>
      <c r="D157" s="12" t="n"/>
      <c r="E157" s="12" t="n"/>
      <c r="F157" s="12" t="n"/>
      <c r="G157" s="20" t="n"/>
      <c r="H157" s="12" t="n"/>
    </row>
    <row r="158">
      <c r="A158" s="14" t="n"/>
      <c r="B158" s="12" t="n"/>
      <c r="C158" s="12" t="n"/>
      <c r="D158" s="12" t="n"/>
      <c r="E158" s="12" t="n"/>
      <c r="F158" s="12" t="n"/>
      <c r="G158" s="20" t="n"/>
      <c r="H158" s="12" t="n"/>
    </row>
    <row r="159">
      <c r="A159" s="14" t="n"/>
      <c r="B159" s="12" t="n"/>
      <c r="C159" s="12" t="n"/>
      <c r="D159" s="12" t="n"/>
      <c r="E159" s="12" t="n"/>
      <c r="F159" s="12" t="n"/>
      <c r="G159" s="20" t="n"/>
      <c r="H159" s="12" t="n"/>
    </row>
    <row r="160">
      <c r="A160" s="14" t="n"/>
      <c r="B160" s="12" t="n"/>
      <c r="C160" s="12" t="n"/>
      <c r="D160" s="12" t="n"/>
      <c r="E160" s="12" t="n"/>
      <c r="F160" s="12" t="n"/>
      <c r="G160" s="20" t="n"/>
      <c r="H160" s="12" t="n"/>
    </row>
    <row r="161">
      <c r="A161" s="14" t="n"/>
      <c r="B161" s="12" t="n"/>
      <c r="C161" s="12" t="n"/>
      <c r="D161" s="12" t="n"/>
      <c r="E161" s="12" t="n"/>
      <c r="F161" s="12" t="n"/>
      <c r="G161" s="20" t="n"/>
      <c r="H161" s="12" t="n"/>
    </row>
    <row r="162">
      <c r="A162" s="14" t="n"/>
      <c r="B162" s="12" t="n"/>
      <c r="C162" s="12" t="n"/>
      <c r="D162" s="12" t="n"/>
      <c r="E162" s="12" t="n"/>
      <c r="F162" s="12" t="n"/>
      <c r="G162" s="20" t="n"/>
      <c r="H162" s="12" t="n"/>
    </row>
    <row r="163">
      <c r="A163" s="14" t="n"/>
      <c r="B163" s="12" t="n"/>
      <c r="C163" s="12" t="n"/>
      <c r="D163" s="12" t="n"/>
      <c r="E163" s="12" t="n"/>
      <c r="F163" s="12" t="n"/>
      <c r="G163" s="20" t="n"/>
      <c r="H163" s="12" t="n"/>
    </row>
    <row r="164">
      <c r="A164" s="14" t="n"/>
      <c r="B164" s="12" t="n"/>
      <c r="C164" s="12" t="n"/>
      <c r="D164" s="12" t="n"/>
      <c r="E164" s="12" t="n"/>
      <c r="F164" s="12" t="n"/>
      <c r="G164" s="20" t="n"/>
      <c r="H164" s="12" t="n"/>
    </row>
    <row r="165">
      <c r="A165" s="14" t="n"/>
      <c r="B165" s="12" t="n"/>
      <c r="C165" s="12" t="n"/>
      <c r="D165" s="12" t="n"/>
      <c r="E165" s="12" t="n"/>
      <c r="F165" s="12" t="n"/>
      <c r="G165" s="20" t="n"/>
      <c r="H165" s="12" t="n"/>
    </row>
    <row r="166">
      <c r="A166" s="14" t="n"/>
      <c r="B166" s="12" t="n"/>
      <c r="C166" s="12" t="n"/>
      <c r="D166" s="12" t="n"/>
      <c r="E166" s="12" t="n"/>
      <c r="F166" s="12" t="n"/>
      <c r="G166" s="20" t="n"/>
      <c r="H166" s="12" t="n"/>
    </row>
    <row r="167">
      <c r="A167" s="14" t="n"/>
      <c r="B167" s="12" t="n"/>
      <c r="C167" s="12" t="n"/>
      <c r="D167" s="12" t="n"/>
      <c r="E167" s="12" t="n"/>
      <c r="F167" s="12" t="n"/>
      <c r="G167" s="20" t="n"/>
      <c r="H167" s="12" t="n"/>
    </row>
    <row r="168">
      <c r="A168" s="14" t="n"/>
      <c r="B168" s="12" t="n"/>
      <c r="C168" s="12" t="n"/>
      <c r="D168" s="12" t="n"/>
      <c r="E168" s="12" t="n"/>
      <c r="F168" s="12" t="n"/>
      <c r="G168" s="20" t="n"/>
      <c r="H168" s="12" t="n"/>
    </row>
    <row r="169">
      <c r="A169" s="14" t="n"/>
      <c r="B169" s="12" t="n"/>
      <c r="C169" s="12" t="n"/>
      <c r="D169" s="12" t="n"/>
      <c r="E169" s="12" t="n"/>
      <c r="F169" s="12" t="n"/>
      <c r="G169" s="20" t="n"/>
      <c r="H169" s="12" t="n"/>
    </row>
    <row r="170">
      <c r="A170" s="14" t="n"/>
      <c r="B170" s="12" t="n"/>
      <c r="C170" s="12" t="n"/>
      <c r="D170" s="12" t="n"/>
      <c r="E170" s="12" t="n"/>
      <c r="F170" s="12" t="n"/>
      <c r="G170" s="20" t="n"/>
      <c r="H170" s="12" t="n"/>
    </row>
    <row r="171">
      <c r="A171" s="14" t="n"/>
      <c r="B171" s="12" t="n"/>
      <c r="C171" s="12" t="n"/>
      <c r="D171" s="12" t="n"/>
      <c r="E171" s="12" t="n"/>
      <c r="F171" s="12" t="n"/>
      <c r="G171" s="20" t="n"/>
      <c r="H171" s="12" t="n"/>
    </row>
    <row r="172">
      <c r="A172" s="14" t="n"/>
      <c r="B172" s="12" t="n"/>
      <c r="C172" s="12" t="n"/>
      <c r="D172" s="12" t="n"/>
      <c r="E172" s="12" t="n"/>
      <c r="F172" s="12" t="n"/>
      <c r="G172" s="20" t="n"/>
      <c r="H172" s="12" t="n"/>
    </row>
    <row r="173">
      <c r="A173" s="14" t="n"/>
      <c r="B173" s="12" t="n"/>
      <c r="C173" s="12" t="n"/>
      <c r="D173" s="12" t="n"/>
      <c r="E173" s="12" t="n"/>
      <c r="F173" s="12" t="n"/>
      <c r="G173" s="20" t="n"/>
      <c r="H173" s="12" t="n"/>
    </row>
    <row r="174">
      <c r="A174" s="14" t="n"/>
      <c r="B174" s="12" t="n"/>
      <c r="C174" s="12" t="n"/>
      <c r="D174" s="12" t="n"/>
      <c r="E174" s="12" t="n"/>
      <c r="F174" s="12" t="n"/>
      <c r="G174" s="20" t="n"/>
      <c r="H174" s="12" t="n"/>
    </row>
    <row r="175">
      <c r="A175" s="14" t="n"/>
      <c r="B175" s="12" t="n"/>
      <c r="C175" s="12" t="n"/>
      <c r="D175" s="12" t="n"/>
      <c r="E175" s="12" t="n"/>
      <c r="F175" s="12" t="n"/>
      <c r="G175" s="20" t="n"/>
      <c r="H175" s="12" t="n"/>
    </row>
    <row r="176">
      <c r="A176" s="14" t="n"/>
      <c r="B176" s="12" t="n"/>
      <c r="C176" s="12" t="n"/>
      <c r="D176" s="12" t="n"/>
      <c r="E176" s="12" t="n"/>
      <c r="F176" s="12" t="n"/>
      <c r="G176" s="20" t="n"/>
      <c r="H176" s="12" t="n"/>
    </row>
    <row r="177">
      <c r="A177" s="14" t="n"/>
      <c r="B177" s="12" t="n"/>
      <c r="C177" s="12" t="n"/>
      <c r="D177" s="12" t="n"/>
      <c r="E177" s="12" t="n"/>
      <c r="F177" s="12" t="n"/>
      <c r="G177" s="20" t="n"/>
      <c r="H177" s="12" t="n"/>
    </row>
    <row r="178">
      <c r="A178" s="14" t="n"/>
      <c r="B178" s="12" t="n"/>
      <c r="C178" s="12" t="n"/>
      <c r="D178" s="12" t="n"/>
      <c r="E178" s="12" t="n"/>
      <c r="F178" s="12" t="n"/>
      <c r="G178" s="20" t="n"/>
      <c r="H178" s="12" t="n"/>
    </row>
    <row r="179">
      <c r="A179" s="14" t="n"/>
      <c r="B179" s="12" t="n"/>
      <c r="C179" s="12" t="n"/>
      <c r="D179" s="12" t="n"/>
      <c r="E179" s="12" t="n"/>
      <c r="F179" s="12" t="n"/>
      <c r="G179" s="20" t="n"/>
      <c r="H179" s="12" t="n"/>
    </row>
    <row r="180">
      <c r="A180" s="14" t="n"/>
      <c r="B180" s="12" t="n"/>
      <c r="C180" s="12" t="n"/>
      <c r="D180" s="12" t="n"/>
      <c r="E180" s="12" t="n"/>
      <c r="F180" s="12" t="n"/>
      <c r="G180" s="20" t="n"/>
      <c r="H180" s="12" t="n"/>
    </row>
    <row r="181">
      <c r="A181" s="14" t="n"/>
      <c r="B181" s="12" t="n"/>
      <c r="C181" s="12" t="n"/>
      <c r="D181" s="12" t="n"/>
      <c r="E181" s="12" t="n"/>
      <c r="F181" s="12" t="n"/>
      <c r="G181" s="20" t="n"/>
      <c r="H181" s="12" t="n"/>
    </row>
    <row r="182">
      <c r="A182" s="14" t="n"/>
      <c r="B182" s="12" t="n"/>
      <c r="C182" s="12" t="n"/>
      <c r="D182" s="12" t="n"/>
      <c r="E182" s="12" t="n"/>
      <c r="F182" s="12" t="n"/>
      <c r="G182" s="20" t="n"/>
      <c r="H182" s="12" t="n"/>
    </row>
    <row r="183">
      <c r="A183" s="14" t="n"/>
      <c r="B183" s="12" t="n"/>
      <c r="C183" s="12" t="n"/>
      <c r="D183" s="12" t="n"/>
      <c r="E183" s="12" t="n"/>
      <c r="F183" s="12" t="n"/>
      <c r="G183" s="20" t="n"/>
      <c r="H183" s="12" t="n"/>
    </row>
    <row r="184">
      <c r="A184" s="14" t="n"/>
      <c r="B184" s="12" t="n"/>
      <c r="C184" s="12" t="n"/>
      <c r="D184" s="12" t="n"/>
      <c r="E184" s="12" t="n"/>
      <c r="F184" s="12" t="n"/>
      <c r="G184" s="20" t="n"/>
      <c r="H184" s="12" t="n"/>
    </row>
    <row r="185">
      <c r="A185" s="14" t="n"/>
      <c r="B185" s="12" t="n"/>
      <c r="C185" s="12" t="n"/>
      <c r="D185" s="12" t="n"/>
      <c r="E185" s="12" t="n"/>
      <c r="F185" s="12" t="n"/>
      <c r="G185" s="20" t="n"/>
      <c r="H185" s="12" t="n"/>
    </row>
    <row r="186">
      <c r="A186" s="14" t="n"/>
      <c r="B186" s="12" t="n"/>
      <c r="C186" s="12" t="n"/>
      <c r="D186" s="12" t="n"/>
      <c r="E186" s="12" t="n"/>
      <c r="F186" s="12" t="n"/>
      <c r="G186" s="20" t="n"/>
      <c r="H186" s="12" t="n"/>
    </row>
    <row r="187">
      <c r="A187" s="14" t="n"/>
      <c r="B187" s="12" t="n"/>
      <c r="C187" s="12" t="n"/>
      <c r="D187" s="12" t="n"/>
      <c r="E187" s="12" t="n"/>
      <c r="F187" s="12" t="n"/>
      <c r="G187" s="20" t="n"/>
      <c r="H187" s="12" t="n"/>
    </row>
    <row r="188">
      <c r="A188" s="14" t="n"/>
      <c r="B188" s="12" t="n"/>
      <c r="C188" s="12" t="n"/>
      <c r="D188" s="12" t="n"/>
      <c r="E188" s="12" t="n"/>
      <c r="F188" s="12" t="n"/>
      <c r="G188" s="20" t="n"/>
      <c r="H188" s="12" t="n"/>
    </row>
    <row r="189">
      <c r="A189" s="14" t="n"/>
      <c r="B189" s="12" t="n"/>
      <c r="C189" s="12" t="n"/>
      <c r="D189" s="12" t="n"/>
      <c r="E189" s="12" t="n"/>
      <c r="F189" s="12" t="n"/>
      <c r="G189" s="20" t="n"/>
      <c r="H189" s="12" t="n"/>
    </row>
    <row r="190">
      <c r="A190" s="14" t="n"/>
      <c r="B190" s="12" t="n"/>
      <c r="C190" s="12" t="n"/>
      <c r="D190" s="12" t="n"/>
      <c r="E190" s="12" t="n"/>
      <c r="F190" s="12" t="n"/>
      <c r="G190" s="20" t="n"/>
      <c r="H190" s="12" t="n"/>
    </row>
    <row r="191">
      <c r="A191" s="14" t="n"/>
      <c r="B191" s="12" t="n"/>
      <c r="C191" s="12" t="n"/>
      <c r="D191" s="12" t="n"/>
      <c r="E191" s="12" t="n"/>
      <c r="F191" s="12" t="n"/>
      <c r="G191" s="20" t="n"/>
      <c r="H191" s="12" t="n"/>
    </row>
    <row r="192">
      <c r="A192" s="14" t="n"/>
      <c r="B192" s="12" t="n"/>
      <c r="C192" s="12" t="n"/>
      <c r="D192" s="12" t="n"/>
      <c r="E192" s="12" t="n"/>
      <c r="F192" s="12" t="n"/>
      <c r="G192" s="20" t="n"/>
      <c r="H192" s="12" t="n"/>
    </row>
    <row r="193">
      <c r="A193" s="14" t="n"/>
      <c r="B193" s="12" t="n"/>
      <c r="C193" s="12" t="n"/>
      <c r="D193" s="12" t="n"/>
      <c r="E193" s="12" t="n"/>
      <c r="F193" s="12" t="n"/>
      <c r="G193" s="20" t="n"/>
      <c r="H193" s="12" t="n"/>
    </row>
    <row r="194">
      <c r="A194" s="14" t="n"/>
      <c r="B194" s="12" t="n"/>
      <c r="C194" s="12" t="n"/>
      <c r="D194" s="12" t="n"/>
      <c r="E194" s="12" t="n"/>
      <c r="F194" s="12" t="n"/>
      <c r="G194" s="20" t="n"/>
      <c r="H194" s="12" t="n"/>
    </row>
    <row r="195">
      <c r="A195" s="14" t="n"/>
      <c r="B195" s="12" t="n"/>
      <c r="C195" s="12" t="n"/>
      <c r="D195" s="12" t="n"/>
      <c r="E195" s="12" t="n"/>
      <c r="F195" s="12" t="n"/>
      <c r="G195" s="20" t="n"/>
      <c r="H195" s="12" t="n"/>
    </row>
    <row r="196">
      <c r="A196" s="14" t="n"/>
      <c r="B196" s="12" t="n"/>
      <c r="C196" s="12" t="n"/>
      <c r="D196" s="12" t="n"/>
      <c r="E196" s="12" t="n"/>
      <c r="F196" s="12" t="n"/>
      <c r="G196" s="20" t="n"/>
      <c r="H196" s="12" t="n"/>
    </row>
    <row r="197">
      <c r="A197" s="14" t="n"/>
      <c r="B197" s="12" t="n"/>
      <c r="C197" s="12" t="n"/>
      <c r="D197" s="12" t="n"/>
      <c r="E197" s="12" t="n"/>
      <c r="F197" s="12" t="n"/>
      <c r="G197" s="20" t="n"/>
      <c r="H197" s="12" t="n"/>
    </row>
    <row r="198">
      <c r="A198" s="14" t="n"/>
      <c r="B198" s="12" t="n"/>
      <c r="C198" s="12" t="n"/>
      <c r="D198" s="12" t="n"/>
      <c r="E198" s="12" t="n"/>
      <c r="F198" s="12" t="n"/>
      <c r="G198" s="20" t="n"/>
      <c r="H198" s="12" t="n"/>
    </row>
    <row r="199">
      <c r="A199" s="14" t="n"/>
      <c r="B199" s="12" t="n"/>
      <c r="C199" s="12" t="n"/>
      <c r="D199" s="12" t="n"/>
      <c r="E199" s="12" t="n"/>
      <c r="F199" s="12" t="n"/>
      <c r="G199" s="20" t="n"/>
      <c r="H199" s="12" t="n"/>
    </row>
    <row r="200">
      <c r="A200" s="14" t="n"/>
      <c r="B200" s="12" t="n"/>
      <c r="C200" s="12" t="n"/>
      <c r="D200" s="12" t="n"/>
      <c r="E200" s="12" t="n"/>
      <c r="F200" s="12" t="n"/>
      <c r="G200" s="20" t="n"/>
      <c r="H200" s="12" t="n"/>
    </row>
    <row r="201">
      <c r="A201" s="14" t="n"/>
      <c r="B201" s="12" t="n"/>
      <c r="C201" s="12" t="n"/>
      <c r="D201" s="12" t="n"/>
      <c r="E201" s="12" t="n"/>
      <c r="F201" s="12" t="n"/>
      <c r="G201" s="20" t="n"/>
      <c r="H201" s="12" t="n"/>
    </row>
    <row r="202">
      <c r="A202" s="14" t="n"/>
      <c r="B202" s="12" t="n"/>
      <c r="C202" s="12" t="n"/>
      <c r="D202" s="12" t="n"/>
      <c r="E202" s="12" t="n"/>
      <c r="F202" s="12" t="n"/>
      <c r="G202" s="20" t="n"/>
      <c r="H202" s="12" t="n"/>
    </row>
    <row r="203">
      <c r="A203" s="14" t="n"/>
      <c r="B203" s="12" t="n"/>
      <c r="C203" s="12" t="n"/>
      <c r="D203" s="12" t="n"/>
      <c r="E203" s="12" t="n"/>
      <c r="F203" s="12" t="n"/>
      <c r="G203" s="20" t="n"/>
      <c r="H203" s="12" t="n"/>
    </row>
    <row r="204">
      <c r="A204" s="14" t="n"/>
      <c r="B204" s="12" t="n"/>
      <c r="C204" s="12" t="n"/>
      <c r="D204" s="12" t="n"/>
      <c r="E204" s="12" t="n"/>
      <c r="F204" s="12" t="n"/>
      <c r="G204" s="20" t="n"/>
      <c r="H204" s="12" t="n"/>
    </row>
    <row r="205">
      <c r="A205" s="14" t="n"/>
      <c r="B205" s="12" t="n"/>
      <c r="C205" s="12" t="n"/>
      <c r="D205" s="12" t="n"/>
      <c r="E205" s="12" t="n"/>
      <c r="F205" s="12" t="n"/>
      <c r="G205" s="20" t="n"/>
      <c r="H205" s="12" t="n"/>
    </row>
    <row r="206">
      <c r="A206" s="14" t="n"/>
      <c r="B206" s="12" t="n"/>
      <c r="C206" s="12" t="n"/>
      <c r="D206" s="12" t="n"/>
      <c r="E206" s="12" t="n"/>
      <c r="F206" s="12" t="n"/>
      <c r="G206" s="20" t="n"/>
      <c r="H206" s="12" t="n"/>
    </row>
    <row r="207">
      <c r="A207" s="14" t="n"/>
      <c r="B207" s="12" t="n"/>
      <c r="C207" s="12" t="n"/>
      <c r="D207" s="12" t="n"/>
      <c r="E207" s="12" t="n"/>
      <c r="F207" s="12" t="n"/>
      <c r="G207" s="20" t="n"/>
      <c r="H207" s="12" t="n"/>
    </row>
    <row r="208">
      <c r="A208" s="14" t="n"/>
      <c r="B208" s="12" t="n"/>
      <c r="C208" s="12" t="n"/>
      <c r="D208" s="12" t="n"/>
      <c r="E208" s="12" t="n"/>
      <c r="F208" s="12" t="n"/>
      <c r="G208" s="20" t="n"/>
      <c r="H208" s="12" t="n"/>
    </row>
    <row r="209">
      <c r="A209" s="14" t="n"/>
      <c r="B209" s="12" t="n"/>
      <c r="C209" s="12" t="n"/>
      <c r="D209" s="12" t="n"/>
      <c r="E209" s="12" t="n"/>
      <c r="F209" s="12" t="n"/>
      <c r="G209" s="20" t="n"/>
      <c r="H209" s="12" t="n"/>
    </row>
    <row r="210">
      <c r="A210" s="14" t="n"/>
      <c r="B210" s="12" t="n"/>
      <c r="C210" s="12" t="n"/>
      <c r="D210" s="12" t="n"/>
      <c r="E210" s="12" t="n"/>
      <c r="F210" s="12" t="n"/>
      <c r="G210" s="20" t="n"/>
      <c r="H210" s="12" t="n"/>
    </row>
    <row r="211">
      <c r="A211" s="14" t="n"/>
      <c r="B211" s="12" t="n"/>
      <c r="C211" s="12" t="n"/>
      <c r="D211" s="12" t="n"/>
      <c r="E211" s="12" t="n"/>
      <c r="F211" s="12" t="n"/>
      <c r="G211" s="20" t="n"/>
      <c r="H211" s="12" t="n"/>
    </row>
    <row r="212">
      <c r="A212" s="14" t="n"/>
      <c r="B212" s="12" t="n"/>
      <c r="C212" s="12" t="n"/>
      <c r="D212" s="12" t="n"/>
      <c r="E212" s="12" t="n"/>
      <c r="F212" s="12" t="n"/>
      <c r="G212" s="20" t="n"/>
      <c r="H212" s="12" t="n"/>
    </row>
    <row r="213">
      <c r="A213" s="14" t="n"/>
      <c r="B213" s="12" t="n"/>
      <c r="C213" s="12" t="n"/>
      <c r="D213" s="12" t="n"/>
      <c r="E213" s="12" t="n"/>
      <c r="F213" s="12" t="n"/>
      <c r="G213" s="20" t="n"/>
      <c r="H213" s="12" t="n"/>
    </row>
    <row r="214">
      <c r="A214" s="14" t="n"/>
      <c r="B214" s="12" t="n"/>
      <c r="C214" s="12" t="n"/>
      <c r="D214" s="12" t="n"/>
      <c r="E214" s="12" t="n"/>
      <c r="F214" s="12" t="n"/>
      <c r="G214" s="20" t="n"/>
      <c r="H214" s="12" t="n"/>
    </row>
    <row r="215">
      <c r="A215" s="14" t="n"/>
      <c r="B215" s="12" t="n"/>
      <c r="C215" s="12" t="n"/>
      <c r="D215" s="12" t="n"/>
      <c r="E215" s="12" t="n"/>
      <c r="F215" s="12" t="n"/>
      <c r="G215" s="20" t="n"/>
      <c r="H215" s="12" t="n"/>
    </row>
    <row r="216">
      <c r="A216" s="14" t="n"/>
      <c r="B216" s="12" t="n"/>
      <c r="C216" s="12" t="n"/>
      <c r="D216" s="12" t="n"/>
      <c r="E216" s="12" t="n"/>
      <c r="F216" s="12" t="n"/>
      <c r="G216" s="20" t="n"/>
      <c r="H216" s="12" t="n"/>
    </row>
    <row r="217">
      <c r="A217" s="14" t="n"/>
      <c r="B217" s="12" t="n"/>
      <c r="C217" s="12" t="n"/>
      <c r="D217" s="12" t="n"/>
      <c r="E217" s="12" t="n"/>
      <c r="F217" s="12" t="n"/>
      <c r="G217" s="20" t="n"/>
      <c r="H217" s="12" t="n"/>
    </row>
    <row r="218">
      <c r="A218" s="14" t="n"/>
      <c r="B218" s="12" t="n"/>
      <c r="C218" s="12" t="n"/>
      <c r="D218" s="12" t="n"/>
      <c r="E218" s="12" t="n"/>
      <c r="F218" s="12" t="n"/>
      <c r="G218" s="20" t="n"/>
      <c r="H218" s="12" t="n"/>
    </row>
    <row r="219">
      <c r="A219" s="14" t="n"/>
      <c r="B219" s="12" t="n"/>
      <c r="C219" s="12" t="n"/>
      <c r="D219" s="12" t="n"/>
      <c r="E219" s="12" t="n"/>
      <c r="F219" s="12" t="n"/>
      <c r="G219" s="20" t="n"/>
      <c r="H219" s="12" t="n"/>
    </row>
    <row r="220">
      <c r="A220" s="14" t="n"/>
      <c r="B220" s="12" t="n"/>
      <c r="C220" s="12" t="n"/>
      <c r="D220" s="12" t="n"/>
      <c r="E220" s="12" t="n"/>
      <c r="F220" s="12" t="n"/>
      <c r="G220" s="20" t="n"/>
      <c r="H220" s="12" t="n"/>
    </row>
    <row r="221">
      <c r="A221" s="14" t="n"/>
      <c r="B221" s="12" t="n"/>
      <c r="C221" s="12" t="n"/>
      <c r="D221" s="12" t="n"/>
      <c r="E221" s="12" t="n"/>
      <c r="F221" s="12" t="n"/>
      <c r="G221" s="20" t="n"/>
      <c r="H221" s="12" t="n"/>
    </row>
    <row r="222">
      <c r="A222" s="14" t="n"/>
      <c r="B222" s="12" t="n"/>
      <c r="C222" s="12" t="n"/>
      <c r="D222" s="12" t="n"/>
      <c r="E222" s="12" t="n"/>
      <c r="F222" s="12" t="n"/>
      <c r="G222" s="20" t="n"/>
      <c r="H222" s="12" t="n"/>
    </row>
    <row r="223">
      <c r="A223" s="14" t="n"/>
      <c r="B223" s="12" t="n"/>
      <c r="C223" s="12" t="n"/>
      <c r="D223" s="12" t="n"/>
      <c r="E223" s="12" t="n"/>
      <c r="F223" s="12" t="n"/>
      <c r="G223" s="20" t="n"/>
      <c r="H223" s="12" t="n"/>
    </row>
    <row r="224">
      <c r="A224" s="14" t="n"/>
      <c r="B224" s="12" t="n"/>
      <c r="C224" s="12" t="n"/>
      <c r="D224" s="12" t="n"/>
      <c r="E224" s="12" t="n"/>
      <c r="F224" s="12" t="n"/>
      <c r="G224" s="20" t="n"/>
      <c r="H224" s="12" t="n"/>
    </row>
    <row r="225">
      <c r="A225" s="14" t="n"/>
      <c r="B225" s="12" t="n"/>
      <c r="C225" s="12" t="n"/>
      <c r="D225" s="12" t="n"/>
      <c r="E225" s="12" t="n"/>
      <c r="F225" s="12" t="n"/>
      <c r="G225" s="20" t="n"/>
      <c r="H225" s="12" t="n"/>
    </row>
    <row r="226">
      <c r="A226" s="14" t="n"/>
      <c r="B226" s="12" t="n"/>
      <c r="C226" s="12" t="n"/>
      <c r="D226" s="12" t="n"/>
      <c r="E226" s="12" t="n"/>
      <c r="F226" s="12" t="n"/>
      <c r="G226" s="20" t="n"/>
      <c r="H226" s="12" t="n"/>
    </row>
    <row r="227">
      <c r="A227" s="14" t="n"/>
      <c r="B227" s="12" t="n"/>
      <c r="C227" s="12" t="n"/>
      <c r="D227" s="12" t="n"/>
      <c r="E227" s="12" t="n"/>
      <c r="F227" s="12" t="n"/>
      <c r="G227" s="20" t="n"/>
      <c r="H227" s="12" t="n"/>
    </row>
    <row r="228">
      <c r="A228" s="14" t="n"/>
      <c r="B228" s="12" t="n"/>
      <c r="C228" s="12" t="n"/>
      <c r="D228" s="12" t="n"/>
      <c r="E228" s="12" t="n"/>
      <c r="F228" s="12" t="n"/>
      <c r="G228" s="20" t="n"/>
      <c r="H228" s="12" t="n"/>
    </row>
    <row r="229">
      <c r="A229" s="14" t="n"/>
      <c r="B229" s="12" t="n"/>
      <c r="C229" s="12" t="n"/>
      <c r="D229" s="12" t="n"/>
      <c r="E229" s="12" t="n"/>
      <c r="F229" s="12" t="n"/>
      <c r="G229" s="20" t="n"/>
      <c r="H229" s="12" t="n"/>
    </row>
    <row r="230">
      <c r="A230" s="14" t="n"/>
      <c r="B230" s="12" t="n"/>
      <c r="C230" s="12" t="n"/>
      <c r="D230" s="12" t="n"/>
      <c r="E230" s="12" t="n"/>
      <c r="F230" s="12" t="n"/>
      <c r="G230" s="20" t="n"/>
      <c r="H230" s="12" t="n"/>
    </row>
    <row r="231">
      <c r="A231" s="14" t="n"/>
      <c r="B231" s="12" t="n"/>
      <c r="C231" s="12" t="n"/>
      <c r="D231" s="12" t="n"/>
      <c r="E231" s="12" t="n"/>
      <c r="F231" s="12" t="n"/>
      <c r="G231" s="20" t="n"/>
      <c r="H231" s="12" t="n"/>
    </row>
    <row r="232">
      <c r="A232" s="14" t="n"/>
      <c r="B232" s="12" t="n"/>
      <c r="C232" s="12" t="n"/>
      <c r="D232" s="12" t="n"/>
      <c r="E232" s="12" t="n"/>
      <c r="F232" s="12" t="n"/>
      <c r="G232" s="20" t="n"/>
      <c r="H232" s="12" t="n"/>
    </row>
    <row r="233">
      <c r="A233" s="14" t="n"/>
      <c r="B233" s="12" t="n"/>
      <c r="C233" s="12" t="n"/>
      <c r="D233" s="12" t="n"/>
      <c r="E233" s="12" t="n"/>
      <c r="F233" s="12" t="n"/>
      <c r="G233" s="20" t="n"/>
      <c r="H233" s="12" t="n"/>
    </row>
    <row r="234">
      <c r="A234" s="14" t="n"/>
      <c r="B234" s="12" t="n"/>
      <c r="C234" s="12" t="n"/>
      <c r="D234" s="12" t="n"/>
      <c r="E234" s="12" t="n"/>
      <c r="F234" s="12" t="n"/>
      <c r="G234" s="20" t="n"/>
      <c r="H234" s="12" t="n"/>
    </row>
    <row r="235">
      <c r="A235" s="14" t="n"/>
      <c r="B235" s="12" t="n"/>
      <c r="C235" s="12" t="n"/>
      <c r="D235" s="12" t="n"/>
      <c r="E235" s="12" t="n"/>
      <c r="F235" s="12" t="n"/>
      <c r="G235" s="20" t="n"/>
      <c r="H235" s="12" t="n"/>
    </row>
    <row r="236">
      <c r="A236" s="14" t="n"/>
      <c r="B236" s="12" t="n"/>
      <c r="C236" s="12" t="n"/>
      <c r="D236" s="12" t="n"/>
      <c r="E236" s="12" t="n"/>
      <c r="F236" s="12" t="n"/>
      <c r="G236" s="20" t="n"/>
      <c r="H236" s="12" t="n"/>
    </row>
    <row r="237">
      <c r="A237" s="14" t="n"/>
      <c r="B237" s="12" t="n"/>
      <c r="C237" s="12" t="n"/>
      <c r="D237" s="12" t="n"/>
      <c r="E237" s="12" t="n"/>
      <c r="F237" s="12" t="n"/>
      <c r="G237" s="20" t="n"/>
      <c r="H237" s="12" t="n"/>
    </row>
    <row r="238">
      <c r="A238" s="14" t="n"/>
      <c r="B238" s="12" t="n"/>
      <c r="C238" s="12" t="n"/>
      <c r="D238" s="12" t="n"/>
      <c r="E238" s="12" t="n"/>
      <c r="F238" s="12" t="n"/>
      <c r="G238" s="20" t="n"/>
      <c r="H238" s="12" t="n"/>
    </row>
    <row r="239">
      <c r="A239" s="14" t="n"/>
      <c r="B239" s="12" t="n"/>
      <c r="C239" s="12" t="n"/>
      <c r="D239" s="12" t="n"/>
      <c r="E239" s="12" t="n"/>
      <c r="F239" s="12" t="n"/>
      <c r="G239" s="20" t="n"/>
      <c r="H239" s="12" t="n"/>
    </row>
    <row r="240">
      <c r="A240" s="14" t="n"/>
      <c r="B240" s="12" t="n"/>
      <c r="C240" s="12" t="n"/>
      <c r="D240" s="12" t="n"/>
      <c r="E240" s="12" t="n"/>
      <c r="F240" s="12" t="n"/>
      <c r="G240" s="20" t="n"/>
      <c r="H240" s="12" t="n"/>
    </row>
    <row r="241">
      <c r="A241" s="14" t="n"/>
      <c r="B241" s="12" t="n"/>
      <c r="C241" s="12" t="n"/>
      <c r="D241" s="12" t="n"/>
      <c r="E241" s="12" t="n"/>
      <c r="F241" s="12" t="n"/>
      <c r="G241" s="20" t="n"/>
      <c r="H241" s="12" t="n"/>
    </row>
    <row r="242">
      <c r="A242" s="14" t="n"/>
      <c r="B242" s="12" t="n"/>
      <c r="C242" s="12" t="n"/>
      <c r="D242" s="12" t="n"/>
      <c r="E242" s="12" t="n"/>
      <c r="F242" s="12" t="n"/>
      <c r="G242" s="20" t="n"/>
      <c r="H242" s="12" t="n"/>
    </row>
    <row r="243">
      <c r="A243" s="14" t="n"/>
      <c r="B243" s="12" t="n"/>
      <c r="C243" s="12" t="n"/>
      <c r="D243" s="12" t="n"/>
      <c r="E243" s="12" t="n"/>
      <c r="F243" s="12" t="n"/>
      <c r="G243" s="20" t="n"/>
      <c r="H243" s="12" t="n"/>
    </row>
    <row r="244">
      <c r="A244" s="14" t="n"/>
      <c r="B244" s="12" t="n"/>
      <c r="C244" s="12" t="n"/>
      <c r="D244" s="12" t="n"/>
      <c r="E244" s="12" t="n"/>
      <c r="F244" s="12" t="n"/>
      <c r="G244" s="20" t="n"/>
      <c r="H244" s="12" t="n"/>
    </row>
    <row r="245">
      <c r="A245" s="14" t="n"/>
      <c r="B245" s="12" t="n"/>
      <c r="C245" s="12" t="n"/>
      <c r="D245" s="12" t="n"/>
      <c r="E245" s="12" t="n"/>
      <c r="F245" s="12" t="n"/>
      <c r="G245" s="20" t="n"/>
      <c r="H245" s="12" t="n"/>
    </row>
    <row r="246">
      <c r="A246" s="14" t="n"/>
      <c r="B246" s="12" t="n"/>
      <c r="C246" s="12" t="n"/>
      <c r="D246" s="12" t="n"/>
      <c r="E246" s="12" t="n"/>
      <c r="F246" s="12" t="n"/>
      <c r="G246" s="20" t="n"/>
      <c r="H246" s="12" t="n"/>
    </row>
    <row r="247">
      <c r="A247" s="14" t="n"/>
      <c r="B247" s="12" t="n"/>
      <c r="C247" s="12" t="n"/>
      <c r="D247" s="12" t="n"/>
      <c r="E247" s="12" t="n"/>
      <c r="F247" s="12" t="n"/>
      <c r="G247" s="20" t="n"/>
      <c r="H247" s="12" t="n"/>
    </row>
    <row r="248">
      <c r="A248" s="14" t="n"/>
      <c r="B248" s="12" t="n"/>
      <c r="C248" s="12" t="n"/>
      <c r="D248" s="12" t="n"/>
      <c r="E248" s="12" t="n"/>
      <c r="F248" s="12" t="n"/>
      <c r="G248" s="20" t="n"/>
      <c r="H248" s="12" t="n"/>
    </row>
    <row r="249">
      <c r="A249" s="14" t="n"/>
      <c r="B249" s="12" t="n"/>
      <c r="C249" s="12" t="n"/>
      <c r="D249" s="12" t="n"/>
      <c r="E249" s="12" t="n"/>
      <c r="F249" s="12" t="n"/>
      <c r="G249" s="20" t="n"/>
      <c r="H249" s="12" t="n"/>
    </row>
    <row r="250">
      <c r="A250" s="14" t="n"/>
      <c r="B250" s="12" t="n"/>
      <c r="C250" s="12" t="n"/>
      <c r="D250" s="12" t="n"/>
      <c r="E250" s="12" t="n"/>
      <c r="F250" s="12" t="n"/>
      <c r="G250" s="20" t="n"/>
      <c r="H250" s="12" t="n"/>
    </row>
    <row r="251">
      <c r="A251" s="14" t="n"/>
      <c r="B251" s="12" t="n"/>
      <c r="C251" s="12" t="n"/>
      <c r="D251" s="12" t="n"/>
      <c r="E251" s="12" t="n"/>
      <c r="F251" s="12" t="n"/>
      <c r="G251" s="20" t="n"/>
      <c r="H251" s="12" t="n"/>
    </row>
    <row r="252">
      <c r="A252" s="14" t="n"/>
      <c r="B252" s="12" t="n"/>
      <c r="C252" s="12" t="n"/>
      <c r="D252" s="12" t="n"/>
      <c r="E252" s="12" t="n"/>
      <c r="F252" s="12" t="n"/>
      <c r="G252" s="20" t="n"/>
      <c r="H252" s="12" t="n"/>
    </row>
    <row r="253">
      <c r="A253" s="14" t="n"/>
      <c r="B253" s="12" t="n"/>
      <c r="C253" s="12" t="n"/>
      <c r="D253" s="12" t="n"/>
      <c r="E253" s="12" t="n"/>
      <c r="F253" s="12" t="n"/>
      <c r="G253" s="20" t="n"/>
      <c r="H253" s="12" t="n"/>
    </row>
    <row r="254">
      <c r="A254" s="14" t="n"/>
      <c r="B254" s="12" t="n"/>
      <c r="C254" s="12" t="n"/>
      <c r="D254" s="12" t="n"/>
      <c r="E254" s="12" t="n"/>
      <c r="F254" s="12" t="n"/>
      <c r="G254" s="20" t="n"/>
      <c r="H254" s="12" t="n"/>
    </row>
    <row r="255">
      <c r="A255" s="14" t="n"/>
      <c r="B255" s="12" t="n"/>
      <c r="C255" s="12" t="n"/>
      <c r="D255" s="12" t="n"/>
      <c r="E255" s="12" t="n"/>
      <c r="F255" s="12" t="n"/>
      <c r="G255" s="20" t="n"/>
      <c r="H255" s="12" t="n"/>
    </row>
    <row r="256">
      <c r="A256" s="14" t="n"/>
      <c r="B256" s="12" t="n"/>
      <c r="C256" s="12" t="n"/>
      <c r="D256" s="12" t="n"/>
      <c r="E256" s="12" t="n"/>
      <c r="F256" s="12" t="n"/>
      <c r="G256" s="20" t="n"/>
      <c r="H256" s="12" t="n"/>
    </row>
    <row r="257">
      <c r="A257" s="14" t="n"/>
      <c r="B257" s="12" t="n"/>
      <c r="C257" s="12" t="n"/>
      <c r="D257" s="12" t="n"/>
      <c r="E257" s="12" t="n"/>
      <c r="F257" s="12" t="n"/>
      <c r="G257" s="20" t="n"/>
      <c r="H257" s="12" t="n"/>
    </row>
    <row r="258">
      <c r="A258" s="14" t="n"/>
      <c r="B258" s="12" t="n"/>
      <c r="C258" s="12" t="n"/>
      <c r="D258" s="12" t="n"/>
      <c r="E258" s="12" t="n"/>
      <c r="F258" s="12" t="n"/>
      <c r="G258" s="20" t="n"/>
      <c r="H258" s="12" t="n"/>
    </row>
    <row r="259">
      <c r="A259" s="14" t="n"/>
      <c r="B259" s="12" t="n"/>
      <c r="C259" s="12" t="n"/>
      <c r="D259" s="12" t="n"/>
      <c r="E259" s="12" t="n"/>
      <c r="F259" s="12" t="n"/>
      <c r="G259" s="20" t="n"/>
      <c r="H259" s="12" t="n"/>
    </row>
    <row r="260">
      <c r="A260" s="14" t="n"/>
      <c r="B260" s="12" t="n"/>
      <c r="C260" s="12" t="n"/>
      <c r="D260" s="12" t="n"/>
      <c r="E260" s="12" t="n"/>
      <c r="F260" s="12" t="n"/>
      <c r="G260" s="20" t="n"/>
      <c r="H260" s="12" t="n"/>
    </row>
    <row r="261">
      <c r="A261" s="14" t="n"/>
      <c r="B261" s="12" t="n"/>
      <c r="C261" s="12" t="n"/>
      <c r="D261" s="12" t="n"/>
      <c r="E261" s="12" t="n"/>
      <c r="F261" s="12" t="n"/>
      <c r="G261" s="20" t="n"/>
      <c r="H261" s="12" t="n"/>
    </row>
    <row r="262">
      <c r="A262" s="14" t="n"/>
      <c r="B262" s="12" t="n"/>
      <c r="C262" s="12" t="n"/>
      <c r="D262" s="12" t="n"/>
      <c r="E262" s="12" t="n"/>
      <c r="F262" s="12" t="n"/>
      <c r="G262" s="20" t="n"/>
      <c r="H262" s="12" t="n"/>
    </row>
    <row r="263">
      <c r="A263" s="14" t="n"/>
      <c r="B263" s="12" t="n"/>
      <c r="C263" s="12" t="n"/>
      <c r="D263" s="12" t="n"/>
      <c r="E263" s="12" t="n"/>
      <c r="F263" s="12" t="n"/>
      <c r="G263" s="20" t="n"/>
      <c r="H263" s="12" t="n"/>
    </row>
    <row r="264">
      <c r="A264" s="14" t="n"/>
      <c r="B264" s="12" t="n"/>
      <c r="C264" s="12" t="n"/>
      <c r="D264" s="12" t="n"/>
      <c r="E264" s="12" t="n"/>
      <c r="F264" s="12" t="n"/>
      <c r="G264" s="20" t="n"/>
      <c r="H264" s="12" t="n"/>
    </row>
    <row r="265">
      <c r="A265" s="14" t="n"/>
      <c r="B265" s="12" t="n"/>
      <c r="C265" s="12" t="n"/>
      <c r="D265" s="12" t="n"/>
      <c r="E265" s="12" t="n"/>
      <c r="F265" s="12" t="n"/>
      <c r="G265" s="20" t="n"/>
      <c r="H265" s="12" t="n"/>
    </row>
    <row r="266">
      <c r="A266" s="14" t="n"/>
      <c r="B266" s="12" t="n"/>
      <c r="C266" s="12" t="n"/>
      <c r="D266" s="12" t="n"/>
      <c r="E266" s="12" t="n"/>
      <c r="F266" s="12" t="n"/>
      <c r="G266" s="20" t="n"/>
      <c r="H266" s="12" t="n"/>
    </row>
    <row r="267">
      <c r="A267" s="14" t="n"/>
      <c r="B267" s="12" t="n"/>
      <c r="C267" s="12" t="n"/>
      <c r="D267" s="12" t="n"/>
      <c r="E267" s="12" t="n"/>
      <c r="F267" s="12" t="n"/>
      <c r="G267" s="20" t="n"/>
      <c r="H267" s="12" t="n"/>
    </row>
    <row r="268">
      <c r="A268" s="14" t="n"/>
      <c r="B268" s="12" t="n"/>
      <c r="C268" s="12" t="n"/>
      <c r="D268" s="12" t="n"/>
      <c r="E268" s="12" t="n"/>
      <c r="F268" s="12" t="n"/>
      <c r="G268" s="20" t="n"/>
      <c r="H268" s="12" t="n"/>
    </row>
    <row r="269">
      <c r="A269" s="14" t="n"/>
      <c r="B269" s="12" t="n"/>
      <c r="C269" s="12" t="n"/>
      <c r="D269" s="12" t="n"/>
      <c r="E269" s="12" t="n"/>
      <c r="F269" s="12" t="n"/>
      <c r="G269" s="20" t="n"/>
      <c r="H269" s="12" t="n"/>
    </row>
    <row r="270">
      <c r="A270" s="14" t="n"/>
      <c r="B270" s="12" t="n"/>
      <c r="C270" s="12" t="n"/>
      <c r="D270" s="12" t="n"/>
      <c r="E270" s="12" t="n"/>
      <c r="F270" s="12" t="n"/>
      <c r="G270" s="20" t="n"/>
      <c r="H270" s="12" t="n"/>
    </row>
    <row r="271">
      <c r="A271" s="14" t="n"/>
      <c r="B271" s="12" t="n"/>
      <c r="C271" s="12" t="n"/>
      <c r="D271" s="12" t="n"/>
      <c r="E271" s="12" t="n"/>
      <c r="F271" s="12" t="n"/>
      <c r="G271" s="20" t="n"/>
      <c r="H271" s="12" t="n"/>
    </row>
    <row r="272">
      <c r="A272" s="14" t="n"/>
      <c r="B272" s="12" t="n"/>
      <c r="C272" s="12" t="n"/>
      <c r="D272" s="12" t="n"/>
      <c r="E272" s="12" t="n"/>
      <c r="F272" s="12" t="n"/>
      <c r="G272" s="20" t="n"/>
      <c r="H272" s="12" t="n"/>
    </row>
    <row r="273">
      <c r="A273" s="14" t="n"/>
      <c r="B273" s="12" t="n"/>
      <c r="C273" s="12" t="n"/>
      <c r="D273" s="12" t="n"/>
      <c r="E273" s="12" t="n"/>
      <c r="F273" s="12" t="n"/>
      <c r="G273" s="20" t="n"/>
      <c r="H273" s="12" t="n"/>
    </row>
    <row r="274">
      <c r="A274" s="14" t="n"/>
      <c r="B274" s="12" t="n"/>
      <c r="C274" s="12" t="n"/>
      <c r="D274" s="12" t="n"/>
      <c r="E274" s="12" t="n"/>
      <c r="F274" s="12" t="n"/>
      <c r="G274" s="20" t="n"/>
      <c r="H274" s="12" t="n"/>
    </row>
    <row r="275">
      <c r="A275" s="14" t="n"/>
      <c r="B275" s="12" t="n"/>
      <c r="C275" s="12" t="n"/>
      <c r="D275" s="12" t="n"/>
      <c r="E275" s="12" t="n"/>
      <c r="F275" s="12" t="n"/>
      <c r="G275" s="20" t="n"/>
      <c r="H275" s="12" t="n"/>
    </row>
    <row r="276">
      <c r="A276" s="14" t="n"/>
      <c r="B276" s="12" t="n"/>
      <c r="C276" s="12" t="n"/>
      <c r="D276" s="12" t="n"/>
      <c r="E276" s="12" t="n"/>
      <c r="F276" s="12" t="n"/>
      <c r="G276" s="20" t="n"/>
      <c r="H276" s="12" t="n"/>
    </row>
    <row r="277">
      <c r="A277" s="14" t="n"/>
      <c r="B277" s="12" t="n"/>
      <c r="C277" s="12" t="n"/>
      <c r="D277" s="12" t="n"/>
      <c r="E277" s="12" t="n"/>
      <c r="F277" s="12" t="n"/>
      <c r="G277" s="20" t="n"/>
      <c r="H277" s="12" t="n"/>
    </row>
    <row r="278">
      <c r="A278" s="14" t="n"/>
      <c r="B278" s="12" t="n"/>
      <c r="C278" s="12" t="n"/>
      <c r="D278" s="12" t="n"/>
      <c r="E278" s="12" t="n"/>
      <c r="F278" s="12" t="n"/>
      <c r="G278" s="20" t="n"/>
      <c r="H278" s="12" t="n"/>
    </row>
    <row r="279">
      <c r="A279" s="14" t="n"/>
      <c r="B279" s="12" t="n"/>
      <c r="C279" s="12" t="n"/>
      <c r="D279" s="12" t="n"/>
      <c r="E279" s="12" t="n"/>
      <c r="F279" s="12" t="n"/>
      <c r="G279" s="20" t="n"/>
      <c r="H279" s="12" t="n"/>
    </row>
    <row r="280">
      <c r="A280" s="14" t="n"/>
      <c r="B280" s="12" t="n"/>
      <c r="C280" s="12" t="n"/>
      <c r="D280" s="12" t="n"/>
      <c r="E280" s="12" t="n"/>
      <c r="F280" s="12" t="n"/>
      <c r="G280" s="20" t="n"/>
      <c r="H280" s="12" t="n"/>
    </row>
    <row r="281">
      <c r="A281" s="14" t="n"/>
      <c r="B281" s="12" t="n"/>
      <c r="C281" s="12" t="n"/>
      <c r="D281" s="12" t="n"/>
      <c r="E281" s="12" t="n"/>
      <c r="F281" s="12" t="n"/>
      <c r="G281" s="20" t="n"/>
      <c r="H281" s="12" t="n"/>
    </row>
    <row r="282">
      <c r="A282" s="14" t="n"/>
      <c r="B282" s="12" t="n"/>
      <c r="C282" s="12" t="n"/>
      <c r="D282" s="12" t="n"/>
      <c r="E282" s="12" t="n"/>
      <c r="F282" s="12" t="n"/>
      <c r="G282" s="20" t="n"/>
      <c r="H282" s="12" t="n"/>
    </row>
    <row r="283">
      <c r="A283" s="14" t="n"/>
      <c r="B283" s="12" t="n"/>
      <c r="C283" s="12" t="n"/>
      <c r="D283" s="12" t="n"/>
      <c r="E283" s="12" t="n"/>
      <c r="F283" s="12" t="n"/>
      <c r="G283" s="20" t="n"/>
      <c r="H283" s="12" t="n"/>
    </row>
    <row r="284">
      <c r="A284" s="14" t="n"/>
      <c r="B284" s="12" t="n"/>
      <c r="C284" s="12" t="n"/>
      <c r="D284" s="12" t="n"/>
      <c r="E284" s="12" t="n"/>
      <c r="F284" s="12" t="n"/>
      <c r="G284" s="20" t="n"/>
      <c r="H284" s="12" t="n"/>
    </row>
    <row r="285">
      <c r="A285" s="14" t="n"/>
      <c r="B285" s="12" t="n"/>
      <c r="C285" s="12" t="n"/>
      <c r="D285" s="12" t="n"/>
      <c r="E285" s="12" t="n"/>
      <c r="F285" s="12" t="n"/>
      <c r="G285" s="20" t="n"/>
      <c r="H285" s="12" t="n"/>
    </row>
    <row r="286">
      <c r="A286" s="14" t="n"/>
      <c r="B286" s="12" t="n"/>
      <c r="C286" s="12" t="n"/>
      <c r="D286" s="12" t="n"/>
      <c r="E286" s="12" t="n"/>
      <c r="F286" s="12" t="n"/>
      <c r="G286" s="20" t="n"/>
      <c r="H286" s="12" t="n"/>
    </row>
    <row r="287">
      <c r="A287" s="14" t="n"/>
      <c r="B287" s="12" t="n"/>
      <c r="C287" s="12" t="n"/>
      <c r="D287" s="12" t="n"/>
      <c r="E287" s="12" t="n"/>
      <c r="F287" s="12" t="n"/>
      <c r="G287" s="20" t="n"/>
      <c r="H287" s="12" t="n"/>
    </row>
    <row r="288">
      <c r="A288" s="14" t="n"/>
      <c r="B288" s="12" t="n"/>
      <c r="C288" s="12" t="n"/>
      <c r="D288" s="12" t="n"/>
      <c r="E288" s="12" t="n"/>
      <c r="F288" s="12" t="n"/>
      <c r="G288" s="20" t="n"/>
      <c r="H288" s="12" t="n"/>
    </row>
    <row r="289">
      <c r="A289" s="14" t="n"/>
      <c r="B289" s="12" t="n"/>
      <c r="C289" s="12" t="n"/>
      <c r="D289" s="12" t="n"/>
      <c r="E289" s="12" t="n"/>
      <c r="F289" s="12" t="n"/>
      <c r="G289" s="20" t="n"/>
      <c r="H289" s="12" t="n"/>
    </row>
    <row r="290">
      <c r="A290" s="14" t="n"/>
      <c r="B290" s="12" t="n"/>
      <c r="C290" s="12" t="n"/>
      <c r="D290" s="12" t="n"/>
      <c r="E290" s="12" t="n"/>
      <c r="F290" s="12" t="n"/>
      <c r="G290" s="20" t="n"/>
      <c r="H290" s="12" t="n"/>
    </row>
    <row r="291">
      <c r="A291" s="14" t="n"/>
      <c r="B291" s="12" t="n"/>
      <c r="C291" s="12" t="n"/>
      <c r="D291" s="12" t="n"/>
      <c r="E291" s="12" t="n"/>
      <c r="F291" s="12" t="n"/>
      <c r="G291" s="20" t="n"/>
      <c r="H291" s="12" t="n"/>
    </row>
    <row r="292">
      <c r="A292" s="14" t="n"/>
      <c r="B292" s="12" t="n"/>
      <c r="C292" s="12" t="n"/>
      <c r="D292" s="12" t="n"/>
      <c r="E292" s="12" t="n"/>
      <c r="F292" s="12" t="n"/>
      <c r="G292" s="20" t="n"/>
      <c r="H292" s="12" t="n"/>
    </row>
    <row r="293">
      <c r="A293" s="14" t="n"/>
      <c r="B293" s="12" t="n"/>
      <c r="C293" s="12" t="n"/>
      <c r="D293" s="12" t="n"/>
      <c r="E293" s="12" t="n"/>
      <c r="F293" s="12" t="n"/>
      <c r="G293" s="20" t="n"/>
      <c r="H293" s="12" t="n"/>
    </row>
    <row r="294">
      <c r="A294" s="14" t="n"/>
      <c r="B294" s="12" t="n"/>
      <c r="C294" s="12" t="n"/>
      <c r="D294" s="12" t="n"/>
      <c r="E294" s="12" t="n"/>
      <c r="F294" s="12" t="n"/>
      <c r="G294" s="20" t="n"/>
      <c r="H294" s="12" t="n"/>
    </row>
    <row r="295">
      <c r="A295" s="14" t="n"/>
      <c r="B295" s="12" t="n"/>
      <c r="C295" s="12" t="n"/>
      <c r="D295" s="12" t="n"/>
      <c r="E295" s="12" t="n"/>
      <c r="F295" s="12" t="n"/>
      <c r="G295" s="20" t="n"/>
      <c r="H295" s="12" t="n"/>
    </row>
    <row r="296">
      <c r="A296" s="14" t="n"/>
      <c r="B296" s="12" t="n"/>
      <c r="C296" s="12" t="n"/>
      <c r="D296" s="12" t="n"/>
      <c r="E296" s="12" t="n"/>
      <c r="F296" s="12" t="n"/>
      <c r="G296" s="20" t="n"/>
      <c r="H296" s="12" t="n"/>
    </row>
    <row r="297">
      <c r="A297" s="14" t="n"/>
      <c r="B297" s="12" t="n"/>
      <c r="C297" s="12" t="n"/>
      <c r="D297" s="12" t="n"/>
      <c r="E297" s="12" t="n"/>
      <c r="F297" s="12" t="n"/>
      <c r="G297" s="20" t="n"/>
      <c r="H297" s="12" t="n"/>
    </row>
    <row r="298">
      <c r="A298" s="14" t="n"/>
      <c r="B298" s="12" t="n"/>
      <c r="C298" s="12" t="n"/>
      <c r="D298" s="12" t="n"/>
      <c r="E298" s="12" t="n"/>
      <c r="F298" s="12" t="n"/>
      <c r="G298" s="20" t="n"/>
      <c r="H298" s="12" t="n"/>
    </row>
    <row r="299">
      <c r="A299" s="14" t="n"/>
      <c r="B299" s="12" t="n"/>
      <c r="C299" s="12" t="n"/>
      <c r="D299" s="12" t="n"/>
      <c r="E299" s="12" t="n"/>
      <c r="F299" s="12" t="n"/>
      <c r="G299" s="20" t="n"/>
      <c r="H299" s="12" t="n"/>
    </row>
    <row r="300">
      <c r="A300" s="14" t="n"/>
      <c r="B300" s="12" t="n"/>
      <c r="C300" s="12" t="n"/>
      <c r="D300" s="12" t="n"/>
      <c r="E300" s="12" t="n"/>
      <c r="F300" s="12" t="n"/>
      <c r="G300" s="20" t="n"/>
      <c r="H300" s="12" t="n"/>
    </row>
    <row r="301">
      <c r="A301" s="14" t="n"/>
      <c r="B301" s="12" t="n"/>
      <c r="C301" s="12" t="n"/>
      <c r="D301" s="12" t="n"/>
      <c r="E301" s="12" t="n"/>
      <c r="F301" s="12" t="n"/>
      <c r="G301" s="20" t="n"/>
      <c r="H301" s="12" t="n"/>
    </row>
    <row r="302">
      <c r="A302" s="14" t="n"/>
      <c r="B302" s="12" t="n"/>
      <c r="C302" s="12" t="n"/>
      <c r="D302" s="12" t="n"/>
      <c r="E302" s="12" t="n"/>
      <c r="F302" s="12" t="n"/>
      <c r="G302" s="20" t="n"/>
      <c r="H302" s="12" t="n"/>
    </row>
    <row r="303">
      <c r="A303" s="14" t="n"/>
      <c r="B303" s="12" t="n"/>
      <c r="C303" s="12" t="n"/>
      <c r="D303" s="12" t="n"/>
      <c r="E303" s="12" t="n"/>
      <c r="F303" s="12" t="n"/>
      <c r="G303" s="20" t="n"/>
      <c r="H303" s="12" t="n"/>
    </row>
    <row r="304">
      <c r="A304" s="14" t="n"/>
      <c r="B304" s="12" t="n"/>
      <c r="C304" s="12" t="n"/>
      <c r="D304" s="12" t="n"/>
      <c r="E304" s="12" t="n"/>
      <c r="F304" s="12" t="n"/>
      <c r="G304" s="20" t="n"/>
      <c r="H304" s="12" t="n"/>
    </row>
    <row r="305">
      <c r="A305" s="14" t="n"/>
      <c r="B305" s="12" t="n"/>
      <c r="C305" s="12" t="n"/>
      <c r="D305" s="12" t="n"/>
      <c r="E305" s="12" t="n"/>
      <c r="F305" s="12" t="n"/>
      <c r="G305" s="20" t="n"/>
      <c r="H305" s="12" t="n"/>
    </row>
    <row r="306">
      <c r="A306" s="14" t="n"/>
      <c r="B306" s="12" t="n"/>
      <c r="C306" s="12" t="n"/>
      <c r="D306" s="12" t="n"/>
      <c r="E306" s="12" t="n"/>
      <c r="F306" s="12" t="n"/>
      <c r="G306" s="20" t="n"/>
      <c r="H306" s="12" t="n"/>
    </row>
    <row r="307">
      <c r="A307" s="14" t="n"/>
      <c r="B307" s="12" t="n"/>
      <c r="C307" s="12" t="n"/>
      <c r="D307" s="12" t="n"/>
      <c r="E307" s="12" t="n"/>
      <c r="F307" s="12" t="n"/>
      <c r="G307" s="20" t="n"/>
      <c r="H307" s="12" t="n"/>
    </row>
    <row r="308">
      <c r="A308" s="14" t="n"/>
      <c r="B308" s="12" t="n"/>
      <c r="C308" s="12" t="n"/>
      <c r="D308" s="12" t="n"/>
      <c r="E308" s="12" t="n"/>
      <c r="F308" s="12" t="n"/>
      <c r="G308" s="20" t="n"/>
      <c r="H308" s="12" t="n"/>
    </row>
    <row r="309">
      <c r="A309" s="14" t="n"/>
      <c r="B309" s="12" t="n"/>
      <c r="C309" s="12" t="n"/>
      <c r="D309" s="12" t="n"/>
      <c r="E309" s="12" t="n"/>
      <c r="F309" s="12" t="n"/>
      <c r="G309" s="20" t="n"/>
      <c r="H309" s="12" t="n"/>
    </row>
    <row r="310">
      <c r="A310" s="14" t="n"/>
      <c r="B310" s="12" t="n"/>
      <c r="C310" s="12" t="n"/>
      <c r="D310" s="12" t="n"/>
      <c r="E310" s="12" t="n"/>
      <c r="F310" s="12" t="n"/>
      <c r="G310" s="20" t="n"/>
      <c r="H310" s="12" t="n"/>
    </row>
    <row r="311">
      <c r="A311" s="14" t="n"/>
      <c r="B311" s="12" t="n"/>
      <c r="C311" s="12" t="n"/>
      <c r="D311" s="12" t="n"/>
      <c r="E311" s="12" t="n"/>
      <c r="F311" s="12" t="n"/>
      <c r="G311" s="20" t="n"/>
      <c r="H311" s="12" t="n"/>
    </row>
    <row r="312">
      <c r="A312" s="14" t="n"/>
      <c r="B312" s="12" t="n"/>
      <c r="C312" s="12" t="n"/>
      <c r="D312" s="12" t="n"/>
      <c r="E312" s="12" t="n"/>
      <c r="F312" s="12" t="n"/>
      <c r="G312" s="20" t="n"/>
      <c r="H312" s="12" t="n"/>
    </row>
    <row r="313">
      <c r="A313" s="14" t="n"/>
      <c r="B313" s="12" t="n"/>
      <c r="C313" s="12" t="n"/>
      <c r="D313" s="12" t="n"/>
      <c r="E313" s="12" t="n"/>
      <c r="F313" s="12" t="n"/>
      <c r="G313" s="20" t="n"/>
      <c r="H313" s="12" t="n"/>
    </row>
    <row r="314">
      <c r="A314" s="14" t="n"/>
      <c r="B314" s="12" t="n"/>
      <c r="C314" s="12" t="n"/>
      <c r="D314" s="12" t="n"/>
      <c r="E314" s="12" t="n"/>
      <c r="F314" s="12" t="n"/>
      <c r="G314" s="20" t="n"/>
      <c r="H314" s="12" t="n"/>
    </row>
    <row r="315">
      <c r="A315" s="14" t="n"/>
      <c r="B315" s="12" t="n"/>
      <c r="C315" s="12" t="n"/>
      <c r="D315" s="12" t="n"/>
      <c r="E315" s="12" t="n"/>
      <c r="F315" s="12" t="n"/>
      <c r="G315" s="20" t="n"/>
      <c r="H315" s="12" t="n"/>
    </row>
    <row r="316">
      <c r="A316" s="14" t="n"/>
      <c r="B316" s="12" t="n"/>
      <c r="C316" s="12" t="n"/>
      <c r="D316" s="12" t="n"/>
      <c r="E316" s="12" t="n"/>
      <c r="F316" s="12" t="n"/>
      <c r="G316" s="20" t="n"/>
      <c r="H316" s="12" t="n"/>
    </row>
    <row r="317">
      <c r="A317" s="14" t="n"/>
      <c r="B317" s="12" t="n"/>
      <c r="C317" s="12" t="n"/>
      <c r="D317" s="12" t="n"/>
      <c r="E317" s="12" t="n"/>
      <c r="F317" s="12" t="n"/>
      <c r="G317" s="20" t="n"/>
      <c r="H317" s="12" t="n"/>
    </row>
    <row r="318">
      <c r="A318" s="14" t="n"/>
      <c r="B318" s="12" t="n"/>
      <c r="C318" s="12" t="n"/>
      <c r="D318" s="12" t="n"/>
      <c r="E318" s="12" t="n"/>
      <c r="F318" s="12" t="n"/>
      <c r="G318" s="20" t="n"/>
      <c r="H318" s="12" t="n"/>
    </row>
    <row r="319">
      <c r="A319" s="14" t="n"/>
      <c r="B319" s="12" t="n"/>
      <c r="C319" s="12" t="n"/>
      <c r="D319" s="12" t="n"/>
      <c r="E319" s="12" t="n"/>
      <c r="F319" s="12" t="n"/>
      <c r="G319" s="20" t="n"/>
      <c r="H319" s="12" t="n"/>
    </row>
    <row r="320">
      <c r="A320" s="14" t="n"/>
      <c r="B320" s="12" t="n"/>
      <c r="C320" s="12" t="n"/>
      <c r="D320" s="12" t="n"/>
      <c r="E320" s="12" t="n"/>
      <c r="F320" s="12" t="n"/>
      <c r="G320" s="20" t="n"/>
      <c r="H320" s="12" t="n"/>
    </row>
    <row r="321">
      <c r="A321" s="14" t="n"/>
      <c r="B321" s="12" t="n"/>
      <c r="C321" s="12" t="n"/>
      <c r="D321" s="12" t="n"/>
      <c r="E321" s="12" t="n"/>
      <c r="F321" s="12" t="n"/>
      <c r="G321" s="20" t="n"/>
      <c r="H321" s="12" t="n"/>
    </row>
    <row r="322">
      <c r="A322" s="14" t="n"/>
      <c r="B322" s="12" t="n"/>
      <c r="C322" s="12" t="n"/>
      <c r="D322" s="12" t="n"/>
      <c r="E322" s="12" t="n"/>
      <c r="F322" s="12" t="n"/>
      <c r="G322" s="20" t="n"/>
      <c r="H322" s="12" t="n"/>
    </row>
    <row r="323">
      <c r="A323" s="14" t="n"/>
      <c r="B323" s="12" t="n"/>
      <c r="C323" s="12" t="n"/>
      <c r="D323" s="12" t="n"/>
      <c r="E323" s="12" t="n"/>
      <c r="F323" s="12" t="n"/>
      <c r="G323" s="20" t="n"/>
      <c r="H323" s="12" t="n"/>
    </row>
    <row r="324">
      <c r="A324" s="14" t="n"/>
      <c r="B324" s="12" t="n"/>
      <c r="C324" s="12" t="n"/>
      <c r="D324" s="12" t="n"/>
      <c r="E324" s="12" t="n"/>
      <c r="F324" s="12" t="n"/>
      <c r="G324" s="20" t="n"/>
      <c r="H324" s="12" t="n"/>
    </row>
    <row r="325">
      <c r="A325" s="14" t="n"/>
      <c r="B325" s="12" t="n"/>
      <c r="C325" s="12" t="n"/>
      <c r="D325" s="12" t="n"/>
      <c r="E325" s="12" t="n"/>
      <c r="F325" s="12" t="n"/>
      <c r="G325" s="20" t="n"/>
      <c r="H325" s="12" t="n"/>
    </row>
    <row r="326">
      <c r="A326" s="14" t="n"/>
      <c r="B326" s="12" t="n"/>
      <c r="C326" s="12" t="n"/>
      <c r="D326" s="12" t="n"/>
      <c r="E326" s="12" t="n"/>
      <c r="F326" s="12" t="n"/>
      <c r="G326" s="20" t="n"/>
      <c r="H326" s="12" t="n"/>
    </row>
    <row r="327">
      <c r="A327" s="14" t="n"/>
      <c r="B327" s="12" t="n"/>
      <c r="C327" s="12" t="n"/>
      <c r="D327" s="12" t="n"/>
      <c r="E327" s="12" t="n"/>
      <c r="F327" s="12" t="n"/>
      <c r="G327" s="20" t="n"/>
      <c r="H327" s="12" t="n"/>
    </row>
    <row r="328">
      <c r="A328" s="14" t="n"/>
      <c r="B328" s="12" t="n"/>
      <c r="C328" s="12" t="n"/>
      <c r="D328" s="12" t="n"/>
      <c r="E328" s="12" t="n"/>
      <c r="F328" s="12" t="n"/>
      <c r="G328" s="20" t="n"/>
      <c r="H328" s="12" t="n"/>
    </row>
    <row r="329">
      <c r="A329" s="14" t="n"/>
      <c r="B329" s="12" t="n"/>
      <c r="C329" s="12" t="n"/>
      <c r="D329" s="12" t="n"/>
      <c r="E329" s="12" t="n"/>
      <c r="F329" s="12" t="n"/>
      <c r="G329" s="20" t="n"/>
      <c r="H329" s="12" t="n"/>
    </row>
    <row r="330">
      <c r="A330" s="14" t="n"/>
      <c r="B330" s="12" t="n"/>
      <c r="C330" s="12" t="n"/>
      <c r="D330" s="12" t="n"/>
      <c r="E330" s="12" t="n"/>
      <c r="F330" s="12" t="n"/>
      <c r="G330" s="20" t="n"/>
      <c r="H330" s="12" t="n"/>
    </row>
    <row r="331">
      <c r="A331" s="14" t="n"/>
      <c r="B331" s="12" t="n"/>
      <c r="C331" s="12" t="n"/>
      <c r="D331" s="12" t="n"/>
      <c r="E331" s="12" t="n"/>
      <c r="F331" s="12" t="n"/>
      <c r="G331" s="20" t="n"/>
      <c r="H331" s="12" t="n"/>
    </row>
    <row r="332">
      <c r="A332" s="14" t="n"/>
      <c r="B332" s="12" t="n"/>
      <c r="C332" s="12" t="n"/>
      <c r="D332" s="12" t="n"/>
      <c r="E332" s="12" t="n"/>
      <c r="F332" s="12" t="n"/>
      <c r="G332" s="20" t="n"/>
      <c r="H332" s="12" t="n"/>
    </row>
    <row r="333">
      <c r="A333" s="14" t="n"/>
      <c r="B333" s="12" t="n"/>
      <c r="C333" s="12" t="n"/>
      <c r="D333" s="12" t="n"/>
      <c r="E333" s="12" t="n"/>
      <c r="F333" s="12" t="n"/>
      <c r="G333" s="20" t="n"/>
      <c r="H333" s="12" t="n"/>
    </row>
    <row r="334">
      <c r="A334" s="14" t="n"/>
      <c r="B334" s="12" t="n"/>
      <c r="C334" s="12" t="n"/>
      <c r="D334" s="12" t="n"/>
      <c r="E334" s="12" t="n"/>
      <c r="F334" s="12" t="n"/>
      <c r="G334" s="20" t="n"/>
      <c r="H334" s="12" t="n"/>
    </row>
    <row r="335">
      <c r="A335" s="14" t="n"/>
      <c r="B335" s="12" t="n"/>
      <c r="C335" s="12" t="n"/>
      <c r="D335" s="12" t="n"/>
      <c r="E335" s="12" t="n"/>
      <c r="F335" s="12" t="n"/>
      <c r="G335" s="20" t="n"/>
      <c r="H335" s="12" t="n"/>
    </row>
    <row r="336">
      <c r="A336" s="14" t="n"/>
      <c r="B336" s="12" t="n"/>
      <c r="C336" s="12" t="n"/>
      <c r="D336" s="12" t="n"/>
      <c r="E336" s="12" t="n"/>
      <c r="F336" s="12" t="n"/>
      <c r="G336" s="20" t="n"/>
      <c r="H336" s="12" t="n"/>
    </row>
    <row r="337">
      <c r="A337" s="14" t="n"/>
      <c r="B337" s="12" t="n"/>
      <c r="C337" s="12" t="n"/>
      <c r="D337" s="12" t="n"/>
      <c r="E337" s="12" t="n"/>
      <c r="F337" s="12" t="n"/>
      <c r="G337" s="20" t="n"/>
      <c r="H337" s="12" t="n"/>
    </row>
    <row r="338">
      <c r="A338" s="14" t="n"/>
      <c r="B338" s="12" t="n"/>
      <c r="C338" s="12" t="n"/>
      <c r="D338" s="12" t="n"/>
      <c r="E338" s="12" t="n"/>
      <c r="F338" s="12" t="n"/>
      <c r="G338" s="20" t="n"/>
      <c r="H338" s="12" t="n"/>
    </row>
    <row r="339">
      <c r="A339" s="14" t="n"/>
      <c r="B339" s="12" t="n"/>
      <c r="C339" s="12" t="n"/>
      <c r="D339" s="12" t="n"/>
      <c r="E339" s="12" t="n"/>
      <c r="F339" s="12" t="n"/>
      <c r="G339" s="20" t="n"/>
      <c r="H339" s="12" t="n"/>
    </row>
    <row r="340">
      <c r="A340" s="14" t="n"/>
      <c r="B340" s="12" t="n"/>
      <c r="C340" s="12" t="n"/>
      <c r="D340" s="12" t="n"/>
      <c r="E340" s="12" t="n"/>
      <c r="F340" s="12" t="n"/>
      <c r="G340" s="20" t="n"/>
      <c r="H340" s="12" t="n"/>
    </row>
    <row r="341">
      <c r="A341" s="14" t="n"/>
      <c r="B341" s="12" t="n"/>
      <c r="C341" s="12" t="n"/>
      <c r="D341" s="12" t="n"/>
      <c r="E341" s="12" t="n"/>
      <c r="F341" s="12" t="n"/>
      <c r="G341" s="20" t="n"/>
      <c r="H341" s="12" t="n"/>
    </row>
    <row r="342">
      <c r="A342" s="14" t="n"/>
      <c r="B342" s="12" t="n"/>
      <c r="C342" s="12" t="n"/>
      <c r="D342" s="12" t="n"/>
      <c r="E342" s="12" t="n"/>
      <c r="F342" s="12" t="n"/>
      <c r="G342" s="20" t="n"/>
      <c r="H342" s="12" t="n"/>
    </row>
    <row r="343">
      <c r="A343" s="14" t="n"/>
      <c r="B343" s="12" t="n"/>
      <c r="C343" s="12" t="n"/>
      <c r="D343" s="12" t="n"/>
      <c r="E343" s="12" t="n"/>
      <c r="F343" s="12" t="n"/>
      <c r="G343" s="20" t="n"/>
      <c r="H343" s="12" t="n"/>
    </row>
    <row r="344">
      <c r="A344" s="14" t="n"/>
      <c r="B344" s="12" t="n"/>
      <c r="C344" s="12" t="n"/>
      <c r="D344" s="12" t="n"/>
      <c r="E344" s="12" t="n"/>
      <c r="F344" s="12" t="n"/>
      <c r="G344" s="20" t="n"/>
      <c r="H344" s="12" t="n"/>
    </row>
    <row r="345">
      <c r="A345" s="14" t="n"/>
      <c r="B345" s="12" t="n"/>
      <c r="C345" s="12" t="n"/>
      <c r="D345" s="12" t="n"/>
      <c r="E345" s="12" t="n"/>
      <c r="F345" s="12" t="n"/>
      <c r="G345" s="20" t="n"/>
      <c r="H345" s="12" t="n"/>
    </row>
    <row r="346">
      <c r="A346" s="14" t="n"/>
      <c r="B346" s="12" t="n"/>
      <c r="C346" s="12" t="n"/>
      <c r="D346" s="12" t="n"/>
      <c r="E346" s="12" t="n"/>
      <c r="F346" s="12" t="n"/>
      <c r="G346" s="20" t="n"/>
      <c r="H346" s="12" t="n"/>
    </row>
    <row r="347">
      <c r="A347" s="14" t="n"/>
      <c r="B347" s="12" t="n"/>
      <c r="C347" s="12" t="n"/>
      <c r="D347" s="12" t="n"/>
      <c r="E347" s="12" t="n"/>
      <c r="F347" s="12" t="n"/>
      <c r="G347" s="20" t="n"/>
      <c r="H347" s="12" t="n"/>
    </row>
    <row r="348">
      <c r="A348" s="14" t="n"/>
      <c r="B348" s="12" t="n"/>
      <c r="C348" s="12" t="n"/>
      <c r="D348" s="12" t="n"/>
      <c r="E348" s="12" t="n"/>
      <c r="F348" s="12" t="n"/>
      <c r="G348" s="20" t="n"/>
      <c r="H348" s="12" t="n"/>
    </row>
    <row r="349">
      <c r="A349" s="14" t="n"/>
      <c r="B349" s="12" t="n"/>
      <c r="C349" s="12" t="n"/>
      <c r="D349" s="12" t="n"/>
      <c r="E349" s="12" t="n"/>
      <c r="F349" s="12" t="n"/>
      <c r="G349" s="20" t="n"/>
      <c r="H349" s="12" t="n"/>
    </row>
    <row r="350">
      <c r="A350" s="14" t="n"/>
      <c r="B350" s="12" t="n"/>
      <c r="C350" s="12" t="n"/>
      <c r="D350" s="12" t="n"/>
      <c r="E350" s="12" t="n"/>
      <c r="F350" s="12" t="n"/>
      <c r="G350" s="20" t="n"/>
      <c r="H350" s="12" t="n"/>
    </row>
    <row r="351">
      <c r="A351" s="14" t="n"/>
      <c r="B351" s="12" t="n"/>
      <c r="C351" s="12" t="n"/>
      <c r="D351" s="12" t="n"/>
      <c r="E351" s="12" t="n"/>
      <c r="F351" s="12" t="n"/>
      <c r="G351" s="20" t="n"/>
      <c r="H351" s="12" t="n"/>
    </row>
    <row r="352">
      <c r="A352" s="14" t="n"/>
      <c r="B352" s="12" t="n"/>
      <c r="C352" s="12" t="n"/>
      <c r="D352" s="12" t="n"/>
      <c r="E352" s="12" t="n"/>
      <c r="F352" s="12" t="n"/>
      <c r="G352" s="20" t="n"/>
      <c r="H352" s="12" t="n"/>
    </row>
    <row r="353">
      <c r="A353" s="14" t="n"/>
      <c r="B353" s="12" t="n"/>
      <c r="C353" s="12" t="n"/>
      <c r="D353" s="12" t="n"/>
      <c r="E353" s="12" t="n"/>
      <c r="F353" s="12" t="n"/>
      <c r="G353" s="20" t="n"/>
      <c r="H353" s="12" t="n"/>
    </row>
    <row r="354">
      <c r="A354" s="14" t="n"/>
      <c r="B354" s="12" t="n"/>
      <c r="C354" s="12" t="n"/>
      <c r="D354" s="12" t="n"/>
      <c r="E354" s="12" t="n"/>
      <c r="F354" s="12" t="n"/>
      <c r="G354" s="20" t="n"/>
      <c r="H354" s="12" t="n"/>
    </row>
    <row r="355">
      <c r="A355" s="14" t="n"/>
      <c r="B355" s="12" t="n"/>
      <c r="C355" s="12" t="n"/>
      <c r="D355" s="12" t="n"/>
      <c r="E355" s="12" t="n"/>
      <c r="F355" s="12" t="n"/>
      <c r="G355" s="20" t="n"/>
      <c r="H355" s="12" t="n"/>
    </row>
    <row r="356">
      <c r="A356" s="14" t="n"/>
      <c r="B356" s="12" t="n"/>
      <c r="C356" s="12" t="n"/>
      <c r="D356" s="12" t="n"/>
      <c r="E356" s="12" t="n"/>
      <c r="F356" s="12" t="n"/>
      <c r="G356" s="20" t="n"/>
      <c r="H356" s="12" t="n"/>
    </row>
    <row r="357">
      <c r="A357" s="14" t="n"/>
      <c r="B357" s="12" t="n"/>
      <c r="C357" s="12" t="n"/>
      <c r="D357" s="12" t="n"/>
      <c r="E357" s="12" t="n"/>
      <c r="F357" s="12" t="n"/>
      <c r="G357" s="20" t="n"/>
      <c r="H357" s="12" t="n"/>
    </row>
    <row r="358">
      <c r="A358" s="14" t="n"/>
      <c r="B358" s="12" t="n"/>
      <c r="C358" s="12" t="n"/>
      <c r="D358" s="12" t="n"/>
      <c r="E358" s="12" t="n"/>
      <c r="F358" s="12" t="n"/>
      <c r="G358" s="20" t="n"/>
      <c r="H358" s="12" t="n"/>
    </row>
    <row r="359">
      <c r="A359" s="14" t="n"/>
      <c r="B359" s="12" t="n"/>
      <c r="C359" s="12" t="n"/>
      <c r="D359" s="12" t="n"/>
      <c r="E359" s="12" t="n"/>
      <c r="F359" s="12" t="n"/>
      <c r="G359" s="20" t="n"/>
      <c r="H359" s="12" t="n"/>
    </row>
    <row r="360">
      <c r="A360" s="14" t="n"/>
      <c r="B360" s="12" t="n"/>
      <c r="C360" s="12" t="n"/>
      <c r="D360" s="12" t="n"/>
      <c r="E360" s="12" t="n"/>
      <c r="F360" s="12" t="n"/>
      <c r="G360" s="20" t="n"/>
      <c r="H360" s="12" t="n"/>
    </row>
    <row r="361">
      <c r="A361" s="14" t="n"/>
      <c r="B361" s="12" t="n"/>
      <c r="C361" s="12" t="n"/>
      <c r="D361" s="12" t="n"/>
      <c r="E361" s="12" t="n"/>
      <c r="F361" s="12" t="n"/>
      <c r="G361" s="20" t="n"/>
      <c r="H361" s="12" t="n"/>
    </row>
    <row r="362">
      <c r="A362" s="14" t="n"/>
      <c r="B362" s="12" t="n"/>
      <c r="C362" s="12" t="n"/>
      <c r="D362" s="12" t="n"/>
      <c r="E362" s="12" t="n"/>
      <c r="F362" s="12" t="n"/>
      <c r="G362" s="20" t="n"/>
      <c r="H362" s="12" t="n"/>
    </row>
    <row r="363">
      <c r="A363" s="14" t="n"/>
      <c r="B363" s="12" t="n"/>
      <c r="C363" s="12" t="n"/>
      <c r="D363" s="12" t="n"/>
      <c r="E363" s="12" t="n"/>
      <c r="F363" s="12" t="n"/>
      <c r="G363" s="20" t="n"/>
      <c r="H363" s="12" t="n"/>
    </row>
    <row r="364">
      <c r="A364" s="14" t="n"/>
      <c r="B364" s="12" t="n"/>
      <c r="C364" s="12" t="n"/>
      <c r="D364" s="12" t="n"/>
      <c r="E364" s="12" t="n"/>
      <c r="F364" s="12" t="n"/>
      <c r="G364" s="20" t="n"/>
      <c r="H364" s="12" t="n"/>
    </row>
    <row r="365">
      <c r="A365" s="14" t="n"/>
      <c r="B365" s="12" t="n"/>
      <c r="C365" s="12" t="n"/>
      <c r="D365" s="12" t="n"/>
      <c r="E365" s="12" t="n"/>
      <c r="F365" s="12" t="n"/>
      <c r="G365" s="20" t="n"/>
      <c r="H365" s="12" t="n"/>
    </row>
    <row r="366">
      <c r="A366" s="14" t="n"/>
      <c r="B366" s="12" t="n"/>
      <c r="C366" s="12" t="n"/>
      <c r="D366" s="12" t="n"/>
      <c r="E366" s="12" t="n"/>
      <c r="F366" s="12" t="n"/>
      <c r="G366" s="20" t="n"/>
      <c r="H366" s="12" t="n"/>
    </row>
    <row r="367">
      <c r="A367" s="14" t="n"/>
      <c r="B367" s="12" t="n"/>
      <c r="C367" s="12" t="n"/>
      <c r="D367" s="12" t="n"/>
      <c r="E367" s="12" t="n"/>
      <c r="F367" s="12" t="n"/>
      <c r="G367" s="20" t="n"/>
      <c r="H367" s="12" t="n"/>
    </row>
    <row r="368">
      <c r="A368" s="14" t="n"/>
      <c r="B368" s="12" t="n"/>
      <c r="C368" s="12" t="n"/>
      <c r="D368" s="12" t="n"/>
      <c r="E368" s="12" t="n"/>
      <c r="F368" s="12" t="n"/>
      <c r="G368" s="20" t="n"/>
      <c r="H368" s="12" t="n"/>
    </row>
    <row r="369">
      <c r="A369" s="14" t="n"/>
      <c r="B369" s="12" t="n"/>
      <c r="C369" s="12" t="n"/>
      <c r="D369" s="12" t="n"/>
      <c r="E369" s="12" t="n"/>
      <c r="F369" s="12" t="n"/>
      <c r="G369" s="20" t="n"/>
      <c r="H369" s="12" t="n"/>
    </row>
    <row r="370">
      <c r="A370" s="14" t="n"/>
      <c r="B370" s="12" t="n"/>
      <c r="C370" s="12" t="n"/>
      <c r="D370" s="12" t="n"/>
      <c r="E370" s="12" t="n"/>
      <c r="F370" s="12" t="n"/>
      <c r="G370" s="20" t="n"/>
      <c r="H370" s="12" t="n"/>
    </row>
    <row r="371">
      <c r="A371" s="14" t="n"/>
      <c r="B371" s="12" t="n"/>
      <c r="C371" s="12" t="n"/>
      <c r="D371" s="12" t="n"/>
      <c r="E371" s="12" t="n"/>
      <c r="F371" s="12" t="n"/>
      <c r="G371" s="20" t="n"/>
      <c r="H371" s="12" t="n"/>
    </row>
    <row r="372">
      <c r="A372" s="14" t="n"/>
      <c r="B372" s="12" t="n"/>
      <c r="C372" s="12" t="n"/>
      <c r="D372" s="12" t="n"/>
      <c r="E372" s="12" t="n"/>
      <c r="F372" s="12" t="n"/>
      <c r="G372" s="20" t="n"/>
      <c r="H372" s="12" t="n"/>
    </row>
    <row r="373">
      <c r="A373" s="14" t="n"/>
      <c r="B373" s="12" t="n"/>
      <c r="C373" s="12" t="n"/>
      <c r="D373" s="12" t="n"/>
      <c r="E373" s="12" t="n"/>
      <c r="F373" s="12" t="n"/>
      <c r="G373" s="20" t="n"/>
      <c r="H373" s="12" t="n"/>
    </row>
    <row r="374">
      <c r="A374" s="14" t="n"/>
      <c r="B374" s="12" t="n"/>
      <c r="C374" s="12" t="n"/>
      <c r="D374" s="12" t="n"/>
      <c r="E374" s="12" t="n"/>
      <c r="F374" s="12" t="n"/>
      <c r="G374" s="20" t="n"/>
      <c r="H374" s="12" t="n"/>
    </row>
    <row r="375">
      <c r="A375" s="14" t="n"/>
      <c r="B375" s="12" t="n"/>
      <c r="C375" s="12" t="n"/>
      <c r="D375" s="12" t="n"/>
      <c r="E375" s="12" t="n"/>
      <c r="F375" s="12" t="n"/>
      <c r="G375" s="20" t="n"/>
      <c r="H375" s="12" t="n"/>
    </row>
    <row r="376">
      <c r="A376" s="14" t="n"/>
      <c r="B376" s="12" t="n"/>
      <c r="C376" s="12" t="n"/>
      <c r="D376" s="12" t="n"/>
      <c r="E376" s="12" t="n"/>
      <c r="F376" s="12" t="n"/>
      <c r="G376" s="20" t="n"/>
      <c r="H376" s="12" t="n"/>
    </row>
    <row r="377">
      <c r="A377" s="14" t="n"/>
      <c r="B377" s="12" t="n"/>
      <c r="C377" s="12" t="n"/>
      <c r="D377" s="12" t="n"/>
      <c r="E377" s="12" t="n"/>
      <c r="F377" s="12" t="n"/>
      <c r="G377" s="20" t="n"/>
      <c r="H377" s="12" t="n"/>
    </row>
    <row r="378">
      <c r="A378" s="14" t="n"/>
      <c r="B378" s="12" t="n"/>
      <c r="C378" s="12" t="n"/>
      <c r="D378" s="12" t="n"/>
      <c r="E378" s="12" t="n"/>
      <c r="F378" s="12" t="n"/>
      <c r="G378" s="20" t="n"/>
      <c r="H378" s="12" t="n"/>
    </row>
    <row r="379">
      <c r="A379" s="14" t="n"/>
      <c r="B379" s="12" t="n"/>
      <c r="C379" s="12" t="n"/>
      <c r="D379" s="12" t="n"/>
      <c r="E379" s="12" t="n"/>
      <c r="F379" s="12" t="n"/>
      <c r="G379" s="20" t="n"/>
      <c r="H379" s="12" t="n"/>
    </row>
    <row r="380">
      <c r="A380" s="14" t="n"/>
      <c r="B380" s="12" t="n"/>
      <c r="C380" s="12" t="n"/>
      <c r="D380" s="12" t="n"/>
      <c r="E380" s="12" t="n"/>
      <c r="F380" s="12" t="n"/>
      <c r="G380" s="20" t="n"/>
      <c r="H380" s="12" t="n"/>
    </row>
    <row r="381">
      <c r="A381" s="14" t="n"/>
      <c r="B381" s="12" t="n"/>
      <c r="C381" s="12" t="n"/>
      <c r="D381" s="12" t="n"/>
      <c r="E381" s="12" t="n"/>
      <c r="F381" s="12" t="n"/>
      <c r="G381" s="20" t="n"/>
      <c r="H381" s="12" t="n"/>
    </row>
    <row r="382">
      <c r="A382" s="14" t="n"/>
      <c r="B382" s="12" t="n"/>
      <c r="C382" s="12" t="n"/>
      <c r="D382" s="12" t="n"/>
      <c r="E382" s="12" t="n"/>
      <c r="F382" s="12" t="n"/>
      <c r="G382" s="20" t="n"/>
      <c r="H382" s="12" t="n"/>
    </row>
    <row r="383">
      <c r="A383" s="14" t="n"/>
      <c r="B383" s="12" t="n"/>
      <c r="C383" s="12" t="n"/>
      <c r="D383" s="12" t="n"/>
      <c r="E383" s="12" t="n"/>
      <c r="F383" s="12" t="n"/>
      <c r="G383" s="20" t="n"/>
      <c r="H383" s="12" t="n"/>
    </row>
    <row r="384">
      <c r="A384" s="14" t="n"/>
      <c r="B384" s="12" t="n"/>
      <c r="C384" s="12" t="n"/>
      <c r="D384" s="12" t="n"/>
      <c r="E384" s="12" t="n"/>
      <c r="F384" s="12" t="n"/>
      <c r="G384" s="20" t="n"/>
      <c r="H384" s="12" t="n"/>
    </row>
    <row r="385">
      <c r="A385" s="14" t="n"/>
      <c r="B385" s="12" t="n"/>
      <c r="C385" s="12" t="n"/>
      <c r="D385" s="12" t="n"/>
      <c r="E385" s="12" t="n"/>
      <c r="F385" s="12" t="n"/>
      <c r="G385" s="20" t="n"/>
      <c r="H385" s="12" t="n"/>
    </row>
    <row r="386">
      <c r="A386" s="14" t="n"/>
      <c r="B386" s="12" t="n"/>
      <c r="C386" s="12" t="n"/>
      <c r="D386" s="12" t="n"/>
      <c r="E386" s="12" t="n"/>
      <c r="F386" s="12" t="n"/>
      <c r="G386" s="20" t="n"/>
      <c r="H386" s="12" t="n"/>
    </row>
    <row r="387">
      <c r="A387" s="14" t="n"/>
      <c r="B387" s="12" t="n"/>
      <c r="C387" s="12" t="n"/>
      <c r="D387" s="12" t="n"/>
      <c r="E387" s="12" t="n"/>
      <c r="F387" s="12" t="n"/>
      <c r="G387" s="20" t="n"/>
      <c r="H387" s="12" t="n"/>
    </row>
    <row r="388">
      <c r="A388" s="14" t="n"/>
      <c r="B388" s="12" t="n"/>
      <c r="C388" s="12" t="n"/>
      <c r="D388" s="12" t="n"/>
      <c r="E388" s="12" t="n"/>
      <c r="F388" s="12" t="n"/>
      <c r="G388" s="20" t="n"/>
      <c r="H388" s="12" t="n"/>
    </row>
    <row r="389">
      <c r="A389" s="14" t="n"/>
      <c r="B389" s="12" t="n"/>
      <c r="C389" s="12" t="n"/>
      <c r="D389" s="12" t="n"/>
      <c r="E389" s="12" t="n"/>
      <c r="F389" s="12" t="n"/>
      <c r="G389" s="20" t="n"/>
      <c r="H389" s="12" t="n"/>
    </row>
    <row r="390">
      <c r="A390" s="14" t="n"/>
      <c r="B390" s="12" t="n"/>
      <c r="C390" s="12" t="n"/>
      <c r="D390" s="12" t="n"/>
      <c r="E390" s="12" t="n"/>
      <c r="F390" s="12" t="n"/>
      <c r="G390" s="20" t="n"/>
      <c r="H390" s="12" t="n"/>
    </row>
    <row r="391">
      <c r="A391" s="14" t="n"/>
      <c r="B391" s="12" t="n"/>
      <c r="C391" s="12" t="n"/>
      <c r="D391" s="12" t="n"/>
      <c r="E391" s="12" t="n"/>
      <c r="F391" s="12" t="n"/>
      <c r="G391" s="20" t="n"/>
      <c r="H391" s="12" t="n"/>
    </row>
    <row r="392">
      <c r="A392" s="14" t="n"/>
      <c r="B392" s="12" t="n"/>
      <c r="C392" s="12" t="n"/>
      <c r="D392" s="12" t="n"/>
      <c r="E392" s="12" t="n"/>
      <c r="F392" s="12" t="n"/>
      <c r="G392" s="20" t="n"/>
      <c r="H392" s="12" t="n"/>
    </row>
    <row r="393">
      <c r="A393" s="14" t="n"/>
      <c r="B393" s="12" t="n"/>
      <c r="C393" s="12" t="n"/>
      <c r="D393" s="12" t="n"/>
      <c r="E393" s="12" t="n"/>
      <c r="F393" s="12" t="n"/>
      <c r="G393" s="20" t="n"/>
      <c r="H393" s="12" t="n"/>
    </row>
    <row r="394">
      <c r="A394" s="14" t="n"/>
      <c r="B394" s="12" t="n"/>
      <c r="C394" s="12" t="n"/>
      <c r="D394" s="12" t="n"/>
      <c r="E394" s="12" t="n"/>
      <c r="F394" s="12" t="n"/>
      <c r="G394" s="20" t="n"/>
      <c r="H394" s="12" t="n"/>
    </row>
    <row r="395">
      <c r="A395" s="14" t="n"/>
      <c r="B395" s="12" t="n"/>
      <c r="C395" s="12" t="n"/>
      <c r="D395" s="12" t="n"/>
      <c r="E395" s="12" t="n"/>
      <c r="F395" s="12" t="n"/>
      <c r="G395" s="20" t="n"/>
      <c r="H395" s="12" t="n"/>
    </row>
    <row r="396">
      <c r="A396" s="14" t="n"/>
      <c r="B396" s="12" t="n"/>
      <c r="C396" s="12" t="n"/>
      <c r="D396" s="12" t="n"/>
      <c r="E396" s="12" t="n"/>
      <c r="F396" s="12" t="n"/>
      <c r="G396" s="20" t="n"/>
      <c r="H396" s="12" t="n"/>
    </row>
    <row r="397">
      <c r="A397" s="14" t="n"/>
      <c r="B397" s="12" t="n"/>
      <c r="C397" s="12" t="n"/>
      <c r="D397" s="12" t="n"/>
      <c r="E397" s="12" t="n"/>
      <c r="F397" s="12" t="n"/>
      <c r="G397" s="20" t="n"/>
      <c r="H397" s="12" t="n"/>
    </row>
    <row r="398">
      <c r="A398" s="14" t="n"/>
      <c r="B398" s="12" t="n"/>
      <c r="C398" s="12" t="n"/>
      <c r="D398" s="12" t="n"/>
      <c r="E398" s="12" t="n"/>
      <c r="F398" s="12" t="n"/>
      <c r="G398" s="20" t="n"/>
      <c r="H398" s="12" t="n"/>
    </row>
    <row r="399">
      <c r="A399" s="14" t="n"/>
      <c r="B399" s="12" t="n"/>
      <c r="C399" s="12" t="n"/>
      <c r="D399" s="12" t="n"/>
      <c r="E399" s="12" t="n"/>
      <c r="F399" s="12" t="n"/>
      <c r="G399" s="20" t="n"/>
      <c r="H399" s="12" t="n"/>
    </row>
    <row r="400">
      <c r="A400" s="14" t="n"/>
      <c r="B400" s="12" t="n"/>
      <c r="C400" s="12" t="n"/>
      <c r="D400" s="12" t="n"/>
      <c r="E400" s="12" t="n"/>
      <c r="F400" s="12" t="n"/>
      <c r="G400" s="20" t="n"/>
      <c r="H400" s="12" t="n"/>
    </row>
    <row r="401">
      <c r="A401" s="14" t="n"/>
      <c r="B401" s="12" t="n"/>
      <c r="C401" s="12" t="n"/>
      <c r="D401" s="12" t="n"/>
      <c r="E401" s="12" t="n"/>
      <c r="F401" s="12" t="n"/>
      <c r="G401" s="20" t="n"/>
      <c r="H401" s="12" t="n"/>
    </row>
  </sheetData>
  <autoFilter ref="A1:H401"/>
  <dataValidations count="3">
    <dataValidation sqref="B2:B401" showDropDown="0" showInputMessage="0" showErrorMessage="0" allowBlank="1" type="list">
      <formula1>Clients!$A$2:$A$201</formula1>
    </dataValidation>
    <dataValidation sqref="E2:E401" showDropDown="0" showInputMessage="0" showErrorMessage="0" allowBlank="1" type="list">
      <formula1>Lists!$F$2:$F$6</formula1>
    </dataValidation>
    <dataValidation sqref="F2:F401" showDropDown="0" showInputMessage="0" showErrorMessage="0" allowBlank="1" type="list">
      <formula1>Lists!$D$2:$D$5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1" customWidth="1" min="3" max="3"/>
    <col width="9" customWidth="1" min="4" max="4"/>
    <col width="10" customWidth="1" min="5" max="5"/>
    <col width="9" customWidth="1" min="6" max="6"/>
    <col width="11" customWidth="1" min="7" max="7"/>
    <col width="9" customWidth="1" min="8" max="8"/>
    <col width="10" customWidth="1" min="9" max="9"/>
    <col width="12" customWidth="1" min="10" max="10"/>
    <col width="11" customWidth="1" min="11" max="11"/>
    <col width="12" customWidth="1" min="12" max="12"/>
    <col width="9" customWidth="1" min="13" max="13"/>
    <col width="9" customWidth="1" min="14" max="14"/>
    <col width="13" customWidth="1" min="15" max="15"/>
    <col width="28" customWidth="1" min="16" max="16"/>
  </cols>
  <sheetData>
    <row r="1" ht="34" customHeight="1">
      <c r="A1" s="7" t="inlineStr">
        <is>
          <t>Client</t>
        </is>
      </c>
      <c r="B1" s="7" t="inlineStr">
        <is>
          <t>Month (1st)</t>
        </is>
      </c>
      <c r="C1" s="7" t="inlineStr">
        <is>
          <t>Package</t>
        </is>
      </c>
      <c r="D1" s="7" t="inlineStr">
        <is>
          <t>Videos due</t>
        </is>
      </c>
      <c r="E1" s="7" t="inlineStr">
        <is>
          <t>Videos delivered</t>
        </is>
      </c>
      <c r="F1" s="7" t="inlineStr">
        <is>
          <t>Delivery %</t>
        </is>
      </c>
      <c r="G1" s="7" t="inlineStr">
        <is>
          <t>Views 24 h (total)</t>
        </is>
      </c>
      <c r="H1" s="7" t="inlineStr">
        <is>
          <t>Enquiries</t>
        </is>
      </c>
      <c r="I1" s="7" t="inlineStr">
        <is>
          <t>Bookings + sales</t>
        </is>
      </c>
      <c r="J1" s="7" t="inlineStr">
        <is>
          <t>Value reported (AED)</t>
        </is>
      </c>
      <c r="K1" s="7" t="inlineStr">
        <is>
          <t>Monthly fee (AED)</t>
        </is>
      </c>
      <c r="L1" s="7" t="inlineStr">
        <is>
          <t>Invoice amount (AED)</t>
        </is>
      </c>
      <c r="M1" s="7" t="inlineStr">
        <is>
          <t>Report sent (Y/N)</t>
        </is>
      </c>
      <c r="N1" s="7" t="inlineStr">
        <is>
          <t>Invoice sent (Y/N)</t>
        </is>
      </c>
      <c r="O1" s="7" t="inlineStr">
        <is>
          <t>Paid on</t>
        </is>
      </c>
      <c r="P1" s="7" t="inlineStr">
        <is>
          <t>Notes</t>
        </is>
      </c>
    </row>
    <row r="2">
      <c r="A2" s="8" t="inlineStr">
        <is>
          <t>EXAMPLE Spa Co</t>
        </is>
      </c>
      <c r="B2" s="16" t="n">
        <v>46327</v>
      </c>
      <c r="C2" s="22">
        <f>IF(A2="","",IFERROR(INDEX(Clients!$G:$G,MATCH(A2,Clients!$A:$A,0)),""))</f>
        <v/>
      </c>
      <c r="D2" s="9">
        <f>IF(C2="","",IFERROR(INDEX(Packages!$C:$C,MATCH(C2,Packages!$A:$A,0)),""))</f>
        <v/>
      </c>
      <c r="E2" s="9">
        <f>IF(OR(A2="",B2=""),"",COUNTIFS(Uploads!$A:$A,$A2,Uploads!$B:$B,"&gt;="&amp;$B2,Uploads!$B:$B,"&lt;"&amp;EDATE($B2,1)))</f>
        <v/>
      </c>
      <c r="F2" s="23">
        <f>IF(OR(D2="",D2=0,E2=""),"",MIN(1,E2/D2))</f>
        <v/>
      </c>
      <c r="G2" s="9">
        <f>IF(OR(A2="",B2=""),"",SUMIFS(Uploads!$G:$G,Uploads!$A:$A,$A2,Uploads!$B:$B,"&gt;="&amp;$B2,Uploads!$B:$B,"&lt;"&amp;EDATE($B2,1)))</f>
        <v/>
      </c>
      <c r="H2" s="9">
        <f>IF(OR(A2="",B2=""),"",COUNTIFS(Enquiries!$B:$B,$A2,Enquiries!$A:$A,"&gt;="&amp;$B2,Enquiries!$A:$A,"&lt;"&amp;EDATE($B2,1)))</f>
        <v/>
      </c>
      <c r="I2" s="9">
        <f>IF(OR(A2="",B2=""),"",COUNTIFS(Enquiries!$B:$B,$A2,Enquiries!$F:$F,"Booked",Enquiries!$A:$A,"&gt;="&amp;$B2,Enquiries!$A:$A,"&lt;"&amp;EDATE($B2,1))+COUNTIFS(Enquiries!$B:$B,$A2,Enquiries!$F:$F,"Bought",Enquiries!$A:$A,"&gt;="&amp;$B2,Enquiries!$A:$A,"&lt;"&amp;EDATE($B2,1)))</f>
        <v/>
      </c>
      <c r="J2" s="9">
        <f>IF(OR(A2="",B2=""),"",SUMIFS(Enquiries!$G:$G,Enquiries!$B:$B,$A2,Enquiries!$A:$A,"&gt;="&amp;$B2,Enquiries!$A:$A,"&lt;"&amp;EDATE($B2,1)))</f>
        <v/>
      </c>
      <c r="K2" s="9">
        <f>IF(C2="","",IFERROR(INDEX(Packages!$B:$B,MATCH(C2,Packages!$A:$A,0)),""))</f>
        <v/>
      </c>
      <c r="L2" s="9">
        <f>IF(OR(K2="",F2=""),"",K2*F2)</f>
        <v/>
      </c>
      <c r="M2" s="8" t="inlineStr">
        <is>
          <t>Y</t>
        </is>
      </c>
      <c r="N2" s="8" t="inlineStr">
        <is>
          <t>Y</t>
        </is>
      </c>
      <c r="O2" s="10" t="n">
        <v>46359</v>
      </c>
      <c r="P2" s="8" t="n"/>
    </row>
    <row r="3">
      <c r="A3" s="12" t="n"/>
      <c r="B3" s="17" t="n"/>
      <c r="C3" s="24">
        <f>IF(A3="","",IFERROR(INDEX(Clients!$G:$G,MATCH(A3,Clients!$A:$A,0)),""))</f>
        <v/>
      </c>
      <c r="D3" s="13">
        <f>IF(C3="","",IFERROR(INDEX(Packages!$C:$C,MATCH(C3,Packages!$A:$A,0)),""))</f>
        <v/>
      </c>
      <c r="E3" s="13">
        <f>IF(OR(A3="",B3=""),"",COUNTIFS(Uploads!$A:$A,$A3,Uploads!$B:$B,"&gt;="&amp;$B3,Uploads!$B:$B,"&lt;"&amp;EDATE($B3,1)))</f>
        <v/>
      </c>
      <c r="F3" s="25">
        <f>IF(OR(D3="",D3=0,E3=""),"",MIN(1,E3/D3))</f>
        <v/>
      </c>
      <c r="G3" s="13">
        <f>IF(OR(A3="",B3=""),"",SUMIFS(Uploads!$G:$G,Uploads!$A:$A,$A3,Uploads!$B:$B,"&gt;="&amp;$B3,Uploads!$B:$B,"&lt;"&amp;EDATE($B3,1)))</f>
        <v/>
      </c>
      <c r="H3" s="13">
        <f>IF(OR(A3="",B3=""),"",COUNTIFS(Enquiries!$B:$B,$A3,Enquiries!$A:$A,"&gt;="&amp;$B3,Enquiries!$A:$A,"&lt;"&amp;EDATE($B3,1)))</f>
        <v/>
      </c>
      <c r="I3" s="13">
        <f>IF(OR(A3="",B3=""),"",COUNTIFS(Enquiries!$B:$B,$A3,Enquiries!$F:$F,"Booked",Enquiries!$A:$A,"&gt;="&amp;$B3,Enquiries!$A:$A,"&lt;"&amp;EDATE($B3,1))+COUNTIFS(Enquiries!$B:$B,$A3,Enquiries!$F:$F,"Bought",Enquiries!$A:$A,"&gt;="&amp;$B3,Enquiries!$A:$A,"&lt;"&amp;EDATE($B3,1)))</f>
        <v/>
      </c>
      <c r="J3" s="13">
        <f>IF(OR(A3="",B3=""),"",SUMIFS(Enquiries!$G:$G,Enquiries!$B:$B,$A3,Enquiries!$A:$A,"&gt;="&amp;$B3,Enquiries!$A:$A,"&lt;"&amp;EDATE($B3,1)))</f>
        <v/>
      </c>
      <c r="K3" s="13">
        <f>IF(C3="","",IFERROR(INDEX(Packages!$B:$B,MATCH(C3,Packages!$A:$A,0)),""))</f>
        <v/>
      </c>
      <c r="L3" s="13">
        <f>IF(OR(K3="",F3=""),"",K3*F3)</f>
        <v/>
      </c>
      <c r="M3" s="12" t="n"/>
      <c r="N3" s="12" t="n"/>
      <c r="O3" s="14" t="n"/>
      <c r="P3" s="12" t="n"/>
    </row>
    <row r="4">
      <c r="A4" s="12" t="n"/>
      <c r="B4" s="17" t="n"/>
      <c r="C4" s="24">
        <f>IF(A4="","",IFERROR(INDEX(Clients!$G:$G,MATCH(A4,Clients!$A:$A,0)),""))</f>
        <v/>
      </c>
      <c r="D4" s="13">
        <f>IF(C4="","",IFERROR(INDEX(Packages!$C:$C,MATCH(C4,Packages!$A:$A,0)),""))</f>
        <v/>
      </c>
      <c r="E4" s="13">
        <f>IF(OR(A4="",B4=""),"",COUNTIFS(Uploads!$A:$A,$A4,Uploads!$B:$B,"&gt;="&amp;$B4,Uploads!$B:$B,"&lt;"&amp;EDATE($B4,1)))</f>
        <v/>
      </c>
      <c r="F4" s="25">
        <f>IF(OR(D4="",D4=0,E4=""),"",MIN(1,E4/D4))</f>
        <v/>
      </c>
      <c r="G4" s="13">
        <f>IF(OR(A4="",B4=""),"",SUMIFS(Uploads!$G:$G,Uploads!$A:$A,$A4,Uploads!$B:$B,"&gt;="&amp;$B4,Uploads!$B:$B,"&lt;"&amp;EDATE($B4,1)))</f>
        <v/>
      </c>
      <c r="H4" s="13">
        <f>IF(OR(A4="",B4=""),"",COUNTIFS(Enquiries!$B:$B,$A4,Enquiries!$A:$A,"&gt;="&amp;$B4,Enquiries!$A:$A,"&lt;"&amp;EDATE($B4,1)))</f>
        <v/>
      </c>
      <c r="I4" s="13">
        <f>IF(OR(A4="",B4=""),"",COUNTIFS(Enquiries!$B:$B,$A4,Enquiries!$F:$F,"Booked",Enquiries!$A:$A,"&gt;="&amp;$B4,Enquiries!$A:$A,"&lt;"&amp;EDATE($B4,1))+COUNTIFS(Enquiries!$B:$B,$A4,Enquiries!$F:$F,"Bought",Enquiries!$A:$A,"&gt;="&amp;$B4,Enquiries!$A:$A,"&lt;"&amp;EDATE($B4,1)))</f>
        <v/>
      </c>
      <c r="J4" s="13">
        <f>IF(OR(A4="",B4=""),"",SUMIFS(Enquiries!$G:$G,Enquiries!$B:$B,$A4,Enquiries!$A:$A,"&gt;="&amp;$B4,Enquiries!$A:$A,"&lt;"&amp;EDATE($B4,1)))</f>
        <v/>
      </c>
      <c r="K4" s="13">
        <f>IF(C4="","",IFERROR(INDEX(Packages!$B:$B,MATCH(C4,Packages!$A:$A,0)),""))</f>
        <v/>
      </c>
      <c r="L4" s="13">
        <f>IF(OR(K4="",F4=""),"",K4*F4)</f>
        <v/>
      </c>
      <c r="M4" s="12" t="n"/>
      <c r="N4" s="12" t="n"/>
      <c r="O4" s="14" t="n"/>
      <c r="P4" s="12" t="n"/>
    </row>
    <row r="5">
      <c r="A5" s="12" t="n"/>
      <c r="B5" s="17" t="n"/>
      <c r="C5" s="24">
        <f>IF(A5="","",IFERROR(INDEX(Clients!$G:$G,MATCH(A5,Clients!$A:$A,0)),""))</f>
        <v/>
      </c>
      <c r="D5" s="13">
        <f>IF(C5="","",IFERROR(INDEX(Packages!$C:$C,MATCH(C5,Packages!$A:$A,0)),""))</f>
        <v/>
      </c>
      <c r="E5" s="13">
        <f>IF(OR(A5="",B5=""),"",COUNTIFS(Uploads!$A:$A,$A5,Uploads!$B:$B,"&gt;="&amp;$B5,Uploads!$B:$B,"&lt;"&amp;EDATE($B5,1)))</f>
        <v/>
      </c>
      <c r="F5" s="25">
        <f>IF(OR(D5="",D5=0,E5=""),"",MIN(1,E5/D5))</f>
        <v/>
      </c>
      <c r="G5" s="13">
        <f>IF(OR(A5="",B5=""),"",SUMIFS(Uploads!$G:$G,Uploads!$A:$A,$A5,Uploads!$B:$B,"&gt;="&amp;$B5,Uploads!$B:$B,"&lt;"&amp;EDATE($B5,1)))</f>
        <v/>
      </c>
      <c r="H5" s="13">
        <f>IF(OR(A5="",B5=""),"",COUNTIFS(Enquiries!$B:$B,$A5,Enquiries!$A:$A,"&gt;="&amp;$B5,Enquiries!$A:$A,"&lt;"&amp;EDATE($B5,1)))</f>
        <v/>
      </c>
      <c r="I5" s="13">
        <f>IF(OR(A5="",B5=""),"",COUNTIFS(Enquiries!$B:$B,$A5,Enquiries!$F:$F,"Booked",Enquiries!$A:$A,"&gt;="&amp;$B5,Enquiries!$A:$A,"&lt;"&amp;EDATE($B5,1))+COUNTIFS(Enquiries!$B:$B,$A5,Enquiries!$F:$F,"Bought",Enquiries!$A:$A,"&gt;="&amp;$B5,Enquiries!$A:$A,"&lt;"&amp;EDATE($B5,1)))</f>
        <v/>
      </c>
      <c r="J5" s="13">
        <f>IF(OR(A5="",B5=""),"",SUMIFS(Enquiries!$G:$G,Enquiries!$B:$B,$A5,Enquiries!$A:$A,"&gt;="&amp;$B5,Enquiries!$A:$A,"&lt;"&amp;EDATE($B5,1)))</f>
        <v/>
      </c>
      <c r="K5" s="13">
        <f>IF(C5="","",IFERROR(INDEX(Packages!$B:$B,MATCH(C5,Packages!$A:$A,0)),""))</f>
        <v/>
      </c>
      <c r="L5" s="13">
        <f>IF(OR(K5="",F5=""),"",K5*F5)</f>
        <v/>
      </c>
      <c r="M5" s="12" t="n"/>
      <c r="N5" s="12" t="n"/>
      <c r="O5" s="14" t="n"/>
      <c r="P5" s="12" t="n"/>
    </row>
    <row r="6">
      <c r="A6" s="12" t="n"/>
      <c r="B6" s="17" t="n"/>
      <c r="C6" s="24">
        <f>IF(A6="","",IFERROR(INDEX(Clients!$G:$G,MATCH(A6,Clients!$A:$A,0)),""))</f>
        <v/>
      </c>
      <c r="D6" s="13">
        <f>IF(C6="","",IFERROR(INDEX(Packages!$C:$C,MATCH(C6,Packages!$A:$A,0)),""))</f>
        <v/>
      </c>
      <c r="E6" s="13">
        <f>IF(OR(A6="",B6=""),"",COUNTIFS(Uploads!$A:$A,$A6,Uploads!$B:$B,"&gt;="&amp;$B6,Uploads!$B:$B,"&lt;"&amp;EDATE($B6,1)))</f>
        <v/>
      </c>
      <c r="F6" s="25">
        <f>IF(OR(D6="",D6=0,E6=""),"",MIN(1,E6/D6))</f>
        <v/>
      </c>
      <c r="G6" s="13">
        <f>IF(OR(A6="",B6=""),"",SUMIFS(Uploads!$G:$G,Uploads!$A:$A,$A6,Uploads!$B:$B,"&gt;="&amp;$B6,Uploads!$B:$B,"&lt;"&amp;EDATE($B6,1)))</f>
        <v/>
      </c>
      <c r="H6" s="13">
        <f>IF(OR(A6="",B6=""),"",COUNTIFS(Enquiries!$B:$B,$A6,Enquiries!$A:$A,"&gt;="&amp;$B6,Enquiries!$A:$A,"&lt;"&amp;EDATE($B6,1)))</f>
        <v/>
      </c>
      <c r="I6" s="13">
        <f>IF(OR(A6="",B6=""),"",COUNTIFS(Enquiries!$B:$B,$A6,Enquiries!$F:$F,"Booked",Enquiries!$A:$A,"&gt;="&amp;$B6,Enquiries!$A:$A,"&lt;"&amp;EDATE($B6,1))+COUNTIFS(Enquiries!$B:$B,$A6,Enquiries!$F:$F,"Bought",Enquiries!$A:$A,"&gt;="&amp;$B6,Enquiries!$A:$A,"&lt;"&amp;EDATE($B6,1)))</f>
        <v/>
      </c>
      <c r="J6" s="13">
        <f>IF(OR(A6="",B6=""),"",SUMIFS(Enquiries!$G:$G,Enquiries!$B:$B,$A6,Enquiries!$A:$A,"&gt;="&amp;$B6,Enquiries!$A:$A,"&lt;"&amp;EDATE($B6,1)))</f>
        <v/>
      </c>
      <c r="K6" s="13">
        <f>IF(C6="","",IFERROR(INDEX(Packages!$B:$B,MATCH(C6,Packages!$A:$A,0)),""))</f>
        <v/>
      </c>
      <c r="L6" s="13">
        <f>IF(OR(K6="",F6=""),"",K6*F6)</f>
        <v/>
      </c>
      <c r="M6" s="12" t="n"/>
      <c r="N6" s="12" t="n"/>
      <c r="O6" s="14" t="n"/>
      <c r="P6" s="12" t="n"/>
    </row>
    <row r="7">
      <c r="A7" s="12" t="n"/>
      <c r="B7" s="17" t="n"/>
      <c r="C7" s="24">
        <f>IF(A7="","",IFERROR(INDEX(Clients!$G:$G,MATCH(A7,Clients!$A:$A,0)),""))</f>
        <v/>
      </c>
      <c r="D7" s="13">
        <f>IF(C7="","",IFERROR(INDEX(Packages!$C:$C,MATCH(C7,Packages!$A:$A,0)),""))</f>
        <v/>
      </c>
      <c r="E7" s="13">
        <f>IF(OR(A7="",B7=""),"",COUNTIFS(Uploads!$A:$A,$A7,Uploads!$B:$B,"&gt;="&amp;$B7,Uploads!$B:$B,"&lt;"&amp;EDATE($B7,1)))</f>
        <v/>
      </c>
      <c r="F7" s="25">
        <f>IF(OR(D7="",D7=0,E7=""),"",MIN(1,E7/D7))</f>
        <v/>
      </c>
      <c r="G7" s="13">
        <f>IF(OR(A7="",B7=""),"",SUMIFS(Uploads!$G:$G,Uploads!$A:$A,$A7,Uploads!$B:$B,"&gt;="&amp;$B7,Uploads!$B:$B,"&lt;"&amp;EDATE($B7,1)))</f>
        <v/>
      </c>
      <c r="H7" s="13">
        <f>IF(OR(A7="",B7=""),"",COUNTIFS(Enquiries!$B:$B,$A7,Enquiries!$A:$A,"&gt;="&amp;$B7,Enquiries!$A:$A,"&lt;"&amp;EDATE($B7,1)))</f>
        <v/>
      </c>
      <c r="I7" s="13">
        <f>IF(OR(A7="",B7=""),"",COUNTIFS(Enquiries!$B:$B,$A7,Enquiries!$F:$F,"Booked",Enquiries!$A:$A,"&gt;="&amp;$B7,Enquiries!$A:$A,"&lt;"&amp;EDATE($B7,1))+COUNTIFS(Enquiries!$B:$B,$A7,Enquiries!$F:$F,"Bought",Enquiries!$A:$A,"&gt;="&amp;$B7,Enquiries!$A:$A,"&lt;"&amp;EDATE($B7,1)))</f>
        <v/>
      </c>
      <c r="J7" s="13">
        <f>IF(OR(A7="",B7=""),"",SUMIFS(Enquiries!$G:$G,Enquiries!$B:$B,$A7,Enquiries!$A:$A,"&gt;="&amp;$B7,Enquiries!$A:$A,"&lt;"&amp;EDATE($B7,1)))</f>
        <v/>
      </c>
      <c r="K7" s="13">
        <f>IF(C7="","",IFERROR(INDEX(Packages!$B:$B,MATCH(C7,Packages!$A:$A,0)),""))</f>
        <v/>
      </c>
      <c r="L7" s="13">
        <f>IF(OR(K7="",F7=""),"",K7*F7)</f>
        <v/>
      </c>
      <c r="M7" s="12" t="n"/>
      <c r="N7" s="12" t="n"/>
      <c r="O7" s="14" t="n"/>
      <c r="P7" s="12" t="n"/>
    </row>
    <row r="8">
      <c r="A8" s="12" t="n"/>
      <c r="B8" s="17" t="n"/>
      <c r="C8" s="24">
        <f>IF(A8="","",IFERROR(INDEX(Clients!$G:$G,MATCH(A8,Clients!$A:$A,0)),""))</f>
        <v/>
      </c>
      <c r="D8" s="13">
        <f>IF(C8="","",IFERROR(INDEX(Packages!$C:$C,MATCH(C8,Packages!$A:$A,0)),""))</f>
        <v/>
      </c>
      <c r="E8" s="13">
        <f>IF(OR(A8="",B8=""),"",COUNTIFS(Uploads!$A:$A,$A8,Uploads!$B:$B,"&gt;="&amp;$B8,Uploads!$B:$B,"&lt;"&amp;EDATE($B8,1)))</f>
        <v/>
      </c>
      <c r="F8" s="25">
        <f>IF(OR(D8="",D8=0,E8=""),"",MIN(1,E8/D8))</f>
        <v/>
      </c>
      <c r="G8" s="13">
        <f>IF(OR(A8="",B8=""),"",SUMIFS(Uploads!$G:$G,Uploads!$A:$A,$A8,Uploads!$B:$B,"&gt;="&amp;$B8,Uploads!$B:$B,"&lt;"&amp;EDATE($B8,1)))</f>
        <v/>
      </c>
      <c r="H8" s="13">
        <f>IF(OR(A8="",B8=""),"",COUNTIFS(Enquiries!$B:$B,$A8,Enquiries!$A:$A,"&gt;="&amp;$B8,Enquiries!$A:$A,"&lt;"&amp;EDATE($B8,1)))</f>
        <v/>
      </c>
      <c r="I8" s="13">
        <f>IF(OR(A8="",B8=""),"",COUNTIFS(Enquiries!$B:$B,$A8,Enquiries!$F:$F,"Booked",Enquiries!$A:$A,"&gt;="&amp;$B8,Enquiries!$A:$A,"&lt;"&amp;EDATE($B8,1))+COUNTIFS(Enquiries!$B:$B,$A8,Enquiries!$F:$F,"Bought",Enquiries!$A:$A,"&gt;="&amp;$B8,Enquiries!$A:$A,"&lt;"&amp;EDATE($B8,1)))</f>
        <v/>
      </c>
      <c r="J8" s="13">
        <f>IF(OR(A8="",B8=""),"",SUMIFS(Enquiries!$G:$G,Enquiries!$B:$B,$A8,Enquiries!$A:$A,"&gt;="&amp;$B8,Enquiries!$A:$A,"&lt;"&amp;EDATE($B8,1)))</f>
        <v/>
      </c>
      <c r="K8" s="13">
        <f>IF(C8="","",IFERROR(INDEX(Packages!$B:$B,MATCH(C8,Packages!$A:$A,0)),""))</f>
        <v/>
      </c>
      <c r="L8" s="13">
        <f>IF(OR(K8="",F8=""),"",K8*F8)</f>
        <v/>
      </c>
      <c r="M8" s="12" t="n"/>
      <c r="N8" s="12" t="n"/>
      <c r="O8" s="14" t="n"/>
      <c r="P8" s="12" t="n"/>
    </row>
    <row r="9">
      <c r="A9" s="12" t="n"/>
      <c r="B9" s="17" t="n"/>
      <c r="C9" s="24">
        <f>IF(A9="","",IFERROR(INDEX(Clients!$G:$G,MATCH(A9,Clients!$A:$A,0)),""))</f>
        <v/>
      </c>
      <c r="D9" s="13">
        <f>IF(C9="","",IFERROR(INDEX(Packages!$C:$C,MATCH(C9,Packages!$A:$A,0)),""))</f>
        <v/>
      </c>
      <c r="E9" s="13">
        <f>IF(OR(A9="",B9=""),"",COUNTIFS(Uploads!$A:$A,$A9,Uploads!$B:$B,"&gt;="&amp;$B9,Uploads!$B:$B,"&lt;"&amp;EDATE($B9,1)))</f>
        <v/>
      </c>
      <c r="F9" s="25">
        <f>IF(OR(D9="",D9=0,E9=""),"",MIN(1,E9/D9))</f>
        <v/>
      </c>
      <c r="G9" s="13">
        <f>IF(OR(A9="",B9=""),"",SUMIFS(Uploads!$G:$G,Uploads!$A:$A,$A9,Uploads!$B:$B,"&gt;="&amp;$B9,Uploads!$B:$B,"&lt;"&amp;EDATE($B9,1)))</f>
        <v/>
      </c>
      <c r="H9" s="13">
        <f>IF(OR(A9="",B9=""),"",COUNTIFS(Enquiries!$B:$B,$A9,Enquiries!$A:$A,"&gt;="&amp;$B9,Enquiries!$A:$A,"&lt;"&amp;EDATE($B9,1)))</f>
        <v/>
      </c>
      <c r="I9" s="13">
        <f>IF(OR(A9="",B9=""),"",COUNTIFS(Enquiries!$B:$B,$A9,Enquiries!$F:$F,"Booked",Enquiries!$A:$A,"&gt;="&amp;$B9,Enquiries!$A:$A,"&lt;"&amp;EDATE($B9,1))+COUNTIFS(Enquiries!$B:$B,$A9,Enquiries!$F:$F,"Bought",Enquiries!$A:$A,"&gt;="&amp;$B9,Enquiries!$A:$A,"&lt;"&amp;EDATE($B9,1)))</f>
        <v/>
      </c>
      <c r="J9" s="13">
        <f>IF(OR(A9="",B9=""),"",SUMIFS(Enquiries!$G:$G,Enquiries!$B:$B,$A9,Enquiries!$A:$A,"&gt;="&amp;$B9,Enquiries!$A:$A,"&lt;"&amp;EDATE($B9,1)))</f>
        <v/>
      </c>
      <c r="K9" s="13">
        <f>IF(C9="","",IFERROR(INDEX(Packages!$B:$B,MATCH(C9,Packages!$A:$A,0)),""))</f>
        <v/>
      </c>
      <c r="L9" s="13">
        <f>IF(OR(K9="",F9=""),"",K9*F9)</f>
        <v/>
      </c>
      <c r="M9" s="12" t="n"/>
      <c r="N9" s="12" t="n"/>
      <c r="O9" s="14" t="n"/>
      <c r="P9" s="12" t="n"/>
    </row>
    <row r="10">
      <c r="A10" s="12" t="n"/>
      <c r="B10" s="17" t="n"/>
      <c r="C10" s="24">
        <f>IF(A10="","",IFERROR(INDEX(Clients!$G:$G,MATCH(A10,Clients!$A:$A,0)),""))</f>
        <v/>
      </c>
      <c r="D10" s="13">
        <f>IF(C10="","",IFERROR(INDEX(Packages!$C:$C,MATCH(C10,Packages!$A:$A,0)),""))</f>
        <v/>
      </c>
      <c r="E10" s="13">
        <f>IF(OR(A10="",B10=""),"",COUNTIFS(Uploads!$A:$A,$A10,Uploads!$B:$B,"&gt;="&amp;$B10,Uploads!$B:$B,"&lt;"&amp;EDATE($B10,1)))</f>
        <v/>
      </c>
      <c r="F10" s="25">
        <f>IF(OR(D10="",D10=0,E10=""),"",MIN(1,E10/D10))</f>
        <v/>
      </c>
      <c r="G10" s="13">
        <f>IF(OR(A10="",B10=""),"",SUMIFS(Uploads!$G:$G,Uploads!$A:$A,$A10,Uploads!$B:$B,"&gt;="&amp;$B10,Uploads!$B:$B,"&lt;"&amp;EDATE($B10,1)))</f>
        <v/>
      </c>
      <c r="H10" s="13">
        <f>IF(OR(A10="",B10=""),"",COUNTIFS(Enquiries!$B:$B,$A10,Enquiries!$A:$A,"&gt;="&amp;$B10,Enquiries!$A:$A,"&lt;"&amp;EDATE($B10,1)))</f>
        <v/>
      </c>
      <c r="I10" s="13">
        <f>IF(OR(A10="",B10=""),"",COUNTIFS(Enquiries!$B:$B,$A10,Enquiries!$F:$F,"Booked",Enquiries!$A:$A,"&gt;="&amp;$B10,Enquiries!$A:$A,"&lt;"&amp;EDATE($B10,1))+COUNTIFS(Enquiries!$B:$B,$A10,Enquiries!$F:$F,"Bought",Enquiries!$A:$A,"&gt;="&amp;$B10,Enquiries!$A:$A,"&lt;"&amp;EDATE($B10,1)))</f>
        <v/>
      </c>
      <c r="J10" s="13">
        <f>IF(OR(A10="",B10=""),"",SUMIFS(Enquiries!$G:$G,Enquiries!$B:$B,$A10,Enquiries!$A:$A,"&gt;="&amp;$B10,Enquiries!$A:$A,"&lt;"&amp;EDATE($B10,1)))</f>
        <v/>
      </c>
      <c r="K10" s="13">
        <f>IF(C10="","",IFERROR(INDEX(Packages!$B:$B,MATCH(C10,Packages!$A:$A,0)),""))</f>
        <v/>
      </c>
      <c r="L10" s="13">
        <f>IF(OR(K10="",F10=""),"",K10*F10)</f>
        <v/>
      </c>
      <c r="M10" s="12" t="n"/>
      <c r="N10" s="12" t="n"/>
      <c r="O10" s="14" t="n"/>
      <c r="P10" s="12" t="n"/>
    </row>
    <row r="11">
      <c r="A11" s="12" t="n"/>
      <c r="B11" s="17" t="n"/>
      <c r="C11" s="24">
        <f>IF(A11="","",IFERROR(INDEX(Clients!$G:$G,MATCH(A11,Clients!$A:$A,0)),""))</f>
        <v/>
      </c>
      <c r="D11" s="13">
        <f>IF(C11="","",IFERROR(INDEX(Packages!$C:$C,MATCH(C11,Packages!$A:$A,0)),""))</f>
        <v/>
      </c>
      <c r="E11" s="13">
        <f>IF(OR(A11="",B11=""),"",COUNTIFS(Uploads!$A:$A,$A11,Uploads!$B:$B,"&gt;="&amp;$B11,Uploads!$B:$B,"&lt;"&amp;EDATE($B11,1)))</f>
        <v/>
      </c>
      <c r="F11" s="25">
        <f>IF(OR(D11="",D11=0,E11=""),"",MIN(1,E11/D11))</f>
        <v/>
      </c>
      <c r="G11" s="13">
        <f>IF(OR(A11="",B11=""),"",SUMIFS(Uploads!$G:$G,Uploads!$A:$A,$A11,Uploads!$B:$B,"&gt;="&amp;$B11,Uploads!$B:$B,"&lt;"&amp;EDATE($B11,1)))</f>
        <v/>
      </c>
      <c r="H11" s="13">
        <f>IF(OR(A11="",B11=""),"",COUNTIFS(Enquiries!$B:$B,$A11,Enquiries!$A:$A,"&gt;="&amp;$B11,Enquiries!$A:$A,"&lt;"&amp;EDATE($B11,1)))</f>
        <v/>
      </c>
      <c r="I11" s="13">
        <f>IF(OR(A11="",B11=""),"",COUNTIFS(Enquiries!$B:$B,$A11,Enquiries!$F:$F,"Booked",Enquiries!$A:$A,"&gt;="&amp;$B11,Enquiries!$A:$A,"&lt;"&amp;EDATE($B11,1))+COUNTIFS(Enquiries!$B:$B,$A11,Enquiries!$F:$F,"Bought",Enquiries!$A:$A,"&gt;="&amp;$B11,Enquiries!$A:$A,"&lt;"&amp;EDATE($B11,1)))</f>
        <v/>
      </c>
      <c r="J11" s="13">
        <f>IF(OR(A11="",B11=""),"",SUMIFS(Enquiries!$G:$G,Enquiries!$B:$B,$A11,Enquiries!$A:$A,"&gt;="&amp;$B11,Enquiries!$A:$A,"&lt;"&amp;EDATE($B11,1)))</f>
        <v/>
      </c>
      <c r="K11" s="13">
        <f>IF(C11="","",IFERROR(INDEX(Packages!$B:$B,MATCH(C11,Packages!$A:$A,0)),""))</f>
        <v/>
      </c>
      <c r="L11" s="13">
        <f>IF(OR(K11="",F11=""),"",K11*F11)</f>
        <v/>
      </c>
      <c r="M11" s="12" t="n"/>
      <c r="N11" s="12" t="n"/>
      <c r="O11" s="14" t="n"/>
      <c r="P11" s="12" t="n"/>
    </row>
    <row r="12">
      <c r="A12" s="12" t="n"/>
      <c r="B12" s="17" t="n"/>
      <c r="C12" s="24">
        <f>IF(A12="","",IFERROR(INDEX(Clients!$G:$G,MATCH(A12,Clients!$A:$A,0)),""))</f>
        <v/>
      </c>
      <c r="D12" s="13">
        <f>IF(C12="","",IFERROR(INDEX(Packages!$C:$C,MATCH(C12,Packages!$A:$A,0)),""))</f>
        <v/>
      </c>
      <c r="E12" s="13">
        <f>IF(OR(A12="",B12=""),"",COUNTIFS(Uploads!$A:$A,$A12,Uploads!$B:$B,"&gt;="&amp;$B12,Uploads!$B:$B,"&lt;"&amp;EDATE($B12,1)))</f>
        <v/>
      </c>
      <c r="F12" s="25">
        <f>IF(OR(D12="",D12=0,E12=""),"",MIN(1,E12/D12))</f>
        <v/>
      </c>
      <c r="G12" s="13">
        <f>IF(OR(A12="",B12=""),"",SUMIFS(Uploads!$G:$G,Uploads!$A:$A,$A12,Uploads!$B:$B,"&gt;="&amp;$B12,Uploads!$B:$B,"&lt;"&amp;EDATE($B12,1)))</f>
        <v/>
      </c>
      <c r="H12" s="13">
        <f>IF(OR(A12="",B12=""),"",COUNTIFS(Enquiries!$B:$B,$A12,Enquiries!$A:$A,"&gt;="&amp;$B12,Enquiries!$A:$A,"&lt;"&amp;EDATE($B12,1)))</f>
        <v/>
      </c>
      <c r="I12" s="13">
        <f>IF(OR(A12="",B12=""),"",COUNTIFS(Enquiries!$B:$B,$A12,Enquiries!$F:$F,"Booked",Enquiries!$A:$A,"&gt;="&amp;$B12,Enquiries!$A:$A,"&lt;"&amp;EDATE($B12,1))+COUNTIFS(Enquiries!$B:$B,$A12,Enquiries!$F:$F,"Bought",Enquiries!$A:$A,"&gt;="&amp;$B12,Enquiries!$A:$A,"&lt;"&amp;EDATE($B12,1)))</f>
        <v/>
      </c>
      <c r="J12" s="13">
        <f>IF(OR(A12="",B12=""),"",SUMIFS(Enquiries!$G:$G,Enquiries!$B:$B,$A12,Enquiries!$A:$A,"&gt;="&amp;$B12,Enquiries!$A:$A,"&lt;"&amp;EDATE($B12,1)))</f>
        <v/>
      </c>
      <c r="K12" s="13">
        <f>IF(C12="","",IFERROR(INDEX(Packages!$B:$B,MATCH(C12,Packages!$A:$A,0)),""))</f>
        <v/>
      </c>
      <c r="L12" s="13">
        <f>IF(OR(K12="",F12=""),"",K12*F12)</f>
        <v/>
      </c>
      <c r="M12" s="12" t="n"/>
      <c r="N12" s="12" t="n"/>
      <c r="O12" s="14" t="n"/>
      <c r="P12" s="12" t="n"/>
    </row>
    <row r="13">
      <c r="A13" s="12" t="n"/>
      <c r="B13" s="17" t="n"/>
      <c r="C13" s="24">
        <f>IF(A13="","",IFERROR(INDEX(Clients!$G:$G,MATCH(A13,Clients!$A:$A,0)),""))</f>
        <v/>
      </c>
      <c r="D13" s="13">
        <f>IF(C13="","",IFERROR(INDEX(Packages!$C:$C,MATCH(C13,Packages!$A:$A,0)),""))</f>
        <v/>
      </c>
      <c r="E13" s="13">
        <f>IF(OR(A13="",B13=""),"",COUNTIFS(Uploads!$A:$A,$A13,Uploads!$B:$B,"&gt;="&amp;$B13,Uploads!$B:$B,"&lt;"&amp;EDATE($B13,1)))</f>
        <v/>
      </c>
      <c r="F13" s="25">
        <f>IF(OR(D13="",D13=0,E13=""),"",MIN(1,E13/D13))</f>
        <v/>
      </c>
      <c r="G13" s="13">
        <f>IF(OR(A13="",B13=""),"",SUMIFS(Uploads!$G:$G,Uploads!$A:$A,$A13,Uploads!$B:$B,"&gt;="&amp;$B13,Uploads!$B:$B,"&lt;"&amp;EDATE($B13,1)))</f>
        <v/>
      </c>
      <c r="H13" s="13">
        <f>IF(OR(A13="",B13=""),"",COUNTIFS(Enquiries!$B:$B,$A13,Enquiries!$A:$A,"&gt;="&amp;$B13,Enquiries!$A:$A,"&lt;"&amp;EDATE($B13,1)))</f>
        <v/>
      </c>
      <c r="I13" s="13">
        <f>IF(OR(A13="",B13=""),"",COUNTIFS(Enquiries!$B:$B,$A13,Enquiries!$F:$F,"Booked",Enquiries!$A:$A,"&gt;="&amp;$B13,Enquiries!$A:$A,"&lt;"&amp;EDATE($B13,1))+COUNTIFS(Enquiries!$B:$B,$A13,Enquiries!$F:$F,"Bought",Enquiries!$A:$A,"&gt;="&amp;$B13,Enquiries!$A:$A,"&lt;"&amp;EDATE($B13,1)))</f>
        <v/>
      </c>
      <c r="J13" s="13">
        <f>IF(OR(A13="",B13=""),"",SUMIFS(Enquiries!$G:$G,Enquiries!$B:$B,$A13,Enquiries!$A:$A,"&gt;="&amp;$B13,Enquiries!$A:$A,"&lt;"&amp;EDATE($B13,1)))</f>
        <v/>
      </c>
      <c r="K13" s="13">
        <f>IF(C13="","",IFERROR(INDEX(Packages!$B:$B,MATCH(C13,Packages!$A:$A,0)),""))</f>
        <v/>
      </c>
      <c r="L13" s="13">
        <f>IF(OR(K13="",F13=""),"",K13*F13)</f>
        <v/>
      </c>
      <c r="M13" s="12" t="n"/>
      <c r="N13" s="12" t="n"/>
      <c r="O13" s="14" t="n"/>
      <c r="P13" s="12" t="n"/>
    </row>
    <row r="14">
      <c r="A14" s="12" t="n"/>
      <c r="B14" s="17" t="n"/>
      <c r="C14" s="24">
        <f>IF(A14="","",IFERROR(INDEX(Clients!$G:$G,MATCH(A14,Clients!$A:$A,0)),""))</f>
        <v/>
      </c>
      <c r="D14" s="13">
        <f>IF(C14="","",IFERROR(INDEX(Packages!$C:$C,MATCH(C14,Packages!$A:$A,0)),""))</f>
        <v/>
      </c>
      <c r="E14" s="13">
        <f>IF(OR(A14="",B14=""),"",COUNTIFS(Uploads!$A:$A,$A14,Uploads!$B:$B,"&gt;="&amp;$B14,Uploads!$B:$B,"&lt;"&amp;EDATE($B14,1)))</f>
        <v/>
      </c>
      <c r="F14" s="25">
        <f>IF(OR(D14="",D14=0,E14=""),"",MIN(1,E14/D14))</f>
        <v/>
      </c>
      <c r="G14" s="13">
        <f>IF(OR(A14="",B14=""),"",SUMIFS(Uploads!$G:$G,Uploads!$A:$A,$A14,Uploads!$B:$B,"&gt;="&amp;$B14,Uploads!$B:$B,"&lt;"&amp;EDATE($B14,1)))</f>
        <v/>
      </c>
      <c r="H14" s="13">
        <f>IF(OR(A14="",B14=""),"",COUNTIFS(Enquiries!$B:$B,$A14,Enquiries!$A:$A,"&gt;="&amp;$B14,Enquiries!$A:$A,"&lt;"&amp;EDATE($B14,1)))</f>
        <v/>
      </c>
      <c r="I14" s="13">
        <f>IF(OR(A14="",B14=""),"",COUNTIFS(Enquiries!$B:$B,$A14,Enquiries!$F:$F,"Booked",Enquiries!$A:$A,"&gt;="&amp;$B14,Enquiries!$A:$A,"&lt;"&amp;EDATE($B14,1))+COUNTIFS(Enquiries!$B:$B,$A14,Enquiries!$F:$F,"Bought",Enquiries!$A:$A,"&gt;="&amp;$B14,Enquiries!$A:$A,"&lt;"&amp;EDATE($B14,1)))</f>
        <v/>
      </c>
      <c r="J14" s="13">
        <f>IF(OR(A14="",B14=""),"",SUMIFS(Enquiries!$G:$G,Enquiries!$B:$B,$A14,Enquiries!$A:$A,"&gt;="&amp;$B14,Enquiries!$A:$A,"&lt;"&amp;EDATE($B14,1)))</f>
        <v/>
      </c>
      <c r="K14" s="13">
        <f>IF(C14="","",IFERROR(INDEX(Packages!$B:$B,MATCH(C14,Packages!$A:$A,0)),""))</f>
        <v/>
      </c>
      <c r="L14" s="13">
        <f>IF(OR(K14="",F14=""),"",K14*F14)</f>
        <v/>
      </c>
      <c r="M14" s="12" t="n"/>
      <c r="N14" s="12" t="n"/>
      <c r="O14" s="14" t="n"/>
      <c r="P14" s="12" t="n"/>
    </row>
    <row r="15">
      <c r="A15" s="12" t="n"/>
      <c r="B15" s="17" t="n"/>
      <c r="C15" s="24">
        <f>IF(A15="","",IFERROR(INDEX(Clients!$G:$G,MATCH(A15,Clients!$A:$A,0)),""))</f>
        <v/>
      </c>
      <c r="D15" s="13">
        <f>IF(C15="","",IFERROR(INDEX(Packages!$C:$C,MATCH(C15,Packages!$A:$A,0)),""))</f>
        <v/>
      </c>
      <c r="E15" s="13">
        <f>IF(OR(A15="",B15=""),"",COUNTIFS(Uploads!$A:$A,$A15,Uploads!$B:$B,"&gt;="&amp;$B15,Uploads!$B:$B,"&lt;"&amp;EDATE($B15,1)))</f>
        <v/>
      </c>
      <c r="F15" s="25">
        <f>IF(OR(D15="",D15=0,E15=""),"",MIN(1,E15/D15))</f>
        <v/>
      </c>
      <c r="G15" s="13">
        <f>IF(OR(A15="",B15=""),"",SUMIFS(Uploads!$G:$G,Uploads!$A:$A,$A15,Uploads!$B:$B,"&gt;="&amp;$B15,Uploads!$B:$B,"&lt;"&amp;EDATE($B15,1)))</f>
        <v/>
      </c>
      <c r="H15" s="13">
        <f>IF(OR(A15="",B15=""),"",COUNTIFS(Enquiries!$B:$B,$A15,Enquiries!$A:$A,"&gt;="&amp;$B15,Enquiries!$A:$A,"&lt;"&amp;EDATE($B15,1)))</f>
        <v/>
      </c>
      <c r="I15" s="13">
        <f>IF(OR(A15="",B15=""),"",COUNTIFS(Enquiries!$B:$B,$A15,Enquiries!$F:$F,"Booked",Enquiries!$A:$A,"&gt;="&amp;$B15,Enquiries!$A:$A,"&lt;"&amp;EDATE($B15,1))+COUNTIFS(Enquiries!$B:$B,$A15,Enquiries!$F:$F,"Bought",Enquiries!$A:$A,"&gt;="&amp;$B15,Enquiries!$A:$A,"&lt;"&amp;EDATE($B15,1)))</f>
        <v/>
      </c>
      <c r="J15" s="13">
        <f>IF(OR(A15="",B15=""),"",SUMIFS(Enquiries!$G:$G,Enquiries!$B:$B,$A15,Enquiries!$A:$A,"&gt;="&amp;$B15,Enquiries!$A:$A,"&lt;"&amp;EDATE($B15,1)))</f>
        <v/>
      </c>
      <c r="K15" s="13">
        <f>IF(C15="","",IFERROR(INDEX(Packages!$B:$B,MATCH(C15,Packages!$A:$A,0)),""))</f>
        <v/>
      </c>
      <c r="L15" s="13">
        <f>IF(OR(K15="",F15=""),"",K15*F15)</f>
        <v/>
      </c>
      <c r="M15" s="12" t="n"/>
      <c r="N15" s="12" t="n"/>
      <c r="O15" s="14" t="n"/>
      <c r="P15" s="12" t="n"/>
    </row>
    <row r="16">
      <c r="A16" s="12" t="n"/>
      <c r="B16" s="17" t="n"/>
      <c r="C16" s="24">
        <f>IF(A16="","",IFERROR(INDEX(Clients!$G:$G,MATCH(A16,Clients!$A:$A,0)),""))</f>
        <v/>
      </c>
      <c r="D16" s="13">
        <f>IF(C16="","",IFERROR(INDEX(Packages!$C:$C,MATCH(C16,Packages!$A:$A,0)),""))</f>
        <v/>
      </c>
      <c r="E16" s="13">
        <f>IF(OR(A16="",B16=""),"",COUNTIFS(Uploads!$A:$A,$A16,Uploads!$B:$B,"&gt;="&amp;$B16,Uploads!$B:$B,"&lt;"&amp;EDATE($B16,1)))</f>
        <v/>
      </c>
      <c r="F16" s="25">
        <f>IF(OR(D16="",D16=0,E16=""),"",MIN(1,E16/D16))</f>
        <v/>
      </c>
      <c r="G16" s="13">
        <f>IF(OR(A16="",B16=""),"",SUMIFS(Uploads!$G:$G,Uploads!$A:$A,$A16,Uploads!$B:$B,"&gt;="&amp;$B16,Uploads!$B:$B,"&lt;"&amp;EDATE($B16,1)))</f>
        <v/>
      </c>
      <c r="H16" s="13">
        <f>IF(OR(A16="",B16=""),"",COUNTIFS(Enquiries!$B:$B,$A16,Enquiries!$A:$A,"&gt;="&amp;$B16,Enquiries!$A:$A,"&lt;"&amp;EDATE($B16,1)))</f>
        <v/>
      </c>
      <c r="I16" s="13">
        <f>IF(OR(A16="",B16=""),"",COUNTIFS(Enquiries!$B:$B,$A16,Enquiries!$F:$F,"Booked",Enquiries!$A:$A,"&gt;="&amp;$B16,Enquiries!$A:$A,"&lt;"&amp;EDATE($B16,1))+COUNTIFS(Enquiries!$B:$B,$A16,Enquiries!$F:$F,"Bought",Enquiries!$A:$A,"&gt;="&amp;$B16,Enquiries!$A:$A,"&lt;"&amp;EDATE($B16,1)))</f>
        <v/>
      </c>
      <c r="J16" s="13">
        <f>IF(OR(A16="",B16=""),"",SUMIFS(Enquiries!$G:$G,Enquiries!$B:$B,$A16,Enquiries!$A:$A,"&gt;="&amp;$B16,Enquiries!$A:$A,"&lt;"&amp;EDATE($B16,1)))</f>
        <v/>
      </c>
      <c r="K16" s="13">
        <f>IF(C16="","",IFERROR(INDEX(Packages!$B:$B,MATCH(C16,Packages!$A:$A,0)),""))</f>
        <v/>
      </c>
      <c r="L16" s="13">
        <f>IF(OR(K16="",F16=""),"",K16*F16)</f>
        <v/>
      </c>
      <c r="M16" s="12" t="n"/>
      <c r="N16" s="12" t="n"/>
      <c r="O16" s="14" t="n"/>
      <c r="P16" s="12" t="n"/>
    </row>
    <row r="17">
      <c r="A17" s="12" t="n"/>
      <c r="B17" s="17" t="n"/>
      <c r="C17" s="24">
        <f>IF(A17="","",IFERROR(INDEX(Clients!$G:$G,MATCH(A17,Clients!$A:$A,0)),""))</f>
        <v/>
      </c>
      <c r="D17" s="13">
        <f>IF(C17="","",IFERROR(INDEX(Packages!$C:$C,MATCH(C17,Packages!$A:$A,0)),""))</f>
        <v/>
      </c>
      <c r="E17" s="13">
        <f>IF(OR(A17="",B17=""),"",COUNTIFS(Uploads!$A:$A,$A17,Uploads!$B:$B,"&gt;="&amp;$B17,Uploads!$B:$B,"&lt;"&amp;EDATE($B17,1)))</f>
        <v/>
      </c>
      <c r="F17" s="25">
        <f>IF(OR(D17="",D17=0,E17=""),"",MIN(1,E17/D17))</f>
        <v/>
      </c>
      <c r="G17" s="13">
        <f>IF(OR(A17="",B17=""),"",SUMIFS(Uploads!$G:$G,Uploads!$A:$A,$A17,Uploads!$B:$B,"&gt;="&amp;$B17,Uploads!$B:$B,"&lt;"&amp;EDATE($B17,1)))</f>
        <v/>
      </c>
      <c r="H17" s="13">
        <f>IF(OR(A17="",B17=""),"",COUNTIFS(Enquiries!$B:$B,$A17,Enquiries!$A:$A,"&gt;="&amp;$B17,Enquiries!$A:$A,"&lt;"&amp;EDATE($B17,1)))</f>
        <v/>
      </c>
      <c r="I17" s="13">
        <f>IF(OR(A17="",B17=""),"",COUNTIFS(Enquiries!$B:$B,$A17,Enquiries!$F:$F,"Booked",Enquiries!$A:$A,"&gt;="&amp;$B17,Enquiries!$A:$A,"&lt;"&amp;EDATE($B17,1))+COUNTIFS(Enquiries!$B:$B,$A17,Enquiries!$F:$F,"Bought",Enquiries!$A:$A,"&gt;="&amp;$B17,Enquiries!$A:$A,"&lt;"&amp;EDATE($B17,1)))</f>
        <v/>
      </c>
      <c r="J17" s="13">
        <f>IF(OR(A17="",B17=""),"",SUMIFS(Enquiries!$G:$G,Enquiries!$B:$B,$A17,Enquiries!$A:$A,"&gt;="&amp;$B17,Enquiries!$A:$A,"&lt;"&amp;EDATE($B17,1)))</f>
        <v/>
      </c>
      <c r="K17" s="13">
        <f>IF(C17="","",IFERROR(INDEX(Packages!$B:$B,MATCH(C17,Packages!$A:$A,0)),""))</f>
        <v/>
      </c>
      <c r="L17" s="13">
        <f>IF(OR(K17="",F17=""),"",K17*F17)</f>
        <v/>
      </c>
      <c r="M17" s="12" t="n"/>
      <c r="N17" s="12" t="n"/>
      <c r="O17" s="14" t="n"/>
      <c r="P17" s="12" t="n"/>
    </row>
    <row r="18">
      <c r="A18" s="12" t="n"/>
      <c r="B18" s="17" t="n"/>
      <c r="C18" s="24">
        <f>IF(A18="","",IFERROR(INDEX(Clients!$G:$G,MATCH(A18,Clients!$A:$A,0)),""))</f>
        <v/>
      </c>
      <c r="D18" s="13">
        <f>IF(C18="","",IFERROR(INDEX(Packages!$C:$C,MATCH(C18,Packages!$A:$A,0)),""))</f>
        <v/>
      </c>
      <c r="E18" s="13">
        <f>IF(OR(A18="",B18=""),"",COUNTIFS(Uploads!$A:$A,$A18,Uploads!$B:$B,"&gt;="&amp;$B18,Uploads!$B:$B,"&lt;"&amp;EDATE($B18,1)))</f>
        <v/>
      </c>
      <c r="F18" s="25">
        <f>IF(OR(D18="",D18=0,E18=""),"",MIN(1,E18/D18))</f>
        <v/>
      </c>
      <c r="G18" s="13">
        <f>IF(OR(A18="",B18=""),"",SUMIFS(Uploads!$G:$G,Uploads!$A:$A,$A18,Uploads!$B:$B,"&gt;="&amp;$B18,Uploads!$B:$B,"&lt;"&amp;EDATE($B18,1)))</f>
        <v/>
      </c>
      <c r="H18" s="13">
        <f>IF(OR(A18="",B18=""),"",COUNTIFS(Enquiries!$B:$B,$A18,Enquiries!$A:$A,"&gt;="&amp;$B18,Enquiries!$A:$A,"&lt;"&amp;EDATE($B18,1)))</f>
        <v/>
      </c>
      <c r="I18" s="13">
        <f>IF(OR(A18="",B18=""),"",COUNTIFS(Enquiries!$B:$B,$A18,Enquiries!$F:$F,"Booked",Enquiries!$A:$A,"&gt;="&amp;$B18,Enquiries!$A:$A,"&lt;"&amp;EDATE($B18,1))+COUNTIFS(Enquiries!$B:$B,$A18,Enquiries!$F:$F,"Bought",Enquiries!$A:$A,"&gt;="&amp;$B18,Enquiries!$A:$A,"&lt;"&amp;EDATE($B18,1)))</f>
        <v/>
      </c>
      <c r="J18" s="13">
        <f>IF(OR(A18="",B18=""),"",SUMIFS(Enquiries!$G:$G,Enquiries!$B:$B,$A18,Enquiries!$A:$A,"&gt;="&amp;$B18,Enquiries!$A:$A,"&lt;"&amp;EDATE($B18,1)))</f>
        <v/>
      </c>
      <c r="K18" s="13">
        <f>IF(C18="","",IFERROR(INDEX(Packages!$B:$B,MATCH(C18,Packages!$A:$A,0)),""))</f>
        <v/>
      </c>
      <c r="L18" s="13">
        <f>IF(OR(K18="",F18=""),"",K18*F18)</f>
        <v/>
      </c>
      <c r="M18" s="12" t="n"/>
      <c r="N18" s="12" t="n"/>
      <c r="O18" s="14" t="n"/>
      <c r="P18" s="12" t="n"/>
    </row>
    <row r="19">
      <c r="A19" s="12" t="n"/>
      <c r="B19" s="17" t="n"/>
      <c r="C19" s="24">
        <f>IF(A19="","",IFERROR(INDEX(Clients!$G:$G,MATCH(A19,Clients!$A:$A,0)),""))</f>
        <v/>
      </c>
      <c r="D19" s="13">
        <f>IF(C19="","",IFERROR(INDEX(Packages!$C:$C,MATCH(C19,Packages!$A:$A,0)),""))</f>
        <v/>
      </c>
      <c r="E19" s="13">
        <f>IF(OR(A19="",B19=""),"",COUNTIFS(Uploads!$A:$A,$A19,Uploads!$B:$B,"&gt;="&amp;$B19,Uploads!$B:$B,"&lt;"&amp;EDATE($B19,1)))</f>
        <v/>
      </c>
      <c r="F19" s="25">
        <f>IF(OR(D19="",D19=0,E19=""),"",MIN(1,E19/D19))</f>
        <v/>
      </c>
      <c r="G19" s="13">
        <f>IF(OR(A19="",B19=""),"",SUMIFS(Uploads!$G:$G,Uploads!$A:$A,$A19,Uploads!$B:$B,"&gt;="&amp;$B19,Uploads!$B:$B,"&lt;"&amp;EDATE($B19,1)))</f>
        <v/>
      </c>
      <c r="H19" s="13">
        <f>IF(OR(A19="",B19=""),"",COUNTIFS(Enquiries!$B:$B,$A19,Enquiries!$A:$A,"&gt;="&amp;$B19,Enquiries!$A:$A,"&lt;"&amp;EDATE($B19,1)))</f>
        <v/>
      </c>
      <c r="I19" s="13">
        <f>IF(OR(A19="",B19=""),"",COUNTIFS(Enquiries!$B:$B,$A19,Enquiries!$F:$F,"Booked",Enquiries!$A:$A,"&gt;="&amp;$B19,Enquiries!$A:$A,"&lt;"&amp;EDATE($B19,1))+COUNTIFS(Enquiries!$B:$B,$A19,Enquiries!$F:$F,"Bought",Enquiries!$A:$A,"&gt;="&amp;$B19,Enquiries!$A:$A,"&lt;"&amp;EDATE($B19,1)))</f>
        <v/>
      </c>
      <c r="J19" s="13">
        <f>IF(OR(A19="",B19=""),"",SUMIFS(Enquiries!$G:$G,Enquiries!$B:$B,$A19,Enquiries!$A:$A,"&gt;="&amp;$B19,Enquiries!$A:$A,"&lt;"&amp;EDATE($B19,1)))</f>
        <v/>
      </c>
      <c r="K19" s="13">
        <f>IF(C19="","",IFERROR(INDEX(Packages!$B:$B,MATCH(C19,Packages!$A:$A,0)),""))</f>
        <v/>
      </c>
      <c r="L19" s="13">
        <f>IF(OR(K19="",F19=""),"",K19*F19)</f>
        <v/>
      </c>
      <c r="M19" s="12" t="n"/>
      <c r="N19" s="12" t="n"/>
      <c r="O19" s="14" t="n"/>
      <c r="P19" s="12" t="n"/>
    </row>
    <row r="20">
      <c r="A20" s="12" t="n"/>
      <c r="B20" s="17" t="n"/>
      <c r="C20" s="24">
        <f>IF(A20="","",IFERROR(INDEX(Clients!$G:$G,MATCH(A20,Clients!$A:$A,0)),""))</f>
        <v/>
      </c>
      <c r="D20" s="13">
        <f>IF(C20="","",IFERROR(INDEX(Packages!$C:$C,MATCH(C20,Packages!$A:$A,0)),""))</f>
        <v/>
      </c>
      <c r="E20" s="13">
        <f>IF(OR(A20="",B20=""),"",COUNTIFS(Uploads!$A:$A,$A20,Uploads!$B:$B,"&gt;="&amp;$B20,Uploads!$B:$B,"&lt;"&amp;EDATE($B20,1)))</f>
        <v/>
      </c>
      <c r="F20" s="25">
        <f>IF(OR(D20="",D20=0,E20=""),"",MIN(1,E20/D20))</f>
        <v/>
      </c>
      <c r="G20" s="13">
        <f>IF(OR(A20="",B20=""),"",SUMIFS(Uploads!$G:$G,Uploads!$A:$A,$A20,Uploads!$B:$B,"&gt;="&amp;$B20,Uploads!$B:$B,"&lt;"&amp;EDATE($B20,1)))</f>
        <v/>
      </c>
      <c r="H20" s="13">
        <f>IF(OR(A20="",B20=""),"",COUNTIFS(Enquiries!$B:$B,$A20,Enquiries!$A:$A,"&gt;="&amp;$B20,Enquiries!$A:$A,"&lt;"&amp;EDATE($B20,1)))</f>
        <v/>
      </c>
      <c r="I20" s="13">
        <f>IF(OR(A20="",B20=""),"",COUNTIFS(Enquiries!$B:$B,$A20,Enquiries!$F:$F,"Booked",Enquiries!$A:$A,"&gt;="&amp;$B20,Enquiries!$A:$A,"&lt;"&amp;EDATE($B20,1))+COUNTIFS(Enquiries!$B:$B,$A20,Enquiries!$F:$F,"Bought",Enquiries!$A:$A,"&gt;="&amp;$B20,Enquiries!$A:$A,"&lt;"&amp;EDATE($B20,1)))</f>
        <v/>
      </c>
      <c r="J20" s="13">
        <f>IF(OR(A20="",B20=""),"",SUMIFS(Enquiries!$G:$G,Enquiries!$B:$B,$A20,Enquiries!$A:$A,"&gt;="&amp;$B20,Enquiries!$A:$A,"&lt;"&amp;EDATE($B20,1)))</f>
        <v/>
      </c>
      <c r="K20" s="13">
        <f>IF(C20="","",IFERROR(INDEX(Packages!$B:$B,MATCH(C20,Packages!$A:$A,0)),""))</f>
        <v/>
      </c>
      <c r="L20" s="13">
        <f>IF(OR(K20="",F20=""),"",K20*F20)</f>
        <v/>
      </c>
      <c r="M20" s="12" t="n"/>
      <c r="N20" s="12" t="n"/>
      <c r="O20" s="14" t="n"/>
      <c r="P20" s="12" t="n"/>
    </row>
    <row r="21">
      <c r="A21" s="12" t="n"/>
      <c r="B21" s="17" t="n"/>
      <c r="C21" s="24">
        <f>IF(A21="","",IFERROR(INDEX(Clients!$G:$G,MATCH(A21,Clients!$A:$A,0)),""))</f>
        <v/>
      </c>
      <c r="D21" s="13">
        <f>IF(C21="","",IFERROR(INDEX(Packages!$C:$C,MATCH(C21,Packages!$A:$A,0)),""))</f>
        <v/>
      </c>
      <c r="E21" s="13">
        <f>IF(OR(A21="",B21=""),"",COUNTIFS(Uploads!$A:$A,$A21,Uploads!$B:$B,"&gt;="&amp;$B21,Uploads!$B:$B,"&lt;"&amp;EDATE($B21,1)))</f>
        <v/>
      </c>
      <c r="F21" s="25">
        <f>IF(OR(D21="",D21=0,E21=""),"",MIN(1,E21/D21))</f>
        <v/>
      </c>
      <c r="G21" s="13">
        <f>IF(OR(A21="",B21=""),"",SUMIFS(Uploads!$G:$G,Uploads!$A:$A,$A21,Uploads!$B:$B,"&gt;="&amp;$B21,Uploads!$B:$B,"&lt;"&amp;EDATE($B21,1)))</f>
        <v/>
      </c>
      <c r="H21" s="13">
        <f>IF(OR(A21="",B21=""),"",COUNTIFS(Enquiries!$B:$B,$A21,Enquiries!$A:$A,"&gt;="&amp;$B21,Enquiries!$A:$A,"&lt;"&amp;EDATE($B21,1)))</f>
        <v/>
      </c>
      <c r="I21" s="13">
        <f>IF(OR(A21="",B21=""),"",COUNTIFS(Enquiries!$B:$B,$A21,Enquiries!$F:$F,"Booked",Enquiries!$A:$A,"&gt;="&amp;$B21,Enquiries!$A:$A,"&lt;"&amp;EDATE($B21,1))+COUNTIFS(Enquiries!$B:$B,$A21,Enquiries!$F:$F,"Bought",Enquiries!$A:$A,"&gt;="&amp;$B21,Enquiries!$A:$A,"&lt;"&amp;EDATE($B21,1)))</f>
        <v/>
      </c>
      <c r="J21" s="13">
        <f>IF(OR(A21="",B21=""),"",SUMIFS(Enquiries!$G:$G,Enquiries!$B:$B,$A21,Enquiries!$A:$A,"&gt;="&amp;$B21,Enquiries!$A:$A,"&lt;"&amp;EDATE($B21,1)))</f>
        <v/>
      </c>
      <c r="K21" s="13">
        <f>IF(C21="","",IFERROR(INDEX(Packages!$B:$B,MATCH(C21,Packages!$A:$A,0)),""))</f>
        <v/>
      </c>
      <c r="L21" s="13">
        <f>IF(OR(K21="",F21=""),"",K21*F21)</f>
        <v/>
      </c>
      <c r="M21" s="12" t="n"/>
      <c r="N21" s="12" t="n"/>
      <c r="O21" s="14" t="n"/>
      <c r="P21" s="12" t="n"/>
    </row>
    <row r="22">
      <c r="A22" s="12" t="n"/>
      <c r="B22" s="17" t="n"/>
      <c r="C22" s="24">
        <f>IF(A22="","",IFERROR(INDEX(Clients!$G:$G,MATCH(A22,Clients!$A:$A,0)),""))</f>
        <v/>
      </c>
      <c r="D22" s="13">
        <f>IF(C22="","",IFERROR(INDEX(Packages!$C:$C,MATCH(C22,Packages!$A:$A,0)),""))</f>
        <v/>
      </c>
      <c r="E22" s="13">
        <f>IF(OR(A22="",B22=""),"",COUNTIFS(Uploads!$A:$A,$A22,Uploads!$B:$B,"&gt;="&amp;$B22,Uploads!$B:$B,"&lt;"&amp;EDATE($B22,1)))</f>
        <v/>
      </c>
      <c r="F22" s="25">
        <f>IF(OR(D22="",D22=0,E22=""),"",MIN(1,E22/D22))</f>
        <v/>
      </c>
      <c r="G22" s="13">
        <f>IF(OR(A22="",B22=""),"",SUMIFS(Uploads!$G:$G,Uploads!$A:$A,$A22,Uploads!$B:$B,"&gt;="&amp;$B22,Uploads!$B:$B,"&lt;"&amp;EDATE($B22,1)))</f>
        <v/>
      </c>
      <c r="H22" s="13">
        <f>IF(OR(A22="",B22=""),"",COUNTIFS(Enquiries!$B:$B,$A22,Enquiries!$A:$A,"&gt;="&amp;$B22,Enquiries!$A:$A,"&lt;"&amp;EDATE($B22,1)))</f>
        <v/>
      </c>
      <c r="I22" s="13">
        <f>IF(OR(A22="",B22=""),"",COUNTIFS(Enquiries!$B:$B,$A22,Enquiries!$F:$F,"Booked",Enquiries!$A:$A,"&gt;="&amp;$B22,Enquiries!$A:$A,"&lt;"&amp;EDATE($B22,1))+COUNTIFS(Enquiries!$B:$B,$A22,Enquiries!$F:$F,"Bought",Enquiries!$A:$A,"&gt;="&amp;$B22,Enquiries!$A:$A,"&lt;"&amp;EDATE($B22,1)))</f>
        <v/>
      </c>
      <c r="J22" s="13">
        <f>IF(OR(A22="",B22=""),"",SUMIFS(Enquiries!$G:$G,Enquiries!$B:$B,$A22,Enquiries!$A:$A,"&gt;="&amp;$B22,Enquiries!$A:$A,"&lt;"&amp;EDATE($B22,1)))</f>
        <v/>
      </c>
      <c r="K22" s="13">
        <f>IF(C22="","",IFERROR(INDEX(Packages!$B:$B,MATCH(C22,Packages!$A:$A,0)),""))</f>
        <v/>
      </c>
      <c r="L22" s="13">
        <f>IF(OR(K22="",F22=""),"",K22*F22)</f>
        <v/>
      </c>
      <c r="M22" s="12" t="n"/>
      <c r="N22" s="12" t="n"/>
      <c r="O22" s="14" t="n"/>
      <c r="P22" s="12" t="n"/>
    </row>
    <row r="23">
      <c r="A23" s="12" t="n"/>
      <c r="B23" s="17" t="n"/>
      <c r="C23" s="24">
        <f>IF(A23="","",IFERROR(INDEX(Clients!$G:$G,MATCH(A23,Clients!$A:$A,0)),""))</f>
        <v/>
      </c>
      <c r="D23" s="13">
        <f>IF(C23="","",IFERROR(INDEX(Packages!$C:$C,MATCH(C23,Packages!$A:$A,0)),""))</f>
        <v/>
      </c>
      <c r="E23" s="13">
        <f>IF(OR(A23="",B23=""),"",COUNTIFS(Uploads!$A:$A,$A23,Uploads!$B:$B,"&gt;="&amp;$B23,Uploads!$B:$B,"&lt;"&amp;EDATE($B23,1)))</f>
        <v/>
      </c>
      <c r="F23" s="25">
        <f>IF(OR(D23="",D23=0,E23=""),"",MIN(1,E23/D23))</f>
        <v/>
      </c>
      <c r="G23" s="13">
        <f>IF(OR(A23="",B23=""),"",SUMIFS(Uploads!$G:$G,Uploads!$A:$A,$A23,Uploads!$B:$B,"&gt;="&amp;$B23,Uploads!$B:$B,"&lt;"&amp;EDATE($B23,1)))</f>
        <v/>
      </c>
      <c r="H23" s="13">
        <f>IF(OR(A23="",B23=""),"",COUNTIFS(Enquiries!$B:$B,$A23,Enquiries!$A:$A,"&gt;="&amp;$B23,Enquiries!$A:$A,"&lt;"&amp;EDATE($B23,1)))</f>
        <v/>
      </c>
      <c r="I23" s="13">
        <f>IF(OR(A23="",B23=""),"",COUNTIFS(Enquiries!$B:$B,$A23,Enquiries!$F:$F,"Booked",Enquiries!$A:$A,"&gt;="&amp;$B23,Enquiries!$A:$A,"&lt;"&amp;EDATE($B23,1))+COUNTIFS(Enquiries!$B:$B,$A23,Enquiries!$F:$F,"Bought",Enquiries!$A:$A,"&gt;="&amp;$B23,Enquiries!$A:$A,"&lt;"&amp;EDATE($B23,1)))</f>
        <v/>
      </c>
      <c r="J23" s="13">
        <f>IF(OR(A23="",B23=""),"",SUMIFS(Enquiries!$G:$G,Enquiries!$B:$B,$A23,Enquiries!$A:$A,"&gt;="&amp;$B23,Enquiries!$A:$A,"&lt;"&amp;EDATE($B23,1)))</f>
        <v/>
      </c>
      <c r="K23" s="13">
        <f>IF(C23="","",IFERROR(INDEX(Packages!$B:$B,MATCH(C23,Packages!$A:$A,0)),""))</f>
        <v/>
      </c>
      <c r="L23" s="13">
        <f>IF(OR(K23="",F23=""),"",K23*F23)</f>
        <v/>
      </c>
      <c r="M23" s="12" t="n"/>
      <c r="N23" s="12" t="n"/>
      <c r="O23" s="14" t="n"/>
      <c r="P23" s="12" t="n"/>
    </row>
    <row r="24">
      <c r="A24" s="12" t="n"/>
      <c r="B24" s="17" t="n"/>
      <c r="C24" s="24">
        <f>IF(A24="","",IFERROR(INDEX(Clients!$G:$G,MATCH(A24,Clients!$A:$A,0)),""))</f>
        <v/>
      </c>
      <c r="D24" s="13">
        <f>IF(C24="","",IFERROR(INDEX(Packages!$C:$C,MATCH(C24,Packages!$A:$A,0)),""))</f>
        <v/>
      </c>
      <c r="E24" s="13">
        <f>IF(OR(A24="",B24=""),"",COUNTIFS(Uploads!$A:$A,$A24,Uploads!$B:$B,"&gt;="&amp;$B24,Uploads!$B:$B,"&lt;"&amp;EDATE($B24,1)))</f>
        <v/>
      </c>
      <c r="F24" s="25">
        <f>IF(OR(D24="",D24=0,E24=""),"",MIN(1,E24/D24))</f>
        <v/>
      </c>
      <c r="G24" s="13">
        <f>IF(OR(A24="",B24=""),"",SUMIFS(Uploads!$G:$G,Uploads!$A:$A,$A24,Uploads!$B:$B,"&gt;="&amp;$B24,Uploads!$B:$B,"&lt;"&amp;EDATE($B24,1)))</f>
        <v/>
      </c>
      <c r="H24" s="13">
        <f>IF(OR(A24="",B24=""),"",COUNTIFS(Enquiries!$B:$B,$A24,Enquiries!$A:$A,"&gt;="&amp;$B24,Enquiries!$A:$A,"&lt;"&amp;EDATE($B24,1)))</f>
        <v/>
      </c>
      <c r="I24" s="13">
        <f>IF(OR(A24="",B24=""),"",COUNTIFS(Enquiries!$B:$B,$A24,Enquiries!$F:$F,"Booked",Enquiries!$A:$A,"&gt;="&amp;$B24,Enquiries!$A:$A,"&lt;"&amp;EDATE($B24,1))+COUNTIFS(Enquiries!$B:$B,$A24,Enquiries!$F:$F,"Bought",Enquiries!$A:$A,"&gt;="&amp;$B24,Enquiries!$A:$A,"&lt;"&amp;EDATE($B24,1)))</f>
        <v/>
      </c>
      <c r="J24" s="13">
        <f>IF(OR(A24="",B24=""),"",SUMIFS(Enquiries!$G:$G,Enquiries!$B:$B,$A24,Enquiries!$A:$A,"&gt;="&amp;$B24,Enquiries!$A:$A,"&lt;"&amp;EDATE($B24,1)))</f>
        <v/>
      </c>
      <c r="K24" s="13">
        <f>IF(C24="","",IFERROR(INDEX(Packages!$B:$B,MATCH(C24,Packages!$A:$A,0)),""))</f>
        <v/>
      </c>
      <c r="L24" s="13">
        <f>IF(OR(K24="",F24=""),"",K24*F24)</f>
        <v/>
      </c>
      <c r="M24" s="12" t="n"/>
      <c r="N24" s="12" t="n"/>
      <c r="O24" s="14" t="n"/>
      <c r="P24" s="12" t="n"/>
    </row>
    <row r="25">
      <c r="A25" s="12" t="n"/>
      <c r="B25" s="17" t="n"/>
      <c r="C25" s="24">
        <f>IF(A25="","",IFERROR(INDEX(Clients!$G:$G,MATCH(A25,Clients!$A:$A,0)),""))</f>
        <v/>
      </c>
      <c r="D25" s="13">
        <f>IF(C25="","",IFERROR(INDEX(Packages!$C:$C,MATCH(C25,Packages!$A:$A,0)),""))</f>
        <v/>
      </c>
      <c r="E25" s="13">
        <f>IF(OR(A25="",B25=""),"",COUNTIFS(Uploads!$A:$A,$A25,Uploads!$B:$B,"&gt;="&amp;$B25,Uploads!$B:$B,"&lt;"&amp;EDATE($B25,1)))</f>
        <v/>
      </c>
      <c r="F25" s="25">
        <f>IF(OR(D25="",D25=0,E25=""),"",MIN(1,E25/D25))</f>
        <v/>
      </c>
      <c r="G25" s="13">
        <f>IF(OR(A25="",B25=""),"",SUMIFS(Uploads!$G:$G,Uploads!$A:$A,$A25,Uploads!$B:$B,"&gt;="&amp;$B25,Uploads!$B:$B,"&lt;"&amp;EDATE($B25,1)))</f>
        <v/>
      </c>
      <c r="H25" s="13">
        <f>IF(OR(A25="",B25=""),"",COUNTIFS(Enquiries!$B:$B,$A25,Enquiries!$A:$A,"&gt;="&amp;$B25,Enquiries!$A:$A,"&lt;"&amp;EDATE($B25,1)))</f>
        <v/>
      </c>
      <c r="I25" s="13">
        <f>IF(OR(A25="",B25=""),"",COUNTIFS(Enquiries!$B:$B,$A25,Enquiries!$F:$F,"Booked",Enquiries!$A:$A,"&gt;="&amp;$B25,Enquiries!$A:$A,"&lt;"&amp;EDATE($B25,1))+COUNTIFS(Enquiries!$B:$B,$A25,Enquiries!$F:$F,"Bought",Enquiries!$A:$A,"&gt;="&amp;$B25,Enquiries!$A:$A,"&lt;"&amp;EDATE($B25,1)))</f>
        <v/>
      </c>
      <c r="J25" s="13">
        <f>IF(OR(A25="",B25=""),"",SUMIFS(Enquiries!$G:$G,Enquiries!$B:$B,$A25,Enquiries!$A:$A,"&gt;="&amp;$B25,Enquiries!$A:$A,"&lt;"&amp;EDATE($B25,1)))</f>
        <v/>
      </c>
      <c r="K25" s="13">
        <f>IF(C25="","",IFERROR(INDEX(Packages!$B:$B,MATCH(C25,Packages!$A:$A,0)),""))</f>
        <v/>
      </c>
      <c r="L25" s="13">
        <f>IF(OR(K25="",F25=""),"",K25*F25)</f>
        <v/>
      </c>
      <c r="M25" s="12" t="n"/>
      <c r="N25" s="12" t="n"/>
      <c r="O25" s="14" t="n"/>
      <c r="P25" s="12" t="n"/>
    </row>
    <row r="26">
      <c r="A26" s="12" t="n"/>
      <c r="B26" s="17" t="n"/>
      <c r="C26" s="24">
        <f>IF(A26="","",IFERROR(INDEX(Clients!$G:$G,MATCH(A26,Clients!$A:$A,0)),""))</f>
        <v/>
      </c>
      <c r="D26" s="13">
        <f>IF(C26="","",IFERROR(INDEX(Packages!$C:$C,MATCH(C26,Packages!$A:$A,0)),""))</f>
        <v/>
      </c>
      <c r="E26" s="13">
        <f>IF(OR(A26="",B26=""),"",COUNTIFS(Uploads!$A:$A,$A26,Uploads!$B:$B,"&gt;="&amp;$B26,Uploads!$B:$B,"&lt;"&amp;EDATE($B26,1)))</f>
        <v/>
      </c>
      <c r="F26" s="25">
        <f>IF(OR(D26="",D26=0,E26=""),"",MIN(1,E26/D26))</f>
        <v/>
      </c>
      <c r="G26" s="13">
        <f>IF(OR(A26="",B26=""),"",SUMIFS(Uploads!$G:$G,Uploads!$A:$A,$A26,Uploads!$B:$B,"&gt;="&amp;$B26,Uploads!$B:$B,"&lt;"&amp;EDATE($B26,1)))</f>
        <v/>
      </c>
      <c r="H26" s="13">
        <f>IF(OR(A26="",B26=""),"",COUNTIFS(Enquiries!$B:$B,$A26,Enquiries!$A:$A,"&gt;="&amp;$B26,Enquiries!$A:$A,"&lt;"&amp;EDATE($B26,1)))</f>
        <v/>
      </c>
      <c r="I26" s="13">
        <f>IF(OR(A26="",B26=""),"",COUNTIFS(Enquiries!$B:$B,$A26,Enquiries!$F:$F,"Booked",Enquiries!$A:$A,"&gt;="&amp;$B26,Enquiries!$A:$A,"&lt;"&amp;EDATE($B26,1))+COUNTIFS(Enquiries!$B:$B,$A26,Enquiries!$F:$F,"Bought",Enquiries!$A:$A,"&gt;="&amp;$B26,Enquiries!$A:$A,"&lt;"&amp;EDATE($B26,1)))</f>
        <v/>
      </c>
      <c r="J26" s="13">
        <f>IF(OR(A26="",B26=""),"",SUMIFS(Enquiries!$G:$G,Enquiries!$B:$B,$A26,Enquiries!$A:$A,"&gt;="&amp;$B26,Enquiries!$A:$A,"&lt;"&amp;EDATE($B26,1)))</f>
        <v/>
      </c>
      <c r="K26" s="13">
        <f>IF(C26="","",IFERROR(INDEX(Packages!$B:$B,MATCH(C26,Packages!$A:$A,0)),""))</f>
        <v/>
      </c>
      <c r="L26" s="13">
        <f>IF(OR(K26="",F26=""),"",K26*F26)</f>
        <v/>
      </c>
      <c r="M26" s="12" t="n"/>
      <c r="N26" s="12" t="n"/>
      <c r="O26" s="14" t="n"/>
      <c r="P26" s="12" t="n"/>
    </row>
    <row r="27">
      <c r="A27" s="12" t="n"/>
      <c r="B27" s="17" t="n"/>
      <c r="C27" s="24">
        <f>IF(A27="","",IFERROR(INDEX(Clients!$G:$G,MATCH(A27,Clients!$A:$A,0)),""))</f>
        <v/>
      </c>
      <c r="D27" s="13">
        <f>IF(C27="","",IFERROR(INDEX(Packages!$C:$C,MATCH(C27,Packages!$A:$A,0)),""))</f>
        <v/>
      </c>
      <c r="E27" s="13">
        <f>IF(OR(A27="",B27=""),"",COUNTIFS(Uploads!$A:$A,$A27,Uploads!$B:$B,"&gt;="&amp;$B27,Uploads!$B:$B,"&lt;"&amp;EDATE($B27,1)))</f>
        <v/>
      </c>
      <c r="F27" s="25">
        <f>IF(OR(D27="",D27=0,E27=""),"",MIN(1,E27/D27))</f>
        <v/>
      </c>
      <c r="G27" s="13">
        <f>IF(OR(A27="",B27=""),"",SUMIFS(Uploads!$G:$G,Uploads!$A:$A,$A27,Uploads!$B:$B,"&gt;="&amp;$B27,Uploads!$B:$B,"&lt;"&amp;EDATE($B27,1)))</f>
        <v/>
      </c>
      <c r="H27" s="13">
        <f>IF(OR(A27="",B27=""),"",COUNTIFS(Enquiries!$B:$B,$A27,Enquiries!$A:$A,"&gt;="&amp;$B27,Enquiries!$A:$A,"&lt;"&amp;EDATE($B27,1)))</f>
        <v/>
      </c>
      <c r="I27" s="13">
        <f>IF(OR(A27="",B27=""),"",COUNTIFS(Enquiries!$B:$B,$A27,Enquiries!$F:$F,"Booked",Enquiries!$A:$A,"&gt;="&amp;$B27,Enquiries!$A:$A,"&lt;"&amp;EDATE($B27,1))+COUNTIFS(Enquiries!$B:$B,$A27,Enquiries!$F:$F,"Bought",Enquiries!$A:$A,"&gt;="&amp;$B27,Enquiries!$A:$A,"&lt;"&amp;EDATE($B27,1)))</f>
        <v/>
      </c>
      <c r="J27" s="13">
        <f>IF(OR(A27="",B27=""),"",SUMIFS(Enquiries!$G:$G,Enquiries!$B:$B,$A27,Enquiries!$A:$A,"&gt;="&amp;$B27,Enquiries!$A:$A,"&lt;"&amp;EDATE($B27,1)))</f>
        <v/>
      </c>
      <c r="K27" s="13">
        <f>IF(C27="","",IFERROR(INDEX(Packages!$B:$B,MATCH(C27,Packages!$A:$A,0)),""))</f>
        <v/>
      </c>
      <c r="L27" s="13">
        <f>IF(OR(K27="",F27=""),"",K27*F27)</f>
        <v/>
      </c>
      <c r="M27" s="12" t="n"/>
      <c r="N27" s="12" t="n"/>
      <c r="O27" s="14" t="n"/>
      <c r="P27" s="12" t="n"/>
    </row>
    <row r="28">
      <c r="A28" s="12" t="n"/>
      <c r="B28" s="17" t="n"/>
      <c r="C28" s="24">
        <f>IF(A28="","",IFERROR(INDEX(Clients!$G:$G,MATCH(A28,Clients!$A:$A,0)),""))</f>
        <v/>
      </c>
      <c r="D28" s="13">
        <f>IF(C28="","",IFERROR(INDEX(Packages!$C:$C,MATCH(C28,Packages!$A:$A,0)),""))</f>
        <v/>
      </c>
      <c r="E28" s="13">
        <f>IF(OR(A28="",B28=""),"",COUNTIFS(Uploads!$A:$A,$A28,Uploads!$B:$B,"&gt;="&amp;$B28,Uploads!$B:$B,"&lt;"&amp;EDATE($B28,1)))</f>
        <v/>
      </c>
      <c r="F28" s="25">
        <f>IF(OR(D28="",D28=0,E28=""),"",MIN(1,E28/D28))</f>
        <v/>
      </c>
      <c r="G28" s="13">
        <f>IF(OR(A28="",B28=""),"",SUMIFS(Uploads!$G:$G,Uploads!$A:$A,$A28,Uploads!$B:$B,"&gt;="&amp;$B28,Uploads!$B:$B,"&lt;"&amp;EDATE($B28,1)))</f>
        <v/>
      </c>
      <c r="H28" s="13">
        <f>IF(OR(A28="",B28=""),"",COUNTIFS(Enquiries!$B:$B,$A28,Enquiries!$A:$A,"&gt;="&amp;$B28,Enquiries!$A:$A,"&lt;"&amp;EDATE($B28,1)))</f>
        <v/>
      </c>
      <c r="I28" s="13">
        <f>IF(OR(A28="",B28=""),"",COUNTIFS(Enquiries!$B:$B,$A28,Enquiries!$F:$F,"Booked",Enquiries!$A:$A,"&gt;="&amp;$B28,Enquiries!$A:$A,"&lt;"&amp;EDATE($B28,1))+COUNTIFS(Enquiries!$B:$B,$A28,Enquiries!$F:$F,"Bought",Enquiries!$A:$A,"&gt;="&amp;$B28,Enquiries!$A:$A,"&lt;"&amp;EDATE($B28,1)))</f>
        <v/>
      </c>
      <c r="J28" s="13">
        <f>IF(OR(A28="",B28=""),"",SUMIFS(Enquiries!$G:$G,Enquiries!$B:$B,$A28,Enquiries!$A:$A,"&gt;="&amp;$B28,Enquiries!$A:$A,"&lt;"&amp;EDATE($B28,1)))</f>
        <v/>
      </c>
      <c r="K28" s="13">
        <f>IF(C28="","",IFERROR(INDEX(Packages!$B:$B,MATCH(C28,Packages!$A:$A,0)),""))</f>
        <v/>
      </c>
      <c r="L28" s="13">
        <f>IF(OR(K28="",F28=""),"",K28*F28)</f>
        <v/>
      </c>
      <c r="M28" s="12" t="n"/>
      <c r="N28" s="12" t="n"/>
      <c r="O28" s="14" t="n"/>
      <c r="P28" s="12" t="n"/>
    </row>
    <row r="29">
      <c r="A29" s="12" t="n"/>
      <c r="B29" s="17" t="n"/>
      <c r="C29" s="24">
        <f>IF(A29="","",IFERROR(INDEX(Clients!$G:$G,MATCH(A29,Clients!$A:$A,0)),""))</f>
        <v/>
      </c>
      <c r="D29" s="13">
        <f>IF(C29="","",IFERROR(INDEX(Packages!$C:$C,MATCH(C29,Packages!$A:$A,0)),""))</f>
        <v/>
      </c>
      <c r="E29" s="13">
        <f>IF(OR(A29="",B29=""),"",COUNTIFS(Uploads!$A:$A,$A29,Uploads!$B:$B,"&gt;="&amp;$B29,Uploads!$B:$B,"&lt;"&amp;EDATE($B29,1)))</f>
        <v/>
      </c>
      <c r="F29" s="25">
        <f>IF(OR(D29="",D29=0,E29=""),"",MIN(1,E29/D29))</f>
        <v/>
      </c>
      <c r="G29" s="13">
        <f>IF(OR(A29="",B29=""),"",SUMIFS(Uploads!$G:$G,Uploads!$A:$A,$A29,Uploads!$B:$B,"&gt;="&amp;$B29,Uploads!$B:$B,"&lt;"&amp;EDATE($B29,1)))</f>
        <v/>
      </c>
      <c r="H29" s="13">
        <f>IF(OR(A29="",B29=""),"",COUNTIFS(Enquiries!$B:$B,$A29,Enquiries!$A:$A,"&gt;="&amp;$B29,Enquiries!$A:$A,"&lt;"&amp;EDATE($B29,1)))</f>
        <v/>
      </c>
      <c r="I29" s="13">
        <f>IF(OR(A29="",B29=""),"",COUNTIFS(Enquiries!$B:$B,$A29,Enquiries!$F:$F,"Booked",Enquiries!$A:$A,"&gt;="&amp;$B29,Enquiries!$A:$A,"&lt;"&amp;EDATE($B29,1))+COUNTIFS(Enquiries!$B:$B,$A29,Enquiries!$F:$F,"Bought",Enquiries!$A:$A,"&gt;="&amp;$B29,Enquiries!$A:$A,"&lt;"&amp;EDATE($B29,1)))</f>
        <v/>
      </c>
      <c r="J29" s="13">
        <f>IF(OR(A29="",B29=""),"",SUMIFS(Enquiries!$G:$G,Enquiries!$B:$B,$A29,Enquiries!$A:$A,"&gt;="&amp;$B29,Enquiries!$A:$A,"&lt;"&amp;EDATE($B29,1)))</f>
        <v/>
      </c>
      <c r="K29" s="13">
        <f>IF(C29="","",IFERROR(INDEX(Packages!$B:$B,MATCH(C29,Packages!$A:$A,0)),""))</f>
        <v/>
      </c>
      <c r="L29" s="13">
        <f>IF(OR(K29="",F29=""),"",K29*F29)</f>
        <v/>
      </c>
      <c r="M29" s="12" t="n"/>
      <c r="N29" s="12" t="n"/>
      <c r="O29" s="14" t="n"/>
      <c r="P29" s="12" t="n"/>
    </row>
    <row r="30">
      <c r="A30" s="12" t="n"/>
      <c r="B30" s="17" t="n"/>
      <c r="C30" s="24">
        <f>IF(A30="","",IFERROR(INDEX(Clients!$G:$G,MATCH(A30,Clients!$A:$A,0)),""))</f>
        <v/>
      </c>
      <c r="D30" s="13">
        <f>IF(C30="","",IFERROR(INDEX(Packages!$C:$C,MATCH(C30,Packages!$A:$A,0)),""))</f>
        <v/>
      </c>
      <c r="E30" s="13">
        <f>IF(OR(A30="",B30=""),"",COUNTIFS(Uploads!$A:$A,$A30,Uploads!$B:$B,"&gt;="&amp;$B30,Uploads!$B:$B,"&lt;"&amp;EDATE($B30,1)))</f>
        <v/>
      </c>
      <c r="F30" s="25">
        <f>IF(OR(D30="",D30=0,E30=""),"",MIN(1,E30/D30))</f>
        <v/>
      </c>
      <c r="G30" s="13">
        <f>IF(OR(A30="",B30=""),"",SUMIFS(Uploads!$G:$G,Uploads!$A:$A,$A30,Uploads!$B:$B,"&gt;="&amp;$B30,Uploads!$B:$B,"&lt;"&amp;EDATE($B30,1)))</f>
        <v/>
      </c>
      <c r="H30" s="13">
        <f>IF(OR(A30="",B30=""),"",COUNTIFS(Enquiries!$B:$B,$A30,Enquiries!$A:$A,"&gt;="&amp;$B30,Enquiries!$A:$A,"&lt;"&amp;EDATE($B30,1)))</f>
        <v/>
      </c>
      <c r="I30" s="13">
        <f>IF(OR(A30="",B30=""),"",COUNTIFS(Enquiries!$B:$B,$A30,Enquiries!$F:$F,"Booked",Enquiries!$A:$A,"&gt;="&amp;$B30,Enquiries!$A:$A,"&lt;"&amp;EDATE($B30,1))+COUNTIFS(Enquiries!$B:$B,$A30,Enquiries!$F:$F,"Bought",Enquiries!$A:$A,"&gt;="&amp;$B30,Enquiries!$A:$A,"&lt;"&amp;EDATE($B30,1)))</f>
        <v/>
      </c>
      <c r="J30" s="13">
        <f>IF(OR(A30="",B30=""),"",SUMIFS(Enquiries!$G:$G,Enquiries!$B:$B,$A30,Enquiries!$A:$A,"&gt;="&amp;$B30,Enquiries!$A:$A,"&lt;"&amp;EDATE($B30,1)))</f>
        <v/>
      </c>
      <c r="K30" s="13">
        <f>IF(C30="","",IFERROR(INDEX(Packages!$B:$B,MATCH(C30,Packages!$A:$A,0)),""))</f>
        <v/>
      </c>
      <c r="L30" s="13">
        <f>IF(OR(K30="",F30=""),"",K30*F30)</f>
        <v/>
      </c>
      <c r="M30" s="12" t="n"/>
      <c r="N30" s="12" t="n"/>
      <c r="O30" s="14" t="n"/>
      <c r="P30" s="12" t="n"/>
    </row>
    <row r="31">
      <c r="A31" s="12" t="n"/>
      <c r="B31" s="17" t="n"/>
      <c r="C31" s="24">
        <f>IF(A31="","",IFERROR(INDEX(Clients!$G:$G,MATCH(A31,Clients!$A:$A,0)),""))</f>
        <v/>
      </c>
      <c r="D31" s="13">
        <f>IF(C31="","",IFERROR(INDEX(Packages!$C:$C,MATCH(C31,Packages!$A:$A,0)),""))</f>
        <v/>
      </c>
      <c r="E31" s="13">
        <f>IF(OR(A31="",B31=""),"",COUNTIFS(Uploads!$A:$A,$A31,Uploads!$B:$B,"&gt;="&amp;$B31,Uploads!$B:$B,"&lt;"&amp;EDATE($B31,1)))</f>
        <v/>
      </c>
      <c r="F31" s="25">
        <f>IF(OR(D31="",D31=0,E31=""),"",MIN(1,E31/D31))</f>
        <v/>
      </c>
      <c r="G31" s="13">
        <f>IF(OR(A31="",B31=""),"",SUMIFS(Uploads!$G:$G,Uploads!$A:$A,$A31,Uploads!$B:$B,"&gt;="&amp;$B31,Uploads!$B:$B,"&lt;"&amp;EDATE($B31,1)))</f>
        <v/>
      </c>
      <c r="H31" s="13">
        <f>IF(OR(A31="",B31=""),"",COUNTIFS(Enquiries!$B:$B,$A31,Enquiries!$A:$A,"&gt;="&amp;$B31,Enquiries!$A:$A,"&lt;"&amp;EDATE($B31,1)))</f>
        <v/>
      </c>
      <c r="I31" s="13">
        <f>IF(OR(A31="",B31=""),"",COUNTIFS(Enquiries!$B:$B,$A31,Enquiries!$F:$F,"Booked",Enquiries!$A:$A,"&gt;="&amp;$B31,Enquiries!$A:$A,"&lt;"&amp;EDATE($B31,1))+COUNTIFS(Enquiries!$B:$B,$A31,Enquiries!$F:$F,"Bought",Enquiries!$A:$A,"&gt;="&amp;$B31,Enquiries!$A:$A,"&lt;"&amp;EDATE($B31,1)))</f>
        <v/>
      </c>
      <c r="J31" s="13">
        <f>IF(OR(A31="",B31=""),"",SUMIFS(Enquiries!$G:$G,Enquiries!$B:$B,$A31,Enquiries!$A:$A,"&gt;="&amp;$B31,Enquiries!$A:$A,"&lt;"&amp;EDATE($B31,1)))</f>
        <v/>
      </c>
      <c r="K31" s="13">
        <f>IF(C31="","",IFERROR(INDEX(Packages!$B:$B,MATCH(C31,Packages!$A:$A,0)),""))</f>
        <v/>
      </c>
      <c r="L31" s="13">
        <f>IF(OR(K31="",F31=""),"",K31*F31)</f>
        <v/>
      </c>
      <c r="M31" s="12" t="n"/>
      <c r="N31" s="12" t="n"/>
      <c r="O31" s="14" t="n"/>
      <c r="P31" s="12" t="n"/>
    </row>
    <row r="32">
      <c r="A32" s="12" t="n"/>
      <c r="B32" s="17" t="n"/>
      <c r="C32" s="24">
        <f>IF(A32="","",IFERROR(INDEX(Clients!$G:$G,MATCH(A32,Clients!$A:$A,0)),""))</f>
        <v/>
      </c>
      <c r="D32" s="13">
        <f>IF(C32="","",IFERROR(INDEX(Packages!$C:$C,MATCH(C32,Packages!$A:$A,0)),""))</f>
        <v/>
      </c>
      <c r="E32" s="13">
        <f>IF(OR(A32="",B32=""),"",COUNTIFS(Uploads!$A:$A,$A32,Uploads!$B:$B,"&gt;="&amp;$B32,Uploads!$B:$B,"&lt;"&amp;EDATE($B32,1)))</f>
        <v/>
      </c>
      <c r="F32" s="25">
        <f>IF(OR(D32="",D32=0,E32=""),"",MIN(1,E32/D32))</f>
        <v/>
      </c>
      <c r="G32" s="13">
        <f>IF(OR(A32="",B32=""),"",SUMIFS(Uploads!$G:$G,Uploads!$A:$A,$A32,Uploads!$B:$B,"&gt;="&amp;$B32,Uploads!$B:$B,"&lt;"&amp;EDATE($B32,1)))</f>
        <v/>
      </c>
      <c r="H32" s="13">
        <f>IF(OR(A32="",B32=""),"",COUNTIFS(Enquiries!$B:$B,$A32,Enquiries!$A:$A,"&gt;="&amp;$B32,Enquiries!$A:$A,"&lt;"&amp;EDATE($B32,1)))</f>
        <v/>
      </c>
      <c r="I32" s="13">
        <f>IF(OR(A32="",B32=""),"",COUNTIFS(Enquiries!$B:$B,$A32,Enquiries!$F:$F,"Booked",Enquiries!$A:$A,"&gt;="&amp;$B32,Enquiries!$A:$A,"&lt;"&amp;EDATE($B32,1))+COUNTIFS(Enquiries!$B:$B,$A32,Enquiries!$F:$F,"Bought",Enquiries!$A:$A,"&gt;="&amp;$B32,Enquiries!$A:$A,"&lt;"&amp;EDATE($B32,1)))</f>
        <v/>
      </c>
      <c r="J32" s="13">
        <f>IF(OR(A32="",B32=""),"",SUMIFS(Enquiries!$G:$G,Enquiries!$B:$B,$A32,Enquiries!$A:$A,"&gt;="&amp;$B32,Enquiries!$A:$A,"&lt;"&amp;EDATE($B32,1)))</f>
        <v/>
      </c>
      <c r="K32" s="13">
        <f>IF(C32="","",IFERROR(INDEX(Packages!$B:$B,MATCH(C32,Packages!$A:$A,0)),""))</f>
        <v/>
      </c>
      <c r="L32" s="13">
        <f>IF(OR(K32="",F32=""),"",K32*F32)</f>
        <v/>
      </c>
      <c r="M32" s="12" t="n"/>
      <c r="N32" s="12" t="n"/>
      <c r="O32" s="14" t="n"/>
      <c r="P32" s="12" t="n"/>
    </row>
    <row r="33">
      <c r="A33" s="12" t="n"/>
      <c r="B33" s="17" t="n"/>
      <c r="C33" s="24">
        <f>IF(A33="","",IFERROR(INDEX(Clients!$G:$G,MATCH(A33,Clients!$A:$A,0)),""))</f>
        <v/>
      </c>
      <c r="D33" s="13">
        <f>IF(C33="","",IFERROR(INDEX(Packages!$C:$C,MATCH(C33,Packages!$A:$A,0)),""))</f>
        <v/>
      </c>
      <c r="E33" s="13">
        <f>IF(OR(A33="",B33=""),"",COUNTIFS(Uploads!$A:$A,$A33,Uploads!$B:$B,"&gt;="&amp;$B33,Uploads!$B:$B,"&lt;"&amp;EDATE($B33,1)))</f>
        <v/>
      </c>
      <c r="F33" s="25">
        <f>IF(OR(D33="",D33=0,E33=""),"",MIN(1,E33/D33))</f>
        <v/>
      </c>
      <c r="G33" s="13">
        <f>IF(OR(A33="",B33=""),"",SUMIFS(Uploads!$G:$G,Uploads!$A:$A,$A33,Uploads!$B:$B,"&gt;="&amp;$B33,Uploads!$B:$B,"&lt;"&amp;EDATE($B33,1)))</f>
        <v/>
      </c>
      <c r="H33" s="13">
        <f>IF(OR(A33="",B33=""),"",COUNTIFS(Enquiries!$B:$B,$A33,Enquiries!$A:$A,"&gt;="&amp;$B33,Enquiries!$A:$A,"&lt;"&amp;EDATE($B33,1)))</f>
        <v/>
      </c>
      <c r="I33" s="13">
        <f>IF(OR(A33="",B33=""),"",COUNTIFS(Enquiries!$B:$B,$A33,Enquiries!$F:$F,"Booked",Enquiries!$A:$A,"&gt;="&amp;$B33,Enquiries!$A:$A,"&lt;"&amp;EDATE($B33,1))+COUNTIFS(Enquiries!$B:$B,$A33,Enquiries!$F:$F,"Bought",Enquiries!$A:$A,"&gt;="&amp;$B33,Enquiries!$A:$A,"&lt;"&amp;EDATE($B33,1)))</f>
        <v/>
      </c>
      <c r="J33" s="13">
        <f>IF(OR(A33="",B33=""),"",SUMIFS(Enquiries!$G:$G,Enquiries!$B:$B,$A33,Enquiries!$A:$A,"&gt;="&amp;$B33,Enquiries!$A:$A,"&lt;"&amp;EDATE($B33,1)))</f>
        <v/>
      </c>
      <c r="K33" s="13">
        <f>IF(C33="","",IFERROR(INDEX(Packages!$B:$B,MATCH(C33,Packages!$A:$A,0)),""))</f>
        <v/>
      </c>
      <c r="L33" s="13">
        <f>IF(OR(K33="",F33=""),"",K33*F33)</f>
        <v/>
      </c>
      <c r="M33" s="12" t="n"/>
      <c r="N33" s="12" t="n"/>
      <c r="O33" s="14" t="n"/>
      <c r="P33" s="12" t="n"/>
    </row>
    <row r="34">
      <c r="A34" s="12" t="n"/>
      <c r="B34" s="17" t="n"/>
      <c r="C34" s="24">
        <f>IF(A34="","",IFERROR(INDEX(Clients!$G:$G,MATCH(A34,Clients!$A:$A,0)),""))</f>
        <v/>
      </c>
      <c r="D34" s="13">
        <f>IF(C34="","",IFERROR(INDEX(Packages!$C:$C,MATCH(C34,Packages!$A:$A,0)),""))</f>
        <v/>
      </c>
      <c r="E34" s="13">
        <f>IF(OR(A34="",B34=""),"",COUNTIFS(Uploads!$A:$A,$A34,Uploads!$B:$B,"&gt;="&amp;$B34,Uploads!$B:$B,"&lt;"&amp;EDATE($B34,1)))</f>
        <v/>
      </c>
      <c r="F34" s="25">
        <f>IF(OR(D34="",D34=0,E34=""),"",MIN(1,E34/D34))</f>
        <v/>
      </c>
      <c r="G34" s="13">
        <f>IF(OR(A34="",B34=""),"",SUMIFS(Uploads!$G:$G,Uploads!$A:$A,$A34,Uploads!$B:$B,"&gt;="&amp;$B34,Uploads!$B:$B,"&lt;"&amp;EDATE($B34,1)))</f>
        <v/>
      </c>
      <c r="H34" s="13">
        <f>IF(OR(A34="",B34=""),"",COUNTIFS(Enquiries!$B:$B,$A34,Enquiries!$A:$A,"&gt;="&amp;$B34,Enquiries!$A:$A,"&lt;"&amp;EDATE($B34,1)))</f>
        <v/>
      </c>
      <c r="I34" s="13">
        <f>IF(OR(A34="",B34=""),"",COUNTIFS(Enquiries!$B:$B,$A34,Enquiries!$F:$F,"Booked",Enquiries!$A:$A,"&gt;="&amp;$B34,Enquiries!$A:$A,"&lt;"&amp;EDATE($B34,1))+COUNTIFS(Enquiries!$B:$B,$A34,Enquiries!$F:$F,"Bought",Enquiries!$A:$A,"&gt;="&amp;$B34,Enquiries!$A:$A,"&lt;"&amp;EDATE($B34,1)))</f>
        <v/>
      </c>
      <c r="J34" s="13">
        <f>IF(OR(A34="",B34=""),"",SUMIFS(Enquiries!$G:$G,Enquiries!$B:$B,$A34,Enquiries!$A:$A,"&gt;="&amp;$B34,Enquiries!$A:$A,"&lt;"&amp;EDATE($B34,1)))</f>
        <v/>
      </c>
      <c r="K34" s="13">
        <f>IF(C34="","",IFERROR(INDEX(Packages!$B:$B,MATCH(C34,Packages!$A:$A,0)),""))</f>
        <v/>
      </c>
      <c r="L34" s="13">
        <f>IF(OR(K34="",F34=""),"",K34*F34)</f>
        <v/>
      </c>
      <c r="M34" s="12" t="n"/>
      <c r="N34" s="12" t="n"/>
      <c r="O34" s="14" t="n"/>
      <c r="P34" s="12" t="n"/>
    </row>
    <row r="35">
      <c r="A35" s="12" t="n"/>
      <c r="B35" s="17" t="n"/>
      <c r="C35" s="24">
        <f>IF(A35="","",IFERROR(INDEX(Clients!$G:$G,MATCH(A35,Clients!$A:$A,0)),""))</f>
        <v/>
      </c>
      <c r="D35" s="13">
        <f>IF(C35="","",IFERROR(INDEX(Packages!$C:$C,MATCH(C35,Packages!$A:$A,0)),""))</f>
        <v/>
      </c>
      <c r="E35" s="13">
        <f>IF(OR(A35="",B35=""),"",COUNTIFS(Uploads!$A:$A,$A35,Uploads!$B:$B,"&gt;="&amp;$B35,Uploads!$B:$B,"&lt;"&amp;EDATE($B35,1)))</f>
        <v/>
      </c>
      <c r="F35" s="25">
        <f>IF(OR(D35="",D35=0,E35=""),"",MIN(1,E35/D35))</f>
        <v/>
      </c>
      <c r="G35" s="13">
        <f>IF(OR(A35="",B35=""),"",SUMIFS(Uploads!$G:$G,Uploads!$A:$A,$A35,Uploads!$B:$B,"&gt;="&amp;$B35,Uploads!$B:$B,"&lt;"&amp;EDATE($B35,1)))</f>
        <v/>
      </c>
      <c r="H35" s="13">
        <f>IF(OR(A35="",B35=""),"",COUNTIFS(Enquiries!$B:$B,$A35,Enquiries!$A:$A,"&gt;="&amp;$B35,Enquiries!$A:$A,"&lt;"&amp;EDATE($B35,1)))</f>
        <v/>
      </c>
      <c r="I35" s="13">
        <f>IF(OR(A35="",B35=""),"",COUNTIFS(Enquiries!$B:$B,$A35,Enquiries!$F:$F,"Booked",Enquiries!$A:$A,"&gt;="&amp;$B35,Enquiries!$A:$A,"&lt;"&amp;EDATE($B35,1))+COUNTIFS(Enquiries!$B:$B,$A35,Enquiries!$F:$F,"Bought",Enquiries!$A:$A,"&gt;="&amp;$B35,Enquiries!$A:$A,"&lt;"&amp;EDATE($B35,1)))</f>
        <v/>
      </c>
      <c r="J35" s="13">
        <f>IF(OR(A35="",B35=""),"",SUMIFS(Enquiries!$G:$G,Enquiries!$B:$B,$A35,Enquiries!$A:$A,"&gt;="&amp;$B35,Enquiries!$A:$A,"&lt;"&amp;EDATE($B35,1)))</f>
        <v/>
      </c>
      <c r="K35" s="13">
        <f>IF(C35="","",IFERROR(INDEX(Packages!$B:$B,MATCH(C35,Packages!$A:$A,0)),""))</f>
        <v/>
      </c>
      <c r="L35" s="13">
        <f>IF(OR(K35="",F35=""),"",K35*F35)</f>
        <v/>
      </c>
      <c r="M35" s="12" t="n"/>
      <c r="N35" s="12" t="n"/>
      <c r="O35" s="14" t="n"/>
      <c r="P35" s="12" t="n"/>
    </row>
    <row r="36">
      <c r="A36" s="12" t="n"/>
      <c r="B36" s="17" t="n"/>
      <c r="C36" s="24">
        <f>IF(A36="","",IFERROR(INDEX(Clients!$G:$G,MATCH(A36,Clients!$A:$A,0)),""))</f>
        <v/>
      </c>
      <c r="D36" s="13">
        <f>IF(C36="","",IFERROR(INDEX(Packages!$C:$C,MATCH(C36,Packages!$A:$A,0)),""))</f>
        <v/>
      </c>
      <c r="E36" s="13">
        <f>IF(OR(A36="",B36=""),"",COUNTIFS(Uploads!$A:$A,$A36,Uploads!$B:$B,"&gt;="&amp;$B36,Uploads!$B:$B,"&lt;"&amp;EDATE($B36,1)))</f>
        <v/>
      </c>
      <c r="F36" s="25">
        <f>IF(OR(D36="",D36=0,E36=""),"",MIN(1,E36/D36))</f>
        <v/>
      </c>
      <c r="G36" s="13">
        <f>IF(OR(A36="",B36=""),"",SUMIFS(Uploads!$G:$G,Uploads!$A:$A,$A36,Uploads!$B:$B,"&gt;="&amp;$B36,Uploads!$B:$B,"&lt;"&amp;EDATE($B36,1)))</f>
        <v/>
      </c>
      <c r="H36" s="13">
        <f>IF(OR(A36="",B36=""),"",COUNTIFS(Enquiries!$B:$B,$A36,Enquiries!$A:$A,"&gt;="&amp;$B36,Enquiries!$A:$A,"&lt;"&amp;EDATE($B36,1)))</f>
        <v/>
      </c>
      <c r="I36" s="13">
        <f>IF(OR(A36="",B36=""),"",COUNTIFS(Enquiries!$B:$B,$A36,Enquiries!$F:$F,"Booked",Enquiries!$A:$A,"&gt;="&amp;$B36,Enquiries!$A:$A,"&lt;"&amp;EDATE($B36,1))+COUNTIFS(Enquiries!$B:$B,$A36,Enquiries!$F:$F,"Bought",Enquiries!$A:$A,"&gt;="&amp;$B36,Enquiries!$A:$A,"&lt;"&amp;EDATE($B36,1)))</f>
        <v/>
      </c>
      <c r="J36" s="13">
        <f>IF(OR(A36="",B36=""),"",SUMIFS(Enquiries!$G:$G,Enquiries!$B:$B,$A36,Enquiries!$A:$A,"&gt;="&amp;$B36,Enquiries!$A:$A,"&lt;"&amp;EDATE($B36,1)))</f>
        <v/>
      </c>
      <c r="K36" s="13">
        <f>IF(C36="","",IFERROR(INDEX(Packages!$B:$B,MATCH(C36,Packages!$A:$A,0)),""))</f>
        <v/>
      </c>
      <c r="L36" s="13">
        <f>IF(OR(K36="",F36=""),"",K36*F36)</f>
        <v/>
      </c>
      <c r="M36" s="12" t="n"/>
      <c r="N36" s="12" t="n"/>
      <c r="O36" s="14" t="n"/>
      <c r="P36" s="12" t="n"/>
    </row>
    <row r="37">
      <c r="A37" s="12" t="n"/>
      <c r="B37" s="17" t="n"/>
      <c r="C37" s="24">
        <f>IF(A37="","",IFERROR(INDEX(Clients!$G:$G,MATCH(A37,Clients!$A:$A,0)),""))</f>
        <v/>
      </c>
      <c r="D37" s="13">
        <f>IF(C37="","",IFERROR(INDEX(Packages!$C:$C,MATCH(C37,Packages!$A:$A,0)),""))</f>
        <v/>
      </c>
      <c r="E37" s="13">
        <f>IF(OR(A37="",B37=""),"",COUNTIFS(Uploads!$A:$A,$A37,Uploads!$B:$B,"&gt;="&amp;$B37,Uploads!$B:$B,"&lt;"&amp;EDATE($B37,1)))</f>
        <v/>
      </c>
      <c r="F37" s="25">
        <f>IF(OR(D37="",D37=0,E37=""),"",MIN(1,E37/D37))</f>
        <v/>
      </c>
      <c r="G37" s="13">
        <f>IF(OR(A37="",B37=""),"",SUMIFS(Uploads!$G:$G,Uploads!$A:$A,$A37,Uploads!$B:$B,"&gt;="&amp;$B37,Uploads!$B:$B,"&lt;"&amp;EDATE($B37,1)))</f>
        <v/>
      </c>
      <c r="H37" s="13">
        <f>IF(OR(A37="",B37=""),"",COUNTIFS(Enquiries!$B:$B,$A37,Enquiries!$A:$A,"&gt;="&amp;$B37,Enquiries!$A:$A,"&lt;"&amp;EDATE($B37,1)))</f>
        <v/>
      </c>
      <c r="I37" s="13">
        <f>IF(OR(A37="",B37=""),"",COUNTIFS(Enquiries!$B:$B,$A37,Enquiries!$F:$F,"Booked",Enquiries!$A:$A,"&gt;="&amp;$B37,Enquiries!$A:$A,"&lt;"&amp;EDATE($B37,1))+COUNTIFS(Enquiries!$B:$B,$A37,Enquiries!$F:$F,"Bought",Enquiries!$A:$A,"&gt;="&amp;$B37,Enquiries!$A:$A,"&lt;"&amp;EDATE($B37,1)))</f>
        <v/>
      </c>
      <c r="J37" s="13">
        <f>IF(OR(A37="",B37=""),"",SUMIFS(Enquiries!$G:$G,Enquiries!$B:$B,$A37,Enquiries!$A:$A,"&gt;="&amp;$B37,Enquiries!$A:$A,"&lt;"&amp;EDATE($B37,1)))</f>
        <v/>
      </c>
      <c r="K37" s="13">
        <f>IF(C37="","",IFERROR(INDEX(Packages!$B:$B,MATCH(C37,Packages!$A:$A,0)),""))</f>
        <v/>
      </c>
      <c r="L37" s="13">
        <f>IF(OR(K37="",F37=""),"",K37*F37)</f>
        <v/>
      </c>
      <c r="M37" s="12" t="n"/>
      <c r="N37" s="12" t="n"/>
      <c r="O37" s="14" t="n"/>
      <c r="P37" s="12" t="n"/>
    </row>
    <row r="38">
      <c r="A38" s="12" t="n"/>
      <c r="B38" s="17" t="n"/>
      <c r="C38" s="24">
        <f>IF(A38="","",IFERROR(INDEX(Clients!$G:$G,MATCH(A38,Clients!$A:$A,0)),""))</f>
        <v/>
      </c>
      <c r="D38" s="13">
        <f>IF(C38="","",IFERROR(INDEX(Packages!$C:$C,MATCH(C38,Packages!$A:$A,0)),""))</f>
        <v/>
      </c>
      <c r="E38" s="13">
        <f>IF(OR(A38="",B38=""),"",COUNTIFS(Uploads!$A:$A,$A38,Uploads!$B:$B,"&gt;="&amp;$B38,Uploads!$B:$B,"&lt;"&amp;EDATE($B38,1)))</f>
        <v/>
      </c>
      <c r="F38" s="25">
        <f>IF(OR(D38="",D38=0,E38=""),"",MIN(1,E38/D38))</f>
        <v/>
      </c>
      <c r="G38" s="13">
        <f>IF(OR(A38="",B38=""),"",SUMIFS(Uploads!$G:$G,Uploads!$A:$A,$A38,Uploads!$B:$B,"&gt;="&amp;$B38,Uploads!$B:$B,"&lt;"&amp;EDATE($B38,1)))</f>
        <v/>
      </c>
      <c r="H38" s="13">
        <f>IF(OR(A38="",B38=""),"",COUNTIFS(Enquiries!$B:$B,$A38,Enquiries!$A:$A,"&gt;="&amp;$B38,Enquiries!$A:$A,"&lt;"&amp;EDATE($B38,1)))</f>
        <v/>
      </c>
      <c r="I38" s="13">
        <f>IF(OR(A38="",B38=""),"",COUNTIFS(Enquiries!$B:$B,$A38,Enquiries!$F:$F,"Booked",Enquiries!$A:$A,"&gt;="&amp;$B38,Enquiries!$A:$A,"&lt;"&amp;EDATE($B38,1))+COUNTIFS(Enquiries!$B:$B,$A38,Enquiries!$F:$F,"Bought",Enquiries!$A:$A,"&gt;="&amp;$B38,Enquiries!$A:$A,"&lt;"&amp;EDATE($B38,1)))</f>
        <v/>
      </c>
      <c r="J38" s="13">
        <f>IF(OR(A38="",B38=""),"",SUMIFS(Enquiries!$G:$G,Enquiries!$B:$B,$A38,Enquiries!$A:$A,"&gt;="&amp;$B38,Enquiries!$A:$A,"&lt;"&amp;EDATE($B38,1)))</f>
        <v/>
      </c>
      <c r="K38" s="13">
        <f>IF(C38="","",IFERROR(INDEX(Packages!$B:$B,MATCH(C38,Packages!$A:$A,0)),""))</f>
        <v/>
      </c>
      <c r="L38" s="13">
        <f>IF(OR(K38="",F38=""),"",K38*F38)</f>
        <v/>
      </c>
      <c r="M38" s="12" t="n"/>
      <c r="N38" s="12" t="n"/>
      <c r="O38" s="14" t="n"/>
      <c r="P38" s="12" t="n"/>
    </row>
    <row r="39">
      <c r="A39" s="12" t="n"/>
      <c r="B39" s="17" t="n"/>
      <c r="C39" s="24">
        <f>IF(A39="","",IFERROR(INDEX(Clients!$G:$G,MATCH(A39,Clients!$A:$A,0)),""))</f>
        <v/>
      </c>
      <c r="D39" s="13">
        <f>IF(C39="","",IFERROR(INDEX(Packages!$C:$C,MATCH(C39,Packages!$A:$A,0)),""))</f>
        <v/>
      </c>
      <c r="E39" s="13">
        <f>IF(OR(A39="",B39=""),"",COUNTIFS(Uploads!$A:$A,$A39,Uploads!$B:$B,"&gt;="&amp;$B39,Uploads!$B:$B,"&lt;"&amp;EDATE($B39,1)))</f>
        <v/>
      </c>
      <c r="F39" s="25">
        <f>IF(OR(D39="",D39=0,E39=""),"",MIN(1,E39/D39))</f>
        <v/>
      </c>
      <c r="G39" s="13">
        <f>IF(OR(A39="",B39=""),"",SUMIFS(Uploads!$G:$G,Uploads!$A:$A,$A39,Uploads!$B:$B,"&gt;="&amp;$B39,Uploads!$B:$B,"&lt;"&amp;EDATE($B39,1)))</f>
        <v/>
      </c>
      <c r="H39" s="13">
        <f>IF(OR(A39="",B39=""),"",COUNTIFS(Enquiries!$B:$B,$A39,Enquiries!$A:$A,"&gt;="&amp;$B39,Enquiries!$A:$A,"&lt;"&amp;EDATE($B39,1)))</f>
        <v/>
      </c>
      <c r="I39" s="13">
        <f>IF(OR(A39="",B39=""),"",COUNTIFS(Enquiries!$B:$B,$A39,Enquiries!$F:$F,"Booked",Enquiries!$A:$A,"&gt;="&amp;$B39,Enquiries!$A:$A,"&lt;"&amp;EDATE($B39,1))+COUNTIFS(Enquiries!$B:$B,$A39,Enquiries!$F:$F,"Bought",Enquiries!$A:$A,"&gt;="&amp;$B39,Enquiries!$A:$A,"&lt;"&amp;EDATE($B39,1)))</f>
        <v/>
      </c>
      <c r="J39" s="13">
        <f>IF(OR(A39="",B39=""),"",SUMIFS(Enquiries!$G:$G,Enquiries!$B:$B,$A39,Enquiries!$A:$A,"&gt;="&amp;$B39,Enquiries!$A:$A,"&lt;"&amp;EDATE($B39,1)))</f>
        <v/>
      </c>
      <c r="K39" s="13">
        <f>IF(C39="","",IFERROR(INDEX(Packages!$B:$B,MATCH(C39,Packages!$A:$A,0)),""))</f>
        <v/>
      </c>
      <c r="L39" s="13">
        <f>IF(OR(K39="",F39=""),"",K39*F39)</f>
        <v/>
      </c>
      <c r="M39" s="12" t="n"/>
      <c r="N39" s="12" t="n"/>
      <c r="O39" s="14" t="n"/>
      <c r="P39" s="12" t="n"/>
    </row>
    <row r="40">
      <c r="A40" s="12" t="n"/>
      <c r="B40" s="17" t="n"/>
      <c r="C40" s="24">
        <f>IF(A40="","",IFERROR(INDEX(Clients!$G:$G,MATCH(A40,Clients!$A:$A,0)),""))</f>
        <v/>
      </c>
      <c r="D40" s="13">
        <f>IF(C40="","",IFERROR(INDEX(Packages!$C:$C,MATCH(C40,Packages!$A:$A,0)),""))</f>
        <v/>
      </c>
      <c r="E40" s="13">
        <f>IF(OR(A40="",B40=""),"",COUNTIFS(Uploads!$A:$A,$A40,Uploads!$B:$B,"&gt;="&amp;$B40,Uploads!$B:$B,"&lt;"&amp;EDATE($B40,1)))</f>
        <v/>
      </c>
      <c r="F40" s="25">
        <f>IF(OR(D40="",D40=0,E40=""),"",MIN(1,E40/D40))</f>
        <v/>
      </c>
      <c r="G40" s="13">
        <f>IF(OR(A40="",B40=""),"",SUMIFS(Uploads!$G:$G,Uploads!$A:$A,$A40,Uploads!$B:$B,"&gt;="&amp;$B40,Uploads!$B:$B,"&lt;"&amp;EDATE($B40,1)))</f>
        <v/>
      </c>
      <c r="H40" s="13">
        <f>IF(OR(A40="",B40=""),"",COUNTIFS(Enquiries!$B:$B,$A40,Enquiries!$A:$A,"&gt;="&amp;$B40,Enquiries!$A:$A,"&lt;"&amp;EDATE($B40,1)))</f>
        <v/>
      </c>
      <c r="I40" s="13">
        <f>IF(OR(A40="",B40=""),"",COUNTIFS(Enquiries!$B:$B,$A40,Enquiries!$F:$F,"Booked",Enquiries!$A:$A,"&gt;="&amp;$B40,Enquiries!$A:$A,"&lt;"&amp;EDATE($B40,1))+COUNTIFS(Enquiries!$B:$B,$A40,Enquiries!$F:$F,"Bought",Enquiries!$A:$A,"&gt;="&amp;$B40,Enquiries!$A:$A,"&lt;"&amp;EDATE($B40,1)))</f>
        <v/>
      </c>
      <c r="J40" s="13">
        <f>IF(OR(A40="",B40=""),"",SUMIFS(Enquiries!$G:$G,Enquiries!$B:$B,$A40,Enquiries!$A:$A,"&gt;="&amp;$B40,Enquiries!$A:$A,"&lt;"&amp;EDATE($B40,1)))</f>
        <v/>
      </c>
      <c r="K40" s="13">
        <f>IF(C40="","",IFERROR(INDEX(Packages!$B:$B,MATCH(C40,Packages!$A:$A,0)),""))</f>
        <v/>
      </c>
      <c r="L40" s="13">
        <f>IF(OR(K40="",F40=""),"",K40*F40)</f>
        <v/>
      </c>
      <c r="M40" s="12" t="n"/>
      <c r="N40" s="12" t="n"/>
      <c r="O40" s="14" t="n"/>
      <c r="P40" s="12" t="n"/>
    </row>
    <row r="41">
      <c r="A41" s="12" t="n"/>
      <c r="B41" s="17" t="n"/>
      <c r="C41" s="24">
        <f>IF(A41="","",IFERROR(INDEX(Clients!$G:$G,MATCH(A41,Clients!$A:$A,0)),""))</f>
        <v/>
      </c>
      <c r="D41" s="13">
        <f>IF(C41="","",IFERROR(INDEX(Packages!$C:$C,MATCH(C41,Packages!$A:$A,0)),""))</f>
        <v/>
      </c>
      <c r="E41" s="13">
        <f>IF(OR(A41="",B41=""),"",COUNTIFS(Uploads!$A:$A,$A41,Uploads!$B:$B,"&gt;="&amp;$B41,Uploads!$B:$B,"&lt;"&amp;EDATE($B41,1)))</f>
        <v/>
      </c>
      <c r="F41" s="25">
        <f>IF(OR(D41="",D41=0,E41=""),"",MIN(1,E41/D41))</f>
        <v/>
      </c>
      <c r="G41" s="13">
        <f>IF(OR(A41="",B41=""),"",SUMIFS(Uploads!$G:$G,Uploads!$A:$A,$A41,Uploads!$B:$B,"&gt;="&amp;$B41,Uploads!$B:$B,"&lt;"&amp;EDATE($B41,1)))</f>
        <v/>
      </c>
      <c r="H41" s="13">
        <f>IF(OR(A41="",B41=""),"",COUNTIFS(Enquiries!$B:$B,$A41,Enquiries!$A:$A,"&gt;="&amp;$B41,Enquiries!$A:$A,"&lt;"&amp;EDATE($B41,1)))</f>
        <v/>
      </c>
      <c r="I41" s="13">
        <f>IF(OR(A41="",B41=""),"",COUNTIFS(Enquiries!$B:$B,$A41,Enquiries!$F:$F,"Booked",Enquiries!$A:$A,"&gt;="&amp;$B41,Enquiries!$A:$A,"&lt;"&amp;EDATE($B41,1))+COUNTIFS(Enquiries!$B:$B,$A41,Enquiries!$F:$F,"Bought",Enquiries!$A:$A,"&gt;="&amp;$B41,Enquiries!$A:$A,"&lt;"&amp;EDATE($B41,1)))</f>
        <v/>
      </c>
      <c r="J41" s="13">
        <f>IF(OR(A41="",B41=""),"",SUMIFS(Enquiries!$G:$G,Enquiries!$B:$B,$A41,Enquiries!$A:$A,"&gt;="&amp;$B41,Enquiries!$A:$A,"&lt;"&amp;EDATE($B41,1)))</f>
        <v/>
      </c>
      <c r="K41" s="13">
        <f>IF(C41="","",IFERROR(INDEX(Packages!$B:$B,MATCH(C41,Packages!$A:$A,0)),""))</f>
        <v/>
      </c>
      <c r="L41" s="13">
        <f>IF(OR(K41="",F41=""),"",K41*F41)</f>
        <v/>
      </c>
      <c r="M41" s="12" t="n"/>
      <c r="N41" s="12" t="n"/>
      <c r="O41" s="14" t="n"/>
      <c r="P41" s="12" t="n"/>
    </row>
    <row r="42">
      <c r="A42" s="12" t="n"/>
      <c r="B42" s="17" t="n"/>
      <c r="C42" s="24">
        <f>IF(A42="","",IFERROR(INDEX(Clients!$G:$G,MATCH(A42,Clients!$A:$A,0)),""))</f>
        <v/>
      </c>
      <c r="D42" s="13">
        <f>IF(C42="","",IFERROR(INDEX(Packages!$C:$C,MATCH(C42,Packages!$A:$A,0)),""))</f>
        <v/>
      </c>
      <c r="E42" s="13">
        <f>IF(OR(A42="",B42=""),"",COUNTIFS(Uploads!$A:$A,$A42,Uploads!$B:$B,"&gt;="&amp;$B42,Uploads!$B:$B,"&lt;"&amp;EDATE($B42,1)))</f>
        <v/>
      </c>
      <c r="F42" s="25">
        <f>IF(OR(D42="",D42=0,E42=""),"",MIN(1,E42/D42))</f>
        <v/>
      </c>
      <c r="G42" s="13">
        <f>IF(OR(A42="",B42=""),"",SUMIFS(Uploads!$G:$G,Uploads!$A:$A,$A42,Uploads!$B:$B,"&gt;="&amp;$B42,Uploads!$B:$B,"&lt;"&amp;EDATE($B42,1)))</f>
        <v/>
      </c>
      <c r="H42" s="13">
        <f>IF(OR(A42="",B42=""),"",COUNTIFS(Enquiries!$B:$B,$A42,Enquiries!$A:$A,"&gt;="&amp;$B42,Enquiries!$A:$A,"&lt;"&amp;EDATE($B42,1)))</f>
        <v/>
      </c>
      <c r="I42" s="13">
        <f>IF(OR(A42="",B42=""),"",COUNTIFS(Enquiries!$B:$B,$A42,Enquiries!$F:$F,"Booked",Enquiries!$A:$A,"&gt;="&amp;$B42,Enquiries!$A:$A,"&lt;"&amp;EDATE($B42,1))+COUNTIFS(Enquiries!$B:$B,$A42,Enquiries!$F:$F,"Bought",Enquiries!$A:$A,"&gt;="&amp;$B42,Enquiries!$A:$A,"&lt;"&amp;EDATE($B42,1)))</f>
        <v/>
      </c>
      <c r="J42" s="13">
        <f>IF(OR(A42="",B42=""),"",SUMIFS(Enquiries!$G:$G,Enquiries!$B:$B,$A42,Enquiries!$A:$A,"&gt;="&amp;$B42,Enquiries!$A:$A,"&lt;"&amp;EDATE($B42,1)))</f>
        <v/>
      </c>
      <c r="K42" s="13">
        <f>IF(C42="","",IFERROR(INDEX(Packages!$B:$B,MATCH(C42,Packages!$A:$A,0)),""))</f>
        <v/>
      </c>
      <c r="L42" s="13">
        <f>IF(OR(K42="",F42=""),"",K42*F42)</f>
        <v/>
      </c>
      <c r="M42" s="12" t="n"/>
      <c r="N42" s="12" t="n"/>
      <c r="O42" s="14" t="n"/>
      <c r="P42" s="12" t="n"/>
    </row>
    <row r="43">
      <c r="A43" s="12" t="n"/>
      <c r="B43" s="17" t="n"/>
      <c r="C43" s="24">
        <f>IF(A43="","",IFERROR(INDEX(Clients!$G:$G,MATCH(A43,Clients!$A:$A,0)),""))</f>
        <v/>
      </c>
      <c r="D43" s="13">
        <f>IF(C43="","",IFERROR(INDEX(Packages!$C:$C,MATCH(C43,Packages!$A:$A,0)),""))</f>
        <v/>
      </c>
      <c r="E43" s="13">
        <f>IF(OR(A43="",B43=""),"",COUNTIFS(Uploads!$A:$A,$A43,Uploads!$B:$B,"&gt;="&amp;$B43,Uploads!$B:$B,"&lt;"&amp;EDATE($B43,1)))</f>
        <v/>
      </c>
      <c r="F43" s="25">
        <f>IF(OR(D43="",D43=0,E43=""),"",MIN(1,E43/D43))</f>
        <v/>
      </c>
      <c r="G43" s="13">
        <f>IF(OR(A43="",B43=""),"",SUMIFS(Uploads!$G:$G,Uploads!$A:$A,$A43,Uploads!$B:$B,"&gt;="&amp;$B43,Uploads!$B:$B,"&lt;"&amp;EDATE($B43,1)))</f>
        <v/>
      </c>
      <c r="H43" s="13">
        <f>IF(OR(A43="",B43=""),"",COUNTIFS(Enquiries!$B:$B,$A43,Enquiries!$A:$A,"&gt;="&amp;$B43,Enquiries!$A:$A,"&lt;"&amp;EDATE($B43,1)))</f>
        <v/>
      </c>
      <c r="I43" s="13">
        <f>IF(OR(A43="",B43=""),"",COUNTIFS(Enquiries!$B:$B,$A43,Enquiries!$F:$F,"Booked",Enquiries!$A:$A,"&gt;="&amp;$B43,Enquiries!$A:$A,"&lt;"&amp;EDATE($B43,1))+COUNTIFS(Enquiries!$B:$B,$A43,Enquiries!$F:$F,"Bought",Enquiries!$A:$A,"&gt;="&amp;$B43,Enquiries!$A:$A,"&lt;"&amp;EDATE($B43,1)))</f>
        <v/>
      </c>
      <c r="J43" s="13">
        <f>IF(OR(A43="",B43=""),"",SUMIFS(Enquiries!$G:$G,Enquiries!$B:$B,$A43,Enquiries!$A:$A,"&gt;="&amp;$B43,Enquiries!$A:$A,"&lt;"&amp;EDATE($B43,1)))</f>
        <v/>
      </c>
      <c r="K43" s="13">
        <f>IF(C43="","",IFERROR(INDEX(Packages!$B:$B,MATCH(C43,Packages!$A:$A,0)),""))</f>
        <v/>
      </c>
      <c r="L43" s="13">
        <f>IF(OR(K43="",F43=""),"",K43*F43)</f>
        <v/>
      </c>
      <c r="M43" s="12" t="n"/>
      <c r="N43" s="12" t="n"/>
      <c r="O43" s="14" t="n"/>
      <c r="P43" s="12" t="n"/>
    </row>
    <row r="44">
      <c r="A44" s="12" t="n"/>
      <c r="B44" s="17" t="n"/>
      <c r="C44" s="24">
        <f>IF(A44="","",IFERROR(INDEX(Clients!$G:$G,MATCH(A44,Clients!$A:$A,0)),""))</f>
        <v/>
      </c>
      <c r="D44" s="13">
        <f>IF(C44="","",IFERROR(INDEX(Packages!$C:$C,MATCH(C44,Packages!$A:$A,0)),""))</f>
        <v/>
      </c>
      <c r="E44" s="13">
        <f>IF(OR(A44="",B44=""),"",COUNTIFS(Uploads!$A:$A,$A44,Uploads!$B:$B,"&gt;="&amp;$B44,Uploads!$B:$B,"&lt;"&amp;EDATE($B44,1)))</f>
        <v/>
      </c>
      <c r="F44" s="25">
        <f>IF(OR(D44="",D44=0,E44=""),"",MIN(1,E44/D44))</f>
        <v/>
      </c>
      <c r="G44" s="13">
        <f>IF(OR(A44="",B44=""),"",SUMIFS(Uploads!$G:$G,Uploads!$A:$A,$A44,Uploads!$B:$B,"&gt;="&amp;$B44,Uploads!$B:$B,"&lt;"&amp;EDATE($B44,1)))</f>
        <v/>
      </c>
      <c r="H44" s="13">
        <f>IF(OR(A44="",B44=""),"",COUNTIFS(Enquiries!$B:$B,$A44,Enquiries!$A:$A,"&gt;="&amp;$B44,Enquiries!$A:$A,"&lt;"&amp;EDATE($B44,1)))</f>
        <v/>
      </c>
      <c r="I44" s="13">
        <f>IF(OR(A44="",B44=""),"",COUNTIFS(Enquiries!$B:$B,$A44,Enquiries!$F:$F,"Booked",Enquiries!$A:$A,"&gt;="&amp;$B44,Enquiries!$A:$A,"&lt;"&amp;EDATE($B44,1))+COUNTIFS(Enquiries!$B:$B,$A44,Enquiries!$F:$F,"Bought",Enquiries!$A:$A,"&gt;="&amp;$B44,Enquiries!$A:$A,"&lt;"&amp;EDATE($B44,1)))</f>
        <v/>
      </c>
      <c r="J44" s="13">
        <f>IF(OR(A44="",B44=""),"",SUMIFS(Enquiries!$G:$G,Enquiries!$B:$B,$A44,Enquiries!$A:$A,"&gt;="&amp;$B44,Enquiries!$A:$A,"&lt;"&amp;EDATE($B44,1)))</f>
        <v/>
      </c>
      <c r="K44" s="13">
        <f>IF(C44="","",IFERROR(INDEX(Packages!$B:$B,MATCH(C44,Packages!$A:$A,0)),""))</f>
        <v/>
      </c>
      <c r="L44" s="13">
        <f>IF(OR(K44="",F44=""),"",K44*F44)</f>
        <v/>
      </c>
      <c r="M44" s="12" t="n"/>
      <c r="N44" s="12" t="n"/>
      <c r="O44" s="14" t="n"/>
      <c r="P44" s="12" t="n"/>
    </row>
    <row r="45">
      <c r="A45" s="12" t="n"/>
      <c r="B45" s="17" t="n"/>
      <c r="C45" s="24">
        <f>IF(A45="","",IFERROR(INDEX(Clients!$G:$G,MATCH(A45,Clients!$A:$A,0)),""))</f>
        <v/>
      </c>
      <c r="D45" s="13">
        <f>IF(C45="","",IFERROR(INDEX(Packages!$C:$C,MATCH(C45,Packages!$A:$A,0)),""))</f>
        <v/>
      </c>
      <c r="E45" s="13">
        <f>IF(OR(A45="",B45=""),"",COUNTIFS(Uploads!$A:$A,$A45,Uploads!$B:$B,"&gt;="&amp;$B45,Uploads!$B:$B,"&lt;"&amp;EDATE($B45,1)))</f>
        <v/>
      </c>
      <c r="F45" s="25">
        <f>IF(OR(D45="",D45=0,E45=""),"",MIN(1,E45/D45))</f>
        <v/>
      </c>
      <c r="G45" s="13">
        <f>IF(OR(A45="",B45=""),"",SUMIFS(Uploads!$G:$G,Uploads!$A:$A,$A45,Uploads!$B:$B,"&gt;="&amp;$B45,Uploads!$B:$B,"&lt;"&amp;EDATE($B45,1)))</f>
        <v/>
      </c>
      <c r="H45" s="13">
        <f>IF(OR(A45="",B45=""),"",COUNTIFS(Enquiries!$B:$B,$A45,Enquiries!$A:$A,"&gt;="&amp;$B45,Enquiries!$A:$A,"&lt;"&amp;EDATE($B45,1)))</f>
        <v/>
      </c>
      <c r="I45" s="13">
        <f>IF(OR(A45="",B45=""),"",COUNTIFS(Enquiries!$B:$B,$A45,Enquiries!$F:$F,"Booked",Enquiries!$A:$A,"&gt;="&amp;$B45,Enquiries!$A:$A,"&lt;"&amp;EDATE($B45,1))+COUNTIFS(Enquiries!$B:$B,$A45,Enquiries!$F:$F,"Bought",Enquiries!$A:$A,"&gt;="&amp;$B45,Enquiries!$A:$A,"&lt;"&amp;EDATE($B45,1)))</f>
        <v/>
      </c>
      <c r="J45" s="13">
        <f>IF(OR(A45="",B45=""),"",SUMIFS(Enquiries!$G:$G,Enquiries!$B:$B,$A45,Enquiries!$A:$A,"&gt;="&amp;$B45,Enquiries!$A:$A,"&lt;"&amp;EDATE($B45,1)))</f>
        <v/>
      </c>
      <c r="K45" s="13">
        <f>IF(C45="","",IFERROR(INDEX(Packages!$B:$B,MATCH(C45,Packages!$A:$A,0)),""))</f>
        <v/>
      </c>
      <c r="L45" s="13">
        <f>IF(OR(K45="",F45=""),"",K45*F45)</f>
        <v/>
      </c>
      <c r="M45" s="12" t="n"/>
      <c r="N45" s="12" t="n"/>
      <c r="O45" s="14" t="n"/>
      <c r="P45" s="12" t="n"/>
    </row>
    <row r="46">
      <c r="A46" s="12" t="n"/>
      <c r="B46" s="17" t="n"/>
      <c r="C46" s="24">
        <f>IF(A46="","",IFERROR(INDEX(Clients!$G:$G,MATCH(A46,Clients!$A:$A,0)),""))</f>
        <v/>
      </c>
      <c r="D46" s="13">
        <f>IF(C46="","",IFERROR(INDEX(Packages!$C:$C,MATCH(C46,Packages!$A:$A,0)),""))</f>
        <v/>
      </c>
      <c r="E46" s="13">
        <f>IF(OR(A46="",B46=""),"",COUNTIFS(Uploads!$A:$A,$A46,Uploads!$B:$B,"&gt;="&amp;$B46,Uploads!$B:$B,"&lt;"&amp;EDATE($B46,1)))</f>
        <v/>
      </c>
      <c r="F46" s="25">
        <f>IF(OR(D46="",D46=0,E46=""),"",MIN(1,E46/D46))</f>
        <v/>
      </c>
      <c r="G46" s="13">
        <f>IF(OR(A46="",B46=""),"",SUMIFS(Uploads!$G:$G,Uploads!$A:$A,$A46,Uploads!$B:$B,"&gt;="&amp;$B46,Uploads!$B:$B,"&lt;"&amp;EDATE($B46,1)))</f>
        <v/>
      </c>
      <c r="H46" s="13">
        <f>IF(OR(A46="",B46=""),"",COUNTIFS(Enquiries!$B:$B,$A46,Enquiries!$A:$A,"&gt;="&amp;$B46,Enquiries!$A:$A,"&lt;"&amp;EDATE($B46,1)))</f>
        <v/>
      </c>
      <c r="I46" s="13">
        <f>IF(OR(A46="",B46=""),"",COUNTIFS(Enquiries!$B:$B,$A46,Enquiries!$F:$F,"Booked",Enquiries!$A:$A,"&gt;="&amp;$B46,Enquiries!$A:$A,"&lt;"&amp;EDATE($B46,1))+COUNTIFS(Enquiries!$B:$B,$A46,Enquiries!$F:$F,"Bought",Enquiries!$A:$A,"&gt;="&amp;$B46,Enquiries!$A:$A,"&lt;"&amp;EDATE($B46,1)))</f>
        <v/>
      </c>
      <c r="J46" s="13">
        <f>IF(OR(A46="",B46=""),"",SUMIFS(Enquiries!$G:$G,Enquiries!$B:$B,$A46,Enquiries!$A:$A,"&gt;="&amp;$B46,Enquiries!$A:$A,"&lt;"&amp;EDATE($B46,1)))</f>
        <v/>
      </c>
      <c r="K46" s="13">
        <f>IF(C46="","",IFERROR(INDEX(Packages!$B:$B,MATCH(C46,Packages!$A:$A,0)),""))</f>
        <v/>
      </c>
      <c r="L46" s="13">
        <f>IF(OR(K46="",F46=""),"",K46*F46)</f>
        <v/>
      </c>
      <c r="M46" s="12" t="n"/>
      <c r="N46" s="12" t="n"/>
      <c r="O46" s="14" t="n"/>
      <c r="P46" s="12" t="n"/>
    </row>
    <row r="47">
      <c r="A47" s="12" t="n"/>
      <c r="B47" s="17" t="n"/>
      <c r="C47" s="24">
        <f>IF(A47="","",IFERROR(INDEX(Clients!$G:$G,MATCH(A47,Clients!$A:$A,0)),""))</f>
        <v/>
      </c>
      <c r="D47" s="13">
        <f>IF(C47="","",IFERROR(INDEX(Packages!$C:$C,MATCH(C47,Packages!$A:$A,0)),""))</f>
        <v/>
      </c>
      <c r="E47" s="13">
        <f>IF(OR(A47="",B47=""),"",COUNTIFS(Uploads!$A:$A,$A47,Uploads!$B:$B,"&gt;="&amp;$B47,Uploads!$B:$B,"&lt;"&amp;EDATE($B47,1)))</f>
        <v/>
      </c>
      <c r="F47" s="25">
        <f>IF(OR(D47="",D47=0,E47=""),"",MIN(1,E47/D47))</f>
        <v/>
      </c>
      <c r="G47" s="13">
        <f>IF(OR(A47="",B47=""),"",SUMIFS(Uploads!$G:$G,Uploads!$A:$A,$A47,Uploads!$B:$B,"&gt;="&amp;$B47,Uploads!$B:$B,"&lt;"&amp;EDATE($B47,1)))</f>
        <v/>
      </c>
      <c r="H47" s="13">
        <f>IF(OR(A47="",B47=""),"",COUNTIFS(Enquiries!$B:$B,$A47,Enquiries!$A:$A,"&gt;="&amp;$B47,Enquiries!$A:$A,"&lt;"&amp;EDATE($B47,1)))</f>
        <v/>
      </c>
      <c r="I47" s="13">
        <f>IF(OR(A47="",B47=""),"",COUNTIFS(Enquiries!$B:$B,$A47,Enquiries!$F:$F,"Booked",Enquiries!$A:$A,"&gt;="&amp;$B47,Enquiries!$A:$A,"&lt;"&amp;EDATE($B47,1))+COUNTIFS(Enquiries!$B:$B,$A47,Enquiries!$F:$F,"Bought",Enquiries!$A:$A,"&gt;="&amp;$B47,Enquiries!$A:$A,"&lt;"&amp;EDATE($B47,1)))</f>
        <v/>
      </c>
      <c r="J47" s="13">
        <f>IF(OR(A47="",B47=""),"",SUMIFS(Enquiries!$G:$G,Enquiries!$B:$B,$A47,Enquiries!$A:$A,"&gt;="&amp;$B47,Enquiries!$A:$A,"&lt;"&amp;EDATE($B47,1)))</f>
        <v/>
      </c>
      <c r="K47" s="13">
        <f>IF(C47="","",IFERROR(INDEX(Packages!$B:$B,MATCH(C47,Packages!$A:$A,0)),""))</f>
        <v/>
      </c>
      <c r="L47" s="13">
        <f>IF(OR(K47="",F47=""),"",K47*F47)</f>
        <v/>
      </c>
      <c r="M47" s="12" t="n"/>
      <c r="N47" s="12" t="n"/>
      <c r="O47" s="14" t="n"/>
      <c r="P47" s="12" t="n"/>
    </row>
    <row r="48">
      <c r="A48" s="12" t="n"/>
      <c r="B48" s="17" t="n"/>
      <c r="C48" s="24">
        <f>IF(A48="","",IFERROR(INDEX(Clients!$G:$G,MATCH(A48,Clients!$A:$A,0)),""))</f>
        <v/>
      </c>
      <c r="D48" s="13">
        <f>IF(C48="","",IFERROR(INDEX(Packages!$C:$C,MATCH(C48,Packages!$A:$A,0)),""))</f>
        <v/>
      </c>
      <c r="E48" s="13">
        <f>IF(OR(A48="",B48=""),"",COUNTIFS(Uploads!$A:$A,$A48,Uploads!$B:$B,"&gt;="&amp;$B48,Uploads!$B:$B,"&lt;"&amp;EDATE($B48,1)))</f>
        <v/>
      </c>
      <c r="F48" s="25">
        <f>IF(OR(D48="",D48=0,E48=""),"",MIN(1,E48/D48))</f>
        <v/>
      </c>
      <c r="G48" s="13">
        <f>IF(OR(A48="",B48=""),"",SUMIFS(Uploads!$G:$G,Uploads!$A:$A,$A48,Uploads!$B:$B,"&gt;="&amp;$B48,Uploads!$B:$B,"&lt;"&amp;EDATE($B48,1)))</f>
        <v/>
      </c>
      <c r="H48" s="13">
        <f>IF(OR(A48="",B48=""),"",COUNTIFS(Enquiries!$B:$B,$A48,Enquiries!$A:$A,"&gt;="&amp;$B48,Enquiries!$A:$A,"&lt;"&amp;EDATE($B48,1)))</f>
        <v/>
      </c>
      <c r="I48" s="13">
        <f>IF(OR(A48="",B48=""),"",COUNTIFS(Enquiries!$B:$B,$A48,Enquiries!$F:$F,"Booked",Enquiries!$A:$A,"&gt;="&amp;$B48,Enquiries!$A:$A,"&lt;"&amp;EDATE($B48,1))+COUNTIFS(Enquiries!$B:$B,$A48,Enquiries!$F:$F,"Bought",Enquiries!$A:$A,"&gt;="&amp;$B48,Enquiries!$A:$A,"&lt;"&amp;EDATE($B48,1)))</f>
        <v/>
      </c>
      <c r="J48" s="13">
        <f>IF(OR(A48="",B48=""),"",SUMIFS(Enquiries!$G:$G,Enquiries!$B:$B,$A48,Enquiries!$A:$A,"&gt;="&amp;$B48,Enquiries!$A:$A,"&lt;"&amp;EDATE($B48,1)))</f>
        <v/>
      </c>
      <c r="K48" s="13">
        <f>IF(C48="","",IFERROR(INDEX(Packages!$B:$B,MATCH(C48,Packages!$A:$A,0)),""))</f>
        <v/>
      </c>
      <c r="L48" s="13">
        <f>IF(OR(K48="",F48=""),"",K48*F48)</f>
        <v/>
      </c>
      <c r="M48" s="12" t="n"/>
      <c r="N48" s="12" t="n"/>
      <c r="O48" s="14" t="n"/>
      <c r="P48" s="12" t="n"/>
    </row>
    <row r="49">
      <c r="A49" s="12" t="n"/>
      <c r="B49" s="17" t="n"/>
      <c r="C49" s="24">
        <f>IF(A49="","",IFERROR(INDEX(Clients!$G:$G,MATCH(A49,Clients!$A:$A,0)),""))</f>
        <v/>
      </c>
      <c r="D49" s="13">
        <f>IF(C49="","",IFERROR(INDEX(Packages!$C:$C,MATCH(C49,Packages!$A:$A,0)),""))</f>
        <v/>
      </c>
      <c r="E49" s="13">
        <f>IF(OR(A49="",B49=""),"",COUNTIFS(Uploads!$A:$A,$A49,Uploads!$B:$B,"&gt;="&amp;$B49,Uploads!$B:$B,"&lt;"&amp;EDATE($B49,1)))</f>
        <v/>
      </c>
      <c r="F49" s="25">
        <f>IF(OR(D49="",D49=0,E49=""),"",MIN(1,E49/D49))</f>
        <v/>
      </c>
      <c r="G49" s="13">
        <f>IF(OR(A49="",B49=""),"",SUMIFS(Uploads!$G:$G,Uploads!$A:$A,$A49,Uploads!$B:$B,"&gt;="&amp;$B49,Uploads!$B:$B,"&lt;"&amp;EDATE($B49,1)))</f>
        <v/>
      </c>
      <c r="H49" s="13">
        <f>IF(OR(A49="",B49=""),"",COUNTIFS(Enquiries!$B:$B,$A49,Enquiries!$A:$A,"&gt;="&amp;$B49,Enquiries!$A:$A,"&lt;"&amp;EDATE($B49,1)))</f>
        <v/>
      </c>
      <c r="I49" s="13">
        <f>IF(OR(A49="",B49=""),"",COUNTIFS(Enquiries!$B:$B,$A49,Enquiries!$F:$F,"Booked",Enquiries!$A:$A,"&gt;="&amp;$B49,Enquiries!$A:$A,"&lt;"&amp;EDATE($B49,1))+COUNTIFS(Enquiries!$B:$B,$A49,Enquiries!$F:$F,"Bought",Enquiries!$A:$A,"&gt;="&amp;$B49,Enquiries!$A:$A,"&lt;"&amp;EDATE($B49,1)))</f>
        <v/>
      </c>
      <c r="J49" s="13">
        <f>IF(OR(A49="",B49=""),"",SUMIFS(Enquiries!$G:$G,Enquiries!$B:$B,$A49,Enquiries!$A:$A,"&gt;="&amp;$B49,Enquiries!$A:$A,"&lt;"&amp;EDATE($B49,1)))</f>
        <v/>
      </c>
      <c r="K49" s="13">
        <f>IF(C49="","",IFERROR(INDEX(Packages!$B:$B,MATCH(C49,Packages!$A:$A,0)),""))</f>
        <v/>
      </c>
      <c r="L49" s="13">
        <f>IF(OR(K49="",F49=""),"",K49*F49)</f>
        <v/>
      </c>
      <c r="M49" s="12" t="n"/>
      <c r="N49" s="12" t="n"/>
      <c r="O49" s="14" t="n"/>
      <c r="P49" s="12" t="n"/>
    </row>
    <row r="50">
      <c r="A50" s="12" t="n"/>
      <c r="B50" s="17" t="n"/>
      <c r="C50" s="24">
        <f>IF(A50="","",IFERROR(INDEX(Clients!$G:$G,MATCH(A50,Clients!$A:$A,0)),""))</f>
        <v/>
      </c>
      <c r="D50" s="13">
        <f>IF(C50="","",IFERROR(INDEX(Packages!$C:$C,MATCH(C50,Packages!$A:$A,0)),""))</f>
        <v/>
      </c>
      <c r="E50" s="13">
        <f>IF(OR(A50="",B50=""),"",COUNTIFS(Uploads!$A:$A,$A50,Uploads!$B:$B,"&gt;="&amp;$B50,Uploads!$B:$B,"&lt;"&amp;EDATE($B50,1)))</f>
        <v/>
      </c>
      <c r="F50" s="25">
        <f>IF(OR(D50="",D50=0,E50=""),"",MIN(1,E50/D50))</f>
        <v/>
      </c>
      <c r="G50" s="13">
        <f>IF(OR(A50="",B50=""),"",SUMIFS(Uploads!$G:$G,Uploads!$A:$A,$A50,Uploads!$B:$B,"&gt;="&amp;$B50,Uploads!$B:$B,"&lt;"&amp;EDATE($B50,1)))</f>
        <v/>
      </c>
      <c r="H50" s="13">
        <f>IF(OR(A50="",B50=""),"",COUNTIFS(Enquiries!$B:$B,$A50,Enquiries!$A:$A,"&gt;="&amp;$B50,Enquiries!$A:$A,"&lt;"&amp;EDATE($B50,1)))</f>
        <v/>
      </c>
      <c r="I50" s="13">
        <f>IF(OR(A50="",B50=""),"",COUNTIFS(Enquiries!$B:$B,$A50,Enquiries!$F:$F,"Booked",Enquiries!$A:$A,"&gt;="&amp;$B50,Enquiries!$A:$A,"&lt;"&amp;EDATE($B50,1))+COUNTIFS(Enquiries!$B:$B,$A50,Enquiries!$F:$F,"Bought",Enquiries!$A:$A,"&gt;="&amp;$B50,Enquiries!$A:$A,"&lt;"&amp;EDATE($B50,1)))</f>
        <v/>
      </c>
      <c r="J50" s="13">
        <f>IF(OR(A50="",B50=""),"",SUMIFS(Enquiries!$G:$G,Enquiries!$B:$B,$A50,Enquiries!$A:$A,"&gt;="&amp;$B50,Enquiries!$A:$A,"&lt;"&amp;EDATE($B50,1)))</f>
        <v/>
      </c>
      <c r="K50" s="13">
        <f>IF(C50="","",IFERROR(INDEX(Packages!$B:$B,MATCH(C50,Packages!$A:$A,0)),""))</f>
        <v/>
      </c>
      <c r="L50" s="13">
        <f>IF(OR(K50="",F50=""),"",K50*F50)</f>
        <v/>
      </c>
      <c r="M50" s="12" t="n"/>
      <c r="N50" s="12" t="n"/>
      <c r="O50" s="14" t="n"/>
      <c r="P50" s="12" t="n"/>
    </row>
    <row r="51">
      <c r="A51" s="12" t="n"/>
      <c r="B51" s="17" t="n"/>
      <c r="C51" s="24">
        <f>IF(A51="","",IFERROR(INDEX(Clients!$G:$G,MATCH(A51,Clients!$A:$A,0)),""))</f>
        <v/>
      </c>
      <c r="D51" s="13">
        <f>IF(C51="","",IFERROR(INDEX(Packages!$C:$C,MATCH(C51,Packages!$A:$A,0)),""))</f>
        <v/>
      </c>
      <c r="E51" s="13">
        <f>IF(OR(A51="",B51=""),"",COUNTIFS(Uploads!$A:$A,$A51,Uploads!$B:$B,"&gt;="&amp;$B51,Uploads!$B:$B,"&lt;"&amp;EDATE($B51,1)))</f>
        <v/>
      </c>
      <c r="F51" s="25">
        <f>IF(OR(D51="",D51=0,E51=""),"",MIN(1,E51/D51))</f>
        <v/>
      </c>
      <c r="G51" s="13">
        <f>IF(OR(A51="",B51=""),"",SUMIFS(Uploads!$G:$G,Uploads!$A:$A,$A51,Uploads!$B:$B,"&gt;="&amp;$B51,Uploads!$B:$B,"&lt;"&amp;EDATE($B51,1)))</f>
        <v/>
      </c>
      <c r="H51" s="13">
        <f>IF(OR(A51="",B51=""),"",COUNTIFS(Enquiries!$B:$B,$A51,Enquiries!$A:$A,"&gt;="&amp;$B51,Enquiries!$A:$A,"&lt;"&amp;EDATE($B51,1)))</f>
        <v/>
      </c>
      <c r="I51" s="13">
        <f>IF(OR(A51="",B51=""),"",COUNTIFS(Enquiries!$B:$B,$A51,Enquiries!$F:$F,"Booked",Enquiries!$A:$A,"&gt;="&amp;$B51,Enquiries!$A:$A,"&lt;"&amp;EDATE($B51,1))+COUNTIFS(Enquiries!$B:$B,$A51,Enquiries!$F:$F,"Bought",Enquiries!$A:$A,"&gt;="&amp;$B51,Enquiries!$A:$A,"&lt;"&amp;EDATE($B51,1)))</f>
        <v/>
      </c>
      <c r="J51" s="13">
        <f>IF(OR(A51="",B51=""),"",SUMIFS(Enquiries!$G:$G,Enquiries!$B:$B,$A51,Enquiries!$A:$A,"&gt;="&amp;$B51,Enquiries!$A:$A,"&lt;"&amp;EDATE($B51,1)))</f>
        <v/>
      </c>
      <c r="K51" s="13">
        <f>IF(C51="","",IFERROR(INDEX(Packages!$B:$B,MATCH(C51,Packages!$A:$A,0)),""))</f>
        <v/>
      </c>
      <c r="L51" s="13">
        <f>IF(OR(K51="",F51=""),"",K51*F51)</f>
        <v/>
      </c>
      <c r="M51" s="12" t="n"/>
      <c r="N51" s="12" t="n"/>
      <c r="O51" s="14" t="n"/>
      <c r="P51" s="12" t="n"/>
    </row>
    <row r="52">
      <c r="A52" s="12" t="n"/>
      <c r="B52" s="17" t="n"/>
      <c r="C52" s="24">
        <f>IF(A52="","",IFERROR(INDEX(Clients!$G:$G,MATCH(A52,Clients!$A:$A,0)),""))</f>
        <v/>
      </c>
      <c r="D52" s="13">
        <f>IF(C52="","",IFERROR(INDEX(Packages!$C:$C,MATCH(C52,Packages!$A:$A,0)),""))</f>
        <v/>
      </c>
      <c r="E52" s="13">
        <f>IF(OR(A52="",B52=""),"",COUNTIFS(Uploads!$A:$A,$A52,Uploads!$B:$B,"&gt;="&amp;$B52,Uploads!$B:$B,"&lt;"&amp;EDATE($B52,1)))</f>
        <v/>
      </c>
      <c r="F52" s="25">
        <f>IF(OR(D52="",D52=0,E52=""),"",MIN(1,E52/D52))</f>
        <v/>
      </c>
      <c r="G52" s="13">
        <f>IF(OR(A52="",B52=""),"",SUMIFS(Uploads!$G:$G,Uploads!$A:$A,$A52,Uploads!$B:$B,"&gt;="&amp;$B52,Uploads!$B:$B,"&lt;"&amp;EDATE($B52,1)))</f>
        <v/>
      </c>
      <c r="H52" s="13">
        <f>IF(OR(A52="",B52=""),"",COUNTIFS(Enquiries!$B:$B,$A52,Enquiries!$A:$A,"&gt;="&amp;$B52,Enquiries!$A:$A,"&lt;"&amp;EDATE($B52,1)))</f>
        <v/>
      </c>
      <c r="I52" s="13">
        <f>IF(OR(A52="",B52=""),"",COUNTIFS(Enquiries!$B:$B,$A52,Enquiries!$F:$F,"Booked",Enquiries!$A:$A,"&gt;="&amp;$B52,Enquiries!$A:$A,"&lt;"&amp;EDATE($B52,1))+COUNTIFS(Enquiries!$B:$B,$A52,Enquiries!$F:$F,"Bought",Enquiries!$A:$A,"&gt;="&amp;$B52,Enquiries!$A:$A,"&lt;"&amp;EDATE($B52,1)))</f>
        <v/>
      </c>
      <c r="J52" s="13">
        <f>IF(OR(A52="",B52=""),"",SUMIFS(Enquiries!$G:$G,Enquiries!$B:$B,$A52,Enquiries!$A:$A,"&gt;="&amp;$B52,Enquiries!$A:$A,"&lt;"&amp;EDATE($B52,1)))</f>
        <v/>
      </c>
      <c r="K52" s="13">
        <f>IF(C52="","",IFERROR(INDEX(Packages!$B:$B,MATCH(C52,Packages!$A:$A,0)),""))</f>
        <v/>
      </c>
      <c r="L52" s="13">
        <f>IF(OR(K52="",F52=""),"",K52*F52)</f>
        <v/>
      </c>
      <c r="M52" s="12" t="n"/>
      <c r="N52" s="12" t="n"/>
      <c r="O52" s="14" t="n"/>
      <c r="P52" s="12" t="n"/>
    </row>
    <row r="53">
      <c r="A53" s="12" t="n"/>
      <c r="B53" s="17" t="n"/>
      <c r="C53" s="24">
        <f>IF(A53="","",IFERROR(INDEX(Clients!$G:$G,MATCH(A53,Clients!$A:$A,0)),""))</f>
        <v/>
      </c>
      <c r="D53" s="13">
        <f>IF(C53="","",IFERROR(INDEX(Packages!$C:$C,MATCH(C53,Packages!$A:$A,0)),""))</f>
        <v/>
      </c>
      <c r="E53" s="13">
        <f>IF(OR(A53="",B53=""),"",COUNTIFS(Uploads!$A:$A,$A53,Uploads!$B:$B,"&gt;="&amp;$B53,Uploads!$B:$B,"&lt;"&amp;EDATE($B53,1)))</f>
        <v/>
      </c>
      <c r="F53" s="25">
        <f>IF(OR(D53="",D53=0,E53=""),"",MIN(1,E53/D53))</f>
        <v/>
      </c>
      <c r="G53" s="13">
        <f>IF(OR(A53="",B53=""),"",SUMIFS(Uploads!$G:$G,Uploads!$A:$A,$A53,Uploads!$B:$B,"&gt;="&amp;$B53,Uploads!$B:$B,"&lt;"&amp;EDATE($B53,1)))</f>
        <v/>
      </c>
      <c r="H53" s="13">
        <f>IF(OR(A53="",B53=""),"",COUNTIFS(Enquiries!$B:$B,$A53,Enquiries!$A:$A,"&gt;="&amp;$B53,Enquiries!$A:$A,"&lt;"&amp;EDATE($B53,1)))</f>
        <v/>
      </c>
      <c r="I53" s="13">
        <f>IF(OR(A53="",B53=""),"",COUNTIFS(Enquiries!$B:$B,$A53,Enquiries!$F:$F,"Booked",Enquiries!$A:$A,"&gt;="&amp;$B53,Enquiries!$A:$A,"&lt;"&amp;EDATE($B53,1))+COUNTIFS(Enquiries!$B:$B,$A53,Enquiries!$F:$F,"Bought",Enquiries!$A:$A,"&gt;="&amp;$B53,Enquiries!$A:$A,"&lt;"&amp;EDATE($B53,1)))</f>
        <v/>
      </c>
      <c r="J53" s="13">
        <f>IF(OR(A53="",B53=""),"",SUMIFS(Enquiries!$G:$G,Enquiries!$B:$B,$A53,Enquiries!$A:$A,"&gt;="&amp;$B53,Enquiries!$A:$A,"&lt;"&amp;EDATE($B53,1)))</f>
        <v/>
      </c>
      <c r="K53" s="13">
        <f>IF(C53="","",IFERROR(INDEX(Packages!$B:$B,MATCH(C53,Packages!$A:$A,0)),""))</f>
        <v/>
      </c>
      <c r="L53" s="13">
        <f>IF(OR(K53="",F53=""),"",K53*F53)</f>
        <v/>
      </c>
      <c r="M53" s="12" t="n"/>
      <c r="N53" s="12" t="n"/>
      <c r="O53" s="14" t="n"/>
      <c r="P53" s="12" t="n"/>
    </row>
    <row r="54">
      <c r="A54" s="12" t="n"/>
      <c r="B54" s="17" t="n"/>
      <c r="C54" s="24">
        <f>IF(A54="","",IFERROR(INDEX(Clients!$G:$G,MATCH(A54,Clients!$A:$A,0)),""))</f>
        <v/>
      </c>
      <c r="D54" s="13">
        <f>IF(C54="","",IFERROR(INDEX(Packages!$C:$C,MATCH(C54,Packages!$A:$A,0)),""))</f>
        <v/>
      </c>
      <c r="E54" s="13">
        <f>IF(OR(A54="",B54=""),"",COUNTIFS(Uploads!$A:$A,$A54,Uploads!$B:$B,"&gt;="&amp;$B54,Uploads!$B:$B,"&lt;"&amp;EDATE($B54,1)))</f>
        <v/>
      </c>
      <c r="F54" s="25">
        <f>IF(OR(D54="",D54=0,E54=""),"",MIN(1,E54/D54))</f>
        <v/>
      </c>
      <c r="G54" s="13">
        <f>IF(OR(A54="",B54=""),"",SUMIFS(Uploads!$G:$G,Uploads!$A:$A,$A54,Uploads!$B:$B,"&gt;="&amp;$B54,Uploads!$B:$B,"&lt;"&amp;EDATE($B54,1)))</f>
        <v/>
      </c>
      <c r="H54" s="13">
        <f>IF(OR(A54="",B54=""),"",COUNTIFS(Enquiries!$B:$B,$A54,Enquiries!$A:$A,"&gt;="&amp;$B54,Enquiries!$A:$A,"&lt;"&amp;EDATE($B54,1)))</f>
        <v/>
      </c>
      <c r="I54" s="13">
        <f>IF(OR(A54="",B54=""),"",COUNTIFS(Enquiries!$B:$B,$A54,Enquiries!$F:$F,"Booked",Enquiries!$A:$A,"&gt;="&amp;$B54,Enquiries!$A:$A,"&lt;"&amp;EDATE($B54,1))+COUNTIFS(Enquiries!$B:$B,$A54,Enquiries!$F:$F,"Bought",Enquiries!$A:$A,"&gt;="&amp;$B54,Enquiries!$A:$A,"&lt;"&amp;EDATE($B54,1)))</f>
        <v/>
      </c>
      <c r="J54" s="13">
        <f>IF(OR(A54="",B54=""),"",SUMIFS(Enquiries!$G:$G,Enquiries!$B:$B,$A54,Enquiries!$A:$A,"&gt;="&amp;$B54,Enquiries!$A:$A,"&lt;"&amp;EDATE($B54,1)))</f>
        <v/>
      </c>
      <c r="K54" s="13">
        <f>IF(C54="","",IFERROR(INDEX(Packages!$B:$B,MATCH(C54,Packages!$A:$A,0)),""))</f>
        <v/>
      </c>
      <c r="L54" s="13">
        <f>IF(OR(K54="",F54=""),"",K54*F54)</f>
        <v/>
      </c>
      <c r="M54" s="12" t="n"/>
      <c r="N54" s="12" t="n"/>
      <c r="O54" s="14" t="n"/>
      <c r="P54" s="12" t="n"/>
    </row>
    <row r="55">
      <c r="A55" s="12" t="n"/>
      <c r="B55" s="17" t="n"/>
      <c r="C55" s="24">
        <f>IF(A55="","",IFERROR(INDEX(Clients!$G:$G,MATCH(A55,Clients!$A:$A,0)),""))</f>
        <v/>
      </c>
      <c r="D55" s="13">
        <f>IF(C55="","",IFERROR(INDEX(Packages!$C:$C,MATCH(C55,Packages!$A:$A,0)),""))</f>
        <v/>
      </c>
      <c r="E55" s="13">
        <f>IF(OR(A55="",B55=""),"",COUNTIFS(Uploads!$A:$A,$A55,Uploads!$B:$B,"&gt;="&amp;$B55,Uploads!$B:$B,"&lt;"&amp;EDATE($B55,1)))</f>
        <v/>
      </c>
      <c r="F55" s="25">
        <f>IF(OR(D55="",D55=0,E55=""),"",MIN(1,E55/D55))</f>
        <v/>
      </c>
      <c r="G55" s="13">
        <f>IF(OR(A55="",B55=""),"",SUMIFS(Uploads!$G:$G,Uploads!$A:$A,$A55,Uploads!$B:$B,"&gt;="&amp;$B55,Uploads!$B:$B,"&lt;"&amp;EDATE($B55,1)))</f>
        <v/>
      </c>
      <c r="H55" s="13">
        <f>IF(OR(A55="",B55=""),"",COUNTIFS(Enquiries!$B:$B,$A55,Enquiries!$A:$A,"&gt;="&amp;$B55,Enquiries!$A:$A,"&lt;"&amp;EDATE($B55,1)))</f>
        <v/>
      </c>
      <c r="I55" s="13">
        <f>IF(OR(A55="",B55=""),"",COUNTIFS(Enquiries!$B:$B,$A55,Enquiries!$F:$F,"Booked",Enquiries!$A:$A,"&gt;="&amp;$B55,Enquiries!$A:$A,"&lt;"&amp;EDATE($B55,1))+COUNTIFS(Enquiries!$B:$B,$A55,Enquiries!$F:$F,"Bought",Enquiries!$A:$A,"&gt;="&amp;$B55,Enquiries!$A:$A,"&lt;"&amp;EDATE($B55,1)))</f>
        <v/>
      </c>
      <c r="J55" s="13">
        <f>IF(OR(A55="",B55=""),"",SUMIFS(Enquiries!$G:$G,Enquiries!$B:$B,$A55,Enquiries!$A:$A,"&gt;="&amp;$B55,Enquiries!$A:$A,"&lt;"&amp;EDATE($B55,1)))</f>
        <v/>
      </c>
      <c r="K55" s="13">
        <f>IF(C55="","",IFERROR(INDEX(Packages!$B:$B,MATCH(C55,Packages!$A:$A,0)),""))</f>
        <v/>
      </c>
      <c r="L55" s="13">
        <f>IF(OR(K55="",F55=""),"",K55*F55)</f>
        <v/>
      </c>
      <c r="M55" s="12" t="n"/>
      <c r="N55" s="12" t="n"/>
      <c r="O55" s="14" t="n"/>
      <c r="P55" s="12" t="n"/>
    </row>
    <row r="56">
      <c r="A56" s="12" t="n"/>
      <c r="B56" s="17" t="n"/>
      <c r="C56" s="24">
        <f>IF(A56="","",IFERROR(INDEX(Clients!$G:$G,MATCH(A56,Clients!$A:$A,0)),""))</f>
        <v/>
      </c>
      <c r="D56" s="13">
        <f>IF(C56="","",IFERROR(INDEX(Packages!$C:$C,MATCH(C56,Packages!$A:$A,0)),""))</f>
        <v/>
      </c>
      <c r="E56" s="13">
        <f>IF(OR(A56="",B56=""),"",COUNTIFS(Uploads!$A:$A,$A56,Uploads!$B:$B,"&gt;="&amp;$B56,Uploads!$B:$B,"&lt;"&amp;EDATE($B56,1)))</f>
        <v/>
      </c>
      <c r="F56" s="25">
        <f>IF(OR(D56="",D56=0,E56=""),"",MIN(1,E56/D56))</f>
        <v/>
      </c>
      <c r="G56" s="13">
        <f>IF(OR(A56="",B56=""),"",SUMIFS(Uploads!$G:$G,Uploads!$A:$A,$A56,Uploads!$B:$B,"&gt;="&amp;$B56,Uploads!$B:$B,"&lt;"&amp;EDATE($B56,1)))</f>
        <v/>
      </c>
      <c r="H56" s="13">
        <f>IF(OR(A56="",B56=""),"",COUNTIFS(Enquiries!$B:$B,$A56,Enquiries!$A:$A,"&gt;="&amp;$B56,Enquiries!$A:$A,"&lt;"&amp;EDATE($B56,1)))</f>
        <v/>
      </c>
      <c r="I56" s="13">
        <f>IF(OR(A56="",B56=""),"",COUNTIFS(Enquiries!$B:$B,$A56,Enquiries!$F:$F,"Booked",Enquiries!$A:$A,"&gt;="&amp;$B56,Enquiries!$A:$A,"&lt;"&amp;EDATE($B56,1))+COUNTIFS(Enquiries!$B:$B,$A56,Enquiries!$F:$F,"Bought",Enquiries!$A:$A,"&gt;="&amp;$B56,Enquiries!$A:$A,"&lt;"&amp;EDATE($B56,1)))</f>
        <v/>
      </c>
      <c r="J56" s="13">
        <f>IF(OR(A56="",B56=""),"",SUMIFS(Enquiries!$G:$G,Enquiries!$B:$B,$A56,Enquiries!$A:$A,"&gt;="&amp;$B56,Enquiries!$A:$A,"&lt;"&amp;EDATE($B56,1)))</f>
        <v/>
      </c>
      <c r="K56" s="13">
        <f>IF(C56="","",IFERROR(INDEX(Packages!$B:$B,MATCH(C56,Packages!$A:$A,0)),""))</f>
        <v/>
      </c>
      <c r="L56" s="13">
        <f>IF(OR(K56="",F56=""),"",K56*F56)</f>
        <v/>
      </c>
      <c r="M56" s="12" t="n"/>
      <c r="N56" s="12" t="n"/>
      <c r="O56" s="14" t="n"/>
      <c r="P56" s="12" t="n"/>
    </row>
    <row r="57">
      <c r="A57" s="12" t="n"/>
      <c r="B57" s="17" t="n"/>
      <c r="C57" s="24">
        <f>IF(A57="","",IFERROR(INDEX(Clients!$G:$G,MATCH(A57,Clients!$A:$A,0)),""))</f>
        <v/>
      </c>
      <c r="D57" s="13">
        <f>IF(C57="","",IFERROR(INDEX(Packages!$C:$C,MATCH(C57,Packages!$A:$A,0)),""))</f>
        <v/>
      </c>
      <c r="E57" s="13">
        <f>IF(OR(A57="",B57=""),"",COUNTIFS(Uploads!$A:$A,$A57,Uploads!$B:$B,"&gt;="&amp;$B57,Uploads!$B:$B,"&lt;"&amp;EDATE($B57,1)))</f>
        <v/>
      </c>
      <c r="F57" s="25">
        <f>IF(OR(D57="",D57=0,E57=""),"",MIN(1,E57/D57))</f>
        <v/>
      </c>
      <c r="G57" s="13">
        <f>IF(OR(A57="",B57=""),"",SUMIFS(Uploads!$G:$G,Uploads!$A:$A,$A57,Uploads!$B:$B,"&gt;="&amp;$B57,Uploads!$B:$B,"&lt;"&amp;EDATE($B57,1)))</f>
        <v/>
      </c>
      <c r="H57" s="13">
        <f>IF(OR(A57="",B57=""),"",COUNTIFS(Enquiries!$B:$B,$A57,Enquiries!$A:$A,"&gt;="&amp;$B57,Enquiries!$A:$A,"&lt;"&amp;EDATE($B57,1)))</f>
        <v/>
      </c>
      <c r="I57" s="13">
        <f>IF(OR(A57="",B57=""),"",COUNTIFS(Enquiries!$B:$B,$A57,Enquiries!$F:$F,"Booked",Enquiries!$A:$A,"&gt;="&amp;$B57,Enquiries!$A:$A,"&lt;"&amp;EDATE($B57,1))+COUNTIFS(Enquiries!$B:$B,$A57,Enquiries!$F:$F,"Bought",Enquiries!$A:$A,"&gt;="&amp;$B57,Enquiries!$A:$A,"&lt;"&amp;EDATE($B57,1)))</f>
        <v/>
      </c>
      <c r="J57" s="13">
        <f>IF(OR(A57="",B57=""),"",SUMIFS(Enquiries!$G:$G,Enquiries!$B:$B,$A57,Enquiries!$A:$A,"&gt;="&amp;$B57,Enquiries!$A:$A,"&lt;"&amp;EDATE($B57,1)))</f>
        <v/>
      </c>
      <c r="K57" s="13">
        <f>IF(C57="","",IFERROR(INDEX(Packages!$B:$B,MATCH(C57,Packages!$A:$A,0)),""))</f>
        <v/>
      </c>
      <c r="L57" s="13">
        <f>IF(OR(K57="",F57=""),"",K57*F57)</f>
        <v/>
      </c>
      <c r="M57" s="12" t="n"/>
      <c r="N57" s="12" t="n"/>
      <c r="O57" s="14" t="n"/>
      <c r="P57" s="12" t="n"/>
    </row>
    <row r="58">
      <c r="A58" s="12" t="n"/>
      <c r="B58" s="17" t="n"/>
      <c r="C58" s="24">
        <f>IF(A58="","",IFERROR(INDEX(Clients!$G:$G,MATCH(A58,Clients!$A:$A,0)),""))</f>
        <v/>
      </c>
      <c r="D58" s="13">
        <f>IF(C58="","",IFERROR(INDEX(Packages!$C:$C,MATCH(C58,Packages!$A:$A,0)),""))</f>
        <v/>
      </c>
      <c r="E58" s="13">
        <f>IF(OR(A58="",B58=""),"",COUNTIFS(Uploads!$A:$A,$A58,Uploads!$B:$B,"&gt;="&amp;$B58,Uploads!$B:$B,"&lt;"&amp;EDATE($B58,1)))</f>
        <v/>
      </c>
      <c r="F58" s="25">
        <f>IF(OR(D58="",D58=0,E58=""),"",MIN(1,E58/D58))</f>
        <v/>
      </c>
      <c r="G58" s="13">
        <f>IF(OR(A58="",B58=""),"",SUMIFS(Uploads!$G:$G,Uploads!$A:$A,$A58,Uploads!$B:$B,"&gt;="&amp;$B58,Uploads!$B:$B,"&lt;"&amp;EDATE($B58,1)))</f>
        <v/>
      </c>
      <c r="H58" s="13">
        <f>IF(OR(A58="",B58=""),"",COUNTIFS(Enquiries!$B:$B,$A58,Enquiries!$A:$A,"&gt;="&amp;$B58,Enquiries!$A:$A,"&lt;"&amp;EDATE($B58,1)))</f>
        <v/>
      </c>
      <c r="I58" s="13">
        <f>IF(OR(A58="",B58=""),"",COUNTIFS(Enquiries!$B:$B,$A58,Enquiries!$F:$F,"Booked",Enquiries!$A:$A,"&gt;="&amp;$B58,Enquiries!$A:$A,"&lt;"&amp;EDATE($B58,1))+COUNTIFS(Enquiries!$B:$B,$A58,Enquiries!$F:$F,"Bought",Enquiries!$A:$A,"&gt;="&amp;$B58,Enquiries!$A:$A,"&lt;"&amp;EDATE($B58,1)))</f>
        <v/>
      </c>
      <c r="J58" s="13">
        <f>IF(OR(A58="",B58=""),"",SUMIFS(Enquiries!$G:$G,Enquiries!$B:$B,$A58,Enquiries!$A:$A,"&gt;="&amp;$B58,Enquiries!$A:$A,"&lt;"&amp;EDATE($B58,1)))</f>
        <v/>
      </c>
      <c r="K58" s="13">
        <f>IF(C58="","",IFERROR(INDEX(Packages!$B:$B,MATCH(C58,Packages!$A:$A,0)),""))</f>
        <v/>
      </c>
      <c r="L58" s="13">
        <f>IF(OR(K58="",F58=""),"",K58*F58)</f>
        <v/>
      </c>
      <c r="M58" s="12" t="n"/>
      <c r="N58" s="12" t="n"/>
      <c r="O58" s="14" t="n"/>
      <c r="P58" s="12" t="n"/>
    </row>
    <row r="59">
      <c r="A59" s="12" t="n"/>
      <c r="B59" s="17" t="n"/>
      <c r="C59" s="24">
        <f>IF(A59="","",IFERROR(INDEX(Clients!$G:$G,MATCH(A59,Clients!$A:$A,0)),""))</f>
        <v/>
      </c>
      <c r="D59" s="13">
        <f>IF(C59="","",IFERROR(INDEX(Packages!$C:$C,MATCH(C59,Packages!$A:$A,0)),""))</f>
        <v/>
      </c>
      <c r="E59" s="13">
        <f>IF(OR(A59="",B59=""),"",COUNTIFS(Uploads!$A:$A,$A59,Uploads!$B:$B,"&gt;="&amp;$B59,Uploads!$B:$B,"&lt;"&amp;EDATE($B59,1)))</f>
        <v/>
      </c>
      <c r="F59" s="25">
        <f>IF(OR(D59="",D59=0,E59=""),"",MIN(1,E59/D59))</f>
        <v/>
      </c>
      <c r="G59" s="13">
        <f>IF(OR(A59="",B59=""),"",SUMIFS(Uploads!$G:$G,Uploads!$A:$A,$A59,Uploads!$B:$B,"&gt;="&amp;$B59,Uploads!$B:$B,"&lt;"&amp;EDATE($B59,1)))</f>
        <v/>
      </c>
      <c r="H59" s="13">
        <f>IF(OR(A59="",B59=""),"",COUNTIFS(Enquiries!$B:$B,$A59,Enquiries!$A:$A,"&gt;="&amp;$B59,Enquiries!$A:$A,"&lt;"&amp;EDATE($B59,1)))</f>
        <v/>
      </c>
      <c r="I59" s="13">
        <f>IF(OR(A59="",B59=""),"",COUNTIFS(Enquiries!$B:$B,$A59,Enquiries!$F:$F,"Booked",Enquiries!$A:$A,"&gt;="&amp;$B59,Enquiries!$A:$A,"&lt;"&amp;EDATE($B59,1))+COUNTIFS(Enquiries!$B:$B,$A59,Enquiries!$F:$F,"Bought",Enquiries!$A:$A,"&gt;="&amp;$B59,Enquiries!$A:$A,"&lt;"&amp;EDATE($B59,1)))</f>
        <v/>
      </c>
      <c r="J59" s="13">
        <f>IF(OR(A59="",B59=""),"",SUMIFS(Enquiries!$G:$G,Enquiries!$B:$B,$A59,Enquiries!$A:$A,"&gt;="&amp;$B59,Enquiries!$A:$A,"&lt;"&amp;EDATE($B59,1)))</f>
        <v/>
      </c>
      <c r="K59" s="13">
        <f>IF(C59="","",IFERROR(INDEX(Packages!$B:$B,MATCH(C59,Packages!$A:$A,0)),""))</f>
        <v/>
      </c>
      <c r="L59" s="13">
        <f>IF(OR(K59="",F59=""),"",K59*F59)</f>
        <v/>
      </c>
      <c r="M59" s="12" t="n"/>
      <c r="N59" s="12" t="n"/>
      <c r="O59" s="14" t="n"/>
      <c r="P59" s="12" t="n"/>
    </row>
    <row r="60">
      <c r="A60" s="12" t="n"/>
      <c r="B60" s="17" t="n"/>
      <c r="C60" s="24">
        <f>IF(A60="","",IFERROR(INDEX(Clients!$G:$G,MATCH(A60,Clients!$A:$A,0)),""))</f>
        <v/>
      </c>
      <c r="D60" s="13">
        <f>IF(C60="","",IFERROR(INDEX(Packages!$C:$C,MATCH(C60,Packages!$A:$A,0)),""))</f>
        <v/>
      </c>
      <c r="E60" s="13">
        <f>IF(OR(A60="",B60=""),"",COUNTIFS(Uploads!$A:$A,$A60,Uploads!$B:$B,"&gt;="&amp;$B60,Uploads!$B:$B,"&lt;"&amp;EDATE($B60,1)))</f>
        <v/>
      </c>
      <c r="F60" s="25">
        <f>IF(OR(D60="",D60=0,E60=""),"",MIN(1,E60/D60))</f>
        <v/>
      </c>
      <c r="G60" s="13">
        <f>IF(OR(A60="",B60=""),"",SUMIFS(Uploads!$G:$G,Uploads!$A:$A,$A60,Uploads!$B:$B,"&gt;="&amp;$B60,Uploads!$B:$B,"&lt;"&amp;EDATE($B60,1)))</f>
        <v/>
      </c>
      <c r="H60" s="13">
        <f>IF(OR(A60="",B60=""),"",COUNTIFS(Enquiries!$B:$B,$A60,Enquiries!$A:$A,"&gt;="&amp;$B60,Enquiries!$A:$A,"&lt;"&amp;EDATE($B60,1)))</f>
        <v/>
      </c>
      <c r="I60" s="13">
        <f>IF(OR(A60="",B60=""),"",COUNTIFS(Enquiries!$B:$B,$A60,Enquiries!$F:$F,"Booked",Enquiries!$A:$A,"&gt;="&amp;$B60,Enquiries!$A:$A,"&lt;"&amp;EDATE($B60,1))+COUNTIFS(Enquiries!$B:$B,$A60,Enquiries!$F:$F,"Bought",Enquiries!$A:$A,"&gt;="&amp;$B60,Enquiries!$A:$A,"&lt;"&amp;EDATE($B60,1)))</f>
        <v/>
      </c>
      <c r="J60" s="13">
        <f>IF(OR(A60="",B60=""),"",SUMIFS(Enquiries!$G:$G,Enquiries!$B:$B,$A60,Enquiries!$A:$A,"&gt;="&amp;$B60,Enquiries!$A:$A,"&lt;"&amp;EDATE($B60,1)))</f>
        <v/>
      </c>
      <c r="K60" s="13">
        <f>IF(C60="","",IFERROR(INDEX(Packages!$B:$B,MATCH(C60,Packages!$A:$A,0)),""))</f>
        <v/>
      </c>
      <c r="L60" s="13">
        <f>IF(OR(K60="",F60=""),"",K60*F60)</f>
        <v/>
      </c>
      <c r="M60" s="12" t="n"/>
      <c r="N60" s="12" t="n"/>
      <c r="O60" s="14" t="n"/>
      <c r="P60" s="12" t="n"/>
    </row>
    <row r="61">
      <c r="A61" s="12" t="n"/>
      <c r="B61" s="17" t="n"/>
      <c r="C61" s="24">
        <f>IF(A61="","",IFERROR(INDEX(Clients!$G:$G,MATCH(A61,Clients!$A:$A,0)),""))</f>
        <v/>
      </c>
      <c r="D61" s="13">
        <f>IF(C61="","",IFERROR(INDEX(Packages!$C:$C,MATCH(C61,Packages!$A:$A,0)),""))</f>
        <v/>
      </c>
      <c r="E61" s="13">
        <f>IF(OR(A61="",B61=""),"",COUNTIFS(Uploads!$A:$A,$A61,Uploads!$B:$B,"&gt;="&amp;$B61,Uploads!$B:$B,"&lt;"&amp;EDATE($B61,1)))</f>
        <v/>
      </c>
      <c r="F61" s="25">
        <f>IF(OR(D61="",D61=0,E61=""),"",MIN(1,E61/D61))</f>
        <v/>
      </c>
      <c r="G61" s="13">
        <f>IF(OR(A61="",B61=""),"",SUMIFS(Uploads!$G:$G,Uploads!$A:$A,$A61,Uploads!$B:$B,"&gt;="&amp;$B61,Uploads!$B:$B,"&lt;"&amp;EDATE($B61,1)))</f>
        <v/>
      </c>
      <c r="H61" s="13">
        <f>IF(OR(A61="",B61=""),"",COUNTIFS(Enquiries!$B:$B,$A61,Enquiries!$A:$A,"&gt;="&amp;$B61,Enquiries!$A:$A,"&lt;"&amp;EDATE($B61,1)))</f>
        <v/>
      </c>
      <c r="I61" s="13">
        <f>IF(OR(A61="",B61=""),"",COUNTIFS(Enquiries!$B:$B,$A61,Enquiries!$F:$F,"Booked",Enquiries!$A:$A,"&gt;="&amp;$B61,Enquiries!$A:$A,"&lt;"&amp;EDATE($B61,1))+COUNTIFS(Enquiries!$B:$B,$A61,Enquiries!$F:$F,"Bought",Enquiries!$A:$A,"&gt;="&amp;$B61,Enquiries!$A:$A,"&lt;"&amp;EDATE($B61,1)))</f>
        <v/>
      </c>
      <c r="J61" s="13">
        <f>IF(OR(A61="",B61=""),"",SUMIFS(Enquiries!$G:$G,Enquiries!$B:$B,$A61,Enquiries!$A:$A,"&gt;="&amp;$B61,Enquiries!$A:$A,"&lt;"&amp;EDATE($B61,1)))</f>
        <v/>
      </c>
      <c r="K61" s="13">
        <f>IF(C61="","",IFERROR(INDEX(Packages!$B:$B,MATCH(C61,Packages!$A:$A,0)),""))</f>
        <v/>
      </c>
      <c r="L61" s="13">
        <f>IF(OR(K61="",F61=""),"",K61*F61)</f>
        <v/>
      </c>
      <c r="M61" s="12" t="n"/>
      <c r="N61" s="12" t="n"/>
      <c r="O61" s="14" t="n"/>
      <c r="P61" s="12" t="n"/>
    </row>
    <row r="62">
      <c r="A62" s="12" t="n"/>
      <c r="B62" s="17" t="n"/>
      <c r="C62" s="24">
        <f>IF(A62="","",IFERROR(INDEX(Clients!$G:$G,MATCH(A62,Clients!$A:$A,0)),""))</f>
        <v/>
      </c>
      <c r="D62" s="13">
        <f>IF(C62="","",IFERROR(INDEX(Packages!$C:$C,MATCH(C62,Packages!$A:$A,0)),""))</f>
        <v/>
      </c>
      <c r="E62" s="13">
        <f>IF(OR(A62="",B62=""),"",COUNTIFS(Uploads!$A:$A,$A62,Uploads!$B:$B,"&gt;="&amp;$B62,Uploads!$B:$B,"&lt;"&amp;EDATE($B62,1)))</f>
        <v/>
      </c>
      <c r="F62" s="25">
        <f>IF(OR(D62="",D62=0,E62=""),"",MIN(1,E62/D62))</f>
        <v/>
      </c>
      <c r="G62" s="13">
        <f>IF(OR(A62="",B62=""),"",SUMIFS(Uploads!$G:$G,Uploads!$A:$A,$A62,Uploads!$B:$B,"&gt;="&amp;$B62,Uploads!$B:$B,"&lt;"&amp;EDATE($B62,1)))</f>
        <v/>
      </c>
      <c r="H62" s="13">
        <f>IF(OR(A62="",B62=""),"",COUNTIFS(Enquiries!$B:$B,$A62,Enquiries!$A:$A,"&gt;="&amp;$B62,Enquiries!$A:$A,"&lt;"&amp;EDATE($B62,1)))</f>
        <v/>
      </c>
      <c r="I62" s="13">
        <f>IF(OR(A62="",B62=""),"",COUNTIFS(Enquiries!$B:$B,$A62,Enquiries!$F:$F,"Booked",Enquiries!$A:$A,"&gt;="&amp;$B62,Enquiries!$A:$A,"&lt;"&amp;EDATE($B62,1))+COUNTIFS(Enquiries!$B:$B,$A62,Enquiries!$F:$F,"Bought",Enquiries!$A:$A,"&gt;="&amp;$B62,Enquiries!$A:$A,"&lt;"&amp;EDATE($B62,1)))</f>
        <v/>
      </c>
      <c r="J62" s="13">
        <f>IF(OR(A62="",B62=""),"",SUMIFS(Enquiries!$G:$G,Enquiries!$B:$B,$A62,Enquiries!$A:$A,"&gt;="&amp;$B62,Enquiries!$A:$A,"&lt;"&amp;EDATE($B62,1)))</f>
        <v/>
      </c>
      <c r="K62" s="13">
        <f>IF(C62="","",IFERROR(INDEX(Packages!$B:$B,MATCH(C62,Packages!$A:$A,0)),""))</f>
        <v/>
      </c>
      <c r="L62" s="13">
        <f>IF(OR(K62="",F62=""),"",K62*F62)</f>
        <v/>
      </c>
      <c r="M62" s="12" t="n"/>
      <c r="N62" s="12" t="n"/>
      <c r="O62" s="14" t="n"/>
      <c r="P62" s="12" t="n"/>
    </row>
    <row r="63">
      <c r="A63" s="12" t="n"/>
      <c r="B63" s="17" t="n"/>
      <c r="C63" s="24">
        <f>IF(A63="","",IFERROR(INDEX(Clients!$G:$G,MATCH(A63,Clients!$A:$A,0)),""))</f>
        <v/>
      </c>
      <c r="D63" s="13">
        <f>IF(C63="","",IFERROR(INDEX(Packages!$C:$C,MATCH(C63,Packages!$A:$A,0)),""))</f>
        <v/>
      </c>
      <c r="E63" s="13">
        <f>IF(OR(A63="",B63=""),"",COUNTIFS(Uploads!$A:$A,$A63,Uploads!$B:$B,"&gt;="&amp;$B63,Uploads!$B:$B,"&lt;"&amp;EDATE($B63,1)))</f>
        <v/>
      </c>
      <c r="F63" s="25">
        <f>IF(OR(D63="",D63=0,E63=""),"",MIN(1,E63/D63))</f>
        <v/>
      </c>
      <c r="G63" s="13">
        <f>IF(OR(A63="",B63=""),"",SUMIFS(Uploads!$G:$G,Uploads!$A:$A,$A63,Uploads!$B:$B,"&gt;="&amp;$B63,Uploads!$B:$B,"&lt;"&amp;EDATE($B63,1)))</f>
        <v/>
      </c>
      <c r="H63" s="13">
        <f>IF(OR(A63="",B63=""),"",COUNTIFS(Enquiries!$B:$B,$A63,Enquiries!$A:$A,"&gt;="&amp;$B63,Enquiries!$A:$A,"&lt;"&amp;EDATE($B63,1)))</f>
        <v/>
      </c>
      <c r="I63" s="13">
        <f>IF(OR(A63="",B63=""),"",COUNTIFS(Enquiries!$B:$B,$A63,Enquiries!$F:$F,"Booked",Enquiries!$A:$A,"&gt;="&amp;$B63,Enquiries!$A:$A,"&lt;"&amp;EDATE($B63,1))+COUNTIFS(Enquiries!$B:$B,$A63,Enquiries!$F:$F,"Bought",Enquiries!$A:$A,"&gt;="&amp;$B63,Enquiries!$A:$A,"&lt;"&amp;EDATE($B63,1)))</f>
        <v/>
      </c>
      <c r="J63" s="13">
        <f>IF(OR(A63="",B63=""),"",SUMIFS(Enquiries!$G:$G,Enquiries!$B:$B,$A63,Enquiries!$A:$A,"&gt;="&amp;$B63,Enquiries!$A:$A,"&lt;"&amp;EDATE($B63,1)))</f>
        <v/>
      </c>
      <c r="K63" s="13">
        <f>IF(C63="","",IFERROR(INDEX(Packages!$B:$B,MATCH(C63,Packages!$A:$A,0)),""))</f>
        <v/>
      </c>
      <c r="L63" s="13">
        <f>IF(OR(K63="",F63=""),"",K63*F63)</f>
        <v/>
      </c>
      <c r="M63" s="12" t="n"/>
      <c r="N63" s="12" t="n"/>
      <c r="O63" s="14" t="n"/>
      <c r="P63" s="12" t="n"/>
    </row>
    <row r="64">
      <c r="A64" s="12" t="n"/>
      <c r="B64" s="17" t="n"/>
      <c r="C64" s="24">
        <f>IF(A64="","",IFERROR(INDEX(Clients!$G:$G,MATCH(A64,Clients!$A:$A,0)),""))</f>
        <v/>
      </c>
      <c r="D64" s="13">
        <f>IF(C64="","",IFERROR(INDEX(Packages!$C:$C,MATCH(C64,Packages!$A:$A,0)),""))</f>
        <v/>
      </c>
      <c r="E64" s="13">
        <f>IF(OR(A64="",B64=""),"",COUNTIFS(Uploads!$A:$A,$A64,Uploads!$B:$B,"&gt;="&amp;$B64,Uploads!$B:$B,"&lt;"&amp;EDATE($B64,1)))</f>
        <v/>
      </c>
      <c r="F64" s="25">
        <f>IF(OR(D64="",D64=0,E64=""),"",MIN(1,E64/D64))</f>
        <v/>
      </c>
      <c r="G64" s="13">
        <f>IF(OR(A64="",B64=""),"",SUMIFS(Uploads!$G:$G,Uploads!$A:$A,$A64,Uploads!$B:$B,"&gt;="&amp;$B64,Uploads!$B:$B,"&lt;"&amp;EDATE($B64,1)))</f>
        <v/>
      </c>
      <c r="H64" s="13">
        <f>IF(OR(A64="",B64=""),"",COUNTIFS(Enquiries!$B:$B,$A64,Enquiries!$A:$A,"&gt;="&amp;$B64,Enquiries!$A:$A,"&lt;"&amp;EDATE($B64,1)))</f>
        <v/>
      </c>
      <c r="I64" s="13">
        <f>IF(OR(A64="",B64=""),"",COUNTIFS(Enquiries!$B:$B,$A64,Enquiries!$F:$F,"Booked",Enquiries!$A:$A,"&gt;="&amp;$B64,Enquiries!$A:$A,"&lt;"&amp;EDATE($B64,1))+COUNTIFS(Enquiries!$B:$B,$A64,Enquiries!$F:$F,"Bought",Enquiries!$A:$A,"&gt;="&amp;$B64,Enquiries!$A:$A,"&lt;"&amp;EDATE($B64,1)))</f>
        <v/>
      </c>
      <c r="J64" s="13">
        <f>IF(OR(A64="",B64=""),"",SUMIFS(Enquiries!$G:$G,Enquiries!$B:$B,$A64,Enquiries!$A:$A,"&gt;="&amp;$B64,Enquiries!$A:$A,"&lt;"&amp;EDATE($B64,1)))</f>
        <v/>
      </c>
      <c r="K64" s="13">
        <f>IF(C64="","",IFERROR(INDEX(Packages!$B:$B,MATCH(C64,Packages!$A:$A,0)),""))</f>
        <v/>
      </c>
      <c r="L64" s="13">
        <f>IF(OR(K64="",F64=""),"",K64*F64)</f>
        <v/>
      </c>
      <c r="M64" s="12" t="n"/>
      <c r="N64" s="12" t="n"/>
      <c r="O64" s="14" t="n"/>
      <c r="P64" s="12" t="n"/>
    </row>
    <row r="65">
      <c r="A65" s="12" t="n"/>
      <c r="B65" s="17" t="n"/>
      <c r="C65" s="24">
        <f>IF(A65="","",IFERROR(INDEX(Clients!$G:$G,MATCH(A65,Clients!$A:$A,0)),""))</f>
        <v/>
      </c>
      <c r="D65" s="13">
        <f>IF(C65="","",IFERROR(INDEX(Packages!$C:$C,MATCH(C65,Packages!$A:$A,0)),""))</f>
        <v/>
      </c>
      <c r="E65" s="13">
        <f>IF(OR(A65="",B65=""),"",COUNTIFS(Uploads!$A:$A,$A65,Uploads!$B:$B,"&gt;="&amp;$B65,Uploads!$B:$B,"&lt;"&amp;EDATE($B65,1)))</f>
        <v/>
      </c>
      <c r="F65" s="25">
        <f>IF(OR(D65="",D65=0,E65=""),"",MIN(1,E65/D65))</f>
        <v/>
      </c>
      <c r="G65" s="13">
        <f>IF(OR(A65="",B65=""),"",SUMIFS(Uploads!$G:$G,Uploads!$A:$A,$A65,Uploads!$B:$B,"&gt;="&amp;$B65,Uploads!$B:$B,"&lt;"&amp;EDATE($B65,1)))</f>
        <v/>
      </c>
      <c r="H65" s="13">
        <f>IF(OR(A65="",B65=""),"",COUNTIFS(Enquiries!$B:$B,$A65,Enquiries!$A:$A,"&gt;="&amp;$B65,Enquiries!$A:$A,"&lt;"&amp;EDATE($B65,1)))</f>
        <v/>
      </c>
      <c r="I65" s="13">
        <f>IF(OR(A65="",B65=""),"",COUNTIFS(Enquiries!$B:$B,$A65,Enquiries!$F:$F,"Booked",Enquiries!$A:$A,"&gt;="&amp;$B65,Enquiries!$A:$A,"&lt;"&amp;EDATE($B65,1))+COUNTIFS(Enquiries!$B:$B,$A65,Enquiries!$F:$F,"Bought",Enquiries!$A:$A,"&gt;="&amp;$B65,Enquiries!$A:$A,"&lt;"&amp;EDATE($B65,1)))</f>
        <v/>
      </c>
      <c r="J65" s="13">
        <f>IF(OR(A65="",B65=""),"",SUMIFS(Enquiries!$G:$G,Enquiries!$B:$B,$A65,Enquiries!$A:$A,"&gt;="&amp;$B65,Enquiries!$A:$A,"&lt;"&amp;EDATE($B65,1)))</f>
        <v/>
      </c>
      <c r="K65" s="13">
        <f>IF(C65="","",IFERROR(INDEX(Packages!$B:$B,MATCH(C65,Packages!$A:$A,0)),""))</f>
        <v/>
      </c>
      <c r="L65" s="13">
        <f>IF(OR(K65="",F65=""),"",K65*F65)</f>
        <v/>
      </c>
      <c r="M65" s="12" t="n"/>
      <c r="N65" s="12" t="n"/>
      <c r="O65" s="14" t="n"/>
      <c r="P65" s="12" t="n"/>
    </row>
    <row r="66">
      <c r="A66" s="12" t="n"/>
      <c r="B66" s="17" t="n"/>
      <c r="C66" s="24">
        <f>IF(A66="","",IFERROR(INDEX(Clients!$G:$G,MATCH(A66,Clients!$A:$A,0)),""))</f>
        <v/>
      </c>
      <c r="D66" s="13">
        <f>IF(C66="","",IFERROR(INDEX(Packages!$C:$C,MATCH(C66,Packages!$A:$A,0)),""))</f>
        <v/>
      </c>
      <c r="E66" s="13">
        <f>IF(OR(A66="",B66=""),"",COUNTIFS(Uploads!$A:$A,$A66,Uploads!$B:$B,"&gt;="&amp;$B66,Uploads!$B:$B,"&lt;"&amp;EDATE($B66,1)))</f>
        <v/>
      </c>
      <c r="F66" s="25">
        <f>IF(OR(D66="",D66=0,E66=""),"",MIN(1,E66/D66))</f>
        <v/>
      </c>
      <c r="G66" s="13">
        <f>IF(OR(A66="",B66=""),"",SUMIFS(Uploads!$G:$G,Uploads!$A:$A,$A66,Uploads!$B:$B,"&gt;="&amp;$B66,Uploads!$B:$B,"&lt;"&amp;EDATE($B66,1)))</f>
        <v/>
      </c>
      <c r="H66" s="13">
        <f>IF(OR(A66="",B66=""),"",COUNTIFS(Enquiries!$B:$B,$A66,Enquiries!$A:$A,"&gt;="&amp;$B66,Enquiries!$A:$A,"&lt;"&amp;EDATE($B66,1)))</f>
        <v/>
      </c>
      <c r="I66" s="13">
        <f>IF(OR(A66="",B66=""),"",COUNTIFS(Enquiries!$B:$B,$A66,Enquiries!$F:$F,"Booked",Enquiries!$A:$A,"&gt;="&amp;$B66,Enquiries!$A:$A,"&lt;"&amp;EDATE($B66,1))+COUNTIFS(Enquiries!$B:$B,$A66,Enquiries!$F:$F,"Bought",Enquiries!$A:$A,"&gt;="&amp;$B66,Enquiries!$A:$A,"&lt;"&amp;EDATE($B66,1)))</f>
        <v/>
      </c>
      <c r="J66" s="13">
        <f>IF(OR(A66="",B66=""),"",SUMIFS(Enquiries!$G:$G,Enquiries!$B:$B,$A66,Enquiries!$A:$A,"&gt;="&amp;$B66,Enquiries!$A:$A,"&lt;"&amp;EDATE($B66,1)))</f>
        <v/>
      </c>
      <c r="K66" s="13">
        <f>IF(C66="","",IFERROR(INDEX(Packages!$B:$B,MATCH(C66,Packages!$A:$A,0)),""))</f>
        <v/>
      </c>
      <c r="L66" s="13">
        <f>IF(OR(K66="",F66=""),"",K66*F66)</f>
        <v/>
      </c>
      <c r="M66" s="12" t="n"/>
      <c r="N66" s="12" t="n"/>
      <c r="O66" s="14" t="n"/>
      <c r="P66" s="12" t="n"/>
    </row>
    <row r="67">
      <c r="A67" s="12" t="n"/>
      <c r="B67" s="17" t="n"/>
      <c r="C67" s="24">
        <f>IF(A67="","",IFERROR(INDEX(Clients!$G:$G,MATCH(A67,Clients!$A:$A,0)),""))</f>
        <v/>
      </c>
      <c r="D67" s="13">
        <f>IF(C67="","",IFERROR(INDEX(Packages!$C:$C,MATCH(C67,Packages!$A:$A,0)),""))</f>
        <v/>
      </c>
      <c r="E67" s="13">
        <f>IF(OR(A67="",B67=""),"",COUNTIFS(Uploads!$A:$A,$A67,Uploads!$B:$B,"&gt;="&amp;$B67,Uploads!$B:$B,"&lt;"&amp;EDATE($B67,1)))</f>
        <v/>
      </c>
      <c r="F67" s="25">
        <f>IF(OR(D67="",D67=0,E67=""),"",MIN(1,E67/D67))</f>
        <v/>
      </c>
      <c r="G67" s="13">
        <f>IF(OR(A67="",B67=""),"",SUMIFS(Uploads!$G:$G,Uploads!$A:$A,$A67,Uploads!$B:$B,"&gt;="&amp;$B67,Uploads!$B:$B,"&lt;"&amp;EDATE($B67,1)))</f>
        <v/>
      </c>
      <c r="H67" s="13">
        <f>IF(OR(A67="",B67=""),"",COUNTIFS(Enquiries!$B:$B,$A67,Enquiries!$A:$A,"&gt;="&amp;$B67,Enquiries!$A:$A,"&lt;"&amp;EDATE($B67,1)))</f>
        <v/>
      </c>
      <c r="I67" s="13">
        <f>IF(OR(A67="",B67=""),"",COUNTIFS(Enquiries!$B:$B,$A67,Enquiries!$F:$F,"Booked",Enquiries!$A:$A,"&gt;="&amp;$B67,Enquiries!$A:$A,"&lt;"&amp;EDATE($B67,1))+COUNTIFS(Enquiries!$B:$B,$A67,Enquiries!$F:$F,"Bought",Enquiries!$A:$A,"&gt;="&amp;$B67,Enquiries!$A:$A,"&lt;"&amp;EDATE($B67,1)))</f>
        <v/>
      </c>
      <c r="J67" s="13">
        <f>IF(OR(A67="",B67=""),"",SUMIFS(Enquiries!$G:$G,Enquiries!$B:$B,$A67,Enquiries!$A:$A,"&gt;="&amp;$B67,Enquiries!$A:$A,"&lt;"&amp;EDATE($B67,1)))</f>
        <v/>
      </c>
      <c r="K67" s="13">
        <f>IF(C67="","",IFERROR(INDEX(Packages!$B:$B,MATCH(C67,Packages!$A:$A,0)),""))</f>
        <v/>
      </c>
      <c r="L67" s="13">
        <f>IF(OR(K67="",F67=""),"",K67*F67)</f>
        <v/>
      </c>
      <c r="M67" s="12" t="n"/>
      <c r="N67" s="12" t="n"/>
      <c r="O67" s="14" t="n"/>
      <c r="P67" s="12" t="n"/>
    </row>
    <row r="68">
      <c r="A68" s="12" t="n"/>
      <c r="B68" s="17" t="n"/>
      <c r="C68" s="24">
        <f>IF(A68="","",IFERROR(INDEX(Clients!$G:$G,MATCH(A68,Clients!$A:$A,0)),""))</f>
        <v/>
      </c>
      <c r="D68" s="13">
        <f>IF(C68="","",IFERROR(INDEX(Packages!$C:$C,MATCH(C68,Packages!$A:$A,0)),""))</f>
        <v/>
      </c>
      <c r="E68" s="13">
        <f>IF(OR(A68="",B68=""),"",COUNTIFS(Uploads!$A:$A,$A68,Uploads!$B:$B,"&gt;="&amp;$B68,Uploads!$B:$B,"&lt;"&amp;EDATE($B68,1)))</f>
        <v/>
      </c>
      <c r="F68" s="25">
        <f>IF(OR(D68="",D68=0,E68=""),"",MIN(1,E68/D68))</f>
        <v/>
      </c>
      <c r="G68" s="13">
        <f>IF(OR(A68="",B68=""),"",SUMIFS(Uploads!$G:$G,Uploads!$A:$A,$A68,Uploads!$B:$B,"&gt;="&amp;$B68,Uploads!$B:$B,"&lt;"&amp;EDATE($B68,1)))</f>
        <v/>
      </c>
      <c r="H68" s="13">
        <f>IF(OR(A68="",B68=""),"",COUNTIFS(Enquiries!$B:$B,$A68,Enquiries!$A:$A,"&gt;="&amp;$B68,Enquiries!$A:$A,"&lt;"&amp;EDATE($B68,1)))</f>
        <v/>
      </c>
      <c r="I68" s="13">
        <f>IF(OR(A68="",B68=""),"",COUNTIFS(Enquiries!$B:$B,$A68,Enquiries!$F:$F,"Booked",Enquiries!$A:$A,"&gt;="&amp;$B68,Enquiries!$A:$A,"&lt;"&amp;EDATE($B68,1))+COUNTIFS(Enquiries!$B:$B,$A68,Enquiries!$F:$F,"Bought",Enquiries!$A:$A,"&gt;="&amp;$B68,Enquiries!$A:$A,"&lt;"&amp;EDATE($B68,1)))</f>
        <v/>
      </c>
      <c r="J68" s="13">
        <f>IF(OR(A68="",B68=""),"",SUMIFS(Enquiries!$G:$G,Enquiries!$B:$B,$A68,Enquiries!$A:$A,"&gt;="&amp;$B68,Enquiries!$A:$A,"&lt;"&amp;EDATE($B68,1)))</f>
        <v/>
      </c>
      <c r="K68" s="13">
        <f>IF(C68="","",IFERROR(INDEX(Packages!$B:$B,MATCH(C68,Packages!$A:$A,0)),""))</f>
        <v/>
      </c>
      <c r="L68" s="13">
        <f>IF(OR(K68="",F68=""),"",K68*F68)</f>
        <v/>
      </c>
      <c r="M68" s="12" t="n"/>
      <c r="N68" s="12" t="n"/>
      <c r="O68" s="14" t="n"/>
      <c r="P68" s="12" t="n"/>
    </row>
    <row r="69">
      <c r="A69" s="12" t="n"/>
      <c r="B69" s="17" t="n"/>
      <c r="C69" s="24">
        <f>IF(A69="","",IFERROR(INDEX(Clients!$G:$G,MATCH(A69,Clients!$A:$A,0)),""))</f>
        <v/>
      </c>
      <c r="D69" s="13">
        <f>IF(C69="","",IFERROR(INDEX(Packages!$C:$C,MATCH(C69,Packages!$A:$A,0)),""))</f>
        <v/>
      </c>
      <c r="E69" s="13">
        <f>IF(OR(A69="",B69=""),"",COUNTIFS(Uploads!$A:$A,$A69,Uploads!$B:$B,"&gt;="&amp;$B69,Uploads!$B:$B,"&lt;"&amp;EDATE($B69,1)))</f>
        <v/>
      </c>
      <c r="F69" s="25">
        <f>IF(OR(D69="",D69=0,E69=""),"",MIN(1,E69/D69))</f>
        <v/>
      </c>
      <c r="G69" s="13">
        <f>IF(OR(A69="",B69=""),"",SUMIFS(Uploads!$G:$G,Uploads!$A:$A,$A69,Uploads!$B:$B,"&gt;="&amp;$B69,Uploads!$B:$B,"&lt;"&amp;EDATE($B69,1)))</f>
        <v/>
      </c>
      <c r="H69" s="13">
        <f>IF(OR(A69="",B69=""),"",COUNTIFS(Enquiries!$B:$B,$A69,Enquiries!$A:$A,"&gt;="&amp;$B69,Enquiries!$A:$A,"&lt;"&amp;EDATE($B69,1)))</f>
        <v/>
      </c>
      <c r="I69" s="13">
        <f>IF(OR(A69="",B69=""),"",COUNTIFS(Enquiries!$B:$B,$A69,Enquiries!$F:$F,"Booked",Enquiries!$A:$A,"&gt;="&amp;$B69,Enquiries!$A:$A,"&lt;"&amp;EDATE($B69,1))+COUNTIFS(Enquiries!$B:$B,$A69,Enquiries!$F:$F,"Bought",Enquiries!$A:$A,"&gt;="&amp;$B69,Enquiries!$A:$A,"&lt;"&amp;EDATE($B69,1)))</f>
        <v/>
      </c>
      <c r="J69" s="13">
        <f>IF(OR(A69="",B69=""),"",SUMIFS(Enquiries!$G:$G,Enquiries!$B:$B,$A69,Enquiries!$A:$A,"&gt;="&amp;$B69,Enquiries!$A:$A,"&lt;"&amp;EDATE($B69,1)))</f>
        <v/>
      </c>
      <c r="K69" s="13">
        <f>IF(C69="","",IFERROR(INDEX(Packages!$B:$B,MATCH(C69,Packages!$A:$A,0)),""))</f>
        <v/>
      </c>
      <c r="L69" s="13">
        <f>IF(OR(K69="",F69=""),"",K69*F69)</f>
        <v/>
      </c>
      <c r="M69" s="12" t="n"/>
      <c r="N69" s="12" t="n"/>
      <c r="O69" s="14" t="n"/>
      <c r="P69" s="12" t="n"/>
    </row>
    <row r="70">
      <c r="A70" s="12" t="n"/>
      <c r="B70" s="17" t="n"/>
      <c r="C70" s="24">
        <f>IF(A70="","",IFERROR(INDEX(Clients!$G:$G,MATCH(A70,Clients!$A:$A,0)),""))</f>
        <v/>
      </c>
      <c r="D70" s="13">
        <f>IF(C70="","",IFERROR(INDEX(Packages!$C:$C,MATCH(C70,Packages!$A:$A,0)),""))</f>
        <v/>
      </c>
      <c r="E70" s="13">
        <f>IF(OR(A70="",B70=""),"",COUNTIFS(Uploads!$A:$A,$A70,Uploads!$B:$B,"&gt;="&amp;$B70,Uploads!$B:$B,"&lt;"&amp;EDATE($B70,1)))</f>
        <v/>
      </c>
      <c r="F70" s="25">
        <f>IF(OR(D70="",D70=0,E70=""),"",MIN(1,E70/D70))</f>
        <v/>
      </c>
      <c r="G70" s="13">
        <f>IF(OR(A70="",B70=""),"",SUMIFS(Uploads!$G:$G,Uploads!$A:$A,$A70,Uploads!$B:$B,"&gt;="&amp;$B70,Uploads!$B:$B,"&lt;"&amp;EDATE($B70,1)))</f>
        <v/>
      </c>
      <c r="H70" s="13">
        <f>IF(OR(A70="",B70=""),"",COUNTIFS(Enquiries!$B:$B,$A70,Enquiries!$A:$A,"&gt;="&amp;$B70,Enquiries!$A:$A,"&lt;"&amp;EDATE($B70,1)))</f>
        <v/>
      </c>
      <c r="I70" s="13">
        <f>IF(OR(A70="",B70=""),"",COUNTIFS(Enquiries!$B:$B,$A70,Enquiries!$F:$F,"Booked",Enquiries!$A:$A,"&gt;="&amp;$B70,Enquiries!$A:$A,"&lt;"&amp;EDATE($B70,1))+COUNTIFS(Enquiries!$B:$B,$A70,Enquiries!$F:$F,"Bought",Enquiries!$A:$A,"&gt;="&amp;$B70,Enquiries!$A:$A,"&lt;"&amp;EDATE($B70,1)))</f>
        <v/>
      </c>
      <c r="J70" s="13">
        <f>IF(OR(A70="",B70=""),"",SUMIFS(Enquiries!$G:$G,Enquiries!$B:$B,$A70,Enquiries!$A:$A,"&gt;="&amp;$B70,Enquiries!$A:$A,"&lt;"&amp;EDATE($B70,1)))</f>
        <v/>
      </c>
      <c r="K70" s="13">
        <f>IF(C70="","",IFERROR(INDEX(Packages!$B:$B,MATCH(C70,Packages!$A:$A,0)),""))</f>
        <v/>
      </c>
      <c r="L70" s="13">
        <f>IF(OR(K70="",F70=""),"",K70*F70)</f>
        <v/>
      </c>
      <c r="M70" s="12" t="n"/>
      <c r="N70" s="12" t="n"/>
      <c r="O70" s="14" t="n"/>
      <c r="P70" s="12" t="n"/>
    </row>
    <row r="71">
      <c r="A71" s="12" t="n"/>
      <c r="B71" s="17" t="n"/>
      <c r="C71" s="24">
        <f>IF(A71="","",IFERROR(INDEX(Clients!$G:$G,MATCH(A71,Clients!$A:$A,0)),""))</f>
        <v/>
      </c>
      <c r="D71" s="13">
        <f>IF(C71="","",IFERROR(INDEX(Packages!$C:$C,MATCH(C71,Packages!$A:$A,0)),""))</f>
        <v/>
      </c>
      <c r="E71" s="13">
        <f>IF(OR(A71="",B71=""),"",COUNTIFS(Uploads!$A:$A,$A71,Uploads!$B:$B,"&gt;="&amp;$B71,Uploads!$B:$B,"&lt;"&amp;EDATE($B71,1)))</f>
        <v/>
      </c>
      <c r="F71" s="25">
        <f>IF(OR(D71="",D71=0,E71=""),"",MIN(1,E71/D71))</f>
        <v/>
      </c>
      <c r="G71" s="13">
        <f>IF(OR(A71="",B71=""),"",SUMIFS(Uploads!$G:$G,Uploads!$A:$A,$A71,Uploads!$B:$B,"&gt;="&amp;$B71,Uploads!$B:$B,"&lt;"&amp;EDATE($B71,1)))</f>
        <v/>
      </c>
      <c r="H71" s="13">
        <f>IF(OR(A71="",B71=""),"",COUNTIFS(Enquiries!$B:$B,$A71,Enquiries!$A:$A,"&gt;="&amp;$B71,Enquiries!$A:$A,"&lt;"&amp;EDATE($B71,1)))</f>
        <v/>
      </c>
      <c r="I71" s="13">
        <f>IF(OR(A71="",B71=""),"",COUNTIFS(Enquiries!$B:$B,$A71,Enquiries!$F:$F,"Booked",Enquiries!$A:$A,"&gt;="&amp;$B71,Enquiries!$A:$A,"&lt;"&amp;EDATE($B71,1))+COUNTIFS(Enquiries!$B:$B,$A71,Enquiries!$F:$F,"Bought",Enquiries!$A:$A,"&gt;="&amp;$B71,Enquiries!$A:$A,"&lt;"&amp;EDATE($B71,1)))</f>
        <v/>
      </c>
      <c r="J71" s="13">
        <f>IF(OR(A71="",B71=""),"",SUMIFS(Enquiries!$G:$G,Enquiries!$B:$B,$A71,Enquiries!$A:$A,"&gt;="&amp;$B71,Enquiries!$A:$A,"&lt;"&amp;EDATE($B71,1)))</f>
        <v/>
      </c>
      <c r="K71" s="13">
        <f>IF(C71="","",IFERROR(INDEX(Packages!$B:$B,MATCH(C71,Packages!$A:$A,0)),""))</f>
        <v/>
      </c>
      <c r="L71" s="13">
        <f>IF(OR(K71="",F71=""),"",K71*F71)</f>
        <v/>
      </c>
      <c r="M71" s="12" t="n"/>
      <c r="N71" s="12" t="n"/>
      <c r="O71" s="14" t="n"/>
      <c r="P71" s="12" t="n"/>
    </row>
    <row r="72">
      <c r="A72" s="12" t="n"/>
      <c r="B72" s="17" t="n"/>
      <c r="C72" s="24">
        <f>IF(A72="","",IFERROR(INDEX(Clients!$G:$G,MATCH(A72,Clients!$A:$A,0)),""))</f>
        <v/>
      </c>
      <c r="D72" s="13">
        <f>IF(C72="","",IFERROR(INDEX(Packages!$C:$C,MATCH(C72,Packages!$A:$A,0)),""))</f>
        <v/>
      </c>
      <c r="E72" s="13">
        <f>IF(OR(A72="",B72=""),"",COUNTIFS(Uploads!$A:$A,$A72,Uploads!$B:$B,"&gt;="&amp;$B72,Uploads!$B:$B,"&lt;"&amp;EDATE($B72,1)))</f>
        <v/>
      </c>
      <c r="F72" s="25">
        <f>IF(OR(D72="",D72=0,E72=""),"",MIN(1,E72/D72))</f>
        <v/>
      </c>
      <c r="G72" s="13">
        <f>IF(OR(A72="",B72=""),"",SUMIFS(Uploads!$G:$G,Uploads!$A:$A,$A72,Uploads!$B:$B,"&gt;="&amp;$B72,Uploads!$B:$B,"&lt;"&amp;EDATE($B72,1)))</f>
        <v/>
      </c>
      <c r="H72" s="13">
        <f>IF(OR(A72="",B72=""),"",COUNTIFS(Enquiries!$B:$B,$A72,Enquiries!$A:$A,"&gt;="&amp;$B72,Enquiries!$A:$A,"&lt;"&amp;EDATE($B72,1)))</f>
        <v/>
      </c>
      <c r="I72" s="13">
        <f>IF(OR(A72="",B72=""),"",COUNTIFS(Enquiries!$B:$B,$A72,Enquiries!$F:$F,"Booked",Enquiries!$A:$A,"&gt;="&amp;$B72,Enquiries!$A:$A,"&lt;"&amp;EDATE($B72,1))+COUNTIFS(Enquiries!$B:$B,$A72,Enquiries!$F:$F,"Bought",Enquiries!$A:$A,"&gt;="&amp;$B72,Enquiries!$A:$A,"&lt;"&amp;EDATE($B72,1)))</f>
        <v/>
      </c>
      <c r="J72" s="13">
        <f>IF(OR(A72="",B72=""),"",SUMIFS(Enquiries!$G:$G,Enquiries!$B:$B,$A72,Enquiries!$A:$A,"&gt;="&amp;$B72,Enquiries!$A:$A,"&lt;"&amp;EDATE($B72,1)))</f>
        <v/>
      </c>
      <c r="K72" s="13">
        <f>IF(C72="","",IFERROR(INDEX(Packages!$B:$B,MATCH(C72,Packages!$A:$A,0)),""))</f>
        <v/>
      </c>
      <c r="L72" s="13">
        <f>IF(OR(K72="",F72=""),"",K72*F72)</f>
        <v/>
      </c>
      <c r="M72" s="12" t="n"/>
      <c r="N72" s="12" t="n"/>
      <c r="O72" s="14" t="n"/>
      <c r="P72" s="12" t="n"/>
    </row>
    <row r="73">
      <c r="A73" s="12" t="n"/>
      <c r="B73" s="17" t="n"/>
      <c r="C73" s="24">
        <f>IF(A73="","",IFERROR(INDEX(Clients!$G:$G,MATCH(A73,Clients!$A:$A,0)),""))</f>
        <v/>
      </c>
      <c r="D73" s="13">
        <f>IF(C73="","",IFERROR(INDEX(Packages!$C:$C,MATCH(C73,Packages!$A:$A,0)),""))</f>
        <v/>
      </c>
      <c r="E73" s="13">
        <f>IF(OR(A73="",B73=""),"",COUNTIFS(Uploads!$A:$A,$A73,Uploads!$B:$B,"&gt;="&amp;$B73,Uploads!$B:$B,"&lt;"&amp;EDATE($B73,1)))</f>
        <v/>
      </c>
      <c r="F73" s="25">
        <f>IF(OR(D73="",D73=0,E73=""),"",MIN(1,E73/D73))</f>
        <v/>
      </c>
      <c r="G73" s="13">
        <f>IF(OR(A73="",B73=""),"",SUMIFS(Uploads!$G:$G,Uploads!$A:$A,$A73,Uploads!$B:$B,"&gt;="&amp;$B73,Uploads!$B:$B,"&lt;"&amp;EDATE($B73,1)))</f>
        <v/>
      </c>
      <c r="H73" s="13">
        <f>IF(OR(A73="",B73=""),"",COUNTIFS(Enquiries!$B:$B,$A73,Enquiries!$A:$A,"&gt;="&amp;$B73,Enquiries!$A:$A,"&lt;"&amp;EDATE($B73,1)))</f>
        <v/>
      </c>
      <c r="I73" s="13">
        <f>IF(OR(A73="",B73=""),"",COUNTIFS(Enquiries!$B:$B,$A73,Enquiries!$F:$F,"Booked",Enquiries!$A:$A,"&gt;="&amp;$B73,Enquiries!$A:$A,"&lt;"&amp;EDATE($B73,1))+COUNTIFS(Enquiries!$B:$B,$A73,Enquiries!$F:$F,"Bought",Enquiries!$A:$A,"&gt;="&amp;$B73,Enquiries!$A:$A,"&lt;"&amp;EDATE($B73,1)))</f>
        <v/>
      </c>
      <c r="J73" s="13">
        <f>IF(OR(A73="",B73=""),"",SUMIFS(Enquiries!$G:$G,Enquiries!$B:$B,$A73,Enquiries!$A:$A,"&gt;="&amp;$B73,Enquiries!$A:$A,"&lt;"&amp;EDATE($B73,1)))</f>
        <v/>
      </c>
      <c r="K73" s="13">
        <f>IF(C73="","",IFERROR(INDEX(Packages!$B:$B,MATCH(C73,Packages!$A:$A,0)),""))</f>
        <v/>
      </c>
      <c r="L73" s="13">
        <f>IF(OR(K73="",F73=""),"",K73*F73)</f>
        <v/>
      </c>
      <c r="M73" s="12" t="n"/>
      <c r="N73" s="12" t="n"/>
      <c r="O73" s="14" t="n"/>
      <c r="P73" s="12" t="n"/>
    </row>
    <row r="74">
      <c r="A74" s="12" t="n"/>
      <c r="B74" s="17" t="n"/>
      <c r="C74" s="24">
        <f>IF(A74="","",IFERROR(INDEX(Clients!$G:$G,MATCH(A74,Clients!$A:$A,0)),""))</f>
        <v/>
      </c>
      <c r="D74" s="13">
        <f>IF(C74="","",IFERROR(INDEX(Packages!$C:$C,MATCH(C74,Packages!$A:$A,0)),""))</f>
        <v/>
      </c>
      <c r="E74" s="13">
        <f>IF(OR(A74="",B74=""),"",COUNTIFS(Uploads!$A:$A,$A74,Uploads!$B:$B,"&gt;="&amp;$B74,Uploads!$B:$B,"&lt;"&amp;EDATE($B74,1)))</f>
        <v/>
      </c>
      <c r="F74" s="25">
        <f>IF(OR(D74="",D74=0,E74=""),"",MIN(1,E74/D74))</f>
        <v/>
      </c>
      <c r="G74" s="13">
        <f>IF(OR(A74="",B74=""),"",SUMIFS(Uploads!$G:$G,Uploads!$A:$A,$A74,Uploads!$B:$B,"&gt;="&amp;$B74,Uploads!$B:$B,"&lt;"&amp;EDATE($B74,1)))</f>
        <v/>
      </c>
      <c r="H74" s="13">
        <f>IF(OR(A74="",B74=""),"",COUNTIFS(Enquiries!$B:$B,$A74,Enquiries!$A:$A,"&gt;="&amp;$B74,Enquiries!$A:$A,"&lt;"&amp;EDATE($B74,1)))</f>
        <v/>
      </c>
      <c r="I74" s="13">
        <f>IF(OR(A74="",B74=""),"",COUNTIFS(Enquiries!$B:$B,$A74,Enquiries!$F:$F,"Booked",Enquiries!$A:$A,"&gt;="&amp;$B74,Enquiries!$A:$A,"&lt;"&amp;EDATE($B74,1))+COUNTIFS(Enquiries!$B:$B,$A74,Enquiries!$F:$F,"Bought",Enquiries!$A:$A,"&gt;="&amp;$B74,Enquiries!$A:$A,"&lt;"&amp;EDATE($B74,1)))</f>
        <v/>
      </c>
      <c r="J74" s="13">
        <f>IF(OR(A74="",B74=""),"",SUMIFS(Enquiries!$G:$G,Enquiries!$B:$B,$A74,Enquiries!$A:$A,"&gt;="&amp;$B74,Enquiries!$A:$A,"&lt;"&amp;EDATE($B74,1)))</f>
        <v/>
      </c>
      <c r="K74" s="13">
        <f>IF(C74="","",IFERROR(INDEX(Packages!$B:$B,MATCH(C74,Packages!$A:$A,0)),""))</f>
        <v/>
      </c>
      <c r="L74" s="13">
        <f>IF(OR(K74="",F74=""),"",K74*F74)</f>
        <v/>
      </c>
      <c r="M74" s="12" t="n"/>
      <c r="N74" s="12" t="n"/>
      <c r="O74" s="14" t="n"/>
      <c r="P74" s="12" t="n"/>
    </row>
    <row r="75">
      <c r="A75" s="12" t="n"/>
      <c r="B75" s="17" t="n"/>
      <c r="C75" s="24">
        <f>IF(A75="","",IFERROR(INDEX(Clients!$G:$G,MATCH(A75,Clients!$A:$A,0)),""))</f>
        <v/>
      </c>
      <c r="D75" s="13">
        <f>IF(C75="","",IFERROR(INDEX(Packages!$C:$C,MATCH(C75,Packages!$A:$A,0)),""))</f>
        <v/>
      </c>
      <c r="E75" s="13">
        <f>IF(OR(A75="",B75=""),"",COUNTIFS(Uploads!$A:$A,$A75,Uploads!$B:$B,"&gt;="&amp;$B75,Uploads!$B:$B,"&lt;"&amp;EDATE($B75,1)))</f>
        <v/>
      </c>
      <c r="F75" s="25">
        <f>IF(OR(D75="",D75=0,E75=""),"",MIN(1,E75/D75))</f>
        <v/>
      </c>
      <c r="G75" s="13">
        <f>IF(OR(A75="",B75=""),"",SUMIFS(Uploads!$G:$G,Uploads!$A:$A,$A75,Uploads!$B:$B,"&gt;="&amp;$B75,Uploads!$B:$B,"&lt;"&amp;EDATE($B75,1)))</f>
        <v/>
      </c>
      <c r="H75" s="13">
        <f>IF(OR(A75="",B75=""),"",COUNTIFS(Enquiries!$B:$B,$A75,Enquiries!$A:$A,"&gt;="&amp;$B75,Enquiries!$A:$A,"&lt;"&amp;EDATE($B75,1)))</f>
        <v/>
      </c>
      <c r="I75" s="13">
        <f>IF(OR(A75="",B75=""),"",COUNTIFS(Enquiries!$B:$B,$A75,Enquiries!$F:$F,"Booked",Enquiries!$A:$A,"&gt;="&amp;$B75,Enquiries!$A:$A,"&lt;"&amp;EDATE($B75,1))+COUNTIFS(Enquiries!$B:$B,$A75,Enquiries!$F:$F,"Bought",Enquiries!$A:$A,"&gt;="&amp;$B75,Enquiries!$A:$A,"&lt;"&amp;EDATE($B75,1)))</f>
        <v/>
      </c>
      <c r="J75" s="13">
        <f>IF(OR(A75="",B75=""),"",SUMIFS(Enquiries!$G:$G,Enquiries!$B:$B,$A75,Enquiries!$A:$A,"&gt;="&amp;$B75,Enquiries!$A:$A,"&lt;"&amp;EDATE($B75,1)))</f>
        <v/>
      </c>
      <c r="K75" s="13">
        <f>IF(C75="","",IFERROR(INDEX(Packages!$B:$B,MATCH(C75,Packages!$A:$A,0)),""))</f>
        <v/>
      </c>
      <c r="L75" s="13">
        <f>IF(OR(K75="",F75=""),"",K75*F75)</f>
        <v/>
      </c>
      <c r="M75" s="12" t="n"/>
      <c r="N75" s="12" t="n"/>
      <c r="O75" s="14" t="n"/>
      <c r="P75" s="12" t="n"/>
    </row>
    <row r="76">
      <c r="A76" s="12" t="n"/>
      <c r="B76" s="17" t="n"/>
      <c r="C76" s="24">
        <f>IF(A76="","",IFERROR(INDEX(Clients!$G:$G,MATCH(A76,Clients!$A:$A,0)),""))</f>
        <v/>
      </c>
      <c r="D76" s="13">
        <f>IF(C76="","",IFERROR(INDEX(Packages!$C:$C,MATCH(C76,Packages!$A:$A,0)),""))</f>
        <v/>
      </c>
      <c r="E76" s="13">
        <f>IF(OR(A76="",B76=""),"",COUNTIFS(Uploads!$A:$A,$A76,Uploads!$B:$B,"&gt;="&amp;$B76,Uploads!$B:$B,"&lt;"&amp;EDATE($B76,1)))</f>
        <v/>
      </c>
      <c r="F76" s="25">
        <f>IF(OR(D76="",D76=0,E76=""),"",MIN(1,E76/D76))</f>
        <v/>
      </c>
      <c r="G76" s="13">
        <f>IF(OR(A76="",B76=""),"",SUMIFS(Uploads!$G:$G,Uploads!$A:$A,$A76,Uploads!$B:$B,"&gt;="&amp;$B76,Uploads!$B:$B,"&lt;"&amp;EDATE($B76,1)))</f>
        <v/>
      </c>
      <c r="H76" s="13">
        <f>IF(OR(A76="",B76=""),"",COUNTIFS(Enquiries!$B:$B,$A76,Enquiries!$A:$A,"&gt;="&amp;$B76,Enquiries!$A:$A,"&lt;"&amp;EDATE($B76,1)))</f>
        <v/>
      </c>
      <c r="I76" s="13">
        <f>IF(OR(A76="",B76=""),"",COUNTIFS(Enquiries!$B:$B,$A76,Enquiries!$F:$F,"Booked",Enquiries!$A:$A,"&gt;="&amp;$B76,Enquiries!$A:$A,"&lt;"&amp;EDATE($B76,1))+COUNTIFS(Enquiries!$B:$B,$A76,Enquiries!$F:$F,"Bought",Enquiries!$A:$A,"&gt;="&amp;$B76,Enquiries!$A:$A,"&lt;"&amp;EDATE($B76,1)))</f>
        <v/>
      </c>
      <c r="J76" s="13">
        <f>IF(OR(A76="",B76=""),"",SUMIFS(Enquiries!$G:$G,Enquiries!$B:$B,$A76,Enquiries!$A:$A,"&gt;="&amp;$B76,Enquiries!$A:$A,"&lt;"&amp;EDATE($B76,1)))</f>
        <v/>
      </c>
      <c r="K76" s="13">
        <f>IF(C76="","",IFERROR(INDEX(Packages!$B:$B,MATCH(C76,Packages!$A:$A,0)),""))</f>
        <v/>
      </c>
      <c r="L76" s="13">
        <f>IF(OR(K76="",F76=""),"",K76*F76)</f>
        <v/>
      </c>
      <c r="M76" s="12" t="n"/>
      <c r="N76" s="12" t="n"/>
      <c r="O76" s="14" t="n"/>
      <c r="P76" s="12" t="n"/>
    </row>
    <row r="77">
      <c r="A77" s="12" t="n"/>
      <c r="B77" s="17" t="n"/>
      <c r="C77" s="24">
        <f>IF(A77="","",IFERROR(INDEX(Clients!$G:$G,MATCH(A77,Clients!$A:$A,0)),""))</f>
        <v/>
      </c>
      <c r="D77" s="13">
        <f>IF(C77="","",IFERROR(INDEX(Packages!$C:$C,MATCH(C77,Packages!$A:$A,0)),""))</f>
        <v/>
      </c>
      <c r="E77" s="13">
        <f>IF(OR(A77="",B77=""),"",COUNTIFS(Uploads!$A:$A,$A77,Uploads!$B:$B,"&gt;="&amp;$B77,Uploads!$B:$B,"&lt;"&amp;EDATE($B77,1)))</f>
        <v/>
      </c>
      <c r="F77" s="25">
        <f>IF(OR(D77="",D77=0,E77=""),"",MIN(1,E77/D77))</f>
        <v/>
      </c>
      <c r="G77" s="13">
        <f>IF(OR(A77="",B77=""),"",SUMIFS(Uploads!$G:$G,Uploads!$A:$A,$A77,Uploads!$B:$B,"&gt;="&amp;$B77,Uploads!$B:$B,"&lt;"&amp;EDATE($B77,1)))</f>
        <v/>
      </c>
      <c r="H77" s="13">
        <f>IF(OR(A77="",B77=""),"",COUNTIFS(Enquiries!$B:$B,$A77,Enquiries!$A:$A,"&gt;="&amp;$B77,Enquiries!$A:$A,"&lt;"&amp;EDATE($B77,1)))</f>
        <v/>
      </c>
      <c r="I77" s="13">
        <f>IF(OR(A77="",B77=""),"",COUNTIFS(Enquiries!$B:$B,$A77,Enquiries!$F:$F,"Booked",Enquiries!$A:$A,"&gt;="&amp;$B77,Enquiries!$A:$A,"&lt;"&amp;EDATE($B77,1))+COUNTIFS(Enquiries!$B:$B,$A77,Enquiries!$F:$F,"Bought",Enquiries!$A:$A,"&gt;="&amp;$B77,Enquiries!$A:$A,"&lt;"&amp;EDATE($B77,1)))</f>
        <v/>
      </c>
      <c r="J77" s="13">
        <f>IF(OR(A77="",B77=""),"",SUMIFS(Enquiries!$G:$G,Enquiries!$B:$B,$A77,Enquiries!$A:$A,"&gt;="&amp;$B77,Enquiries!$A:$A,"&lt;"&amp;EDATE($B77,1)))</f>
        <v/>
      </c>
      <c r="K77" s="13">
        <f>IF(C77="","",IFERROR(INDEX(Packages!$B:$B,MATCH(C77,Packages!$A:$A,0)),""))</f>
        <v/>
      </c>
      <c r="L77" s="13">
        <f>IF(OR(K77="",F77=""),"",K77*F77)</f>
        <v/>
      </c>
      <c r="M77" s="12" t="n"/>
      <c r="N77" s="12" t="n"/>
      <c r="O77" s="14" t="n"/>
      <c r="P77" s="12" t="n"/>
    </row>
    <row r="78">
      <c r="A78" s="12" t="n"/>
      <c r="B78" s="17" t="n"/>
      <c r="C78" s="24">
        <f>IF(A78="","",IFERROR(INDEX(Clients!$G:$G,MATCH(A78,Clients!$A:$A,0)),""))</f>
        <v/>
      </c>
      <c r="D78" s="13">
        <f>IF(C78="","",IFERROR(INDEX(Packages!$C:$C,MATCH(C78,Packages!$A:$A,0)),""))</f>
        <v/>
      </c>
      <c r="E78" s="13">
        <f>IF(OR(A78="",B78=""),"",COUNTIFS(Uploads!$A:$A,$A78,Uploads!$B:$B,"&gt;="&amp;$B78,Uploads!$B:$B,"&lt;"&amp;EDATE($B78,1)))</f>
        <v/>
      </c>
      <c r="F78" s="25">
        <f>IF(OR(D78="",D78=0,E78=""),"",MIN(1,E78/D78))</f>
        <v/>
      </c>
      <c r="G78" s="13">
        <f>IF(OR(A78="",B78=""),"",SUMIFS(Uploads!$G:$G,Uploads!$A:$A,$A78,Uploads!$B:$B,"&gt;="&amp;$B78,Uploads!$B:$B,"&lt;"&amp;EDATE($B78,1)))</f>
        <v/>
      </c>
      <c r="H78" s="13">
        <f>IF(OR(A78="",B78=""),"",COUNTIFS(Enquiries!$B:$B,$A78,Enquiries!$A:$A,"&gt;="&amp;$B78,Enquiries!$A:$A,"&lt;"&amp;EDATE($B78,1)))</f>
        <v/>
      </c>
      <c r="I78" s="13">
        <f>IF(OR(A78="",B78=""),"",COUNTIFS(Enquiries!$B:$B,$A78,Enquiries!$F:$F,"Booked",Enquiries!$A:$A,"&gt;="&amp;$B78,Enquiries!$A:$A,"&lt;"&amp;EDATE($B78,1))+COUNTIFS(Enquiries!$B:$B,$A78,Enquiries!$F:$F,"Bought",Enquiries!$A:$A,"&gt;="&amp;$B78,Enquiries!$A:$A,"&lt;"&amp;EDATE($B78,1)))</f>
        <v/>
      </c>
      <c r="J78" s="13">
        <f>IF(OR(A78="",B78=""),"",SUMIFS(Enquiries!$G:$G,Enquiries!$B:$B,$A78,Enquiries!$A:$A,"&gt;="&amp;$B78,Enquiries!$A:$A,"&lt;"&amp;EDATE($B78,1)))</f>
        <v/>
      </c>
      <c r="K78" s="13">
        <f>IF(C78="","",IFERROR(INDEX(Packages!$B:$B,MATCH(C78,Packages!$A:$A,0)),""))</f>
        <v/>
      </c>
      <c r="L78" s="13">
        <f>IF(OR(K78="",F78=""),"",K78*F78)</f>
        <v/>
      </c>
      <c r="M78" s="12" t="n"/>
      <c r="N78" s="12" t="n"/>
      <c r="O78" s="14" t="n"/>
      <c r="P78" s="12" t="n"/>
    </row>
    <row r="79">
      <c r="A79" s="12" t="n"/>
      <c r="B79" s="17" t="n"/>
      <c r="C79" s="24">
        <f>IF(A79="","",IFERROR(INDEX(Clients!$G:$G,MATCH(A79,Clients!$A:$A,0)),""))</f>
        <v/>
      </c>
      <c r="D79" s="13">
        <f>IF(C79="","",IFERROR(INDEX(Packages!$C:$C,MATCH(C79,Packages!$A:$A,0)),""))</f>
        <v/>
      </c>
      <c r="E79" s="13">
        <f>IF(OR(A79="",B79=""),"",COUNTIFS(Uploads!$A:$A,$A79,Uploads!$B:$B,"&gt;="&amp;$B79,Uploads!$B:$B,"&lt;"&amp;EDATE($B79,1)))</f>
        <v/>
      </c>
      <c r="F79" s="25">
        <f>IF(OR(D79="",D79=0,E79=""),"",MIN(1,E79/D79))</f>
        <v/>
      </c>
      <c r="G79" s="13">
        <f>IF(OR(A79="",B79=""),"",SUMIFS(Uploads!$G:$G,Uploads!$A:$A,$A79,Uploads!$B:$B,"&gt;="&amp;$B79,Uploads!$B:$B,"&lt;"&amp;EDATE($B79,1)))</f>
        <v/>
      </c>
      <c r="H79" s="13">
        <f>IF(OR(A79="",B79=""),"",COUNTIFS(Enquiries!$B:$B,$A79,Enquiries!$A:$A,"&gt;="&amp;$B79,Enquiries!$A:$A,"&lt;"&amp;EDATE($B79,1)))</f>
        <v/>
      </c>
      <c r="I79" s="13">
        <f>IF(OR(A79="",B79=""),"",COUNTIFS(Enquiries!$B:$B,$A79,Enquiries!$F:$F,"Booked",Enquiries!$A:$A,"&gt;="&amp;$B79,Enquiries!$A:$A,"&lt;"&amp;EDATE($B79,1))+COUNTIFS(Enquiries!$B:$B,$A79,Enquiries!$F:$F,"Bought",Enquiries!$A:$A,"&gt;="&amp;$B79,Enquiries!$A:$A,"&lt;"&amp;EDATE($B79,1)))</f>
        <v/>
      </c>
      <c r="J79" s="13">
        <f>IF(OR(A79="",B79=""),"",SUMIFS(Enquiries!$G:$G,Enquiries!$B:$B,$A79,Enquiries!$A:$A,"&gt;="&amp;$B79,Enquiries!$A:$A,"&lt;"&amp;EDATE($B79,1)))</f>
        <v/>
      </c>
      <c r="K79" s="13">
        <f>IF(C79="","",IFERROR(INDEX(Packages!$B:$B,MATCH(C79,Packages!$A:$A,0)),""))</f>
        <v/>
      </c>
      <c r="L79" s="13">
        <f>IF(OR(K79="",F79=""),"",K79*F79)</f>
        <v/>
      </c>
      <c r="M79" s="12" t="n"/>
      <c r="N79" s="12" t="n"/>
      <c r="O79" s="14" t="n"/>
      <c r="P79" s="12" t="n"/>
    </row>
    <row r="80">
      <c r="A80" s="12" t="n"/>
      <c r="B80" s="17" t="n"/>
      <c r="C80" s="24">
        <f>IF(A80="","",IFERROR(INDEX(Clients!$G:$G,MATCH(A80,Clients!$A:$A,0)),""))</f>
        <v/>
      </c>
      <c r="D80" s="13">
        <f>IF(C80="","",IFERROR(INDEX(Packages!$C:$C,MATCH(C80,Packages!$A:$A,0)),""))</f>
        <v/>
      </c>
      <c r="E80" s="13">
        <f>IF(OR(A80="",B80=""),"",COUNTIFS(Uploads!$A:$A,$A80,Uploads!$B:$B,"&gt;="&amp;$B80,Uploads!$B:$B,"&lt;"&amp;EDATE($B80,1)))</f>
        <v/>
      </c>
      <c r="F80" s="25">
        <f>IF(OR(D80="",D80=0,E80=""),"",MIN(1,E80/D80))</f>
        <v/>
      </c>
      <c r="G80" s="13">
        <f>IF(OR(A80="",B80=""),"",SUMIFS(Uploads!$G:$G,Uploads!$A:$A,$A80,Uploads!$B:$B,"&gt;="&amp;$B80,Uploads!$B:$B,"&lt;"&amp;EDATE($B80,1)))</f>
        <v/>
      </c>
      <c r="H80" s="13">
        <f>IF(OR(A80="",B80=""),"",COUNTIFS(Enquiries!$B:$B,$A80,Enquiries!$A:$A,"&gt;="&amp;$B80,Enquiries!$A:$A,"&lt;"&amp;EDATE($B80,1)))</f>
        <v/>
      </c>
      <c r="I80" s="13">
        <f>IF(OR(A80="",B80=""),"",COUNTIFS(Enquiries!$B:$B,$A80,Enquiries!$F:$F,"Booked",Enquiries!$A:$A,"&gt;="&amp;$B80,Enquiries!$A:$A,"&lt;"&amp;EDATE($B80,1))+COUNTIFS(Enquiries!$B:$B,$A80,Enquiries!$F:$F,"Bought",Enquiries!$A:$A,"&gt;="&amp;$B80,Enquiries!$A:$A,"&lt;"&amp;EDATE($B80,1)))</f>
        <v/>
      </c>
      <c r="J80" s="13">
        <f>IF(OR(A80="",B80=""),"",SUMIFS(Enquiries!$G:$G,Enquiries!$B:$B,$A80,Enquiries!$A:$A,"&gt;="&amp;$B80,Enquiries!$A:$A,"&lt;"&amp;EDATE($B80,1)))</f>
        <v/>
      </c>
      <c r="K80" s="13">
        <f>IF(C80="","",IFERROR(INDEX(Packages!$B:$B,MATCH(C80,Packages!$A:$A,0)),""))</f>
        <v/>
      </c>
      <c r="L80" s="13">
        <f>IF(OR(K80="",F80=""),"",K80*F80)</f>
        <v/>
      </c>
      <c r="M80" s="12" t="n"/>
      <c r="N80" s="12" t="n"/>
      <c r="O80" s="14" t="n"/>
      <c r="P80" s="12" t="n"/>
    </row>
    <row r="81">
      <c r="A81" s="12" t="n"/>
      <c r="B81" s="17" t="n"/>
      <c r="C81" s="24">
        <f>IF(A81="","",IFERROR(INDEX(Clients!$G:$G,MATCH(A81,Clients!$A:$A,0)),""))</f>
        <v/>
      </c>
      <c r="D81" s="13">
        <f>IF(C81="","",IFERROR(INDEX(Packages!$C:$C,MATCH(C81,Packages!$A:$A,0)),""))</f>
        <v/>
      </c>
      <c r="E81" s="13">
        <f>IF(OR(A81="",B81=""),"",COUNTIFS(Uploads!$A:$A,$A81,Uploads!$B:$B,"&gt;="&amp;$B81,Uploads!$B:$B,"&lt;"&amp;EDATE($B81,1)))</f>
        <v/>
      </c>
      <c r="F81" s="25">
        <f>IF(OR(D81="",D81=0,E81=""),"",MIN(1,E81/D81))</f>
        <v/>
      </c>
      <c r="G81" s="13">
        <f>IF(OR(A81="",B81=""),"",SUMIFS(Uploads!$G:$G,Uploads!$A:$A,$A81,Uploads!$B:$B,"&gt;="&amp;$B81,Uploads!$B:$B,"&lt;"&amp;EDATE($B81,1)))</f>
        <v/>
      </c>
      <c r="H81" s="13">
        <f>IF(OR(A81="",B81=""),"",COUNTIFS(Enquiries!$B:$B,$A81,Enquiries!$A:$A,"&gt;="&amp;$B81,Enquiries!$A:$A,"&lt;"&amp;EDATE($B81,1)))</f>
        <v/>
      </c>
      <c r="I81" s="13">
        <f>IF(OR(A81="",B81=""),"",COUNTIFS(Enquiries!$B:$B,$A81,Enquiries!$F:$F,"Booked",Enquiries!$A:$A,"&gt;="&amp;$B81,Enquiries!$A:$A,"&lt;"&amp;EDATE($B81,1))+COUNTIFS(Enquiries!$B:$B,$A81,Enquiries!$F:$F,"Bought",Enquiries!$A:$A,"&gt;="&amp;$B81,Enquiries!$A:$A,"&lt;"&amp;EDATE($B81,1)))</f>
        <v/>
      </c>
      <c r="J81" s="13">
        <f>IF(OR(A81="",B81=""),"",SUMIFS(Enquiries!$G:$G,Enquiries!$B:$B,$A81,Enquiries!$A:$A,"&gt;="&amp;$B81,Enquiries!$A:$A,"&lt;"&amp;EDATE($B81,1)))</f>
        <v/>
      </c>
      <c r="K81" s="13">
        <f>IF(C81="","",IFERROR(INDEX(Packages!$B:$B,MATCH(C81,Packages!$A:$A,0)),""))</f>
        <v/>
      </c>
      <c r="L81" s="13">
        <f>IF(OR(K81="",F81=""),"",K81*F81)</f>
        <v/>
      </c>
      <c r="M81" s="12" t="n"/>
      <c r="N81" s="12" t="n"/>
      <c r="O81" s="14" t="n"/>
      <c r="P81" s="12" t="n"/>
    </row>
    <row r="82">
      <c r="A82" s="12" t="n"/>
      <c r="B82" s="17" t="n"/>
      <c r="C82" s="24">
        <f>IF(A82="","",IFERROR(INDEX(Clients!$G:$G,MATCH(A82,Clients!$A:$A,0)),""))</f>
        <v/>
      </c>
      <c r="D82" s="13">
        <f>IF(C82="","",IFERROR(INDEX(Packages!$C:$C,MATCH(C82,Packages!$A:$A,0)),""))</f>
        <v/>
      </c>
      <c r="E82" s="13">
        <f>IF(OR(A82="",B82=""),"",COUNTIFS(Uploads!$A:$A,$A82,Uploads!$B:$B,"&gt;="&amp;$B82,Uploads!$B:$B,"&lt;"&amp;EDATE($B82,1)))</f>
        <v/>
      </c>
      <c r="F82" s="25">
        <f>IF(OR(D82="",D82=0,E82=""),"",MIN(1,E82/D82))</f>
        <v/>
      </c>
      <c r="G82" s="13">
        <f>IF(OR(A82="",B82=""),"",SUMIFS(Uploads!$G:$G,Uploads!$A:$A,$A82,Uploads!$B:$B,"&gt;="&amp;$B82,Uploads!$B:$B,"&lt;"&amp;EDATE($B82,1)))</f>
        <v/>
      </c>
      <c r="H82" s="13">
        <f>IF(OR(A82="",B82=""),"",COUNTIFS(Enquiries!$B:$B,$A82,Enquiries!$A:$A,"&gt;="&amp;$B82,Enquiries!$A:$A,"&lt;"&amp;EDATE($B82,1)))</f>
        <v/>
      </c>
      <c r="I82" s="13">
        <f>IF(OR(A82="",B82=""),"",COUNTIFS(Enquiries!$B:$B,$A82,Enquiries!$F:$F,"Booked",Enquiries!$A:$A,"&gt;="&amp;$B82,Enquiries!$A:$A,"&lt;"&amp;EDATE($B82,1))+COUNTIFS(Enquiries!$B:$B,$A82,Enquiries!$F:$F,"Bought",Enquiries!$A:$A,"&gt;="&amp;$B82,Enquiries!$A:$A,"&lt;"&amp;EDATE($B82,1)))</f>
        <v/>
      </c>
      <c r="J82" s="13">
        <f>IF(OR(A82="",B82=""),"",SUMIFS(Enquiries!$G:$G,Enquiries!$B:$B,$A82,Enquiries!$A:$A,"&gt;="&amp;$B82,Enquiries!$A:$A,"&lt;"&amp;EDATE($B82,1)))</f>
        <v/>
      </c>
      <c r="K82" s="13">
        <f>IF(C82="","",IFERROR(INDEX(Packages!$B:$B,MATCH(C82,Packages!$A:$A,0)),""))</f>
        <v/>
      </c>
      <c r="L82" s="13">
        <f>IF(OR(K82="",F82=""),"",K82*F82)</f>
        <v/>
      </c>
      <c r="M82" s="12" t="n"/>
      <c r="N82" s="12" t="n"/>
      <c r="O82" s="14" t="n"/>
      <c r="P82" s="12" t="n"/>
    </row>
    <row r="83">
      <c r="A83" s="12" t="n"/>
      <c r="B83" s="17" t="n"/>
      <c r="C83" s="24">
        <f>IF(A83="","",IFERROR(INDEX(Clients!$G:$G,MATCH(A83,Clients!$A:$A,0)),""))</f>
        <v/>
      </c>
      <c r="D83" s="13">
        <f>IF(C83="","",IFERROR(INDEX(Packages!$C:$C,MATCH(C83,Packages!$A:$A,0)),""))</f>
        <v/>
      </c>
      <c r="E83" s="13">
        <f>IF(OR(A83="",B83=""),"",COUNTIFS(Uploads!$A:$A,$A83,Uploads!$B:$B,"&gt;="&amp;$B83,Uploads!$B:$B,"&lt;"&amp;EDATE($B83,1)))</f>
        <v/>
      </c>
      <c r="F83" s="25">
        <f>IF(OR(D83="",D83=0,E83=""),"",MIN(1,E83/D83))</f>
        <v/>
      </c>
      <c r="G83" s="13">
        <f>IF(OR(A83="",B83=""),"",SUMIFS(Uploads!$G:$G,Uploads!$A:$A,$A83,Uploads!$B:$B,"&gt;="&amp;$B83,Uploads!$B:$B,"&lt;"&amp;EDATE($B83,1)))</f>
        <v/>
      </c>
      <c r="H83" s="13">
        <f>IF(OR(A83="",B83=""),"",COUNTIFS(Enquiries!$B:$B,$A83,Enquiries!$A:$A,"&gt;="&amp;$B83,Enquiries!$A:$A,"&lt;"&amp;EDATE($B83,1)))</f>
        <v/>
      </c>
      <c r="I83" s="13">
        <f>IF(OR(A83="",B83=""),"",COUNTIFS(Enquiries!$B:$B,$A83,Enquiries!$F:$F,"Booked",Enquiries!$A:$A,"&gt;="&amp;$B83,Enquiries!$A:$A,"&lt;"&amp;EDATE($B83,1))+COUNTIFS(Enquiries!$B:$B,$A83,Enquiries!$F:$F,"Bought",Enquiries!$A:$A,"&gt;="&amp;$B83,Enquiries!$A:$A,"&lt;"&amp;EDATE($B83,1)))</f>
        <v/>
      </c>
      <c r="J83" s="13">
        <f>IF(OR(A83="",B83=""),"",SUMIFS(Enquiries!$G:$G,Enquiries!$B:$B,$A83,Enquiries!$A:$A,"&gt;="&amp;$B83,Enquiries!$A:$A,"&lt;"&amp;EDATE($B83,1)))</f>
        <v/>
      </c>
      <c r="K83" s="13">
        <f>IF(C83="","",IFERROR(INDEX(Packages!$B:$B,MATCH(C83,Packages!$A:$A,0)),""))</f>
        <v/>
      </c>
      <c r="L83" s="13">
        <f>IF(OR(K83="",F83=""),"",K83*F83)</f>
        <v/>
      </c>
      <c r="M83" s="12" t="n"/>
      <c r="N83" s="12" t="n"/>
      <c r="O83" s="14" t="n"/>
      <c r="P83" s="12" t="n"/>
    </row>
    <row r="84">
      <c r="A84" s="12" t="n"/>
      <c r="B84" s="17" t="n"/>
      <c r="C84" s="24">
        <f>IF(A84="","",IFERROR(INDEX(Clients!$G:$G,MATCH(A84,Clients!$A:$A,0)),""))</f>
        <v/>
      </c>
      <c r="D84" s="13">
        <f>IF(C84="","",IFERROR(INDEX(Packages!$C:$C,MATCH(C84,Packages!$A:$A,0)),""))</f>
        <v/>
      </c>
      <c r="E84" s="13">
        <f>IF(OR(A84="",B84=""),"",COUNTIFS(Uploads!$A:$A,$A84,Uploads!$B:$B,"&gt;="&amp;$B84,Uploads!$B:$B,"&lt;"&amp;EDATE($B84,1)))</f>
        <v/>
      </c>
      <c r="F84" s="25">
        <f>IF(OR(D84="",D84=0,E84=""),"",MIN(1,E84/D84))</f>
        <v/>
      </c>
      <c r="G84" s="13">
        <f>IF(OR(A84="",B84=""),"",SUMIFS(Uploads!$G:$G,Uploads!$A:$A,$A84,Uploads!$B:$B,"&gt;="&amp;$B84,Uploads!$B:$B,"&lt;"&amp;EDATE($B84,1)))</f>
        <v/>
      </c>
      <c r="H84" s="13">
        <f>IF(OR(A84="",B84=""),"",COUNTIFS(Enquiries!$B:$B,$A84,Enquiries!$A:$A,"&gt;="&amp;$B84,Enquiries!$A:$A,"&lt;"&amp;EDATE($B84,1)))</f>
        <v/>
      </c>
      <c r="I84" s="13">
        <f>IF(OR(A84="",B84=""),"",COUNTIFS(Enquiries!$B:$B,$A84,Enquiries!$F:$F,"Booked",Enquiries!$A:$A,"&gt;="&amp;$B84,Enquiries!$A:$A,"&lt;"&amp;EDATE($B84,1))+COUNTIFS(Enquiries!$B:$B,$A84,Enquiries!$F:$F,"Bought",Enquiries!$A:$A,"&gt;="&amp;$B84,Enquiries!$A:$A,"&lt;"&amp;EDATE($B84,1)))</f>
        <v/>
      </c>
      <c r="J84" s="13">
        <f>IF(OR(A84="",B84=""),"",SUMIFS(Enquiries!$G:$G,Enquiries!$B:$B,$A84,Enquiries!$A:$A,"&gt;="&amp;$B84,Enquiries!$A:$A,"&lt;"&amp;EDATE($B84,1)))</f>
        <v/>
      </c>
      <c r="K84" s="13">
        <f>IF(C84="","",IFERROR(INDEX(Packages!$B:$B,MATCH(C84,Packages!$A:$A,0)),""))</f>
        <v/>
      </c>
      <c r="L84" s="13">
        <f>IF(OR(K84="",F84=""),"",K84*F84)</f>
        <v/>
      </c>
      <c r="M84" s="12" t="n"/>
      <c r="N84" s="12" t="n"/>
      <c r="O84" s="14" t="n"/>
      <c r="P84" s="12" t="n"/>
    </row>
    <row r="85">
      <c r="A85" s="12" t="n"/>
      <c r="B85" s="17" t="n"/>
      <c r="C85" s="24">
        <f>IF(A85="","",IFERROR(INDEX(Clients!$G:$G,MATCH(A85,Clients!$A:$A,0)),""))</f>
        <v/>
      </c>
      <c r="D85" s="13">
        <f>IF(C85="","",IFERROR(INDEX(Packages!$C:$C,MATCH(C85,Packages!$A:$A,0)),""))</f>
        <v/>
      </c>
      <c r="E85" s="13">
        <f>IF(OR(A85="",B85=""),"",COUNTIFS(Uploads!$A:$A,$A85,Uploads!$B:$B,"&gt;="&amp;$B85,Uploads!$B:$B,"&lt;"&amp;EDATE($B85,1)))</f>
        <v/>
      </c>
      <c r="F85" s="25">
        <f>IF(OR(D85="",D85=0,E85=""),"",MIN(1,E85/D85))</f>
        <v/>
      </c>
      <c r="G85" s="13">
        <f>IF(OR(A85="",B85=""),"",SUMIFS(Uploads!$G:$G,Uploads!$A:$A,$A85,Uploads!$B:$B,"&gt;="&amp;$B85,Uploads!$B:$B,"&lt;"&amp;EDATE($B85,1)))</f>
        <v/>
      </c>
      <c r="H85" s="13">
        <f>IF(OR(A85="",B85=""),"",COUNTIFS(Enquiries!$B:$B,$A85,Enquiries!$A:$A,"&gt;="&amp;$B85,Enquiries!$A:$A,"&lt;"&amp;EDATE($B85,1)))</f>
        <v/>
      </c>
      <c r="I85" s="13">
        <f>IF(OR(A85="",B85=""),"",COUNTIFS(Enquiries!$B:$B,$A85,Enquiries!$F:$F,"Booked",Enquiries!$A:$A,"&gt;="&amp;$B85,Enquiries!$A:$A,"&lt;"&amp;EDATE($B85,1))+COUNTIFS(Enquiries!$B:$B,$A85,Enquiries!$F:$F,"Bought",Enquiries!$A:$A,"&gt;="&amp;$B85,Enquiries!$A:$A,"&lt;"&amp;EDATE($B85,1)))</f>
        <v/>
      </c>
      <c r="J85" s="13">
        <f>IF(OR(A85="",B85=""),"",SUMIFS(Enquiries!$G:$G,Enquiries!$B:$B,$A85,Enquiries!$A:$A,"&gt;="&amp;$B85,Enquiries!$A:$A,"&lt;"&amp;EDATE($B85,1)))</f>
        <v/>
      </c>
      <c r="K85" s="13">
        <f>IF(C85="","",IFERROR(INDEX(Packages!$B:$B,MATCH(C85,Packages!$A:$A,0)),""))</f>
        <v/>
      </c>
      <c r="L85" s="13">
        <f>IF(OR(K85="",F85=""),"",K85*F85)</f>
        <v/>
      </c>
      <c r="M85" s="12" t="n"/>
      <c r="N85" s="12" t="n"/>
      <c r="O85" s="14" t="n"/>
      <c r="P85" s="12" t="n"/>
    </row>
    <row r="86">
      <c r="A86" s="12" t="n"/>
      <c r="B86" s="17" t="n"/>
      <c r="C86" s="24">
        <f>IF(A86="","",IFERROR(INDEX(Clients!$G:$G,MATCH(A86,Clients!$A:$A,0)),""))</f>
        <v/>
      </c>
      <c r="D86" s="13">
        <f>IF(C86="","",IFERROR(INDEX(Packages!$C:$C,MATCH(C86,Packages!$A:$A,0)),""))</f>
        <v/>
      </c>
      <c r="E86" s="13">
        <f>IF(OR(A86="",B86=""),"",COUNTIFS(Uploads!$A:$A,$A86,Uploads!$B:$B,"&gt;="&amp;$B86,Uploads!$B:$B,"&lt;"&amp;EDATE($B86,1)))</f>
        <v/>
      </c>
      <c r="F86" s="25">
        <f>IF(OR(D86="",D86=0,E86=""),"",MIN(1,E86/D86))</f>
        <v/>
      </c>
      <c r="G86" s="13">
        <f>IF(OR(A86="",B86=""),"",SUMIFS(Uploads!$G:$G,Uploads!$A:$A,$A86,Uploads!$B:$B,"&gt;="&amp;$B86,Uploads!$B:$B,"&lt;"&amp;EDATE($B86,1)))</f>
        <v/>
      </c>
      <c r="H86" s="13">
        <f>IF(OR(A86="",B86=""),"",COUNTIFS(Enquiries!$B:$B,$A86,Enquiries!$A:$A,"&gt;="&amp;$B86,Enquiries!$A:$A,"&lt;"&amp;EDATE($B86,1)))</f>
        <v/>
      </c>
      <c r="I86" s="13">
        <f>IF(OR(A86="",B86=""),"",COUNTIFS(Enquiries!$B:$B,$A86,Enquiries!$F:$F,"Booked",Enquiries!$A:$A,"&gt;="&amp;$B86,Enquiries!$A:$A,"&lt;"&amp;EDATE($B86,1))+COUNTIFS(Enquiries!$B:$B,$A86,Enquiries!$F:$F,"Bought",Enquiries!$A:$A,"&gt;="&amp;$B86,Enquiries!$A:$A,"&lt;"&amp;EDATE($B86,1)))</f>
        <v/>
      </c>
      <c r="J86" s="13">
        <f>IF(OR(A86="",B86=""),"",SUMIFS(Enquiries!$G:$G,Enquiries!$B:$B,$A86,Enquiries!$A:$A,"&gt;="&amp;$B86,Enquiries!$A:$A,"&lt;"&amp;EDATE($B86,1)))</f>
        <v/>
      </c>
      <c r="K86" s="13">
        <f>IF(C86="","",IFERROR(INDEX(Packages!$B:$B,MATCH(C86,Packages!$A:$A,0)),""))</f>
        <v/>
      </c>
      <c r="L86" s="13">
        <f>IF(OR(K86="",F86=""),"",K86*F86)</f>
        <v/>
      </c>
      <c r="M86" s="12" t="n"/>
      <c r="N86" s="12" t="n"/>
      <c r="O86" s="14" t="n"/>
      <c r="P86" s="12" t="n"/>
    </row>
    <row r="87">
      <c r="A87" s="12" t="n"/>
      <c r="B87" s="17" t="n"/>
      <c r="C87" s="24">
        <f>IF(A87="","",IFERROR(INDEX(Clients!$G:$G,MATCH(A87,Clients!$A:$A,0)),""))</f>
        <v/>
      </c>
      <c r="D87" s="13">
        <f>IF(C87="","",IFERROR(INDEX(Packages!$C:$C,MATCH(C87,Packages!$A:$A,0)),""))</f>
        <v/>
      </c>
      <c r="E87" s="13">
        <f>IF(OR(A87="",B87=""),"",COUNTIFS(Uploads!$A:$A,$A87,Uploads!$B:$B,"&gt;="&amp;$B87,Uploads!$B:$B,"&lt;"&amp;EDATE($B87,1)))</f>
        <v/>
      </c>
      <c r="F87" s="25">
        <f>IF(OR(D87="",D87=0,E87=""),"",MIN(1,E87/D87))</f>
        <v/>
      </c>
      <c r="G87" s="13">
        <f>IF(OR(A87="",B87=""),"",SUMIFS(Uploads!$G:$G,Uploads!$A:$A,$A87,Uploads!$B:$B,"&gt;="&amp;$B87,Uploads!$B:$B,"&lt;"&amp;EDATE($B87,1)))</f>
        <v/>
      </c>
      <c r="H87" s="13">
        <f>IF(OR(A87="",B87=""),"",COUNTIFS(Enquiries!$B:$B,$A87,Enquiries!$A:$A,"&gt;="&amp;$B87,Enquiries!$A:$A,"&lt;"&amp;EDATE($B87,1)))</f>
        <v/>
      </c>
      <c r="I87" s="13">
        <f>IF(OR(A87="",B87=""),"",COUNTIFS(Enquiries!$B:$B,$A87,Enquiries!$F:$F,"Booked",Enquiries!$A:$A,"&gt;="&amp;$B87,Enquiries!$A:$A,"&lt;"&amp;EDATE($B87,1))+COUNTIFS(Enquiries!$B:$B,$A87,Enquiries!$F:$F,"Bought",Enquiries!$A:$A,"&gt;="&amp;$B87,Enquiries!$A:$A,"&lt;"&amp;EDATE($B87,1)))</f>
        <v/>
      </c>
      <c r="J87" s="13">
        <f>IF(OR(A87="",B87=""),"",SUMIFS(Enquiries!$G:$G,Enquiries!$B:$B,$A87,Enquiries!$A:$A,"&gt;="&amp;$B87,Enquiries!$A:$A,"&lt;"&amp;EDATE($B87,1)))</f>
        <v/>
      </c>
      <c r="K87" s="13">
        <f>IF(C87="","",IFERROR(INDEX(Packages!$B:$B,MATCH(C87,Packages!$A:$A,0)),""))</f>
        <v/>
      </c>
      <c r="L87" s="13">
        <f>IF(OR(K87="",F87=""),"",K87*F87)</f>
        <v/>
      </c>
      <c r="M87" s="12" t="n"/>
      <c r="N87" s="12" t="n"/>
      <c r="O87" s="14" t="n"/>
      <c r="P87" s="12" t="n"/>
    </row>
    <row r="88">
      <c r="A88" s="12" t="n"/>
      <c r="B88" s="17" t="n"/>
      <c r="C88" s="24">
        <f>IF(A88="","",IFERROR(INDEX(Clients!$G:$G,MATCH(A88,Clients!$A:$A,0)),""))</f>
        <v/>
      </c>
      <c r="D88" s="13">
        <f>IF(C88="","",IFERROR(INDEX(Packages!$C:$C,MATCH(C88,Packages!$A:$A,0)),""))</f>
        <v/>
      </c>
      <c r="E88" s="13">
        <f>IF(OR(A88="",B88=""),"",COUNTIFS(Uploads!$A:$A,$A88,Uploads!$B:$B,"&gt;="&amp;$B88,Uploads!$B:$B,"&lt;"&amp;EDATE($B88,1)))</f>
        <v/>
      </c>
      <c r="F88" s="25">
        <f>IF(OR(D88="",D88=0,E88=""),"",MIN(1,E88/D88))</f>
        <v/>
      </c>
      <c r="G88" s="13">
        <f>IF(OR(A88="",B88=""),"",SUMIFS(Uploads!$G:$G,Uploads!$A:$A,$A88,Uploads!$B:$B,"&gt;="&amp;$B88,Uploads!$B:$B,"&lt;"&amp;EDATE($B88,1)))</f>
        <v/>
      </c>
      <c r="H88" s="13">
        <f>IF(OR(A88="",B88=""),"",COUNTIFS(Enquiries!$B:$B,$A88,Enquiries!$A:$A,"&gt;="&amp;$B88,Enquiries!$A:$A,"&lt;"&amp;EDATE($B88,1)))</f>
        <v/>
      </c>
      <c r="I88" s="13">
        <f>IF(OR(A88="",B88=""),"",COUNTIFS(Enquiries!$B:$B,$A88,Enquiries!$F:$F,"Booked",Enquiries!$A:$A,"&gt;="&amp;$B88,Enquiries!$A:$A,"&lt;"&amp;EDATE($B88,1))+COUNTIFS(Enquiries!$B:$B,$A88,Enquiries!$F:$F,"Bought",Enquiries!$A:$A,"&gt;="&amp;$B88,Enquiries!$A:$A,"&lt;"&amp;EDATE($B88,1)))</f>
        <v/>
      </c>
      <c r="J88" s="13">
        <f>IF(OR(A88="",B88=""),"",SUMIFS(Enquiries!$G:$G,Enquiries!$B:$B,$A88,Enquiries!$A:$A,"&gt;="&amp;$B88,Enquiries!$A:$A,"&lt;"&amp;EDATE($B88,1)))</f>
        <v/>
      </c>
      <c r="K88" s="13">
        <f>IF(C88="","",IFERROR(INDEX(Packages!$B:$B,MATCH(C88,Packages!$A:$A,0)),""))</f>
        <v/>
      </c>
      <c r="L88" s="13">
        <f>IF(OR(K88="",F88=""),"",K88*F88)</f>
        <v/>
      </c>
      <c r="M88" s="12" t="n"/>
      <c r="N88" s="12" t="n"/>
      <c r="O88" s="14" t="n"/>
      <c r="P88" s="12" t="n"/>
    </row>
    <row r="89">
      <c r="A89" s="12" t="n"/>
      <c r="B89" s="17" t="n"/>
      <c r="C89" s="24">
        <f>IF(A89="","",IFERROR(INDEX(Clients!$G:$G,MATCH(A89,Clients!$A:$A,0)),""))</f>
        <v/>
      </c>
      <c r="D89" s="13">
        <f>IF(C89="","",IFERROR(INDEX(Packages!$C:$C,MATCH(C89,Packages!$A:$A,0)),""))</f>
        <v/>
      </c>
      <c r="E89" s="13">
        <f>IF(OR(A89="",B89=""),"",COUNTIFS(Uploads!$A:$A,$A89,Uploads!$B:$B,"&gt;="&amp;$B89,Uploads!$B:$B,"&lt;"&amp;EDATE($B89,1)))</f>
        <v/>
      </c>
      <c r="F89" s="25">
        <f>IF(OR(D89="",D89=0,E89=""),"",MIN(1,E89/D89))</f>
        <v/>
      </c>
      <c r="G89" s="13">
        <f>IF(OR(A89="",B89=""),"",SUMIFS(Uploads!$G:$G,Uploads!$A:$A,$A89,Uploads!$B:$B,"&gt;="&amp;$B89,Uploads!$B:$B,"&lt;"&amp;EDATE($B89,1)))</f>
        <v/>
      </c>
      <c r="H89" s="13">
        <f>IF(OR(A89="",B89=""),"",COUNTIFS(Enquiries!$B:$B,$A89,Enquiries!$A:$A,"&gt;="&amp;$B89,Enquiries!$A:$A,"&lt;"&amp;EDATE($B89,1)))</f>
        <v/>
      </c>
      <c r="I89" s="13">
        <f>IF(OR(A89="",B89=""),"",COUNTIFS(Enquiries!$B:$B,$A89,Enquiries!$F:$F,"Booked",Enquiries!$A:$A,"&gt;="&amp;$B89,Enquiries!$A:$A,"&lt;"&amp;EDATE($B89,1))+COUNTIFS(Enquiries!$B:$B,$A89,Enquiries!$F:$F,"Bought",Enquiries!$A:$A,"&gt;="&amp;$B89,Enquiries!$A:$A,"&lt;"&amp;EDATE($B89,1)))</f>
        <v/>
      </c>
      <c r="J89" s="13">
        <f>IF(OR(A89="",B89=""),"",SUMIFS(Enquiries!$G:$G,Enquiries!$B:$B,$A89,Enquiries!$A:$A,"&gt;="&amp;$B89,Enquiries!$A:$A,"&lt;"&amp;EDATE($B89,1)))</f>
        <v/>
      </c>
      <c r="K89" s="13">
        <f>IF(C89="","",IFERROR(INDEX(Packages!$B:$B,MATCH(C89,Packages!$A:$A,0)),""))</f>
        <v/>
      </c>
      <c r="L89" s="13">
        <f>IF(OR(K89="",F89=""),"",K89*F89)</f>
        <v/>
      </c>
      <c r="M89" s="12" t="n"/>
      <c r="N89" s="12" t="n"/>
      <c r="O89" s="14" t="n"/>
      <c r="P89" s="12" t="n"/>
    </row>
    <row r="90">
      <c r="A90" s="12" t="n"/>
      <c r="B90" s="17" t="n"/>
      <c r="C90" s="24">
        <f>IF(A90="","",IFERROR(INDEX(Clients!$G:$G,MATCH(A90,Clients!$A:$A,0)),""))</f>
        <v/>
      </c>
      <c r="D90" s="13">
        <f>IF(C90="","",IFERROR(INDEX(Packages!$C:$C,MATCH(C90,Packages!$A:$A,0)),""))</f>
        <v/>
      </c>
      <c r="E90" s="13">
        <f>IF(OR(A90="",B90=""),"",COUNTIFS(Uploads!$A:$A,$A90,Uploads!$B:$B,"&gt;="&amp;$B90,Uploads!$B:$B,"&lt;"&amp;EDATE($B90,1)))</f>
        <v/>
      </c>
      <c r="F90" s="25">
        <f>IF(OR(D90="",D90=0,E90=""),"",MIN(1,E90/D90))</f>
        <v/>
      </c>
      <c r="G90" s="13">
        <f>IF(OR(A90="",B90=""),"",SUMIFS(Uploads!$G:$G,Uploads!$A:$A,$A90,Uploads!$B:$B,"&gt;="&amp;$B90,Uploads!$B:$B,"&lt;"&amp;EDATE($B90,1)))</f>
        <v/>
      </c>
      <c r="H90" s="13">
        <f>IF(OR(A90="",B90=""),"",COUNTIFS(Enquiries!$B:$B,$A90,Enquiries!$A:$A,"&gt;="&amp;$B90,Enquiries!$A:$A,"&lt;"&amp;EDATE($B90,1)))</f>
        <v/>
      </c>
      <c r="I90" s="13">
        <f>IF(OR(A90="",B90=""),"",COUNTIFS(Enquiries!$B:$B,$A90,Enquiries!$F:$F,"Booked",Enquiries!$A:$A,"&gt;="&amp;$B90,Enquiries!$A:$A,"&lt;"&amp;EDATE($B90,1))+COUNTIFS(Enquiries!$B:$B,$A90,Enquiries!$F:$F,"Bought",Enquiries!$A:$A,"&gt;="&amp;$B90,Enquiries!$A:$A,"&lt;"&amp;EDATE($B90,1)))</f>
        <v/>
      </c>
      <c r="J90" s="13">
        <f>IF(OR(A90="",B90=""),"",SUMIFS(Enquiries!$G:$G,Enquiries!$B:$B,$A90,Enquiries!$A:$A,"&gt;="&amp;$B90,Enquiries!$A:$A,"&lt;"&amp;EDATE($B90,1)))</f>
        <v/>
      </c>
      <c r="K90" s="13">
        <f>IF(C90="","",IFERROR(INDEX(Packages!$B:$B,MATCH(C90,Packages!$A:$A,0)),""))</f>
        <v/>
      </c>
      <c r="L90" s="13">
        <f>IF(OR(K90="",F90=""),"",K90*F90)</f>
        <v/>
      </c>
      <c r="M90" s="12" t="n"/>
      <c r="N90" s="12" t="n"/>
      <c r="O90" s="14" t="n"/>
      <c r="P90" s="12" t="n"/>
    </row>
    <row r="91">
      <c r="A91" s="12" t="n"/>
      <c r="B91" s="17" t="n"/>
      <c r="C91" s="24">
        <f>IF(A91="","",IFERROR(INDEX(Clients!$G:$G,MATCH(A91,Clients!$A:$A,0)),""))</f>
        <v/>
      </c>
      <c r="D91" s="13">
        <f>IF(C91="","",IFERROR(INDEX(Packages!$C:$C,MATCH(C91,Packages!$A:$A,0)),""))</f>
        <v/>
      </c>
      <c r="E91" s="13">
        <f>IF(OR(A91="",B91=""),"",COUNTIFS(Uploads!$A:$A,$A91,Uploads!$B:$B,"&gt;="&amp;$B91,Uploads!$B:$B,"&lt;"&amp;EDATE($B91,1)))</f>
        <v/>
      </c>
      <c r="F91" s="25">
        <f>IF(OR(D91="",D91=0,E91=""),"",MIN(1,E91/D91))</f>
        <v/>
      </c>
      <c r="G91" s="13">
        <f>IF(OR(A91="",B91=""),"",SUMIFS(Uploads!$G:$G,Uploads!$A:$A,$A91,Uploads!$B:$B,"&gt;="&amp;$B91,Uploads!$B:$B,"&lt;"&amp;EDATE($B91,1)))</f>
        <v/>
      </c>
      <c r="H91" s="13">
        <f>IF(OR(A91="",B91=""),"",COUNTIFS(Enquiries!$B:$B,$A91,Enquiries!$A:$A,"&gt;="&amp;$B91,Enquiries!$A:$A,"&lt;"&amp;EDATE($B91,1)))</f>
        <v/>
      </c>
      <c r="I91" s="13">
        <f>IF(OR(A91="",B91=""),"",COUNTIFS(Enquiries!$B:$B,$A91,Enquiries!$F:$F,"Booked",Enquiries!$A:$A,"&gt;="&amp;$B91,Enquiries!$A:$A,"&lt;"&amp;EDATE($B91,1))+COUNTIFS(Enquiries!$B:$B,$A91,Enquiries!$F:$F,"Bought",Enquiries!$A:$A,"&gt;="&amp;$B91,Enquiries!$A:$A,"&lt;"&amp;EDATE($B91,1)))</f>
        <v/>
      </c>
      <c r="J91" s="13">
        <f>IF(OR(A91="",B91=""),"",SUMIFS(Enquiries!$G:$G,Enquiries!$B:$B,$A91,Enquiries!$A:$A,"&gt;="&amp;$B91,Enquiries!$A:$A,"&lt;"&amp;EDATE($B91,1)))</f>
        <v/>
      </c>
      <c r="K91" s="13">
        <f>IF(C91="","",IFERROR(INDEX(Packages!$B:$B,MATCH(C91,Packages!$A:$A,0)),""))</f>
        <v/>
      </c>
      <c r="L91" s="13">
        <f>IF(OR(K91="",F91=""),"",K91*F91)</f>
        <v/>
      </c>
      <c r="M91" s="12" t="n"/>
      <c r="N91" s="12" t="n"/>
      <c r="O91" s="14" t="n"/>
      <c r="P91" s="12" t="n"/>
    </row>
    <row r="92">
      <c r="A92" s="12" t="n"/>
      <c r="B92" s="17" t="n"/>
      <c r="C92" s="24">
        <f>IF(A92="","",IFERROR(INDEX(Clients!$G:$G,MATCH(A92,Clients!$A:$A,0)),""))</f>
        <v/>
      </c>
      <c r="D92" s="13">
        <f>IF(C92="","",IFERROR(INDEX(Packages!$C:$C,MATCH(C92,Packages!$A:$A,0)),""))</f>
        <v/>
      </c>
      <c r="E92" s="13">
        <f>IF(OR(A92="",B92=""),"",COUNTIFS(Uploads!$A:$A,$A92,Uploads!$B:$B,"&gt;="&amp;$B92,Uploads!$B:$B,"&lt;"&amp;EDATE($B92,1)))</f>
        <v/>
      </c>
      <c r="F92" s="25">
        <f>IF(OR(D92="",D92=0,E92=""),"",MIN(1,E92/D92))</f>
        <v/>
      </c>
      <c r="G92" s="13">
        <f>IF(OR(A92="",B92=""),"",SUMIFS(Uploads!$G:$G,Uploads!$A:$A,$A92,Uploads!$B:$B,"&gt;="&amp;$B92,Uploads!$B:$B,"&lt;"&amp;EDATE($B92,1)))</f>
        <v/>
      </c>
      <c r="H92" s="13">
        <f>IF(OR(A92="",B92=""),"",COUNTIFS(Enquiries!$B:$B,$A92,Enquiries!$A:$A,"&gt;="&amp;$B92,Enquiries!$A:$A,"&lt;"&amp;EDATE($B92,1)))</f>
        <v/>
      </c>
      <c r="I92" s="13">
        <f>IF(OR(A92="",B92=""),"",COUNTIFS(Enquiries!$B:$B,$A92,Enquiries!$F:$F,"Booked",Enquiries!$A:$A,"&gt;="&amp;$B92,Enquiries!$A:$A,"&lt;"&amp;EDATE($B92,1))+COUNTIFS(Enquiries!$B:$B,$A92,Enquiries!$F:$F,"Bought",Enquiries!$A:$A,"&gt;="&amp;$B92,Enquiries!$A:$A,"&lt;"&amp;EDATE($B92,1)))</f>
        <v/>
      </c>
      <c r="J92" s="13">
        <f>IF(OR(A92="",B92=""),"",SUMIFS(Enquiries!$G:$G,Enquiries!$B:$B,$A92,Enquiries!$A:$A,"&gt;="&amp;$B92,Enquiries!$A:$A,"&lt;"&amp;EDATE($B92,1)))</f>
        <v/>
      </c>
      <c r="K92" s="13">
        <f>IF(C92="","",IFERROR(INDEX(Packages!$B:$B,MATCH(C92,Packages!$A:$A,0)),""))</f>
        <v/>
      </c>
      <c r="L92" s="13">
        <f>IF(OR(K92="",F92=""),"",K92*F92)</f>
        <v/>
      </c>
      <c r="M92" s="12" t="n"/>
      <c r="N92" s="12" t="n"/>
      <c r="O92" s="14" t="n"/>
      <c r="P92" s="12" t="n"/>
    </row>
    <row r="93">
      <c r="A93" s="12" t="n"/>
      <c r="B93" s="17" t="n"/>
      <c r="C93" s="24">
        <f>IF(A93="","",IFERROR(INDEX(Clients!$G:$G,MATCH(A93,Clients!$A:$A,0)),""))</f>
        <v/>
      </c>
      <c r="D93" s="13">
        <f>IF(C93="","",IFERROR(INDEX(Packages!$C:$C,MATCH(C93,Packages!$A:$A,0)),""))</f>
        <v/>
      </c>
      <c r="E93" s="13">
        <f>IF(OR(A93="",B93=""),"",COUNTIFS(Uploads!$A:$A,$A93,Uploads!$B:$B,"&gt;="&amp;$B93,Uploads!$B:$B,"&lt;"&amp;EDATE($B93,1)))</f>
        <v/>
      </c>
      <c r="F93" s="25">
        <f>IF(OR(D93="",D93=0,E93=""),"",MIN(1,E93/D93))</f>
        <v/>
      </c>
      <c r="G93" s="13">
        <f>IF(OR(A93="",B93=""),"",SUMIFS(Uploads!$G:$G,Uploads!$A:$A,$A93,Uploads!$B:$B,"&gt;="&amp;$B93,Uploads!$B:$B,"&lt;"&amp;EDATE($B93,1)))</f>
        <v/>
      </c>
      <c r="H93" s="13">
        <f>IF(OR(A93="",B93=""),"",COUNTIFS(Enquiries!$B:$B,$A93,Enquiries!$A:$A,"&gt;="&amp;$B93,Enquiries!$A:$A,"&lt;"&amp;EDATE($B93,1)))</f>
        <v/>
      </c>
      <c r="I93" s="13">
        <f>IF(OR(A93="",B93=""),"",COUNTIFS(Enquiries!$B:$B,$A93,Enquiries!$F:$F,"Booked",Enquiries!$A:$A,"&gt;="&amp;$B93,Enquiries!$A:$A,"&lt;"&amp;EDATE($B93,1))+COUNTIFS(Enquiries!$B:$B,$A93,Enquiries!$F:$F,"Bought",Enquiries!$A:$A,"&gt;="&amp;$B93,Enquiries!$A:$A,"&lt;"&amp;EDATE($B93,1)))</f>
        <v/>
      </c>
      <c r="J93" s="13">
        <f>IF(OR(A93="",B93=""),"",SUMIFS(Enquiries!$G:$G,Enquiries!$B:$B,$A93,Enquiries!$A:$A,"&gt;="&amp;$B93,Enquiries!$A:$A,"&lt;"&amp;EDATE($B93,1)))</f>
        <v/>
      </c>
      <c r="K93" s="13">
        <f>IF(C93="","",IFERROR(INDEX(Packages!$B:$B,MATCH(C93,Packages!$A:$A,0)),""))</f>
        <v/>
      </c>
      <c r="L93" s="13">
        <f>IF(OR(K93="",F93=""),"",K93*F93)</f>
        <v/>
      </c>
      <c r="M93" s="12" t="n"/>
      <c r="N93" s="12" t="n"/>
      <c r="O93" s="14" t="n"/>
      <c r="P93" s="12" t="n"/>
    </row>
    <row r="94">
      <c r="A94" s="12" t="n"/>
      <c r="B94" s="17" t="n"/>
      <c r="C94" s="24">
        <f>IF(A94="","",IFERROR(INDEX(Clients!$G:$G,MATCH(A94,Clients!$A:$A,0)),""))</f>
        <v/>
      </c>
      <c r="D94" s="13">
        <f>IF(C94="","",IFERROR(INDEX(Packages!$C:$C,MATCH(C94,Packages!$A:$A,0)),""))</f>
        <v/>
      </c>
      <c r="E94" s="13">
        <f>IF(OR(A94="",B94=""),"",COUNTIFS(Uploads!$A:$A,$A94,Uploads!$B:$B,"&gt;="&amp;$B94,Uploads!$B:$B,"&lt;"&amp;EDATE($B94,1)))</f>
        <v/>
      </c>
      <c r="F94" s="25">
        <f>IF(OR(D94="",D94=0,E94=""),"",MIN(1,E94/D94))</f>
        <v/>
      </c>
      <c r="G94" s="13">
        <f>IF(OR(A94="",B94=""),"",SUMIFS(Uploads!$G:$G,Uploads!$A:$A,$A94,Uploads!$B:$B,"&gt;="&amp;$B94,Uploads!$B:$B,"&lt;"&amp;EDATE($B94,1)))</f>
        <v/>
      </c>
      <c r="H94" s="13">
        <f>IF(OR(A94="",B94=""),"",COUNTIFS(Enquiries!$B:$B,$A94,Enquiries!$A:$A,"&gt;="&amp;$B94,Enquiries!$A:$A,"&lt;"&amp;EDATE($B94,1)))</f>
        <v/>
      </c>
      <c r="I94" s="13">
        <f>IF(OR(A94="",B94=""),"",COUNTIFS(Enquiries!$B:$B,$A94,Enquiries!$F:$F,"Booked",Enquiries!$A:$A,"&gt;="&amp;$B94,Enquiries!$A:$A,"&lt;"&amp;EDATE($B94,1))+COUNTIFS(Enquiries!$B:$B,$A94,Enquiries!$F:$F,"Bought",Enquiries!$A:$A,"&gt;="&amp;$B94,Enquiries!$A:$A,"&lt;"&amp;EDATE($B94,1)))</f>
        <v/>
      </c>
      <c r="J94" s="13">
        <f>IF(OR(A94="",B94=""),"",SUMIFS(Enquiries!$G:$G,Enquiries!$B:$B,$A94,Enquiries!$A:$A,"&gt;="&amp;$B94,Enquiries!$A:$A,"&lt;"&amp;EDATE($B94,1)))</f>
        <v/>
      </c>
      <c r="K94" s="13">
        <f>IF(C94="","",IFERROR(INDEX(Packages!$B:$B,MATCH(C94,Packages!$A:$A,0)),""))</f>
        <v/>
      </c>
      <c r="L94" s="13">
        <f>IF(OR(K94="",F94=""),"",K94*F94)</f>
        <v/>
      </c>
      <c r="M94" s="12" t="n"/>
      <c r="N94" s="12" t="n"/>
      <c r="O94" s="14" t="n"/>
      <c r="P94" s="12" t="n"/>
    </row>
    <row r="95">
      <c r="A95" s="12" t="n"/>
      <c r="B95" s="17" t="n"/>
      <c r="C95" s="24">
        <f>IF(A95="","",IFERROR(INDEX(Clients!$G:$G,MATCH(A95,Clients!$A:$A,0)),""))</f>
        <v/>
      </c>
      <c r="D95" s="13">
        <f>IF(C95="","",IFERROR(INDEX(Packages!$C:$C,MATCH(C95,Packages!$A:$A,0)),""))</f>
        <v/>
      </c>
      <c r="E95" s="13">
        <f>IF(OR(A95="",B95=""),"",COUNTIFS(Uploads!$A:$A,$A95,Uploads!$B:$B,"&gt;="&amp;$B95,Uploads!$B:$B,"&lt;"&amp;EDATE($B95,1)))</f>
        <v/>
      </c>
      <c r="F95" s="25">
        <f>IF(OR(D95="",D95=0,E95=""),"",MIN(1,E95/D95))</f>
        <v/>
      </c>
      <c r="G95" s="13">
        <f>IF(OR(A95="",B95=""),"",SUMIFS(Uploads!$G:$G,Uploads!$A:$A,$A95,Uploads!$B:$B,"&gt;="&amp;$B95,Uploads!$B:$B,"&lt;"&amp;EDATE($B95,1)))</f>
        <v/>
      </c>
      <c r="H95" s="13">
        <f>IF(OR(A95="",B95=""),"",COUNTIFS(Enquiries!$B:$B,$A95,Enquiries!$A:$A,"&gt;="&amp;$B95,Enquiries!$A:$A,"&lt;"&amp;EDATE($B95,1)))</f>
        <v/>
      </c>
      <c r="I95" s="13">
        <f>IF(OR(A95="",B95=""),"",COUNTIFS(Enquiries!$B:$B,$A95,Enquiries!$F:$F,"Booked",Enquiries!$A:$A,"&gt;="&amp;$B95,Enquiries!$A:$A,"&lt;"&amp;EDATE($B95,1))+COUNTIFS(Enquiries!$B:$B,$A95,Enquiries!$F:$F,"Bought",Enquiries!$A:$A,"&gt;="&amp;$B95,Enquiries!$A:$A,"&lt;"&amp;EDATE($B95,1)))</f>
        <v/>
      </c>
      <c r="J95" s="13">
        <f>IF(OR(A95="",B95=""),"",SUMIFS(Enquiries!$G:$G,Enquiries!$B:$B,$A95,Enquiries!$A:$A,"&gt;="&amp;$B95,Enquiries!$A:$A,"&lt;"&amp;EDATE($B95,1)))</f>
        <v/>
      </c>
      <c r="K95" s="13">
        <f>IF(C95="","",IFERROR(INDEX(Packages!$B:$B,MATCH(C95,Packages!$A:$A,0)),""))</f>
        <v/>
      </c>
      <c r="L95" s="13">
        <f>IF(OR(K95="",F95=""),"",K95*F95)</f>
        <v/>
      </c>
      <c r="M95" s="12" t="n"/>
      <c r="N95" s="12" t="n"/>
      <c r="O95" s="14" t="n"/>
      <c r="P95" s="12" t="n"/>
    </row>
    <row r="96">
      <c r="A96" s="12" t="n"/>
      <c r="B96" s="17" t="n"/>
      <c r="C96" s="24">
        <f>IF(A96="","",IFERROR(INDEX(Clients!$G:$G,MATCH(A96,Clients!$A:$A,0)),""))</f>
        <v/>
      </c>
      <c r="D96" s="13">
        <f>IF(C96="","",IFERROR(INDEX(Packages!$C:$C,MATCH(C96,Packages!$A:$A,0)),""))</f>
        <v/>
      </c>
      <c r="E96" s="13">
        <f>IF(OR(A96="",B96=""),"",COUNTIFS(Uploads!$A:$A,$A96,Uploads!$B:$B,"&gt;="&amp;$B96,Uploads!$B:$B,"&lt;"&amp;EDATE($B96,1)))</f>
        <v/>
      </c>
      <c r="F96" s="25">
        <f>IF(OR(D96="",D96=0,E96=""),"",MIN(1,E96/D96))</f>
        <v/>
      </c>
      <c r="G96" s="13">
        <f>IF(OR(A96="",B96=""),"",SUMIFS(Uploads!$G:$G,Uploads!$A:$A,$A96,Uploads!$B:$B,"&gt;="&amp;$B96,Uploads!$B:$B,"&lt;"&amp;EDATE($B96,1)))</f>
        <v/>
      </c>
      <c r="H96" s="13">
        <f>IF(OR(A96="",B96=""),"",COUNTIFS(Enquiries!$B:$B,$A96,Enquiries!$A:$A,"&gt;="&amp;$B96,Enquiries!$A:$A,"&lt;"&amp;EDATE($B96,1)))</f>
        <v/>
      </c>
      <c r="I96" s="13">
        <f>IF(OR(A96="",B96=""),"",COUNTIFS(Enquiries!$B:$B,$A96,Enquiries!$F:$F,"Booked",Enquiries!$A:$A,"&gt;="&amp;$B96,Enquiries!$A:$A,"&lt;"&amp;EDATE($B96,1))+COUNTIFS(Enquiries!$B:$B,$A96,Enquiries!$F:$F,"Bought",Enquiries!$A:$A,"&gt;="&amp;$B96,Enquiries!$A:$A,"&lt;"&amp;EDATE($B96,1)))</f>
        <v/>
      </c>
      <c r="J96" s="13">
        <f>IF(OR(A96="",B96=""),"",SUMIFS(Enquiries!$G:$G,Enquiries!$B:$B,$A96,Enquiries!$A:$A,"&gt;="&amp;$B96,Enquiries!$A:$A,"&lt;"&amp;EDATE($B96,1)))</f>
        <v/>
      </c>
      <c r="K96" s="13">
        <f>IF(C96="","",IFERROR(INDEX(Packages!$B:$B,MATCH(C96,Packages!$A:$A,0)),""))</f>
        <v/>
      </c>
      <c r="L96" s="13">
        <f>IF(OR(K96="",F96=""),"",K96*F96)</f>
        <v/>
      </c>
      <c r="M96" s="12" t="n"/>
      <c r="N96" s="12" t="n"/>
      <c r="O96" s="14" t="n"/>
      <c r="P96" s="12" t="n"/>
    </row>
    <row r="97">
      <c r="A97" s="12" t="n"/>
      <c r="B97" s="17" t="n"/>
      <c r="C97" s="24">
        <f>IF(A97="","",IFERROR(INDEX(Clients!$G:$G,MATCH(A97,Clients!$A:$A,0)),""))</f>
        <v/>
      </c>
      <c r="D97" s="13">
        <f>IF(C97="","",IFERROR(INDEX(Packages!$C:$C,MATCH(C97,Packages!$A:$A,0)),""))</f>
        <v/>
      </c>
      <c r="E97" s="13">
        <f>IF(OR(A97="",B97=""),"",COUNTIFS(Uploads!$A:$A,$A97,Uploads!$B:$B,"&gt;="&amp;$B97,Uploads!$B:$B,"&lt;"&amp;EDATE($B97,1)))</f>
        <v/>
      </c>
      <c r="F97" s="25">
        <f>IF(OR(D97="",D97=0,E97=""),"",MIN(1,E97/D97))</f>
        <v/>
      </c>
      <c r="G97" s="13">
        <f>IF(OR(A97="",B97=""),"",SUMIFS(Uploads!$G:$G,Uploads!$A:$A,$A97,Uploads!$B:$B,"&gt;="&amp;$B97,Uploads!$B:$B,"&lt;"&amp;EDATE($B97,1)))</f>
        <v/>
      </c>
      <c r="H97" s="13">
        <f>IF(OR(A97="",B97=""),"",COUNTIFS(Enquiries!$B:$B,$A97,Enquiries!$A:$A,"&gt;="&amp;$B97,Enquiries!$A:$A,"&lt;"&amp;EDATE($B97,1)))</f>
        <v/>
      </c>
      <c r="I97" s="13">
        <f>IF(OR(A97="",B97=""),"",COUNTIFS(Enquiries!$B:$B,$A97,Enquiries!$F:$F,"Booked",Enquiries!$A:$A,"&gt;="&amp;$B97,Enquiries!$A:$A,"&lt;"&amp;EDATE($B97,1))+COUNTIFS(Enquiries!$B:$B,$A97,Enquiries!$F:$F,"Bought",Enquiries!$A:$A,"&gt;="&amp;$B97,Enquiries!$A:$A,"&lt;"&amp;EDATE($B97,1)))</f>
        <v/>
      </c>
      <c r="J97" s="13">
        <f>IF(OR(A97="",B97=""),"",SUMIFS(Enquiries!$G:$G,Enquiries!$B:$B,$A97,Enquiries!$A:$A,"&gt;="&amp;$B97,Enquiries!$A:$A,"&lt;"&amp;EDATE($B97,1)))</f>
        <v/>
      </c>
      <c r="K97" s="13">
        <f>IF(C97="","",IFERROR(INDEX(Packages!$B:$B,MATCH(C97,Packages!$A:$A,0)),""))</f>
        <v/>
      </c>
      <c r="L97" s="13">
        <f>IF(OR(K97="",F97=""),"",K97*F97)</f>
        <v/>
      </c>
      <c r="M97" s="12" t="n"/>
      <c r="N97" s="12" t="n"/>
      <c r="O97" s="14" t="n"/>
      <c r="P97" s="12" t="n"/>
    </row>
    <row r="98">
      <c r="A98" s="12" t="n"/>
      <c r="B98" s="17" t="n"/>
      <c r="C98" s="24">
        <f>IF(A98="","",IFERROR(INDEX(Clients!$G:$G,MATCH(A98,Clients!$A:$A,0)),""))</f>
        <v/>
      </c>
      <c r="D98" s="13">
        <f>IF(C98="","",IFERROR(INDEX(Packages!$C:$C,MATCH(C98,Packages!$A:$A,0)),""))</f>
        <v/>
      </c>
      <c r="E98" s="13">
        <f>IF(OR(A98="",B98=""),"",COUNTIFS(Uploads!$A:$A,$A98,Uploads!$B:$B,"&gt;="&amp;$B98,Uploads!$B:$B,"&lt;"&amp;EDATE($B98,1)))</f>
        <v/>
      </c>
      <c r="F98" s="25">
        <f>IF(OR(D98="",D98=0,E98=""),"",MIN(1,E98/D98))</f>
        <v/>
      </c>
      <c r="G98" s="13">
        <f>IF(OR(A98="",B98=""),"",SUMIFS(Uploads!$G:$G,Uploads!$A:$A,$A98,Uploads!$B:$B,"&gt;="&amp;$B98,Uploads!$B:$B,"&lt;"&amp;EDATE($B98,1)))</f>
        <v/>
      </c>
      <c r="H98" s="13">
        <f>IF(OR(A98="",B98=""),"",COUNTIFS(Enquiries!$B:$B,$A98,Enquiries!$A:$A,"&gt;="&amp;$B98,Enquiries!$A:$A,"&lt;"&amp;EDATE($B98,1)))</f>
        <v/>
      </c>
      <c r="I98" s="13">
        <f>IF(OR(A98="",B98=""),"",COUNTIFS(Enquiries!$B:$B,$A98,Enquiries!$F:$F,"Booked",Enquiries!$A:$A,"&gt;="&amp;$B98,Enquiries!$A:$A,"&lt;"&amp;EDATE($B98,1))+COUNTIFS(Enquiries!$B:$B,$A98,Enquiries!$F:$F,"Bought",Enquiries!$A:$A,"&gt;="&amp;$B98,Enquiries!$A:$A,"&lt;"&amp;EDATE($B98,1)))</f>
        <v/>
      </c>
      <c r="J98" s="13">
        <f>IF(OR(A98="",B98=""),"",SUMIFS(Enquiries!$G:$G,Enquiries!$B:$B,$A98,Enquiries!$A:$A,"&gt;="&amp;$B98,Enquiries!$A:$A,"&lt;"&amp;EDATE($B98,1)))</f>
        <v/>
      </c>
      <c r="K98" s="13">
        <f>IF(C98="","",IFERROR(INDEX(Packages!$B:$B,MATCH(C98,Packages!$A:$A,0)),""))</f>
        <v/>
      </c>
      <c r="L98" s="13">
        <f>IF(OR(K98="",F98=""),"",K98*F98)</f>
        <v/>
      </c>
      <c r="M98" s="12" t="n"/>
      <c r="N98" s="12" t="n"/>
      <c r="O98" s="14" t="n"/>
      <c r="P98" s="12" t="n"/>
    </row>
    <row r="99">
      <c r="A99" s="12" t="n"/>
      <c r="B99" s="17" t="n"/>
      <c r="C99" s="24">
        <f>IF(A99="","",IFERROR(INDEX(Clients!$G:$G,MATCH(A99,Clients!$A:$A,0)),""))</f>
        <v/>
      </c>
      <c r="D99" s="13">
        <f>IF(C99="","",IFERROR(INDEX(Packages!$C:$C,MATCH(C99,Packages!$A:$A,0)),""))</f>
        <v/>
      </c>
      <c r="E99" s="13">
        <f>IF(OR(A99="",B99=""),"",COUNTIFS(Uploads!$A:$A,$A99,Uploads!$B:$B,"&gt;="&amp;$B99,Uploads!$B:$B,"&lt;"&amp;EDATE($B99,1)))</f>
        <v/>
      </c>
      <c r="F99" s="25">
        <f>IF(OR(D99="",D99=0,E99=""),"",MIN(1,E99/D99))</f>
        <v/>
      </c>
      <c r="G99" s="13">
        <f>IF(OR(A99="",B99=""),"",SUMIFS(Uploads!$G:$G,Uploads!$A:$A,$A99,Uploads!$B:$B,"&gt;="&amp;$B99,Uploads!$B:$B,"&lt;"&amp;EDATE($B99,1)))</f>
        <v/>
      </c>
      <c r="H99" s="13">
        <f>IF(OR(A99="",B99=""),"",COUNTIFS(Enquiries!$B:$B,$A99,Enquiries!$A:$A,"&gt;="&amp;$B99,Enquiries!$A:$A,"&lt;"&amp;EDATE($B99,1)))</f>
        <v/>
      </c>
      <c r="I99" s="13">
        <f>IF(OR(A99="",B99=""),"",COUNTIFS(Enquiries!$B:$B,$A99,Enquiries!$F:$F,"Booked",Enquiries!$A:$A,"&gt;="&amp;$B99,Enquiries!$A:$A,"&lt;"&amp;EDATE($B99,1))+COUNTIFS(Enquiries!$B:$B,$A99,Enquiries!$F:$F,"Bought",Enquiries!$A:$A,"&gt;="&amp;$B99,Enquiries!$A:$A,"&lt;"&amp;EDATE($B99,1)))</f>
        <v/>
      </c>
      <c r="J99" s="13">
        <f>IF(OR(A99="",B99=""),"",SUMIFS(Enquiries!$G:$G,Enquiries!$B:$B,$A99,Enquiries!$A:$A,"&gt;="&amp;$B99,Enquiries!$A:$A,"&lt;"&amp;EDATE($B99,1)))</f>
        <v/>
      </c>
      <c r="K99" s="13">
        <f>IF(C99="","",IFERROR(INDEX(Packages!$B:$B,MATCH(C99,Packages!$A:$A,0)),""))</f>
        <v/>
      </c>
      <c r="L99" s="13">
        <f>IF(OR(K99="",F99=""),"",K99*F99)</f>
        <v/>
      </c>
      <c r="M99" s="12" t="n"/>
      <c r="N99" s="12" t="n"/>
      <c r="O99" s="14" t="n"/>
      <c r="P99" s="12" t="n"/>
    </row>
    <row r="100">
      <c r="A100" s="12" t="n"/>
      <c r="B100" s="17" t="n"/>
      <c r="C100" s="24">
        <f>IF(A100="","",IFERROR(INDEX(Clients!$G:$G,MATCH(A100,Clients!$A:$A,0)),""))</f>
        <v/>
      </c>
      <c r="D100" s="13">
        <f>IF(C100="","",IFERROR(INDEX(Packages!$C:$C,MATCH(C100,Packages!$A:$A,0)),""))</f>
        <v/>
      </c>
      <c r="E100" s="13">
        <f>IF(OR(A100="",B100=""),"",COUNTIFS(Uploads!$A:$A,$A100,Uploads!$B:$B,"&gt;="&amp;$B100,Uploads!$B:$B,"&lt;"&amp;EDATE($B100,1)))</f>
        <v/>
      </c>
      <c r="F100" s="25">
        <f>IF(OR(D100="",D100=0,E100=""),"",MIN(1,E100/D100))</f>
        <v/>
      </c>
      <c r="G100" s="13">
        <f>IF(OR(A100="",B100=""),"",SUMIFS(Uploads!$G:$G,Uploads!$A:$A,$A100,Uploads!$B:$B,"&gt;="&amp;$B100,Uploads!$B:$B,"&lt;"&amp;EDATE($B100,1)))</f>
        <v/>
      </c>
      <c r="H100" s="13">
        <f>IF(OR(A100="",B100=""),"",COUNTIFS(Enquiries!$B:$B,$A100,Enquiries!$A:$A,"&gt;="&amp;$B100,Enquiries!$A:$A,"&lt;"&amp;EDATE($B100,1)))</f>
        <v/>
      </c>
      <c r="I100" s="13">
        <f>IF(OR(A100="",B100=""),"",COUNTIFS(Enquiries!$B:$B,$A100,Enquiries!$F:$F,"Booked",Enquiries!$A:$A,"&gt;="&amp;$B100,Enquiries!$A:$A,"&lt;"&amp;EDATE($B100,1))+COUNTIFS(Enquiries!$B:$B,$A100,Enquiries!$F:$F,"Bought",Enquiries!$A:$A,"&gt;="&amp;$B100,Enquiries!$A:$A,"&lt;"&amp;EDATE($B100,1)))</f>
        <v/>
      </c>
      <c r="J100" s="13">
        <f>IF(OR(A100="",B100=""),"",SUMIFS(Enquiries!$G:$G,Enquiries!$B:$B,$A100,Enquiries!$A:$A,"&gt;="&amp;$B100,Enquiries!$A:$A,"&lt;"&amp;EDATE($B100,1)))</f>
        <v/>
      </c>
      <c r="K100" s="13">
        <f>IF(C100="","",IFERROR(INDEX(Packages!$B:$B,MATCH(C100,Packages!$A:$A,0)),""))</f>
        <v/>
      </c>
      <c r="L100" s="13">
        <f>IF(OR(K100="",F100=""),"",K100*F100)</f>
        <v/>
      </c>
      <c r="M100" s="12" t="n"/>
      <c r="N100" s="12" t="n"/>
      <c r="O100" s="14" t="n"/>
      <c r="P100" s="12" t="n"/>
    </row>
    <row r="101">
      <c r="A101" s="12" t="n"/>
      <c r="B101" s="17" t="n"/>
      <c r="C101" s="24">
        <f>IF(A101="","",IFERROR(INDEX(Clients!$G:$G,MATCH(A101,Clients!$A:$A,0)),""))</f>
        <v/>
      </c>
      <c r="D101" s="13">
        <f>IF(C101="","",IFERROR(INDEX(Packages!$C:$C,MATCH(C101,Packages!$A:$A,0)),""))</f>
        <v/>
      </c>
      <c r="E101" s="13">
        <f>IF(OR(A101="",B101=""),"",COUNTIFS(Uploads!$A:$A,$A101,Uploads!$B:$B,"&gt;="&amp;$B101,Uploads!$B:$B,"&lt;"&amp;EDATE($B101,1)))</f>
        <v/>
      </c>
      <c r="F101" s="25">
        <f>IF(OR(D101="",D101=0,E101=""),"",MIN(1,E101/D101))</f>
        <v/>
      </c>
      <c r="G101" s="13">
        <f>IF(OR(A101="",B101=""),"",SUMIFS(Uploads!$G:$G,Uploads!$A:$A,$A101,Uploads!$B:$B,"&gt;="&amp;$B101,Uploads!$B:$B,"&lt;"&amp;EDATE($B101,1)))</f>
        <v/>
      </c>
      <c r="H101" s="13">
        <f>IF(OR(A101="",B101=""),"",COUNTIFS(Enquiries!$B:$B,$A101,Enquiries!$A:$A,"&gt;="&amp;$B101,Enquiries!$A:$A,"&lt;"&amp;EDATE($B101,1)))</f>
        <v/>
      </c>
      <c r="I101" s="13">
        <f>IF(OR(A101="",B101=""),"",COUNTIFS(Enquiries!$B:$B,$A101,Enquiries!$F:$F,"Booked",Enquiries!$A:$A,"&gt;="&amp;$B101,Enquiries!$A:$A,"&lt;"&amp;EDATE($B101,1))+COUNTIFS(Enquiries!$B:$B,$A101,Enquiries!$F:$F,"Bought",Enquiries!$A:$A,"&gt;="&amp;$B101,Enquiries!$A:$A,"&lt;"&amp;EDATE($B101,1)))</f>
        <v/>
      </c>
      <c r="J101" s="13">
        <f>IF(OR(A101="",B101=""),"",SUMIFS(Enquiries!$G:$G,Enquiries!$B:$B,$A101,Enquiries!$A:$A,"&gt;="&amp;$B101,Enquiries!$A:$A,"&lt;"&amp;EDATE($B101,1)))</f>
        <v/>
      </c>
      <c r="K101" s="13">
        <f>IF(C101="","",IFERROR(INDEX(Packages!$B:$B,MATCH(C101,Packages!$A:$A,0)),""))</f>
        <v/>
      </c>
      <c r="L101" s="13">
        <f>IF(OR(K101="",F101=""),"",K101*F101)</f>
        <v/>
      </c>
      <c r="M101" s="12" t="n"/>
      <c r="N101" s="12" t="n"/>
      <c r="O101" s="14" t="n"/>
      <c r="P101" s="12" t="n"/>
    </row>
    <row r="102">
      <c r="A102" s="12" t="n"/>
      <c r="B102" s="17" t="n"/>
      <c r="C102" s="24">
        <f>IF(A102="","",IFERROR(INDEX(Clients!$G:$G,MATCH(A102,Clients!$A:$A,0)),""))</f>
        <v/>
      </c>
      <c r="D102" s="13">
        <f>IF(C102="","",IFERROR(INDEX(Packages!$C:$C,MATCH(C102,Packages!$A:$A,0)),""))</f>
        <v/>
      </c>
      <c r="E102" s="13">
        <f>IF(OR(A102="",B102=""),"",COUNTIFS(Uploads!$A:$A,$A102,Uploads!$B:$B,"&gt;="&amp;$B102,Uploads!$B:$B,"&lt;"&amp;EDATE($B102,1)))</f>
        <v/>
      </c>
      <c r="F102" s="25">
        <f>IF(OR(D102="",D102=0,E102=""),"",MIN(1,E102/D102))</f>
        <v/>
      </c>
      <c r="G102" s="13">
        <f>IF(OR(A102="",B102=""),"",SUMIFS(Uploads!$G:$G,Uploads!$A:$A,$A102,Uploads!$B:$B,"&gt;="&amp;$B102,Uploads!$B:$B,"&lt;"&amp;EDATE($B102,1)))</f>
        <v/>
      </c>
      <c r="H102" s="13">
        <f>IF(OR(A102="",B102=""),"",COUNTIFS(Enquiries!$B:$B,$A102,Enquiries!$A:$A,"&gt;="&amp;$B102,Enquiries!$A:$A,"&lt;"&amp;EDATE($B102,1)))</f>
        <v/>
      </c>
      <c r="I102" s="13">
        <f>IF(OR(A102="",B102=""),"",COUNTIFS(Enquiries!$B:$B,$A102,Enquiries!$F:$F,"Booked",Enquiries!$A:$A,"&gt;="&amp;$B102,Enquiries!$A:$A,"&lt;"&amp;EDATE($B102,1))+COUNTIFS(Enquiries!$B:$B,$A102,Enquiries!$F:$F,"Bought",Enquiries!$A:$A,"&gt;="&amp;$B102,Enquiries!$A:$A,"&lt;"&amp;EDATE($B102,1)))</f>
        <v/>
      </c>
      <c r="J102" s="13">
        <f>IF(OR(A102="",B102=""),"",SUMIFS(Enquiries!$G:$G,Enquiries!$B:$B,$A102,Enquiries!$A:$A,"&gt;="&amp;$B102,Enquiries!$A:$A,"&lt;"&amp;EDATE($B102,1)))</f>
        <v/>
      </c>
      <c r="K102" s="13">
        <f>IF(C102="","",IFERROR(INDEX(Packages!$B:$B,MATCH(C102,Packages!$A:$A,0)),""))</f>
        <v/>
      </c>
      <c r="L102" s="13">
        <f>IF(OR(K102="",F102=""),"",K102*F102)</f>
        <v/>
      </c>
      <c r="M102" s="12" t="n"/>
      <c r="N102" s="12" t="n"/>
      <c r="O102" s="14" t="n"/>
      <c r="P102" s="12" t="n"/>
    </row>
    <row r="103">
      <c r="A103" s="12" t="n"/>
      <c r="B103" s="17" t="n"/>
      <c r="C103" s="24">
        <f>IF(A103="","",IFERROR(INDEX(Clients!$G:$G,MATCH(A103,Clients!$A:$A,0)),""))</f>
        <v/>
      </c>
      <c r="D103" s="13">
        <f>IF(C103="","",IFERROR(INDEX(Packages!$C:$C,MATCH(C103,Packages!$A:$A,0)),""))</f>
        <v/>
      </c>
      <c r="E103" s="13">
        <f>IF(OR(A103="",B103=""),"",COUNTIFS(Uploads!$A:$A,$A103,Uploads!$B:$B,"&gt;="&amp;$B103,Uploads!$B:$B,"&lt;"&amp;EDATE($B103,1)))</f>
        <v/>
      </c>
      <c r="F103" s="25">
        <f>IF(OR(D103="",D103=0,E103=""),"",MIN(1,E103/D103))</f>
        <v/>
      </c>
      <c r="G103" s="13">
        <f>IF(OR(A103="",B103=""),"",SUMIFS(Uploads!$G:$G,Uploads!$A:$A,$A103,Uploads!$B:$B,"&gt;="&amp;$B103,Uploads!$B:$B,"&lt;"&amp;EDATE($B103,1)))</f>
        <v/>
      </c>
      <c r="H103" s="13">
        <f>IF(OR(A103="",B103=""),"",COUNTIFS(Enquiries!$B:$B,$A103,Enquiries!$A:$A,"&gt;="&amp;$B103,Enquiries!$A:$A,"&lt;"&amp;EDATE($B103,1)))</f>
        <v/>
      </c>
      <c r="I103" s="13">
        <f>IF(OR(A103="",B103=""),"",COUNTIFS(Enquiries!$B:$B,$A103,Enquiries!$F:$F,"Booked",Enquiries!$A:$A,"&gt;="&amp;$B103,Enquiries!$A:$A,"&lt;"&amp;EDATE($B103,1))+COUNTIFS(Enquiries!$B:$B,$A103,Enquiries!$F:$F,"Bought",Enquiries!$A:$A,"&gt;="&amp;$B103,Enquiries!$A:$A,"&lt;"&amp;EDATE($B103,1)))</f>
        <v/>
      </c>
      <c r="J103" s="13">
        <f>IF(OR(A103="",B103=""),"",SUMIFS(Enquiries!$G:$G,Enquiries!$B:$B,$A103,Enquiries!$A:$A,"&gt;="&amp;$B103,Enquiries!$A:$A,"&lt;"&amp;EDATE($B103,1)))</f>
        <v/>
      </c>
      <c r="K103" s="13">
        <f>IF(C103="","",IFERROR(INDEX(Packages!$B:$B,MATCH(C103,Packages!$A:$A,0)),""))</f>
        <v/>
      </c>
      <c r="L103" s="13">
        <f>IF(OR(K103="",F103=""),"",K103*F103)</f>
        <v/>
      </c>
      <c r="M103" s="12" t="n"/>
      <c r="N103" s="12" t="n"/>
      <c r="O103" s="14" t="n"/>
      <c r="P103" s="12" t="n"/>
    </row>
    <row r="104">
      <c r="A104" s="12" t="n"/>
      <c r="B104" s="17" t="n"/>
      <c r="C104" s="24">
        <f>IF(A104="","",IFERROR(INDEX(Clients!$G:$G,MATCH(A104,Clients!$A:$A,0)),""))</f>
        <v/>
      </c>
      <c r="D104" s="13">
        <f>IF(C104="","",IFERROR(INDEX(Packages!$C:$C,MATCH(C104,Packages!$A:$A,0)),""))</f>
        <v/>
      </c>
      <c r="E104" s="13">
        <f>IF(OR(A104="",B104=""),"",COUNTIFS(Uploads!$A:$A,$A104,Uploads!$B:$B,"&gt;="&amp;$B104,Uploads!$B:$B,"&lt;"&amp;EDATE($B104,1)))</f>
        <v/>
      </c>
      <c r="F104" s="25">
        <f>IF(OR(D104="",D104=0,E104=""),"",MIN(1,E104/D104))</f>
        <v/>
      </c>
      <c r="G104" s="13">
        <f>IF(OR(A104="",B104=""),"",SUMIFS(Uploads!$G:$G,Uploads!$A:$A,$A104,Uploads!$B:$B,"&gt;="&amp;$B104,Uploads!$B:$B,"&lt;"&amp;EDATE($B104,1)))</f>
        <v/>
      </c>
      <c r="H104" s="13">
        <f>IF(OR(A104="",B104=""),"",COUNTIFS(Enquiries!$B:$B,$A104,Enquiries!$A:$A,"&gt;="&amp;$B104,Enquiries!$A:$A,"&lt;"&amp;EDATE($B104,1)))</f>
        <v/>
      </c>
      <c r="I104" s="13">
        <f>IF(OR(A104="",B104=""),"",COUNTIFS(Enquiries!$B:$B,$A104,Enquiries!$F:$F,"Booked",Enquiries!$A:$A,"&gt;="&amp;$B104,Enquiries!$A:$A,"&lt;"&amp;EDATE($B104,1))+COUNTIFS(Enquiries!$B:$B,$A104,Enquiries!$F:$F,"Bought",Enquiries!$A:$A,"&gt;="&amp;$B104,Enquiries!$A:$A,"&lt;"&amp;EDATE($B104,1)))</f>
        <v/>
      </c>
      <c r="J104" s="13">
        <f>IF(OR(A104="",B104=""),"",SUMIFS(Enquiries!$G:$G,Enquiries!$B:$B,$A104,Enquiries!$A:$A,"&gt;="&amp;$B104,Enquiries!$A:$A,"&lt;"&amp;EDATE($B104,1)))</f>
        <v/>
      </c>
      <c r="K104" s="13">
        <f>IF(C104="","",IFERROR(INDEX(Packages!$B:$B,MATCH(C104,Packages!$A:$A,0)),""))</f>
        <v/>
      </c>
      <c r="L104" s="13">
        <f>IF(OR(K104="",F104=""),"",K104*F104)</f>
        <v/>
      </c>
      <c r="M104" s="12" t="n"/>
      <c r="N104" s="12" t="n"/>
      <c r="O104" s="14" t="n"/>
      <c r="P104" s="12" t="n"/>
    </row>
    <row r="105">
      <c r="A105" s="12" t="n"/>
      <c r="B105" s="17" t="n"/>
      <c r="C105" s="24">
        <f>IF(A105="","",IFERROR(INDEX(Clients!$G:$G,MATCH(A105,Clients!$A:$A,0)),""))</f>
        <v/>
      </c>
      <c r="D105" s="13">
        <f>IF(C105="","",IFERROR(INDEX(Packages!$C:$C,MATCH(C105,Packages!$A:$A,0)),""))</f>
        <v/>
      </c>
      <c r="E105" s="13">
        <f>IF(OR(A105="",B105=""),"",COUNTIFS(Uploads!$A:$A,$A105,Uploads!$B:$B,"&gt;="&amp;$B105,Uploads!$B:$B,"&lt;"&amp;EDATE($B105,1)))</f>
        <v/>
      </c>
      <c r="F105" s="25">
        <f>IF(OR(D105="",D105=0,E105=""),"",MIN(1,E105/D105))</f>
        <v/>
      </c>
      <c r="G105" s="13">
        <f>IF(OR(A105="",B105=""),"",SUMIFS(Uploads!$G:$G,Uploads!$A:$A,$A105,Uploads!$B:$B,"&gt;="&amp;$B105,Uploads!$B:$B,"&lt;"&amp;EDATE($B105,1)))</f>
        <v/>
      </c>
      <c r="H105" s="13">
        <f>IF(OR(A105="",B105=""),"",COUNTIFS(Enquiries!$B:$B,$A105,Enquiries!$A:$A,"&gt;="&amp;$B105,Enquiries!$A:$A,"&lt;"&amp;EDATE($B105,1)))</f>
        <v/>
      </c>
      <c r="I105" s="13">
        <f>IF(OR(A105="",B105=""),"",COUNTIFS(Enquiries!$B:$B,$A105,Enquiries!$F:$F,"Booked",Enquiries!$A:$A,"&gt;="&amp;$B105,Enquiries!$A:$A,"&lt;"&amp;EDATE($B105,1))+COUNTIFS(Enquiries!$B:$B,$A105,Enquiries!$F:$F,"Bought",Enquiries!$A:$A,"&gt;="&amp;$B105,Enquiries!$A:$A,"&lt;"&amp;EDATE($B105,1)))</f>
        <v/>
      </c>
      <c r="J105" s="13">
        <f>IF(OR(A105="",B105=""),"",SUMIFS(Enquiries!$G:$G,Enquiries!$B:$B,$A105,Enquiries!$A:$A,"&gt;="&amp;$B105,Enquiries!$A:$A,"&lt;"&amp;EDATE($B105,1)))</f>
        <v/>
      </c>
      <c r="K105" s="13">
        <f>IF(C105="","",IFERROR(INDEX(Packages!$B:$B,MATCH(C105,Packages!$A:$A,0)),""))</f>
        <v/>
      </c>
      <c r="L105" s="13">
        <f>IF(OR(K105="",F105=""),"",K105*F105)</f>
        <v/>
      </c>
      <c r="M105" s="12" t="n"/>
      <c r="N105" s="12" t="n"/>
      <c r="O105" s="14" t="n"/>
      <c r="P105" s="12" t="n"/>
    </row>
    <row r="106">
      <c r="A106" s="12" t="n"/>
      <c r="B106" s="17" t="n"/>
      <c r="C106" s="24">
        <f>IF(A106="","",IFERROR(INDEX(Clients!$G:$G,MATCH(A106,Clients!$A:$A,0)),""))</f>
        <v/>
      </c>
      <c r="D106" s="13">
        <f>IF(C106="","",IFERROR(INDEX(Packages!$C:$C,MATCH(C106,Packages!$A:$A,0)),""))</f>
        <v/>
      </c>
      <c r="E106" s="13">
        <f>IF(OR(A106="",B106=""),"",COUNTIFS(Uploads!$A:$A,$A106,Uploads!$B:$B,"&gt;="&amp;$B106,Uploads!$B:$B,"&lt;"&amp;EDATE($B106,1)))</f>
        <v/>
      </c>
      <c r="F106" s="25">
        <f>IF(OR(D106="",D106=0,E106=""),"",MIN(1,E106/D106))</f>
        <v/>
      </c>
      <c r="G106" s="13">
        <f>IF(OR(A106="",B106=""),"",SUMIFS(Uploads!$G:$G,Uploads!$A:$A,$A106,Uploads!$B:$B,"&gt;="&amp;$B106,Uploads!$B:$B,"&lt;"&amp;EDATE($B106,1)))</f>
        <v/>
      </c>
      <c r="H106" s="13">
        <f>IF(OR(A106="",B106=""),"",COUNTIFS(Enquiries!$B:$B,$A106,Enquiries!$A:$A,"&gt;="&amp;$B106,Enquiries!$A:$A,"&lt;"&amp;EDATE($B106,1)))</f>
        <v/>
      </c>
      <c r="I106" s="13">
        <f>IF(OR(A106="",B106=""),"",COUNTIFS(Enquiries!$B:$B,$A106,Enquiries!$F:$F,"Booked",Enquiries!$A:$A,"&gt;="&amp;$B106,Enquiries!$A:$A,"&lt;"&amp;EDATE($B106,1))+COUNTIFS(Enquiries!$B:$B,$A106,Enquiries!$F:$F,"Bought",Enquiries!$A:$A,"&gt;="&amp;$B106,Enquiries!$A:$A,"&lt;"&amp;EDATE($B106,1)))</f>
        <v/>
      </c>
      <c r="J106" s="13">
        <f>IF(OR(A106="",B106=""),"",SUMIFS(Enquiries!$G:$G,Enquiries!$B:$B,$A106,Enquiries!$A:$A,"&gt;="&amp;$B106,Enquiries!$A:$A,"&lt;"&amp;EDATE($B106,1)))</f>
        <v/>
      </c>
      <c r="K106" s="13">
        <f>IF(C106="","",IFERROR(INDEX(Packages!$B:$B,MATCH(C106,Packages!$A:$A,0)),""))</f>
        <v/>
      </c>
      <c r="L106" s="13">
        <f>IF(OR(K106="",F106=""),"",K106*F106)</f>
        <v/>
      </c>
      <c r="M106" s="12" t="n"/>
      <c r="N106" s="12" t="n"/>
      <c r="O106" s="14" t="n"/>
      <c r="P106" s="12" t="n"/>
    </row>
    <row r="107">
      <c r="A107" s="12" t="n"/>
      <c r="B107" s="17" t="n"/>
      <c r="C107" s="24">
        <f>IF(A107="","",IFERROR(INDEX(Clients!$G:$G,MATCH(A107,Clients!$A:$A,0)),""))</f>
        <v/>
      </c>
      <c r="D107" s="13">
        <f>IF(C107="","",IFERROR(INDEX(Packages!$C:$C,MATCH(C107,Packages!$A:$A,0)),""))</f>
        <v/>
      </c>
      <c r="E107" s="13">
        <f>IF(OR(A107="",B107=""),"",COUNTIFS(Uploads!$A:$A,$A107,Uploads!$B:$B,"&gt;="&amp;$B107,Uploads!$B:$B,"&lt;"&amp;EDATE($B107,1)))</f>
        <v/>
      </c>
      <c r="F107" s="25">
        <f>IF(OR(D107="",D107=0,E107=""),"",MIN(1,E107/D107))</f>
        <v/>
      </c>
      <c r="G107" s="13">
        <f>IF(OR(A107="",B107=""),"",SUMIFS(Uploads!$G:$G,Uploads!$A:$A,$A107,Uploads!$B:$B,"&gt;="&amp;$B107,Uploads!$B:$B,"&lt;"&amp;EDATE($B107,1)))</f>
        <v/>
      </c>
      <c r="H107" s="13">
        <f>IF(OR(A107="",B107=""),"",COUNTIFS(Enquiries!$B:$B,$A107,Enquiries!$A:$A,"&gt;="&amp;$B107,Enquiries!$A:$A,"&lt;"&amp;EDATE($B107,1)))</f>
        <v/>
      </c>
      <c r="I107" s="13">
        <f>IF(OR(A107="",B107=""),"",COUNTIFS(Enquiries!$B:$B,$A107,Enquiries!$F:$F,"Booked",Enquiries!$A:$A,"&gt;="&amp;$B107,Enquiries!$A:$A,"&lt;"&amp;EDATE($B107,1))+COUNTIFS(Enquiries!$B:$B,$A107,Enquiries!$F:$F,"Bought",Enquiries!$A:$A,"&gt;="&amp;$B107,Enquiries!$A:$A,"&lt;"&amp;EDATE($B107,1)))</f>
        <v/>
      </c>
      <c r="J107" s="13">
        <f>IF(OR(A107="",B107=""),"",SUMIFS(Enquiries!$G:$G,Enquiries!$B:$B,$A107,Enquiries!$A:$A,"&gt;="&amp;$B107,Enquiries!$A:$A,"&lt;"&amp;EDATE($B107,1)))</f>
        <v/>
      </c>
      <c r="K107" s="13">
        <f>IF(C107="","",IFERROR(INDEX(Packages!$B:$B,MATCH(C107,Packages!$A:$A,0)),""))</f>
        <v/>
      </c>
      <c r="L107" s="13">
        <f>IF(OR(K107="",F107=""),"",K107*F107)</f>
        <v/>
      </c>
      <c r="M107" s="12" t="n"/>
      <c r="N107" s="12" t="n"/>
      <c r="O107" s="14" t="n"/>
      <c r="P107" s="12" t="n"/>
    </row>
    <row r="108">
      <c r="A108" s="12" t="n"/>
      <c r="B108" s="17" t="n"/>
      <c r="C108" s="24">
        <f>IF(A108="","",IFERROR(INDEX(Clients!$G:$G,MATCH(A108,Clients!$A:$A,0)),""))</f>
        <v/>
      </c>
      <c r="D108" s="13">
        <f>IF(C108="","",IFERROR(INDEX(Packages!$C:$C,MATCH(C108,Packages!$A:$A,0)),""))</f>
        <v/>
      </c>
      <c r="E108" s="13">
        <f>IF(OR(A108="",B108=""),"",COUNTIFS(Uploads!$A:$A,$A108,Uploads!$B:$B,"&gt;="&amp;$B108,Uploads!$B:$B,"&lt;"&amp;EDATE($B108,1)))</f>
        <v/>
      </c>
      <c r="F108" s="25">
        <f>IF(OR(D108="",D108=0,E108=""),"",MIN(1,E108/D108))</f>
        <v/>
      </c>
      <c r="G108" s="13">
        <f>IF(OR(A108="",B108=""),"",SUMIFS(Uploads!$G:$G,Uploads!$A:$A,$A108,Uploads!$B:$B,"&gt;="&amp;$B108,Uploads!$B:$B,"&lt;"&amp;EDATE($B108,1)))</f>
        <v/>
      </c>
      <c r="H108" s="13">
        <f>IF(OR(A108="",B108=""),"",COUNTIFS(Enquiries!$B:$B,$A108,Enquiries!$A:$A,"&gt;="&amp;$B108,Enquiries!$A:$A,"&lt;"&amp;EDATE($B108,1)))</f>
        <v/>
      </c>
      <c r="I108" s="13">
        <f>IF(OR(A108="",B108=""),"",COUNTIFS(Enquiries!$B:$B,$A108,Enquiries!$F:$F,"Booked",Enquiries!$A:$A,"&gt;="&amp;$B108,Enquiries!$A:$A,"&lt;"&amp;EDATE($B108,1))+COUNTIFS(Enquiries!$B:$B,$A108,Enquiries!$F:$F,"Bought",Enquiries!$A:$A,"&gt;="&amp;$B108,Enquiries!$A:$A,"&lt;"&amp;EDATE($B108,1)))</f>
        <v/>
      </c>
      <c r="J108" s="13">
        <f>IF(OR(A108="",B108=""),"",SUMIFS(Enquiries!$G:$G,Enquiries!$B:$B,$A108,Enquiries!$A:$A,"&gt;="&amp;$B108,Enquiries!$A:$A,"&lt;"&amp;EDATE($B108,1)))</f>
        <v/>
      </c>
      <c r="K108" s="13">
        <f>IF(C108="","",IFERROR(INDEX(Packages!$B:$B,MATCH(C108,Packages!$A:$A,0)),""))</f>
        <v/>
      </c>
      <c r="L108" s="13">
        <f>IF(OR(K108="",F108=""),"",K108*F108)</f>
        <v/>
      </c>
      <c r="M108" s="12" t="n"/>
      <c r="N108" s="12" t="n"/>
      <c r="O108" s="14" t="n"/>
      <c r="P108" s="12" t="n"/>
    </row>
    <row r="109">
      <c r="A109" s="12" t="n"/>
      <c r="B109" s="17" t="n"/>
      <c r="C109" s="24">
        <f>IF(A109="","",IFERROR(INDEX(Clients!$G:$G,MATCH(A109,Clients!$A:$A,0)),""))</f>
        <v/>
      </c>
      <c r="D109" s="13">
        <f>IF(C109="","",IFERROR(INDEX(Packages!$C:$C,MATCH(C109,Packages!$A:$A,0)),""))</f>
        <v/>
      </c>
      <c r="E109" s="13">
        <f>IF(OR(A109="",B109=""),"",COUNTIFS(Uploads!$A:$A,$A109,Uploads!$B:$B,"&gt;="&amp;$B109,Uploads!$B:$B,"&lt;"&amp;EDATE($B109,1)))</f>
        <v/>
      </c>
      <c r="F109" s="25">
        <f>IF(OR(D109="",D109=0,E109=""),"",MIN(1,E109/D109))</f>
        <v/>
      </c>
      <c r="G109" s="13">
        <f>IF(OR(A109="",B109=""),"",SUMIFS(Uploads!$G:$G,Uploads!$A:$A,$A109,Uploads!$B:$B,"&gt;="&amp;$B109,Uploads!$B:$B,"&lt;"&amp;EDATE($B109,1)))</f>
        <v/>
      </c>
      <c r="H109" s="13">
        <f>IF(OR(A109="",B109=""),"",COUNTIFS(Enquiries!$B:$B,$A109,Enquiries!$A:$A,"&gt;="&amp;$B109,Enquiries!$A:$A,"&lt;"&amp;EDATE($B109,1)))</f>
        <v/>
      </c>
      <c r="I109" s="13">
        <f>IF(OR(A109="",B109=""),"",COUNTIFS(Enquiries!$B:$B,$A109,Enquiries!$F:$F,"Booked",Enquiries!$A:$A,"&gt;="&amp;$B109,Enquiries!$A:$A,"&lt;"&amp;EDATE($B109,1))+COUNTIFS(Enquiries!$B:$B,$A109,Enquiries!$F:$F,"Bought",Enquiries!$A:$A,"&gt;="&amp;$B109,Enquiries!$A:$A,"&lt;"&amp;EDATE($B109,1)))</f>
        <v/>
      </c>
      <c r="J109" s="13">
        <f>IF(OR(A109="",B109=""),"",SUMIFS(Enquiries!$G:$G,Enquiries!$B:$B,$A109,Enquiries!$A:$A,"&gt;="&amp;$B109,Enquiries!$A:$A,"&lt;"&amp;EDATE($B109,1)))</f>
        <v/>
      </c>
      <c r="K109" s="13">
        <f>IF(C109="","",IFERROR(INDEX(Packages!$B:$B,MATCH(C109,Packages!$A:$A,0)),""))</f>
        <v/>
      </c>
      <c r="L109" s="13">
        <f>IF(OR(K109="",F109=""),"",K109*F109)</f>
        <v/>
      </c>
      <c r="M109" s="12" t="n"/>
      <c r="N109" s="12" t="n"/>
      <c r="O109" s="14" t="n"/>
      <c r="P109" s="12" t="n"/>
    </row>
    <row r="110">
      <c r="A110" s="12" t="n"/>
      <c r="B110" s="17" t="n"/>
      <c r="C110" s="24">
        <f>IF(A110="","",IFERROR(INDEX(Clients!$G:$G,MATCH(A110,Clients!$A:$A,0)),""))</f>
        <v/>
      </c>
      <c r="D110" s="13">
        <f>IF(C110="","",IFERROR(INDEX(Packages!$C:$C,MATCH(C110,Packages!$A:$A,0)),""))</f>
        <v/>
      </c>
      <c r="E110" s="13">
        <f>IF(OR(A110="",B110=""),"",COUNTIFS(Uploads!$A:$A,$A110,Uploads!$B:$B,"&gt;="&amp;$B110,Uploads!$B:$B,"&lt;"&amp;EDATE($B110,1)))</f>
        <v/>
      </c>
      <c r="F110" s="25">
        <f>IF(OR(D110="",D110=0,E110=""),"",MIN(1,E110/D110))</f>
        <v/>
      </c>
      <c r="G110" s="13">
        <f>IF(OR(A110="",B110=""),"",SUMIFS(Uploads!$G:$G,Uploads!$A:$A,$A110,Uploads!$B:$B,"&gt;="&amp;$B110,Uploads!$B:$B,"&lt;"&amp;EDATE($B110,1)))</f>
        <v/>
      </c>
      <c r="H110" s="13">
        <f>IF(OR(A110="",B110=""),"",COUNTIFS(Enquiries!$B:$B,$A110,Enquiries!$A:$A,"&gt;="&amp;$B110,Enquiries!$A:$A,"&lt;"&amp;EDATE($B110,1)))</f>
        <v/>
      </c>
      <c r="I110" s="13">
        <f>IF(OR(A110="",B110=""),"",COUNTIFS(Enquiries!$B:$B,$A110,Enquiries!$F:$F,"Booked",Enquiries!$A:$A,"&gt;="&amp;$B110,Enquiries!$A:$A,"&lt;"&amp;EDATE($B110,1))+COUNTIFS(Enquiries!$B:$B,$A110,Enquiries!$F:$F,"Bought",Enquiries!$A:$A,"&gt;="&amp;$B110,Enquiries!$A:$A,"&lt;"&amp;EDATE($B110,1)))</f>
        <v/>
      </c>
      <c r="J110" s="13">
        <f>IF(OR(A110="",B110=""),"",SUMIFS(Enquiries!$G:$G,Enquiries!$B:$B,$A110,Enquiries!$A:$A,"&gt;="&amp;$B110,Enquiries!$A:$A,"&lt;"&amp;EDATE($B110,1)))</f>
        <v/>
      </c>
      <c r="K110" s="13">
        <f>IF(C110="","",IFERROR(INDEX(Packages!$B:$B,MATCH(C110,Packages!$A:$A,0)),""))</f>
        <v/>
      </c>
      <c r="L110" s="13">
        <f>IF(OR(K110="",F110=""),"",K110*F110)</f>
        <v/>
      </c>
      <c r="M110" s="12" t="n"/>
      <c r="N110" s="12" t="n"/>
      <c r="O110" s="14" t="n"/>
      <c r="P110" s="12" t="n"/>
    </row>
    <row r="111">
      <c r="A111" s="12" t="n"/>
      <c r="B111" s="17" t="n"/>
      <c r="C111" s="24">
        <f>IF(A111="","",IFERROR(INDEX(Clients!$G:$G,MATCH(A111,Clients!$A:$A,0)),""))</f>
        <v/>
      </c>
      <c r="D111" s="13">
        <f>IF(C111="","",IFERROR(INDEX(Packages!$C:$C,MATCH(C111,Packages!$A:$A,0)),""))</f>
        <v/>
      </c>
      <c r="E111" s="13">
        <f>IF(OR(A111="",B111=""),"",COUNTIFS(Uploads!$A:$A,$A111,Uploads!$B:$B,"&gt;="&amp;$B111,Uploads!$B:$B,"&lt;"&amp;EDATE($B111,1)))</f>
        <v/>
      </c>
      <c r="F111" s="25">
        <f>IF(OR(D111="",D111=0,E111=""),"",MIN(1,E111/D111))</f>
        <v/>
      </c>
      <c r="G111" s="13">
        <f>IF(OR(A111="",B111=""),"",SUMIFS(Uploads!$G:$G,Uploads!$A:$A,$A111,Uploads!$B:$B,"&gt;="&amp;$B111,Uploads!$B:$B,"&lt;"&amp;EDATE($B111,1)))</f>
        <v/>
      </c>
      <c r="H111" s="13">
        <f>IF(OR(A111="",B111=""),"",COUNTIFS(Enquiries!$B:$B,$A111,Enquiries!$A:$A,"&gt;="&amp;$B111,Enquiries!$A:$A,"&lt;"&amp;EDATE($B111,1)))</f>
        <v/>
      </c>
      <c r="I111" s="13">
        <f>IF(OR(A111="",B111=""),"",COUNTIFS(Enquiries!$B:$B,$A111,Enquiries!$F:$F,"Booked",Enquiries!$A:$A,"&gt;="&amp;$B111,Enquiries!$A:$A,"&lt;"&amp;EDATE($B111,1))+COUNTIFS(Enquiries!$B:$B,$A111,Enquiries!$F:$F,"Bought",Enquiries!$A:$A,"&gt;="&amp;$B111,Enquiries!$A:$A,"&lt;"&amp;EDATE($B111,1)))</f>
        <v/>
      </c>
      <c r="J111" s="13">
        <f>IF(OR(A111="",B111=""),"",SUMIFS(Enquiries!$G:$G,Enquiries!$B:$B,$A111,Enquiries!$A:$A,"&gt;="&amp;$B111,Enquiries!$A:$A,"&lt;"&amp;EDATE($B111,1)))</f>
        <v/>
      </c>
      <c r="K111" s="13">
        <f>IF(C111="","",IFERROR(INDEX(Packages!$B:$B,MATCH(C111,Packages!$A:$A,0)),""))</f>
        <v/>
      </c>
      <c r="L111" s="13">
        <f>IF(OR(K111="",F111=""),"",K111*F111)</f>
        <v/>
      </c>
      <c r="M111" s="12" t="n"/>
      <c r="N111" s="12" t="n"/>
      <c r="O111" s="14" t="n"/>
      <c r="P111" s="12" t="n"/>
    </row>
    <row r="112">
      <c r="A112" s="12" t="n"/>
      <c r="B112" s="17" t="n"/>
      <c r="C112" s="24">
        <f>IF(A112="","",IFERROR(INDEX(Clients!$G:$G,MATCH(A112,Clients!$A:$A,0)),""))</f>
        <v/>
      </c>
      <c r="D112" s="13">
        <f>IF(C112="","",IFERROR(INDEX(Packages!$C:$C,MATCH(C112,Packages!$A:$A,0)),""))</f>
        <v/>
      </c>
      <c r="E112" s="13">
        <f>IF(OR(A112="",B112=""),"",COUNTIFS(Uploads!$A:$A,$A112,Uploads!$B:$B,"&gt;="&amp;$B112,Uploads!$B:$B,"&lt;"&amp;EDATE($B112,1)))</f>
        <v/>
      </c>
      <c r="F112" s="25">
        <f>IF(OR(D112="",D112=0,E112=""),"",MIN(1,E112/D112))</f>
        <v/>
      </c>
      <c r="G112" s="13">
        <f>IF(OR(A112="",B112=""),"",SUMIFS(Uploads!$G:$G,Uploads!$A:$A,$A112,Uploads!$B:$B,"&gt;="&amp;$B112,Uploads!$B:$B,"&lt;"&amp;EDATE($B112,1)))</f>
        <v/>
      </c>
      <c r="H112" s="13">
        <f>IF(OR(A112="",B112=""),"",COUNTIFS(Enquiries!$B:$B,$A112,Enquiries!$A:$A,"&gt;="&amp;$B112,Enquiries!$A:$A,"&lt;"&amp;EDATE($B112,1)))</f>
        <v/>
      </c>
      <c r="I112" s="13">
        <f>IF(OR(A112="",B112=""),"",COUNTIFS(Enquiries!$B:$B,$A112,Enquiries!$F:$F,"Booked",Enquiries!$A:$A,"&gt;="&amp;$B112,Enquiries!$A:$A,"&lt;"&amp;EDATE($B112,1))+COUNTIFS(Enquiries!$B:$B,$A112,Enquiries!$F:$F,"Bought",Enquiries!$A:$A,"&gt;="&amp;$B112,Enquiries!$A:$A,"&lt;"&amp;EDATE($B112,1)))</f>
        <v/>
      </c>
      <c r="J112" s="13">
        <f>IF(OR(A112="",B112=""),"",SUMIFS(Enquiries!$G:$G,Enquiries!$B:$B,$A112,Enquiries!$A:$A,"&gt;="&amp;$B112,Enquiries!$A:$A,"&lt;"&amp;EDATE($B112,1)))</f>
        <v/>
      </c>
      <c r="K112" s="13">
        <f>IF(C112="","",IFERROR(INDEX(Packages!$B:$B,MATCH(C112,Packages!$A:$A,0)),""))</f>
        <v/>
      </c>
      <c r="L112" s="13">
        <f>IF(OR(K112="",F112=""),"",K112*F112)</f>
        <v/>
      </c>
      <c r="M112" s="12" t="n"/>
      <c r="N112" s="12" t="n"/>
      <c r="O112" s="14" t="n"/>
      <c r="P112" s="12" t="n"/>
    </row>
    <row r="113">
      <c r="A113" s="12" t="n"/>
      <c r="B113" s="17" t="n"/>
      <c r="C113" s="24">
        <f>IF(A113="","",IFERROR(INDEX(Clients!$G:$G,MATCH(A113,Clients!$A:$A,0)),""))</f>
        <v/>
      </c>
      <c r="D113" s="13">
        <f>IF(C113="","",IFERROR(INDEX(Packages!$C:$C,MATCH(C113,Packages!$A:$A,0)),""))</f>
        <v/>
      </c>
      <c r="E113" s="13">
        <f>IF(OR(A113="",B113=""),"",COUNTIFS(Uploads!$A:$A,$A113,Uploads!$B:$B,"&gt;="&amp;$B113,Uploads!$B:$B,"&lt;"&amp;EDATE($B113,1)))</f>
        <v/>
      </c>
      <c r="F113" s="25">
        <f>IF(OR(D113="",D113=0,E113=""),"",MIN(1,E113/D113))</f>
        <v/>
      </c>
      <c r="G113" s="13">
        <f>IF(OR(A113="",B113=""),"",SUMIFS(Uploads!$G:$G,Uploads!$A:$A,$A113,Uploads!$B:$B,"&gt;="&amp;$B113,Uploads!$B:$B,"&lt;"&amp;EDATE($B113,1)))</f>
        <v/>
      </c>
      <c r="H113" s="13">
        <f>IF(OR(A113="",B113=""),"",COUNTIFS(Enquiries!$B:$B,$A113,Enquiries!$A:$A,"&gt;="&amp;$B113,Enquiries!$A:$A,"&lt;"&amp;EDATE($B113,1)))</f>
        <v/>
      </c>
      <c r="I113" s="13">
        <f>IF(OR(A113="",B113=""),"",COUNTIFS(Enquiries!$B:$B,$A113,Enquiries!$F:$F,"Booked",Enquiries!$A:$A,"&gt;="&amp;$B113,Enquiries!$A:$A,"&lt;"&amp;EDATE($B113,1))+COUNTIFS(Enquiries!$B:$B,$A113,Enquiries!$F:$F,"Bought",Enquiries!$A:$A,"&gt;="&amp;$B113,Enquiries!$A:$A,"&lt;"&amp;EDATE($B113,1)))</f>
        <v/>
      </c>
      <c r="J113" s="13">
        <f>IF(OR(A113="",B113=""),"",SUMIFS(Enquiries!$G:$G,Enquiries!$B:$B,$A113,Enquiries!$A:$A,"&gt;="&amp;$B113,Enquiries!$A:$A,"&lt;"&amp;EDATE($B113,1)))</f>
        <v/>
      </c>
      <c r="K113" s="13">
        <f>IF(C113="","",IFERROR(INDEX(Packages!$B:$B,MATCH(C113,Packages!$A:$A,0)),""))</f>
        <v/>
      </c>
      <c r="L113" s="13">
        <f>IF(OR(K113="",F113=""),"",K113*F113)</f>
        <v/>
      </c>
      <c r="M113" s="12" t="n"/>
      <c r="N113" s="12" t="n"/>
      <c r="O113" s="14" t="n"/>
      <c r="P113" s="12" t="n"/>
    </row>
    <row r="114">
      <c r="A114" s="12" t="n"/>
      <c r="B114" s="17" t="n"/>
      <c r="C114" s="24">
        <f>IF(A114="","",IFERROR(INDEX(Clients!$G:$G,MATCH(A114,Clients!$A:$A,0)),""))</f>
        <v/>
      </c>
      <c r="D114" s="13">
        <f>IF(C114="","",IFERROR(INDEX(Packages!$C:$C,MATCH(C114,Packages!$A:$A,0)),""))</f>
        <v/>
      </c>
      <c r="E114" s="13">
        <f>IF(OR(A114="",B114=""),"",COUNTIFS(Uploads!$A:$A,$A114,Uploads!$B:$B,"&gt;="&amp;$B114,Uploads!$B:$B,"&lt;"&amp;EDATE($B114,1)))</f>
        <v/>
      </c>
      <c r="F114" s="25">
        <f>IF(OR(D114="",D114=0,E114=""),"",MIN(1,E114/D114))</f>
        <v/>
      </c>
      <c r="G114" s="13">
        <f>IF(OR(A114="",B114=""),"",SUMIFS(Uploads!$G:$G,Uploads!$A:$A,$A114,Uploads!$B:$B,"&gt;="&amp;$B114,Uploads!$B:$B,"&lt;"&amp;EDATE($B114,1)))</f>
        <v/>
      </c>
      <c r="H114" s="13">
        <f>IF(OR(A114="",B114=""),"",COUNTIFS(Enquiries!$B:$B,$A114,Enquiries!$A:$A,"&gt;="&amp;$B114,Enquiries!$A:$A,"&lt;"&amp;EDATE($B114,1)))</f>
        <v/>
      </c>
      <c r="I114" s="13">
        <f>IF(OR(A114="",B114=""),"",COUNTIFS(Enquiries!$B:$B,$A114,Enquiries!$F:$F,"Booked",Enquiries!$A:$A,"&gt;="&amp;$B114,Enquiries!$A:$A,"&lt;"&amp;EDATE($B114,1))+COUNTIFS(Enquiries!$B:$B,$A114,Enquiries!$F:$F,"Bought",Enquiries!$A:$A,"&gt;="&amp;$B114,Enquiries!$A:$A,"&lt;"&amp;EDATE($B114,1)))</f>
        <v/>
      </c>
      <c r="J114" s="13">
        <f>IF(OR(A114="",B114=""),"",SUMIFS(Enquiries!$G:$G,Enquiries!$B:$B,$A114,Enquiries!$A:$A,"&gt;="&amp;$B114,Enquiries!$A:$A,"&lt;"&amp;EDATE($B114,1)))</f>
        <v/>
      </c>
      <c r="K114" s="13">
        <f>IF(C114="","",IFERROR(INDEX(Packages!$B:$B,MATCH(C114,Packages!$A:$A,0)),""))</f>
        <v/>
      </c>
      <c r="L114" s="13">
        <f>IF(OR(K114="",F114=""),"",K114*F114)</f>
        <v/>
      </c>
      <c r="M114" s="12" t="n"/>
      <c r="N114" s="12" t="n"/>
      <c r="O114" s="14" t="n"/>
      <c r="P114" s="12" t="n"/>
    </row>
    <row r="115">
      <c r="A115" s="12" t="n"/>
      <c r="B115" s="17" t="n"/>
      <c r="C115" s="24">
        <f>IF(A115="","",IFERROR(INDEX(Clients!$G:$G,MATCH(A115,Clients!$A:$A,0)),""))</f>
        <v/>
      </c>
      <c r="D115" s="13">
        <f>IF(C115="","",IFERROR(INDEX(Packages!$C:$C,MATCH(C115,Packages!$A:$A,0)),""))</f>
        <v/>
      </c>
      <c r="E115" s="13">
        <f>IF(OR(A115="",B115=""),"",COUNTIFS(Uploads!$A:$A,$A115,Uploads!$B:$B,"&gt;="&amp;$B115,Uploads!$B:$B,"&lt;"&amp;EDATE($B115,1)))</f>
        <v/>
      </c>
      <c r="F115" s="25">
        <f>IF(OR(D115="",D115=0,E115=""),"",MIN(1,E115/D115))</f>
        <v/>
      </c>
      <c r="G115" s="13">
        <f>IF(OR(A115="",B115=""),"",SUMIFS(Uploads!$G:$G,Uploads!$A:$A,$A115,Uploads!$B:$B,"&gt;="&amp;$B115,Uploads!$B:$B,"&lt;"&amp;EDATE($B115,1)))</f>
        <v/>
      </c>
      <c r="H115" s="13">
        <f>IF(OR(A115="",B115=""),"",COUNTIFS(Enquiries!$B:$B,$A115,Enquiries!$A:$A,"&gt;="&amp;$B115,Enquiries!$A:$A,"&lt;"&amp;EDATE($B115,1)))</f>
        <v/>
      </c>
      <c r="I115" s="13">
        <f>IF(OR(A115="",B115=""),"",COUNTIFS(Enquiries!$B:$B,$A115,Enquiries!$F:$F,"Booked",Enquiries!$A:$A,"&gt;="&amp;$B115,Enquiries!$A:$A,"&lt;"&amp;EDATE($B115,1))+COUNTIFS(Enquiries!$B:$B,$A115,Enquiries!$F:$F,"Bought",Enquiries!$A:$A,"&gt;="&amp;$B115,Enquiries!$A:$A,"&lt;"&amp;EDATE($B115,1)))</f>
        <v/>
      </c>
      <c r="J115" s="13">
        <f>IF(OR(A115="",B115=""),"",SUMIFS(Enquiries!$G:$G,Enquiries!$B:$B,$A115,Enquiries!$A:$A,"&gt;="&amp;$B115,Enquiries!$A:$A,"&lt;"&amp;EDATE($B115,1)))</f>
        <v/>
      </c>
      <c r="K115" s="13">
        <f>IF(C115="","",IFERROR(INDEX(Packages!$B:$B,MATCH(C115,Packages!$A:$A,0)),""))</f>
        <v/>
      </c>
      <c r="L115" s="13">
        <f>IF(OR(K115="",F115=""),"",K115*F115)</f>
        <v/>
      </c>
      <c r="M115" s="12" t="n"/>
      <c r="N115" s="12" t="n"/>
      <c r="O115" s="14" t="n"/>
      <c r="P115" s="12" t="n"/>
    </row>
    <row r="116">
      <c r="A116" s="12" t="n"/>
      <c r="B116" s="17" t="n"/>
      <c r="C116" s="24">
        <f>IF(A116="","",IFERROR(INDEX(Clients!$G:$G,MATCH(A116,Clients!$A:$A,0)),""))</f>
        <v/>
      </c>
      <c r="D116" s="13">
        <f>IF(C116="","",IFERROR(INDEX(Packages!$C:$C,MATCH(C116,Packages!$A:$A,0)),""))</f>
        <v/>
      </c>
      <c r="E116" s="13">
        <f>IF(OR(A116="",B116=""),"",COUNTIFS(Uploads!$A:$A,$A116,Uploads!$B:$B,"&gt;="&amp;$B116,Uploads!$B:$B,"&lt;"&amp;EDATE($B116,1)))</f>
        <v/>
      </c>
      <c r="F116" s="25">
        <f>IF(OR(D116="",D116=0,E116=""),"",MIN(1,E116/D116))</f>
        <v/>
      </c>
      <c r="G116" s="13">
        <f>IF(OR(A116="",B116=""),"",SUMIFS(Uploads!$G:$G,Uploads!$A:$A,$A116,Uploads!$B:$B,"&gt;="&amp;$B116,Uploads!$B:$B,"&lt;"&amp;EDATE($B116,1)))</f>
        <v/>
      </c>
      <c r="H116" s="13">
        <f>IF(OR(A116="",B116=""),"",COUNTIFS(Enquiries!$B:$B,$A116,Enquiries!$A:$A,"&gt;="&amp;$B116,Enquiries!$A:$A,"&lt;"&amp;EDATE($B116,1)))</f>
        <v/>
      </c>
      <c r="I116" s="13">
        <f>IF(OR(A116="",B116=""),"",COUNTIFS(Enquiries!$B:$B,$A116,Enquiries!$F:$F,"Booked",Enquiries!$A:$A,"&gt;="&amp;$B116,Enquiries!$A:$A,"&lt;"&amp;EDATE($B116,1))+COUNTIFS(Enquiries!$B:$B,$A116,Enquiries!$F:$F,"Bought",Enquiries!$A:$A,"&gt;="&amp;$B116,Enquiries!$A:$A,"&lt;"&amp;EDATE($B116,1)))</f>
        <v/>
      </c>
      <c r="J116" s="13">
        <f>IF(OR(A116="",B116=""),"",SUMIFS(Enquiries!$G:$G,Enquiries!$B:$B,$A116,Enquiries!$A:$A,"&gt;="&amp;$B116,Enquiries!$A:$A,"&lt;"&amp;EDATE($B116,1)))</f>
        <v/>
      </c>
      <c r="K116" s="13">
        <f>IF(C116="","",IFERROR(INDEX(Packages!$B:$B,MATCH(C116,Packages!$A:$A,0)),""))</f>
        <v/>
      </c>
      <c r="L116" s="13">
        <f>IF(OR(K116="",F116=""),"",K116*F116)</f>
        <v/>
      </c>
      <c r="M116" s="12" t="n"/>
      <c r="N116" s="12" t="n"/>
      <c r="O116" s="14" t="n"/>
      <c r="P116" s="12" t="n"/>
    </row>
    <row r="117">
      <c r="A117" s="12" t="n"/>
      <c r="B117" s="17" t="n"/>
      <c r="C117" s="24">
        <f>IF(A117="","",IFERROR(INDEX(Clients!$G:$G,MATCH(A117,Clients!$A:$A,0)),""))</f>
        <v/>
      </c>
      <c r="D117" s="13">
        <f>IF(C117="","",IFERROR(INDEX(Packages!$C:$C,MATCH(C117,Packages!$A:$A,0)),""))</f>
        <v/>
      </c>
      <c r="E117" s="13">
        <f>IF(OR(A117="",B117=""),"",COUNTIFS(Uploads!$A:$A,$A117,Uploads!$B:$B,"&gt;="&amp;$B117,Uploads!$B:$B,"&lt;"&amp;EDATE($B117,1)))</f>
        <v/>
      </c>
      <c r="F117" s="25">
        <f>IF(OR(D117="",D117=0,E117=""),"",MIN(1,E117/D117))</f>
        <v/>
      </c>
      <c r="G117" s="13">
        <f>IF(OR(A117="",B117=""),"",SUMIFS(Uploads!$G:$G,Uploads!$A:$A,$A117,Uploads!$B:$B,"&gt;="&amp;$B117,Uploads!$B:$B,"&lt;"&amp;EDATE($B117,1)))</f>
        <v/>
      </c>
      <c r="H117" s="13">
        <f>IF(OR(A117="",B117=""),"",COUNTIFS(Enquiries!$B:$B,$A117,Enquiries!$A:$A,"&gt;="&amp;$B117,Enquiries!$A:$A,"&lt;"&amp;EDATE($B117,1)))</f>
        <v/>
      </c>
      <c r="I117" s="13">
        <f>IF(OR(A117="",B117=""),"",COUNTIFS(Enquiries!$B:$B,$A117,Enquiries!$F:$F,"Booked",Enquiries!$A:$A,"&gt;="&amp;$B117,Enquiries!$A:$A,"&lt;"&amp;EDATE($B117,1))+COUNTIFS(Enquiries!$B:$B,$A117,Enquiries!$F:$F,"Bought",Enquiries!$A:$A,"&gt;="&amp;$B117,Enquiries!$A:$A,"&lt;"&amp;EDATE($B117,1)))</f>
        <v/>
      </c>
      <c r="J117" s="13">
        <f>IF(OR(A117="",B117=""),"",SUMIFS(Enquiries!$G:$G,Enquiries!$B:$B,$A117,Enquiries!$A:$A,"&gt;="&amp;$B117,Enquiries!$A:$A,"&lt;"&amp;EDATE($B117,1)))</f>
        <v/>
      </c>
      <c r="K117" s="13">
        <f>IF(C117="","",IFERROR(INDEX(Packages!$B:$B,MATCH(C117,Packages!$A:$A,0)),""))</f>
        <v/>
      </c>
      <c r="L117" s="13">
        <f>IF(OR(K117="",F117=""),"",K117*F117)</f>
        <v/>
      </c>
      <c r="M117" s="12" t="n"/>
      <c r="N117" s="12" t="n"/>
      <c r="O117" s="14" t="n"/>
      <c r="P117" s="12" t="n"/>
    </row>
    <row r="118">
      <c r="A118" s="12" t="n"/>
      <c r="B118" s="17" t="n"/>
      <c r="C118" s="24">
        <f>IF(A118="","",IFERROR(INDEX(Clients!$G:$G,MATCH(A118,Clients!$A:$A,0)),""))</f>
        <v/>
      </c>
      <c r="D118" s="13">
        <f>IF(C118="","",IFERROR(INDEX(Packages!$C:$C,MATCH(C118,Packages!$A:$A,0)),""))</f>
        <v/>
      </c>
      <c r="E118" s="13">
        <f>IF(OR(A118="",B118=""),"",COUNTIFS(Uploads!$A:$A,$A118,Uploads!$B:$B,"&gt;="&amp;$B118,Uploads!$B:$B,"&lt;"&amp;EDATE($B118,1)))</f>
        <v/>
      </c>
      <c r="F118" s="25">
        <f>IF(OR(D118="",D118=0,E118=""),"",MIN(1,E118/D118))</f>
        <v/>
      </c>
      <c r="G118" s="13">
        <f>IF(OR(A118="",B118=""),"",SUMIFS(Uploads!$G:$G,Uploads!$A:$A,$A118,Uploads!$B:$B,"&gt;="&amp;$B118,Uploads!$B:$B,"&lt;"&amp;EDATE($B118,1)))</f>
        <v/>
      </c>
      <c r="H118" s="13">
        <f>IF(OR(A118="",B118=""),"",COUNTIFS(Enquiries!$B:$B,$A118,Enquiries!$A:$A,"&gt;="&amp;$B118,Enquiries!$A:$A,"&lt;"&amp;EDATE($B118,1)))</f>
        <v/>
      </c>
      <c r="I118" s="13">
        <f>IF(OR(A118="",B118=""),"",COUNTIFS(Enquiries!$B:$B,$A118,Enquiries!$F:$F,"Booked",Enquiries!$A:$A,"&gt;="&amp;$B118,Enquiries!$A:$A,"&lt;"&amp;EDATE($B118,1))+COUNTIFS(Enquiries!$B:$B,$A118,Enquiries!$F:$F,"Bought",Enquiries!$A:$A,"&gt;="&amp;$B118,Enquiries!$A:$A,"&lt;"&amp;EDATE($B118,1)))</f>
        <v/>
      </c>
      <c r="J118" s="13">
        <f>IF(OR(A118="",B118=""),"",SUMIFS(Enquiries!$G:$G,Enquiries!$B:$B,$A118,Enquiries!$A:$A,"&gt;="&amp;$B118,Enquiries!$A:$A,"&lt;"&amp;EDATE($B118,1)))</f>
        <v/>
      </c>
      <c r="K118" s="13">
        <f>IF(C118="","",IFERROR(INDEX(Packages!$B:$B,MATCH(C118,Packages!$A:$A,0)),""))</f>
        <v/>
      </c>
      <c r="L118" s="13">
        <f>IF(OR(K118="",F118=""),"",K118*F118)</f>
        <v/>
      </c>
      <c r="M118" s="12" t="n"/>
      <c r="N118" s="12" t="n"/>
      <c r="O118" s="14" t="n"/>
      <c r="P118" s="12" t="n"/>
    </row>
    <row r="119">
      <c r="A119" s="12" t="n"/>
      <c r="B119" s="17" t="n"/>
      <c r="C119" s="24">
        <f>IF(A119="","",IFERROR(INDEX(Clients!$G:$G,MATCH(A119,Clients!$A:$A,0)),""))</f>
        <v/>
      </c>
      <c r="D119" s="13">
        <f>IF(C119="","",IFERROR(INDEX(Packages!$C:$C,MATCH(C119,Packages!$A:$A,0)),""))</f>
        <v/>
      </c>
      <c r="E119" s="13">
        <f>IF(OR(A119="",B119=""),"",COUNTIFS(Uploads!$A:$A,$A119,Uploads!$B:$B,"&gt;="&amp;$B119,Uploads!$B:$B,"&lt;"&amp;EDATE($B119,1)))</f>
        <v/>
      </c>
      <c r="F119" s="25">
        <f>IF(OR(D119="",D119=0,E119=""),"",MIN(1,E119/D119))</f>
        <v/>
      </c>
      <c r="G119" s="13">
        <f>IF(OR(A119="",B119=""),"",SUMIFS(Uploads!$G:$G,Uploads!$A:$A,$A119,Uploads!$B:$B,"&gt;="&amp;$B119,Uploads!$B:$B,"&lt;"&amp;EDATE($B119,1)))</f>
        <v/>
      </c>
      <c r="H119" s="13">
        <f>IF(OR(A119="",B119=""),"",COUNTIFS(Enquiries!$B:$B,$A119,Enquiries!$A:$A,"&gt;="&amp;$B119,Enquiries!$A:$A,"&lt;"&amp;EDATE($B119,1)))</f>
        <v/>
      </c>
      <c r="I119" s="13">
        <f>IF(OR(A119="",B119=""),"",COUNTIFS(Enquiries!$B:$B,$A119,Enquiries!$F:$F,"Booked",Enquiries!$A:$A,"&gt;="&amp;$B119,Enquiries!$A:$A,"&lt;"&amp;EDATE($B119,1))+COUNTIFS(Enquiries!$B:$B,$A119,Enquiries!$F:$F,"Bought",Enquiries!$A:$A,"&gt;="&amp;$B119,Enquiries!$A:$A,"&lt;"&amp;EDATE($B119,1)))</f>
        <v/>
      </c>
      <c r="J119" s="13">
        <f>IF(OR(A119="",B119=""),"",SUMIFS(Enquiries!$G:$G,Enquiries!$B:$B,$A119,Enquiries!$A:$A,"&gt;="&amp;$B119,Enquiries!$A:$A,"&lt;"&amp;EDATE($B119,1)))</f>
        <v/>
      </c>
      <c r="K119" s="13">
        <f>IF(C119="","",IFERROR(INDEX(Packages!$B:$B,MATCH(C119,Packages!$A:$A,0)),""))</f>
        <v/>
      </c>
      <c r="L119" s="13">
        <f>IF(OR(K119="",F119=""),"",K119*F119)</f>
        <v/>
      </c>
      <c r="M119" s="12" t="n"/>
      <c r="N119" s="12" t="n"/>
      <c r="O119" s="14" t="n"/>
      <c r="P119" s="12" t="n"/>
    </row>
    <row r="120">
      <c r="A120" s="12" t="n"/>
      <c r="B120" s="17" t="n"/>
      <c r="C120" s="24">
        <f>IF(A120="","",IFERROR(INDEX(Clients!$G:$G,MATCH(A120,Clients!$A:$A,0)),""))</f>
        <v/>
      </c>
      <c r="D120" s="13">
        <f>IF(C120="","",IFERROR(INDEX(Packages!$C:$C,MATCH(C120,Packages!$A:$A,0)),""))</f>
        <v/>
      </c>
      <c r="E120" s="13">
        <f>IF(OR(A120="",B120=""),"",COUNTIFS(Uploads!$A:$A,$A120,Uploads!$B:$B,"&gt;="&amp;$B120,Uploads!$B:$B,"&lt;"&amp;EDATE($B120,1)))</f>
        <v/>
      </c>
      <c r="F120" s="25">
        <f>IF(OR(D120="",D120=0,E120=""),"",MIN(1,E120/D120))</f>
        <v/>
      </c>
      <c r="G120" s="13">
        <f>IF(OR(A120="",B120=""),"",SUMIFS(Uploads!$G:$G,Uploads!$A:$A,$A120,Uploads!$B:$B,"&gt;="&amp;$B120,Uploads!$B:$B,"&lt;"&amp;EDATE($B120,1)))</f>
        <v/>
      </c>
      <c r="H120" s="13">
        <f>IF(OR(A120="",B120=""),"",COUNTIFS(Enquiries!$B:$B,$A120,Enquiries!$A:$A,"&gt;="&amp;$B120,Enquiries!$A:$A,"&lt;"&amp;EDATE($B120,1)))</f>
        <v/>
      </c>
      <c r="I120" s="13">
        <f>IF(OR(A120="",B120=""),"",COUNTIFS(Enquiries!$B:$B,$A120,Enquiries!$F:$F,"Booked",Enquiries!$A:$A,"&gt;="&amp;$B120,Enquiries!$A:$A,"&lt;"&amp;EDATE($B120,1))+COUNTIFS(Enquiries!$B:$B,$A120,Enquiries!$F:$F,"Bought",Enquiries!$A:$A,"&gt;="&amp;$B120,Enquiries!$A:$A,"&lt;"&amp;EDATE($B120,1)))</f>
        <v/>
      </c>
      <c r="J120" s="13">
        <f>IF(OR(A120="",B120=""),"",SUMIFS(Enquiries!$G:$G,Enquiries!$B:$B,$A120,Enquiries!$A:$A,"&gt;="&amp;$B120,Enquiries!$A:$A,"&lt;"&amp;EDATE($B120,1)))</f>
        <v/>
      </c>
      <c r="K120" s="13">
        <f>IF(C120="","",IFERROR(INDEX(Packages!$B:$B,MATCH(C120,Packages!$A:$A,0)),""))</f>
        <v/>
      </c>
      <c r="L120" s="13">
        <f>IF(OR(K120="",F120=""),"",K120*F120)</f>
        <v/>
      </c>
      <c r="M120" s="12" t="n"/>
      <c r="N120" s="12" t="n"/>
      <c r="O120" s="14" t="n"/>
      <c r="P120" s="12" t="n"/>
    </row>
    <row r="121">
      <c r="A121" s="12" t="n"/>
      <c r="B121" s="17" t="n"/>
      <c r="C121" s="24">
        <f>IF(A121="","",IFERROR(INDEX(Clients!$G:$G,MATCH(A121,Clients!$A:$A,0)),""))</f>
        <v/>
      </c>
      <c r="D121" s="13">
        <f>IF(C121="","",IFERROR(INDEX(Packages!$C:$C,MATCH(C121,Packages!$A:$A,0)),""))</f>
        <v/>
      </c>
      <c r="E121" s="13">
        <f>IF(OR(A121="",B121=""),"",COUNTIFS(Uploads!$A:$A,$A121,Uploads!$B:$B,"&gt;="&amp;$B121,Uploads!$B:$B,"&lt;"&amp;EDATE($B121,1)))</f>
        <v/>
      </c>
      <c r="F121" s="25">
        <f>IF(OR(D121="",D121=0,E121=""),"",MIN(1,E121/D121))</f>
        <v/>
      </c>
      <c r="G121" s="13">
        <f>IF(OR(A121="",B121=""),"",SUMIFS(Uploads!$G:$G,Uploads!$A:$A,$A121,Uploads!$B:$B,"&gt;="&amp;$B121,Uploads!$B:$B,"&lt;"&amp;EDATE($B121,1)))</f>
        <v/>
      </c>
      <c r="H121" s="13">
        <f>IF(OR(A121="",B121=""),"",COUNTIFS(Enquiries!$B:$B,$A121,Enquiries!$A:$A,"&gt;="&amp;$B121,Enquiries!$A:$A,"&lt;"&amp;EDATE($B121,1)))</f>
        <v/>
      </c>
      <c r="I121" s="13">
        <f>IF(OR(A121="",B121=""),"",COUNTIFS(Enquiries!$B:$B,$A121,Enquiries!$F:$F,"Booked",Enquiries!$A:$A,"&gt;="&amp;$B121,Enquiries!$A:$A,"&lt;"&amp;EDATE($B121,1))+COUNTIFS(Enquiries!$B:$B,$A121,Enquiries!$F:$F,"Bought",Enquiries!$A:$A,"&gt;="&amp;$B121,Enquiries!$A:$A,"&lt;"&amp;EDATE($B121,1)))</f>
        <v/>
      </c>
      <c r="J121" s="13">
        <f>IF(OR(A121="",B121=""),"",SUMIFS(Enquiries!$G:$G,Enquiries!$B:$B,$A121,Enquiries!$A:$A,"&gt;="&amp;$B121,Enquiries!$A:$A,"&lt;"&amp;EDATE($B121,1)))</f>
        <v/>
      </c>
      <c r="K121" s="13">
        <f>IF(C121="","",IFERROR(INDEX(Packages!$B:$B,MATCH(C121,Packages!$A:$A,0)),""))</f>
        <v/>
      </c>
      <c r="L121" s="13">
        <f>IF(OR(K121="",F121=""),"",K121*F121)</f>
        <v/>
      </c>
      <c r="M121" s="12" t="n"/>
      <c r="N121" s="12" t="n"/>
      <c r="O121" s="14" t="n"/>
      <c r="P121" s="12" t="n"/>
    </row>
    <row r="122">
      <c r="A122" s="12" t="n"/>
      <c r="B122" s="17" t="n"/>
      <c r="C122" s="24">
        <f>IF(A122="","",IFERROR(INDEX(Clients!$G:$G,MATCH(A122,Clients!$A:$A,0)),""))</f>
        <v/>
      </c>
      <c r="D122" s="13">
        <f>IF(C122="","",IFERROR(INDEX(Packages!$C:$C,MATCH(C122,Packages!$A:$A,0)),""))</f>
        <v/>
      </c>
      <c r="E122" s="13">
        <f>IF(OR(A122="",B122=""),"",COUNTIFS(Uploads!$A:$A,$A122,Uploads!$B:$B,"&gt;="&amp;$B122,Uploads!$B:$B,"&lt;"&amp;EDATE($B122,1)))</f>
        <v/>
      </c>
      <c r="F122" s="25">
        <f>IF(OR(D122="",D122=0,E122=""),"",MIN(1,E122/D122))</f>
        <v/>
      </c>
      <c r="G122" s="13">
        <f>IF(OR(A122="",B122=""),"",SUMIFS(Uploads!$G:$G,Uploads!$A:$A,$A122,Uploads!$B:$B,"&gt;="&amp;$B122,Uploads!$B:$B,"&lt;"&amp;EDATE($B122,1)))</f>
        <v/>
      </c>
      <c r="H122" s="13">
        <f>IF(OR(A122="",B122=""),"",COUNTIFS(Enquiries!$B:$B,$A122,Enquiries!$A:$A,"&gt;="&amp;$B122,Enquiries!$A:$A,"&lt;"&amp;EDATE($B122,1)))</f>
        <v/>
      </c>
      <c r="I122" s="13">
        <f>IF(OR(A122="",B122=""),"",COUNTIFS(Enquiries!$B:$B,$A122,Enquiries!$F:$F,"Booked",Enquiries!$A:$A,"&gt;="&amp;$B122,Enquiries!$A:$A,"&lt;"&amp;EDATE($B122,1))+COUNTIFS(Enquiries!$B:$B,$A122,Enquiries!$F:$F,"Bought",Enquiries!$A:$A,"&gt;="&amp;$B122,Enquiries!$A:$A,"&lt;"&amp;EDATE($B122,1)))</f>
        <v/>
      </c>
      <c r="J122" s="13">
        <f>IF(OR(A122="",B122=""),"",SUMIFS(Enquiries!$G:$G,Enquiries!$B:$B,$A122,Enquiries!$A:$A,"&gt;="&amp;$B122,Enquiries!$A:$A,"&lt;"&amp;EDATE($B122,1)))</f>
        <v/>
      </c>
      <c r="K122" s="13">
        <f>IF(C122="","",IFERROR(INDEX(Packages!$B:$B,MATCH(C122,Packages!$A:$A,0)),""))</f>
        <v/>
      </c>
      <c r="L122" s="13">
        <f>IF(OR(K122="",F122=""),"",K122*F122)</f>
        <v/>
      </c>
      <c r="M122" s="12" t="n"/>
      <c r="N122" s="12" t="n"/>
      <c r="O122" s="14" t="n"/>
      <c r="P122" s="12" t="n"/>
    </row>
    <row r="123">
      <c r="A123" s="12" t="n"/>
      <c r="B123" s="17" t="n"/>
      <c r="C123" s="24">
        <f>IF(A123="","",IFERROR(INDEX(Clients!$G:$G,MATCH(A123,Clients!$A:$A,0)),""))</f>
        <v/>
      </c>
      <c r="D123" s="13">
        <f>IF(C123="","",IFERROR(INDEX(Packages!$C:$C,MATCH(C123,Packages!$A:$A,0)),""))</f>
        <v/>
      </c>
      <c r="E123" s="13">
        <f>IF(OR(A123="",B123=""),"",COUNTIFS(Uploads!$A:$A,$A123,Uploads!$B:$B,"&gt;="&amp;$B123,Uploads!$B:$B,"&lt;"&amp;EDATE($B123,1)))</f>
        <v/>
      </c>
      <c r="F123" s="25">
        <f>IF(OR(D123="",D123=0,E123=""),"",MIN(1,E123/D123))</f>
        <v/>
      </c>
      <c r="G123" s="13">
        <f>IF(OR(A123="",B123=""),"",SUMIFS(Uploads!$G:$G,Uploads!$A:$A,$A123,Uploads!$B:$B,"&gt;="&amp;$B123,Uploads!$B:$B,"&lt;"&amp;EDATE($B123,1)))</f>
        <v/>
      </c>
      <c r="H123" s="13">
        <f>IF(OR(A123="",B123=""),"",COUNTIFS(Enquiries!$B:$B,$A123,Enquiries!$A:$A,"&gt;="&amp;$B123,Enquiries!$A:$A,"&lt;"&amp;EDATE($B123,1)))</f>
        <v/>
      </c>
      <c r="I123" s="13">
        <f>IF(OR(A123="",B123=""),"",COUNTIFS(Enquiries!$B:$B,$A123,Enquiries!$F:$F,"Booked",Enquiries!$A:$A,"&gt;="&amp;$B123,Enquiries!$A:$A,"&lt;"&amp;EDATE($B123,1))+COUNTIFS(Enquiries!$B:$B,$A123,Enquiries!$F:$F,"Bought",Enquiries!$A:$A,"&gt;="&amp;$B123,Enquiries!$A:$A,"&lt;"&amp;EDATE($B123,1)))</f>
        <v/>
      </c>
      <c r="J123" s="13">
        <f>IF(OR(A123="",B123=""),"",SUMIFS(Enquiries!$G:$G,Enquiries!$B:$B,$A123,Enquiries!$A:$A,"&gt;="&amp;$B123,Enquiries!$A:$A,"&lt;"&amp;EDATE($B123,1)))</f>
        <v/>
      </c>
      <c r="K123" s="13">
        <f>IF(C123="","",IFERROR(INDEX(Packages!$B:$B,MATCH(C123,Packages!$A:$A,0)),""))</f>
        <v/>
      </c>
      <c r="L123" s="13">
        <f>IF(OR(K123="",F123=""),"",K123*F123)</f>
        <v/>
      </c>
      <c r="M123" s="12" t="n"/>
      <c r="N123" s="12" t="n"/>
      <c r="O123" s="14" t="n"/>
      <c r="P123" s="12" t="n"/>
    </row>
    <row r="124">
      <c r="A124" s="12" t="n"/>
      <c r="B124" s="17" t="n"/>
      <c r="C124" s="24">
        <f>IF(A124="","",IFERROR(INDEX(Clients!$G:$G,MATCH(A124,Clients!$A:$A,0)),""))</f>
        <v/>
      </c>
      <c r="D124" s="13">
        <f>IF(C124="","",IFERROR(INDEX(Packages!$C:$C,MATCH(C124,Packages!$A:$A,0)),""))</f>
        <v/>
      </c>
      <c r="E124" s="13">
        <f>IF(OR(A124="",B124=""),"",COUNTIFS(Uploads!$A:$A,$A124,Uploads!$B:$B,"&gt;="&amp;$B124,Uploads!$B:$B,"&lt;"&amp;EDATE($B124,1)))</f>
        <v/>
      </c>
      <c r="F124" s="25">
        <f>IF(OR(D124="",D124=0,E124=""),"",MIN(1,E124/D124))</f>
        <v/>
      </c>
      <c r="G124" s="13">
        <f>IF(OR(A124="",B124=""),"",SUMIFS(Uploads!$G:$G,Uploads!$A:$A,$A124,Uploads!$B:$B,"&gt;="&amp;$B124,Uploads!$B:$B,"&lt;"&amp;EDATE($B124,1)))</f>
        <v/>
      </c>
      <c r="H124" s="13">
        <f>IF(OR(A124="",B124=""),"",COUNTIFS(Enquiries!$B:$B,$A124,Enquiries!$A:$A,"&gt;="&amp;$B124,Enquiries!$A:$A,"&lt;"&amp;EDATE($B124,1)))</f>
        <v/>
      </c>
      <c r="I124" s="13">
        <f>IF(OR(A124="",B124=""),"",COUNTIFS(Enquiries!$B:$B,$A124,Enquiries!$F:$F,"Booked",Enquiries!$A:$A,"&gt;="&amp;$B124,Enquiries!$A:$A,"&lt;"&amp;EDATE($B124,1))+COUNTIFS(Enquiries!$B:$B,$A124,Enquiries!$F:$F,"Bought",Enquiries!$A:$A,"&gt;="&amp;$B124,Enquiries!$A:$A,"&lt;"&amp;EDATE($B124,1)))</f>
        <v/>
      </c>
      <c r="J124" s="13">
        <f>IF(OR(A124="",B124=""),"",SUMIFS(Enquiries!$G:$G,Enquiries!$B:$B,$A124,Enquiries!$A:$A,"&gt;="&amp;$B124,Enquiries!$A:$A,"&lt;"&amp;EDATE($B124,1)))</f>
        <v/>
      </c>
      <c r="K124" s="13">
        <f>IF(C124="","",IFERROR(INDEX(Packages!$B:$B,MATCH(C124,Packages!$A:$A,0)),""))</f>
        <v/>
      </c>
      <c r="L124" s="13">
        <f>IF(OR(K124="",F124=""),"",K124*F124)</f>
        <v/>
      </c>
      <c r="M124" s="12" t="n"/>
      <c r="N124" s="12" t="n"/>
      <c r="O124" s="14" t="n"/>
      <c r="P124" s="12" t="n"/>
    </row>
    <row r="125">
      <c r="A125" s="12" t="n"/>
      <c r="B125" s="17" t="n"/>
      <c r="C125" s="24">
        <f>IF(A125="","",IFERROR(INDEX(Clients!$G:$G,MATCH(A125,Clients!$A:$A,0)),""))</f>
        <v/>
      </c>
      <c r="D125" s="13">
        <f>IF(C125="","",IFERROR(INDEX(Packages!$C:$C,MATCH(C125,Packages!$A:$A,0)),""))</f>
        <v/>
      </c>
      <c r="E125" s="13">
        <f>IF(OR(A125="",B125=""),"",COUNTIFS(Uploads!$A:$A,$A125,Uploads!$B:$B,"&gt;="&amp;$B125,Uploads!$B:$B,"&lt;"&amp;EDATE($B125,1)))</f>
        <v/>
      </c>
      <c r="F125" s="25">
        <f>IF(OR(D125="",D125=0,E125=""),"",MIN(1,E125/D125))</f>
        <v/>
      </c>
      <c r="G125" s="13">
        <f>IF(OR(A125="",B125=""),"",SUMIFS(Uploads!$G:$G,Uploads!$A:$A,$A125,Uploads!$B:$B,"&gt;="&amp;$B125,Uploads!$B:$B,"&lt;"&amp;EDATE($B125,1)))</f>
        <v/>
      </c>
      <c r="H125" s="13">
        <f>IF(OR(A125="",B125=""),"",COUNTIFS(Enquiries!$B:$B,$A125,Enquiries!$A:$A,"&gt;="&amp;$B125,Enquiries!$A:$A,"&lt;"&amp;EDATE($B125,1)))</f>
        <v/>
      </c>
      <c r="I125" s="13">
        <f>IF(OR(A125="",B125=""),"",COUNTIFS(Enquiries!$B:$B,$A125,Enquiries!$F:$F,"Booked",Enquiries!$A:$A,"&gt;="&amp;$B125,Enquiries!$A:$A,"&lt;"&amp;EDATE($B125,1))+COUNTIFS(Enquiries!$B:$B,$A125,Enquiries!$F:$F,"Bought",Enquiries!$A:$A,"&gt;="&amp;$B125,Enquiries!$A:$A,"&lt;"&amp;EDATE($B125,1)))</f>
        <v/>
      </c>
      <c r="J125" s="13">
        <f>IF(OR(A125="",B125=""),"",SUMIFS(Enquiries!$G:$G,Enquiries!$B:$B,$A125,Enquiries!$A:$A,"&gt;="&amp;$B125,Enquiries!$A:$A,"&lt;"&amp;EDATE($B125,1)))</f>
        <v/>
      </c>
      <c r="K125" s="13">
        <f>IF(C125="","",IFERROR(INDEX(Packages!$B:$B,MATCH(C125,Packages!$A:$A,0)),""))</f>
        <v/>
      </c>
      <c r="L125" s="13">
        <f>IF(OR(K125="",F125=""),"",K125*F125)</f>
        <v/>
      </c>
      <c r="M125" s="12" t="n"/>
      <c r="N125" s="12" t="n"/>
      <c r="O125" s="14" t="n"/>
      <c r="P125" s="12" t="n"/>
    </row>
    <row r="126">
      <c r="A126" s="12" t="n"/>
      <c r="B126" s="17" t="n"/>
      <c r="C126" s="24">
        <f>IF(A126="","",IFERROR(INDEX(Clients!$G:$G,MATCH(A126,Clients!$A:$A,0)),""))</f>
        <v/>
      </c>
      <c r="D126" s="13">
        <f>IF(C126="","",IFERROR(INDEX(Packages!$C:$C,MATCH(C126,Packages!$A:$A,0)),""))</f>
        <v/>
      </c>
      <c r="E126" s="13">
        <f>IF(OR(A126="",B126=""),"",COUNTIFS(Uploads!$A:$A,$A126,Uploads!$B:$B,"&gt;="&amp;$B126,Uploads!$B:$B,"&lt;"&amp;EDATE($B126,1)))</f>
        <v/>
      </c>
      <c r="F126" s="25">
        <f>IF(OR(D126="",D126=0,E126=""),"",MIN(1,E126/D126))</f>
        <v/>
      </c>
      <c r="G126" s="13">
        <f>IF(OR(A126="",B126=""),"",SUMIFS(Uploads!$G:$G,Uploads!$A:$A,$A126,Uploads!$B:$B,"&gt;="&amp;$B126,Uploads!$B:$B,"&lt;"&amp;EDATE($B126,1)))</f>
        <v/>
      </c>
      <c r="H126" s="13">
        <f>IF(OR(A126="",B126=""),"",COUNTIFS(Enquiries!$B:$B,$A126,Enquiries!$A:$A,"&gt;="&amp;$B126,Enquiries!$A:$A,"&lt;"&amp;EDATE($B126,1)))</f>
        <v/>
      </c>
      <c r="I126" s="13">
        <f>IF(OR(A126="",B126=""),"",COUNTIFS(Enquiries!$B:$B,$A126,Enquiries!$F:$F,"Booked",Enquiries!$A:$A,"&gt;="&amp;$B126,Enquiries!$A:$A,"&lt;"&amp;EDATE($B126,1))+COUNTIFS(Enquiries!$B:$B,$A126,Enquiries!$F:$F,"Bought",Enquiries!$A:$A,"&gt;="&amp;$B126,Enquiries!$A:$A,"&lt;"&amp;EDATE($B126,1)))</f>
        <v/>
      </c>
      <c r="J126" s="13">
        <f>IF(OR(A126="",B126=""),"",SUMIFS(Enquiries!$G:$G,Enquiries!$B:$B,$A126,Enquiries!$A:$A,"&gt;="&amp;$B126,Enquiries!$A:$A,"&lt;"&amp;EDATE($B126,1)))</f>
        <v/>
      </c>
      <c r="K126" s="13">
        <f>IF(C126="","",IFERROR(INDEX(Packages!$B:$B,MATCH(C126,Packages!$A:$A,0)),""))</f>
        <v/>
      </c>
      <c r="L126" s="13">
        <f>IF(OR(K126="",F126=""),"",K126*F126)</f>
        <v/>
      </c>
      <c r="M126" s="12" t="n"/>
      <c r="N126" s="12" t="n"/>
      <c r="O126" s="14" t="n"/>
      <c r="P126" s="12" t="n"/>
    </row>
    <row r="127">
      <c r="A127" s="12" t="n"/>
      <c r="B127" s="17" t="n"/>
      <c r="C127" s="24">
        <f>IF(A127="","",IFERROR(INDEX(Clients!$G:$G,MATCH(A127,Clients!$A:$A,0)),""))</f>
        <v/>
      </c>
      <c r="D127" s="13">
        <f>IF(C127="","",IFERROR(INDEX(Packages!$C:$C,MATCH(C127,Packages!$A:$A,0)),""))</f>
        <v/>
      </c>
      <c r="E127" s="13">
        <f>IF(OR(A127="",B127=""),"",COUNTIFS(Uploads!$A:$A,$A127,Uploads!$B:$B,"&gt;="&amp;$B127,Uploads!$B:$B,"&lt;"&amp;EDATE($B127,1)))</f>
        <v/>
      </c>
      <c r="F127" s="25">
        <f>IF(OR(D127="",D127=0,E127=""),"",MIN(1,E127/D127))</f>
        <v/>
      </c>
      <c r="G127" s="13">
        <f>IF(OR(A127="",B127=""),"",SUMIFS(Uploads!$G:$G,Uploads!$A:$A,$A127,Uploads!$B:$B,"&gt;="&amp;$B127,Uploads!$B:$B,"&lt;"&amp;EDATE($B127,1)))</f>
        <v/>
      </c>
      <c r="H127" s="13">
        <f>IF(OR(A127="",B127=""),"",COUNTIFS(Enquiries!$B:$B,$A127,Enquiries!$A:$A,"&gt;="&amp;$B127,Enquiries!$A:$A,"&lt;"&amp;EDATE($B127,1)))</f>
        <v/>
      </c>
      <c r="I127" s="13">
        <f>IF(OR(A127="",B127=""),"",COUNTIFS(Enquiries!$B:$B,$A127,Enquiries!$F:$F,"Booked",Enquiries!$A:$A,"&gt;="&amp;$B127,Enquiries!$A:$A,"&lt;"&amp;EDATE($B127,1))+COUNTIFS(Enquiries!$B:$B,$A127,Enquiries!$F:$F,"Bought",Enquiries!$A:$A,"&gt;="&amp;$B127,Enquiries!$A:$A,"&lt;"&amp;EDATE($B127,1)))</f>
        <v/>
      </c>
      <c r="J127" s="13">
        <f>IF(OR(A127="",B127=""),"",SUMIFS(Enquiries!$G:$G,Enquiries!$B:$B,$A127,Enquiries!$A:$A,"&gt;="&amp;$B127,Enquiries!$A:$A,"&lt;"&amp;EDATE($B127,1)))</f>
        <v/>
      </c>
      <c r="K127" s="13">
        <f>IF(C127="","",IFERROR(INDEX(Packages!$B:$B,MATCH(C127,Packages!$A:$A,0)),""))</f>
        <v/>
      </c>
      <c r="L127" s="13">
        <f>IF(OR(K127="",F127=""),"",K127*F127)</f>
        <v/>
      </c>
      <c r="M127" s="12" t="n"/>
      <c r="N127" s="12" t="n"/>
      <c r="O127" s="14" t="n"/>
      <c r="P127" s="12" t="n"/>
    </row>
    <row r="128">
      <c r="A128" s="12" t="n"/>
      <c r="B128" s="17" t="n"/>
      <c r="C128" s="24">
        <f>IF(A128="","",IFERROR(INDEX(Clients!$G:$G,MATCH(A128,Clients!$A:$A,0)),""))</f>
        <v/>
      </c>
      <c r="D128" s="13">
        <f>IF(C128="","",IFERROR(INDEX(Packages!$C:$C,MATCH(C128,Packages!$A:$A,0)),""))</f>
        <v/>
      </c>
      <c r="E128" s="13">
        <f>IF(OR(A128="",B128=""),"",COUNTIFS(Uploads!$A:$A,$A128,Uploads!$B:$B,"&gt;="&amp;$B128,Uploads!$B:$B,"&lt;"&amp;EDATE($B128,1)))</f>
        <v/>
      </c>
      <c r="F128" s="25">
        <f>IF(OR(D128="",D128=0,E128=""),"",MIN(1,E128/D128))</f>
        <v/>
      </c>
      <c r="G128" s="13">
        <f>IF(OR(A128="",B128=""),"",SUMIFS(Uploads!$G:$G,Uploads!$A:$A,$A128,Uploads!$B:$B,"&gt;="&amp;$B128,Uploads!$B:$B,"&lt;"&amp;EDATE($B128,1)))</f>
        <v/>
      </c>
      <c r="H128" s="13">
        <f>IF(OR(A128="",B128=""),"",COUNTIFS(Enquiries!$B:$B,$A128,Enquiries!$A:$A,"&gt;="&amp;$B128,Enquiries!$A:$A,"&lt;"&amp;EDATE($B128,1)))</f>
        <v/>
      </c>
      <c r="I128" s="13">
        <f>IF(OR(A128="",B128=""),"",COUNTIFS(Enquiries!$B:$B,$A128,Enquiries!$F:$F,"Booked",Enquiries!$A:$A,"&gt;="&amp;$B128,Enquiries!$A:$A,"&lt;"&amp;EDATE($B128,1))+COUNTIFS(Enquiries!$B:$B,$A128,Enquiries!$F:$F,"Bought",Enquiries!$A:$A,"&gt;="&amp;$B128,Enquiries!$A:$A,"&lt;"&amp;EDATE($B128,1)))</f>
        <v/>
      </c>
      <c r="J128" s="13">
        <f>IF(OR(A128="",B128=""),"",SUMIFS(Enquiries!$G:$G,Enquiries!$B:$B,$A128,Enquiries!$A:$A,"&gt;="&amp;$B128,Enquiries!$A:$A,"&lt;"&amp;EDATE($B128,1)))</f>
        <v/>
      </c>
      <c r="K128" s="13">
        <f>IF(C128="","",IFERROR(INDEX(Packages!$B:$B,MATCH(C128,Packages!$A:$A,0)),""))</f>
        <v/>
      </c>
      <c r="L128" s="13">
        <f>IF(OR(K128="",F128=""),"",K128*F128)</f>
        <v/>
      </c>
      <c r="M128" s="12" t="n"/>
      <c r="N128" s="12" t="n"/>
      <c r="O128" s="14" t="n"/>
      <c r="P128" s="12" t="n"/>
    </row>
    <row r="129">
      <c r="A129" s="12" t="n"/>
      <c r="B129" s="17" t="n"/>
      <c r="C129" s="24">
        <f>IF(A129="","",IFERROR(INDEX(Clients!$G:$G,MATCH(A129,Clients!$A:$A,0)),""))</f>
        <v/>
      </c>
      <c r="D129" s="13">
        <f>IF(C129="","",IFERROR(INDEX(Packages!$C:$C,MATCH(C129,Packages!$A:$A,0)),""))</f>
        <v/>
      </c>
      <c r="E129" s="13">
        <f>IF(OR(A129="",B129=""),"",COUNTIFS(Uploads!$A:$A,$A129,Uploads!$B:$B,"&gt;="&amp;$B129,Uploads!$B:$B,"&lt;"&amp;EDATE($B129,1)))</f>
        <v/>
      </c>
      <c r="F129" s="25">
        <f>IF(OR(D129="",D129=0,E129=""),"",MIN(1,E129/D129))</f>
        <v/>
      </c>
      <c r="G129" s="13">
        <f>IF(OR(A129="",B129=""),"",SUMIFS(Uploads!$G:$G,Uploads!$A:$A,$A129,Uploads!$B:$B,"&gt;="&amp;$B129,Uploads!$B:$B,"&lt;"&amp;EDATE($B129,1)))</f>
        <v/>
      </c>
      <c r="H129" s="13">
        <f>IF(OR(A129="",B129=""),"",COUNTIFS(Enquiries!$B:$B,$A129,Enquiries!$A:$A,"&gt;="&amp;$B129,Enquiries!$A:$A,"&lt;"&amp;EDATE($B129,1)))</f>
        <v/>
      </c>
      <c r="I129" s="13">
        <f>IF(OR(A129="",B129=""),"",COUNTIFS(Enquiries!$B:$B,$A129,Enquiries!$F:$F,"Booked",Enquiries!$A:$A,"&gt;="&amp;$B129,Enquiries!$A:$A,"&lt;"&amp;EDATE($B129,1))+COUNTIFS(Enquiries!$B:$B,$A129,Enquiries!$F:$F,"Bought",Enquiries!$A:$A,"&gt;="&amp;$B129,Enquiries!$A:$A,"&lt;"&amp;EDATE($B129,1)))</f>
        <v/>
      </c>
      <c r="J129" s="13">
        <f>IF(OR(A129="",B129=""),"",SUMIFS(Enquiries!$G:$G,Enquiries!$B:$B,$A129,Enquiries!$A:$A,"&gt;="&amp;$B129,Enquiries!$A:$A,"&lt;"&amp;EDATE($B129,1)))</f>
        <v/>
      </c>
      <c r="K129" s="13">
        <f>IF(C129="","",IFERROR(INDEX(Packages!$B:$B,MATCH(C129,Packages!$A:$A,0)),""))</f>
        <v/>
      </c>
      <c r="L129" s="13">
        <f>IF(OR(K129="",F129=""),"",K129*F129)</f>
        <v/>
      </c>
      <c r="M129" s="12" t="n"/>
      <c r="N129" s="12" t="n"/>
      <c r="O129" s="14" t="n"/>
      <c r="P129" s="12" t="n"/>
    </row>
    <row r="130">
      <c r="A130" s="12" t="n"/>
      <c r="B130" s="17" t="n"/>
      <c r="C130" s="24">
        <f>IF(A130="","",IFERROR(INDEX(Clients!$G:$G,MATCH(A130,Clients!$A:$A,0)),""))</f>
        <v/>
      </c>
      <c r="D130" s="13">
        <f>IF(C130="","",IFERROR(INDEX(Packages!$C:$C,MATCH(C130,Packages!$A:$A,0)),""))</f>
        <v/>
      </c>
      <c r="E130" s="13">
        <f>IF(OR(A130="",B130=""),"",COUNTIFS(Uploads!$A:$A,$A130,Uploads!$B:$B,"&gt;="&amp;$B130,Uploads!$B:$B,"&lt;"&amp;EDATE($B130,1)))</f>
        <v/>
      </c>
      <c r="F130" s="25">
        <f>IF(OR(D130="",D130=0,E130=""),"",MIN(1,E130/D130))</f>
        <v/>
      </c>
      <c r="G130" s="13">
        <f>IF(OR(A130="",B130=""),"",SUMIFS(Uploads!$G:$G,Uploads!$A:$A,$A130,Uploads!$B:$B,"&gt;="&amp;$B130,Uploads!$B:$B,"&lt;"&amp;EDATE($B130,1)))</f>
        <v/>
      </c>
      <c r="H130" s="13">
        <f>IF(OR(A130="",B130=""),"",COUNTIFS(Enquiries!$B:$B,$A130,Enquiries!$A:$A,"&gt;="&amp;$B130,Enquiries!$A:$A,"&lt;"&amp;EDATE($B130,1)))</f>
        <v/>
      </c>
      <c r="I130" s="13">
        <f>IF(OR(A130="",B130=""),"",COUNTIFS(Enquiries!$B:$B,$A130,Enquiries!$F:$F,"Booked",Enquiries!$A:$A,"&gt;="&amp;$B130,Enquiries!$A:$A,"&lt;"&amp;EDATE($B130,1))+COUNTIFS(Enquiries!$B:$B,$A130,Enquiries!$F:$F,"Bought",Enquiries!$A:$A,"&gt;="&amp;$B130,Enquiries!$A:$A,"&lt;"&amp;EDATE($B130,1)))</f>
        <v/>
      </c>
      <c r="J130" s="13">
        <f>IF(OR(A130="",B130=""),"",SUMIFS(Enquiries!$G:$G,Enquiries!$B:$B,$A130,Enquiries!$A:$A,"&gt;="&amp;$B130,Enquiries!$A:$A,"&lt;"&amp;EDATE($B130,1)))</f>
        <v/>
      </c>
      <c r="K130" s="13">
        <f>IF(C130="","",IFERROR(INDEX(Packages!$B:$B,MATCH(C130,Packages!$A:$A,0)),""))</f>
        <v/>
      </c>
      <c r="L130" s="13">
        <f>IF(OR(K130="",F130=""),"",K130*F130)</f>
        <v/>
      </c>
      <c r="M130" s="12" t="n"/>
      <c r="N130" s="12" t="n"/>
      <c r="O130" s="14" t="n"/>
      <c r="P130" s="12" t="n"/>
    </row>
    <row r="131">
      <c r="A131" s="12" t="n"/>
      <c r="B131" s="17" t="n"/>
      <c r="C131" s="24">
        <f>IF(A131="","",IFERROR(INDEX(Clients!$G:$G,MATCH(A131,Clients!$A:$A,0)),""))</f>
        <v/>
      </c>
      <c r="D131" s="13">
        <f>IF(C131="","",IFERROR(INDEX(Packages!$C:$C,MATCH(C131,Packages!$A:$A,0)),""))</f>
        <v/>
      </c>
      <c r="E131" s="13">
        <f>IF(OR(A131="",B131=""),"",COUNTIFS(Uploads!$A:$A,$A131,Uploads!$B:$B,"&gt;="&amp;$B131,Uploads!$B:$B,"&lt;"&amp;EDATE($B131,1)))</f>
        <v/>
      </c>
      <c r="F131" s="25">
        <f>IF(OR(D131="",D131=0,E131=""),"",MIN(1,E131/D131))</f>
        <v/>
      </c>
      <c r="G131" s="13">
        <f>IF(OR(A131="",B131=""),"",SUMIFS(Uploads!$G:$G,Uploads!$A:$A,$A131,Uploads!$B:$B,"&gt;="&amp;$B131,Uploads!$B:$B,"&lt;"&amp;EDATE($B131,1)))</f>
        <v/>
      </c>
      <c r="H131" s="13">
        <f>IF(OR(A131="",B131=""),"",COUNTIFS(Enquiries!$B:$B,$A131,Enquiries!$A:$A,"&gt;="&amp;$B131,Enquiries!$A:$A,"&lt;"&amp;EDATE($B131,1)))</f>
        <v/>
      </c>
      <c r="I131" s="13">
        <f>IF(OR(A131="",B131=""),"",COUNTIFS(Enquiries!$B:$B,$A131,Enquiries!$F:$F,"Booked",Enquiries!$A:$A,"&gt;="&amp;$B131,Enquiries!$A:$A,"&lt;"&amp;EDATE($B131,1))+COUNTIFS(Enquiries!$B:$B,$A131,Enquiries!$F:$F,"Bought",Enquiries!$A:$A,"&gt;="&amp;$B131,Enquiries!$A:$A,"&lt;"&amp;EDATE($B131,1)))</f>
        <v/>
      </c>
      <c r="J131" s="13">
        <f>IF(OR(A131="",B131=""),"",SUMIFS(Enquiries!$G:$G,Enquiries!$B:$B,$A131,Enquiries!$A:$A,"&gt;="&amp;$B131,Enquiries!$A:$A,"&lt;"&amp;EDATE($B131,1)))</f>
        <v/>
      </c>
      <c r="K131" s="13">
        <f>IF(C131="","",IFERROR(INDEX(Packages!$B:$B,MATCH(C131,Packages!$A:$A,0)),""))</f>
        <v/>
      </c>
      <c r="L131" s="13">
        <f>IF(OR(K131="",F131=""),"",K131*F131)</f>
        <v/>
      </c>
      <c r="M131" s="12" t="n"/>
      <c r="N131" s="12" t="n"/>
      <c r="O131" s="14" t="n"/>
      <c r="P131" s="12" t="n"/>
    </row>
    <row r="132">
      <c r="A132" s="12" t="n"/>
      <c r="B132" s="17" t="n"/>
      <c r="C132" s="24">
        <f>IF(A132="","",IFERROR(INDEX(Clients!$G:$G,MATCH(A132,Clients!$A:$A,0)),""))</f>
        <v/>
      </c>
      <c r="D132" s="13">
        <f>IF(C132="","",IFERROR(INDEX(Packages!$C:$C,MATCH(C132,Packages!$A:$A,0)),""))</f>
        <v/>
      </c>
      <c r="E132" s="13">
        <f>IF(OR(A132="",B132=""),"",COUNTIFS(Uploads!$A:$A,$A132,Uploads!$B:$B,"&gt;="&amp;$B132,Uploads!$B:$B,"&lt;"&amp;EDATE($B132,1)))</f>
        <v/>
      </c>
      <c r="F132" s="25">
        <f>IF(OR(D132="",D132=0,E132=""),"",MIN(1,E132/D132))</f>
        <v/>
      </c>
      <c r="G132" s="13">
        <f>IF(OR(A132="",B132=""),"",SUMIFS(Uploads!$G:$G,Uploads!$A:$A,$A132,Uploads!$B:$B,"&gt;="&amp;$B132,Uploads!$B:$B,"&lt;"&amp;EDATE($B132,1)))</f>
        <v/>
      </c>
      <c r="H132" s="13">
        <f>IF(OR(A132="",B132=""),"",COUNTIFS(Enquiries!$B:$B,$A132,Enquiries!$A:$A,"&gt;="&amp;$B132,Enquiries!$A:$A,"&lt;"&amp;EDATE($B132,1)))</f>
        <v/>
      </c>
      <c r="I132" s="13">
        <f>IF(OR(A132="",B132=""),"",COUNTIFS(Enquiries!$B:$B,$A132,Enquiries!$F:$F,"Booked",Enquiries!$A:$A,"&gt;="&amp;$B132,Enquiries!$A:$A,"&lt;"&amp;EDATE($B132,1))+COUNTIFS(Enquiries!$B:$B,$A132,Enquiries!$F:$F,"Bought",Enquiries!$A:$A,"&gt;="&amp;$B132,Enquiries!$A:$A,"&lt;"&amp;EDATE($B132,1)))</f>
        <v/>
      </c>
      <c r="J132" s="13">
        <f>IF(OR(A132="",B132=""),"",SUMIFS(Enquiries!$G:$G,Enquiries!$B:$B,$A132,Enquiries!$A:$A,"&gt;="&amp;$B132,Enquiries!$A:$A,"&lt;"&amp;EDATE($B132,1)))</f>
        <v/>
      </c>
      <c r="K132" s="13">
        <f>IF(C132="","",IFERROR(INDEX(Packages!$B:$B,MATCH(C132,Packages!$A:$A,0)),""))</f>
        <v/>
      </c>
      <c r="L132" s="13">
        <f>IF(OR(K132="",F132=""),"",K132*F132)</f>
        <v/>
      </c>
      <c r="M132" s="12" t="n"/>
      <c r="N132" s="12" t="n"/>
      <c r="O132" s="14" t="n"/>
      <c r="P132" s="12" t="n"/>
    </row>
    <row r="133">
      <c r="A133" s="12" t="n"/>
      <c r="B133" s="17" t="n"/>
      <c r="C133" s="24">
        <f>IF(A133="","",IFERROR(INDEX(Clients!$G:$G,MATCH(A133,Clients!$A:$A,0)),""))</f>
        <v/>
      </c>
      <c r="D133" s="13">
        <f>IF(C133="","",IFERROR(INDEX(Packages!$C:$C,MATCH(C133,Packages!$A:$A,0)),""))</f>
        <v/>
      </c>
      <c r="E133" s="13">
        <f>IF(OR(A133="",B133=""),"",COUNTIFS(Uploads!$A:$A,$A133,Uploads!$B:$B,"&gt;="&amp;$B133,Uploads!$B:$B,"&lt;"&amp;EDATE($B133,1)))</f>
        <v/>
      </c>
      <c r="F133" s="25">
        <f>IF(OR(D133="",D133=0,E133=""),"",MIN(1,E133/D133))</f>
        <v/>
      </c>
      <c r="G133" s="13">
        <f>IF(OR(A133="",B133=""),"",SUMIFS(Uploads!$G:$G,Uploads!$A:$A,$A133,Uploads!$B:$B,"&gt;="&amp;$B133,Uploads!$B:$B,"&lt;"&amp;EDATE($B133,1)))</f>
        <v/>
      </c>
      <c r="H133" s="13">
        <f>IF(OR(A133="",B133=""),"",COUNTIFS(Enquiries!$B:$B,$A133,Enquiries!$A:$A,"&gt;="&amp;$B133,Enquiries!$A:$A,"&lt;"&amp;EDATE($B133,1)))</f>
        <v/>
      </c>
      <c r="I133" s="13">
        <f>IF(OR(A133="",B133=""),"",COUNTIFS(Enquiries!$B:$B,$A133,Enquiries!$F:$F,"Booked",Enquiries!$A:$A,"&gt;="&amp;$B133,Enquiries!$A:$A,"&lt;"&amp;EDATE($B133,1))+COUNTIFS(Enquiries!$B:$B,$A133,Enquiries!$F:$F,"Bought",Enquiries!$A:$A,"&gt;="&amp;$B133,Enquiries!$A:$A,"&lt;"&amp;EDATE($B133,1)))</f>
        <v/>
      </c>
      <c r="J133" s="13">
        <f>IF(OR(A133="",B133=""),"",SUMIFS(Enquiries!$G:$G,Enquiries!$B:$B,$A133,Enquiries!$A:$A,"&gt;="&amp;$B133,Enquiries!$A:$A,"&lt;"&amp;EDATE($B133,1)))</f>
        <v/>
      </c>
      <c r="K133" s="13">
        <f>IF(C133="","",IFERROR(INDEX(Packages!$B:$B,MATCH(C133,Packages!$A:$A,0)),""))</f>
        <v/>
      </c>
      <c r="L133" s="13">
        <f>IF(OR(K133="",F133=""),"",K133*F133)</f>
        <v/>
      </c>
      <c r="M133" s="12" t="n"/>
      <c r="N133" s="12" t="n"/>
      <c r="O133" s="14" t="n"/>
      <c r="P133" s="12" t="n"/>
    </row>
    <row r="134">
      <c r="A134" s="12" t="n"/>
      <c r="B134" s="17" t="n"/>
      <c r="C134" s="24">
        <f>IF(A134="","",IFERROR(INDEX(Clients!$G:$G,MATCH(A134,Clients!$A:$A,0)),""))</f>
        <v/>
      </c>
      <c r="D134" s="13">
        <f>IF(C134="","",IFERROR(INDEX(Packages!$C:$C,MATCH(C134,Packages!$A:$A,0)),""))</f>
        <v/>
      </c>
      <c r="E134" s="13">
        <f>IF(OR(A134="",B134=""),"",COUNTIFS(Uploads!$A:$A,$A134,Uploads!$B:$B,"&gt;="&amp;$B134,Uploads!$B:$B,"&lt;"&amp;EDATE($B134,1)))</f>
        <v/>
      </c>
      <c r="F134" s="25">
        <f>IF(OR(D134="",D134=0,E134=""),"",MIN(1,E134/D134))</f>
        <v/>
      </c>
      <c r="G134" s="13">
        <f>IF(OR(A134="",B134=""),"",SUMIFS(Uploads!$G:$G,Uploads!$A:$A,$A134,Uploads!$B:$B,"&gt;="&amp;$B134,Uploads!$B:$B,"&lt;"&amp;EDATE($B134,1)))</f>
        <v/>
      </c>
      <c r="H134" s="13">
        <f>IF(OR(A134="",B134=""),"",COUNTIFS(Enquiries!$B:$B,$A134,Enquiries!$A:$A,"&gt;="&amp;$B134,Enquiries!$A:$A,"&lt;"&amp;EDATE($B134,1)))</f>
        <v/>
      </c>
      <c r="I134" s="13">
        <f>IF(OR(A134="",B134=""),"",COUNTIFS(Enquiries!$B:$B,$A134,Enquiries!$F:$F,"Booked",Enquiries!$A:$A,"&gt;="&amp;$B134,Enquiries!$A:$A,"&lt;"&amp;EDATE($B134,1))+COUNTIFS(Enquiries!$B:$B,$A134,Enquiries!$F:$F,"Bought",Enquiries!$A:$A,"&gt;="&amp;$B134,Enquiries!$A:$A,"&lt;"&amp;EDATE($B134,1)))</f>
        <v/>
      </c>
      <c r="J134" s="13">
        <f>IF(OR(A134="",B134=""),"",SUMIFS(Enquiries!$G:$G,Enquiries!$B:$B,$A134,Enquiries!$A:$A,"&gt;="&amp;$B134,Enquiries!$A:$A,"&lt;"&amp;EDATE($B134,1)))</f>
        <v/>
      </c>
      <c r="K134" s="13">
        <f>IF(C134="","",IFERROR(INDEX(Packages!$B:$B,MATCH(C134,Packages!$A:$A,0)),""))</f>
        <v/>
      </c>
      <c r="L134" s="13">
        <f>IF(OR(K134="",F134=""),"",K134*F134)</f>
        <v/>
      </c>
      <c r="M134" s="12" t="n"/>
      <c r="N134" s="12" t="n"/>
      <c r="O134" s="14" t="n"/>
      <c r="P134" s="12" t="n"/>
    </row>
    <row r="135">
      <c r="A135" s="12" t="n"/>
      <c r="B135" s="17" t="n"/>
      <c r="C135" s="24">
        <f>IF(A135="","",IFERROR(INDEX(Clients!$G:$G,MATCH(A135,Clients!$A:$A,0)),""))</f>
        <v/>
      </c>
      <c r="D135" s="13">
        <f>IF(C135="","",IFERROR(INDEX(Packages!$C:$C,MATCH(C135,Packages!$A:$A,0)),""))</f>
        <v/>
      </c>
      <c r="E135" s="13">
        <f>IF(OR(A135="",B135=""),"",COUNTIFS(Uploads!$A:$A,$A135,Uploads!$B:$B,"&gt;="&amp;$B135,Uploads!$B:$B,"&lt;"&amp;EDATE($B135,1)))</f>
        <v/>
      </c>
      <c r="F135" s="25">
        <f>IF(OR(D135="",D135=0,E135=""),"",MIN(1,E135/D135))</f>
        <v/>
      </c>
      <c r="G135" s="13">
        <f>IF(OR(A135="",B135=""),"",SUMIFS(Uploads!$G:$G,Uploads!$A:$A,$A135,Uploads!$B:$B,"&gt;="&amp;$B135,Uploads!$B:$B,"&lt;"&amp;EDATE($B135,1)))</f>
        <v/>
      </c>
      <c r="H135" s="13">
        <f>IF(OR(A135="",B135=""),"",COUNTIFS(Enquiries!$B:$B,$A135,Enquiries!$A:$A,"&gt;="&amp;$B135,Enquiries!$A:$A,"&lt;"&amp;EDATE($B135,1)))</f>
        <v/>
      </c>
      <c r="I135" s="13">
        <f>IF(OR(A135="",B135=""),"",COUNTIFS(Enquiries!$B:$B,$A135,Enquiries!$F:$F,"Booked",Enquiries!$A:$A,"&gt;="&amp;$B135,Enquiries!$A:$A,"&lt;"&amp;EDATE($B135,1))+COUNTIFS(Enquiries!$B:$B,$A135,Enquiries!$F:$F,"Bought",Enquiries!$A:$A,"&gt;="&amp;$B135,Enquiries!$A:$A,"&lt;"&amp;EDATE($B135,1)))</f>
        <v/>
      </c>
      <c r="J135" s="13">
        <f>IF(OR(A135="",B135=""),"",SUMIFS(Enquiries!$G:$G,Enquiries!$B:$B,$A135,Enquiries!$A:$A,"&gt;="&amp;$B135,Enquiries!$A:$A,"&lt;"&amp;EDATE($B135,1)))</f>
        <v/>
      </c>
      <c r="K135" s="13">
        <f>IF(C135="","",IFERROR(INDEX(Packages!$B:$B,MATCH(C135,Packages!$A:$A,0)),""))</f>
        <v/>
      </c>
      <c r="L135" s="13">
        <f>IF(OR(K135="",F135=""),"",K135*F135)</f>
        <v/>
      </c>
      <c r="M135" s="12" t="n"/>
      <c r="N135" s="12" t="n"/>
      <c r="O135" s="14" t="n"/>
      <c r="P135" s="12" t="n"/>
    </row>
    <row r="136">
      <c r="A136" s="12" t="n"/>
      <c r="B136" s="17" t="n"/>
      <c r="C136" s="24">
        <f>IF(A136="","",IFERROR(INDEX(Clients!$G:$G,MATCH(A136,Clients!$A:$A,0)),""))</f>
        <v/>
      </c>
      <c r="D136" s="13">
        <f>IF(C136="","",IFERROR(INDEX(Packages!$C:$C,MATCH(C136,Packages!$A:$A,0)),""))</f>
        <v/>
      </c>
      <c r="E136" s="13">
        <f>IF(OR(A136="",B136=""),"",COUNTIFS(Uploads!$A:$A,$A136,Uploads!$B:$B,"&gt;="&amp;$B136,Uploads!$B:$B,"&lt;"&amp;EDATE($B136,1)))</f>
        <v/>
      </c>
      <c r="F136" s="25">
        <f>IF(OR(D136="",D136=0,E136=""),"",MIN(1,E136/D136))</f>
        <v/>
      </c>
      <c r="G136" s="13">
        <f>IF(OR(A136="",B136=""),"",SUMIFS(Uploads!$G:$G,Uploads!$A:$A,$A136,Uploads!$B:$B,"&gt;="&amp;$B136,Uploads!$B:$B,"&lt;"&amp;EDATE($B136,1)))</f>
        <v/>
      </c>
      <c r="H136" s="13">
        <f>IF(OR(A136="",B136=""),"",COUNTIFS(Enquiries!$B:$B,$A136,Enquiries!$A:$A,"&gt;="&amp;$B136,Enquiries!$A:$A,"&lt;"&amp;EDATE($B136,1)))</f>
        <v/>
      </c>
      <c r="I136" s="13">
        <f>IF(OR(A136="",B136=""),"",COUNTIFS(Enquiries!$B:$B,$A136,Enquiries!$F:$F,"Booked",Enquiries!$A:$A,"&gt;="&amp;$B136,Enquiries!$A:$A,"&lt;"&amp;EDATE($B136,1))+COUNTIFS(Enquiries!$B:$B,$A136,Enquiries!$F:$F,"Bought",Enquiries!$A:$A,"&gt;="&amp;$B136,Enquiries!$A:$A,"&lt;"&amp;EDATE($B136,1)))</f>
        <v/>
      </c>
      <c r="J136" s="13">
        <f>IF(OR(A136="",B136=""),"",SUMIFS(Enquiries!$G:$G,Enquiries!$B:$B,$A136,Enquiries!$A:$A,"&gt;="&amp;$B136,Enquiries!$A:$A,"&lt;"&amp;EDATE($B136,1)))</f>
        <v/>
      </c>
      <c r="K136" s="13">
        <f>IF(C136="","",IFERROR(INDEX(Packages!$B:$B,MATCH(C136,Packages!$A:$A,0)),""))</f>
        <v/>
      </c>
      <c r="L136" s="13">
        <f>IF(OR(K136="",F136=""),"",K136*F136)</f>
        <v/>
      </c>
      <c r="M136" s="12" t="n"/>
      <c r="N136" s="12" t="n"/>
      <c r="O136" s="14" t="n"/>
      <c r="P136" s="12" t="n"/>
    </row>
    <row r="137">
      <c r="A137" s="12" t="n"/>
      <c r="B137" s="17" t="n"/>
      <c r="C137" s="24">
        <f>IF(A137="","",IFERROR(INDEX(Clients!$G:$G,MATCH(A137,Clients!$A:$A,0)),""))</f>
        <v/>
      </c>
      <c r="D137" s="13">
        <f>IF(C137="","",IFERROR(INDEX(Packages!$C:$C,MATCH(C137,Packages!$A:$A,0)),""))</f>
        <v/>
      </c>
      <c r="E137" s="13">
        <f>IF(OR(A137="",B137=""),"",COUNTIFS(Uploads!$A:$A,$A137,Uploads!$B:$B,"&gt;="&amp;$B137,Uploads!$B:$B,"&lt;"&amp;EDATE($B137,1)))</f>
        <v/>
      </c>
      <c r="F137" s="25">
        <f>IF(OR(D137="",D137=0,E137=""),"",MIN(1,E137/D137))</f>
        <v/>
      </c>
      <c r="G137" s="13">
        <f>IF(OR(A137="",B137=""),"",SUMIFS(Uploads!$G:$G,Uploads!$A:$A,$A137,Uploads!$B:$B,"&gt;="&amp;$B137,Uploads!$B:$B,"&lt;"&amp;EDATE($B137,1)))</f>
        <v/>
      </c>
      <c r="H137" s="13">
        <f>IF(OR(A137="",B137=""),"",COUNTIFS(Enquiries!$B:$B,$A137,Enquiries!$A:$A,"&gt;="&amp;$B137,Enquiries!$A:$A,"&lt;"&amp;EDATE($B137,1)))</f>
        <v/>
      </c>
      <c r="I137" s="13">
        <f>IF(OR(A137="",B137=""),"",COUNTIFS(Enquiries!$B:$B,$A137,Enquiries!$F:$F,"Booked",Enquiries!$A:$A,"&gt;="&amp;$B137,Enquiries!$A:$A,"&lt;"&amp;EDATE($B137,1))+COUNTIFS(Enquiries!$B:$B,$A137,Enquiries!$F:$F,"Bought",Enquiries!$A:$A,"&gt;="&amp;$B137,Enquiries!$A:$A,"&lt;"&amp;EDATE($B137,1)))</f>
        <v/>
      </c>
      <c r="J137" s="13">
        <f>IF(OR(A137="",B137=""),"",SUMIFS(Enquiries!$G:$G,Enquiries!$B:$B,$A137,Enquiries!$A:$A,"&gt;="&amp;$B137,Enquiries!$A:$A,"&lt;"&amp;EDATE($B137,1)))</f>
        <v/>
      </c>
      <c r="K137" s="13">
        <f>IF(C137="","",IFERROR(INDEX(Packages!$B:$B,MATCH(C137,Packages!$A:$A,0)),""))</f>
        <v/>
      </c>
      <c r="L137" s="13">
        <f>IF(OR(K137="",F137=""),"",K137*F137)</f>
        <v/>
      </c>
      <c r="M137" s="12" t="n"/>
      <c r="N137" s="12" t="n"/>
      <c r="O137" s="14" t="n"/>
      <c r="P137" s="12" t="n"/>
    </row>
    <row r="138">
      <c r="A138" s="12" t="n"/>
      <c r="B138" s="17" t="n"/>
      <c r="C138" s="24">
        <f>IF(A138="","",IFERROR(INDEX(Clients!$G:$G,MATCH(A138,Clients!$A:$A,0)),""))</f>
        <v/>
      </c>
      <c r="D138" s="13">
        <f>IF(C138="","",IFERROR(INDEX(Packages!$C:$C,MATCH(C138,Packages!$A:$A,0)),""))</f>
        <v/>
      </c>
      <c r="E138" s="13">
        <f>IF(OR(A138="",B138=""),"",COUNTIFS(Uploads!$A:$A,$A138,Uploads!$B:$B,"&gt;="&amp;$B138,Uploads!$B:$B,"&lt;"&amp;EDATE($B138,1)))</f>
        <v/>
      </c>
      <c r="F138" s="25">
        <f>IF(OR(D138="",D138=0,E138=""),"",MIN(1,E138/D138))</f>
        <v/>
      </c>
      <c r="G138" s="13">
        <f>IF(OR(A138="",B138=""),"",SUMIFS(Uploads!$G:$G,Uploads!$A:$A,$A138,Uploads!$B:$B,"&gt;="&amp;$B138,Uploads!$B:$B,"&lt;"&amp;EDATE($B138,1)))</f>
        <v/>
      </c>
      <c r="H138" s="13">
        <f>IF(OR(A138="",B138=""),"",COUNTIFS(Enquiries!$B:$B,$A138,Enquiries!$A:$A,"&gt;="&amp;$B138,Enquiries!$A:$A,"&lt;"&amp;EDATE($B138,1)))</f>
        <v/>
      </c>
      <c r="I138" s="13">
        <f>IF(OR(A138="",B138=""),"",COUNTIFS(Enquiries!$B:$B,$A138,Enquiries!$F:$F,"Booked",Enquiries!$A:$A,"&gt;="&amp;$B138,Enquiries!$A:$A,"&lt;"&amp;EDATE($B138,1))+COUNTIFS(Enquiries!$B:$B,$A138,Enquiries!$F:$F,"Bought",Enquiries!$A:$A,"&gt;="&amp;$B138,Enquiries!$A:$A,"&lt;"&amp;EDATE($B138,1)))</f>
        <v/>
      </c>
      <c r="J138" s="13">
        <f>IF(OR(A138="",B138=""),"",SUMIFS(Enquiries!$G:$G,Enquiries!$B:$B,$A138,Enquiries!$A:$A,"&gt;="&amp;$B138,Enquiries!$A:$A,"&lt;"&amp;EDATE($B138,1)))</f>
        <v/>
      </c>
      <c r="K138" s="13">
        <f>IF(C138="","",IFERROR(INDEX(Packages!$B:$B,MATCH(C138,Packages!$A:$A,0)),""))</f>
        <v/>
      </c>
      <c r="L138" s="13">
        <f>IF(OR(K138="",F138=""),"",K138*F138)</f>
        <v/>
      </c>
      <c r="M138" s="12" t="n"/>
      <c r="N138" s="12" t="n"/>
      <c r="O138" s="14" t="n"/>
      <c r="P138" s="12" t="n"/>
    </row>
    <row r="139">
      <c r="A139" s="12" t="n"/>
      <c r="B139" s="17" t="n"/>
      <c r="C139" s="24">
        <f>IF(A139="","",IFERROR(INDEX(Clients!$G:$G,MATCH(A139,Clients!$A:$A,0)),""))</f>
        <v/>
      </c>
      <c r="D139" s="13">
        <f>IF(C139="","",IFERROR(INDEX(Packages!$C:$C,MATCH(C139,Packages!$A:$A,0)),""))</f>
        <v/>
      </c>
      <c r="E139" s="13">
        <f>IF(OR(A139="",B139=""),"",COUNTIFS(Uploads!$A:$A,$A139,Uploads!$B:$B,"&gt;="&amp;$B139,Uploads!$B:$B,"&lt;"&amp;EDATE($B139,1)))</f>
        <v/>
      </c>
      <c r="F139" s="25">
        <f>IF(OR(D139="",D139=0,E139=""),"",MIN(1,E139/D139))</f>
        <v/>
      </c>
      <c r="G139" s="13">
        <f>IF(OR(A139="",B139=""),"",SUMIFS(Uploads!$G:$G,Uploads!$A:$A,$A139,Uploads!$B:$B,"&gt;="&amp;$B139,Uploads!$B:$B,"&lt;"&amp;EDATE($B139,1)))</f>
        <v/>
      </c>
      <c r="H139" s="13">
        <f>IF(OR(A139="",B139=""),"",COUNTIFS(Enquiries!$B:$B,$A139,Enquiries!$A:$A,"&gt;="&amp;$B139,Enquiries!$A:$A,"&lt;"&amp;EDATE($B139,1)))</f>
        <v/>
      </c>
      <c r="I139" s="13">
        <f>IF(OR(A139="",B139=""),"",COUNTIFS(Enquiries!$B:$B,$A139,Enquiries!$F:$F,"Booked",Enquiries!$A:$A,"&gt;="&amp;$B139,Enquiries!$A:$A,"&lt;"&amp;EDATE($B139,1))+COUNTIFS(Enquiries!$B:$B,$A139,Enquiries!$F:$F,"Bought",Enquiries!$A:$A,"&gt;="&amp;$B139,Enquiries!$A:$A,"&lt;"&amp;EDATE($B139,1)))</f>
        <v/>
      </c>
      <c r="J139" s="13">
        <f>IF(OR(A139="",B139=""),"",SUMIFS(Enquiries!$G:$G,Enquiries!$B:$B,$A139,Enquiries!$A:$A,"&gt;="&amp;$B139,Enquiries!$A:$A,"&lt;"&amp;EDATE($B139,1)))</f>
        <v/>
      </c>
      <c r="K139" s="13">
        <f>IF(C139="","",IFERROR(INDEX(Packages!$B:$B,MATCH(C139,Packages!$A:$A,0)),""))</f>
        <v/>
      </c>
      <c r="L139" s="13">
        <f>IF(OR(K139="",F139=""),"",K139*F139)</f>
        <v/>
      </c>
      <c r="M139" s="12" t="n"/>
      <c r="N139" s="12" t="n"/>
      <c r="O139" s="14" t="n"/>
      <c r="P139" s="12" t="n"/>
    </row>
    <row r="140">
      <c r="A140" s="12" t="n"/>
      <c r="B140" s="17" t="n"/>
      <c r="C140" s="24">
        <f>IF(A140="","",IFERROR(INDEX(Clients!$G:$G,MATCH(A140,Clients!$A:$A,0)),""))</f>
        <v/>
      </c>
      <c r="D140" s="13">
        <f>IF(C140="","",IFERROR(INDEX(Packages!$C:$C,MATCH(C140,Packages!$A:$A,0)),""))</f>
        <v/>
      </c>
      <c r="E140" s="13">
        <f>IF(OR(A140="",B140=""),"",COUNTIFS(Uploads!$A:$A,$A140,Uploads!$B:$B,"&gt;="&amp;$B140,Uploads!$B:$B,"&lt;"&amp;EDATE($B140,1)))</f>
        <v/>
      </c>
      <c r="F140" s="25">
        <f>IF(OR(D140="",D140=0,E140=""),"",MIN(1,E140/D140))</f>
        <v/>
      </c>
      <c r="G140" s="13">
        <f>IF(OR(A140="",B140=""),"",SUMIFS(Uploads!$G:$G,Uploads!$A:$A,$A140,Uploads!$B:$B,"&gt;="&amp;$B140,Uploads!$B:$B,"&lt;"&amp;EDATE($B140,1)))</f>
        <v/>
      </c>
      <c r="H140" s="13">
        <f>IF(OR(A140="",B140=""),"",COUNTIFS(Enquiries!$B:$B,$A140,Enquiries!$A:$A,"&gt;="&amp;$B140,Enquiries!$A:$A,"&lt;"&amp;EDATE($B140,1)))</f>
        <v/>
      </c>
      <c r="I140" s="13">
        <f>IF(OR(A140="",B140=""),"",COUNTIFS(Enquiries!$B:$B,$A140,Enquiries!$F:$F,"Booked",Enquiries!$A:$A,"&gt;="&amp;$B140,Enquiries!$A:$A,"&lt;"&amp;EDATE($B140,1))+COUNTIFS(Enquiries!$B:$B,$A140,Enquiries!$F:$F,"Bought",Enquiries!$A:$A,"&gt;="&amp;$B140,Enquiries!$A:$A,"&lt;"&amp;EDATE($B140,1)))</f>
        <v/>
      </c>
      <c r="J140" s="13">
        <f>IF(OR(A140="",B140=""),"",SUMIFS(Enquiries!$G:$G,Enquiries!$B:$B,$A140,Enquiries!$A:$A,"&gt;="&amp;$B140,Enquiries!$A:$A,"&lt;"&amp;EDATE($B140,1)))</f>
        <v/>
      </c>
      <c r="K140" s="13">
        <f>IF(C140="","",IFERROR(INDEX(Packages!$B:$B,MATCH(C140,Packages!$A:$A,0)),""))</f>
        <v/>
      </c>
      <c r="L140" s="13">
        <f>IF(OR(K140="",F140=""),"",K140*F140)</f>
        <v/>
      </c>
      <c r="M140" s="12" t="n"/>
      <c r="N140" s="12" t="n"/>
      <c r="O140" s="14" t="n"/>
      <c r="P140" s="12" t="n"/>
    </row>
    <row r="141">
      <c r="A141" s="12" t="n"/>
      <c r="B141" s="17" t="n"/>
      <c r="C141" s="24">
        <f>IF(A141="","",IFERROR(INDEX(Clients!$G:$G,MATCH(A141,Clients!$A:$A,0)),""))</f>
        <v/>
      </c>
      <c r="D141" s="13">
        <f>IF(C141="","",IFERROR(INDEX(Packages!$C:$C,MATCH(C141,Packages!$A:$A,0)),""))</f>
        <v/>
      </c>
      <c r="E141" s="13">
        <f>IF(OR(A141="",B141=""),"",COUNTIFS(Uploads!$A:$A,$A141,Uploads!$B:$B,"&gt;="&amp;$B141,Uploads!$B:$B,"&lt;"&amp;EDATE($B141,1)))</f>
        <v/>
      </c>
      <c r="F141" s="25">
        <f>IF(OR(D141="",D141=0,E141=""),"",MIN(1,E141/D141))</f>
        <v/>
      </c>
      <c r="G141" s="13">
        <f>IF(OR(A141="",B141=""),"",SUMIFS(Uploads!$G:$G,Uploads!$A:$A,$A141,Uploads!$B:$B,"&gt;="&amp;$B141,Uploads!$B:$B,"&lt;"&amp;EDATE($B141,1)))</f>
        <v/>
      </c>
      <c r="H141" s="13">
        <f>IF(OR(A141="",B141=""),"",COUNTIFS(Enquiries!$B:$B,$A141,Enquiries!$A:$A,"&gt;="&amp;$B141,Enquiries!$A:$A,"&lt;"&amp;EDATE($B141,1)))</f>
        <v/>
      </c>
      <c r="I141" s="13">
        <f>IF(OR(A141="",B141=""),"",COUNTIFS(Enquiries!$B:$B,$A141,Enquiries!$F:$F,"Booked",Enquiries!$A:$A,"&gt;="&amp;$B141,Enquiries!$A:$A,"&lt;"&amp;EDATE($B141,1))+COUNTIFS(Enquiries!$B:$B,$A141,Enquiries!$F:$F,"Bought",Enquiries!$A:$A,"&gt;="&amp;$B141,Enquiries!$A:$A,"&lt;"&amp;EDATE($B141,1)))</f>
        <v/>
      </c>
      <c r="J141" s="13">
        <f>IF(OR(A141="",B141=""),"",SUMIFS(Enquiries!$G:$G,Enquiries!$B:$B,$A141,Enquiries!$A:$A,"&gt;="&amp;$B141,Enquiries!$A:$A,"&lt;"&amp;EDATE($B141,1)))</f>
        <v/>
      </c>
      <c r="K141" s="13">
        <f>IF(C141="","",IFERROR(INDEX(Packages!$B:$B,MATCH(C141,Packages!$A:$A,0)),""))</f>
        <v/>
      </c>
      <c r="L141" s="13">
        <f>IF(OR(K141="",F141=""),"",K141*F141)</f>
        <v/>
      </c>
      <c r="M141" s="12" t="n"/>
      <c r="N141" s="12" t="n"/>
      <c r="O141" s="14" t="n"/>
      <c r="P141" s="12" t="n"/>
    </row>
    <row r="142">
      <c r="A142" s="12" t="n"/>
      <c r="B142" s="17" t="n"/>
      <c r="C142" s="24">
        <f>IF(A142="","",IFERROR(INDEX(Clients!$G:$G,MATCH(A142,Clients!$A:$A,0)),""))</f>
        <v/>
      </c>
      <c r="D142" s="13">
        <f>IF(C142="","",IFERROR(INDEX(Packages!$C:$C,MATCH(C142,Packages!$A:$A,0)),""))</f>
        <v/>
      </c>
      <c r="E142" s="13">
        <f>IF(OR(A142="",B142=""),"",COUNTIFS(Uploads!$A:$A,$A142,Uploads!$B:$B,"&gt;="&amp;$B142,Uploads!$B:$B,"&lt;"&amp;EDATE($B142,1)))</f>
        <v/>
      </c>
      <c r="F142" s="25">
        <f>IF(OR(D142="",D142=0,E142=""),"",MIN(1,E142/D142))</f>
        <v/>
      </c>
      <c r="G142" s="13">
        <f>IF(OR(A142="",B142=""),"",SUMIFS(Uploads!$G:$G,Uploads!$A:$A,$A142,Uploads!$B:$B,"&gt;="&amp;$B142,Uploads!$B:$B,"&lt;"&amp;EDATE($B142,1)))</f>
        <v/>
      </c>
      <c r="H142" s="13">
        <f>IF(OR(A142="",B142=""),"",COUNTIFS(Enquiries!$B:$B,$A142,Enquiries!$A:$A,"&gt;="&amp;$B142,Enquiries!$A:$A,"&lt;"&amp;EDATE($B142,1)))</f>
        <v/>
      </c>
      <c r="I142" s="13">
        <f>IF(OR(A142="",B142=""),"",COUNTIFS(Enquiries!$B:$B,$A142,Enquiries!$F:$F,"Booked",Enquiries!$A:$A,"&gt;="&amp;$B142,Enquiries!$A:$A,"&lt;"&amp;EDATE($B142,1))+COUNTIFS(Enquiries!$B:$B,$A142,Enquiries!$F:$F,"Bought",Enquiries!$A:$A,"&gt;="&amp;$B142,Enquiries!$A:$A,"&lt;"&amp;EDATE($B142,1)))</f>
        <v/>
      </c>
      <c r="J142" s="13">
        <f>IF(OR(A142="",B142=""),"",SUMIFS(Enquiries!$G:$G,Enquiries!$B:$B,$A142,Enquiries!$A:$A,"&gt;="&amp;$B142,Enquiries!$A:$A,"&lt;"&amp;EDATE($B142,1)))</f>
        <v/>
      </c>
      <c r="K142" s="13">
        <f>IF(C142="","",IFERROR(INDEX(Packages!$B:$B,MATCH(C142,Packages!$A:$A,0)),""))</f>
        <v/>
      </c>
      <c r="L142" s="13">
        <f>IF(OR(K142="",F142=""),"",K142*F142)</f>
        <v/>
      </c>
      <c r="M142" s="12" t="n"/>
      <c r="N142" s="12" t="n"/>
      <c r="O142" s="14" t="n"/>
      <c r="P142" s="12" t="n"/>
    </row>
    <row r="143">
      <c r="A143" s="12" t="n"/>
      <c r="B143" s="17" t="n"/>
      <c r="C143" s="24">
        <f>IF(A143="","",IFERROR(INDEX(Clients!$G:$G,MATCH(A143,Clients!$A:$A,0)),""))</f>
        <v/>
      </c>
      <c r="D143" s="13">
        <f>IF(C143="","",IFERROR(INDEX(Packages!$C:$C,MATCH(C143,Packages!$A:$A,0)),""))</f>
        <v/>
      </c>
      <c r="E143" s="13">
        <f>IF(OR(A143="",B143=""),"",COUNTIFS(Uploads!$A:$A,$A143,Uploads!$B:$B,"&gt;="&amp;$B143,Uploads!$B:$B,"&lt;"&amp;EDATE($B143,1)))</f>
        <v/>
      </c>
      <c r="F143" s="25">
        <f>IF(OR(D143="",D143=0,E143=""),"",MIN(1,E143/D143))</f>
        <v/>
      </c>
      <c r="G143" s="13">
        <f>IF(OR(A143="",B143=""),"",SUMIFS(Uploads!$G:$G,Uploads!$A:$A,$A143,Uploads!$B:$B,"&gt;="&amp;$B143,Uploads!$B:$B,"&lt;"&amp;EDATE($B143,1)))</f>
        <v/>
      </c>
      <c r="H143" s="13">
        <f>IF(OR(A143="",B143=""),"",COUNTIFS(Enquiries!$B:$B,$A143,Enquiries!$A:$A,"&gt;="&amp;$B143,Enquiries!$A:$A,"&lt;"&amp;EDATE($B143,1)))</f>
        <v/>
      </c>
      <c r="I143" s="13">
        <f>IF(OR(A143="",B143=""),"",COUNTIFS(Enquiries!$B:$B,$A143,Enquiries!$F:$F,"Booked",Enquiries!$A:$A,"&gt;="&amp;$B143,Enquiries!$A:$A,"&lt;"&amp;EDATE($B143,1))+COUNTIFS(Enquiries!$B:$B,$A143,Enquiries!$F:$F,"Bought",Enquiries!$A:$A,"&gt;="&amp;$B143,Enquiries!$A:$A,"&lt;"&amp;EDATE($B143,1)))</f>
        <v/>
      </c>
      <c r="J143" s="13">
        <f>IF(OR(A143="",B143=""),"",SUMIFS(Enquiries!$G:$G,Enquiries!$B:$B,$A143,Enquiries!$A:$A,"&gt;="&amp;$B143,Enquiries!$A:$A,"&lt;"&amp;EDATE($B143,1)))</f>
        <v/>
      </c>
      <c r="K143" s="13">
        <f>IF(C143="","",IFERROR(INDEX(Packages!$B:$B,MATCH(C143,Packages!$A:$A,0)),""))</f>
        <v/>
      </c>
      <c r="L143" s="13">
        <f>IF(OR(K143="",F143=""),"",K143*F143)</f>
        <v/>
      </c>
      <c r="M143" s="12" t="n"/>
      <c r="N143" s="12" t="n"/>
      <c r="O143" s="14" t="n"/>
      <c r="P143" s="12" t="n"/>
    </row>
    <row r="144">
      <c r="A144" s="12" t="n"/>
      <c r="B144" s="17" t="n"/>
      <c r="C144" s="24">
        <f>IF(A144="","",IFERROR(INDEX(Clients!$G:$G,MATCH(A144,Clients!$A:$A,0)),""))</f>
        <v/>
      </c>
      <c r="D144" s="13">
        <f>IF(C144="","",IFERROR(INDEX(Packages!$C:$C,MATCH(C144,Packages!$A:$A,0)),""))</f>
        <v/>
      </c>
      <c r="E144" s="13">
        <f>IF(OR(A144="",B144=""),"",COUNTIFS(Uploads!$A:$A,$A144,Uploads!$B:$B,"&gt;="&amp;$B144,Uploads!$B:$B,"&lt;"&amp;EDATE($B144,1)))</f>
        <v/>
      </c>
      <c r="F144" s="25">
        <f>IF(OR(D144="",D144=0,E144=""),"",MIN(1,E144/D144))</f>
        <v/>
      </c>
      <c r="G144" s="13">
        <f>IF(OR(A144="",B144=""),"",SUMIFS(Uploads!$G:$G,Uploads!$A:$A,$A144,Uploads!$B:$B,"&gt;="&amp;$B144,Uploads!$B:$B,"&lt;"&amp;EDATE($B144,1)))</f>
        <v/>
      </c>
      <c r="H144" s="13">
        <f>IF(OR(A144="",B144=""),"",COUNTIFS(Enquiries!$B:$B,$A144,Enquiries!$A:$A,"&gt;="&amp;$B144,Enquiries!$A:$A,"&lt;"&amp;EDATE($B144,1)))</f>
        <v/>
      </c>
      <c r="I144" s="13">
        <f>IF(OR(A144="",B144=""),"",COUNTIFS(Enquiries!$B:$B,$A144,Enquiries!$F:$F,"Booked",Enquiries!$A:$A,"&gt;="&amp;$B144,Enquiries!$A:$A,"&lt;"&amp;EDATE($B144,1))+COUNTIFS(Enquiries!$B:$B,$A144,Enquiries!$F:$F,"Bought",Enquiries!$A:$A,"&gt;="&amp;$B144,Enquiries!$A:$A,"&lt;"&amp;EDATE($B144,1)))</f>
        <v/>
      </c>
      <c r="J144" s="13">
        <f>IF(OR(A144="",B144=""),"",SUMIFS(Enquiries!$G:$G,Enquiries!$B:$B,$A144,Enquiries!$A:$A,"&gt;="&amp;$B144,Enquiries!$A:$A,"&lt;"&amp;EDATE($B144,1)))</f>
        <v/>
      </c>
      <c r="K144" s="13">
        <f>IF(C144="","",IFERROR(INDEX(Packages!$B:$B,MATCH(C144,Packages!$A:$A,0)),""))</f>
        <v/>
      </c>
      <c r="L144" s="13">
        <f>IF(OR(K144="",F144=""),"",K144*F144)</f>
        <v/>
      </c>
      <c r="M144" s="12" t="n"/>
      <c r="N144" s="12" t="n"/>
      <c r="O144" s="14" t="n"/>
      <c r="P144" s="12" t="n"/>
    </row>
    <row r="145">
      <c r="A145" s="12" t="n"/>
      <c r="B145" s="17" t="n"/>
      <c r="C145" s="24">
        <f>IF(A145="","",IFERROR(INDEX(Clients!$G:$G,MATCH(A145,Clients!$A:$A,0)),""))</f>
        <v/>
      </c>
      <c r="D145" s="13">
        <f>IF(C145="","",IFERROR(INDEX(Packages!$C:$C,MATCH(C145,Packages!$A:$A,0)),""))</f>
        <v/>
      </c>
      <c r="E145" s="13">
        <f>IF(OR(A145="",B145=""),"",COUNTIFS(Uploads!$A:$A,$A145,Uploads!$B:$B,"&gt;="&amp;$B145,Uploads!$B:$B,"&lt;"&amp;EDATE($B145,1)))</f>
        <v/>
      </c>
      <c r="F145" s="25">
        <f>IF(OR(D145="",D145=0,E145=""),"",MIN(1,E145/D145))</f>
        <v/>
      </c>
      <c r="G145" s="13">
        <f>IF(OR(A145="",B145=""),"",SUMIFS(Uploads!$G:$G,Uploads!$A:$A,$A145,Uploads!$B:$B,"&gt;="&amp;$B145,Uploads!$B:$B,"&lt;"&amp;EDATE($B145,1)))</f>
        <v/>
      </c>
      <c r="H145" s="13">
        <f>IF(OR(A145="",B145=""),"",COUNTIFS(Enquiries!$B:$B,$A145,Enquiries!$A:$A,"&gt;="&amp;$B145,Enquiries!$A:$A,"&lt;"&amp;EDATE($B145,1)))</f>
        <v/>
      </c>
      <c r="I145" s="13">
        <f>IF(OR(A145="",B145=""),"",COUNTIFS(Enquiries!$B:$B,$A145,Enquiries!$F:$F,"Booked",Enquiries!$A:$A,"&gt;="&amp;$B145,Enquiries!$A:$A,"&lt;"&amp;EDATE($B145,1))+COUNTIFS(Enquiries!$B:$B,$A145,Enquiries!$F:$F,"Bought",Enquiries!$A:$A,"&gt;="&amp;$B145,Enquiries!$A:$A,"&lt;"&amp;EDATE($B145,1)))</f>
        <v/>
      </c>
      <c r="J145" s="13">
        <f>IF(OR(A145="",B145=""),"",SUMIFS(Enquiries!$G:$G,Enquiries!$B:$B,$A145,Enquiries!$A:$A,"&gt;="&amp;$B145,Enquiries!$A:$A,"&lt;"&amp;EDATE($B145,1)))</f>
        <v/>
      </c>
      <c r="K145" s="13">
        <f>IF(C145="","",IFERROR(INDEX(Packages!$B:$B,MATCH(C145,Packages!$A:$A,0)),""))</f>
        <v/>
      </c>
      <c r="L145" s="13">
        <f>IF(OR(K145="",F145=""),"",K145*F145)</f>
        <v/>
      </c>
      <c r="M145" s="12" t="n"/>
      <c r="N145" s="12" t="n"/>
      <c r="O145" s="14" t="n"/>
      <c r="P145" s="12" t="n"/>
    </row>
    <row r="146">
      <c r="A146" s="12" t="n"/>
      <c r="B146" s="17" t="n"/>
      <c r="C146" s="24">
        <f>IF(A146="","",IFERROR(INDEX(Clients!$G:$G,MATCH(A146,Clients!$A:$A,0)),""))</f>
        <v/>
      </c>
      <c r="D146" s="13">
        <f>IF(C146="","",IFERROR(INDEX(Packages!$C:$C,MATCH(C146,Packages!$A:$A,0)),""))</f>
        <v/>
      </c>
      <c r="E146" s="13">
        <f>IF(OR(A146="",B146=""),"",COUNTIFS(Uploads!$A:$A,$A146,Uploads!$B:$B,"&gt;="&amp;$B146,Uploads!$B:$B,"&lt;"&amp;EDATE($B146,1)))</f>
        <v/>
      </c>
      <c r="F146" s="25">
        <f>IF(OR(D146="",D146=0,E146=""),"",MIN(1,E146/D146))</f>
        <v/>
      </c>
      <c r="G146" s="13">
        <f>IF(OR(A146="",B146=""),"",SUMIFS(Uploads!$G:$G,Uploads!$A:$A,$A146,Uploads!$B:$B,"&gt;="&amp;$B146,Uploads!$B:$B,"&lt;"&amp;EDATE($B146,1)))</f>
        <v/>
      </c>
      <c r="H146" s="13">
        <f>IF(OR(A146="",B146=""),"",COUNTIFS(Enquiries!$B:$B,$A146,Enquiries!$A:$A,"&gt;="&amp;$B146,Enquiries!$A:$A,"&lt;"&amp;EDATE($B146,1)))</f>
        <v/>
      </c>
      <c r="I146" s="13">
        <f>IF(OR(A146="",B146=""),"",COUNTIFS(Enquiries!$B:$B,$A146,Enquiries!$F:$F,"Booked",Enquiries!$A:$A,"&gt;="&amp;$B146,Enquiries!$A:$A,"&lt;"&amp;EDATE($B146,1))+COUNTIFS(Enquiries!$B:$B,$A146,Enquiries!$F:$F,"Bought",Enquiries!$A:$A,"&gt;="&amp;$B146,Enquiries!$A:$A,"&lt;"&amp;EDATE($B146,1)))</f>
        <v/>
      </c>
      <c r="J146" s="13">
        <f>IF(OR(A146="",B146=""),"",SUMIFS(Enquiries!$G:$G,Enquiries!$B:$B,$A146,Enquiries!$A:$A,"&gt;="&amp;$B146,Enquiries!$A:$A,"&lt;"&amp;EDATE($B146,1)))</f>
        <v/>
      </c>
      <c r="K146" s="13">
        <f>IF(C146="","",IFERROR(INDEX(Packages!$B:$B,MATCH(C146,Packages!$A:$A,0)),""))</f>
        <v/>
      </c>
      <c r="L146" s="13">
        <f>IF(OR(K146="",F146=""),"",K146*F146)</f>
        <v/>
      </c>
      <c r="M146" s="12" t="n"/>
      <c r="N146" s="12" t="n"/>
      <c r="O146" s="14" t="n"/>
      <c r="P146" s="12" t="n"/>
    </row>
    <row r="147">
      <c r="A147" s="12" t="n"/>
      <c r="B147" s="17" t="n"/>
      <c r="C147" s="24">
        <f>IF(A147="","",IFERROR(INDEX(Clients!$G:$G,MATCH(A147,Clients!$A:$A,0)),""))</f>
        <v/>
      </c>
      <c r="D147" s="13">
        <f>IF(C147="","",IFERROR(INDEX(Packages!$C:$C,MATCH(C147,Packages!$A:$A,0)),""))</f>
        <v/>
      </c>
      <c r="E147" s="13">
        <f>IF(OR(A147="",B147=""),"",COUNTIFS(Uploads!$A:$A,$A147,Uploads!$B:$B,"&gt;="&amp;$B147,Uploads!$B:$B,"&lt;"&amp;EDATE($B147,1)))</f>
        <v/>
      </c>
      <c r="F147" s="25">
        <f>IF(OR(D147="",D147=0,E147=""),"",MIN(1,E147/D147))</f>
        <v/>
      </c>
      <c r="G147" s="13">
        <f>IF(OR(A147="",B147=""),"",SUMIFS(Uploads!$G:$G,Uploads!$A:$A,$A147,Uploads!$B:$B,"&gt;="&amp;$B147,Uploads!$B:$B,"&lt;"&amp;EDATE($B147,1)))</f>
        <v/>
      </c>
      <c r="H147" s="13">
        <f>IF(OR(A147="",B147=""),"",COUNTIFS(Enquiries!$B:$B,$A147,Enquiries!$A:$A,"&gt;="&amp;$B147,Enquiries!$A:$A,"&lt;"&amp;EDATE($B147,1)))</f>
        <v/>
      </c>
      <c r="I147" s="13">
        <f>IF(OR(A147="",B147=""),"",COUNTIFS(Enquiries!$B:$B,$A147,Enquiries!$F:$F,"Booked",Enquiries!$A:$A,"&gt;="&amp;$B147,Enquiries!$A:$A,"&lt;"&amp;EDATE($B147,1))+COUNTIFS(Enquiries!$B:$B,$A147,Enquiries!$F:$F,"Bought",Enquiries!$A:$A,"&gt;="&amp;$B147,Enquiries!$A:$A,"&lt;"&amp;EDATE($B147,1)))</f>
        <v/>
      </c>
      <c r="J147" s="13">
        <f>IF(OR(A147="",B147=""),"",SUMIFS(Enquiries!$G:$G,Enquiries!$B:$B,$A147,Enquiries!$A:$A,"&gt;="&amp;$B147,Enquiries!$A:$A,"&lt;"&amp;EDATE($B147,1)))</f>
        <v/>
      </c>
      <c r="K147" s="13">
        <f>IF(C147="","",IFERROR(INDEX(Packages!$B:$B,MATCH(C147,Packages!$A:$A,0)),""))</f>
        <v/>
      </c>
      <c r="L147" s="13">
        <f>IF(OR(K147="",F147=""),"",K147*F147)</f>
        <v/>
      </c>
      <c r="M147" s="12" t="n"/>
      <c r="N147" s="12" t="n"/>
      <c r="O147" s="14" t="n"/>
      <c r="P147" s="12" t="n"/>
    </row>
    <row r="148">
      <c r="A148" s="12" t="n"/>
      <c r="B148" s="17" t="n"/>
      <c r="C148" s="24">
        <f>IF(A148="","",IFERROR(INDEX(Clients!$G:$G,MATCH(A148,Clients!$A:$A,0)),""))</f>
        <v/>
      </c>
      <c r="D148" s="13">
        <f>IF(C148="","",IFERROR(INDEX(Packages!$C:$C,MATCH(C148,Packages!$A:$A,0)),""))</f>
        <v/>
      </c>
      <c r="E148" s="13">
        <f>IF(OR(A148="",B148=""),"",COUNTIFS(Uploads!$A:$A,$A148,Uploads!$B:$B,"&gt;="&amp;$B148,Uploads!$B:$B,"&lt;"&amp;EDATE($B148,1)))</f>
        <v/>
      </c>
      <c r="F148" s="25">
        <f>IF(OR(D148="",D148=0,E148=""),"",MIN(1,E148/D148))</f>
        <v/>
      </c>
      <c r="G148" s="13">
        <f>IF(OR(A148="",B148=""),"",SUMIFS(Uploads!$G:$G,Uploads!$A:$A,$A148,Uploads!$B:$B,"&gt;="&amp;$B148,Uploads!$B:$B,"&lt;"&amp;EDATE($B148,1)))</f>
        <v/>
      </c>
      <c r="H148" s="13">
        <f>IF(OR(A148="",B148=""),"",COUNTIFS(Enquiries!$B:$B,$A148,Enquiries!$A:$A,"&gt;="&amp;$B148,Enquiries!$A:$A,"&lt;"&amp;EDATE($B148,1)))</f>
        <v/>
      </c>
      <c r="I148" s="13">
        <f>IF(OR(A148="",B148=""),"",COUNTIFS(Enquiries!$B:$B,$A148,Enquiries!$F:$F,"Booked",Enquiries!$A:$A,"&gt;="&amp;$B148,Enquiries!$A:$A,"&lt;"&amp;EDATE($B148,1))+COUNTIFS(Enquiries!$B:$B,$A148,Enquiries!$F:$F,"Bought",Enquiries!$A:$A,"&gt;="&amp;$B148,Enquiries!$A:$A,"&lt;"&amp;EDATE($B148,1)))</f>
        <v/>
      </c>
      <c r="J148" s="13">
        <f>IF(OR(A148="",B148=""),"",SUMIFS(Enquiries!$G:$G,Enquiries!$B:$B,$A148,Enquiries!$A:$A,"&gt;="&amp;$B148,Enquiries!$A:$A,"&lt;"&amp;EDATE($B148,1)))</f>
        <v/>
      </c>
      <c r="K148" s="13">
        <f>IF(C148="","",IFERROR(INDEX(Packages!$B:$B,MATCH(C148,Packages!$A:$A,0)),""))</f>
        <v/>
      </c>
      <c r="L148" s="13">
        <f>IF(OR(K148="",F148=""),"",K148*F148)</f>
        <v/>
      </c>
      <c r="M148" s="12" t="n"/>
      <c r="N148" s="12" t="n"/>
      <c r="O148" s="14" t="n"/>
      <c r="P148" s="12" t="n"/>
    </row>
    <row r="149">
      <c r="A149" s="12" t="n"/>
      <c r="B149" s="17" t="n"/>
      <c r="C149" s="24">
        <f>IF(A149="","",IFERROR(INDEX(Clients!$G:$G,MATCH(A149,Clients!$A:$A,0)),""))</f>
        <v/>
      </c>
      <c r="D149" s="13">
        <f>IF(C149="","",IFERROR(INDEX(Packages!$C:$C,MATCH(C149,Packages!$A:$A,0)),""))</f>
        <v/>
      </c>
      <c r="E149" s="13">
        <f>IF(OR(A149="",B149=""),"",COUNTIFS(Uploads!$A:$A,$A149,Uploads!$B:$B,"&gt;="&amp;$B149,Uploads!$B:$B,"&lt;"&amp;EDATE($B149,1)))</f>
        <v/>
      </c>
      <c r="F149" s="25">
        <f>IF(OR(D149="",D149=0,E149=""),"",MIN(1,E149/D149))</f>
        <v/>
      </c>
      <c r="G149" s="13">
        <f>IF(OR(A149="",B149=""),"",SUMIFS(Uploads!$G:$G,Uploads!$A:$A,$A149,Uploads!$B:$B,"&gt;="&amp;$B149,Uploads!$B:$B,"&lt;"&amp;EDATE($B149,1)))</f>
        <v/>
      </c>
      <c r="H149" s="13">
        <f>IF(OR(A149="",B149=""),"",COUNTIFS(Enquiries!$B:$B,$A149,Enquiries!$A:$A,"&gt;="&amp;$B149,Enquiries!$A:$A,"&lt;"&amp;EDATE($B149,1)))</f>
        <v/>
      </c>
      <c r="I149" s="13">
        <f>IF(OR(A149="",B149=""),"",COUNTIFS(Enquiries!$B:$B,$A149,Enquiries!$F:$F,"Booked",Enquiries!$A:$A,"&gt;="&amp;$B149,Enquiries!$A:$A,"&lt;"&amp;EDATE($B149,1))+COUNTIFS(Enquiries!$B:$B,$A149,Enquiries!$F:$F,"Bought",Enquiries!$A:$A,"&gt;="&amp;$B149,Enquiries!$A:$A,"&lt;"&amp;EDATE($B149,1)))</f>
        <v/>
      </c>
      <c r="J149" s="13">
        <f>IF(OR(A149="",B149=""),"",SUMIFS(Enquiries!$G:$G,Enquiries!$B:$B,$A149,Enquiries!$A:$A,"&gt;="&amp;$B149,Enquiries!$A:$A,"&lt;"&amp;EDATE($B149,1)))</f>
        <v/>
      </c>
      <c r="K149" s="13">
        <f>IF(C149="","",IFERROR(INDEX(Packages!$B:$B,MATCH(C149,Packages!$A:$A,0)),""))</f>
        <v/>
      </c>
      <c r="L149" s="13">
        <f>IF(OR(K149="",F149=""),"",K149*F149)</f>
        <v/>
      </c>
      <c r="M149" s="12" t="n"/>
      <c r="N149" s="12" t="n"/>
      <c r="O149" s="14" t="n"/>
      <c r="P149" s="12" t="n"/>
    </row>
    <row r="150">
      <c r="A150" s="12" t="n"/>
      <c r="B150" s="17" t="n"/>
      <c r="C150" s="24">
        <f>IF(A150="","",IFERROR(INDEX(Clients!$G:$G,MATCH(A150,Clients!$A:$A,0)),""))</f>
        <v/>
      </c>
      <c r="D150" s="13">
        <f>IF(C150="","",IFERROR(INDEX(Packages!$C:$C,MATCH(C150,Packages!$A:$A,0)),""))</f>
        <v/>
      </c>
      <c r="E150" s="13">
        <f>IF(OR(A150="",B150=""),"",COUNTIFS(Uploads!$A:$A,$A150,Uploads!$B:$B,"&gt;="&amp;$B150,Uploads!$B:$B,"&lt;"&amp;EDATE($B150,1)))</f>
        <v/>
      </c>
      <c r="F150" s="25">
        <f>IF(OR(D150="",D150=0,E150=""),"",MIN(1,E150/D150))</f>
        <v/>
      </c>
      <c r="G150" s="13">
        <f>IF(OR(A150="",B150=""),"",SUMIFS(Uploads!$G:$G,Uploads!$A:$A,$A150,Uploads!$B:$B,"&gt;="&amp;$B150,Uploads!$B:$B,"&lt;"&amp;EDATE($B150,1)))</f>
        <v/>
      </c>
      <c r="H150" s="13">
        <f>IF(OR(A150="",B150=""),"",COUNTIFS(Enquiries!$B:$B,$A150,Enquiries!$A:$A,"&gt;="&amp;$B150,Enquiries!$A:$A,"&lt;"&amp;EDATE($B150,1)))</f>
        <v/>
      </c>
      <c r="I150" s="13">
        <f>IF(OR(A150="",B150=""),"",COUNTIFS(Enquiries!$B:$B,$A150,Enquiries!$F:$F,"Booked",Enquiries!$A:$A,"&gt;="&amp;$B150,Enquiries!$A:$A,"&lt;"&amp;EDATE($B150,1))+COUNTIFS(Enquiries!$B:$B,$A150,Enquiries!$F:$F,"Bought",Enquiries!$A:$A,"&gt;="&amp;$B150,Enquiries!$A:$A,"&lt;"&amp;EDATE($B150,1)))</f>
        <v/>
      </c>
      <c r="J150" s="13">
        <f>IF(OR(A150="",B150=""),"",SUMIFS(Enquiries!$G:$G,Enquiries!$B:$B,$A150,Enquiries!$A:$A,"&gt;="&amp;$B150,Enquiries!$A:$A,"&lt;"&amp;EDATE($B150,1)))</f>
        <v/>
      </c>
      <c r="K150" s="13">
        <f>IF(C150="","",IFERROR(INDEX(Packages!$B:$B,MATCH(C150,Packages!$A:$A,0)),""))</f>
        <v/>
      </c>
      <c r="L150" s="13">
        <f>IF(OR(K150="",F150=""),"",K150*F150)</f>
        <v/>
      </c>
      <c r="M150" s="12" t="n"/>
      <c r="N150" s="12" t="n"/>
      <c r="O150" s="14" t="n"/>
      <c r="P150" s="12" t="n"/>
    </row>
    <row r="151">
      <c r="A151" s="12" t="n"/>
      <c r="B151" s="17" t="n"/>
      <c r="C151" s="24">
        <f>IF(A151="","",IFERROR(INDEX(Clients!$G:$G,MATCH(A151,Clients!$A:$A,0)),""))</f>
        <v/>
      </c>
      <c r="D151" s="13">
        <f>IF(C151="","",IFERROR(INDEX(Packages!$C:$C,MATCH(C151,Packages!$A:$A,0)),""))</f>
        <v/>
      </c>
      <c r="E151" s="13">
        <f>IF(OR(A151="",B151=""),"",COUNTIFS(Uploads!$A:$A,$A151,Uploads!$B:$B,"&gt;="&amp;$B151,Uploads!$B:$B,"&lt;"&amp;EDATE($B151,1)))</f>
        <v/>
      </c>
      <c r="F151" s="25">
        <f>IF(OR(D151="",D151=0,E151=""),"",MIN(1,E151/D151))</f>
        <v/>
      </c>
      <c r="G151" s="13">
        <f>IF(OR(A151="",B151=""),"",SUMIFS(Uploads!$G:$G,Uploads!$A:$A,$A151,Uploads!$B:$B,"&gt;="&amp;$B151,Uploads!$B:$B,"&lt;"&amp;EDATE($B151,1)))</f>
        <v/>
      </c>
      <c r="H151" s="13">
        <f>IF(OR(A151="",B151=""),"",COUNTIFS(Enquiries!$B:$B,$A151,Enquiries!$A:$A,"&gt;="&amp;$B151,Enquiries!$A:$A,"&lt;"&amp;EDATE($B151,1)))</f>
        <v/>
      </c>
      <c r="I151" s="13">
        <f>IF(OR(A151="",B151=""),"",COUNTIFS(Enquiries!$B:$B,$A151,Enquiries!$F:$F,"Booked",Enquiries!$A:$A,"&gt;="&amp;$B151,Enquiries!$A:$A,"&lt;"&amp;EDATE($B151,1))+COUNTIFS(Enquiries!$B:$B,$A151,Enquiries!$F:$F,"Bought",Enquiries!$A:$A,"&gt;="&amp;$B151,Enquiries!$A:$A,"&lt;"&amp;EDATE($B151,1)))</f>
        <v/>
      </c>
      <c r="J151" s="13">
        <f>IF(OR(A151="",B151=""),"",SUMIFS(Enquiries!$G:$G,Enquiries!$B:$B,$A151,Enquiries!$A:$A,"&gt;="&amp;$B151,Enquiries!$A:$A,"&lt;"&amp;EDATE($B151,1)))</f>
        <v/>
      </c>
      <c r="K151" s="13">
        <f>IF(C151="","",IFERROR(INDEX(Packages!$B:$B,MATCH(C151,Packages!$A:$A,0)),""))</f>
        <v/>
      </c>
      <c r="L151" s="13">
        <f>IF(OR(K151="",F151=""),"",K151*F151)</f>
        <v/>
      </c>
      <c r="M151" s="12" t="n"/>
      <c r="N151" s="12" t="n"/>
      <c r="O151" s="14" t="n"/>
      <c r="P151" s="12" t="n"/>
    </row>
    <row r="152">
      <c r="A152" s="12" t="n"/>
      <c r="B152" s="17" t="n"/>
      <c r="C152" s="24">
        <f>IF(A152="","",IFERROR(INDEX(Clients!$G:$G,MATCH(A152,Clients!$A:$A,0)),""))</f>
        <v/>
      </c>
      <c r="D152" s="13">
        <f>IF(C152="","",IFERROR(INDEX(Packages!$C:$C,MATCH(C152,Packages!$A:$A,0)),""))</f>
        <v/>
      </c>
      <c r="E152" s="13">
        <f>IF(OR(A152="",B152=""),"",COUNTIFS(Uploads!$A:$A,$A152,Uploads!$B:$B,"&gt;="&amp;$B152,Uploads!$B:$B,"&lt;"&amp;EDATE($B152,1)))</f>
        <v/>
      </c>
      <c r="F152" s="25">
        <f>IF(OR(D152="",D152=0,E152=""),"",MIN(1,E152/D152))</f>
        <v/>
      </c>
      <c r="G152" s="13">
        <f>IF(OR(A152="",B152=""),"",SUMIFS(Uploads!$G:$G,Uploads!$A:$A,$A152,Uploads!$B:$B,"&gt;="&amp;$B152,Uploads!$B:$B,"&lt;"&amp;EDATE($B152,1)))</f>
        <v/>
      </c>
      <c r="H152" s="13">
        <f>IF(OR(A152="",B152=""),"",COUNTIFS(Enquiries!$B:$B,$A152,Enquiries!$A:$A,"&gt;="&amp;$B152,Enquiries!$A:$A,"&lt;"&amp;EDATE($B152,1)))</f>
        <v/>
      </c>
      <c r="I152" s="13">
        <f>IF(OR(A152="",B152=""),"",COUNTIFS(Enquiries!$B:$B,$A152,Enquiries!$F:$F,"Booked",Enquiries!$A:$A,"&gt;="&amp;$B152,Enquiries!$A:$A,"&lt;"&amp;EDATE($B152,1))+COUNTIFS(Enquiries!$B:$B,$A152,Enquiries!$F:$F,"Bought",Enquiries!$A:$A,"&gt;="&amp;$B152,Enquiries!$A:$A,"&lt;"&amp;EDATE($B152,1)))</f>
        <v/>
      </c>
      <c r="J152" s="13">
        <f>IF(OR(A152="",B152=""),"",SUMIFS(Enquiries!$G:$G,Enquiries!$B:$B,$A152,Enquiries!$A:$A,"&gt;="&amp;$B152,Enquiries!$A:$A,"&lt;"&amp;EDATE($B152,1)))</f>
        <v/>
      </c>
      <c r="K152" s="13">
        <f>IF(C152="","",IFERROR(INDEX(Packages!$B:$B,MATCH(C152,Packages!$A:$A,0)),""))</f>
        <v/>
      </c>
      <c r="L152" s="13">
        <f>IF(OR(K152="",F152=""),"",K152*F152)</f>
        <v/>
      </c>
      <c r="M152" s="12" t="n"/>
      <c r="N152" s="12" t="n"/>
      <c r="O152" s="14" t="n"/>
      <c r="P152" s="12" t="n"/>
    </row>
    <row r="153">
      <c r="A153" s="12" t="n"/>
      <c r="B153" s="17" t="n"/>
      <c r="C153" s="24">
        <f>IF(A153="","",IFERROR(INDEX(Clients!$G:$G,MATCH(A153,Clients!$A:$A,0)),""))</f>
        <v/>
      </c>
      <c r="D153" s="13">
        <f>IF(C153="","",IFERROR(INDEX(Packages!$C:$C,MATCH(C153,Packages!$A:$A,0)),""))</f>
        <v/>
      </c>
      <c r="E153" s="13">
        <f>IF(OR(A153="",B153=""),"",COUNTIFS(Uploads!$A:$A,$A153,Uploads!$B:$B,"&gt;="&amp;$B153,Uploads!$B:$B,"&lt;"&amp;EDATE($B153,1)))</f>
        <v/>
      </c>
      <c r="F153" s="25">
        <f>IF(OR(D153="",D153=0,E153=""),"",MIN(1,E153/D153))</f>
        <v/>
      </c>
      <c r="G153" s="13">
        <f>IF(OR(A153="",B153=""),"",SUMIFS(Uploads!$G:$G,Uploads!$A:$A,$A153,Uploads!$B:$B,"&gt;="&amp;$B153,Uploads!$B:$B,"&lt;"&amp;EDATE($B153,1)))</f>
        <v/>
      </c>
      <c r="H153" s="13">
        <f>IF(OR(A153="",B153=""),"",COUNTIFS(Enquiries!$B:$B,$A153,Enquiries!$A:$A,"&gt;="&amp;$B153,Enquiries!$A:$A,"&lt;"&amp;EDATE($B153,1)))</f>
        <v/>
      </c>
      <c r="I153" s="13">
        <f>IF(OR(A153="",B153=""),"",COUNTIFS(Enquiries!$B:$B,$A153,Enquiries!$F:$F,"Booked",Enquiries!$A:$A,"&gt;="&amp;$B153,Enquiries!$A:$A,"&lt;"&amp;EDATE($B153,1))+COUNTIFS(Enquiries!$B:$B,$A153,Enquiries!$F:$F,"Bought",Enquiries!$A:$A,"&gt;="&amp;$B153,Enquiries!$A:$A,"&lt;"&amp;EDATE($B153,1)))</f>
        <v/>
      </c>
      <c r="J153" s="13">
        <f>IF(OR(A153="",B153=""),"",SUMIFS(Enquiries!$G:$G,Enquiries!$B:$B,$A153,Enquiries!$A:$A,"&gt;="&amp;$B153,Enquiries!$A:$A,"&lt;"&amp;EDATE($B153,1)))</f>
        <v/>
      </c>
      <c r="K153" s="13">
        <f>IF(C153="","",IFERROR(INDEX(Packages!$B:$B,MATCH(C153,Packages!$A:$A,0)),""))</f>
        <v/>
      </c>
      <c r="L153" s="13">
        <f>IF(OR(K153="",F153=""),"",K153*F153)</f>
        <v/>
      </c>
      <c r="M153" s="12" t="n"/>
      <c r="N153" s="12" t="n"/>
      <c r="O153" s="14" t="n"/>
      <c r="P153" s="12" t="n"/>
    </row>
    <row r="154">
      <c r="A154" s="12" t="n"/>
      <c r="B154" s="17" t="n"/>
      <c r="C154" s="24">
        <f>IF(A154="","",IFERROR(INDEX(Clients!$G:$G,MATCH(A154,Clients!$A:$A,0)),""))</f>
        <v/>
      </c>
      <c r="D154" s="13">
        <f>IF(C154="","",IFERROR(INDEX(Packages!$C:$C,MATCH(C154,Packages!$A:$A,0)),""))</f>
        <v/>
      </c>
      <c r="E154" s="13">
        <f>IF(OR(A154="",B154=""),"",COUNTIFS(Uploads!$A:$A,$A154,Uploads!$B:$B,"&gt;="&amp;$B154,Uploads!$B:$B,"&lt;"&amp;EDATE($B154,1)))</f>
        <v/>
      </c>
      <c r="F154" s="25">
        <f>IF(OR(D154="",D154=0,E154=""),"",MIN(1,E154/D154))</f>
        <v/>
      </c>
      <c r="G154" s="13">
        <f>IF(OR(A154="",B154=""),"",SUMIFS(Uploads!$G:$G,Uploads!$A:$A,$A154,Uploads!$B:$B,"&gt;="&amp;$B154,Uploads!$B:$B,"&lt;"&amp;EDATE($B154,1)))</f>
        <v/>
      </c>
      <c r="H154" s="13">
        <f>IF(OR(A154="",B154=""),"",COUNTIFS(Enquiries!$B:$B,$A154,Enquiries!$A:$A,"&gt;="&amp;$B154,Enquiries!$A:$A,"&lt;"&amp;EDATE($B154,1)))</f>
        <v/>
      </c>
      <c r="I154" s="13">
        <f>IF(OR(A154="",B154=""),"",COUNTIFS(Enquiries!$B:$B,$A154,Enquiries!$F:$F,"Booked",Enquiries!$A:$A,"&gt;="&amp;$B154,Enquiries!$A:$A,"&lt;"&amp;EDATE($B154,1))+COUNTIFS(Enquiries!$B:$B,$A154,Enquiries!$F:$F,"Bought",Enquiries!$A:$A,"&gt;="&amp;$B154,Enquiries!$A:$A,"&lt;"&amp;EDATE($B154,1)))</f>
        <v/>
      </c>
      <c r="J154" s="13">
        <f>IF(OR(A154="",B154=""),"",SUMIFS(Enquiries!$G:$G,Enquiries!$B:$B,$A154,Enquiries!$A:$A,"&gt;="&amp;$B154,Enquiries!$A:$A,"&lt;"&amp;EDATE($B154,1)))</f>
        <v/>
      </c>
      <c r="K154" s="13">
        <f>IF(C154="","",IFERROR(INDEX(Packages!$B:$B,MATCH(C154,Packages!$A:$A,0)),""))</f>
        <v/>
      </c>
      <c r="L154" s="13">
        <f>IF(OR(K154="",F154=""),"",K154*F154)</f>
        <v/>
      </c>
      <c r="M154" s="12" t="n"/>
      <c r="N154" s="12" t="n"/>
      <c r="O154" s="14" t="n"/>
      <c r="P154" s="12" t="n"/>
    </row>
    <row r="155">
      <c r="A155" s="12" t="n"/>
      <c r="B155" s="17" t="n"/>
      <c r="C155" s="24">
        <f>IF(A155="","",IFERROR(INDEX(Clients!$G:$G,MATCH(A155,Clients!$A:$A,0)),""))</f>
        <v/>
      </c>
      <c r="D155" s="13">
        <f>IF(C155="","",IFERROR(INDEX(Packages!$C:$C,MATCH(C155,Packages!$A:$A,0)),""))</f>
        <v/>
      </c>
      <c r="E155" s="13">
        <f>IF(OR(A155="",B155=""),"",COUNTIFS(Uploads!$A:$A,$A155,Uploads!$B:$B,"&gt;="&amp;$B155,Uploads!$B:$B,"&lt;"&amp;EDATE($B155,1)))</f>
        <v/>
      </c>
      <c r="F155" s="25">
        <f>IF(OR(D155="",D155=0,E155=""),"",MIN(1,E155/D155))</f>
        <v/>
      </c>
      <c r="G155" s="13">
        <f>IF(OR(A155="",B155=""),"",SUMIFS(Uploads!$G:$G,Uploads!$A:$A,$A155,Uploads!$B:$B,"&gt;="&amp;$B155,Uploads!$B:$B,"&lt;"&amp;EDATE($B155,1)))</f>
        <v/>
      </c>
      <c r="H155" s="13">
        <f>IF(OR(A155="",B155=""),"",COUNTIFS(Enquiries!$B:$B,$A155,Enquiries!$A:$A,"&gt;="&amp;$B155,Enquiries!$A:$A,"&lt;"&amp;EDATE($B155,1)))</f>
        <v/>
      </c>
      <c r="I155" s="13">
        <f>IF(OR(A155="",B155=""),"",COUNTIFS(Enquiries!$B:$B,$A155,Enquiries!$F:$F,"Booked",Enquiries!$A:$A,"&gt;="&amp;$B155,Enquiries!$A:$A,"&lt;"&amp;EDATE($B155,1))+COUNTIFS(Enquiries!$B:$B,$A155,Enquiries!$F:$F,"Bought",Enquiries!$A:$A,"&gt;="&amp;$B155,Enquiries!$A:$A,"&lt;"&amp;EDATE($B155,1)))</f>
        <v/>
      </c>
      <c r="J155" s="13">
        <f>IF(OR(A155="",B155=""),"",SUMIFS(Enquiries!$G:$G,Enquiries!$B:$B,$A155,Enquiries!$A:$A,"&gt;="&amp;$B155,Enquiries!$A:$A,"&lt;"&amp;EDATE($B155,1)))</f>
        <v/>
      </c>
      <c r="K155" s="13">
        <f>IF(C155="","",IFERROR(INDEX(Packages!$B:$B,MATCH(C155,Packages!$A:$A,0)),""))</f>
        <v/>
      </c>
      <c r="L155" s="13">
        <f>IF(OR(K155="",F155=""),"",K155*F155)</f>
        <v/>
      </c>
      <c r="M155" s="12" t="n"/>
      <c r="N155" s="12" t="n"/>
      <c r="O155" s="14" t="n"/>
      <c r="P155" s="12" t="n"/>
    </row>
    <row r="156">
      <c r="A156" s="12" t="n"/>
      <c r="B156" s="17" t="n"/>
      <c r="C156" s="24">
        <f>IF(A156="","",IFERROR(INDEX(Clients!$G:$G,MATCH(A156,Clients!$A:$A,0)),""))</f>
        <v/>
      </c>
      <c r="D156" s="13">
        <f>IF(C156="","",IFERROR(INDEX(Packages!$C:$C,MATCH(C156,Packages!$A:$A,0)),""))</f>
        <v/>
      </c>
      <c r="E156" s="13">
        <f>IF(OR(A156="",B156=""),"",COUNTIFS(Uploads!$A:$A,$A156,Uploads!$B:$B,"&gt;="&amp;$B156,Uploads!$B:$B,"&lt;"&amp;EDATE($B156,1)))</f>
        <v/>
      </c>
      <c r="F156" s="25">
        <f>IF(OR(D156="",D156=0,E156=""),"",MIN(1,E156/D156))</f>
        <v/>
      </c>
      <c r="G156" s="13">
        <f>IF(OR(A156="",B156=""),"",SUMIFS(Uploads!$G:$G,Uploads!$A:$A,$A156,Uploads!$B:$B,"&gt;="&amp;$B156,Uploads!$B:$B,"&lt;"&amp;EDATE($B156,1)))</f>
        <v/>
      </c>
      <c r="H156" s="13">
        <f>IF(OR(A156="",B156=""),"",COUNTIFS(Enquiries!$B:$B,$A156,Enquiries!$A:$A,"&gt;="&amp;$B156,Enquiries!$A:$A,"&lt;"&amp;EDATE($B156,1)))</f>
        <v/>
      </c>
      <c r="I156" s="13">
        <f>IF(OR(A156="",B156=""),"",COUNTIFS(Enquiries!$B:$B,$A156,Enquiries!$F:$F,"Booked",Enquiries!$A:$A,"&gt;="&amp;$B156,Enquiries!$A:$A,"&lt;"&amp;EDATE($B156,1))+COUNTIFS(Enquiries!$B:$B,$A156,Enquiries!$F:$F,"Bought",Enquiries!$A:$A,"&gt;="&amp;$B156,Enquiries!$A:$A,"&lt;"&amp;EDATE($B156,1)))</f>
        <v/>
      </c>
      <c r="J156" s="13">
        <f>IF(OR(A156="",B156=""),"",SUMIFS(Enquiries!$G:$G,Enquiries!$B:$B,$A156,Enquiries!$A:$A,"&gt;="&amp;$B156,Enquiries!$A:$A,"&lt;"&amp;EDATE($B156,1)))</f>
        <v/>
      </c>
      <c r="K156" s="13">
        <f>IF(C156="","",IFERROR(INDEX(Packages!$B:$B,MATCH(C156,Packages!$A:$A,0)),""))</f>
        <v/>
      </c>
      <c r="L156" s="13">
        <f>IF(OR(K156="",F156=""),"",K156*F156)</f>
        <v/>
      </c>
      <c r="M156" s="12" t="n"/>
      <c r="N156" s="12" t="n"/>
      <c r="O156" s="14" t="n"/>
      <c r="P156" s="12" t="n"/>
    </row>
    <row r="157">
      <c r="A157" s="12" t="n"/>
      <c r="B157" s="17" t="n"/>
      <c r="C157" s="24">
        <f>IF(A157="","",IFERROR(INDEX(Clients!$G:$G,MATCH(A157,Clients!$A:$A,0)),""))</f>
        <v/>
      </c>
      <c r="D157" s="13">
        <f>IF(C157="","",IFERROR(INDEX(Packages!$C:$C,MATCH(C157,Packages!$A:$A,0)),""))</f>
        <v/>
      </c>
      <c r="E157" s="13">
        <f>IF(OR(A157="",B157=""),"",COUNTIFS(Uploads!$A:$A,$A157,Uploads!$B:$B,"&gt;="&amp;$B157,Uploads!$B:$B,"&lt;"&amp;EDATE($B157,1)))</f>
        <v/>
      </c>
      <c r="F157" s="25">
        <f>IF(OR(D157="",D157=0,E157=""),"",MIN(1,E157/D157))</f>
        <v/>
      </c>
      <c r="G157" s="13">
        <f>IF(OR(A157="",B157=""),"",SUMIFS(Uploads!$G:$G,Uploads!$A:$A,$A157,Uploads!$B:$B,"&gt;="&amp;$B157,Uploads!$B:$B,"&lt;"&amp;EDATE($B157,1)))</f>
        <v/>
      </c>
      <c r="H157" s="13">
        <f>IF(OR(A157="",B157=""),"",COUNTIFS(Enquiries!$B:$B,$A157,Enquiries!$A:$A,"&gt;="&amp;$B157,Enquiries!$A:$A,"&lt;"&amp;EDATE($B157,1)))</f>
        <v/>
      </c>
      <c r="I157" s="13">
        <f>IF(OR(A157="",B157=""),"",COUNTIFS(Enquiries!$B:$B,$A157,Enquiries!$F:$F,"Booked",Enquiries!$A:$A,"&gt;="&amp;$B157,Enquiries!$A:$A,"&lt;"&amp;EDATE($B157,1))+COUNTIFS(Enquiries!$B:$B,$A157,Enquiries!$F:$F,"Bought",Enquiries!$A:$A,"&gt;="&amp;$B157,Enquiries!$A:$A,"&lt;"&amp;EDATE($B157,1)))</f>
        <v/>
      </c>
      <c r="J157" s="13">
        <f>IF(OR(A157="",B157=""),"",SUMIFS(Enquiries!$G:$G,Enquiries!$B:$B,$A157,Enquiries!$A:$A,"&gt;="&amp;$B157,Enquiries!$A:$A,"&lt;"&amp;EDATE($B157,1)))</f>
        <v/>
      </c>
      <c r="K157" s="13">
        <f>IF(C157="","",IFERROR(INDEX(Packages!$B:$B,MATCH(C157,Packages!$A:$A,0)),""))</f>
        <v/>
      </c>
      <c r="L157" s="13">
        <f>IF(OR(K157="",F157=""),"",K157*F157)</f>
        <v/>
      </c>
      <c r="M157" s="12" t="n"/>
      <c r="N157" s="12" t="n"/>
      <c r="O157" s="14" t="n"/>
      <c r="P157" s="12" t="n"/>
    </row>
    <row r="158">
      <c r="A158" s="12" t="n"/>
      <c r="B158" s="17" t="n"/>
      <c r="C158" s="24">
        <f>IF(A158="","",IFERROR(INDEX(Clients!$G:$G,MATCH(A158,Clients!$A:$A,0)),""))</f>
        <v/>
      </c>
      <c r="D158" s="13">
        <f>IF(C158="","",IFERROR(INDEX(Packages!$C:$C,MATCH(C158,Packages!$A:$A,0)),""))</f>
        <v/>
      </c>
      <c r="E158" s="13">
        <f>IF(OR(A158="",B158=""),"",COUNTIFS(Uploads!$A:$A,$A158,Uploads!$B:$B,"&gt;="&amp;$B158,Uploads!$B:$B,"&lt;"&amp;EDATE($B158,1)))</f>
        <v/>
      </c>
      <c r="F158" s="25">
        <f>IF(OR(D158="",D158=0,E158=""),"",MIN(1,E158/D158))</f>
        <v/>
      </c>
      <c r="G158" s="13">
        <f>IF(OR(A158="",B158=""),"",SUMIFS(Uploads!$G:$G,Uploads!$A:$A,$A158,Uploads!$B:$B,"&gt;="&amp;$B158,Uploads!$B:$B,"&lt;"&amp;EDATE($B158,1)))</f>
        <v/>
      </c>
      <c r="H158" s="13">
        <f>IF(OR(A158="",B158=""),"",COUNTIFS(Enquiries!$B:$B,$A158,Enquiries!$A:$A,"&gt;="&amp;$B158,Enquiries!$A:$A,"&lt;"&amp;EDATE($B158,1)))</f>
        <v/>
      </c>
      <c r="I158" s="13">
        <f>IF(OR(A158="",B158=""),"",COUNTIFS(Enquiries!$B:$B,$A158,Enquiries!$F:$F,"Booked",Enquiries!$A:$A,"&gt;="&amp;$B158,Enquiries!$A:$A,"&lt;"&amp;EDATE($B158,1))+COUNTIFS(Enquiries!$B:$B,$A158,Enquiries!$F:$F,"Bought",Enquiries!$A:$A,"&gt;="&amp;$B158,Enquiries!$A:$A,"&lt;"&amp;EDATE($B158,1)))</f>
        <v/>
      </c>
      <c r="J158" s="13">
        <f>IF(OR(A158="",B158=""),"",SUMIFS(Enquiries!$G:$G,Enquiries!$B:$B,$A158,Enquiries!$A:$A,"&gt;="&amp;$B158,Enquiries!$A:$A,"&lt;"&amp;EDATE($B158,1)))</f>
        <v/>
      </c>
      <c r="K158" s="13">
        <f>IF(C158="","",IFERROR(INDEX(Packages!$B:$B,MATCH(C158,Packages!$A:$A,0)),""))</f>
        <v/>
      </c>
      <c r="L158" s="13">
        <f>IF(OR(K158="",F158=""),"",K158*F158)</f>
        <v/>
      </c>
      <c r="M158" s="12" t="n"/>
      <c r="N158" s="12" t="n"/>
      <c r="O158" s="14" t="n"/>
      <c r="P158" s="12" t="n"/>
    </row>
    <row r="159">
      <c r="A159" s="12" t="n"/>
      <c r="B159" s="17" t="n"/>
      <c r="C159" s="24">
        <f>IF(A159="","",IFERROR(INDEX(Clients!$G:$G,MATCH(A159,Clients!$A:$A,0)),""))</f>
        <v/>
      </c>
      <c r="D159" s="13">
        <f>IF(C159="","",IFERROR(INDEX(Packages!$C:$C,MATCH(C159,Packages!$A:$A,0)),""))</f>
        <v/>
      </c>
      <c r="E159" s="13">
        <f>IF(OR(A159="",B159=""),"",COUNTIFS(Uploads!$A:$A,$A159,Uploads!$B:$B,"&gt;="&amp;$B159,Uploads!$B:$B,"&lt;"&amp;EDATE($B159,1)))</f>
        <v/>
      </c>
      <c r="F159" s="25">
        <f>IF(OR(D159="",D159=0,E159=""),"",MIN(1,E159/D159))</f>
        <v/>
      </c>
      <c r="G159" s="13">
        <f>IF(OR(A159="",B159=""),"",SUMIFS(Uploads!$G:$G,Uploads!$A:$A,$A159,Uploads!$B:$B,"&gt;="&amp;$B159,Uploads!$B:$B,"&lt;"&amp;EDATE($B159,1)))</f>
        <v/>
      </c>
      <c r="H159" s="13">
        <f>IF(OR(A159="",B159=""),"",COUNTIFS(Enquiries!$B:$B,$A159,Enquiries!$A:$A,"&gt;="&amp;$B159,Enquiries!$A:$A,"&lt;"&amp;EDATE($B159,1)))</f>
        <v/>
      </c>
      <c r="I159" s="13">
        <f>IF(OR(A159="",B159=""),"",COUNTIFS(Enquiries!$B:$B,$A159,Enquiries!$F:$F,"Booked",Enquiries!$A:$A,"&gt;="&amp;$B159,Enquiries!$A:$A,"&lt;"&amp;EDATE($B159,1))+COUNTIFS(Enquiries!$B:$B,$A159,Enquiries!$F:$F,"Bought",Enquiries!$A:$A,"&gt;="&amp;$B159,Enquiries!$A:$A,"&lt;"&amp;EDATE($B159,1)))</f>
        <v/>
      </c>
      <c r="J159" s="13">
        <f>IF(OR(A159="",B159=""),"",SUMIFS(Enquiries!$G:$G,Enquiries!$B:$B,$A159,Enquiries!$A:$A,"&gt;="&amp;$B159,Enquiries!$A:$A,"&lt;"&amp;EDATE($B159,1)))</f>
        <v/>
      </c>
      <c r="K159" s="13">
        <f>IF(C159="","",IFERROR(INDEX(Packages!$B:$B,MATCH(C159,Packages!$A:$A,0)),""))</f>
        <v/>
      </c>
      <c r="L159" s="13">
        <f>IF(OR(K159="",F159=""),"",K159*F159)</f>
        <v/>
      </c>
      <c r="M159" s="12" t="n"/>
      <c r="N159" s="12" t="n"/>
      <c r="O159" s="14" t="n"/>
      <c r="P159" s="12" t="n"/>
    </row>
    <row r="160">
      <c r="A160" s="12" t="n"/>
      <c r="B160" s="17" t="n"/>
      <c r="C160" s="24">
        <f>IF(A160="","",IFERROR(INDEX(Clients!$G:$G,MATCH(A160,Clients!$A:$A,0)),""))</f>
        <v/>
      </c>
      <c r="D160" s="13">
        <f>IF(C160="","",IFERROR(INDEX(Packages!$C:$C,MATCH(C160,Packages!$A:$A,0)),""))</f>
        <v/>
      </c>
      <c r="E160" s="13">
        <f>IF(OR(A160="",B160=""),"",COUNTIFS(Uploads!$A:$A,$A160,Uploads!$B:$B,"&gt;="&amp;$B160,Uploads!$B:$B,"&lt;"&amp;EDATE($B160,1)))</f>
        <v/>
      </c>
      <c r="F160" s="25">
        <f>IF(OR(D160="",D160=0,E160=""),"",MIN(1,E160/D160))</f>
        <v/>
      </c>
      <c r="G160" s="13">
        <f>IF(OR(A160="",B160=""),"",SUMIFS(Uploads!$G:$G,Uploads!$A:$A,$A160,Uploads!$B:$B,"&gt;="&amp;$B160,Uploads!$B:$B,"&lt;"&amp;EDATE($B160,1)))</f>
        <v/>
      </c>
      <c r="H160" s="13">
        <f>IF(OR(A160="",B160=""),"",COUNTIFS(Enquiries!$B:$B,$A160,Enquiries!$A:$A,"&gt;="&amp;$B160,Enquiries!$A:$A,"&lt;"&amp;EDATE($B160,1)))</f>
        <v/>
      </c>
      <c r="I160" s="13">
        <f>IF(OR(A160="",B160=""),"",COUNTIFS(Enquiries!$B:$B,$A160,Enquiries!$F:$F,"Booked",Enquiries!$A:$A,"&gt;="&amp;$B160,Enquiries!$A:$A,"&lt;"&amp;EDATE($B160,1))+COUNTIFS(Enquiries!$B:$B,$A160,Enquiries!$F:$F,"Bought",Enquiries!$A:$A,"&gt;="&amp;$B160,Enquiries!$A:$A,"&lt;"&amp;EDATE($B160,1)))</f>
        <v/>
      </c>
      <c r="J160" s="13">
        <f>IF(OR(A160="",B160=""),"",SUMIFS(Enquiries!$G:$G,Enquiries!$B:$B,$A160,Enquiries!$A:$A,"&gt;="&amp;$B160,Enquiries!$A:$A,"&lt;"&amp;EDATE($B160,1)))</f>
        <v/>
      </c>
      <c r="K160" s="13">
        <f>IF(C160="","",IFERROR(INDEX(Packages!$B:$B,MATCH(C160,Packages!$A:$A,0)),""))</f>
        <v/>
      </c>
      <c r="L160" s="13">
        <f>IF(OR(K160="",F160=""),"",K160*F160)</f>
        <v/>
      </c>
      <c r="M160" s="12" t="n"/>
      <c r="N160" s="12" t="n"/>
      <c r="O160" s="14" t="n"/>
      <c r="P160" s="12" t="n"/>
    </row>
    <row r="161">
      <c r="A161" s="12" t="n"/>
      <c r="B161" s="17" t="n"/>
      <c r="C161" s="24">
        <f>IF(A161="","",IFERROR(INDEX(Clients!$G:$G,MATCH(A161,Clients!$A:$A,0)),""))</f>
        <v/>
      </c>
      <c r="D161" s="13">
        <f>IF(C161="","",IFERROR(INDEX(Packages!$C:$C,MATCH(C161,Packages!$A:$A,0)),""))</f>
        <v/>
      </c>
      <c r="E161" s="13">
        <f>IF(OR(A161="",B161=""),"",COUNTIFS(Uploads!$A:$A,$A161,Uploads!$B:$B,"&gt;="&amp;$B161,Uploads!$B:$B,"&lt;"&amp;EDATE($B161,1)))</f>
        <v/>
      </c>
      <c r="F161" s="25">
        <f>IF(OR(D161="",D161=0,E161=""),"",MIN(1,E161/D161))</f>
        <v/>
      </c>
      <c r="G161" s="13">
        <f>IF(OR(A161="",B161=""),"",SUMIFS(Uploads!$G:$G,Uploads!$A:$A,$A161,Uploads!$B:$B,"&gt;="&amp;$B161,Uploads!$B:$B,"&lt;"&amp;EDATE($B161,1)))</f>
        <v/>
      </c>
      <c r="H161" s="13">
        <f>IF(OR(A161="",B161=""),"",COUNTIFS(Enquiries!$B:$B,$A161,Enquiries!$A:$A,"&gt;="&amp;$B161,Enquiries!$A:$A,"&lt;"&amp;EDATE($B161,1)))</f>
        <v/>
      </c>
      <c r="I161" s="13">
        <f>IF(OR(A161="",B161=""),"",COUNTIFS(Enquiries!$B:$B,$A161,Enquiries!$F:$F,"Booked",Enquiries!$A:$A,"&gt;="&amp;$B161,Enquiries!$A:$A,"&lt;"&amp;EDATE($B161,1))+COUNTIFS(Enquiries!$B:$B,$A161,Enquiries!$F:$F,"Bought",Enquiries!$A:$A,"&gt;="&amp;$B161,Enquiries!$A:$A,"&lt;"&amp;EDATE($B161,1)))</f>
        <v/>
      </c>
      <c r="J161" s="13">
        <f>IF(OR(A161="",B161=""),"",SUMIFS(Enquiries!$G:$G,Enquiries!$B:$B,$A161,Enquiries!$A:$A,"&gt;="&amp;$B161,Enquiries!$A:$A,"&lt;"&amp;EDATE($B161,1)))</f>
        <v/>
      </c>
      <c r="K161" s="13">
        <f>IF(C161="","",IFERROR(INDEX(Packages!$B:$B,MATCH(C161,Packages!$A:$A,0)),""))</f>
        <v/>
      </c>
      <c r="L161" s="13">
        <f>IF(OR(K161="",F161=""),"",K161*F161)</f>
        <v/>
      </c>
      <c r="M161" s="12" t="n"/>
      <c r="N161" s="12" t="n"/>
      <c r="O161" s="14" t="n"/>
      <c r="P161" s="12" t="n"/>
    </row>
    <row r="162">
      <c r="A162" s="12" t="n"/>
      <c r="B162" s="17" t="n"/>
      <c r="C162" s="24">
        <f>IF(A162="","",IFERROR(INDEX(Clients!$G:$G,MATCH(A162,Clients!$A:$A,0)),""))</f>
        <v/>
      </c>
      <c r="D162" s="13">
        <f>IF(C162="","",IFERROR(INDEX(Packages!$C:$C,MATCH(C162,Packages!$A:$A,0)),""))</f>
        <v/>
      </c>
      <c r="E162" s="13">
        <f>IF(OR(A162="",B162=""),"",COUNTIFS(Uploads!$A:$A,$A162,Uploads!$B:$B,"&gt;="&amp;$B162,Uploads!$B:$B,"&lt;"&amp;EDATE($B162,1)))</f>
        <v/>
      </c>
      <c r="F162" s="25">
        <f>IF(OR(D162="",D162=0,E162=""),"",MIN(1,E162/D162))</f>
        <v/>
      </c>
      <c r="G162" s="13">
        <f>IF(OR(A162="",B162=""),"",SUMIFS(Uploads!$G:$G,Uploads!$A:$A,$A162,Uploads!$B:$B,"&gt;="&amp;$B162,Uploads!$B:$B,"&lt;"&amp;EDATE($B162,1)))</f>
        <v/>
      </c>
      <c r="H162" s="13">
        <f>IF(OR(A162="",B162=""),"",COUNTIFS(Enquiries!$B:$B,$A162,Enquiries!$A:$A,"&gt;="&amp;$B162,Enquiries!$A:$A,"&lt;"&amp;EDATE($B162,1)))</f>
        <v/>
      </c>
      <c r="I162" s="13">
        <f>IF(OR(A162="",B162=""),"",COUNTIFS(Enquiries!$B:$B,$A162,Enquiries!$F:$F,"Booked",Enquiries!$A:$A,"&gt;="&amp;$B162,Enquiries!$A:$A,"&lt;"&amp;EDATE($B162,1))+COUNTIFS(Enquiries!$B:$B,$A162,Enquiries!$F:$F,"Bought",Enquiries!$A:$A,"&gt;="&amp;$B162,Enquiries!$A:$A,"&lt;"&amp;EDATE($B162,1)))</f>
        <v/>
      </c>
      <c r="J162" s="13">
        <f>IF(OR(A162="",B162=""),"",SUMIFS(Enquiries!$G:$G,Enquiries!$B:$B,$A162,Enquiries!$A:$A,"&gt;="&amp;$B162,Enquiries!$A:$A,"&lt;"&amp;EDATE($B162,1)))</f>
        <v/>
      </c>
      <c r="K162" s="13">
        <f>IF(C162="","",IFERROR(INDEX(Packages!$B:$B,MATCH(C162,Packages!$A:$A,0)),""))</f>
        <v/>
      </c>
      <c r="L162" s="13">
        <f>IF(OR(K162="",F162=""),"",K162*F162)</f>
        <v/>
      </c>
      <c r="M162" s="12" t="n"/>
      <c r="N162" s="12" t="n"/>
      <c r="O162" s="14" t="n"/>
      <c r="P162" s="12" t="n"/>
    </row>
    <row r="163">
      <c r="A163" s="12" t="n"/>
      <c r="B163" s="17" t="n"/>
      <c r="C163" s="24">
        <f>IF(A163="","",IFERROR(INDEX(Clients!$G:$G,MATCH(A163,Clients!$A:$A,0)),""))</f>
        <v/>
      </c>
      <c r="D163" s="13">
        <f>IF(C163="","",IFERROR(INDEX(Packages!$C:$C,MATCH(C163,Packages!$A:$A,0)),""))</f>
        <v/>
      </c>
      <c r="E163" s="13">
        <f>IF(OR(A163="",B163=""),"",COUNTIFS(Uploads!$A:$A,$A163,Uploads!$B:$B,"&gt;="&amp;$B163,Uploads!$B:$B,"&lt;"&amp;EDATE($B163,1)))</f>
        <v/>
      </c>
      <c r="F163" s="25">
        <f>IF(OR(D163="",D163=0,E163=""),"",MIN(1,E163/D163))</f>
        <v/>
      </c>
      <c r="G163" s="13">
        <f>IF(OR(A163="",B163=""),"",SUMIFS(Uploads!$G:$G,Uploads!$A:$A,$A163,Uploads!$B:$B,"&gt;="&amp;$B163,Uploads!$B:$B,"&lt;"&amp;EDATE($B163,1)))</f>
        <v/>
      </c>
      <c r="H163" s="13">
        <f>IF(OR(A163="",B163=""),"",COUNTIFS(Enquiries!$B:$B,$A163,Enquiries!$A:$A,"&gt;="&amp;$B163,Enquiries!$A:$A,"&lt;"&amp;EDATE($B163,1)))</f>
        <v/>
      </c>
      <c r="I163" s="13">
        <f>IF(OR(A163="",B163=""),"",COUNTIFS(Enquiries!$B:$B,$A163,Enquiries!$F:$F,"Booked",Enquiries!$A:$A,"&gt;="&amp;$B163,Enquiries!$A:$A,"&lt;"&amp;EDATE($B163,1))+COUNTIFS(Enquiries!$B:$B,$A163,Enquiries!$F:$F,"Bought",Enquiries!$A:$A,"&gt;="&amp;$B163,Enquiries!$A:$A,"&lt;"&amp;EDATE($B163,1)))</f>
        <v/>
      </c>
      <c r="J163" s="13">
        <f>IF(OR(A163="",B163=""),"",SUMIFS(Enquiries!$G:$G,Enquiries!$B:$B,$A163,Enquiries!$A:$A,"&gt;="&amp;$B163,Enquiries!$A:$A,"&lt;"&amp;EDATE($B163,1)))</f>
        <v/>
      </c>
      <c r="K163" s="13">
        <f>IF(C163="","",IFERROR(INDEX(Packages!$B:$B,MATCH(C163,Packages!$A:$A,0)),""))</f>
        <v/>
      </c>
      <c r="L163" s="13">
        <f>IF(OR(K163="",F163=""),"",K163*F163)</f>
        <v/>
      </c>
      <c r="M163" s="12" t="n"/>
      <c r="N163" s="12" t="n"/>
      <c r="O163" s="14" t="n"/>
      <c r="P163" s="12" t="n"/>
    </row>
    <row r="164">
      <c r="A164" s="12" t="n"/>
      <c r="B164" s="17" t="n"/>
      <c r="C164" s="24">
        <f>IF(A164="","",IFERROR(INDEX(Clients!$G:$G,MATCH(A164,Clients!$A:$A,0)),""))</f>
        <v/>
      </c>
      <c r="D164" s="13">
        <f>IF(C164="","",IFERROR(INDEX(Packages!$C:$C,MATCH(C164,Packages!$A:$A,0)),""))</f>
        <v/>
      </c>
      <c r="E164" s="13">
        <f>IF(OR(A164="",B164=""),"",COUNTIFS(Uploads!$A:$A,$A164,Uploads!$B:$B,"&gt;="&amp;$B164,Uploads!$B:$B,"&lt;"&amp;EDATE($B164,1)))</f>
        <v/>
      </c>
      <c r="F164" s="25">
        <f>IF(OR(D164="",D164=0,E164=""),"",MIN(1,E164/D164))</f>
        <v/>
      </c>
      <c r="G164" s="13">
        <f>IF(OR(A164="",B164=""),"",SUMIFS(Uploads!$G:$G,Uploads!$A:$A,$A164,Uploads!$B:$B,"&gt;="&amp;$B164,Uploads!$B:$B,"&lt;"&amp;EDATE($B164,1)))</f>
        <v/>
      </c>
      <c r="H164" s="13">
        <f>IF(OR(A164="",B164=""),"",COUNTIFS(Enquiries!$B:$B,$A164,Enquiries!$A:$A,"&gt;="&amp;$B164,Enquiries!$A:$A,"&lt;"&amp;EDATE($B164,1)))</f>
        <v/>
      </c>
      <c r="I164" s="13">
        <f>IF(OR(A164="",B164=""),"",COUNTIFS(Enquiries!$B:$B,$A164,Enquiries!$F:$F,"Booked",Enquiries!$A:$A,"&gt;="&amp;$B164,Enquiries!$A:$A,"&lt;"&amp;EDATE($B164,1))+COUNTIFS(Enquiries!$B:$B,$A164,Enquiries!$F:$F,"Bought",Enquiries!$A:$A,"&gt;="&amp;$B164,Enquiries!$A:$A,"&lt;"&amp;EDATE($B164,1)))</f>
        <v/>
      </c>
      <c r="J164" s="13">
        <f>IF(OR(A164="",B164=""),"",SUMIFS(Enquiries!$G:$G,Enquiries!$B:$B,$A164,Enquiries!$A:$A,"&gt;="&amp;$B164,Enquiries!$A:$A,"&lt;"&amp;EDATE($B164,1)))</f>
        <v/>
      </c>
      <c r="K164" s="13">
        <f>IF(C164="","",IFERROR(INDEX(Packages!$B:$B,MATCH(C164,Packages!$A:$A,0)),""))</f>
        <v/>
      </c>
      <c r="L164" s="13">
        <f>IF(OR(K164="",F164=""),"",K164*F164)</f>
        <v/>
      </c>
      <c r="M164" s="12" t="n"/>
      <c r="N164" s="12" t="n"/>
      <c r="O164" s="14" t="n"/>
      <c r="P164" s="12" t="n"/>
    </row>
    <row r="165">
      <c r="A165" s="12" t="n"/>
      <c r="B165" s="17" t="n"/>
      <c r="C165" s="24">
        <f>IF(A165="","",IFERROR(INDEX(Clients!$G:$G,MATCH(A165,Clients!$A:$A,0)),""))</f>
        <v/>
      </c>
      <c r="D165" s="13">
        <f>IF(C165="","",IFERROR(INDEX(Packages!$C:$C,MATCH(C165,Packages!$A:$A,0)),""))</f>
        <v/>
      </c>
      <c r="E165" s="13">
        <f>IF(OR(A165="",B165=""),"",COUNTIFS(Uploads!$A:$A,$A165,Uploads!$B:$B,"&gt;="&amp;$B165,Uploads!$B:$B,"&lt;"&amp;EDATE($B165,1)))</f>
        <v/>
      </c>
      <c r="F165" s="25">
        <f>IF(OR(D165="",D165=0,E165=""),"",MIN(1,E165/D165))</f>
        <v/>
      </c>
      <c r="G165" s="13">
        <f>IF(OR(A165="",B165=""),"",SUMIFS(Uploads!$G:$G,Uploads!$A:$A,$A165,Uploads!$B:$B,"&gt;="&amp;$B165,Uploads!$B:$B,"&lt;"&amp;EDATE($B165,1)))</f>
        <v/>
      </c>
      <c r="H165" s="13">
        <f>IF(OR(A165="",B165=""),"",COUNTIFS(Enquiries!$B:$B,$A165,Enquiries!$A:$A,"&gt;="&amp;$B165,Enquiries!$A:$A,"&lt;"&amp;EDATE($B165,1)))</f>
        <v/>
      </c>
      <c r="I165" s="13">
        <f>IF(OR(A165="",B165=""),"",COUNTIFS(Enquiries!$B:$B,$A165,Enquiries!$F:$F,"Booked",Enquiries!$A:$A,"&gt;="&amp;$B165,Enquiries!$A:$A,"&lt;"&amp;EDATE($B165,1))+COUNTIFS(Enquiries!$B:$B,$A165,Enquiries!$F:$F,"Bought",Enquiries!$A:$A,"&gt;="&amp;$B165,Enquiries!$A:$A,"&lt;"&amp;EDATE($B165,1)))</f>
        <v/>
      </c>
      <c r="J165" s="13">
        <f>IF(OR(A165="",B165=""),"",SUMIFS(Enquiries!$G:$G,Enquiries!$B:$B,$A165,Enquiries!$A:$A,"&gt;="&amp;$B165,Enquiries!$A:$A,"&lt;"&amp;EDATE($B165,1)))</f>
        <v/>
      </c>
      <c r="K165" s="13">
        <f>IF(C165="","",IFERROR(INDEX(Packages!$B:$B,MATCH(C165,Packages!$A:$A,0)),""))</f>
        <v/>
      </c>
      <c r="L165" s="13">
        <f>IF(OR(K165="",F165=""),"",K165*F165)</f>
        <v/>
      </c>
      <c r="M165" s="12" t="n"/>
      <c r="N165" s="12" t="n"/>
      <c r="O165" s="14" t="n"/>
      <c r="P165" s="12" t="n"/>
    </row>
    <row r="166">
      <c r="A166" s="12" t="n"/>
      <c r="B166" s="17" t="n"/>
      <c r="C166" s="24">
        <f>IF(A166="","",IFERROR(INDEX(Clients!$G:$G,MATCH(A166,Clients!$A:$A,0)),""))</f>
        <v/>
      </c>
      <c r="D166" s="13">
        <f>IF(C166="","",IFERROR(INDEX(Packages!$C:$C,MATCH(C166,Packages!$A:$A,0)),""))</f>
        <v/>
      </c>
      <c r="E166" s="13">
        <f>IF(OR(A166="",B166=""),"",COUNTIFS(Uploads!$A:$A,$A166,Uploads!$B:$B,"&gt;="&amp;$B166,Uploads!$B:$B,"&lt;"&amp;EDATE($B166,1)))</f>
        <v/>
      </c>
      <c r="F166" s="25">
        <f>IF(OR(D166="",D166=0,E166=""),"",MIN(1,E166/D166))</f>
        <v/>
      </c>
      <c r="G166" s="13">
        <f>IF(OR(A166="",B166=""),"",SUMIFS(Uploads!$G:$G,Uploads!$A:$A,$A166,Uploads!$B:$B,"&gt;="&amp;$B166,Uploads!$B:$B,"&lt;"&amp;EDATE($B166,1)))</f>
        <v/>
      </c>
      <c r="H166" s="13">
        <f>IF(OR(A166="",B166=""),"",COUNTIFS(Enquiries!$B:$B,$A166,Enquiries!$A:$A,"&gt;="&amp;$B166,Enquiries!$A:$A,"&lt;"&amp;EDATE($B166,1)))</f>
        <v/>
      </c>
      <c r="I166" s="13">
        <f>IF(OR(A166="",B166=""),"",COUNTIFS(Enquiries!$B:$B,$A166,Enquiries!$F:$F,"Booked",Enquiries!$A:$A,"&gt;="&amp;$B166,Enquiries!$A:$A,"&lt;"&amp;EDATE($B166,1))+COUNTIFS(Enquiries!$B:$B,$A166,Enquiries!$F:$F,"Bought",Enquiries!$A:$A,"&gt;="&amp;$B166,Enquiries!$A:$A,"&lt;"&amp;EDATE($B166,1)))</f>
        <v/>
      </c>
      <c r="J166" s="13">
        <f>IF(OR(A166="",B166=""),"",SUMIFS(Enquiries!$G:$G,Enquiries!$B:$B,$A166,Enquiries!$A:$A,"&gt;="&amp;$B166,Enquiries!$A:$A,"&lt;"&amp;EDATE($B166,1)))</f>
        <v/>
      </c>
      <c r="K166" s="13">
        <f>IF(C166="","",IFERROR(INDEX(Packages!$B:$B,MATCH(C166,Packages!$A:$A,0)),""))</f>
        <v/>
      </c>
      <c r="L166" s="13">
        <f>IF(OR(K166="",F166=""),"",K166*F166)</f>
        <v/>
      </c>
      <c r="M166" s="12" t="n"/>
      <c r="N166" s="12" t="n"/>
      <c r="O166" s="14" t="n"/>
      <c r="P166" s="12" t="n"/>
    </row>
    <row r="167">
      <c r="A167" s="12" t="n"/>
      <c r="B167" s="17" t="n"/>
      <c r="C167" s="24">
        <f>IF(A167="","",IFERROR(INDEX(Clients!$G:$G,MATCH(A167,Clients!$A:$A,0)),""))</f>
        <v/>
      </c>
      <c r="D167" s="13">
        <f>IF(C167="","",IFERROR(INDEX(Packages!$C:$C,MATCH(C167,Packages!$A:$A,0)),""))</f>
        <v/>
      </c>
      <c r="E167" s="13">
        <f>IF(OR(A167="",B167=""),"",COUNTIFS(Uploads!$A:$A,$A167,Uploads!$B:$B,"&gt;="&amp;$B167,Uploads!$B:$B,"&lt;"&amp;EDATE($B167,1)))</f>
        <v/>
      </c>
      <c r="F167" s="25">
        <f>IF(OR(D167="",D167=0,E167=""),"",MIN(1,E167/D167))</f>
        <v/>
      </c>
      <c r="G167" s="13">
        <f>IF(OR(A167="",B167=""),"",SUMIFS(Uploads!$G:$G,Uploads!$A:$A,$A167,Uploads!$B:$B,"&gt;="&amp;$B167,Uploads!$B:$B,"&lt;"&amp;EDATE($B167,1)))</f>
        <v/>
      </c>
      <c r="H167" s="13">
        <f>IF(OR(A167="",B167=""),"",COUNTIFS(Enquiries!$B:$B,$A167,Enquiries!$A:$A,"&gt;="&amp;$B167,Enquiries!$A:$A,"&lt;"&amp;EDATE($B167,1)))</f>
        <v/>
      </c>
      <c r="I167" s="13">
        <f>IF(OR(A167="",B167=""),"",COUNTIFS(Enquiries!$B:$B,$A167,Enquiries!$F:$F,"Booked",Enquiries!$A:$A,"&gt;="&amp;$B167,Enquiries!$A:$A,"&lt;"&amp;EDATE($B167,1))+COUNTIFS(Enquiries!$B:$B,$A167,Enquiries!$F:$F,"Bought",Enquiries!$A:$A,"&gt;="&amp;$B167,Enquiries!$A:$A,"&lt;"&amp;EDATE($B167,1)))</f>
        <v/>
      </c>
      <c r="J167" s="13">
        <f>IF(OR(A167="",B167=""),"",SUMIFS(Enquiries!$G:$G,Enquiries!$B:$B,$A167,Enquiries!$A:$A,"&gt;="&amp;$B167,Enquiries!$A:$A,"&lt;"&amp;EDATE($B167,1)))</f>
        <v/>
      </c>
      <c r="K167" s="13">
        <f>IF(C167="","",IFERROR(INDEX(Packages!$B:$B,MATCH(C167,Packages!$A:$A,0)),""))</f>
        <v/>
      </c>
      <c r="L167" s="13">
        <f>IF(OR(K167="",F167=""),"",K167*F167)</f>
        <v/>
      </c>
      <c r="M167" s="12" t="n"/>
      <c r="N167" s="12" t="n"/>
      <c r="O167" s="14" t="n"/>
      <c r="P167" s="12" t="n"/>
    </row>
    <row r="168">
      <c r="A168" s="12" t="n"/>
      <c r="B168" s="17" t="n"/>
      <c r="C168" s="24">
        <f>IF(A168="","",IFERROR(INDEX(Clients!$G:$G,MATCH(A168,Clients!$A:$A,0)),""))</f>
        <v/>
      </c>
      <c r="D168" s="13">
        <f>IF(C168="","",IFERROR(INDEX(Packages!$C:$C,MATCH(C168,Packages!$A:$A,0)),""))</f>
        <v/>
      </c>
      <c r="E168" s="13">
        <f>IF(OR(A168="",B168=""),"",COUNTIFS(Uploads!$A:$A,$A168,Uploads!$B:$B,"&gt;="&amp;$B168,Uploads!$B:$B,"&lt;"&amp;EDATE($B168,1)))</f>
        <v/>
      </c>
      <c r="F168" s="25">
        <f>IF(OR(D168="",D168=0,E168=""),"",MIN(1,E168/D168))</f>
        <v/>
      </c>
      <c r="G168" s="13">
        <f>IF(OR(A168="",B168=""),"",SUMIFS(Uploads!$G:$G,Uploads!$A:$A,$A168,Uploads!$B:$B,"&gt;="&amp;$B168,Uploads!$B:$B,"&lt;"&amp;EDATE($B168,1)))</f>
        <v/>
      </c>
      <c r="H168" s="13">
        <f>IF(OR(A168="",B168=""),"",COUNTIFS(Enquiries!$B:$B,$A168,Enquiries!$A:$A,"&gt;="&amp;$B168,Enquiries!$A:$A,"&lt;"&amp;EDATE($B168,1)))</f>
        <v/>
      </c>
      <c r="I168" s="13">
        <f>IF(OR(A168="",B168=""),"",COUNTIFS(Enquiries!$B:$B,$A168,Enquiries!$F:$F,"Booked",Enquiries!$A:$A,"&gt;="&amp;$B168,Enquiries!$A:$A,"&lt;"&amp;EDATE($B168,1))+COUNTIFS(Enquiries!$B:$B,$A168,Enquiries!$F:$F,"Bought",Enquiries!$A:$A,"&gt;="&amp;$B168,Enquiries!$A:$A,"&lt;"&amp;EDATE($B168,1)))</f>
        <v/>
      </c>
      <c r="J168" s="13">
        <f>IF(OR(A168="",B168=""),"",SUMIFS(Enquiries!$G:$G,Enquiries!$B:$B,$A168,Enquiries!$A:$A,"&gt;="&amp;$B168,Enquiries!$A:$A,"&lt;"&amp;EDATE($B168,1)))</f>
        <v/>
      </c>
      <c r="K168" s="13">
        <f>IF(C168="","",IFERROR(INDEX(Packages!$B:$B,MATCH(C168,Packages!$A:$A,0)),""))</f>
        <v/>
      </c>
      <c r="L168" s="13">
        <f>IF(OR(K168="",F168=""),"",K168*F168)</f>
        <v/>
      </c>
      <c r="M168" s="12" t="n"/>
      <c r="N168" s="12" t="n"/>
      <c r="O168" s="14" t="n"/>
      <c r="P168" s="12" t="n"/>
    </row>
    <row r="169">
      <c r="A169" s="12" t="n"/>
      <c r="B169" s="17" t="n"/>
      <c r="C169" s="24">
        <f>IF(A169="","",IFERROR(INDEX(Clients!$G:$G,MATCH(A169,Clients!$A:$A,0)),""))</f>
        <v/>
      </c>
      <c r="D169" s="13">
        <f>IF(C169="","",IFERROR(INDEX(Packages!$C:$C,MATCH(C169,Packages!$A:$A,0)),""))</f>
        <v/>
      </c>
      <c r="E169" s="13">
        <f>IF(OR(A169="",B169=""),"",COUNTIFS(Uploads!$A:$A,$A169,Uploads!$B:$B,"&gt;="&amp;$B169,Uploads!$B:$B,"&lt;"&amp;EDATE($B169,1)))</f>
        <v/>
      </c>
      <c r="F169" s="25">
        <f>IF(OR(D169="",D169=0,E169=""),"",MIN(1,E169/D169))</f>
        <v/>
      </c>
      <c r="G169" s="13">
        <f>IF(OR(A169="",B169=""),"",SUMIFS(Uploads!$G:$G,Uploads!$A:$A,$A169,Uploads!$B:$B,"&gt;="&amp;$B169,Uploads!$B:$B,"&lt;"&amp;EDATE($B169,1)))</f>
        <v/>
      </c>
      <c r="H169" s="13">
        <f>IF(OR(A169="",B169=""),"",COUNTIFS(Enquiries!$B:$B,$A169,Enquiries!$A:$A,"&gt;="&amp;$B169,Enquiries!$A:$A,"&lt;"&amp;EDATE($B169,1)))</f>
        <v/>
      </c>
      <c r="I169" s="13">
        <f>IF(OR(A169="",B169=""),"",COUNTIFS(Enquiries!$B:$B,$A169,Enquiries!$F:$F,"Booked",Enquiries!$A:$A,"&gt;="&amp;$B169,Enquiries!$A:$A,"&lt;"&amp;EDATE($B169,1))+COUNTIFS(Enquiries!$B:$B,$A169,Enquiries!$F:$F,"Bought",Enquiries!$A:$A,"&gt;="&amp;$B169,Enquiries!$A:$A,"&lt;"&amp;EDATE($B169,1)))</f>
        <v/>
      </c>
      <c r="J169" s="13">
        <f>IF(OR(A169="",B169=""),"",SUMIFS(Enquiries!$G:$G,Enquiries!$B:$B,$A169,Enquiries!$A:$A,"&gt;="&amp;$B169,Enquiries!$A:$A,"&lt;"&amp;EDATE($B169,1)))</f>
        <v/>
      </c>
      <c r="K169" s="13">
        <f>IF(C169="","",IFERROR(INDEX(Packages!$B:$B,MATCH(C169,Packages!$A:$A,0)),""))</f>
        <v/>
      </c>
      <c r="L169" s="13">
        <f>IF(OR(K169="",F169=""),"",K169*F169)</f>
        <v/>
      </c>
      <c r="M169" s="12" t="n"/>
      <c r="N169" s="12" t="n"/>
      <c r="O169" s="14" t="n"/>
      <c r="P169" s="12" t="n"/>
    </row>
    <row r="170">
      <c r="A170" s="12" t="n"/>
      <c r="B170" s="17" t="n"/>
      <c r="C170" s="24">
        <f>IF(A170="","",IFERROR(INDEX(Clients!$G:$G,MATCH(A170,Clients!$A:$A,0)),""))</f>
        <v/>
      </c>
      <c r="D170" s="13">
        <f>IF(C170="","",IFERROR(INDEX(Packages!$C:$C,MATCH(C170,Packages!$A:$A,0)),""))</f>
        <v/>
      </c>
      <c r="E170" s="13">
        <f>IF(OR(A170="",B170=""),"",COUNTIFS(Uploads!$A:$A,$A170,Uploads!$B:$B,"&gt;="&amp;$B170,Uploads!$B:$B,"&lt;"&amp;EDATE($B170,1)))</f>
        <v/>
      </c>
      <c r="F170" s="25">
        <f>IF(OR(D170="",D170=0,E170=""),"",MIN(1,E170/D170))</f>
        <v/>
      </c>
      <c r="G170" s="13">
        <f>IF(OR(A170="",B170=""),"",SUMIFS(Uploads!$G:$G,Uploads!$A:$A,$A170,Uploads!$B:$B,"&gt;="&amp;$B170,Uploads!$B:$B,"&lt;"&amp;EDATE($B170,1)))</f>
        <v/>
      </c>
      <c r="H170" s="13">
        <f>IF(OR(A170="",B170=""),"",COUNTIFS(Enquiries!$B:$B,$A170,Enquiries!$A:$A,"&gt;="&amp;$B170,Enquiries!$A:$A,"&lt;"&amp;EDATE($B170,1)))</f>
        <v/>
      </c>
      <c r="I170" s="13">
        <f>IF(OR(A170="",B170=""),"",COUNTIFS(Enquiries!$B:$B,$A170,Enquiries!$F:$F,"Booked",Enquiries!$A:$A,"&gt;="&amp;$B170,Enquiries!$A:$A,"&lt;"&amp;EDATE($B170,1))+COUNTIFS(Enquiries!$B:$B,$A170,Enquiries!$F:$F,"Bought",Enquiries!$A:$A,"&gt;="&amp;$B170,Enquiries!$A:$A,"&lt;"&amp;EDATE($B170,1)))</f>
        <v/>
      </c>
      <c r="J170" s="13">
        <f>IF(OR(A170="",B170=""),"",SUMIFS(Enquiries!$G:$G,Enquiries!$B:$B,$A170,Enquiries!$A:$A,"&gt;="&amp;$B170,Enquiries!$A:$A,"&lt;"&amp;EDATE($B170,1)))</f>
        <v/>
      </c>
      <c r="K170" s="13">
        <f>IF(C170="","",IFERROR(INDEX(Packages!$B:$B,MATCH(C170,Packages!$A:$A,0)),""))</f>
        <v/>
      </c>
      <c r="L170" s="13">
        <f>IF(OR(K170="",F170=""),"",K170*F170)</f>
        <v/>
      </c>
      <c r="M170" s="12" t="n"/>
      <c r="N170" s="12" t="n"/>
      <c r="O170" s="14" t="n"/>
      <c r="P170" s="12" t="n"/>
    </row>
    <row r="171">
      <c r="A171" s="12" t="n"/>
      <c r="B171" s="17" t="n"/>
      <c r="C171" s="24">
        <f>IF(A171="","",IFERROR(INDEX(Clients!$G:$G,MATCH(A171,Clients!$A:$A,0)),""))</f>
        <v/>
      </c>
      <c r="D171" s="13">
        <f>IF(C171="","",IFERROR(INDEX(Packages!$C:$C,MATCH(C171,Packages!$A:$A,0)),""))</f>
        <v/>
      </c>
      <c r="E171" s="13">
        <f>IF(OR(A171="",B171=""),"",COUNTIFS(Uploads!$A:$A,$A171,Uploads!$B:$B,"&gt;="&amp;$B171,Uploads!$B:$B,"&lt;"&amp;EDATE($B171,1)))</f>
        <v/>
      </c>
      <c r="F171" s="25">
        <f>IF(OR(D171="",D171=0,E171=""),"",MIN(1,E171/D171))</f>
        <v/>
      </c>
      <c r="G171" s="13">
        <f>IF(OR(A171="",B171=""),"",SUMIFS(Uploads!$G:$G,Uploads!$A:$A,$A171,Uploads!$B:$B,"&gt;="&amp;$B171,Uploads!$B:$B,"&lt;"&amp;EDATE($B171,1)))</f>
        <v/>
      </c>
      <c r="H171" s="13">
        <f>IF(OR(A171="",B171=""),"",COUNTIFS(Enquiries!$B:$B,$A171,Enquiries!$A:$A,"&gt;="&amp;$B171,Enquiries!$A:$A,"&lt;"&amp;EDATE($B171,1)))</f>
        <v/>
      </c>
      <c r="I171" s="13">
        <f>IF(OR(A171="",B171=""),"",COUNTIFS(Enquiries!$B:$B,$A171,Enquiries!$F:$F,"Booked",Enquiries!$A:$A,"&gt;="&amp;$B171,Enquiries!$A:$A,"&lt;"&amp;EDATE($B171,1))+COUNTIFS(Enquiries!$B:$B,$A171,Enquiries!$F:$F,"Bought",Enquiries!$A:$A,"&gt;="&amp;$B171,Enquiries!$A:$A,"&lt;"&amp;EDATE($B171,1)))</f>
        <v/>
      </c>
      <c r="J171" s="13">
        <f>IF(OR(A171="",B171=""),"",SUMIFS(Enquiries!$G:$G,Enquiries!$B:$B,$A171,Enquiries!$A:$A,"&gt;="&amp;$B171,Enquiries!$A:$A,"&lt;"&amp;EDATE($B171,1)))</f>
        <v/>
      </c>
      <c r="K171" s="13">
        <f>IF(C171="","",IFERROR(INDEX(Packages!$B:$B,MATCH(C171,Packages!$A:$A,0)),""))</f>
        <v/>
      </c>
      <c r="L171" s="13">
        <f>IF(OR(K171="",F171=""),"",K171*F171)</f>
        <v/>
      </c>
      <c r="M171" s="12" t="n"/>
      <c r="N171" s="12" t="n"/>
      <c r="O171" s="14" t="n"/>
      <c r="P171" s="12" t="n"/>
    </row>
    <row r="172">
      <c r="A172" s="12" t="n"/>
      <c r="B172" s="17" t="n"/>
      <c r="C172" s="24">
        <f>IF(A172="","",IFERROR(INDEX(Clients!$G:$G,MATCH(A172,Clients!$A:$A,0)),""))</f>
        <v/>
      </c>
      <c r="D172" s="13">
        <f>IF(C172="","",IFERROR(INDEX(Packages!$C:$C,MATCH(C172,Packages!$A:$A,0)),""))</f>
        <v/>
      </c>
      <c r="E172" s="13">
        <f>IF(OR(A172="",B172=""),"",COUNTIFS(Uploads!$A:$A,$A172,Uploads!$B:$B,"&gt;="&amp;$B172,Uploads!$B:$B,"&lt;"&amp;EDATE($B172,1)))</f>
        <v/>
      </c>
      <c r="F172" s="25">
        <f>IF(OR(D172="",D172=0,E172=""),"",MIN(1,E172/D172))</f>
        <v/>
      </c>
      <c r="G172" s="13">
        <f>IF(OR(A172="",B172=""),"",SUMIFS(Uploads!$G:$G,Uploads!$A:$A,$A172,Uploads!$B:$B,"&gt;="&amp;$B172,Uploads!$B:$B,"&lt;"&amp;EDATE($B172,1)))</f>
        <v/>
      </c>
      <c r="H172" s="13">
        <f>IF(OR(A172="",B172=""),"",COUNTIFS(Enquiries!$B:$B,$A172,Enquiries!$A:$A,"&gt;="&amp;$B172,Enquiries!$A:$A,"&lt;"&amp;EDATE($B172,1)))</f>
        <v/>
      </c>
      <c r="I172" s="13">
        <f>IF(OR(A172="",B172=""),"",COUNTIFS(Enquiries!$B:$B,$A172,Enquiries!$F:$F,"Booked",Enquiries!$A:$A,"&gt;="&amp;$B172,Enquiries!$A:$A,"&lt;"&amp;EDATE($B172,1))+COUNTIFS(Enquiries!$B:$B,$A172,Enquiries!$F:$F,"Bought",Enquiries!$A:$A,"&gt;="&amp;$B172,Enquiries!$A:$A,"&lt;"&amp;EDATE($B172,1)))</f>
        <v/>
      </c>
      <c r="J172" s="13">
        <f>IF(OR(A172="",B172=""),"",SUMIFS(Enquiries!$G:$G,Enquiries!$B:$B,$A172,Enquiries!$A:$A,"&gt;="&amp;$B172,Enquiries!$A:$A,"&lt;"&amp;EDATE($B172,1)))</f>
        <v/>
      </c>
      <c r="K172" s="13">
        <f>IF(C172="","",IFERROR(INDEX(Packages!$B:$B,MATCH(C172,Packages!$A:$A,0)),""))</f>
        <v/>
      </c>
      <c r="L172" s="13">
        <f>IF(OR(K172="",F172=""),"",K172*F172)</f>
        <v/>
      </c>
      <c r="M172" s="12" t="n"/>
      <c r="N172" s="12" t="n"/>
      <c r="O172" s="14" t="n"/>
      <c r="P172" s="12" t="n"/>
    </row>
    <row r="173">
      <c r="A173" s="12" t="n"/>
      <c r="B173" s="17" t="n"/>
      <c r="C173" s="24">
        <f>IF(A173="","",IFERROR(INDEX(Clients!$G:$G,MATCH(A173,Clients!$A:$A,0)),""))</f>
        <v/>
      </c>
      <c r="D173" s="13">
        <f>IF(C173="","",IFERROR(INDEX(Packages!$C:$C,MATCH(C173,Packages!$A:$A,0)),""))</f>
        <v/>
      </c>
      <c r="E173" s="13">
        <f>IF(OR(A173="",B173=""),"",COUNTIFS(Uploads!$A:$A,$A173,Uploads!$B:$B,"&gt;="&amp;$B173,Uploads!$B:$B,"&lt;"&amp;EDATE($B173,1)))</f>
        <v/>
      </c>
      <c r="F173" s="25">
        <f>IF(OR(D173="",D173=0,E173=""),"",MIN(1,E173/D173))</f>
        <v/>
      </c>
      <c r="G173" s="13">
        <f>IF(OR(A173="",B173=""),"",SUMIFS(Uploads!$G:$G,Uploads!$A:$A,$A173,Uploads!$B:$B,"&gt;="&amp;$B173,Uploads!$B:$B,"&lt;"&amp;EDATE($B173,1)))</f>
        <v/>
      </c>
      <c r="H173" s="13">
        <f>IF(OR(A173="",B173=""),"",COUNTIFS(Enquiries!$B:$B,$A173,Enquiries!$A:$A,"&gt;="&amp;$B173,Enquiries!$A:$A,"&lt;"&amp;EDATE($B173,1)))</f>
        <v/>
      </c>
      <c r="I173" s="13">
        <f>IF(OR(A173="",B173=""),"",COUNTIFS(Enquiries!$B:$B,$A173,Enquiries!$F:$F,"Booked",Enquiries!$A:$A,"&gt;="&amp;$B173,Enquiries!$A:$A,"&lt;"&amp;EDATE($B173,1))+COUNTIFS(Enquiries!$B:$B,$A173,Enquiries!$F:$F,"Bought",Enquiries!$A:$A,"&gt;="&amp;$B173,Enquiries!$A:$A,"&lt;"&amp;EDATE($B173,1)))</f>
        <v/>
      </c>
      <c r="J173" s="13">
        <f>IF(OR(A173="",B173=""),"",SUMIFS(Enquiries!$G:$G,Enquiries!$B:$B,$A173,Enquiries!$A:$A,"&gt;="&amp;$B173,Enquiries!$A:$A,"&lt;"&amp;EDATE($B173,1)))</f>
        <v/>
      </c>
      <c r="K173" s="13">
        <f>IF(C173="","",IFERROR(INDEX(Packages!$B:$B,MATCH(C173,Packages!$A:$A,0)),""))</f>
        <v/>
      </c>
      <c r="L173" s="13">
        <f>IF(OR(K173="",F173=""),"",K173*F173)</f>
        <v/>
      </c>
      <c r="M173" s="12" t="n"/>
      <c r="N173" s="12" t="n"/>
      <c r="O173" s="14" t="n"/>
      <c r="P173" s="12" t="n"/>
    </row>
    <row r="174">
      <c r="A174" s="12" t="n"/>
      <c r="B174" s="17" t="n"/>
      <c r="C174" s="24">
        <f>IF(A174="","",IFERROR(INDEX(Clients!$G:$G,MATCH(A174,Clients!$A:$A,0)),""))</f>
        <v/>
      </c>
      <c r="D174" s="13">
        <f>IF(C174="","",IFERROR(INDEX(Packages!$C:$C,MATCH(C174,Packages!$A:$A,0)),""))</f>
        <v/>
      </c>
      <c r="E174" s="13">
        <f>IF(OR(A174="",B174=""),"",COUNTIFS(Uploads!$A:$A,$A174,Uploads!$B:$B,"&gt;="&amp;$B174,Uploads!$B:$B,"&lt;"&amp;EDATE($B174,1)))</f>
        <v/>
      </c>
      <c r="F174" s="25">
        <f>IF(OR(D174="",D174=0,E174=""),"",MIN(1,E174/D174))</f>
        <v/>
      </c>
      <c r="G174" s="13">
        <f>IF(OR(A174="",B174=""),"",SUMIFS(Uploads!$G:$G,Uploads!$A:$A,$A174,Uploads!$B:$B,"&gt;="&amp;$B174,Uploads!$B:$B,"&lt;"&amp;EDATE($B174,1)))</f>
        <v/>
      </c>
      <c r="H174" s="13">
        <f>IF(OR(A174="",B174=""),"",COUNTIFS(Enquiries!$B:$B,$A174,Enquiries!$A:$A,"&gt;="&amp;$B174,Enquiries!$A:$A,"&lt;"&amp;EDATE($B174,1)))</f>
        <v/>
      </c>
      <c r="I174" s="13">
        <f>IF(OR(A174="",B174=""),"",COUNTIFS(Enquiries!$B:$B,$A174,Enquiries!$F:$F,"Booked",Enquiries!$A:$A,"&gt;="&amp;$B174,Enquiries!$A:$A,"&lt;"&amp;EDATE($B174,1))+COUNTIFS(Enquiries!$B:$B,$A174,Enquiries!$F:$F,"Bought",Enquiries!$A:$A,"&gt;="&amp;$B174,Enquiries!$A:$A,"&lt;"&amp;EDATE($B174,1)))</f>
        <v/>
      </c>
      <c r="J174" s="13">
        <f>IF(OR(A174="",B174=""),"",SUMIFS(Enquiries!$G:$G,Enquiries!$B:$B,$A174,Enquiries!$A:$A,"&gt;="&amp;$B174,Enquiries!$A:$A,"&lt;"&amp;EDATE($B174,1)))</f>
        <v/>
      </c>
      <c r="K174" s="13">
        <f>IF(C174="","",IFERROR(INDEX(Packages!$B:$B,MATCH(C174,Packages!$A:$A,0)),""))</f>
        <v/>
      </c>
      <c r="L174" s="13">
        <f>IF(OR(K174="",F174=""),"",K174*F174)</f>
        <v/>
      </c>
      <c r="M174" s="12" t="n"/>
      <c r="N174" s="12" t="n"/>
      <c r="O174" s="14" t="n"/>
      <c r="P174" s="12" t="n"/>
    </row>
    <row r="175">
      <c r="A175" s="12" t="n"/>
      <c r="B175" s="17" t="n"/>
      <c r="C175" s="24">
        <f>IF(A175="","",IFERROR(INDEX(Clients!$G:$G,MATCH(A175,Clients!$A:$A,0)),""))</f>
        <v/>
      </c>
      <c r="D175" s="13">
        <f>IF(C175="","",IFERROR(INDEX(Packages!$C:$C,MATCH(C175,Packages!$A:$A,0)),""))</f>
        <v/>
      </c>
      <c r="E175" s="13">
        <f>IF(OR(A175="",B175=""),"",COUNTIFS(Uploads!$A:$A,$A175,Uploads!$B:$B,"&gt;="&amp;$B175,Uploads!$B:$B,"&lt;"&amp;EDATE($B175,1)))</f>
        <v/>
      </c>
      <c r="F175" s="25">
        <f>IF(OR(D175="",D175=0,E175=""),"",MIN(1,E175/D175))</f>
        <v/>
      </c>
      <c r="G175" s="13">
        <f>IF(OR(A175="",B175=""),"",SUMIFS(Uploads!$G:$G,Uploads!$A:$A,$A175,Uploads!$B:$B,"&gt;="&amp;$B175,Uploads!$B:$B,"&lt;"&amp;EDATE($B175,1)))</f>
        <v/>
      </c>
      <c r="H175" s="13">
        <f>IF(OR(A175="",B175=""),"",COUNTIFS(Enquiries!$B:$B,$A175,Enquiries!$A:$A,"&gt;="&amp;$B175,Enquiries!$A:$A,"&lt;"&amp;EDATE($B175,1)))</f>
        <v/>
      </c>
      <c r="I175" s="13">
        <f>IF(OR(A175="",B175=""),"",COUNTIFS(Enquiries!$B:$B,$A175,Enquiries!$F:$F,"Booked",Enquiries!$A:$A,"&gt;="&amp;$B175,Enquiries!$A:$A,"&lt;"&amp;EDATE($B175,1))+COUNTIFS(Enquiries!$B:$B,$A175,Enquiries!$F:$F,"Bought",Enquiries!$A:$A,"&gt;="&amp;$B175,Enquiries!$A:$A,"&lt;"&amp;EDATE($B175,1)))</f>
        <v/>
      </c>
      <c r="J175" s="13">
        <f>IF(OR(A175="",B175=""),"",SUMIFS(Enquiries!$G:$G,Enquiries!$B:$B,$A175,Enquiries!$A:$A,"&gt;="&amp;$B175,Enquiries!$A:$A,"&lt;"&amp;EDATE($B175,1)))</f>
        <v/>
      </c>
      <c r="K175" s="13">
        <f>IF(C175="","",IFERROR(INDEX(Packages!$B:$B,MATCH(C175,Packages!$A:$A,0)),""))</f>
        <v/>
      </c>
      <c r="L175" s="13">
        <f>IF(OR(K175="",F175=""),"",K175*F175)</f>
        <v/>
      </c>
      <c r="M175" s="12" t="n"/>
      <c r="N175" s="12" t="n"/>
      <c r="O175" s="14" t="n"/>
      <c r="P175" s="12" t="n"/>
    </row>
    <row r="176">
      <c r="A176" s="12" t="n"/>
      <c r="B176" s="17" t="n"/>
      <c r="C176" s="24">
        <f>IF(A176="","",IFERROR(INDEX(Clients!$G:$G,MATCH(A176,Clients!$A:$A,0)),""))</f>
        <v/>
      </c>
      <c r="D176" s="13">
        <f>IF(C176="","",IFERROR(INDEX(Packages!$C:$C,MATCH(C176,Packages!$A:$A,0)),""))</f>
        <v/>
      </c>
      <c r="E176" s="13">
        <f>IF(OR(A176="",B176=""),"",COUNTIFS(Uploads!$A:$A,$A176,Uploads!$B:$B,"&gt;="&amp;$B176,Uploads!$B:$B,"&lt;"&amp;EDATE($B176,1)))</f>
        <v/>
      </c>
      <c r="F176" s="25">
        <f>IF(OR(D176="",D176=0,E176=""),"",MIN(1,E176/D176))</f>
        <v/>
      </c>
      <c r="G176" s="13">
        <f>IF(OR(A176="",B176=""),"",SUMIFS(Uploads!$G:$G,Uploads!$A:$A,$A176,Uploads!$B:$B,"&gt;="&amp;$B176,Uploads!$B:$B,"&lt;"&amp;EDATE($B176,1)))</f>
        <v/>
      </c>
      <c r="H176" s="13">
        <f>IF(OR(A176="",B176=""),"",COUNTIFS(Enquiries!$B:$B,$A176,Enquiries!$A:$A,"&gt;="&amp;$B176,Enquiries!$A:$A,"&lt;"&amp;EDATE($B176,1)))</f>
        <v/>
      </c>
      <c r="I176" s="13">
        <f>IF(OR(A176="",B176=""),"",COUNTIFS(Enquiries!$B:$B,$A176,Enquiries!$F:$F,"Booked",Enquiries!$A:$A,"&gt;="&amp;$B176,Enquiries!$A:$A,"&lt;"&amp;EDATE($B176,1))+COUNTIFS(Enquiries!$B:$B,$A176,Enquiries!$F:$F,"Bought",Enquiries!$A:$A,"&gt;="&amp;$B176,Enquiries!$A:$A,"&lt;"&amp;EDATE($B176,1)))</f>
        <v/>
      </c>
      <c r="J176" s="13">
        <f>IF(OR(A176="",B176=""),"",SUMIFS(Enquiries!$G:$G,Enquiries!$B:$B,$A176,Enquiries!$A:$A,"&gt;="&amp;$B176,Enquiries!$A:$A,"&lt;"&amp;EDATE($B176,1)))</f>
        <v/>
      </c>
      <c r="K176" s="13">
        <f>IF(C176="","",IFERROR(INDEX(Packages!$B:$B,MATCH(C176,Packages!$A:$A,0)),""))</f>
        <v/>
      </c>
      <c r="L176" s="13">
        <f>IF(OR(K176="",F176=""),"",K176*F176)</f>
        <v/>
      </c>
      <c r="M176" s="12" t="n"/>
      <c r="N176" s="12" t="n"/>
      <c r="O176" s="14" t="n"/>
      <c r="P176" s="12" t="n"/>
    </row>
    <row r="177">
      <c r="A177" s="12" t="n"/>
      <c r="B177" s="17" t="n"/>
      <c r="C177" s="24">
        <f>IF(A177="","",IFERROR(INDEX(Clients!$G:$G,MATCH(A177,Clients!$A:$A,0)),""))</f>
        <v/>
      </c>
      <c r="D177" s="13">
        <f>IF(C177="","",IFERROR(INDEX(Packages!$C:$C,MATCH(C177,Packages!$A:$A,0)),""))</f>
        <v/>
      </c>
      <c r="E177" s="13">
        <f>IF(OR(A177="",B177=""),"",COUNTIFS(Uploads!$A:$A,$A177,Uploads!$B:$B,"&gt;="&amp;$B177,Uploads!$B:$B,"&lt;"&amp;EDATE($B177,1)))</f>
        <v/>
      </c>
      <c r="F177" s="25">
        <f>IF(OR(D177="",D177=0,E177=""),"",MIN(1,E177/D177))</f>
        <v/>
      </c>
      <c r="G177" s="13">
        <f>IF(OR(A177="",B177=""),"",SUMIFS(Uploads!$G:$G,Uploads!$A:$A,$A177,Uploads!$B:$B,"&gt;="&amp;$B177,Uploads!$B:$B,"&lt;"&amp;EDATE($B177,1)))</f>
        <v/>
      </c>
      <c r="H177" s="13">
        <f>IF(OR(A177="",B177=""),"",COUNTIFS(Enquiries!$B:$B,$A177,Enquiries!$A:$A,"&gt;="&amp;$B177,Enquiries!$A:$A,"&lt;"&amp;EDATE($B177,1)))</f>
        <v/>
      </c>
      <c r="I177" s="13">
        <f>IF(OR(A177="",B177=""),"",COUNTIFS(Enquiries!$B:$B,$A177,Enquiries!$F:$F,"Booked",Enquiries!$A:$A,"&gt;="&amp;$B177,Enquiries!$A:$A,"&lt;"&amp;EDATE($B177,1))+COUNTIFS(Enquiries!$B:$B,$A177,Enquiries!$F:$F,"Bought",Enquiries!$A:$A,"&gt;="&amp;$B177,Enquiries!$A:$A,"&lt;"&amp;EDATE($B177,1)))</f>
        <v/>
      </c>
      <c r="J177" s="13">
        <f>IF(OR(A177="",B177=""),"",SUMIFS(Enquiries!$G:$G,Enquiries!$B:$B,$A177,Enquiries!$A:$A,"&gt;="&amp;$B177,Enquiries!$A:$A,"&lt;"&amp;EDATE($B177,1)))</f>
        <v/>
      </c>
      <c r="K177" s="13">
        <f>IF(C177="","",IFERROR(INDEX(Packages!$B:$B,MATCH(C177,Packages!$A:$A,0)),""))</f>
        <v/>
      </c>
      <c r="L177" s="13">
        <f>IF(OR(K177="",F177=""),"",K177*F177)</f>
        <v/>
      </c>
      <c r="M177" s="12" t="n"/>
      <c r="N177" s="12" t="n"/>
      <c r="O177" s="14" t="n"/>
      <c r="P177" s="12" t="n"/>
    </row>
    <row r="178">
      <c r="A178" s="12" t="n"/>
      <c r="B178" s="17" t="n"/>
      <c r="C178" s="24">
        <f>IF(A178="","",IFERROR(INDEX(Clients!$G:$G,MATCH(A178,Clients!$A:$A,0)),""))</f>
        <v/>
      </c>
      <c r="D178" s="13">
        <f>IF(C178="","",IFERROR(INDEX(Packages!$C:$C,MATCH(C178,Packages!$A:$A,0)),""))</f>
        <v/>
      </c>
      <c r="E178" s="13">
        <f>IF(OR(A178="",B178=""),"",COUNTIFS(Uploads!$A:$A,$A178,Uploads!$B:$B,"&gt;="&amp;$B178,Uploads!$B:$B,"&lt;"&amp;EDATE($B178,1)))</f>
        <v/>
      </c>
      <c r="F178" s="25">
        <f>IF(OR(D178="",D178=0,E178=""),"",MIN(1,E178/D178))</f>
        <v/>
      </c>
      <c r="G178" s="13">
        <f>IF(OR(A178="",B178=""),"",SUMIFS(Uploads!$G:$G,Uploads!$A:$A,$A178,Uploads!$B:$B,"&gt;="&amp;$B178,Uploads!$B:$B,"&lt;"&amp;EDATE($B178,1)))</f>
        <v/>
      </c>
      <c r="H178" s="13">
        <f>IF(OR(A178="",B178=""),"",COUNTIFS(Enquiries!$B:$B,$A178,Enquiries!$A:$A,"&gt;="&amp;$B178,Enquiries!$A:$A,"&lt;"&amp;EDATE($B178,1)))</f>
        <v/>
      </c>
      <c r="I178" s="13">
        <f>IF(OR(A178="",B178=""),"",COUNTIFS(Enquiries!$B:$B,$A178,Enquiries!$F:$F,"Booked",Enquiries!$A:$A,"&gt;="&amp;$B178,Enquiries!$A:$A,"&lt;"&amp;EDATE($B178,1))+COUNTIFS(Enquiries!$B:$B,$A178,Enquiries!$F:$F,"Bought",Enquiries!$A:$A,"&gt;="&amp;$B178,Enquiries!$A:$A,"&lt;"&amp;EDATE($B178,1)))</f>
        <v/>
      </c>
      <c r="J178" s="13">
        <f>IF(OR(A178="",B178=""),"",SUMIFS(Enquiries!$G:$G,Enquiries!$B:$B,$A178,Enquiries!$A:$A,"&gt;="&amp;$B178,Enquiries!$A:$A,"&lt;"&amp;EDATE($B178,1)))</f>
        <v/>
      </c>
      <c r="K178" s="13">
        <f>IF(C178="","",IFERROR(INDEX(Packages!$B:$B,MATCH(C178,Packages!$A:$A,0)),""))</f>
        <v/>
      </c>
      <c r="L178" s="13">
        <f>IF(OR(K178="",F178=""),"",K178*F178)</f>
        <v/>
      </c>
      <c r="M178" s="12" t="n"/>
      <c r="N178" s="12" t="n"/>
      <c r="O178" s="14" t="n"/>
      <c r="P178" s="12" t="n"/>
    </row>
    <row r="179">
      <c r="A179" s="12" t="n"/>
      <c r="B179" s="17" t="n"/>
      <c r="C179" s="24">
        <f>IF(A179="","",IFERROR(INDEX(Clients!$G:$G,MATCH(A179,Clients!$A:$A,0)),""))</f>
        <v/>
      </c>
      <c r="D179" s="13">
        <f>IF(C179="","",IFERROR(INDEX(Packages!$C:$C,MATCH(C179,Packages!$A:$A,0)),""))</f>
        <v/>
      </c>
      <c r="E179" s="13">
        <f>IF(OR(A179="",B179=""),"",COUNTIFS(Uploads!$A:$A,$A179,Uploads!$B:$B,"&gt;="&amp;$B179,Uploads!$B:$B,"&lt;"&amp;EDATE($B179,1)))</f>
        <v/>
      </c>
      <c r="F179" s="25">
        <f>IF(OR(D179="",D179=0,E179=""),"",MIN(1,E179/D179))</f>
        <v/>
      </c>
      <c r="G179" s="13">
        <f>IF(OR(A179="",B179=""),"",SUMIFS(Uploads!$G:$G,Uploads!$A:$A,$A179,Uploads!$B:$B,"&gt;="&amp;$B179,Uploads!$B:$B,"&lt;"&amp;EDATE($B179,1)))</f>
        <v/>
      </c>
      <c r="H179" s="13">
        <f>IF(OR(A179="",B179=""),"",COUNTIFS(Enquiries!$B:$B,$A179,Enquiries!$A:$A,"&gt;="&amp;$B179,Enquiries!$A:$A,"&lt;"&amp;EDATE($B179,1)))</f>
        <v/>
      </c>
      <c r="I179" s="13">
        <f>IF(OR(A179="",B179=""),"",COUNTIFS(Enquiries!$B:$B,$A179,Enquiries!$F:$F,"Booked",Enquiries!$A:$A,"&gt;="&amp;$B179,Enquiries!$A:$A,"&lt;"&amp;EDATE($B179,1))+COUNTIFS(Enquiries!$B:$B,$A179,Enquiries!$F:$F,"Bought",Enquiries!$A:$A,"&gt;="&amp;$B179,Enquiries!$A:$A,"&lt;"&amp;EDATE($B179,1)))</f>
        <v/>
      </c>
      <c r="J179" s="13">
        <f>IF(OR(A179="",B179=""),"",SUMIFS(Enquiries!$G:$G,Enquiries!$B:$B,$A179,Enquiries!$A:$A,"&gt;="&amp;$B179,Enquiries!$A:$A,"&lt;"&amp;EDATE($B179,1)))</f>
        <v/>
      </c>
      <c r="K179" s="13">
        <f>IF(C179="","",IFERROR(INDEX(Packages!$B:$B,MATCH(C179,Packages!$A:$A,0)),""))</f>
        <v/>
      </c>
      <c r="L179" s="13">
        <f>IF(OR(K179="",F179=""),"",K179*F179)</f>
        <v/>
      </c>
      <c r="M179" s="12" t="n"/>
      <c r="N179" s="12" t="n"/>
      <c r="O179" s="14" t="n"/>
      <c r="P179" s="12" t="n"/>
    </row>
    <row r="180">
      <c r="A180" s="12" t="n"/>
      <c r="B180" s="17" t="n"/>
      <c r="C180" s="24">
        <f>IF(A180="","",IFERROR(INDEX(Clients!$G:$G,MATCH(A180,Clients!$A:$A,0)),""))</f>
        <v/>
      </c>
      <c r="D180" s="13">
        <f>IF(C180="","",IFERROR(INDEX(Packages!$C:$C,MATCH(C180,Packages!$A:$A,0)),""))</f>
        <v/>
      </c>
      <c r="E180" s="13">
        <f>IF(OR(A180="",B180=""),"",COUNTIFS(Uploads!$A:$A,$A180,Uploads!$B:$B,"&gt;="&amp;$B180,Uploads!$B:$B,"&lt;"&amp;EDATE($B180,1)))</f>
        <v/>
      </c>
      <c r="F180" s="25">
        <f>IF(OR(D180="",D180=0,E180=""),"",MIN(1,E180/D180))</f>
        <v/>
      </c>
      <c r="G180" s="13">
        <f>IF(OR(A180="",B180=""),"",SUMIFS(Uploads!$G:$G,Uploads!$A:$A,$A180,Uploads!$B:$B,"&gt;="&amp;$B180,Uploads!$B:$B,"&lt;"&amp;EDATE($B180,1)))</f>
        <v/>
      </c>
      <c r="H180" s="13">
        <f>IF(OR(A180="",B180=""),"",COUNTIFS(Enquiries!$B:$B,$A180,Enquiries!$A:$A,"&gt;="&amp;$B180,Enquiries!$A:$A,"&lt;"&amp;EDATE($B180,1)))</f>
        <v/>
      </c>
      <c r="I180" s="13">
        <f>IF(OR(A180="",B180=""),"",COUNTIFS(Enquiries!$B:$B,$A180,Enquiries!$F:$F,"Booked",Enquiries!$A:$A,"&gt;="&amp;$B180,Enquiries!$A:$A,"&lt;"&amp;EDATE($B180,1))+COUNTIFS(Enquiries!$B:$B,$A180,Enquiries!$F:$F,"Bought",Enquiries!$A:$A,"&gt;="&amp;$B180,Enquiries!$A:$A,"&lt;"&amp;EDATE($B180,1)))</f>
        <v/>
      </c>
      <c r="J180" s="13">
        <f>IF(OR(A180="",B180=""),"",SUMIFS(Enquiries!$G:$G,Enquiries!$B:$B,$A180,Enquiries!$A:$A,"&gt;="&amp;$B180,Enquiries!$A:$A,"&lt;"&amp;EDATE($B180,1)))</f>
        <v/>
      </c>
      <c r="K180" s="13">
        <f>IF(C180="","",IFERROR(INDEX(Packages!$B:$B,MATCH(C180,Packages!$A:$A,0)),""))</f>
        <v/>
      </c>
      <c r="L180" s="13">
        <f>IF(OR(K180="",F180=""),"",K180*F180)</f>
        <v/>
      </c>
      <c r="M180" s="12" t="n"/>
      <c r="N180" s="12" t="n"/>
      <c r="O180" s="14" t="n"/>
      <c r="P180" s="12" t="n"/>
    </row>
    <row r="181">
      <c r="A181" s="12" t="n"/>
      <c r="B181" s="17" t="n"/>
      <c r="C181" s="24">
        <f>IF(A181="","",IFERROR(INDEX(Clients!$G:$G,MATCH(A181,Clients!$A:$A,0)),""))</f>
        <v/>
      </c>
      <c r="D181" s="13">
        <f>IF(C181="","",IFERROR(INDEX(Packages!$C:$C,MATCH(C181,Packages!$A:$A,0)),""))</f>
        <v/>
      </c>
      <c r="E181" s="13">
        <f>IF(OR(A181="",B181=""),"",COUNTIFS(Uploads!$A:$A,$A181,Uploads!$B:$B,"&gt;="&amp;$B181,Uploads!$B:$B,"&lt;"&amp;EDATE($B181,1)))</f>
        <v/>
      </c>
      <c r="F181" s="25">
        <f>IF(OR(D181="",D181=0,E181=""),"",MIN(1,E181/D181))</f>
        <v/>
      </c>
      <c r="G181" s="13">
        <f>IF(OR(A181="",B181=""),"",SUMIFS(Uploads!$G:$G,Uploads!$A:$A,$A181,Uploads!$B:$B,"&gt;="&amp;$B181,Uploads!$B:$B,"&lt;"&amp;EDATE($B181,1)))</f>
        <v/>
      </c>
      <c r="H181" s="13">
        <f>IF(OR(A181="",B181=""),"",COUNTIFS(Enquiries!$B:$B,$A181,Enquiries!$A:$A,"&gt;="&amp;$B181,Enquiries!$A:$A,"&lt;"&amp;EDATE($B181,1)))</f>
        <v/>
      </c>
      <c r="I181" s="13">
        <f>IF(OR(A181="",B181=""),"",COUNTIFS(Enquiries!$B:$B,$A181,Enquiries!$F:$F,"Booked",Enquiries!$A:$A,"&gt;="&amp;$B181,Enquiries!$A:$A,"&lt;"&amp;EDATE($B181,1))+COUNTIFS(Enquiries!$B:$B,$A181,Enquiries!$F:$F,"Bought",Enquiries!$A:$A,"&gt;="&amp;$B181,Enquiries!$A:$A,"&lt;"&amp;EDATE($B181,1)))</f>
        <v/>
      </c>
      <c r="J181" s="13">
        <f>IF(OR(A181="",B181=""),"",SUMIFS(Enquiries!$G:$G,Enquiries!$B:$B,$A181,Enquiries!$A:$A,"&gt;="&amp;$B181,Enquiries!$A:$A,"&lt;"&amp;EDATE($B181,1)))</f>
        <v/>
      </c>
      <c r="K181" s="13">
        <f>IF(C181="","",IFERROR(INDEX(Packages!$B:$B,MATCH(C181,Packages!$A:$A,0)),""))</f>
        <v/>
      </c>
      <c r="L181" s="13">
        <f>IF(OR(K181="",F181=""),"",K181*F181)</f>
        <v/>
      </c>
      <c r="M181" s="12" t="n"/>
      <c r="N181" s="12" t="n"/>
      <c r="O181" s="14" t="n"/>
      <c r="P181" s="12" t="n"/>
    </row>
    <row r="182">
      <c r="A182" s="12" t="n"/>
      <c r="B182" s="17" t="n"/>
      <c r="C182" s="24">
        <f>IF(A182="","",IFERROR(INDEX(Clients!$G:$G,MATCH(A182,Clients!$A:$A,0)),""))</f>
        <v/>
      </c>
      <c r="D182" s="13">
        <f>IF(C182="","",IFERROR(INDEX(Packages!$C:$C,MATCH(C182,Packages!$A:$A,0)),""))</f>
        <v/>
      </c>
      <c r="E182" s="13">
        <f>IF(OR(A182="",B182=""),"",COUNTIFS(Uploads!$A:$A,$A182,Uploads!$B:$B,"&gt;="&amp;$B182,Uploads!$B:$B,"&lt;"&amp;EDATE($B182,1)))</f>
        <v/>
      </c>
      <c r="F182" s="25">
        <f>IF(OR(D182="",D182=0,E182=""),"",MIN(1,E182/D182))</f>
        <v/>
      </c>
      <c r="G182" s="13">
        <f>IF(OR(A182="",B182=""),"",SUMIFS(Uploads!$G:$G,Uploads!$A:$A,$A182,Uploads!$B:$B,"&gt;="&amp;$B182,Uploads!$B:$B,"&lt;"&amp;EDATE($B182,1)))</f>
        <v/>
      </c>
      <c r="H182" s="13">
        <f>IF(OR(A182="",B182=""),"",COUNTIFS(Enquiries!$B:$B,$A182,Enquiries!$A:$A,"&gt;="&amp;$B182,Enquiries!$A:$A,"&lt;"&amp;EDATE($B182,1)))</f>
        <v/>
      </c>
      <c r="I182" s="13">
        <f>IF(OR(A182="",B182=""),"",COUNTIFS(Enquiries!$B:$B,$A182,Enquiries!$F:$F,"Booked",Enquiries!$A:$A,"&gt;="&amp;$B182,Enquiries!$A:$A,"&lt;"&amp;EDATE($B182,1))+COUNTIFS(Enquiries!$B:$B,$A182,Enquiries!$F:$F,"Bought",Enquiries!$A:$A,"&gt;="&amp;$B182,Enquiries!$A:$A,"&lt;"&amp;EDATE($B182,1)))</f>
        <v/>
      </c>
      <c r="J182" s="13">
        <f>IF(OR(A182="",B182=""),"",SUMIFS(Enquiries!$G:$G,Enquiries!$B:$B,$A182,Enquiries!$A:$A,"&gt;="&amp;$B182,Enquiries!$A:$A,"&lt;"&amp;EDATE($B182,1)))</f>
        <v/>
      </c>
      <c r="K182" s="13">
        <f>IF(C182="","",IFERROR(INDEX(Packages!$B:$B,MATCH(C182,Packages!$A:$A,0)),""))</f>
        <v/>
      </c>
      <c r="L182" s="13">
        <f>IF(OR(K182="",F182=""),"",K182*F182)</f>
        <v/>
      </c>
      <c r="M182" s="12" t="n"/>
      <c r="N182" s="12" t="n"/>
      <c r="O182" s="14" t="n"/>
      <c r="P182" s="12" t="n"/>
    </row>
    <row r="183">
      <c r="A183" s="12" t="n"/>
      <c r="B183" s="17" t="n"/>
      <c r="C183" s="24">
        <f>IF(A183="","",IFERROR(INDEX(Clients!$G:$G,MATCH(A183,Clients!$A:$A,0)),""))</f>
        <v/>
      </c>
      <c r="D183" s="13">
        <f>IF(C183="","",IFERROR(INDEX(Packages!$C:$C,MATCH(C183,Packages!$A:$A,0)),""))</f>
        <v/>
      </c>
      <c r="E183" s="13">
        <f>IF(OR(A183="",B183=""),"",COUNTIFS(Uploads!$A:$A,$A183,Uploads!$B:$B,"&gt;="&amp;$B183,Uploads!$B:$B,"&lt;"&amp;EDATE($B183,1)))</f>
        <v/>
      </c>
      <c r="F183" s="25">
        <f>IF(OR(D183="",D183=0,E183=""),"",MIN(1,E183/D183))</f>
        <v/>
      </c>
      <c r="G183" s="13">
        <f>IF(OR(A183="",B183=""),"",SUMIFS(Uploads!$G:$G,Uploads!$A:$A,$A183,Uploads!$B:$B,"&gt;="&amp;$B183,Uploads!$B:$B,"&lt;"&amp;EDATE($B183,1)))</f>
        <v/>
      </c>
      <c r="H183" s="13">
        <f>IF(OR(A183="",B183=""),"",COUNTIFS(Enquiries!$B:$B,$A183,Enquiries!$A:$A,"&gt;="&amp;$B183,Enquiries!$A:$A,"&lt;"&amp;EDATE($B183,1)))</f>
        <v/>
      </c>
      <c r="I183" s="13">
        <f>IF(OR(A183="",B183=""),"",COUNTIFS(Enquiries!$B:$B,$A183,Enquiries!$F:$F,"Booked",Enquiries!$A:$A,"&gt;="&amp;$B183,Enquiries!$A:$A,"&lt;"&amp;EDATE($B183,1))+COUNTIFS(Enquiries!$B:$B,$A183,Enquiries!$F:$F,"Bought",Enquiries!$A:$A,"&gt;="&amp;$B183,Enquiries!$A:$A,"&lt;"&amp;EDATE($B183,1)))</f>
        <v/>
      </c>
      <c r="J183" s="13">
        <f>IF(OR(A183="",B183=""),"",SUMIFS(Enquiries!$G:$G,Enquiries!$B:$B,$A183,Enquiries!$A:$A,"&gt;="&amp;$B183,Enquiries!$A:$A,"&lt;"&amp;EDATE($B183,1)))</f>
        <v/>
      </c>
      <c r="K183" s="13">
        <f>IF(C183="","",IFERROR(INDEX(Packages!$B:$B,MATCH(C183,Packages!$A:$A,0)),""))</f>
        <v/>
      </c>
      <c r="L183" s="13">
        <f>IF(OR(K183="",F183=""),"",K183*F183)</f>
        <v/>
      </c>
      <c r="M183" s="12" t="n"/>
      <c r="N183" s="12" t="n"/>
      <c r="O183" s="14" t="n"/>
      <c r="P183" s="12" t="n"/>
    </row>
    <row r="184">
      <c r="A184" s="12" t="n"/>
      <c r="B184" s="17" t="n"/>
      <c r="C184" s="24">
        <f>IF(A184="","",IFERROR(INDEX(Clients!$G:$G,MATCH(A184,Clients!$A:$A,0)),""))</f>
        <v/>
      </c>
      <c r="D184" s="13">
        <f>IF(C184="","",IFERROR(INDEX(Packages!$C:$C,MATCH(C184,Packages!$A:$A,0)),""))</f>
        <v/>
      </c>
      <c r="E184" s="13">
        <f>IF(OR(A184="",B184=""),"",COUNTIFS(Uploads!$A:$A,$A184,Uploads!$B:$B,"&gt;="&amp;$B184,Uploads!$B:$B,"&lt;"&amp;EDATE($B184,1)))</f>
        <v/>
      </c>
      <c r="F184" s="25">
        <f>IF(OR(D184="",D184=0,E184=""),"",MIN(1,E184/D184))</f>
        <v/>
      </c>
      <c r="G184" s="13">
        <f>IF(OR(A184="",B184=""),"",SUMIFS(Uploads!$G:$G,Uploads!$A:$A,$A184,Uploads!$B:$B,"&gt;="&amp;$B184,Uploads!$B:$B,"&lt;"&amp;EDATE($B184,1)))</f>
        <v/>
      </c>
      <c r="H184" s="13">
        <f>IF(OR(A184="",B184=""),"",COUNTIFS(Enquiries!$B:$B,$A184,Enquiries!$A:$A,"&gt;="&amp;$B184,Enquiries!$A:$A,"&lt;"&amp;EDATE($B184,1)))</f>
        <v/>
      </c>
      <c r="I184" s="13">
        <f>IF(OR(A184="",B184=""),"",COUNTIFS(Enquiries!$B:$B,$A184,Enquiries!$F:$F,"Booked",Enquiries!$A:$A,"&gt;="&amp;$B184,Enquiries!$A:$A,"&lt;"&amp;EDATE($B184,1))+COUNTIFS(Enquiries!$B:$B,$A184,Enquiries!$F:$F,"Bought",Enquiries!$A:$A,"&gt;="&amp;$B184,Enquiries!$A:$A,"&lt;"&amp;EDATE($B184,1)))</f>
        <v/>
      </c>
      <c r="J184" s="13">
        <f>IF(OR(A184="",B184=""),"",SUMIFS(Enquiries!$G:$G,Enquiries!$B:$B,$A184,Enquiries!$A:$A,"&gt;="&amp;$B184,Enquiries!$A:$A,"&lt;"&amp;EDATE($B184,1)))</f>
        <v/>
      </c>
      <c r="K184" s="13">
        <f>IF(C184="","",IFERROR(INDEX(Packages!$B:$B,MATCH(C184,Packages!$A:$A,0)),""))</f>
        <v/>
      </c>
      <c r="L184" s="13">
        <f>IF(OR(K184="",F184=""),"",K184*F184)</f>
        <v/>
      </c>
      <c r="M184" s="12" t="n"/>
      <c r="N184" s="12" t="n"/>
      <c r="O184" s="14" t="n"/>
      <c r="P184" s="12" t="n"/>
    </row>
    <row r="185">
      <c r="A185" s="12" t="n"/>
      <c r="B185" s="17" t="n"/>
      <c r="C185" s="24">
        <f>IF(A185="","",IFERROR(INDEX(Clients!$G:$G,MATCH(A185,Clients!$A:$A,0)),""))</f>
        <v/>
      </c>
      <c r="D185" s="13">
        <f>IF(C185="","",IFERROR(INDEX(Packages!$C:$C,MATCH(C185,Packages!$A:$A,0)),""))</f>
        <v/>
      </c>
      <c r="E185" s="13">
        <f>IF(OR(A185="",B185=""),"",COUNTIFS(Uploads!$A:$A,$A185,Uploads!$B:$B,"&gt;="&amp;$B185,Uploads!$B:$B,"&lt;"&amp;EDATE($B185,1)))</f>
        <v/>
      </c>
      <c r="F185" s="25">
        <f>IF(OR(D185="",D185=0,E185=""),"",MIN(1,E185/D185))</f>
        <v/>
      </c>
      <c r="G185" s="13">
        <f>IF(OR(A185="",B185=""),"",SUMIFS(Uploads!$G:$G,Uploads!$A:$A,$A185,Uploads!$B:$B,"&gt;="&amp;$B185,Uploads!$B:$B,"&lt;"&amp;EDATE($B185,1)))</f>
        <v/>
      </c>
      <c r="H185" s="13">
        <f>IF(OR(A185="",B185=""),"",COUNTIFS(Enquiries!$B:$B,$A185,Enquiries!$A:$A,"&gt;="&amp;$B185,Enquiries!$A:$A,"&lt;"&amp;EDATE($B185,1)))</f>
        <v/>
      </c>
      <c r="I185" s="13">
        <f>IF(OR(A185="",B185=""),"",COUNTIFS(Enquiries!$B:$B,$A185,Enquiries!$F:$F,"Booked",Enquiries!$A:$A,"&gt;="&amp;$B185,Enquiries!$A:$A,"&lt;"&amp;EDATE($B185,1))+COUNTIFS(Enquiries!$B:$B,$A185,Enquiries!$F:$F,"Bought",Enquiries!$A:$A,"&gt;="&amp;$B185,Enquiries!$A:$A,"&lt;"&amp;EDATE($B185,1)))</f>
        <v/>
      </c>
      <c r="J185" s="13">
        <f>IF(OR(A185="",B185=""),"",SUMIFS(Enquiries!$G:$G,Enquiries!$B:$B,$A185,Enquiries!$A:$A,"&gt;="&amp;$B185,Enquiries!$A:$A,"&lt;"&amp;EDATE($B185,1)))</f>
        <v/>
      </c>
      <c r="K185" s="13">
        <f>IF(C185="","",IFERROR(INDEX(Packages!$B:$B,MATCH(C185,Packages!$A:$A,0)),""))</f>
        <v/>
      </c>
      <c r="L185" s="13">
        <f>IF(OR(K185="",F185=""),"",K185*F185)</f>
        <v/>
      </c>
      <c r="M185" s="12" t="n"/>
      <c r="N185" s="12" t="n"/>
      <c r="O185" s="14" t="n"/>
      <c r="P185" s="12" t="n"/>
    </row>
    <row r="186">
      <c r="A186" s="12" t="n"/>
      <c r="B186" s="17" t="n"/>
      <c r="C186" s="24">
        <f>IF(A186="","",IFERROR(INDEX(Clients!$G:$G,MATCH(A186,Clients!$A:$A,0)),""))</f>
        <v/>
      </c>
      <c r="D186" s="13">
        <f>IF(C186="","",IFERROR(INDEX(Packages!$C:$C,MATCH(C186,Packages!$A:$A,0)),""))</f>
        <v/>
      </c>
      <c r="E186" s="13">
        <f>IF(OR(A186="",B186=""),"",COUNTIFS(Uploads!$A:$A,$A186,Uploads!$B:$B,"&gt;="&amp;$B186,Uploads!$B:$B,"&lt;"&amp;EDATE($B186,1)))</f>
        <v/>
      </c>
      <c r="F186" s="25">
        <f>IF(OR(D186="",D186=0,E186=""),"",MIN(1,E186/D186))</f>
        <v/>
      </c>
      <c r="G186" s="13">
        <f>IF(OR(A186="",B186=""),"",SUMIFS(Uploads!$G:$G,Uploads!$A:$A,$A186,Uploads!$B:$B,"&gt;="&amp;$B186,Uploads!$B:$B,"&lt;"&amp;EDATE($B186,1)))</f>
        <v/>
      </c>
      <c r="H186" s="13">
        <f>IF(OR(A186="",B186=""),"",COUNTIFS(Enquiries!$B:$B,$A186,Enquiries!$A:$A,"&gt;="&amp;$B186,Enquiries!$A:$A,"&lt;"&amp;EDATE($B186,1)))</f>
        <v/>
      </c>
      <c r="I186" s="13">
        <f>IF(OR(A186="",B186=""),"",COUNTIFS(Enquiries!$B:$B,$A186,Enquiries!$F:$F,"Booked",Enquiries!$A:$A,"&gt;="&amp;$B186,Enquiries!$A:$A,"&lt;"&amp;EDATE($B186,1))+COUNTIFS(Enquiries!$B:$B,$A186,Enquiries!$F:$F,"Bought",Enquiries!$A:$A,"&gt;="&amp;$B186,Enquiries!$A:$A,"&lt;"&amp;EDATE($B186,1)))</f>
        <v/>
      </c>
      <c r="J186" s="13">
        <f>IF(OR(A186="",B186=""),"",SUMIFS(Enquiries!$G:$G,Enquiries!$B:$B,$A186,Enquiries!$A:$A,"&gt;="&amp;$B186,Enquiries!$A:$A,"&lt;"&amp;EDATE($B186,1)))</f>
        <v/>
      </c>
      <c r="K186" s="13">
        <f>IF(C186="","",IFERROR(INDEX(Packages!$B:$B,MATCH(C186,Packages!$A:$A,0)),""))</f>
        <v/>
      </c>
      <c r="L186" s="13">
        <f>IF(OR(K186="",F186=""),"",K186*F186)</f>
        <v/>
      </c>
      <c r="M186" s="12" t="n"/>
      <c r="N186" s="12" t="n"/>
      <c r="O186" s="14" t="n"/>
      <c r="P186" s="12" t="n"/>
    </row>
    <row r="187">
      <c r="A187" s="12" t="n"/>
      <c r="B187" s="17" t="n"/>
      <c r="C187" s="24">
        <f>IF(A187="","",IFERROR(INDEX(Clients!$G:$G,MATCH(A187,Clients!$A:$A,0)),""))</f>
        <v/>
      </c>
      <c r="D187" s="13">
        <f>IF(C187="","",IFERROR(INDEX(Packages!$C:$C,MATCH(C187,Packages!$A:$A,0)),""))</f>
        <v/>
      </c>
      <c r="E187" s="13">
        <f>IF(OR(A187="",B187=""),"",COUNTIFS(Uploads!$A:$A,$A187,Uploads!$B:$B,"&gt;="&amp;$B187,Uploads!$B:$B,"&lt;"&amp;EDATE($B187,1)))</f>
        <v/>
      </c>
      <c r="F187" s="25">
        <f>IF(OR(D187="",D187=0,E187=""),"",MIN(1,E187/D187))</f>
        <v/>
      </c>
      <c r="G187" s="13">
        <f>IF(OR(A187="",B187=""),"",SUMIFS(Uploads!$G:$G,Uploads!$A:$A,$A187,Uploads!$B:$B,"&gt;="&amp;$B187,Uploads!$B:$B,"&lt;"&amp;EDATE($B187,1)))</f>
        <v/>
      </c>
      <c r="H187" s="13">
        <f>IF(OR(A187="",B187=""),"",COUNTIFS(Enquiries!$B:$B,$A187,Enquiries!$A:$A,"&gt;="&amp;$B187,Enquiries!$A:$A,"&lt;"&amp;EDATE($B187,1)))</f>
        <v/>
      </c>
      <c r="I187" s="13">
        <f>IF(OR(A187="",B187=""),"",COUNTIFS(Enquiries!$B:$B,$A187,Enquiries!$F:$F,"Booked",Enquiries!$A:$A,"&gt;="&amp;$B187,Enquiries!$A:$A,"&lt;"&amp;EDATE($B187,1))+COUNTIFS(Enquiries!$B:$B,$A187,Enquiries!$F:$F,"Bought",Enquiries!$A:$A,"&gt;="&amp;$B187,Enquiries!$A:$A,"&lt;"&amp;EDATE($B187,1)))</f>
        <v/>
      </c>
      <c r="J187" s="13">
        <f>IF(OR(A187="",B187=""),"",SUMIFS(Enquiries!$G:$G,Enquiries!$B:$B,$A187,Enquiries!$A:$A,"&gt;="&amp;$B187,Enquiries!$A:$A,"&lt;"&amp;EDATE($B187,1)))</f>
        <v/>
      </c>
      <c r="K187" s="13">
        <f>IF(C187="","",IFERROR(INDEX(Packages!$B:$B,MATCH(C187,Packages!$A:$A,0)),""))</f>
        <v/>
      </c>
      <c r="L187" s="13">
        <f>IF(OR(K187="",F187=""),"",K187*F187)</f>
        <v/>
      </c>
      <c r="M187" s="12" t="n"/>
      <c r="N187" s="12" t="n"/>
      <c r="O187" s="14" t="n"/>
      <c r="P187" s="12" t="n"/>
    </row>
    <row r="188">
      <c r="A188" s="12" t="n"/>
      <c r="B188" s="17" t="n"/>
      <c r="C188" s="24">
        <f>IF(A188="","",IFERROR(INDEX(Clients!$G:$G,MATCH(A188,Clients!$A:$A,0)),""))</f>
        <v/>
      </c>
      <c r="D188" s="13">
        <f>IF(C188="","",IFERROR(INDEX(Packages!$C:$C,MATCH(C188,Packages!$A:$A,0)),""))</f>
        <v/>
      </c>
      <c r="E188" s="13">
        <f>IF(OR(A188="",B188=""),"",COUNTIFS(Uploads!$A:$A,$A188,Uploads!$B:$B,"&gt;="&amp;$B188,Uploads!$B:$B,"&lt;"&amp;EDATE($B188,1)))</f>
        <v/>
      </c>
      <c r="F188" s="25">
        <f>IF(OR(D188="",D188=0,E188=""),"",MIN(1,E188/D188))</f>
        <v/>
      </c>
      <c r="G188" s="13">
        <f>IF(OR(A188="",B188=""),"",SUMIFS(Uploads!$G:$G,Uploads!$A:$A,$A188,Uploads!$B:$B,"&gt;="&amp;$B188,Uploads!$B:$B,"&lt;"&amp;EDATE($B188,1)))</f>
        <v/>
      </c>
      <c r="H188" s="13">
        <f>IF(OR(A188="",B188=""),"",COUNTIFS(Enquiries!$B:$B,$A188,Enquiries!$A:$A,"&gt;="&amp;$B188,Enquiries!$A:$A,"&lt;"&amp;EDATE($B188,1)))</f>
        <v/>
      </c>
      <c r="I188" s="13">
        <f>IF(OR(A188="",B188=""),"",COUNTIFS(Enquiries!$B:$B,$A188,Enquiries!$F:$F,"Booked",Enquiries!$A:$A,"&gt;="&amp;$B188,Enquiries!$A:$A,"&lt;"&amp;EDATE($B188,1))+COUNTIFS(Enquiries!$B:$B,$A188,Enquiries!$F:$F,"Bought",Enquiries!$A:$A,"&gt;="&amp;$B188,Enquiries!$A:$A,"&lt;"&amp;EDATE($B188,1)))</f>
        <v/>
      </c>
      <c r="J188" s="13">
        <f>IF(OR(A188="",B188=""),"",SUMIFS(Enquiries!$G:$G,Enquiries!$B:$B,$A188,Enquiries!$A:$A,"&gt;="&amp;$B188,Enquiries!$A:$A,"&lt;"&amp;EDATE($B188,1)))</f>
        <v/>
      </c>
      <c r="K188" s="13">
        <f>IF(C188="","",IFERROR(INDEX(Packages!$B:$B,MATCH(C188,Packages!$A:$A,0)),""))</f>
        <v/>
      </c>
      <c r="L188" s="13">
        <f>IF(OR(K188="",F188=""),"",K188*F188)</f>
        <v/>
      </c>
      <c r="M188" s="12" t="n"/>
      <c r="N188" s="12" t="n"/>
      <c r="O188" s="14" t="n"/>
      <c r="P188" s="12" t="n"/>
    </row>
    <row r="189">
      <c r="A189" s="12" t="n"/>
      <c r="B189" s="17" t="n"/>
      <c r="C189" s="24">
        <f>IF(A189="","",IFERROR(INDEX(Clients!$G:$G,MATCH(A189,Clients!$A:$A,0)),""))</f>
        <v/>
      </c>
      <c r="D189" s="13">
        <f>IF(C189="","",IFERROR(INDEX(Packages!$C:$C,MATCH(C189,Packages!$A:$A,0)),""))</f>
        <v/>
      </c>
      <c r="E189" s="13">
        <f>IF(OR(A189="",B189=""),"",COUNTIFS(Uploads!$A:$A,$A189,Uploads!$B:$B,"&gt;="&amp;$B189,Uploads!$B:$B,"&lt;"&amp;EDATE($B189,1)))</f>
        <v/>
      </c>
      <c r="F189" s="25">
        <f>IF(OR(D189="",D189=0,E189=""),"",MIN(1,E189/D189))</f>
        <v/>
      </c>
      <c r="G189" s="13">
        <f>IF(OR(A189="",B189=""),"",SUMIFS(Uploads!$G:$G,Uploads!$A:$A,$A189,Uploads!$B:$B,"&gt;="&amp;$B189,Uploads!$B:$B,"&lt;"&amp;EDATE($B189,1)))</f>
        <v/>
      </c>
      <c r="H189" s="13">
        <f>IF(OR(A189="",B189=""),"",COUNTIFS(Enquiries!$B:$B,$A189,Enquiries!$A:$A,"&gt;="&amp;$B189,Enquiries!$A:$A,"&lt;"&amp;EDATE($B189,1)))</f>
        <v/>
      </c>
      <c r="I189" s="13">
        <f>IF(OR(A189="",B189=""),"",COUNTIFS(Enquiries!$B:$B,$A189,Enquiries!$F:$F,"Booked",Enquiries!$A:$A,"&gt;="&amp;$B189,Enquiries!$A:$A,"&lt;"&amp;EDATE($B189,1))+COUNTIFS(Enquiries!$B:$B,$A189,Enquiries!$F:$F,"Bought",Enquiries!$A:$A,"&gt;="&amp;$B189,Enquiries!$A:$A,"&lt;"&amp;EDATE($B189,1)))</f>
        <v/>
      </c>
      <c r="J189" s="13">
        <f>IF(OR(A189="",B189=""),"",SUMIFS(Enquiries!$G:$G,Enquiries!$B:$B,$A189,Enquiries!$A:$A,"&gt;="&amp;$B189,Enquiries!$A:$A,"&lt;"&amp;EDATE($B189,1)))</f>
        <v/>
      </c>
      <c r="K189" s="13">
        <f>IF(C189="","",IFERROR(INDEX(Packages!$B:$B,MATCH(C189,Packages!$A:$A,0)),""))</f>
        <v/>
      </c>
      <c r="L189" s="13">
        <f>IF(OR(K189="",F189=""),"",K189*F189)</f>
        <v/>
      </c>
      <c r="M189" s="12" t="n"/>
      <c r="N189" s="12" t="n"/>
      <c r="O189" s="14" t="n"/>
      <c r="P189" s="12" t="n"/>
    </row>
    <row r="190">
      <c r="A190" s="12" t="n"/>
      <c r="B190" s="17" t="n"/>
      <c r="C190" s="24">
        <f>IF(A190="","",IFERROR(INDEX(Clients!$G:$G,MATCH(A190,Clients!$A:$A,0)),""))</f>
        <v/>
      </c>
      <c r="D190" s="13">
        <f>IF(C190="","",IFERROR(INDEX(Packages!$C:$C,MATCH(C190,Packages!$A:$A,0)),""))</f>
        <v/>
      </c>
      <c r="E190" s="13">
        <f>IF(OR(A190="",B190=""),"",COUNTIFS(Uploads!$A:$A,$A190,Uploads!$B:$B,"&gt;="&amp;$B190,Uploads!$B:$B,"&lt;"&amp;EDATE($B190,1)))</f>
        <v/>
      </c>
      <c r="F190" s="25">
        <f>IF(OR(D190="",D190=0,E190=""),"",MIN(1,E190/D190))</f>
        <v/>
      </c>
      <c r="G190" s="13">
        <f>IF(OR(A190="",B190=""),"",SUMIFS(Uploads!$G:$G,Uploads!$A:$A,$A190,Uploads!$B:$B,"&gt;="&amp;$B190,Uploads!$B:$B,"&lt;"&amp;EDATE($B190,1)))</f>
        <v/>
      </c>
      <c r="H190" s="13">
        <f>IF(OR(A190="",B190=""),"",COUNTIFS(Enquiries!$B:$B,$A190,Enquiries!$A:$A,"&gt;="&amp;$B190,Enquiries!$A:$A,"&lt;"&amp;EDATE($B190,1)))</f>
        <v/>
      </c>
      <c r="I190" s="13">
        <f>IF(OR(A190="",B190=""),"",COUNTIFS(Enquiries!$B:$B,$A190,Enquiries!$F:$F,"Booked",Enquiries!$A:$A,"&gt;="&amp;$B190,Enquiries!$A:$A,"&lt;"&amp;EDATE($B190,1))+COUNTIFS(Enquiries!$B:$B,$A190,Enquiries!$F:$F,"Bought",Enquiries!$A:$A,"&gt;="&amp;$B190,Enquiries!$A:$A,"&lt;"&amp;EDATE($B190,1)))</f>
        <v/>
      </c>
      <c r="J190" s="13">
        <f>IF(OR(A190="",B190=""),"",SUMIFS(Enquiries!$G:$G,Enquiries!$B:$B,$A190,Enquiries!$A:$A,"&gt;="&amp;$B190,Enquiries!$A:$A,"&lt;"&amp;EDATE($B190,1)))</f>
        <v/>
      </c>
      <c r="K190" s="13">
        <f>IF(C190="","",IFERROR(INDEX(Packages!$B:$B,MATCH(C190,Packages!$A:$A,0)),""))</f>
        <v/>
      </c>
      <c r="L190" s="13">
        <f>IF(OR(K190="",F190=""),"",K190*F190)</f>
        <v/>
      </c>
      <c r="M190" s="12" t="n"/>
      <c r="N190" s="12" t="n"/>
      <c r="O190" s="14" t="n"/>
      <c r="P190" s="12" t="n"/>
    </row>
    <row r="191">
      <c r="A191" s="12" t="n"/>
      <c r="B191" s="17" t="n"/>
      <c r="C191" s="24">
        <f>IF(A191="","",IFERROR(INDEX(Clients!$G:$G,MATCH(A191,Clients!$A:$A,0)),""))</f>
        <v/>
      </c>
      <c r="D191" s="13">
        <f>IF(C191="","",IFERROR(INDEX(Packages!$C:$C,MATCH(C191,Packages!$A:$A,0)),""))</f>
        <v/>
      </c>
      <c r="E191" s="13">
        <f>IF(OR(A191="",B191=""),"",COUNTIFS(Uploads!$A:$A,$A191,Uploads!$B:$B,"&gt;="&amp;$B191,Uploads!$B:$B,"&lt;"&amp;EDATE($B191,1)))</f>
        <v/>
      </c>
      <c r="F191" s="25">
        <f>IF(OR(D191="",D191=0,E191=""),"",MIN(1,E191/D191))</f>
        <v/>
      </c>
      <c r="G191" s="13">
        <f>IF(OR(A191="",B191=""),"",SUMIFS(Uploads!$G:$G,Uploads!$A:$A,$A191,Uploads!$B:$B,"&gt;="&amp;$B191,Uploads!$B:$B,"&lt;"&amp;EDATE($B191,1)))</f>
        <v/>
      </c>
      <c r="H191" s="13">
        <f>IF(OR(A191="",B191=""),"",COUNTIFS(Enquiries!$B:$B,$A191,Enquiries!$A:$A,"&gt;="&amp;$B191,Enquiries!$A:$A,"&lt;"&amp;EDATE($B191,1)))</f>
        <v/>
      </c>
      <c r="I191" s="13">
        <f>IF(OR(A191="",B191=""),"",COUNTIFS(Enquiries!$B:$B,$A191,Enquiries!$F:$F,"Booked",Enquiries!$A:$A,"&gt;="&amp;$B191,Enquiries!$A:$A,"&lt;"&amp;EDATE($B191,1))+COUNTIFS(Enquiries!$B:$B,$A191,Enquiries!$F:$F,"Bought",Enquiries!$A:$A,"&gt;="&amp;$B191,Enquiries!$A:$A,"&lt;"&amp;EDATE($B191,1)))</f>
        <v/>
      </c>
      <c r="J191" s="13">
        <f>IF(OR(A191="",B191=""),"",SUMIFS(Enquiries!$G:$G,Enquiries!$B:$B,$A191,Enquiries!$A:$A,"&gt;="&amp;$B191,Enquiries!$A:$A,"&lt;"&amp;EDATE($B191,1)))</f>
        <v/>
      </c>
      <c r="K191" s="13">
        <f>IF(C191="","",IFERROR(INDEX(Packages!$B:$B,MATCH(C191,Packages!$A:$A,0)),""))</f>
        <v/>
      </c>
      <c r="L191" s="13">
        <f>IF(OR(K191="",F191=""),"",K191*F191)</f>
        <v/>
      </c>
      <c r="M191" s="12" t="n"/>
      <c r="N191" s="12" t="n"/>
      <c r="O191" s="14" t="n"/>
      <c r="P191" s="12" t="n"/>
    </row>
    <row r="192">
      <c r="A192" s="12" t="n"/>
      <c r="B192" s="17" t="n"/>
      <c r="C192" s="24">
        <f>IF(A192="","",IFERROR(INDEX(Clients!$G:$G,MATCH(A192,Clients!$A:$A,0)),""))</f>
        <v/>
      </c>
      <c r="D192" s="13">
        <f>IF(C192="","",IFERROR(INDEX(Packages!$C:$C,MATCH(C192,Packages!$A:$A,0)),""))</f>
        <v/>
      </c>
      <c r="E192" s="13">
        <f>IF(OR(A192="",B192=""),"",COUNTIFS(Uploads!$A:$A,$A192,Uploads!$B:$B,"&gt;="&amp;$B192,Uploads!$B:$B,"&lt;"&amp;EDATE($B192,1)))</f>
        <v/>
      </c>
      <c r="F192" s="25">
        <f>IF(OR(D192="",D192=0,E192=""),"",MIN(1,E192/D192))</f>
        <v/>
      </c>
      <c r="G192" s="13">
        <f>IF(OR(A192="",B192=""),"",SUMIFS(Uploads!$G:$G,Uploads!$A:$A,$A192,Uploads!$B:$B,"&gt;="&amp;$B192,Uploads!$B:$B,"&lt;"&amp;EDATE($B192,1)))</f>
        <v/>
      </c>
      <c r="H192" s="13">
        <f>IF(OR(A192="",B192=""),"",COUNTIFS(Enquiries!$B:$B,$A192,Enquiries!$A:$A,"&gt;="&amp;$B192,Enquiries!$A:$A,"&lt;"&amp;EDATE($B192,1)))</f>
        <v/>
      </c>
      <c r="I192" s="13">
        <f>IF(OR(A192="",B192=""),"",COUNTIFS(Enquiries!$B:$B,$A192,Enquiries!$F:$F,"Booked",Enquiries!$A:$A,"&gt;="&amp;$B192,Enquiries!$A:$A,"&lt;"&amp;EDATE($B192,1))+COUNTIFS(Enquiries!$B:$B,$A192,Enquiries!$F:$F,"Bought",Enquiries!$A:$A,"&gt;="&amp;$B192,Enquiries!$A:$A,"&lt;"&amp;EDATE($B192,1)))</f>
        <v/>
      </c>
      <c r="J192" s="13">
        <f>IF(OR(A192="",B192=""),"",SUMIFS(Enquiries!$G:$G,Enquiries!$B:$B,$A192,Enquiries!$A:$A,"&gt;="&amp;$B192,Enquiries!$A:$A,"&lt;"&amp;EDATE($B192,1)))</f>
        <v/>
      </c>
      <c r="K192" s="13">
        <f>IF(C192="","",IFERROR(INDEX(Packages!$B:$B,MATCH(C192,Packages!$A:$A,0)),""))</f>
        <v/>
      </c>
      <c r="L192" s="13">
        <f>IF(OR(K192="",F192=""),"",K192*F192)</f>
        <v/>
      </c>
      <c r="M192" s="12" t="n"/>
      <c r="N192" s="12" t="n"/>
      <c r="O192" s="14" t="n"/>
      <c r="P192" s="12" t="n"/>
    </row>
    <row r="193">
      <c r="A193" s="12" t="n"/>
      <c r="B193" s="17" t="n"/>
      <c r="C193" s="24">
        <f>IF(A193="","",IFERROR(INDEX(Clients!$G:$G,MATCH(A193,Clients!$A:$A,0)),""))</f>
        <v/>
      </c>
      <c r="D193" s="13">
        <f>IF(C193="","",IFERROR(INDEX(Packages!$C:$C,MATCH(C193,Packages!$A:$A,0)),""))</f>
        <v/>
      </c>
      <c r="E193" s="13">
        <f>IF(OR(A193="",B193=""),"",COUNTIFS(Uploads!$A:$A,$A193,Uploads!$B:$B,"&gt;="&amp;$B193,Uploads!$B:$B,"&lt;"&amp;EDATE($B193,1)))</f>
        <v/>
      </c>
      <c r="F193" s="25">
        <f>IF(OR(D193="",D193=0,E193=""),"",MIN(1,E193/D193))</f>
        <v/>
      </c>
      <c r="G193" s="13">
        <f>IF(OR(A193="",B193=""),"",SUMIFS(Uploads!$G:$G,Uploads!$A:$A,$A193,Uploads!$B:$B,"&gt;="&amp;$B193,Uploads!$B:$B,"&lt;"&amp;EDATE($B193,1)))</f>
        <v/>
      </c>
      <c r="H193" s="13">
        <f>IF(OR(A193="",B193=""),"",COUNTIFS(Enquiries!$B:$B,$A193,Enquiries!$A:$A,"&gt;="&amp;$B193,Enquiries!$A:$A,"&lt;"&amp;EDATE($B193,1)))</f>
        <v/>
      </c>
      <c r="I193" s="13">
        <f>IF(OR(A193="",B193=""),"",COUNTIFS(Enquiries!$B:$B,$A193,Enquiries!$F:$F,"Booked",Enquiries!$A:$A,"&gt;="&amp;$B193,Enquiries!$A:$A,"&lt;"&amp;EDATE($B193,1))+COUNTIFS(Enquiries!$B:$B,$A193,Enquiries!$F:$F,"Bought",Enquiries!$A:$A,"&gt;="&amp;$B193,Enquiries!$A:$A,"&lt;"&amp;EDATE($B193,1)))</f>
        <v/>
      </c>
      <c r="J193" s="13">
        <f>IF(OR(A193="",B193=""),"",SUMIFS(Enquiries!$G:$G,Enquiries!$B:$B,$A193,Enquiries!$A:$A,"&gt;="&amp;$B193,Enquiries!$A:$A,"&lt;"&amp;EDATE($B193,1)))</f>
        <v/>
      </c>
      <c r="K193" s="13">
        <f>IF(C193="","",IFERROR(INDEX(Packages!$B:$B,MATCH(C193,Packages!$A:$A,0)),""))</f>
        <v/>
      </c>
      <c r="L193" s="13">
        <f>IF(OR(K193="",F193=""),"",K193*F193)</f>
        <v/>
      </c>
      <c r="M193" s="12" t="n"/>
      <c r="N193" s="12" t="n"/>
      <c r="O193" s="14" t="n"/>
      <c r="P193" s="12" t="n"/>
    </row>
    <row r="194">
      <c r="A194" s="12" t="n"/>
      <c r="B194" s="17" t="n"/>
      <c r="C194" s="24">
        <f>IF(A194="","",IFERROR(INDEX(Clients!$G:$G,MATCH(A194,Clients!$A:$A,0)),""))</f>
        <v/>
      </c>
      <c r="D194" s="13">
        <f>IF(C194="","",IFERROR(INDEX(Packages!$C:$C,MATCH(C194,Packages!$A:$A,0)),""))</f>
        <v/>
      </c>
      <c r="E194" s="13">
        <f>IF(OR(A194="",B194=""),"",COUNTIFS(Uploads!$A:$A,$A194,Uploads!$B:$B,"&gt;="&amp;$B194,Uploads!$B:$B,"&lt;"&amp;EDATE($B194,1)))</f>
        <v/>
      </c>
      <c r="F194" s="25">
        <f>IF(OR(D194="",D194=0,E194=""),"",MIN(1,E194/D194))</f>
        <v/>
      </c>
      <c r="G194" s="13">
        <f>IF(OR(A194="",B194=""),"",SUMIFS(Uploads!$G:$G,Uploads!$A:$A,$A194,Uploads!$B:$B,"&gt;="&amp;$B194,Uploads!$B:$B,"&lt;"&amp;EDATE($B194,1)))</f>
        <v/>
      </c>
      <c r="H194" s="13">
        <f>IF(OR(A194="",B194=""),"",COUNTIFS(Enquiries!$B:$B,$A194,Enquiries!$A:$A,"&gt;="&amp;$B194,Enquiries!$A:$A,"&lt;"&amp;EDATE($B194,1)))</f>
        <v/>
      </c>
      <c r="I194" s="13">
        <f>IF(OR(A194="",B194=""),"",COUNTIFS(Enquiries!$B:$B,$A194,Enquiries!$F:$F,"Booked",Enquiries!$A:$A,"&gt;="&amp;$B194,Enquiries!$A:$A,"&lt;"&amp;EDATE($B194,1))+COUNTIFS(Enquiries!$B:$B,$A194,Enquiries!$F:$F,"Bought",Enquiries!$A:$A,"&gt;="&amp;$B194,Enquiries!$A:$A,"&lt;"&amp;EDATE($B194,1)))</f>
        <v/>
      </c>
      <c r="J194" s="13">
        <f>IF(OR(A194="",B194=""),"",SUMIFS(Enquiries!$G:$G,Enquiries!$B:$B,$A194,Enquiries!$A:$A,"&gt;="&amp;$B194,Enquiries!$A:$A,"&lt;"&amp;EDATE($B194,1)))</f>
        <v/>
      </c>
      <c r="K194" s="13">
        <f>IF(C194="","",IFERROR(INDEX(Packages!$B:$B,MATCH(C194,Packages!$A:$A,0)),""))</f>
        <v/>
      </c>
      <c r="L194" s="13">
        <f>IF(OR(K194="",F194=""),"",K194*F194)</f>
        <v/>
      </c>
      <c r="M194" s="12" t="n"/>
      <c r="N194" s="12" t="n"/>
      <c r="O194" s="14" t="n"/>
      <c r="P194" s="12" t="n"/>
    </row>
    <row r="195">
      <c r="A195" s="12" t="n"/>
      <c r="B195" s="17" t="n"/>
      <c r="C195" s="24">
        <f>IF(A195="","",IFERROR(INDEX(Clients!$G:$G,MATCH(A195,Clients!$A:$A,0)),""))</f>
        <v/>
      </c>
      <c r="D195" s="13">
        <f>IF(C195="","",IFERROR(INDEX(Packages!$C:$C,MATCH(C195,Packages!$A:$A,0)),""))</f>
        <v/>
      </c>
      <c r="E195" s="13">
        <f>IF(OR(A195="",B195=""),"",COUNTIFS(Uploads!$A:$A,$A195,Uploads!$B:$B,"&gt;="&amp;$B195,Uploads!$B:$B,"&lt;"&amp;EDATE($B195,1)))</f>
        <v/>
      </c>
      <c r="F195" s="25">
        <f>IF(OR(D195="",D195=0,E195=""),"",MIN(1,E195/D195))</f>
        <v/>
      </c>
      <c r="G195" s="13">
        <f>IF(OR(A195="",B195=""),"",SUMIFS(Uploads!$G:$G,Uploads!$A:$A,$A195,Uploads!$B:$B,"&gt;="&amp;$B195,Uploads!$B:$B,"&lt;"&amp;EDATE($B195,1)))</f>
        <v/>
      </c>
      <c r="H195" s="13">
        <f>IF(OR(A195="",B195=""),"",COUNTIFS(Enquiries!$B:$B,$A195,Enquiries!$A:$A,"&gt;="&amp;$B195,Enquiries!$A:$A,"&lt;"&amp;EDATE($B195,1)))</f>
        <v/>
      </c>
      <c r="I195" s="13">
        <f>IF(OR(A195="",B195=""),"",COUNTIFS(Enquiries!$B:$B,$A195,Enquiries!$F:$F,"Booked",Enquiries!$A:$A,"&gt;="&amp;$B195,Enquiries!$A:$A,"&lt;"&amp;EDATE($B195,1))+COUNTIFS(Enquiries!$B:$B,$A195,Enquiries!$F:$F,"Bought",Enquiries!$A:$A,"&gt;="&amp;$B195,Enquiries!$A:$A,"&lt;"&amp;EDATE($B195,1)))</f>
        <v/>
      </c>
      <c r="J195" s="13">
        <f>IF(OR(A195="",B195=""),"",SUMIFS(Enquiries!$G:$G,Enquiries!$B:$B,$A195,Enquiries!$A:$A,"&gt;="&amp;$B195,Enquiries!$A:$A,"&lt;"&amp;EDATE($B195,1)))</f>
        <v/>
      </c>
      <c r="K195" s="13">
        <f>IF(C195="","",IFERROR(INDEX(Packages!$B:$B,MATCH(C195,Packages!$A:$A,0)),""))</f>
        <v/>
      </c>
      <c r="L195" s="13">
        <f>IF(OR(K195="",F195=""),"",K195*F195)</f>
        <v/>
      </c>
      <c r="M195" s="12" t="n"/>
      <c r="N195" s="12" t="n"/>
      <c r="O195" s="14" t="n"/>
      <c r="P195" s="12" t="n"/>
    </row>
    <row r="196">
      <c r="A196" s="12" t="n"/>
      <c r="B196" s="17" t="n"/>
      <c r="C196" s="24">
        <f>IF(A196="","",IFERROR(INDEX(Clients!$G:$G,MATCH(A196,Clients!$A:$A,0)),""))</f>
        <v/>
      </c>
      <c r="D196" s="13">
        <f>IF(C196="","",IFERROR(INDEX(Packages!$C:$C,MATCH(C196,Packages!$A:$A,0)),""))</f>
        <v/>
      </c>
      <c r="E196" s="13">
        <f>IF(OR(A196="",B196=""),"",COUNTIFS(Uploads!$A:$A,$A196,Uploads!$B:$B,"&gt;="&amp;$B196,Uploads!$B:$B,"&lt;"&amp;EDATE($B196,1)))</f>
        <v/>
      </c>
      <c r="F196" s="25">
        <f>IF(OR(D196="",D196=0,E196=""),"",MIN(1,E196/D196))</f>
        <v/>
      </c>
      <c r="G196" s="13">
        <f>IF(OR(A196="",B196=""),"",SUMIFS(Uploads!$G:$G,Uploads!$A:$A,$A196,Uploads!$B:$B,"&gt;="&amp;$B196,Uploads!$B:$B,"&lt;"&amp;EDATE($B196,1)))</f>
        <v/>
      </c>
      <c r="H196" s="13">
        <f>IF(OR(A196="",B196=""),"",COUNTIFS(Enquiries!$B:$B,$A196,Enquiries!$A:$A,"&gt;="&amp;$B196,Enquiries!$A:$A,"&lt;"&amp;EDATE($B196,1)))</f>
        <v/>
      </c>
      <c r="I196" s="13">
        <f>IF(OR(A196="",B196=""),"",COUNTIFS(Enquiries!$B:$B,$A196,Enquiries!$F:$F,"Booked",Enquiries!$A:$A,"&gt;="&amp;$B196,Enquiries!$A:$A,"&lt;"&amp;EDATE($B196,1))+COUNTIFS(Enquiries!$B:$B,$A196,Enquiries!$F:$F,"Bought",Enquiries!$A:$A,"&gt;="&amp;$B196,Enquiries!$A:$A,"&lt;"&amp;EDATE($B196,1)))</f>
        <v/>
      </c>
      <c r="J196" s="13">
        <f>IF(OR(A196="",B196=""),"",SUMIFS(Enquiries!$G:$G,Enquiries!$B:$B,$A196,Enquiries!$A:$A,"&gt;="&amp;$B196,Enquiries!$A:$A,"&lt;"&amp;EDATE($B196,1)))</f>
        <v/>
      </c>
      <c r="K196" s="13">
        <f>IF(C196="","",IFERROR(INDEX(Packages!$B:$B,MATCH(C196,Packages!$A:$A,0)),""))</f>
        <v/>
      </c>
      <c r="L196" s="13">
        <f>IF(OR(K196="",F196=""),"",K196*F196)</f>
        <v/>
      </c>
      <c r="M196" s="12" t="n"/>
      <c r="N196" s="12" t="n"/>
      <c r="O196" s="14" t="n"/>
      <c r="P196" s="12" t="n"/>
    </row>
    <row r="197">
      <c r="A197" s="12" t="n"/>
      <c r="B197" s="17" t="n"/>
      <c r="C197" s="24">
        <f>IF(A197="","",IFERROR(INDEX(Clients!$G:$G,MATCH(A197,Clients!$A:$A,0)),""))</f>
        <v/>
      </c>
      <c r="D197" s="13">
        <f>IF(C197="","",IFERROR(INDEX(Packages!$C:$C,MATCH(C197,Packages!$A:$A,0)),""))</f>
        <v/>
      </c>
      <c r="E197" s="13">
        <f>IF(OR(A197="",B197=""),"",COUNTIFS(Uploads!$A:$A,$A197,Uploads!$B:$B,"&gt;="&amp;$B197,Uploads!$B:$B,"&lt;"&amp;EDATE($B197,1)))</f>
        <v/>
      </c>
      <c r="F197" s="25">
        <f>IF(OR(D197="",D197=0,E197=""),"",MIN(1,E197/D197))</f>
        <v/>
      </c>
      <c r="G197" s="13">
        <f>IF(OR(A197="",B197=""),"",SUMIFS(Uploads!$G:$G,Uploads!$A:$A,$A197,Uploads!$B:$B,"&gt;="&amp;$B197,Uploads!$B:$B,"&lt;"&amp;EDATE($B197,1)))</f>
        <v/>
      </c>
      <c r="H197" s="13">
        <f>IF(OR(A197="",B197=""),"",COUNTIFS(Enquiries!$B:$B,$A197,Enquiries!$A:$A,"&gt;="&amp;$B197,Enquiries!$A:$A,"&lt;"&amp;EDATE($B197,1)))</f>
        <v/>
      </c>
      <c r="I197" s="13">
        <f>IF(OR(A197="",B197=""),"",COUNTIFS(Enquiries!$B:$B,$A197,Enquiries!$F:$F,"Booked",Enquiries!$A:$A,"&gt;="&amp;$B197,Enquiries!$A:$A,"&lt;"&amp;EDATE($B197,1))+COUNTIFS(Enquiries!$B:$B,$A197,Enquiries!$F:$F,"Bought",Enquiries!$A:$A,"&gt;="&amp;$B197,Enquiries!$A:$A,"&lt;"&amp;EDATE($B197,1)))</f>
        <v/>
      </c>
      <c r="J197" s="13">
        <f>IF(OR(A197="",B197=""),"",SUMIFS(Enquiries!$G:$G,Enquiries!$B:$B,$A197,Enquiries!$A:$A,"&gt;="&amp;$B197,Enquiries!$A:$A,"&lt;"&amp;EDATE($B197,1)))</f>
        <v/>
      </c>
      <c r="K197" s="13">
        <f>IF(C197="","",IFERROR(INDEX(Packages!$B:$B,MATCH(C197,Packages!$A:$A,0)),""))</f>
        <v/>
      </c>
      <c r="L197" s="13">
        <f>IF(OR(K197="",F197=""),"",K197*F197)</f>
        <v/>
      </c>
      <c r="M197" s="12" t="n"/>
      <c r="N197" s="12" t="n"/>
      <c r="O197" s="14" t="n"/>
      <c r="P197" s="12" t="n"/>
    </row>
    <row r="198">
      <c r="A198" s="12" t="n"/>
      <c r="B198" s="17" t="n"/>
      <c r="C198" s="24">
        <f>IF(A198="","",IFERROR(INDEX(Clients!$G:$G,MATCH(A198,Clients!$A:$A,0)),""))</f>
        <v/>
      </c>
      <c r="D198" s="13">
        <f>IF(C198="","",IFERROR(INDEX(Packages!$C:$C,MATCH(C198,Packages!$A:$A,0)),""))</f>
        <v/>
      </c>
      <c r="E198" s="13">
        <f>IF(OR(A198="",B198=""),"",COUNTIFS(Uploads!$A:$A,$A198,Uploads!$B:$B,"&gt;="&amp;$B198,Uploads!$B:$B,"&lt;"&amp;EDATE($B198,1)))</f>
        <v/>
      </c>
      <c r="F198" s="25">
        <f>IF(OR(D198="",D198=0,E198=""),"",MIN(1,E198/D198))</f>
        <v/>
      </c>
      <c r="G198" s="13">
        <f>IF(OR(A198="",B198=""),"",SUMIFS(Uploads!$G:$G,Uploads!$A:$A,$A198,Uploads!$B:$B,"&gt;="&amp;$B198,Uploads!$B:$B,"&lt;"&amp;EDATE($B198,1)))</f>
        <v/>
      </c>
      <c r="H198" s="13">
        <f>IF(OR(A198="",B198=""),"",COUNTIFS(Enquiries!$B:$B,$A198,Enquiries!$A:$A,"&gt;="&amp;$B198,Enquiries!$A:$A,"&lt;"&amp;EDATE($B198,1)))</f>
        <v/>
      </c>
      <c r="I198" s="13">
        <f>IF(OR(A198="",B198=""),"",COUNTIFS(Enquiries!$B:$B,$A198,Enquiries!$F:$F,"Booked",Enquiries!$A:$A,"&gt;="&amp;$B198,Enquiries!$A:$A,"&lt;"&amp;EDATE($B198,1))+COUNTIFS(Enquiries!$B:$B,$A198,Enquiries!$F:$F,"Bought",Enquiries!$A:$A,"&gt;="&amp;$B198,Enquiries!$A:$A,"&lt;"&amp;EDATE($B198,1)))</f>
        <v/>
      </c>
      <c r="J198" s="13">
        <f>IF(OR(A198="",B198=""),"",SUMIFS(Enquiries!$G:$G,Enquiries!$B:$B,$A198,Enquiries!$A:$A,"&gt;="&amp;$B198,Enquiries!$A:$A,"&lt;"&amp;EDATE($B198,1)))</f>
        <v/>
      </c>
      <c r="K198" s="13">
        <f>IF(C198="","",IFERROR(INDEX(Packages!$B:$B,MATCH(C198,Packages!$A:$A,0)),""))</f>
        <v/>
      </c>
      <c r="L198" s="13">
        <f>IF(OR(K198="",F198=""),"",K198*F198)</f>
        <v/>
      </c>
      <c r="M198" s="12" t="n"/>
      <c r="N198" s="12" t="n"/>
      <c r="O198" s="14" t="n"/>
      <c r="P198" s="12" t="n"/>
    </row>
    <row r="199">
      <c r="A199" s="12" t="n"/>
      <c r="B199" s="17" t="n"/>
      <c r="C199" s="24">
        <f>IF(A199="","",IFERROR(INDEX(Clients!$G:$G,MATCH(A199,Clients!$A:$A,0)),""))</f>
        <v/>
      </c>
      <c r="D199" s="13">
        <f>IF(C199="","",IFERROR(INDEX(Packages!$C:$C,MATCH(C199,Packages!$A:$A,0)),""))</f>
        <v/>
      </c>
      <c r="E199" s="13">
        <f>IF(OR(A199="",B199=""),"",COUNTIFS(Uploads!$A:$A,$A199,Uploads!$B:$B,"&gt;="&amp;$B199,Uploads!$B:$B,"&lt;"&amp;EDATE($B199,1)))</f>
        <v/>
      </c>
      <c r="F199" s="25">
        <f>IF(OR(D199="",D199=0,E199=""),"",MIN(1,E199/D199))</f>
        <v/>
      </c>
      <c r="G199" s="13">
        <f>IF(OR(A199="",B199=""),"",SUMIFS(Uploads!$G:$G,Uploads!$A:$A,$A199,Uploads!$B:$B,"&gt;="&amp;$B199,Uploads!$B:$B,"&lt;"&amp;EDATE($B199,1)))</f>
        <v/>
      </c>
      <c r="H199" s="13">
        <f>IF(OR(A199="",B199=""),"",COUNTIFS(Enquiries!$B:$B,$A199,Enquiries!$A:$A,"&gt;="&amp;$B199,Enquiries!$A:$A,"&lt;"&amp;EDATE($B199,1)))</f>
        <v/>
      </c>
      <c r="I199" s="13">
        <f>IF(OR(A199="",B199=""),"",COUNTIFS(Enquiries!$B:$B,$A199,Enquiries!$F:$F,"Booked",Enquiries!$A:$A,"&gt;="&amp;$B199,Enquiries!$A:$A,"&lt;"&amp;EDATE($B199,1))+COUNTIFS(Enquiries!$B:$B,$A199,Enquiries!$F:$F,"Bought",Enquiries!$A:$A,"&gt;="&amp;$B199,Enquiries!$A:$A,"&lt;"&amp;EDATE($B199,1)))</f>
        <v/>
      </c>
      <c r="J199" s="13">
        <f>IF(OR(A199="",B199=""),"",SUMIFS(Enquiries!$G:$G,Enquiries!$B:$B,$A199,Enquiries!$A:$A,"&gt;="&amp;$B199,Enquiries!$A:$A,"&lt;"&amp;EDATE($B199,1)))</f>
        <v/>
      </c>
      <c r="K199" s="13">
        <f>IF(C199="","",IFERROR(INDEX(Packages!$B:$B,MATCH(C199,Packages!$A:$A,0)),""))</f>
        <v/>
      </c>
      <c r="L199" s="13">
        <f>IF(OR(K199="",F199=""),"",K199*F199)</f>
        <v/>
      </c>
      <c r="M199" s="12" t="n"/>
      <c r="N199" s="12" t="n"/>
      <c r="O199" s="14" t="n"/>
      <c r="P199" s="12" t="n"/>
    </row>
    <row r="200">
      <c r="A200" s="12" t="n"/>
      <c r="B200" s="17" t="n"/>
      <c r="C200" s="24">
        <f>IF(A200="","",IFERROR(INDEX(Clients!$G:$G,MATCH(A200,Clients!$A:$A,0)),""))</f>
        <v/>
      </c>
      <c r="D200" s="13">
        <f>IF(C200="","",IFERROR(INDEX(Packages!$C:$C,MATCH(C200,Packages!$A:$A,0)),""))</f>
        <v/>
      </c>
      <c r="E200" s="13">
        <f>IF(OR(A200="",B200=""),"",COUNTIFS(Uploads!$A:$A,$A200,Uploads!$B:$B,"&gt;="&amp;$B200,Uploads!$B:$B,"&lt;"&amp;EDATE($B200,1)))</f>
        <v/>
      </c>
      <c r="F200" s="25">
        <f>IF(OR(D200="",D200=0,E200=""),"",MIN(1,E200/D200))</f>
        <v/>
      </c>
      <c r="G200" s="13">
        <f>IF(OR(A200="",B200=""),"",SUMIFS(Uploads!$G:$G,Uploads!$A:$A,$A200,Uploads!$B:$B,"&gt;="&amp;$B200,Uploads!$B:$B,"&lt;"&amp;EDATE($B200,1)))</f>
        <v/>
      </c>
      <c r="H200" s="13">
        <f>IF(OR(A200="",B200=""),"",COUNTIFS(Enquiries!$B:$B,$A200,Enquiries!$A:$A,"&gt;="&amp;$B200,Enquiries!$A:$A,"&lt;"&amp;EDATE($B200,1)))</f>
        <v/>
      </c>
      <c r="I200" s="13">
        <f>IF(OR(A200="",B200=""),"",COUNTIFS(Enquiries!$B:$B,$A200,Enquiries!$F:$F,"Booked",Enquiries!$A:$A,"&gt;="&amp;$B200,Enquiries!$A:$A,"&lt;"&amp;EDATE($B200,1))+COUNTIFS(Enquiries!$B:$B,$A200,Enquiries!$F:$F,"Bought",Enquiries!$A:$A,"&gt;="&amp;$B200,Enquiries!$A:$A,"&lt;"&amp;EDATE($B200,1)))</f>
        <v/>
      </c>
      <c r="J200" s="13">
        <f>IF(OR(A200="",B200=""),"",SUMIFS(Enquiries!$G:$G,Enquiries!$B:$B,$A200,Enquiries!$A:$A,"&gt;="&amp;$B200,Enquiries!$A:$A,"&lt;"&amp;EDATE($B200,1)))</f>
        <v/>
      </c>
      <c r="K200" s="13">
        <f>IF(C200="","",IFERROR(INDEX(Packages!$B:$B,MATCH(C200,Packages!$A:$A,0)),""))</f>
        <v/>
      </c>
      <c r="L200" s="13">
        <f>IF(OR(K200="",F200=""),"",K200*F200)</f>
        <v/>
      </c>
      <c r="M200" s="12" t="n"/>
      <c r="N200" s="12" t="n"/>
      <c r="O200" s="14" t="n"/>
      <c r="P200" s="12" t="n"/>
    </row>
    <row r="201">
      <c r="A201" s="12" t="n"/>
      <c r="B201" s="17" t="n"/>
      <c r="C201" s="24">
        <f>IF(A201="","",IFERROR(INDEX(Clients!$G:$G,MATCH(A201,Clients!$A:$A,0)),""))</f>
        <v/>
      </c>
      <c r="D201" s="13">
        <f>IF(C201="","",IFERROR(INDEX(Packages!$C:$C,MATCH(C201,Packages!$A:$A,0)),""))</f>
        <v/>
      </c>
      <c r="E201" s="13">
        <f>IF(OR(A201="",B201=""),"",COUNTIFS(Uploads!$A:$A,$A201,Uploads!$B:$B,"&gt;="&amp;$B201,Uploads!$B:$B,"&lt;"&amp;EDATE($B201,1)))</f>
        <v/>
      </c>
      <c r="F201" s="25">
        <f>IF(OR(D201="",D201=0,E201=""),"",MIN(1,E201/D201))</f>
        <v/>
      </c>
      <c r="G201" s="13">
        <f>IF(OR(A201="",B201=""),"",SUMIFS(Uploads!$G:$G,Uploads!$A:$A,$A201,Uploads!$B:$B,"&gt;="&amp;$B201,Uploads!$B:$B,"&lt;"&amp;EDATE($B201,1)))</f>
        <v/>
      </c>
      <c r="H201" s="13">
        <f>IF(OR(A201="",B201=""),"",COUNTIFS(Enquiries!$B:$B,$A201,Enquiries!$A:$A,"&gt;="&amp;$B201,Enquiries!$A:$A,"&lt;"&amp;EDATE($B201,1)))</f>
        <v/>
      </c>
      <c r="I201" s="13">
        <f>IF(OR(A201="",B201=""),"",COUNTIFS(Enquiries!$B:$B,$A201,Enquiries!$F:$F,"Booked",Enquiries!$A:$A,"&gt;="&amp;$B201,Enquiries!$A:$A,"&lt;"&amp;EDATE($B201,1))+COUNTIFS(Enquiries!$B:$B,$A201,Enquiries!$F:$F,"Bought",Enquiries!$A:$A,"&gt;="&amp;$B201,Enquiries!$A:$A,"&lt;"&amp;EDATE($B201,1)))</f>
        <v/>
      </c>
      <c r="J201" s="13">
        <f>IF(OR(A201="",B201=""),"",SUMIFS(Enquiries!$G:$G,Enquiries!$B:$B,$A201,Enquiries!$A:$A,"&gt;="&amp;$B201,Enquiries!$A:$A,"&lt;"&amp;EDATE($B201,1)))</f>
        <v/>
      </c>
      <c r="K201" s="13">
        <f>IF(C201="","",IFERROR(INDEX(Packages!$B:$B,MATCH(C201,Packages!$A:$A,0)),""))</f>
        <v/>
      </c>
      <c r="L201" s="13">
        <f>IF(OR(K201="",F201=""),"",K201*F201)</f>
        <v/>
      </c>
      <c r="M201" s="12" t="n"/>
      <c r="N201" s="12" t="n"/>
      <c r="O201" s="14" t="n"/>
      <c r="P201" s="12" t="n"/>
    </row>
  </sheetData>
  <autoFilter ref="A1:P201"/>
  <dataValidations count="3">
    <dataValidation sqref="A2:A201" showDropDown="0" showInputMessage="0" showErrorMessage="0" allowBlank="1" type="list">
      <formula1>Clients!$A$2:$A$201</formula1>
    </dataValidation>
    <dataValidation sqref="M2:M201" showDropDown="0" showInputMessage="0" showErrorMessage="0" allowBlank="1" type="list">
      <formula1>Lists!$E$2:$E$3</formula1>
    </dataValidation>
    <dataValidation sqref="N2:N201" showDropDown="0" showInputMessage="0" showErrorMessage="0" allowBlank="1" type="list">
      <formula1>Lists!$E$2:$E$3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70" customWidth="1" min="5" max="5"/>
  </cols>
  <sheetData>
    <row r="1" ht="34" customHeight="1">
      <c r="A1" s="7" t="inlineStr">
        <is>
          <t>Package</t>
        </is>
      </c>
      <c r="B1" s="7" t="inlineStr">
        <is>
          <t>Monthly fee (AED)</t>
        </is>
      </c>
      <c r="C1" s="7" t="inlineStr">
        <is>
          <t>Videos / month</t>
        </is>
      </c>
      <c r="D1" s="7" t="inlineStr">
        <is>
          <t>Posts / month</t>
        </is>
      </c>
      <c r="E1" s="7" t="inlineStr">
        <is>
          <t>Includes</t>
        </is>
      </c>
    </row>
    <row r="2">
      <c r="A2" s="12" t="inlineStr">
        <is>
          <t>Launch</t>
        </is>
      </c>
      <c r="B2" s="20" t="n">
        <v>5000</v>
      </c>
      <c r="C2" s="20" t="n">
        <v>5</v>
      </c>
      <c r="D2" s="20" t="n">
        <v>5</v>
      </c>
      <c r="E2" s="12" t="inlineStr">
        <is>
          <t>Strategy, social media management, basic website or redesign, seven-day habit build, monthly report</t>
        </is>
      </c>
    </row>
    <row r="3">
      <c r="A3" s="12" t="inlineStr">
        <is>
          <t>Growth</t>
        </is>
      </c>
      <c r="B3" s="20" t="n">
        <v>7500</v>
      </c>
      <c r="C3" s="20" t="n">
        <v>10</v>
      </c>
      <c r="D3" s="20" t="n">
        <v>10</v>
      </c>
      <c r="E3" s="12" t="inlineStr">
        <is>
          <t>Everything in Launch + website and full branding, presence audit, storyline series</t>
        </is>
      </c>
    </row>
    <row r="4">
      <c r="A4" s="12" t="inlineStr">
        <is>
          <t>Scale</t>
        </is>
      </c>
      <c r="B4" s="20" t="n">
        <v>10000</v>
      </c>
      <c r="C4" s="20" t="n">
        <v>15</v>
      </c>
      <c r="D4" s="20" t="n">
        <v>15</v>
      </c>
      <c r="E4" s="12" t="inlineStr">
        <is>
          <t>Everything in Growth + tailored paid campaign (ad spend paid by client), priority shoots, quarterly review</t>
        </is>
      </c>
    </row>
    <row r="5">
      <c r="A5" s="12" t="n"/>
      <c r="B5" s="20" t="n"/>
      <c r="C5" s="20" t="n"/>
      <c r="D5" s="20" t="n"/>
      <c r="E5" s="12" t="n"/>
    </row>
    <row r="6">
      <c r="A6" s="12" t="n"/>
      <c r="B6" s="20" t="n"/>
      <c r="C6" s="20" t="n"/>
      <c r="D6" s="20" t="n"/>
      <c r="E6" s="12" t="n"/>
    </row>
    <row r="7">
      <c r="A7" s="12" t="n"/>
      <c r="B7" s="20" t="n"/>
      <c r="C7" s="20" t="n"/>
      <c r="D7" s="20" t="n"/>
      <c r="E7" s="12" t="n"/>
    </row>
  </sheetData>
  <autoFilter ref="A1:E7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6" t="inlineStr">
        <is>
          <t>Status</t>
        </is>
      </c>
      <c r="B1" s="26" t="inlineStr">
        <is>
          <t>Buckets</t>
        </is>
      </c>
      <c r="C1" s="26" t="inlineStr">
        <is>
          <t>Plan status</t>
        </is>
      </c>
      <c r="D1" s="26" t="inlineStr">
        <is>
          <t>Outcome</t>
        </is>
      </c>
      <c r="E1" s="26" t="inlineStr">
        <is>
          <t>Yes/No</t>
        </is>
      </c>
      <c r="F1" s="26" t="inlineStr">
        <is>
          <t>Channel</t>
        </is>
      </c>
    </row>
    <row r="2">
      <c r="A2" s="27" t="inlineStr">
        <is>
          <t>Free video booked</t>
        </is>
      </c>
      <c r="B2" s="27" t="inlineStr">
        <is>
          <t>Reach</t>
        </is>
      </c>
      <c r="C2" s="27" t="inlineStr">
        <is>
          <t>Planned</t>
        </is>
      </c>
      <c r="D2" s="27" t="inlineStr">
        <is>
          <t>Enquiry only</t>
        </is>
      </c>
      <c r="E2" s="27" t="inlineStr">
        <is>
          <t>Y</t>
        </is>
      </c>
      <c r="F2" s="27" t="inlineStr">
        <is>
          <t>Instagram DM</t>
        </is>
      </c>
    </row>
    <row r="3">
      <c r="A3" s="27" t="inlineStr">
        <is>
          <t>Free video delivered</t>
        </is>
      </c>
      <c r="B3" s="27" t="inlineStr">
        <is>
          <t>Trust</t>
        </is>
      </c>
      <c r="C3" s="27" t="inlineStr">
        <is>
          <t>Approved</t>
        </is>
      </c>
      <c r="D3" s="27" t="inlineStr">
        <is>
          <t>Booked</t>
        </is>
      </c>
      <c r="E3" s="27" t="inlineStr">
        <is>
          <t>N</t>
        </is>
      </c>
      <c r="F3" s="27" t="inlineStr">
        <is>
          <t>WhatsApp</t>
        </is>
      </c>
    </row>
    <row r="4">
      <c r="A4" s="27" t="inlineStr">
        <is>
          <t>Signed</t>
        </is>
      </c>
      <c r="B4" s="27" t="inlineStr">
        <is>
          <t>Convert</t>
        </is>
      </c>
      <c r="C4" s="27" t="inlineStr">
        <is>
          <t>Shot</t>
        </is>
      </c>
      <c r="D4" s="27" t="inlineStr">
        <is>
          <t>Bought</t>
        </is>
      </c>
      <c r="F4" s="27" t="inlineStr">
        <is>
          <t>Call</t>
        </is>
      </c>
    </row>
    <row r="5">
      <c r="A5" s="27" t="inlineStr">
        <is>
          <t>Active</t>
        </is>
      </c>
      <c r="C5" s="27" t="inlineStr">
        <is>
          <t>Edited</t>
        </is>
      </c>
      <c r="D5" s="27" t="inlineStr">
        <is>
          <t>Lost</t>
        </is>
      </c>
      <c r="F5" s="27" t="inlineStr">
        <is>
          <t>Walk-in</t>
        </is>
      </c>
    </row>
    <row r="6">
      <c r="A6" s="27" t="inlineStr">
        <is>
          <t>Paused</t>
        </is>
      </c>
      <c r="C6" s="27" t="inlineStr">
        <is>
          <t>Posted</t>
        </is>
      </c>
      <c r="F6" s="27" t="inlineStr">
        <is>
          <t>TikTok</t>
        </is>
      </c>
    </row>
    <row r="7">
      <c r="A7" s="27" t="inlineStr">
        <is>
          <t>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2026-10-26T19:11:33Z</dcterms:created>
  <dcterms:modified xmlns:dcterms="http://purl.org/dc/terms/" xmlns:xsi="http://www.w3.org/2001/XMLSchema-instance" xsi:type="dcterms:W3CDTF">2026-10-26T19:11:33Z</dcterms:modified>
</cp:coreProperties>
</file>