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Inbound" sheetId="3" state="visible" r:id="rId5"/>
    <sheet name="Outbound" sheetId="4" state="visible" r:id="rId6"/>
    <sheet name="Clients" sheetId="5" state="visible" r:id="rId7"/>
    <sheet name="Shoots" sheetId="6" state="visible" r:id="rId8"/>
    <sheet name="Automations" sheetId="7" state="visible" r:id="rId9"/>
    <sheet name="Settings" sheetId="8" state="visible" r:id="rId10"/>
  </sheets>
  <definedNames>
    <definedName function="false" hidden="true" localSheetId="4" name="_xlnm._FilterDatabase" vbProcedure="false">Clients!$A$1:$Z$501</definedName>
    <definedName function="false" hidden="true" localSheetId="2" name="_xlnm._FilterDatabase" vbProcedure="false">Inbound!$A$1:$AB$501</definedName>
    <definedName function="false" hidden="true" localSheetId="3" name="_xlnm._FilterDatabase" vbProcedure="false">Outbound!$A$1:$Y$501</definedName>
    <definedName function="false" hidden="true" localSheetId="5" name="_xlnm._FilterDatabase" vbProcedure="false">Shoots!$A$1:$N$501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Double-click for a calendar. Clear the cell to go back to today.</t>
        </r>
      </text>
    </comment>
    <comment ref="C15" authorId="0">
      <text>
        <r>
          <rPr>
            <sz val="10"/>
            <rFont val="Arial"/>
            <family val="2"/>
          </rPr>
          <t xml:space="preserve">Target: reply within 1 hour.</t>
        </r>
      </text>
    </comment>
    <comment ref="C29" authorId="0">
      <text>
        <r>
          <rPr>
            <sz val="10"/>
            <rFont val="Arial"/>
            <family val="2"/>
          </rPr>
          <t xml:space="preserve">Target: under 1 hour.</t>
        </r>
      </text>
    </comment>
    <comment ref="C42" authorId="0">
      <text>
        <r>
          <rPr>
            <sz val="10"/>
            <rFont val="Arial"/>
            <family val="2"/>
          </rPr>
          <t xml:space="preserve">Of clients whose free-video decision is settled, the share who stayed.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4" authorId="0">
      <text>
        <r>
          <rPr>
            <sz val="10"/>
            <rFont val="Arial"/>
            <family val="2"/>
          </rPr>
          <t xml:space="preserve">Placeholder - the decision window has not been agreed yet.</t>
        </r>
      </text>
    </comment>
  </commentList>
</comments>
</file>

<file path=xl/sharedStrings.xml><?xml version="1.0" encoding="utf-8"?>
<sst xmlns="http://schemas.openxmlformats.org/spreadsheetml/2006/main" count="453" uniqueCount="355">
  <si>
    <t xml:space="preserve">YONTRO CRM</t>
  </si>
  <si>
    <t xml:space="preserve">One place for every lead – inbound or outbound – from first message to active client.</t>
  </si>
  <si>
    <t xml:space="preserve">HOW TO USE THIS SHEET</t>
  </si>
  <si>
    <t xml:space="preserve">White cells</t>
  </si>
  <si>
    <t xml:space="preserve">You type here. Most have dropdowns – pick from the list.</t>
  </si>
  <si>
    <t xml:space="preserve">Grey cells / grey headers</t>
  </si>
  <si>
    <t xml:space="preserve">Formulas. Don't type here – they calculate themselves.</t>
  </si>
  <si>
    <t xml:space="preserve">Row 2 on each tab</t>
  </si>
  <si>
    <t xml:space="preserve">An EXAMPLE row (grey italic). Overwrite or delete it once you start.</t>
  </si>
  <si>
    <t xml:space="preserve">Settings tab</t>
  </si>
  <si>
    <t xml:space="preserve">Edit dropdown lists, package prices and the rules (follow-up gap, decision window).</t>
  </si>
  <si>
    <t xml:space="preserve">Dates</t>
  </si>
  <si>
    <t xml:space="preserve">Columns marked 📅 open a calendar: double-click the cell and pick the day. Time columns have a dropdown arrow. If a calendar ever doesn't open, run the 'Add date pickers' script (see below).</t>
  </si>
  <si>
    <t xml:space="preserve">THE TABS</t>
  </si>
  <si>
    <t xml:space="preserve">Dashboard</t>
  </si>
  <si>
    <t xml:space="preserve">Daily, weekly and monthly numbers. Pick any day in the yellow cell (blank = today). Everything else is read only.</t>
  </si>
  <si>
    <t xml:space="preserve">Inbound</t>
  </si>
  <si>
    <t xml:space="preserve">Leads who came to us: website, WhatsApp, Instagram, referrals, walk-ins.  Owner: Usama</t>
  </si>
  <si>
    <t xml:space="preserve">Outbound</t>
  </si>
  <si>
    <t xml:space="preserve">Leads we went after: Apollo, LinkedIn, Google Maps.  Owner: Usama</t>
  </si>
  <si>
    <t xml:space="preserve">Clients</t>
  </si>
  <si>
    <t xml:space="preserve">Everyone who signed + paid: free video, decision window, refunds, active plan.  Owner: Lianna</t>
  </si>
  <si>
    <t xml:space="preserve">Shoots</t>
  </si>
  <si>
    <t xml:space="preserve">Every shoot – free videos and plan shoots.  Owner: Azeem</t>
  </si>
  <si>
    <t xml:space="preserve">Automations</t>
  </si>
  <si>
    <t xml:space="preserve">What connects to what (Make.com, Calendly, Apollo, Calendar). The setup checklist.</t>
  </si>
  <si>
    <t xml:space="preserve">THE PIPELINE</t>
  </si>
  <si>
    <t xml:space="preserve">Selling (Inbound / Outbound)</t>
  </si>
  <si>
    <t xml:space="preserve">New → Contacted → Replied → Meeting booked → Meeting held → Proposal sent → Contract signed + paid</t>
  </si>
  <si>
    <t xml:space="preserve">or → Closed – No response (after 4 follow-ups) / Lost</t>
  </si>
  <si>
    <t xml:space="preserve">Trial (Clients + Shoots)</t>
  </si>
  <si>
    <t xml:space="preserve">Signed + paid → Free video shot → Delivered → Decision window</t>
  </si>
  <si>
    <t xml:space="preserve">Outcome (Clients)</t>
  </si>
  <si>
    <t xml:space="preserve">Approves → Active   ·   Says nothing → Active (plan goes ahead)   ·   Backs out → Refund, keeps the video</t>
  </si>
  <si>
    <t xml:space="preserve">THE RULES WE AGREED</t>
  </si>
  <si>
    <t xml:space="preserve">Free video</t>
  </si>
  <si>
    <t xml:space="preserve">Only for clients who have signed the contract. As many as needed for onboarded clients.</t>
  </si>
  <si>
    <t xml:space="preserve">Payment</t>
  </si>
  <si>
    <t xml:space="preserve">Taken at signing.</t>
  </si>
  <si>
    <t xml:space="preserve">Backing out</t>
  </si>
  <si>
    <t xml:space="preserve">Client can back out after the free video if not satisfied → refund. They keep the free video.</t>
  </si>
  <si>
    <t xml:space="preserve">Silence after delivery</t>
  </si>
  <si>
    <t xml:space="preserve">Plan goes ahead – they have signed and paid.</t>
  </si>
  <si>
    <t xml:space="preserve">Ghosting (before contract)</t>
  </si>
  <si>
    <t xml:space="preserve">4 follow-ups, 3 days apart, each adding new value. Then stop outreach → Closed – No response.</t>
  </si>
  <si>
    <t xml:space="preserve">Repeat refunds</t>
  </si>
  <si>
    <t xml:space="preserve">A business that was refunded before is flagged ⚠ – no second free video.</t>
  </si>
  <si>
    <t xml:space="preserve">Decision window</t>
  </si>
  <si>
    <t xml:space="preserve">NOT DECIDED YET – set to 3 working days as a placeholder (Settings tab, yellow cell).</t>
  </si>
  <si>
    <t xml:space="preserve">EACH PERSON'S DAY</t>
  </si>
  <si>
    <t xml:space="preserve">Usama</t>
  </si>
  <si>
    <t xml:space="preserve">Inbound + Outbound: filter Owner = Usama and Action flag. Clear OVERDUE first, then 'Follow up today'. Reply to new inbound within 1 hour.</t>
  </si>
  <si>
    <t xml:space="preserve">Azeem</t>
  </si>
  <si>
    <t xml:space="preserve">Shoots: filter Videographer = Azeem. Update Status and Delivered date the day it happens.</t>
  </si>
  <si>
    <t xml:space="preserve">Lianna</t>
  </si>
  <si>
    <t xml:space="preserve">Clients: work every 'Decision pending' row; onboard new signings; log refunds with a reason.</t>
  </si>
  <si>
    <t xml:space="preserve">Owner</t>
  </si>
  <si>
    <t xml:space="preserve">Dashboard once a week.</t>
  </si>
  <si>
    <t xml:space="preserve">IF THE CALENDARS DON'T OPEN (one-time fix, 2 minutes)</t>
  </si>
  <si>
    <t xml:space="preserve">1</t>
  </si>
  <si>
    <t xml:space="preserve">In the Google Sheet: Extensions → Apps Script.</t>
  </si>
  <si>
    <t xml:space="preserve">2</t>
  </si>
  <si>
    <t xml:space="preserve">Delete what's there, paste the code from yontro-crm/date-pickers.gs, click Save.</t>
  </si>
  <si>
    <t xml:space="preserve">3</t>
  </si>
  <si>
    <t xml:space="preserve">Choose addDatePickers in the toolbar and click Run (allow access the first time).</t>
  </si>
  <si>
    <t xml:space="preserve">4</t>
  </si>
  <si>
    <t xml:space="preserve">Back in the sheet, double-click any 📅 cell – the calendar opens.</t>
  </si>
  <si>
    <t xml:space="preserve">AFTER A FOLLOW-UP</t>
  </si>
  <si>
    <t xml:space="preserve">Update two cells</t>
  </si>
  <si>
    <t xml:space="preserve">Last contact date = today, and Follow-ups sent +1. The sheet works out the next due date.</t>
  </si>
  <si>
    <t xml:space="preserve">YONTRO · CRM DASHBOARD</t>
  </si>
  <si>
    <t xml:space="preserve">Updates automatically from the Inbound, Outbound, Clients and Shoots tabs. Only the yellow cell is yours to change.</t>
  </si>
  <si>
    <t xml:space="preserve">Day to view 📅 (double-click)</t>
  </si>
  <si>
    <t xml:space="preserve">Leave blank to always show today</t>
  </si>
  <si>
    <t xml:space="preserve">Showing</t>
  </si>
  <si>
    <t xml:space="preserve">Week starts (Monday)</t>
  </si>
  <si>
    <t xml:space="preserve">Month starts</t>
  </si>
  <si>
    <t xml:space="preserve">DAILY  ·  the day picked above</t>
  </si>
  <si>
    <t xml:space="preserve">PIPELINE BY STAGE  ·  live</t>
  </si>
  <si>
    <t xml:space="preserve">Total</t>
  </si>
  <si>
    <t xml:space="preserve">New leads</t>
  </si>
  <si>
    <t xml:space="preserve">Leads contacted</t>
  </si>
  <si>
    <t xml:space="preserve">Follow-ups due</t>
  </si>
  <si>
    <t xml:space="preserve">Sales meetings</t>
  </si>
  <si>
    <t xml:space="preserve">Overdue follow-ups (live, as of today)</t>
  </si>
  <si>
    <t xml:space="preserve">Inbound leads still waiting for a first reply (live)</t>
  </si>
  <si>
    <t xml:space="preserve">Free videos delivered</t>
  </si>
  <si>
    <t xml:space="preserve">Client decisions due</t>
  </si>
  <si>
    <t xml:space="preserve">Contracts signed + paid</t>
  </si>
  <si>
    <t xml:space="preserve">Total leads</t>
  </si>
  <si>
    <t xml:space="preserve">Cash collected (AED)</t>
  </si>
  <si>
    <t xml:space="preserve">Refunds waiting to be paid (live)</t>
  </si>
  <si>
    <t xml:space="preserve">OPEN LEADS BY OWNER  ·  live</t>
  </si>
  <si>
    <t xml:space="preserve">Open leads</t>
  </si>
  <si>
    <t xml:space="preserve">Actions due</t>
  </si>
  <si>
    <t xml:space="preserve">THIS WEEK  ·  Monday to Sunday of the day picked</t>
  </si>
  <si>
    <t xml:space="preserve">Leads added</t>
  </si>
  <si>
    <t xml:space="preserve">Follow-ups due today or overdue (live)</t>
  </si>
  <si>
    <t xml:space="preserve">Leads to close (4 follow-ups sent)</t>
  </si>
  <si>
    <t xml:space="preserve">Avg inbound response time (hrs, all time)</t>
  </si>
  <si>
    <t xml:space="preserve">LEADS BY SOURCE (ALL TIME)</t>
  </si>
  <si>
    <t xml:space="preserve">Leads</t>
  </si>
  <si>
    <t xml:space="preserve">Signed</t>
  </si>
  <si>
    <t xml:space="preserve">THIS MONTH  ·  of the day picked</t>
  </si>
  <si>
    <t xml:space="preserve">In · Website form</t>
  </si>
  <si>
    <t xml:space="preserve">In · WhatsApp</t>
  </si>
  <si>
    <t xml:space="preserve">Cash collected at signing (AED)</t>
  </si>
  <si>
    <t xml:space="preserve">In · Instagram DM</t>
  </si>
  <si>
    <t xml:space="preserve">Refunds paid (count)</t>
  </si>
  <si>
    <t xml:space="preserve">In · Referral</t>
  </si>
  <si>
    <t xml:space="preserve">Refunds paid (AED)</t>
  </si>
  <si>
    <t xml:space="preserve">In · Walk-in</t>
  </si>
  <si>
    <t xml:space="preserve">In · Phone call</t>
  </si>
  <si>
    <t xml:space="preserve">CLIENTS  ·  live</t>
  </si>
  <si>
    <t xml:space="preserve">In · Other</t>
  </si>
  <si>
    <t xml:space="preserve">Active clients</t>
  </si>
  <si>
    <t xml:space="preserve">Out · Apollo</t>
  </si>
  <si>
    <t xml:space="preserve">Monthly recurring revenue (AED, ex VAT)</t>
  </si>
  <si>
    <t xml:space="preserve">Out · LinkedIn</t>
  </si>
  <si>
    <t xml:space="preserve">Decisions pending</t>
  </si>
  <si>
    <t xml:space="preserve">Out · Google Maps</t>
  </si>
  <si>
    <t xml:space="preserve">Free videos to schedule / in production</t>
  </si>
  <si>
    <t xml:space="preserve">Out · Instagram research</t>
  </si>
  <si>
    <t xml:space="preserve">Trial-to-active rate</t>
  </si>
  <si>
    <t xml:space="preserve">Out · Event / networking</t>
  </si>
  <si>
    <t xml:space="preserve">Signed but payment not logged</t>
  </si>
  <si>
    <t xml:space="preserve">Out · Other</t>
  </si>
  <si>
    <t xml:space="preserve">Lead ID</t>
  </si>
  <si>
    <t xml:space="preserve">Date received 📅</t>
  </si>
  <si>
    <t xml:space="preserve">Time received</t>
  </si>
  <si>
    <t xml:space="preserve">Source</t>
  </si>
  <si>
    <t xml:space="preserve">Business name</t>
  </si>
  <si>
    <t xml:space="preserve">Industry</t>
  </si>
  <si>
    <t xml:space="preserve">Contact name</t>
  </si>
  <si>
    <t xml:space="preserve">Role</t>
  </si>
  <si>
    <t xml:space="preserve">Phone / WhatsApp</t>
  </si>
  <si>
    <t xml:space="preserve">Email</t>
  </si>
  <si>
    <t xml:space="preserve">Instagram</t>
  </si>
  <si>
    <t xml:space="preserve">Area</t>
  </si>
  <si>
    <t xml:space="preserve">Wants more of</t>
  </si>
  <si>
    <t xml:space="preserve">First response date 📅</t>
  </si>
  <si>
    <t xml:space="preserve">First response time</t>
  </si>
  <si>
    <t xml:space="preserve">Response time (hrs)</t>
  </si>
  <si>
    <t xml:space="preserve">Stage</t>
  </si>
  <si>
    <t xml:space="preserve">Last contact date 📅</t>
  </si>
  <si>
    <t xml:space="preserve">Follow-ups sent (0-4)</t>
  </si>
  <si>
    <t xml:space="preserve">Next follow-up due</t>
  </si>
  <si>
    <t xml:space="preserve">Meeting date 📅</t>
  </si>
  <si>
    <t xml:space="preserve">Meeting time</t>
  </si>
  <si>
    <t xml:space="preserve">Package discussed</t>
  </si>
  <si>
    <t xml:space="preserve">Lost / closed reason</t>
  </si>
  <si>
    <t xml:space="preserve">Notes</t>
  </si>
  <si>
    <t xml:space="preserve">Days open</t>
  </si>
  <si>
    <t xml:space="preserve">Action flag</t>
  </si>
  <si>
    <t xml:space="preserve">IN-0001</t>
  </si>
  <si>
    <t xml:space="preserve">Website form</t>
  </si>
  <si>
    <t xml:space="preserve">Pulse Fitness Club (EXAMPLE)</t>
  </si>
  <si>
    <t xml:space="preserve">Fitness / wellness</t>
  </si>
  <si>
    <t xml:space="preserve">Sara M.</t>
  </si>
  <si>
    <t xml:space="preserve">+971 50 000 0000</t>
  </si>
  <si>
    <t xml:space="preserve">sara@example.com</t>
  </si>
  <si>
    <t xml:space="preserve">@pulse.fitness.jlt</t>
  </si>
  <si>
    <t xml:space="preserve">JLT</t>
  </si>
  <si>
    <t xml:space="preserve">Enquiries and bookings</t>
  </si>
  <si>
    <t xml:space="preserve">Proposal sent</t>
  </si>
  <si>
    <t xml:space="preserve">Growth</t>
  </si>
  <si>
    <t xml:space="preserve">Example row – overwrite or delete.</t>
  </si>
  <si>
    <t xml:space="preserve">Date added 📅</t>
  </si>
  <si>
    <t xml:space="preserve">LinkedIn</t>
  </si>
  <si>
    <t xml:space="preserve">Apollo list / campaign</t>
  </si>
  <si>
    <t xml:space="preserve">OUT-0001</t>
  </si>
  <si>
    <t xml:space="preserve">Apollo</t>
  </si>
  <si>
    <t xml:space="preserve">Marina Bites Café (EXAMPLE)</t>
  </si>
  <si>
    <t xml:space="preserve">Hospitality / F&amp;B</t>
  </si>
  <si>
    <t xml:space="preserve">Omar K.</t>
  </si>
  <si>
    <t xml:space="preserve">Marketing manager</t>
  </si>
  <si>
    <t xml:space="preserve">+971 55 000 0000</t>
  </si>
  <si>
    <t xml:space="preserve">omar@example.com</t>
  </si>
  <si>
    <t xml:space="preserve">@marinabites</t>
  </si>
  <si>
    <t xml:space="preserve">linkedin.com/in/example</t>
  </si>
  <si>
    <t xml:space="preserve">Dubai Marina</t>
  </si>
  <si>
    <t xml:space="preserve">F&amp;B – Marina – Oct 26</t>
  </si>
  <si>
    <t xml:space="preserve">Replied</t>
  </si>
  <si>
    <t xml:space="preserve">Launch</t>
  </si>
  <si>
    <t xml:space="preserve">Client ID</t>
  </si>
  <si>
    <t xml:space="preserve">Package</t>
  </si>
  <si>
    <t xml:space="preserve">Monthly fee (AED)</t>
  </si>
  <si>
    <t xml:space="preserve">Contract signed date 📅</t>
  </si>
  <si>
    <t xml:space="preserve">Amount paid (AED)</t>
  </si>
  <si>
    <t xml:space="preserve">Payment method</t>
  </si>
  <si>
    <t xml:space="preserve">Free video shoot date 📅</t>
  </si>
  <si>
    <t xml:space="preserve">Free video delivered 📅</t>
  </si>
  <si>
    <t xml:space="preserve">Decision deadline</t>
  </si>
  <si>
    <t xml:space="preserve">Client decision</t>
  </si>
  <si>
    <t xml:space="preserve">Status</t>
  </si>
  <si>
    <t xml:space="preserve">Back-out reason</t>
  </si>
  <si>
    <t xml:space="preserve">Refund status</t>
  </si>
  <si>
    <t xml:space="preserve">Refund amount (AED)</t>
  </si>
  <si>
    <t xml:space="preserve">Refund date 📅</t>
  </si>
  <si>
    <t xml:space="preserve">Plan start date 📅</t>
  </si>
  <si>
    <t xml:space="preserve">Minimum term ends</t>
  </si>
  <si>
    <t xml:space="preserve">Account manager</t>
  </si>
  <si>
    <t xml:space="preserve">Videographer</t>
  </si>
  <si>
    <t xml:space="preserve">CL-0001</t>
  </si>
  <si>
    <t xml:space="preserve">Example Salon (EXAMPLE)</t>
  </si>
  <si>
    <t xml:space="preserve">Layla K.</t>
  </si>
  <si>
    <t xml:space="preserve">+971 52 000 0000</t>
  </si>
  <si>
    <t xml:space="preserve">layla@example.com</t>
  </si>
  <si>
    <t xml:space="preserve">@examplesalon</t>
  </si>
  <si>
    <t xml:space="preserve">Bank transfer</t>
  </si>
  <si>
    <t xml:space="preserve">Pending</t>
  </si>
  <si>
    <t xml:space="preserve">Example row – overwrite or delete. Paid = AED 7,500 + 5% VAT.</t>
  </si>
  <si>
    <t xml:space="preserve">Shoot ID</t>
  </si>
  <si>
    <t xml:space="preserve">Shoot type</t>
  </si>
  <si>
    <t xml:space="preserve">Shoot date 📅</t>
  </si>
  <si>
    <t xml:space="preserve">Time</t>
  </si>
  <si>
    <t xml:space="preserve">Location</t>
  </si>
  <si>
    <t xml:space="preserve">Delivered date 📅</t>
  </si>
  <si>
    <t xml:space="preserve">Revision rounds used</t>
  </si>
  <si>
    <t xml:space="preserve">Video link</t>
  </si>
  <si>
    <t xml:space="preserve">Flag</t>
  </si>
  <si>
    <t xml:space="preserve">SH-0001</t>
  </si>
  <si>
    <t xml:space="preserve">Client salon, Jumeirah</t>
  </si>
  <si>
    <t xml:space="preserve">Delivered</t>
  </si>
  <si>
    <t xml:space="preserve">#</t>
  </si>
  <si>
    <t xml:space="preserve">When this happens…</t>
  </si>
  <si>
    <t xml:space="preserve">App</t>
  </si>
  <si>
    <t xml:space="preserve">…this happens automatically</t>
  </si>
  <si>
    <t xml:space="preserve">Writes to (tab → columns)</t>
  </si>
  <si>
    <t xml:space="preserve">Phase</t>
  </si>
  <si>
    <t xml:space="preserve">Website form submitted</t>
  </si>
  <si>
    <t xml:space="preserve">yontro.ae → Make.com</t>
  </si>
  <si>
    <t xml:space="preserve">Add row, Source = Website form, Stage = New; alert Usama on WhatsApp</t>
  </si>
  <si>
    <t xml:space="preserve">Inbound → Lead ID, Date received, Time received, Source, Business, Contact, Phone, Instagram, Wants more of</t>
  </si>
  <si>
    <t xml:space="preserve">Calendly meeting booked</t>
  </si>
  <si>
    <t xml:space="preserve">Calendly → Make.com</t>
  </si>
  <si>
    <t xml:space="preserve">Find lead by email/phone; set Stage = Meeting booked, Meeting date and Meeting time; reminder 24h before</t>
  </si>
  <si>
    <t xml:space="preserve">Inbound / Outbound → Stage, Meeting date, Meeting time</t>
  </si>
  <si>
    <t xml:space="preserve">Prospects saved to an Apollo list</t>
  </si>
  <si>
    <t xml:space="preserve">Apollo → Make.com</t>
  </si>
  <si>
    <t xml:space="preserve">Add rows, skip duplicates by email or phone; Stage = New</t>
  </si>
  <si>
    <t xml:space="preserve">Outbound → Lead ID, Date added, Source, Business…Apollo list</t>
  </si>
  <si>
    <t xml:space="preserve">Prospect replies to an Apollo sequence</t>
  </si>
  <si>
    <t xml:space="preserve">Set Stage = Replied; Last contact date = today</t>
  </si>
  <si>
    <t xml:space="preserve">Outbound → Stage, Last contact date</t>
  </si>
  <si>
    <t xml:space="preserve">Stage set to Contract signed + paid</t>
  </si>
  <si>
    <t xml:space="preserve">Sheets → Make.com</t>
  </si>
  <si>
    <t xml:space="preserve">Create Clients row and a Free video row in Shoots; send Lianna the onboarding checklist</t>
  </si>
  <si>
    <t xml:space="preserve">Clients → Client ID…Amount paid; Shoots → Shoot ID, Client ID, Shoot type</t>
  </si>
  <si>
    <t xml:space="preserve">Shoot date entered</t>
  </si>
  <si>
    <t xml:space="preserve">Sheets → Google Calendar</t>
  </si>
  <si>
    <t xml:space="preserve">Create event on Azeem's calendar with location; reminder to client the day before</t>
  </si>
  <si>
    <t xml:space="preserve">(calendar only)</t>
  </si>
  <si>
    <t xml:space="preserve">Free video delivered</t>
  </si>
  <si>
    <t xml:space="preserve">Decision window starts; Lianna nudged halfway; Usama alerted on deadline day</t>
  </si>
  <si>
    <t xml:space="preserve">(reads Clients → Free video delivered, Decision deadline)</t>
  </si>
  <si>
    <t xml:space="preserve">WhatsApp message from a new number</t>
  </si>
  <si>
    <t xml:space="preserve">WhatsApp Business API (e.g. Wati) → Make.com</t>
  </si>
  <si>
    <t xml:space="preserve">Add row, Source = WhatsApp; auto-reply with Calendly meeting link</t>
  </si>
  <si>
    <t xml:space="preserve">Inbound → Date received, Source, Phone, Stage</t>
  </si>
  <si>
    <t xml:space="preserve">Instagram DM or comment keyword</t>
  </si>
  <si>
    <t xml:space="preserve">ManyChat → Make.com</t>
  </si>
  <si>
    <t xml:space="preserve">Add row, Source = Instagram DM; reply with meeting link</t>
  </si>
  <si>
    <t xml:space="preserve">Inbound → Date received, Source, Instagram, Stage</t>
  </si>
  <si>
    <t xml:space="preserve">Every morning 8:00</t>
  </si>
  <si>
    <t xml:space="preserve">Apps Script / Make.com</t>
  </si>
  <si>
    <t xml:space="preserve">Message each owner their 'Follow up today' and 'OVERDUE' rows</t>
  </si>
  <si>
    <t xml:space="preserve">(reads Action flag)</t>
  </si>
  <si>
    <t xml:space="preserve">Rules that keep it clean</t>
  </si>
  <si>
    <t xml:space="preserve">• Each column has ONE writer: an app or a person, never both. Grey columns are formulas – nobody types there.</t>
  </si>
  <si>
    <t xml:space="preserve">• Every lead gets a Lead ID (IN-0001 / OUT-0001). Phone or email is the duplicate check.</t>
  </si>
  <si>
    <t xml:space="preserve">• Phase 1 = website form, Calendly, Apollo, Clients, Calendar. Add WhatsApp and Instagram once phase 1 runs smoothly.</t>
  </si>
  <si>
    <t xml:space="preserve">Lead stages</t>
  </si>
  <si>
    <t xml:space="preserve">Inbound sources</t>
  </si>
  <si>
    <t xml:space="preserve">Outbound sources</t>
  </si>
  <si>
    <t xml:space="preserve">Industries</t>
  </si>
  <si>
    <t xml:space="preserve">Team</t>
  </si>
  <si>
    <t xml:space="preserve">Monthly fee (AED, ex VAT)</t>
  </si>
  <si>
    <t xml:space="preserve">Videos / month</t>
  </si>
  <si>
    <t xml:space="preserve">Payment methods</t>
  </si>
  <si>
    <t xml:space="preserve">Back-out reasons</t>
  </si>
  <si>
    <t xml:space="preserve">Shoot types</t>
  </si>
  <si>
    <t xml:space="preserve">Shoot status</t>
  </si>
  <si>
    <t xml:space="preserve">Lost / closed reasons</t>
  </si>
  <si>
    <t xml:space="preserve">Shoot times</t>
  </si>
  <si>
    <t xml:space="preserve">Rule</t>
  </si>
  <si>
    <t xml:space="preserve">Value</t>
  </si>
  <si>
    <t xml:space="preserve">Times (all day)</t>
  </si>
  <si>
    <t xml:space="preserve">New</t>
  </si>
  <si>
    <t xml:space="preserve">Video style</t>
  </si>
  <si>
    <t xml:space="preserve">Requested</t>
  </si>
  <si>
    <t xml:space="preserve">Scheduled</t>
  </si>
  <si>
    <t xml:space="preserve">No response (4 follow-ups)</t>
  </si>
  <si>
    <t xml:space="preserve">Walk-in customers</t>
  </si>
  <si>
    <t xml:space="preserve">Follow-up gap (days)</t>
  </si>
  <si>
    <t xml:space="preserve">Your rule: follow up every 3 days after a lead goes quiet.</t>
  </si>
  <si>
    <t xml:space="preserve">Contacted</t>
  </si>
  <si>
    <t xml:space="preserve">WhatsApp</t>
  </si>
  <si>
    <t xml:space="preserve">Retail</t>
  </si>
  <si>
    <t xml:space="preserve">Card</t>
  </si>
  <si>
    <t xml:space="preserve">Approved</t>
  </si>
  <si>
    <t xml:space="preserve">Price</t>
  </si>
  <si>
    <t xml:space="preserve">Plan shoot</t>
  </si>
  <si>
    <t xml:space="preserve">Shot</t>
  </si>
  <si>
    <t xml:space="preserve">Max follow-ups before closing</t>
  </si>
  <si>
    <t xml:space="preserve">Your rule: 4 follow-ups, each with new value, then stop outreach.</t>
  </si>
  <si>
    <t xml:space="preserve">Instagram DM</t>
  </si>
  <si>
    <t xml:space="preserve">Google Maps</t>
  </si>
  <si>
    <t xml:space="preserve">Real estate</t>
  </si>
  <si>
    <t xml:space="preserve">Scale</t>
  </si>
  <si>
    <t xml:space="preserve">Cheque</t>
  </si>
  <si>
    <t xml:space="preserve">Backed out</t>
  </si>
  <si>
    <t xml:space="preserve">Timing</t>
  </si>
  <si>
    <t xml:space="preserve">Paid</t>
  </si>
  <si>
    <t xml:space="preserve">Add-on</t>
  </si>
  <si>
    <t xml:space="preserve">Editing</t>
  </si>
  <si>
    <t xml:space="preserve">Not ready</t>
  </si>
  <si>
    <t xml:space="preserve">Online sales</t>
  </si>
  <si>
    <t xml:space="preserve">Decision window after free video (working days)</t>
  </si>
  <si>
    <t xml:space="preserve">NOT DECIDED YET - placeholder of 3 working days. Change this one cell and every deadline updates.</t>
  </si>
  <si>
    <t xml:space="preserve">Meeting booked</t>
  </si>
  <si>
    <t xml:space="preserve">Referral</t>
  </si>
  <si>
    <t xml:space="preserve">Instagram research</t>
  </si>
  <si>
    <t xml:space="preserve">Entertainment</t>
  </si>
  <si>
    <t xml:space="preserve">Cash</t>
  </si>
  <si>
    <t xml:space="preserve">Changed mind</t>
  </si>
  <si>
    <t xml:space="preserve">Event coverage</t>
  </si>
  <si>
    <t xml:space="preserve">Sent for approval</t>
  </si>
  <si>
    <t xml:space="preserve">Went with competitor</t>
  </si>
  <si>
    <t xml:space="preserve">Followers and reach</t>
  </si>
  <si>
    <t xml:space="preserve">Free video delivery promise (working days)</t>
  </si>
  <si>
    <t xml:space="preserve">From the website: delivered within five working days.</t>
  </si>
  <si>
    <t xml:space="preserve">Meeting held</t>
  </si>
  <si>
    <t xml:space="preserve">Walk-in</t>
  </si>
  <si>
    <t xml:space="preserve">Event / networking</t>
  </si>
  <si>
    <t xml:space="preserve">Source: yontro.ae Packages section. Prices exclude 5% VAT.</t>
  </si>
  <si>
    <t xml:space="preserve">Payment link</t>
  </si>
  <si>
    <t xml:space="preserve">Business issue</t>
  </si>
  <si>
    <t xml:space="preserve">In-house team</t>
  </si>
  <si>
    <t xml:space="preserve">A better-looking brand</t>
  </si>
  <si>
    <t xml:space="preserve">Minimum term (months)</t>
  </si>
  <si>
    <t xml:space="preserve">From the website: three-month minimum, then month to month.</t>
  </si>
  <si>
    <t xml:space="preserve">Phone call</t>
  </si>
  <si>
    <t xml:space="preserve">Other</t>
  </si>
  <si>
    <t xml:space="preserve">Beauty / salon</t>
  </si>
  <si>
    <t xml:space="preserve">Posted</t>
  </si>
  <si>
    <t xml:space="preserve">Not a fit</t>
  </si>
  <si>
    <t xml:space="preserve">Max revision rounds per video</t>
  </si>
  <si>
    <t xml:space="preserve">From the website FAQ: two rounds of changes included.</t>
  </si>
  <si>
    <t xml:space="preserve">Contract signed + paid</t>
  </si>
  <si>
    <t xml:space="preserve">Clinic / healthcare</t>
  </si>
  <si>
    <t xml:space="preserve">Closed – No response</t>
  </si>
  <si>
    <t xml:space="preserve">Education</t>
  </si>
  <si>
    <t xml:space="preserve">Lost</t>
  </si>
  <si>
    <t xml:space="preserve">Automotive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</si>
</sst>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d\ dd\-mmm\-yy"/>
    <numFmt numFmtId="166" formatCode="0"/>
    <numFmt numFmtId="167" formatCode="General"/>
    <numFmt numFmtId="168" formatCode="#,##0"/>
    <numFmt numFmtId="169" formatCode="0.0"/>
    <numFmt numFmtId="170" formatCode="0%"/>
    <numFmt numFmtId="171" formatCode="hh:mm"/>
    <numFmt numFmtId="172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0B0B"/>
      <name val="Arial"/>
      <family val="0"/>
      <charset val="1"/>
    </font>
    <font>
      <i val="true"/>
      <sz val="11"/>
      <color rgb="FF6B66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B0B0B"/>
      <name val="Arial"/>
      <family val="0"/>
      <charset val="1"/>
    </font>
    <font>
      <i val="true"/>
      <sz val="10"/>
      <color rgb="FF6B66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B665F"/>
      <name val="Arial"/>
      <family val="0"/>
      <charset val="1"/>
    </font>
    <font>
      <b val="true"/>
      <sz val="9"/>
      <color rgb="FF6B665F"/>
      <name val="Arial"/>
      <family val="0"/>
      <charset val="1"/>
    </font>
    <font>
      <b val="true"/>
      <sz val="12"/>
      <color rgb="FF0B0B0B"/>
      <name val="Arial"/>
      <family val="0"/>
      <charset val="1"/>
    </font>
    <font>
      <b val="true"/>
      <sz val="12"/>
      <color rgb="FFFF5A1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5A1F"/>
        <bgColor rgb="FFEF6C00"/>
      </patternFill>
    </fill>
    <fill>
      <patternFill patternType="solid">
        <fgColor rgb="FFFFFF00"/>
        <bgColor rgb="FFFFFF00"/>
      </patternFill>
    </fill>
    <fill>
      <patternFill patternType="solid">
        <fgColor rgb="FF0B0B0B"/>
        <bgColor rgb="FF000000"/>
      </patternFill>
    </fill>
    <fill>
      <patternFill patternType="solid">
        <fgColor rgb="FF4A4744"/>
        <bgColor rgb="FF4B2E83"/>
      </patternFill>
    </fill>
    <fill>
      <patternFill patternType="solid">
        <fgColor rgb="FFF4F2EE"/>
        <bgColor rgb="FFE6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0B0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665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A4744"/>
          <bgColor rgb="FF000000"/>
        </patternFill>
      </fill>
    </dxf>
    <dxf>
      <fill>
        <patternFill patternType="solid">
          <fgColor rgb="FFF4F2EE"/>
          <bgColor rgb="FF000000"/>
        </patternFill>
      </fill>
    </dxf>
    <dxf>
      <fill>
        <patternFill patternType="solid">
          <fgColor rgb="FFFFE3B3"/>
          <bgColor rgb="FF000000"/>
        </patternFill>
      </fill>
    </dxf>
    <dxf>
      <fill>
        <patternFill>
          <bgColor rgb="FFDFF3E3"/>
        </patternFill>
      </fill>
    </dxf>
    <dxf>
      <font>
        <name val="Arial"/>
        <charset val="1"/>
        <family val="0"/>
        <color rgb="FF9A958E"/>
      </font>
    </dxf>
    <dxf>
      <font>
        <name val="Arial"/>
        <charset val="1"/>
        <family val="0"/>
        <b val="1"/>
        <color rgb="FF9B1C1C"/>
      </font>
      <fill>
        <patternFill>
          <bgColor rgb="FFFAD4D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5A1F"/>
        </patternFill>
      </fill>
    </dxf>
    <dxf>
      <font>
        <name val="Arial"/>
        <charset val="1"/>
        <family val="0"/>
        <b val="1"/>
      </font>
      <fill>
        <patternFill>
          <bgColor rgb="FFFFE3B3"/>
        </patternFill>
      </fill>
    </dxf>
    <dxf>
      <font>
        <name val="Arial"/>
        <charset val="1"/>
        <family val="0"/>
        <b val="1"/>
        <color rgb="FF4B2E83"/>
      </font>
      <fill>
        <patternFill>
          <bgColor rgb="FFE4DCF2"/>
        </patternFill>
      </fill>
    </dxf>
    <dxf>
      <fill>
        <patternFill>
          <bgColor rgb="FFE6F0FA"/>
        </patternFill>
      </fill>
    </dxf>
    <dxf>
      <fill>
        <patternFill patternType="solid">
          <fgColor rgb="FFFF5A1F"/>
          <bgColor rgb="FF000000"/>
        </patternFill>
      </fill>
    </dxf>
    <dxf>
      <font>
        <name val="Arial"/>
        <charset val="1"/>
        <family val="0"/>
        <b val="1"/>
        <color rgb="FF1E6B3A"/>
      </font>
      <fill>
        <patternFill>
          <bgColor rgb="FFDFF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6A1B9A"/>
      <rgbColor rgb="FF008080"/>
      <rgbColor rgb="FFD9D6D0"/>
      <rgbColor rgb="FF757575"/>
      <rgbColor rgb="FF9E9E9E"/>
      <rgbColor rgb="FF993366"/>
      <rgbColor rgb="FFF4F2EE"/>
      <rgbColor rgb="FFE6F0FA"/>
      <rgbColor rgb="FF660066"/>
      <rgbColor rgb="FFFF5A1F"/>
      <rgbColor rgb="FF1565C0"/>
      <rgbColor rgb="FFE4DC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3"/>
      <rgbColor rgb="FFFAD4D4"/>
      <rgbColor rgb="FF99CCFF"/>
      <rgbColor rgb="FFFF99CC"/>
      <rgbColor rgb="FFCC99FF"/>
      <rgbColor rgb="FFFFE3B3"/>
      <rgbColor rgb="FF3366FF"/>
      <rgbColor rgb="FF33CCCC"/>
      <rgbColor rgb="FF99CC00"/>
      <rgbColor rgb="FFFFCC00"/>
      <rgbColor rgb="FFFF9900"/>
      <rgbColor rgb="FFEF6C00"/>
      <rgbColor rgb="FF6B665F"/>
      <rgbColor rgb="FF9A958E"/>
      <rgbColor rgb="FF003366"/>
      <rgbColor rgb="FF2E7D32"/>
      <rgbColor rgb="FF0B0B0B"/>
      <rgbColor rgb="FF333300"/>
      <rgbColor rgb="FF9B1C1C"/>
      <rgbColor rgb="FF993366"/>
      <rgbColor rgb="FF4B2E83"/>
      <rgbColor rgb="FF4A4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A1F"/>
    <pageSetUpPr fitToPage="false"/>
  </sheetPr>
  <dimension ref="B1:C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5" t="s">
        <v>5</v>
      </c>
      <c r="C6" s="6" t="s">
        <v>6</v>
      </c>
    </row>
    <row r="7" customFormat="false" ht="15" hidden="false" customHeight="false" outlineLevel="0" collapsed="false">
      <c r="B7" s="5" t="s">
        <v>7</v>
      </c>
      <c r="C7" s="6" t="s">
        <v>8</v>
      </c>
    </row>
    <row r="8" customFormat="false" ht="15" hidden="false" customHeight="false" outlineLevel="0" collapsed="false">
      <c r="B8" s="5" t="s">
        <v>9</v>
      </c>
      <c r="C8" s="6" t="s">
        <v>10</v>
      </c>
    </row>
    <row r="9" customFormat="false" ht="23.85" hidden="false" customHeight="false" outlineLevel="0" collapsed="false">
      <c r="B9" s="5" t="s">
        <v>11</v>
      </c>
      <c r="C9" s="6" t="s">
        <v>12</v>
      </c>
    </row>
    <row r="11" customFormat="false" ht="15" hidden="false" customHeight="false" outlineLevel="0" collapsed="false">
      <c r="B11" s="3" t="s">
        <v>13</v>
      </c>
      <c r="C11" s="4"/>
    </row>
    <row r="12" customFormat="false" ht="15" hidden="false" customHeight="false" outlineLevel="0" collapsed="false">
      <c r="B12" s="5" t="s">
        <v>14</v>
      </c>
      <c r="C12" s="6" t="s">
        <v>15</v>
      </c>
    </row>
    <row r="13" customFormat="false" ht="15" hidden="false" customHeight="false" outlineLevel="0" collapsed="false">
      <c r="B13" s="5" t="s">
        <v>16</v>
      </c>
      <c r="C13" s="6" t="s">
        <v>17</v>
      </c>
    </row>
    <row r="14" customFormat="false" ht="15" hidden="false" customHeight="false" outlineLevel="0" collapsed="false">
      <c r="B14" s="5" t="s">
        <v>18</v>
      </c>
      <c r="C14" s="6" t="s">
        <v>19</v>
      </c>
    </row>
    <row r="15" customFormat="false" ht="15" hidden="false" customHeight="false" outlineLevel="0" collapsed="false">
      <c r="B15" s="5" t="s">
        <v>20</v>
      </c>
      <c r="C15" s="6" t="s">
        <v>21</v>
      </c>
    </row>
    <row r="16" customFormat="false" ht="15" hidden="false" customHeight="false" outlineLevel="0" collapsed="false">
      <c r="B16" s="5" t="s">
        <v>22</v>
      </c>
      <c r="C16" s="6" t="s">
        <v>23</v>
      </c>
    </row>
    <row r="17" customFormat="false" ht="15" hidden="false" customHeight="false" outlineLevel="0" collapsed="false">
      <c r="B17" s="5" t="s">
        <v>24</v>
      </c>
      <c r="C17" s="6" t="s">
        <v>25</v>
      </c>
    </row>
    <row r="19" customFormat="false" ht="15" hidden="false" customHeight="false" outlineLevel="0" collapsed="false">
      <c r="B19" s="3" t="s">
        <v>26</v>
      </c>
      <c r="C19" s="4"/>
    </row>
    <row r="20" customFormat="false" ht="15" hidden="false" customHeight="false" outlineLevel="0" collapsed="false">
      <c r="B20" s="5" t="s">
        <v>27</v>
      </c>
      <c r="C20" s="6" t="s">
        <v>28</v>
      </c>
    </row>
    <row r="21" customFormat="false" ht="15" hidden="false" customHeight="false" outlineLevel="0" collapsed="false">
      <c r="B21" s="5"/>
      <c r="C21" s="6" t="s">
        <v>29</v>
      </c>
    </row>
    <row r="22" customFormat="false" ht="15" hidden="false" customHeight="false" outlineLevel="0" collapsed="false">
      <c r="B22" s="5" t="s">
        <v>30</v>
      </c>
      <c r="C22" s="6" t="s">
        <v>31</v>
      </c>
    </row>
    <row r="23" customFormat="false" ht="15" hidden="false" customHeight="false" outlineLevel="0" collapsed="false">
      <c r="B23" s="5" t="s">
        <v>32</v>
      </c>
      <c r="C23" s="6" t="s">
        <v>33</v>
      </c>
    </row>
    <row r="25" customFormat="false" ht="15" hidden="false" customHeight="false" outlineLevel="0" collapsed="false">
      <c r="B25" s="3" t="s">
        <v>34</v>
      </c>
      <c r="C25" s="4"/>
    </row>
    <row r="26" customFormat="false" ht="15" hidden="false" customHeight="false" outlineLevel="0" collapsed="false">
      <c r="B26" s="5" t="s">
        <v>35</v>
      </c>
      <c r="C26" s="6" t="s">
        <v>36</v>
      </c>
    </row>
    <row r="27" customFormat="false" ht="15" hidden="false" customHeight="false" outlineLevel="0" collapsed="false">
      <c r="B27" s="5" t="s">
        <v>37</v>
      </c>
      <c r="C27" s="6" t="s">
        <v>38</v>
      </c>
    </row>
    <row r="28" customFormat="false" ht="15" hidden="false" customHeight="false" outlineLevel="0" collapsed="false">
      <c r="B28" s="5" t="s">
        <v>39</v>
      </c>
      <c r="C28" s="6" t="s">
        <v>40</v>
      </c>
    </row>
    <row r="29" customFormat="false" ht="15" hidden="false" customHeight="false" outlineLevel="0" collapsed="false">
      <c r="B29" s="5" t="s">
        <v>41</v>
      </c>
      <c r="C29" s="6" t="s">
        <v>42</v>
      </c>
    </row>
    <row r="30" customFormat="false" ht="15" hidden="false" customHeight="false" outlineLevel="0" collapsed="false">
      <c r="B30" s="5" t="s">
        <v>43</v>
      </c>
      <c r="C30" s="6" t="s">
        <v>44</v>
      </c>
    </row>
    <row r="31" customFormat="false" ht="15" hidden="false" customHeight="false" outlineLevel="0" collapsed="false">
      <c r="B31" s="5" t="s">
        <v>45</v>
      </c>
      <c r="C31" s="6" t="s">
        <v>46</v>
      </c>
    </row>
    <row r="32" customFormat="false" ht="15" hidden="false" customHeight="false" outlineLevel="0" collapsed="false">
      <c r="B32" s="5" t="s">
        <v>47</v>
      </c>
      <c r="C32" s="7" t="s">
        <v>48</v>
      </c>
    </row>
    <row r="34" customFormat="false" ht="15" hidden="false" customHeight="false" outlineLevel="0" collapsed="false">
      <c r="B34" s="3" t="s">
        <v>49</v>
      </c>
      <c r="C34" s="4"/>
    </row>
    <row r="35" customFormat="false" ht="23.85" hidden="false" customHeight="false" outlineLevel="0" collapsed="false">
      <c r="B35" s="5" t="s">
        <v>50</v>
      </c>
      <c r="C35" s="6" t="s">
        <v>51</v>
      </c>
    </row>
    <row r="36" customFormat="false" ht="15" hidden="false" customHeight="false" outlineLevel="0" collapsed="false">
      <c r="B36" s="5" t="s">
        <v>52</v>
      </c>
      <c r="C36" s="6" t="s">
        <v>53</v>
      </c>
    </row>
    <row r="37" customFormat="false" ht="15" hidden="false" customHeight="false" outlineLevel="0" collapsed="false">
      <c r="B37" s="5" t="s">
        <v>54</v>
      </c>
      <c r="C37" s="6" t="s">
        <v>55</v>
      </c>
    </row>
    <row r="38" customFormat="false" ht="15" hidden="false" customHeight="false" outlineLevel="0" collapsed="false">
      <c r="B38" s="5" t="s">
        <v>56</v>
      </c>
      <c r="C38" s="6" t="s">
        <v>57</v>
      </c>
    </row>
    <row r="40" customFormat="false" ht="15" hidden="false" customHeight="false" outlineLevel="0" collapsed="false">
      <c r="B40" s="3" t="s">
        <v>58</v>
      </c>
      <c r="C40" s="4"/>
    </row>
    <row r="41" customFormat="false" ht="15" hidden="false" customHeight="false" outlineLevel="0" collapsed="false">
      <c r="B41" s="5" t="s">
        <v>59</v>
      </c>
      <c r="C41" s="6" t="s">
        <v>60</v>
      </c>
    </row>
    <row r="42" customFormat="false" ht="15" hidden="false" customHeight="false" outlineLevel="0" collapsed="false">
      <c r="B42" s="5" t="s">
        <v>61</v>
      </c>
      <c r="C42" s="6" t="s">
        <v>62</v>
      </c>
    </row>
    <row r="43" customFormat="false" ht="15" hidden="false" customHeight="false" outlineLevel="0" collapsed="false">
      <c r="B43" s="5" t="s">
        <v>63</v>
      </c>
      <c r="C43" s="6" t="s">
        <v>64</v>
      </c>
    </row>
    <row r="44" customFormat="false" ht="15" hidden="false" customHeight="false" outlineLevel="0" collapsed="false">
      <c r="B44" s="5" t="s">
        <v>65</v>
      </c>
      <c r="C44" s="6" t="s">
        <v>66</v>
      </c>
    </row>
    <row r="46" customFormat="false" ht="15" hidden="false" customHeight="false" outlineLevel="0" collapsed="false">
      <c r="B46" s="3" t="s">
        <v>67</v>
      </c>
      <c r="C46" s="4"/>
    </row>
    <row r="47" customFormat="false" ht="15" hidden="false" customHeight="false" outlineLevel="0" collapsed="false">
      <c r="B47" s="5" t="s">
        <v>68</v>
      </c>
      <c r="C47" s="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0B0B"/>
    <pageSetUpPr fitToPage="false"/>
  </sheetPr>
  <dimension ref="B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10" min="8" style="0" width="14"/>
  </cols>
  <sheetData>
    <row r="1" customFormat="false" ht="22.05" hidden="false" customHeight="false" outlineLevel="0" collapsed="false">
      <c r="B1" s="8" t="s">
        <v>70</v>
      </c>
    </row>
    <row r="2" customFormat="false" ht="15" hidden="false" customHeight="false" outlineLevel="0" collapsed="false">
      <c r="B2" s="9" t="s">
        <v>71</v>
      </c>
    </row>
    <row r="3" customFormat="false" ht="15" hidden="false" customHeight="false" outlineLevel="0" collapsed="false">
      <c r="B3" s="10" t="s">
        <v>72</v>
      </c>
      <c r="C3" s="11"/>
      <c r="D3" s="12" t="s">
        <v>73</v>
      </c>
    </row>
    <row r="4" customFormat="false" ht="15" hidden="false" customHeight="false" outlineLevel="0" collapsed="false">
      <c r="B4" s="10" t="s">
        <v>74</v>
      </c>
      <c r="C4" s="13" t="n">
        <f aca="true">IF(C3="",TODAY(),C3)</f>
        <v>46315</v>
      </c>
    </row>
    <row r="5" customFormat="false" ht="15" hidden="false" customHeight="false" outlineLevel="0" collapsed="false">
      <c r="B5" s="10" t="s">
        <v>75</v>
      </c>
      <c r="C5" s="13" t="n">
        <f aca="false">C4-WEEKDAY(C4,2)+1</f>
        <v>46314</v>
      </c>
    </row>
    <row r="6" customFormat="false" ht="15" hidden="false" customHeight="false" outlineLevel="0" collapsed="false">
      <c r="B6" s="10" t="s">
        <v>76</v>
      </c>
      <c r="C6" s="13" t="n">
        <f aca="false">DATE(YEAR(C4),MONTH(C4),1)</f>
        <v>46296</v>
      </c>
    </row>
    <row r="8" customFormat="false" ht="15" hidden="false" customHeight="false" outlineLevel="0" collapsed="false">
      <c r="B8" s="14" t="s">
        <v>77</v>
      </c>
      <c r="C8" s="15"/>
      <c r="D8" s="15"/>
      <c r="E8" s="15"/>
      <c r="G8" s="14" t="s">
        <v>78</v>
      </c>
      <c r="H8" s="15"/>
      <c r="I8" s="15"/>
      <c r="J8" s="15"/>
    </row>
    <row r="9" customFormat="false" ht="15" hidden="false" customHeight="false" outlineLevel="0" collapsed="false">
      <c r="C9" s="16" t="s">
        <v>16</v>
      </c>
      <c r="D9" s="16" t="s">
        <v>18</v>
      </c>
      <c r="E9" s="16" t="s">
        <v>79</v>
      </c>
      <c r="H9" s="16" t="s">
        <v>16</v>
      </c>
      <c r="I9" s="16" t="s">
        <v>18</v>
      </c>
      <c r="J9" s="16" t="s">
        <v>79</v>
      </c>
    </row>
    <row r="10" customFormat="false" ht="15" hidden="false" customHeight="false" outlineLevel="0" collapsed="false">
      <c r="B10" s="17" t="s">
        <v>80</v>
      </c>
      <c r="C10" s="18" t="n">
        <f aca="false">COUNTIFS(Inbound!$B$2:$B$501,"&gt;="&amp;$C$4,Inbound!$B$2:$B$501,"&lt;"&amp;$C$4+1,Inbound!$E$2:$E$501,"&lt;&gt;")</f>
        <v>0</v>
      </c>
      <c r="D10" s="19" t="n">
        <f aca="false">COUNTIFS(Outbound!$B$2:$B$501,"&gt;="&amp;$C$4,Outbound!$B$2:$B$501,"&lt;"&amp;$C$4+1,Outbound!$D$2:$D$501,"&lt;&gt;")</f>
        <v>0</v>
      </c>
      <c r="E10" s="19" t="n">
        <f aca="false">C10+D10</f>
        <v>0</v>
      </c>
      <c r="G10" s="17" t="str">
        <f aca="false">Settings!A2</f>
        <v>New</v>
      </c>
      <c r="H10" s="17" t="n">
        <f aca="false">COUNTIF(Inbound!$R$2:$R$501,G10)</f>
        <v>0</v>
      </c>
      <c r="I10" s="17" t="n">
        <f aca="false">COUNTIF(Outbound!$O$2:$O$501,G10)</f>
        <v>0</v>
      </c>
      <c r="J10" s="20" t="n">
        <f aca="false">H10+I10</f>
        <v>0</v>
      </c>
    </row>
    <row r="11" customFormat="false" ht="15" hidden="false" customHeight="false" outlineLevel="0" collapsed="false">
      <c r="B11" s="17" t="s">
        <v>81</v>
      </c>
      <c r="C11" s="18" t="n">
        <f aca="false">COUNTIFS(Inbound!$S$2:$S$501,$C$4,Inbound!$E$2:$E$501,"&lt;&gt;")</f>
        <v>0</v>
      </c>
      <c r="D11" s="19" t="n">
        <f aca="false">COUNTIFS(Outbound!$P$2:$P$501,$C$4,Outbound!$D$2:$D$501,"&lt;&gt;")</f>
        <v>0</v>
      </c>
      <c r="E11" s="19" t="n">
        <f aca="false">C11+D11</f>
        <v>0</v>
      </c>
      <c r="G11" s="17" t="str">
        <f aca="false">Settings!A3</f>
        <v>Contacted</v>
      </c>
      <c r="H11" s="17" t="n">
        <f aca="false">COUNTIF(Inbound!$R$2:$R$501,G11)</f>
        <v>0</v>
      </c>
      <c r="I11" s="17" t="n">
        <f aca="false">COUNTIF(Outbound!$O$2:$O$501,G11)</f>
        <v>0</v>
      </c>
      <c r="J11" s="20" t="n">
        <f aca="false">H11+I11</f>
        <v>0</v>
      </c>
    </row>
    <row r="12" customFormat="false" ht="15" hidden="false" customHeight="false" outlineLevel="0" collapsed="false">
      <c r="B12" s="17" t="s">
        <v>82</v>
      </c>
      <c r="C12" s="18" t="n">
        <f aca="false">COUNTIFS(Inbound!$U$2:$U$501,$C$4)</f>
        <v>1</v>
      </c>
      <c r="D12" s="19" t="n">
        <f aca="false">COUNTIFS(Outbound!$R$2:$R$501,$C$4)</f>
        <v>0</v>
      </c>
      <c r="E12" s="19" t="n">
        <f aca="false">C12+D12</f>
        <v>1</v>
      </c>
      <c r="G12" s="17" t="str">
        <f aca="false">Settings!A4</f>
        <v>Replied</v>
      </c>
      <c r="H12" s="17" t="n">
        <f aca="false">COUNTIF(Inbound!$R$2:$R$501,G12)</f>
        <v>0</v>
      </c>
      <c r="I12" s="17" t="n">
        <f aca="false">COUNTIF(Outbound!$O$2:$O$501,G12)</f>
        <v>1</v>
      </c>
      <c r="J12" s="20" t="n">
        <f aca="false">H12+I12</f>
        <v>1</v>
      </c>
    </row>
    <row r="13" customFormat="false" ht="15" hidden="false" customHeight="false" outlineLevel="0" collapsed="false">
      <c r="B13" s="17" t="s">
        <v>83</v>
      </c>
      <c r="C13" s="18" t="n">
        <f aca="false">COUNTIFS(Inbound!$V$2:$V$501,"&gt;="&amp;$C$4,Inbound!$V$2:$V$501,"&lt;"&amp;$C$4+1)</f>
        <v>0</v>
      </c>
      <c r="D13" s="19" t="n">
        <f aca="false">COUNTIFS(Outbound!$S$2:$S$501,"&gt;="&amp;$C$4,Outbound!$S$2:$S$501,"&lt;"&amp;$C$4+1)</f>
        <v>0</v>
      </c>
      <c r="E13" s="19" t="n">
        <f aca="false">C13+D13</f>
        <v>0</v>
      </c>
      <c r="G13" s="17" t="str">
        <f aca="false">Settings!A5</f>
        <v>Meeting booked</v>
      </c>
      <c r="H13" s="17" t="n">
        <f aca="false">COUNTIF(Inbound!$R$2:$R$501,G13)</f>
        <v>0</v>
      </c>
      <c r="I13" s="17" t="n">
        <f aca="false">COUNTIF(Outbound!$O$2:$O$501,G13)</f>
        <v>0</v>
      </c>
      <c r="J13" s="20" t="n">
        <f aca="false">H13+I13</f>
        <v>0</v>
      </c>
    </row>
    <row r="14" customFormat="false" ht="15" hidden="false" customHeight="false" outlineLevel="0" collapsed="false">
      <c r="B14" s="17" t="s">
        <v>84</v>
      </c>
      <c r="C14" s="18" t="n">
        <f aca="false">COUNTIF(Inbound!$AB$2:$AB$501,"OVERDUE follow-up")</f>
        <v>0</v>
      </c>
      <c r="D14" s="19" t="n">
        <f aca="false">COUNTIF(Outbound!$Y$2:$Y$501,"OVERDUE follow-up")</f>
        <v>1</v>
      </c>
      <c r="E14" s="21" t="n">
        <f aca="false">C14+D14</f>
        <v>1</v>
      </c>
      <c r="G14" s="17" t="str">
        <f aca="false">Settings!A6</f>
        <v>Meeting held</v>
      </c>
      <c r="H14" s="17" t="n">
        <f aca="false">COUNTIF(Inbound!$R$2:$R$501,G14)</f>
        <v>0</v>
      </c>
      <c r="I14" s="17" t="n">
        <f aca="false">COUNTIF(Outbound!$O$2:$O$501,G14)</f>
        <v>0</v>
      </c>
      <c r="J14" s="20" t="n">
        <f aca="false">H14+I14</f>
        <v>0</v>
      </c>
    </row>
    <row r="15" customFormat="false" ht="15" hidden="false" customHeight="false" outlineLevel="0" collapsed="false">
      <c r="B15" s="17" t="s">
        <v>85</v>
      </c>
      <c r="C15" s="22" t="n">
        <f aca="false">COUNTIFS(Inbound!$E$2:$E$501,"&lt;&gt;",Inbound!$N$2:$N$501,"")</f>
        <v>0</v>
      </c>
      <c r="G15" s="17" t="str">
        <f aca="false">Settings!A7</f>
        <v>Proposal sent</v>
      </c>
      <c r="H15" s="17" t="n">
        <f aca="false">COUNTIF(Inbound!$R$2:$R$501,G15)</f>
        <v>1</v>
      </c>
      <c r="I15" s="17" t="n">
        <f aca="false">COUNTIF(Outbound!$O$2:$O$501,G15)</f>
        <v>0</v>
      </c>
      <c r="J15" s="20" t="n">
        <f aca="false">H15+I15</f>
        <v>1</v>
      </c>
    </row>
    <row r="16" customFormat="false" ht="15" hidden="false" customHeight="false" outlineLevel="0" collapsed="false">
      <c r="B16" s="17" t="s">
        <v>22</v>
      </c>
      <c r="C16" s="18" t="n">
        <f aca="false">COUNTIFS(Shoots!$E$2:$E$501,$C$4,Shoots!$A$2:$A$501,"&lt;&gt;")</f>
        <v>0</v>
      </c>
      <c r="G16" s="17" t="str">
        <f aca="false">Settings!A8</f>
        <v>Contract signed + paid</v>
      </c>
      <c r="H16" s="17" t="n">
        <f aca="false">COUNTIF(Inbound!$R$2:$R$501,G16)</f>
        <v>0</v>
      </c>
      <c r="I16" s="17" t="n">
        <f aca="false">COUNTIF(Outbound!$O$2:$O$501,G16)</f>
        <v>0</v>
      </c>
      <c r="J16" s="20" t="n">
        <f aca="false">H16+I16</f>
        <v>0</v>
      </c>
    </row>
    <row r="17" customFormat="false" ht="15" hidden="false" customHeight="false" outlineLevel="0" collapsed="false">
      <c r="B17" s="17" t="s">
        <v>86</v>
      </c>
      <c r="C17" s="18" t="n">
        <f aca="false">COUNTIFS(Clients!$N$2:$N$501,$C$4)</f>
        <v>0</v>
      </c>
      <c r="G17" s="17" t="str">
        <f aca="false">Settings!A9</f>
        <v>Closed – No response</v>
      </c>
      <c r="H17" s="17" t="n">
        <f aca="false">COUNTIF(Inbound!$R$2:$R$501,G17)</f>
        <v>0</v>
      </c>
      <c r="I17" s="17" t="n">
        <f aca="false">COUNTIF(Outbound!$O$2:$O$501,G17)</f>
        <v>0</v>
      </c>
      <c r="J17" s="20" t="n">
        <f aca="false">H17+I17</f>
        <v>0</v>
      </c>
    </row>
    <row r="18" customFormat="false" ht="15" hidden="false" customHeight="false" outlineLevel="0" collapsed="false">
      <c r="B18" s="17" t="s">
        <v>87</v>
      </c>
      <c r="C18" s="18" t="n">
        <f aca="false">COUNTIFS(Clients!$O$2:$O$501,$C$4,Clients!$Q$2:$Q$501,"Decision*")</f>
        <v>0</v>
      </c>
      <c r="G18" s="17" t="str">
        <f aca="false">Settings!A10</f>
        <v>Lost</v>
      </c>
      <c r="H18" s="17" t="n">
        <f aca="false">COUNTIF(Inbound!$R$2:$R$501,G18)</f>
        <v>0</v>
      </c>
      <c r="I18" s="17" t="n">
        <f aca="false">COUNTIF(Outbound!$O$2:$O$501,G18)</f>
        <v>0</v>
      </c>
      <c r="J18" s="20" t="n">
        <f aca="false">H18+I18</f>
        <v>0</v>
      </c>
    </row>
    <row r="19" customFormat="false" ht="15" hidden="false" customHeight="false" outlineLevel="0" collapsed="false">
      <c r="B19" s="17" t="s">
        <v>88</v>
      </c>
      <c r="C19" s="18" t="n">
        <f aca="false">COUNTIFS(Clients!$J$2:$J$501,$C$4)</f>
        <v>0</v>
      </c>
      <c r="G19" s="23" t="s">
        <v>89</v>
      </c>
      <c r="H19" s="23" t="n">
        <f aca="false">SUM(H10:H18)</f>
        <v>1</v>
      </c>
      <c r="I19" s="23" t="n">
        <f aca="false">SUM(I10:I18)</f>
        <v>1</v>
      </c>
      <c r="J19" s="23" t="n">
        <f aca="false">SUM(J10:J18)</f>
        <v>2</v>
      </c>
    </row>
    <row r="20" customFormat="false" ht="15" hidden="false" customHeight="false" outlineLevel="0" collapsed="false">
      <c r="B20" s="17" t="s">
        <v>90</v>
      </c>
      <c r="C20" s="24" t="n">
        <f aca="false">SUMIFS(Clients!$K$2:$K$501,Clients!$J$2:$J$501,$C$4)</f>
        <v>0</v>
      </c>
    </row>
    <row r="21" customFormat="false" ht="15" hidden="false" customHeight="false" outlineLevel="0" collapsed="false">
      <c r="B21" s="17" t="s">
        <v>91</v>
      </c>
      <c r="C21" s="18" t="n">
        <f aca="false">COUNTIF(Clients!$S$2:$S$501,"Requested")+COUNTIF(Clients!$S$2:$S$501,"Approved")</f>
        <v>0</v>
      </c>
      <c r="G21" s="14" t="s">
        <v>92</v>
      </c>
      <c r="H21" s="15"/>
      <c r="I21" s="15"/>
      <c r="J21" s="15"/>
    </row>
    <row r="22" customFormat="false" ht="15" hidden="false" customHeight="false" outlineLevel="0" collapsed="false">
      <c r="H22" s="25" t="s">
        <v>93</v>
      </c>
      <c r="I22" s="25" t="s">
        <v>94</v>
      </c>
    </row>
    <row r="23" customFormat="false" ht="15" hidden="false" customHeight="false" outlineLevel="0" collapsed="false">
      <c r="B23" s="14" t="s">
        <v>95</v>
      </c>
      <c r="C23" s="15"/>
      <c r="D23" s="15"/>
      <c r="E23" s="15"/>
      <c r="G23" s="17" t="str">
        <f aca="false">Settings!E2</f>
        <v>Usama</v>
      </c>
      <c r="H23" s="17" t="n">
        <f aca="false">COUNTIFS(Inbound!$Q$2:$Q$501,G23,Inbound!$E$2:$E$501,"&lt;&gt;")-COUNTIFS(Inbound!$Q$2:$Q$501,G23,Inbound!$R$2:$R$501,"Contract signed + paid")-COUNTIFS(Inbound!$Q$2:$Q$501,G23,Inbound!$R$2:$R$501,"Closed – No response")-COUNTIFS(Inbound!$Q$2:$Q$501,G23,Inbound!$R$2:$R$501,"Lost")+COUNTIFS(Outbound!$N$2:$N$501,G23,Outbound!$D$2:$D$501,"&lt;&gt;")-COUNTIFS(Outbound!$N$2:$N$501,G23,Outbound!$O$2:$O$501,"Contract signed + paid")-COUNTIFS(Outbound!$N$2:$N$501,G23,Outbound!$O$2:$O$501,"Closed – No response")-COUNTIFS(Outbound!$N$2:$N$501,G23,Outbound!$O$2:$O$501,"Lost")</f>
        <v>2</v>
      </c>
      <c r="I23" s="17" t="n">
        <f aca="false">COUNTIFS(Inbound!$Q$2:$Q$501,G23,Inbound!$AB$2:$AB$501,"OVERDUE follow-up")+COUNTIFS(Inbound!$Q$2:$Q$501,G23,Inbound!$AB$2:$AB$501,"Follow up today")+COUNTIFS(Outbound!$N$2:$N$501,G23,Outbound!$Y$2:$Y$501,"OVERDUE follow-up")+COUNTIFS(Outbound!$N$2:$N$501,G23,Outbound!$Y$2:$Y$501,"Follow up today")</f>
        <v>2</v>
      </c>
    </row>
    <row r="24" customFormat="false" ht="15" hidden="false" customHeight="false" outlineLevel="0" collapsed="false">
      <c r="C24" s="16" t="s">
        <v>16</v>
      </c>
      <c r="D24" s="16" t="s">
        <v>18</v>
      </c>
      <c r="E24" s="16" t="s">
        <v>79</v>
      </c>
      <c r="G24" s="17" t="str">
        <f aca="false">Settings!E3</f>
        <v>Lianna</v>
      </c>
      <c r="H24" s="17" t="n">
        <f aca="false">COUNTIFS(Inbound!$Q$2:$Q$501,G24,Inbound!$E$2:$E$501,"&lt;&gt;")-COUNTIFS(Inbound!$Q$2:$Q$501,G24,Inbound!$R$2:$R$501,"Contract signed + paid")-COUNTIFS(Inbound!$Q$2:$Q$501,G24,Inbound!$R$2:$R$501,"Closed – No response")-COUNTIFS(Inbound!$Q$2:$Q$501,G24,Inbound!$R$2:$R$501,"Lost")+COUNTIFS(Outbound!$N$2:$N$501,G24,Outbound!$D$2:$D$501,"&lt;&gt;")-COUNTIFS(Outbound!$N$2:$N$501,G24,Outbound!$O$2:$O$501,"Contract signed + paid")-COUNTIFS(Outbound!$N$2:$N$501,G24,Outbound!$O$2:$O$501,"Closed – No response")-COUNTIFS(Outbound!$N$2:$N$501,G24,Outbound!$O$2:$O$501,"Lost")</f>
        <v>0</v>
      </c>
      <c r="I24" s="17" t="n">
        <f aca="false">COUNTIFS(Inbound!$Q$2:$Q$501,G24,Inbound!$AB$2:$AB$501,"OVERDUE follow-up")+COUNTIFS(Inbound!$Q$2:$Q$501,G24,Inbound!$AB$2:$AB$501,"Follow up today")+COUNTIFS(Outbound!$N$2:$N$501,G24,Outbound!$Y$2:$Y$501,"OVERDUE follow-up")+COUNTIFS(Outbound!$N$2:$N$501,G24,Outbound!$Y$2:$Y$501,"Follow up today")</f>
        <v>0</v>
      </c>
    </row>
    <row r="25" customFormat="false" ht="15" hidden="false" customHeight="false" outlineLevel="0" collapsed="false">
      <c r="B25" s="17" t="s">
        <v>96</v>
      </c>
      <c r="C25" s="18" t="n">
        <f aca="false">COUNTIFS(Inbound!$B$2:$B$501,"&gt;="&amp;$C$5,Inbound!$B$2:$B$501,"&lt;"&amp;$C$5+7,Inbound!$E$2:$E$501,"&lt;&gt;")</f>
        <v>0</v>
      </c>
      <c r="D25" s="19" t="n">
        <f aca="false">COUNTIFS(Outbound!$B$2:$B$501,"&gt;="&amp;$C$5,Outbound!$B$2:$B$501,"&lt;"&amp;$C$5+7,Outbound!$D$2:$D$501,"&lt;&gt;")</f>
        <v>0</v>
      </c>
      <c r="E25" s="19" t="n">
        <f aca="false">C25+D25</f>
        <v>0</v>
      </c>
      <c r="G25" s="17" t="str">
        <f aca="false">Settings!E4</f>
        <v>Azeem</v>
      </c>
      <c r="H25" s="17" t="n">
        <f aca="false">COUNTIFS(Inbound!$Q$2:$Q$501,G25,Inbound!$E$2:$E$501,"&lt;&gt;")-COUNTIFS(Inbound!$Q$2:$Q$501,G25,Inbound!$R$2:$R$501,"Contract signed + paid")-COUNTIFS(Inbound!$Q$2:$Q$501,G25,Inbound!$R$2:$R$501,"Closed – No response")-COUNTIFS(Inbound!$Q$2:$Q$501,G25,Inbound!$R$2:$R$501,"Lost")+COUNTIFS(Outbound!$N$2:$N$501,G25,Outbound!$D$2:$D$501,"&lt;&gt;")-COUNTIFS(Outbound!$N$2:$N$501,G25,Outbound!$O$2:$O$501,"Contract signed + paid")-COUNTIFS(Outbound!$N$2:$N$501,G25,Outbound!$O$2:$O$501,"Closed – No response")-COUNTIFS(Outbound!$N$2:$N$501,G25,Outbound!$O$2:$O$501,"Lost")</f>
        <v>0</v>
      </c>
      <c r="I25" s="17" t="n">
        <f aca="false">COUNTIFS(Inbound!$Q$2:$Q$501,G25,Inbound!$AB$2:$AB$501,"OVERDUE follow-up")+COUNTIFS(Inbound!$Q$2:$Q$501,G25,Inbound!$AB$2:$AB$501,"Follow up today")+COUNTIFS(Outbound!$N$2:$N$501,G25,Outbound!$Y$2:$Y$501,"OVERDUE follow-up")+COUNTIFS(Outbound!$N$2:$N$501,G25,Outbound!$Y$2:$Y$501,"Follow up today")</f>
        <v>0</v>
      </c>
    </row>
    <row r="26" customFormat="false" ht="15" hidden="false" customHeight="false" outlineLevel="0" collapsed="false">
      <c r="B26" s="17" t="s">
        <v>83</v>
      </c>
      <c r="C26" s="18" t="n">
        <f aca="false">COUNTIFS(Inbound!$V$2:$V$501,"&gt;="&amp;$C$5,Inbound!$V$2:$V$501,"&lt;"&amp;$C$5+7)</f>
        <v>0</v>
      </c>
      <c r="D26" s="19" t="n">
        <f aca="false">COUNTIFS(Outbound!$S$2:$S$501,"&gt;="&amp;$C$5,Outbound!$S$2:$S$501,"&lt;"&amp;$C$5+7)</f>
        <v>0</v>
      </c>
      <c r="E26" s="19" t="n">
        <f aca="false">C26+D26</f>
        <v>0</v>
      </c>
      <c r="G26" s="17" t="str">
        <f aca="false">Settings!E5</f>
        <v>Owner</v>
      </c>
      <c r="H26" s="17" t="n">
        <f aca="false">COUNTIFS(Inbound!$Q$2:$Q$501,G26,Inbound!$E$2:$E$501,"&lt;&gt;")-COUNTIFS(Inbound!$Q$2:$Q$501,G26,Inbound!$R$2:$R$501,"Contract signed + paid")-COUNTIFS(Inbound!$Q$2:$Q$501,G26,Inbound!$R$2:$R$501,"Closed – No response")-COUNTIFS(Inbound!$Q$2:$Q$501,G26,Inbound!$R$2:$R$501,"Lost")+COUNTIFS(Outbound!$N$2:$N$501,G26,Outbound!$D$2:$D$501,"&lt;&gt;")-COUNTIFS(Outbound!$N$2:$N$501,G26,Outbound!$O$2:$O$501,"Contract signed + paid")-COUNTIFS(Outbound!$N$2:$N$501,G26,Outbound!$O$2:$O$501,"Closed – No response")-COUNTIFS(Outbound!$N$2:$N$501,G26,Outbound!$O$2:$O$501,"Lost")</f>
        <v>0</v>
      </c>
      <c r="I26" s="17" t="n">
        <f aca="false">COUNTIFS(Inbound!$Q$2:$Q$501,G26,Inbound!$AB$2:$AB$501,"OVERDUE follow-up")+COUNTIFS(Inbound!$Q$2:$Q$501,G26,Inbound!$AB$2:$AB$501,"Follow up today")+COUNTIFS(Outbound!$N$2:$N$501,G26,Outbound!$Y$2:$Y$501,"OVERDUE follow-up")+COUNTIFS(Outbound!$N$2:$N$501,G26,Outbound!$Y$2:$Y$501,"Follow up today")</f>
        <v>0</v>
      </c>
    </row>
    <row r="27" customFormat="false" ht="15" hidden="false" customHeight="false" outlineLevel="0" collapsed="false">
      <c r="B27" s="17" t="s">
        <v>97</v>
      </c>
      <c r="C27" s="18" t="n">
        <f aca="false">COUNTIF(Inbound!$AB$2:$AB$501,"Follow up today")+COUNTIF(Inbound!$AB$2:$AB$501,"OVERDUE follow-up")</f>
        <v>1</v>
      </c>
      <c r="D27" s="19" t="n">
        <f aca="false">COUNTIF(Outbound!$Y$2:$Y$501,"Follow up today")+COUNTIF(Outbound!$Y$2:$Y$501,"OVERDUE follow-up")</f>
        <v>1</v>
      </c>
      <c r="E27" s="21" t="n">
        <f aca="false">C27+D27</f>
        <v>2</v>
      </c>
    </row>
    <row r="28" customFormat="false" ht="15" hidden="false" customHeight="false" outlineLevel="0" collapsed="false">
      <c r="B28" s="17" t="s">
        <v>98</v>
      </c>
      <c r="C28" s="18" t="n">
        <f aca="false">COUNTIF(Inbound!$AB$2:$AB$501,"Close – 4 follow-ups sent")</f>
        <v>0</v>
      </c>
      <c r="D28" s="19" t="n">
        <f aca="false">COUNTIF(Outbound!$Y$2:$Y$501,"Close – 4 follow-ups sent")</f>
        <v>0</v>
      </c>
      <c r="E28" s="19" t="n">
        <f aca="false">C28+D28</f>
        <v>0</v>
      </c>
    </row>
    <row r="29" customFormat="false" ht="15" hidden="false" customHeight="false" outlineLevel="0" collapsed="false">
      <c r="B29" s="17" t="s">
        <v>99</v>
      </c>
      <c r="C29" s="26" t="n">
        <f aca="false">IFERROR(AVERAGE(Inbound!$P$2:$P$501),"-")</f>
        <v>0.5</v>
      </c>
      <c r="G29" s="14" t="s">
        <v>100</v>
      </c>
      <c r="H29" s="15"/>
      <c r="I29" s="15"/>
      <c r="J29" s="15"/>
    </row>
    <row r="30" customFormat="false" ht="15" hidden="false" customHeight="false" outlineLevel="0" collapsed="false">
      <c r="H30" s="0" t="s">
        <v>101</v>
      </c>
      <c r="I30" s="0" t="s">
        <v>102</v>
      </c>
    </row>
    <row r="31" customFormat="false" ht="15" hidden="false" customHeight="false" outlineLevel="0" collapsed="false">
      <c r="B31" s="14" t="s">
        <v>103</v>
      </c>
      <c r="C31" s="15"/>
      <c r="D31" s="15"/>
      <c r="E31" s="15"/>
      <c r="G31" s="17" t="s">
        <v>104</v>
      </c>
      <c r="H31" s="17" t="n">
        <f aca="false">COUNTIF(Inbound!$D$2:$D$501,"Website form")</f>
        <v>1</v>
      </c>
      <c r="I31" s="17" t="n">
        <f aca="false">COUNTIFS(Inbound!$D$2:$D$501,"Website form",Inbound!$R$2:$R$501,"Contract signed + paid")</f>
        <v>0</v>
      </c>
    </row>
    <row r="32" customFormat="false" ht="15" hidden="false" customHeight="false" outlineLevel="0" collapsed="false">
      <c r="B32" s="17" t="s">
        <v>88</v>
      </c>
      <c r="C32" s="18" t="n">
        <f aca="false">COUNTIFS(Clients!$J$2:$J$501,"&gt;="&amp;$C$6,Clients!$J$2:$J$501,"&lt;"&amp;EDATE($C$6,1))</f>
        <v>1</v>
      </c>
      <c r="G32" s="17" t="s">
        <v>105</v>
      </c>
      <c r="H32" s="17" t="n">
        <f aca="false">COUNTIF(Inbound!$D$2:$D$501,"WhatsApp")</f>
        <v>0</v>
      </c>
      <c r="I32" s="17" t="n">
        <f aca="false">COUNTIFS(Inbound!$D$2:$D$501,"WhatsApp",Inbound!$R$2:$R$501,"Contract signed + paid")</f>
        <v>0</v>
      </c>
    </row>
    <row r="33" customFormat="false" ht="15" hidden="false" customHeight="false" outlineLevel="0" collapsed="false">
      <c r="B33" s="17" t="s">
        <v>106</v>
      </c>
      <c r="C33" s="24" t="n">
        <f aca="false">SUMIFS(Clients!$K$2:$K$501,Clients!$J$2:$J$501,"&gt;="&amp;$C$6,Clients!$J$2:$J$501,"&lt;"&amp;EDATE($C$6,1))</f>
        <v>7875</v>
      </c>
      <c r="G33" s="17" t="s">
        <v>107</v>
      </c>
      <c r="H33" s="17" t="n">
        <f aca="false">COUNTIF(Inbound!$D$2:$D$501,"Instagram DM")</f>
        <v>0</v>
      </c>
      <c r="I33" s="17" t="n">
        <f aca="false">COUNTIFS(Inbound!$D$2:$D$501,"Instagram DM",Inbound!$R$2:$R$501,"Contract signed + paid")</f>
        <v>0</v>
      </c>
    </row>
    <row r="34" customFormat="false" ht="15" hidden="false" customHeight="false" outlineLevel="0" collapsed="false">
      <c r="B34" s="17" t="s">
        <v>108</v>
      </c>
      <c r="C34" s="18" t="n">
        <f aca="false">COUNTIFS(Clients!$S$2:$S$501,"Paid",Clients!$U$2:$U$501,"&gt;="&amp;$C$6,Clients!$U$2:$U$501,"&lt;"&amp;EDATE($C$6,1))</f>
        <v>0</v>
      </c>
      <c r="G34" s="17" t="s">
        <v>109</v>
      </c>
      <c r="H34" s="17" t="n">
        <f aca="false">COUNTIF(Inbound!$D$2:$D$501,"Referral")</f>
        <v>0</v>
      </c>
      <c r="I34" s="17" t="n">
        <f aca="false">COUNTIFS(Inbound!$D$2:$D$501,"Referral",Inbound!$R$2:$R$501,"Contract signed + paid")</f>
        <v>0</v>
      </c>
    </row>
    <row r="35" customFormat="false" ht="15" hidden="false" customHeight="false" outlineLevel="0" collapsed="false">
      <c r="B35" s="17" t="s">
        <v>110</v>
      </c>
      <c r="C35" s="24" t="n">
        <f aca="false">SUMIFS(Clients!$T$2:$T$501,Clients!$S$2:$S$501,"Paid",Clients!$U$2:$U$501,"&gt;="&amp;$C$6,Clients!$U$2:$U$501,"&lt;"&amp;EDATE($C$6,1))</f>
        <v>0</v>
      </c>
      <c r="G35" s="17" t="s">
        <v>111</v>
      </c>
      <c r="H35" s="17" t="n">
        <f aca="false">COUNTIF(Inbound!$D$2:$D$501,"Walk-in")</f>
        <v>0</v>
      </c>
      <c r="I35" s="17" t="n">
        <f aca="false">COUNTIFS(Inbound!$D$2:$D$501,"Walk-in",Inbound!$R$2:$R$501,"Contract signed + paid")</f>
        <v>0</v>
      </c>
    </row>
    <row r="36" customFormat="false" ht="15" hidden="false" customHeight="false" outlineLevel="0" collapsed="false">
      <c r="G36" s="17" t="s">
        <v>112</v>
      </c>
      <c r="H36" s="17" t="n">
        <f aca="false">COUNTIF(Inbound!$D$2:$D$501,"Phone call")</f>
        <v>0</v>
      </c>
      <c r="I36" s="17" t="n">
        <f aca="false">COUNTIFS(Inbound!$D$2:$D$501,"Phone call",Inbound!$R$2:$R$501,"Contract signed + paid")</f>
        <v>0</v>
      </c>
    </row>
    <row r="37" customFormat="false" ht="15" hidden="false" customHeight="false" outlineLevel="0" collapsed="false">
      <c r="B37" s="14" t="s">
        <v>113</v>
      </c>
      <c r="C37" s="15"/>
      <c r="D37" s="15"/>
      <c r="E37" s="15"/>
      <c r="G37" s="17" t="s">
        <v>114</v>
      </c>
      <c r="H37" s="17" t="n">
        <f aca="false">COUNTIF(Inbound!$D$2:$D$501,"Other")</f>
        <v>0</v>
      </c>
      <c r="I37" s="17" t="n">
        <f aca="false">COUNTIFS(Inbound!$D$2:$D$501,"Other",Inbound!$R$2:$R$501,"Contract signed + paid")</f>
        <v>0</v>
      </c>
    </row>
    <row r="38" customFormat="false" ht="15" hidden="false" customHeight="false" outlineLevel="0" collapsed="false">
      <c r="B38" s="17" t="s">
        <v>115</v>
      </c>
      <c r="C38" s="18" t="n">
        <f aca="false">COUNTIF(Clients!$Q$2:$Q$501,"Active*")</f>
        <v>0</v>
      </c>
      <c r="G38" s="17" t="s">
        <v>116</v>
      </c>
      <c r="H38" s="17" t="n">
        <f aca="false">COUNTIF(Outbound!$C$2:$C$501,"Apollo")</f>
        <v>1</v>
      </c>
      <c r="I38" s="17" t="n">
        <f aca="false">COUNTIFS(Outbound!$C$2:$C$501,"Apollo",Outbound!$O$2:$O$501,"Contract signed + paid")</f>
        <v>0</v>
      </c>
    </row>
    <row r="39" customFormat="false" ht="15" hidden="false" customHeight="false" outlineLevel="0" collapsed="false">
      <c r="B39" s="17" t="s">
        <v>117</v>
      </c>
      <c r="C39" s="24" t="n">
        <f aca="false">SUMIFS(Clients!$I$2:$I$501,Clients!$Q$2:$Q$501,"Active*")</f>
        <v>0</v>
      </c>
      <c r="G39" s="17" t="s">
        <v>118</v>
      </c>
      <c r="H39" s="17" t="n">
        <f aca="false">COUNTIF(Outbound!$C$2:$C$501,"LinkedIn")</f>
        <v>0</v>
      </c>
      <c r="I39" s="17" t="n">
        <f aca="false">COUNTIFS(Outbound!$C$2:$C$501,"LinkedIn",Outbound!$O$2:$O$501,"Contract signed + paid")</f>
        <v>0</v>
      </c>
    </row>
    <row r="40" customFormat="false" ht="15" hidden="false" customHeight="false" outlineLevel="0" collapsed="false">
      <c r="B40" s="17" t="s">
        <v>119</v>
      </c>
      <c r="C40" s="18" t="n">
        <f aca="false">COUNTIF(Clients!$Q$2:$Q$501,"Decision*")</f>
        <v>1</v>
      </c>
      <c r="G40" s="17" t="s">
        <v>120</v>
      </c>
      <c r="H40" s="17" t="n">
        <f aca="false">COUNTIF(Outbound!$C$2:$C$501,"Google Maps")</f>
        <v>0</v>
      </c>
      <c r="I40" s="17" t="n">
        <f aca="false">COUNTIFS(Outbound!$C$2:$C$501,"Google Maps",Outbound!$O$2:$O$501,"Contract signed + paid")</f>
        <v>0</v>
      </c>
    </row>
    <row r="41" customFormat="false" ht="15" hidden="false" customHeight="false" outlineLevel="0" collapsed="false">
      <c r="B41" s="17" t="s">
        <v>121</v>
      </c>
      <c r="C41" s="18" t="n">
        <f aca="false">COUNTIF(Clients!$Q$2:$Q$501,"Schedule free video")+COUNTIF(Clients!$Q$2:$Q$501,"Free video in production")</f>
        <v>0</v>
      </c>
      <c r="G41" s="17" t="s">
        <v>122</v>
      </c>
      <c r="H41" s="17" t="n">
        <f aca="false">COUNTIF(Outbound!$C$2:$C$501,"Instagram research")</f>
        <v>0</v>
      </c>
      <c r="I41" s="17" t="n">
        <f aca="false">COUNTIFS(Outbound!$C$2:$C$501,"Instagram research",Outbound!$O$2:$O$501,"Contract signed + paid")</f>
        <v>0</v>
      </c>
    </row>
    <row r="42" customFormat="false" ht="15" hidden="false" customHeight="false" outlineLevel="0" collapsed="false">
      <c r="B42" s="17" t="s">
        <v>123</v>
      </c>
      <c r="C42" s="27" t="str">
        <f aca="false">IFERROR(COUNTIF(Clients!$Q$2:$Q$501,"Active*")/(COUNTIF(Clients!$Q$2:$Q$501,"Active*")+COUNTIF(Clients!$P$2:$P$501,"Backed out")),"-")</f>
        <v>-</v>
      </c>
      <c r="G42" s="17" t="s">
        <v>124</v>
      </c>
      <c r="H42" s="17" t="n">
        <f aca="false">COUNTIF(Outbound!$C$2:$C$501,"Event / networking")</f>
        <v>0</v>
      </c>
      <c r="I42" s="17" t="n">
        <f aca="false">COUNTIFS(Outbound!$C$2:$C$501,"Event / networking",Outbound!$O$2:$O$501,"Contract signed + paid")</f>
        <v>0</v>
      </c>
    </row>
    <row r="43" customFormat="false" ht="15" hidden="false" customHeight="false" outlineLevel="0" collapsed="false">
      <c r="B43" s="17" t="s">
        <v>125</v>
      </c>
      <c r="C43" s="18" t="n">
        <f aca="false">COUNTIF(Clients!$Q$2:$Q$501,"Awaiting payment")</f>
        <v>0</v>
      </c>
      <c r="G43" s="17" t="s">
        <v>126</v>
      </c>
      <c r="H43" s="17" t="n">
        <f aca="false">COUNTIF(Outbound!$C$2:$C$501,"Other")</f>
        <v>0</v>
      </c>
      <c r="I43" s="17" t="n">
        <f aca="false">COUNTIFS(Outbound!$C$2:$C$501,"Other",Outbound!$O$2:$O$501,"Contract signed + paid")</f>
        <v>0</v>
      </c>
    </row>
  </sheetData>
  <dataValidations count="1">
    <dataValidation allowBlank="true" error="Enter a date - double-click the cell for a calendar." errorStyle="stop" errorTitle="Not a date" operator="between" showDropDown="false" showErrorMessage="false" showInputMessage="false" sqref="C3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A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9" min="7" style="0" width="16"/>
    <col collapsed="false" customWidth="true" hidden="false" outlineLevel="0" max="10" min="10" style="0" width="24"/>
    <col collapsed="false" customWidth="true" hidden="false" outlineLevel="0" max="12" min="11" style="0" width="16"/>
    <col collapsed="false" customWidth="true" hidden="false" outlineLevel="0" max="13" min="13" style="0" width="20"/>
    <col collapsed="false" customWidth="true" hidden="false" outlineLevel="0" max="17" min="14" style="0" width="16"/>
    <col collapsed="false" customWidth="true" hidden="false" outlineLevel="0" max="18" min="18" style="0" width="22"/>
    <col collapsed="false" customWidth="true" hidden="false" outlineLevel="0" max="24" min="19" style="0" width="16"/>
    <col collapsed="false" customWidth="true" hidden="false" outlineLevel="0" max="25" min="25" style="0" width="22"/>
    <col collapsed="false" customWidth="true" hidden="false" outlineLevel="0" max="26" min="26" style="0" width="34"/>
    <col collapsed="false" customWidth="true" hidden="false" outlineLevel="0" max="27" min="27" style="0" width="16"/>
    <col collapsed="false" customWidth="true" hidden="false" outlineLevel="0" max="28" min="28" style="0" width="30"/>
  </cols>
  <sheetData>
    <row r="1" customFormat="false" ht="31.5" hidden="false" customHeight="true" outlineLevel="0" collapsed="false">
      <c r="A1" s="28" t="s">
        <v>127</v>
      </c>
      <c r="B1" s="28" t="s">
        <v>128</v>
      </c>
      <c r="C1" s="28" t="s">
        <v>129</v>
      </c>
      <c r="D1" s="28" t="s">
        <v>130</v>
      </c>
      <c r="E1" s="28" t="s">
        <v>131</v>
      </c>
      <c r="F1" s="28" t="s">
        <v>132</v>
      </c>
      <c r="G1" s="28" t="s">
        <v>133</v>
      </c>
      <c r="H1" s="28" t="s">
        <v>134</v>
      </c>
      <c r="I1" s="28" t="s">
        <v>135</v>
      </c>
      <c r="J1" s="28" t="s">
        <v>136</v>
      </c>
      <c r="K1" s="28" t="s">
        <v>137</v>
      </c>
      <c r="L1" s="28" t="s">
        <v>138</v>
      </c>
      <c r="M1" s="28" t="s">
        <v>139</v>
      </c>
      <c r="N1" s="28" t="s">
        <v>140</v>
      </c>
      <c r="O1" s="28" t="s">
        <v>141</v>
      </c>
      <c r="P1" s="29" t="s">
        <v>142</v>
      </c>
      <c r="Q1" s="28" t="s">
        <v>56</v>
      </c>
      <c r="R1" s="28" t="s">
        <v>143</v>
      </c>
      <c r="S1" s="28" t="s">
        <v>144</v>
      </c>
      <c r="T1" s="28" t="s">
        <v>145</v>
      </c>
      <c r="U1" s="29" t="s">
        <v>146</v>
      </c>
      <c r="V1" s="28" t="s">
        <v>147</v>
      </c>
      <c r="W1" s="28" t="s">
        <v>148</v>
      </c>
      <c r="X1" s="28" t="s">
        <v>149</v>
      </c>
      <c r="Y1" s="28" t="s">
        <v>150</v>
      </c>
      <c r="Z1" s="28" t="s">
        <v>151</v>
      </c>
      <c r="AA1" s="29" t="s">
        <v>152</v>
      </c>
      <c r="AB1" s="29" t="s">
        <v>153</v>
      </c>
    </row>
    <row r="2" customFormat="false" ht="15" hidden="false" customHeight="false" outlineLevel="0" collapsed="false">
      <c r="A2" s="30" t="s">
        <v>154</v>
      </c>
      <c r="B2" s="31" t="n">
        <v>46310</v>
      </c>
      <c r="C2" s="32" t="n">
        <v>0.416666666666667</v>
      </c>
      <c r="D2" s="30" t="s">
        <v>155</v>
      </c>
      <c r="E2" s="30" t="s">
        <v>156</v>
      </c>
      <c r="F2" s="30" t="s">
        <v>157</v>
      </c>
      <c r="G2" s="30" t="s">
        <v>158</v>
      </c>
      <c r="H2" s="30" t="s">
        <v>56</v>
      </c>
      <c r="I2" s="33" t="s">
        <v>159</v>
      </c>
      <c r="J2" s="30" t="s">
        <v>160</v>
      </c>
      <c r="K2" s="30" t="s">
        <v>161</v>
      </c>
      <c r="L2" s="30" t="s">
        <v>162</v>
      </c>
      <c r="M2" s="30" t="s">
        <v>163</v>
      </c>
      <c r="N2" s="31" t="n">
        <v>46310</v>
      </c>
      <c r="O2" s="32" t="n">
        <v>0.4375</v>
      </c>
      <c r="P2" s="34" t="n">
        <f aca="false">IF(OR(B2="",N2=""),"",ROUND(((N2+N(O2))-(B2+N(C2)))*24,1))</f>
        <v>0.5</v>
      </c>
      <c r="Q2" s="30" t="s">
        <v>50</v>
      </c>
      <c r="R2" s="30" t="s">
        <v>164</v>
      </c>
      <c r="S2" s="31" t="n">
        <v>46312</v>
      </c>
      <c r="T2" s="30" t="n">
        <v>1</v>
      </c>
      <c r="U2" s="35" t="n">
        <f aca="false">IF(OR(E2="",S2="",OR(R2="Contract signed + paid",R2="Closed – No response",R2="Lost"),N(T2)&gt;=Settings!$S$3),"",S2+Settings!$S$2)</f>
        <v>46315</v>
      </c>
      <c r="V2" s="31" t="n">
        <v>46311</v>
      </c>
      <c r="W2" s="32" t="n">
        <v>0.625</v>
      </c>
      <c r="X2" s="30" t="s">
        <v>165</v>
      </c>
      <c r="Y2" s="30"/>
      <c r="Z2" s="30" t="s">
        <v>166</v>
      </c>
      <c r="AA2" s="36" t="n">
        <f aca="true">IF(OR(E2="",B2=""),"",INT(TODAY()-B2))</f>
        <v>5</v>
      </c>
      <c r="AB2" s="37" t="str">
        <f aca="true">IF(E2="","",IF(OR(COUNTIFS(Clients!$C$2:$C$501,E2,Clients!$S$2:$S$501,"Paid")&gt;0,AND(I2&lt;&gt;"",COUNTIFS(Clients!$E$2:$E$501,I2,Clients!$S$2:$S$501,"Paid")&gt;0)),"⚠ Refunded before – no free video",IF(OR(R2="Contract signed + paid",R2="Closed – No response",R2="Lost"),"",IF(R2="","Set a stage",IF(N(T2)&gt;=Settings!$S$3,"Close – 4 follow-ups sent",IF(U2="",IF(S2="","Make first contact",""),IF(TODAY()&gt;U2,"OVERDUE follow-up",IF(TODAY()=U2,"Follow up today",""))))))))</f>
        <v>Follow up today</v>
      </c>
    </row>
    <row r="3" customFormat="false" ht="15" hidden="false" customHeight="false" outlineLevel="0" collapsed="false">
      <c r="A3" s="17"/>
      <c r="B3" s="38"/>
      <c r="C3" s="39"/>
      <c r="D3" s="17"/>
      <c r="E3" s="17"/>
      <c r="F3" s="17"/>
      <c r="G3" s="17"/>
      <c r="H3" s="17"/>
      <c r="I3" s="40"/>
      <c r="J3" s="17"/>
      <c r="K3" s="17"/>
      <c r="L3" s="17"/>
      <c r="M3" s="17"/>
      <c r="N3" s="38"/>
      <c r="O3" s="39"/>
      <c r="P3" s="41" t="str">
        <f aca="false">IF(OR(B3="",N3=""),"",ROUND(((N3+N(O3))-(B3+N(C3)))*24,1))</f>
        <v/>
      </c>
      <c r="Q3" s="17"/>
      <c r="R3" s="17"/>
      <c r="S3" s="38"/>
      <c r="T3" s="17"/>
      <c r="U3" s="42" t="str">
        <f aca="false">IF(OR(E3="",S3="",OR(R3="Contract signed + paid",R3="Closed – No response",R3="Lost"),N(T3)&gt;=Settings!$S$3),"",S3+Settings!$S$2)</f>
        <v/>
      </c>
      <c r="V3" s="38"/>
      <c r="W3" s="39"/>
      <c r="X3" s="17"/>
      <c r="Y3" s="17"/>
      <c r="Z3" s="17"/>
      <c r="AA3" s="43" t="str">
        <f aca="true">IF(OR(E3="",B3=""),"",INT(TODAY()-B3))</f>
        <v/>
      </c>
      <c r="AB3" s="44" t="str">
        <f aca="true">IF(E3="","",IF(OR(COUNTIFS(Clients!$C$2:$C$501,E3,Clients!$S$2:$S$501,"Paid")&gt;0,AND(I3&lt;&gt;"",COUNTIFS(Clients!$E$2:$E$501,I3,Clients!$S$2:$S$501,"Paid")&gt;0)),"⚠ Refunded before – no free video",IF(OR(R3="Contract signed + paid",R3="Closed – No response",R3="Lost"),"",IF(R3="","Set a stage",IF(N(T3)&gt;=Settings!$S$3,"Close – 4 follow-ups sent",IF(U3="",IF(S3="","Make first contact",""),IF(TODAY()&gt;U3,"OVERDUE follow-up",IF(TODAY()=U3,"Follow up today",""))))))))</f>
        <v/>
      </c>
    </row>
    <row r="4" customFormat="false" ht="15" hidden="false" customHeight="false" outlineLevel="0" collapsed="false">
      <c r="A4" s="17"/>
      <c r="B4" s="38"/>
      <c r="C4" s="39"/>
      <c r="D4" s="17"/>
      <c r="E4" s="17"/>
      <c r="F4" s="17"/>
      <c r="G4" s="17"/>
      <c r="H4" s="17"/>
      <c r="I4" s="40"/>
      <c r="J4" s="17"/>
      <c r="K4" s="17"/>
      <c r="L4" s="17"/>
      <c r="M4" s="17"/>
      <c r="N4" s="38"/>
      <c r="O4" s="39"/>
      <c r="P4" s="41" t="str">
        <f aca="false">IF(OR(B4="",N4=""),"",ROUND(((N4+N(O4))-(B4+N(C4)))*24,1))</f>
        <v/>
      </c>
      <c r="Q4" s="17"/>
      <c r="R4" s="17"/>
      <c r="S4" s="38"/>
      <c r="T4" s="17"/>
      <c r="U4" s="42" t="str">
        <f aca="false">IF(OR(E4="",S4="",OR(R4="Contract signed + paid",R4="Closed – No response",R4="Lost"),N(T4)&gt;=Settings!$S$3),"",S4+Settings!$S$2)</f>
        <v/>
      </c>
      <c r="V4" s="38"/>
      <c r="W4" s="39"/>
      <c r="X4" s="17"/>
      <c r="Y4" s="17"/>
      <c r="Z4" s="17"/>
      <c r="AA4" s="43" t="str">
        <f aca="true">IF(OR(E4="",B4=""),"",INT(TODAY()-B4))</f>
        <v/>
      </c>
      <c r="AB4" s="44" t="str">
        <f aca="true">IF(E4="","",IF(OR(COUNTIFS(Clients!$C$2:$C$501,E4,Clients!$S$2:$S$501,"Paid")&gt;0,AND(I4&lt;&gt;"",COUNTIFS(Clients!$E$2:$E$501,I4,Clients!$S$2:$S$501,"Paid")&gt;0)),"⚠ Refunded before – no free video",IF(OR(R4="Contract signed + paid",R4="Closed – No response",R4="Lost"),"",IF(R4="","Set a stage",IF(N(T4)&gt;=Settings!$S$3,"Close – 4 follow-ups sent",IF(U4="",IF(S4="","Make first contact",""),IF(TODAY()&gt;U4,"OVERDUE follow-up",IF(TODAY()=U4,"Follow up today",""))))))))</f>
        <v/>
      </c>
    </row>
    <row r="5" customFormat="false" ht="15" hidden="false" customHeight="false" outlineLevel="0" collapsed="false">
      <c r="A5" s="17"/>
      <c r="B5" s="38"/>
      <c r="C5" s="39"/>
      <c r="D5" s="17"/>
      <c r="E5" s="17"/>
      <c r="F5" s="17"/>
      <c r="G5" s="17"/>
      <c r="H5" s="17"/>
      <c r="I5" s="40"/>
      <c r="J5" s="17"/>
      <c r="K5" s="17"/>
      <c r="L5" s="17"/>
      <c r="M5" s="17"/>
      <c r="N5" s="38"/>
      <c r="O5" s="39"/>
      <c r="P5" s="41" t="str">
        <f aca="false">IF(OR(B5="",N5=""),"",ROUND(((N5+N(O5))-(B5+N(C5)))*24,1))</f>
        <v/>
      </c>
      <c r="Q5" s="17"/>
      <c r="R5" s="17"/>
      <c r="S5" s="38"/>
      <c r="T5" s="17"/>
      <c r="U5" s="42" t="str">
        <f aca="false">IF(OR(E5="",S5="",OR(R5="Contract signed + paid",R5="Closed – No response",R5="Lost"),N(T5)&gt;=Settings!$S$3),"",S5+Settings!$S$2)</f>
        <v/>
      </c>
      <c r="V5" s="38"/>
      <c r="W5" s="39"/>
      <c r="X5" s="17"/>
      <c r="Y5" s="17"/>
      <c r="Z5" s="17"/>
      <c r="AA5" s="43" t="str">
        <f aca="true">IF(OR(E5="",B5=""),"",INT(TODAY()-B5))</f>
        <v/>
      </c>
      <c r="AB5" s="44" t="str">
        <f aca="true">IF(E5="","",IF(OR(COUNTIFS(Clients!$C$2:$C$501,E5,Clients!$S$2:$S$501,"Paid")&gt;0,AND(I5&lt;&gt;"",COUNTIFS(Clients!$E$2:$E$501,I5,Clients!$S$2:$S$501,"Paid")&gt;0)),"⚠ Refunded before – no free video",IF(OR(R5="Contract signed + paid",R5="Closed – No response",R5="Lost"),"",IF(R5="","Set a stage",IF(N(T5)&gt;=Settings!$S$3,"Close – 4 follow-ups sent",IF(U5="",IF(S5="","Make first contact",""),IF(TODAY()&gt;U5,"OVERDUE follow-up",IF(TODAY()=U5,"Follow up today",""))))))))</f>
        <v/>
      </c>
    </row>
    <row r="6" customFormat="false" ht="15" hidden="false" customHeight="false" outlineLevel="0" collapsed="false">
      <c r="A6" s="17"/>
      <c r="B6" s="38"/>
      <c r="C6" s="39"/>
      <c r="D6" s="17"/>
      <c r="E6" s="17"/>
      <c r="F6" s="17"/>
      <c r="G6" s="17"/>
      <c r="H6" s="17"/>
      <c r="I6" s="40"/>
      <c r="J6" s="17"/>
      <c r="K6" s="17"/>
      <c r="L6" s="17"/>
      <c r="M6" s="17"/>
      <c r="N6" s="38"/>
      <c r="O6" s="39"/>
      <c r="P6" s="41" t="str">
        <f aca="false">IF(OR(B6="",N6=""),"",ROUND(((N6+N(O6))-(B6+N(C6)))*24,1))</f>
        <v/>
      </c>
      <c r="Q6" s="17"/>
      <c r="R6" s="17"/>
      <c r="S6" s="38"/>
      <c r="T6" s="17"/>
      <c r="U6" s="42" t="str">
        <f aca="false">IF(OR(E6="",S6="",OR(R6="Contract signed + paid",R6="Closed – No response",R6="Lost"),N(T6)&gt;=Settings!$S$3),"",S6+Settings!$S$2)</f>
        <v/>
      </c>
      <c r="V6" s="38"/>
      <c r="W6" s="39"/>
      <c r="X6" s="17"/>
      <c r="Y6" s="17"/>
      <c r="Z6" s="17"/>
      <c r="AA6" s="43" t="str">
        <f aca="true">IF(OR(E6="",B6=""),"",INT(TODAY()-B6))</f>
        <v/>
      </c>
      <c r="AB6" s="44" t="str">
        <f aca="true">IF(E6="","",IF(OR(COUNTIFS(Clients!$C$2:$C$501,E6,Clients!$S$2:$S$501,"Paid")&gt;0,AND(I6&lt;&gt;"",COUNTIFS(Clients!$E$2:$E$501,I6,Clients!$S$2:$S$501,"Paid")&gt;0)),"⚠ Refunded before – no free video",IF(OR(R6="Contract signed + paid",R6="Closed – No response",R6="Lost"),"",IF(R6="","Set a stage",IF(N(T6)&gt;=Settings!$S$3,"Close – 4 follow-ups sent",IF(U6="",IF(S6="","Make first contact",""),IF(TODAY()&gt;U6,"OVERDUE follow-up",IF(TODAY()=U6,"Follow up today",""))))))))</f>
        <v/>
      </c>
    </row>
    <row r="7" customFormat="false" ht="15" hidden="false" customHeight="false" outlineLevel="0" collapsed="false">
      <c r="A7" s="17"/>
      <c r="B7" s="38"/>
      <c r="C7" s="39"/>
      <c r="D7" s="17"/>
      <c r="E7" s="17"/>
      <c r="F7" s="17"/>
      <c r="G7" s="17"/>
      <c r="H7" s="17"/>
      <c r="I7" s="40"/>
      <c r="J7" s="17"/>
      <c r="K7" s="17"/>
      <c r="L7" s="17"/>
      <c r="M7" s="17"/>
      <c r="N7" s="38"/>
      <c r="O7" s="39"/>
      <c r="P7" s="41" t="str">
        <f aca="false">IF(OR(B7="",N7=""),"",ROUND(((N7+N(O7))-(B7+N(C7)))*24,1))</f>
        <v/>
      </c>
      <c r="Q7" s="17"/>
      <c r="R7" s="17"/>
      <c r="S7" s="38"/>
      <c r="T7" s="17"/>
      <c r="U7" s="42" t="str">
        <f aca="false">IF(OR(E7="",S7="",OR(R7="Contract signed + paid",R7="Closed – No response",R7="Lost"),N(T7)&gt;=Settings!$S$3),"",S7+Settings!$S$2)</f>
        <v/>
      </c>
      <c r="V7" s="38"/>
      <c r="W7" s="39"/>
      <c r="X7" s="17"/>
      <c r="Y7" s="17"/>
      <c r="Z7" s="17"/>
      <c r="AA7" s="43" t="str">
        <f aca="true">IF(OR(E7="",B7=""),"",INT(TODAY()-B7))</f>
        <v/>
      </c>
      <c r="AB7" s="44" t="str">
        <f aca="true">IF(E7="","",IF(OR(COUNTIFS(Clients!$C$2:$C$501,E7,Clients!$S$2:$S$501,"Paid")&gt;0,AND(I7&lt;&gt;"",COUNTIFS(Clients!$E$2:$E$501,I7,Clients!$S$2:$S$501,"Paid")&gt;0)),"⚠ Refunded before – no free video",IF(OR(R7="Contract signed + paid",R7="Closed – No response",R7="Lost"),"",IF(R7="","Set a stage",IF(N(T7)&gt;=Settings!$S$3,"Close – 4 follow-ups sent",IF(U7="",IF(S7="","Make first contact",""),IF(TODAY()&gt;U7,"OVERDUE follow-up",IF(TODAY()=U7,"Follow up today",""))))))))</f>
        <v/>
      </c>
    </row>
    <row r="8" customFormat="false" ht="15" hidden="false" customHeight="false" outlineLevel="0" collapsed="false">
      <c r="A8" s="17"/>
      <c r="B8" s="38"/>
      <c r="C8" s="39"/>
      <c r="D8" s="17"/>
      <c r="E8" s="17"/>
      <c r="F8" s="17"/>
      <c r="G8" s="17"/>
      <c r="H8" s="17"/>
      <c r="I8" s="40"/>
      <c r="J8" s="17"/>
      <c r="K8" s="17"/>
      <c r="L8" s="17"/>
      <c r="M8" s="17"/>
      <c r="N8" s="38"/>
      <c r="O8" s="39"/>
      <c r="P8" s="41" t="str">
        <f aca="false">IF(OR(B8="",N8=""),"",ROUND(((N8+N(O8))-(B8+N(C8)))*24,1))</f>
        <v/>
      </c>
      <c r="Q8" s="17"/>
      <c r="R8" s="17"/>
      <c r="S8" s="38"/>
      <c r="T8" s="17"/>
      <c r="U8" s="42" t="str">
        <f aca="false">IF(OR(E8="",S8="",OR(R8="Contract signed + paid",R8="Closed – No response",R8="Lost"),N(T8)&gt;=Settings!$S$3),"",S8+Settings!$S$2)</f>
        <v/>
      </c>
      <c r="V8" s="38"/>
      <c r="W8" s="39"/>
      <c r="X8" s="17"/>
      <c r="Y8" s="17"/>
      <c r="Z8" s="17"/>
      <c r="AA8" s="43" t="str">
        <f aca="true">IF(OR(E8="",B8=""),"",INT(TODAY()-B8))</f>
        <v/>
      </c>
      <c r="AB8" s="44" t="str">
        <f aca="true">IF(E8="","",IF(OR(COUNTIFS(Clients!$C$2:$C$501,E8,Clients!$S$2:$S$501,"Paid")&gt;0,AND(I8&lt;&gt;"",COUNTIFS(Clients!$E$2:$E$501,I8,Clients!$S$2:$S$501,"Paid")&gt;0)),"⚠ Refunded before – no free video",IF(OR(R8="Contract signed + paid",R8="Closed – No response",R8="Lost"),"",IF(R8="","Set a stage",IF(N(T8)&gt;=Settings!$S$3,"Close – 4 follow-ups sent",IF(U8="",IF(S8="","Make first contact",""),IF(TODAY()&gt;U8,"OVERDUE follow-up",IF(TODAY()=U8,"Follow up today",""))))))))</f>
        <v/>
      </c>
    </row>
    <row r="9" customFormat="false" ht="15" hidden="false" customHeight="false" outlineLevel="0" collapsed="false">
      <c r="A9" s="17"/>
      <c r="B9" s="38"/>
      <c r="C9" s="39"/>
      <c r="D9" s="17"/>
      <c r="E9" s="17"/>
      <c r="F9" s="17"/>
      <c r="G9" s="17"/>
      <c r="H9" s="17"/>
      <c r="I9" s="40"/>
      <c r="J9" s="17"/>
      <c r="K9" s="17"/>
      <c r="L9" s="17"/>
      <c r="M9" s="17"/>
      <c r="N9" s="38"/>
      <c r="O9" s="39"/>
      <c r="P9" s="41" t="str">
        <f aca="false">IF(OR(B9="",N9=""),"",ROUND(((N9+N(O9))-(B9+N(C9)))*24,1))</f>
        <v/>
      </c>
      <c r="Q9" s="17"/>
      <c r="R9" s="17"/>
      <c r="S9" s="38"/>
      <c r="T9" s="17"/>
      <c r="U9" s="42" t="str">
        <f aca="false">IF(OR(E9="",S9="",OR(R9="Contract signed + paid",R9="Closed – No response",R9="Lost"),N(T9)&gt;=Settings!$S$3),"",S9+Settings!$S$2)</f>
        <v/>
      </c>
      <c r="V9" s="38"/>
      <c r="W9" s="39"/>
      <c r="X9" s="17"/>
      <c r="Y9" s="17"/>
      <c r="Z9" s="17"/>
      <c r="AA9" s="43" t="str">
        <f aca="true">IF(OR(E9="",B9=""),"",INT(TODAY()-B9))</f>
        <v/>
      </c>
      <c r="AB9" s="44" t="str">
        <f aca="true">IF(E9="","",IF(OR(COUNTIFS(Clients!$C$2:$C$501,E9,Clients!$S$2:$S$501,"Paid")&gt;0,AND(I9&lt;&gt;"",COUNTIFS(Clients!$E$2:$E$501,I9,Clients!$S$2:$S$501,"Paid")&gt;0)),"⚠ Refunded before – no free video",IF(OR(R9="Contract signed + paid",R9="Closed – No response",R9="Lost"),"",IF(R9="","Set a stage",IF(N(T9)&gt;=Settings!$S$3,"Close – 4 follow-ups sent",IF(U9="",IF(S9="","Make first contact",""),IF(TODAY()&gt;U9,"OVERDUE follow-up",IF(TODAY()=U9,"Follow up today",""))))))))</f>
        <v/>
      </c>
    </row>
    <row r="10" customFormat="false" ht="15" hidden="false" customHeight="false" outlineLevel="0" collapsed="false">
      <c r="A10" s="17"/>
      <c r="B10" s="38"/>
      <c r="C10" s="39"/>
      <c r="D10" s="17"/>
      <c r="E10" s="17"/>
      <c r="F10" s="17"/>
      <c r="G10" s="17"/>
      <c r="H10" s="17"/>
      <c r="I10" s="40"/>
      <c r="J10" s="17"/>
      <c r="K10" s="17"/>
      <c r="L10" s="17"/>
      <c r="M10" s="17"/>
      <c r="N10" s="38"/>
      <c r="O10" s="39"/>
      <c r="P10" s="41" t="str">
        <f aca="false">IF(OR(B10="",N10=""),"",ROUND(((N10+N(O10))-(B10+N(C10)))*24,1))</f>
        <v/>
      </c>
      <c r="Q10" s="17"/>
      <c r="R10" s="17"/>
      <c r="S10" s="38"/>
      <c r="T10" s="17"/>
      <c r="U10" s="42" t="str">
        <f aca="false">IF(OR(E10="",S10="",OR(R10="Contract signed + paid",R10="Closed – No response",R10="Lost"),N(T10)&gt;=Settings!$S$3),"",S10+Settings!$S$2)</f>
        <v/>
      </c>
      <c r="V10" s="38"/>
      <c r="W10" s="39"/>
      <c r="X10" s="17"/>
      <c r="Y10" s="17"/>
      <c r="Z10" s="17"/>
      <c r="AA10" s="43" t="str">
        <f aca="true">IF(OR(E10="",B10=""),"",INT(TODAY()-B10))</f>
        <v/>
      </c>
      <c r="AB10" s="44" t="str">
        <f aca="true">IF(E10="","",IF(OR(COUNTIFS(Clients!$C$2:$C$501,E10,Clients!$S$2:$S$501,"Paid")&gt;0,AND(I10&lt;&gt;"",COUNTIFS(Clients!$E$2:$E$501,I10,Clients!$S$2:$S$501,"Paid")&gt;0)),"⚠ Refunded before – no free video",IF(OR(R10="Contract signed + paid",R10="Closed – No response",R10="Lost"),"",IF(R10="","Set a stage",IF(N(T10)&gt;=Settings!$S$3,"Close – 4 follow-ups sent",IF(U10="",IF(S10="","Make first contact",""),IF(TODAY()&gt;U10,"OVERDUE follow-up",IF(TODAY()=U10,"Follow up today",""))))))))</f>
        <v/>
      </c>
    </row>
    <row r="11" customFormat="false" ht="15" hidden="false" customHeight="false" outlineLevel="0" collapsed="false">
      <c r="A11" s="17"/>
      <c r="B11" s="38"/>
      <c r="C11" s="39"/>
      <c r="D11" s="17"/>
      <c r="E11" s="17"/>
      <c r="F11" s="17"/>
      <c r="G11" s="17"/>
      <c r="H11" s="17"/>
      <c r="I11" s="40"/>
      <c r="J11" s="17"/>
      <c r="K11" s="17"/>
      <c r="L11" s="17"/>
      <c r="M11" s="17"/>
      <c r="N11" s="38"/>
      <c r="O11" s="39"/>
      <c r="P11" s="41" t="str">
        <f aca="false">IF(OR(B11="",N11=""),"",ROUND(((N11+N(O11))-(B11+N(C11)))*24,1))</f>
        <v/>
      </c>
      <c r="Q11" s="17"/>
      <c r="R11" s="17"/>
      <c r="S11" s="38"/>
      <c r="T11" s="17"/>
      <c r="U11" s="42" t="str">
        <f aca="false">IF(OR(E11="",S11="",OR(R11="Contract signed + paid",R11="Closed – No response",R11="Lost"),N(T11)&gt;=Settings!$S$3),"",S11+Settings!$S$2)</f>
        <v/>
      </c>
      <c r="V11" s="38"/>
      <c r="W11" s="39"/>
      <c r="X11" s="17"/>
      <c r="Y11" s="17"/>
      <c r="Z11" s="17"/>
      <c r="AA11" s="43" t="str">
        <f aca="true">IF(OR(E11="",B11=""),"",INT(TODAY()-B11))</f>
        <v/>
      </c>
      <c r="AB11" s="44" t="str">
        <f aca="true">IF(E11="","",IF(OR(COUNTIFS(Clients!$C$2:$C$501,E11,Clients!$S$2:$S$501,"Paid")&gt;0,AND(I11&lt;&gt;"",COUNTIFS(Clients!$E$2:$E$501,I11,Clients!$S$2:$S$501,"Paid")&gt;0)),"⚠ Refunded before – no free video",IF(OR(R11="Contract signed + paid",R11="Closed – No response",R11="Lost"),"",IF(R11="","Set a stage",IF(N(T11)&gt;=Settings!$S$3,"Close – 4 follow-ups sent",IF(U11="",IF(S11="","Make first contact",""),IF(TODAY()&gt;U11,"OVERDUE follow-up",IF(TODAY()=U11,"Follow up today",""))))))))</f>
        <v/>
      </c>
    </row>
    <row r="12" customFormat="false" ht="15" hidden="false" customHeight="false" outlineLevel="0" collapsed="false">
      <c r="A12" s="17"/>
      <c r="B12" s="38"/>
      <c r="C12" s="39"/>
      <c r="D12" s="17"/>
      <c r="E12" s="17"/>
      <c r="F12" s="17"/>
      <c r="G12" s="17"/>
      <c r="H12" s="17"/>
      <c r="I12" s="40"/>
      <c r="J12" s="17"/>
      <c r="K12" s="17"/>
      <c r="L12" s="17"/>
      <c r="M12" s="17"/>
      <c r="N12" s="38"/>
      <c r="O12" s="39"/>
      <c r="P12" s="41" t="str">
        <f aca="false">IF(OR(B12="",N12=""),"",ROUND(((N12+N(O12))-(B12+N(C12)))*24,1))</f>
        <v/>
      </c>
      <c r="Q12" s="17"/>
      <c r="R12" s="17"/>
      <c r="S12" s="38"/>
      <c r="T12" s="17"/>
      <c r="U12" s="42" t="str">
        <f aca="false">IF(OR(E12="",S12="",OR(R12="Contract signed + paid",R12="Closed – No response",R12="Lost"),N(T12)&gt;=Settings!$S$3),"",S12+Settings!$S$2)</f>
        <v/>
      </c>
      <c r="V12" s="38"/>
      <c r="W12" s="39"/>
      <c r="X12" s="17"/>
      <c r="Y12" s="17"/>
      <c r="Z12" s="17"/>
      <c r="AA12" s="43" t="str">
        <f aca="true">IF(OR(E12="",B12=""),"",INT(TODAY()-B12))</f>
        <v/>
      </c>
      <c r="AB12" s="44" t="str">
        <f aca="true">IF(E12="","",IF(OR(COUNTIFS(Clients!$C$2:$C$501,E12,Clients!$S$2:$S$501,"Paid")&gt;0,AND(I12&lt;&gt;"",COUNTIFS(Clients!$E$2:$E$501,I12,Clients!$S$2:$S$501,"Paid")&gt;0)),"⚠ Refunded before – no free video",IF(OR(R12="Contract signed + paid",R12="Closed – No response",R12="Lost"),"",IF(R12="","Set a stage",IF(N(T12)&gt;=Settings!$S$3,"Close – 4 follow-ups sent",IF(U12="",IF(S12="","Make first contact",""),IF(TODAY()&gt;U12,"OVERDUE follow-up",IF(TODAY()=U12,"Follow up today",""))))))))</f>
        <v/>
      </c>
    </row>
    <row r="13" customFormat="false" ht="15" hidden="false" customHeight="false" outlineLevel="0" collapsed="false">
      <c r="A13" s="17"/>
      <c r="B13" s="38"/>
      <c r="C13" s="39"/>
      <c r="D13" s="17"/>
      <c r="E13" s="17"/>
      <c r="F13" s="17"/>
      <c r="G13" s="17"/>
      <c r="H13" s="17"/>
      <c r="I13" s="40"/>
      <c r="J13" s="17"/>
      <c r="K13" s="17"/>
      <c r="L13" s="17"/>
      <c r="M13" s="17"/>
      <c r="N13" s="38"/>
      <c r="O13" s="39"/>
      <c r="P13" s="41" t="str">
        <f aca="false">IF(OR(B13="",N13=""),"",ROUND(((N13+N(O13))-(B13+N(C13)))*24,1))</f>
        <v/>
      </c>
      <c r="Q13" s="17"/>
      <c r="R13" s="17"/>
      <c r="S13" s="38"/>
      <c r="T13" s="17"/>
      <c r="U13" s="42" t="str">
        <f aca="false">IF(OR(E13="",S13="",OR(R13="Contract signed + paid",R13="Closed – No response",R13="Lost"),N(T13)&gt;=Settings!$S$3),"",S13+Settings!$S$2)</f>
        <v/>
      </c>
      <c r="V13" s="38"/>
      <c r="W13" s="39"/>
      <c r="X13" s="17"/>
      <c r="Y13" s="17"/>
      <c r="Z13" s="17"/>
      <c r="AA13" s="43" t="str">
        <f aca="true">IF(OR(E13="",B13=""),"",INT(TODAY()-B13))</f>
        <v/>
      </c>
      <c r="AB13" s="44" t="str">
        <f aca="true">IF(E13="","",IF(OR(COUNTIFS(Clients!$C$2:$C$501,E13,Clients!$S$2:$S$501,"Paid")&gt;0,AND(I13&lt;&gt;"",COUNTIFS(Clients!$E$2:$E$501,I13,Clients!$S$2:$S$501,"Paid")&gt;0)),"⚠ Refunded before – no free video",IF(OR(R13="Contract signed + paid",R13="Closed – No response",R13="Lost"),"",IF(R13="","Set a stage",IF(N(T13)&gt;=Settings!$S$3,"Close – 4 follow-ups sent",IF(U13="",IF(S13="","Make first contact",""),IF(TODAY()&gt;U13,"OVERDUE follow-up",IF(TODAY()=U13,"Follow up today",""))))))))</f>
        <v/>
      </c>
    </row>
    <row r="14" customFormat="false" ht="15" hidden="false" customHeight="false" outlineLevel="0" collapsed="false">
      <c r="A14" s="17"/>
      <c r="B14" s="38"/>
      <c r="C14" s="39"/>
      <c r="D14" s="17"/>
      <c r="E14" s="17"/>
      <c r="F14" s="17"/>
      <c r="G14" s="17"/>
      <c r="H14" s="17"/>
      <c r="I14" s="40"/>
      <c r="J14" s="17"/>
      <c r="K14" s="17"/>
      <c r="L14" s="17"/>
      <c r="M14" s="17"/>
      <c r="N14" s="38"/>
      <c r="O14" s="39"/>
      <c r="P14" s="41" t="str">
        <f aca="false">IF(OR(B14="",N14=""),"",ROUND(((N14+N(O14))-(B14+N(C14)))*24,1))</f>
        <v/>
      </c>
      <c r="Q14" s="17"/>
      <c r="R14" s="17"/>
      <c r="S14" s="38"/>
      <c r="T14" s="17"/>
      <c r="U14" s="42" t="str">
        <f aca="false">IF(OR(E14="",S14="",OR(R14="Contract signed + paid",R14="Closed – No response",R14="Lost"),N(T14)&gt;=Settings!$S$3),"",S14+Settings!$S$2)</f>
        <v/>
      </c>
      <c r="V14" s="38"/>
      <c r="W14" s="39"/>
      <c r="X14" s="17"/>
      <c r="Y14" s="17"/>
      <c r="Z14" s="17"/>
      <c r="AA14" s="43" t="str">
        <f aca="true">IF(OR(E14="",B14=""),"",INT(TODAY()-B14))</f>
        <v/>
      </c>
      <c r="AB14" s="44" t="str">
        <f aca="true">IF(E14="","",IF(OR(COUNTIFS(Clients!$C$2:$C$501,E14,Clients!$S$2:$S$501,"Paid")&gt;0,AND(I14&lt;&gt;"",COUNTIFS(Clients!$E$2:$E$501,I14,Clients!$S$2:$S$501,"Paid")&gt;0)),"⚠ Refunded before – no free video",IF(OR(R14="Contract signed + paid",R14="Closed – No response",R14="Lost"),"",IF(R14="","Set a stage",IF(N(T14)&gt;=Settings!$S$3,"Close – 4 follow-ups sent",IF(U14="",IF(S14="","Make first contact",""),IF(TODAY()&gt;U14,"OVERDUE follow-up",IF(TODAY()=U14,"Follow up today",""))))))))</f>
        <v/>
      </c>
    </row>
    <row r="15" customFormat="false" ht="15" hidden="false" customHeight="false" outlineLevel="0" collapsed="false">
      <c r="A15" s="17"/>
      <c r="B15" s="38"/>
      <c r="C15" s="39"/>
      <c r="D15" s="17"/>
      <c r="E15" s="17"/>
      <c r="F15" s="17"/>
      <c r="G15" s="17"/>
      <c r="H15" s="17"/>
      <c r="I15" s="40"/>
      <c r="J15" s="17"/>
      <c r="K15" s="17"/>
      <c r="L15" s="17"/>
      <c r="M15" s="17"/>
      <c r="N15" s="38"/>
      <c r="O15" s="39"/>
      <c r="P15" s="41" t="str">
        <f aca="false">IF(OR(B15="",N15=""),"",ROUND(((N15+N(O15))-(B15+N(C15)))*24,1))</f>
        <v/>
      </c>
      <c r="Q15" s="17"/>
      <c r="R15" s="17"/>
      <c r="S15" s="38"/>
      <c r="T15" s="17"/>
      <c r="U15" s="42" t="str">
        <f aca="false">IF(OR(E15="",S15="",OR(R15="Contract signed + paid",R15="Closed – No response",R15="Lost"),N(T15)&gt;=Settings!$S$3),"",S15+Settings!$S$2)</f>
        <v/>
      </c>
      <c r="V15" s="38"/>
      <c r="W15" s="39"/>
      <c r="X15" s="17"/>
      <c r="Y15" s="17"/>
      <c r="Z15" s="17"/>
      <c r="AA15" s="43" t="str">
        <f aca="true">IF(OR(E15="",B15=""),"",INT(TODAY()-B15))</f>
        <v/>
      </c>
      <c r="AB15" s="44" t="str">
        <f aca="true">IF(E15="","",IF(OR(COUNTIFS(Clients!$C$2:$C$501,E15,Clients!$S$2:$S$501,"Paid")&gt;0,AND(I15&lt;&gt;"",COUNTIFS(Clients!$E$2:$E$501,I15,Clients!$S$2:$S$501,"Paid")&gt;0)),"⚠ Refunded before – no free video",IF(OR(R15="Contract signed + paid",R15="Closed – No response",R15="Lost"),"",IF(R15="","Set a stage",IF(N(T15)&gt;=Settings!$S$3,"Close – 4 follow-ups sent",IF(U15="",IF(S15="","Make first contact",""),IF(TODAY()&gt;U15,"OVERDUE follow-up",IF(TODAY()=U15,"Follow up today",""))))))))</f>
        <v/>
      </c>
    </row>
    <row r="16" customFormat="false" ht="15" hidden="false" customHeight="false" outlineLevel="0" collapsed="false">
      <c r="A16" s="17"/>
      <c r="B16" s="38"/>
      <c r="C16" s="39"/>
      <c r="D16" s="17"/>
      <c r="E16" s="17"/>
      <c r="F16" s="17"/>
      <c r="G16" s="17"/>
      <c r="H16" s="17"/>
      <c r="I16" s="40"/>
      <c r="J16" s="17"/>
      <c r="K16" s="17"/>
      <c r="L16" s="17"/>
      <c r="M16" s="17"/>
      <c r="N16" s="38"/>
      <c r="O16" s="39"/>
      <c r="P16" s="41" t="str">
        <f aca="false">IF(OR(B16="",N16=""),"",ROUND(((N16+N(O16))-(B16+N(C16)))*24,1))</f>
        <v/>
      </c>
      <c r="Q16" s="17"/>
      <c r="R16" s="17"/>
      <c r="S16" s="38"/>
      <c r="T16" s="17"/>
      <c r="U16" s="42" t="str">
        <f aca="false">IF(OR(E16="",S16="",OR(R16="Contract signed + paid",R16="Closed – No response",R16="Lost"),N(T16)&gt;=Settings!$S$3),"",S16+Settings!$S$2)</f>
        <v/>
      </c>
      <c r="V16" s="38"/>
      <c r="W16" s="39"/>
      <c r="X16" s="17"/>
      <c r="Y16" s="17"/>
      <c r="Z16" s="17"/>
      <c r="AA16" s="43" t="str">
        <f aca="true">IF(OR(E16="",B16=""),"",INT(TODAY()-B16))</f>
        <v/>
      </c>
      <c r="AB16" s="44" t="str">
        <f aca="true">IF(E16="","",IF(OR(COUNTIFS(Clients!$C$2:$C$501,E16,Clients!$S$2:$S$501,"Paid")&gt;0,AND(I16&lt;&gt;"",COUNTIFS(Clients!$E$2:$E$501,I16,Clients!$S$2:$S$501,"Paid")&gt;0)),"⚠ Refunded before – no free video",IF(OR(R16="Contract signed + paid",R16="Closed – No response",R16="Lost"),"",IF(R16="","Set a stage",IF(N(T16)&gt;=Settings!$S$3,"Close – 4 follow-ups sent",IF(U16="",IF(S16="","Make first contact",""),IF(TODAY()&gt;U16,"OVERDUE follow-up",IF(TODAY()=U16,"Follow up today",""))))))))</f>
        <v/>
      </c>
    </row>
    <row r="17" customFormat="false" ht="15" hidden="false" customHeight="false" outlineLevel="0" collapsed="false">
      <c r="A17" s="17"/>
      <c r="B17" s="38"/>
      <c r="C17" s="39"/>
      <c r="D17" s="17"/>
      <c r="E17" s="17"/>
      <c r="F17" s="17"/>
      <c r="G17" s="17"/>
      <c r="H17" s="17"/>
      <c r="I17" s="40"/>
      <c r="J17" s="17"/>
      <c r="K17" s="17"/>
      <c r="L17" s="17"/>
      <c r="M17" s="17"/>
      <c r="N17" s="38"/>
      <c r="O17" s="39"/>
      <c r="P17" s="41" t="str">
        <f aca="false">IF(OR(B17="",N17=""),"",ROUND(((N17+N(O17))-(B17+N(C17)))*24,1))</f>
        <v/>
      </c>
      <c r="Q17" s="17"/>
      <c r="R17" s="17"/>
      <c r="S17" s="38"/>
      <c r="T17" s="17"/>
      <c r="U17" s="42" t="str">
        <f aca="false">IF(OR(E17="",S17="",OR(R17="Contract signed + paid",R17="Closed – No response",R17="Lost"),N(T17)&gt;=Settings!$S$3),"",S17+Settings!$S$2)</f>
        <v/>
      </c>
      <c r="V17" s="38"/>
      <c r="W17" s="39"/>
      <c r="X17" s="17"/>
      <c r="Y17" s="17"/>
      <c r="Z17" s="17"/>
      <c r="AA17" s="43" t="str">
        <f aca="true">IF(OR(E17="",B17=""),"",INT(TODAY()-B17))</f>
        <v/>
      </c>
      <c r="AB17" s="44" t="str">
        <f aca="true">IF(E17="","",IF(OR(COUNTIFS(Clients!$C$2:$C$501,E17,Clients!$S$2:$S$501,"Paid")&gt;0,AND(I17&lt;&gt;"",COUNTIFS(Clients!$E$2:$E$501,I17,Clients!$S$2:$S$501,"Paid")&gt;0)),"⚠ Refunded before – no free video",IF(OR(R17="Contract signed + paid",R17="Closed – No response",R17="Lost"),"",IF(R17="","Set a stage",IF(N(T17)&gt;=Settings!$S$3,"Close – 4 follow-ups sent",IF(U17="",IF(S17="","Make first contact",""),IF(TODAY()&gt;U17,"OVERDUE follow-up",IF(TODAY()=U17,"Follow up today",""))))))))</f>
        <v/>
      </c>
    </row>
    <row r="18" customFormat="false" ht="15" hidden="false" customHeight="false" outlineLevel="0" collapsed="false">
      <c r="A18" s="17"/>
      <c r="B18" s="38"/>
      <c r="C18" s="39"/>
      <c r="D18" s="17"/>
      <c r="E18" s="17"/>
      <c r="F18" s="17"/>
      <c r="G18" s="17"/>
      <c r="H18" s="17"/>
      <c r="I18" s="40"/>
      <c r="J18" s="17"/>
      <c r="K18" s="17"/>
      <c r="L18" s="17"/>
      <c r="M18" s="17"/>
      <c r="N18" s="38"/>
      <c r="O18" s="39"/>
      <c r="P18" s="41" t="str">
        <f aca="false">IF(OR(B18="",N18=""),"",ROUND(((N18+N(O18))-(B18+N(C18)))*24,1))</f>
        <v/>
      </c>
      <c r="Q18" s="17"/>
      <c r="R18" s="17"/>
      <c r="S18" s="38"/>
      <c r="T18" s="17"/>
      <c r="U18" s="42" t="str">
        <f aca="false">IF(OR(E18="",S18="",OR(R18="Contract signed + paid",R18="Closed – No response",R18="Lost"),N(T18)&gt;=Settings!$S$3),"",S18+Settings!$S$2)</f>
        <v/>
      </c>
      <c r="V18" s="38"/>
      <c r="W18" s="39"/>
      <c r="X18" s="17"/>
      <c r="Y18" s="17"/>
      <c r="Z18" s="17"/>
      <c r="AA18" s="43" t="str">
        <f aca="true">IF(OR(E18="",B18=""),"",INT(TODAY()-B18))</f>
        <v/>
      </c>
      <c r="AB18" s="44" t="str">
        <f aca="true">IF(E18="","",IF(OR(COUNTIFS(Clients!$C$2:$C$501,E18,Clients!$S$2:$S$501,"Paid")&gt;0,AND(I18&lt;&gt;"",COUNTIFS(Clients!$E$2:$E$501,I18,Clients!$S$2:$S$501,"Paid")&gt;0)),"⚠ Refunded before – no free video",IF(OR(R18="Contract signed + paid",R18="Closed – No response",R18="Lost"),"",IF(R18="","Set a stage",IF(N(T18)&gt;=Settings!$S$3,"Close – 4 follow-ups sent",IF(U18="",IF(S18="","Make first contact",""),IF(TODAY()&gt;U18,"OVERDUE follow-up",IF(TODAY()=U18,"Follow up today",""))))))))</f>
        <v/>
      </c>
    </row>
    <row r="19" customFormat="false" ht="15" hidden="false" customHeight="false" outlineLevel="0" collapsed="false">
      <c r="A19" s="17"/>
      <c r="B19" s="38"/>
      <c r="C19" s="39"/>
      <c r="D19" s="17"/>
      <c r="E19" s="17"/>
      <c r="F19" s="17"/>
      <c r="G19" s="17"/>
      <c r="H19" s="17"/>
      <c r="I19" s="40"/>
      <c r="J19" s="17"/>
      <c r="K19" s="17"/>
      <c r="L19" s="17"/>
      <c r="M19" s="17"/>
      <c r="N19" s="38"/>
      <c r="O19" s="39"/>
      <c r="P19" s="41" t="str">
        <f aca="false">IF(OR(B19="",N19=""),"",ROUND(((N19+N(O19))-(B19+N(C19)))*24,1))</f>
        <v/>
      </c>
      <c r="Q19" s="17"/>
      <c r="R19" s="17"/>
      <c r="S19" s="38"/>
      <c r="T19" s="17"/>
      <c r="U19" s="42" t="str">
        <f aca="false">IF(OR(E19="",S19="",OR(R19="Contract signed + paid",R19="Closed – No response",R19="Lost"),N(T19)&gt;=Settings!$S$3),"",S19+Settings!$S$2)</f>
        <v/>
      </c>
      <c r="V19" s="38"/>
      <c r="W19" s="39"/>
      <c r="X19" s="17"/>
      <c r="Y19" s="17"/>
      <c r="Z19" s="17"/>
      <c r="AA19" s="43" t="str">
        <f aca="true">IF(OR(E19="",B19=""),"",INT(TODAY()-B19))</f>
        <v/>
      </c>
      <c r="AB19" s="44" t="str">
        <f aca="true">IF(E19="","",IF(OR(COUNTIFS(Clients!$C$2:$C$501,E19,Clients!$S$2:$S$501,"Paid")&gt;0,AND(I19&lt;&gt;"",COUNTIFS(Clients!$E$2:$E$501,I19,Clients!$S$2:$S$501,"Paid")&gt;0)),"⚠ Refunded before – no free video",IF(OR(R19="Contract signed + paid",R19="Closed – No response",R19="Lost"),"",IF(R19="","Set a stage",IF(N(T19)&gt;=Settings!$S$3,"Close – 4 follow-ups sent",IF(U19="",IF(S19="","Make first contact",""),IF(TODAY()&gt;U19,"OVERDUE follow-up",IF(TODAY()=U19,"Follow up today",""))))))))</f>
        <v/>
      </c>
    </row>
    <row r="20" customFormat="false" ht="15" hidden="false" customHeight="false" outlineLevel="0" collapsed="false">
      <c r="A20" s="17"/>
      <c r="B20" s="38"/>
      <c r="C20" s="39"/>
      <c r="D20" s="17"/>
      <c r="E20" s="17"/>
      <c r="F20" s="17"/>
      <c r="G20" s="17"/>
      <c r="H20" s="17"/>
      <c r="I20" s="40"/>
      <c r="J20" s="17"/>
      <c r="K20" s="17"/>
      <c r="L20" s="17"/>
      <c r="M20" s="17"/>
      <c r="N20" s="38"/>
      <c r="O20" s="39"/>
      <c r="P20" s="41" t="str">
        <f aca="false">IF(OR(B20="",N20=""),"",ROUND(((N20+N(O20))-(B20+N(C20)))*24,1))</f>
        <v/>
      </c>
      <c r="Q20" s="17"/>
      <c r="R20" s="17"/>
      <c r="S20" s="38"/>
      <c r="T20" s="17"/>
      <c r="U20" s="42" t="str">
        <f aca="false">IF(OR(E20="",S20="",OR(R20="Contract signed + paid",R20="Closed – No response",R20="Lost"),N(T20)&gt;=Settings!$S$3),"",S20+Settings!$S$2)</f>
        <v/>
      </c>
      <c r="V20" s="38"/>
      <c r="W20" s="39"/>
      <c r="X20" s="17"/>
      <c r="Y20" s="17"/>
      <c r="Z20" s="17"/>
      <c r="AA20" s="43" t="str">
        <f aca="true">IF(OR(E20="",B20=""),"",INT(TODAY()-B20))</f>
        <v/>
      </c>
      <c r="AB20" s="44" t="str">
        <f aca="true">IF(E20="","",IF(OR(COUNTIFS(Clients!$C$2:$C$501,E20,Clients!$S$2:$S$501,"Paid")&gt;0,AND(I20&lt;&gt;"",COUNTIFS(Clients!$E$2:$E$501,I20,Clients!$S$2:$S$501,"Paid")&gt;0)),"⚠ Refunded before – no free video",IF(OR(R20="Contract signed + paid",R20="Closed – No response",R20="Lost"),"",IF(R20="","Set a stage",IF(N(T20)&gt;=Settings!$S$3,"Close – 4 follow-ups sent",IF(U20="",IF(S20="","Make first contact",""),IF(TODAY()&gt;U20,"OVERDUE follow-up",IF(TODAY()=U20,"Follow up today",""))))))))</f>
        <v/>
      </c>
    </row>
    <row r="21" customFormat="false" ht="15" hidden="false" customHeight="false" outlineLevel="0" collapsed="false">
      <c r="A21" s="17"/>
      <c r="B21" s="38"/>
      <c r="C21" s="39"/>
      <c r="D21" s="17"/>
      <c r="E21" s="17"/>
      <c r="F21" s="17"/>
      <c r="G21" s="17"/>
      <c r="H21" s="17"/>
      <c r="I21" s="40"/>
      <c r="J21" s="17"/>
      <c r="K21" s="17"/>
      <c r="L21" s="17"/>
      <c r="M21" s="17"/>
      <c r="N21" s="38"/>
      <c r="O21" s="39"/>
      <c r="P21" s="41" t="str">
        <f aca="false">IF(OR(B21="",N21=""),"",ROUND(((N21+N(O21))-(B21+N(C21)))*24,1))</f>
        <v/>
      </c>
      <c r="Q21" s="17"/>
      <c r="R21" s="17"/>
      <c r="S21" s="38"/>
      <c r="T21" s="17"/>
      <c r="U21" s="42" t="str">
        <f aca="false">IF(OR(E21="",S21="",OR(R21="Contract signed + paid",R21="Closed – No response",R21="Lost"),N(T21)&gt;=Settings!$S$3),"",S21+Settings!$S$2)</f>
        <v/>
      </c>
      <c r="V21" s="38"/>
      <c r="W21" s="39"/>
      <c r="X21" s="17"/>
      <c r="Y21" s="17"/>
      <c r="Z21" s="17"/>
      <c r="AA21" s="43" t="str">
        <f aca="true">IF(OR(E21="",B21=""),"",INT(TODAY()-B21))</f>
        <v/>
      </c>
      <c r="AB21" s="44" t="str">
        <f aca="true">IF(E21="","",IF(OR(COUNTIFS(Clients!$C$2:$C$501,E21,Clients!$S$2:$S$501,"Paid")&gt;0,AND(I21&lt;&gt;"",COUNTIFS(Clients!$E$2:$E$501,I21,Clients!$S$2:$S$501,"Paid")&gt;0)),"⚠ Refunded before – no free video",IF(OR(R21="Contract signed + paid",R21="Closed – No response",R21="Lost"),"",IF(R21="","Set a stage",IF(N(T21)&gt;=Settings!$S$3,"Close – 4 follow-ups sent",IF(U21="",IF(S21="","Make first contact",""),IF(TODAY()&gt;U21,"OVERDUE follow-up",IF(TODAY()=U21,"Follow up today",""))))))))</f>
        <v/>
      </c>
    </row>
    <row r="22" customFormat="false" ht="15" hidden="false" customHeight="false" outlineLevel="0" collapsed="false">
      <c r="A22" s="17"/>
      <c r="B22" s="38"/>
      <c r="C22" s="39"/>
      <c r="D22" s="17"/>
      <c r="E22" s="17"/>
      <c r="F22" s="17"/>
      <c r="G22" s="17"/>
      <c r="H22" s="17"/>
      <c r="I22" s="40"/>
      <c r="J22" s="17"/>
      <c r="K22" s="17"/>
      <c r="L22" s="17"/>
      <c r="M22" s="17"/>
      <c r="N22" s="38"/>
      <c r="O22" s="39"/>
      <c r="P22" s="41" t="str">
        <f aca="false">IF(OR(B22="",N22=""),"",ROUND(((N22+N(O22))-(B22+N(C22)))*24,1))</f>
        <v/>
      </c>
      <c r="Q22" s="17"/>
      <c r="R22" s="17"/>
      <c r="S22" s="38"/>
      <c r="T22" s="17"/>
      <c r="U22" s="42" t="str">
        <f aca="false">IF(OR(E22="",S22="",OR(R22="Contract signed + paid",R22="Closed – No response",R22="Lost"),N(T22)&gt;=Settings!$S$3),"",S22+Settings!$S$2)</f>
        <v/>
      </c>
      <c r="V22" s="38"/>
      <c r="W22" s="39"/>
      <c r="X22" s="17"/>
      <c r="Y22" s="17"/>
      <c r="Z22" s="17"/>
      <c r="AA22" s="43" t="str">
        <f aca="true">IF(OR(E22="",B22=""),"",INT(TODAY()-B22))</f>
        <v/>
      </c>
      <c r="AB22" s="44" t="str">
        <f aca="true">IF(E22="","",IF(OR(COUNTIFS(Clients!$C$2:$C$501,E22,Clients!$S$2:$S$501,"Paid")&gt;0,AND(I22&lt;&gt;"",COUNTIFS(Clients!$E$2:$E$501,I22,Clients!$S$2:$S$501,"Paid")&gt;0)),"⚠ Refunded before – no free video",IF(OR(R22="Contract signed + paid",R22="Closed – No response",R22="Lost"),"",IF(R22="","Set a stage",IF(N(T22)&gt;=Settings!$S$3,"Close – 4 follow-ups sent",IF(U22="",IF(S22="","Make first contact",""),IF(TODAY()&gt;U22,"OVERDUE follow-up",IF(TODAY()=U22,"Follow up today",""))))))))</f>
        <v/>
      </c>
    </row>
    <row r="23" customFormat="false" ht="15" hidden="false" customHeight="false" outlineLevel="0" collapsed="false">
      <c r="A23" s="17"/>
      <c r="B23" s="38"/>
      <c r="C23" s="39"/>
      <c r="D23" s="17"/>
      <c r="E23" s="17"/>
      <c r="F23" s="17"/>
      <c r="G23" s="17"/>
      <c r="H23" s="17"/>
      <c r="I23" s="40"/>
      <c r="J23" s="17"/>
      <c r="K23" s="17"/>
      <c r="L23" s="17"/>
      <c r="M23" s="17"/>
      <c r="N23" s="38"/>
      <c r="O23" s="39"/>
      <c r="P23" s="41" t="str">
        <f aca="false">IF(OR(B23="",N23=""),"",ROUND(((N23+N(O23))-(B23+N(C23)))*24,1))</f>
        <v/>
      </c>
      <c r="Q23" s="17"/>
      <c r="R23" s="17"/>
      <c r="S23" s="38"/>
      <c r="T23" s="17"/>
      <c r="U23" s="42" t="str">
        <f aca="false">IF(OR(E23="",S23="",OR(R23="Contract signed + paid",R23="Closed – No response",R23="Lost"),N(T23)&gt;=Settings!$S$3),"",S23+Settings!$S$2)</f>
        <v/>
      </c>
      <c r="V23" s="38"/>
      <c r="W23" s="39"/>
      <c r="X23" s="17"/>
      <c r="Y23" s="17"/>
      <c r="Z23" s="17"/>
      <c r="AA23" s="43" t="str">
        <f aca="true">IF(OR(E23="",B23=""),"",INT(TODAY()-B23))</f>
        <v/>
      </c>
      <c r="AB23" s="44" t="str">
        <f aca="true">IF(E23="","",IF(OR(COUNTIFS(Clients!$C$2:$C$501,E23,Clients!$S$2:$S$501,"Paid")&gt;0,AND(I23&lt;&gt;"",COUNTIFS(Clients!$E$2:$E$501,I23,Clients!$S$2:$S$501,"Paid")&gt;0)),"⚠ Refunded before – no free video",IF(OR(R23="Contract signed + paid",R23="Closed – No response",R23="Lost"),"",IF(R23="","Set a stage",IF(N(T23)&gt;=Settings!$S$3,"Close – 4 follow-ups sent",IF(U23="",IF(S23="","Make first contact",""),IF(TODAY()&gt;U23,"OVERDUE follow-up",IF(TODAY()=U23,"Follow up today",""))))))))</f>
        <v/>
      </c>
    </row>
    <row r="24" customFormat="false" ht="15" hidden="false" customHeight="false" outlineLevel="0" collapsed="false">
      <c r="A24" s="17"/>
      <c r="B24" s="38"/>
      <c r="C24" s="39"/>
      <c r="D24" s="17"/>
      <c r="E24" s="17"/>
      <c r="F24" s="17"/>
      <c r="G24" s="17"/>
      <c r="H24" s="17"/>
      <c r="I24" s="40"/>
      <c r="J24" s="17"/>
      <c r="K24" s="17"/>
      <c r="L24" s="17"/>
      <c r="M24" s="17"/>
      <c r="N24" s="38"/>
      <c r="O24" s="39"/>
      <c r="P24" s="41" t="str">
        <f aca="false">IF(OR(B24="",N24=""),"",ROUND(((N24+N(O24))-(B24+N(C24)))*24,1))</f>
        <v/>
      </c>
      <c r="Q24" s="17"/>
      <c r="R24" s="17"/>
      <c r="S24" s="38"/>
      <c r="T24" s="17"/>
      <c r="U24" s="42" t="str">
        <f aca="false">IF(OR(E24="",S24="",OR(R24="Contract signed + paid",R24="Closed – No response",R24="Lost"),N(T24)&gt;=Settings!$S$3),"",S24+Settings!$S$2)</f>
        <v/>
      </c>
      <c r="V24" s="38"/>
      <c r="W24" s="39"/>
      <c r="X24" s="17"/>
      <c r="Y24" s="17"/>
      <c r="Z24" s="17"/>
      <c r="AA24" s="43" t="str">
        <f aca="true">IF(OR(E24="",B24=""),"",INT(TODAY()-B24))</f>
        <v/>
      </c>
      <c r="AB24" s="44" t="str">
        <f aca="true">IF(E24="","",IF(OR(COUNTIFS(Clients!$C$2:$C$501,E24,Clients!$S$2:$S$501,"Paid")&gt;0,AND(I24&lt;&gt;"",COUNTIFS(Clients!$E$2:$E$501,I24,Clients!$S$2:$S$501,"Paid")&gt;0)),"⚠ Refunded before – no free video",IF(OR(R24="Contract signed + paid",R24="Closed – No response",R24="Lost"),"",IF(R24="","Set a stage",IF(N(T24)&gt;=Settings!$S$3,"Close – 4 follow-ups sent",IF(U24="",IF(S24="","Make first contact",""),IF(TODAY()&gt;U24,"OVERDUE follow-up",IF(TODAY()=U24,"Follow up today",""))))))))</f>
        <v/>
      </c>
    </row>
    <row r="25" customFormat="false" ht="15" hidden="false" customHeight="false" outlineLevel="0" collapsed="false">
      <c r="A25" s="17"/>
      <c r="B25" s="38"/>
      <c r="C25" s="39"/>
      <c r="D25" s="17"/>
      <c r="E25" s="17"/>
      <c r="F25" s="17"/>
      <c r="G25" s="17"/>
      <c r="H25" s="17"/>
      <c r="I25" s="40"/>
      <c r="J25" s="17"/>
      <c r="K25" s="17"/>
      <c r="L25" s="17"/>
      <c r="M25" s="17"/>
      <c r="N25" s="38"/>
      <c r="O25" s="39"/>
      <c r="P25" s="41" t="str">
        <f aca="false">IF(OR(B25="",N25=""),"",ROUND(((N25+N(O25))-(B25+N(C25)))*24,1))</f>
        <v/>
      </c>
      <c r="Q25" s="17"/>
      <c r="R25" s="17"/>
      <c r="S25" s="38"/>
      <c r="T25" s="17"/>
      <c r="U25" s="42" t="str">
        <f aca="false">IF(OR(E25="",S25="",OR(R25="Contract signed + paid",R25="Closed – No response",R25="Lost"),N(T25)&gt;=Settings!$S$3),"",S25+Settings!$S$2)</f>
        <v/>
      </c>
      <c r="V25" s="38"/>
      <c r="W25" s="39"/>
      <c r="X25" s="17"/>
      <c r="Y25" s="17"/>
      <c r="Z25" s="17"/>
      <c r="AA25" s="43" t="str">
        <f aca="true">IF(OR(E25="",B25=""),"",INT(TODAY()-B25))</f>
        <v/>
      </c>
      <c r="AB25" s="44" t="str">
        <f aca="true">IF(E25="","",IF(OR(COUNTIFS(Clients!$C$2:$C$501,E25,Clients!$S$2:$S$501,"Paid")&gt;0,AND(I25&lt;&gt;"",COUNTIFS(Clients!$E$2:$E$501,I25,Clients!$S$2:$S$501,"Paid")&gt;0)),"⚠ Refunded before – no free video",IF(OR(R25="Contract signed + paid",R25="Closed – No response",R25="Lost"),"",IF(R25="","Set a stage",IF(N(T25)&gt;=Settings!$S$3,"Close – 4 follow-ups sent",IF(U25="",IF(S25="","Make first contact",""),IF(TODAY()&gt;U25,"OVERDUE follow-up",IF(TODAY()=U25,"Follow up today",""))))))))</f>
        <v/>
      </c>
    </row>
    <row r="26" customFormat="false" ht="15" hidden="false" customHeight="false" outlineLevel="0" collapsed="false">
      <c r="A26" s="17"/>
      <c r="B26" s="38"/>
      <c r="C26" s="39"/>
      <c r="D26" s="17"/>
      <c r="E26" s="17"/>
      <c r="F26" s="17"/>
      <c r="G26" s="17"/>
      <c r="H26" s="17"/>
      <c r="I26" s="40"/>
      <c r="J26" s="17"/>
      <c r="K26" s="17"/>
      <c r="L26" s="17"/>
      <c r="M26" s="17"/>
      <c r="N26" s="38"/>
      <c r="O26" s="39"/>
      <c r="P26" s="41" t="str">
        <f aca="false">IF(OR(B26="",N26=""),"",ROUND(((N26+N(O26))-(B26+N(C26)))*24,1))</f>
        <v/>
      </c>
      <c r="Q26" s="17"/>
      <c r="R26" s="17"/>
      <c r="S26" s="38"/>
      <c r="T26" s="17"/>
      <c r="U26" s="42" t="str">
        <f aca="false">IF(OR(E26="",S26="",OR(R26="Contract signed + paid",R26="Closed – No response",R26="Lost"),N(T26)&gt;=Settings!$S$3),"",S26+Settings!$S$2)</f>
        <v/>
      </c>
      <c r="V26" s="38"/>
      <c r="W26" s="39"/>
      <c r="X26" s="17"/>
      <c r="Y26" s="17"/>
      <c r="Z26" s="17"/>
      <c r="AA26" s="43" t="str">
        <f aca="true">IF(OR(E26="",B26=""),"",INT(TODAY()-B26))</f>
        <v/>
      </c>
      <c r="AB26" s="44" t="str">
        <f aca="true">IF(E26="","",IF(OR(COUNTIFS(Clients!$C$2:$C$501,E26,Clients!$S$2:$S$501,"Paid")&gt;0,AND(I26&lt;&gt;"",COUNTIFS(Clients!$E$2:$E$501,I26,Clients!$S$2:$S$501,"Paid")&gt;0)),"⚠ Refunded before – no free video",IF(OR(R26="Contract signed + paid",R26="Closed – No response",R26="Lost"),"",IF(R26="","Set a stage",IF(N(T26)&gt;=Settings!$S$3,"Close – 4 follow-ups sent",IF(U26="",IF(S26="","Make first contact",""),IF(TODAY()&gt;U26,"OVERDUE follow-up",IF(TODAY()=U26,"Follow up today",""))))))))</f>
        <v/>
      </c>
    </row>
    <row r="27" customFormat="false" ht="15" hidden="false" customHeight="false" outlineLevel="0" collapsed="false">
      <c r="A27" s="17"/>
      <c r="B27" s="38"/>
      <c r="C27" s="39"/>
      <c r="D27" s="17"/>
      <c r="E27" s="17"/>
      <c r="F27" s="17"/>
      <c r="G27" s="17"/>
      <c r="H27" s="17"/>
      <c r="I27" s="40"/>
      <c r="J27" s="17"/>
      <c r="K27" s="17"/>
      <c r="L27" s="17"/>
      <c r="M27" s="17"/>
      <c r="N27" s="38"/>
      <c r="O27" s="39"/>
      <c r="P27" s="41" t="str">
        <f aca="false">IF(OR(B27="",N27=""),"",ROUND(((N27+N(O27))-(B27+N(C27)))*24,1))</f>
        <v/>
      </c>
      <c r="Q27" s="17"/>
      <c r="R27" s="17"/>
      <c r="S27" s="38"/>
      <c r="T27" s="17"/>
      <c r="U27" s="42" t="str">
        <f aca="false">IF(OR(E27="",S27="",OR(R27="Contract signed + paid",R27="Closed – No response",R27="Lost"),N(T27)&gt;=Settings!$S$3),"",S27+Settings!$S$2)</f>
        <v/>
      </c>
      <c r="V27" s="38"/>
      <c r="W27" s="39"/>
      <c r="X27" s="17"/>
      <c r="Y27" s="17"/>
      <c r="Z27" s="17"/>
      <c r="AA27" s="43" t="str">
        <f aca="true">IF(OR(E27="",B27=""),"",INT(TODAY()-B27))</f>
        <v/>
      </c>
      <c r="AB27" s="44" t="str">
        <f aca="true">IF(E27="","",IF(OR(COUNTIFS(Clients!$C$2:$C$501,E27,Clients!$S$2:$S$501,"Paid")&gt;0,AND(I27&lt;&gt;"",COUNTIFS(Clients!$E$2:$E$501,I27,Clients!$S$2:$S$501,"Paid")&gt;0)),"⚠ Refunded before – no free video",IF(OR(R27="Contract signed + paid",R27="Closed – No response",R27="Lost"),"",IF(R27="","Set a stage",IF(N(T27)&gt;=Settings!$S$3,"Close – 4 follow-ups sent",IF(U27="",IF(S27="","Make first contact",""),IF(TODAY()&gt;U27,"OVERDUE follow-up",IF(TODAY()=U27,"Follow up today",""))))))))</f>
        <v/>
      </c>
    </row>
    <row r="28" customFormat="false" ht="15" hidden="false" customHeight="false" outlineLevel="0" collapsed="false">
      <c r="A28" s="17"/>
      <c r="B28" s="38"/>
      <c r="C28" s="39"/>
      <c r="D28" s="17"/>
      <c r="E28" s="17"/>
      <c r="F28" s="17"/>
      <c r="G28" s="17"/>
      <c r="H28" s="17"/>
      <c r="I28" s="40"/>
      <c r="J28" s="17"/>
      <c r="K28" s="17"/>
      <c r="L28" s="17"/>
      <c r="M28" s="17"/>
      <c r="N28" s="38"/>
      <c r="O28" s="39"/>
      <c r="P28" s="41" t="str">
        <f aca="false">IF(OR(B28="",N28=""),"",ROUND(((N28+N(O28))-(B28+N(C28)))*24,1))</f>
        <v/>
      </c>
      <c r="Q28" s="17"/>
      <c r="R28" s="17"/>
      <c r="S28" s="38"/>
      <c r="T28" s="17"/>
      <c r="U28" s="42" t="str">
        <f aca="false">IF(OR(E28="",S28="",OR(R28="Contract signed + paid",R28="Closed – No response",R28="Lost"),N(T28)&gt;=Settings!$S$3),"",S28+Settings!$S$2)</f>
        <v/>
      </c>
      <c r="V28" s="38"/>
      <c r="W28" s="39"/>
      <c r="X28" s="17"/>
      <c r="Y28" s="17"/>
      <c r="Z28" s="17"/>
      <c r="AA28" s="43" t="str">
        <f aca="true">IF(OR(E28="",B28=""),"",INT(TODAY()-B28))</f>
        <v/>
      </c>
      <c r="AB28" s="44" t="str">
        <f aca="true">IF(E28="","",IF(OR(COUNTIFS(Clients!$C$2:$C$501,E28,Clients!$S$2:$S$501,"Paid")&gt;0,AND(I28&lt;&gt;"",COUNTIFS(Clients!$E$2:$E$501,I28,Clients!$S$2:$S$501,"Paid")&gt;0)),"⚠ Refunded before – no free video",IF(OR(R28="Contract signed + paid",R28="Closed – No response",R28="Lost"),"",IF(R28="","Set a stage",IF(N(T28)&gt;=Settings!$S$3,"Close – 4 follow-ups sent",IF(U28="",IF(S28="","Make first contact",""),IF(TODAY()&gt;U28,"OVERDUE follow-up",IF(TODAY()=U28,"Follow up today",""))))))))</f>
        <v/>
      </c>
    </row>
    <row r="29" customFormat="false" ht="15" hidden="false" customHeight="false" outlineLevel="0" collapsed="false">
      <c r="A29" s="17"/>
      <c r="B29" s="38"/>
      <c r="C29" s="39"/>
      <c r="D29" s="17"/>
      <c r="E29" s="17"/>
      <c r="F29" s="17"/>
      <c r="G29" s="17"/>
      <c r="H29" s="17"/>
      <c r="I29" s="40"/>
      <c r="J29" s="17"/>
      <c r="K29" s="17"/>
      <c r="L29" s="17"/>
      <c r="M29" s="17"/>
      <c r="N29" s="38"/>
      <c r="O29" s="39"/>
      <c r="P29" s="41" t="str">
        <f aca="false">IF(OR(B29="",N29=""),"",ROUND(((N29+N(O29))-(B29+N(C29)))*24,1))</f>
        <v/>
      </c>
      <c r="Q29" s="17"/>
      <c r="R29" s="17"/>
      <c r="S29" s="38"/>
      <c r="T29" s="17"/>
      <c r="U29" s="42" t="str">
        <f aca="false">IF(OR(E29="",S29="",OR(R29="Contract signed + paid",R29="Closed – No response",R29="Lost"),N(T29)&gt;=Settings!$S$3),"",S29+Settings!$S$2)</f>
        <v/>
      </c>
      <c r="V29" s="38"/>
      <c r="W29" s="39"/>
      <c r="X29" s="17"/>
      <c r="Y29" s="17"/>
      <c r="Z29" s="17"/>
      <c r="AA29" s="43" t="str">
        <f aca="true">IF(OR(E29="",B29=""),"",INT(TODAY()-B29))</f>
        <v/>
      </c>
      <c r="AB29" s="44" t="str">
        <f aca="true">IF(E29="","",IF(OR(COUNTIFS(Clients!$C$2:$C$501,E29,Clients!$S$2:$S$501,"Paid")&gt;0,AND(I29&lt;&gt;"",COUNTIFS(Clients!$E$2:$E$501,I29,Clients!$S$2:$S$501,"Paid")&gt;0)),"⚠ Refunded before – no free video",IF(OR(R29="Contract signed + paid",R29="Closed – No response",R29="Lost"),"",IF(R29="","Set a stage",IF(N(T29)&gt;=Settings!$S$3,"Close – 4 follow-ups sent",IF(U29="",IF(S29="","Make first contact",""),IF(TODAY()&gt;U29,"OVERDUE follow-up",IF(TODAY()=U29,"Follow up today",""))))))))</f>
        <v/>
      </c>
    </row>
    <row r="30" customFormat="false" ht="15" hidden="false" customHeight="false" outlineLevel="0" collapsed="false">
      <c r="A30" s="17"/>
      <c r="B30" s="38"/>
      <c r="C30" s="39"/>
      <c r="D30" s="17"/>
      <c r="E30" s="17"/>
      <c r="F30" s="17"/>
      <c r="G30" s="17"/>
      <c r="H30" s="17"/>
      <c r="I30" s="40"/>
      <c r="J30" s="17"/>
      <c r="K30" s="17"/>
      <c r="L30" s="17"/>
      <c r="M30" s="17"/>
      <c r="N30" s="38"/>
      <c r="O30" s="39"/>
      <c r="P30" s="41" t="str">
        <f aca="false">IF(OR(B30="",N30=""),"",ROUND(((N30+N(O30))-(B30+N(C30)))*24,1))</f>
        <v/>
      </c>
      <c r="Q30" s="17"/>
      <c r="R30" s="17"/>
      <c r="S30" s="38"/>
      <c r="T30" s="17"/>
      <c r="U30" s="42" t="str">
        <f aca="false">IF(OR(E30="",S30="",OR(R30="Contract signed + paid",R30="Closed – No response",R30="Lost"),N(T30)&gt;=Settings!$S$3),"",S30+Settings!$S$2)</f>
        <v/>
      </c>
      <c r="V30" s="38"/>
      <c r="W30" s="39"/>
      <c r="X30" s="17"/>
      <c r="Y30" s="17"/>
      <c r="Z30" s="17"/>
      <c r="AA30" s="43" t="str">
        <f aca="true">IF(OR(E30="",B30=""),"",INT(TODAY()-B30))</f>
        <v/>
      </c>
      <c r="AB30" s="44" t="str">
        <f aca="true">IF(E30="","",IF(OR(COUNTIFS(Clients!$C$2:$C$501,E30,Clients!$S$2:$S$501,"Paid")&gt;0,AND(I30&lt;&gt;"",COUNTIFS(Clients!$E$2:$E$501,I30,Clients!$S$2:$S$501,"Paid")&gt;0)),"⚠ Refunded before – no free video",IF(OR(R30="Contract signed + paid",R30="Closed – No response",R30="Lost"),"",IF(R30="","Set a stage",IF(N(T30)&gt;=Settings!$S$3,"Close – 4 follow-ups sent",IF(U30="",IF(S30="","Make first contact",""),IF(TODAY()&gt;U30,"OVERDUE follow-up",IF(TODAY()=U30,"Follow up today",""))))))))</f>
        <v/>
      </c>
    </row>
    <row r="31" customFormat="false" ht="15" hidden="false" customHeight="false" outlineLevel="0" collapsed="false">
      <c r="A31" s="17"/>
      <c r="B31" s="38"/>
      <c r="C31" s="39"/>
      <c r="D31" s="17"/>
      <c r="E31" s="17"/>
      <c r="F31" s="17"/>
      <c r="G31" s="17"/>
      <c r="H31" s="17"/>
      <c r="I31" s="40"/>
      <c r="J31" s="17"/>
      <c r="K31" s="17"/>
      <c r="L31" s="17"/>
      <c r="M31" s="17"/>
      <c r="N31" s="38"/>
      <c r="O31" s="39"/>
      <c r="P31" s="41" t="str">
        <f aca="false">IF(OR(B31="",N31=""),"",ROUND(((N31+N(O31))-(B31+N(C31)))*24,1))</f>
        <v/>
      </c>
      <c r="Q31" s="17"/>
      <c r="R31" s="17"/>
      <c r="S31" s="38"/>
      <c r="T31" s="17"/>
      <c r="U31" s="42" t="str">
        <f aca="false">IF(OR(E31="",S31="",OR(R31="Contract signed + paid",R31="Closed – No response",R31="Lost"),N(T31)&gt;=Settings!$S$3),"",S31+Settings!$S$2)</f>
        <v/>
      </c>
      <c r="V31" s="38"/>
      <c r="W31" s="39"/>
      <c r="X31" s="17"/>
      <c r="Y31" s="17"/>
      <c r="Z31" s="17"/>
      <c r="AA31" s="43" t="str">
        <f aca="true">IF(OR(E31="",B31=""),"",INT(TODAY()-B31))</f>
        <v/>
      </c>
      <c r="AB31" s="44" t="str">
        <f aca="true">IF(E31="","",IF(OR(COUNTIFS(Clients!$C$2:$C$501,E31,Clients!$S$2:$S$501,"Paid")&gt;0,AND(I31&lt;&gt;"",COUNTIFS(Clients!$E$2:$E$501,I31,Clients!$S$2:$S$501,"Paid")&gt;0)),"⚠ Refunded before – no free video",IF(OR(R31="Contract signed + paid",R31="Closed – No response",R31="Lost"),"",IF(R31="","Set a stage",IF(N(T31)&gt;=Settings!$S$3,"Close – 4 follow-ups sent",IF(U31="",IF(S31="","Make first contact",""),IF(TODAY()&gt;U31,"OVERDUE follow-up",IF(TODAY()=U31,"Follow up today",""))))))))</f>
        <v/>
      </c>
    </row>
    <row r="32" customFormat="false" ht="15" hidden="false" customHeight="false" outlineLevel="0" collapsed="false">
      <c r="A32" s="17"/>
      <c r="B32" s="38"/>
      <c r="C32" s="39"/>
      <c r="D32" s="17"/>
      <c r="E32" s="17"/>
      <c r="F32" s="17"/>
      <c r="G32" s="17"/>
      <c r="H32" s="17"/>
      <c r="I32" s="40"/>
      <c r="J32" s="17"/>
      <c r="K32" s="17"/>
      <c r="L32" s="17"/>
      <c r="M32" s="17"/>
      <c r="N32" s="38"/>
      <c r="O32" s="39"/>
      <c r="P32" s="41" t="str">
        <f aca="false">IF(OR(B32="",N32=""),"",ROUND(((N32+N(O32))-(B32+N(C32)))*24,1))</f>
        <v/>
      </c>
      <c r="Q32" s="17"/>
      <c r="R32" s="17"/>
      <c r="S32" s="38"/>
      <c r="T32" s="17"/>
      <c r="U32" s="42" t="str">
        <f aca="false">IF(OR(E32="",S32="",OR(R32="Contract signed + paid",R32="Closed – No response",R32="Lost"),N(T32)&gt;=Settings!$S$3),"",S32+Settings!$S$2)</f>
        <v/>
      </c>
      <c r="V32" s="38"/>
      <c r="W32" s="39"/>
      <c r="X32" s="17"/>
      <c r="Y32" s="17"/>
      <c r="Z32" s="17"/>
      <c r="AA32" s="43" t="str">
        <f aca="true">IF(OR(E32="",B32=""),"",INT(TODAY()-B32))</f>
        <v/>
      </c>
      <c r="AB32" s="44" t="str">
        <f aca="true">IF(E32="","",IF(OR(COUNTIFS(Clients!$C$2:$C$501,E32,Clients!$S$2:$S$501,"Paid")&gt;0,AND(I32&lt;&gt;"",COUNTIFS(Clients!$E$2:$E$501,I32,Clients!$S$2:$S$501,"Paid")&gt;0)),"⚠ Refunded before – no free video",IF(OR(R32="Contract signed + paid",R32="Closed – No response",R32="Lost"),"",IF(R32="","Set a stage",IF(N(T32)&gt;=Settings!$S$3,"Close – 4 follow-ups sent",IF(U32="",IF(S32="","Make first contact",""),IF(TODAY()&gt;U32,"OVERDUE follow-up",IF(TODAY()=U32,"Follow up today",""))))))))</f>
        <v/>
      </c>
    </row>
    <row r="33" customFormat="false" ht="15" hidden="false" customHeight="false" outlineLevel="0" collapsed="false">
      <c r="A33" s="17"/>
      <c r="B33" s="38"/>
      <c r="C33" s="39"/>
      <c r="D33" s="17"/>
      <c r="E33" s="17"/>
      <c r="F33" s="17"/>
      <c r="G33" s="17"/>
      <c r="H33" s="17"/>
      <c r="I33" s="40"/>
      <c r="J33" s="17"/>
      <c r="K33" s="17"/>
      <c r="L33" s="17"/>
      <c r="M33" s="17"/>
      <c r="N33" s="38"/>
      <c r="O33" s="39"/>
      <c r="P33" s="41" t="str">
        <f aca="false">IF(OR(B33="",N33=""),"",ROUND(((N33+N(O33))-(B33+N(C33)))*24,1))</f>
        <v/>
      </c>
      <c r="Q33" s="17"/>
      <c r="R33" s="17"/>
      <c r="S33" s="38"/>
      <c r="T33" s="17"/>
      <c r="U33" s="42" t="str">
        <f aca="false">IF(OR(E33="",S33="",OR(R33="Contract signed + paid",R33="Closed – No response",R33="Lost"),N(T33)&gt;=Settings!$S$3),"",S33+Settings!$S$2)</f>
        <v/>
      </c>
      <c r="V33" s="38"/>
      <c r="W33" s="39"/>
      <c r="X33" s="17"/>
      <c r="Y33" s="17"/>
      <c r="Z33" s="17"/>
      <c r="AA33" s="43" t="str">
        <f aca="true">IF(OR(E33="",B33=""),"",INT(TODAY()-B33))</f>
        <v/>
      </c>
      <c r="AB33" s="44" t="str">
        <f aca="true">IF(E33="","",IF(OR(COUNTIFS(Clients!$C$2:$C$501,E33,Clients!$S$2:$S$501,"Paid")&gt;0,AND(I33&lt;&gt;"",COUNTIFS(Clients!$E$2:$E$501,I33,Clients!$S$2:$S$501,"Paid")&gt;0)),"⚠ Refunded before – no free video",IF(OR(R33="Contract signed + paid",R33="Closed – No response",R33="Lost"),"",IF(R33="","Set a stage",IF(N(T33)&gt;=Settings!$S$3,"Close – 4 follow-ups sent",IF(U33="",IF(S33="","Make first contact",""),IF(TODAY()&gt;U33,"OVERDUE follow-up",IF(TODAY()=U33,"Follow up today",""))))))))</f>
        <v/>
      </c>
    </row>
    <row r="34" customFormat="false" ht="15" hidden="false" customHeight="false" outlineLevel="0" collapsed="false">
      <c r="A34" s="17"/>
      <c r="B34" s="38"/>
      <c r="C34" s="39"/>
      <c r="D34" s="17"/>
      <c r="E34" s="17"/>
      <c r="F34" s="17"/>
      <c r="G34" s="17"/>
      <c r="H34" s="17"/>
      <c r="I34" s="40"/>
      <c r="J34" s="17"/>
      <c r="K34" s="17"/>
      <c r="L34" s="17"/>
      <c r="M34" s="17"/>
      <c r="N34" s="38"/>
      <c r="O34" s="39"/>
      <c r="P34" s="41" t="str">
        <f aca="false">IF(OR(B34="",N34=""),"",ROUND(((N34+N(O34))-(B34+N(C34)))*24,1))</f>
        <v/>
      </c>
      <c r="Q34" s="17"/>
      <c r="R34" s="17"/>
      <c r="S34" s="38"/>
      <c r="T34" s="17"/>
      <c r="U34" s="42" t="str">
        <f aca="false">IF(OR(E34="",S34="",OR(R34="Contract signed + paid",R34="Closed – No response",R34="Lost"),N(T34)&gt;=Settings!$S$3),"",S34+Settings!$S$2)</f>
        <v/>
      </c>
      <c r="V34" s="38"/>
      <c r="W34" s="39"/>
      <c r="X34" s="17"/>
      <c r="Y34" s="17"/>
      <c r="Z34" s="17"/>
      <c r="AA34" s="43" t="str">
        <f aca="true">IF(OR(E34="",B34=""),"",INT(TODAY()-B34))</f>
        <v/>
      </c>
      <c r="AB34" s="44" t="str">
        <f aca="true">IF(E34="","",IF(OR(COUNTIFS(Clients!$C$2:$C$501,E34,Clients!$S$2:$S$501,"Paid")&gt;0,AND(I34&lt;&gt;"",COUNTIFS(Clients!$E$2:$E$501,I34,Clients!$S$2:$S$501,"Paid")&gt;0)),"⚠ Refunded before – no free video",IF(OR(R34="Contract signed + paid",R34="Closed – No response",R34="Lost"),"",IF(R34="","Set a stage",IF(N(T34)&gt;=Settings!$S$3,"Close – 4 follow-ups sent",IF(U34="",IF(S34="","Make first contact",""),IF(TODAY()&gt;U34,"OVERDUE follow-up",IF(TODAY()=U34,"Follow up today",""))))))))</f>
        <v/>
      </c>
    </row>
    <row r="35" customFormat="false" ht="15" hidden="false" customHeight="false" outlineLevel="0" collapsed="false">
      <c r="A35" s="17"/>
      <c r="B35" s="38"/>
      <c r="C35" s="39"/>
      <c r="D35" s="17"/>
      <c r="E35" s="17"/>
      <c r="F35" s="17"/>
      <c r="G35" s="17"/>
      <c r="H35" s="17"/>
      <c r="I35" s="40"/>
      <c r="J35" s="17"/>
      <c r="K35" s="17"/>
      <c r="L35" s="17"/>
      <c r="M35" s="17"/>
      <c r="N35" s="38"/>
      <c r="O35" s="39"/>
      <c r="P35" s="41" t="str">
        <f aca="false">IF(OR(B35="",N35=""),"",ROUND(((N35+N(O35))-(B35+N(C35)))*24,1))</f>
        <v/>
      </c>
      <c r="Q35" s="17"/>
      <c r="R35" s="17"/>
      <c r="S35" s="38"/>
      <c r="T35" s="17"/>
      <c r="U35" s="42" t="str">
        <f aca="false">IF(OR(E35="",S35="",OR(R35="Contract signed + paid",R35="Closed – No response",R35="Lost"),N(T35)&gt;=Settings!$S$3),"",S35+Settings!$S$2)</f>
        <v/>
      </c>
      <c r="V35" s="38"/>
      <c r="W35" s="39"/>
      <c r="X35" s="17"/>
      <c r="Y35" s="17"/>
      <c r="Z35" s="17"/>
      <c r="AA35" s="43" t="str">
        <f aca="true">IF(OR(E35="",B35=""),"",INT(TODAY()-B35))</f>
        <v/>
      </c>
      <c r="AB35" s="44" t="str">
        <f aca="true">IF(E35="","",IF(OR(COUNTIFS(Clients!$C$2:$C$501,E35,Clients!$S$2:$S$501,"Paid")&gt;0,AND(I35&lt;&gt;"",COUNTIFS(Clients!$E$2:$E$501,I35,Clients!$S$2:$S$501,"Paid")&gt;0)),"⚠ Refunded before – no free video",IF(OR(R35="Contract signed + paid",R35="Closed – No response",R35="Lost"),"",IF(R35="","Set a stage",IF(N(T35)&gt;=Settings!$S$3,"Close – 4 follow-ups sent",IF(U35="",IF(S35="","Make first contact",""),IF(TODAY()&gt;U35,"OVERDUE follow-up",IF(TODAY()=U35,"Follow up today",""))))))))</f>
        <v/>
      </c>
    </row>
    <row r="36" customFormat="false" ht="15" hidden="false" customHeight="false" outlineLevel="0" collapsed="false">
      <c r="A36" s="17"/>
      <c r="B36" s="38"/>
      <c r="C36" s="39"/>
      <c r="D36" s="17"/>
      <c r="E36" s="17"/>
      <c r="F36" s="17"/>
      <c r="G36" s="17"/>
      <c r="H36" s="17"/>
      <c r="I36" s="40"/>
      <c r="J36" s="17"/>
      <c r="K36" s="17"/>
      <c r="L36" s="17"/>
      <c r="M36" s="17"/>
      <c r="N36" s="38"/>
      <c r="O36" s="39"/>
      <c r="P36" s="41" t="str">
        <f aca="false">IF(OR(B36="",N36=""),"",ROUND(((N36+N(O36))-(B36+N(C36)))*24,1))</f>
        <v/>
      </c>
      <c r="Q36" s="17"/>
      <c r="R36" s="17"/>
      <c r="S36" s="38"/>
      <c r="T36" s="17"/>
      <c r="U36" s="42" t="str">
        <f aca="false">IF(OR(E36="",S36="",OR(R36="Contract signed + paid",R36="Closed – No response",R36="Lost"),N(T36)&gt;=Settings!$S$3),"",S36+Settings!$S$2)</f>
        <v/>
      </c>
      <c r="V36" s="38"/>
      <c r="W36" s="39"/>
      <c r="X36" s="17"/>
      <c r="Y36" s="17"/>
      <c r="Z36" s="17"/>
      <c r="AA36" s="43" t="str">
        <f aca="true">IF(OR(E36="",B36=""),"",INT(TODAY()-B36))</f>
        <v/>
      </c>
      <c r="AB36" s="44" t="str">
        <f aca="true">IF(E36="","",IF(OR(COUNTIFS(Clients!$C$2:$C$501,E36,Clients!$S$2:$S$501,"Paid")&gt;0,AND(I36&lt;&gt;"",COUNTIFS(Clients!$E$2:$E$501,I36,Clients!$S$2:$S$501,"Paid")&gt;0)),"⚠ Refunded before – no free video",IF(OR(R36="Contract signed + paid",R36="Closed – No response",R36="Lost"),"",IF(R36="","Set a stage",IF(N(T36)&gt;=Settings!$S$3,"Close – 4 follow-ups sent",IF(U36="",IF(S36="","Make first contact",""),IF(TODAY()&gt;U36,"OVERDUE follow-up",IF(TODAY()=U36,"Follow up today",""))))))))</f>
        <v/>
      </c>
    </row>
    <row r="37" customFormat="false" ht="15" hidden="false" customHeight="false" outlineLevel="0" collapsed="false">
      <c r="A37" s="17"/>
      <c r="B37" s="38"/>
      <c r="C37" s="39"/>
      <c r="D37" s="17"/>
      <c r="E37" s="17"/>
      <c r="F37" s="17"/>
      <c r="G37" s="17"/>
      <c r="H37" s="17"/>
      <c r="I37" s="40"/>
      <c r="J37" s="17"/>
      <c r="K37" s="17"/>
      <c r="L37" s="17"/>
      <c r="M37" s="17"/>
      <c r="N37" s="38"/>
      <c r="O37" s="39"/>
      <c r="P37" s="41" t="str">
        <f aca="false">IF(OR(B37="",N37=""),"",ROUND(((N37+N(O37))-(B37+N(C37)))*24,1))</f>
        <v/>
      </c>
      <c r="Q37" s="17"/>
      <c r="R37" s="17"/>
      <c r="S37" s="38"/>
      <c r="T37" s="17"/>
      <c r="U37" s="42" t="str">
        <f aca="false">IF(OR(E37="",S37="",OR(R37="Contract signed + paid",R37="Closed – No response",R37="Lost"),N(T37)&gt;=Settings!$S$3),"",S37+Settings!$S$2)</f>
        <v/>
      </c>
      <c r="V37" s="38"/>
      <c r="W37" s="39"/>
      <c r="X37" s="17"/>
      <c r="Y37" s="17"/>
      <c r="Z37" s="17"/>
      <c r="AA37" s="43" t="str">
        <f aca="true">IF(OR(E37="",B37=""),"",INT(TODAY()-B37))</f>
        <v/>
      </c>
      <c r="AB37" s="44" t="str">
        <f aca="true">IF(E37="","",IF(OR(COUNTIFS(Clients!$C$2:$C$501,E37,Clients!$S$2:$S$501,"Paid")&gt;0,AND(I37&lt;&gt;"",COUNTIFS(Clients!$E$2:$E$501,I37,Clients!$S$2:$S$501,"Paid")&gt;0)),"⚠ Refunded before – no free video",IF(OR(R37="Contract signed + paid",R37="Closed – No response",R37="Lost"),"",IF(R37="","Set a stage",IF(N(T37)&gt;=Settings!$S$3,"Close – 4 follow-ups sent",IF(U37="",IF(S37="","Make first contact",""),IF(TODAY()&gt;U37,"OVERDUE follow-up",IF(TODAY()=U37,"Follow up today",""))))))))</f>
        <v/>
      </c>
    </row>
    <row r="38" customFormat="false" ht="15" hidden="false" customHeight="false" outlineLevel="0" collapsed="false">
      <c r="A38" s="17"/>
      <c r="B38" s="38"/>
      <c r="C38" s="39"/>
      <c r="D38" s="17"/>
      <c r="E38" s="17"/>
      <c r="F38" s="17"/>
      <c r="G38" s="17"/>
      <c r="H38" s="17"/>
      <c r="I38" s="40"/>
      <c r="J38" s="17"/>
      <c r="K38" s="17"/>
      <c r="L38" s="17"/>
      <c r="M38" s="17"/>
      <c r="N38" s="38"/>
      <c r="O38" s="39"/>
      <c r="P38" s="41" t="str">
        <f aca="false">IF(OR(B38="",N38=""),"",ROUND(((N38+N(O38))-(B38+N(C38)))*24,1))</f>
        <v/>
      </c>
      <c r="Q38" s="17"/>
      <c r="R38" s="17"/>
      <c r="S38" s="38"/>
      <c r="T38" s="17"/>
      <c r="U38" s="42" t="str">
        <f aca="false">IF(OR(E38="",S38="",OR(R38="Contract signed + paid",R38="Closed – No response",R38="Lost"),N(T38)&gt;=Settings!$S$3),"",S38+Settings!$S$2)</f>
        <v/>
      </c>
      <c r="V38" s="38"/>
      <c r="W38" s="39"/>
      <c r="X38" s="17"/>
      <c r="Y38" s="17"/>
      <c r="Z38" s="17"/>
      <c r="AA38" s="43" t="str">
        <f aca="true">IF(OR(E38="",B38=""),"",INT(TODAY()-B38))</f>
        <v/>
      </c>
      <c r="AB38" s="44" t="str">
        <f aca="true">IF(E38="","",IF(OR(COUNTIFS(Clients!$C$2:$C$501,E38,Clients!$S$2:$S$501,"Paid")&gt;0,AND(I38&lt;&gt;"",COUNTIFS(Clients!$E$2:$E$501,I38,Clients!$S$2:$S$501,"Paid")&gt;0)),"⚠ Refunded before – no free video",IF(OR(R38="Contract signed + paid",R38="Closed – No response",R38="Lost"),"",IF(R38="","Set a stage",IF(N(T38)&gt;=Settings!$S$3,"Close – 4 follow-ups sent",IF(U38="",IF(S38="","Make first contact",""),IF(TODAY()&gt;U38,"OVERDUE follow-up",IF(TODAY()=U38,"Follow up today",""))))))))</f>
        <v/>
      </c>
    </row>
    <row r="39" customFormat="false" ht="15" hidden="false" customHeight="false" outlineLevel="0" collapsed="false">
      <c r="A39" s="17"/>
      <c r="B39" s="38"/>
      <c r="C39" s="39"/>
      <c r="D39" s="17"/>
      <c r="E39" s="17"/>
      <c r="F39" s="17"/>
      <c r="G39" s="17"/>
      <c r="H39" s="17"/>
      <c r="I39" s="40"/>
      <c r="J39" s="17"/>
      <c r="K39" s="17"/>
      <c r="L39" s="17"/>
      <c r="M39" s="17"/>
      <c r="N39" s="38"/>
      <c r="O39" s="39"/>
      <c r="P39" s="41" t="str">
        <f aca="false">IF(OR(B39="",N39=""),"",ROUND(((N39+N(O39))-(B39+N(C39)))*24,1))</f>
        <v/>
      </c>
      <c r="Q39" s="17"/>
      <c r="R39" s="17"/>
      <c r="S39" s="38"/>
      <c r="T39" s="17"/>
      <c r="U39" s="42" t="str">
        <f aca="false">IF(OR(E39="",S39="",OR(R39="Contract signed + paid",R39="Closed – No response",R39="Lost"),N(T39)&gt;=Settings!$S$3),"",S39+Settings!$S$2)</f>
        <v/>
      </c>
      <c r="V39" s="38"/>
      <c r="W39" s="39"/>
      <c r="X39" s="17"/>
      <c r="Y39" s="17"/>
      <c r="Z39" s="17"/>
      <c r="AA39" s="43" t="str">
        <f aca="true">IF(OR(E39="",B39=""),"",INT(TODAY()-B39))</f>
        <v/>
      </c>
      <c r="AB39" s="44" t="str">
        <f aca="true">IF(E39="","",IF(OR(COUNTIFS(Clients!$C$2:$C$501,E39,Clients!$S$2:$S$501,"Paid")&gt;0,AND(I39&lt;&gt;"",COUNTIFS(Clients!$E$2:$E$501,I39,Clients!$S$2:$S$501,"Paid")&gt;0)),"⚠ Refunded before – no free video",IF(OR(R39="Contract signed + paid",R39="Closed – No response",R39="Lost"),"",IF(R39="","Set a stage",IF(N(T39)&gt;=Settings!$S$3,"Close – 4 follow-ups sent",IF(U39="",IF(S39="","Make first contact",""),IF(TODAY()&gt;U39,"OVERDUE follow-up",IF(TODAY()=U39,"Follow up today",""))))))))</f>
        <v/>
      </c>
    </row>
    <row r="40" customFormat="false" ht="15" hidden="false" customHeight="false" outlineLevel="0" collapsed="false">
      <c r="A40" s="17"/>
      <c r="B40" s="38"/>
      <c r="C40" s="39"/>
      <c r="D40" s="17"/>
      <c r="E40" s="17"/>
      <c r="F40" s="17"/>
      <c r="G40" s="17"/>
      <c r="H40" s="17"/>
      <c r="I40" s="40"/>
      <c r="J40" s="17"/>
      <c r="K40" s="17"/>
      <c r="L40" s="17"/>
      <c r="M40" s="17"/>
      <c r="N40" s="38"/>
      <c r="O40" s="39"/>
      <c r="P40" s="41" t="str">
        <f aca="false">IF(OR(B40="",N40=""),"",ROUND(((N40+N(O40))-(B40+N(C40)))*24,1))</f>
        <v/>
      </c>
      <c r="Q40" s="17"/>
      <c r="R40" s="17"/>
      <c r="S40" s="38"/>
      <c r="T40" s="17"/>
      <c r="U40" s="42" t="str">
        <f aca="false">IF(OR(E40="",S40="",OR(R40="Contract signed + paid",R40="Closed – No response",R40="Lost"),N(T40)&gt;=Settings!$S$3),"",S40+Settings!$S$2)</f>
        <v/>
      </c>
      <c r="V40" s="38"/>
      <c r="W40" s="39"/>
      <c r="X40" s="17"/>
      <c r="Y40" s="17"/>
      <c r="Z40" s="17"/>
      <c r="AA40" s="43" t="str">
        <f aca="true">IF(OR(E40="",B40=""),"",INT(TODAY()-B40))</f>
        <v/>
      </c>
      <c r="AB40" s="44" t="str">
        <f aca="true">IF(E40="","",IF(OR(COUNTIFS(Clients!$C$2:$C$501,E40,Clients!$S$2:$S$501,"Paid")&gt;0,AND(I40&lt;&gt;"",COUNTIFS(Clients!$E$2:$E$501,I40,Clients!$S$2:$S$501,"Paid")&gt;0)),"⚠ Refunded before – no free video",IF(OR(R40="Contract signed + paid",R40="Closed – No response",R40="Lost"),"",IF(R40="","Set a stage",IF(N(T40)&gt;=Settings!$S$3,"Close – 4 follow-ups sent",IF(U40="",IF(S40="","Make first contact",""),IF(TODAY()&gt;U40,"OVERDUE follow-up",IF(TODAY()=U40,"Follow up today",""))))))))</f>
        <v/>
      </c>
    </row>
    <row r="41" customFormat="false" ht="15" hidden="false" customHeight="false" outlineLevel="0" collapsed="false">
      <c r="A41" s="17"/>
      <c r="B41" s="38"/>
      <c r="C41" s="39"/>
      <c r="D41" s="17"/>
      <c r="E41" s="17"/>
      <c r="F41" s="17"/>
      <c r="G41" s="17"/>
      <c r="H41" s="17"/>
      <c r="I41" s="40"/>
      <c r="J41" s="17"/>
      <c r="K41" s="17"/>
      <c r="L41" s="17"/>
      <c r="M41" s="17"/>
      <c r="N41" s="38"/>
      <c r="O41" s="39"/>
      <c r="P41" s="41" t="str">
        <f aca="false">IF(OR(B41="",N41=""),"",ROUND(((N41+N(O41))-(B41+N(C41)))*24,1))</f>
        <v/>
      </c>
      <c r="Q41" s="17"/>
      <c r="R41" s="17"/>
      <c r="S41" s="38"/>
      <c r="T41" s="17"/>
      <c r="U41" s="42" t="str">
        <f aca="false">IF(OR(E41="",S41="",OR(R41="Contract signed + paid",R41="Closed – No response",R41="Lost"),N(T41)&gt;=Settings!$S$3),"",S41+Settings!$S$2)</f>
        <v/>
      </c>
      <c r="V41" s="38"/>
      <c r="W41" s="39"/>
      <c r="X41" s="17"/>
      <c r="Y41" s="17"/>
      <c r="Z41" s="17"/>
      <c r="AA41" s="43" t="str">
        <f aca="true">IF(OR(E41="",B41=""),"",INT(TODAY()-B41))</f>
        <v/>
      </c>
      <c r="AB41" s="44" t="str">
        <f aca="true">IF(E41="","",IF(OR(COUNTIFS(Clients!$C$2:$C$501,E41,Clients!$S$2:$S$501,"Paid")&gt;0,AND(I41&lt;&gt;"",COUNTIFS(Clients!$E$2:$E$501,I41,Clients!$S$2:$S$501,"Paid")&gt;0)),"⚠ Refunded before – no free video",IF(OR(R41="Contract signed + paid",R41="Closed – No response",R41="Lost"),"",IF(R41="","Set a stage",IF(N(T41)&gt;=Settings!$S$3,"Close – 4 follow-ups sent",IF(U41="",IF(S41="","Make first contact",""),IF(TODAY()&gt;U41,"OVERDUE follow-up",IF(TODAY()=U41,"Follow up today",""))))))))</f>
        <v/>
      </c>
    </row>
    <row r="42" customFormat="false" ht="15" hidden="false" customHeight="false" outlineLevel="0" collapsed="false">
      <c r="A42" s="17"/>
      <c r="B42" s="38"/>
      <c r="C42" s="39"/>
      <c r="D42" s="17"/>
      <c r="E42" s="17"/>
      <c r="F42" s="17"/>
      <c r="G42" s="17"/>
      <c r="H42" s="17"/>
      <c r="I42" s="40"/>
      <c r="J42" s="17"/>
      <c r="K42" s="17"/>
      <c r="L42" s="17"/>
      <c r="M42" s="17"/>
      <c r="N42" s="38"/>
      <c r="O42" s="39"/>
      <c r="P42" s="41" t="str">
        <f aca="false">IF(OR(B42="",N42=""),"",ROUND(((N42+N(O42))-(B42+N(C42)))*24,1))</f>
        <v/>
      </c>
      <c r="Q42" s="17"/>
      <c r="R42" s="17"/>
      <c r="S42" s="38"/>
      <c r="T42" s="17"/>
      <c r="U42" s="42" t="str">
        <f aca="false">IF(OR(E42="",S42="",OR(R42="Contract signed + paid",R42="Closed – No response",R42="Lost"),N(T42)&gt;=Settings!$S$3),"",S42+Settings!$S$2)</f>
        <v/>
      </c>
      <c r="V42" s="38"/>
      <c r="W42" s="39"/>
      <c r="X42" s="17"/>
      <c r="Y42" s="17"/>
      <c r="Z42" s="17"/>
      <c r="AA42" s="43" t="str">
        <f aca="true">IF(OR(E42="",B42=""),"",INT(TODAY()-B42))</f>
        <v/>
      </c>
      <c r="AB42" s="44" t="str">
        <f aca="true">IF(E42="","",IF(OR(COUNTIFS(Clients!$C$2:$C$501,E42,Clients!$S$2:$S$501,"Paid")&gt;0,AND(I42&lt;&gt;"",COUNTIFS(Clients!$E$2:$E$501,I42,Clients!$S$2:$S$501,"Paid")&gt;0)),"⚠ Refunded before – no free video",IF(OR(R42="Contract signed + paid",R42="Closed – No response",R42="Lost"),"",IF(R42="","Set a stage",IF(N(T42)&gt;=Settings!$S$3,"Close – 4 follow-ups sent",IF(U42="",IF(S42="","Make first contact",""),IF(TODAY()&gt;U42,"OVERDUE follow-up",IF(TODAY()=U42,"Follow up today",""))))))))</f>
        <v/>
      </c>
    </row>
    <row r="43" customFormat="false" ht="15" hidden="false" customHeight="false" outlineLevel="0" collapsed="false">
      <c r="A43" s="17"/>
      <c r="B43" s="38"/>
      <c r="C43" s="39"/>
      <c r="D43" s="17"/>
      <c r="E43" s="17"/>
      <c r="F43" s="17"/>
      <c r="G43" s="17"/>
      <c r="H43" s="17"/>
      <c r="I43" s="40"/>
      <c r="J43" s="17"/>
      <c r="K43" s="17"/>
      <c r="L43" s="17"/>
      <c r="M43" s="17"/>
      <c r="N43" s="38"/>
      <c r="O43" s="39"/>
      <c r="P43" s="41" t="str">
        <f aca="false">IF(OR(B43="",N43=""),"",ROUND(((N43+N(O43))-(B43+N(C43)))*24,1))</f>
        <v/>
      </c>
      <c r="Q43" s="17"/>
      <c r="R43" s="17"/>
      <c r="S43" s="38"/>
      <c r="T43" s="17"/>
      <c r="U43" s="42" t="str">
        <f aca="false">IF(OR(E43="",S43="",OR(R43="Contract signed + paid",R43="Closed – No response",R43="Lost"),N(T43)&gt;=Settings!$S$3),"",S43+Settings!$S$2)</f>
        <v/>
      </c>
      <c r="V43" s="38"/>
      <c r="W43" s="39"/>
      <c r="X43" s="17"/>
      <c r="Y43" s="17"/>
      <c r="Z43" s="17"/>
      <c r="AA43" s="43" t="str">
        <f aca="true">IF(OR(E43="",B43=""),"",INT(TODAY()-B43))</f>
        <v/>
      </c>
      <c r="AB43" s="44" t="str">
        <f aca="true">IF(E43="","",IF(OR(COUNTIFS(Clients!$C$2:$C$501,E43,Clients!$S$2:$S$501,"Paid")&gt;0,AND(I43&lt;&gt;"",COUNTIFS(Clients!$E$2:$E$501,I43,Clients!$S$2:$S$501,"Paid")&gt;0)),"⚠ Refunded before – no free video",IF(OR(R43="Contract signed + paid",R43="Closed – No response",R43="Lost"),"",IF(R43="","Set a stage",IF(N(T43)&gt;=Settings!$S$3,"Close – 4 follow-ups sent",IF(U43="",IF(S43="","Make first contact",""),IF(TODAY()&gt;U43,"OVERDUE follow-up",IF(TODAY()=U43,"Follow up today",""))))))))</f>
        <v/>
      </c>
    </row>
    <row r="44" customFormat="false" ht="15" hidden="false" customHeight="false" outlineLevel="0" collapsed="false">
      <c r="A44" s="17"/>
      <c r="B44" s="38"/>
      <c r="C44" s="39"/>
      <c r="D44" s="17"/>
      <c r="E44" s="17"/>
      <c r="F44" s="17"/>
      <c r="G44" s="17"/>
      <c r="H44" s="17"/>
      <c r="I44" s="40"/>
      <c r="J44" s="17"/>
      <c r="K44" s="17"/>
      <c r="L44" s="17"/>
      <c r="M44" s="17"/>
      <c r="N44" s="38"/>
      <c r="O44" s="39"/>
      <c r="P44" s="41" t="str">
        <f aca="false">IF(OR(B44="",N44=""),"",ROUND(((N44+N(O44))-(B44+N(C44)))*24,1))</f>
        <v/>
      </c>
      <c r="Q44" s="17"/>
      <c r="R44" s="17"/>
      <c r="S44" s="38"/>
      <c r="T44" s="17"/>
      <c r="U44" s="42" t="str">
        <f aca="false">IF(OR(E44="",S44="",OR(R44="Contract signed + paid",R44="Closed – No response",R44="Lost"),N(T44)&gt;=Settings!$S$3),"",S44+Settings!$S$2)</f>
        <v/>
      </c>
      <c r="V44" s="38"/>
      <c r="W44" s="39"/>
      <c r="X44" s="17"/>
      <c r="Y44" s="17"/>
      <c r="Z44" s="17"/>
      <c r="AA44" s="43" t="str">
        <f aca="true">IF(OR(E44="",B44=""),"",INT(TODAY()-B44))</f>
        <v/>
      </c>
      <c r="AB44" s="44" t="str">
        <f aca="true">IF(E44="","",IF(OR(COUNTIFS(Clients!$C$2:$C$501,E44,Clients!$S$2:$S$501,"Paid")&gt;0,AND(I44&lt;&gt;"",COUNTIFS(Clients!$E$2:$E$501,I44,Clients!$S$2:$S$501,"Paid")&gt;0)),"⚠ Refunded before – no free video",IF(OR(R44="Contract signed + paid",R44="Closed – No response",R44="Lost"),"",IF(R44="","Set a stage",IF(N(T44)&gt;=Settings!$S$3,"Close – 4 follow-ups sent",IF(U44="",IF(S44="","Make first contact",""),IF(TODAY()&gt;U44,"OVERDUE follow-up",IF(TODAY()=U44,"Follow up today",""))))))))</f>
        <v/>
      </c>
    </row>
    <row r="45" customFormat="false" ht="15" hidden="false" customHeight="false" outlineLevel="0" collapsed="false">
      <c r="A45" s="17"/>
      <c r="B45" s="38"/>
      <c r="C45" s="39"/>
      <c r="D45" s="17"/>
      <c r="E45" s="17"/>
      <c r="F45" s="17"/>
      <c r="G45" s="17"/>
      <c r="H45" s="17"/>
      <c r="I45" s="40"/>
      <c r="J45" s="17"/>
      <c r="K45" s="17"/>
      <c r="L45" s="17"/>
      <c r="M45" s="17"/>
      <c r="N45" s="38"/>
      <c r="O45" s="39"/>
      <c r="P45" s="41" t="str">
        <f aca="false">IF(OR(B45="",N45=""),"",ROUND(((N45+N(O45))-(B45+N(C45)))*24,1))</f>
        <v/>
      </c>
      <c r="Q45" s="17"/>
      <c r="R45" s="17"/>
      <c r="S45" s="38"/>
      <c r="T45" s="17"/>
      <c r="U45" s="42" t="str">
        <f aca="false">IF(OR(E45="",S45="",OR(R45="Contract signed + paid",R45="Closed – No response",R45="Lost"),N(T45)&gt;=Settings!$S$3),"",S45+Settings!$S$2)</f>
        <v/>
      </c>
      <c r="V45" s="38"/>
      <c r="W45" s="39"/>
      <c r="X45" s="17"/>
      <c r="Y45" s="17"/>
      <c r="Z45" s="17"/>
      <c r="AA45" s="43" t="str">
        <f aca="true">IF(OR(E45="",B45=""),"",INT(TODAY()-B45))</f>
        <v/>
      </c>
      <c r="AB45" s="44" t="str">
        <f aca="true">IF(E45="","",IF(OR(COUNTIFS(Clients!$C$2:$C$501,E45,Clients!$S$2:$S$501,"Paid")&gt;0,AND(I45&lt;&gt;"",COUNTIFS(Clients!$E$2:$E$501,I45,Clients!$S$2:$S$501,"Paid")&gt;0)),"⚠ Refunded before – no free video",IF(OR(R45="Contract signed + paid",R45="Closed – No response",R45="Lost"),"",IF(R45="","Set a stage",IF(N(T45)&gt;=Settings!$S$3,"Close – 4 follow-ups sent",IF(U45="",IF(S45="","Make first contact",""),IF(TODAY()&gt;U45,"OVERDUE follow-up",IF(TODAY()=U45,"Follow up today",""))))))))</f>
        <v/>
      </c>
    </row>
    <row r="46" customFormat="false" ht="15" hidden="false" customHeight="false" outlineLevel="0" collapsed="false">
      <c r="A46" s="17"/>
      <c r="B46" s="38"/>
      <c r="C46" s="39"/>
      <c r="D46" s="17"/>
      <c r="E46" s="17"/>
      <c r="F46" s="17"/>
      <c r="G46" s="17"/>
      <c r="H46" s="17"/>
      <c r="I46" s="40"/>
      <c r="J46" s="17"/>
      <c r="K46" s="17"/>
      <c r="L46" s="17"/>
      <c r="M46" s="17"/>
      <c r="N46" s="38"/>
      <c r="O46" s="39"/>
      <c r="P46" s="41" t="str">
        <f aca="false">IF(OR(B46="",N46=""),"",ROUND(((N46+N(O46))-(B46+N(C46)))*24,1))</f>
        <v/>
      </c>
      <c r="Q46" s="17"/>
      <c r="R46" s="17"/>
      <c r="S46" s="38"/>
      <c r="T46" s="17"/>
      <c r="U46" s="42" t="str">
        <f aca="false">IF(OR(E46="",S46="",OR(R46="Contract signed + paid",R46="Closed – No response",R46="Lost"),N(T46)&gt;=Settings!$S$3),"",S46+Settings!$S$2)</f>
        <v/>
      </c>
      <c r="V46" s="38"/>
      <c r="W46" s="39"/>
      <c r="X46" s="17"/>
      <c r="Y46" s="17"/>
      <c r="Z46" s="17"/>
      <c r="AA46" s="43" t="str">
        <f aca="true">IF(OR(E46="",B46=""),"",INT(TODAY()-B46))</f>
        <v/>
      </c>
      <c r="AB46" s="44" t="str">
        <f aca="true">IF(E46="","",IF(OR(COUNTIFS(Clients!$C$2:$C$501,E46,Clients!$S$2:$S$501,"Paid")&gt;0,AND(I46&lt;&gt;"",COUNTIFS(Clients!$E$2:$E$501,I46,Clients!$S$2:$S$501,"Paid")&gt;0)),"⚠ Refunded before – no free video",IF(OR(R46="Contract signed + paid",R46="Closed – No response",R46="Lost"),"",IF(R46="","Set a stage",IF(N(T46)&gt;=Settings!$S$3,"Close – 4 follow-ups sent",IF(U46="",IF(S46="","Make first contact",""),IF(TODAY()&gt;U46,"OVERDUE follow-up",IF(TODAY()=U46,"Follow up today",""))))))))</f>
        <v/>
      </c>
    </row>
    <row r="47" customFormat="false" ht="15" hidden="false" customHeight="false" outlineLevel="0" collapsed="false">
      <c r="A47" s="17"/>
      <c r="B47" s="38"/>
      <c r="C47" s="39"/>
      <c r="D47" s="17"/>
      <c r="E47" s="17"/>
      <c r="F47" s="17"/>
      <c r="G47" s="17"/>
      <c r="H47" s="17"/>
      <c r="I47" s="40"/>
      <c r="J47" s="17"/>
      <c r="K47" s="17"/>
      <c r="L47" s="17"/>
      <c r="M47" s="17"/>
      <c r="N47" s="38"/>
      <c r="O47" s="39"/>
      <c r="P47" s="41" t="str">
        <f aca="false">IF(OR(B47="",N47=""),"",ROUND(((N47+N(O47))-(B47+N(C47)))*24,1))</f>
        <v/>
      </c>
      <c r="Q47" s="17"/>
      <c r="R47" s="17"/>
      <c r="S47" s="38"/>
      <c r="T47" s="17"/>
      <c r="U47" s="42" t="str">
        <f aca="false">IF(OR(E47="",S47="",OR(R47="Contract signed + paid",R47="Closed – No response",R47="Lost"),N(T47)&gt;=Settings!$S$3),"",S47+Settings!$S$2)</f>
        <v/>
      </c>
      <c r="V47" s="38"/>
      <c r="W47" s="39"/>
      <c r="X47" s="17"/>
      <c r="Y47" s="17"/>
      <c r="Z47" s="17"/>
      <c r="AA47" s="43" t="str">
        <f aca="true">IF(OR(E47="",B47=""),"",INT(TODAY()-B47))</f>
        <v/>
      </c>
      <c r="AB47" s="44" t="str">
        <f aca="true">IF(E47="","",IF(OR(COUNTIFS(Clients!$C$2:$C$501,E47,Clients!$S$2:$S$501,"Paid")&gt;0,AND(I47&lt;&gt;"",COUNTIFS(Clients!$E$2:$E$501,I47,Clients!$S$2:$S$501,"Paid")&gt;0)),"⚠ Refunded before – no free video",IF(OR(R47="Contract signed + paid",R47="Closed – No response",R47="Lost"),"",IF(R47="","Set a stage",IF(N(T47)&gt;=Settings!$S$3,"Close – 4 follow-ups sent",IF(U47="",IF(S47="","Make first contact",""),IF(TODAY()&gt;U47,"OVERDUE follow-up",IF(TODAY()=U47,"Follow up today",""))))))))</f>
        <v/>
      </c>
    </row>
    <row r="48" customFormat="false" ht="15" hidden="false" customHeight="false" outlineLevel="0" collapsed="false">
      <c r="A48" s="17"/>
      <c r="B48" s="38"/>
      <c r="C48" s="39"/>
      <c r="D48" s="17"/>
      <c r="E48" s="17"/>
      <c r="F48" s="17"/>
      <c r="G48" s="17"/>
      <c r="H48" s="17"/>
      <c r="I48" s="40"/>
      <c r="J48" s="17"/>
      <c r="K48" s="17"/>
      <c r="L48" s="17"/>
      <c r="M48" s="17"/>
      <c r="N48" s="38"/>
      <c r="O48" s="39"/>
      <c r="P48" s="41" t="str">
        <f aca="false">IF(OR(B48="",N48=""),"",ROUND(((N48+N(O48))-(B48+N(C48)))*24,1))</f>
        <v/>
      </c>
      <c r="Q48" s="17"/>
      <c r="R48" s="17"/>
      <c r="S48" s="38"/>
      <c r="T48" s="17"/>
      <c r="U48" s="42" t="str">
        <f aca="false">IF(OR(E48="",S48="",OR(R48="Contract signed + paid",R48="Closed – No response",R48="Lost"),N(T48)&gt;=Settings!$S$3),"",S48+Settings!$S$2)</f>
        <v/>
      </c>
      <c r="V48" s="38"/>
      <c r="W48" s="39"/>
      <c r="X48" s="17"/>
      <c r="Y48" s="17"/>
      <c r="Z48" s="17"/>
      <c r="AA48" s="43" t="str">
        <f aca="true">IF(OR(E48="",B48=""),"",INT(TODAY()-B48))</f>
        <v/>
      </c>
      <c r="AB48" s="44" t="str">
        <f aca="true">IF(E48="","",IF(OR(COUNTIFS(Clients!$C$2:$C$501,E48,Clients!$S$2:$S$501,"Paid")&gt;0,AND(I48&lt;&gt;"",COUNTIFS(Clients!$E$2:$E$501,I48,Clients!$S$2:$S$501,"Paid")&gt;0)),"⚠ Refunded before – no free video",IF(OR(R48="Contract signed + paid",R48="Closed – No response",R48="Lost"),"",IF(R48="","Set a stage",IF(N(T48)&gt;=Settings!$S$3,"Close – 4 follow-ups sent",IF(U48="",IF(S48="","Make first contact",""),IF(TODAY()&gt;U48,"OVERDUE follow-up",IF(TODAY()=U48,"Follow up today",""))))))))</f>
        <v/>
      </c>
    </row>
    <row r="49" customFormat="false" ht="15" hidden="false" customHeight="false" outlineLevel="0" collapsed="false">
      <c r="A49" s="17"/>
      <c r="B49" s="38"/>
      <c r="C49" s="39"/>
      <c r="D49" s="17"/>
      <c r="E49" s="17"/>
      <c r="F49" s="17"/>
      <c r="G49" s="17"/>
      <c r="H49" s="17"/>
      <c r="I49" s="40"/>
      <c r="J49" s="17"/>
      <c r="K49" s="17"/>
      <c r="L49" s="17"/>
      <c r="M49" s="17"/>
      <c r="N49" s="38"/>
      <c r="O49" s="39"/>
      <c r="P49" s="41" t="str">
        <f aca="false">IF(OR(B49="",N49=""),"",ROUND(((N49+N(O49))-(B49+N(C49)))*24,1))</f>
        <v/>
      </c>
      <c r="Q49" s="17"/>
      <c r="R49" s="17"/>
      <c r="S49" s="38"/>
      <c r="T49" s="17"/>
      <c r="U49" s="42" t="str">
        <f aca="false">IF(OR(E49="",S49="",OR(R49="Contract signed + paid",R49="Closed – No response",R49="Lost"),N(T49)&gt;=Settings!$S$3),"",S49+Settings!$S$2)</f>
        <v/>
      </c>
      <c r="V49" s="38"/>
      <c r="W49" s="39"/>
      <c r="X49" s="17"/>
      <c r="Y49" s="17"/>
      <c r="Z49" s="17"/>
      <c r="AA49" s="43" t="str">
        <f aca="true">IF(OR(E49="",B49=""),"",INT(TODAY()-B49))</f>
        <v/>
      </c>
      <c r="AB49" s="44" t="str">
        <f aca="true">IF(E49="","",IF(OR(COUNTIFS(Clients!$C$2:$C$501,E49,Clients!$S$2:$S$501,"Paid")&gt;0,AND(I49&lt;&gt;"",COUNTIFS(Clients!$E$2:$E$501,I49,Clients!$S$2:$S$501,"Paid")&gt;0)),"⚠ Refunded before – no free video",IF(OR(R49="Contract signed + paid",R49="Closed – No response",R49="Lost"),"",IF(R49="","Set a stage",IF(N(T49)&gt;=Settings!$S$3,"Close – 4 follow-ups sent",IF(U49="",IF(S49="","Make first contact",""),IF(TODAY()&gt;U49,"OVERDUE follow-up",IF(TODAY()=U49,"Follow up today",""))))))))</f>
        <v/>
      </c>
    </row>
    <row r="50" customFormat="false" ht="15" hidden="false" customHeight="false" outlineLevel="0" collapsed="false">
      <c r="A50" s="17"/>
      <c r="B50" s="38"/>
      <c r="C50" s="39"/>
      <c r="D50" s="17"/>
      <c r="E50" s="17"/>
      <c r="F50" s="17"/>
      <c r="G50" s="17"/>
      <c r="H50" s="17"/>
      <c r="I50" s="40"/>
      <c r="J50" s="17"/>
      <c r="K50" s="17"/>
      <c r="L50" s="17"/>
      <c r="M50" s="17"/>
      <c r="N50" s="38"/>
      <c r="O50" s="39"/>
      <c r="P50" s="41" t="str">
        <f aca="false">IF(OR(B50="",N50=""),"",ROUND(((N50+N(O50))-(B50+N(C50)))*24,1))</f>
        <v/>
      </c>
      <c r="Q50" s="17"/>
      <c r="R50" s="17"/>
      <c r="S50" s="38"/>
      <c r="T50" s="17"/>
      <c r="U50" s="42" t="str">
        <f aca="false">IF(OR(E50="",S50="",OR(R50="Contract signed + paid",R50="Closed – No response",R50="Lost"),N(T50)&gt;=Settings!$S$3),"",S50+Settings!$S$2)</f>
        <v/>
      </c>
      <c r="V50" s="38"/>
      <c r="W50" s="39"/>
      <c r="X50" s="17"/>
      <c r="Y50" s="17"/>
      <c r="Z50" s="17"/>
      <c r="AA50" s="43" t="str">
        <f aca="true">IF(OR(E50="",B50=""),"",INT(TODAY()-B50))</f>
        <v/>
      </c>
      <c r="AB50" s="44" t="str">
        <f aca="true">IF(E50="","",IF(OR(COUNTIFS(Clients!$C$2:$C$501,E50,Clients!$S$2:$S$501,"Paid")&gt;0,AND(I50&lt;&gt;"",COUNTIFS(Clients!$E$2:$E$501,I50,Clients!$S$2:$S$501,"Paid")&gt;0)),"⚠ Refunded before – no free video",IF(OR(R50="Contract signed + paid",R50="Closed – No response",R50="Lost"),"",IF(R50="","Set a stage",IF(N(T50)&gt;=Settings!$S$3,"Close – 4 follow-ups sent",IF(U50="",IF(S50="","Make first contact",""),IF(TODAY()&gt;U50,"OVERDUE follow-up",IF(TODAY()=U50,"Follow up today",""))))))))</f>
        <v/>
      </c>
    </row>
    <row r="51" customFormat="false" ht="15" hidden="false" customHeight="false" outlineLevel="0" collapsed="false">
      <c r="A51" s="17"/>
      <c r="B51" s="38"/>
      <c r="C51" s="39"/>
      <c r="D51" s="17"/>
      <c r="E51" s="17"/>
      <c r="F51" s="17"/>
      <c r="G51" s="17"/>
      <c r="H51" s="17"/>
      <c r="I51" s="40"/>
      <c r="J51" s="17"/>
      <c r="K51" s="17"/>
      <c r="L51" s="17"/>
      <c r="M51" s="17"/>
      <c r="N51" s="38"/>
      <c r="O51" s="39"/>
      <c r="P51" s="41" t="str">
        <f aca="false">IF(OR(B51="",N51=""),"",ROUND(((N51+N(O51))-(B51+N(C51)))*24,1))</f>
        <v/>
      </c>
      <c r="Q51" s="17"/>
      <c r="R51" s="17"/>
      <c r="S51" s="38"/>
      <c r="T51" s="17"/>
      <c r="U51" s="42" t="str">
        <f aca="false">IF(OR(E51="",S51="",OR(R51="Contract signed + paid",R51="Closed – No response",R51="Lost"),N(T51)&gt;=Settings!$S$3),"",S51+Settings!$S$2)</f>
        <v/>
      </c>
      <c r="V51" s="38"/>
      <c r="W51" s="39"/>
      <c r="X51" s="17"/>
      <c r="Y51" s="17"/>
      <c r="Z51" s="17"/>
      <c r="AA51" s="43" t="str">
        <f aca="true">IF(OR(E51="",B51=""),"",INT(TODAY()-B51))</f>
        <v/>
      </c>
      <c r="AB51" s="44" t="str">
        <f aca="true">IF(E51="","",IF(OR(COUNTIFS(Clients!$C$2:$C$501,E51,Clients!$S$2:$S$501,"Paid")&gt;0,AND(I51&lt;&gt;"",COUNTIFS(Clients!$E$2:$E$501,I51,Clients!$S$2:$S$501,"Paid")&gt;0)),"⚠ Refunded before – no free video",IF(OR(R51="Contract signed + paid",R51="Closed – No response",R51="Lost"),"",IF(R51="","Set a stage",IF(N(T51)&gt;=Settings!$S$3,"Close – 4 follow-ups sent",IF(U51="",IF(S51="","Make first contact",""),IF(TODAY()&gt;U51,"OVERDUE follow-up",IF(TODAY()=U51,"Follow up today",""))))))))</f>
        <v/>
      </c>
    </row>
    <row r="52" customFormat="false" ht="15" hidden="false" customHeight="false" outlineLevel="0" collapsed="false">
      <c r="A52" s="17"/>
      <c r="B52" s="38"/>
      <c r="C52" s="39"/>
      <c r="D52" s="17"/>
      <c r="E52" s="17"/>
      <c r="F52" s="17"/>
      <c r="G52" s="17"/>
      <c r="H52" s="17"/>
      <c r="I52" s="40"/>
      <c r="J52" s="17"/>
      <c r="K52" s="17"/>
      <c r="L52" s="17"/>
      <c r="M52" s="17"/>
      <c r="N52" s="38"/>
      <c r="O52" s="39"/>
      <c r="P52" s="41" t="str">
        <f aca="false">IF(OR(B52="",N52=""),"",ROUND(((N52+N(O52))-(B52+N(C52)))*24,1))</f>
        <v/>
      </c>
      <c r="Q52" s="17"/>
      <c r="R52" s="17"/>
      <c r="S52" s="38"/>
      <c r="T52" s="17"/>
      <c r="U52" s="42" t="str">
        <f aca="false">IF(OR(E52="",S52="",OR(R52="Contract signed + paid",R52="Closed – No response",R52="Lost"),N(T52)&gt;=Settings!$S$3),"",S52+Settings!$S$2)</f>
        <v/>
      </c>
      <c r="V52" s="38"/>
      <c r="W52" s="39"/>
      <c r="X52" s="17"/>
      <c r="Y52" s="17"/>
      <c r="Z52" s="17"/>
      <c r="AA52" s="43" t="str">
        <f aca="true">IF(OR(E52="",B52=""),"",INT(TODAY()-B52))</f>
        <v/>
      </c>
      <c r="AB52" s="44" t="str">
        <f aca="true">IF(E52="","",IF(OR(COUNTIFS(Clients!$C$2:$C$501,E52,Clients!$S$2:$S$501,"Paid")&gt;0,AND(I52&lt;&gt;"",COUNTIFS(Clients!$E$2:$E$501,I52,Clients!$S$2:$S$501,"Paid")&gt;0)),"⚠ Refunded before – no free video",IF(OR(R52="Contract signed + paid",R52="Closed – No response",R52="Lost"),"",IF(R52="","Set a stage",IF(N(T52)&gt;=Settings!$S$3,"Close – 4 follow-ups sent",IF(U52="",IF(S52="","Make first contact",""),IF(TODAY()&gt;U52,"OVERDUE follow-up",IF(TODAY()=U52,"Follow up today",""))))))))</f>
        <v/>
      </c>
    </row>
    <row r="53" customFormat="false" ht="15" hidden="false" customHeight="false" outlineLevel="0" collapsed="false">
      <c r="A53" s="17"/>
      <c r="B53" s="38"/>
      <c r="C53" s="39"/>
      <c r="D53" s="17"/>
      <c r="E53" s="17"/>
      <c r="F53" s="17"/>
      <c r="G53" s="17"/>
      <c r="H53" s="17"/>
      <c r="I53" s="40"/>
      <c r="J53" s="17"/>
      <c r="K53" s="17"/>
      <c r="L53" s="17"/>
      <c r="M53" s="17"/>
      <c r="N53" s="38"/>
      <c r="O53" s="39"/>
      <c r="P53" s="41" t="str">
        <f aca="false">IF(OR(B53="",N53=""),"",ROUND(((N53+N(O53))-(B53+N(C53)))*24,1))</f>
        <v/>
      </c>
      <c r="Q53" s="17"/>
      <c r="R53" s="17"/>
      <c r="S53" s="38"/>
      <c r="T53" s="17"/>
      <c r="U53" s="42" t="str">
        <f aca="false">IF(OR(E53="",S53="",OR(R53="Contract signed + paid",R53="Closed – No response",R53="Lost"),N(T53)&gt;=Settings!$S$3),"",S53+Settings!$S$2)</f>
        <v/>
      </c>
      <c r="V53" s="38"/>
      <c r="W53" s="39"/>
      <c r="X53" s="17"/>
      <c r="Y53" s="17"/>
      <c r="Z53" s="17"/>
      <c r="AA53" s="43" t="str">
        <f aca="true">IF(OR(E53="",B53=""),"",INT(TODAY()-B53))</f>
        <v/>
      </c>
      <c r="AB53" s="44" t="str">
        <f aca="true">IF(E53="","",IF(OR(COUNTIFS(Clients!$C$2:$C$501,E53,Clients!$S$2:$S$501,"Paid")&gt;0,AND(I53&lt;&gt;"",COUNTIFS(Clients!$E$2:$E$501,I53,Clients!$S$2:$S$501,"Paid")&gt;0)),"⚠ Refunded before – no free video",IF(OR(R53="Contract signed + paid",R53="Closed – No response",R53="Lost"),"",IF(R53="","Set a stage",IF(N(T53)&gt;=Settings!$S$3,"Close – 4 follow-ups sent",IF(U53="",IF(S53="","Make first contact",""),IF(TODAY()&gt;U53,"OVERDUE follow-up",IF(TODAY()=U53,"Follow up today",""))))))))</f>
        <v/>
      </c>
    </row>
    <row r="54" customFormat="false" ht="15" hidden="false" customHeight="false" outlineLevel="0" collapsed="false">
      <c r="A54" s="17"/>
      <c r="B54" s="38"/>
      <c r="C54" s="39"/>
      <c r="D54" s="17"/>
      <c r="E54" s="17"/>
      <c r="F54" s="17"/>
      <c r="G54" s="17"/>
      <c r="H54" s="17"/>
      <c r="I54" s="40"/>
      <c r="J54" s="17"/>
      <c r="K54" s="17"/>
      <c r="L54" s="17"/>
      <c r="M54" s="17"/>
      <c r="N54" s="38"/>
      <c r="O54" s="39"/>
      <c r="P54" s="41" t="str">
        <f aca="false">IF(OR(B54="",N54=""),"",ROUND(((N54+N(O54))-(B54+N(C54)))*24,1))</f>
        <v/>
      </c>
      <c r="Q54" s="17"/>
      <c r="R54" s="17"/>
      <c r="S54" s="38"/>
      <c r="T54" s="17"/>
      <c r="U54" s="42" t="str">
        <f aca="false">IF(OR(E54="",S54="",OR(R54="Contract signed + paid",R54="Closed – No response",R54="Lost"),N(T54)&gt;=Settings!$S$3),"",S54+Settings!$S$2)</f>
        <v/>
      </c>
      <c r="V54" s="38"/>
      <c r="W54" s="39"/>
      <c r="X54" s="17"/>
      <c r="Y54" s="17"/>
      <c r="Z54" s="17"/>
      <c r="AA54" s="43" t="str">
        <f aca="true">IF(OR(E54="",B54=""),"",INT(TODAY()-B54))</f>
        <v/>
      </c>
      <c r="AB54" s="44" t="str">
        <f aca="true">IF(E54="","",IF(OR(COUNTIFS(Clients!$C$2:$C$501,E54,Clients!$S$2:$S$501,"Paid")&gt;0,AND(I54&lt;&gt;"",COUNTIFS(Clients!$E$2:$E$501,I54,Clients!$S$2:$S$501,"Paid")&gt;0)),"⚠ Refunded before – no free video",IF(OR(R54="Contract signed + paid",R54="Closed – No response",R54="Lost"),"",IF(R54="","Set a stage",IF(N(T54)&gt;=Settings!$S$3,"Close – 4 follow-ups sent",IF(U54="",IF(S54="","Make first contact",""),IF(TODAY()&gt;U54,"OVERDUE follow-up",IF(TODAY()=U54,"Follow up today",""))))))))</f>
        <v/>
      </c>
    </row>
    <row r="55" customFormat="false" ht="15" hidden="false" customHeight="false" outlineLevel="0" collapsed="false">
      <c r="A55" s="17"/>
      <c r="B55" s="38"/>
      <c r="C55" s="39"/>
      <c r="D55" s="17"/>
      <c r="E55" s="17"/>
      <c r="F55" s="17"/>
      <c r="G55" s="17"/>
      <c r="H55" s="17"/>
      <c r="I55" s="40"/>
      <c r="J55" s="17"/>
      <c r="K55" s="17"/>
      <c r="L55" s="17"/>
      <c r="M55" s="17"/>
      <c r="N55" s="38"/>
      <c r="O55" s="39"/>
      <c r="P55" s="41" t="str">
        <f aca="false">IF(OR(B55="",N55=""),"",ROUND(((N55+N(O55))-(B55+N(C55)))*24,1))</f>
        <v/>
      </c>
      <c r="Q55" s="17"/>
      <c r="R55" s="17"/>
      <c r="S55" s="38"/>
      <c r="T55" s="17"/>
      <c r="U55" s="42" t="str">
        <f aca="false">IF(OR(E55="",S55="",OR(R55="Contract signed + paid",R55="Closed – No response",R55="Lost"),N(T55)&gt;=Settings!$S$3),"",S55+Settings!$S$2)</f>
        <v/>
      </c>
      <c r="V55" s="38"/>
      <c r="W55" s="39"/>
      <c r="X55" s="17"/>
      <c r="Y55" s="17"/>
      <c r="Z55" s="17"/>
      <c r="AA55" s="43" t="str">
        <f aca="true">IF(OR(E55="",B55=""),"",INT(TODAY()-B55))</f>
        <v/>
      </c>
      <c r="AB55" s="44" t="str">
        <f aca="true">IF(E55="","",IF(OR(COUNTIFS(Clients!$C$2:$C$501,E55,Clients!$S$2:$S$501,"Paid")&gt;0,AND(I55&lt;&gt;"",COUNTIFS(Clients!$E$2:$E$501,I55,Clients!$S$2:$S$501,"Paid")&gt;0)),"⚠ Refunded before – no free video",IF(OR(R55="Contract signed + paid",R55="Closed – No response",R55="Lost"),"",IF(R55="","Set a stage",IF(N(T55)&gt;=Settings!$S$3,"Close – 4 follow-ups sent",IF(U55="",IF(S55="","Make first contact",""),IF(TODAY()&gt;U55,"OVERDUE follow-up",IF(TODAY()=U55,"Follow up today",""))))))))</f>
        <v/>
      </c>
    </row>
    <row r="56" customFormat="false" ht="15" hidden="false" customHeight="false" outlineLevel="0" collapsed="false">
      <c r="A56" s="17"/>
      <c r="B56" s="38"/>
      <c r="C56" s="39"/>
      <c r="D56" s="17"/>
      <c r="E56" s="17"/>
      <c r="F56" s="17"/>
      <c r="G56" s="17"/>
      <c r="H56" s="17"/>
      <c r="I56" s="40"/>
      <c r="J56" s="17"/>
      <c r="K56" s="17"/>
      <c r="L56" s="17"/>
      <c r="M56" s="17"/>
      <c r="N56" s="38"/>
      <c r="O56" s="39"/>
      <c r="P56" s="41" t="str">
        <f aca="false">IF(OR(B56="",N56=""),"",ROUND(((N56+N(O56))-(B56+N(C56)))*24,1))</f>
        <v/>
      </c>
      <c r="Q56" s="17"/>
      <c r="R56" s="17"/>
      <c r="S56" s="38"/>
      <c r="T56" s="17"/>
      <c r="U56" s="42" t="str">
        <f aca="false">IF(OR(E56="",S56="",OR(R56="Contract signed + paid",R56="Closed – No response",R56="Lost"),N(T56)&gt;=Settings!$S$3),"",S56+Settings!$S$2)</f>
        <v/>
      </c>
      <c r="V56" s="38"/>
      <c r="W56" s="39"/>
      <c r="X56" s="17"/>
      <c r="Y56" s="17"/>
      <c r="Z56" s="17"/>
      <c r="AA56" s="43" t="str">
        <f aca="true">IF(OR(E56="",B56=""),"",INT(TODAY()-B56))</f>
        <v/>
      </c>
      <c r="AB56" s="44" t="str">
        <f aca="true">IF(E56="","",IF(OR(COUNTIFS(Clients!$C$2:$C$501,E56,Clients!$S$2:$S$501,"Paid")&gt;0,AND(I56&lt;&gt;"",COUNTIFS(Clients!$E$2:$E$501,I56,Clients!$S$2:$S$501,"Paid")&gt;0)),"⚠ Refunded before – no free video",IF(OR(R56="Contract signed + paid",R56="Closed – No response",R56="Lost"),"",IF(R56="","Set a stage",IF(N(T56)&gt;=Settings!$S$3,"Close – 4 follow-ups sent",IF(U56="",IF(S56="","Make first contact",""),IF(TODAY()&gt;U56,"OVERDUE follow-up",IF(TODAY()=U56,"Follow up today",""))))))))</f>
        <v/>
      </c>
    </row>
    <row r="57" customFormat="false" ht="15" hidden="false" customHeight="false" outlineLevel="0" collapsed="false">
      <c r="A57" s="17"/>
      <c r="B57" s="38"/>
      <c r="C57" s="39"/>
      <c r="D57" s="17"/>
      <c r="E57" s="17"/>
      <c r="F57" s="17"/>
      <c r="G57" s="17"/>
      <c r="H57" s="17"/>
      <c r="I57" s="40"/>
      <c r="J57" s="17"/>
      <c r="K57" s="17"/>
      <c r="L57" s="17"/>
      <c r="M57" s="17"/>
      <c r="N57" s="38"/>
      <c r="O57" s="39"/>
      <c r="P57" s="41" t="str">
        <f aca="false">IF(OR(B57="",N57=""),"",ROUND(((N57+N(O57))-(B57+N(C57)))*24,1))</f>
        <v/>
      </c>
      <c r="Q57" s="17"/>
      <c r="R57" s="17"/>
      <c r="S57" s="38"/>
      <c r="T57" s="17"/>
      <c r="U57" s="42" t="str">
        <f aca="false">IF(OR(E57="",S57="",OR(R57="Contract signed + paid",R57="Closed – No response",R57="Lost"),N(T57)&gt;=Settings!$S$3),"",S57+Settings!$S$2)</f>
        <v/>
      </c>
      <c r="V57" s="38"/>
      <c r="W57" s="39"/>
      <c r="X57" s="17"/>
      <c r="Y57" s="17"/>
      <c r="Z57" s="17"/>
      <c r="AA57" s="43" t="str">
        <f aca="true">IF(OR(E57="",B57=""),"",INT(TODAY()-B57))</f>
        <v/>
      </c>
      <c r="AB57" s="44" t="str">
        <f aca="true">IF(E57="","",IF(OR(COUNTIFS(Clients!$C$2:$C$501,E57,Clients!$S$2:$S$501,"Paid")&gt;0,AND(I57&lt;&gt;"",COUNTIFS(Clients!$E$2:$E$501,I57,Clients!$S$2:$S$501,"Paid")&gt;0)),"⚠ Refunded before – no free video",IF(OR(R57="Contract signed + paid",R57="Closed – No response",R57="Lost"),"",IF(R57="","Set a stage",IF(N(T57)&gt;=Settings!$S$3,"Close – 4 follow-ups sent",IF(U57="",IF(S57="","Make first contact",""),IF(TODAY()&gt;U57,"OVERDUE follow-up",IF(TODAY()=U57,"Follow up today",""))))))))</f>
        <v/>
      </c>
    </row>
    <row r="58" customFormat="false" ht="15" hidden="false" customHeight="false" outlineLevel="0" collapsed="false">
      <c r="A58" s="17"/>
      <c r="B58" s="38"/>
      <c r="C58" s="39"/>
      <c r="D58" s="17"/>
      <c r="E58" s="17"/>
      <c r="F58" s="17"/>
      <c r="G58" s="17"/>
      <c r="H58" s="17"/>
      <c r="I58" s="40"/>
      <c r="J58" s="17"/>
      <c r="K58" s="17"/>
      <c r="L58" s="17"/>
      <c r="M58" s="17"/>
      <c r="N58" s="38"/>
      <c r="O58" s="39"/>
      <c r="P58" s="41" t="str">
        <f aca="false">IF(OR(B58="",N58=""),"",ROUND(((N58+N(O58))-(B58+N(C58)))*24,1))</f>
        <v/>
      </c>
      <c r="Q58" s="17"/>
      <c r="R58" s="17"/>
      <c r="S58" s="38"/>
      <c r="T58" s="17"/>
      <c r="U58" s="42" t="str">
        <f aca="false">IF(OR(E58="",S58="",OR(R58="Contract signed + paid",R58="Closed – No response",R58="Lost"),N(T58)&gt;=Settings!$S$3),"",S58+Settings!$S$2)</f>
        <v/>
      </c>
      <c r="V58" s="38"/>
      <c r="W58" s="39"/>
      <c r="X58" s="17"/>
      <c r="Y58" s="17"/>
      <c r="Z58" s="17"/>
      <c r="AA58" s="43" t="str">
        <f aca="true">IF(OR(E58="",B58=""),"",INT(TODAY()-B58))</f>
        <v/>
      </c>
      <c r="AB58" s="44" t="str">
        <f aca="true">IF(E58="","",IF(OR(COUNTIFS(Clients!$C$2:$C$501,E58,Clients!$S$2:$S$501,"Paid")&gt;0,AND(I58&lt;&gt;"",COUNTIFS(Clients!$E$2:$E$501,I58,Clients!$S$2:$S$501,"Paid")&gt;0)),"⚠ Refunded before – no free video",IF(OR(R58="Contract signed + paid",R58="Closed – No response",R58="Lost"),"",IF(R58="","Set a stage",IF(N(T58)&gt;=Settings!$S$3,"Close – 4 follow-ups sent",IF(U58="",IF(S58="","Make first contact",""),IF(TODAY()&gt;U58,"OVERDUE follow-up",IF(TODAY()=U58,"Follow up today",""))))))))</f>
        <v/>
      </c>
    </row>
    <row r="59" customFormat="false" ht="15" hidden="false" customHeight="false" outlineLevel="0" collapsed="false">
      <c r="A59" s="17"/>
      <c r="B59" s="38"/>
      <c r="C59" s="39"/>
      <c r="D59" s="17"/>
      <c r="E59" s="17"/>
      <c r="F59" s="17"/>
      <c r="G59" s="17"/>
      <c r="H59" s="17"/>
      <c r="I59" s="40"/>
      <c r="J59" s="17"/>
      <c r="K59" s="17"/>
      <c r="L59" s="17"/>
      <c r="M59" s="17"/>
      <c r="N59" s="38"/>
      <c r="O59" s="39"/>
      <c r="P59" s="41" t="str">
        <f aca="false">IF(OR(B59="",N59=""),"",ROUND(((N59+N(O59))-(B59+N(C59)))*24,1))</f>
        <v/>
      </c>
      <c r="Q59" s="17"/>
      <c r="R59" s="17"/>
      <c r="S59" s="38"/>
      <c r="T59" s="17"/>
      <c r="U59" s="42" t="str">
        <f aca="false">IF(OR(E59="",S59="",OR(R59="Contract signed + paid",R59="Closed – No response",R59="Lost"),N(T59)&gt;=Settings!$S$3),"",S59+Settings!$S$2)</f>
        <v/>
      </c>
      <c r="V59" s="38"/>
      <c r="W59" s="39"/>
      <c r="X59" s="17"/>
      <c r="Y59" s="17"/>
      <c r="Z59" s="17"/>
      <c r="AA59" s="43" t="str">
        <f aca="true">IF(OR(E59="",B59=""),"",INT(TODAY()-B59))</f>
        <v/>
      </c>
      <c r="AB59" s="44" t="str">
        <f aca="true">IF(E59="","",IF(OR(COUNTIFS(Clients!$C$2:$C$501,E59,Clients!$S$2:$S$501,"Paid")&gt;0,AND(I59&lt;&gt;"",COUNTIFS(Clients!$E$2:$E$501,I59,Clients!$S$2:$S$501,"Paid")&gt;0)),"⚠ Refunded before – no free video",IF(OR(R59="Contract signed + paid",R59="Closed – No response",R59="Lost"),"",IF(R59="","Set a stage",IF(N(T59)&gt;=Settings!$S$3,"Close – 4 follow-ups sent",IF(U59="",IF(S59="","Make first contact",""),IF(TODAY()&gt;U59,"OVERDUE follow-up",IF(TODAY()=U59,"Follow up today",""))))))))</f>
        <v/>
      </c>
    </row>
    <row r="60" customFormat="false" ht="15" hidden="false" customHeight="false" outlineLevel="0" collapsed="false">
      <c r="A60" s="17"/>
      <c r="B60" s="38"/>
      <c r="C60" s="39"/>
      <c r="D60" s="17"/>
      <c r="E60" s="17"/>
      <c r="F60" s="17"/>
      <c r="G60" s="17"/>
      <c r="H60" s="17"/>
      <c r="I60" s="40"/>
      <c r="J60" s="17"/>
      <c r="K60" s="17"/>
      <c r="L60" s="17"/>
      <c r="M60" s="17"/>
      <c r="N60" s="38"/>
      <c r="O60" s="39"/>
      <c r="P60" s="41" t="str">
        <f aca="false">IF(OR(B60="",N60=""),"",ROUND(((N60+N(O60))-(B60+N(C60)))*24,1))</f>
        <v/>
      </c>
      <c r="Q60" s="17"/>
      <c r="R60" s="17"/>
      <c r="S60" s="38"/>
      <c r="T60" s="17"/>
      <c r="U60" s="42" t="str">
        <f aca="false">IF(OR(E60="",S60="",OR(R60="Contract signed + paid",R60="Closed – No response",R60="Lost"),N(T60)&gt;=Settings!$S$3),"",S60+Settings!$S$2)</f>
        <v/>
      </c>
      <c r="V60" s="38"/>
      <c r="W60" s="39"/>
      <c r="X60" s="17"/>
      <c r="Y60" s="17"/>
      <c r="Z60" s="17"/>
      <c r="AA60" s="43" t="str">
        <f aca="true">IF(OR(E60="",B60=""),"",INT(TODAY()-B60))</f>
        <v/>
      </c>
      <c r="AB60" s="44" t="str">
        <f aca="true">IF(E60="","",IF(OR(COUNTIFS(Clients!$C$2:$C$501,E60,Clients!$S$2:$S$501,"Paid")&gt;0,AND(I60&lt;&gt;"",COUNTIFS(Clients!$E$2:$E$501,I60,Clients!$S$2:$S$501,"Paid")&gt;0)),"⚠ Refunded before – no free video",IF(OR(R60="Contract signed + paid",R60="Closed – No response",R60="Lost"),"",IF(R60="","Set a stage",IF(N(T60)&gt;=Settings!$S$3,"Close – 4 follow-ups sent",IF(U60="",IF(S60="","Make first contact",""),IF(TODAY()&gt;U60,"OVERDUE follow-up",IF(TODAY()=U60,"Follow up today",""))))))))</f>
        <v/>
      </c>
    </row>
    <row r="61" customFormat="false" ht="15" hidden="false" customHeight="false" outlineLevel="0" collapsed="false">
      <c r="A61" s="17"/>
      <c r="B61" s="38"/>
      <c r="C61" s="39"/>
      <c r="D61" s="17"/>
      <c r="E61" s="17"/>
      <c r="F61" s="17"/>
      <c r="G61" s="17"/>
      <c r="H61" s="17"/>
      <c r="I61" s="40"/>
      <c r="J61" s="17"/>
      <c r="K61" s="17"/>
      <c r="L61" s="17"/>
      <c r="M61" s="17"/>
      <c r="N61" s="38"/>
      <c r="O61" s="39"/>
      <c r="P61" s="41" t="str">
        <f aca="false">IF(OR(B61="",N61=""),"",ROUND(((N61+N(O61))-(B61+N(C61)))*24,1))</f>
        <v/>
      </c>
      <c r="Q61" s="17"/>
      <c r="R61" s="17"/>
      <c r="S61" s="38"/>
      <c r="T61" s="17"/>
      <c r="U61" s="42" t="str">
        <f aca="false">IF(OR(E61="",S61="",OR(R61="Contract signed + paid",R61="Closed – No response",R61="Lost"),N(T61)&gt;=Settings!$S$3),"",S61+Settings!$S$2)</f>
        <v/>
      </c>
      <c r="V61" s="38"/>
      <c r="W61" s="39"/>
      <c r="X61" s="17"/>
      <c r="Y61" s="17"/>
      <c r="Z61" s="17"/>
      <c r="AA61" s="43" t="str">
        <f aca="true">IF(OR(E61="",B61=""),"",INT(TODAY()-B61))</f>
        <v/>
      </c>
      <c r="AB61" s="44" t="str">
        <f aca="true">IF(E61="","",IF(OR(COUNTIFS(Clients!$C$2:$C$501,E61,Clients!$S$2:$S$501,"Paid")&gt;0,AND(I61&lt;&gt;"",COUNTIFS(Clients!$E$2:$E$501,I61,Clients!$S$2:$S$501,"Paid")&gt;0)),"⚠ Refunded before – no free video",IF(OR(R61="Contract signed + paid",R61="Closed – No response",R61="Lost"),"",IF(R61="","Set a stage",IF(N(T61)&gt;=Settings!$S$3,"Close – 4 follow-ups sent",IF(U61="",IF(S61="","Make first contact",""),IF(TODAY()&gt;U61,"OVERDUE follow-up",IF(TODAY()=U61,"Follow up today",""))))))))</f>
        <v/>
      </c>
    </row>
    <row r="62" customFormat="false" ht="15" hidden="false" customHeight="false" outlineLevel="0" collapsed="false">
      <c r="A62" s="17"/>
      <c r="B62" s="38"/>
      <c r="C62" s="39"/>
      <c r="D62" s="17"/>
      <c r="E62" s="17"/>
      <c r="F62" s="17"/>
      <c r="G62" s="17"/>
      <c r="H62" s="17"/>
      <c r="I62" s="40"/>
      <c r="J62" s="17"/>
      <c r="K62" s="17"/>
      <c r="L62" s="17"/>
      <c r="M62" s="17"/>
      <c r="N62" s="38"/>
      <c r="O62" s="39"/>
      <c r="P62" s="41" t="str">
        <f aca="false">IF(OR(B62="",N62=""),"",ROUND(((N62+N(O62))-(B62+N(C62)))*24,1))</f>
        <v/>
      </c>
      <c r="Q62" s="17"/>
      <c r="R62" s="17"/>
      <c r="S62" s="38"/>
      <c r="T62" s="17"/>
      <c r="U62" s="42" t="str">
        <f aca="false">IF(OR(E62="",S62="",OR(R62="Contract signed + paid",R62="Closed – No response",R62="Lost"),N(T62)&gt;=Settings!$S$3),"",S62+Settings!$S$2)</f>
        <v/>
      </c>
      <c r="V62" s="38"/>
      <c r="W62" s="39"/>
      <c r="X62" s="17"/>
      <c r="Y62" s="17"/>
      <c r="Z62" s="17"/>
      <c r="AA62" s="43" t="str">
        <f aca="true">IF(OR(E62="",B62=""),"",INT(TODAY()-B62))</f>
        <v/>
      </c>
      <c r="AB62" s="44" t="str">
        <f aca="true">IF(E62="","",IF(OR(COUNTIFS(Clients!$C$2:$C$501,E62,Clients!$S$2:$S$501,"Paid")&gt;0,AND(I62&lt;&gt;"",COUNTIFS(Clients!$E$2:$E$501,I62,Clients!$S$2:$S$501,"Paid")&gt;0)),"⚠ Refunded before – no free video",IF(OR(R62="Contract signed + paid",R62="Closed – No response",R62="Lost"),"",IF(R62="","Set a stage",IF(N(T62)&gt;=Settings!$S$3,"Close – 4 follow-ups sent",IF(U62="",IF(S62="","Make first contact",""),IF(TODAY()&gt;U62,"OVERDUE follow-up",IF(TODAY()=U62,"Follow up today",""))))))))</f>
        <v/>
      </c>
    </row>
    <row r="63" customFormat="false" ht="15" hidden="false" customHeight="false" outlineLevel="0" collapsed="false">
      <c r="A63" s="17"/>
      <c r="B63" s="38"/>
      <c r="C63" s="39"/>
      <c r="D63" s="17"/>
      <c r="E63" s="17"/>
      <c r="F63" s="17"/>
      <c r="G63" s="17"/>
      <c r="H63" s="17"/>
      <c r="I63" s="40"/>
      <c r="J63" s="17"/>
      <c r="K63" s="17"/>
      <c r="L63" s="17"/>
      <c r="M63" s="17"/>
      <c r="N63" s="38"/>
      <c r="O63" s="39"/>
      <c r="P63" s="41" t="str">
        <f aca="false">IF(OR(B63="",N63=""),"",ROUND(((N63+N(O63))-(B63+N(C63)))*24,1))</f>
        <v/>
      </c>
      <c r="Q63" s="17"/>
      <c r="R63" s="17"/>
      <c r="S63" s="38"/>
      <c r="T63" s="17"/>
      <c r="U63" s="42" t="str">
        <f aca="false">IF(OR(E63="",S63="",OR(R63="Contract signed + paid",R63="Closed – No response",R63="Lost"),N(T63)&gt;=Settings!$S$3),"",S63+Settings!$S$2)</f>
        <v/>
      </c>
      <c r="V63" s="38"/>
      <c r="W63" s="39"/>
      <c r="X63" s="17"/>
      <c r="Y63" s="17"/>
      <c r="Z63" s="17"/>
      <c r="AA63" s="43" t="str">
        <f aca="true">IF(OR(E63="",B63=""),"",INT(TODAY()-B63))</f>
        <v/>
      </c>
      <c r="AB63" s="44" t="str">
        <f aca="true">IF(E63="","",IF(OR(COUNTIFS(Clients!$C$2:$C$501,E63,Clients!$S$2:$S$501,"Paid")&gt;0,AND(I63&lt;&gt;"",COUNTIFS(Clients!$E$2:$E$501,I63,Clients!$S$2:$S$501,"Paid")&gt;0)),"⚠ Refunded before – no free video",IF(OR(R63="Contract signed + paid",R63="Closed – No response",R63="Lost"),"",IF(R63="","Set a stage",IF(N(T63)&gt;=Settings!$S$3,"Close – 4 follow-ups sent",IF(U63="",IF(S63="","Make first contact",""),IF(TODAY()&gt;U63,"OVERDUE follow-up",IF(TODAY()=U63,"Follow up today",""))))))))</f>
        <v/>
      </c>
    </row>
    <row r="64" customFormat="false" ht="15" hidden="false" customHeight="false" outlineLevel="0" collapsed="false">
      <c r="A64" s="17"/>
      <c r="B64" s="38"/>
      <c r="C64" s="39"/>
      <c r="D64" s="17"/>
      <c r="E64" s="17"/>
      <c r="F64" s="17"/>
      <c r="G64" s="17"/>
      <c r="H64" s="17"/>
      <c r="I64" s="40"/>
      <c r="J64" s="17"/>
      <c r="K64" s="17"/>
      <c r="L64" s="17"/>
      <c r="M64" s="17"/>
      <c r="N64" s="38"/>
      <c r="O64" s="39"/>
      <c r="P64" s="41" t="str">
        <f aca="false">IF(OR(B64="",N64=""),"",ROUND(((N64+N(O64))-(B64+N(C64)))*24,1))</f>
        <v/>
      </c>
      <c r="Q64" s="17"/>
      <c r="R64" s="17"/>
      <c r="S64" s="38"/>
      <c r="T64" s="17"/>
      <c r="U64" s="42" t="str">
        <f aca="false">IF(OR(E64="",S64="",OR(R64="Contract signed + paid",R64="Closed – No response",R64="Lost"),N(T64)&gt;=Settings!$S$3),"",S64+Settings!$S$2)</f>
        <v/>
      </c>
      <c r="V64" s="38"/>
      <c r="W64" s="39"/>
      <c r="X64" s="17"/>
      <c r="Y64" s="17"/>
      <c r="Z64" s="17"/>
      <c r="AA64" s="43" t="str">
        <f aca="true">IF(OR(E64="",B64=""),"",INT(TODAY()-B64))</f>
        <v/>
      </c>
      <c r="AB64" s="44" t="str">
        <f aca="true">IF(E64="","",IF(OR(COUNTIFS(Clients!$C$2:$C$501,E64,Clients!$S$2:$S$501,"Paid")&gt;0,AND(I64&lt;&gt;"",COUNTIFS(Clients!$E$2:$E$501,I64,Clients!$S$2:$S$501,"Paid")&gt;0)),"⚠ Refunded before – no free video",IF(OR(R64="Contract signed + paid",R64="Closed – No response",R64="Lost"),"",IF(R64="","Set a stage",IF(N(T64)&gt;=Settings!$S$3,"Close – 4 follow-ups sent",IF(U64="",IF(S64="","Make first contact",""),IF(TODAY()&gt;U64,"OVERDUE follow-up",IF(TODAY()=U64,"Follow up today",""))))))))</f>
        <v/>
      </c>
    </row>
    <row r="65" customFormat="false" ht="15" hidden="false" customHeight="false" outlineLevel="0" collapsed="false">
      <c r="A65" s="17"/>
      <c r="B65" s="38"/>
      <c r="C65" s="39"/>
      <c r="D65" s="17"/>
      <c r="E65" s="17"/>
      <c r="F65" s="17"/>
      <c r="G65" s="17"/>
      <c r="H65" s="17"/>
      <c r="I65" s="40"/>
      <c r="J65" s="17"/>
      <c r="K65" s="17"/>
      <c r="L65" s="17"/>
      <c r="M65" s="17"/>
      <c r="N65" s="38"/>
      <c r="O65" s="39"/>
      <c r="P65" s="41" t="str">
        <f aca="false">IF(OR(B65="",N65=""),"",ROUND(((N65+N(O65))-(B65+N(C65)))*24,1))</f>
        <v/>
      </c>
      <c r="Q65" s="17"/>
      <c r="R65" s="17"/>
      <c r="S65" s="38"/>
      <c r="T65" s="17"/>
      <c r="U65" s="42" t="str">
        <f aca="false">IF(OR(E65="",S65="",OR(R65="Contract signed + paid",R65="Closed – No response",R65="Lost"),N(T65)&gt;=Settings!$S$3),"",S65+Settings!$S$2)</f>
        <v/>
      </c>
      <c r="V65" s="38"/>
      <c r="W65" s="39"/>
      <c r="X65" s="17"/>
      <c r="Y65" s="17"/>
      <c r="Z65" s="17"/>
      <c r="AA65" s="43" t="str">
        <f aca="true">IF(OR(E65="",B65=""),"",INT(TODAY()-B65))</f>
        <v/>
      </c>
      <c r="AB65" s="44" t="str">
        <f aca="true">IF(E65="","",IF(OR(COUNTIFS(Clients!$C$2:$C$501,E65,Clients!$S$2:$S$501,"Paid")&gt;0,AND(I65&lt;&gt;"",COUNTIFS(Clients!$E$2:$E$501,I65,Clients!$S$2:$S$501,"Paid")&gt;0)),"⚠ Refunded before – no free video",IF(OR(R65="Contract signed + paid",R65="Closed – No response",R65="Lost"),"",IF(R65="","Set a stage",IF(N(T65)&gt;=Settings!$S$3,"Close – 4 follow-ups sent",IF(U65="",IF(S65="","Make first contact",""),IF(TODAY()&gt;U65,"OVERDUE follow-up",IF(TODAY()=U65,"Follow up today",""))))))))</f>
        <v/>
      </c>
    </row>
    <row r="66" customFormat="false" ht="15" hidden="false" customHeight="false" outlineLevel="0" collapsed="false">
      <c r="A66" s="17"/>
      <c r="B66" s="38"/>
      <c r="C66" s="39"/>
      <c r="D66" s="17"/>
      <c r="E66" s="17"/>
      <c r="F66" s="17"/>
      <c r="G66" s="17"/>
      <c r="H66" s="17"/>
      <c r="I66" s="40"/>
      <c r="J66" s="17"/>
      <c r="K66" s="17"/>
      <c r="L66" s="17"/>
      <c r="M66" s="17"/>
      <c r="N66" s="38"/>
      <c r="O66" s="39"/>
      <c r="P66" s="41" t="str">
        <f aca="false">IF(OR(B66="",N66=""),"",ROUND(((N66+N(O66))-(B66+N(C66)))*24,1))</f>
        <v/>
      </c>
      <c r="Q66" s="17"/>
      <c r="R66" s="17"/>
      <c r="S66" s="38"/>
      <c r="T66" s="17"/>
      <c r="U66" s="42" t="str">
        <f aca="false">IF(OR(E66="",S66="",OR(R66="Contract signed + paid",R66="Closed – No response",R66="Lost"),N(T66)&gt;=Settings!$S$3),"",S66+Settings!$S$2)</f>
        <v/>
      </c>
      <c r="V66" s="38"/>
      <c r="W66" s="39"/>
      <c r="X66" s="17"/>
      <c r="Y66" s="17"/>
      <c r="Z66" s="17"/>
      <c r="AA66" s="43" t="str">
        <f aca="true">IF(OR(E66="",B66=""),"",INT(TODAY()-B66))</f>
        <v/>
      </c>
      <c r="AB66" s="44" t="str">
        <f aca="true">IF(E66="","",IF(OR(COUNTIFS(Clients!$C$2:$C$501,E66,Clients!$S$2:$S$501,"Paid")&gt;0,AND(I66&lt;&gt;"",COUNTIFS(Clients!$E$2:$E$501,I66,Clients!$S$2:$S$501,"Paid")&gt;0)),"⚠ Refunded before – no free video",IF(OR(R66="Contract signed + paid",R66="Closed – No response",R66="Lost"),"",IF(R66="","Set a stage",IF(N(T66)&gt;=Settings!$S$3,"Close – 4 follow-ups sent",IF(U66="",IF(S66="","Make first contact",""),IF(TODAY()&gt;U66,"OVERDUE follow-up",IF(TODAY()=U66,"Follow up today",""))))))))</f>
        <v/>
      </c>
    </row>
    <row r="67" customFormat="false" ht="15" hidden="false" customHeight="false" outlineLevel="0" collapsed="false">
      <c r="A67" s="17"/>
      <c r="B67" s="38"/>
      <c r="C67" s="39"/>
      <c r="D67" s="17"/>
      <c r="E67" s="17"/>
      <c r="F67" s="17"/>
      <c r="G67" s="17"/>
      <c r="H67" s="17"/>
      <c r="I67" s="40"/>
      <c r="J67" s="17"/>
      <c r="K67" s="17"/>
      <c r="L67" s="17"/>
      <c r="M67" s="17"/>
      <c r="N67" s="38"/>
      <c r="O67" s="39"/>
      <c r="P67" s="41" t="str">
        <f aca="false">IF(OR(B67="",N67=""),"",ROUND(((N67+N(O67))-(B67+N(C67)))*24,1))</f>
        <v/>
      </c>
      <c r="Q67" s="17"/>
      <c r="R67" s="17"/>
      <c r="S67" s="38"/>
      <c r="T67" s="17"/>
      <c r="U67" s="42" t="str">
        <f aca="false">IF(OR(E67="",S67="",OR(R67="Contract signed + paid",R67="Closed – No response",R67="Lost"),N(T67)&gt;=Settings!$S$3),"",S67+Settings!$S$2)</f>
        <v/>
      </c>
      <c r="V67" s="38"/>
      <c r="W67" s="39"/>
      <c r="X67" s="17"/>
      <c r="Y67" s="17"/>
      <c r="Z67" s="17"/>
      <c r="AA67" s="43" t="str">
        <f aca="true">IF(OR(E67="",B67=""),"",INT(TODAY()-B67))</f>
        <v/>
      </c>
      <c r="AB67" s="44" t="str">
        <f aca="true">IF(E67="","",IF(OR(COUNTIFS(Clients!$C$2:$C$501,E67,Clients!$S$2:$S$501,"Paid")&gt;0,AND(I67&lt;&gt;"",COUNTIFS(Clients!$E$2:$E$501,I67,Clients!$S$2:$S$501,"Paid")&gt;0)),"⚠ Refunded before – no free video",IF(OR(R67="Contract signed + paid",R67="Closed – No response",R67="Lost"),"",IF(R67="","Set a stage",IF(N(T67)&gt;=Settings!$S$3,"Close – 4 follow-ups sent",IF(U67="",IF(S67="","Make first contact",""),IF(TODAY()&gt;U67,"OVERDUE follow-up",IF(TODAY()=U67,"Follow up today",""))))))))</f>
        <v/>
      </c>
    </row>
    <row r="68" customFormat="false" ht="15" hidden="false" customHeight="false" outlineLevel="0" collapsed="false">
      <c r="A68" s="17"/>
      <c r="B68" s="38"/>
      <c r="C68" s="39"/>
      <c r="D68" s="17"/>
      <c r="E68" s="17"/>
      <c r="F68" s="17"/>
      <c r="G68" s="17"/>
      <c r="H68" s="17"/>
      <c r="I68" s="40"/>
      <c r="J68" s="17"/>
      <c r="K68" s="17"/>
      <c r="L68" s="17"/>
      <c r="M68" s="17"/>
      <c r="N68" s="38"/>
      <c r="O68" s="39"/>
      <c r="P68" s="41" t="str">
        <f aca="false">IF(OR(B68="",N68=""),"",ROUND(((N68+N(O68))-(B68+N(C68)))*24,1))</f>
        <v/>
      </c>
      <c r="Q68" s="17"/>
      <c r="R68" s="17"/>
      <c r="S68" s="38"/>
      <c r="T68" s="17"/>
      <c r="U68" s="42" t="str">
        <f aca="false">IF(OR(E68="",S68="",OR(R68="Contract signed + paid",R68="Closed – No response",R68="Lost"),N(T68)&gt;=Settings!$S$3),"",S68+Settings!$S$2)</f>
        <v/>
      </c>
      <c r="V68" s="38"/>
      <c r="W68" s="39"/>
      <c r="X68" s="17"/>
      <c r="Y68" s="17"/>
      <c r="Z68" s="17"/>
      <c r="AA68" s="43" t="str">
        <f aca="true">IF(OR(E68="",B68=""),"",INT(TODAY()-B68))</f>
        <v/>
      </c>
      <c r="AB68" s="44" t="str">
        <f aca="true">IF(E68="","",IF(OR(COUNTIFS(Clients!$C$2:$C$501,E68,Clients!$S$2:$S$501,"Paid")&gt;0,AND(I68&lt;&gt;"",COUNTIFS(Clients!$E$2:$E$501,I68,Clients!$S$2:$S$501,"Paid")&gt;0)),"⚠ Refunded before – no free video",IF(OR(R68="Contract signed + paid",R68="Closed – No response",R68="Lost"),"",IF(R68="","Set a stage",IF(N(T68)&gt;=Settings!$S$3,"Close – 4 follow-ups sent",IF(U68="",IF(S68="","Make first contact",""),IF(TODAY()&gt;U68,"OVERDUE follow-up",IF(TODAY()=U68,"Follow up today",""))))))))</f>
        <v/>
      </c>
    </row>
    <row r="69" customFormat="false" ht="15" hidden="false" customHeight="false" outlineLevel="0" collapsed="false">
      <c r="A69" s="17"/>
      <c r="B69" s="38"/>
      <c r="C69" s="39"/>
      <c r="D69" s="17"/>
      <c r="E69" s="17"/>
      <c r="F69" s="17"/>
      <c r="G69" s="17"/>
      <c r="H69" s="17"/>
      <c r="I69" s="40"/>
      <c r="J69" s="17"/>
      <c r="K69" s="17"/>
      <c r="L69" s="17"/>
      <c r="M69" s="17"/>
      <c r="N69" s="38"/>
      <c r="O69" s="39"/>
      <c r="P69" s="41" t="str">
        <f aca="false">IF(OR(B69="",N69=""),"",ROUND(((N69+N(O69))-(B69+N(C69)))*24,1))</f>
        <v/>
      </c>
      <c r="Q69" s="17"/>
      <c r="R69" s="17"/>
      <c r="S69" s="38"/>
      <c r="T69" s="17"/>
      <c r="U69" s="42" t="str">
        <f aca="false">IF(OR(E69="",S69="",OR(R69="Contract signed + paid",R69="Closed – No response",R69="Lost"),N(T69)&gt;=Settings!$S$3),"",S69+Settings!$S$2)</f>
        <v/>
      </c>
      <c r="V69" s="38"/>
      <c r="W69" s="39"/>
      <c r="X69" s="17"/>
      <c r="Y69" s="17"/>
      <c r="Z69" s="17"/>
      <c r="AA69" s="43" t="str">
        <f aca="true">IF(OR(E69="",B69=""),"",INT(TODAY()-B69))</f>
        <v/>
      </c>
      <c r="AB69" s="44" t="str">
        <f aca="true">IF(E69="","",IF(OR(COUNTIFS(Clients!$C$2:$C$501,E69,Clients!$S$2:$S$501,"Paid")&gt;0,AND(I69&lt;&gt;"",COUNTIFS(Clients!$E$2:$E$501,I69,Clients!$S$2:$S$501,"Paid")&gt;0)),"⚠ Refunded before – no free video",IF(OR(R69="Contract signed + paid",R69="Closed – No response",R69="Lost"),"",IF(R69="","Set a stage",IF(N(T69)&gt;=Settings!$S$3,"Close – 4 follow-ups sent",IF(U69="",IF(S69="","Make first contact",""),IF(TODAY()&gt;U69,"OVERDUE follow-up",IF(TODAY()=U69,"Follow up today",""))))))))</f>
        <v/>
      </c>
    </row>
    <row r="70" customFormat="false" ht="15" hidden="false" customHeight="false" outlineLevel="0" collapsed="false">
      <c r="A70" s="17"/>
      <c r="B70" s="38"/>
      <c r="C70" s="39"/>
      <c r="D70" s="17"/>
      <c r="E70" s="17"/>
      <c r="F70" s="17"/>
      <c r="G70" s="17"/>
      <c r="H70" s="17"/>
      <c r="I70" s="40"/>
      <c r="J70" s="17"/>
      <c r="K70" s="17"/>
      <c r="L70" s="17"/>
      <c r="M70" s="17"/>
      <c r="N70" s="38"/>
      <c r="O70" s="39"/>
      <c r="P70" s="41" t="str">
        <f aca="false">IF(OR(B70="",N70=""),"",ROUND(((N70+N(O70))-(B70+N(C70)))*24,1))</f>
        <v/>
      </c>
      <c r="Q70" s="17"/>
      <c r="R70" s="17"/>
      <c r="S70" s="38"/>
      <c r="T70" s="17"/>
      <c r="U70" s="42" t="str">
        <f aca="false">IF(OR(E70="",S70="",OR(R70="Contract signed + paid",R70="Closed – No response",R70="Lost"),N(T70)&gt;=Settings!$S$3),"",S70+Settings!$S$2)</f>
        <v/>
      </c>
      <c r="V70" s="38"/>
      <c r="W70" s="39"/>
      <c r="X70" s="17"/>
      <c r="Y70" s="17"/>
      <c r="Z70" s="17"/>
      <c r="AA70" s="43" t="str">
        <f aca="true">IF(OR(E70="",B70=""),"",INT(TODAY()-B70))</f>
        <v/>
      </c>
      <c r="AB70" s="44" t="str">
        <f aca="true">IF(E70="","",IF(OR(COUNTIFS(Clients!$C$2:$C$501,E70,Clients!$S$2:$S$501,"Paid")&gt;0,AND(I70&lt;&gt;"",COUNTIFS(Clients!$E$2:$E$501,I70,Clients!$S$2:$S$501,"Paid")&gt;0)),"⚠ Refunded before – no free video",IF(OR(R70="Contract signed + paid",R70="Closed – No response",R70="Lost"),"",IF(R70="","Set a stage",IF(N(T70)&gt;=Settings!$S$3,"Close – 4 follow-ups sent",IF(U70="",IF(S70="","Make first contact",""),IF(TODAY()&gt;U70,"OVERDUE follow-up",IF(TODAY()=U70,"Follow up today",""))))))))</f>
        <v/>
      </c>
    </row>
    <row r="71" customFormat="false" ht="15" hidden="false" customHeight="false" outlineLevel="0" collapsed="false">
      <c r="A71" s="17"/>
      <c r="B71" s="38"/>
      <c r="C71" s="39"/>
      <c r="D71" s="17"/>
      <c r="E71" s="17"/>
      <c r="F71" s="17"/>
      <c r="G71" s="17"/>
      <c r="H71" s="17"/>
      <c r="I71" s="40"/>
      <c r="J71" s="17"/>
      <c r="K71" s="17"/>
      <c r="L71" s="17"/>
      <c r="M71" s="17"/>
      <c r="N71" s="38"/>
      <c r="O71" s="39"/>
      <c r="P71" s="41" t="str">
        <f aca="false">IF(OR(B71="",N71=""),"",ROUND(((N71+N(O71))-(B71+N(C71)))*24,1))</f>
        <v/>
      </c>
      <c r="Q71" s="17"/>
      <c r="R71" s="17"/>
      <c r="S71" s="38"/>
      <c r="T71" s="17"/>
      <c r="U71" s="42" t="str">
        <f aca="false">IF(OR(E71="",S71="",OR(R71="Contract signed + paid",R71="Closed – No response",R71="Lost"),N(T71)&gt;=Settings!$S$3),"",S71+Settings!$S$2)</f>
        <v/>
      </c>
      <c r="V71" s="38"/>
      <c r="W71" s="39"/>
      <c r="X71" s="17"/>
      <c r="Y71" s="17"/>
      <c r="Z71" s="17"/>
      <c r="AA71" s="43" t="str">
        <f aca="true">IF(OR(E71="",B71=""),"",INT(TODAY()-B71))</f>
        <v/>
      </c>
      <c r="AB71" s="44" t="str">
        <f aca="true">IF(E71="","",IF(OR(COUNTIFS(Clients!$C$2:$C$501,E71,Clients!$S$2:$S$501,"Paid")&gt;0,AND(I71&lt;&gt;"",COUNTIFS(Clients!$E$2:$E$501,I71,Clients!$S$2:$S$501,"Paid")&gt;0)),"⚠ Refunded before – no free video",IF(OR(R71="Contract signed + paid",R71="Closed – No response",R71="Lost"),"",IF(R71="","Set a stage",IF(N(T71)&gt;=Settings!$S$3,"Close – 4 follow-ups sent",IF(U71="",IF(S71="","Make first contact",""),IF(TODAY()&gt;U71,"OVERDUE follow-up",IF(TODAY()=U71,"Follow up today",""))))))))</f>
        <v/>
      </c>
    </row>
    <row r="72" customFormat="false" ht="15" hidden="false" customHeight="false" outlineLevel="0" collapsed="false">
      <c r="A72" s="17"/>
      <c r="B72" s="38"/>
      <c r="C72" s="39"/>
      <c r="D72" s="17"/>
      <c r="E72" s="17"/>
      <c r="F72" s="17"/>
      <c r="G72" s="17"/>
      <c r="H72" s="17"/>
      <c r="I72" s="40"/>
      <c r="J72" s="17"/>
      <c r="K72" s="17"/>
      <c r="L72" s="17"/>
      <c r="M72" s="17"/>
      <c r="N72" s="38"/>
      <c r="O72" s="39"/>
      <c r="P72" s="41" t="str">
        <f aca="false">IF(OR(B72="",N72=""),"",ROUND(((N72+N(O72))-(B72+N(C72)))*24,1))</f>
        <v/>
      </c>
      <c r="Q72" s="17"/>
      <c r="R72" s="17"/>
      <c r="S72" s="38"/>
      <c r="T72" s="17"/>
      <c r="U72" s="42" t="str">
        <f aca="false">IF(OR(E72="",S72="",OR(R72="Contract signed + paid",R72="Closed – No response",R72="Lost"),N(T72)&gt;=Settings!$S$3),"",S72+Settings!$S$2)</f>
        <v/>
      </c>
      <c r="V72" s="38"/>
      <c r="W72" s="39"/>
      <c r="X72" s="17"/>
      <c r="Y72" s="17"/>
      <c r="Z72" s="17"/>
      <c r="AA72" s="43" t="str">
        <f aca="true">IF(OR(E72="",B72=""),"",INT(TODAY()-B72))</f>
        <v/>
      </c>
      <c r="AB72" s="44" t="str">
        <f aca="true">IF(E72="","",IF(OR(COUNTIFS(Clients!$C$2:$C$501,E72,Clients!$S$2:$S$501,"Paid")&gt;0,AND(I72&lt;&gt;"",COUNTIFS(Clients!$E$2:$E$501,I72,Clients!$S$2:$S$501,"Paid")&gt;0)),"⚠ Refunded before – no free video",IF(OR(R72="Contract signed + paid",R72="Closed – No response",R72="Lost"),"",IF(R72="","Set a stage",IF(N(T72)&gt;=Settings!$S$3,"Close – 4 follow-ups sent",IF(U72="",IF(S72="","Make first contact",""),IF(TODAY()&gt;U72,"OVERDUE follow-up",IF(TODAY()=U72,"Follow up today",""))))))))</f>
        <v/>
      </c>
    </row>
    <row r="73" customFormat="false" ht="15" hidden="false" customHeight="false" outlineLevel="0" collapsed="false">
      <c r="A73" s="17"/>
      <c r="B73" s="38"/>
      <c r="C73" s="39"/>
      <c r="D73" s="17"/>
      <c r="E73" s="17"/>
      <c r="F73" s="17"/>
      <c r="G73" s="17"/>
      <c r="H73" s="17"/>
      <c r="I73" s="40"/>
      <c r="J73" s="17"/>
      <c r="K73" s="17"/>
      <c r="L73" s="17"/>
      <c r="M73" s="17"/>
      <c r="N73" s="38"/>
      <c r="O73" s="39"/>
      <c r="P73" s="41" t="str">
        <f aca="false">IF(OR(B73="",N73=""),"",ROUND(((N73+N(O73))-(B73+N(C73)))*24,1))</f>
        <v/>
      </c>
      <c r="Q73" s="17"/>
      <c r="R73" s="17"/>
      <c r="S73" s="38"/>
      <c r="T73" s="17"/>
      <c r="U73" s="42" t="str">
        <f aca="false">IF(OR(E73="",S73="",OR(R73="Contract signed + paid",R73="Closed – No response",R73="Lost"),N(T73)&gt;=Settings!$S$3),"",S73+Settings!$S$2)</f>
        <v/>
      </c>
      <c r="V73" s="38"/>
      <c r="W73" s="39"/>
      <c r="X73" s="17"/>
      <c r="Y73" s="17"/>
      <c r="Z73" s="17"/>
      <c r="AA73" s="43" t="str">
        <f aca="true">IF(OR(E73="",B73=""),"",INT(TODAY()-B73))</f>
        <v/>
      </c>
      <c r="AB73" s="44" t="str">
        <f aca="true">IF(E73="","",IF(OR(COUNTIFS(Clients!$C$2:$C$501,E73,Clients!$S$2:$S$501,"Paid")&gt;0,AND(I73&lt;&gt;"",COUNTIFS(Clients!$E$2:$E$501,I73,Clients!$S$2:$S$501,"Paid")&gt;0)),"⚠ Refunded before – no free video",IF(OR(R73="Contract signed + paid",R73="Closed – No response",R73="Lost"),"",IF(R73="","Set a stage",IF(N(T73)&gt;=Settings!$S$3,"Close – 4 follow-ups sent",IF(U73="",IF(S73="","Make first contact",""),IF(TODAY()&gt;U73,"OVERDUE follow-up",IF(TODAY()=U73,"Follow up today",""))))))))</f>
        <v/>
      </c>
    </row>
    <row r="74" customFormat="false" ht="15" hidden="false" customHeight="false" outlineLevel="0" collapsed="false">
      <c r="A74" s="17"/>
      <c r="B74" s="38"/>
      <c r="C74" s="39"/>
      <c r="D74" s="17"/>
      <c r="E74" s="17"/>
      <c r="F74" s="17"/>
      <c r="G74" s="17"/>
      <c r="H74" s="17"/>
      <c r="I74" s="40"/>
      <c r="J74" s="17"/>
      <c r="K74" s="17"/>
      <c r="L74" s="17"/>
      <c r="M74" s="17"/>
      <c r="N74" s="38"/>
      <c r="O74" s="39"/>
      <c r="P74" s="41" t="str">
        <f aca="false">IF(OR(B74="",N74=""),"",ROUND(((N74+N(O74))-(B74+N(C74)))*24,1))</f>
        <v/>
      </c>
      <c r="Q74" s="17"/>
      <c r="R74" s="17"/>
      <c r="S74" s="38"/>
      <c r="T74" s="17"/>
      <c r="U74" s="42" t="str">
        <f aca="false">IF(OR(E74="",S74="",OR(R74="Contract signed + paid",R74="Closed – No response",R74="Lost"),N(T74)&gt;=Settings!$S$3),"",S74+Settings!$S$2)</f>
        <v/>
      </c>
      <c r="V74" s="38"/>
      <c r="W74" s="39"/>
      <c r="X74" s="17"/>
      <c r="Y74" s="17"/>
      <c r="Z74" s="17"/>
      <c r="AA74" s="43" t="str">
        <f aca="true">IF(OR(E74="",B74=""),"",INT(TODAY()-B74))</f>
        <v/>
      </c>
      <c r="AB74" s="44" t="str">
        <f aca="true">IF(E74="","",IF(OR(COUNTIFS(Clients!$C$2:$C$501,E74,Clients!$S$2:$S$501,"Paid")&gt;0,AND(I74&lt;&gt;"",COUNTIFS(Clients!$E$2:$E$501,I74,Clients!$S$2:$S$501,"Paid")&gt;0)),"⚠ Refunded before – no free video",IF(OR(R74="Contract signed + paid",R74="Closed – No response",R74="Lost"),"",IF(R74="","Set a stage",IF(N(T74)&gt;=Settings!$S$3,"Close – 4 follow-ups sent",IF(U74="",IF(S74="","Make first contact",""),IF(TODAY()&gt;U74,"OVERDUE follow-up",IF(TODAY()=U74,"Follow up today",""))))))))</f>
        <v/>
      </c>
    </row>
    <row r="75" customFormat="false" ht="15" hidden="false" customHeight="false" outlineLevel="0" collapsed="false">
      <c r="A75" s="17"/>
      <c r="B75" s="38"/>
      <c r="C75" s="39"/>
      <c r="D75" s="17"/>
      <c r="E75" s="17"/>
      <c r="F75" s="17"/>
      <c r="G75" s="17"/>
      <c r="H75" s="17"/>
      <c r="I75" s="40"/>
      <c r="J75" s="17"/>
      <c r="K75" s="17"/>
      <c r="L75" s="17"/>
      <c r="M75" s="17"/>
      <c r="N75" s="38"/>
      <c r="O75" s="39"/>
      <c r="P75" s="41" t="str">
        <f aca="false">IF(OR(B75="",N75=""),"",ROUND(((N75+N(O75))-(B75+N(C75)))*24,1))</f>
        <v/>
      </c>
      <c r="Q75" s="17"/>
      <c r="R75" s="17"/>
      <c r="S75" s="38"/>
      <c r="T75" s="17"/>
      <c r="U75" s="42" t="str">
        <f aca="false">IF(OR(E75="",S75="",OR(R75="Contract signed + paid",R75="Closed – No response",R75="Lost"),N(T75)&gt;=Settings!$S$3),"",S75+Settings!$S$2)</f>
        <v/>
      </c>
      <c r="V75" s="38"/>
      <c r="W75" s="39"/>
      <c r="X75" s="17"/>
      <c r="Y75" s="17"/>
      <c r="Z75" s="17"/>
      <c r="AA75" s="43" t="str">
        <f aca="true">IF(OR(E75="",B75=""),"",INT(TODAY()-B75))</f>
        <v/>
      </c>
      <c r="AB75" s="44" t="str">
        <f aca="true">IF(E75="","",IF(OR(COUNTIFS(Clients!$C$2:$C$501,E75,Clients!$S$2:$S$501,"Paid")&gt;0,AND(I75&lt;&gt;"",COUNTIFS(Clients!$E$2:$E$501,I75,Clients!$S$2:$S$501,"Paid")&gt;0)),"⚠ Refunded before – no free video",IF(OR(R75="Contract signed + paid",R75="Closed – No response",R75="Lost"),"",IF(R75="","Set a stage",IF(N(T75)&gt;=Settings!$S$3,"Close – 4 follow-ups sent",IF(U75="",IF(S75="","Make first contact",""),IF(TODAY()&gt;U75,"OVERDUE follow-up",IF(TODAY()=U75,"Follow up today",""))))))))</f>
        <v/>
      </c>
    </row>
    <row r="76" customFormat="false" ht="15" hidden="false" customHeight="false" outlineLevel="0" collapsed="false">
      <c r="A76" s="17"/>
      <c r="B76" s="38"/>
      <c r="C76" s="39"/>
      <c r="D76" s="17"/>
      <c r="E76" s="17"/>
      <c r="F76" s="17"/>
      <c r="G76" s="17"/>
      <c r="H76" s="17"/>
      <c r="I76" s="40"/>
      <c r="J76" s="17"/>
      <c r="K76" s="17"/>
      <c r="L76" s="17"/>
      <c r="M76" s="17"/>
      <c r="N76" s="38"/>
      <c r="O76" s="39"/>
      <c r="P76" s="41" t="str">
        <f aca="false">IF(OR(B76="",N76=""),"",ROUND(((N76+N(O76))-(B76+N(C76)))*24,1))</f>
        <v/>
      </c>
      <c r="Q76" s="17"/>
      <c r="R76" s="17"/>
      <c r="S76" s="38"/>
      <c r="T76" s="17"/>
      <c r="U76" s="42" t="str">
        <f aca="false">IF(OR(E76="",S76="",OR(R76="Contract signed + paid",R76="Closed – No response",R76="Lost"),N(T76)&gt;=Settings!$S$3),"",S76+Settings!$S$2)</f>
        <v/>
      </c>
      <c r="V76" s="38"/>
      <c r="W76" s="39"/>
      <c r="X76" s="17"/>
      <c r="Y76" s="17"/>
      <c r="Z76" s="17"/>
      <c r="AA76" s="43" t="str">
        <f aca="true">IF(OR(E76="",B76=""),"",INT(TODAY()-B76))</f>
        <v/>
      </c>
      <c r="AB76" s="44" t="str">
        <f aca="true">IF(E76="","",IF(OR(COUNTIFS(Clients!$C$2:$C$501,E76,Clients!$S$2:$S$501,"Paid")&gt;0,AND(I76&lt;&gt;"",COUNTIFS(Clients!$E$2:$E$501,I76,Clients!$S$2:$S$501,"Paid")&gt;0)),"⚠ Refunded before – no free video",IF(OR(R76="Contract signed + paid",R76="Closed – No response",R76="Lost"),"",IF(R76="","Set a stage",IF(N(T76)&gt;=Settings!$S$3,"Close – 4 follow-ups sent",IF(U76="",IF(S76="","Make first contact",""),IF(TODAY()&gt;U76,"OVERDUE follow-up",IF(TODAY()=U76,"Follow up today",""))))))))</f>
        <v/>
      </c>
    </row>
    <row r="77" customFormat="false" ht="15" hidden="false" customHeight="false" outlineLevel="0" collapsed="false">
      <c r="A77" s="17"/>
      <c r="B77" s="38"/>
      <c r="C77" s="39"/>
      <c r="D77" s="17"/>
      <c r="E77" s="17"/>
      <c r="F77" s="17"/>
      <c r="G77" s="17"/>
      <c r="H77" s="17"/>
      <c r="I77" s="40"/>
      <c r="J77" s="17"/>
      <c r="K77" s="17"/>
      <c r="L77" s="17"/>
      <c r="M77" s="17"/>
      <c r="N77" s="38"/>
      <c r="O77" s="39"/>
      <c r="P77" s="41" t="str">
        <f aca="false">IF(OR(B77="",N77=""),"",ROUND(((N77+N(O77))-(B77+N(C77)))*24,1))</f>
        <v/>
      </c>
      <c r="Q77" s="17"/>
      <c r="R77" s="17"/>
      <c r="S77" s="38"/>
      <c r="T77" s="17"/>
      <c r="U77" s="42" t="str">
        <f aca="false">IF(OR(E77="",S77="",OR(R77="Contract signed + paid",R77="Closed – No response",R77="Lost"),N(T77)&gt;=Settings!$S$3),"",S77+Settings!$S$2)</f>
        <v/>
      </c>
      <c r="V77" s="38"/>
      <c r="W77" s="39"/>
      <c r="X77" s="17"/>
      <c r="Y77" s="17"/>
      <c r="Z77" s="17"/>
      <c r="AA77" s="43" t="str">
        <f aca="true">IF(OR(E77="",B77=""),"",INT(TODAY()-B77))</f>
        <v/>
      </c>
      <c r="AB77" s="44" t="str">
        <f aca="true">IF(E77="","",IF(OR(COUNTIFS(Clients!$C$2:$C$501,E77,Clients!$S$2:$S$501,"Paid")&gt;0,AND(I77&lt;&gt;"",COUNTIFS(Clients!$E$2:$E$501,I77,Clients!$S$2:$S$501,"Paid")&gt;0)),"⚠ Refunded before – no free video",IF(OR(R77="Contract signed + paid",R77="Closed – No response",R77="Lost"),"",IF(R77="","Set a stage",IF(N(T77)&gt;=Settings!$S$3,"Close – 4 follow-ups sent",IF(U77="",IF(S77="","Make first contact",""),IF(TODAY()&gt;U77,"OVERDUE follow-up",IF(TODAY()=U77,"Follow up today",""))))))))</f>
        <v/>
      </c>
    </row>
    <row r="78" customFormat="false" ht="15" hidden="false" customHeight="false" outlineLevel="0" collapsed="false">
      <c r="A78" s="17"/>
      <c r="B78" s="38"/>
      <c r="C78" s="39"/>
      <c r="D78" s="17"/>
      <c r="E78" s="17"/>
      <c r="F78" s="17"/>
      <c r="G78" s="17"/>
      <c r="H78" s="17"/>
      <c r="I78" s="40"/>
      <c r="J78" s="17"/>
      <c r="K78" s="17"/>
      <c r="L78" s="17"/>
      <c r="M78" s="17"/>
      <c r="N78" s="38"/>
      <c r="O78" s="39"/>
      <c r="P78" s="41" t="str">
        <f aca="false">IF(OR(B78="",N78=""),"",ROUND(((N78+N(O78))-(B78+N(C78)))*24,1))</f>
        <v/>
      </c>
      <c r="Q78" s="17"/>
      <c r="R78" s="17"/>
      <c r="S78" s="38"/>
      <c r="T78" s="17"/>
      <c r="U78" s="42" t="str">
        <f aca="false">IF(OR(E78="",S78="",OR(R78="Contract signed + paid",R78="Closed – No response",R78="Lost"),N(T78)&gt;=Settings!$S$3),"",S78+Settings!$S$2)</f>
        <v/>
      </c>
      <c r="V78" s="38"/>
      <c r="W78" s="39"/>
      <c r="X78" s="17"/>
      <c r="Y78" s="17"/>
      <c r="Z78" s="17"/>
      <c r="AA78" s="43" t="str">
        <f aca="true">IF(OR(E78="",B78=""),"",INT(TODAY()-B78))</f>
        <v/>
      </c>
      <c r="AB78" s="44" t="str">
        <f aca="true">IF(E78="","",IF(OR(COUNTIFS(Clients!$C$2:$C$501,E78,Clients!$S$2:$S$501,"Paid")&gt;0,AND(I78&lt;&gt;"",COUNTIFS(Clients!$E$2:$E$501,I78,Clients!$S$2:$S$501,"Paid")&gt;0)),"⚠ Refunded before – no free video",IF(OR(R78="Contract signed + paid",R78="Closed – No response",R78="Lost"),"",IF(R78="","Set a stage",IF(N(T78)&gt;=Settings!$S$3,"Close – 4 follow-ups sent",IF(U78="",IF(S78="","Make first contact",""),IF(TODAY()&gt;U78,"OVERDUE follow-up",IF(TODAY()=U78,"Follow up today",""))))))))</f>
        <v/>
      </c>
    </row>
    <row r="79" customFormat="false" ht="15" hidden="false" customHeight="false" outlineLevel="0" collapsed="false">
      <c r="A79" s="17"/>
      <c r="B79" s="38"/>
      <c r="C79" s="39"/>
      <c r="D79" s="17"/>
      <c r="E79" s="17"/>
      <c r="F79" s="17"/>
      <c r="G79" s="17"/>
      <c r="H79" s="17"/>
      <c r="I79" s="40"/>
      <c r="J79" s="17"/>
      <c r="K79" s="17"/>
      <c r="L79" s="17"/>
      <c r="M79" s="17"/>
      <c r="N79" s="38"/>
      <c r="O79" s="39"/>
      <c r="P79" s="41" t="str">
        <f aca="false">IF(OR(B79="",N79=""),"",ROUND(((N79+N(O79))-(B79+N(C79)))*24,1))</f>
        <v/>
      </c>
      <c r="Q79" s="17"/>
      <c r="R79" s="17"/>
      <c r="S79" s="38"/>
      <c r="T79" s="17"/>
      <c r="U79" s="42" t="str">
        <f aca="false">IF(OR(E79="",S79="",OR(R79="Contract signed + paid",R79="Closed – No response",R79="Lost"),N(T79)&gt;=Settings!$S$3),"",S79+Settings!$S$2)</f>
        <v/>
      </c>
      <c r="V79" s="38"/>
      <c r="W79" s="39"/>
      <c r="X79" s="17"/>
      <c r="Y79" s="17"/>
      <c r="Z79" s="17"/>
      <c r="AA79" s="43" t="str">
        <f aca="true">IF(OR(E79="",B79=""),"",INT(TODAY()-B79))</f>
        <v/>
      </c>
      <c r="AB79" s="44" t="str">
        <f aca="true">IF(E79="","",IF(OR(COUNTIFS(Clients!$C$2:$C$501,E79,Clients!$S$2:$S$501,"Paid")&gt;0,AND(I79&lt;&gt;"",COUNTIFS(Clients!$E$2:$E$501,I79,Clients!$S$2:$S$501,"Paid")&gt;0)),"⚠ Refunded before – no free video",IF(OR(R79="Contract signed + paid",R79="Closed – No response",R79="Lost"),"",IF(R79="","Set a stage",IF(N(T79)&gt;=Settings!$S$3,"Close – 4 follow-ups sent",IF(U79="",IF(S79="","Make first contact",""),IF(TODAY()&gt;U79,"OVERDUE follow-up",IF(TODAY()=U79,"Follow up today",""))))))))</f>
        <v/>
      </c>
    </row>
    <row r="80" customFormat="false" ht="15" hidden="false" customHeight="false" outlineLevel="0" collapsed="false">
      <c r="A80" s="17"/>
      <c r="B80" s="38"/>
      <c r="C80" s="39"/>
      <c r="D80" s="17"/>
      <c r="E80" s="17"/>
      <c r="F80" s="17"/>
      <c r="G80" s="17"/>
      <c r="H80" s="17"/>
      <c r="I80" s="40"/>
      <c r="J80" s="17"/>
      <c r="K80" s="17"/>
      <c r="L80" s="17"/>
      <c r="M80" s="17"/>
      <c r="N80" s="38"/>
      <c r="O80" s="39"/>
      <c r="P80" s="41" t="str">
        <f aca="false">IF(OR(B80="",N80=""),"",ROUND(((N80+N(O80))-(B80+N(C80)))*24,1))</f>
        <v/>
      </c>
      <c r="Q80" s="17"/>
      <c r="R80" s="17"/>
      <c r="S80" s="38"/>
      <c r="T80" s="17"/>
      <c r="U80" s="42" t="str">
        <f aca="false">IF(OR(E80="",S80="",OR(R80="Contract signed + paid",R80="Closed – No response",R80="Lost"),N(T80)&gt;=Settings!$S$3),"",S80+Settings!$S$2)</f>
        <v/>
      </c>
      <c r="V80" s="38"/>
      <c r="W80" s="39"/>
      <c r="X80" s="17"/>
      <c r="Y80" s="17"/>
      <c r="Z80" s="17"/>
      <c r="AA80" s="43" t="str">
        <f aca="true">IF(OR(E80="",B80=""),"",INT(TODAY()-B80))</f>
        <v/>
      </c>
      <c r="AB80" s="44" t="str">
        <f aca="true">IF(E80="","",IF(OR(COUNTIFS(Clients!$C$2:$C$501,E80,Clients!$S$2:$S$501,"Paid")&gt;0,AND(I80&lt;&gt;"",COUNTIFS(Clients!$E$2:$E$501,I80,Clients!$S$2:$S$501,"Paid")&gt;0)),"⚠ Refunded before – no free video",IF(OR(R80="Contract signed + paid",R80="Closed – No response",R80="Lost"),"",IF(R80="","Set a stage",IF(N(T80)&gt;=Settings!$S$3,"Close – 4 follow-ups sent",IF(U80="",IF(S80="","Make first contact",""),IF(TODAY()&gt;U80,"OVERDUE follow-up",IF(TODAY()=U80,"Follow up today",""))))))))</f>
        <v/>
      </c>
    </row>
    <row r="81" customFormat="false" ht="15" hidden="false" customHeight="false" outlineLevel="0" collapsed="false">
      <c r="A81" s="17"/>
      <c r="B81" s="38"/>
      <c r="C81" s="39"/>
      <c r="D81" s="17"/>
      <c r="E81" s="17"/>
      <c r="F81" s="17"/>
      <c r="G81" s="17"/>
      <c r="H81" s="17"/>
      <c r="I81" s="40"/>
      <c r="J81" s="17"/>
      <c r="K81" s="17"/>
      <c r="L81" s="17"/>
      <c r="M81" s="17"/>
      <c r="N81" s="38"/>
      <c r="O81" s="39"/>
      <c r="P81" s="41" t="str">
        <f aca="false">IF(OR(B81="",N81=""),"",ROUND(((N81+N(O81))-(B81+N(C81)))*24,1))</f>
        <v/>
      </c>
      <c r="Q81" s="17"/>
      <c r="R81" s="17"/>
      <c r="S81" s="38"/>
      <c r="T81" s="17"/>
      <c r="U81" s="42" t="str">
        <f aca="false">IF(OR(E81="",S81="",OR(R81="Contract signed + paid",R81="Closed – No response",R81="Lost"),N(T81)&gt;=Settings!$S$3),"",S81+Settings!$S$2)</f>
        <v/>
      </c>
      <c r="V81" s="38"/>
      <c r="W81" s="39"/>
      <c r="X81" s="17"/>
      <c r="Y81" s="17"/>
      <c r="Z81" s="17"/>
      <c r="AA81" s="43" t="str">
        <f aca="true">IF(OR(E81="",B81=""),"",INT(TODAY()-B81))</f>
        <v/>
      </c>
      <c r="AB81" s="44" t="str">
        <f aca="true">IF(E81="","",IF(OR(COUNTIFS(Clients!$C$2:$C$501,E81,Clients!$S$2:$S$501,"Paid")&gt;0,AND(I81&lt;&gt;"",COUNTIFS(Clients!$E$2:$E$501,I81,Clients!$S$2:$S$501,"Paid")&gt;0)),"⚠ Refunded before – no free video",IF(OR(R81="Contract signed + paid",R81="Closed – No response",R81="Lost"),"",IF(R81="","Set a stage",IF(N(T81)&gt;=Settings!$S$3,"Close – 4 follow-ups sent",IF(U81="",IF(S81="","Make first contact",""),IF(TODAY()&gt;U81,"OVERDUE follow-up",IF(TODAY()=U81,"Follow up today",""))))))))</f>
        <v/>
      </c>
    </row>
    <row r="82" customFormat="false" ht="15" hidden="false" customHeight="false" outlineLevel="0" collapsed="false">
      <c r="A82" s="17"/>
      <c r="B82" s="38"/>
      <c r="C82" s="39"/>
      <c r="D82" s="17"/>
      <c r="E82" s="17"/>
      <c r="F82" s="17"/>
      <c r="G82" s="17"/>
      <c r="H82" s="17"/>
      <c r="I82" s="40"/>
      <c r="J82" s="17"/>
      <c r="K82" s="17"/>
      <c r="L82" s="17"/>
      <c r="M82" s="17"/>
      <c r="N82" s="38"/>
      <c r="O82" s="39"/>
      <c r="P82" s="41" t="str">
        <f aca="false">IF(OR(B82="",N82=""),"",ROUND(((N82+N(O82))-(B82+N(C82)))*24,1))</f>
        <v/>
      </c>
      <c r="Q82" s="17"/>
      <c r="R82" s="17"/>
      <c r="S82" s="38"/>
      <c r="T82" s="17"/>
      <c r="U82" s="42" t="str">
        <f aca="false">IF(OR(E82="",S82="",OR(R82="Contract signed + paid",R82="Closed – No response",R82="Lost"),N(T82)&gt;=Settings!$S$3),"",S82+Settings!$S$2)</f>
        <v/>
      </c>
      <c r="V82" s="38"/>
      <c r="W82" s="39"/>
      <c r="X82" s="17"/>
      <c r="Y82" s="17"/>
      <c r="Z82" s="17"/>
      <c r="AA82" s="43" t="str">
        <f aca="true">IF(OR(E82="",B82=""),"",INT(TODAY()-B82))</f>
        <v/>
      </c>
      <c r="AB82" s="44" t="str">
        <f aca="true">IF(E82="","",IF(OR(COUNTIFS(Clients!$C$2:$C$501,E82,Clients!$S$2:$S$501,"Paid")&gt;0,AND(I82&lt;&gt;"",COUNTIFS(Clients!$E$2:$E$501,I82,Clients!$S$2:$S$501,"Paid")&gt;0)),"⚠ Refunded before – no free video",IF(OR(R82="Contract signed + paid",R82="Closed – No response",R82="Lost"),"",IF(R82="","Set a stage",IF(N(T82)&gt;=Settings!$S$3,"Close – 4 follow-ups sent",IF(U82="",IF(S82="","Make first contact",""),IF(TODAY()&gt;U82,"OVERDUE follow-up",IF(TODAY()=U82,"Follow up today",""))))))))</f>
        <v/>
      </c>
    </row>
    <row r="83" customFormat="false" ht="15" hidden="false" customHeight="false" outlineLevel="0" collapsed="false">
      <c r="A83" s="17"/>
      <c r="B83" s="38"/>
      <c r="C83" s="39"/>
      <c r="D83" s="17"/>
      <c r="E83" s="17"/>
      <c r="F83" s="17"/>
      <c r="G83" s="17"/>
      <c r="H83" s="17"/>
      <c r="I83" s="40"/>
      <c r="J83" s="17"/>
      <c r="K83" s="17"/>
      <c r="L83" s="17"/>
      <c r="M83" s="17"/>
      <c r="N83" s="38"/>
      <c r="O83" s="39"/>
      <c r="P83" s="41" t="str">
        <f aca="false">IF(OR(B83="",N83=""),"",ROUND(((N83+N(O83))-(B83+N(C83)))*24,1))</f>
        <v/>
      </c>
      <c r="Q83" s="17"/>
      <c r="R83" s="17"/>
      <c r="S83" s="38"/>
      <c r="T83" s="17"/>
      <c r="U83" s="42" t="str">
        <f aca="false">IF(OR(E83="",S83="",OR(R83="Contract signed + paid",R83="Closed – No response",R83="Lost"),N(T83)&gt;=Settings!$S$3),"",S83+Settings!$S$2)</f>
        <v/>
      </c>
      <c r="V83" s="38"/>
      <c r="W83" s="39"/>
      <c r="X83" s="17"/>
      <c r="Y83" s="17"/>
      <c r="Z83" s="17"/>
      <c r="AA83" s="43" t="str">
        <f aca="true">IF(OR(E83="",B83=""),"",INT(TODAY()-B83))</f>
        <v/>
      </c>
      <c r="AB83" s="44" t="str">
        <f aca="true">IF(E83="","",IF(OR(COUNTIFS(Clients!$C$2:$C$501,E83,Clients!$S$2:$S$501,"Paid")&gt;0,AND(I83&lt;&gt;"",COUNTIFS(Clients!$E$2:$E$501,I83,Clients!$S$2:$S$501,"Paid")&gt;0)),"⚠ Refunded before – no free video",IF(OR(R83="Contract signed + paid",R83="Closed – No response",R83="Lost"),"",IF(R83="","Set a stage",IF(N(T83)&gt;=Settings!$S$3,"Close – 4 follow-ups sent",IF(U83="",IF(S83="","Make first contact",""),IF(TODAY()&gt;U83,"OVERDUE follow-up",IF(TODAY()=U83,"Follow up today",""))))))))</f>
        <v/>
      </c>
    </row>
    <row r="84" customFormat="false" ht="15" hidden="false" customHeight="false" outlineLevel="0" collapsed="false">
      <c r="A84" s="17"/>
      <c r="B84" s="38"/>
      <c r="C84" s="39"/>
      <c r="D84" s="17"/>
      <c r="E84" s="17"/>
      <c r="F84" s="17"/>
      <c r="G84" s="17"/>
      <c r="H84" s="17"/>
      <c r="I84" s="40"/>
      <c r="J84" s="17"/>
      <c r="K84" s="17"/>
      <c r="L84" s="17"/>
      <c r="M84" s="17"/>
      <c r="N84" s="38"/>
      <c r="O84" s="39"/>
      <c r="P84" s="41" t="str">
        <f aca="false">IF(OR(B84="",N84=""),"",ROUND(((N84+N(O84))-(B84+N(C84)))*24,1))</f>
        <v/>
      </c>
      <c r="Q84" s="17"/>
      <c r="R84" s="17"/>
      <c r="S84" s="38"/>
      <c r="T84" s="17"/>
      <c r="U84" s="42" t="str">
        <f aca="false">IF(OR(E84="",S84="",OR(R84="Contract signed + paid",R84="Closed – No response",R84="Lost"),N(T84)&gt;=Settings!$S$3),"",S84+Settings!$S$2)</f>
        <v/>
      </c>
      <c r="V84" s="38"/>
      <c r="W84" s="39"/>
      <c r="X84" s="17"/>
      <c r="Y84" s="17"/>
      <c r="Z84" s="17"/>
      <c r="AA84" s="43" t="str">
        <f aca="true">IF(OR(E84="",B84=""),"",INT(TODAY()-B84))</f>
        <v/>
      </c>
      <c r="AB84" s="44" t="str">
        <f aca="true">IF(E84="","",IF(OR(COUNTIFS(Clients!$C$2:$C$501,E84,Clients!$S$2:$S$501,"Paid")&gt;0,AND(I84&lt;&gt;"",COUNTIFS(Clients!$E$2:$E$501,I84,Clients!$S$2:$S$501,"Paid")&gt;0)),"⚠ Refunded before – no free video",IF(OR(R84="Contract signed + paid",R84="Closed – No response",R84="Lost"),"",IF(R84="","Set a stage",IF(N(T84)&gt;=Settings!$S$3,"Close – 4 follow-ups sent",IF(U84="",IF(S84="","Make first contact",""),IF(TODAY()&gt;U84,"OVERDUE follow-up",IF(TODAY()=U84,"Follow up today",""))))))))</f>
        <v/>
      </c>
    </row>
    <row r="85" customFormat="false" ht="15" hidden="false" customHeight="false" outlineLevel="0" collapsed="false">
      <c r="A85" s="17"/>
      <c r="B85" s="38"/>
      <c r="C85" s="39"/>
      <c r="D85" s="17"/>
      <c r="E85" s="17"/>
      <c r="F85" s="17"/>
      <c r="G85" s="17"/>
      <c r="H85" s="17"/>
      <c r="I85" s="40"/>
      <c r="J85" s="17"/>
      <c r="K85" s="17"/>
      <c r="L85" s="17"/>
      <c r="M85" s="17"/>
      <c r="N85" s="38"/>
      <c r="O85" s="39"/>
      <c r="P85" s="41" t="str">
        <f aca="false">IF(OR(B85="",N85=""),"",ROUND(((N85+N(O85))-(B85+N(C85)))*24,1))</f>
        <v/>
      </c>
      <c r="Q85" s="17"/>
      <c r="R85" s="17"/>
      <c r="S85" s="38"/>
      <c r="T85" s="17"/>
      <c r="U85" s="42" t="str">
        <f aca="false">IF(OR(E85="",S85="",OR(R85="Contract signed + paid",R85="Closed – No response",R85="Lost"),N(T85)&gt;=Settings!$S$3),"",S85+Settings!$S$2)</f>
        <v/>
      </c>
      <c r="V85" s="38"/>
      <c r="W85" s="39"/>
      <c r="X85" s="17"/>
      <c r="Y85" s="17"/>
      <c r="Z85" s="17"/>
      <c r="AA85" s="43" t="str">
        <f aca="true">IF(OR(E85="",B85=""),"",INT(TODAY()-B85))</f>
        <v/>
      </c>
      <c r="AB85" s="44" t="str">
        <f aca="true">IF(E85="","",IF(OR(COUNTIFS(Clients!$C$2:$C$501,E85,Clients!$S$2:$S$501,"Paid")&gt;0,AND(I85&lt;&gt;"",COUNTIFS(Clients!$E$2:$E$501,I85,Clients!$S$2:$S$501,"Paid")&gt;0)),"⚠ Refunded before – no free video",IF(OR(R85="Contract signed + paid",R85="Closed – No response",R85="Lost"),"",IF(R85="","Set a stage",IF(N(T85)&gt;=Settings!$S$3,"Close – 4 follow-ups sent",IF(U85="",IF(S85="","Make first contact",""),IF(TODAY()&gt;U85,"OVERDUE follow-up",IF(TODAY()=U85,"Follow up today",""))))))))</f>
        <v/>
      </c>
    </row>
    <row r="86" customFormat="false" ht="15" hidden="false" customHeight="false" outlineLevel="0" collapsed="false">
      <c r="A86" s="17"/>
      <c r="B86" s="38"/>
      <c r="C86" s="39"/>
      <c r="D86" s="17"/>
      <c r="E86" s="17"/>
      <c r="F86" s="17"/>
      <c r="G86" s="17"/>
      <c r="H86" s="17"/>
      <c r="I86" s="40"/>
      <c r="J86" s="17"/>
      <c r="K86" s="17"/>
      <c r="L86" s="17"/>
      <c r="M86" s="17"/>
      <c r="N86" s="38"/>
      <c r="O86" s="39"/>
      <c r="P86" s="41" t="str">
        <f aca="false">IF(OR(B86="",N86=""),"",ROUND(((N86+N(O86))-(B86+N(C86)))*24,1))</f>
        <v/>
      </c>
      <c r="Q86" s="17"/>
      <c r="R86" s="17"/>
      <c r="S86" s="38"/>
      <c r="T86" s="17"/>
      <c r="U86" s="42" t="str">
        <f aca="false">IF(OR(E86="",S86="",OR(R86="Contract signed + paid",R86="Closed – No response",R86="Lost"),N(T86)&gt;=Settings!$S$3),"",S86+Settings!$S$2)</f>
        <v/>
      </c>
      <c r="V86" s="38"/>
      <c r="W86" s="39"/>
      <c r="X86" s="17"/>
      <c r="Y86" s="17"/>
      <c r="Z86" s="17"/>
      <c r="AA86" s="43" t="str">
        <f aca="true">IF(OR(E86="",B86=""),"",INT(TODAY()-B86))</f>
        <v/>
      </c>
      <c r="AB86" s="44" t="str">
        <f aca="true">IF(E86="","",IF(OR(COUNTIFS(Clients!$C$2:$C$501,E86,Clients!$S$2:$S$501,"Paid")&gt;0,AND(I86&lt;&gt;"",COUNTIFS(Clients!$E$2:$E$501,I86,Clients!$S$2:$S$501,"Paid")&gt;0)),"⚠ Refunded before – no free video",IF(OR(R86="Contract signed + paid",R86="Closed – No response",R86="Lost"),"",IF(R86="","Set a stage",IF(N(T86)&gt;=Settings!$S$3,"Close – 4 follow-ups sent",IF(U86="",IF(S86="","Make first contact",""),IF(TODAY()&gt;U86,"OVERDUE follow-up",IF(TODAY()=U86,"Follow up today",""))))))))</f>
        <v/>
      </c>
    </row>
    <row r="87" customFormat="false" ht="15" hidden="false" customHeight="false" outlineLevel="0" collapsed="false">
      <c r="A87" s="17"/>
      <c r="B87" s="38"/>
      <c r="C87" s="39"/>
      <c r="D87" s="17"/>
      <c r="E87" s="17"/>
      <c r="F87" s="17"/>
      <c r="G87" s="17"/>
      <c r="H87" s="17"/>
      <c r="I87" s="40"/>
      <c r="J87" s="17"/>
      <c r="K87" s="17"/>
      <c r="L87" s="17"/>
      <c r="M87" s="17"/>
      <c r="N87" s="38"/>
      <c r="O87" s="39"/>
      <c r="P87" s="41" t="str">
        <f aca="false">IF(OR(B87="",N87=""),"",ROUND(((N87+N(O87))-(B87+N(C87)))*24,1))</f>
        <v/>
      </c>
      <c r="Q87" s="17"/>
      <c r="R87" s="17"/>
      <c r="S87" s="38"/>
      <c r="T87" s="17"/>
      <c r="U87" s="42" t="str">
        <f aca="false">IF(OR(E87="",S87="",OR(R87="Contract signed + paid",R87="Closed – No response",R87="Lost"),N(T87)&gt;=Settings!$S$3),"",S87+Settings!$S$2)</f>
        <v/>
      </c>
      <c r="V87" s="38"/>
      <c r="W87" s="39"/>
      <c r="X87" s="17"/>
      <c r="Y87" s="17"/>
      <c r="Z87" s="17"/>
      <c r="AA87" s="43" t="str">
        <f aca="true">IF(OR(E87="",B87=""),"",INT(TODAY()-B87))</f>
        <v/>
      </c>
      <c r="AB87" s="44" t="str">
        <f aca="true">IF(E87="","",IF(OR(COUNTIFS(Clients!$C$2:$C$501,E87,Clients!$S$2:$S$501,"Paid")&gt;0,AND(I87&lt;&gt;"",COUNTIFS(Clients!$E$2:$E$501,I87,Clients!$S$2:$S$501,"Paid")&gt;0)),"⚠ Refunded before – no free video",IF(OR(R87="Contract signed + paid",R87="Closed – No response",R87="Lost"),"",IF(R87="","Set a stage",IF(N(T87)&gt;=Settings!$S$3,"Close – 4 follow-ups sent",IF(U87="",IF(S87="","Make first contact",""),IF(TODAY()&gt;U87,"OVERDUE follow-up",IF(TODAY()=U87,"Follow up today",""))))))))</f>
        <v/>
      </c>
    </row>
    <row r="88" customFormat="false" ht="15" hidden="false" customHeight="false" outlineLevel="0" collapsed="false">
      <c r="A88" s="17"/>
      <c r="B88" s="38"/>
      <c r="C88" s="39"/>
      <c r="D88" s="17"/>
      <c r="E88" s="17"/>
      <c r="F88" s="17"/>
      <c r="G88" s="17"/>
      <c r="H88" s="17"/>
      <c r="I88" s="40"/>
      <c r="J88" s="17"/>
      <c r="K88" s="17"/>
      <c r="L88" s="17"/>
      <c r="M88" s="17"/>
      <c r="N88" s="38"/>
      <c r="O88" s="39"/>
      <c r="P88" s="41" t="str">
        <f aca="false">IF(OR(B88="",N88=""),"",ROUND(((N88+N(O88))-(B88+N(C88)))*24,1))</f>
        <v/>
      </c>
      <c r="Q88" s="17"/>
      <c r="R88" s="17"/>
      <c r="S88" s="38"/>
      <c r="T88" s="17"/>
      <c r="U88" s="42" t="str">
        <f aca="false">IF(OR(E88="",S88="",OR(R88="Contract signed + paid",R88="Closed – No response",R88="Lost"),N(T88)&gt;=Settings!$S$3),"",S88+Settings!$S$2)</f>
        <v/>
      </c>
      <c r="V88" s="38"/>
      <c r="W88" s="39"/>
      <c r="X88" s="17"/>
      <c r="Y88" s="17"/>
      <c r="Z88" s="17"/>
      <c r="AA88" s="43" t="str">
        <f aca="true">IF(OR(E88="",B88=""),"",INT(TODAY()-B88))</f>
        <v/>
      </c>
      <c r="AB88" s="44" t="str">
        <f aca="true">IF(E88="","",IF(OR(COUNTIFS(Clients!$C$2:$C$501,E88,Clients!$S$2:$S$501,"Paid")&gt;0,AND(I88&lt;&gt;"",COUNTIFS(Clients!$E$2:$E$501,I88,Clients!$S$2:$S$501,"Paid")&gt;0)),"⚠ Refunded before – no free video",IF(OR(R88="Contract signed + paid",R88="Closed – No response",R88="Lost"),"",IF(R88="","Set a stage",IF(N(T88)&gt;=Settings!$S$3,"Close – 4 follow-ups sent",IF(U88="",IF(S88="","Make first contact",""),IF(TODAY()&gt;U88,"OVERDUE follow-up",IF(TODAY()=U88,"Follow up today",""))))))))</f>
        <v/>
      </c>
    </row>
    <row r="89" customFormat="false" ht="15" hidden="false" customHeight="false" outlineLevel="0" collapsed="false">
      <c r="A89" s="17"/>
      <c r="B89" s="38"/>
      <c r="C89" s="39"/>
      <c r="D89" s="17"/>
      <c r="E89" s="17"/>
      <c r="F89" s="17"/>
      <c r="G89" s="17"/>
      <c r="H89" s="17"/>
      <c r="I89" s="40"/>
      <c r="J89" s="17"/>
      <c r="K89" s="17"/>
      <c r="L89" s="17"/>
      <c r="M89" s="17"/>
      <c r="N89" s="38"/>
      <c r="O89" s="39"/>
      <c r="P89" s="41" t="str">
        <f aca="false">IF(OR(B89="",N89=""),"",ROUND(((N89+N(O89))-(B89+N(C89)))*24,1))</f>
        <v/>
      </c>
      <c r="Q89" s="17"/>
      <c r="R89" s="17"/>
      <c r="S89" s="38"/>
      <c r="T89" s="17"/>
      <c r="U89" s="42" t="str">
        <f aca="false">IF(OR(E89="",S89="",OR(R89="Contract signed + paid",R89="Closed – No response",R89="Lost"),N(T89)&gt;=Settings!$S$3),"",S89+Settings!$S$2)</f>
        <v/>
      </c>
      <c r="V89" s="38"/>
      <c r="W89" s="39"/>
      <c r="X89" s="17"/>
      <c r="Y89" s="17"/>
      <c r="Z89" s="17"/>
      <c r="AA89" s="43" t="str">
        <f aca="true">IF(OR(E89="",B89=""),"",INT(TODAY()-B89))</f>
        <v/>
      </c>
      <c r="AB89" s="44" t="str">
        <f aca="true">IF(E89="","",IF(OR(COUNTIFS(Clients!$C$2:$C$501,E89,Clients!$S$2:$S$501,"Paid")&gt;0,AND(I89&lt;&gt;"",COUNTIFS(Clients!$E$2:$E$501,I89,Clients!$S$2:$S$501,"Paid")&gt;0)),"⚠ Refunded before – no free video",IF(OR(R89="Contract signed + paid",R89="Closed – No response",R89="Lost"),"",IF(R89="","Set a stage",IF(N(T89)&gt;=Settings!$S$3,"Close – 4 follow-ups sent",IF(U89="",IF(S89="","Make first contact",""),IF(TODAY()&gt;U89,"OVERDUE follow-up",IF(TODAY()=U89,"Follow up today",""))))))))</f>
        <v/>
      </c>
    </row>
    <row r="90" customFormat="false" ht="15" hidden="false" customHeight="false" outlineLevel="0" collapsed="false">
      <c r="A90" s="17"/>
      <c r="B90" s="38"/>
      <c r="C90" s="39"/>
      <c r="D90" s="17"/>
      <c r="E90" s="17"/>
      <c r="F90" s="17"/>
      <c r="G90" s="17"/>
      <c r="H90" s="17"/>
      <c r="I90" s="40"/>
      <c r="J90" s="17"/>
      <c r="K90" s="17"/>
      <c r="L90" s="17"/>
      <c r="M90" s="17"/>
      <c r="N90" s="38"/>
      <c r="O90" s="39"/>
      <c r="P90" s="41" t="str">
        <f aca="false">IF(OR(B90="",N90=""),"",ROUND(((N90+N(O90))-(B90+N(C90)))*24,1))</f>
        <v/>
      </c>
      <c r="Q90" s="17"/>
      <c r="R90" s="17"/>
      <c r="S90" s="38"/>
      <c r="T90" s="17"/>
      <c r="U90" s="42" t="str">
        <f aca="false">IF(OR(E90="",S90="",OR(R90="Contract signed + paid",R90="Closed – No response",R90="Lost"),N(T90)&gt;=Settings!$S$3),"",S90+Settings!$S$2)</f>
        <v/>
      </c>
      <c r="V90" s="38"/>
      <c r="W90" s="39"/>
      <c r="X90" s="17"/>
      <c r="Y90" s="17"/>
      <c r="Z90" s="17"/>
      <c r="AA90" s="43" t="str">
        <f aca="true">IF(OR(E90="",B90=""),"",INT(TODAY()-B90))</f>
        <v/>
      </c>
      <c r="AB90" s="44" t="str">
        <f aca="true">IF(E90="","",IF(OR(COUNTIFS(Clients!$C$2:$C$501,E90,Clients!$S$2:$S$501,"Paid")&gt;0,AND(I90&lt;&gt;"",COUNTIFS(Clients!$E$2:$E$501,I90,Clients!$S$2:$S$501,"Paid")&gt;0)),"⚠ Refunded before – no free video",IF(OR(R90="Contract signed + paid",R90="Closed – No response",R90="Lost"),"",IF(R90="","Set a stage",IF(N(T90)&gt;=Settings!$S$3,"Close – 4 follow-ups sent",IF(U90="",IF(S90="","Make first contact",""),IF(TODAY()&gt;U90,"OVERDUE follow-up",IF(TODAY()=U90,"Follow up today",""))))))))</f>
        <v/>
      </c>
    </row>
    <row r="91" customFormat="false" ht="15" hidden="false" customHeight="false" outlineLevel="0" collapsed="false">
      <c r="A91" s="17"/>
      <c r="B91" s="38"/>
      <c r="C91" s="39"/>
      <c r="D91" s="17"/>
      <c r="E91" s="17"/>
      <c r="F91" s="17"/>
      <c r="G91" s="17"/>
      <c r="H91" s="17"/>
      <c r="I91" s="40"/>
      <c r="J91" s="17"/>
      <c r="K91" s="17"/>
      <c r="L91" s="17"/>
      <c r="M91" s="17"/>
      <c r="N91" s="38"/>
      <c r="O91" s="39"/>
      <c r="P91" s="41" t="str">
        <f aca="false">IF(OR(B91="",N91=""),"",ROUND(((N91+N(O91))-(B91+N(C91)))*24,1))</f>
        <v/>
      </c>
      <c r="Q91" s="17"/>
      <c r="R91" s="17"/>
      <c r="S91" s="38"/>
      <c r="T91" s="17"/>
      <c r="U91" s="42" t="str">
        <f aca="false">IF(OR(E91="",S91="",OR(R91="Contract signed + paid",R91="Closed – No response",R91="Lost"),N(T91)&gt;=Settings!$S$3),"",S91+Settings!$S$2)</f>
        <v/>
      </c>
      <c r="V91" s="38"/>
      <c r="W91" s="39"/>
      <c r="X91" s="17"/>
      <c r="Y91" s="17"/>
      <c r="Z91" s="17"/>
      <c r="AA91" s="43" t="str">
        <f aca="true">IF(OR(E91="",B91=""),"",INT(TODAY()-B91))</f>
        <v/>
      </c>
      <c r="AB91" s="44" t="str">
        <f aca="true">IF(E91="","",IF(OR(COUNTIFS(Clients!$C$2:$C$501,E91,Clients!$S$2:$S$501,"Paid")&gt;0,AND(I91&lt;&gt;"",COUNTIFS(Clients!$E$2:$E$501,I91,Clients!$S$2:$S$501,"Paid")&gt;0)),"⚠ Refunded before – no free video",IF(OR(R91="Contract signed + paid",R91="Closed – No response",R91="Lost"),"",IF(R91="","Set a stage",IF(N(T91)&gt;=Settings!$S$3,"Close – 4 follow-ups sent",IF(U91="",IF(S91="","Make first contact",""),IF(TODAY()&gt;U91,"OVERDUE follow-up",IF(TODAY()=U91,"Follow up today",""))))))))</f>
        <v/>
      </c>
    </row>
    <row r="92" customFormat="false" ht="15" hidden="false" customHeight="false" outlineLevel="0" collapsed="false">
      <c r="A92" s="17"/>
      <c r="B92" s="38"/>
      <c r="C92" s="39"/>
      <c r="D92" s="17"/>
      <c r="E92" s="17"/>
      <c r="F92" s="17"/>
      <c r="G92" s="17"/>
      <c r="H92" s="17"/>
      <c r="I92" s="40"/>
      <c r="J92" s="17"/>
      <c r="K92" s="17"/>
      <c r="L92" s="17"/>
      <c r="M92" s="17"/>
      <c r="N92" s="38"/>
      <c r="O92" s="39"/>
      <c r="P92" s="41" t="str">
        <f aca="false">IF(OR(B92="",N92=""),"",ROUND(((N92+N(O92))-(B92+N(C92)))*24,1))</f>
        <v/>
      </c>
      <c r="Q92" s="17"/>
      <c r="R92" s="17"/>
      <c r="S92" s="38"/>
      <c r="T92" s="17"/>
      <c r="U92" s="42" t="str">
        <f aca="false">IF(OR(E92="",S92="",OR(R92="Contract signed + paid",R92="Closed – No response",R92="Lost"),N(T92)&gt;=Settings!$S$3),"",S92+Settings!$S$2)</f>
        <v/>
      </c>
      <c r="V92" s="38"/>
      <c r="W92" s="39"/>
      <c r="X92" s="17"/>
      <c r="Y92" s="17"/>
      <c r="Z92" s="17"/>
      <c r="AA92" s="43" t="str">
        <f aca="true">IF(OR(E92="",B92=""),"",INT(TODAY()-B92))</f>
        <v/>
      </c>
      <c r="AB92" s="44" t="str">
        <f aca="true">IF(E92="","",IF(OR(COUNTIFS(Clients!$C$2:$C$501,E92,Clients!$S$2:$S$501,"Paid")&gt;0,AND(I92&lt;&gt;"",COUNTIFS(Clients!$E$2:$E$501,I92,Clients!$S$2:$S$501,"Paid")&gt;0)),"⚠ Refunded before – no free video",IF(OR(R92="Contract signed + paid",R92="Closed – No response",R92="Lost"),"",IF(R92="","Set a stage",IF(N(T92)&gt;=Settings!$S$3,"Close – 4 follow-ups sent",IF(U92="",IF(S92="","Make first contact",""),IF(TODAY()&gt;U92,"OVERDUE follow-up",IF(TODAY()=U92,"Follow up today",""))))))))</f>
        <v/>
      </c>
    </row>
    <row r="93" customFormat="false" ht="15" hidden="false" customHeight="false" outlineLevel="0" collapsed="false">
      <c r="A93" s="17"/>
      <c r="B93" s="38"/>
      <c r="C93" s="39"/>
      <c r="D93" s="17"/>
      <c r="E93" s="17"/>
      <c r="F93" s="17"/>
      <c r="G93" s="17"/>
      <c r="H93" s="17"/>
      <c r="I93" s="40"/>
      <c r="J93" s="17"/>
      <c r="K93" s="17"/>
      <c r="L93" s="17"/>
      <c r="M93" s="17"/>
      <c r="N93" s="38"/>
      <c r="O93" s="39"/>
      <c r="P93" s="41" t="str">
        <f aca="false">IF(OR(B93="",N93=""),"",ROUND(((N93+N(O93))-(B93+N(C93)))*24,1))</f>
        <v/>
      </c>
      <c r="Q93" s="17"/>
      <c r="R93" s="17"/>
      <c r="S93" s="38"/>
      <c r="T93" s="17"/>
      <c r="U93" s="42" t="str">
        <f aca="false">IF(OR(E93="",S93="",OR(R93="Contract signed + paid",R93="Closed – No response",R93="Lost"),N(T93)&gt;=Settings!$S$3),"",S93+Settings!$S$2)</f>
        <v/>
      </c>
      <c r="V93" s="38"/>
      <c r="W93" s="39"/>
      <c r="X93" s="17"/>
      <c r="Y93" s="17"/>
      <c r="Z93" s="17"/>
      <c r="AA93" s="43" t="str">
        <f aca="true">IF(OR(E93="",B93=""),"",INT(TODAY()-B93))</f>
        <v/>
      </c>
      <c r="AB93" s="44" t="str">
        <f aca="true">IF(E93="","",IF(OR(COUNTIFS(Clients!$C$2:$C$501,E93,Clients!$S$2:$S$501,"Paid")&gt;0,AND(I93&lt;&gt;"",COUNTIFS(Clients!$E$2:$E$501,I93,Clients!$S$2:$S$501,"Paid")&gt;0)),"⚠ Refunded before – no free video",IF(OR(R93="Contract signed + paid",R93="Closed – No response",R93="Lost"),"",IF(R93="","Set a stage",IF(N(T93)&gt;=Settings!$S$3,"Close – 4 follow-ups sent",IF(U93="",IF(S93="","Make first contact",""),IF(TODAY()&gt;U93,"OVERDUE follow-up",IF(TODAY()=U93,"Follow up today",""))))))))</f>
        <v/>
      </c>
    </row>
    <row r="94" customFormat="false" ht="15" hidden="false" customHeight="false" outlineLevel="0" collapsed="false">
      <c r="A94" s="17"/>
      <c r="B94" s="38"/>
      <c r="C94" s="39"/>
      <c r="D94" s="17"/>
      <c r="E94" s="17"/>
      <c r="F94" s="17"/>
      <c r="G94" s="17"/>
      <c r="H94" s="17"/>
      <c r="I94" s="40"/>
      <c r="J94" s="17"/>
      <c r="K94" s="17"/>
      <c r="L94" s="17"/>
      <c r="M94" s="17"/>
      <c r="N94" s="38"/>
      <c r="O94" s="39"/>
      <c r="P94" s="41" t="str">
        <f aca="false">IF(OR(B94="",N94=""),"",ROUND(((N94+N(O94))-(B94+N(C94)))*24,1))</f>
        <v/>
      </c>
      <c r="Q94" s="17"/>
      <c r="R94" s="17"/>
      <c r="S94" s="38"/>
      <c r="T94" s="17"/>
      <c r="U94" s="42" t="str">
        <f aca="false">IF(OR(E94="",S94="",OR(R94="Contract signed + paid",R94="Closed – No response",R94="Lost"),N(T94)&gt;=Settings!$S$3),"",S94+Settings!$S$2)</f>
        <v/>
      </c>
      <c r="V94" s="38"/>
      <c r="W94" s="39"/>
      <c r="X94" s="17"/>
      <c r="Y94" s="17"/>
      <c r="Z94" s="17"/>
      <c r="AA94" s="43" t="str">
        <f aca="true">IF(OR(E94="",B94=""),"",INT(TODAY()-B94))</f>
        <v/>
      </c>
      <c r="AB94" s="44" t="str">
        <f aca="true">IF(E94="","",IF(OR(COUNTIFS(Clients!$C$2:$C$501,E94,Clients!$S$2:$S$501,"Paid")&gt;0,AND(I94&lt;&gt;"",COUNTIFS(Clients!$E$2:$E$501,I94,Clients!$S$2:$S$501,"Paid")&gt;0)),"⚠ Refunded before – no free video",IF(OR(R94="Contract signed + paid",R94="Closed – No response",R94="Lost"),"",IF(R94="","Set a stage",IF(N(T94)&gt;=Settings!$S$3,"Close – 4 follow-ups sent",IF(U94="",IF(S94="","Make first contact",""),IF(TODAY()&gt;U94,"OVERDUE follow-up",IF(TODAY()=U94,"Follow up today",""))))))))</f>
        <v/>
      </c>
    </row>
    <row r="95" customFormat="false" ht="15" hidden="false" customHeight="false" outlineLevel="0" collapsed="false">
      <c r="A95" s="17"/>
      <c r="B95" s="38"/>
      <c r="C95" s="39"/>
      <c r="D95" s="17"/>
      <c r="E95" s="17"/>
      <c r="F95" s="17"/>
      <c r="G95" s="17"/>
      <c r="H95" s="17"/>
      <c r="I95" s="40"/>
      <c r="J95" s="17"/>
      <c r="K95" s="17"/>
      <c r="L95" s="17"/>
      <c r="M95" s="17"/>
      <c r="N95" s="38"/>
      <c r="O95" s="39"/>
      <c r="P95" s="41" t="str">
        <f aca="false">IF(OR(B95="",N95=""),"",ROUND(((N95+N(O95))-(B95+N(C95)))*24,1))</f>
        <v/>
      </c>
      <c r="Q95" s="17"/>
      <c r="R95" s="17"/>
      <c r="S95" s="38"/>
      <c r="T95" s="17"/>
      <c r="U95" s="42" t="str">
        <f aca="false">IF(OR(E95="",S95="",OR(R95="Contract signed + paid",R95="Closed – No response",R95="Lost"),N(T95)&gt;=Settings!$S$3),"",S95+Settings!$S$2)</f>
        <v/>
      </c>
      <c r="V95" s="38"/>
      <c r="W95" s="39"/>
      <c r="X95" s="17"/>
      <c r="Y95" s="17"/>
      <c r="Z95" s="17"/>
      <c r="AA95" s="43" t="str">
        <f aca="true">IF(OR(E95="",B95=""),"",INT(TODAY()-B95))</f>
        <v/>
      </c>
      <c r="AB95" s="44" t="str">
        <f aca="true">IF(E95="","",IF(OR(COUNTIFS(Clients!$C$2:$C$501,E95,Clients!$S$2:$S$501,"Paid")&gt;0,AND(I95&lt;&gt;"",COUNTIFS(Clients!$E$2:$E$501,I95,Clients!$S$2:$S$501,"Paid")&gt;0)),"⚠ Refunded before – no free video",IF(OR(R95="Contract signed + paid",R95="Closed – No response",R95="Lost"),"",IF(R95="","Set a stage",IF(N(T95)&gt;=Settings!$S$3,"Close – 4 follow-ups sent",IF(U95="",IF(S95="","Make first contact",""),IF(TODAY()&gt;U95,"OVERDUE follow-up",IF(TODAY()=U95,"Follow up today",""))))))))</f>
        <v/>
      </c>
    </row>
    <row r="96" customFormat="false" ht="15" hidden="false" customHeight="false" outlineLevel="0" collapsed="false">
      <c r="A96" s="17"/>
      <c r="B96" s="38"/>
      <c r="C96" s="39"/>
      <c r="D96" s="17"/>
      <c r="E96" s="17"/>
      <c r="F96" s="17"/>
      <c r="G96" s="17"/>
      <c r="H96" s="17"/>
      <c r="I96" s="40"/>
      <c r="J96" s="17"/>
      <c r="K96" s="17"/>
      <c r="L96" s="17"/>
      <c r="M96" s="17"/>
      <c r="N96" s="38"/>
      <c r="O96" s="39"/>
      <c r="P96" s="41" t="str">
        <f aca="false">IF(OR(B96="",N96=""),"",ROUND(((N96+N(O96))-(B96+N(C96)))*24,1))</f>
        <v/>
      </c>
      <c r="Q96" s="17"/>
      <c r="R96" s="17"/>
      <c r="S96" s="38"/>
      <c r="T96" s="17"/>
      <c r="U96" s="42" t="str">
        <f aca="false">IF(OR(E96="",S96="",OR(R96="Contract signed + paid",R96="Closed – No response",R96="Lost"),N(T96)&gt;=Settings!$S$3),"",S96+Settings!$S$2)</f>
        <v/>
      </c>
      <c r="V96" s="38"/>
      <c r="W96" s="39"/>
      <c r="X96" s="17"/>
      <c r="Y96" s="17"/>
      <c r="Z96" s="17"/>
      <c r="AA96" s="43" t="str">
        <f aca="true">IF(OR(E96="",B96=""),"",INT(TODAY()-B96))</f>
        <v/>
      </c>
      <c r="AB96" s="44" t="str">
        <f aca="true">IF(E96="","",IF(OR(COUNTIFS(Clients!$C$2:$C$501,E96,Clients!$S$2:$S$501,"Paid")&gt;0,AND(I96&lt;&gt;"",COUNTIFS(Clients!$E$2:$E$501,I96,Clients!$S$2:$S$501,"Paid")&gt;0)),"⚠ Refunded before – no free video",IF(OR(R96="Contract signed + paid",R96="Closed – No response",R96="Lost"),"",IF(R96="","Set a stage",IF(N(T96)&gt;=Settings!$S$3,"Close – 4 follow-ups sent",IF(U96="",IF(S96="","Make first contact",""),IF(TODAY()&gt;U96,"OVERDUE follow-up",IF(TODAY()=U96,"Follow up today",""))))))))</f>
        <v/>
      </c>
    </row>
    <row r="97" customFormat="false" ht="15" hidden="false" customHeight="false" outlineLevel="0" collapsed="false">
      <c r="A97" s="17"/>
      <c r="B97" s="38"/>
      <c r="C97" s="39"/>
      <c r="D97" s="17"/>
      <c r="E97" s="17"/>
      <c r="F97" s="17"/>
      <c r="G97" s="17"/>
      <c r="H97" s="17"/>
      <c r="I97" s="40"/>
      <c r="J97" s="17"/>
      <c r="K97" s="17"/>
      <c r="L97" s="17"/>
      <c r="M97" s="17"/>
      <c r="N97" s="38"/>
      <c r="O97" s="39"/>
      <c r="P97" s="41" t="str">
        <f aca="false">IF(OR(B97="",N97=""),"",ROUND(((N97+N(O97))-(B97+N(C97)))*24,1))</f>
        <v/>
      </c>
      <c r="Q97" s="17"/>
      <c r="R97" s="17"/>
      <c r="S97" s="38"/>
      <c r="T97" s="17"/>
      <c r="U97" s="42" t="str">
        <f aca="false">IF(OR(E97="",S97="",OR(R97="Contract signed + paid",R97="Closed – No response",R97="Lost"),N(T97)&gt;=Settings!$S$3),"",S97+Settings!$S$2)</f>
        <v/>
      </c>
      <c r="V97" s="38"/>
      <c r="W97" s="39"/>
      <c r="X97" s="17"/>
      <c r="Y97" s="17"/>
      <c r="Z97" s="17"/>
      <c r="AA97" s="43" t="str">
        <f aca="true">IF(OR(E97="",B97=""),"",INT(TODAY()-B97))</f>
        <v/>
      </c>
      <c r="AB97" s="44" t="str">
        <f aca="true">IF(E97="","",IF(OR(COUNTIFS(Clients!$C$2:$C$501,E97,Clients!$S$2:$S$501,"Paid")&gt;0,AND(I97&lt;&gt;"",COUNTIFS(Clients!$E$2:$E$501,I97,Clients!$S$2:$S$501,"Paid")&gt;0)),"⚠ Refunded before – no free video",IF(OR(R97="Contract signed + paid",R97="Closed – No response",R97="Lost"),"",IF(R97="","Set a stage",IF(N(T97)&gt;=Settings!$S$3,"Close – 4 follow-ups sent",IF(U97="",IF(S97="","Make first contact",""),IF(TODAY()&gt;U97,"OVERDUE follow-up",IF(TODAY()=U97,"Follow up today",""))))))))</f>
        <v/>
      </c>
    </row>
    <row r="98" customFormat="false" ht="15" hidden="false" customHeight="false" outlineLevel="0" collapsed="false">
      <c r="A98" s="17"/>
      <c r="B98" s="38"/>
      <c r="C98" s="39"/>
      <c r="D98" s="17"/>
      <c r="E98" s="17"/>
      <c r="F98" s="17"/>
      <c r="G98" s="17"/>
      <c r="H98" s="17"/>
      <c r="I98" s="40"/>
      <c r="J98" s="17"/>
      <c r="K98" s="17"/>
      <c r="L98" s="17"/>
      <c r="M98" s="17"/>
      <c r="N98" s="38"/>
      <c r="O98" s="39"/>
      <c r="P98" s="41" t="str">
        <f aca="false">IF(OR(B98="",N98=""),"",ROUND(((N98+N(O98))-(B98+N(C98)))*24,1))</f>
        <v/>
      </c>
      <c r="Q98" s="17"/>
      <c r="R98" s="17"/>
      <c r="S98" s="38"/>
      <c r="T98" s="17"/>
      <c r="U98" s="42" t="str">
        <f aca="false">IF(OR(E98="",S98="",OR(R98="Contract signed + paid",R98="Closed – No response",R98="Lost"),N(T98)&gt;=Settings!$S$3),"",S98+Settings!$S$2)</f>
        <v/>
      </c>
      <c r="V98" s="38"/>
      <c r="W98" s="39"/>
      <c r="X98" s="17"/>
      <c r="Y98" s="17"/>
      <c r="Z98" s="17"/>
      <c r="AA98" s="43" t="str">
        <f aca="true">IF(OR(E98="",B98=""),"",INT(TODAY()-B98))</f>
        <v/>
      </c>
      <c r="AB98" s="44" t="str">
        <f aca="true">IF(E98="","",IF(OR(COUNTIFS(Clients!$C$2:$C$501,E98,Clients!$S$2:$S$501,"Paid")&gt;0,AND(I98&lt;&gt;"",COUNTIFS(Clients!$E$2:$E$501,I98,Clients!$S$2:$S$501,"Paid")&gt;0)),"⚠ Refunded before – no free video",IF(OR(R98="Contract signed + paid",R98="Closed – No response",R98="Lost"),"",IF(R98="","Set a stage",IF(N(T98)&gt;=Settings!$S$3,"Close – 4 follow-ups sent",IF(U98="",IF(S98="","Make first contact",""),IF(TODAY()&gt;U98,"OVERDUE follow-up",IF(TODAY()=U98,"Follow up today",""))))))))</f>
        <v/>
      </c>
    </row>
    <row r="99" customFormat="false" ht="15" hidden="false" customHeight="false" outlineLevel="0" collapsed="false">
      <c r="A99" s="17"/>
      <c r="B99" s="38"/>
      <c r="C99" s="39"/>
      <c r="D99" s="17"/>
      <c r="E99" s="17"/>
      <c r="F99" s="17"/>
      <c r="G99" s="17"/>
      <c r="H99" s="17"/>
      <c r="I99" s="40"/>
      <c r="J99" s="17"/>
      <c r="K99" s="17"/>
      <c r="L99" s="17"/>
      <c r="M99" s="17"/>
      <c r="N99" s="38"/>
      <c r="O99" s="39"/>
      <c r="P99" s="41" t="str">
        <f aca="false">IF(OR(B99="",N99=""),"",ROUND(((N99+N(O99))-(B99+N(C99)))*24,1))</f>
        <v/>
      </c>
      <c r="Q99" s="17"/>
      <c r="R99" s="17"/>
      <c r="S99" s="38"/>
      <c r="T99" s="17"/>
      <c r="U99" s="42" t="str">
        <f aca="false">IF(OR(E99="",S99="",OR(R99="Contract signed + paid",R99="Closed – No response",R99="Lost"),N(T99)&gt;=Settings!$S$3),"",S99+Settings!$S$2)</f>
        <v/>
      </c>
      <c r="V99" s="38"/>
      <c r="W99" s="39"/>
      <c r="X99" s="17"/>
      <c r="Y99" s="17"/>
      <c r="Z99" s="17"/>
      <c r="AA99" s="43" t="str">
        <f aca="true">IF(OR(E99="",B99=""),"",INT(TODAY()-B99))</f>
        <v/>
      </c>
      <c r="AB99" s="44" t="str">
        <f aca="true">IF(E99="","",IF(OR(COUNTIFS(Clients!$C$2:$C$501,E99,Clients!$S$2:$S$501,"Paid")&gt;0,AND(I99&lt;&gt;"",COUNTIFS(Clients!$E$2:$E$501,I99,Clients!$S$2:$S$501,"Paid")&gt;0)),"⚠ Refunded before – no free video",IF(OR(R99="Contract signed + paid",R99="Closed – No response",R99="Lost"),"",IF(R99="","Set a stage",IF(N(T99)&gt;=Settings!$S$3,"Close – 4 follow-ups sent",IF(U99="",IF(S99="","Make first contact",""),IF(TODAY()&gt;U99,"OVERDUE follow-up",IF(TODAY()=U99,"Follow up today",""))))))))</f>
        <v/>
      </c>
    </row>
    <row r="100" customFormat="false" ht="15" hidden="false" customHeight="false" outlineLevel="0" collapsed="false">
      <c r="A100" s="17"/>
      <c r="B100" s="38"/>
      <c r="C100" s="39"/>
      <c r="D100" s="17"/>
      <c r="E100" s="17"/>
      <c r="F100" s="17"/>
      <c r="G100" s="17"/>
      <c r="H100" s="17"/>
      <c r="I100" s="40"/>
      <c r="J100" s="17"/>
      <c r="K100" s="17"/>
      <c r="L100" s="17"/>
      <c r="M100" s="17"/>
      <c r="N100" s="38"/>
      <c r="O100" s="39"/>
      <c r="P100" s="41" t="str">
        <f aca="false">IF(OR(B100="",N100=""),"",ROUND(((N100+N(O100))-(B100+N(C100)))*24,1))</f>
        <v/>
      </c>
      <c r="Q100" s="17"/>
      <c r="R100" s="17"/>
      <c r="S100" s="38"/>
      <c r="T100" s="17"/>
      <c r="U100" s="42" t="str">
        <f aca="false">IF(OR(E100="",S100="",OR(R100="Contract signed + paid",R100="Closed – No response",R100="Lost"),N(T100)&gt;=Settings!$S$3),"",S100+Settings!$S$2)</f>
        <v/>
      </c>
      <c r="V100" s="38"/>
      <c r="W100" s="39"/>
      <c r="X100" s="17"/>
      <c r="Y100" s="17"/>
      <c r="Z100" s="17"/>
      <c r="AA100" s="43" t="str">
        <f aca="true">IF(OR(E100="",B100=""),"",INT(TODAY()-B100))</f>
        <v/>
      </c>
      <c r="AB100" s="44" t="str">
        <f aca="true">IF(E100="","",IF(OR(COUNTIFS(Clients!$C$2:$C$501,E100,Clients!$S$2:$S$501,"Paid")&gt;0,AND(I100&lt;&gt;"",COUNTIFS(Clients!$E$2:$E$501,I100,Clients!$S$2:$S$501,"Paid")&gt;0)),"⚠ Refunded before – no free video",IF(OR(R100="Contract signed + paid",R100="Closed – No response",R100="Lost"),"",IF(R100="","Set a stage",IF(N(T100)&gt;=Settings!$S$3,"Close – 4 follow-ups sent",IF(U100="",IF(S100="","Make first contact",""),IF(TODAY()&gt;U100,"OVERDUE follow-up",IF(TODAY()=U100,"Follow up today",""))))))))</f>
        <v/>
      </c>
    </row>
    <row r="101" customFormat="false" ht="15" hidden="false" customHeight="false" outlineLevel="0" collapsed="false">
      <c r="A101" s="17"/>
      <c r="B101" s="38"/>
      <c r="C101" s="39"/>
      <c r="D101" s="17"/>
      <c r="E101" s="17"/>
      <c r="F101" s="17"/>
      <c r="G101" s="17"/>
      <c r="H101" s="17"/>
      <c r="I101" s="40"/>
      <c r="J101" s="17"/>
      <c r="K101" s="17"/>
      <c r="L101" s="17"/>
      <c r="M101" s="17"/>
      <c r="N101" s="38"/>
      <c r="O101" s="39"/>
      <c r="P101" s="41" t="str">
        <f aca="false">IF(OR(B101="",N101=""),"",ROUND(((N101+N(O101))-(B101+N(C101)))*24,1))</f>
        <v/>
      </c>
      <c r="Q101" s="17"/>
      <c r="R101" s="17"/>
      <c r="S101" s="38"/>
      <c r="T101" s="17"/>
      <c r="U101" s="42" t="str">
        <f aca="false">IF(OR(E101="",S101="",OR(R101="Contract signed + paid",R101="Closed – No response",R101="Lost"),N(T101)&gt;=Settings!$S$3),"",S101+Settings!$S$2)</f>
        <v/>
      </c>
      <c r="V101" s="38"/>
      <c r="W101" s="39"/>
      <c r="X101" s="17"/>
      <c r="Y101" s="17"/>
      <c r="Z101" s="17"/>
      <c r="AA101" s="43" t="str">
        <f aca="true">IF(OR(E101="",B101=""),"",INT(TODAY()-B101))</f>
        <v/>
      </c>
      <c r="AB101" s="44" t="str">
        <f aca="true">IF(E101="","",IF(OR(COUNTIFS(Clients!$C$2:$C$501,E101,Clients!$S$2:$S$501,"Paid")&gt;0,AND(I101&lt;&gt;"",COUNTIFS(Clients!$E$2:$E$501,I101,Clients!$S$2:$S$501,"Paid")&gt;0)),"⚠ Refunded before – no free video",IF(OR(R101="Contract signed + paid",R101="Closed – No response",R101="Lost"),"",IF(R101="","Set a stage",IF(N(T101)&gt;=Settings!$S$3,"Close – 4 follow-ups sent",IF(U101="",IF(S101="","Make first contact",""),IF(TODAY()&gt;U101,"OVERDUE follow-up",IF(TODAY()=U101,"Follow up today",""))))))))</f>
        <v/>
      </c>
    </row>
    <row r="102" customFormat="false" ht="15" hidden="false" customHeight="false" outlineLevel="0" collapsed="false">
      <c r="A102" s="17"/>
      <c r="B102" s="38"/>
      <c r="C102" s="39"/>
      <c r="D102" s="17"/>
      <c r="E102" s="17"/>
      <c r="F102" s="17"/>
      <c r="G102" s="17"/>
      <c r="H102" s="17"/>
      <c r="I102" s="40"/>
      <c r="J102" s="17"/>
      <c r="K102" s="17"/>
      <c r="L102" s="17"/>
      <c r="M102" s="17"/>
      <c r="N102" s="38"/>
      <c r="O102" s="39"/>
      <c r="P102" s="41" t="str">
        <f aca="false">IF(OR(B102="",N102=""),"",ROUND(((N102+N(O102))-(B102+N(C102)))*24,1))</f>
        <v/>
      </c>
      <c r="Q102" s="17"/>
      <c r="R102" s="17"/>
      <c r="S102" s="38"/>
      <c r="T102" s="17"/>
      <c r="U102" s="42" t="str">
        <f aca="false">IF(OR(E102="",S102="",OR(R102="Contract signed + paid",R102="Closed – No response",R102="Lost"),N(T102)&gt;=Settings!$S$3),"",S102+Settings!$S$2)</f>
        <v/>
      </c>
      <c r="V102" s="38"/>
      <c r="W102" s="39"/>
      <c r="X102" s="17"/>
      <c r="Y102" s="17"/>
      <c r="Z102" s="17"/>
      <c r="AA102" s="43" t="str">
        <f aca="true">IF(OR(E102="",B102=""),"",INT(TODAY()-B102))</f>
        <v/>
      </c>
      <c r="AB102" s="44" t="str">
        <f aca="true">IF(E102="","",IF(OR(COUNTIFS(Clients!$C$2:$C$501,E102,Clients!$S$2:$S$501,"Paid")&gt;0,AND(I102&lt;&gt;"",COUNTIFS(Clients!$E$2:$E$501,I102,Clients!$S$2:$S$501,"Paid")&gt;0)),"⚠ Refunded before – no free video",IF(OR(R102="Contract signed + paid",R102="Closed – No response",R102="Lost"),"",IF(R102="","Set a stage",IF(N(T102)&gt;=Settings!$S$3,"Close – 4 follow-ups sent",IF(U102="",IF(S102="","Make first contact",""),IF(TODAY()&gt;U102,"OVERDUE follow-up",IF(TODAY()=U102,"Follow up today",""))))))))</f>
        <v/>
      </c>
    </row>
    <row r="103" customFormat="false" ht="15" hidden="false" customHeight="false" outlineLevel="0" collapsed="false">
      <c r="A103" s="17"/>
      <c r="B103" s="38"/>
      <c r="C103" s="39"/>
      <c r="D103" s="17"/>
      <c r="E103" s="17"/>
      <c r="F103" s="17"/>
      <c r="G103" s="17"/>
      <c r="H103" s="17"/>
      <c r="I103" s="40"/>
      <c r="J103" s="17"/>
      <c r="K103" s="17"/>
      <c r="L103" s="17"/>
      <c r="M103" s="17"/>
      <c r="N103" s="38"/>
      <c r="O103" s="39"/>
      <c r="P103" s="41" t="str">
        <f aca="false">IF(OR(B103="",N103=""),"",ROUND(((N103+N(O103))-(B103+N(C103)))*24,1))</f>
        <v/>
      </c>
      <c r="Q103" s="17"/>
      <c r="R103" s="17"/>
      <c r="S103" s="38"/>
      <c r="T103" s="17"/>
      <c r="U103" s="42" t="str">
        <f aca="false">IF(OR(E103="",S103="",OR(R103="Contract signed + paid",R103="Closed – No response",R103="Lost"),N(T103)&gt;=Settings!$S$3),"",S103+Settings!$S$2)</f>
        <v/>
      </c>
      <c r="V103" s="38"/>
      <c r="W103" s="39"/>
      <c r="X103" s="17"/>
      <c r="Y103" s="17"/>
      <c r="Z103" s="17"/>
      <c r="AA103" s="43" t="str">
        <f aca="true">IF(OR(E103="",B103=""),"",INT(TODAY()-B103))</f>
        <v/>
      </c>
      <c r="AB103" s="44" t="str">
        <f aca="true">IF(E103="","",IF(OR(COUNTIFS(Clients!$C$2:$C$501,E103,Clients!$S$2:$S$501,"Paid")&gt;0,AND(I103&lt;&gt;"",COUNTIFS(Clients!$E$2:$E$501,I103,Clients!$S$2:$S$501,"Paid")&gt;0)),"⚠ Refunded before – no free video",IF(OR(R103="Contract signed + paid",R103="Closed – No response",R103="Lost"),"",IF(R103="","Set a stage",IF(N(T103)&gt;=Settings!$S$3,"Close – 4 follow-ups sent",IF(U103="",IF(S103="","Make first contact",""),IF(TODAY()&gt;U103,"OVERDUE follow-up",IF(TODAY()=U103,"Follow up today",""))))))))</f>
        <v/>
      </c>
    </row>
    <row r="104" customFormat="false" ht="15" hidden="false" customHeight="false" outlineLevel="0" collapsed="false">
      <c r="A104" s="17"/>
      <c r="B104" s="38"/>
      <c r="C104" s="39"/>
      <c r="D104" s="17"/>
      <c r="E104" s="17"/>
      <c r="F104" s="17"/>
      <c r="G104" s="17"/>
      <c r="H104" s="17"/>
      <c r="I104" s="40"/>
      <c r="J104" s="17"/>
      <c r="K104" s="17"/>
      <c r="L104" s="17"/>
      <c r="M104" s="17"/>
      <c r="N104" s="38"/>
      <c r="O104" s="39"/>
      <c r="P104" s="41" t="str">
        <f aca="false">IF(OR(B104="",N104=""),"",ROUND(((N104+N(O104))-(B104+N(C104)))*24,1))</f>
        <v/>
      </c>
      <c r="Q104" s="17"/>
      <c r="R104" s="17"/>
      <c r="S104" s="38"/>
      <c r="T104" s="17"/>
      <c r="U104" s="42" t="str">
        <f aca="false">IF(OR(E104="",S104="",OR(R104="Contract signed + paid",R104="Closed – No response",R104="Lost"),N(T104)&gt;=Settings!$S$3),"",S104+Settings!$S$2)</f>
        <v/>
      </c>
      <c r="V104" s="38"/>
      <c r="W104" s="39"/>
      <c r="X104" s="17"/>
      <c r="Y104" s="17"/>
      <c r="Z104" s="17"/>
      <c r="AA104" s="43" t="str">
        <f aca="true">IF(OR(E104="",B104=""),"",INT(TODAY()-B104))</f>
        <v/>
      </c>
      <c r="AB104" s="44" t="str">
        <f aca="true">IF(E104="","",IF(OR(COUNTIFS(Clients!$C$2:$C$501,E104,Clients!$S$2:$S$501,"Paid")&gt;0,AND(I104&lt;&gt;"",COUNTIFS(Clients!$E$2:$E$501,I104,Clients!$S$2:$S$501,"Paid")&gt;0)),"⚠ Refunded before – no free video",IF(OR(R104="Contract signed + paid",R104="Closed – No response",R104="Lost"),"",IF(R104="","Set a stage",IF(N(T104)&gt;=Settings!$S$3,"Close – 4 follow-ups sent",IF(U104="",IF(S104="","Make first contact",""),IF(TODAY()&gt;U104,"OVERDUE follow-up",IF(TODAY()=U104,"Follow up today",""))))))))</f>
        <v/>
      </c>
    </row>
    <row r="105" customFormat="false" ht="15" hidden="false" customHeight="false" outlineLevel="0" collapsed="false">
      <c r="A105" s="17"/>
      <c r="B105" s="38"/>
      <c r="C105" s="39"/>
      <c r="D105" s="17"/>
      <c r="E105" s="17"/>
      <c r="F105" s="17"/>
      <c r="G105" s="17"/>
      <c r="H105" s="17"/>
      <c r="I105" s="40"/>
      <c r="J105" s="17"/>
      <c r="K105" s="17"/>
      <c r="L105" s="17"/>
      <c r="M105" s="17"/>
      <c r="N105" s="38"/>
      <c r="O105" s="39"/>
      <c r="P105" s="41" t="str">
        <f aca="false">IF(OR(B105="",N105=""),"",ROUND(((N105+N(O105))-(B105+N(C105)))*24,1))</f>
        <v/>
      </c>
      <c r="Q105" s="17"/>
      <c r="R105" s="17"/>
      <c r="S105" s="38"/>
      <c r="T105" s="17"/>
      <c r="U105" s="42" t="str">
        <f aca="false">IF(OR(E105="",S105="",OR(R105="Contract signed + paid",R105="Closed – No response",R105="Lost"),N(T105)&gt;=Settings!$S$3),"",S105+Settings!$S$2)</f>
        <v/>
      </c>
      <c r="V105" s="38"/>
      <c r="W105" s="39"/>
      <c r="X105" s="17"/>
      <c r="Y105" s="17"/>
      <c r="Z105" s="17"/>
      <c r="AA105" s="43" t="str">
        <f aca="true">IF(OR(E105="",B105=""),"",INT(TODAY()-B105))</f>
        <v/>
      </c>
      <c r="AB105" s="44" t="str">
        <f aca="true">IF(E105="","",IF(OR(COUNTIFS(Clients!$C$2:$C$501,E105,Clients!$S$2:$S$501,"Paid")&gt;0,AND(I105&lt;&gt;"",COUNTIFS(Clients!$E$2:$E$501,I105,Clients!$S$2:$S$501,"Paid")&gt;0)),"⚠ Refunded before – no free video",IF(OR(R105="Contract signed + paid",R105="Closed – No response",R105="Lost"),"",IF(R105="","Set a stage",IF(N(T105)&gt;=Settings!$S$3,"Close – 4 follow-ups sent",IF(U105="",IF(S105="","Make first contact",""),IF(TODAY()&gt;U105,"OVERDUE follow-up",IF(TODAY()=U105,"Follow up today",""))))))))</f>
        <v/>
      </c>
    </row>
    <row r="106" customFormat="false" ht="15" hidden="false" customHeight="false" outlineLevel="0" collapsed="false">
      <c r="A106" s="17"/>
      <c r="B106" s="38"/>
      <c r="C106" s="39"/>
      <c r="D106" s="17"/>
      <c r="E106" s="17"/>
      <c r="F106" s="17"/>
      <c r="G106" s="17"/>
      <c r="H106" s="17"/>
      <c r="I106" s="40"/>
      <c r="J106" s="17"/>
      <c r="K106" s="17"/>
      <c r="L106" s="17"/>
      <c r="M106" s="17"/>
      <c r="N106" s="38"/>
      <c r="O106" s="39"/>
      <c r="P106" s="41" t="str">
        <f aca="false">IF(OR(B106="",N106=""),"",ROUND(((N106+N(O106))-(B106+N(C106)))*24,1))</f>
        <v/>
      </c>
      <c r="Q106" s="17"/>
      <c r="R106" s="17"/>
      <c r="S106" s="38"/>
      <c r="T106" s="17"/>
      <c r="U106" s="42" t="str">
        <f aca="false">IF(OR(E106="",S106="",OR(R106="Contract signed + paid",R106="Closed – No response",R106="Lost"),N(T106)&gt;=Settings!$S$3),"",S106+Settings!$S$2)</f>
        <v/>
      </c>
      <c r="V106" s="38"/>
      <c r="W106" s="39"/>
      <c r="X106" s="17"/>
      <c r="Y106" s="17"/>
      <c r="Z106" s="17"/>
      <c r="AA106" s="43" t="str">
        <f aca="true">IF(OR(E106="",B106=""),"",INT(TODAY()-B106))</f>
        <v/>
      </c>
      <c r="AB106" s="44" t="str">
        <f aca="true">IF(E106="","",IF(OR(COUNTIFS(Clients!$C$2:$C$501,E106,Clients!$S$2:$S$501,"Paid")&gt;0,AND(I106&lt;&gt;"",COUNTIFS(Clients!$E$2:$E$501,I106,Clients!$S$2:$S$501,"Paid")&gt;0)),"⚠ Refunded before – no free video",IF(OR(R106="Contract signed + paid",R106="Closed – No response",R106="Lost"),"",IF(R106="","Set a stage",IF(N(T106)&gt;=Settings!$S$3,"Close – 4 follow-ups sent",IF(U106="",IF(S106="","Make first contact",""),IF(TODAY()&gt;U106,"OVERDUE follow-up",IF(TODAY()=U106,"Follow up today",""))))))))</f>
        <v/>
      </c>
    </row>
    <row r="107" customFormat="false" ht="15" hidden="false" customHeight="false" outlineLevel="0" collapsed="false">
      <c r="A107" s="17"/>
      <c r="B107" s="38"/>
      <c r="C107" s="39"/>
      <c r="D107" s="17"/>
      <c r="E107" s="17"/>
      <c r="F107" s="17"/>
      <c r="G107" s="17"/>
      <c r="H107" s="17"/>
      <c r="I107" s="40"/>
      <c r="J107" s="17"/>
      <c r="K107" s="17"/>
      <c r="L107" s="17"/>
      <c r="M107" s="17"/>
      <c r="N107" s="38"/>
      <c r="O107" s="39"/>
      <c r="P107" s="41" t="str">
        <f aca="false">IF(OR(B107="",N107=""),"",ROUND(((N107+N(O107))-(B107+N(C107)))*24,1))</f>
        <v/>
      </c>
      <c r="Q107" s="17"/>
      <c r="R107" s="17"/>
      <c r="S107" s="38"/>
      <c r="T107" s="17"/>
      <c r="U107" s="42" t="str">
        <f aca="false">IF(OR(E107="",S107="",OR(R107="Contract signed + paid",R107="Closed – No response",R107="Lost"),N(T107)&gt;=Settings!$S$3),"",S107+Settings!$S$2)</f>
        <v/>
      </c>
      <c r="V107" s="38"/>
      <c r="W107" s="39"/>
      <c r="X107" s="17"/>
      <c r="Y107" s="17"/>
      <c r="Z107" s="17"/>
      <c r="AA107" s="43" t="str">
        <f aca="true">IF(OR(E107="",B107=""),"",INT(TODAY()-B107))</f>
        <v/>
      </c>
      <c r="AB107" s="44" t="str">
        <f aca="true">IF(E107="","",IF(OR(COUNTIFS(Clients!$C$2:$C$501,E107,Clients!$S$2:$S$501,"Paid")&gt;0,AND(I107&lt;&gt;"",COUNTIFS(Clients!$E$2:$E$501,I107,Clients!$S$2:$S$501,"Paid")&gt;0)),"⚠ Refunded before – no free video",IF(OR(R107="Contract signed + paid",R107="Closed – No response",R107="Lost"),"",IF(R107="","Set a stage",IF(N(T107)&gt;=Settings!$S$3,"Close – 4 follow-ups sent",IF(U107="",IF(S107="","Make first contact",""),IF(TODAY()&gt;U107,"OVERDUE follow-up",IF(TODAY()=U107,"Follow up today",""))))))))</f>
        <v/>
      </c>
    </row>
    <row r="108" customFormat="false" ht="15" hidden="false" customHeight="false" outlineLevel="0" collapsed="false">
      <c r="A108" s="17"/>
      <c r="B108" s="38"/>
      <c r="C108" s="39"/>
      <c r="D108" s="17"/>
      <c r="E108" s="17"/>
      <c r="F108" s="17"/>
      <c r="G108" s="17"/>
      <c r="H108" s="17"/>
      <c r="I108" s="40"/>
      <c r="J108" s="17"/>
      <c r="K108" s="17"/>
      <c r="L108" s="17"/>
      <c r="M108" s="17"/>
      <c r="N108" s="38"/>
      <c r="O108" s="39"/>
      <c r="P108" s="41" t="str">
        <f aca="false">IF(OR(B108="",N108=""),"",ROUND(((N108+N(O108))-(B108+N(C108)))*24,1))</f>
        <v/>
      </c>
      <c r="Q108" s="17"/>
      <c r="R108" s="17"/>
      <c r="S108" s="38"/>
      <c r="T108" s="17"/>
      <c r="U108" s="42" t="str">
        <f aca="false">IF(OR(E108="",S108="",OR(R108="Contract signed + paid",R108="Closed – No response",R108="Lost"),N(T108)&gt;=Settings!$S$3),"",S108+Settings!$S$2)</f>
        <v/>
      </c>
      <c r="V108" s="38"/>
      <c r="W108" s="39"/>
      <c r="X108" s="17"/>
      <c r="Y108" s="17"/>
      <c r="Z108" s="17"/>
      <c r="AA108" s="43" t="str">
        <f aca="true">IF(OR(E108="",B108=""),"",INT(TODAY()-B108))</f>
        <v/>
      </c>
      <c r="AB108" s="44" t="str">
        <f aca="true">IF(E108="","",IF(OR(COUNTIFS(Clients!$C$2:$C$501,E108,Clients!$S$2:$S$501,"Paid")&gt;0,AND(I108&lt;&gt;"",COUNTIFS(Clients!$E$2:$E$501,I108,Clients!$S$2:$S$501,"Paid")&gt;0)),"⚠ Refunded before – no free video",IF(OR(R108="Contract signed + paid",R108="Closed – No response",R108="Lost"),"",IF(R108="","Set a stage",IF(N(T108)&gt;=Settings!$S$3,"Close – 4 follow-ups sent",IF(U108="",IF(S108="","Make first contact",""),IF(TODAY()&gt;U108,"OVERDUE follow-up",IF(TODAY()=U108,"Follow up today",""))))))))</f>
        <v/>
      </c>
    </row>
    <row r="109" customFormat="false" ht="15" hidden="false" customHeight="false" outlineLevel="0" collapsed="false">
      <c r="A109" s="17"/>
      <c r="B109" s="38"/>
      <c r="C109" s="39"/>
      <c r="D109" s="17"/>
      <c r="E109" s="17"/>
      <c r="F109" s="17"/>
      <c r="G109" s="17"/>
      <c r="H109" s="17"/>
      <c r="I109" s="40"/>
      <c r="J109" s="17"/>
      <c r="K109" s="17"/>
      <c r="L109" s="17"/>
      <c r="M109" s="17"/>
      <c r="N109" s="38"/>
      <c r="O109" s="39"/>
      <c r="P109" s="41" t="str">
        <f aca="false">IF(OR(B109="",N109=""),"",ROUND(((N109+N(O109))-(B109+N(C109)))*24,1))</f>
        <v/>
      </c>
      <c r="Q109" s="17"/>
      <c r="R109" s="17"/>
      <c r="S109" s="38"/>
      <c r="T109" s="17"/>
      <c r="U109" s="42" t="str">
        <f aca="false">IF(OR(E109="",S109="",OR(R109="Contract signed + paid",R109="Closed – No response",R109="Lost"),N(T109)&gt;=Settings!$S$3),"",S109+Settings!$S$2)</f>
        <v/>
      </c>
      <c r="V109" s="38"/>
      <c r="W109" s="39"/>
      <c r="X109" s="17"/>
      <c r="Y109" s="17"/>
      <c r="Z109" s="17"/>
      <c r="AA109" s="43" t="str">
        <f aca="true">IF(OR(E109="",B109=""),"",INT(TODAY()-B109))</f>
        <v/>
      </c>
      <c r="AB109" s="44" t="str">
        <f aca="true">IF(E109="","",IF(OR(COUNTIFS(Clients!$C$2:$C$501,E109,Clients!$S$2:$S$501,"Paid")&gt;0,AND(I109&lt;&gt;"",COUNTIFS(Clients!$E$2:$E$501,I109,Clients!$S$2:$S$501,"Paid")&gt;0)),"⚠ Refunded before – no free video",IF(OR(R109="Contract signed + paid",R109="Closed – No response",R109="Lost"),"",IF(R109="","Set a stage",IF(N(T109)&gt;=Settings!$S$3,"Close – 4 follow-ups sent",IF(U109="",IF(S109="","Make first contact",""),IF(TODAY()&gt;U109,"OVERDUE follow-up",IF(TODAY()=U109,"Follow up today",""))))))))</f>
        <v/>
      </c>
    </row>
    <row r="110" customFormat="false" ht="15" hidden="false" customHeight="false" outlineLevel="0" collapsed="false">
      <c r="A110" s="17"/>
      <c r="B110" s="38"/>
      <c r="C110" s="39"/>
      <c r="D110" s="17"/>
      <c r="E110" s="17"/>
      <c r="F110" s="17"/>
      <c r="G110" s="17"/>
      <c r="H110" s="17"/>
      <c r="I110" s="40"/>
      <c r="J110" s="17"/>
      <c r="K110" s="17"/>
      <c r="L110" s="17"/>
      <c r="M110" s="17"/>
      <c r="N110" s="38"/>
      <c r="O110" s="39"/>
      <c r="P110" s="41" t="str">
        <f aca="false">IF(OR(B110="",N110=""),"",ROUND(((N110+N(O110))-(B110+N(C110)))*24,1))</f>
        <v/>
      </c>
      <c r="Q110" s="17"/>
      <c r="R110" s="17"/>
      <c r="S110" s="38"/>
      <c r="T110" s="17"/>
      <c r="U110" s="42" t="str">
        <f aca="false">IF(OR(E110="",S110="",OR(R110="Contract signed + paid",R110="Closed – No response",R110="Lost"),N(T110)&gt;=Settings!$S$3),"",S110+Settings!$S$2)</f>
        <v/>
      </c>
      <c r="V110" s="38"/>
      <c r="W110" s="39"/>
      <c r="X110" s="17"/>
      <c r="Y110" s="17"/>
      <c r="Z110" s="17"/>
      <c r="AA110" s="43" t="str">
        <f aca="true">IF(OR(E110="",B110=""),"",INT(TODAY()-B110))</f>
        <v/>
      </c>
      <c r="AB110" s="44" t="str">
        <f aca="true">IF(E110="","",IF(OR(COUNTIFS(Clients!$C$2:$C$501,E110,Clients!$S$2:$S$501,"Paid")&gt;0,AND(I110&lt;&gt;"",COUNTIFS(Clients!$E$2:$E$501,I110,Clients!$S$2:$S$501,"Paid")&gt;0)),"⚠ Refunded before – no free video",IF(OR(R110="Contract signed + paid",R110="Closed – No response",R110="Lost"),"",IF(R110="","Set a stage",IF(N(T110)&gt;=Settings!$S$3,"Close – 4 follow-ups sent",IF(U110="",IF(S110="","Make first contact",""),IF(TODAY()&gt;U110,"OVERDUE follow-up",IF(TODAY()=U110,"Follow up today",""))))))))</f>
        <v/>
      </c>
    </row>
    <row r="111" customFormat="false" ht="15" hidden="false" customHeight="false" outlineLevel="0" collapsed="false">
      <c r="A111" s="17"/>
      <c r="B111" s="38"/>
      <c r="C111" s="39"/>
      <c r="D111" s="17"/>
      <c r="E111" s="17"/>
      <c r="F111" s="17"/>
      <c r="G111" s="17"/>
      <c r="H111" s="17"/>
      <c r="I111" s="40"/>
      <c r="J111" s="17"/>
      <c r="K111" s="17"/>
      <c r="L111" s="17"/>
      <c r="M111" s="17"/>
      <c r="N111" s="38"/>
      <c r="O111" s="39"/>
      <c r="P111" s="41" t="str">
        <f aca="false">IF(OR(B111="",N111=""),"",ROUND(((N111+N(O111))-(B111+N(C111)))*24,1))</f>
        <v/>
      </c>
      <c r="Q111" s="17"/>
      <c r="R111" s="17"/>
      <c r="S111" s="38"/>
      <c r="T111" s="17"/>
      <c r="U111" s="42" t="str">
        <f aca="false">IF(OR(E111="",S111="",OR(R111="Contract signed + paid",R111="Closed – No response",R111="Lost"),N(T111)&gt;=Settings!$S$3),"",S111+Settings!$S$2)</f>
        <v/>
      </c>
      <c r="V111" s="38"/>
      <c r="W111" s="39"/>
      <c r="X111" s="17"/>
      <c r="Y111" s="17"/>
      <c r="Z111" s="17"/>
      <c r="AA111" s="43" t="str">
        <f aca="true">IF(OR(E111="",B111=""),"",INT(TODAY()-B111))</f>
        <v/>
      </c>
      <c r="AB111" s="44" t="str">
        <f aca="true">IF(E111="","",IF(OR(COUNTIFS(Clients!$C$2:$C$501,E111,Clients!$S$2:$S$501,"Paid")&gt;0,AND(I111&lt;&gt;"",COUNTIFS(Clients!$E$2:$E$501,I111,Clients!$S$2:$S$501,"Paid")&gt;0)),"⚠ Refunded before – no free video",IF(OR(R111="Contract signed + paid",R111="Closed – No response",R111="Lost"),"",IF(R111="","Set a stage",IF(N(T111)&gt;=Settings!$S$3,"Close – 4 follow-ups sent",IF(U111="",IF(S111="","Make first contact",""),IF(TODAY()&gt;U111,"OVERDUE follow-up",IF(TODAY()=U111,"Follow up today",""))))))))</f>
        <v/>
      </c>
    </row>
    <row r="112" customFormat="false" ht="15" hidden="false" customHeight="false" outlineLevel="0" collapsed="false">
      <c r="A112" s="17"/>
      <c r="B112" s="38"/>
      <c r="C112" s="39"/>
      <c r="D112" s="17"/>
      <c r="E112" s="17"/>
      <c r="F112" s="17"/>
      <c r="G112" s="17"/>
      <c r="H112" s="17"/>
      <c r="I112" s="40"/>
      <c r="J112" s="17"/>
      <c r="K112" s="17"/>
      <c r="L112" s="17"/>
      <c r="M112" s="17"/>
      <c r="N112" s="38"/>
      <c r="O112" s="39"/>
      <c r="P112" s="41" t="str">
        <f aca="false">IF(OR(B112="",N112=""),"",ROUND(((N112+N(O112))-(B112+N(C112)))*24,1))</f>
        <v/>
      </c>
      <c r="Q112" s="17"/>
      <c r="R112" s="17"/>
      <c r="S112" s="38"/>
      <c r="T112" s="17"/>
      <c r="U112" s="42" t="str">
        <f aca="false">IF(OR(E112="",S112="",OR(R112="Contract signed + paid",R112="Closed – No response",R112="Lost"),N(T112)&gt;=Settings!$S$3),"",S112+Settings!$S$2)</f>
        <v/>
      </c>
      <c r="V112" s="38"/>
      <c r="W112" s="39"/>
      <c r="X112" s="17"/>
      <c r="Y112" s="17"/>
      <c r="Z112" s="17"/>
      <c r="AA112" s="43" t="str">
        <f aca="true">IF(OR(E112="",B112=""),"",INT(TODAY()-B112))</f>
        <v/>
      </c>
      <c r="AB112" s="44" t="str">
        <f aca="true">IF(E112="","",IF(OR(COUNTIFS(Clients!$C$2:$C$501,E112,Clients!$S$2:$S$501,"Paid")&gt;0,AND(I112&lt;&gt;"",COUNTIFS(Clients!$E$2:$E$501,I112,Clients!$S$2:$S$501,"Paid")&gt;0)),"⚠ Refunded before – no free video",IF(OR(R112="Contract signed + paid",R112="Closed – No response",R112="Lost"),"",IF(R112="","Set a stage",IF(N(T112)&gt;=Settings!$S$3,"Close – 4 follow-ups sent",IF(U112="",IF(S112="","Make first contact",""),IF(TODAY()&gt;U112,"OVERDUE follow-up",IF(TODAY()=U112,"Follow up today",""))))))))</f>
        <v/>
      </c>
    </row>
    <row r="113" customFormat="false" ht="15" hidden="false" customHeight="false" outlineLevel="0" collapsed="false">
      <c r="A113" s="17"/>
      <c r="B113" s="38"/>
      <c r="C113" s="39"/>
      <c r="D113" s="17"/>
      <c r="E113" s="17"/>
      <c r="F113" s="17"/>
      <c r="G113" s="17"/>
      <c r="H113" s="17"/>
      <c r="I113" s="40"/>
      <c r="J113" s="17"/>
      <c r="K113" s="17"/>
      <c r="L113" s="17"/>
      <c r="M113" s="17"/>
      <c r="N113" s="38"/>
      <c r="O113" s="39"/>
      <c r="P113" s="41" t="str">
        <f aca="false">IF(OR(B113="",N113=""),"",ROUND(((N113+N(O113))-(B113+N(C113)))*24,1))</f>
        <v/>
      </c>
      <c r="Q113" s="17"/>
      <c r="R113" s="17"/>
      <c r="S113" s="38"/>
      <c r="T113" s="17"/>
      <c r="U113" s="42" t="str">
        <f aca="false">IF(OR(E113="",S113="",OR(R113="Contract signed + paid",R113="Closed – No response",R113="Lost"),N(T113)&gt;=Settings!$S$3),"",S113+Settings!$S$2)</f>
        <v/>
      </c>
      <c r="V113" s="38"/>
      <c r="W113" s="39"/>
      <c r="X113" s="17"/>
      <c r="Y113" s="17"/>
      <c r="Z113" s="17"/>
      <c r="AA113" s="43" t="str">
        <f aca="true">IF(OR(E113="",B113=""),"",INT(TODAY()-B113))</f>
        <v/>
      </c>
      <c r="AB113" s="44" t="str">
        <f aca="true">IF(E113="","",IF(OR(COUNTIFS(Clients!$C$2:$C$501,E113,Clients!$S$2:$S$501,"Paid")&gt;0,AND(I113&lt;&gt;"",COUNTIFS(Clients!$E$2:$E$501,I113,Clients!$S$2:$S$501,"Paid")&gt;0)),"⚠ Refunded before – no free video",IF(OR(R113="Contract signed + paid",R113="Closed – No response",R113="Lost"),"",IF(R113="","Set a stage",IF(N(T113)&gt;=Settings!$S$3,"Close – 4 follow-ups sent",IF(U113="",IF(S113="","Make first contact",""),IF(TODAY()&gt;U113,"OVERDUE follow-up",IF(TODAY()=U113,"Follow up today",""))))))))</f>
        <v/>
      </c>
    </row>
    <row r="114" customFormat="false" ht="15" hidden="false" customHeight="false" outlineLevel="0" collapsed="false">
      <c r="A114" s="17"/>
      <c r="B114" s="38"/>
      <c r="C114" s="39"/>
      <c r="D114" s="17"/>
      <c r="E114" s="17"/>
      <c r="F114" s="17"/>
      <c r="G114" s="17"/>
      <c r="H114" s="17"/>
      <c r="I114" s="40"/>
      <c r="J114" s="17"/>
      <c r="K114" s="17"/>
      <c r="L114" s="17"/>
      <c r="M114" s="17"/>
      <c r="N114" s="38"/>
      <c r="O114" s="39"/>
      <c r="P114" s="41" t="str">
        <f aca="false">IF(OR(B114="",N114=""),"",ROUND(((N114+N(O114))-(B114+N(C114)))*24,1))</f>
        <v/>
      </c>
      <c r="Q114" s="17"/>
      <c r="R114" s="17"/>
      <c r="S114" s="38"/>
      <c r="T114" s="17"/>
      <c r="U114" s="42" t="str">
        <f aca="false">IF(OR(E114="",S114="",OR(R114="Contract signed + paid",R114="Closed – No response",R114="Lost"),N(T114)&gt;=Settings!$S$3),"",S114+Settings!$S$2)</f>
        <v/>
      </c>
      <c r="V114" s="38"/>
      <c r="W114" s="39"/>
      <c r="X114" s="17"/>
      <c r="Y114" s="17"/>
      <c r="Z114" s="17"/>
      <c r="AA114" s="43" t="str">
        <f aca="true">IF(OR(E114="",B114=""),"",INT(TODAY()-B114))</f>
        <v/>
      </c>
      <c r="AB114" s="44" t="str">
        <f aca="true">IF(E114="","",IF(OR(COUNTIFS(Clients!$C$2:$C$501,E114,Clients!$S$2:$S$501,"Paid")&gt;0,AND(I114&lt;&gt;"",COUNTIFS(Clients!$E$2:$E$501,I114,Clients!$S$2:$S$501,"Paid")&gt;0)),"⚠ Refunded before – no free video",IF(OR(R114="Contract signed + paid",R114="Closed – No response",R114="Lost"),"",IF(R114="","Set a stage",IF(N(T114)&gt;=Settings!$S$3,"Close – 4 follow-ups sent",IF(U114="",IF(S114="","Make first contact",""),IF(TODAY()&gt;U114,"OVERDUE follow-up",IF(TODAY()=U114,"Follow up today",""))))))))</f>
        <v/>
      </c>
    </row>
    <row r="115" customFormat="false" ht="15" hidden="false" customHeight="false" outlineLevel="0" collapsed="false">
      <c r="A115" s="17"/>
      <c r="B115" s="38"/>
      <c r="C115" s="39"/>
      <c r="D115" s="17"/>
      <c r="E115" s="17"/>
      <c r="F115" s="17"/>
      <c r="G115" s="17"/>
      <c r="H115" s="17"/>
      <c r="I115" s="40"/>
      <c r="J115" s="17"/>
      <c r="K115" s="17"/>
      <c r="L115" s="17"/>
      <c r="M115" s="17"/>
      <c r="N115" s="38"/>
      <c r="O115" s="39"/>
      <c r="P115" s="41" t="str">
        <f aca="false">IF(OR(B115="",N115=""),"",ROUND(((N115+N(O115))-(B115+N(C115)))*24,1))</f>
        <v/>
      </c>
      <c r="Q115" s="17"/>
      <c r="R115" s="17"/>
      <c r="S115" s="38"/>
      <c r="T115" s="17"/>
      <c r="U115" s="42" t="str">
        <f aca="false">IF(OR(E115="",S115="",OR(R115="Contract signed + paid",R115="Closed – No response",R115="Lost"),N(T115)&gt;=Settings!$S$3),"",S115+Settings!$S$2)</f>
        <v/>
      </c>
      <c r="V115" s="38"/>
      <c r="W115" s="39"/>
      <c r="X115" s="17"/>
      <c r="Y115" s="17"/>
      <c r="Z115" s="17"/>
      <c r="AA115" s="43" t="str">
        <f aca="true">IF(OR(E115="",B115=""),"",INT(TODAY()-B115))</f>
        <v/>
      </c>
      <c r="AB115" s="44" t="str">
        <f aca="true">IF(E115="","",IF(OR(COUNTIFS(Clients!$C$2:$C$501,E115,Clients!$S$2:$S$501,"Paid")&gt;0,AND(I115&lt;&gt;"",COUNTIFS(Clients!$E$2:$E$501,I115,Clients!$S$2:$S$501,"Paid")&gt;0)),"⚠ Refunded before – no free video",IF(OR(R115="Contract signed + paid",R115="Closed – No response",R115="Lost"),"",IF(R115="","Set a stage",IF(N(T115)&gt;=Settings!$S$3,"Close – 4 follow-ups sent",IF(U115="",IF(S115="","Make first contact",""),IF(TODAY()&gt;U115,"OVERDUE follow-up",IF(TODAY()=U115,"Follow up today",""))))))))</f>
        <v/>
      </c>
    </row>
    <row r="116" customFormat="false" ht="15" hidden="false" customHeight="false" outlineLevel="0" collapsed="false">
      <c r="A116" s="17"/>
      <c r="B116" s="38"/>
      <c r="C116" s="39"/>
      <c r="D116" s="17"/>
      <c r="E116" s="17"/>
      <c r="F116" s="17"/>
      <c r="G116" s="17"/>
      <c r="H116" s="17"/>
      <c r="I116" s="40"/>
      <c r="J116" s="17"/>
      <c r="K116" s="17"/>
      <c r="L116" s="17"/>
      <c r="M116" s="17"/>
      <c r="N116" s="38"/>
      <c r="O116" s="39"/>
      <c r="P116" s="41" t="str">
        <f aca="false">IF(OR(B116="",N116=""),"",ROUND(((N116+N(O116))-(B116+N(C116)))*24,1))</f>
        <v/>
      </c>
      <c r="Q116" s="17"/>
      <c r="R116" s="17"/>
      <c r="S116" s="38"/>
      <c r="T116" s="17"/>
      <c r="U116" s="42" t="str">
        <f aca="false">IF(OR(E116="",S116="",OR(R116="Contract signed + paid",R116="Closed – No response",R116="Lost"),N(T116)&gt;=Settings!$S$3),"",S116+Settings!$S$2)</f>
        <v/>
      </c>
      <c r="V116" s="38"/>
      <c r="W116" s="39"/>
      <c r="X116" s="17"/>
      <c r="Y116" s="17"/>
      <c r="Z116" s="17"/>
      <c r="AA116" s="43" t="str">
        <f aca="true">IF(OR(E116="",B116=""),"",INT(TODAY()-B116))</f>
        <v/>
      </c>
      <c r="AB116" s="44" t="str">
        <f aca="true">IF(E116="","",IF(OR(COUNTIFS(Clients!$C$2:$C$501,E116,Clients!$S$2:$S$501,"Paid")&gt;0,AND(I116&lt;&gt;"",COUNTIFS(Clients!$E$2:$E$501,I116,Clients!$S$2:$S$501,"Paid")&gt;0)),"⚠ Refunded before – no free video",IF(OR(R116="Contract signed + paid",R116="Closed – No response",R116="Lost"),"",IF(R116="","Set a stage",IF(N(T116)&gt;=Settings!$S$3,"Close – 4 follow-ups sent",IF(U116="",IF(S116="","Make first contact",""),IF(TODAY()&gt;U116,"OVERDUE follow-up",IF(TODAY()=U116,"Follow up today",""))))))))</f>
        <v/>
      </c>
    </row>
    <row r="117" customFormat="false" ht="15" hidden="false" customHeight="false" outlineLevel="0" collapsed="false">
      <c r="A117" s="17"/>
      <c r="B117" s="38"/>
      <c r="C117" s="39"/>
      <c r="D117" s="17"/>
      <c r="E117" s="17"/>
      <c r="F117" s="17"/>
      <c r="G117" s="17"/>
      <c r="H117" s="17"/>
      <c r="I117" s="40"/>
      <c r="J117" s="17"/>
      <c r="K117" s="17"/>
      <c r="L117" s="17"/>
      <c r="M117" s="17"/>
      <c r="N117" s="38"/>
      <c r="O117" s="39"/>
      <c r="P117" s="41" t="str">
        <f aca="false">IF(OR(B117="",N117=""),"",ROUND(((N117+N(O117))-(B117+N(C117)))*24,1))</f>
        <v/>
      </c>
      <c r="Q117" s="17"/>
      <c r="R117" s="17"/>
      <c r="S117" s="38"/>
      <c r="T117" s="17"/>
      <c r="U117" s="42" t="str">
        <f aca="false">IF(OR(E117="",S117="",OR(R117="Contract signed + paid",R117="Closed – No response",R117="Lost"),N(T117)&gt;=Settings!$S$3),"",S117+Settings!$S$2)</f>
        <v/>
      </c>
      <c r="V117" s="38"/>
      <c r="W117" s="39"/>
      <c r="X117" s="17"/>
      <c r="Y117" s="17"/>
      <c r="Z117" s="17"/>
      <c r="AA117" s="43" t="str">
        <f aca="true">IF(OR(E117="",B117=""),"",INT(TODAY()-B117))</f>
        <v/>
      </c>
      <c r="AB117" s="44" t="str">
        <f aca="true">IF(E117="","",IF(OR(COUNTIFS(Clients!$C$2:$C$501,E117,Clients!$S$2:$S$501,"Paid")&gt;0,AND(I117&lt;&gt;"",COUNTIFS(Clients!$E$2:$E$501,I117,Clients!$S$2:$S$501,"Paid")&gt;0)),"⚠ Refunded before – no free video",IF(OR(R117="Contract signed + paid",R117="Closed – No response",R117="Lost"),"",IF(R117="","Set a stage",IF(N(T117)&gt;=Settings!$S$3,"Close – 4 follow-ups sent",IF(U117="",IF(S117="","Make first contact",""),IF(TODAY()&gt;U117,"OVERDUE follow-up",IF(TODAY()=U117,"Follow up today",""))))))))</f>
        <v/>
      </c>
    </row>
    <row r="118" customFormat="false" ht="15" hidden="false" customHeight="false" outlineLevel="0" collapsed="false">
      <c r="A118" s="17"/>
      <c r="B118" s="38"/>
      <c r="C118" s="39"/>
      <c r="D118" s="17"/>
      <c r="E118" s="17"/>
      <c r="F118" s="17"/>
      <c r="G118" s="17"/>
      <c r="H118" s="17"/>
      <c r="I118" s="40"/>
      <c r="J118" s="17"/>
      <c r="K118" s="17"/>
      <c r="L118" s="17"/>
      <c r="M118" s="17"/>
      <c r="N118" s="38"/>
      <c r="O118" s="39"/>
      <c r="P118" s="41" t="str">
        <f aca="false">IF(OR(B118="",N118=""),"",ROUND(((N118+N(O118))-(B118+N(C118)))*24,1))</f>
        <v/>
      </c>
      <c r="Q118" s="17"/>
      <c r="R118" s="17"/>
      <c r="S118" s="38"/>
      <c r="T118" s="17"/>
      <c r="U118" s="42" t="str">
        <f aca="false">IF(OR(E118="",S118="",OR(R118="Contract signed + paid",R118="Closed – No response",R118="Lost"),N(T118)&gt;=Settings!$S$3),"",S118+Settings!$S$2)</f>
        <v/>
      </c>
      <c r="V118" s="38"/>
      <c r="W118" s="39"/>
      <c r="X118" s="17"/>
      <c r="Y118" s="17"/>
      <c r="Z118" s="17"/>
      <c r="AA118" s="43" t="str">
        <f aca="true">IF(OR(E118="",B118=""),"",INT(TODAY()-B118))</f>
        <v/>
      </c>
      <c r="AB118" s="44" t="str">
        <f aca="true">IF(E118="","",IF(OR(COUNTIFS(Clients!$C$2:$C$501,E118,Clients!$S$2:$S$501,"Paid")&gt;0,AND(I118&lt;&gt;"",COUNTIFS(Clients!$E$2:$E$501,I118,Clients!$S$2:$S$501,"Paid")&gt;0)),"⚠ Refunded before – no free video",IF(OR(R118="Contract signed + paid",R118="Closed – No response",R118="Lost"),"",IF(R118="","Set a stage",IF(N(T118)&gt;=Settings!$S$3,"Close – 4 follow-ups sent",IF(U118="",IF(S118="","Make first contact",""),IF(TODAY()&gt;U118,"OVERDUE follow-up",IF(TODAY()=U118,"Follow up today",""))))))))</f>
        <v/>
      </c>
    </row>
    <row r="119" customFormat="false" ht="15" hidden="false" customHeight="false" outlineLevel="0" collapsed="false">
      <c r="A119" s="17"/>
      <c r="B119" s="38"/>
      <c r="C119" s="39"/>
      <c r="D119" s="17"/>
      <c r="E119" s="17"/>
      <c r="F119" s="17"/>
      <c r="G119" s="17"/>
      <c r="H119" s="17"/>
      <c r="I119" s="40"/>
      <c r="J119" s="17"/>
      <c r="K119" s="17"/>
      <c r="L119" s="17"/>
      <c r="M119" s="17"/>
      <c r="N119" s="38"/>
      <c r="O119" s="39"/>
      <c r="P119" s="41" t="str">
        <f aca="false">IF(OR(B119="",N119=""),"",ROUND(((N119+N(O119))-(B119+N(C119)))*24,1))</f>
        <v/>
      </c>
      <c r="Q119" s="17"/>
      <c r="R119" s="17"/>
      <c r="S119" s="38"/>
      <c r="T119" s="17"/>
      <c r="U119" s="42" t="str">
        <f aca="false">IF(OR(E119="",S119="",OR(R119="Contract signed + paid",R119="Closed – No response",R119="Lost"),N(T119)&gt;=Settings!$S$3),"",S119+Settings!$S$2)</f>
        <v/>
      </c>
      <c r="V119" s="38"/>
      <c r="W119" s="39"/>
      <c r="X119" s="17"/>
      <c r="Y119" s="17"/>
      <c r="Z119" s="17"/>
      <c r="AA119" s="43" t="str">
        <f aca="true">IF(OR(E119="",B119=""),"",INT(TODAY()-B119))</f>
        <v/>
      </c>
      <c r="AB119" s="44" t="str">
        <f aca="true">IF(E119="","",IF(OR(COUNTIFS(Clients!$C$2:$C$501,E119,Clients!$S$2:$S$501,"Paid")&gt;0,AND(I119&lt;&gt;"",COUNTIFS(Clients!$E$2:$E$501,I119,Clients!$S$2:$S$501,"Paid")&gt;0)),"⚠ Refunded before – no free video",IF(OR(R119="Contract signed + paid",R119="Closed – No response",R119="Lost"),"",IF(R119="","Set a stage",IF(N(T119)&gt;=Settings!$S$3,"Close – 4 follow-ups sent",IF(U119="",IF(S119="","Make first contact",""),IF(TODAY()&gt;U119,"OVERDUE follow-up",IF(TODAY()=U119,"Follow up today",""))))))))</f>
        <v/>
      </c>
    </row>
    <row r="120" customFormat="false" ht="15" hidden="false" customHeight="false" outlineLevel="0" collapsed="false">
      <c r="A120" s="17"/>
      <c r="B120" s="38"/>
      <c r="C120" s="39"/>
      <c r="D120" s="17"/>
      <c r="E120" s="17"/>
      <c r="F120" s="17"/>
      <c r="G120" s="17"/>
      <c r="H120" s="17"/>
      <c r="I120" s="40"/>
      <c r="J120" s="17"/>
      <c r="K120" s="17"/>
      <c r="L120" s="17"/>
      <c r="M120" s="17"/>
      <c r="N120" s="38"/>
      <c r="O120" s="39"/>
      <c r="P120" s="41" t="str">
        <f aca="false">IF(OR(B120="",N120=""),"",ROUND(((N120+N(O120))-(B120+N(C120)))*24,1))</f>
        <v/>
      </c>
      <c r="Q120" s="17"/>
      <c r="R120" s="17"/>
      <c r="S120" s="38"/>
      <c r="T120" s="17"/>
      <c r="U120" s="42" t="str">
        <f aca="false">IF(OR(E120="",S120="",OR(R120="Contract signed + paid",R120="Closed – No response",R120="Lost"),N(T120)&gt;=Settings!$S$3),"",S120+Settings!$S$2)</f>
        <v/>
      </c>
      <c r="V120" s="38"/>
      <c r="W120" s="39"/>
      <c r="X120" s="17"/>
      <c r="Y120" s="17"/>
      <c r="Z120" s="17"/>
      <c r="AA120" s="43" t="str">
        <f aca="true">IF(OR(E120="",B120=""),"",INT(TODAY()-B120))</f>
        <v/>
      </c>
      <c r="AB120" s="44" t="str">
        <f aca="true">IF(E120="","",IF(OR(COUNTIFS(Clients!$C$2:$C$501,E120,Clients!$S$2:$S$501,"Paid")&gt;0,AND(I120&lt;&gt;"",COUNTIFS(Clients!$E$2:$E$501,I120,Clients!$S$2:$S$501,"Paid")&gt;0)),"⚠ Refunded before – no free video",IF(OR(R120="Contract signed + paid",R120="Closed – No response",R120="Lost"),"",IF(R120="","Set a stage",IF(N(T120)&gt;=Settings!$S$3,"Close – 4 follow-ups sent",IF(U120="",IF(S120="","Make first contact",""),IF(TODAY()&gt;U120,"OVERDUE follow-up",IF(TODAY()=U120,"Follow up today",""))))))))</f>
        <v/>
      </c>
    </row>
    <row r="121" customFormat="false" ht="15" hidden="false" customHeight="false" outlineLevel="0" collapsed="false">
      <c r="A121" s="17"/>
      <c r="B121" s="38"/>
      <c r="C121" s="39"/>
      <c r="D121" s="17"/>
      <c r="E121" s="17"/>
      <c r="F121" s="17"/>
      <c r="G121" s="17"/>
      <c r="H121" s="17"/>
      <c r="I121" s="40"/>
      <c r="J121" s="17"/>
      <c r="K121" s="17"/>
      <c r="L121" s="17"/>
      <c r="M121" s="17"/>
      <c r="N121" s="38"/>
      <c r="O121" s="39"/>
      <c r="P121" s="41" t="str">
        <f aca="false">IF(OR(B121="",N121=""),"",ROUND(((N121+N(O121))-(B121+N(C121)))*24,1))</f>
        <v/>
      </c>
      <c r="Q121" s="17"/>
      <c r="R121" s="17"/>
      <c r="S121" s="38"/>
      <c r="T121" s="17"/>
      <c r="U121" s="42" t="str">
        <f aca="false">IF(OR(E121="",S121="",OR(R121="Contract signed + paid",R121="Closed – No response",R121="Lost"),N(T121)&gt;=Settings!$S$3),"",S121+Settings!$S$2)</f>
        <v/>
      </c>
      <c r="V121" s="38"/>
      <c r="W121" s="39"/>
      <c r="X121" s="17"/>
      <c r="Y121" s="17"/>
      <c r="Z121" s="17"/>
      <c r="AA121" s="43" t="str">
        <f aca="true">IF(OR(E121="",B121=""),"",INT(TODAY()-B121))</f>
        <v/>
      </c>
      <c r="AB121" s="44" t="str">
        <f aca="true">IF(E121="","",IF(OR(COUNTIFS(Clients!$C$2:$C$501,E121,Clients!$S$2:$S$501,"Paid")&gt;0,AND(I121&lt;&gt;"",COUNTIFS(Clients!$E$2:$E$501,I121,Clients!$S$2:$S$501,"Paid")&gt;0)),"⚠ Refunded before – no free video",IF(OR(R121="Contract signed + paid",R121="Closed – No response",R121="Lost"),"",IF(R121="","Set a stage",IF(N(T121)&gt;=Settings!$S$3,"Close – 4 follow-ups sent",IF(U121="",IF(S121="","Make first contact",""),IF(TODAY()&gt;U121,"OVERDUE follow-up",IF(TODAY()=U121,"Follow up today",""))))))))</f>
        <v/>
      </c>
    </row>
    <row r="122" customFormat="false" ht="15" hidden="false" customHeight="false" outlineLevel="0" collapsed="false">
      <c r="A122" s="17"/>
      <c r="B122" s="38"/>
      <c r="C122" s="39"/>
      <c r="D122" s="17"/>
      <c r="E122" s="17"/>
      <c r="F122" s="17"/>
      <c r="G122" s="17"/>
      <c r="H122" s="17"/>
      <c r="I122" s="40"/>
      <c r="J122" s="17"/>
      <c r="K122" s="17"/>
      <c r="L122" s="17"/>
      <c r="M122" s="17"/>
      <c r="N122" s="38"/>
      <c r="O122" s="39"/>
      <c r="P122" s="41" t="str">
        <f aca="false">IF(OR(B122="",N122=""),"",ROUND(((N122+N(O122))-(B122+N(C122)))*24,1))</f>
        <v/>
      </c>
      <c r="Q122" s="17"/>
      <c r="R122" s="17"/>
      <c r="S122" s="38"/>
      <c r="T122" s="17"/>
      <c r="U122" s="42" t="str">
        <f aca="false">IF(OR(E122="",S122="",OR(R122="Contract signed + paid",R122="Closed – No response",R122="Lost"),N(T122)&gt;=Settings!$S$3),"",S122+Settings!$S$2)</f>
        <v/>
      </c>
      <c r="V122" s="38"/>
      <c r="W122" s="39"/>
      <c r="X122" s="17"/>
      <c r="Y122" s="17"/>
      <c r="Z122" s="17"/>
      <c r="AA122" s="43" t="str">
        <f aca="true">IF(OR(E122="",B122=""),"",INT(TODAY()-B122))</f>
        <v/>
      </c>
      <c r="AB122" s="44" t="str">
        <f aca="true">IF(E122="","",IF(OR(COUNTIFS(Clients!$C$2:$C$501,E122,Clients!$S$2:$S$501,"Paid")&gt;0,AND(I122&lt;&gt;"",COUNTIFS(Clients!$E$2:$E$501,I122,Clients!$S$2:$S$501,"Paid")&gt;0)),"⚠ Refunded before – no free video",IF(OR(R122="Contract signed + paid",R122="Closed – No response",R122="Lost"),"",IF(R122="","Set a stage",IF(N(T122)&gt;=Settings!$S$3,"Close – 4 follow-ups sent",IF(U122="",IF(S122="","Make first contact",""),IF(TODAY()&gt;U122,"OVERDUE follow-up",IF(TODAY()=U122,"Follow up today",""))))))))</f>
        <v/>
      </c>
    </row>
    <row r="123" customFormat="false" ht="15" hidden="false" customHeight="false" outlineLevel="0" collapsed="false">
      <c r="A123" s="17"/>
      <c r="B123" s="38"/>
      <c r="C123" s="39"/>
      <c r="D123" s="17"/>
      <c r="E123" s="17"/>
      <c r="F123" s="17"/>
      <c r="G123" s="17"/>
      <c r="H123" s="17"/>
      <c r="I123" s="40"/>
      <c r="J123" s="17"/>
      <c r="K123" s="17"/>
      <c r="L123" s="17"/>
      <c r="M123" s="17"/>
      <c r="N123" s="38"/>
      <c r="O123" s="39"/>
      <c r="P123" s="41" t="str">
        <f aca="false">IF(OR(B123="",N123=""),"",ROUND(((N123+N(O123))-(B123+N(C123)))*24,1))</f>
        <v/>
      </c>
      <c r="Q123" s="17"/>
      <c r="R123" s="17"/>
      <c r="S123" s="38"/>
      <c r="T123" s="17"/>
      <c r="U123" s="42" t="str">
        <f aca="false">IF(OR(E123="",S123="",OR(R123="Contract signed + paid",R123="Closed – No response",R123="Lost"),N(T123)&gt;=Settings!$S$3),"",S123+Settings!$S$2)</f>
        <v/>
      </c>
      <c r="V123" s="38"/>
      <c r="W123" s="39"/>
      <c r="X123" s="17"/>
      <c r="Y123" s="17"/>
      <c r="Z123" s="17"/>
      <c r="AA123" s="43" t="str">
        <f aca="true">IF(OR(E123="",B123=""),"",INT(TODAY()-B123))</f>
        <v/>
      </c>
      <c r="AB123" s="44" t="str">
        <f aca="true">IF(E123="","",IF(OR(COUNTIFS(Clients!$C$2:$C$501,E123,Clients!$S$2:$S$501,"Paid")&gt;0,AND(I123&lt;&gt;"",COUNTIFS(Clients!$E$2:$E$501,I123,Clients!$S$2:$S$501,"Paid")&gt;0)),"⚠ Refunded before – no free video",IF(OR(R123="Contract signed + paid",R123="Closed – No response",R123="Lost"),"",IF(R123="","Set a stage",IF(N(T123)&gt;=Settings!$S$3,"Close – 4 follow-ups sent",IF(U123="",IF(S123="","Make first contact",""),IF(TODAY()&gt;U123,"OVERDUE follow-up",IF(TODAY()=U123,"Follow up today",""))))))))</f>
        <v/>
      </c>
    </row>
    <row r="124" customFormat="false" ht="15" hidden="false" customHeight="false" outlineLevel="0" collapsed="false">
      <c r="A124" s="17"/>
      <c r="B124" s="38"/>
      <c r="C124" s="39"/>
      <c r="D124" s="17"/>
      <c r="E124" s="17"/>
      <c r="F124" s="17"/>
      <c r="G124" s="17"/>
      <c r="H124" s="17"/>
      <c r="I124" s="40"/>
      <c r="J124" s="17"/>
      <c r="K124" s="17"/>
      <c r="L124" s="17"/>
      <c r="M124" s="17"/>
      <c r="N124" s="38"/>
      <c r="O124" s="39"/>
      <c r="P124" s="41" t="str">
        <f aca="false">IF(OR(B124="",N124=""),"",ROUND(((N124+N(O124))-(B124+N(C124)))*24,1))</f>
        <v/>
      </c>
      <c r="Q124" s="17"/>
      <c r="R124" s="17"/>
      <c r="S124" s="38"/>
      <c r="T124" s="17"/>
      <c r="U124" s="42" t="str">
        <f aca="false">IF(OR(E124="",S124="",OR(R124="Contract signed + paid",R124="Closed – No response",R124="Lost"),N(T124)&gt;=Settings!$S$3),"",S124+Settings!$S$2)</f>
        <v/>
      </c>
      <c r="V124" s="38"/>
      <c r="W124" s="39"/>
      <c r="X124" s="17"/>
      <c r="Y124" s="17"/>
      <c r="Z124" s="17"/>
      <c r="AA124" s="43" t="str">
        <f aca="true">IF(OR(E124="",B124=""),"",INT(TODAY()-B124))</f>
        <v/>
      </c>
      <c r="AB124" s="44" t="str">
        <f aca="true">IF(E124="","",IF(OR(COUNTIFS(Clients!$C$2:$C$501,E124,Clients!$S$2:$S$501,"Paid")&gt;0,AND(I124&lt;&gt;"",COUNTIFS(Clients!$E$2:$E$501,I124,Clients!$S$2:$S$501,"Paid")&gt;0)),"⚠ Refunded before – no free video",IF(OR(R124="Contract signed + paid",R124="Closed – No response",R124="Lost"),"",IF(R124="","Set a stage",IF(N(T124)&gt;=Settings!$S$3,"Close – 4 follow-ups sent",IF(U124="",IF(S124="","Make first contact",""),IF(TODAY()&gt;U124,"OVERDUE follow-up",IF(TODAY()=U124,"Follow up today",""))))))))</f>
        <v/>
      </c>
    </row>
    <row r="125" customFormat="false" ht="15" hidden="false" customHeight="false" outlineLevel="0" collapsed="false">
      <c r="A125" s="17"/>
      <c r="B125" s="38"/>
      <c r="C125" s="39"/>
      <c r="D125" s="17"/>
      <c r="E125" s="17"/>
      <c r="F125" s="17"/>
      <c r="G125" s="17"/>
      <c r="H125" s="17"/>
      <c r="I125" s="40"/>
      <c r="J125" s="17"/>
      <c r="K125" s="17"/>
      <c r="L125" s="17"/>
      <c r="M125" s="17"/>
      <c r="N125" s="38"/>
      <c r="O125" s="39"/>
      <c r="P125" s="41" t="str">
        <f aca="false">IF(OR(B125="",N125=""),"",ROUND(((N125+N(O125))-(B125+N(C125)))*24,1))</f>
        <v/>
      </c>
      <c r="Q125" s="17"/>
      <c r="R125" s="17"/>
      <c r="S125" s="38"/>
      <c r="T125" s="17"/>
      <c r="U125" s="42" t="str">
        <f aca="false">IF(OR(E125="",S125="",OR(R125="Contract signed + paid",R125="Closed – No response",R125="Lost"),N(T125)&gt;=Settings!$S$3),"",S125+Settings!$S$2)</f>
        <v/>
      </c>
      <c r="V125" s="38"/>
      <c r="W125" s="39"/>
      <c r="X125" s="17"/>
      <c r="Y125" s="17"/>
      <c r="Z125" s="17"/>
      <c r="AA125" s="43" t="str">
        <f aca="true">IF(OR(E125="",B125=""),"",INT(TODAY()-B125))</f>
        <v/>
      </c>
      <c r="AB125" s="44" t="str">
        <f aca="true">IF(E125="","",IF(OR(COUNTIFS(Clients!$C$2:$C$501,E125,Clients!$S$2:$S$501,"Paid")&gt;0,AND(I125&lt;&gt;"",COUNTIFS(Clients!$E$2:$E$501,I125,Clients!$S$2:$S$501,"Paid")&gt;0)),"⚠ Refunded before – no free video",IF(OR(R125="Contract signed + paid",R125="Closed – No response",R125="Lost"),"",IF(R125="","Set a stage",IF(N(T125)&gt;=Settings!$S$3,"Close – 4 follow-ups sent",IF(U125="",IF(S125="","Make first contact",""),IF(TODAY()&gt;U125,"OVERDUE follow-up",IF(TODAY()=U125,"Follow up today",""))))))))</f>
        <v/>
      </c>
    </row>
    <row r="126" customFormat="false" ht="15" hidden="false" customHeight="false" outlineLevel="0" collapsed="false">
      <c r="A126" s="17"/>
      <c r="B126" s="38"/>
      <c r="C126" s="39"/>
      <c r="D126" s="17"/>
      <c r="E126" s="17"/>
      <c r="F126" s="17"/>
      <c r="G126" s="17"/>
      <c r="H126" s="17"/>
      <c r="I126" s="40"/>
      <c r="J126" s="17"/>
      <c r="K126" s="17"/>
      <c r="L126" s="17"/>
      <c r="M126" s="17"/>
      <c r="N126" s="38"/>
      <c r="O126" s="39"/>
      <c r="P126" s="41" t="str">
        <f aca="false">IF(OR(B126="",N126=""),"",ROUND(((N126+N(O126))-(B126+N(C126)))*24,1))</f>
        <v/>
      </c>
      <c r="Q126" s="17"/>
      <c r="R126" s="17"/>
      <c r="S126" s="38"/>
      <c r="T126" s="17"/>
      <c r="U126" s="42" t="str">
        <f aca="false">IF(OR(E126="",S126="",OR(R126="Contract signed + paid",R126="Closed – No response",R126="Lost"),N(T126)&gt;=Settings!$S$3),"",S126+Settings!$S$2)</f>
        <v/>
      </c>
      <c r="V126" s="38"/>
      <c r="W126" s="39"/>
      <c r="X126" s="17"/>
      <c r="Y126" s="17"/>
      <c r="Z126" s="17"/>
      <c r="AA126" s="43" t="str">
        <f aca="true">IF(OR(E126="",B126=""),"",INT(TODAY()-B126))</f>
        <v/>
      </c>
      <c r="AB126" s="44" t="str">
        <f aca="true">IF(E126="","",IF(OR(COUNTIFS(Clients!$C$2:$C$501,E126,Clients!$S$2:$S$501,"Paid")&gt;0,AND(I126&lt;&gt;"",COUNTIFS(Clients!$E$2:$E$501,I126,Clients!$S$2:$S$501,"Paid")&gt;0)),"⚠ Refunded before – no free video",IF(OR(R126="Contract signed + paid",R126="Closed – No response",R126="Lost"),"",IF(R126="","Set a stage",IF(N(T126)&gt;=Settings!$S$3,"Close – 4 follow-ups sent",IF(U126="",IF(S126="","Make first contact",""),IF(TODAY()&gt;U126,"OVERDUE follow-up",IF(TODAY()=U126,"Follow up today",""))))))))</f>
        <v/>
      </c>
    </row>
    <row r="127" customFormat="false" ht="15" hidden="false" customHeight="false" outlineLevel="0" collapsed="false">
      <c r="A127" s="17"/>
      <c r="B127" s="38"/>
      <c r="C127" s="39"/>
      <c r="D127" s="17"/>
      <c r="E127" s="17"/>
      <c r="F127" s="17"/>
      <c r="G127" s="17"/>
      <c r="H127" s="17"/>
      <c r="I127" s="40"/>
      <c r="J127" s="17"/>
      <c r="K127" s="17"/>
      <c r="L127" s="17"/>
      <c r="M127" s="17"/>
      <c r="N127" s="38"/>
      <c r="O127" s="39"/>
      <c r="P127" s="41" t="str">
        <f aca="false">IF(OR(B127="",N127=""),"",ROUND(((N127+N(O127))-(B127+N(C127)))*24,1))</f>
        <v/>
      </c>
      <c r="Q127" s="17"/>
      <c r="R127" s="17"/>
      <c r="S127" s="38"/>
      <c r="T127" s="17"/>
      <c r="U127" s="42" t="str">
        <f aca="false">IF(OR(E127="",S127="",OR(R127="Contract signed + paid",R127="Closed – No response",R127="Lost"),N(T127)&gt;=Settings!$S$3),"",S127+Settings!$S$2)</f>
        <v/>
      </c>
      <c r="V127" s="38"/>
      <c r="W127" s="39"/>
      <c r="X127" s="17"/>
      <c r="Y127" s="17"/>
      <c r="Z127" s="17"/>
      <c r="AA127" s="43" t="str">
        <f aca="true">IF(OR(E127="",B127=""),"",INT(TODAY()-B127))</f>
        <v/>
      </c>
      <c r="AB127" s="44" t="str">
        <f aca="true">IF(E127="","",IF(OR(COUNTIFS(Clients!$C$2:$C$501,E127,Clients!$S$2:$S$501,"Paid")&gt;0,AND(I127&lt;&gt;"",COUNTIFS(Clients!$E$2:$E$501,I127,Clients!$S$2:$S$501,"Paid")&gt;0)),"⚠ Refunded before – no free video",IF(OR(R127="Contract signed + paid",R127="Closed – No response",R127="Lost"),"",IF(R127="","Set a stage",IF(N(T127)&gt;=Settings!$S$3,"Close – 4 follow-ups sent",IF(U127="",IF(S127="","Make first contact",""),IF(TODAY()&gt;U127,"OVERDUE follow-up",IF(TODAY()=U127,"Follow up today",""))))))))</f>
        <v/>
      </c>
    </row>
    <row r="128" customFormat="false" ht="15" hidden="false" customHeight="false" outlineLevel="0" collapsed="false">
      <c r="A128" s="17"/>
      <c r="B128" s="38"/>
      <c r="C128" s="39"/>
      <c r="D128" s="17"/>
      <c r="E128" s="17"/>
      <c r="F128" s="17"/>
      <c r="G128" s="17"/>
      <c r="H128" s="17"/>
      <c r="I128" s="40"/>
      <c r="J128" s="17"/>
      <c r="K128" s="17"/>
      <c r="L128" s="17"/>
      <c r="M128" s="17"/>
      <c r="N128" s="38"/>
      <c r="O128" s="39"/>
      <c r="P128" s="41" t="str">
        <f aca="false">IF(OR(B128="",N128=""),"",ROUND(((N128+N(O128))-(B128+N(C128)))*24,1))</f>
        <v/>
      </c>
      <c r="Q128" s="17"/>
      <c r="R128" s="17"/>
      <c r="S128" s="38"/>
      <c r="T128" s="17"/>
      <c r="U128" s="42" t="str">
        <f aca="false">IF(OR(E128="",S128="",OR(R128="Contract signed + paid",R128="Closed – No response",R128="Lost"),N(T128)&gt;=Settings!$S$3),"",S128+Settings!$S$2)</f>
        <v/>
      </c>
      <c r="V128" s="38"/>
      <c r="W128" s="39"/>
      <c r="X128" s="17"/>
      <c r="Y128" s="17"/>
      <c r="Z128" s="17"/>
      <c r="AA128" s="43" t="str">
        <f aca="true">IF(OR(E128="",B128=""),"",INT(TODAY()-B128))</f>
        <v/>
      </c>
      <c r="AB128" s="44" t="str">
        <f aca="true">IF(E128="","",IF(OR(COUNTIFS(Clients!$C$2:$C$501,E128,Clients!$S$2:$S$501,"Paid")&gt;0,AND(I128&lt;&gt;"",COUNTIFS(Clients!$E$2:$E$501,I128,Clients!$S$2:$S$501,"Paid")&gt;0)),"⚠ Refunded before – no free video",IF(OR(R128="Contract signed + paid",R128="Closed – No response",R128="Lost"),"",IF(R128="","Set a stage",IF(N(T128)&gt;=Settings!$S$3,"Close – 4 follow-ups sent",IF(U128="",IF(S128="","Make first contact",""),IF(TODAY()&gt;U128,"OVERDUE follow-up",IF(TODAY()=U128,"Follow up today",""))))))))</f>
        <v/>
      </c>
    </row>
    <row r="129" customFormat="false" ht="15" hidden="false" customHeight="false" outlineLevel="0" collapsed="false">
      <c r="A129" s="17"/>
      <c r="B129" s="38"/>
      <c r="C129" s="39"/>
      <c r="D129" s="17"/>
      <c r="E129" s="17"/>
      <c r="F129" s="17"/>
      <c r="G129" s="17"/>
      <c r="H129" s="17"/>
      <c r="I129" s="40"/>
      <c r="J129" s="17"/>
      <c r="K129" s="17"/>
      <c r="L129" s="17"/>
      <c r="M129" s="17"/>
      <c r="N129" s="38"/>
      <c r="O129" s="39"/>
      <c r="P129" s="41" t="str">
        <f aca="false">IF(OR(B129="",N129=""),"",ROUND(((N129+N(O129))-(B129+N(C129)))*24,1))</f>
        <v/>
      </c>
      <c r="Q129" s="17"/>
      <c r="R129" s="17"/>
      <c r="S129" s="38"/>
      <c r="T129" s="17"/>
      <c r="U129" s="42" t="str">
        <f aca="false">IF(OR(E129="",S129="",OR(R129="Contract signed + paid",R129="Closed – No response",R129="Lost"),N(T129)&gt;=Settings!$S$3),"",S129+Settings!$S$2)</f>
        <v/>
      </c>
      <c r="V129" s="38"/>
      <c r="W129" s="39"/>
      <c r="X129" s="17"/>
      <c r="Y129" s="17"/>
      <c r="Z129" s="17"/>
      <c r="AA129" s="43" t="str">
        <f aca="true">IF(OR(E129="",B129=""),"",INT(TODAY()-B129))</f>
        <v/>
      </c>
      <c r="AB129" s="44" t="str">
        <f aca="true">IF(E129="","",IF(OR(COUNTIFS(Clients!$C$2:$C$501,E129,Clients!$S$2:$S$501,"Paid")&gt;0,AND(I129&lt;&gt;"",COUNTIFS(Clients!$E$2:$E$501,I129,Clients!$S$2:$S$501,"Paid")&gt;0)),"⚠ Refunded before – no free video",IF(OR(R129="Contract signed + paid",R129="Closed – No response",R129="Lost"),"",IF(R129="","Set a stage",IF(N(T129)&gt;=Settings!$S$3,"Close – 4 follow-ups sent",IF(U129="",IF(S129="","Make first contact",""),IF(TODAY()&gt;U129,"OVERDUE follow-up",IF(TODAY()=U129,"Follow up today",""))))))))</f>
        <v/>
      </c>
    </row>
    <row r="130" customFormat="false" ht="15" hidden="false" customHeight="false" outlineLevel="0" collapsed="false">
      <c r="A130" s="17"/>
      <c r="B130" s="38"/>
      <c r="C130" s="39"/>
      <c r="D130" s="17"/>
      <c r="E130" s="17"/>
      <c r="F130" s="17"/>
      <c r="G130" s="17"/>
      <c r="H130" s="17"/>
      <c r="I130" s="40"/>
      <c r="J130" s="17"/>
      <c r="K130" s="17"/>
      <c r="L130" s="17"/>
      <c r="M130" s="17"/>
      <c r="N130" s="38"/>
      <c r="O130" s="39"/>
      <c r="P130" s="41" t="str">
        <f aca="false">IF(OR(B130="",N130=""),"",ROUND(((N130+N(O130))-(B130+N(C130)))*24,1))</f>
        <v/>
      </c>
      <c r="Q130" s="17"/>
      <c r="R130" s="17"/>
      <c r="S130" s="38"/>
      <c r="T130" s="17"/>
      <c r="U130" s="42" t="str">
        <f aca="false">IF(OR(E130="",S130="",OR(R130="Contract signed + paid",R130="Closed – No response",R130="Lost"),N(T130)&gt;=Settings!$S$3),"",S130+Settings!$S$2)</f>
        <v/>
      </c>
      <c r="V130" s="38"/>
      <c r="W130" s="39"/>
      <c r="X130" s="17"/>
      <c r="Y130" s="17"/>
      <c r="Z130" s="17"/>
      <c r="AA130" s="43" t="str">
        <f aca="true">IF(OR(E130="",B130=""),"",INT(TODAY()-B130))</f>
        <v/>
      </c>
      <c r="AB130" s="44" t="str">
        <f aca="true">IF(E130="","",IF(OR(COUNTIFS(Clients!$C$2:$C$501,E130,Clients!$S$2:$S$501,"Paid")&gt;0,AND(I130&lt;&gt;"",COUNTIFS(Clients!$E$2:$E$501,I130,Clients!$S$2:$S$501,"Paid")&gt;0)),"⚠ Refunded before – no free video",IF(OR(R130="Contract signed + paid",R130="Closed – No response",R130="Lost"),"",IF(R130="","Set a stage",IF(N(T130)&gt;=Settings!$S$3,"Close – 4 follow-ups sent",IF(U130="",IF(S130="","Make first contact",""),IF(TODAY()&gt;U130,"OVERDUE follow-up",IF(TODAY()=U130,"Follow up today",""))))))))</f>
        <v/>
      </c>
    </row>
    <row r="131" customFormat="false" ht="15" hidden="false" customHeight="false" outlineLevel="0" collapsed="false">
      <c r="A131" s="17"/>
      <c r="B131" s="38"/>
      <c r="C131" s="39"/>
      <c r="D131" s="17"/>
      <c r="E131" s="17"/>
      <c r="F131" s="17"/>
      <c r="G131" s="17"/>
      <c r="H131" s="17"/>
      <c r="I131" s="40"/>
      <c r="J131" s="17"/>
      <c r="K131" s="17"/>
      <c r="L131" s="17"/>
      <c r="M131" s="17"/>
      <c r="N131" s="38"/>
      <c r="O131" s="39"/>
      <c r="P131" s="41" t="str">
        <f aca="false">IF(OR(B131="",N131=""),"",ROUND(((N131+N(O131))-(B131+N(C131)))*24,1))</f>
        <v/>
      </c>
      <c r="Q131" s="17"/>
      <c r="R131" s="17"/>
      <c r="S131" s="38"/>
      <c r="T131" s="17"/>
      <c r="U131" s="42" t="str">
        <f aca="false">IF(OR(E131="",S131="",OR(R131="Contract signed + paid",R131="Closed – No response",R131="Lost"),N(T131)&gt;=Settings!$S$3),"",S131+Settings!$S$2)</f>
        <v/>
      </c>
      <c r="V131" s="38"/>
      <c r="W131" s="39"/>
      <c r="X131" s="17"/>
      <c r="Y131" s="17"/>
      <c r="Z131" s="17"/>
      <c r="AA131" s="43" t="str">
        <f aca="true">IF(OR(E131="",B131=""),"",INT(TODAY()-B131))</f>
        <v/>
      </c>
      <c r="AB131" s="44" t="str">
        <f aca="true">IF(E131="","",IF(OR(COUNTIFS(Clients!$C$2:$C$501,E131,Clients!$S$2:$S$501,"Paid")&gt;0,AND(I131&lt;&gt;"",COUNTIFS(Clients!$E$2:$E$501,I131,Clients!$S$2:$S$501,"Paid")&gt;0)),"⚠ Refunded before – no free video",IF(OR(R131="Contract signed + paid",R131="Closed – No response",R131="Lost"),"",IF(R131="","Set a stage",IF(N(T131)&gt;=Settings!$S$3,"Close – 4 follow-ups sent",IF(U131="",IF(S131="","Make first contact",""),IF(TODAY()&gt;U131,"OVERDUE follow-up",IF(TODAY()=U131,"Follow up today",""))))))))</f>
        <v/>
      </c>
    </row>
    <row r="132" customFormat="false" ht="15" hidden="false" customHeight="false" outlineLevel="0" collapsed="false">
      <c r="A132" s="17"/>
      <c r="B132" s="38"/>
      <c r="C132" s="39"/>
      <c r="D132" s="17"/>
      <c r="E132" s="17"/>
      <c r="F132" s="17"/>
      <c r="G132" s="17"/>
      <c r="H132" s="17"/>
      <c r="I132" s="40"/>
      <c r="J132" s="17"/>
      <c r="K132" s="17"/>
      <c r="L132" s="17"/>
      <c r="M132" s="17"/>
      <c r="N132" s="38"/>
      <c r="O132" s="39"/>
      <c r="P132" s="41" t="str">
        <f aca="false">IF(OR(B132="",N132=""),"",ROUND(((N132+N(O132))-(B132+N(C132)))*24,1))</f>
        <v/>
      </c>
      <c r="Q132" s="17"/>
      <c r="R132" s="17"/>
      <c r="S132" s="38"/>
      <c r="T132" s="17"/>
      <c r="U132" s="42" t="str">
        <f aca="false">IF(OR(E132="",S132="",OR(R132="Contract signed + paid",R132="Closed – No response",R132="Lost"),N(T132)&gt;=Settings!$S$3),"",S132+Settings!$S$2)</f>
        <v/>
      </c>
      <c r="V132" s="38"/>
      <c r="W132" s="39"/>
      <c r="X132" s="17"/>
      <c r="Y132" s="17"/>
      <c r="Z132" s="17"/>
      <c r="AA132" s="43" t="str">
        <f aca="true">IF(OR(E132="",B132=""),"",INT(TODAY()-B132))</f>
        <v/>
      </c>
      <c r="AB132" s="44" t="str">
        <f aca="true">IF(E132="","",IF(OR(COUNTIFS(Clients!$C$2:$C$501,E132,Clients!$S$2:$S$501,"Paid")&gt;0,AND(I132&lt;&gt;"",COUNTIFS(Clients!$E$2:$E$501,I132,Clients!$S$2:$S$501,"Paid")&gt;0)),"⚠ Refunded before – no free video",IF(OR(R132="Contract signed + paid",R132="Closed – No response",R132="Lost"),"",IF(R132="","Set a stage",IF(N(T132)&gt;=Settings!$S$3,"Close – 4 follow-ups sent",IF(U132="",IF(S132="","Make first contact",""),IF(TODAY()&gt;U132,"OVERDUE follow-up",IF(TODAY()=U132,"Follow up today",""))))))))</f>
        <v/>
      </c>
    </row>
    <row r="133" customFormat="false" ht="15" hidden="false" customHeight="false" outlineLevel="0" collapsed="false">
      <c r="A133" s="17"/>
      <c r="B133" s="38"/>
      <c r="C133" s="39"/>
      <c r="D133" s="17"/>
      <c r="E133" s="17"/>
      <c r="F133" s="17"/>
      <c r="G133" s="17"/>
      <c r="H133" s="17"/>
      <c r="I133" s="40"/>
      <c r="J133" s="17"/>
      <c r="K133" s="17"/>
      <c r="L133" s="17"/>
      <c r="M133" s="17"/>
      <c r="N133" s="38"/>
      <c r="O133" s="39"/>
      <c r="P133" s="41" t="str">
        <f aca="false">IF(OR(B133="",N133=""),"",ROUND(((N133+N(O133))-(B133+N(C133)))*24,1))</f>
        <v/>
      </c>
      <c r="Q133" s="17"/>
      <c r="R133" s="17"/>
      <c r="S133" s="38"/>
      <c r="T133" s="17"/>
      <c r="U133" s="42" t="str">
        <f aca="false">IF(OR(E133="",S133="",OR(R133="Contract signed + paid",R133="Closed – No response",R133="Lost"),N(T133)&gt;=Settings!$S$3),"",S133+Settings!$S$2)</f>
        <v/>
      </c>
      <c r="V133" s="38"/>
      <c r="W133" s="39"/>
      <c r="X133" s="17"/>
      <c r="Y133" s="17"/>
      <c r="Z133" s="17"/>
      <c r="AA133" s="43" t="str">
        <f aca="true">IF(OR(E133="",B133=""),"",INT(TODAY()-B133))</f>
        <v/>
      </c>
      <c r="AB133" s="44" t="str">
        <f aca="true">IF(E133="","",IF(OR(COUNTIFS(Clients!$C$2:$C$501,E133,Clients!$S$2:$S$501,"Paid")&gt;0,AND(I133&lt;&gt;"",COUNTIFS(Clients!$E$2:$E$501,I133,Clients!$S$2:$S$501,"Paid")&gt;0)),"⚠ Refunded before – no free video",IF(OR(R133="Contract signed + paid",R133="Closed – No response",R133="Lost"),"",IF(R133="","Set a stage",IF(N(T133)&gt;=Settings!$S$3,"Close – 4 follow-ups sent",IF(U133="",IF(S133="","Make first contact",""),IF(TODAY()&gt;U133,"OVERDUE follow-up",IF(TODAY()=U133,"Follow up today",""))))))))</f>
        <v/>
      </c>
    </row>
    <row r="134" customFormat="false" ht="15" hidden="false" customHeight="false" outlineLevel="0" collapsed="false">
      <c r="A134" s="17"/>
      <c r="B134" s="38"/>
      <c r="C134" s="39"/>
      <c r="D134" s="17"/>
      <c r="E134" s="17"/>
      <c r="F134" s="17"/>
      <c r="G134" s="17"/>
      <c r="H134" s="17"/>
      <c r="I134" s="40"/>
      <c r="J134" s="17"/>
      <c r="K134" s="17"/>
      <c r="L134" s="17"/>
      <c r="M134" s="17"/>
      <c r="N134" s="38"/>
      <c r="O134" s="39"/>
      <c r="P134" s="41" t="str">
        <f aca="false">IF(OR(B134="",N134=""),"",ROUND(((N134+N(O134))-(B134+N(C134)))*24,1))</f>
        <v/>
      </c>
      <c r="Q134" s="17"/>
      <c r="R134" s="17"/>
      <c r="S134" s="38"/>
      <c r="T134" s="17"/>
      <c r="U134" s="42" t="str">
        <f aca="false">IF(OR(E134="",S134="",OR(R134="Contract signed + paid",R134="Closed – No response",R134="Lost"),N(T134)&gt;=Settings!$S$3),"",S134+Settings!$S$2)</f>
        <v/>
      </c>
      <c r="V134" s="38"/>
      <c r="W134" s="39"/>
      <c r="X134" s="17"/>
      <c r="Y134" s="17"/>
      <c r="Z134" s="17"/>
      <c r="AA134" s="43" t="str">
        <f aca="true">IF(OR(E134="",B134=""),"",INT(TODAY()-B134))</f>
        <v/>
      </c>
      <c r="AB134" s="44" t="str">
        <f aca="true">IF(E134="","",IF(OR(COUNTIFS(Clients!$C$2:$C$501,E134,Clients!$S$2:$S$501,"Paid")&gt;0,AND(I134&lt;&gt;"",COUNTIFS(Clients!$E$2:$E$501,I134,Clients!$S$2:$S$501,"Paid")&gt;0)),"⚠ Refunded before – no free video",IF(OR(R134="Contract signed + paid",R134="Closed – No response",R134="Lost"),"",IF(R134="","Set a stage",IF(N(T134)&gt;=Settings!$S$3,"Close – 4 follow-ups sent",IF(U134="",IF(S134="","Make first contact",""),IF(TODAY()&gt;U134,"OVERDUE follow-up",IF(TODAY()=U134,"Follow up today",""))))))))</f>
        <v/>
      </c>
    </row>
    <row r="135" customFormat="false" ht="15" hidden="false" customHeight="false" outlineLevel="0" collapsed="false">
      <c r="A135" s="17"/>
      <c r="B135" s="38"/>
      <c r="C135" s="39"/>
      <c r="D135" s="17"/>
      <c r="E135" s="17"/>
      <c r="F135" s="17"/>
      <c r="G135" s="17"/>
      <c r="H135" s="17"/>
      <c r="I135" s="40"/>
      <c r="J135" s="17"/>
      <c r="K135" s="17"/>
      <c r="L135" s="17"/>
      <c r="M135" s="17"/>
      <c r="N135" s="38"/>
      <c r="O135" s="39"/>
      <c r="P135" s="41" t="str">
        <f aca="false">IF(OR(B135="",N135=""),"",ROUND(((N135+N(O135))-(B135+N(C135)))*24,1))</f>
        <v/>
      </c>
      <c r="Q135" s="17"/>
      <c r="R135" s="17"/>
      <c r="S135" s="38"/>
      <c r="T135" s="17"/>
      <c r="U135" s="42" t="str">
        <f aca="false">IF(OR(E135="",S135="",OR(R135="Contract signed + paid",R135="Closed – No response",R135="Lost"),N(T135)&gt;=Settings!$S$3),"",S135+Settings!$S$2)</f>
        <v/>
      </c>
      <c r="V135" s="38"/>
      <c r="W135" s="39"/>
      <c r="X135" s="17"/>
      <c r="Y135" s="17"/>
      <c r="Z135" s="17"/>
      <c r="AA135" s="43" t="str">
        <f aca="true">IF(OR(E135="",B135=""),"",INT(TODAY()-B135))</f>
        <v/>
      </c>
      <c r="AB135" s="44" t="str">
        <f aca="true">IF(E135="","",IF(OR(COUNTIFS(Clients!$C$2:$C$501,E135,Clients!$S$2:$S$501,"Paid")&gt;0,AND(I135&lt;&gt;"",COUNTIFS(Clients!$E$2:$E$501,I135,Clients!$S$2:$S$501,"Paid")&gt;0)),"⚠ Refunded before – no free video",IF(OR(R135="Contract signed + paid",R135="Closed – No response",R135="Lost"),"",IF(R135="","Set a stage",IF(N(T135)&gt;=Settings!$S$3,"Close – 4 follow-ups sent",IF(U135="",IF(S135="","Make first contact",""),IF(TODAY()&gt;U135,"OVERDUE follow-up",IF(TODAY()=U135,"Follow up today",""))))))))</f>
        <v/>
      </c>
    </row>
    <row r="136" customFormat="false" ht="15" hidden="false" customHeight="false" outlineLevel="0" collapsed="false">
      <c r="A136" s="17"/>
      <c r="B136" s="38"/>
      <c r="C136" s="39"/>
      <c r="D136" s="17"/>
      <c r="E136" s="17"/>
      <c r="F136" s="17"/>
      <c r="G136" s="17"/>
      <c r="H136" s="17"/>
      <c r="I136" s="40"/>
      <c r="J136" s="17"/>
      <c r="K136" s="17"/>
      <c r="L136" s="17"/>
      <c r="M136" s="17"/>
      <c r="N136" s="38"/>
      <c r="O136" s="39"/>
      <c r="P136" s="41" t="str">
        <f aca="false">IF(OR(B136="",N136=""),"",ROUND(((N136+N(O136))-(B136+N(C136)))*24,1))</f>
        <v/>
      </c>
      <c r="Q136" s="17"/>
      <c r="R136" s="17"/>
      <c r="S136" s="38"/>
      <c r="T136" s="17"/>
      <c r="U136" s="42" t="str">
        <f aca="false">IF(OR(E136="",S136="",OR(R136="Contract signed + paid",R136="Closed – No response",R136="Lost"),N(T136)&gt;=Settings!$S$3),"",S136+Settings!$S$2)</f>
        <v/>
      </c>
      <c r="V136" s="38"/>
      <c r="W136" s="39"/>
      <c r="X136" s="17"/>
      <c r="Y136" s="17"/>
      <c r="Z136" s="17"/>
      <c r="AA136" s="43" t="str">
        <f aca="true">IF(OR(E136="",B136=""),"",INT(TODAY()-B136))</f>
        <v/>
      </c>
      <c r="AB136" s="44" t="str">
        <f aca="true">IF(E136="","",IF(OR(COUNTIFS(Clients!$C$2:$C$501,E136,Clients!$S$2:$S$501,"Paid")&gt;0,AND(I136&lt;&gt;"",COUNTIFS(Clients!$E$2:$E$501,I136,Clients!$S$2:$S$501,"Paid")&gt;0)),"⚠ Refunded before – no free video",IF(OR(R136="Contract signed + paid",R136="Closed – No response",R136="Lost"),"",IF(R136="","Set a stage",IF(N(T136)&gt;=Settings!$S$3,"Close – 4 follow-ups sent",IF(U136="",IF(S136="","Make first contact",""),IF(TODAY()&gt;U136,"OVERDUE follow-up",IF(TODAY()=U136,"Follow up today",""))))))))</f>
        <v/>
      </c>
    </row>
    <row r="137" customFormat="false" ht="15" hidden="false" customHeight="false" outlineLevel="0" collapsed="false">
      <c r="A137" s="17"/>
      <c r="B137" s="38"/>
      <c r="C137" s="39"/>
      <c r="D137" s="17"/>
      <c r="E137" s="17"/>
      <c r="F137" s="17"/>
      <c r="G137" s="17"/>
      <c r="H137" s="17"/>
      <c r="I137" s="40"/>
      <c r="J137" s="17"/>
      <c r="K137" s="17"/>
      <c r="L137" s="17"/>
      <c r="M137" s="17"/>
      <c r="N137" s="38"/>
      <c r="O137" s="39"/>
      <c r="P137" s="41" t="str">
        <f aca="false">IF(OR(B137="",N137=""),"",ROUND(((N137+N(O137))-(B137+N(C137)))*24,1))</f>
        <v/>
      </c>
      <c r="Q137" s="17"/>
      <c r="R137" s="17"/>
      <c r="S137" s="38"/>
      <c r="T137" s="17"/>
      <c r="U137" s="42" t="str">
        <f aca="false">IF(OR(E137="",S137="",OR(R137="Contract signed + paid",R137="Closed – No response",R137="Lost"),N(T137)&gt;=Settings!$S$3),"",S137+Settings!$S$2)</f>
        <v/>
      </c>
      <c r="V137" s="38"/>
      <c r="W137" s="39"/>
      <c r="X137" s="17"/>
      <c r="Y137" s="17"/>
      <c r="Z137" s="17"/>
      <c r="AA137" s="43" t="str">
        <f aca="true">IF(OR(E137="",B137=""),"",INT(TODAY()-B137))</f>
        <v/>
      </c>
      <c r="AB137" s="44" t="str">
        <f aca="true">IF(E137="","",IF(OR(COUNTIFS(Clients!$C$2:$C$501,E137,Clients!$S$2:$S$501,"Paid")&gt;0,AND(I137&lt;&gt;"",COUNTIFS(Clients!$E$2:$E$501,I137,Clients!$S$2:$S$501,"Paid")&gt;0)),"⚠ Refunded before – no free video",IF(OR(R137="Contract signed + paid",R137="Closed – No response",R137="Lost"),"",IF(R137="","Set a stage",IF(N(T137)&gt;=Settings!$S$3,"Close – 4 follow-ups sent",IF(U137="",IF(S137="","Make first contact",""),IF(TODAY()&gt;U137,"OVERDUE follow-up",IF(TODAY()=U137,"Follow up today",""))))))))</f>
        <v/>
      </c>
    </row>
    <row r="138" customFormat="false" ht="15" hidden="false" customHeight="false" outlineLevel="0" collapsed="false">
      <c r="A138" s="17"/>
      <c r="B138" s="38"/>
      <c r="C138" s="39"/>
      <c r="D138" s="17"/>
      <c r="E138" s="17"/>
      <c r="F138" s="17"/>
      <c r="G138" s="17"/>
      <c r="H138" s="17"/>
      <c r="I138" s="40"/>
      <c r="J138" s="17"/>
      <c r="K138" s="17"/>
      <c r="L138" s="17"/>
      <c r="M138" s="17"/>
      <c r="N138" s="38"/>
      <c r="O138" s="39"/>
      <c r="P138" s="41" t="str">
        <f aca="false">IF(OR(B138="",N138=""),"",ROUND(((N138+N(O138))-(B138+N(C138)))*24,1))</f>
        <v/>
      </c>
      <c r="Q138" s="17"/>
      <c r="R138" s="17"/>
      <c r="S138" s="38"/>
      <c r="T138" s="17"/>
      <c r="U138" s="42" t="str">
        <f aca="false">IF(OR(E138="",S138="",OR(R138="Contract signed + paid",R138="Closed – No response",R138="Lost"),N(T138)&gt;=Settings!$S$3),"",S138+Settings!$S$2)</f>
        <v/>
      </c>
      <c r="V138" s="38"/>
      <c r="W138" s="39"/>
      <c r="X138" s="17"/>
      <c r="Y138" s="17"/>
      <c r="Z138" s="17"/>
      <c r="AA138" s="43" t="str">
        <f aca="true">IF(OR(E138="",B138=""),"",INT(TODAY()-B138))</f>
        <v/>
      </c>
      <c r="AB138" s="44" t="str">
        <f aca="true">IF(E138="","",IF(OR(COUNTIFS(Clients!$C$2:$C$501,E138,Clients!$S$2:$S$501,"Paid")&gt;0,AND(I138&lt;&gt;"",COUNTIFS(Clients!$E$2:$E$501,I138,Clients!$S$2:$S$501,"Paid")&gt;0)),"⚠ Refunded before – no free video",IF(OR(R138="Contract signed + paid",R138="Closed – No response",R138="Lost"),"",IF(R138="","Set a stage",IF(N(T138)&gt;=Settings!$S$3,"Close – 4 follow-ups sent",IF(U138="",IF(S138="","Make first contact",""),IF(TODAY()&gt;U138,"OVERDUE follow-up",IF(TODAY()=U138,"Follow up today",""))))))))</f>
        <v/>
      </c>
    </row>
    <row r="139" customFormat="false" ht="15" hidden="false" customHeight="false" outlineLevel="0" collapsed="false">
      <c r="A139" s="17"/>
      <c r="B139" s="38"/>
      <c r="C139" s="39"/>
      <c r="D139" s="17"/>
      <c r="E139" s="17"/>
      <c r="F139" s="17"/>
      <c r="G139" s="17"/>
      <c r="H139" s="17"/>
      <c r="I139" s="40"/>
      <c r="J139" s="17"/>
      <c r="K139" s="17"/>
      <c r="L139" s="17"/>
      <c r="M139" s="17"/>
      <c r="N139" s="38"/>
      <c r="O139" s="39"/>
      <c r="P139" s="41" t="str">
        <f aca="false">IF(OR(B139="",N139=""),"",ROUND(((N139+N(O139))-(B139+N(C139)))*24,1))</f>
        <v/>
      </c>
      <c r="Q139" s="17"/>
      <c r="R139" s="17"/>
      <c r="S139" s="38"/>
      <c r="T139" s="17"/>
      <c r="U139" s="42" t="str">
        <f aca="false">IF(OR(E139="",S139="",OR(R139="Contract signed + paid",R139="Closed – No response",R139="Lost"),N(T139)&gt;=Settings!$S$3),"",S139+Settings!$S$2)</f>
        <v/>
      </c>
      <c r="V139" s="38"/>
      <c r="W139" s="39"/>
      <c r="X139" s="17"/>
      <c r="Y139" s="17"/>
      <c r="Z139" s="17"/>
      <c r="AA139" s="43" t="str">
        <f aca="true">IF(OR(E139="",B139=""),"",INT(TODAY()-B139))</f>
        <v/>
      </c>
      <c r="AB139" s="44" t="str">
        <f aca="true">IF(E139="","",IF(OR(COUNTIFS(Clients!$C$2:$C$501,E139,Clients!$S$2:$S$501,"Paid")&gt;0,AND(I139&lt;&gt;"",COUNTIFS(Clients!$E$2:$E$501,I139,Clients!$S$2:$S$501,"Paid")&gt;0)),"⚠ Refunded before – no free video",IF(OR(R139="Contract signed + paid",R139="Closed – No response",R139="Lost"),"",IF(R139="","Set a stage",IF(N(T139)&gt;=Settings!$S$3,"Close – 4 follow-ups sent",IF(U139="",IF(S139="","Make first contact",""),IF(TODAY()&gt;U139,"OVERDUE follow-up",IF(TODAY()=U139,"Follow up today",""))))))))</f>
        <v/>
      </c>
    </row>
    <row r="140" customFormat="false" ht="15" hidden="false" customHeight="false" outlineLevel="0" collapsed="false">
      <c r="A140" s="17"/>
      <c r="B140" s="38"/>
      <c r="C140" s="39"/>
      <c r="D140" s="17"/>
      <c r="E140" s="17"/>
      <c r="F140" s="17"/>
      <c r="G140" s="17"/>
      <c r="H140" s="17"/>
      <c r="I140" s="40"/>
      <c r="J140" s="17"/>
      <c r="K140" s="17"/>
      <c r="L140" s="17"/>
      <c r="M140" s="17"/>
      <c r="N140" s="38"/>
      <c r="O140" s="39"/>
      <c r="P140" s="41" t="str">
        <f aca="false">IF(OR(B140="",N140=""),"",ROUND(((N140+N(O140))-(B140+N(C140)))*24,1))</f>
        <v/>
      </c>
      <c r="Q140" s="17"/>
      <c r="R140" s="17"/>
      <c r="S140" s="38"/>
      <c r="T140" s="17"/>
      <c r="U140" s="42" t="str">
        <f aca="false">IF(OR(E140="",S140="",OR(R140="Contract signed + paid",R140="Closed – No response",R140="Lost"),N(T140)&gt;=Settings!$S$3),"",S140+Settings!$S$2)</f>
        <v/>
      </c>
      <c r="V140" s="38"/>
      <c r="W140" s="39"/>
      <c r="X140" s="17"/>
      <c r="Y140" s="17"/>
      <c r="Z140" s="17"/>
      <c r="AA140" s="43" t="str">
        <f aca="true">IF(OR(E140="",B140=""),"",INT(TODAY()-B140))</f>
        <v/>
      </c>
      <c r="AB140" s="44" t="str">
        <f aca="true">IF(E140="","",IF(OR(COUNTIFS(Clients!$C$2:$C$501,E140,Clients!$S$2:$S$501,"Paid")&gt;0,AND(I140&lt;&gt;"",COUNTIFS(Clients!$E$2:$E$501,I140,Clients!$S$2:$S$501,"Paid")&gt;0)),"⚠ Refunded before – no free video",IF(OR(R140="Contract signed + paid",R140="Closed – No response",R140="Lost"),"",IF(R140="","Set a stage",IF(N(T140)&gt;=Settings!$S$3,"Close – 4 follow-ups sent",IF(U140="",IF(S140="","Make first contact",""),IF(TODAY()&gt;U140,"OVERDUE follow-up",IF(TODAY()=U140,"Follow up today",""))))))))</f>
        <v/>
      </c>
    </row>
    <row r="141" customFormat="false" ht="15" hidden="false" customHeight="false" outlineLevel="0" collapsed="false">
      <c r="A141" s="17"/>
      <c r="B141" s="38"/>
      <c r="C141" s="39"/>
      <c r="D141" s="17"/>
      <c r="E141" s="17"/>
      <c r="F141" s="17"/>
      <c r="G141" s="17"/>
      <c r="H141" s="17"/>
      <c r="I141" s="40"/>
      <c r="J141" s="17"/>
      <c r="K141" s="17"/>
      <c r="L141" s="17"/>
      <c r="M141" s="17"/>
      <c r="N141" s="38"/>
      <c r="O141" s="39"/>
      <c r="P141" s="41" t="str">
        <f aca="false">IF(OR(B141="",N141=""),"",ROUND(((N141+N(O141))-(B141+N(C141)))*24,1))</f>
        <v/>
      </c>
      <c r="Q141" s="17"/>
      <c r="R141" s="17"/>
      <c r="S141" s="38"/>
      <c r="T141" s="17"/>
      <c r="U141" s="42" t="str">
        <f aca="false">IF(OR(E141="",S141="",OR(R141="Contract signed + paid",R141="Closed – No response",R141="Lost"),N(T141)&gt;=Settings!$S$3),"",S141+Settings!$S$2)</f>
        <v/>
      </c>
      <c r="V141" s="38"/>
      <c r="W141" s="39"/>
      <c r="X141" s="17"/>
      <c r="Y141" s="17"/>
      <c r="Z141" s="17"/>
      <c r="AA141" s="43" t="str">
        <f aca="true">IF(OR(E141="",B141=""),"",INT(TODAY()-B141))</f>
        <v/>
      </c>
      <c r="AB141" s="44" t="str">
        <f aca="true">IF(E141="","",IF(OR(COUNTIFS(Clients!$C$2:$C$501,E141,Clients!$S$2:$S$501,"Paid")&gt;0,AND(I141&lt;&gt;"",COUNTIFS(Clients!$E$2:$E$501,I141,Clients!$S$2:$S$501,"Paid")&gt;0)),"⚠ Refunded before – no free video",IF(OR(R141="Contract signed + paid",R141="Closed – No response",R141="Lost"),"",IF(R141="","Set a stage",IF(N(T141)&gt;=Settings!$S$3,"Close – 4 follow-ups sent",IF(U141="",IF(S141="","Make first contact",""),IF(TODAY()&gt;U141,"OVERDUE follow-up",IF(TODAY()=U141,"Follow up today",""))))))))</f>
        <v/>
      </c>
    </row>
    <row r="142" customFormat="false" ht="15" hidden="false" customHeight="false" outlineLevel="0" collapsed="false">
      <c r="A142" s="17"/>
      <c r="B142" s="38"/>
      <c r="C142" s="39"/>
      <c r="D142" s="17"/>
      <c r="E142" s="17"/>
      <c r="F142" s="17"/>
      <c r="G142" s="17"/>
      <c r="H142" s="17"/>
      <c r="I142" s="40"/>
      <c r="J142" s="17"/>
      <c r="K142" s="17"/>
      <c r="L142" s="17"/>
      <c r="M142" s="17"/>
      <c r="N142" s="38"/>
      <c r="O142" s="39"/>
      <c r="P142" s="41" t="str">
        <f aca="false">IF(OR(B142="",N142=""),"",ROUND(((N142+N(O142))-(B142+N(C142)))*24,1))</f>
        <v/>
      </c>
      <c r="Q142" s="17"/>
      <c r="R142" s="17"/>
      <c r="S142" s="38"/>
      <c r="T142" s="17"/>
      <c r="U142" s="42" t="str">
        <f aca="false">IF(OR(E142="",S142="",OR(R142="Contract signed + paid",R142="Closed – No response",R142="Lost"),N(T142)&gt;=Settings!$S$3),"",S142+Settings!$S$2)</f>
        <v/>
      </c>
      <c r="V142" s="38"/>
      <c r="W142" s="39"/>
      <c r="X142" s="17"/>
      <c r="Y142" s="17"/>
      <c r="Z142" s="17"/>
      <c r="AA142" s="43" t="str">
        <f aca="true">IF(OR(E142="",B142=""),"",INT(TODAY()-B142))</f>
        <v/>
      </c>
      <c r="AB142" s="44" t="str">
        <f aca="true">IF(E142="","",IF(OR(COUNTIFS(Clients!$C$2:$C$501,E142,Clients!$S$2:$S$501,"Paid")&gt;0,AND(I142&lt;&gt;"",COUNTIFS(Clients!$E$2:$E$501,I142,Clients!$S$2:$S$501,"Paid")&gt;0)),"⚠ Refunded before – no free video",IF(OR(R142="Contract signed + paid",R142="Closed – No response",R142="Lost"),"",IF(R142="","Set a stage",IF(N(T142)&gt;=Settings!$S$3,"Close – 4 follow-ups sent",IF(U142="",IF(S142="","Make first contact",""),IF(TODAY()&gt;U142,"OVERDUE follow-up",IF(TODAY()=U142,"Follow up today",""))))))))</f>
        <v/>
      </c>
    </row>
    <row r="143" customFormat="false" ht="15" hidden="false" customHeight="false" outlineLevel="0" collapsed="false">
      <c r="A143" s="17"/>
      <c r="B143" s="38"/>
      <c r="C143" s="39"/>
      <c r="D143" s="17"/>
      <c r="E143" s="17"/>
      <c r="F143" s="17"/>
      <c r="G143" s="17"/>
      <c r="H143" s="17"/>
      <c r="I143" s="40"/>
      <c r="J143" s="17"/>
      <c r="K143" s="17"/>
      <c r="L143" s="17"/>
      <c r="M143" s="17"/>
      <c r="N143" s="38"/>
      <c r="O143" s="39"/>
      <c r="P143" s="41" t="str">
        <f aca="false">IF(OR(B143="",N143=""),"",ROUND(((N143+N(O143))-(B143+N(C143)))*24,1))</f>
        <v/>
      </c>
      <c r="Q143" s="17"/>
      <c r="R143" s="17"/>
      <c r="S143" s="38"/>
      <c r="T143" s="17"/>
      <c r="U143" s="42" t="str">
        <f aca="false">IF(OR(E143="",S143="",OR(R143="Contract signed + paid",R143="Closed – No response",R143="Lost"),N(T143)&gt;=Settings!$S$3),"",S143+Settings!$S$2)</f>
        <v/>
      </c>
      <c r="V143" s="38"/>
      <c r="W143" s="39"/>
      <c r="X143" s="17"/>
      <c r="Y143" s="17"/>
      <c r="Z143" s="17"/>
      <c r="AA143" s="43" t="str">
        <f aca="true">IF(OR(E143="",B143=""),"",INT(TODAY()-B143))</f>
        <v/>
      </c>
      <c r="AB143" s="44" t="str">
        <f aca="true">IF(E143="","",IF(OR(COUNTIFS(Clients!$C$2:$C$501,E143,Clients!$S$2:$S$501,"Paid")&gt;0,AND(I143&lt;&gt;"",COUNTIFS(Clients!$E$2:$E$501,I143,Clients!$S$2:$S$501,"Paid")&gt;0)),"⚠ Refunded before – no free video",IF(OR(R143="Contract signed + paid",R143="Closed – No response",R143="Lost"),"",IF(R143="","Set a stage",IF(N(T143)&gt;=Settings!$S$3,"Close – 4 follow-ups sent",IF(U143="",IF(S143="","Make first contact",""),IF(TODAY()&gt;U143,"OVERDUE follow-up",IF(TODAY()=U143,"Follow up today",""))))))))</f>
        <v/>
      </c>
    </row>
    <row r="144" customFormat="false" ht="15" hidden="false" customHeight="false" outlineLevel="0" collapsed="false">
      <c r="A144" s="17"/>
      <c r="B144" s="38"/>
      <c r="C144" s="39"/>
      <c r="D144" s="17"/>
      <c r="E144" s="17"/>
      <c r="F144" s="17"/>
      <c r="G144" s="17"/>
      <c r="H144" s="17"/>
      <c r="I144" s="40"/>
      <c r="J144" s="17"/>
      <c r="K144" s="17"/>
      <c r="L144" s="17"/>
      <c r="M144" s="17"/>
      <c r="N144" s="38"/>
      <c r="O144" s="39"/>
      <c r="P144" s="41" t="str">
        <f aca="false">IF(OR(B144="",N144=""),"",ROUND(((N144+N(O144))-(B144+N(C144)))*24,1))</f>
        <v/>
      </c>
      <c r="Q144" s="17"/>
      <c r="R144" s="17"/>
      <c r="S144" s="38"/>
      <c r="T144" s="17"/>
      <c r="U144" s="42" t="str">
        <f aca="false">IF(OR(E144="",S144="",OR(R144="Contract signed + paid",R144="Closed – No response",R144="Lost"),N(T144)&gt;=Settings!$S$3),"",S144+Settings!$S$2)</f>
        <v/>
      </c>
      <c r="V144" s="38"/>
      <c r="W144" s="39"/>
      <c r="X144" s="17"/>
      <c r="Y144" s="17"/>
      <c r="Z144" s="17"/>
      <c r="AA144" s="43" t="str">
        <f aca="true">IF(OR(E144="",B144=""),"",INT(TODAY()-B144))</f>
        <v/>
      </c>
      <c r="AB144" s="44" t="str">
        <f aca="true">IF(E144="","",IF(OR(COUNTIFS(Clients!$C$2:$C$501,E144,Clients!$S$2:$S$501,"Paid")&gt;0,AND(I144&lt;&gt;"",COUNTIFS(Clients!$E$2:$E$501,I144,Clients!$S$2:$S$501,"Paid")&gt;0)),"⚠ Refunded before – no free video",IF(OR(R144="Contract signed + paid",R144="Closed – No response",R144="Lost"),"",IF(R144="","Set a stage",IF(N(T144)&gt;=Settings!$S$3,"Close – 4 follow-ups sent",IF(U144="",IF(S144="","Make first contact",""),IF(TODAY()&gt;U144,"OVERDUE follow-up",IF(TODAY()=U144,"Follow up today",""))))))))</f>
        <v/>
      </c>
    </row>
    <row r="145" customFormat="false" ht="15" hidden="false" customHeight="false" outlineLevel="0" collapsed="false">
      <c r="A145" s="17"/>
      <c r="B145" s="38"/>
      <c r="C145" s="39"/>
      <c r="D145" s="17"/>
      <c r="E145" s="17"/>
      <c r="F145" s="17"/>
      <c r="G145" s="17"/>
      <c r="H145" s="17"/>
      <c r="I145" s="40"/>
      <c r="J145" s="17"/>
      <c r="K145" s="17"/>
      <c r="L145" s="17"/>
      <c r="M145" s="17"/>
      <c r="N145" s="38"/>
      <c r="O145" s="39"/>
      <c r="P145" s="41" t="str">
        <f aca="false">IF(OR(B145="",N145=""),"",ROUND(((N145+N(O145))-(B145+N(C145)))*24,1))</f>
        <v/>
      </c>
      <c r="Q145" s="17"/>
      <c r="R145" s="17"/>
      <c r="S145" s="38"/>
      <c r="T145" s="17"/>
      <c r="U145" s="42" t="str">
        <f aca="false">IF(OR(E145="",S145="",OR(R145="Contract signed + paid",R145="Closed – No response",R145="Lost"),N(T145)&gt;=Settings!$S$3),"",S145+Settings!$S$2)</f>
        <v/>
      </c>
      <c r="V145" s="38"/>
      <c r="W145" s="39"/>
      <c r="X145" s="17"/>
      <c r="Y145" s="17"/>
      <c r="Z145" s="17"/>
      <c r="AA145" s="43" t="str">
        <f aca="true">IF(OR(E145="",B145=""),"",INT(TODAY()-B145))</f>
        <v/>
      </c>
      <c r="AB145" s="44" t="str">
        <f aca="true">IF(E145="","",IF(OR(COUNTIFS(Clients!$C$2:$C$501,E145,Clients!$S$2:$S$501,"Paid")&gt;0,AND(I145&lt;&gt;"",COUNTIFS(Clients!$E$2:$E$501,I145,Clients!$S$2:$S$501,"Paid")&gt;0)),"⚠ Refunded before – no free video",IF(OR(R145="Contract signed + paid",R145="Closed – No response",R145="Lost"),"",IF(R145="","Set a stage",IF(N(T145)&gt;=Settings!$S$3,"Close – 4 follow-ups sent",IF(U145="",IF(S145="","Make first contact",""),IF(TODAY()&gt;U145,"OVERDUE follow-up",IF(TODAY()=U145,"Follow up today",""))))))))</f>
        <v/>
      </c>
    </row>
    <row r="146" customFormat="false" ht="15" hidden="false" customHeight="false" outlineLevel="0" collapsed="false">
      <c r="A146" s="17"/>
      <c r="B146" s="38"/>
      <c r="C146" s="39"/>
      <c r="D146" s="17"/>
      <c r="E146" s="17"/>
      <c r="F146" s="17"/>
      <c r="G146" s="17"/>
      <c r="H146" s="17"/>
      <c r="I146" s="40"/>
      <c r="J146" s="17"/>
      <c r="K146" s="17"/>
      <c r="L146" s="17"/>
      <c r="M146" s="17"/>
      <c r="N146" s="38"/>
      <c r="O146" s="39"/>
      <c r="P146" s="41" t="str">
        <f aca="false">IF(OR(B146="",N146=""),"",ROUND(((N146+N(O146))-(B146+N(C146)))*24,1))</f>
        <v/>
      </c>
      <c r="Q146" s="17"/>
      <c r="R146" s="17"/>
      <c r="S146" s="38"/>
      <c r="T146" s="17"/>
      <c r="U146" s="42" t="str">
        <f aca="false">IF(OR(E146="",S146="",OR(R146="Contract signed + paid",R146="Closed – No response",R146="Lost"),N(T146)&gt;=Settings!$S$3),"",S146+Settings!$S$2)</f>
        <v/>
      </c>
      <c r="V146" s="38"/>
      <c r="W146" s="39"/>
      <c r="X146" s="17"/>
      <c r="Y146" s="17"/>
      <c r="Z146" s="17"/>
      <c r="AA146" s="43" t="str">
        <f aca="true">IF(OR(E146="",B146=""),"",INT(TODAY()-B146))</f>
        <v/>
      </c>
      <c r="AB146" s="44" t="str">
        <f aca="true">IF(E146="","",IF(OR(COUNTIFS(Clients!$C$2:$C$501,E146,Clients!$S$2:$S$501,"Paid")&gt;0,AND(I146&lt;&gt;"",COUNTIFS(Clients!$E$2:$E$501,I146,Clients!$S$2:$S$501,"Paid")&gt;0)),"⚠ Refunded before – no free video",IF(OR(R146="Contract signed + paid",R146="Closed – No response",R146="Lost"),"",IF(R146="","Set a stage",IF(N(T146)&gt;=Settings!$S$3,"Close – 4 follow-ups sent",IF(U146="",IF(S146="","Make first contact",""),IF(TODAY()&gt;U146,"OVERDUE follow-up",IF(TODAY()=U146,"Follow up today",""))))))))</f>
        <v/>
      </c>
    </row>
    <row r="147" customFormat="false" ht="15" hidden="false" customHeight="false" outlineLevel="0" collapsed="false">
      <c r="A147" s="17"/>
      <c r="B147" s="38"/>
      <c r="C147" s="39"/>
      <c r="D147" s="17"/>
      <c r="E147" s="17"/>
      <c r="F147" s="17"/>
      <c r="G147" s="17"/>
      <c r="H147" s="17"/>
      <c r="I147" s="40"/>
      <c r="J147" s="17"/>
      <c r="K147" s="17"/>
      <c r="L147" s="17"/>
      <c r="M147" s="17"/>
      <c r="N147" s="38"/>
      <c r="O147" s="39"/>
      <c r="P147" s="41" t="str">
        <f aca="false">IF(OR(B147="",N147=""),"",ROUND(((N147+N(O147))-(B147+N(C147)))*24,1))</f>
        <v/>
      </c>
      <c r="Q147" s="17"/>
      <c r="R147" s="17"/>
      <c r="S147" s="38"/>
      <c r="T147" s="17"/>
      <c r="U147" s="42" t="str">
        <f aca="false">IF(OR(E147="",S147="",OR(R147="Contract signed + paid",R147="Closed – No response",R147="Lost"),N(T147)&gt;=Settings!$S$3),"",S147+Settings!$S$2)</f>
        <v/>
      </c>
      <c r="V147" s="38"/>
      <c r="W147" s="39"/>
      <c r="X147" s="17"/>
      <c r="Y147" s="17"/>
      <c r="Z147" s="17"/>
      <c r="AA147" s="43" t="str">
        <f aca="true">IF(OR(E147="",B147=""),"",INT(TODAY()-B147))</f>
        <v/>
      </c>
      <c r="AB147" s="44" t="str">
        <f aca="true">IF(E147="","",IF(OR(COUNTIFS(Clients!$C$2:$C$501,E147,Clients!$S$2:$S$501,"Paid")&gt;0,AND(I147&lt;&gt;"",COUNTIFS(Clients!$E$2:$E$501,I147,Clients!$S$2:$S$501,"Paid")&gt;0)),"⚠ Refunded before – no free video",IF(OR(R147="Contract signed + paid",R147="Closed – No response",R147="Lost"),"",IF(R147="","Set a stage",IF(N(T147)&gt;=Settings!$S$3,"Close – 4 follow-ups sent",IF(U147="",IF(S147="","Make first contact",""),IF(TODAY()&gt;U147,"OVERDUE follow-up",IF(TODAY()=U147,"Follow up today",""))))))))</f>
        <v/>
      </c>
    </row>
    <row r="148" customFormat="false" ht="15" hidden="false" customHeight="false" outlineLevel="0" collapsed="false">
      <c r="A148" s="17"/>
      <c r="B148" s="38"/>
      <c r="C148" s="39"/>
      <c r="D148" s="17"/>
      <c r="E148" s="17"/>
      <c r="F148" s="17"/>
      <c r="G148" s="17"/>
      <c r="H148" s="17"/>
      <c r="I148" s="40"/>
      <c r="J148" s="17"/>
      <c r="K148" s="17"/>
      <c r="L148" s="17"/>
      <c r="M148" s="17"/>
      <c r="N148" s="38"/>
      <c r="O148" s="39"/>
      <c r="P148" s="41" t="str">
        <f aca="false">IF(OR(B148="",N148=""),"",ROUND(((N148+N(O148))-(B148+N(C148)))*24,1))</f>
        <v/>
      </c>
      <c r="Q148" s="17"/>
      <c r="R148" s="17"/>
      <c r="S148" s="38"/>
      <c r="T148" s="17"/>
      <c r="U148" s="42" t="str">
        <f aca="false">IF(OR(E148="",S148="",OR(R148="Contract signed + paid",R148="Closed – No response",R148="Lost"),N(T148)&gt;=Settings!$S$3),"",S148+Settings!$S$2)</f>
        <v/>
      </c>
      <c r="V148" s="38"/>
      <c r="W148" s="39"/>
      <c r="X148" s="17"/>
      <c r="Y148" s="17"/>
      <c r="Z148" s="17"/>
      <c r="AA148" s="43" t="str">
        <f aca="true">IF(OR(E148="",B148=""),"",INT(TODAY()-B148))</f>
        <v/>
      </c>
      <c r="AB148" s="44" t="str">
        <f aca="true">IF(E148="","",IF(OR(COUNTIFS(Clients!$C$2:$C$501,E148,Clients!$S$2:$S$501,"Paid")&gt;0,AND(I148&lt;&gt;"",COUNTIFS(Clients!$E$2:$E$501,I148,Clients!$S$2:$S$501,"Paid")&gt;0)),"⚠ Refunded before – no free video",IF(OR(R148="Contract signed + paid",R148="Closed – No response",R148="Lost"),"",IF(R148="","Set a stage",IF(N(T148)&gt;=Settings!$S$3,"Close – 4 follow-ups sent",IF(U148="",IF(S148="","Make first contact",""),IF(TODAY()&gt;U148,"OVERDUE follow-up",IF(TODAY()=U148,"Follow up today",""))))))))</f>
        <v/>
      </c>
    </row>
    <row r="149" customFormat="false" ht="15" hidden="false" customHeight="false" outlineLevel="0" collapsed="false">
      <c r="A149" s="17"/>
      <c r="B149" s="38"/>
      <c r="C149" s="39"/>
      <c r="D149" s="17"/>
      <c r="E149" s="17"/>
      <c r="F149" s="17"/>
      <c r="G149" s="17"/>
      <c r="H149" s="17"/>
      <c r="I149" s="40"/>
      <c r="J149" s="17"/>
      <c r="K149" s="17"/>
      <c r="L149" s="17"/>
      <c r="M149" s="17"/>
      <c r="N149" s="38"/>
      <c r="O149" s="39"/>
      <c r="P149" s="41" t="str">
        <f aca="false">IF(OR(B149="",N149=""),"",ROUND(((N149+N(O149))-(B149+N(C149)))*24,1))</f>
        <v/>
      </c>
      <c r="Q149" s="17"/>
      <c r="R149" s="17"/>
      <c r="S149" s="38"/>
      <c r="T149" s="17"/>
      <c r="U149" s="42" t="str">
        <f aca="false">IF(OR(E149="",S149="",OR(R149="Contract signed + paid",R149="Closed – No response",R149="Lost"),N(T149)&gt;=Settings!$S$3),"",S149+Settings!$S$2)</f>
        <v/>
      </c>
      <c r="V149" s="38"/>
      <c r="W149" s="39"/>
      <c r="X149" s="17"/>
      <c r="Y149" s="17"/>
      <c r="Z149" s="17"/>
      <c r="AA149" s="43" t="str">
        <f aca="true">IF(OR(E149="",B149=""),"",INT(TODAY()-B149))</f>
        <v/>
      </c>
      <c r="AB149" s="44" t="str">
        <f aca="true">IF(E149="","",IF(OR(COUNTIFS(Clients!$C$2:$C$501,E149,Clients!$S$2:$S$501,"Paid")&gt;0,AND(I149&lt;&gt;"",COUNTIFS(Clients!$E$2:$E$501,I149,Clients!$S$2:$S$501,"Paid")&gt;0)),"⚠ Refunded before – no free video",IF(OR(R149="Contract signed + paid",R149="Closed – No response",R149="Lost"),"",IF(R149="","Set a stage",IF(N(T149)&gt;=Settings!$S$3,"Close – 4 follow-ups sent",IF(U149="",IF(S149="","Make first contact",""),IF(TODAY()&gt;U149,"OVERDUE follow-up",IF(TODAY()=U149,"Follow up today",""))))))))</f>
        <v/>
      </c>
    </row>
    <row r="150" customFormat="false" ht="15" hidden="false" customHeight="false" outlineLevel="0" collapsed="false">
      <c r="A150" s="17"/>
      <c r="B150" s="38"/>
      <c r="C150" s="39"/>
      <c r="D150" s="17"/>
      <c r="E150" s="17"/>
      <c r="F150" s="17"/>
      <c r="G150" s="17"/>
      <c r="H150" s="17"/>
      <c r="I150" s="40"/>
      <c r="J150" s="17"/>
      <c r="K150" s="17"/>
      <c r="L150" s="17"/>
      <c r="M150" s="17"/>
      <c r="N150" s="38"/>
      <c r="O150" s="39"/>
      <c r="P150" s="41" t="str">
        <f aca="false">IF(OR(B150="",N150=""),"",ROUND(((N150+N(O150))-(B150+N(C150)))*24,1))</f>
        <v/>
      </c>
      <c r="Q150" s="17"/>
      <c r="R150" s="17"/>
      <c r="S150" s="38"/>
      <c r="T150" s="17"/>
      <c r="U150" s="42" t="str">
        <f aca="false">IF(OR(E150="",S150="",OR(R150="Contract signed + paid",R150="Closed – No response",R150="Lost"),N(T150)&gt;=Settings!$S$3),"",S150+Settings!$S$2)</f>
        <v/>
      </c>
      <c r="V150" s="38"/>
      <c r="W150" s="39"/>
      <c r="X150" s="17"/>
      <c r="Y150" s="17"/>
      <c r="Z150" s="17"/>
      <c r="AA150" s="43" t="str">
        <f aca="true">IF(OR(E150="",B150=""),"",INT(TODAY()-B150))</f>
        <v/>
      </c>
      <c r="AB150" s="44" t="str">
        <f aca="true">IF(E150="","",IF(OR(COUNTIFS(Clients!$C$2:$C$501,E150,Clients!$S$2:$S$501,"Paid")&gt;0,AND(I150&lt;&gt;"",COUNTIFS(Clients!$E$2:$E$501,I150,Clients!$S$2:$S$501,"Paid")&gt;0)),"⚠ Refunded before – no free video",IF(OR(R150="Contract signed + paid",R150="Closed – No response",R150="Lost"),"",IF(R150="","Set a stage",IF(N(T150)&gt;=Settings!$S$3,"Close – 4 follow-ups sent",IF(U150="",IF(S150="","Make first contact",""),IF(TODAY()&gt;U150,"OVERDUE follow-up",IF(TODAY()=U150,"Follow up today",""))))))))</f>
        <v/>
      </c>
    </row>
    <row r="151" customFormat="false" ht="15" hidden="false" customHeight="false" outlineLevel="0" collapsed="false">
      <c r="A151" s="17"/>
      <c r="B151" s="38"/>
      <c r="C151" s="39"/>
      <c r="D151" s="17"/>
      <c r="E151" s="17"/>
      <c r="F151" s="17"/>
      <c r="G151" s="17"/>
      <c r="H151" s="17"/>
      <c r="I151" s="40"/>
      <c r="J151" s="17"/>
      <c r="K151" s="17"/>
      <c r="L151" s="17"/>
      <c r="M151" s="17"/>
      <c r="N151" s="38"/>
      <c r="O151" s="39"/>
      <c r="P151" s="41" t="str">
        <f aca="false">IF(OR(B151="",N151=""),"",ROUND(((N151+N(O151))-(B151+N(C151)))*24,1))</f>
        <v/>
      </c>
      <c r="Q151" s="17"/>
      <c r="R151" s="17"/>
      <c r="S151" s="38"/>
      <c r="T151" s="17"/>
      <c r="U151" s="42" t="str">
        <f aca="false">IF(OR(E151="",S151="",OR(R151="Contract signed + paid",R151="Closed – No response",R151="Lost"),N(T151)&gt;=Settings!$S$3),"",S151+Settings!$S$2)</f>
        <v/>
      </c>
      <c r="V151" s="38"/>
      <c r="W151" s="39"/>
      <c r="X151" s="17"/>
      <c r="Y151" s="17"/>
      <c r="Z151" s="17"/>
      <c r="AA151" s="43" t="str">
        <f aca="true">IF(OR(E151="",B151=""),"",INT(TODAY()-B151))</f>
        <v/>
      </c>
      <c r="AB151" s="44" t="str">
        <f aca="true">IF(E151="","",IF(OR(COUNTIFS(Clients!$C$2:$C$501,E151,Clients!$S$2:$S$501,"Paid")&gt;0,AND(I151&lt;&gt;"",COUNTIFS(Clients!$E$2:$E$501,I151,Clients!$S$2:$S$501,"Paid")&gt;0)),"⚠ Refunded before – no free video",IF(OR(R151="Contract signed + paid",R151="Closed – No response",R151="Lost"),"",IF(R151="","Set a stage",IF(N(T151)&gt;=Settings!$S$3,"Close – 4 follow-ups sent",IF(U151="",IF(S151="","Make first contact",""),IF(TODAY()&gt;U151,"OVERDUE follow-up",IF(TODAY()=U151,"Follow up today",""))))))))</f>
        <v/>
      </c>
    </row>
    <row r="152" customFormat="false" ht="15" hidden="false" customHeight="false" outlineLevel="0" collapsed="false">
      <c r="A152" s="17"/>
      <c r="B152" s="38"/>
      <c r="C152" s="39"/>
      <c r="D152" s="17"/>
      <c r="E152" s="17"/>
      <c r="F152" s="17"/>
      <c r="G152" s="17"/>
      <c r="H152" s="17"/>
      <c r="I152" s="40"/>
      <c r="J152" s="17"/>
      <c r="K152" s="17"/>
      <c r="L152" s="17"/>
      <c r="M152" s="17"/>
      <c r="N152" s="38"/>
      <c r="O152" s="39"/>
      <c r="P152" s="41" t="str">
        <f aca="false">IF(OR(B152="",N152=""),"",ROUND(((N152+N(O152))-(B152+N(C152)))*24,1))</f>
        <v/>
      </c>
      <c r="Q152" s="17"/>
      <c r="R152" s="17"/>
      <c r="S152" s="38"/>
      <c r="T152" s="17"/>
      <c r="U152" s="42" t="str">
        <f aca="false">IF(OR(E152="",S152="",OR(R152="Contract signed + paid",R152="Closed – No response",R152="Lost"),N(T152)&gt;=Settings!$S$3),"",S152+Settings!$S$2)</f>
        <v/>
      </c>
      <c r="V152" s="38"/>
      <c r="W152" s="39"/>
      <c r="X152" s="17"/>
      <c r="Y152" s="17"/>
      <c r="Z152" s="17"/>
      <c r="AA152" s="43" t="str">
        <f aca="true">IF(OR(E152="",B152=""),"",INT(TODAY()-B152))</f>
        <v/>
      </c>
      <c r="AB152" s="44" t="str">
        <f aca="true">IF(E152="","",IF(OR(COUNTIFS(Clients!$C$2:$C$501,E152,Clients!$S$2:$S$501,"Paid")&gt;0,AND(I152&lt;&gt;"",COUNTIFS(Clients!$E$2:$E$501,I152,Clients!$S$2:$S$501,"Paid")&gt;0)),"⚠ Refunded before – no free video",IF(OR(R152="Contract signed + paid",R152="Closed – No response",R152="Lost"),"",IF(R152="","Set a stage",IF(N(T152)&gt;=Settings!$S$3,"Close – 4 follow-ups sent",IF(U152="",IF(S152="","Make first contact",""),IF(TODAY()&gt;U152,"OVERDUE follow-up",IF(TODAY()=U152,"Follow up today",""))))))))</f>
        <v/>
      </c>
    </row>
    <row r="153" customFormat="false" ht="15" hidden="false" customHeight="false" outlineLevel="0" collapsed="false">
      <c r="A153" s="17"/>
      <c r="B153" s="38"/>
      <c r="C153" s="39"/>
      <c r="D153" s="17"/>
      <c r="E153" s="17"/>
      <c r="F153" s="17"/>
      <c r="G153" s="17"/>
      <c r="H153" s="17"/>
      <c r="I153" s="40"/>
      <c r="J153" s="17"/>
      <c r="K153" s="17"/>
      <c r="L153" s="17"/>
      <c r="M153" s="17"/>
      <c r="N153" s="38"/>
      <c r="O153" s="39"/>
      <c r="P153" s="41" t="str">
        <f aca="false">IF(OR(B153="",N153=""),"",ROUND(((N153+N(O153))-(B153+N(C153)))*24,1))</f>
        <v/>
      </c>
      <c r="Q153" s="17"/>
      <c r="R153" s="17"/>
      <c r="S153" s="38"/>
      <c r="T153" s="17"/>
      <c r="U153" s="42" t="str">
        <f aca="false">IF(OR(E153="",S153="",OR(R153="Contract signed + paid",R153="Closed – No response",R153="Lost"),N(T153)&gt;=Settings!$S$3),"",S153+Settings!$S$2)</f>
        <v/>
      </c>
      <c r="V153" s="38"/>
      <c r="W153" s="39"/>
      <c r="X153" s="17"/>
      <c r="Y153" s="17"/>
      <c r="Z153" s="17"/>
      <c r="AA153" s="43" t="str">
        <f aca="true">IF(OR(E153="",B153=""),"",INT(TODAY()-B153))</f>
        <v/>
      </c>
      <c r="AB153" s="44" t="str">
        <f aca="true">IF(E153="","",IF(OR(COUNTIFS(Clients!$C$2:$C$501,E153,Clients!$S$2:$S$501,"Paid")&gt;0,AND(I153&lt;&gt;"",COUNTIFS(Clients!$E$2:$E$501,I153,Clients!$S$2:$S$501,"Paid")&gt;0)),"⚠ Refunded before – no free video",IF(OR(R153="Contract signed + paid",R153="Closed – No response",R153="Lost"),"",IF(R153="","Set a stage",IF(N(T153)&gt;=Settings!$S$3,"Close – 4 follow-ups sent",IF(U153="",IF(S153="","Make first contact",""),IF(TODAY()&gt;U153,"OVERDUE follow-up",IF(TODAY()=U153,"Follow up today",""))))))))</f>
        <v/>
      </c>
    </row>
    <row r="154" customFormat="false" ht="15" hidden="false" customHeight="false" outlineLevel="0" collapsed="false">
      <c r="A154" s="17"/>
      <c r="B154" s="38"/>
      <c r="C154" s="39"/>
      <c r="D154" s="17"/>
      <c r="E154" s="17"/>
      <c r="F154" s="17"/>
      <c r="G154" s="17"/>
      <c r="H154" s="17"/>
      <c r="I154" s="40"/>
      <c r="J154" s="17"/>
      <c r="K154" s="17"/>
      <c r="L154" s="17"/>
      <c r="M154" s="17"/>
      <c r="N154" s="38"/>
      <c r="O154" s="39"/>
      <c r="P154" s="41" t="str">
        <f aca="false">IF(OR(B154="",N154=""),"",ROUND(((N154+N(O154))-(B154+N(C154)))*24,1))</f>
        <v/>
      </c>
      <c r="Q154" s="17"/>
      <c r="R154" s="17"/>
      <c r="S154" s="38"/>
      <c r="T154" s="17"/>
      <c r="U154" s="42" t="str">
        <f aca="false">IF(OR(E154="",S154="",OR(R154="Contract signed + paid",R154="Closed – No response",R154="Lost"),N(T154)&gt;=Settings!$S$3),"",S154+Settings!$S$2)</f>
        <v/>
      </c>
      <c r="V154" s="38"/>
      <c r="W154" s="39"/>
      <c r="X154" s="17"/>
      <c r="Y154" s="17"/>
      <c r="Z154" s="17"/>
      <c r="AA154" s="43" t="str">
        <f aca="true">IF(OR(E154="",B154=""),"",INT(TODAY()-B154))</f>
        <v/>
      </c>
      <c r="AB154" s="44" t="str">
        <f aca="true">IF(E154="","",IF(OR(COUNTIFS(Clients!$C$2:$C$501,E154,Clients!$S$2:$S$501,"Paid")&gt;0,AND(I154&lt;&gt;"",COUNTIFS(Clients!$E$2:$E$501,I154,Clients!$S$2:$S$501,"Paid")&gt;0)),"⚠ Refunded before – no free video",IF(OR(R154="Contract signed + paid",R154="Closed – No response",R154="Lost"),"",IF(R154="","Set a stage",IF(N(T154)&gt;=Settings!$S$3,"Close – 4 follow-ups sent",IF(U154="",IF(S154="","Make first contact",""),IF(TODAY()&gt;U154,"OVERDUE follow-up",IF(TODAY()=U154,"Follow up today",""))))))))</f>
        <v/>
      </c>
    </row>
    <row r="155" customFormat="false" ht="15" hidden="false" customHeight="false" outlineLevel="0" collapsed="false">
      <c r="A155" s="17"/>
      <c r="B155" s="38"/>
      <c r="C155" s="39"/>
      <c r="D155" s="17"/>
      <c r="E155" s="17"/>
      <c r="F155" s="17"/>
      <c r="G155" s="17"/>
      <c r="H155" s="17"/>
      <c r="I155" s="40"/>
      <c r="J155" s="17"/>
      <c r="K155" s="17"/>
      <c r="L155" s="17"/>
      <c r="M155" s="17"/>
      <c r="N155" s="38"/>
      <c r="O155" s="39"/>
      <c r="P155" s="41" t="str">
        <f aca="false">IF(OR(B155="",N155=""),"",ROUND(((N155+N(O155))-(B155+N(C155)))*24,1))</f>
        <v/>
      </c>
      <c r="Q155" s="17"/>
      <c r="R155" s="17"/>
      <c r="S155" s="38"/>
      <c r="T155" s="17"/>
      <c r="U155" s="42" t="str">
        <f aca="false">IF(OR(E155="",S155="",OR(R155="Contract signed + paid",R155="Closed – No response",R155="Lost"),N(T155)&gt;=Settings!$S$3),"",S155+Settings!$S$2)</f>
        <v/>
      </c>
      <c r="V155" s="38"/>
      <c r="W155" s="39"/>
      <c r="X155" s="17"/>
      <c r="Y155" s="17"/>
      <c r="Z155" s="17"/>
      <c r="AA155" s="43" t="str">
        <f aca="true">IF(OR(E155="",B155=""),"",INT(TODAY()-B155))</f>
        <v/>
      </c>
      <c r="AB155" s="44" t="str">
        <f aca="true">IF(E155="","",IF(OR(COUNTIFS(Clients!$C$2:$C$501,E155,Clients!$S$2:$S$501,"Paid")&gt;0,AND(I155&lt;&gt;"",COUNTIFS(Clients!$E$2:$E$501,I155,Clients!$S$2:$S$501,"Paid")&gt;0)),"⚠ Refunded before – no free video",IF(OR(R155="Contract signed + paid",R155="Closed – No response",R155="Lost"),"",IF(R155="","Set a stage",IF(N(T155)&gt;=Settings!$S$3,"Close – 4 follow-ups sent",IF(U155="",IF(S155="","Make first contact",""),IF(TODAY()&gt;U155,"OVERDUE follow-up",IF(TODAY()=U155,"Follow up today",""))))))))</f>
        <v/>
      </c>
    </row>
    <row r="156" customFormat="false" ht="15" hidden="false" customHeight="false" outlineLevel="0" collapsed="false">
      <c r="A156" s="17"/>
      <c r="B156" s="38"/>
      <c r="C156" s="39"/>
      <c r="D156" s="17"/>
      <c r="E156" s="17"/>
      <c r="F156" s="17"/>
      <c r="G156" s="17"/>
      <c r="H156" s="17"/>
      <c r="I156" s="40"/>
      <c r="J156" s="17"/>
      <c r="K156" s="17"/>
      <c r="L156" s="17"/>
      <c r="M156" s="17"/>
      <c r="N156" s="38"/>
      <c r="O156" s="39"/>
      <c r="P156" s="41" t="str">
        <f aca="false">IF(OR(B156="",N156=""),"",ROUND(((N156+N(O156))-(B156+N(C156)))*24,1))</f>
        <v/>
      </c>
      <c r="Q156" s="17"/>
      <c r="R156" s="17"/>
      <c r="S156" s="38"/>
      <c r="T156" s="17"/>
      <c r="U156" s="42" t="str">
        <f aca="false">IF(OR(E156="",S156="",OR(R156="Contract signed + paid",R156="Closed – No response",R156="Lost"),N(T156)&gt;=Settings!$S$3),"",S156+Settings!$S$2)</f>
        <v/>
      </c>
      <c r="V156" s="38"/>
      <c r="W156" s="39"/>
      <c r="X156" s="17"/>
      <c r="Y156" s="17"/>
      <c r="Z156" s="17"/>
      <c r="AA156" s="43" t="str">
        <f aca="true">IF(OR(E156="",B156=""),"",INT(TODAY()-B156))</f>
        <v/>
      </c>
      <c r="AB156" s="44" t="str">
        <f aca="true">IF(E156="","",IF(OR(COUNTIFS(Clients!$C$2:$C$501,E156,Clients!$S$2:$S$501,"Paid")&gt;0,AND(I156&lt;&gt;"",COUNTIFS(Clients!$E$2:$E$501,I156,Clients!$S$2:$S$501,"Paid")&gt;0)),"⚠ Refunded before – no free video",IF(OR(R156="Contract signed + paid",R156="Closed – No response",R156="Lost"),"",IF(R156="","Set a stage",IF(N(T156)&gt;=Settings!$S$3,"Close – 4 follow-ups sent",IF(U156="",IF(S156="","Make first contact",""),IF(TODAY()&gt;U156,"OVERDUE follow-up",IF(TODAY()=U156,"Follow up today",""))))))))</f>
        <v/>
      </c>
    </row>
    <row r="157" customFormat="false" ht="15" hidden="false" customHeight="false" outlineLevel="0" collapsed="false">
      <c r="A157" s="17"/>
      <c r="B157" s="38"/>
      <c r="C157" s="39"/>
      <c r="D157" s="17"/>
      <c r="E157" s="17"/>
      <c r="F157" s="17"/>
      <c r="G157" s="17"/>
      <c r="H157" s="17"/>
      <c r="I157" s="40"/>
      <c r="J157" s="17"/>
      <c r="K157" s="17"/>
      <c r="L157" s="17"/>
      <c r="M157" s="17"/>
      <c r="N157" s="38"/>
      <c r="O157" s="39"/>
      <c r="P157" s="41" t="str">
        <f aca="false">IF(OR(B157="",N157=""),"",ROUND(((N157+N(O157))-(B157+N(C157)))*24,1))</f>
        <v/>
      </c>
      <c r="Q157" s="17"/>
      <c r="R157" s="17"/>
      <c r="S157" s="38"/>
      <c r="T157" s="17"/>
      <c r="U157" s="42" t="str">
        <f aca="false">IF(OR(E157="",S157="",OR(R157="Contract signed + paid",R157="Closed – No response",R157="Lost"),N(T157)&gt;=Settings!$S$3),"",S157+Settings!$S$2)</f>
        <v/>
      </c>
      <c r="V157" s="38"/>
      <c r="W157" s="39"/>
      <c r="X157" s="17"/>
      <c r="Y157" s="17"/>
      <c r="Z157" s="17"/>
      <c r="AA157" s="43" t="str">
        <f aca="true">IF(OR(E157="",B157=""),"",INT(TODAY()-B157))</f>
        <v/>
      </c>
      <c r="AB157" s="44" t="str">
        <f aca="true">IF(E157="","",IF(OR(COUNTIFS(Clients!$C$2:$C$501,E157,Clients!$S$2:$S$501,"Paid")&gt;0,AND(I157&lt;&gt;"",COUNTIFS(Clients!$E$2:$E$501,I157,Clients!$S$2:$S$501,"Paid")&gt;0)),"⚠ Refunded before – no free video",IF(OR(R157="Contract signed + paid",R157="Closed – No response",R157="Lost"),"",IF(R157="","Set a stage",IF(N(T157)&gt;=Settings!$S$3,"Close – 4 follow-ups sent",IF(U157="",IF(S157="","Make first contact",""),IF(TODAY()&gt;U157,"OVERDUE follow-up",IF(TODAY()=U157,"Follow up today",""))))))))</f>
        <v/>
      </c>
    </row>
    <row r="158" customFormat="false" ht="15" hidden="false" customHeight="false" outlineLevel="0" collapsed="false">
      <c r="A158" s="17"/>
      <c r="B158" s="38"/>
      <c r="C158" s="39"/>
      <c r="D158" s="17"/>
      <c r="E158" s="17"/>
      <c r="F158" s="17"/>
      <c r="G158" s="17"/>
      <c r="H158" s="17"/>
      <c r="I158" s="40"/>
      <c r="J158" s="17"/>
      <c r="K158" s="17"/>
      <c r="L158" s="17"/>
      <c r="M158" s="17"/>
      <c r="N158" s="38"/>
      <c r="O158" s="39"/>
      <c r="P158" s="41" t="str">
        <f aca="false">IF(OR(B158="",N158=""),"",ROUND(((N158+N(O158))-(B158+N(C158)))*24,1))</f>
        <v/>
      </c>
      <c r="Q158" s="17"/>
      <c r="R158" s="17"/>
      <c r="S158" s="38"/>
      <c r="T158" s="17"/>
      <c r="U158" s="42" t="str">
        <f aca="false">IF(OR(E158="",S158="",OR(R158="Contract signed + paid",R158="Closed – No response",R158="Lost"),N(T158)&gt;=Settings!$S$3),"",S158+Settings!$S$2)</f>
        <v/>
      </c>
      <c r="V158" s="38"/>
      <c r="W158" s="39"/>
      <c r="X158" s="17"/>
      <c r="Y158" s="17"/>
      <c r="Z158" s="17"/>
      <c r="AA158" s="43" t="str">
        <f aca="true">IF(OR(E158="",B158=""),"",INT(TODAY()-B158))</f>
        <v/>
      </c>
      <c r="AB158" s="44" t="str">
        <f aca="true">IF(E158="","",IF(OR(COUNTIFS(Clients!$C$2:$C$501,E158,Clients!$S$2:$S$501,"Paid")&gt;0,AND(I158&lt;&gt;"",COUNTIFS(Clients!$E$2:$E$501,I158,Clients!$S$2:$S$501,"Paid")&gt;0)),"⚠ Refunded before – no free video",IF(OR(R158="Contract signed + paid",R158="Closed – No response",R158="Lost"),"",IF(R158="","Set a stage",IF(N(T158)&gt;=Settings!$S$3,"Close – 4 follow-ups sent",IF(U158="",IF(S158="","Make first contact",""),IF(TODAY()&gt;U158,"OVERDUE follow-up",IF(TODAY()=U158,"Follow up today",""))))))))</f>
        <v/>
      </c>
    </row>
    <row r="159" customFormat="false" ht="15" hidden="false" customHeight="false" outlineLevel="0" collapsed="false">
      <c r="A159" s="17"/>
      <c r="B159" s="38"/>
      <c r="C159" s="39"/>
      <c r="D159" s="17"/>
      <c r="E159" s="17"/>
      <c r="F159" s="17"/>
      <c r="G159" s="17"/>
      <c r="H159" s="17"/>
      <c r="I159" s="40"/>
      <c r="J159" s="17"/>
      <c r="K159" s="17"/>
      <c r="L159" s="17"/>
      <c r="M159" s="17"/>
      <c r="N159" s="38"/>
      <c r="O159" s="39"/>
      <c r="P159" s="41" t="str">
        <f aca="false">IF(OR(B159="",N159=""),"",ROUND(((N159+N(O159))-(B159+N(C159)))*24,1))</f>
        <v/>
      </c>
      <c r="Q159" s="17"/>
      <c r="R159" s="17"/>
      <c r="S159" s="38"/>
      <c r="T159" s="17"/>
      <c r="U159" s="42" t="str">
        <f aca="false">IF(OR(E159="",S159="",OR(R159="Contract signed + paid",R159="Closed – No response",R159="Lost"),N(T159)&gt;=Settings!$S$3),"",S159+Settings!$S$2)</f>
        <v/>
      </c>
      <c r="V159" s="38"/>
      <c r="W159" s="39"/>
      <c r="X159" s="17"/>
      <c r="Y159" s="17"/>
      <c r="Z159" s="17"/>
      <c r="AA159" s="43" t="str">
        <f aca="true">IF(OR(E159="",B159=""),"",INT(TODAY()-B159))</f>
        <v/>
      </c>
      <c r="AB159" s="44" t="str">
        <f aca="true">IF(E159="","",IF(OR(COUNTIFS(Clients!$C$2:$C$501,E159,Clients!$S$2:$S$501,"Paid")&gt;0,AND(I159&lt;&gt;"",COUNTIFS(Clients!$E$2:$E$501,I159,Clients!$S$2:$S$501,"Paid")&gt;0)),"⚠ Refunded before – no free video",IF(OR(R159="Contract signed + paid",R159="Closed – No response",R159="Lost"),"",IF(R159="","Set a stage",IF(N(T159)&gt;=Settings!$S$3,"Close – 4 follow-ups sent",IF(U159="",IF(S159="","Make first contact",""),IF(TODAY()&gt;U159,"OVERDUE follow-up",IF(TODAY()=U159,"Follow up today",""))))))))</f>
        <v/>
      </c>
    </row>
    <row r="160" customFormat="false" ht="15" hidden="false" customHeight="false" outlineLevel="0" collapsed="false">
      <c r="A160" s="17"/>
      <c r="B160" s="38"/>
      <c r="C160" s="39"/>
      <c r="D160" s="17"/>
      <c r="E160" s="17"/>
      <c r="F160" s="17"/>
      <c r="G160" s="17"/>
      <c r="H160" s="17"/>
      <c r="I160" s="40"/>
      <c r="J160" s="17"/>
      <c r="K160" s="17"/>
      <c r="L160" s="17"/>
      <c r="M160" s="17"/>
      <c r="N160" s="38"/>
      <c r="O160" s="39"/>
      <c r="P160" s="41" t="str">
        <f aca="false">IF(OR(B160="",N160=""),"",ROUND(((N160+N(O160))-(B160+N(C160)))*24,1))</f>
        <v/>
      </c>
      <c r="Q160" s="17"/>
      <c r="R160" s="17"/>
      <c r="S160" s="38"/>
      <c r="T160" s="17"/>
      <c r="U160" s="42" t="str">
        <f aca="false">IF(OR(E160="",S160="",OR(R160="Contract signed + paid",R160="Closed – No response",R160="Lost"),N(T160)&gt;=Settings!$S$3),"",S160+Settings!$S$2)</f>
        <v/>
      </c>
      <c r="V160" s="38"/>
      <c r="W160" s="39"/>
      <c r="X160" s="17"/>
      <c r="Y160" s="17"/>
      <c r="Z160" s="17"/>
      <c r="AA160" s="43" t="str">
        <f aca="true">IF(OR(E160="",B160=""),"",INT(TODAY()-B160))</f>
        <v/>
      </c>
      <c r="AB160" s="44" t="str">
        <f aca="true">IF(E160="","",IF(OR(COUNTIFS(Clients!$C$2:$C$501,E160,Clients!$S$2:$S$501,"Paid")&gt;0,AND(I160&lt;&gt;"",COUNTIFS(Clients!$E$2:$E$501,I160,Clients!$S$2:$S$501,"Paid")&gt;0)),"⚠ Refunded before – no free video",IF(OR(R160="Contract signed + paid",R160="Closed – No response",R160="Lost"),"",IF(R160="","Set a stage",IF(N(T160)&gt;=Settings!$S$3,"Close – 4 follow-ups sent",IF(U160="",IF(S160="","Make first contact",""),IF(TODAY()&gt;U160,"OVERDUE follow-up",IF(TODAY()=U160,"Follow up today",""))))))))</f>
        <v/>
      </c>
    </row>
    <row r="161" customFormat="false" ht="15" hidden="false" customHeight="false" outlineLevel="0" collapsed="false">
      <c r="A161" s="17"/>
      <c r="B161" s="38"/>
      <c r="C161" s="39"/>
      <c r="D161" s="17"/>
      <c r="E161" s="17"/>
      <c r="F161" s="17"/>
      <c r="G161" s="17"/>
      <c r="H161" s="17"/>
      <c r="I161" s="40"/>
      <c r="J161" s="17"/>
      <c r="K161" s="17"/>
      <c r="L161" s="17"/>
      <c r="M161" s="17"/>
      <c r="N161" s="38"/>
      <c r="O161" s="39"/>
      <c r="P161" s="41" t="str">
        <f aca="false">IF(OR(B161="",N161=""),"",ROUND(((N161+N(O161))-(B161+N(C161)))*24,1))</f>
        <v/>
      </c>
      <c r="Q161" s="17"/>
      <c r="R161" s="17"/>
      <c r="S161" s="38"/>
      <c r="T161" s="17"/>
      <c r="U161" s="42" t="str">
        <f aca="false">IF(OR(E161="",S161="",OR(R161="Contract signed + paid",R161="Closed – No response",R161="Lost"),N(T161)&gt;=Settings!$S$3),"",S161+Settings!$S$2)</f>
        <v/>
      </c>
      <c r="V161" s="38"/>
      <c r="W161" s="39"/>
      <c r="X161" s="17"/>
      <c r="Y161" s="17"/>
      <c r="Z161" s="17"/>
      <c r="AA161" s="43" t="str">
        <f aca="true">IF(OR(E161="",B161=""),"",INT(TODAY()-B161))</f>
        <v/>
      </c>
      <c r="AB161" s="44" t="str">
        <f aca="true">IF(E161="","",IF(OR(COUNTIFS(Clients!$C$2:$C$501,E161,Clients!$S$2:$S$501,"Paid")&gt;0,AND(I161&lt;&gt;"",COUNTIFS(Clients!$E$2:$E$501,I161,Clients!$S$2:$S$501,"Paid")&gt;0)),"⚠ Refunded before – no free video",IF(OR(R161="Contract signed + paid",R161="Closed – No response",R161="Lost"),"",IF(R161="","Set a stage",IF(N(T161)&gt;=Settings!$S$3,"Close – 4 follow-ups sent",IF(U161="",IF(S161="","Make first contact",""),IF(TODAY()&gt;U161,"OVERDUE follow-up",IF(TODAY()=U161,"Follow up today",""))))))))</f>
        <v/>
      </c>
    </row>
    <row r="162" customFormat="false" ht="15" hidden="false" customHeight="false" outlineLevel="0" collapsed="false">
      <c r="A162" s="17"/>
      <c r="B162" s="38"/>
      <c r="C162" s="39"/>
      <c r="D162" s="17"/>
      <c r="E162" s="17"/>
      <c r="F162" s="17"/>
      <c r="G162" s="17"/>
      <c r="H162" s="17"/>
      <c r="I162" s="40"/>
      <c r="J162" s="17"/>
      <c r="K162" s="17"/>
      <c r="L162" s="17"/>
      <c r="M162" s="17"/>
      <c r="N162" s="38"/>
      <c r="O162" s="39"/>
      <c r="P162" s="41" t="str">
        <f aca="false">IF(OR(B162="",N162=""),"",ROUND(((N162+N(O162))-(B162+N(C162)))*24,1))</f>
        <v/>
      </c>
      <c r="Q162" s="17"/>
      <c r="R162" s="17"/>
      <c r="S162" s="38"/>
      <c r="T162" s="17"/>
      <c r="U162" s="42" t="str">
        <f aca="false">IF(OR(E162="",S162="",OR(R162="Contract signed + paid",R162="Closed – No response",R162="Lost"),N(T162)&gt;=Settings!$S$3),"",S162+Settings!$S$2)</f>
        <v/>
      </c>
      <c r="V162" s="38"/>
      <c r="W162" s="39"/>
      <c r="X162" s="17"/>
      <c r="Y162" s="17"/>
      <c r="Z162" s="17"/>
      <c r="AA162" s="43" t="str">
        <f aca="true">IF(OR(E162="",B162=""),"",INT(TODAY()-B162))</f>
        <v/>
      </c>
      <c r="AB162" s="44" t="str">
        <f aca="true">IF(E162="","",IF(OR(COUNTIFS(Clients!$C$2:$C$501,E162,Clients!$S$2:$S$501,"Paid")&gt;0,AND(I162&lt;&gt;"",COUNTIFS(Clients!$E$2:$E$501,I162,Clients!$S$2:$S$501,"Paid")&gt;0)),"⚠ Refunded before – no free video",IF(OR(R162="Contract signed + paid",R162="Closed – No response",R162="Lost"),"",IF(R162="","Set a stage",IF(N(T162)&gt;=Settings!$S$3,"Close – 4 follow-ups sent",IF(U162="",IF(S162="","Make first contact",""),IF(TODAY()&gt;U162,"OVERDUE follow-up",IF(TODAY()=U162,"Follow up today",""))))))))</f>
        <v/>
      </c>
    </row>
    <row r="163" customFormat="false" ht="15" hidden="false" customHeight="false" outlineLevel="0" collapsed="false">
      <c r="A163" s="17"/>
      <c r="B163" s="38"/>
      <c r="C163" s="39"/>
      <c r="D163" s="17"/>
      <c r="E163" s="17"/>
      <c r="F163" s="17"/>
      <c r="G163" s="17"/>
      <c r="H163" s="17"/>
      <c r="I163" s="40"/>
      <c r="J163" s="17"/>
      <c r="K163" s="17"/>
      <c r="L163" s="17"/>
      <c r="M163" s="17"/>
      <c r="N163" s="38"/>
      <c r="O163" s="39"/>
      <c r="P163" s="41" t="str">
        <f aca="false">IF(OR(B163="",N163=""),"",ROUND(((N163+N(O163))-(B163+N(C163)))*24,1))</f>
        <v/>
      </c>
      <c r="Q163" s="17"/>
      <c r="R163" s="17"/>
      <c r="S163" s="38"/>
      <c r="T163" s="17"/>
      <c r="U163" s="42" t="str">
        <f aca="false">IF(OR(E163="",S163="",OR(R163="Contract signed + paid",R163="Closed – No response",R163="Lost"),N(T163)&gt;=Settings!$S$3),"",S163+Settings!$S$2)</f>
        <v/>
      </c>
      <c r="V163" s="38"/>
      <c r="W163" s="39"/>
      <c r="X163" s="17"/>
      <c r="Y163" s="17"/>
      <c r="Z163" s="17"/>
      <c r="AA163" s="43" t="str">
        <f aca="true">IF(OR(E163="",B163=""),"",INT(TODAY()-B163))</f>
        <v/>
      </c>
      <c r="AB163" s="44" t="str">
        <f aca="true">IF(E163="","",IF(OR(COUNTIFS(Clients!$C$2:$C$501,E163,Clients!$S$2:$S$501,"Paid")&gt;0,AND(I163&lt;&gt;"",COUNTIFS(Clients!$E$2:$E$501,I163,Clients!$S$2:$S$501,"Paid")&gt;0)),"⚠ Refunded before – no free video",IF(OR(R163="Contract signed + paid",R163="Closed – No response",R163="Lost"),"",IF(R163="","Set a stage",IF(N(T163)&gt;=Settings!$S$3,"Close – 4 follow-ups sent",IF(U163="",IF(S163="","Make first contact",""),IF(TODAY()&gt;U163,"OVERDUE follow-up",IF(TODAY()=U163,"Follow up today",""))))))))</f>
        <v/>
      </c>
    </row>
    <row r="164" customFormat="false" ht="15" hidden="false" customHeight="false" outlineLevel="0" collapsed="false">
      <c r="A164" s="17"/>
      <c r="B164" s="38"/>
      <c r="C164" s="39"/>
      <c r="D164" s="17"/>
      <c r="E164" s="17"/>
      <c r="F164" s="17"/>
      <c r="G164" s="17"/>
      <c r="H164" s="17"/>
      <c r="I164" s="40"/>
      <c r="J164" s="17"/>
      <c r="K164" s="17"/>
      <c r="L164" s="17"/>
      <c r="M164" s="17"/>
      <c r="N164" s="38"/>
      <c r="O164" s="39"/>
      <c r="P164" s="41" t="str">
        <f aca="false">IF(OR(B164="",N164=""),"",ROUND(((N164+N(O164))-(B164+N(C164)))*24,1))</f>
        <v/>
      </c>
      <c r="Q164" s="17"/>
      <c r="R164" s="17"/>
      <c r="S164" s="38"/>
      <c r="T164" s="17"/>
      <c r="U164" s="42" t="str">
        <f aca="false">IF(OR(E164="",S164="",OR(R164="Contract signed + paid",R164="Closed – No response",R164="Lost"),N(T164)&gt;=Settings!$S$3),"",S164+Settings!$S$2)</f>
        <v/>
      </c>
      <c r="V164" s="38"/>
      <c r="W164" s="39"/>
      <c r="X164" s="17"/>
      <c r="Y164" s="17"/>
      <c r="Z164" s="17"/>
      <c r="AA164" s="43" t="str">
        <f aca="true">IF(OR(E164="",B164=""),"",INT(TODAY()-B164))</f>
        <v/>
      </c>
      <c r="AB164" s="44" t="str">
        <f aca="true">IF(E164="","",IF(OR(COUNTIFS(Clients!$C$2:$C$501,E164,Clients!$S$2:$S$501,"Paid")&gt;0,AND(I164&lt;&gt;"",COUNTIFS(Clients!$E$2:$E$501,I164,Clients!$S$2:$S$501,"Paid")&gt;0)),"⚠ Refunded before – no free video",IF(OR(R164="Contract signed + paid",R164="Closed – No response",R164="Lost"),"",IF(R164="","Set a stage",IF(N(T164)&gt;=Settings!$S$3,"Close – 4 follow-ups sent",IF(U164="",IF(S164="","Make first contact",""),IF(TODAY()&gt;U164,"OVERDUE follow-up",IF(TODAY()=U164,"Follow up today",""))))))))</f>
        <v/>
      </c>
    </row>
    <row r="165" customFormat="false" ht="15" hidden="false" customHeight="false" outlineLevel="0" collapsed="false">
      <c r="A165" s="17"/>
      <c r="B165" s="38"/>
      <c r="C165" s="39"/>
      <c r="D165" s="17"/>
      <c r="E165" s="17"/>
      <c r="F165" s="17"/>
      <c r="G165" s="17"/>
      <c r="H165" s="17"/>
      <c r="I165" s="40"/>
      <c r="J165" s="17"/>
      <c r="K165" s="17"/>
      <c r="L165" s="17"/>
      <c r="M165" s="17"/>
      <c r="N165" s="38"/>
      <c r="O165" s="39"/>
      <c r="P165" s="41" t="str">
        <f aca="false">IF(OR(B165="",N165=""),"",ROUND(((N165+N(O165))-(B165+N(C165)))*24,1))</f>
        <v/>
      </c>
      <c r="Q165" s="17"/>
      <c r="R165" s="17"/>
      <c r="S165" s="38"/>
      <c r="T165" s="17"/>
      <c r="U165" s="42" t="str">
        <f aca="false">IF(OR(E165="",S165="",OR(R165="Contract signed + paid",R165="Closed – No response",R165="Lost"),N(T165)&gt;=Settings!$S$3),"",S165+Settings!$S$2)</f>
        <v/>
      </c>
      <c r="V165" s="38"/>
      <c r="W165" s="39"/>
      <c r="X165" s="17"/>
      <c r="Y165" s="17"/>
      <c r="Z165" s="17"/>
      <c r="AA165" s="43" t="str">
        <f aca="true">IF(OR(E165="",B165=""),"",INT(TODAY()-B165))</f>
        <v/>
      </c>
      <c r="AB165" s="44" t="str">
        <f aca="true">IF(E165="","",IF(OR(COUNTIFS(Clients!$C$2:$C$501,E165,Clients!$S$2:$S$501,"Paid")&gt;0,AND(I165&lt;&gt;"",COUNTIFS(Clients!$E$2:$E$501,I165,Clients!$S$2:$S$501,"Paid")&gt;0)),"⚠ Refunded before – no free video",IF(OR(R165="Contract signed + paid",R165="Closed – No response",R165="Lost"),"",IF(R165="","Set a stage",IF(N(T165)&gt;=Settings!$S$3,"Close – 4 follow-ups sent",IF(U165="",IF(S165="","Make first contact",""),IF(TODAY()&gt;U165,"OVERDUE follow-up",IF(TODAY()=U165,"Follow up today",""))))))))</f>
        <v/>
      </c>
    </row>
    <row r="166" customFormat="false" ht="15" hidden="false" customHeight="false" outlineLevel="0" collapsed="false">
      <c r="A166" s="17"/>
      <c r="B166" s="38"/>
      <c r="C166" s="39"/>
      <c r="D166" s="17"/>
      <c r="E166" s="17"/>
      <c r="F166" s="17"/>
      <c r="G166" s="17"/>
      <c r="H166" s="17"/>
      <c r="I166" s="40"/>
      <c r="J166" s="17"/>
      <c r="K166" s="17"/>
      <c r="L166" s="17"/>
      <c r="M166" s="17"/>
      <c r="N166" s="38"/>
      <c r="O166" s="39"/>
      <c r="P166" s="41" t="str">
        <f aca="false">IF(OR(B166="",N166=""),"",ROUND(((N166+N(O166))-(B166+N(C166)))*24,1))</f>
        <v/>
      </c>
      <c r="Q166" s="17"/>
      <c r="R166" s="17"/>
      <c r="S166" s="38"/>
      <c r="T166" s="17"/>
      <c r="U166" s="42" t="str">
        <f aca="false">IF(OR(E166="",S166="",OR(R166="Contract signed + paid",R166="Closed – No response",R166="Lost"),N(T166)&gt;=Settings!$S$3),"",S166+Settings!$S$2)</f>
        <v/>
      </c>
      <c r="V166" s="38"/>
      <c r="W166" s="39"/>
      <c r="X166" s="17"/>
      <c r="Y166" s="17"/>
      <c r="Z166" s="17"/>
      <c r="AA166" s="43" t="str">
        <f aca="true">IF(OR(E166="",B166=""),"",INT(TODAY()-B166))</f>
        <v/>
      </c>
      <c r="AB166" s="44" t="str">
        <f aca="true">IF(E166="","",IF(OR(COUNTIFS(Clients!$C$2:$C$501,E166,Clients!$S$2:$S$501,"Paid")&gt;0,AND(I166&lt;&gt;"",COUNTIFS(Clients!$E$2:$E$501,I166,Clients!$S$2:$S$501,"Paid")&gt;0)),"⚠ Refunded before – no free video",IF(OR(R166="Contract signed + paid",R166="Closed – No response",R166="Lost"),"",IF(R166="","Set a stage",IF(N(T166)&gt;=Settings!$S$3,"Close – 4 follow-ups sent",IF(U166="",IF(S166="","Make first contact",""),IF(TODAY()&gt;U166,"OVERDUE follow-up",IF(TODAY()=U166,"Follow up today",""))))))))</f>
        <v/>
      </c>
    </row>
    <row r="167" customFormat="false" ht="15" hidden="false" customHeight="false" outlineLevel="0" collapsed="false">
      <c r="A167" s="17"/>
      <c r="B167" s="38"/>
      <c r="C167" s="39"/>
      <c r="D167" s="17"/>
      <c r="E167" s="17"/>
      <c r="F167" s="17"/>
      <c r="G167" s="17"/>
      <c r="H167" s="17"/>
      <c r="I167" s="40"/>
      <c r="J167" s="17"/>
      <c r="K167" s="17"/>
      <c r="L167" s="17"/>
      <c r="M167" s="17"/>
      <c r="N167" s="38"/>
      <c r="O167" s="39"/>
      <c r="P167" s="41" t="str">
        <f aca="false">IF(OR(B167="",N167=""),"",ROUND(((N167+N(O167))-(B167+N(C167)))*24,1))</f>
        <v/>
      </c>
      <c r="Q167" s="17"/>
      <c r="R167" s="17"/>
      <c r="S167" s="38"/>
      <c r="T167" s="17"/>
      <c r="U167" s="42" t="str">
        <f aca="false">IF(OR(E167="",S167="",OR(R167="Contract signed + paid",R167="Closed – No response",R167="Lost"),N(T167)&gt;=Settings!$S$3),"",S167+Settings!$S$2)</f>
        <v/>
      </c>
      <c r="V167" s="38"/>
      <c r="W167" s="39"/>
      <c r="X167" s="17"/>
      <c r="Y167" s="17"/>
      <c r="Z167" s="17"/>
      <c r="AA167" s="43" t="str">
        <f aca="true">IF(OR(E167="",B167=""),"",INT(TODAY()-B167))</f>
        <v/>
      </c>
      <c r="AB167" s="44" t="str">
        <f aca="true">IF(E167="","",IF(OR(COUNTIFS(Clients!$C$2:$C$501,E167,Clients!$S$2:$S$501,"Paid")&gt;0,AND(I167&lt;&gt;"",COUNTIFS(Clients!$E$2:$E$501,I167,Clients!$S$2:$S$501,"Paid")&gt;0)),"⚠ Refunded before – no free video",IF(OR(R167="Contract signed + paid",R167="Closed – No response",R167="Lost"),"",IF(R167="","Set a stage",IF(N(T167)&gt;=Settings!$S$3,"Close – 4 follow-ups sent",IF(U167="",IF(S167="","Make first contact",""),IF(TODAY()&gt;U167,"OVERDUE follow-up",IF(TODAY()=U167,"Follow up today",""))))))))</f>
        <v/>
      </c>
    </row>
    <row r="168" customFormat="false" ht="15" hidden="false" customHeight="false" outlineLevel="0" collapsed="false">
      <c r="A168" s="17"/>
      <c r="B168" s="38"/>
      <c r="C168" s="39"/>
      <c r="D168" s="17"/>
      <c r="E168" s="17"/>
      <c r="F168" s="17"/>
      <c r="G168" s="17"/>
      <c r="H168" s="17"/>
      <c r="I168" s="40"/>
      <c r="J168" s="17"/>
      <c r="K168" s="17"/>
      <c r="L168" s="17"/>
      <c r="M168" s="17"/>
      <c r="N168" s="38"/>
      <c r="O168" s="39"/>
      <c r="P168" s="41" t="str">
        <f aca="false">IF(OR(B168="",N168=""),"",ROUND(((N168+N(O168))-(B168+N(C168)))*24,1))</f>
        <v/>
      </c>
      <c r="Q168" s="17"/>
      <c r="R168" s="17"/>
      <c r="S168" s="38"/>
      <c r="T168" s="17"/>
      <c r="U168" s="42" t="str">
        <f aca="false">IF(OR(E168="",S168="",OR(R168="Contract signed + paid",R168="Closed – No response",R168="Lost"),N(T168)&gt;=Settings!$S$3),"",S168+Settings!$S$2)</f>
        <v/>
      </c>
      <c r="V168" s="38"/>
      <c r="W168" s="39"/>
      <c r="X168" s="17"/>
      <c r="Y168" s="17"/>
      <c r="Z168" s="17"/>
      <c r="AA168" s="43" t="str">
        <f aca="true">IF(OR(E168="",B168=""),"",INT(TODAY()-B168))</f>
        <v/>
      </c>
      <c r="AB168" s="44" t="str">
        <f aca="true">IF(E168="","",IF(OR(COUNTIFS(Clients!$C$2:$C$501,E168,Clients!$S$2:$S$501,"Paid")&gt;0,AND(I168&lt;&gt;"",COUNTIFS(Clients!$E$2:$E$501,I168,Clients!$S$2:$S$501,"Paid")&gt;0)),"⚠ Refunded before – no free video",IF(OR(R168="Contract signed + paid",R168="Closed – No response",R168="Lost"),"",IF(R168="","Set a stage",IF(N(T168)&gt;=Settings!$S$3,"Close – 4 follow-ups sent",IF(U168="",IF(S168="","Make first contact",""),IF(TODAY()&gt;U168,"OVERDUE follow-up",IF(TODAY()=U168,"Follow up today",""))))))))</f>
        <v/>
      </c>
    </row>
    <row r="169" customFormat="false" ht="15" hidden="false" customHeight="false" outlineLevel="0" collapsed="false">
      <c r="A169" s="17"/>
      <c r="B169" s="38"/>
      <c r="C169" s="39"/>
      <c r="D169" s="17"/>
      <c r="E169" s="17"/>
      <c r="F169" s="17"/>
      <c r="G169" s="17"/>
      <c r="H169" s="17"/>
      <c r="I169" s="40"/>
      <c r="J169" s="17"/>
      <c r="K169" s="17"/>
      <c r="L169" s="17"/>
      <c r="M169" s="17"/>
      <c r="N169" s="38"/>
      <c r="O169" s="39"/>
      <c r="P169" s="41" t="str">
        <f aca="false">IF(OR(B169="",N169=""),"",ROUND(((N169+N(O169))-(B169+N(C169)))*24,1))</f>
        <v/>
      </c>
      <c r="Q169" s="17"/>
      <c r="R169" s="17"/>
      <c r="S169" s="38"/>
      <c r="T169" s="17"/>
      <c r="U169" s="42" t="str">
        <f aca="false">IF(OR(E169="",S169="",OR(R169="Contract signed + paid",R169="Closed – No response",R169="Lost"),N(T169)&gt;=Settings!$S$3),"",S169+Settings!$S$2)</f>
        <v/>
      </c>
      <c r="V169" s="38"/>
      <c r="W169" s="39"/>
      <c r="X169" s="17"/>
      <c r="Y169" s="17"/>
      <c r="Z169" s="17"/>
      <c r="AA169" s="43" t="str">
        <f aca="true">IF(OR(E169="",B169=""),"",INT(TODAY()-B169))</f>
        <v/>
      </c>
      <c r="AB169" s="44" t="str">
        <f aca="true">IF(E169="","",IF(OR(COUNTIFS(Clients!$C$2:$C$501,E169,Clients!$S$2:$S$501,"Paid")&gt;0,AND(I169&lt;&gt;"",COUNTIFS(Clients!$E$2:$E$501,I169,Clients!$S$2:$S$501,"Paid")&gt;0)),"⚠ Refunded before – no free video",IF(OR(R169="Contract signed + paid",R169="Closed – No response",R169="Lost"),"",IF(R169="","Set a stage",IF(N(T169)&gt;=Settings!$S$3,"Close – 4 follow-ups sent",IF(U169="",IF(S169="","Make first contact",""),IF(TODAY()&gt;U169,"OVERDUE follow-up",IF(TODAY()=U169,"Follow up today",""))))))))</f>
        <v/>
      </c>
    </row>
    <row r="170" customFormat="false" ht="15" hidden="false" customHeight="false" outlineLevel="0" collapsed="false">
      <c r="A170" s="17"/>
      <c r="B170" s="38"/>
      <c r="C170" s="39"/>
      <c r="D170" s="17"/>
      <c r="E170" s="17"/>
      <c r="F170" s="17"/>
      <c r="G170" s="17"/>
      <c r="H170" s="17"/>
      <c r="I170" s="40"/>
      <c r="J170" s="17"/>
      <c r="K170" s="17"/>
      <c r="L170" s="17"/>
      <c r="M170" s="17"/>
      <c r="N170" s="38"/>
      <c r="O170" s="39"/>
      <c r="P170" s="41" t="str">
        <f aca="false">IF(OR(B170="",N170=""),"",ROUND(((N170+N(O170))-(B170+N(C170)))*24,1))</f>
        <v/>
      </c>
      <c r="Q170" s="17"/>
      <c r="R170" s="17"/>
      <c r="S170" s="38"/>
      <c r="T170" s="17"/>
      <c r="U170" s="42" t="str">
        <f aca="false">IF(OR(E170="",S170="",OR(R170="Contract signed + paid",R170="Closed – No response",R170="Lost"),N(T170)&gt;=Settings!$S$3),"",S170+Settings!$S$2)</f>
        <v/>
      </c>
      <c r="V170" s="38"/>
      <c r="W170" s="39"/>
      <c r="X170" s="17"/>
      <c r="Y170" s="17"/>
      <c r="Z170" s="17"/>
      <c r="AA170" s="43" t="str">
        <f aca="true">IF(OR(E170="",B170=""),"",INT(TODAY()-B170))</f>
        <v/>
      </c>
      <c r="AB170" s="44" t="str">
        <f aca="true">IF(E170="","",IF(OR(COUNTIFS(Clients!$C$2:$C$501,E170,Clients!$S$2:$S$501,"Paid")&gt;0,AND(I170&lt;&gt;"",COUNTIFS(Clients!$E$2:$E$501,I170,Clients!$S$2:$S$501,"Paid")&gt;0)),"⚠ Refunded before – no free video",IF(OR(R170="Contract signed + paid",R170="Closed – No response",R170="Lost"),"",IF(R170="","Set a stage",IF(N(T170)&gt;=Settings!$S$3,"Close – 4 follow-ups sent",IF(U170="",IF(S170="","Make first contact",""),IF(TODAY()&gt;U170,"OVERDUE follow-up",IF(TODAY()=U170,"Follow up today",""))))))))</f>
        <v/>
      </c>
    </row>
    <row r="171" customFormat="false" ht="15" hidden="false" customHeight="false" outlineLevel="0" collapsed="false">
      <c r="A171" s="17"/>
      <c r="B171" s="38"/>
      <c r="C171" s="39"/>
      <c r="D171" s="17"/>
      <c r="E171" s="17"/>
      <c r="F171" s="17"/>
      <c r="G171" s="17"/>
      <c r="H171" s="17"/>
      <c r="I171" s="40"/>
      <c r="J171" s="17"/>
      <c r="K171" s="17"/>
      <c r="L171" s="17"/>
      <c r="M171" s="17"/>
      <c r="N171" s="38"/>
      <c r="O171" s="39"/>
      <c r="P171" s="41" t="str">
        <f aca="false">IF(OR(B171="",N171=""),"",ROUND(((N171+N(O171))-(B171+N(C171)))*24,1))</f>
        <v/>
      </c>
      <c r="Q171" s="17"/>
      <c r="R171" s="17"/>
      <c r="S171" s="38"/>
      <c r="T171" s="17"/>
      <c r="U171" s="42" t="str">
        <f aca="false">IF(OR(E171="",S171="",OR(R171="Contract signed + paid",R171="Closed – No response",R171="Lost"),N(T171)&gt;=Settings!$S$3),"",S171+Settings!$S$2)</f>
        <v/>
      </c>
      <c r="V171" s="38"/>
      <c r="W171" s="39"/>
      <c r="X171" s="17"/>
      <c r="Y171" s="17"/>
      <c r="Z171" s="17"/>
      <c r="AA171" s="43" t="str">
        <f aca="true">IF(OR(E171="",B171=""),"",INT(TODAY()-B171))</f>
        <v/>
      </c>
      <c r="AB171" s="44" t="str">
        <f aca="true">IF(E171="","",IF(OR(COUNTIFS(Clients!$C$2:$C$501,E171,Clients!$S$2:$S$501,"Paid")&gt;0,AND(I171&lt;&gt;"",COUNTIFS(Clients!$E$2:$E$501,I171,Clients!$S$2:$S$501,"Paid")&gt;0)),"⚠ Refunded before – no free video",IF(OR(R171="Contract signed + paid",R171="Closed – No response",R171="Lost"),"",IF(R171="","Set a stage",IF(N(T171)&gt;=Settings!$S$3,"Close – 4 follow-ups sent",IF(U171="",IF(S171="","Make first contact",""),IF(TODAY()&gt;U171,"OVERDUE follow-up",IF(TODAY()=U171,"Follow up today",""))))))))</f>
        <v/>
      </c>
    </row>
    <row r="172" customFormat="false" ht="15" hidden="false" customHeight="false" outlineLevel="0" collapsed="false">
      <c r="A172" s="17"/>
      <c r="B172" s="38"/>
      <c r="C172" s="39"/>
      <c r="D172" s="17"/>
      <c r="E172" s="17"/>
      <c r="F172" s="17"/>
      <c r="G172" s="17"/>
      <c r="H172" s="17"/>
      <c r="I172" s="40"/>
      <c r="J172" s="17"/>
      <c r="K172" s="17"/>
      <c r="L172" s="17"/>
      <c r="M172" s="17"/>
      <c r="N172" s="38"/>
      <c r="O172" s="39"/>
      <c r="P172" s="41" t="str">
        <f aca="false">IF(OR(B172="",N172=""),"",ROUND(((N172+N(O172))-(B172+N(C172)))*24,1))</f>
        <v/>
      </c>
      <c r="Q172" s="17"/>
      <c r="R172" s="17"/>
      <c r="S172" s="38"/>
      <c r="T172" s="17"/>
      <c r="U172" s="42" t="str">
        <f aca="false">IF(OR(E172="",S172="",OR(R172="Contract signed + paid",R172="Closed – No response",R172="Lost"),N(T172)&gt;=Settings!$S$3),"",S172+Settings!$S$2)</f>
        <v/>
      </c>
      <c r="V172" s="38"/>
      <c r="W172" s="39"/>
      <c r="X172" s="17"/>
      <c r="Y172" s="17"/>
      <c r="Z172" s="17"/>
      <c r="AA172" s="43" t="str">
        <f aca="true">IF(OR(E172="",B172=""),"",INT(TODAY()-B172))</f>
        <v/>
      </c>
      <c r="AB172" s="44" t="str">
        <f aca="true">IF(E172="","",IF(OR(COUNTIFS(Clients!$C$2:$C$501,E172,Clients!$S$2:$S$501,"Paid")&gt;0,AND(I172&lt;&gt;"",COUNTIFS(Clients!$E$2:$E$501,I172,Clients!$S$2:$S$501,"Paid")&gt;0)),"⚠ Refunded before – no free video",IF(OR(R172="Contract signed + paid",R172="Closed – No response",R172="Lost"),"",IF(R172="","Set a stage",IF(N(T172)&gt;=Settings!$S$3,"Close – 4 follow-ups sent",IF(U172="",IF(S172="","Make first contact",""),IF(TODAY()&gt;U172,"OVERDUE follow-up",IF(TODAY()=U172,"Follow up today",""))))))))</f>
        <v/>
      </c>
    </row>
    <row r="173" customFormat="false" ht="15" hidden="false" customHeight="false" outlineLevel="0" collapsed="false">
      <c r="A173" s="17"/>
      <c r="B173" s="38"/>
      <c r="C173" s="39"/>
      <c r="D173" s="17"/>
      <c r="E173" s="17"/>
      <c r="F173" s="17"/>
      <c r="G173" s="17"/>
      <c r="H173" s="17"/>
      <c r="I173" s="40"/>
      <c r="J173" s="17"/>
      <c r="K173" s="17"/>
      <c r="L173" s="17"/>
      <c r="M173" s="17"/>
      <c r="N173" s="38"/>
      <c r="O173" s="39"/>
      <c r="P173" s="41" t="str">
        <f aca="false">IF(OR(B173="",N173=""),"",ROUND(((N173+N(O173))-(B173+N(C173)))*24,1))</f>
        <v/>
      </c>
      <c r="Q173" s="17"/>
      <c r="R173" s="17"/>
      <c r="S173" s="38"/>
      <c r="T173" s="17"/>
      <c r="U173" s="42" t="str">
        <f aca="false">IF(OR(E173="",S173="",OR(R173="Contract signed + paid",R173="Closed – No response",R173="Lost"),N(T173)&gt;=Settings!$S$3),"",S173+Settings!$S$2)</f>
        <v/>
      </c>
      <c r="V173" s="38"/>
      <c r="W173" s="39"/>
      <c r="X173" s="17"/>
      <c r="Y173" s="17"/>
      <c r="Z173" s="17"/>
      <c r="AA173" s="43" t="str">
        <f aca="true">IF(OR(E173="",B173=""),"",INT(TODAY()-B173))</f>
        <v/>
      </c>
      <c r="AB173" s="44" t="str">
        <f aca="true">IF(E173="","",IF(OR(COUNTIFS(Clients!$C$2:$C$501,E173,Clients!$S$2:$S$501,"Paid")&gt;0,AND(I173&lt;&gt;"",COUNTIFS(Clients!$E$2:$E$501,I173,Clients!$S$2:$S$501,"Paid")&gt;0)),"⚠ Refunded before – no free video",IF(OR(R173="Contract signed + paid",R173="Closed – No response",R173="Lost"),"",IF(R173="","Set a stage",IF(N(T173)&gt;=Settings!$S$3,"Close – 4 follow-ups sent",IF(U173="",IF(S173="","Make first contact",""),IF(TODAY()&gt;U173,"OVERDUE follow-up",IF(TODAY()=U173,"Follow up today",""))))))))</f>
        <v/>
      </c>
    </row>
    <row r="174" customFormat="false" ht="15" hidden="false" customHeight="false" outlineLevel="0" collapsed="false">
      <c r="A174" s="17"/>
      <c r="B174" s="38"/>
      <c r="C174" s="39"/>
      <c r="D174" s="17"/>
      <c r="E174" s="17"/>
      <c r="F174" s="17"/>
      <c r="G174" s="17"/>
      <c r="H174" s="17"/>
      <c r="I174" s="40"/>
      <c r="J174" s="17"/>
      <c r="K174" s="17"/>
      <c r="L174" s="17"/>
      <c r="M174" s="17"/>
      <c r="N174" s="38"/>
      <c r="O174" s="39"/>
      <c r="P174" s="41" t="str">
        <f aca="false">IF(OR(B174="",N174=""),"",ROUND(((N174+N(O174))-(B174+N(C174)))*24,1))</f>
        <v/>
      </c>
      <c r="Q174" s="17"/>
      <c r="R174" s="17"/>
      <c r="S174" s="38"/>
      <c r="T174" s="17"/>
      <c r="U174" s="42" t="str">
        <f aca="false">IF(OR(E174="",S174="",OR(R174="Contract signed + paid",R174="Closed – No response",R174="Lost"),N(T174)&gt;=Settings!$S$3),"",S174+Settings!$S$2)</f>
        <v/>
      </c>
      <c r="V174" s="38"/>
      <c r="W174" s="39"/>
      <c r="X174" s="17"/>
      <c r="Y174" s="17"/>
      <c r="Z174" s="17"/>
      <c r="AA174" s="43" t="str">
        <f aca="true">IF(OR(E174="",B174=""),"",INT(TODAY()-B174))</f>
        <v/>
      </c>
      <c r="AB174" s="44" t="str">
        <f aca="true">IF(E174="","",IF(OR(COUNTIFS(Clients!$C$2:$C$501,E174,Clients!$S$2:$S$501,"Paid")&gt;0,AND(I174&lt;&gt;"",COUNTIFS(Clients!$E$2:$E$501,I174,Clients!$S$2:$S$501,"Paid")&gt;0)),"⚠ Refunded before – no free video",IF(OR(R174="Contract signed + paid",R174="Closed – No response",R174="Lost"),"",IF(R174="","Set a stage",IF(N(T174)&gt;=Settings!$S$3,"Close – 4 follow-ups sent",IF(U174="",IF(S174="","Make first contact",""),IF(TODAY()&gt;U174,"OVERDUE follow-up",IF(TODAY()=U174,"Follow up today",""))))))))</f>
        <v/>
      </c>
    </row>
    <row r="175" customFormat="false" ht="15" hidden="false" customHeight="false" outlineLevel="0" collapsed="false">
      <c r="A175" s="17"/>
      <c r="B175" s="38"/>
      <c r="C175" s="39"/>
      <c r="D175" s="17"/>
      <c r="E175" s="17"/>
      <c r="F175" s="17"/>
      <c r="G175" s="17"/>
      <c r="H175" s="17"/>
      <c r="I175" s="40"/>
      <c r="J175" s="17"/>
      <c r="K175" s="17"/>
      <c r="L175" s="17"/>
      <c r="M175" s="17"/>
      <c r="N175" s="38"/>
      <c r="O175" s="39"/>
      <c r="P175" s="41" t="str">
        <f aca="false">IF(OR(B175="",N175=""),"",ROUND(((N175+N(O175))-(B175+N(C175)))*24,1))</f>
        <v/>
      </c>
      <c r="Q175" s="17"/>
      <c r="R175" s="17"/>
      <c r="S175" s="38"/>
      <c r="T175" s="17"/>
      <c r="U175" s="42" t="str">
        <f aca="false">IF(OR(E175="",S175="",OR(R175="Contract signed + paid",R175="Closed – No response",R175="Lost"),N(T175)&gt;=Settings!$S$3),"",S175+Settings!$S$2)</f>
        <v/>
      </c>
      <c r="V175" s="38"/>
      <c r="W175" s="39"/>
      <c r="X175" s="17"/>
      <c r="Y175" s="17"/>
      <c r="Z175" s="17"/>
      <c r="AA175" s="43" t="str">
        <f aca="true">IF(OR(E175="",B175=""),"",INT(TODAY()-B175))</f>
        <v/>
      </c>
      <c r="AB175" s="44" t="str">
        <f aca="true">IF(E175="","",IF(OR(COUNTIFS(Clients!$C$2:$C$501,E175,Clients!$S$2:$S$501,"Paid")&gt;0,AND(I175&lt;&gt;"",COUNTIFS(Clients!$E$2:$E$501,I175,Clients!$S$2:$S$501,"Paid")&gt;0)),"⚠ Refunded before – no free video",IF(OR(R175="Contract signed + paid",R175="Closed – No response",R175="Lost"),"",IF(R175="","Set a stage",IF(N(T175)&gt;=Settings!$S$3,"Close – 4 follow-ups sent",IF(U175="",IF(S175="","Make first contact",""),IF(TODAY()&gt;U175,"OVERDUE follow-up",IF(TODAY()=U175,"Follow up today",""))))))))</f>
        <v/>
      </c>
    </row>
    <row r="176" customFormat="false" ht="15" hidden="false" customHeight="false" outlineLevel="0" collapsed="false">
      <c r="A176" s="17"/>
      <c r="B176" s="38"/>
      <c r="C176" s="39"/>
      <c r="D176" s="17"/>
      <c r="E176" s="17"/>
      <c r="F176" s="17"/>
      <c r="G176" s="17"/>
      <c r="H176" s="17"/>
      <c r="I176" s="40"/>
      <c r="J176" s="17"/>
      <c r="K176" s="17"/>
      <c r="L176" s="17"/>
      <c r="M176" s="17"/>
      <c r="N176" s="38"/>
      <c r="O176" s="39"/>
      <c r="P176" s="41" t="str">
        <f aca="false">IF(OR(B176="",N176=""),"",ROUND(((N176+N(O176))-(B176+N(C176)))*24,1))</f>
        <v/>
      </c>
      <c r="Q176" s="17"/>
      <c r="R176" s="17"/>
      <c r="S176" s="38"/>
      <c r="T176" s="17"/>
      <c r="U176" s="42" t="str">
        <f aca="false">IF(OR(E176="",S176="",OR(R176="Contract signed + paid",R176="Closed – No response",R176="Lost"),N(T176)&gt;=Settings!$S$3),"",S176+Settings!$S$2)</f>
        <v/>
      </c>
      <c r="V176" s="38"/>
      <c r="W176" s="39"/>
      <c r="X176" s="17"/>
      <c r="Y176" s="17"/>
      <c r="Z176" s="17"/>
      <c r="AA176" s="43" t="str">
        <f aca="true">IF(OR(E176="",B176=""),"",INT(TODAY()-B176))</f>
        <v/>
      </c>
      <c r="AB176" s="44" t="str">
        <f aca="true">IF(E176="","",IF(OR(COUNTIFS(Clients!$C$2:$C$501,E176,Clients!$S$2:$S$501,"Paid")&gt;0,AND(I176&lt;&gt;"",COUNTIFS(Clients!$E$2:$E$501,I176,Clients!$S$2:$S$501,"Paid")&gt;0)),"⚠ Refunded before – no free video",IF(OR(R176="Contract signed + paid",R176="Closed – No response",R176="Lost"),"",IF(R176="","Set a stage",IF(N(T176)&gt;=Settings!$S$3,"Close – 4 follow-ups sent",IF(U176="",IF(S176="","Make first contact",""),IF(TODAY()&gt;U176,"OVERDUE follow-up",IF(TODAY()=U176,"Follow up today",""))))))))</f>
        <v/>
      </c>
    </row>
    <row r="177" customFormat="false" ht="15" hidden="false" customHeight="false" outlineLevel="0" collapsed="false">
      <c r="A177" s="17"/>
      <c r="B177" s="38"/>
      <c r="C177" s="39"/>
      <c r="D177" s="17"/>
      <c r="E177" s="17"/>
      <c r="F177" s="17"/>
      <c r="G177" s="17"/>
      <c r="H177" s="17"/>
      <c r="I177" s="40"/>
      <c r="J177" s="17"/>
      <c r="K177" s="17"/>
      <c r="L177" s="17"/>
      <c r="M177" s="17"/>
      <c r="N177" s="38"/>
      <c r="O177" s="39"/>
      <c r="P177" s="41" t="str">
        <f aca="false">IF(OR(B177="",N177=""),"",ROUND(((N177+N(O177))-(B177+N(C177)))*24,1))</f>
        <v/>
      </c>
      <c r="Q177" s="17"/>
      <c r="R177" s="17"/>
      <c r="S177" s="38"/>
      <c r="T177" s="17"/>
      <c r="U177" s="42" t="str">
        <f aca="false">IF(OR(E177="",S177="",OR(R177="Contract signed + paid",R177="Closed – No response",R177="Lost"),N(T177)&gt;=Settings!$S$3),"",S177+Settings!$S$2)</f>
        <v/>
      </c>
      <c r="V177" s="38"/>
      <c r="W177" s="39"/>
      <c r="X177" s="17"/>
      <c r="Y177" s="17"/>
      <c r="Z177" s="17"/>
      <c r="AA177" s="43" t="str">
        <f aca="true">IF(OR(E177="",B177=""),"",INT(TODAY()-B177))</f>
        <v/>
      </c>
      <c r="AB177" s="44" t="str">
        <f aca="true">IF(E177="","",IF(OR(COUNTIFS(Clients!$C$2:$C$501,E177,Clients!$S$2:$S$501,"Paid")&gt;0,AND(I177&lt;&gt;"",COUNTIFS(Clients!$E$2:$E$501,I177,Clients!$S$2:$S$501,"Paid")&gt;0)),"⚠ Refunded before – no free video",IF(OR(R177="Contract signed + paid",R177="Closed – No response",R177="Lost"),"",IF(R177="","Set a stage",IF(N(T177)&gt;=Settings!$S$3,"Close – 4 follow-ups sent",IF(U177="",IF(S177="","Make first contact",""),IF(TODAY()&gt;U177,"OVERDUE follow-up",IF(TODAY()=U177,"Follow up today",""))))))))</f>
        <v/>
      </c>
    </row>
    <row r="178" customFormat="false" ht="15" hidden="false" customHeight="false" outlineLevel="0" collapsed="false">
      <c r="A178" s="17"/>
      <c r="B178" s="38"/>
      <c r="C178" s="39"/>
      <c r="D178" s="17"/>
      <c r="E178" s="17"/>
      <c r="F178" s="17"/>
      <c r="G178" s="17"/>
      <c r="H178" s="17"/>
      <c r="I178" s="40"/>
      <c r="J178" s="17"/>
      <c r="K178" s="17"/>
      <c r="L178" s="17"/>
      <c r="M178" s="17"/>
      <c r="N178" s="38"/>
      <c r="O178" s="39"/>
      <c r="P178" s="41" t="str">
        <f aca="false">IF(OR(B178="",N178=""),"",ROUND(((N178+N(O178))-(B178+N(C178)))*24,1))</f>
        <v/>
      </c>
      <c r="Q178" s="17"/>
      <c r="R178" s="17"/>
      <c r="S178" s="38"/>
      <c r="T178" s="17"/>
      <c r="U178" s="42" t="str">
        <f aca="false">IF(OR(E178="",S178="",OR(R178="Contract signed + paid",R178="Closed – No response",R178="Lost"),N(T178)&gt;=Settings!$S$3),"",S178+Settings!$S$2)</f>
        <v/>
      </c>
      <c r="V178" s="38"/>
      <c r="W178" s="39"/>
      <c r="X178" s="17"/>
      <c r="Y178" s="17"/>
      <c r="Z178" s="17"/>
      <c r="AA178" s="43" t="str">
        <f aca="true">IF(OR(E178="",B178=""),"",INT(TODAY()-B178))</f>
        <v/>
      </c>
      <c r="AB178" s="44" t="str">
        <f aca="true">IF(E178="","",IF(OR(COUNTIFS(Clients!$C$2:$C$501,E178,Clients!$S$2:$S$501,"Paid")&gt;0,AND(I178&lt;&gt;"",COUNTIFS(Clients!$E$2:$E$501,I178,Clients!$S$2:$S$501,"Paid")&gt;0)),"⚠ Refunded before – no free video",IF(OR(R178="Contract signed + paid",R178="Closed – No response",R178="Lost"),"",IF(R178="","Set a stage",IF(N(T178)&gt;=Settings!$S$3,"Close – 4 follow-ups sent",IF(U178="",IF(S178="","Make first contact",""),IF(TODAY()&gt;U178,"OVERDUE follow-up",IF(TODAY()=U178,"Follow up today",""))))))))</f>
        <v/>
      </c>
    </row>
    <row r="179" customFormat="false" ht="15" hidden="false" customHeight="false" outlineLevel="0" collapsed="false">
      <c r="A179" s="17"/>
      <c r="B179" s="38"/>
      <c r="C179" s="39"/>
      <c r="D179" s="17"/>
      <c r="E179" s="17"/>
      <c r="F179" s="17"/>
      <c r="G179" s="17"/>
      <c r="H179" s="17"/>
      <c r="I179" s="40"/>
      <c r="J179" s="17"/>
      <c r="K179" s="17"/>
      <c r="L179" s="17"/>
      <c r="M179" s="17"/>
      <c r="N179" s="38"/>
      <c r="O179" s="39"/>
      <c r="P179" s="41" t="str">
        <f aca="false">IF(OR(B179="",N179=""),"",ROUND(((N179+N(O179))-(B179+N(C179)))*24,1))</f>
        <v/>
      </c>
      <c r="Q179" s="17"/>
      <c r="R179" s="17"/>
      <c r="S179" s="38"/>
      <c r="T179" s="17"/>
      <c r="U179" s="42" t="str">
        <f aca="false">IF(OR(E179="",S179="",OR(R179="Contract signed + paid",R179="Closed – No response",R179="Lost"),N(T179)&gt;=Settings!$S$3),"",S179+Settings!$S$2)</f>
        <v/>
      </c>
      <c r="V179" s="38"/>
      <c r="W179" s="39"/>
      <c r="X179" s="17"/>
      <c r="Y179" s="17"/>
      <c r="Z179" s="17"/>
      <c r="AA179" s="43" t="str">
        <f aca="true">IF(OR(E179="",B179=""),"",INT(TODAY()-B179))</f>
        <v/>
      </c>
      <c r="AB179" s="44" t="str">
        <f aca="true">IF(E179="","",IF(OR(COUNTIFS(Clients!$C$2:$C$501,E179,Clients!$S$2:$S$501,"Paid")&gt;0,AND(I179&lt;&gt;"",COUNTIFS(Clients!$E$2:$E$501,I179,Clients!$S$2:$S$501,"Paid")&gt;0)),"⚠ Refunded before – no free video",IF(OR(R179="Contract signed + paid",R179="Closed – No response",R179="Lost"),"",IF(R179="","Set a stage",IF(N(T179)&gt;=Settings!$S$3,"Close – 4 follow-ups sent",IF(U179="",IF(S179="","Make first contact",""),IF(TODAY()&gt;U179,"OVERDUE follow-up",IF(TODAY()=U179,"Follow up today",""))))))))</f>
        <v/>
      </c>
    </row>
    <row r="180" customFormat="false" ht="15" hidden="false" customHeight="false" outlineLevel="0" collapsed="false">
      <c r="A180" s="17"/>
      <c r="B180" s="38"/>
      <c r="C180" s="39"/>
      <c r="D180" s="17"/>
      <c r="E180" s="17"/>
      <c r="F180" s="17"/>
      <c r="G180" s="17"/>
      <c r="H180" s="17"/>
      <c r="I180" s="40"/>
      <c r="J180" s="17"/>
      <c r="K180" s="17"/>
      <c r="L180" s="17"/>
      <c r="M180" s="17"/>
      <c r="N180" s="38"/>
      <c r="O180" s="39"/>
      <c r="P180" s="41" t="str">
        <f aca="false">IF(OR(B180="",N180=""),"",ROUND(((N180+N(O180))-(B180+N(C180)))*24,1))</f>
        <v/>
      </c>
      <c r="Q180" s="17"/>
      <c r="R180" s="17"/>
      <c r="S180" s="38"/>
      <c r="T180" s="17"/>
      <c r="U180" s="42" t="str">
        <f aca="false">IF(OR(E180="",S180="",OR(R180="Contract signed + paid",R180="Closed – No response",R180="Lost"),N(T180)&gt;=Settings!$S$3),"",S180+Settings!$S$2)</f>
        <v/>
      </c>
      <c r="V180" s="38"/>
      <c r="W180" s="39"/>
      <c r="X180" s="17"/>
      <c r="Y180" s="17"/>
      <c r="Z180" s="17"/>
      <c r="AA180" s="43" t="str">
        <f aca="true">IF(OR(E180="",B180=""),"",INT(TODAY()-B180))</f>
        <v/>
      </c>
      <c r="AB180" s="44" t="str">
        <f aca="true">IF(E180="","",IF(OR(COUNTIFS(Clients!$C$2:$C$501,E180,Clients!$S$2:$S$501,"Paid")&gt;0,AND(I180&lt;&gt;"",COUNTIFS(Clients!$E$2:$E$501,I180,Clients!$S$2:$S$501,"Paid")&gt;0)),"⚠ Refunded before – no free video",IF(OR(R180="Contract signed + paid",R180="Closed – No response",R180="Lost"),"",IF(R180="","Set a stage",IF(N(T180)&gt;=Settings!$S$3,"Close – 4 follow-ups sent",IF(U180="",IF(S180="","Make first contact",""),IF(TODAY()&gt;U180,"OVERDUE follow-up",IF(TODAY()=U180,"Follow up today",""))))))))</f>
        <v/>
      </c>
    </row>
    <row r="181" customFormat="false" ht="15" hidden="false" customHeight="false" outlineLevel="0" collapsed="false">
      <c r="A181" s="17"/>
      <c r="B181" s="38"/>
      <c r="C181" s="39"/>
      <c r="D181" s="17"/>
      <c r="E181" s="17"/>
      <c r="F181" s="17"/>
      <c r="G181" s="17"/>
      <c r="H181" s="17"/>
      <c r="I181" s="40"/>
      <c r="J181" s="17"/>
      <c r="K181" s="17"/>
      <c r="L181" s="17"/>
      <c r="M181" s="17"/>
      <c r="N181" s="38"/>
      <c r="O181" s="39"/>
      <c r="P181" s="41" t="str">
        <f aca="false">IF(OR(B181="",N181=""),"",ROUND(((N181+N(O181))-(B181+N(C181)))*24,1))</f>
        <v/>
      </c>
      <c r="Q181" s="17"/>
      <c r="R181" s="17"/>
      <c r="S181" s="38"/>
      <c r="T181" s="17"/>
      <c r="U181" s="42" t="str">
        <f aca="false">IF(OR(E181="",S181="",OR(R181="Contract signed + paid",R181="Closed – No response",R181="Lost"),N(T181)&gt;=Settings!$S$3),"",S181+Settings!$S$2)</f>
        <v/>
      </c>
      <c r="V181" s="38"/>
      <c r="W181" s="39"/>
      <c r="X181" s="17"/>
      <c r="Y181" s="17"/>
      <c r="Z181" s="17"/>
      <c r="AA181" s="43" t="str">
        <f aca="true">IF(OR(E181="",B181=""),"",INT(TODAY()-B181))</f>
        <v/>
      </c>
      <c r="AB181" s="44" t="str">
        <f aca="true">IF(E181="","",IF(OR(COUNTIFS(Clients!$C$2:$C$501,E181,Clients!$S$2:$S$501,"Paid")&gt;0,AND(I181&lt;&gt;"",COUNTIFS(Clients!$E$2:$E$501,I181,Clients!$S$2:$S$501,"Paid")&gt;0)),"⚠ Refunded before – no free video",IF(OR(R181="Contract signed + paid",R181="Closed – No response",R181="Lost"),"",IF(R181="","Set a stage",IF(N(T181)&gt;=Settings!$S$3,"Close – 4 follow-ups sent",IF(U181="",IF(S181="","Make first contact",""),IF(TODAY()&gt;U181,"OVERDUE follow-up",IF(TODAY()=U181,"Follow up today",""))))))))</f>
        <v/>
      </c>
    </row>
    <row r="182" customFormat="false" ht="15" hidden="false" customHeight="false" outlineLevel="0" collapsed="false">
      <c r="A182" s="17"/>
      <c r="B182" s="38"/>
      <c r="C182" s="39"/>
      <c r="D182" s="17"/>
      <c r="E182" s="17"/>
      <c r="F182" s="17"/>
      <c r="G182" s="17"/>
      <c r="H182" s="17"/>
      <c r="I182" s="40"/>
      <c r="J182" s="17"/>
      <c r="K182" s="17"/>
      <c r="L182" s="17"/>
      <c r="M182" s="17"/>
      <c r="N182" s="38"/>
      <c r="O182" s="39"/>
      <c r="P182" s="41" t="str">
        <f aca="false">IF(OR(B182="",N182=""),"",ROUND(((N182+N(O182))-(B182+N(C182)))*24,1))</f>
        <v/>
      </c>
      <c r="Q182" s="17"/>
      <c r="R182" s="17"/>
      <c r="S182" s="38"/>
      <c r="T182" s="17"/>
      <c r="U182" s="42" t="str">
        <f aca="false">IF(OR(E182="",S182="",OR(R182="Contract signed + paid",R182="Closed – No response",R182="Lost"),N(T182)&gt;=Settings!$S$3),"",S182+Settings!$S$2)</f>
        <v/>
      </c>
      <c r="V182" s="38"/>
      <c r="W182" s="39"/>
      <c r="X182" s="17"/>
      <c r="Y182" s="17"/>
      <c r="Z182" s="17"/>
      <c r="AA182" s="43" t="str">
        <f aca="true">IF(OR(E182="",B182=""),"",INT(TODAY()-B182))</f>
        <v/>
      </c>
      <c r="AB182" s="44" t="str">
        <f aca="true">IF(E182="","",IF(OR(COUNTIFS(Clients!$C$2:$C$501,E182,Clients!$S$2:$S$501,"Paid")&gt;0,AND(I182&lt;&gt;"",COUNTIFS(Clients!$E$2:$E$501,I182,Clients!$S$2:$S$501,"Paid")&gt;0)),"⚠ Refunded before – no free video",IF(OR(R182="Contract signed + paid",R182="Closed – No response",R182="Lost"),"",IF(R182="","Set a stage",IF(N(T182)&gt;=Settings!$S$3,"Close – 4 follow-ups sent",IF(U182="",IF(S182="","Make first contact",""),IF(TODAY()&gt;U182,"OVERDUE follow-up",IF(TODAY()=U182,"Follow up today",""))))))))</f>
        <v/>
      </c>
    </row>
    <row r="183" customFormat="false" ht="15" hidden="false" customHeight="false" outlineLevel="0" collapsed="false">
      <c r="A183" s="17"/>
      <c r="B183" s="38"/>
      <c r="C183" s="39"/>
      <c r="D183" s="17"/>
      <c r="E183" s="17"/>
      <c r="F183" s="17"/>
      <c r="G183" s="17"/>
      <c r="H183" s="17"/>
      <c r="I183" s="40"/>
      <c r="J183" s="17"/>
      <c r="K183" s="17"/>
      <c r="L183" s="17"/>
      <c r="M183" s="17"/>
      <c r="N183" s="38"/>
      <c r="O183" s="39"/>
      <c r="P183" s="41" t="str">
        <f aca="false">IF(OR(B183="",N183=""),"",ROUND(((N183+N(O183))-(B183+N(C183)))*24,1))</f>
        <v/>
      </c>
      <c r="Q183" s="17"/>
      <c r="R183" s="17"/>
      <c r="S183" s="38"/>
      <c r="T183" s="17"/>
      <c r="U183" s="42" t="str">
        <f aca="false">IF(OR(E183="",S183="",OR(R183="Contract signed + paid",R183="Closed – No response",R183="Lost"),N(T183)&gt;=Settings!$S$3),"",S183+Settings!$S$2)</f>
        <v/>
      </c>
      <c r="V183" s="38"/>
      <c r="W183" s="39"/>
      <c r="X183" s="17"/>
      <c r="Y183" s="17"/>
      <c r="Z183" s="17"/>
      <c r="AA183" s="43" t="str">
        <f aca="true">IF(OR(E183="",B183=""),"",INT(TODAY()-B183))</f>
        <v/>
      </c>
      <c r="AB183" s="44" t="str">
        <f aca="true">IF(E183="","",IF(OR(COUNTIFS(Clients!$C$2:$C$501,E183,Clients!$S$2:$S$501,"Paid")&gt;0,AND(I183&lt;&gt;"",COUNTIFS(Clients!$E$2:$E$501,I183,Clients!$S$2:$S$501,"Paid")&gt;0)),"⚠ Refunded before – no free video",IF(OR(R183="Contract signed + paid",R183="Closed – No response",R183="Lost"),"",IF(R183="","Set a stage",IF(N(T183)&gt;=Settings!$S$3,"Close – 4 follow-ups sent",IF(U183="",IF(S183="","Make first contact",""),IF(TODAY()&gt;U183,"OVERDUE follow-up",IF(TODAY()=U183,"Follow up today",""))))))))</f>
        <v/>
      </c>
    </row>
    <row r="184" customFormat="false" ht="15" hidden="false" customHeight="false" outlineLevel="0" collapsed="false">
      <c r="A184" s="17"/>
      <c r="B184" s="38"/>
      <c r="C184" s="39"/>
      <c r="D184" s="17"/>
      <c r="E184" s="17"/>
      <c r="F184" s="17"/>
      <c r="G184" s="17"/>
      <c r="H184" s="17"/>
      <c r="I184" s="40"/>
      <c r="J184" s="17"/>
      <c r="K184" s="17"/>
      <c r="L184" s="17"/>
      <c r="M184" s="17"/>
      <c r="N184" s="38"/>
      <c r="O184" s="39"/>
      <c r="P184" s="41" t="str">
        <f aca="false">IF(OR(B184="",N184=""),"",ROUND(((N184+N(O184))-(B184+N(C184)))*24,1))</f>
        <v/>
      </c>
      <c r="Q184" s="17"/>
      <c r="R184" s="17"/>
      <c r="S184" s="38"/>
      <c r="T184" s="17"/>
      <c r="U184" s="42" t="str">
        <f aca="false">IF(OR(E184="",S184="",OR(R184="Contract signed + paid",R184="Closed – No response",R184="Lost"),N(T184)&gt;=Settings!$S$3),"",S184+Settings!$S$2)</f>
        <v/>
      </c>
      <c r="V184" s="38"/>
      <c r="W184" s="39"/>
      <c r="X184" s="17"/>
      <c r="Y184" s="17"/>
      <c r="Z184" s="17"/>
      <c r="AA184" s="43" t="str">
        <f aca="true">IF(OR(E184="",B184=""),"",INT(TODAY()-B184))</f>
        <v/>
      </c>
      <c r="AB184" s="44" t="str">
        <f aca="true">IF(E184="","",IF(OR(COUNTIFS(Clients!$C$2:$C$501,E184,Clients!$S$2:$S$501,"Paid")&gt;0,AND(I184&lt;&gt;"",COUNTIFS(Clients!$E$2:$E$501,I184,Clients!$S$2:$S$501,"Paid")&gt;0)),"⚠ Refunded before – no free video",IF(OR(R184="Contract signed + paid",R184="Closed – No response",R184="Lost"),"",IF(R184="","Set a stage",IF(N(T184)&gt;=Settings!$S$3,"Close – 4 follow-ups sent",IF(U184="",IF(S184="","Make first contact",""),IF(TODAY()&gt;U184,"OVERDUE follow-up",IF(TODAY()=U184,"Follow up today",""))))))))</f>
        <v/>
      </c>
    </row>
    <row r="185" customFormat="false" ht="15" hidden="false" customHeight="false" outlineLevel="0" collapsed="false">
      <c r="A185" s="17"/>
      <c r="B185" s="38"/>
      <c r="C185" s="39"/>
      <c r="D185" s="17"/>
      <c r="E185" s="17"/>
      <c r="F185" s="17"/>
      <c r="G185" s="17"/>
      <c r="H185" s="17"/>
      <c r="I185" s="40"/>
      <c r="J185" s="17"/>
      <c r="K185" s="17"/>
      <c r="L185" s="17"/>
      <c r="M185" s="17"/>
      <c r="N185" s="38"/>
      <c r="O185" s="39"/>
      <c r="P185" s="41" t="str">
        <f aca="false">IF(OR(B185="",N185=""),"",ROUND(((N185+N(O185))-(B185+N(C185)))*24,1))</f>
        <v/>
      </c>
      <c r="Q185" s="17"/>
      <c r="R185" s="17"/>
      <c r="S185" s="38"/>
      <c r="T185" s="17"/>
      <c r="U185" s="42" t="str">
        <f aca="false">IF(OR(E185="",S185="",OR(R185="Contract signed + paid",R185="Closed – No response",R185="Lost"),N(T185)&gt;=Settings!$S$3),"",S185+Settings!$S$2)</f>
        <v/>
      </c>
      <c r="V185" s="38"/>
      <c r="W185" s="39"/>
      <c r="X185" s="17"/>
      <c r="Y185" s="17"/>
      <c r="Z185" s="17"/>
      <c r="AA185" s="43" t="str">
        <f aca="true">IF(OR(E185="",B185=""),"",INT(TODAY()-B185))</f>
        <v/>
      </c>
      <c r="AB185" s="44" t="str">
        <f aca="true">IF(E185="","",IF(OR(COUNTIFS(Clients!$C$2:$C$501,E185,Clients!$S$2:$S$501,"Paid")&gt;0,AND(I185&lt;&gt;"",COUNTIFS(Clients!$E$2:$E$501,I185,Clients!$S$2:$S$501,"Paid")&gt;0)),"⚠ Refunded before – no free video",IF(OR(R185="Contract signed + paid",R185="Closed – No response",R185="Lost"),"",IF(R185="","Set a stage",IF(N(T185)&gt;=Settings!$S$3,"Close – 4 follow-ups sent",IF(U185="",IF(S185="","Make first contact",""),IF(TODAY()&gt;U185,"OVERDUE follow-up",IF(TODAY()=U185,"Follow up today",""))))))))</f>
        <v/>
      </c>
    </row>
    <row r="186" customFormat="false" ht="15" hidden="false" customHeight="false" outlineLevel="0" collapsed="false">
      <c r="A186" s="17"/>
      <c r="B186" s="38"/>
      <c r="C186" s="39"/>
      <c r="D186" s="17"/>
      <c r="E186" s="17"/>
      <c r="F186" s="17"/>
      <c r="G186" s="17"/>
      <c r="H186" s="17"/>
      <c r="I186" s="40"/>
      <c r="J186" s="17"/>
      <c r="K186" s="17"/>
      <c r="L186" s="17"/>
      <c r="M186" s="17"/>
      <c r="N186" s="38"/>
      <c r="O186" s="39"/>
      <c r="P186" s="41" t="str">
        <f aca="false">IF(OR(B186="",N186=""),"",ROUND(((N186+N(O186))-(B186+N(C186)))*24,1))</f>
        <v/>
      </c>
      <c r="Q186" s="17"/>
      <c r="R186" s="17"/>
      <c r="S186" s="38"/>
      <c r="T186" s="17"/>
      <c r="U186" s="42" t="str">
        <f aca="false">IF(OR(E186="",S186="",OR(R186="Contract signed + paid",R186="Closed – No response",R186="Lost"),N(T186)&gt;=Settings!$S$3),"",S186+Settings!$S$2)</f>
        <v/>
      </c>
      <c r="V186" s="38"/>
      <c r="W186" s="39"/>
      <c r="X186" s="17"/>
      <c r="Y186" s="17"/>
      <c r="Z186" s="17"/>
      <c r="AA186" s="43" t="str">
        <f aca="true">IF(OR(E186="",B186=""),"",INT(TODAY()-B186))</f>
        <v/>
      </c>
      <c r="AB186" s="44" t="str">
        <f aca="true">IF(E186="","",IF(OR(COUNTIFS(Clients!$C$2:$C$501,E186,Clients!$S$2:$S$501,"Paid")&gt;0,AND(I186&lt;&gt;"",COUNTIFS(Clients!$E$2:$E$501,I186,Clients!$S$2:$S$501,"Paid")&gt;0)),"⚠ Refunded before – no free video",IF(OR(R186="Contract signed + paid",R186="Closed – No response",R186="Lost"),"",IF(R186="","Set a stage",IF(N(T186)&gt;=Settings!$S$3,"Close – 4 follow-ups sent",IF(U186="",IF(S186="","Make first contact",""),IF(TODAY()&gt;U186,"OVERDUE follow-up",IF(TODAY()=U186,"Follow up today",""))))))))</f>
        <v/>
      </c>
    </row>
    <row r="187" customFormat="false" ht="15" hidden="false" customHeight="false" outlineLevel="0" collapsed="false">
      <c r="A187" s="17"/>
      <c r="B187" s="38"/>
      <c r="C187" s="39"/>
      <c r="D187" s="17"/>
      <c r="E187" s="17"/>
      <c r="F187" s="17"/>
      <c r="G187" s="17"/>
      <c r="H187" s="17"/>
      <c r="I187" s="40"/>
      <c r="J187" s="17"/>
      <c r="K187" s="17"/>
      <c r="L187" s="17"/>
      <c r="M187" s="17"/>
      <c r="N187" s="38"/>
      <c r="O187" s="39"/>
      <c r="P187" s="41" t="str">
        <f aca="false">IF(OR(B187="",N187=""),"",ROUND(((N187+N(O187))-(B187+N(C187)))*24,1))</f>
        <v/>
      </c>
      <c r="Q187" s="17"/>
      <c r="R187" s="17"/>
      <c r="S187" s="38"/>
      <c r="T187" s="17"/>
      <c r="U187" s="42" t="str">
        <f aca="false">IF(OR(E187="",S187="",OR(R187="Contract signed + paid",R187="Closed – No response",R187="Lost"),N(T187)&gt;=Settings!$S$3),"",S187+Settings!$S$2)</f>
        <v/>
      </c>
      <c r="V187" s="38"/>
      <c r="W187" s="39"/>
      <c r="X187" s="17"/>
      <c r="Y187" s="17"/>
      <c r="Z187" s="17"/>
      <c r="AA187" s="43" t="str">
        <f aca="true">IF(OR(E187="",B187=""),"",INT(TODAY()-B187))</f>
        <v/>
      </c>
      <c r="AB187" s="44" t="str">
        <f aca="true">IF(E187="","",IF(OR(COUNTIFS(Clients!$C$2:$C$501,E187,Clients!$S$2:$S$501,"Paid")&gt;0,AND(I187&lt;&gt;"",COUNTIFS(Clients!$E$2:$E$501,I187,Clients!$S$2:$S$501,"Paid")&gt;0)),"⚠ Refunded before – no free video",IF(OR(R187="Contract signed + paid",R187="Closed – No response",R187="Lost"),"",IF(R187="","Set a stage",IF(N(T187)&gt;=Settings!$S$3,"Close – 4 follow-ups sent",IF(U187="",IF(S187="","Make first contact",""),IF(TODAY()&gt;U187,"OVERDUE follow-up",IF(TODAY()=U187,"Follow up today",""))))))))</f>
        <v/>
      </c>
    </row>
    <row r="188" customFormat="false" ht="15" hidden="false" customHeight="false" outlineLevel="0" collapsed="false">
      <c r="A188" s="17"/>
      <c r="B188" s="38"/>
      <c r="C188" s="39"/>
      <c r="D188" s="17"/>
      <c r="E188" s="17"/>
      <c r="F188" s="17"/>
      <c r="G188" s="17"/>
      <c r="H188" s="17"/>
      <c r="I188" s="40"/>
      <c r="J188" s="17"/>
      <c r="K188" s="17"/>
      <c r="L188" s="17"/>
      <c r="M188" s="17"/>
      <c r="N188" s="38"/>
      <c r="O188" s="39"/>
      <c r="P188" s="41" t="str">
        <f aca="false">IF(OR(B188="",N188=""),"",ROUND(((N188+N(O188))-(B188+N(C188)))*24,1))</f>
        <v/>
      </c>
      <c r="Q188" s="17"/>
      <c r="R188" s="17"/>
      <c r="S188" s="38"/>
      <c r="T188" s="17"/>
      <c r="U188" s="42" t="str">
        <f aca="false">IF(OR(E188="",S188="",OR(R188="Contract signed + paid",R188="Closed – No response",R188="Lost"),N(T188)&gt;=Settings!$S$3),"",S188+Settings!$S$2)</f>
        <v/>
      </c>
      <c r="V188" s="38"/>
      <c r="W188" s="39"/>
      <c r="X188" s="17"/>
      <c r="Y188" s="17"/>
      <c r="Z188" s="17"/>
      <c r="AA188" s="43" t="str">
        <f aca="true">IF(OR(E188="",B188=""),"",INT(TODAY()-B188))</f>
        <v/>
      </c>
      <c r="AB188" s="44" t="str">
        <f aca="true">IF(E188="","",IF(OR(COUNTIFS(Clients!$C$2:$C$501,E188,Clients!$S$2:$S$501,"Paid")&gt;0,AND(I188&lt;&gt;"",COUNTIFS(Clients!$E$2:$E$501,I188,Clients!$S$2:$S$501,"Paid")&gt;0)),"⚠ Refunded before – no free video",IF(OR(R188="Contract signed + paid",R188="Closed – No response",R188="Lost"),"",IF(R188="","Set a stage",IF(N(T188)&gt;=Settings!$S$3,"Close – 4 follow-ups sent",IF(U188="",IF(S188="","Make first contact",""),IF(TODAY()&gt;U188,"OVERDUE follow-up",IF(TODAY()=U188,"Follow up today",""))))))))</f>
        <v/>
      </c>
    </row>
    <row r="189" customFormat="false" ht="15" hidden="false" customHeight="false" outlineLevel="0" collapsed="false">
      <c r="A189" s="17"/>
      <c r="B189" s="38"/>
      <c r="C189" s="39"/>
      <c r="D189" s="17"/>
      <c r="E189" s="17"/>
      <c r="F189" s="17"/>
      <c r="G189" s="17"/>
      <c r="H189" s="17"/>
      <c r="I189" s="40"/>
      <c r="J189" s="17"/>
      <c r="K189" s="17"/>
      <c r="L189" s="17"/>
      <c r="M189" s="17"/>
      <c r="N189" s="38"/>
      <c r="O189" s="39"/>
      <c r="P189" s="41" t="str">
        <f aca="false">IF(OR(B189="",N189=""),"",ROUND(((N189+N(O189))-(B189+N(C189)))*24,1))</f>
        <v/>
      </c>
      <c r="Q189" s="17"/>
      <c r="R189" s="17"/>
      <c r="S189" s="38"/>
      <c r="T189" s="17"/>
      <c r="U189" s="42" t="str">
        <f aca="false">IF(OR(E189="",S189="",OR(R189="Contract signed + paid",R189="Closed – No response",R189="Lost"),N(T189)&gt;=Settings!$S$3),"",S189+Settings!$S$2)</f>
        <v/>
      </c>
      <c r="V189" s="38"/>
      <c r="W189" s="39"/>
      <c r="X189" s="17"/>
      <c r="Y189" s="17"/>
      <c r="Z189" s="17"/>
      <c r="AA189" s="43" t="str">
        <f aca="true">IF(OR(E189="",B189=""),"",INT(TODAY()-B189))</f>
        <v/>
      </c>
      <c r="AB189" s="44" t="str">
        <f aca="true">IF(E189="","",IF(OR(COUNTIFS(Clients!$C$2:$C$501,E189,Clients!$S$2:$S$501,"Paid")&gt;0,AND(I189&lt;&gt;"",COUNTIFS(Clients!$E$2:$E$501,I189,Clients!$S$2:$S$501,"Paid")&gt;0)),"⚠ Refunded before – no free video",IF(OR(R189="Contract signed + paid",R189="Closed – No response",R189="Lost"),"",IF(R189="","Set a stage",IF(N(T189)&gt;=Settings!$S$3,"Close – 4 follow-ups sent",IF(U189="",IF(S189="","Make first contact",""),IF(TODAY()&gt;U189,"OVERDUE follow-up",IF(TODAY()=U189,"Follow up today",""))))))))</f>
        <v/>
      </c>
    </row>
    <row r="190" customFormat="false" ht="15" hidden="false" customHeight="false" outlineLevel="0" collapsed="false">
      <c r="A190" s="17"/>
      <c r="B190" s="38"/>
      <c r="C190" s="39"/>
      <c r="D190" s="17"/>
      <c r="E190" s="17"/>
      <c r="F190" s="17"/>
      <c r="G190" s="17"/>
      <c r="H190" s="17"/>
      <c r="I190" s="40"/>
      <c r="J190" s="17"/>
      <c r="K190" s="17"/>
      <c r="L190" s="17"/>
      <c r="M190" s="17"/>
      <c r="N190" s="38"/>
      <c r="O190" s="39"/>
      <c r="P190" s="41" t="str">
        <f aca="false">IF(OR(B190="",N190=""),"",ROUND(((N190+N(O190))-(B190+N(C190)))*24,1))</f>
        <v/>
      </c>
      <c r="Q190" s="17"/>
      <c r="R190" s="17"/>
      <c r="S190" s="38"/>
      <c r="T190" s="17"/>
      <c r="U190" s="42" t="str">
        <f aca="false">IF(OR(E190="",S190="",OR(R190="Contract signed + paid",R190="Closed – No response",R190="Lost"),N(T190)&gt;=Settings!$S$3),"",S190+Settings!$S$2)</f>
        <v/>
      </c>
      <c r="V190" s="38"/>
      <c r="W190" s="39"/>
      <c r="X190" s="17"/>
      <c r="Y190" s="17"/>
      <c r="Z190" s="17"/>
      <c r="AA190" s="43" t="str">
        <f aca="true">IF(OR(E190="",B190=""),"",INT(TODAY()-B190))</f>
        <v/>
      </c>
      <c r="AB190" s="44" t="str">
        <f aca="true">IF(E190="","",IF(OR(COUNTIFS(Clients!$C$2:$C$501,E190,Clients!$S$2:$S$501,"Paid")&gt;0,AND(I190&lt;&gt;"",COUNTIFS(Clients!$E$2:$E$501,I190,Clients!$S$2:$S$501,"Paid")&gt;0)),"⚠ Refunded before – no free video",IF(OR(R190="Contract signed + paid",R190="Closed – No response",R190="Lost"),"",IF(R190="","Set a stage",IF(N(T190)&gt;=Settings!$S$3,"Close – 4 follow-ups sent",IF(U190="",IF(S190="","Make first contact",""),IF(TODAY()&gt;U190,"OVERDUE follow-up",IF(TODAY()=U190,"Follow up today",""))))))))</f>
        <v/>
      </c>
    </row>
    <row r="191" customFormat="false" ht="15" hidden="false" customHeight="false" outlineLevel="0" collapsed="false">
      <c r="A191" s="17"/>
      <c r="B191" s="38"/>
      <c r="C191" s="39"/>
      <c r="D191" s="17"/>
      <c r="E191" s="17"/>
      <c r="F191" s="17"/>
      <c r="G191" s="17"/>
      <c r="H191" s="17"/>
      <c r="I191" s="40"/>
      <c r="J191" s="17"/>
      <c r="K191" s="17"/>
      <c r="L191" s="17"/>
      <c r="M191" s="17"/>
      <c r="N191" s="38"/>
      <c r="O191" s="39"/>
      <c r="P191" s="41" t="str">
        <f aca="false">IF(OR(B191="",N191=""),"",ROUND(((N191+N(O191))-(B191+N(C191)))*24,1))</f>
        <v/>
      </c>
      <c r="Q191" s="17"/>
      <c r="R191" s="17"/>
      <c r="S191" s="38"/>
      <c r="T191" s="17"/>
      <c r="U191" s="42" t="str">
        <f aca="false">IF(OR(E191="",S191="",OR(R191="Contract signed + paid",R191="Closed – No response",R191="Lost"),N(T191)&gt;=Settings!$S$3),"",S191+Settings!$S$2)</f>
        <v/>
      </c>
      <c r="V191" s="38"/>
      <c r="W191" s="39"/>
      <c r="X191" s="17"/>
      <c r="Y191" s="17"/>
      <c r="Z191" s="17"/>
      <c r="AA191" s="43" t="str">
        <f aca="true">IF(OR(E191="",B191=""),"",INT(TODAY()-B191))</f>
        <v/>
      </c>
      <c r="AB191" s="44" t="str">
        <f aca="true">IF(E191="","",IF(OR(COUNTIFS(Clients!$C$2:$C$501,E191,Clients!$S$2:$S$501,"Paid")&gt;0,AND(I191&lt;&gt;"",COUNTIFS(Clients!$E$2:$E$501,I191,Clients!$S$2:$S$501,"Paid")&gt;0)),"⚠ Refunded before – no free video",IF(OR(R191="Contract signed + paid",R191="Closed – No response",R191="Lost"),"",IF(R191="","Set a stage",IF(N(T191)&gt;=Settings!$S$3,"Close – 4 follow-ups sent",IF(U191="",IF(S191="","Make first contact",""),IF(TODAY()&gt;U191,"OVERDUE follow-up",IF(TODAY()=U191,"Follow up today",""))))))))</f>
        <v/>
      </c>
    </row>
    <row r="192" customFormat="false" ht="15" hidden="false" customHeight="false" outlineLevel="0" collapsed="false">
      <c r="A192" s="17"/>
      <c r="B192" s="38"/>
      <c r="C192" s="39"/>
      <c r="D192" s="17"/>
      <c r="E192" s="17"/>
      <c r="F192" s="17"/>
      <c r="G192" s="17"/>
      <c r="H192" s="17"/>
      <c r="I192" s="40"/>
      <c r="J192" s="17"/>
      <c r="K192" s="17"/>
      <c r="L192" s="17"/>
      <c r="M192" s="17"/>
      <c r="N192" s="38"/>
      <c r="O192" s="39"/>
      <c r="P192" s="41" t="str">
        <f aca="false">IF(OR(B192="",N192=""),"",ROUND(((N192+N(O192))-(B192+N(C192)))*24,1))</f>
        <v/>
      </c>
      <c r="Q192" s="17"/>
      <c r="R192" s="17"/>
      <c r="S192" s="38"/>
      <c r="T192" s="17"/>
      <c r="U192" s="42" t="str">
        <f aca="false">IF(OR(E192="",S192="",OR(R192="Contract signed + paid",R192="Closed – No response",R192="Lost"),N(T192)&gt;=Settings!$S$3),"",S192+Settings!$S$2)</f>
        <v/>
      </c>
      <c r="V192" s="38"/>
      <c r="W192" s="39"/>
      <c r="X192" s="17"/>
      <c r="Y192" s="17"/>
      <c r="Z192" s="17"/>
      <c r="AA192" s="43" t="str">
        <f aca="true">IF(OR(E192="",B192=""),"",INT(TODAY()-B192))</f>
        <v/>
      </c>
      <c r="AB192" s="44" t="str">
        <f aca="true">IF(E192="","",IF(OR(COUNTIFS(Clients!$C$2:$C$501,E192,Clients!$S$2:$S$501,"Paid")&gt;0,AND(I192&lt;&gt;"",COUNTIFS(Clients!$E$2:$E$501,I192,Clients!$S$2:$S$501,"Paid")&gt;0)),"⚠ Refunded before – no free video",IF(OR(R192="Contract signed + paid",R192="Closed – No response",R192="Lost"),"",IF(R192="","Set a stage",IF(N(T192)&gt;=Settings!$S$3,"Close – 4 follow-ups sent",IF(U192="",IF(S192="","Make first contact",""),IF(TODAY()&gt;U192,"OVERDUE follow-up",IF(TODAY()=U192,"Follow up today",""))))))))</f>
        <v/>
      </c>
    </row>
    <row r="193" customFormat="false" ht="15" hidden="false" customHeight="false" outlineLevel="0" collapsed="false">
      <c r="A193" s="17"/>
      <c r="B193" s="38"/>
      <c r="C193" s="39"/>
      <c r="D193" s="17"/>
      <c r="E193" s="17"/>
      <c r="F193" s="17"/>
      <c r="G193" s="17"/>
      <c r="H193" s="17"/>
      <c r="I193" s="40"/>
      <c r="J193" s="17"/>
      <c r="K193" s="17"/>
      <c r="L193" s="17"/>
      <c r="M193" s="17"/>
      <c r="N193" s="38"/>
      <c r="O193" s="39"/>
      <c r="P193" s="41" t="str">
        <f aca="false">IF(OR(B193="",N193=""),"",ROUND(((N193+N(O193))-(B193+N(C193)))*24,1))</f>
        <v/>
      </c>
      <c r="Q193" s="17"/>
      <c r="R193" s="17"/>
      <c r="S193" s="38"/>
      <c r="T193" s="17"/>
      <c r="U193" s="42" t="str">
        <f aca="false">IF(OR(E193="",S193="",OR(R193="Contract signed + paid",R193="Closed – No response",R193="Lost"),N(T193)&gt;=Settings!$S$3),"",S193+Settings!$S$2)</f>
        <v/>
      </c>
      <c r="V193" s="38"/>
      <c r="W193" s="39"/>
      <c r="X193" s="17"/>
      <c r="Y193" s="17"/>
      <c r="Z193" s="17"/>
      <c r="AA193" s="43" t="str">
        <f aca="true">IF(OR(E193="",B193=""),"",INT(TODAY()-B193))</f>
        <v/>
      </c>
      <c r="AB193" s="44" t="str">
        <f aca="true">IF(E193="","",IF(OR(COUNTIFS(Clients!$C$2:$C$501,E193,Clients!$S$2:$S$501,"Paid")&gt;0,AND(I193&lt;&gt;"",COUNTIFS(Clients!$E$2:$E$501,I193,Clients!$S$2:$S$501,"Paid")&gt;0)),"⚠ Refunded before – no free video",IF(OR(R193="Contract signed + paid",R193="Closed – No response",R193="Lost"),"",IF(R193="","Set a stage",IF(N(T193)&gt;=Settings!$S$3,"Close – 4 follow-ups sent",IF(U193="",IF(S193="","Make first contact",""),IF(TODAY()&gt;U193,"OVERDUE follow-up",IF(TODAY()=U193,"Follow up today",""))))))))</f>
        <v/>
      </c>
    </row>
    <row r="194" customFormat="false" ht="15" hidden="false" customHeight="false" outlineLevel="0" collapsed="false">
      <c r="A194" s="17"/>
      <c r="B194" s="38"/>
      <c r="C194" s="39"/>
      <c r="D194" s="17"/>
      <c r="E194" s="17"/>
      <c r="F194" s="17"/>
      <c r="G194" s="17"/>
      <c r="H194" s="17"/>
      <c r="I194" s="40"/>
      <c r="J194" s="17"/>
      <c r="K194" s="17"/>
      <c r="L194" s="17"/>
      <c r="M194" s="17"/>
      <c r="N194" s="38"/>
      <c r="O194" s="39"/>
      <c r="P194" s="41" t="str">
        <f aca="false">IF(OR(B194="",N194=""),"",ROUND(((N194+N(O194))-(B194+N(C194)))*24,1))</f>
        <v/>
      </c>
      <c r="Q194" s="17"/>
      <c r="R194" s="17"/>
      <c r="S194" s="38"/>
      <c r="T194" s="17"/>
      <c r="U194" s="42" t="str">
        <f aca="false">IF(OR(E194="",S194="",OR(R194="Contract signed + paid",R194="Closed – No response",R194="Lost"),N(T194)&gt;=Settings!$S$3),"",S194+Settings!$S$2)</f>
        <v/>
      </c>
      <c r="V194" s="38"/>
      <c r="W194" s="39"/>
      <c r="X194" s="17"/>
      <c r="Y194" s="17"/>
      <c r="Z194" s="17"/>
      <c r="AA194" s="43" t="str">
        <f aca="true">IF(OR(E194="",B194=""),"",INT(TODAY()-B194))</f>
        <v/>
      </c>
      <c r="AB194" s="44" t="str">
        <f aca="true">IF(E194="","",IF(OR(COUNTIFS(Clients!$C$2:$C$501,E194,Clients!$S$2:$S$501,"Paid")&gt;0,AND(I194&lt;&gt;"",COUNTIFS(Clients!$E$2:$E$501,I194,Clients!$S$2:$S$501,"Paid")&gt;0)),"⚠ Refunded before – no free video",IF(OR(R194="Contract signed + paid",R194="Closed – No response",R194="Lost"),"",IF(R194="","Set a stage",IF(N(T194)&gt;=Settings!$S$3,"Close – 4 follow-ups sent",IF(U194="",IF(S194="","Make first contact",""),IF(TODAY()&gt;U194,"OVERDUE follow-up",IF(TODAY()=U194,"Follow up today",""))))))))</f>
        <v/>
      </c>
    </row>
    <row r="195" customFormat="false" ht="15" hidden="false" customHeight="false" outlineLevel="0" collapsed="false">
      <c r="A195" s="17"/>
      <c r="B195" s="38"/>
      <c r="C195" s="39"/>
      <c r="D195" s="17"/>
      <c r="E195" s="17"/>
      <c r="F195" s="17"/>
      <c r="G195" s="17"/>
      <c r="H195" s="17"/>
      <c r="I195" s="40"/>
      <c r="J195" s="17"/>
      <c r="K195" s="17"/>
      <c r="L195" s="17"/>
      <c r="M195" s="17"/>
      <c r="N195" s="38"/>
      <c r="O195" s="39"/>
      <c r="P195" s="41" t="str">
        <f aca="false">IF(OR(B195="",N195=""),"",ROUND(((N195+N(O195))-(B195+N(C195)))*24,1))</f>
        <v/>
      </c>
      <c r="Q195" s="17"/>
      <c r="R195" s="17"/>
      <c r="S195" s="38"/>
      <c r="T195" s="17"/>
      <c r="U195" s="42" t="str">
        <f aca="false">IF(OR(E195="",S195="",OR(R195="Contract signed + paid",R195="Closed – No response",R195="Lost"),N(T195)&gt;=Settings!$S$3),"",S195+Settings!$S$2)</f>
        <v/>
      </c>
      <c r="V195" s="38"/>
      <c r="W195" s="39"/>
      <c r="X195" s="17"/>
      <c r="Y195" s="17"/>
      <c r="Z195" s="17"/>
      <c r="AA195" s="43" t="str">
        <f aca="true">IF(OR(E195="",B195=""),"",INT(TODAY()-B195))</f>
        <v/>
      </c>
      <c r="AB195" s="44" t="str">
        <f aca="true">IF(E195="","",IF(OR(COUNTIFS(Clients!$C$2:$C$501,E195,Clients!$S$2:$S$501,"Paid")&gt;0,AND(I195&lt;&gt;"",COUNTIFS(Clients!$E$2:$E$501,I195,Clients!$S$2:$S$501,"Paid")&gt;0)),"⚠ Refunded before – no free video",IF(OR(R195="Contract signed + paid",R195="Closed – No response",R195="Lost"),"",IF(R195="","Set a stage",IF(N(T195)&gt;=Settings!$S$3,"Close – 4 follow-ups sent",IF(U195="",IF(S195="","Make first contact",""),IF(TODAY()&gt;U195,"OVERDUE follow-up",IF(TODAY()=U195,"Follow up today",""))))))))</f>
        <v/>
      </c>
    </row>
    <row r="196" customFormat="false" ht="15" hidden="false" customHeight="false" outlineLevel="0" collapsed="false">
      <c r="A196" s="17"/>
      <c r="B196" s="38"/>
      <c r="C196" s="39"/>
      <c r="D196" s="17"/>
      <c r="E196" s="17"/>
      <c r="F196" s="17"/>
      <c r="G196" s="17"/>
      <c r="H196" s="17"/>
      <c r="I196" s="40"/>
      <c r="J196" s="17"/>
      <c r="K196" s="17"/>
      <c r="L196" s="17"/>
      <c r="M196" s="17"/>
      <c r="N196" s="38"/>
      <c r="O196" s="39"/>
      <c r="P196" s="41" t="str">
        <f aca="false">IF(OR(B196="",N196=""),"",ROUND(((N196+N(O196))-(B196+N(C196)))*24,1))</f>
        <v/>
      </c>
      <c r="Q196" s="17"/>
      <c r="R196" s="17"/>
      <c r="S196" s="38"/>
      <c r="T196" s="17"/>
      <c r="U196" s="42" t="str">
        <f aca="false">IF(OR(E196="",S196="",OR(R196="Contract signed + paid",R196="Closed – No response",R196="Lost"),N(T196)&gt;=Settings!$S$3),"",S196+Settings!$S$2)</f>
        <v/>
      </c>
      <c r="V196" s="38"/>
      <c r="W196" s="39"/>
      <c r="X196" s="17"/>
      <c r="Y196" s="17"/>
      <c r="Z196" s="17"/>
      <c r="AA196" s="43" t="str">
        <f aca="true">IF(OR(E196="",B196=""),"",INT(TODAY()-B196))</f>
        <v/>
      </c>
      <c r="AB196" s="44" t="str">
        <f aca="true">IF(E196="","",IF(OR(COUNTIFS(Clients!$C$2:$C$501,E196,Clients!$S$2:$S$501,"Paid")&gt;0,AND(I196&lt;&gt;"",COUNTIFS(Clients!$E$2:$E$501,I196,Clients!$S$2:$S$501,"Paid")&gt;0)),"⚠ Refunded before – no free video",IF(OR(R196="Contract signed + paid",R196="Closed – No response",R196="Lost"),"",IF(R196="","Set a stage",IF(N(T196)&gt;=Settings!$S$3,"Close – 4 follow-ups sent",IF(U196="",IF(S196="","Make first contact",""),IF(TODAY()&gt;U196,"OVERDUE follow-up",IF(TODAY()=U196,"Follow up today",""))))))))</f>
        <v/>
      </c>
    </row>
    <row r="197" customFormat="false" ht="15" hidden="false" customHeight="false" outlineLevel="0" collapsed="false">
      <c r="A197" s="17"/>
      <c r="B197" s="38"/>
      <c r="C197" s="39"/>
      <c r="D197" s="17"/>
      <c r="E197" s="17"/>
      <c r="F197" s="17"/>
      <c r="G197" s="17"/>
      <c r="H197" s="17"/>
      <c r="I197" s="40"/>
      <c r="J197" s="17"/>
      <c r="K197" s="17"/>
      <c r="L197" s="17"/>
      <c r="M197" s="17"/>
      <c r="N197" s="38"/>
      <c r="O197" s="39"/>
      <c r="P197" s="41" t="str">
        <f aca="false">IF(OR(B197="",N197=""),"",ROUND(((N197+N(O197))-(B197+N(C197)))*24,1))</f>
        <v/>
      </c>
      <c r="Q197" s="17"/>
      <c r="R197" s="17"/>
      <c r="S197" s="38"/>
      <c r="T197" s="17"/>
      <c r="U197" s="42" t="str">
        <f aca="false">IF(OR(E197="",S197="",OR(R197="Contract signed + paid",R197="Closed – No response",R197="Lost"),N(T197)&gt;=Settings!$S$3),"",S197+Settings!$S$2)</f>
        <v/>
      </c>
      <c r="V197" s="38"/>
      <c r="W197" s="39"/>
      <c r="X197" s="17"/>
      <c r="Y197" s="17"/>
      <c r="Z197" s="17"/>
      <c r="AA197" s="43" t="str">
        <f aca="true">IF(OR(E197="",B197=""),"",INT(TODAY()-B197))</f>
        <v/>
      </c>
      <c r="AB197" s="44" t="str">
        <f aca="true">IF(E197="","",IF(OR(COUNTIFS(Clients!$C$2:$C$501,E197,Clients!$S$2:$S$501,"Paid")&gt;0,AND(I197&lt;&gt;"",COUNTIFS(Clients!$E$2:$E$501,I197,Clients!$S$2:$S$501,"Paid")&gt;0)),"⚠ Refunded before – no free video",IF(OR(R197="Contract signed + paid",R197="Closed – No response",R197="Lost"),"",IF(R197="","Set a stage",IF(N(T197)&gt;=Settings!$S$3,"Close – 4 follow-ups sent",IF(U197="",IF(S197="","Make first contact",""),IF(TODAY()&gt;U197,"OVERDUE follow-up",IF(TODAY()=U197,"Follow up today",""))))))))</f>
        <v/>
      </c>
    </row>
    <row r="198" customFormat="false" ht="15" hidden="false" customHeight="false" outlineLevel="0" collapsed="false">
      <c r="A198" s="17"/>
      <c r="B198" s="38"/>
      <c r="C198" s="39"/>
      <c r="D198" s="17"/>
      <c r="E198" s="17"/>
      <c r="F198" s="17"/>
      <c r="G198" s="17"/>
      <c r="H198" s="17"/>
      <c r="I198" s="40"/>
      <c r="J198" s="17"/>
      <c r="K198" s="17"/>
      <c r="L198" s="17"/>
      <c r="M198" s="17"/>
      <c r="N198" s="38"/>
      <c r="O198" s="39"/>
      <c r="P198" s="41" t="str">
        <f aca="false">IF(OR(B198="",N198=""),"",ROUND(((N198+N(O198))-(B198+N(C198)))*24,1))</f>
        <v/>
      </c>
      <c r="Q198" s="17"/>
      <c r="R198" s="17"/>
      <c r="S198" s="38"/>
      <c r="T198" s="17"/>
      <c r="U198" s="42" t="str">
        <f aca="false">IF(OR(E198="",S198="",OR(R198="Contract signed + paid",R198="Closed – No response",R198="Lost"),N(T198)&gt;=Settings!$S$3),"",S198+Settings!$S$2)</f>
        <v/>
      </c>
      <c r="V198" s="38"/>
      <c r="W198" s="39"/>
      <c r="X198" s="17"/>
      <c r="Y198" s="17"/>
      <c r="Z198" s="17"/>
      <c r="AA198" s="43" t="str">
        <f aca="true">IF(OR(E198="",B198=""),"",INT(TODAY()-B198))</f>
        <v/>
      </c>
      <c r="AB198" s="44" t="str">
        <f aca="true">IF(E198="","",IF(OR(COUNTIFS(Clients!$C$2:$C$501,E198,Clients!$S$2:$S$501,"Paid")&gt;0,AND(I198&lt;&gt;"",COUNTIFS(Clients!$E$2:$E$501,I198,Clients!$S$2:$S$501,"Paid")&gt;0)),"⚠ Refunded before – no free video",IF(OR(R198="Contract signed + paid",R198="Closed – No response",R198="Lost"),"",IF(R198="","Set a stage",IF(N(T198)&gt;=Settings!$S$3,"Close – 4 follow-ups sent",IF(U198="",IF(S198="","Make first contact",""),IF(TODAY()&gt;U198,"OVERDUE follow-up",IF(TODAY()=U198,"Follow up today",""))))))))</f>
        <v/>
      </c>
    </row>
    <row r="199" customFormat="false" ht="15" hidden="false" customHeight="false" outlineLevel="0" collapsed="false">
      <c r="A199" s="17"/>
      <c r="B199" s="38"/>
      <c r="C199" s="39"/>
      <c r="D199" s="17"/>
      <c r="E199" s="17"/>
      <c r="F199" s="17"/>
      <c r="G199" s="17"/>
      <c r="H199" s="17"/>
      <c r="I199" s="40"/>
      <c r="J199" s="17"/>
      <c r="K199" s="17"/>
      <c r="L199" s="17"/>
      <c r="M199" s="17"/>
      <c r="N199" s="38"/>
      <c r="O199" s="39"/>
      <c r="P199" s="41" t="str">
        <f aca="false">IF(OR(B199="",N199=""),"",ROUND(((N199+N(O199))-(B199+N(C199)))*24,1))</f>
        <v/>
      </c>
      <c r="Q199" s="17"/>
      <c r="R199" s="17"/>
      <c r="S199" s="38"/>
      <c r="T199" s="17"/>
      <c r="U199" s="42" t="str">
        <f aca="false">IF(OR(E199="",S199="",OR(R199="Contract signed + paid",R199="Closed – No response",R199="Lost"),N(T199)&gt;=Settings!$S$3),"",S199+Settings!$S$2)</f>
        <v/>
      </c>
      <c r="V199" s="38"/>
      <c r="W199" s="39"/>
      <c r="X199" s="17"/>
      <c r="Y199" s="17"/>
      <c r="Z199" s="17"/>
      <c r="AA199" s="43" t="str">
        <f aca="true">IF(OR(E199="",B199=""),"",INT(TODAY()-B199))</f>
        <v/>
      </c>
      <c r="AB199" s="44" t="str">
        <f aca="true">IF(E199="","",IF(OR(COUNTIFS(Clients!$C$2:$C$501,E199,Clients!$S$2:$S$501,"Paid")&gt;0,AND(I199&lt;&gt;"",COUNTIFS(Clients!$E$2:$E$501,I199,Clients!$S$2:$S$501,"Paid")&gt;0)),"⚠ Refunded before – no free video",IF(OR(R199="Contract signed + paid",R199="Closed – No response",R199="Lost"),"",IF(R199="","Set a stage",IF(N(T199)&gt;=Settings!$S$3,"Close – 4 follow-ups sent",IF(U199="",IF(S199="","Make first contact",""),IF(TODAY()&gt;U199,"OVERDUE follow-up",IF(TODAY()=U199,"Follow up today",""))))))))</f>
        <v/>
      </c>
    </row>
    <row r="200" customFormat="false" ht="15" hidden="false" customHeight="false" outlineLevel="0" collapsed="false">
      <c r="A200" s="17"/>
      <c r="B200" s="38"/>
      <c r="C200" s="39"/>
      <c r="D200" s="17"/>
      <c r="E200" s="17"/>
      <c r="F200" s="17"/>
      <c r="G200" s="17"/>
      <c r="H200" s="17"/>
      <c r="I200" s="40"/>
      <c r="J200" s="17"/>
      <c r="K200" s="17"/>
      <c r="L200" s="17"/>
      <c r="M200" s="17"/>
      <c r="N200" s="38"/>
      <c r="O200" s="39"/>
      <c r="P200" s="41" t="str">
        <f aca="false">IF(OR(B200="",N200=""),"",ROUND(((N200+N(O200))-(B200+N(C200)))*24,1))</f>
        <v/>
      </c>
      <c r="Q200" s="17"/>
      <c r="R200" s="17"/>
      <c r="S200" s="38"/>
      <c r="T200" s="17"/>
      <c r="U200" s="42" t="str">
        <f aca="false">IF(OR(E200="",S200="",OR(R200="Contract signed + paid",R200="Closed – No response",R200="Lost"),N(T200)&gt;=Settings!$S$3),"",S200+Settings!$S$2)</f>
        <v/>
      </c>
      <c r="V200" s="38"/>
      <c r="W200" s="39"/>
      <c r="X200" s="17"/>
      <c r="Y200" s="17"/>
      <c r="Z200" s="17"/>
      <c r="AA200" s="43" t="str">
        <f aca="true">IF(OR(E200="",B200=""),"",INT(TODAY()-B200))</f>
        <v/>
      </c>
      <c r="AB200" s="44" t="str">
        <f aca="true">IF(E200="","",IF(OR(COUNTIFS(Clients!$C$2:$C$501,E200,Clients!$S$2:$S$501,"Paid")&gt;0,AND(I200&lt;&gt;"",COUNTIFS(Clients!$E$2:$E$501,I200,Clients!$S$2:$S$501,"Paid")&gt;0)),"⚠ Refunded before – no free video",IF(OR(R200="Contract signed + paid",R200="Closed – No response",R200="Lost"),"",IF(R200="","Set a stage",IF(N(T200)&gt;=Settings!$S$3,"Close – 4 follow-ups sent",IF(U200="",IF(S200="","Make first contact",""),IF(TODAY()&gt;U200,"OVERDUE follow-up",IF(TODAY()=U200,"Follow up today",""))))))))</f>
        <v/>
      </c>
    </row>
    <row r="201" customFormat="false" ht="15" hidden="false" customHeight="false" outlineLevel="0" collapsed="false">
      <c r="A201" s="17"/>
      <c r="B201" s="38"/>
      <c r="C201" s="39"/>
      <c r="D201" s="17"/>
      <c r="E201" s="17"/>
      <c r="F201" s="17"/>
      <c r="G201" s="17"/>
      <c r="H201" s="17"/>
      <c r="I201" s="40"/>
      <c r="J201" s="17"/>
      <c r="K201" s="17"/>
      <c r="L201" s="17"/>
      <c r="M201" s="17"/>
      <c r="N201" s="38"/>
      <c r="O201" s="39"/>
      <c r="P201" s="41" t="str">
        <f aca="false">IF(OR(B201="",N201=""),"",ROUND(((N201+N(O201))-(B201+N(C201)))*24,1))</f>
        <v/>
      </c>
      <c r="Q201" s="17"/>
      <c r="R201" s="17"/>
      <c r="S201" s="38"/>
      <c r="T201" s="17"/>
      <c r="U201" s="42" t="str">
        <f aca="false">IF(OR(E201="",S201="",OR(R201="Contract signed + paid",R201="Closed – No response",R201="Lost"),N(T201)&gt;=Settings!$S$3),"",S201+Settings!$S$2)</f>
        <v/>
      </c>
      <c r="V201" s="38"/>
      <c r="W201" s="39"/>
      <c r="X201" s="17"/>
      <c r="Y201" s="17"/>
      <c r="Z201" s="17"/>
      <c r="AA201" s="43" t="str">
        <f aca="true">IF(OR(E201="",B201=""),"",INT(TODAY()-B201))</f>
        <v/>
      </c>
      <c r="AB201" s="44" t="str">
        <f aca="true">IF(E201="","",IF(OR(COUNTIFS(Clients!$C$2:$C$501,E201,Clients!$S$2:$S$501,"Paid")&gt;0,AND(I201&lt;&gt;"",COUNTIFS(Clients!$E$2:$E$501,I201,Clients!$S$2:$S$501,"Paid")&gt;0)),"⚠ Refunded before – no free video",IF(OR(R201="Contract signed + paid",R201="Closed – No response",R201="Lost"),"",IF(R201="","Set a stage",IF(N(T201)&gt;=Settings!$S$3,"Close – 4 follow-ups sent",IF(U201="",IF(S201="","Make first contact",""),IF(TODAY()&gt;U201,"OVERDUE follow-up",IF(TODAY()=U201,"Follow up today",""))))))))</f>
        <v/>
      </c>
    </row>
    <row r="202" customFormat="false" ht="15" hidden="false" customHeight="false" outlineLevel="0" collapsed="false">
      <c r="A202" s="17"/>
      <c r="B202" s="38"/>
      <c r="C202" s="39"/>
      <c r="D202" s="17"/>
      <c r="E202" s="17"/>
      <c r="F202" s="17"/>
      <c r="G202" s="17"/>
      <c r="H202" s="17"/>
      <c r="I202" s="40"/>
      <c r="J202" s="17"/>
      <c r="K202" s="17"/>
      <c r="L202" s="17"/>
      <c r="M202" s="17"/>
      <c r="N202" s="38"/>
      <c r="O202" s="39"/>
      <c r="P202" s="41" t="str">
        <f aca="false">IF(OR(B202="",N202=""),"",ROUND(((N202+N(O202))-(B202+N(C202)))*24,1))</f>
        <v/>
      </c>
      <c r="Q202" s="17"/>
      <c r="R202" s="17"/>
      <c r="S202" s="38"/>
      <c r="T202" s="17"/>
      <c r="U202" s="42" t="str">
        <f aca="false">IF(OR(E202="",S202="",OR(R202="Contract signed + paid",R202="Closed – No response",R202="Lost"),N(T202)&gt;=Settings!$S$3),"",S202+Settings!$S$2)</f>
        <v/>
      </c>
      <c r="V202" s="38"/>
      <c r="W202" s="39"/>
      <c r="X202" s="17"/>
      <c r="Y202" s="17"/>
      <c r="Z202" s="17"/>
      <c r="AA202" s="43" t="str">
        <f aca="true">IF(OR(E202="",B202=""),"",INT(TODAY()-B202))</f>
        <v/>
      </c>
      <c r="AB202" s="44" t="str">
        <f aca="true">IF(E202="","",IF(OR(COUNTIFS(Clients!$C$2:$C$501,E202,Clients!$S$2:$S$501,"Paid")&gt;0,AND(I202&lt;&gt;"",COUNTIFS(Clients!$E$2:$E$501,I202,Clients!$S$2:$S$501,"Paid")&gt;0)),"⚠ Refunded before – no free video",IF(OR(R202="Contract signed + paid",R202="Closed – No response",R202="Lost"),"",IF(R202="","Set a stage",IF(N(T202)&gt;=Settings!$S$3,"Close – 4 follow-ups sent",IF(U202="",IF(S202="","Make first contact",""),IF(TODAY()&gt;U202,"OVERDUE follow-up",IF(TODAY()=U202,"Follow up today",""))))))))</f>
        <v/>
      </c>
    </row>
    <row r="203" customFormat="false" ht="15" hidden="false" customHeight="false" outlineLevel="0" collapsed="false">
      <c r="A203" s="17"/>
      <c r="B203" s="38"/>
      <c r="C203" s="39"/>
      <c r="D203" s="17"/>
      <c r="E203" s="17"/>
      <c r="F203" s="17"/>
      <c r="G203" s="17"/>
      <c r="H203" s="17"/>
      <c r="I203" s="40"/>
      <c r="J203" s="17"/>
      <c r="K203" s="17"/>
      <c r="L203" s="17"/>
      <c r="M203" s="17"/>
      <c r="N203" s="38"/>
      <c r="O203" s="39"/>
      <c r="P203" s="41" t="str">
        <f aca="false">IF(OR(B203="",N203=""),"",ROUND(((N203+N(O203))-(B203+N(C203)))*24,1))</f>
        <v/>
      </c>
      <c r="Q203" s="17"/>
      <c r="R203" s="17"/>
      <c r="S203" s="38"/>
      <c r="T203" s="17"/>
      <c r="U203" s="42" t="str">
        <f aca="false">IF(OR(E203="",S203="",OR(R203="Contract signed + paid",R203="Closed – No response",R203="Lost"),N(T203)&gt;=Settings!$S$3),"",S203+Settings!$S$2)</f>
        <v/>
      </c>
      <c r="V203" s="38"/>
      <c r="W203" s="39"/>
      <c r="X203" s="17"/>
      <c r="Y203" s="17"/>
      <c r="Z203" s="17"/>
      <c r="AA203" s="43" t="str">
        <f aca="true">IF(OR(E203="",B203=""),"",INT(TODAY()-B203))</f>
        <v/>
      </c>
      <c r="AB203" s="44" t="str">
        <f aca="true">IF(E203="","",IF(OR(COUNTIFS(Clients!$C$2:$C$501,E203,Clients!$S$2:$S$501,"Paid")&gt;0,AND(I203&lt;&gt;"",COUNTIFS(Clients!$E$2:$E$501,I203,Clients!$S$2:$S$501,"Paid")&gt;0)),"⚠ Refunded before – no free video",IF(OR(R203="Contract signed + paid",R203="Closed – No response",R203="Lost"),"",IF(R203="","Set a stage",IF(N(T203)&gt;=Settings!$S$3,"Close – 4 follow-ups sent",IF(U203="",IF(S203="","Make first contact",""),IF(TODAY()&gt;U203,"OVERDUE follow-up",IF(TODAY()=U203,"Follow up today",""))))))))</f>
        <v/>
      </c>
    </row>
    <row r="204" customFormat="false" ht="15" hidden="false" customHeight="false" outlineLevel="0" collapsed="false">
      <c r="A204" s="17"/>
      <c r="B204" s="38"/>
      <c r="C204" s="39"/>
      <c r="D204" s="17"/>
      <c r="E204" s="17"/>
      <c r="F204" s="17"/>
      <c r="G204" s="17"/>
      <c r="H204" s="17"/>
      <c r="I204" s="40"/>
      <c r="J204" s="17"/>
      <c r="K204" s="17"/>
      <c r="L204" s="17"/>
      <c r="M204" s="17"/>
      <c r="N204" s="38"/>
      <c r="O204" s="39"/>
      <c r="P204" s="41" t="str">
        <f aca="false">IF(OR(B204="",N204=""),"",ROUND(((N204+N(O204))-(B204+N(C204)))*24,1))</f>
        <v/>
      </c>
      <c r="Q204" s="17"/>
      <c r="R204" s="17"/>
      <c r="S204" s="38"/>
      <c r="T204" s="17"/>
      <c r="U204" s="42" t="str">
        <f aca="false">IF(OR(E204="",S204="",OR(R204="Contract signed + paid",R204="Closed – No response",R204="Lost"),N(T204)&gt;=Settings!$S$3),"",S204+Settings!$S$2)</f>
        <v/>
      </c>
      <c r="V204" s="38"/>
      <c r="W204" s="39"/>
      <c r="X204" s="17"/>
      <c r="Y204" s="17"/>
      <c r="Z204" s="17"/>
      <c r="AA204" s="43" t="str">
        <f aca="true">IF(OR(E204="",B204=""),"",INT(TODAY()-B204))</f>
        <v/>
      </c>
      <c r="AB204" s="44" t="str">
        <f aca="true">IF(E204="","",IF(OR(COUNTIFS(Clients!$C$2:$C$501,E204,Clients!$S$2:$S$501,"Paid")&gt;0,AND(I204&lt;&gt;"",COUNTIFS(Clients!$E$2:$E$501,I204,Clients!$S$2:$S$501,"Paid")&gt;0)),"⚠ Refunded before – no free video",IF(OR(R204="Contract signed + paid",R204="Closed – No response",R204="Lost"),"",IF(R204="","Set a stage",IF(N(T204)&gt;=Settings!$S$3,"Close – 4 follow-ups sent",IF(U204="",IF(S204="","Make first contact",""),IF(TODAY()&gt;U204,"OVERDUE follow-up",IF(TODAY()=U204,"Follow up today",""))))))))</f>
        <v/>
      </c>
    </row>
    <row r="205" customFormat="false" ht="15" hidden="false" customHeight="false" outlineLevel="0" collapsed="false">
      <c r="A205" s="17"/>
      <c r="B205" s="38"/>
      <c r="C205" s="39"/>
      <c r="D205" s="17"/>
      <c r="E205" s="17"/>
      <c r="F205" s="17"/>
      <c r="G205" s="17"/>
      <c r="H205" s="17"/>
      <c r="I205" s="40"/>
      <c r="J205" s="17"/>
      <c r="K205" s="17"/>
      <c r="L205" s="17"/>
      <c r="M205" s="17"/>
      <c r="N205" s="38"/>
      <c r="O205" s="39"/>
      <c r="P205" s="41" t="str">
        <f aca="false">IF(OR(B205="",N205=""),"",ROUND(((N205+N(O205))-(B205+N(C205)))*24,1))</f>
        <v/>
      </c>
      <c r="Q205" s="17"/>
      <c r="R205" s="17"/>
      <c r="S205" s="38"/>
      <c r="T205" s="17"/>
      <c r="U205" s="42" t="str">
        <f aca="false">IF(OR(E205="",S205="",OR(R205="Contract signed + paid",R205="Closed – No response",R205="Lost"),N(T205)&gt;=Settings!$S$3),"",S205+Settings!$S$2)</f>
        <v/>
      </c>
      <c r="V205" s="38"/>
      <c r="W205" s="39"/>
      <c r="X205" s="17"/>
      <c r="Y205" s="17"/>
      <c r="Z205" s="17"/>
      <c r="AA205" s="43" t="str">
        <f aca="true">IF(OR(E205="",B205=""),"",INT(TODAY()-B205))</f>
        <v/>
      </c>
      <c r="AB205" s="44" t="str">
        <f aca="true">IF(E205="","",IF(OR(COUNTIFS(Clients!$C$2:$C$501,E205,Clients!$S$2:$S$501,"Paid")&gt;0,AND(I205&lt;&gt;"",COUNTIFS(Clients!$E$2:$E$501,I205,Clients!$S$2:$S$501,"Paid")&gt;0)),"⚠ Refunded before – no free video",IF(OR(R205="Contract signed + paid",R205="Closed – No response",R205="Lost"),"",IF(R205="","Set a stage",IF(N(T205)&gt;=Settings!$S$3,"Close – 4 follow-ups sent",IF(U205="",IF(S205="","Make first contact",""),IF(TODAY()&gt;U205,"OVERDUE follow-up",IF(TODAY()=U205,"Follow up today",""))))))))</f>
        <v/>
      </c>
    </row>
    <row r="206" customFormat="false" ht="15" hidden="false" customHeight="false" outlineLevel="0" collapsed="false">
      <c r="A206" s="17"/>
      <c r="B206" s="38"/>
      <c r="C206" s="39"/>
      <c r="D206" s="17"/>
      <c r="E206" s="17"/>
      <c r="F206" s="17"/>
      <c r="G206" s="17"/>
      <c r="H206" s="17"/>
      <c r="I206" s="40"/>
      <c r="J206" s="17"/>
      <c r="K206" s="17"/>
      <c r="L206" s="17"/>
      <c r="M206" s="17"/>
      <c r="N206" s="38"/>
      <c r="O206" s="39"/>
      <c r="P206" s="41" t="str">
        <f aca="false">IF(OR(B206="",N206=""),"",ROUND(((N206+N(O206))-(B206+N(C206)))*24,1))</f>
        <v/>
      </c>
      <c r="Q206" s="17"/>
      <c r="R206" s="17"/>
      <c r="S206" s="38"/>
      <c r="T206" s="17"/>
      <c r="U206" s="42" t="str">
        <f aca="false">IF(OR(E206="",S206="",OR(R206="Contract signed + paid",R206="Closed – No response",R206="Lost"),N(T206)&gt;=Settings!$S$3),"",S206+Settings!$S$2)</f>
        <v/>
      </c>
      <c r="V206" s="38"/>
      <c r="W206" s="39"/>
      <c r="X206" s="17"/>
      <c r="Y206" s="17"/>
      <c r="Z206" s="17"/>
      <c r="AA206" s="43" t="str">
        <f aca="true">IF(OR(E206="",B206=""),"",INT(TODAY()-B206))</f>
        <v/>
      </c>
      <c r="AB206" s="44" t="str">
        <f aca="true">IF(E206="","",IF(OR(COUNTIFS(Clients!$C$2:$C$501,E206,Clients!$S$2:$S$501,"Paid")&gt;0,AND(I206&lt;&gt;"",COUNTIFS(Clients!$E$2:$E$501,I206,Clients!$S$2:$S$501,"Paid")&gt;0)),"⚠ Refunded before – no free video",IF(OR(R206="Contract signed + paid",R206="Closed – No response",R206="Lost"),"",IF(R206="","Set a stage",IF(N(T206)&gt;=Settings!$S$3,"Close – 4 follow-ups sent",IF(U206="",IF(S206="","Make first contact",""),IF(TODAY()&gt;U206,"OVERDUE follow-up",IF(TODAY()=U206,"Follow up today",""))))))))</f>
        <v/>
      </c>
    </row>
    <row r="207" customFormat="false" ht="15" hidden="false" customHeight="false" outlineLevel="0" collapsed="false">
      <c r="A207" s="17"/>
      <c r="B207" s="38"/>
      <c r="C207" s="39"/>
      <c r="D207" s="17"/>
      <c r="E207" s="17"/>
      <c r="F207" s="17"/>
      <c r="G207" s="17"/>
      <c r="H207" s="17"/>
      <c r="I207" s="40"/>
      <c r="J207" s="17"/>
      <c r="K207" s="17"/>
      <c r="L207" s="17"/>
      <c r="M207" s="17"/>
      <c r="N207" s="38"/>
      <c r="O207" s="39"/>
      <c r="P207" s="41" t="str">
        <f aca="false">IF(OR(B207="",N207=""),"",ROUND(((N207+N(O207))-(B207+N(C207)))*24,1))</f>
        <v/>
      </c>
      <c r="Q207" s="17"/>
      <c r="R207" s="17"/>
      <c r="S207" s="38"/>
      <c r="T207" s="17"/>
      <c r="U207" s="42" t="str">
        <f aca="false">IF(OR(E207="",S207="",OR(R207="Contract signed + paid",R207="Closed – No response",R207="Lost"),N(T207)&gt;=Settings!$S$3),"",S207+Settings!$S$2)</f>
        <v/>
      </c>
      <c r="V207" s="38"/>
      <c r="W207" s="39"/>
      <c r="X207" s="17"/>
      <c r="Y207" s="17"/>
      <c r="Z207" s="17"/>
      <c r="AA207" s="43" t="str">
        <f aca="true">IF(OR(E207="",B207=""),"",INT(TODAY()-B207))</f>
        <v/>
      </c>
      <c r="AB207" s="44" t="str">
        <f aca="true">IF(E207="","",IF(OR(COUNTIFS(Clients!$C$2:$C$501,E207,Clients!$S$2:$S$501,"Paid")&gt;0,AND(I207&lt;&gt;"",COUNTIFS(Clients!$E$2:$E$501,I207,Clients!$S$2:$S$501,"Paid")&gt;0)),"⚠ Refunded before – no free video",IF(OR(R207="Contract signed + paid",R207="Closed – No response",R207="Lost"),"",IF(R207="","Set a stage",IF(N(T207)&gt;=Settings!$S$3,"Close – 4 follow-ups sent",IF(U207="",IF(S207="","Make first contact",""),IF(TODAY()&gt;U207,"OVERDUE follow-up",IF(TODAY()=U207,"Follow up today",""))))))))</f>
        <v/>
      </c>
    </row>
    <row r="208" customFormat="false" ht="15" hidden="false" customHeight="false" outlineLevel="0" collapsed="false">
      <c r="A208" s="17"/>
      <c r="B208" s="38"/>
      <c r="C208" s="39"/>
      <c r="D208" s="17"/>
      <c r="E208" s="17"/>
      <c r="F208" s="17"/>
      <c r="G208" s="17"/>
      <c r="H208" s="17"/>
      <c r="I208" s="40"/>
      <c r="J208" s="17"/>
      <c r="K208" s="17"/>
      <c r="L208" s="17"/>
      <c r="M208" s="17"/>
      <c r="N208" s="38"/>
      <c r="O208" s="39"/>
      <c r="P208" s="41" t="str">
        <f aca="false">IF(OR(B208="",N208=""),"",ROUND(((N208+N(O208))-(B208+N(C208)))*24,1))</f>
        <v/>
      </c>
      <c r="Q208" s="17"/>
      <c r="R208" s="17"/>
      <c r="S208" s="38"/>
      <c r="T208" s="17"/>
      <c r="U208" s="42" t="str">
        <f aca="false">IF(OR(E208="",S208="",OR(R208="Contract signed + paid",R208="Closed – No response",R208="Lost"),N(T208)&gt;=Settings!$S$3),"",S208+Settings!$S$2)</f>
        <v/>
      </c>
      <c r="V208" s="38"/>
      <c r="W208" s="39"/>
      <c r="X208" s="17"/>
      <c r="Y208" s="17"/>
      <c r="Z208" s="17"/>
      <c r="AA208" s="43" t="str">
        <f aca="true">IF(OR(E208="",B208=""),"",INT(TODAY()-B208))</f>
        <v/>
      </c>
      <c r="AB208" s="44" t="str">
        <f aca="true">IF(E208="","",IF(OR(COUNTIFS(Clients!$C$2:$C$501,E208,Clients!$S$2:$S$501,"Paid")&gt;0,AND(I208&lt;&gt;"",COUNTIFS(Clients!$E$2:$E$501,I208,Clients!$S$2:$S$501,"Paid")&gt;0)),"⚠ Refunded before – no free video",IF(OR(R208="Contract signed + paid",R208="Closed – No response",R208="Lost"),"",IF(R208="","Set a stage",IF(N(T208)&gt;=Settings!$S$3,"Close – 4 follow-ups sent",IF(U208="",IF(S208="","Make first contact",""),IF(TODAY()&gt;U208,"OVERDUE follow-up",IF(TODAY()=U208,"Follow up today",""))))))))</f>
        <v/>
      </c>
    </row>
    <row r="209" customFormat="false" ht="15" hidden="false" customHeight="false" outlineLevel="0" collapsed="false">
      <c r="A209" s="17"/>
      <c r="B209" s="38"/>
      <c r="C209" s="39"/>
      <c r="D209" s="17"/>
      <c r="E209" s="17"/>
      <c r="F209" s="17"/>
      <c r="G209" s="17"/>
      <c r="H209" s="17"/>
      <c r="I209" s="40"/>
      <c r="J209" s="17"/>
      <c r="K209" s="17"/>
      <c r="L209" s="17"/>
      <c r="M209" s="17"/>
      <c r="N209" s="38"/>
      <c r="O209" s="39"/>
      <c r="P209" s="41" t="str">
        <f aca="false">IF(OR(B209="",N209=""),"",ROUND(((N209+N(O209))-(B209+N(C209)))*24,1))</f>
        <v/>
      </c>
      <c r="Q209" s="17"/>
      <c r="R209" s="17"/>
      <c r="S209" s="38"/>
      <c r="T209" s="17"/>
      <c r="U209" s="42" t="str">
        <f aca="false">IF(OR(E209="",S209="",OR(R209="Contract signed + paid",R209="Closed – No response",R209="Lost"),N(T209)&gt;=Settings!$S$3),"",S209+Settings!$S$2)</f>
        <v/>
      </c>
      <c r="V209" s="38"/>
      <c r="W209" s="39"/>
      <c r="X209" s="17"/>
      <c r="Y209" s="17"/>
      <c r="Z209" s="17"/>
      <c r="AA209" s="43" t="str">
        <f aca="true">IF(OR(E209="",B209=""),"",INT(TODAY()-B209))</f>
        <v/>
      </c>
      <c r="AB209" s="44" t="str">
        <f aca="true">IF(E209="","",IF(OR(COUNTIFS(Clients!$C$2:$C$501,E209,Clients!$S$2:$S$501,"Paid")&gt;0,AND(I209&lt;&gt;"",COUNTIFS(Clients!$E$2:$E$501,I209,Clients!$S$2:$S$501,"Paid")&gt;0)),"⚠ Refunded before – no free video",IF(OR(R209="Contract signed + paid",R209="Closed – No response",R209="Lost"),"",IF(R209="","Set a stage",IF(N(T209)&gt;=Settings!$S$3,"Close – 4 follow-ups sent",IF(U209="",IF(S209="","Make first contact",""),IF(TODAY()&gt;U209,"OVERDUE follow-up",IF(TODAY()=U209,"Follow up today",""))))))))</f>
        <v/>
      </c>
    </row>
    <row r="210" customFormat="false" ht="15" hidden="false" customHeight="false" outlineLevel="0" collapsed="false">
      <c r="A210" s="17"/>
      <c r="B210" s="38"/>
      <c r="C210" s="39"/>
      <c r="D210" s="17"/>
      <c r="E210" s="17"/>
      <c r="F210" s="17"/>
      <c r="G210" s="17"/>
      <c r="H210" s="17"/>
      <c r="I210" s="40"/>
      <c r="J210" s="17"/>
      <c r="K210" s="17"/>
      <c r="L210" s="17"/>
      <c r="M210" s="17"/>
      <c r="N210" s="38"/>
      <c r="O210" s="39"/>
      <c r="P210" s="41" t="str">
        <f aca="false">IF(OR(B210="",N210=""),"",ROUND(((N210+N(O210))-(B210+N(C210)))*24,1))</f>
        <v/>
      </c>
      <c r="Q210" s="17"/>
      <c r="R210" s="17"/>
      <c r="S210" s="38"/>
      <c r="T210" s="17"/>
      <c r="U210" s="42" t="str">
        <f aca="false">IF(OR(E210="",S210="",OR(R210="Contract signed + paid",R210="Closed – No response",R210="Lost"),N(T210)&gt;=Settings!$S$3),"",S210+Settings!$S$2)</f>
        <v/>
      </c>
      <c r="V210" s="38"/>
      <c r="W210" s="39"/>
      <c r="X210" s="17"/>
      <c r="Y210" s="17"/>
      <c r="Z210" s="17"/>
      <c r="AA210" s="43" t="str">
        <f aca="true">IF(OR(E210="",B210=""),"",INT(TODAY()-B210))</f>
        <v/>
      </c>
      <c r="AB210" s="44" t="str">
        <f aca="true">IF(E210="","",IF(OR(COUNTIFS(Clients!$C$2:$C$501,E210,Clients!$S$2:$S$501,"Paid")&gt;0,AND(I210&lt;&gt;"",COUNTIFS(Clients!$E$2:$E$501,I210,Clients!$S$2:$S$501,"Paid")&gt;0)),"⚠ Refunded before – no free video",IF(OR(R210="Contract signed + paid",R210="Closed – No response",R210="Lost"),"",IF(R210="","Set a stage",IF(N(T210)&gt;=Settings!$S$3,"Close – 4 follow-ups sent",IF(U210="",IF(S210="","Make first contact",""),IF(TODAY()&gt;U210,"OVERDUE follow-up",IF(TODAY()=U210,"Follow up today",""))))))))</f>
        <v/>
      </c>
    </row>
    <row r="211" customFormat="false" ht="15" hidden="false" customHeight="false" outlineLevel="0" collapsed="false">
      <c r="A211" s="17"/>
      <c r="B211" s="38"/>
      <c r="C211" s="39"/>
      <c r="D211" s="17"/>
      <c r="E211" s="17"/>
      <c r="F211" s="17"/>
      <c r="G211" s="17"/>
      <c r="H211" s="17"/>
      <c r="I211" s="40"/>
      <c r="J211" s="17"/>
      <c r="K211" s="17"/>
      <c r="L211" s="17"/>
      <c r="M211" s="17"/>
      <c r="N211" s="38"/>
      <c r="O211" s="39"/>
      <c r="P211" s="41" t="str">
        <f aca="false">IF(OR(B211="",N211=""),"",ROUND(((N211+N(O211))-(B211+N(C211)))*24,1))</f>
        <v/>
      </c>
      <c r="Q211" s="17"/>
      <c r="R211" s="17"/>
      <c r="S211" s="38"/>
      <c r="T211" s="17"/>
      <c r="U211" s="42" t="str">
        <f aca="false">IF(OR(E211="",S211="",OR(R211="Contract signed + paid",R211="Closed – No response",R211="Lost"),N(T211)&gt;=Settings!$S$3),"",S211+Settings!$S$2)</f>
        <v/>
      </c>
      <c r="V211" s="38"/>
      <c r="W211" s="39"/>
      <c r="X211" s="17"/>
      <c r="Y211" s="17"/>
      <c r="Z211" s="17"/>
      <c r="AA211" s="43" t="str">
        <f aca="true">IF(OR(E211="",B211=""),"",INT(TODAY()-B211))</f>
        <v/>
      </c>
      <c r="AB211" s="44" t="str">
        <f aca="true">IF(E211="","",IF(OR(COUNTIFS(Clients!$C$2:$C$501,E211,Clients!$S$2:$S$501,"Paid")&gt;0,AND(I211&lt;&gt;"",COUNTIFS(Clients!$E$2:$E$501,I211,Clients!$S$2:$S$501,"Paid")&gt;0)),"⚠ Refunded before – no free video",IF(OR(R211="Contract signed + paid",R211="Closed – No response",R211="Lost"),"",IF(R211="","Set a stage",IF(N(T211)&gt;=Settings!$S$3,"Close – 4 follow-ups sent",IF(U211="",IF(S211="","Make first contact",""),IF(TODAY()&gt;U211,"OVERDUE follow-up",IF(TODAY()=U211,"Follow up today",""))))))))</f>
        <v/>
      </c>
    </row>
    <row r="212" customFormat="false" ht="15" hidden="false" customHeight="false" outlineLevel="0" collapsed="false">
      <c r="A212" s="17"/>
      <c r="B212" s="38"/>
      <c r="C212" s="39"/>
      <c r="D212" s="17"/>
      <c r="E212" s="17"/>
      <c r="F212" s="17"/>
      <c r="G212" s="17"/>
      <c r="H212" s="17"/>
      <c r="I212" s="40"/>
      <c r="J212" s="17"/>
      <c r="K212" s="17"/>
      <c r="L212" s="17"/>
      <c r="M212" s="17"/>
      <c r="N212" s="38"/>
      <c r="O212" s="39"/>
      <c r="P212" s="41" t="str">
        <f aca="false">IF(OR(B212="",N212=""),"",ROUND(((N212+N(O212))-(B212+N(C212)))*24,1))</f>
        <v/>
      </c>
      <c r="Q212" s="17"/>
      <c r="R212" s="17"/>
      <c r="S212" s="38"/>
      <c r="T212" s="17"/>
      <c r="U212" s="42" t="str">
        <f aca="false">IF(OR(E212="",S212="",OR(R212="Contract signed + paid",R212="Closed – No response",R212="Lost"),N(T212)&gt;=Settings!$S$3),"",S212+Settings!$S$2)</f>
        <v/>
      </c>
      <c r="V212" s="38"/>
      <c r="W212" s="39"/>
      <c r="X212" s="17"/>
      <c r="Y212" s="17"/>
      <c r="Z212" s="17"/>
      <c r="AA212" s="43" t="str">
        <f aca="true">IF(OR(E212="",B212=""),"",INT(TODAY()-B212))</f>
        <v/>
      </c>
      <c r="AB212" s="44" t="str">
        <f aca="true">IF(E212="","",IF(OR(COUNTIFS(Clients!$C$2:$C$501,E212,Clients!$S$2:$S$501,"Paid")&gt;0,AND(I212&lt;&gt;"",COUNTIFS(Clients!$E$2:$E$501,I212,Clients!$S$2:$S$501,"Paid")&gt;0)),"⚠ Refunded before – no free video",IF(OR(R212="Contract signed + paid",R212="Closed – No response",R212="Lost"),"",IF(R212="","Set a stage",IF(N(T212)&gt;=Settings!$S$3,"Close – 4 follow-ups sent",IF(U212="",IF(S212="","Make first contact",""),IF(TODAY()&gt;U212,"OVERDUE follow-up",IF(TODAY()=U212,"Follow up today",""))))))))</f>
        <v/>
      </c>
    </row>
    <row r="213" customFormat="false" ht="15" hidden="false" customHeight="false" outlineLevel="0" collapsed="false">
      <c r="A213" s="17"/>
      <c r="B213" s="38"/>
      <c r="C213" s="39"/>
      <c r="D213" s="17"/>
      <c r="E213" s="17"/>
      <c r="F213" s="17"/>
      <c r="G213" s="17"/>
      <c r="H213" s="17"/>
      <c r="I213" s="40"/>
      <c r="J213" s="17"/>
      <c r="K213" s="17"/>
      <c r="L213" s="17"/>
      <c r="M213" s="17"/>
      <c r="N213" s="38"/>
      <c r="O213" s="39"/>
      <c r="P213" s="41" t="str">
        <f aca="false">IF(OR(B213="",N213=""),"",ROUND(((N213+N(O213))-(B213+N(C213)))*24,1))</f>
        <v/>
      </c>
      <c r="Q213" s="17"/>
      <c r="R213" s="17"/>
      <c r="S213" s="38"/>
      <c r="T213" s="17"/>
      <c r="U213" s="42" t="str">
        <f aca="false">IF(OR(E213="",S213="",OR(R213="Contract signed + paid",R213="Closed – No response",R213="Lost"),N(T213)&gt;=Settings!$S$3),"",S213+Settings!$S$2)</f>
        <v/>
      </c>
      <c r="V213" s="38"/>
      <c r="W213" s="39"/>
      <c r="X213" s="17"/>
      <c r="Y213" s="17"/>
      <c r="Z213" s="17"/>
      <c r="AA213" s="43" t="str">
        <f aca="true">IF(OR(E213="",B213=""),"",INT(TODAY()-B213))</f>
        <v/>
      </c>
      <c r="AB213" s="44" t="str">
        <f aca="true">IF(E213="","",IF(OR(COUNTIFS(Clients!$C$2:$C$501,E213,Clients!$S$2:$S$501,"Paid")&gt;0,AND(I213&lt;&gt;"",COUNTIFS(Clients!$E$2:$E$501,I213,Clients!$S$2:$S$501,"Paid")&gt;0)),"⚠ Refunded before – no free video",IF(OR(R213="Contract signed + paid",R213="Closed – No response",R213="Lost"),"",IF(R213="","Set a stage",IF(N(T213)&gt;=Settings!$S$3,"Close – 4 follow-ups sent",IF(U213="",IF(S213="","Make first contact",""),IF(TODAY()&gt;U213,"OVERDUE follow-up",IF(TODAY()=U213,"Follow up today",""))))))))</f>
        <v/>
      </c>
    </row>
    <row r="214" customFormat="false" ht="15" hidden="false" customHeight="false" outlineLevel="0" collapsed="false">
      <c r="A214" s="17"/>
      <c r="B214" s="38"/>
      <c r="C214" s="39"/>
      <c r="D214" s="17"/>
      <c r="E214" s="17"/>
      <c r="F214" s="17"/>
      <c r="G214" s="17"/>
      <c r="H214" s="17"/>
      <c r="I214" s="40"/>
      <c r="J214" s="17"/>
      <c r="K214" s="17"/>
      <c r="L214" s="17"/>
      <c r="M214" s="17"/>
      <c r="N214" s="38"/>
      <c r="O214" s="39"/>
      <c r="P214" s="41" t="str">
        <f aca="false">IF(OR(B214="",N214=""),"",ROUND(((N214+N(O214))-(B214+N(C214)))*24,1))</f>
        <v/>
      </c>
      <c r="Q214" s="17"/>
      <c r="R214" s="17"/>
      <c r="S214" s="38"/>
      <c r="T214" s="17"/>
      <c r="U214" s="42" t="str">
        <f aca="false">IF(OR(E214="",S214="",OR(R214="Contract signed + paid",R214="Closed – No response",R214="Lost"),N(T214)&gt;=Settings!$S$3),"",S214+Settings!$S$2)</f>
        <v/>
      </c>
      <c r="V214" s="38"/>
      <c r="W214" s="39"/>
      <c r="X214" s="17"/>
      <c r="Y214" s="17"/>
      <c r="Z214" s="17"/>
      <c r="AA214" s="43" t="str">
        <f aca="true">IF(OR(E214="",B214=""),"",INT(TODAY()-B214))</f>
        <v/>
      </c>
      <c r="AB214" s="44" t="str">
        <f aca="true">IF(E214="","",IF(OR(COUNTIFS(Clients!$C$2:$C$501,E214,Clients!$S$2:$S$501,"Paid")&gt;0,AND(I214&lt;&gt;"",COUNTIFS(Clients!$E$2:$E$501,I214,Clients!$S$2:$S$501,"Paid")&gt;0)),"⚠ Refunded before – no free video",IF(OR(R214="Contract signed + paid",R214="Closed – No response",R214="Lost"),"",IF(R214="","Set a stage",IF(N(T214)&gt;=Settings!$S$3,"Close – 4 follow-ups sent",IF(U214="",IF(S214="","Make first contact",""),IF(TODAY()&gt;U214,"OVERDUE follow-up",IF(TODAY()=U214,"Follow up today",""))))))))</f>
        <v/>
      </c>
    </row>
    <row r="215" customFormat="false" ht="15" hidden="false" customHeight="false" outlineLevel="0" collapsed="false">
      <c r="A215" s="17"/>
      <c r="B215" s="38"/>
      <c r="C215" s="39"/>
      <c r="D215" s="17"/>
      <c r="E215" s="17"/>
      <c r="F215" s="17"/>
      <c r="G215" s="17"/>
      <c r="H215" s="17"/>
      <c r="I215" s="40"/>
      <c r="J215" s="17"/>
      <c r="K215" s="17"/>
      <c r="L215" s="17"/>
      <c r="M215" s="17"/>
      <c r="N215" s="38"/>
      <c r="O215" s="39"/>
      <c r="P215" s="41" t="str">
        <f aca="false">IF(OR(B215="",N215=""),"",ROUND(((N215+N(O215))-(B215+N(C215)))*24,1))</f>
        <v/>
      </c>
      <c r="Q215" s="17"/>
      <c r="R215" s="17"/>
      <c r="S215" s="38"/>
      <c r="T215" s="17"/>
      <c r="U215" s="42" t="str">
        <f aca="false">IF(OR(E215="",S215="",OR(R215="Contract signed + paid",R215="Closed – No response",R215="Lost"),N(T215)&gt;=Settings!$S$3),"",S215+Settings!$S$2)</f>
        <v/>
      </c>
      <c r="V215" s="38"/>
      <c r="W215" s="39"/>
      <c r="X215" s="17"/>
      <c r="Y215" s="17"/>
      <c r="Z215" s="17"/>
      <c r="AA215" s="43" t="str">
        <f aca="true">IF(OR(E215="",B215=""),"",INT(TODAY()-B215))</f>
        <v/>
      </c>
      <c r="AB215" s="44" t="str">
        <f aca="true">IF(E215="","",IF(OR(COUNTIFS(Clients!$C$2:$C$501,E215,Clients!$S$2:$S$501,"Paid")&gt;0,AND(I215&lt;&gt;"",COUNTIFS(Clients!$E$2:$E$501,I215,Clients!$S$2:$S$501,"Paid")&gt;0)),"⚠ Refunded before – no free video",IF(OR(R215="Contract signed + paid",R215="Closed – No response",R215="Lost"),"",IF(R215="","Set a stage",IF(N(T215)&gt;=Settings!$S$3,"Close – 4 follow-ups sent",IF(U215="",IF(S215="","Make first contact",""),IF(TODAY()&gt;U215,"OVERDUE follow-up",IF(TODAY()=U215,"Follow up today",""))))))))</f>
        <v/>
      </c>
    </row>
    <row r="216" customFormat="false" ht="15" hidden="false" customHeight="false" outlineLevel="0" collapsed="false">
      <c r="A216" s="17"/>
      <c r="B216" s="38"/>
      <c r="C216" s="39"/>
      <c r="D216" s="17"/>
      <c r="E216" s="17"/>
      <c r="F216" s="17"/>
      <c r="G216" s="17"/>
      <c r="H216" s="17"/>
      <c r="I216" s="40"/>
      <c r="J216" s="17"/>
      <c r="K216" s="17"/>
      <c r="L216" s="17"/>
      <c r="M216" s="17"/>
      <c r="N216" s="38"/>
      <c r="O216" s="39"/>
      <c r="P216" s="41" t="str">
        <f aca="false">IF(OR(B216="",N216=""),"",ROUND(((N216+N(O216))-(B216+N(C216)))*24,1))</f>
        <v/>
      </c>
      <c r="Q216" s="17"/>
      <c r="R216" s="17"/>
      <c r="S216" s="38"/>
      <c r="T216" s="17"/>
      <c r="U216" s="42" t="str">
        <f aca="false">IF(OR(E216="",S216="",OR(R216="Contract signed + paid",R216="Closed – No response",R216="Lost"),N(T216)&gt;=Settings!$S$3),"",S216+Settings!$S$2)</f>
        <v/>
      </c>
      <c r="V216" s="38"/>
      <c r="W216" s="39"/>
      <c r="X216" s="17"/>
      <c r="Y216" s="17"/>
      <c r="Z216" s="17"/>
      <c r="AA216" s="43" t="str">
        <f aca="true">IF(OR(E216="",B216=""),"",INT(TODAY()-B216))</f>
        <v/>
      </c>
      <c r="AB216" s="44" t="str">
        <f aca="true">IF(E216="","",IF(OR(COUNTIFS(Clients!$C$2:$C$501,E216,Clients!$S$2:$S$501,"Paid")&gt;0,AND(I216&lt;&gt;"",COUNTIFS(Clients!$E$2:$E$501,I216,Clients!$S$2:$S$501,"Paid")&gt;0)),"⚠ Refunded before – no free video",IF(OR(R216="Contract signed + paid",R216="Closed – No response",R216="Lost"),"",IF(R216="","Set a stage",IF(N(T216)&gt;=Settings!$S$3,"Close – 4 follow-ups sent",IF(U216="",IF(S216="","Make first contact",""),IF(TODAY()&gt;U216,"OVERDUE follow-up",IF(TODAY()=U216,"Follow up today",""))))))))</f>
        <v/>
      </c>
    </row>
    <row r="217" customFormat="false" ht="15" hidden="false" customHeight="false" outlineLevel="0" collapsed="false">
      <c r="A217" s="17"/>
      <c r="B217" s="38"/>
      <c r="C217" s="39"/>
      <c r="D217" s="17"/>
      <c r="E217" s="17"/>
      <c r="F217" s="17"/>
      <c r="G217" s="17"/>
      <c r="H217" s="17"/>
      <c r="I217" s="40"/>
      <c r="J217" s="17"/>
      <c r="K217" s="17"/>
      <c r="L217" s="17"/>
      <c r="M217" s="17"/>
      <c r="N217" s="38"/>
      <c r="O217" s="39"/>
      <c r="P217" s="41" t="str">
        <f aca="false">IF(OR(B217="",N217=""),"",ROUND(((N217+N(O217))-(B217+N(C217)))*24,1))</f>
        <v/>
      </c>
      <c r="Q217" s="17"/>
      <c r="R217" s="17"/>
      <c r="S217" s="38"/>
      <c r="T217" s="17"/>
      <c r="U217" s="42" t="str">
        <f aca="false">IF(OR(E217="",S217="",OR(R217="Contract signed + paid",R217="Closed – No response",R217="Lost"),N(T217)&gt;=Settings!$S$3),"",S217+Settings!$S$2)</f>
        <v/>
      </c>
      <c r="V217" s="38"/>
      <c r="W217" s="39"/>
      <c r="X217" s="17"/>
      <c r="Y217" s="17"/>
      <c r="Z217" s="17"/>
      <c r="AA217" s="43" t="str">
        <f aca="true">IF(OR(E217="",B217=""),"",INT(TODAY()-B217))</f>
        <v/>
      </c>
      <c r="AB217" s="44" t="str">
        <f aca="true">IF(E217="","",IF(OR(COUNTIFS(Clients!$C$2:$C$501,E217,Clients!$S$2:$S$501,"Paid")&gt;0,AND(I217&lt;&gt;"",COUNTIFS(Clients!$E$2:$E$501,I217,Clients!$S$2:$S$501,"Paid")&gt;0)),"⚠ Refunded before – no free video",IF(OR(R217="Contract signed + paid",R217="Closed – No response",R217="Lost"),"",IF(R217="","Set a stage",IF(N(T217)&gt;=Settings!$S$3,"Close – 4 follow-ups sent",IF(U217="",IF(S217="","Make first contact",""),IF(TODAY()&gt;U217,"OVERDUE follow-up",IF(TODAY()=U217,"Follow up today",""))))))))</f>
        <v/>
      </c>
    </row>
    <row r="218" customFormat="false" ht="15" hidden="false" customHeight="false" outlineLevel="0" collapsed="false">
      <c r="A218" s="17"/>
      <c r="B218" s="38"/>
      <c r="C218" s="39"/>
      <c r="D218" s="17"/>
      <c r="E218" s="17"/>
      <c r="F218" s="17"/>
      <c r="G218" s="17"/>
      <c r="H218" s="17"/>
      <c r="I218" s="40"/>
      <c r="J218" s="17"/>
      <c r="K218" s="17"/>
      <c r="L218" s="17"/>
      <c r="M218" s="17"/>
      <c r="N218" s="38"/>
      <c r="O218" s="39"/>
      <c r="P218" s="41" t="str">
        <f aca="false">IF(OR(B218="",N218=""),"",ROUND(((N218+N(O218))-(B218+N(C218)))*24,1))</f>
        <v/>
      </c>
      <c r="Q218" s="17"/>
      <c r="R218" s="17"/>
      <c r="S218" s="38"/>
      <c r="T218" s="17"/>
      <c r="U218" s="42" t="str">
        <f aca="false">IF(OR(E218="",S218="",OR(R218="Contract signed + paid",R218="Closed – No response",R218="Lost"),N(T218)&gt;=Settings!$S$3),"",S218+Settings!$S$2)</f>
        <v/>
      </c>
      <c r="V218" s="38"/>
      <c r="W218" s="39"/>
      <c r="X218" s="17"/>
      <c r="Y218" s="17"/>
      <c r="Z218" s="17"/>
      <c r="AA218" s="43" t="str">
        <f aca="true">IF(OR(E218="",B218=""),"",INT(TODAY()-B218))</f>
        <v/>
      </c>
      <c r="AB218" s="44" t="str">
        <f aca="true">IF(E218="","",IF(OR(COUNTIFS(Clients!$C$2:$C$501,E218,Clients!$S$2:$S$501,"Paid")&gt;0,AND(I218&lt;&gt;"",COUNTIFS(Clients!$E$2:$E$501,I218,Clients!$S$2:$S$501,"Paid")&gt;0)),"⚠ Refunded before – no free video",IF(OR(R218="Contract signed + paid",R218="Closed – No response",R218="Lost"),"",IF(R218="","Set a stage",IF(N(T218)&gt;=Settings!$S$3,"Close – 4 follow-ups sent",IF(U218="",IF(S218="","Make first contact",""),IF(TODAY()&gt;U218,"OVERDUE follow-up",IF(TODAY()=U218,"Follow up today",""))))))))</f>
        <v/>
      </c>
    </row>
    <row r="219" customFormat="false" ht="15" hidden="false" customHeight="false" outlineLevel="0" collapsed="false">
      <c r="A219" s="17"/>
      <c r="B219" s="38"/>
      <c r="C219" s="39"/>
      <c r="D219" s="17"/>
      <c r="E219" s="17"/>
      <c r="F219" s="17"/>
      <c r="G219" s="17"/>
      <c r="H219" s="17"/>
      <c r="I219" s="40"/>
      <c r="J219" s="17"/>
      <c r="K219" s="17"/>
      <c r="L219" s="17"/>
      <c r="M219" s="17"/>
      <c r="N219" s="38"/>
      <c r="O219" s="39"/>
      <c r="P219" s="41" t="str">
        <f aca="false">IF(OR(B219="",N219=""),"",ROUND(((N219+N(O219))-(B219+N(C219)))*24,1))</f>
        <v/>
      </c>
      <c r="Q219" s="17"/>
      <c r="R219" s="17"/>
      <c r="S219" s="38"/>
      <c r="T219" s="17"/>
      <c r="U219" s="42" t="str">
        <f aca="false">IF(OR(E219="",S219="",OR(R219="Contract signed + paid",R219="Closed – No response",R219="Lost"),N(T219)&gt;=Settings!$S$3),"",S219+Settings!$S$2)</f>
        <v/>
      </c>
      <c r="V219" s="38"/>
      <c r="W219" s="39"/>
      <c r="X219" s="17"/>
      <c r="Y219" s="17"/>
      <c r="Z219" s="17"/>
      <c r="AA219" s="43" t="str">
        <f aca="true">IF(OR(E219="",B219=""),"",INT(TODAY()-B219))</f>
        <v/>
      </c>
      <c r="AB219" s="44" t="str">
        <f aca="true">IF(E219="","",IF(OR(COUNTIFS(Clients!$C$2:$C$501,E219,Clients!$S$2:$S$501,"Paid")&gt;0,AND(I219&lt;&gt;"",COUNTIFS(Clients!$E$2:$E$501,I219,Clients!$S$2:$S$501,"Paid")&gt;0)),"⚠ Refunded before – no free video",IF(OR(R219="Contract signed + paid",R219="Closed – No response",R219="Lost"),"",IF(R219="","Set a stage",IF(N(T219)&gt;=Settings!$S$3,"Close – 4 follow-ups sent",IF(U219="",IF(S219="","Make first contact",""),IF(TODAY()&gt;U219,"OVERDUE follow-up",IF(TODAY()=U219,"Follow up today",""))))))))</f>
        <v/>
      </c>
    </row>
    <row r="220" customFormat="false" ht="15" hidden="false" customHeight="false" outlineLevel="0" collapsed="false">
      <c r="A220" s="17"/>
      <c r="B220" s="38"/>
      <c r="C220" s="39"/>
      <c r="D220" s="17"/>
      <c r="E220" s="17"/>
      <c r="F220" s="17"/>
      <c r="G220" s="17"/>
      <c r="H220" s="17"/>
      <c r="I220" s="40"/>
      <c r="J220" s="17"/>
      <c r="K220" s="17"/>
      <c r="L220" s="17"/>
      <c r="M220" s="17"/>
      <c r="N220" s="38"/>
      <c r="O220" s="39"/>
      <c r="P220" s="41" t="str">
        <f aca="false">IF(OR(B220="",N220=""),"",ROUND(((N220+N(O220))-(B220+N(C220)))*24,1))</f>
        <v/>
      </c>
      <c r="Q220" s="17"/>
      <c r="R220" s="17"/>
      <c r="S220" s="38"/>
      <c r="T220" s="17"/>
      <c r="U220" s="42" t="str">
        <f aca="false">IF(OR(E220="",S220="",OR(R220="Contract signed + paid",R220="Closed – No response",R220="Lost"),N(T220)&gt;=Settings!$S$3),"",S220+Settings!$S$2)</f>
        <v/>
      </c>
      <c r="V220" s="38"/>
      <c r="W220" s="39"/>
      <c r="X220" s="17"/>
      <c r="Y220" s="17"/>
      <c r="Z220" s="17"/>
      <c r="AA220" s="43" t="str">
        <f aca="true">IF(OR(E220="",B220=""),"",INT(TODAY()-B220))</f>
        <v/>
      </c>
      <c r="AB220" s="44" t="str">
        <f aca="true">IF(E220="","",IF(OR(COUNTIFS(Clients!$C$2:$C$501,E220,Clients!$S$2:$S$501,"Paid")&gt;0,AND(I220&lt;&gt;"",COUNTIFS(Clients!$E$2:$E$501,I220,Clients!$S$2:$S$501,"Paid")&gt;0)),"⚠ Refunded before – no free video",IF(OR(R220="Contract signed + paid",R220="Closed – No response",R220="Lost"),"",IF(R220="","Set a stage",IF(N(T220)&gt;=Settings!$S$3,"Close – 4 follow-ups sent",IF(U220="",IF(S220="","Make first contact",""),IF(TODAY()&gt;U220,"OVERDUE follow-up",IF(TODAY()=U220,"Follow up today",""))))))))</f>
        <v/>
      </c>
    </row>
    <row r="221" customFormat="false" ht="15" hidden="false" customHeight="false" outlineLevel="0" collapsed="false">
      <c r="A221" s="17"/>
      <c r="B221" s="38"/>
      <c r="C221" s="39"/>
      <c r="D221" s="17"/>
      <c r="E221" s="17"/>
      <c r="F221" s="17"/>
      <c r="G221" s="17"/>
      <c r="H221" s="17"/>
      <c r="I221" s="40"/>
      <c r="J221" s="17"/>
      <c r="K221" s="17"/>
      <c r="L221" s="17"/>
      <c r="M221" s="17"/>
      <c r="N221" s="38"/>
      <c r="O221" s="39"/>
      <c r="P221" s="41" t="str">
        <f aca="false">IF(OR(B221="",N221=""),"",ROUND(((N221+N(O221))-(B221+N(C221)))*24,1))</f>
        <v/>
      </c>
      <c r="Q221" s="17"/>
      <c r="R221" s="17"/>
      <c r="S221" s="38"/>
      <c r="T221" s="17"/>
      <c r="U221" s="42" t="str">
        <f aca="false">IF(OR(E221="",S221="",OR(R221="Contract signed + paid",R221="Closed – No response",R221="Lost"),N(T221)&gt;=Settings!$S$3),"",S221+Settings!$S$2)</f>
        <v/>
      </c>
      <c r="V221" s="38"/>
      <c r="W221" s="39"/>
      <c r="X221" s="17"/>
      <c r="Y221" s="17"/>
      <c r="Z221" s="17"/>
      <c r="AA221" s="43" t="str">
        <f aca="true">IF(OR(E221="",B221=""),"",INT(TODAY()-B221))</f>
        <v/>
      </c>
      <c r="AB221" s="44" t="str">
        <f aca="true">IF(E221="","",IF(OR(COUNTIFS(Clients!$C$2:$C$501,E221,Clients!$S$2:$S$501,"Paid")&gt;0,AND(I221&lt;&gt;"",COUNTIFS(Clients!$E$2:$E$501,I221,Clients!$S$2:$S$501,"Paid")&gt;0)),"⚠ Refunded before – no free video",IF(OR(R221="Contract signed + paid",R221="Closed – No response",R221="Lost"),"",IF(R221="","Set a stage",IF(N(T221)&gt;=Settings!$S$3,"Close – 4 follow-ups sent",IF(U221="",IF(S221="","Make first contact",""),IF(TODAY()&gt;U221,"OVERDUE follow-up",IF(TODAY()=U221,"Follow up today",""))))))))</f>
        <v/>
      </c>
    </row>
    <row r="222" customFormat="false" ht="15" hidden="false" customHeight="false" outlineLevel="0" collapsed="false">
      <c r="A222" s="17"/>
      <c r="B222" s="38"/>
      <c r="C222" s="39"/>
      <c r="D222" s="17"/>
      <c r="E222" s="17"/>
      <c r="F222" s="17"/>
      <c r="G222" s="17"/>
      <c r="H222" s="17"/>
      <c r="I222" s="40"/>
      <c r="J222" s="17"/>
      <c r="K222" s="17"/>
      <c r="L222" s="17"/>
      <c r="M222" s="17"/>
      <c r="N222" s="38"/>
      <c r="O222" s="39"/>
      <c r="P222" s="41" t="str">
        <f aca="false">IF(OR(B222="",N222=""),"",ROUND(((N222+N(O222))-(B222+N(C222)))*24,1))</f>
        <v/>
      </c>
      <c r="Q222" s="17"/>
      <c r="R222" s="17"/>
      <c r="S222" s="38"/>
      <c r="T222" s="17"/>
      <c r="U222" s="42" t="str">
        <f aca="false">IF(OR(E222="",S222="",OR(R222="Contract signed + paid",R222="Closed – No response",R222="Lost"),N(T222)&gt;=Settings!$S$3),"",S222+Settings!$S$2)</f>
        <v/>
      </c>
      <c r="V222" s="38"/>
      <c r="W222" s="39"/>
      <c r="X222" s="17"/>
      <c r="Y222" s="17"/>
      <c r="Z222" s="17"/>
      <c r="AA222" s="43" t="str">
        <f aca="true">IF(OR(E222="",B222=""),"",INT(TODAY()-B222))</f>
        <v/>
      </c>
      <c r="AB222" s="44" t="str">
        <f aca="true">IF(E222="","",IF(OR(COUNTIFS(Clients!$C$2:$C$501,E222,Clients!$S$2:$S$501,"Paid")&gt;0,AND(I222&lt;&gt;"",COUNTIFS(Clients!$E$2:$E$501,I222,Clients!$S$2:$S$501,"Paid")&gt;0)),"⚠ Refunded before – no free video",IF(OR(R222="Contract signed + paid",R222="Closed – No response",R222="Lost"),"",IF(R222="","Set a stage",IF(N(T222)&gt;=Settings!$S$3,"Close – 4 follow-ups sent",IF(U222="",IF(S222="","Make first contact",""),IF(TODAY()&gt;U222,"OVERDUE follow-up",IF(TODAY()=U222,"Follow up today",""))))))))</f>
        <v/>
      </c>
    </row>
    <row r="223" customFormat="false" ht="15" hidden="false" customHeight="false" outlineLevel="0" collapsed="false">
      <c r="A223" s="17"/>
      <c r="B223" s="38"/>
      <c r="C223" s="39"/>
      <c r="D223" s="17"/>
      <c r="E223" s="17"/>
      <c r="F223" s="17"/>
      <c r="G223" s="17"/>
      <c r="H223" s="17"/>
      <c r="I223" s="40"/>
      <c r="J223" s="17"/>
      <c r="K223" s="17"/>
      <c r="L223" s="17"/>
      <c r="M223" s="17"/>
      <c r="N223" s="38"/>
      <c r="O223" s="39"/>
      <c r="P223" s="41" t="str">
        <f aca="false">IF(OR(B223="",N223=""),"",ROUND(((N223+N(O223))-(B223+N(C223)))*24,1))</f>
        <v/>
      </c>
      <c r="Q223" s="17"/>
      <c r="R223" s="17"/>
      <c r="S223" s="38"/>
      <c r="T223" s="17"/>
      <c r="U223" s="42" t="str">
        <f aca="false">IF(OR(E223="",S223="",OR(R223="Contract signed + paid",R223="Closed – No response",R223="Lost"),N(T223)&gt;=Settings!$S$3),"",S223+Settings!$S$2)</f>
        <v/>
      </c>
      <c r="V223" s="38"/>
      <c r="W223" s="39"/>
      <c r="X223" s="17"/>
      <c r="Y223" s="17"/>
      <c r="Z223" s="17"/>
      <c r="AA223" s="43" t="str">
        <f aca="true">IF(OR(E223="",B223=""),"",INT(TODAY()-B223))</f>
        <v/>
      </c>
      <c r="AB223" s="44" t="str">
        <f aca="true">IF(E223="","",IF(OR(COUNTIFS(Clients!$C$2:$C$501,E223,Clients!$S$2:$S$501,"Paid")&gt;0,AND(I223&lt;&gt;"",COUNTIFS(Clients!$E$2:$E$501,I223,Clients!$S$2:$S$501,"Paid")&gt;0)),"⚠ Refunded before – no free video",IF(OR(R223="Contract signed + paid",R223="Closed – No response",R223="Lost"),"",IF(R223="","Set a stage",IF(N(T223)&gt;=Settings!$S$3,"Close – 4 follow-ups sent",IF(U223="",IF(S223="","Make first contact",""),IF(TODAY()&gt;U223,"OVERDUE follow-up",IF(TODAY()=U223,"Follow up today",""))))))))</f>
        <v/>
      </c>
    </row>
    <row r="224" customFormat="false" ht="15" hidden="false" customHeight="false" outlineLevel="0" collapsed="false">
      <c r="A224" s="17"/>
      <c r="B224" s="38"/>
      <c r="C224" s="39"/>
      <c r="D224" s="17"/>
      <c r="E224" s="17"/>
      <c r="F224" s="17"/>
      <c r="G224" s="17"/>
      <c r="H224" s="17"/>
      <c r="I224" s="40"/>
      <c r="J224" s="17"/>
      <c r="K224" s="17"/>
      <c r="L224" s="17"/>
      <c r="M224" s="17"/>
      <c r="N224" s="38"/>
      <c r="O224" s="39"/>
      <c r="P224" s="41" t="str">
        <f aca="false">IF(OR(B224="",N224=""),"",ROUND(((N224+N(O224))-(B224+N(C224)))*24,1))</f>
        <v/>
      </c>
      <c r="Q224" s="17"/>
      <c r="R224" s="17"/>
      <c r="S224" s="38"/>
      <c r="T224" s="17"/>
      <c r="U224" s="42" t="str">
        <f aca="false">IF(OR(E224="",S224="",OR(R224="Contract signed + paid",R224="Closed – No response",R224="Lost"),N(T224)&gt;=Settings!$S$3),"",S224+Settings!$S$2)</f>
        <v/>
      </c>
      <c r="V224" s="38"/>
      <c r="W224" s="39"/>
      <c r="X224" s="17"/>
      <c r="Y224" s="17"/>
      <c r="Z224" s="17"/>
      <c r="AA224" s="43" t="str">
        <f aca="true">IF(OR(E224="",B224=""),"",INT(TODAY()-B224))</f>
        <v/>
      </c>
      <c r="AB224" s="44" t="str">
        <f aca="true">IF(E224="","",IF(OR(COUNTIFS(Clients!$C$2:$C$501,E224,Clients!$S$2:$S$501,"Paid")&gt;0,AND(I224&lt;&gt;"",COUNTIFS(Clients!$E$2:$E$501,I224,Clients!$S$2:$S$501,"Paid")&gt;0)),"⚠ Refunded before – no free video",IF(OR(R224="Contract signed + paid",R224="Closed – No response",R224="Lost"),"",IF(R224="","Set a stage",IF(N(T224)&gt;=Settings!$S$3,"Close – 4 follow-ups sent",IF(U224="",IF(S224="","Make first contact",""),IF(TODAY()&gt;U224,"OVERDUE follow-up",IF(TODAY()=U224,"Follow up today",""))))))))</f>
        <v/>
      </c>
    </row>
    <row r="225" customFormat="false" ht="15" hidden="false" customHeight="false" outlineLevel="0" collapsed="false">
      <c r="A225" s="17"/>
      <c r="B225" s="38"/>
      <c r="C225" s="39"/>
      <c r="D225" s="17"/>
      <c r="E225" s="17"/>
      <c r="F225" s="17"/>
      <c r="G225" s="17"/>
      <c r="H225" s="17"/>
      <c r="I225" s="40"/>
      <c r="J225" s="17"/>
      <c r="K225" s="17"/>
      <c r="L225" s="17"/>
      <c r="M225" s="17"/>
      <c r="N225" s="38"/>
      <c r="O225" s="39"/>
      <c r="P225" s="41" t="str">
        <f aca="false">IF(OR(B225="",N225=""),"",ROUND(((N225+N(O225))-(B225+N(C225)))*24,1))</f>
        <v/>
      </c>
      <c r="Q225" s="17"/>
      <c r="R225" s="17"/>
      <c r="S225" s="38"/>
      <c r="T225" s="17"/>
      <c r="U225" s="42" t="str">
        <f aca="false">IF(OR(E225="",S225="",OR(R225="Contract signed + paid",R225="Closed – No response",R225="Lost"),N(T225)&gt;=Settings!$S$3),"",S225+Settings!$S$2)</f>
        <v/>
      </c>
      <c r="V225" s="38"/>
      <c r="W225" s="39"/>
      <c r="X225" s="17"/>
      <c r="Y225" s="17"/>
      <c r="Z225" s="17"/>
      <c r="AA225" s="43" t="str">
        <f aca="true">IF(OR(E225="",B225=""),"",INT(TODAY()-B225))</f>
        <v/>
      </c>
      <c r="AB225" s="44" t="str">
        <f aca="true">IF(E225="","",IF(OR(COUNTIFS(Clients!$C$2:$C$501,E225,Clients!$S$2:$S$501,"Paid")&gt;0,AND(I225&lt;&gt;"",COUNTIFS(Clients!$E$2:$E$501,I225,Clients!$S$2:$S$501,"Paid")&gt;0)),"⚠ Refunded before – no free video",IF(OR(R225="Contract signed + paid",R225="Closed – No response",R225="Lost"),"",IF(R225="","Set a stage",IF(N(T225)&gt;=Settings!$S$3,"Close – 4 follow-ups sent",IF(U225="",IF(S225="","Make first contact",""),IF(TODAY()&gt;U225,"OVERDUE follow-up",IF(TODAY()=U225,"Follow up today",""))))))))</f>
        <v/>
      </c>
    </row>
    <row r="226" customFormat="false" ht="15" hidden="false" customHeight="false" outlineLevel="0" collapsed="false">
      <c r="A226" s="17"/>
      <c r="B226" s="38"/>
      <c r="C226" s="39"/>
      <c r="D226" s="17"/>
      <c r="E226" s="17"/>
      <c r="F226" s="17"/>
      <c r="G226" s="17"/>
      <c r="H226" s="17"/>
      <c r="I226" s="40"/>
      <c r="J226" s="17"/>
      <c r="K226" s="17"/>
      <c r="L226" s="17"/>
      <c r="M226" s="17"/>
      <c r="N226" s="38"/>
      <c r="O226" s="39"/>
      <c r="P226" s="41" t="str">
        <f aca="false">IF(OR(B226="",N226=""),"",ROUND(((N226+N(O226))-(B226+N(C226)))*24,1))</f>
        <v/>
      </c>
      <c r="Q226" s="17"/>
      <c r="R226" s="17"/>
      <c r="S226" s="38"/>
      <c r="T226" s="17"/>
      <c r="U226" s="42" t="str">
        <f aca="false">IF(OR(E226="",S226="",OR(R226="Contract signed + paid",R226="Closed – No response",R226="Lost"),N(T226)&gt;=Settings!$S$3),"",S226+Settings!$S$2)</f>
        <v/>
      </c>
      <c r="V226" s="38"/>
      <c r="W226" s="39"/>
      <c r="X226" s="17"/>
      <c r="Y226" s="17"/>
      <c r="Z226" s="17"/>
      <c r="AA226" s="43" t="str">
        <f aca="true">IF(OR(E226="",B226=""),"",INT(TODAY()-B226))</f>
        <v/>
      </c>
      <c r="AB226" s="44" t="str">
        <f aca="true">IF(E226="","",IF(OR(COUNTIFS(Clients!$C$2:$C$501,E226,Clients!$S$2:$S$501,"Paid")&gt;0,AND(I226&lt;&gt;"",COUNTIFS(Clients!$E$2:$E$501,I226,Clients!$S$2:$S$501,"Paid")&gt;0)),"⚠ Refunded before – no free video",IF(OR(R226="Contract signed + paid",R226="Closed – No response",R226="Lost"),"",IF(R226="","Set a stage",IF(N(T226)&gt;=Settings!$S$3,"Close – 4 follow-ups sent",IF(U226="",IF(S226="","Make first contact",""),IF(TODAY()&gt;U226,"OVERDUE follow-up",IF(TODAY()=U226,"Follow up today",""))))))))</f>
        <v/>
      </c>
    </row>
    <row r="227" customFormat="false" ht="15" hidden="false" customHeight="false" outlineLevel="0" collapsed="false">
      <c r="A227" s="17"/>
      <c r="B227" s="38"/>
      <c r="C227" s="39"/>
      <c r="D227" s="17"/>
      <c r="E227" s="17"/>
      <c r="F227" s="17"/>
      <c r="G227" s="17"/>
      <c r="H227" s="17"/>
      <c r="I227" s="40"/>
      <c r="J227" s="17"/>
      <c r="K227" s="17"/>
      <c r="L227" s="17"/>
      <c r="M227" s="17"/>
      <c r="N227" s="38"/>
      <c r="O227" s="39"/>
      <c r="P227" s="41" t="str">
        <f aca="false">IF(OR(B227="",N227=""),"",ROUND(((N227+N(O227))-(B227+N(C227)))*24,1))</f>
        <v/>
      </c>
      <c r="Q227" s="17"/>
      <c r="R227" s="17"/>
      <c r="S227" s="38"/>
      <c r="T227" s="17"/>
      <c r="U227" s="42" t="str">
        <f aca="false">IF(OR(E227="",S227="",OR(R227="Contract signed + paid",R227="Closed – No response",R227="Lost"),N(T227)&gt;=Settings!$S$3),"",S227+Settings!$S$2)</f>
        <v/>
      </c>
      <c r="V227" s="38"/>
      <c r="W227" s="39"/>
      <c r="X227" s="17"/>
      <c r="Y227" s="17"/>
      <c r="Z227" s="17"/>
      <c r="AA227" s="43" t="str">
        <f aca="true">IF(OR(E227="",B227=""),"",INT(TODAY()-B227))</f>
        <v/>
      </c>
      <c r="AB227" s="44" t="str">
        <f aca="true">IF(E227="","",IF(OR(COUNTIFS(Clients!$C$2:$C$501,E227,Clients!$S$2:$S$501,"Paid")&gt;0,AND(I227&lt;&gt;"",COUNTIFS(Clients!$E$2:$E$501,I227,Clients!$S$2:$S$501,"Paid")&gt;0)),"⚠ Refunded before – no free video",IF(OR(R227="Contract signed + paid",R227="Closed – No response",R227="Lost"),"",IF(R227="","Set a stage",IF(N(T227)&gt;=Settings!$S$3,"Close – 4 follow-ups sent",IF(U227="",IF(S227="","Make first contact",""),IF(TODAY()&gt;U227,"OVERDUE follow-up",IF(TODAY()=U227,"Follow up today",""))))))))</f>
        <v/>
      </c>
    </row>
    <row r="228" customFormat="false" ht="15" hidden="false" customHeight="false" outlineLevel="0" collapsed="false">
      <c r="A228" s="17"/>
      <c r="B228" s="38"/>
      <c r="C228" s="39"/>
      <c r="D228" s="17"/>
      <c r="E228" s="17"/>
      <c r="F228" s="17"/>
      <c r="G228" s="17"/>
      <c r="H228" s="17"/>
      <c r="I228" s="40"/>
      <c r="J228" s="17"/>
      <c r="K228" s="17"/>
      <c r="L228" s="17"/>
      <c r="M228" s="17"/>
      <c r="N228" s="38"/>
      <c r="O228" s="39"/>
      <c r="P228" s="41" t="str">
        <f aca="false">IF(OR(B228="",N228=""),"",ROUND(((N228+N(O228))-(B228+N(C228)))*24,1))</f>
        <v/>
      </c>
      <c r="Q228" s="17"/>
      <c r="R228" s="17"/>
      <c r="S228" s="38"/>
      <c r="T228" s="17"/>
      <c r="U228" s="42" t="str">
        <f aca="false">IF(OR(E228="",S228="",OR(R228="Contract signed + paid",R228="Closed – No response",R228="Lost"),N(T228)&gt;=Settings!$S$3),"",S228+Settings!$S$2)</f>
        <v/>
      </c>
      <c r="V228" s="38"/>
      <c r="W228" s="39"/>
      <c r="X228" s="17"/>
      <c r="Y228" s="17"/>
      <c r="Z228" s="17"/>
      <c r="AA228" s="43" t="str">
        <f aca="true">IF(OR(E228="",B228=""),"",INT(TODAY()-B228))</f>
        <v/>
      </c>
      <c r="AB228" s="44" t="str">
        <f aca="true">IF(E228="","",IF(OR(COUNTIFS(Clients!$C$2:$C$501,E228,Clients!$S$2:$S$501,"Paid")&gt;0,AND(I228&lt;&gt;"",COUNTIFS(Clients!$E$2:$E$501,I228,Clients!$S$2:$S$501,"Paid")&gt;0)),"⚠ Refunded before – no free video",IF(OR(R228="Contract signed + paid",R228="Closed – No response",R228="Lost"),"",IF(R228="","Set a stage",IF(N(T228)&gt;=Settings!$S$3,"Close – 4 follow-ups sent",IF(U228="",IF(S228="","Make first contact",""),IF(TODAY()&gt;U228,"OVERDUE follow-up",IF(TODAY()=U228,"Follow up today",""))))))))</f>
        <v/>
      </c>
    </row>
    <row r="229" customFormat="false" ht="15" hidden="false" customHeight="false" outlineLevel="0" collapsed="false">
      <c r="A229" s="17"/>
      <c r="B229" s="38"/>
      <c r="C229" s="39"/>
      <c r="D229" s="17"/>
      <c r="E229" s="17"/>
      <c r="F229" s="17"/>
      <c r="G229" s="17"/>
      <c r="H229" s="17"/>
      <c r="I229" s="40"/>
      <c r="J229" s="17"/>
      <c r="K229" s="17"/>
      <c r="L229" s="17"/>
      <c r="M229" s="17"/>
      <c r="N229" s="38"/>
      <c r="O229" s="39"/>
      <c r="P229" s="41" t="str">
        <f aca="false">IF(OR(B229="",N229=""),"",ROUND(((N229+N(O229))-(B229+N(C229)))*24,1))</f>
        <v/>
      </c>
      <c r="Q229" s="17"/>
      <c r="R229" s="17"/>
      <c r="S229" s="38"/>
      <c r="T229" s="17"/>
      <c r="U229" s="42" t="str">
        <f aca="false">IF(OR(E229="",S229="",OR(R229="Contract signed + paid",R229="Closed – No response",R229="Lost"),N(T229)&gt;=Settings!$S$3),"",S229+Settings!$S$2)</f>
        <v/>
      </c>
      <c r="V229" s="38"/>
      <c r="W229" s="39"/>
      <c r="X229" s="17"/>
      <c r="Y229" s="17"/>
      <c r="Z229" s="17"/>
      <c r="AA229" s="43" t="str">
        <f aca="true">IF(OR(E229="",B229=""),"",INT(TODAY()-B229))</f>
        <v/>
      </c>
      <c r="AB229" s="44" t="str">
        <f aca="true">IF(E229="","",IF(OR(COUNTIFS(Clients!$C$2:$C$501,E229,Clients!$S$2:$S$501,"Paid")&gt;0,AND(I229&lt;&gt;"",COUNTIFS(Clients!$E$2:$E$501,I229,Clients!$S$2:$S$501,"Paid")&gt;0)),"⚠ Refunded before – no free video",IF(OR(R229="Contract signed + paid",R229="Closed – No response",R229="Lost"),"",IF(R229="","Set a stage",IF(N(T229)&gt;=Settings!$S$3,"Close – 4 follow-ups sent",IF(U229="",IF(S229="","Make first contact",""),IF(TODAY()&gt;U229,"OVERDUE follow-up",IF(TODAY()=U229,"Follow up today",""))))))))</f>
        <v/>
      </c>
    </row>
    <row r="230" customFormat="false" ht="15" hidden="false" customHeight="false" outlineLevel="0" collapsed="false">
      <c r="A230" s="17"/>
      <c r="B230" s="38"/>
      <c r="C230" s="39"/>
      <c r="D230" s="17"/>
      <c r="E230" s="17"/>
      <c r="F230" s="17"/>
      <c r="G230" s="17"/>
      <c r="H230" s="17"/>
      <c r="I230" s="40"/>
      <c r="J230" s="17"/>
      <c r="K230" s="17"/>
      <c r="L230" s="17"/>
      <c r="M230" s="17"/>
      <c r="N230" s="38"/>
      <c r="O230" s="39"/>
      <c r="P230" s="41" t="str">
        <f aca="false">IF(OR(B230="",N230=""),"",ROUND(((N230+N(O230))-(B230+N(C230)))*24,1))</f>
        <v/>
      </c>
      <c r="Q230" s="17"/>
      <c r="R230" s="17"/>
      <c r="S230" s="38"/>
      <c r="T230" s="17"/>
      <c r="U230" s="42" t="str">
        <f aca="false">IF(OR(E230="",S230="",OR(R230="Contract signed + paid",R230="Closed – No response",R230="Lost"),N(T230)&gt;=Settings!$S$3),"",S230+Settings!$S$2)</f>
        <v/>
      </c>
      <c r="V230" s="38"/>
      <c r="W230" s="39"/>
      <c r="X230" s="17"/>
      <c r="Y230" s="17"/>
      <c r="Z230" s="17"/>
      <c r="AA230" s="43" t="str">
        <f aca="true">IF(OR(E230="",B230=""),"",INT(TODAY()-B230))</f>
        <v/>
      </c>
      <c r="AB230" s="44" t="str">
        <f aca="true">IF(E230="","",IF(OR(COUNTIFS(Clients!$C$2:$C$501,E230,Clients!$S$2:$S$501,"Paid")&gt;0,AND(I230&lt;&gt;"",COUNTIFS(Clients!$E$2:$E$501,I230,Clients!$S$2:$S$501,"Paid")&gt;0)),"⚠ Refunded before – no free video",IF(OR(R230="Contract signed + paid",R230="Closed – No response",R230="Lost"),"",IF(R230="","Set a stage",IF(N(T230)&gt;=Settings!$S$3,"Close – 4 follow-ups sent",IF(U230="",IF(S230="","Make first contact",""),IF(TODAY()&gt;U230,"OVERDUE follow-up",IF(TODAY()=U230,"Follow up today",""))))))))</f>
        <v/>
      </c>
    </row>
    <row r="231" customFormat="false" ht="15" hidden="false" customHeight="false" outlineLevel="0" collapsed="false">
      <c r="A231" s="17"/>
      <c r="B231" s="38"/>
      <c r="C231" s="39"/>
      <c r="D231" s="17"/>
      <c r="E231" s="17"/>
      <c r="F231" s="17"/>
      <c r="G231" s="17"/>
      <c r="H231" s="17"/>
      <c r="I231" s="40"/>
      <c r="J231" s="17"/>
      <c r="K231" s="17"/>
      <c r="L231" s="17"/>
      <c r="M231" s="17"/>
      <c r="N231" s="38"/>
      <c r="O231" s="39"/>
      <c r="P231" s="41" t="str">
        <f aca="false">IF(OR(B231="",N231=""),"",ROUND(((N231+N(O231))-(B231+N(C231)))*24,1))</f>
        <v/>
      </c>
      <c r="Q231" s="17"/>
      <c r="R231" s="17"/>
      <c r="S231" s="38"/>
      <c r="T231" s="17"/>
      <c r="U231" s="42" t="str">
        <f aca="false">IF(OR(E231="",S231="",OR(R231="Contract signed + paid",R231="Closed – No response",R231="Lost"),N(T231)&gt;=Settings!$S$3),"",S231+Settings!$S$2)</f>
        <v/>
      </c>
      <c r="V231" s="38"/>
      <c r="W231" s="39"/>
      <c r="X231" s="17"/>
      <c r="Y231" s="17"/>
      <c r="Z231" s="17"/>
      <c r="AA231" s="43" t="str">
        <f aca="true">IF(OR(E231="",B231=""),"",INT(TODAY()-B231))</f>
        <v/>
      </c>
      <c r="AB231" s="44" t="str">
        <f aca="true">IF(E231="","",IF(OR(COUNTIFS(Clients!$C$2:$C$501,E231,Clients!$S$2:$S$501,"Paid")&gt;0,AND(I231&lt;&gt;"",COUNTIFS(Clients!$E$2:$E$501,I231,Clients!$S$2:$S$501,"Paid")&gt;0)),"⚠ Refunded before – no free video",IF(OR(R231="Contract signed + paid",R231="Closed – No response",R231="Lost"),"",IF(R231="","Set a stage",IF(N(T231)&gt;=Settings!$S$3,"Close – 4 follow-ups sent",IF(U231="",IF(S231="","Make first contact",""),IF(TODAY()&gt;U231,"OVERDUE follow-up",IF(TODAY()=U231,"Follow up today",""))))))))</f>
        <v/>
      </c>
    </row>
    <row r="232" customFormat="false" ht="15" hidden="false" customHeight="false" outlineLevel="0" collapsed="false">
      <c r="A232" s="17"/>
      <c r="B232" s="38"/>
      <c r="C232" s="39"/>
      <c r="D232" s="17"/>
      <c r="E232" s="17"/>
      <c r="F232" s="17"/>
      <c r="G232" s="17"/>
      <c r="H232" s="17"/>
      <c r="I232" s="40"/>
      <c r="J232" s="17"/>
      <c r="K232" s="17"/>
      <c r="L232" s="17"/>
      <c r="M232" s="17"/>
      <c r="N232" s="38"/>
      <c r="O232" s="39"/>
      <c r="P232" s="41" t="str">
        <f aca="false">IF(OR(B232="",N232=""),"",ROUND(((N232+N(O232))-(B232+N(C232)))*24,1))</f>
        <v/>
      </c>
      <c r="Q232" s="17"/>
      <c r="R232" s="17"/>
      <c r="S232" s="38"/>
      <c r="T232" s="17"/>
      <c r="U232" s="42" t="str">
        <f aca="false">IF(OR(E232="",S232="",OR(R232="Contract signed + paid",R232="Closed – No response",R232="Lost"),N(T232)&gt;=Settings!$S$3),"",S232+Settings!$S$2)</f>
        <v/>
      </c>
      <c r="V232" s="38"/>
      <c r="W232" s="39"/>
      <c r="X232" s="17"/>
      <c r="Y232" s="17"/>
      <c r="Z232" s="17"/>
      <c r="AA232" s="43" t="str">
        <f aca="true">IF(OR(E232="",B232=""),"",INT(TODAY()-B232))</f>
        <v/>
      </c>
      <c r="AB232" s="44" t="str">
        <f aca="true">IF(E232="","",IF(OR(COUNTIFS(Clients!$C$2:$C$501,E232,Clients!$S$2:$S$501,"Paid")&gt;0,AND(I232&lt;&gt;"",COUNTIFS(Clients!$E$2:$E$501,I232,Clients!$S$2:$S$501,"Paid")&gt;0)),"⚠ Refunded before – no free video",IF(OR(R232="Contract signed + paid",R232="Closed – No response",R232="Lost"),"",IF(R232="","Set a stage",IF(N(T232)&gt;=Settings!$S$3,"Close – 4 follow-ups sent",IF(U232="",IF(S232="","Make first contact",""),IF(TODAY()&gt;U232,"OVERDUE follow-up",IF(TODAY()=U232,"Follow up today",""))))))))</f>
        <v/>
      </c>
    </row>
    <row r="233" customFormat="false" ht="15" hidden="false" customHeight="false" outlineLevel="0" collapsed="false">
      <c r="A233" s="17"/>
      <c r="B233" s="38"/>
      <c r="C233" s="39"/>
      <c r="D233" s="17"/>
      <c r="E233" s="17"/>
      <c r="F233" s="17"/>
      <c r="G233" s="17"/>
      <c r="H233" s="17"/>
      <c r="I233" s="40"/>
      <c r="J233" s="17"/>
      <c r="K233" s="17"/>
      <c r="L233" s="17"/>
      <c r="M233" s="17"/>
      <c r="N233" s="38"/>
      <c r="O233" s="39"/>
      <c r="P233" s="41" t="str">
        <f aca="false">IF(OR(B233="",N233=""),"",ROUND(((N233+N(O233))-(B233+N(C233)))*24,1))</f>
        <v/>
      </c>
      <c r="Q233" s="17"/>
      <c r="R233" s="17"/>
      <c r="S233" s="38"/>
      <c r="T233" s="17"/>
      <c r="U233" s="42" t="str">
        <f aca="false">IF(OR(E233="",S233="",OR(R233="Contract signed + paid",R233="Closed – No response",R233="Lost"),N(T233)&gt;=Settings!$S$3),"",S233+Settings!$S$2)</f>
        <v/>
      </c>
      <c r="V233" s="38"/>
      <c r="W233" s="39"/>
      <c r="X233" s="17"/>
      <c r="Y233" s="17"/>
      <c r="Z233" s="17"/>
      <c r="AA233" s="43" t="str">
        <f aca="true">IF(OR(E233="",B233=""),"",INT(TODAY()-B233))</f>
        <v/>
      </c>
      <c r="AB233" s="44" t="str">
        <f aca="true">IF(E233="","",IF(OR(COUNTIFS(Clients!$C$2:$C$501,E233,Clients!$S$2:$S$501,"Paid")&gt;0,AND(I233&lt;&gt;"",COUNTIFS(Clients!$E$2:$E$501,I233,Clients!$S$2:$S$501,"Paid")&gt;0)),"⚠ Refunded before – no free video",IF(OR(R233="Contract signed + paid",R233="Closed – No response",R233="Lost"),"",IF(R233="","Set a stage",IF(N(T233)&gt;=Settings!$S$3,"Close – 4 follow-ups sent",IF(U233="",IF(S233="","Make first contact",""),IF(TODAY()&gt;U233,"OVERDUE follow-up",IF(TODAY()=U233,"Follow up today",""))))))))</f>
        <v/>
      </c>
    </row>
    <row r="234" customFormat="false" ht="15" hidden="false" customHeight="false" outlineLevel="0" collapsed="false">
      <c r="A234" s="17"/>
      <c r="B234" s="38"/>
      <c r="C234" s="39"/>
      <c r="D234" s="17"/>
      <c r="E234" s="17"/>
      <c r="F234" s="17"/>
      <c r="G234" s="17"/>
      <c r="H234" s="17"/>
      <c r="I234" s="40"/>
      <c r="J234" s="17"/>
      <c r="K234" s="17"/>
      <c r="L234" s="17"/>
      <c r="M234" s="17"/>
      <c r="N234" s="38"/>
      <c r="O234" s="39"/>
      <c r="P234" s="41" t="str">
        <f aca="false">IF(OR(B234="",N234=""),"",ROUND(((N234+N(O234))-(B234+N(C234)))*24,1))</f>
        <v/>
      </c>
      <c r="Q234" s="17"/>
      <c r="R234" s="17"/>
      <c r="S234" s="38"/>
      <c r="T234" s="17"/>
      <c r="U234" s="42" t="str">
        <f aca="false">IF(OR(E234="",S234="",OR(R234="Contract signed + paid",R234="Closed – No response",R234="Lost"),N(T234)&gt;=Settings!$S$3),"",S234+Settings!$S$2)</f>
        <v/>
      </c>
      <c r="V234" s="38"/>
      <c r="W234" s="39"/>
      <c r="X234" s="17"/>
      <c r="Y234" s="17"/>
      <c r="Z234" s="17"/>
      <c r="AA234" s="43" t="str">
        <f aca="true">IF(OR(E234="",B234=""),"",INT(TODAY()-B234))</f>
        <v/>
      </c>
      <c r="AB234" s="44" t="str">
        <f aca="true">IF(E234="","",IF(OR(COUNTIFS(Clients!$C$2:$C$501,E234,Clients!$S$2:$S$501,"Paid")&gt;0,AND(I234&lt;&gt;"",COUNTIFS(Clients!$E$2:$E$501,I234,Clients!$S$2:$S$501,"Paid")&gt;0)),"⚠ Refunded before – no free video",IF(OR(R234="Contract signed + paid",R234="Closed – No response",R234="Lost"),"",IF(R234="","Set a stage",IF(N(T234)&gt;=Settings!$S$3,"Close – 4 follow-ups sent",IF(U234="",IF(S234="","Make first contact",""),IF(TODAY()&gt;U234,"OVERDUE follow-up",IF(TODAY()=U234,"Follow up today",""))))))))</f>
        <v/>
      </c>
    </row>
    <row r="235" customFormat="false" ht="15" hidden="false" customHeight="false" outlineLevel="0" collapsed="false">
      <c r="A235" s="17"/>
      <c r="B235" s="38"/>
      <c r="C235" s="39"/>
      <c r="D235" s="17"/>
      <c r="E235" s="17"/>
      <c r="F235" s="17"/>
      <c r="G235" s="17"/>
      <c r="H235" s="17"/>
      <c r="I235" s="40"/>
      <c r="J235" s="17"/>
      <c r="K235" s="17"/>
      <c r="L235" s="17"/>
      <c r="M235" s="17"/>
      <c r="N235" s="38"/>
      <c r="O235" s="39"/>
      <c r="P235" s="41" t="str">
        <f aca="false">IF(OR(B235="",N235=""),"",ROUND(((N235+N(O235))-(B235+N(C235)))*24,1))</f>
        <v/>
      </c>
      <c r="Q235" s="17"/>
      <c r="R235" s="17"/>
      <c r="S235" s="38"/>
      <c r="T235" s="17"/>
      <c r="U235" s="42" t="str">
        <f aca="false">IF(OR(E235="",S235="",OR(R235="Contract signed + paid",R235="Closed – No response",R235="Lost"),N(T235)&gt;=Settings!$S$3),"",S235+Settings!$S$2)</f>
        <v/>
      </c>
      <c r="V235" s="38"/>
      <c r="W235" s="39"/>
      <c r="X235" s="17"/>
      <c r="Y235" s="17"/>
      <c r="Z235" s="17"/>
      <c r="AA235" s="43" t="str">
        <f aca="true">IF(OR(E235="",B235=""),"",INT(TODAY()-B235))</f>
        <v/>
      </c>
      <c r="AB235" s="44" t="str">
        <f aca="true">IF(E235="","",IF(OR(COUNTIFS(Clients!$C$2:$C$501,E235,Clients!$S$2:$S$501,"Paid")&gt;0,AND(I235&lt;&gt;"",COUNTIFS(Clients!$E$2:$E$501,I235,Clients!$S$2:$S$501,"Paid")&gt;0)),"⚠ Refunded before – no free video",IF(OR(R235="Contract signed + paid",R235="Closed – No response",R235="Lost"),"",IF(R235="","Set a stage",IF(N(T235)&gt;=Settings!$S$3,"Close – 4 follow-ups sent",IF(U235="",IF(S235="","Make first contact",""),IF(TODAY()&gt;U235,"OVERDUE follow-up",IF(TODAY()=U235,"Follow up today",""))))))))</f>
        <v/>
      </c>
    </row>
    <row r="236" customFormat="false" ht="15" hidden="false" customHeight="false" outlineLevel="0" collapsed="false">
      <c r="A236" s="17"/>
      <c r="B236" s="38"/>
      <c r="C236" s="39"/>
      <c r="D236" s="17"/>
      <c r="E236" s="17"/>
      <c r="F236" s="17"/>
      <c r="G236" s="17"/>
      <c r="H236" s="17"/>
      <c r="I236" s="40"/>
      <c r="J236" s="17"/>
      <c r="K236" s="17"/>
      <c r="L236" s="17"/>
      <c r="M236" s="17"/>
      <c r="N236" s="38"/>
      <c r="O236" s="39"/>
      <c r="P236" s="41" t="str">
        <f aca="false">IF(OR(B236="",N236=""),"",ROUND(((N236+N(O236))-(B236+N(C236)))*24,1))</f>
        <v/>
      </c>
      <c r="Q236" s="17"/>
      <c r="R236" s="17"/>
      <c r="S236" s="38"/>
      <c r="T236" s="17"/>
      <c r="U236" s="42" t="str">
        <f aca="false">IF(OR(E236="",S236="",OR(R236="Contract signed + paid",R236="Closed – No response",R236="Lost"),N(T236)&gt;=Settings!$S$3),"",S236+Settings!$S$2)</f>
        <v/>
      </c>
      <c r="V236" s="38"/>
      <c r="W236" s="39"/>
      <c r="X236" s="17"/>
      <c r="Y236" s="17"/>
      <c r="Z236" s="17"/>
      <c r="AA236" s="43" t="str">
        <f aca="true">IF(OR(E236="",B236=""),"",INT(TODAY()-B236))</f>
        <v/>
      </c>
      <c r="AB236" s="44" t="str">
        <f aca="true">IF(E236="","",IF(OR(COUNTIFS(Clients!$C$2:$C$501,E236,Clients!$S$2:$S$501,"Paid")&gt;0,AND(I236&lt;&gt;"",COUNTIFS(Clients!$E$2:$E$501,I236,Clients!$S$2:$S$501,"Paid")&gt;0)),"⚠ Refunded before – no free video",IF(OR(R236="Contract signed + paid",R236="Closed – No response",R236="Lost"),"",IF(R236="","Set a stage",IF(N(T236)&gt;=Settings!$S$3,"Close – 4 follow-ups sent",IF(U236="",IF(S236="","Make first contact",""),IF(TODAY()&gt;U236,"OVERDUE follow-up",IF(TODAY()=U236,"Follow up today",""))))))))</f>
        <v/>
      </c>
    </row>
    <row r="237" customFormat="false" ht="15" hidden="false" customHeight="false" outlineLevel="0" collapsed="false">
      <c r="A237" s="17"/>
      <c r="B237" s="38"/>
      <c r="C237" s="39"/>
      <c r="D237" s="17"/>
      <c r="E237" s="17"/>
      <c r="F237" s="17"/>
      <c r="G237" s="17"/>
      <c r="H237" s="17"/>
      <c r="I237" s="40"/>
      <c r="J237" s="17"/>
      <c r="K237" s="17"/>
      <c r="L237" s="17"/>
      <c r="M237" s="17"/>
      <c r="N237" s="38"/>
      <c r="O237" s="39"/>
      <c r="P237" s="41" t="str">
        <f aca="false">IF(OR(B237="",N237=""),"",ROUND(((N237+N(O237))-(B237+N(C237)))*24,1))</f>
        <v/>
      </c>
      <c r="Q237" s="17"/>
      <c r="R237" s="17"/>
      <c r="S237" s="38"/>
      <c r="T237" s="17"/>
      <c r="U237" s="42" t="str">
        <f aca="false">IF(OR(E237="",S237="",OR(R237="Contract signed + paid",R237="Closed – No response",R237="Lost"),N(T237)&gt;=Settings!$S$3),"",S237+Settings!$S$2)</f>
        <v/>
      </c>
      <c r="V237" s="38"/>
      <c r="W237" s="39"/>
      <c r="X237" s="17"/>
      <c r="Y237" s="17"/>
      <c r="Z237" s="17"/>
      <c r="AA237" s="43" t="str">
        <f aca="true">IF(OR(E237="",B237=""),"",INT(TODAY()-B237))</f>
        <v/>
      </c>
      <c r="AB237" s="44" t="str">
        <f aca="true">IF(E237="","",IF(OR(COUNTIFS(Clients!$C$2:$C$501,E237,Clients!$S$2:$S$501,"Paid")&gt;0,AND(I237&lt;&gt;"",COUNTIFS(Clients!$E$2:$E$501,I237,Clients!$S$2:$S$501,"Paid")&gt;0)),"⚠ Refunded before – no free video",IF(OR(R237="Contract signed + paid",R237="Closed – No response",R237="Lost"),"",IF(R237="","Set a stage",IF(N(T237)&gt;=Settings!$S$3,"Close – 4 follow-ups sent",IF(U237="",IF(S237="","Make first contact",""),IF(TODAY()&gt;U237,"OVERDUE follow-up",IF(TODAY()=U237,"Follow up today",""))))))))</f>
        <v/>
      </c>
    </row>
    <row r="238" customFormat="false" ht="15" hidden="false" customHeight="false" outlineLevel="0" collapsed="false">
      <c r="A238" s="17"/>
      <c r="B238" s="38"/>
      <c r="C238" s="39"/>
      <c r="D238" s="17"/>
      <c r="E238" s="17"/>
      <c r="F238" s="17"/>
      <c r="G238" s="17"/>
      <c r="H238" s="17"/>
      <c r="I238" s="40"/>
      <c r="J238" s="17"/>
      <c r="K238" s="17"/>
      <c r="L238" s="17"/>
      <c r="M238" s="17"/>
      <c r="N238" s="38"/>
      <c r="O238" s="39"/>
      <c r="P238" s="41" t="str">
        <f aca="false">IF(OR(B238="",N238=""),"",ROUND(((N238+N(O238))-(B238+N(C238)))*24,1))</f>
        <v/>
      </c>
      <c r="Q238" s="17"/>
      <c r="R238" s="17"/>
      <c r="S238" s="38"/>
      <c r="T238" s="17"/>
      <c r="U238" s="42" t="str">
        <f aca="false">IF(OR(E238="",S238="",OR(R238="Contract signed + paid",R238="Closed – No response",R238="Lost"),N(T238)&gt;=Settings!$S$3),"",S238+Settings!$S$2)</f>
        <v/>
      </c>
      <c r="V238" s="38"/>
      <c r="W238" s="39"/>
      <c r="X238" s="17"/>
      <c r="Y238" s="17"/>
      <c r="Z238" s="17"/>
      <c r="AA238" s="43" t="str">
        <f aca="true">IF(OR(E238="",B238=""),"",INT(TODAY()-B238))</f>
        <v/>
      </c>
      <c r="AB238" s="44" t="str">
        <f aca="true">IF(E238="","",IF(OR(COUNTIFS(Clients!$C$2:$C$501,E238,Clients!$S$2:$S$501,"Paid")&gt;0,AND(I238&lt;&gt;"",COUNTIFS(Clients!$E$2:$E$501,I238,Clients!$S$2:$S$501,"Paid")&gt;0)),"⚠ Refunded before – no free video",IF(OR(R238="Contract signed + paid",R238="Closed – No response",R238="Lost"),"",IF(R238="","Set a stage",IF(N(T238)&gt;=Settings!$S$3,"Close – 4 follow-ups sent",IF(U238="",IF(S238="","Make first contact",""),IF(TODAY()&gt;U238,"OVERDUE follow-up",IF(TODAY()=U238,"Follow up today",""))))))))</f>
        <v/>
      </c>
    </row>
    <row r="239" customFormat="false" ht="15" hidden="false" customHeight="false" outlineLevel="0" collapsed="false">
      <c r="A239" s="17"/>
      <c r="B239" s="38"/>
      <c r="C239" s="39"/>
      <c r="D239" s="17"/>
      <c r="E239" s="17"/>
      <c r="F239" s="17"/>
      <c r="G239" s="17"/>
      <c r="H239" s="17"/>
      <c r="I239" s="40"/>
      <c r="J239" s="17"/>
      <c r="K239" s="17"/>
      <c r="L239" s="17"/>
      <c r="M239" s="17"/>
      <c r="N239" s="38"/>
      <c r="O239" s="39"/>
      <c r="P239" s="41" t="str">
        <f aca="false">IF(OR(B239="",N239=""),"",ROUND(((N239+N(O239))-(B239+N(C239)))*24,1))</f>
        <v/>
      </c>
      <c r="Q239" s="17"/>
      <c r="R239" s="17"/>
      <c r="S239" s="38"/>
      <c r="T239" s="17"/>
      <c r="U239" s="42" t="str">
        <f aca="false">IF(OR(E239="",S239="",OR(R239="Contract signed + paid",R239="Closed – No response",R239="Lost"),N(T239)&gt;=Settings!$S$3),"",S239+Settings!$S$2)</f>
        <v/>
      </c>
      <c r="V239" s="38"/>
      <c r="W239" s="39"/>
      <c r="X239" s="17"/>
      <c r="Y239" s="17"/>
      <c r="Z239" s="17"/>
      <c r="AA239" s="43" t="str">
        <f aca="true">IF(OR(E239="",B239=""),"",INT(TODAY()-B239))</f>
        <v/>
      </c>
      <c r="AB239" s="44" t="str">
        <f aca="true">IF(E239="","",IF(OR(COUNTIFS(Clients!$C$2:$C$501,E239,Clients!$S$2:$S$501,"Paid")&gt;0,AND(I239&lt;&gt;"",COUNTIFS(Clients!$E$2:$E$501,I239,Clients!$S$2:$S$501,"Paid")&gt;0)),"⚠ Refunded before – no free video",IF(OR(R239="Contract signed + paid",R239="Closed – No response",R239="Lost"),"",IF(R239="","Set a stage",IF(N(T239)&gt;=Settings!$S$3,"Close – 4 follow-ups sent",IF(U239="",IF(S239="","Make first contact",""),IF(TODAY()&gt;U239,"OVERDUE follow-up",IF(TODAY()=U239,"Follow up today",""))))))))</f>
        <v/>
      </c>
    </row>
    <row r="240" customFormat="false" ht="15" hidden="false" customHeight="false" outlineLevel="0" collapsed="false">
      <c r="A240" s="17"/>
      <c r="B240" s="38"/>
      <c r="C240" s="39"/>
      <c r="D240" s="17"/>
      <c r="E240" s="17"/>
      <c r="F240" s="17"/>
      <c r="G240" s="17"/>
      <c r="H240" s="17"/>
      <c r="I240" s="40"/>
      <c r="J240" s="17"/>
      <c r="K240" s="17"/>
      <c r="L240" s="17"/>
      <c r="M240" s="17"/>
      <c r="N240" s="38"/>
      <c r="O240" s="39"/>
      <c r="P240" s="41" t="str">
        <f aca="false">IF(OR(B240="",N240=""),"",ROUND(((N240+N(O240))-(B240+N(C240)))*24,1))</f>
        <v/>
      </c>
      <c r="Q240" s="17"/>
      <c r="R240" s="17"/>
      <c r="S240" s="38"/>
      <c r="T240" s="17"/>
      <c r="U240" s="42" t="str">
        <f aca="false">IF(OR(E240="",S240="",OR(R240="Contract signed + paid",R240="Closed – No response",R240="Lost"),N(T240)&gt;=Settings!$S$3),"",S240+Settings!$S$2)</f>
        <v/>
      </c>
      <c r="V240" s="38"/>
      <c r="W240" s="39"/>
      <c r="X240" s="17"/>
      <c r="Y240" s="17"/>
      <c r="Z240" s="17"/>
      <c r="AA240" s="43" t="str">
        <f aca="true">IF(OR(E240="",B240=""),"",INT(TODAY()-B240))</f>
        <v/>
      </c>
      <c r="AB240" s="44" t="str">
        <f aca="true">IF(E240="","",IF(OR(COUNTIFS(Clients!$C$2:$C$501,E240,Clients!$S$2:$S$501,"Paid")&gt;0,AND(I240&lt;&gt;"",COUNTIFS(Clients!$E$2:$E$501,I240,Clients!$S$2:$S$501,"Paid")&gt;0)),"⚠ Refunded before – no free video",IF(OR(R240="Contract signed + paid",R240="Closed – No response",R240="Lost"),"",IF(R240="","Set a stage",IF(N(T240)&gt;=Settings!$S$3,"Close – 4 follow-ups sent",IF(U240="",IF(S240="","Make first contact",""),IF(TODAY()&gt;U240,"OVERDUE follow-up",IF(TODAY()=U240,"Follow up today",""))))))))</f>
        <v/>
      </c>
    </row>
    <row r="241" customFormat="false" ht="15" hidden="false" customHeight="false" outlineLevel="0" collapsed="false">
      <c r="A241" s="17"/>
      <c r="B241" s="38"/>
      <c r="C241" s="39"/>
      <c r="D241" s="17"/>
      <c r="E241" s="17"/>
      <c r="F241" s="17"/>
      <c r="G241" s="17"/>
      <c r="H241" s="17"/>
      <c r="I241" s="40"/>
      <c r="J241" s="17"/>
      <c r="K241" s="17"/>
      <c r="L241" s="17"/>
      <c r="M241" s="17"/>
      <c r="N241" s="38"/>
      <c r="O241" s="39"/>
      <c r="P241" s="41" t="str">
        <f aca="false">IF(OR(B241="",N241=""),"",ROUND(((N241+N(O241))-(B241+N(C241)))*24,1))</f>
        <v/>
      </c>
      <c r="Q241" s="17"/>
      <c r="R241" s="17"/>
      <c r="S241" s="38"/>
      <c r="T241" s="17"/>
      <c r="U241" s="42" t="str">
        <f aca="false">IF(OR(E241="",S241="",OR(R241="Contract signed + paid",R241="Closed – No response",R241="Lost"),N(T241)&gt;=Settings!$S$3),"",S241+Settings!$S$2)</f>
        <v/>
      </c>
      <c r="V241" s="38"/>
      <c r="W241" s="39"/>
      <c r="X241" s="17"/>
      <c r="Y241" s="17"/>
      <c r="Z241" s="17"/>
      <c r="AA241" s="43" t="str">
        <f aca="true">IF(OR(E241="",B241=""),"",INT(TODAY()-B241))</f>
        <v/>
      </c>
      <c r="AB241" s="44" t="str">
        <f aca="true">IF(E241="","",IF(OR(COUNTIFS(Clients!$C$2:$C$501,E241,Clients!$S$2:$S$501,"Paid")&gt;0,AND(I241&lt;&gt;"",COUNTIFS(Clients!$E$2:$E$501,I241,Clients!$S$2:$S$501,"Paid")&gt;0)),"⚠ Refunded before – no free video",IF(OR(R241="Contract signed + paid",R241="Closed – No response",R241="Lost"),"",IF(R241="","Set a stage",IF(N(T241)&gt;=Settings!$S$3,"Close – 4 follow-ups sent",IF(U241="",IF(S241="","Make first contact",""),IF(TODAY()&gt;U241,"OVERDUE follow-up",IF(TODAY()=U241,"Follow up today",""))))))))</f>
        <v/>
      </c>
    </row>
    <row r="242" customFormat="false" ht="15" hidden="false" customHeight="false" outlineLevel="0" collapsed="false">
      <c r="A242" s="17"/>
      <c r="B242" s="38"/>
      <c r="C242" s="39"/>
      <c r="D242" s="17"/>
      <c r="E242" s="17"/>
      <c r="F242" s="17"/>
      <c r="G242" s="17"/>
      <c r="H242" s="17"/>
      <c r="I242" s="40"/>
      <c r="J242" s="17"/>
      <c r="K242" s="17"/>
      <c r="L242" s="17"/>
      <c r="M242" s="17"/>
      <c r="N242" s="38"/>
      <c r="O242" s="39"/>
      <c r="P242" s="41" t="str">
        <f aca="false">IF(OR(B242="",N242=""),"",ROUND(((N242+N(O242))-(B242+N(C242)))*24,1))</f>
        <v/>
      </c>
      <c r="Q242" s="17"/>
      <c r="R242" s="17"/>
      <c r="S242" s="38"/>
      <c r="T242" s="17"/>
      <c r="U242" s="42" t="str">
        <f aca="false">IF(OR(E242="",S242="",OR(R242="Contract signed + paid",R242="Closed – No response",R242="Lost"),N(T242)&gt;=Settings!$S$3),"",S242+Settings!$S$2)</f>
        <v/>
      </c>
      <c r="V242" s="38"/>
      <c r="W242" s="39"/>
      <c r="X242" s="17"/>
      <c r="Y242" s="17"/>
      <c r="Z242" s="17"/>
      <c r="AA242" s="43" t="str">
        <f aca="true">IF(OR(E242="",B242=""),"",INT(TODAY()-B242))</f>
        <v/>
      </c>
      <c r="AB242" s="44" t="str">
        <f aca="true">IF(E242="","",IF(OR(COUNTIFS(Clients!$C$2:$C$501,E242,Clients!$S$2:$S$501,"Paid")&gt;0,AND(I242&lt;&gt;"",COUNTIFS(Clients!$E$2:$E$501,I242,Clients!$S$2:$S$501,"Paid")&gt;0)),"⚠ Refunded before – no free video",IF(OR(R242="Contract signed + paid",R242="Closed – No response",R242="Lost"),"",IF(R242="","Set a stage",IF(N(T242)&gt;=Settings!$S$3,"Close – 4 follow-ups sent",IF(U242="",IF(S242="","Make first contact",""),IF(TODAY()&gt;U242,"OVERDUE follow-up",IF(TODAY()=U242,"Follow up today",""))))))))</f>
        <v/>
      </c>
    </row>
    <row r="243" customFormat="false" ht="15" hidden="false" customHeight="false" outlineLevel="0" collapsed="false">
      <c r="A243" s="17"/>
      <c r="B243" s="38"/>
      <c r="C243" s="39"/>
      <c r="D243" s="17"/>
      <c r="E243" s="17"/>
      <c r="F243" s="17"/>
      <c r="G243" s="17"/>
      <c r="H243" s="17"/>
      <c r="I243" s="40"/>
      <c r="J243" s="17"/>
      <c r="K243" s="17"/>
      <c r="L243" s="17"/>
      <c r="M243" s="17"/>
      <c r="N243" s="38"/>
      <c r="O243" s="39"/>
      <c r="P243" s="41" t="str">
        <f aca="false">IF(OR(B243="",N243=""),"",ROUND(((N243+N(O243))-(B243+N(C243)))*24,1))</f>
        <v/>
      </c>
      <c r="Q243" s="17"/>
      <c r="R243" s="17"/>
      <c r="S243" s="38"/>
      <c r="T243" s="17"/>
      <c r="U243" s="42" t="str">
        <f aca="false">IF(OR(E243="",S243="",OR(R243="Contract signed + paid",R243="Closed – No response",R243="Lost"),N(T243)&gt;=Settings!$S$3),"",S243+Settings!$S$2)</f>
        <v/>
      </c>
      <c r="V243" s="38"/>
      <c r="W243" s="39"/>
      <c r="X243" s="17"/>
      <c r="Y243" s="17"/>
      <c r="Z243" s="17"/>
      <c r="AA243" s="43" t="str">
        <f aca="true">IF(OR(E243="",B243=""),"",INT(TODAY()-B243))</f>
        <v/>
      </c>
      <c r="AB243" s="44" t="str">
        <f aca="true">IF(E243="","",IF(OR(COUNTIFS(Clients!$C$2:$C$501,E243,Clients!$S$2:$S$501,"Paid")&gt;0,AND(I243&lt;&gt;"",COUNTIFS(Clients!$E$2:$E$501,I243,Clients!$S$2:$S$501,"Paid")&gt;0)),"⚠ Refunded before – no free video",IF(OR(R243="Contract signed + paid",R243="Closed – No response",R243="Lost"),"",IF(R243="","Set a stage",IF(N(T243)&gt;=Settings!$S$3,"Close – 4 follow-ups sent",IF(U243="",IF(S243="","Make first contact",""),IF(TODAY()&gt;U243,"OVERDUE follow-up",IF(TODAY()=U243,"Follow up today",""))))))))</f>
        <v/>
      </c>
    </row>
    <row r="244" customFormat="false" ht="15" hidden="false" customHeight="false" outlineLevel="0" collapsed="false">
      <c r="A244" s="17"/>
      <c r="B244" s="38"/>
      <c r="C244" s="39"/>
      <c r="D244" s="17"/>
      <c r="E244" s="17"/>
      <c r="F244" s="17"/>
      <c r="G244" s="17"/>
      <c r="H244" s="17"/>
      <c r="I244" s="40"/>
      <c r="J244" s="17"/>
      <c r="K244" s="17"/>
      <c r="L244" s="17"/>
      <c r="M244" s="17"/>
      <c r="N244" s="38"/>
      <c r="O244" s="39"/>
      <c r="P244" s="41" t="str">
        <f aca="false">IF(OR(B244="",N244=""),"",ROUND(((N244+N(O244))-(B244+N(C244)))*24,1))</f>
        <v/>
      </c>
      <c r="Q244" s="17"/>
      <c r="R244" s="17"/>
      <c r="S244" s="38"/>
      <c r="T244" s="17"/>
      <c r="U244" s="42" t="str">
        <f aca="false">IF(OR(E244="",S244="",OR(R244="Contract signed + paid",R244="Closed – No response",R244="Lost"),N(T244)&gt;=Settings!$S$3),"",S244+Settings!$S$2)</f>
        <v/>
      </c>
      <c r="V244" s="38"/>
      <c r="W244" s="39"/>
      <c r="X244" s="17"/>
      <c r="Y244" s="17"/>
      <c r="Z244" s="17"/>
      <c r="AA244" s="43" t="str">
        <f aca="true">IF(OR(E244="",B244=""),"",INT(TODAY()-B244))</f>
        <v/>
      </c>
      <c r="AB244" s="44" t="str">
        <f aca="true">IF(E244="","",IF(OR(COUNTIFS(Clients!$C$2:$C$501,E244,Clients!$S$2:$S$501,"Paid")&gt;0,AND(I244&lt;&gt;"",COUNTIFS(Clients!$E$2:$E$501,I244,Clients!$S$2:$S$501,"Paid")&gt;0)),"⚠ Refunded before – no free video",IF(OR(R244="Contract signed + paid",R244="Closed – No response",R244="Lost"),"",IF(R244="","Set a stage",IF(N(T244)&gt;=Settings!$S$3,"Close – 4 follow-ups sent",IF(U244="",IF(S244="","Make first contact",""),IF(TODAY()&gt;U244,"OVERDUE follow-up",IF(TODAY()=U244,"Follow up today",""))))))))</f>
        <v/>
      </c>
    </row>
    <row r="245" customFormat="false" ht="15" hidden="false" customHeight="false" outlineLevel="0" collapsed="false">
      <c r="A245" s="17"/>
      <c r="B245" s="38"/>
      <c r="C245" s="39"/>
      <c r="D245" s="17"/>
      <c r="E245" s="17"/>
      <c r="F245" s="17"/>
      <c r="G245" s="17"/>
      <c r="H245" s="17"/>
      <c r="I245" s="40"/>
      <c r="J245" s="17"/>
      <c r="K245" s="17"/>
      <c r="L245" s="17"/>
      <c r="M245" s="17"/>
      <c r="N245" s="38"/>
      <c r="O245" s="39"/>
      <c r="P245" s="41" t="str">
        <f aca="false">IF(OR(B245="",N245=""),"",ROUND(((N245+N(O245))-(B245+N(C245)))*24,1))</f>
        <v/>
      </c>
      <c r="Q245" s="17"/>
      <c r="R245" s="17"/>
      <c r="S245" s="38"/>
      <c r="T245" s="17"/>
      <c r="U245" s="42" t="str">
        <f aca="false">IF(OR(E245="",S245="",OR(R245="Contract signed + paid",R245="Closed – No response",R245="Lost"),N(T245)&gt;=Settings!$S$3),"",S245+Settings!$S$2)</f>
        <v/>
      </c>
      <c r="V245" s="38"/>
      <c r="W245" s="39"/>
      <c r="X245" s="17"/>
      <c r="Y245" s="17"/>
      <c r="Z245" s="17"/>
      <c r="AA245" s="43" t="str">
        <f aca="true">IF(OR(E245="",B245=""),"",INT(TODAY()-B245))</f>
        <v/>
      </c>
      <c r="AB245" s="44" t="str">
        <f aca="true">IF(E245="","",IF(OR(COUNTIFS(Clients!$C$2:$C$501,E245,Clients!$S$2:$S$501,"Paid")&gt;0,AND(I245&lt;&gt;"",COUNTIFS(Clients!$E$2:$E$501,I245,Clients!$S$2:$S$501,"Paid")&gt;0)),"⚠ Refunded before – no free video",IF(OR(R245="Contract signed + paid",R245="Closed – No response",R245="Lost"),"",IF(R245="","Set a stage",IF(N(T245)&gt;=Settings!$S$3,"Close – 4 follow-ups sent",IF(U245="",IF(S245="","Make first contact",""),IF(TODAY()&gt;U245,"OVERDUE follow-up",IF(TODAY()=U245,"Follow up today",""))))))))</f>
        <v/>
      </c>
    </row>
    <row r="246" customFormat="false" ht="15" hidden="false" customHeight="false" outlineLevel="0" collapsed="false">
      <c r="A246" s="17"/>
      <c r="B246" s="38"/>
      <c r="C246" s="39"/>
      <c r="D246" s="17"/>
      <c r="E246" s="17"/>
      <c r="F246" s="17"/>
      <c r="G246" s="17"/>
      <c r="H246" s="17"/>
      <c r="I246" s="40"/>
      <c r="J246" s="17"/>
      <c r="K246" s="17"/>
      <c r="L246" s="17"/>
      <c r="M246" s="17"/>
      <c r="N246" s="38"/>
      <c r="O246" s="39"/>
      <c r="P246" s="41" t="str">
        <f aca="false">IF(OR(B246="",N246=""),"",ROUND(((N246+N(O246))-(B246+N(C246)))*24,1))</f>
        <v/>
      </c>
      <c r="Q246" s="17"/>
      <c r="R246" s="17"/>
      <c r="S246" s="38"/>
      <c r="T246" s="17"/>
      <c r="U246" s="42" t="str">
        <f aca="false">IF(OR(E246="",S246="",OR(R246="Contract signed + paid",R246="Closed – No response",R246="Lost"),N(T246)&gt;=Settings!$S$3),"",S246+Settings!$S$2)</f>
        <v/>
      </c>
      <c r="V246" s="38"/>
      <c r="W246" s="39"/>
      <c r="X246" s="17"/>
      <c r="Y246" s="17"/>
      <c r="Z246" s="17"/>
      <c r="AA246" s="43" t="str">
        <f aca="true">IF(OR(E246="",B246=""),"",INT(TODAY()-B246))</f>
        <v/>
      </c>
      <c r="AB246" s="44" t="str">
        <f aca="true">IF(E246="","",IF(OR(COUNTIFS(Clients!$C$2:$C$501,E246,Clients!$S$2:$S$501,"Paid")&gt;0,AND(I246&lt;&gt;"",COUNTIFS(Clients!$E$2:$E$501,I246,Clients!$S$2:$S$501,"Paid")&gt;0)),"⚠ Refunded before – no free video",IF(OR(R246="Contract signed + paid",R246="Closed – No response",R246="Lost"),"",IF(R246="","Set a stage",IF(N(T246)&gt;=Settings!$S$3,"Close – 4 follow-ups sent",IF(U246="",IF(S246="","Make first contact",""),IF(TODAY()&gt;U246,"OVERDUE follow-up",IF(TODAY()=U246,"Follow up today",""))))))))</f>
        <v/>
      </c>
    </row>
    <row r="247" customFormat="false" ht="15" hidden="false" customHeight="false" outlineLevel="0" collapsed="false">
      <c r="A247" s="17"/>
      <c r="B247" s="38"/>
      <c r="C247" s="39"/>
      <c r="D247" s="17"/>
      <c r="E247" s="17"/>
      <c r="F247" s="17"/>
      <c r="G247" s="17"/>
      <c r="H247" s="17"/>
      <c r="I247" s="40"/>
      <c r="J247" s="17"/>
      <c r="K247" s="17"/>
      <c r="L247" s="17"/>
      <c r="M247" s="17"/>
      <c r="N247" s="38"/>
      <c r="O247" s="39"/>
      <c r="P247" s="41" t="str">
        <f aca="false">IF(OR(B247="",N247=""),"",ROUND(((N247+N(O247))-(B247+N(C247)))*24,1))</f>
        <v/>
      </c>
      <c r="Q247" s="17"/>
      <c r="R247" s="17"/>
      <c r="S247" s="38"/>
      <c r="T247" s="17"/>
      <c r="U247" s="42" t="str">
        <f aca="false">IF(OR(E247="",S247="",OR(R247="Contract signed + paid",R247="Closed – No response",R247="Lost"),N(T247)&gt;=Settings!$S$3),"",S247+Settings!$S$2)</f>
        <v/>
      </c>
      <c r="V247" s="38"/>
      <c r="W247" s="39"/>
      <c r="X247" s="17"/>
      <c r="Y247" s="17"/>
      <c r="Z247" s="17"/>
      <c r="AA247" s="43" t="str">
        <f aca="true">IF(OR(E247="",B247=""),"",INT(TODAY()-B247))</f>
        <v/>
      </c>
      <c r="AB247" s="44" t="str">
        <f aca="true">IF(E247="","",IF(OR(COUNTIFS(Clients!$C$2:$C$501,E247,Clients!$S$2:$S$501,"Paid")&gt;0,AND(I247&lt;&gt;"",COUNTIFS(Clients!$E$2:$E$501,I247,Clients!$S$2:$S$501,"Paid")&gt;0)),"⚠ Refunded before – no free video",IF(OR(R247="Contract signed + paid",R247="Closed – No response",R247="Lost"),"",IF(R247="","Set a stage",IF(N(T247)&gt;=Settings!$S$3,"Close – 4 follow-ups sent",IF(U247="",IF(S247="","Make first contact",""),IF(TODAY()&gt;U247,"OVERDUE follow-up",IF(TODAY()=U247,"Follow up today",""))))))))</f>
        <v/>
      </c>
    </row>
    <row r="248" customFormat="false" ht="15" hidden="false" customHeight="false" outlineLevel="0" collapsed="false">
      <c r="A248" s="17"/>
      <c r="B248" s="38"/>
      <c r="C248" s="39"/>
      <c r="D248" s="17"/>
      <c r="E248" s="17"/>
      <c r="F248" s="17"/>
      <c r="G248" s="17"/>
      <c r="H248" s="17"/>
      <c r="I248" s="40"/>
      <c r="J248" s="17"/>
      <c r="K248" s="17"/>
      <c r="L248" s="17"/>
      <c r="M248" s="17"/>
      <c r="N248" s="38"/>
      <c r="O248" s="39"/>
      <c r="P248" s="41" t="str">
        <f aca="false">IF(OR(B248="",N248=""),"",ROUND(((N248+N(O248))-(B248+N(C248)))*24,1))</f>
        <v/>
      </c>
      <c r="Q248" s="17"/>
      <c r="R248" s="17"/>
      <c r="S248" s="38"/>
      <c r="T248" s="17"/>
      <c r="U248" s="42" t="str">
        <f aca="false">IF(OR(E248="",S248="",OR(R248="Contract signed + paid",R248="Closed – No response",R248="Lost"),N(T248)&gt;=Settings!$S$3),"",S248+Settings!$S$2)</f>
        <v/>
      </c>
      <c r="V248" s="38"/>
      <c r="W248" s="39"/>
      <c r="X248" s="17"/>
      <c r="Y248" s="17"/>
      <c r="Z248" s="17"/>
      <c r="AA248" s="43" t="str">
        <f aca="true">IF(OR(E248="",B248=""),"",INT(TODAY()-B248))</f>
        <v/>
      </c>
      <c r="AB248" s="44" t="str">
        <f aca="true">IF(E248="","",IF(OR(COUNTIFS(Clients!$C$2:$C$501,E248,Clients!$S$2:$S$501,"Paid")&gt;0,AND(I248&lt;&gt;"",COUNTIFS(Clients!$E$2:$E$501,I248,Clients!$S$2:$S$501,"Paid")&gt;0)),"⚠ Refunded before – no free video",IF(OR(R248="Contract signed + paid",R248="Closed – No response",R248="Lost"),"",IF(R248="","Set a stage",IF(N(T248)&gt;=Settings!$S$3,"Close – 4 follow-ups sent",IF(U248="",IF(S248="","Make first contact",""),IF(TODAY()&gt;U248,"OVERDUE follow-up",IF(TODAY()=U248,"Follow up today",""))))))))</f>
        <v/>
      </c>
    </row>
    <row r="249" customFormat="false" ht="15" hidden="false" customHeight="false" outlineLevel="0" collapsed="false">
      <c r="A249" s="17"/>
      <c r="B249" s="38"/>
      <c r="C249" s="39"/>
      <c r="D249" s="17"/>
      <c r="E249" s="17"/>
      <c r="F249" s="17"/>
      <c r="G249" s="17"/>
      <c r="H249" s="17"/>
      <c r="I249" s="40"/>
      <c r="J249" s="17"/>
      <c r="K249" s="17"/>
      <c r="L249" s="17"/>
      <c r="M249" s="17"/>
      <c r="N249" s="38"/>
      <c r="O249" s="39"/>
      <c r="P249" s="41" t="str">
        <f aca="false">IF(OR(B249="",N249=""),"",ROUND(((N249+N(O249))-(B249+N(C249)))*24,1))</f>
        <v/>
      </c>
      <c r="Q249" s="17"/>
      <c r="R249" s="17"/>
      <c r="S249" s="38"/>
      <c r="T249" s="17"/>
      <c r="U249" s="42" t="str">
        <f aca="false">IF(OR(E249="",S249="",OR(R249="Contract signed + paid",R249="Closed – No response",R249="Lost"),N(T249)&gt;=Settings!$S$3),"",S249+Settings!$S$2)</f>
        <v/>
      </c>
      <c r="V249" s="38"/>
      <c r="W249" s="39"/>
      <c r="X249" s="17"/>
      <c r="Y249" s="17"/>
      <c r="Z249" s="17"/>
      <c r="AA249" s="43" t="str">
        <f aca="true">IF(OR(E249="",B249=""),"",INT(TODAY()-B249))</f>
        <v/>
      </c>
      <c r="AB249" s="44" t="str">
        <f aca="true">IF(E249="","",IF(OR(COUNTIFS(Clients!$C$2:$C$501,E249,Clients!$S$2:$S$501,"Paid")&gt;0,AND(I249&lt;&gt;"",COUNTIFS(Clients!$E$2:$E$501,I249,Clients!$S$2:$S$501,"Paid")&gt;0)),"⚠ Refunded before – no free video",IF(OR(R249="Contract signed + paid",R249="Closed – No response",R249="Lost"),"",IF(R249="","Set a stage",IF(N(T249)&gt;=Settings!$S$3,"Close – 4 follow-ups sent",IF(U249="",IF(S249="","Make first contact",""),IF(TODAY()&gt;U249,"OVERDUE follow-up",IF(TODAY()=U249,"Follow up today",""))))))))</f>
        <v/>
      </c>
    </row>
    <row r="250" customFormat="false" ht="15" hidden="false" customHeight="false" outlineLevel="0" collapsed="false">
      <c r="A250" s="17"/>
      <c r="B250" s="38"/>
      <c r="C250" s="39"/>
      <c r="D250" s="17"/>
      <c r="E250" s="17"/>
      <c r="F250" s="17"/>
      <c r="G250" s="17"/>
      <c r="H250" s="17"/>
      <c r="I250" s="40"/>
      <c r="J250" s="17"/>
      <c r="K250" s="17"/>
      <c r="L250" s="17"/>
      <c r="M250" s="17"/>
      <c r="N250" s="38"/>
      <c r="O250" s="39"/>
      <c r="P250" s="41" t="str">
        <f aca="false">IF(OR(B250="",N250=""),"",ROUND(((N250+N(O250))-(B250+N(C250)))*24,1))</f>
        <v/>
      </c>
      <c r="Q250" s="17"/>
      <c r="R250" s="17"/>
      <c r="S250" s="38"/>
      <c r="T250" s="17"/>
      <c r="U250" s="42" t="str">
        <f aca="false">IF(OR(E250="",S250="",OR(R250="Contract signed + paid",R250="Closed – No response",R250="Lost"),N(T250)&gt;=Settings!$S$3),"",S250+Settings!$S$2)</f>
        <v/>
      </c>
      <c r="V250" s="38"/>
      <c r="W250" s="39"/>
      <c r="X250" s="17"/>
      <c r="Y250" s="17"/>
      <c r="Z250" s="17"/>
      <c r="AA250" s="43" t="str">
        <f aca="true">IF(OR(E250="",B250=""),"",INT(TODAY()-B250))</f>
        <v/>
      </c>
      <c r="AB250" s="44" t="str">
        <f aca="true">IF(E250="","",IF(OR(COUNTIFS(Clients!$C$2:$C$501,E250,Clients!$S$2:$S$501,"Paid")&gt;0,AND(I250&lt;&gt;"",COUNTIFS(Clients!$E$2:$E$501,I250,Clients!$S$2:$S$501,"Paid")&gt;0)),"⚠ Refunded before – no free video",IF(OR(R250="Contract signed + paid",R250="Closed – No response",R250="Lost"),"",IF(R250="","Set a stage",IF(N(T250)&gt;=Settings!$S$3,"Close – 4 follow-ups sent",IF(U250="",IF(S250="","Make first contact",""),IF(TODAY()&gt;U250,"OVERDUE follow-up",IF(TODAY()=U250,"Follow up today",""))))))))</f>
        <v/>
      </c>
    </row>
    <row r="251" customFormat="false" ht="15" hidden="false" customHeight="false" outlineLevel="0" collapsed="false">
      <c r="A251" s="17"/>
      <c r="B251" s="38"/>
      <c r="C251" s="39"/>
      <c r="D251" s="17"/>
      <c r="E251" s="17"/>
      <c r="F251" s="17"/>
      <c r="G251" s="17"/>
      <c r="H251" s="17"/>
      <c r="I251" s="40"/>
      <c r="J251" s="17"/>
      <c r="K251" s="17"/>
      <c r="L251" s="17"/>
      <c r="M251" s="17"/>
      <c r="N251" s="38"/>
      <c r="O251" s="39"/>
      <c r="P251" s="41" t="str">
        <f aca="false">IF(OR(B251="",N251=""),"",ROUND(((N251+N(O251))-(B251+N(C251)))*24,1))</f>
        <v/>
      </c>
      <c r="Q251" s="17"/>
      <c r="R251" s="17"/>
      <c r="S251" s="38"/>
      <c r="T251" s="17"/>
      <c r="U251" s="42" t="str">
        <f aca="false">IF(OR(E251="",S251="",OR(R251="Contract signed + paid",R251="Closed – No response",R251="Lost"),N(T251)&gt;=Settings!$S$3),"",S251+Settings!$S$2)</f>
        <v/>
      </c>
      <c r="V251" s="38"/>
      <c r="W251" s="39"/>
      <c r="X251" s="17"/>
      <c r="Y251" s="17"/>
      <c r="Z251" s="17"/>
      <c r="AA251" s="43" t="str">
        <f aca="true">IF(OR(E251="",B251=""),"",INT(TODAY()-B251))</f>
        <v/>
      </c>
      <c r="AB251" s="44" t="str">
        <f aca="true">IF(E251="","",IF(OR(COUNTIFS(Clients!$C$2:$C$501,E251,Clients!$S$2:$S$501,"Paid")&gt;0,AND(I251&lt;&gt;"",COUNTIFS(Clients!$E$2:$E$501,I251,Clients!$S$2:$S$501,"Paid")&gt;0)),"⚠ Refunded before – no free video",IF(OR(R251="Contract signed + paid",R251="Closed – No response",R251="Lost"),"",IF(R251="","Set a stage",IF(N(T251)&gt;=Settings!$S$3,"Close – 4 follow-ups sent",IF(U251="",IF(S251="","Make first contact",""),IF(TODAY()&gt;U251,"OVERDUE follow-up",IF(TODAY()=U251,"Follow up today",""))))))))</f>
        <v/>
      </c>
    </row>
    <row r="252" customFormat="false" ht="15" hidden="false" customHeight="false" outlineLevel="0" collapsed="false">
      <c r="A252" s="17"/>
      <c r="B252" s="38"/>
      <c r="C252" s="39"/>
      <c r="D252" s="17"/>
      <c r="E252" s="17"/>
      <c r="F252" s="17"/>
      <c r="G252" s="17"/>
      <c r="H252" s="17"/>
      <c r="I252" s="40"/>
      <c r="J252" s="17"/>
      <c r="K252" s="17"/>
      <c r="L252" s="17"/>
      <c r="M252" s="17"/>
      <c r="N252" s="38"/>
      <c r="O252" s="39"/>
      <c r="P252" s="41" t="str">
        <f aca="false">IF(OR(B252="",N252=""),"",ROUND(((N252+N(O252))-(B252+N(C252)))*24,1))</f>
        <v/>
      </c>
      <c r="Q252" s="17"/>
      <c r="R252" s="17"/>
      <c r="S252" s="38"/>
      <c r="T252" s="17"/>
      <c r="U252" s="42" t="str">
        <f aca="false">IF(OR(E252="",S252="",OR(R252="Contract signed + paid",R252="Closed – No response",R252="Lost"),N(T252)&gt;=Settings!$S$3),"",S252+Settings!$S$2)</f>
        <v/>
      </c>
      <c r="V252" s="38"/>
      <c r="W252" s="39"/>
      <c r="X252" s="17"/>
      <c r="Y252" s="17"/>
      <c r="Z252" s="17"/>
      <c r="AA252" s="43" t="str">
        <f aca="true">IF(OR(E252="",B252=""),"",INT(TODAY()-B252))</f>
        <v/>
      </c>
      <c r="AB252" s="44" t="str">
        <f aca="true">IF(E252="","",IF(OR(COUNTIFS(Clients!$C$2:$C$501,E252,Clients!$S$2:$S$501,"Paid")&gt;0,AND(I252&lt;&gt;"",COUNTIFS(Clients!$E$2:$E$501,I252,Clients!$S$2:$S$501,"Paid")&gt;0)),"⚠ Refunded before – no free video",IF(OR(R252="Contract signed + paid",R252="Closed – No response",R252="Lost"),"",IF(R252="","Set a stage",IF(N(T252)&gt;=Settings!$S$3,"Close – 4 follow-ups sent",IF(U252="",IF(S252="","Make first contact",""),IF(TODAY()&gt;U252,"OVERDUE follow-up",IF(TODAY()=U252,"Follow up today",""))))))))</f>
        <v/>
      </c>
    </row>
    <row r="253" customFormat="false" ht="15" hidden="false" customHeight="false" outlineLevel="0" collapsed="false">
      <c r="A253" s="17"/>
      <c r="B253" s="38"/>
      <c r="C253" s="39"/>
      <c r="D253" s="17"/>
      <c r="E253" s="17"/>
      <c r="F253" s="17"/>
      <c r="G253" s="17"/>
      <c r="H253" s="17"/>
      <c r="I253" s="40"/>
      <c r="J253" s="17"/>
      <c r="K253" s="17"/>
      <c r="L253" s="17"/>
      <c r="M253" s="17"/>
      <c r="N253" s="38"/>
      <c r="O253" s="39"/>
      <c r="P253" s="41" t="str">
        <f aca="false">IF(OR(B253="",N253=""),"",ROUND(((N253+N(O253))-(B253+N(C253)))*24,1))</f>
        <v/>
      </c>
      <c r="Q253" s="17"/>
      <c r="R253" s="17"/>
      <c r="S253" s="38"/>
      <c r="T253" s="17"/>
      <c r="U253" s="42" t="str">
        <f aca="false">IF(OR(E253="",S253="",OR(R253="Contract signed + paid",R253="Closed – No response",R253="Lost"),N(T253)&gt;=Settings!$S$3),"",S253+Settings!$S$2)</f>
        <v/>
      </c>
      <c r="V253" s="38"/>
      <c r="W253" s="39"/>
      <c r="X253" s="17"/>
      <c r="Y253" s="17"/>
      <c r="Z253" s="17"/>
      <c r="AA253" s="43" t="str">
        <f aca="true">IF(OR(E253="",B253=""),"",INT(TODAY()-B253))</f>
        <v/>
      </c>
      <c r="AB253" s="44" t="str">
        <f aca="true">IF(E253="","",IF(OR(COUNTIFS(Clients!$C$2:$C$501,E253,Clients!$S$2:$S$501,"Paid")&gt;0,AND(I253&lt;&gt;"",COUNTIFS(Clients!$E$2:$E$501,I253,Clients!$S$2:$S$501,"Paid")&gt;0)),"⚠ Refunded before – no free video",IF(OR(R253="Contract signed + paid",R253="Closed – No response",R253="Lost"),"",IF(R253="","Set a stage",IF(N(T253)&gt;=Settings!$S$3,"Close – 4 follow-ups sent",IF(U253="",IF(S253="","Make first contact",""),IF(TODAY()&gt;U253,"OVERDUE follow-up",IF(TODAY()=U253,"Follow up today",""))))))))</f>
        <v/>
      </c>
    </row>
    <row r="254" customFormat="false" ht="15" hidden="false" customHeight="false" outlineLevel="0" collapsed="false">
      <c r="A254" s="17"/>
      <c r="B254" s="38"/>
      <c r="C254" s="39"/>
      <c r="D254" s="17"/>
      <c r="E254" s="17"/>
      <c r="F254" s="17"/>
      <c r="G254" s="17"/>
      <c r="H254" s="17"/>
      <c r="I254" s="40"/>
      <c r="J254" s="17"/>
      <c r="K254" s="17"/>
      <c r="L254" s="17"/>
      <c r="M254" s="17"/>
      <c r="N254" s="38"/>
      <c r="O254" s="39"/>
      <c r="P254" s="41" t="str">
        <f aca="false">IF(OR(B254="",N254=""),"",ROUND(((N254+N(O254))-(B254+N(C254)))*24,1))</f>
        <v/>
      </c>
      <c r="Q254" s="17"/>
      <c r="R254" s="17"/>
      <c r="S254" s="38"/>
      <c r="T254" s="17"/>
      <c r="U254" s="42" t="str">
        <f aca="false">IF(OR(E254="",S254="",OR(R254="Contract signed + paid",R254="Closed – No response",R254="Lost"),N(T254)&gt;=Settings!$S$3),"",S254+Settings!$S$2)</f>
        <v/>
      </c>
      <c r="V254" s="38"/>
      <c r="W254" s="39"/>
      <c r="X254" s="17"/>
      <c r="Y254" s="17"/>
      <c r="Z254" s="17"/>
      <c r="AA254" s="43" t="str">
        <f aca="true">IF(OR(E254="",B254=""),"",INT(TODAY()-B254))</f>
        <v/>
      </c>
      <c r="AB254" s="44" t="str">
        <f aca="true">IF(E254="","",IF(OR(COUNTIFS(Clients!$C$2:$C$501,E254,Clients!$S$2:$S$501,"Paid")&gt;0,AND(I254&lt;&gt;"",COUNTIFS(Clients!$E$2:$E$501,I254,Clients!$S$2:$S$501,"Paid")&gt;0)),"⚠ Refunded before – no free video",IF(OR(R254="Contract signed + paid",R254="Closed – No response",R254="Lost"),"",IF(R254="","Set a stage",IF(N(T254)&gt;=Settings!$S$3,"Close – 4 follow-ups sent",IF(U254="",IF(S254="","Make first contact",""),IF(TODAY()&gt;U254,"OVERDUE follow-up",IF(TODAY()=U254,"Follow up today",""))))))))</f>
        <v/>
      </c>
    </row>
    <row r="255" customFormat="false" ht="15" hidden="false" customHeight="false" outlineLevel="0" collapsed="false">
      <c r="A255" s="17"/>
      <c r="B255" s="38"/>
      <c r="C255" s="39"/>
      <c r="D255" s="17"/>
      <c r="E255" s="17"/>
      <c r="F255" s="17"/>
      <c r="G255" s="17"/>
      <c r="H255" s="17"/>
      <c r="I255" s="40"/>
      <c r="J255" s="17"/>
      <c r="K255" s="17"/>
      <c r="L255" s="17"/>
      <c r="M255" s="17"/>
      <c r="N255" s="38"/>
      <c r="O255" s="39"/>
      <c r="P255" s="41" t="str">
        <f aca="false">IF(OR(B255="",N255=""),"",ROUND(((N255+N(O255))-(B255+N(C255)))*24,1))</f>
        <v/>
      </c>
      <c r="Q255" s="17"/>
      <c r="R255" s="17"/>
      <c r="S255" s="38"/>
      <c r="T255" s="17"/>
      <c r="U255" s="42" t="str">
        <f aca="false">IF(OR(E255="",S255="",OR(R255="Contract signed + paid",R255="Closed – No response",R255="Lost"),N(T255)&gt;=Settings!$S$3),"",S255+Settings!$S$2)</f>
        <v/>
      </c>
      <c r="V255" s="38"/>
      <c r="W255" s="39"/>
      <c r="X255" s="17"/>
      <c r="Y255" s="17"/>
      <c r="Z255" s="17"/>
      <c r="AA255" s="43" t="str">
        <f aca="true">IF(OR(E255="",B255=""),"",INT(TODAY()-B255))</f>
        <v/>
      </c>
      <c r="AB255" s="44" t="str">
        <f aca="true">IF(E255="","",IF(OR(COUNTIFS(Clients!$C$2:$C$501,E255,Clients!$S$2:$S$501,"Paid")&gt;0,AND(I255&lt;&gt;"",COUNTIFS(Clients!$E$2:$E$501,I255,Clients!$S$2:$S$501,"Paid")&gt;0)),"⚠ Refunded before – no free video",IF(OR(R255="Contract signed + paid",R255="Closed – No response",R255="Lost"),"",IF(R255="","Set a stage",IF(N(T255)&gt;=Settings!$S$3,"Close – 4 follow-ups sent",IF(U255="",IF(S255="","Make first contact",""),IF(TODAY()&gt;U255,"OVERDUE follow-up",IF(TODAY()=U255,"Follow up today",""))))))))</f>
        <v/>
      </c>
    </row>
    <row r="256" customFormat="false" ht="15" hidden="false" customHeight="false" outlineLevel="0" collapsed="false">
      <c r="A256" s="17"/>
      <c r="B256" s="38"/>
      <c r="C256" s="39"/>
      <c r="D256" s="17"/>
      <c r="E256" s="17"/>
      <c r="F256" s="17"/>
      <c r="G256" s="17"/>
      <c r="H256" s="17"/>
      <c r="I256" s="40"/>
      <c r="J256" s="17"/>
      <c r="K256" s="17"/>
      <c r="L256" s="17"/>
      <c r="M256" s="17"/>
      <c r="N256" s="38"/>
      <c r="O256" s="39"/>
      <c r="P256" s="41" t="str">
        <f aca="false">IF(OR(B256="",N256=""),"",ROUND(((N256+N(O256))-(B256+N(C256)))*24,1))</f>
        <v/>
      </c>
      <c r="Q256" s="17"/>
      <c r="R256" s="17"/>
      <c r="S256" s="38"/>
      <c r="T256" s="17"/>
      <c r="U256" s="42" t="str">
        <f aca="false">IF(OR(E256="",S256="",OR(R256="Contract signed + paid",R256="Closed – No response",R256="Lost"),N(T256)&gt;=Settings!$S$3),"",S256+Settings!$S$2)</f>
        <v/>
      </c>
      <c r="V256" s="38"/>
      <c r="W256" s="39"/>
      <c r="X256" s="17"/>
      <c r="Y256" s="17"/>
      <c r="Z256" s="17"/>
      <c r="AA256" s="43" t="str">
        <f aca="true">IF(OR(E256="",B256=""),"",INT(TODAY()-B256))</f>
        <v/>
      </c>
      <c r="AB256" s="44" t="str">
        <f aca="true">IF(E256="","",IF(OR(COUNTIFS(Clients!$C$2:$C$501,E256,Clients!$S$2:$S$501,"Paid")&gt;0,AND(I256&lt;&gt;"",COUNTIFS(Clients!$E$2:$E$501,I256,Clients!$S$2:$S$501,"Paid")&gt;0)),"⚠ Refunded before – no free video",IF(OR(R256="Contract signed + paid",R256="Closed – No response",R256="Lost"),"",IF(R256="","Set a stage",IF(N(T256)&gt;=Settings!$S$3,"Close – 4 follow-ups sent",IF(U256="",IF(S256="","Make first contact",""),IF(TODAY()&gt;U256,"OVERDUE follow-up",IF(TODAY()=U256,"Follow up today",""))))))))</f>
        <v/>
      </c>
    </row>
    <row r="257" customFormat="false" ht="15" hidden="false" customHeight="false" outlineLevel="0" collapsed="false">
      <c r="A257" s="17"/>
      <c r="B257" s="38"/>
      <c r="C257" s="39"/>
      <c r="D257" s="17"/>
      <c r="E257" s="17"/>
      <c r="F257" s="17"/>
      <c r="G257" s="17"/>
      <c r="H257" s="17"/>
      <c r="I257" s="40"/>
      <c r="J257" s="17"/>
      <c r="K257" s="17"/>
      <c r="L257" s="17"/>
      <c r="M257" s="17"/>
      <c r="N257" s="38"/>
      <c r="O257" s="39"/>
      <c r="P257" s="41" t="str">
        <f aca="false">IF(OR(B257="",N257=""),"",ROUND(((N257+N(O257))-(B257+N(C257)))*24,1))</f>
        <v/>
      </c>
      <c r="Q257" s="17"/>
      <c r="R257" s="17"/>
      <c r="S257" s="38"/>
      <c r="T257" s="17"/>
      <c r="U257" s="42" t="str">
        <f aca="false">IF(OR(E257="",S257="",OR(R257="Contract signed + paid",R257="Closed – No response",R257="Lost"),N(T257)&gt;=Settings!$S$3),"",S257+Settings!$S$2)</f>
        <v/>
      </c>
      <c r="V257" s="38"/>
      <c r="W257" s="39"/>
      <c r="X257" s="17"/>
      <c r="Y257" s="17"/>
      <c r="Z257" s="17"/>
      <c r="AA257" s="43" t="str">
        <f aca="true">IF(OR(E257="",B257=""),"",INT(TODAY()-B257))</f>
        <v/>
      </c>
      <c r="AB257" s="44" t="str">
        <f aca="true">IF(E257="","",IF(OR(COUNTIFS(Clients!$C$2:$C$501,E257,Clients!$S$2:$S$501,"Paid")&gt;0,AND(I257&lt;&gt;"",COUNTIFS(Clients!$E$2:$E$501,I257,Clients!$S$2:$S$501,"Paid")&gt;0)),"⚠ Refunded before – no free video",IF(OR(R257="Contract signed + paid",R257="Closed – No response",R257="Lost"),"",IF(R257="","Set a stage",IF(N(T257)&gt;=Settings!$S$3,"Close – 4 follow-ups sent",IF(U257="",IF(S257="","Make first contact",""),IF(TODAY()&gt;U257,"OVERDUE follow-up",IF(TODAY()=U257,"Follow up today",""))))))))</f>
        <v/>
      </c>
    </row>
    <row r="258" customFormat="false" ht="15" hidden="false" customHeight="false" outlineLevel="0" collapsed="false">
      <c r="A258" s="17"/>
      <c r="B258" s="38"/>
      <c r="C258" s="39"/>
      <c r="D258" s="17"/>
      <c r="E258" s="17"/>
      <c r="F258" s="17"/>
      <c r="G258" s="17"/>
      <c r="H258" s="17"/>
      <c r="I258" s="40"/>
      <c r="J258" s="17"/>
      <c r="K258" s="17"/>
      <c r="L258" s="17"/>
      <c r="M258" s="17"/>
      <c r="N258" s="38"/>
      <c r="O258" s="39"/>
      <c r="P258" s="41" t="str">
        <f aca="false">IF(OR(B258="",N258=""),"",ROUND(((N258+N(O258))-(B258+N(C258)))*24,1))</f>
        <v/>
      </c>
      <c r="Q258" s="17"/>
      <c r="R258" s="17"/>
      <c r="S258" s="38"/>
      <c r="T258" s="17"/>
      <c r="U258" s="42" t="str">
        <f aca="false">IF(OR(E258="",S258="",OR(R258="Contract signed + paid",R258="Closed – No response",R258="Lost"),N(T258)&gt;=Settings!$S$3),"",S258+Settings!$S$2)</f>
        <v/>
      </c>
      <c r="V258" s="38"/>
      <c r="W258" s="39"/>
      <c r="X258" s="17"/>
      <c r="Y258" s="17"/>
      <c r="Z258" s="17"/>
      <c r="AA258" s="43" t="str">
        <f aca="true">IF(OR(E258="",B258=""),"",INT(TODAY()-B258))</f>
        <v/>
      </c>
      <c r="AB258" s="44" t="str">
        <f aca="true">IF(E258="","",IF(OR(COUNTIFS(Clients!$C$2:$C$501,E258,Clients!$S$2:$S$501,"Paid")&gt;0,AND(I258&lt;&gt;"",COUNTIFS(Clients!$E$2:$E$501,I258,Clients!$S$2:$S$501,"Paid")&gt;0)),"⚠ Refunded before – no free video",IF(OR(R258="Contract signed + paid",R258="Closed – No response",R258="Lost"),"",IF(R258="","Set a stage",IF(N(T258)&gt;=Settings!$S$3,"Close – 4 follow-ups sent",IF(U258="",IF(S258="","Make first contact",""),IF(TODAY()&gt;U258,"OVERDUE follow-up",IF(TODAY()=U258,"Follow up today",""))))))))</f>
        <v/>
      </c>
    </row>
    <row r="259" customFormat="false" ht="15" hidden="false" customHeight="false" outlineLevel="0" collapsed="false">
      <c r="A259" s="17"/>
      <c r="B259" s="38"/>
      <c r="C259" s="39"/>
      <c r="D259" s="17"/>
      <c r="E259" s="17"/>
      <c r="F259" s="17"/>
      <c r="G259" s="17"/>
      <c r="H259" s="17"/>
      <c r="I259" s="40"/>
      <c r="J259" s="17"/>
      <c r="K259" s="17"/>
      <c r="L259" s="17"/>
      <c r="M259" s="17"/>
      <c r="N259" s="38"/>
      <c r="O259" s="39"/>
      <c r="P259" s="41" t="str">
        <f aca="false">IF(OR(B259="",N259=""),"",ROUND(((N259+N(O259))-(B259+N(C259)))*24,1))</f>
        <v/>
      </c>
      <c r="Q259" s="17"/>
      <c r="R259" s="17"/>
      <c r="S259" s="38"/>
      <c r="T259" s="17"/>
      <c r="U259" s="42" t="str">
        <f aca="false">IF(OR(E259="",S259="",OR(R259="Contract signed + paid",R259="Closed – No response",R259="Lost"),N(T259)&gt;=Settings!$S$3),"",S259+Settings!$S$2)</f>
        <v/>
      </c>
      <c r="V259" s="38"/>
      <c r="W259" s="39"/>
      <c r="X259" s="17"/>
      <c r="Y259" s="17"/>
      <c r="Z259" s="17"/>
      <c r="AA259" s="43" t="str">
        <f aca="true">IF(OR(E259="",B259=""),"",INT(TODAY()-B259))</f>
        <v/>
      </c>
      <c r="AB259" s="44" t="str">
        <f aca="true">IF(E259="","",IF(OR(COUNTIFS(Clients!$C$2:$C$501,E259,Clients!$S$2:$S$501,"Paid")&gt;0,AND(I259&lt;&gt;"",COUNTIFS(Clients!$E$2:$E$501,I259,Clients!$S$2:$S$501,"Paid")&gt;0)),"⚠ Refunded before – no free video",IF(OR(R259="Contract signed + paid",R259="Closed – No response",R259="Lost"),"",IF(R259="","Set a stage",IF(N(T259)&gt;=Settings!$S$3,"Close – 4 follow-ups sent",IF(U259="",IF(S259="","Make first contact",""),IF(TODAY()&gt;U259,"OVERDUE follow-up",IF(TODAY()=U259,"Follow up today",""))))))))</f>
        <v/>
      </c>
    </row>
    <row r="260" customFormat="false" ht="15" hidden="false" customHeight="false" outlineLevel="0" collapsed="false">
      <c r="A260" s="17"/>
      <c r="B260" s="38"/>
      <c r="C260" s="39"/>
      <c r="D260" s="17"/>
      <c r="E260" s="17"/>
      <c r="F260" s="17"/>
      <c r="G260" s="17"/>
      <c r="H260" s="17"/>
      <c r="I260" s="40"/>
      <c r="J260" s="17"/>
      <c r="K260" s="17"/>
      <c r="L260" s="17"/>
      <c r="M260" s="17"/>
      <c r="N260" s="38"/>
      <c r="O260" s="39"/>
      <c r="P260" s="41" t="str">
        <f aca="false">IF(OR(B260="",N260=""),"",ROUND(((N260+N(O260))-(B260+N(C260)))*24,1))</f>
        <v/>
      </c>
      <c r="Q260" s="17"/>
      <c r="R260" s="17"/>
      <c r="S260" s="38"/>
      <c r="T260" s="17"/>
      <c r="U260" s="42" t="str">
        <f aca="false">IF(OR(E260="",S260="",OR(R260="Contract signed + paid",R260="Closed – No response",R260="Lost"),N(T260)&gt;=Settings!$S$3),"",S260+Settings!$S$2)</f>
        <v/>
      </c>
      <c r="V260" s="38"/>
      <c r="W260" s="39"/>
      <c r="X260" s="17"/>
      <c r="Y260" s="17"/>
      <c r="Z260" s="17"/>
      <c r="AA260" s="43" t="str">
        <f aca="true">IF(OR(E260="",B260=""),"",INT(TODAY()-B260))</f>
        <v/>
      </c>
      <c r="AB260" s="44" t="str">
        <f aca="true">IF(E260="","",IF(OR(COUNTIFS(Clients!$C$2:$C$501,E260,Clients!$S$2:$S$501,"Paid")&gt;0,AND(I260&lt;&gt;"",COUNTIFS(Clients!$E$2:$E$501,I260,Clients!$S$2:$S$501,"Paid")&gt;0)),"⚠ Refunded before – no free video",IF(OR(R260="Contract signed + paid",R260="Closed – No response",R260="Lost"),"",IF(R260="","Set a stage",IF(N(T260)&gt;=Settings!$S$3,"Close – 4 follow-ups sent",IF(U260="",IF(S260="","Make first contact",""),IF(TODAY()&gt;U260,"OVERDUE follow-up",IF(TODAY()=U260,"Follow up today",""))))))))</f>
        <v/>
      </c>
    </row>
    <row r="261" customFormat="false" ht="15" hidden="false" customHeight="false" outlineLevel="0" collapsed="false">
      <c r="A261" s="17"/>
      <c r="B261" s="38"/>
      <c r="C261" s="39"/>
      <c r="D261" s="17"/>
      <c r="E261" s="17"/>
      <c r="F261" s="17"/>
      <c r="G261" s="17"/>
      <c r="H261" s="17"/>
      <c r="I261" s="40"/>
      <c r="J261" s="17"/>
      <c r="K261" s="17"/>
      <c r="L261" s="17"/>
      <c r="M261" s="17"/>
      <c r="N261" s="38"/>
      <c r="O261" s="39"/>
      <c r="P261" s="41" t="str">
        <f aca="false">IF(OR(B261="",N261=""),"",ROUND(((N261+N(O261))-(B261+N(C261)))*24,1))</f>
        <v/>
      </c>
      <c r="Q261" s="17"/>
      <c r="R261" s="17"/>
      <c r="S261" s="38"/>
      <c r="T261" s="17"/>
      <c r="U261" s="42" t="str">
        <f aca="false">IF(OR(E261="",S261="",OR(R261="Contract signed + paid",R261="Closed – No response",R261="Lost"),N(T261)&gt;=Settings!$S$3),"",S261+Settings!$S$2)</f>
        <v/>
      </c>
      <c r="V261" s="38"/>
      <c r="W261" s="39"/>
      <c r="X261" s="17"/>
      <c r="Y261" s="17"/>
      <c r="Z261" s="17"/>
      <c r="AA261" s="43" t="str">
        <f aca="true">IF(OR(E261="",B261=""),"",INT(TODAY()-B261))</f>
        <v/>
      </c>
      <c r="AB261" s="44" t="str">
        <f aca="true">IF(E261="","",IF(OR(COUNTIFS(Clients!$C$2:$C$501,E261,Clients!$S$2:$S$501,"Paid")&gt;0,AND(I261&lt;&gt;"",COUNTIFS(Clients!$E$2:$E$501,I261,Clients!$S$2:$S$501,"Paid")&gt;0)),"⚠ Refunded before – no free video",IF(OR(R261="Contract signed + paid",R261="Closed – No response",R261="Lost"),"",IF(R261="","Set a stage",IF(N(T261)&gt;=Settings!$S$3,"Close – 4 follow-ups sent",IF(U261="",IF(S261="","Make first contact",""),IF(TODAY()&gt;U261,"OVERDUE follow-up",IF(TODAY()=U261,"Follow up today",""))))))))</f>
        <v/>
      </c>
    </row>
    <row r="262" customFormat="false" ht="15" hidden="false" customHeight="false" outlineLevel="0" collapsed="false">
      <c r="A262" s="17"/>
      <c r="B262" s="38"/>
      <c r="C262" s="39"/>
      <c r="D262" s="17"/>
      <c r="E262" s="17"/>
      <c r="F262" s="17"/>
      <c r="G262" s="17"/>
      <c r="H262" s="17"/>
      <c r="I262" s="40"/>
      <c r="J262" s="17"/>
      <c r="K262" s="17"/>
      <c r="L262" s="17"/>
      <c r="M262" s="17"/>
      <c r="N262" s="38"/>
      <c r="O262" s="39"/>
      <c r="P262" s="41" t="str">
        <f aca="false">IF(OR(B262="",N262=""),"",ROUND(((N262+N(O262))-(B262+N(C262)))*24,1))</f>
        <v/>
      </c>
      <c r="Q262" s="17"/>
      <c r="R262" s="17"/>
      <c r="S262" s="38"/>
      <c r="T262" s="17"/>
      <c r="U262" s="42" t="str">
        <f aca="false">IF(OR(E262="",S262="",OR(R262="Contract signed + paid",R262="Closed – No response",R262="Lost"),N(T262)&gt;=Settings!$S$3),"",S262+Settings!$S$2)</f>
        <v/>
      </c>
      <c r="V262" s="38"/>
      <c r="W262" s="39"/>
      <c r="X262" s="17"/>
      <c r="Y262" s="17"/>
      <c r="Z262" s="17"/>
      <c r="AA262" s="43" t="str">
        <f aca="true">IF(OR(E262="",B262=""),"",INT(TODAY()-B262))</f>
        <v/>
      </c>
      <c r="AB262" s="44" t="str">
        <f aca="true">IF(E262="","",IF(OR(COUNTIFS(Clients!$C$2:$C$501,E262,Clients!$S$2:$S$501,"Paid")&gt;0,AND(I262&lt;&gt;"",COUNTIFS(Clients!$E$2:$E$501,I262,Clients!$S$2:$S$501,"Paid")&gt;0)),"⚠ Refunded before – no free video",IF(OR(R262="Contract signed + paid",R262="Closed – No response",R262="Lost"),"",IF(R262="","Set a stage",IF(N(T262)&gt;=Settings!$S$3,"Close – 4 follow-ups sent",IF(U262="",IF(S262="","Make first contact",""),IF(TODAY()&gt;U262,"OVERDUE follow-up",IF(TODAY()=U262,"Follow up today",""))))))))</f>
        <v/>
      </c>
    </row>
    <row r="263" customFormat="false" ht="15" hidden="false" customHeight="false" outlineLevel="0" collapsed="false">
      <c r="A263" s="17"/>
      <c r="B263" s="38"/>
      <c r="C263" s="39"/>
      <c r="D263" s="17"/>
      <c r="E263" s="17"/>
      <c r="F263" s="17"/>
      <c r="G263" s="17"/>
      <c r="H263" s="17"/>
      <c r="I263" s="40"/>
      <c r="J263" s="17"/>
      <c r="K263" s="17"/>
      <c r="L263" s="17"/>
      <c r="M263" s="17"/>
      <c r="N263" s="38"/>
      <c r="O263" s="39"/>
      <c r="P263" s="41" t="str">
        <f aca="false">IF(OR(B263="",N263=""),"",ROUND(((N263+N(O263))-(B263+N(C263)))*24,1))</f>
        <v/>
      </c>
      <c r="Q263" s="17"/>
      <c r="R263" s="17"/>
      <c r="S263" s="38"/>
      <c r="T263" s="17"/>
      <c r="U263" s="42" t="str">
        <f aca="false">IF(OR(E263="",S263="",OR(R263="Contract signed + paid",R263="Closed – No response",R263="Lost"),N(T263)&gt;=Settings!$S$3),"",S263+Settings!$S$2)</f>
        <v/>
      </c>
      <c r="V263" s="38"/>
      <c r="W263" s="39"/>
      <c r="X263" s="17"/>
      <c r="Y263" s="17"/>
      <c r="Z263" s="17"/>
      <c r="AA263" s="43" t="str">
        <f aca="true">IF(OR(E263="",B263=""),"",INT(TODAY()-B263))</f>
        <v/>
      </c>
      <c r="AB263" s="44" t="str">
        <f aca="true">IF(E263="","",IF(OR(COUNTIFS(Clients!$C$2:$C$501,E263,Clients!$S$2:$S$501,"Paid")&gt;0,AND(I263&lt;&gt;"",COUNTIFS(Clients!$E$2:$E$501,I263,Clients!$S$2:$S$501,"Paid")&gt;0)),"⚠ Refunded before – no free video",IF(OR(R263="Contract signed + paid",R263="Closed – No response",R263="Lost"),"",IF(R263="","Set a stage",IF(N(T263)&gt;=Settings!$S$3,"Close – 4 follow-ups sent",IF(U263="",IF(S263="","Make first contact",""),IF(TODAY()&gt;U263,"OVERDUE follow-up",IF(TODAY()=U263,"Follow up today",""))))))))</f>
        <v/>
      </c>
    </row>
    <row r="264" customFormat="false" ht="15" hidden="false" customHeight="false" outlineLevel="0" collapsed="false">
      <c r="A264" s="17"/>
      <c r="B264" s="38"/>
      <c r="C264" s="39"/>
      <c r="D264" s="17"/>
      <c r="E264" s="17"/>
      <c r="F264" s="17"/>
      <c r="G264" s="17"/>
      <c r="H264" s="17"/>
      <c r="I264" s="40"/>
      <c r="J264" s="17"/>
      <c r="K264" s="17"/>
      <c r="L264" s="17"/>
      <c r="M264" s="17"/>
      <c r="N264" s="38"/>
      <c r="O264" s="39"/>
      <c r="P264" s="41" t="str">
        <f aca="false">IF(OR(B264="",N264=""),"",ROUND(((N264+N(O264))-(B264+N(C264)))*24,1))</f>
        <v/>
      </c>
      <c r="Q264" s="17"/>
      <c r="R264" s="17"/>
      <c r="S264" s="38"/>
      <c r="T264" s="17"/>
      <c r="U264" s="42" t="str">
        <f aca="false">IF(OR(E264="",S264="",OR(R264="Contract signed + paid",R264="Closed – No response",R264="Lost"),N(T264)&gt;=Settings!$S$3),"",S264+Settings!$S$2)</f>
        <v/>
      </c>
      <c r="V264" s="38"/>
      <c r="W264" s="39"/>
      <c r="X264" s="17"/>
      <c r="Y264" s="17"/>
      <c r="Z264" s="17"/>
      <c r="AA264" s="43" t="str">
        <f aca="true">IF(OR(E264="",B264=""),"",INT(TODAY()-B264))</f>
        <v/>
      </c>
      <c r="AB264" s="44" t="str">
        <f aca="true">IF(E264="","",IF(OR(COUNTIFS(Clients!$C$2:$C$501,E264,Clients!$S$2:$S$501,"Paid")&gt;0,AND(I264&lt;&gt;"",COUNTIFS(Clients!$E$2:$E$501,I264,Clients!$S$2:$S$501,"Paid")&gt;0)),"⚠ Refunded before – no free video",IF(OR(R264="Contract signed + paid",R264="Closed – No response",R264="Lost"),"",IF(R264="","Set a stage",IF(N(T264)&gt;=Settings!$S$3,"Close – 4 follow-ups sent",IF(U264="",IF(S264="","Make first contact",""),IF(TODAY()&gt;U264,"OVERDUE follow-up",IF(TODAY()=U264,"Follow up today",""))))))))</f>
        <v/>
      </c>
    </row>
    <row r="265" customFormat="false" ht="15" hidden="false" customHeight="false" outlineLevel="0" collapsed="false">
      <c r="A265" s="17"/>
      <c r="B265" s="38"/>
      <c r="C265" s="39"/>
      <c r="D265" s="17"/>
      <c r="E265" s="17"/>
      <c r="F265" s="17"/>
      <c r="G265" s="17"/>
      <c r="H265" s="17"/>
      <c r="I265" s="40"/>
      <c r="J265" s="17"/>
      <c r="K265" s="17"/>
      <c r="L265" s="17"/>
      <c r="M265" s="17"/>
      <c r="N265" s="38"/>
      <c r="O265" s="39"/>
      <c r="P265" s="41" t="str">
        <f aca="false">IF(OR(B265="",N265=""),"",ROUND(((N265+N(O265))-(B265+N(C265)))*24,1))</f>
        <v/>
      </c>
      <c r="Q265" s="17"/>
      <c r="R265" s="17"/>
      <c r="S265" s="38"/>
      <c r="T265" s="17"/>
      <c r="U265" s="42" t="str">
        <f aca="false">IF(OR(E265="",S265="",OR(R265="Contract signed + paid",R265="Closed – No response",R265="Lost"),N(T265)&gt;=Settings!$S$3),"",S265+Settings!$S$2)</f>
        <v/>
      </c>
      <c r="V265" s="38"/>
      <c r="W265" s="39"/>
      <c r="X265" s="17"/>
      <c r="Y265" s="17"/>
      <c r="Z265" s="17"/>
      <c r="AA265" s="43" t="str">
        <f aca="true">IF(OR(E265="",B265=""),"",INT(TODAY()-B265))</f>
        <v/>
      </c>
      <c r="AB265" s="44" t="str">
        <f aca="true">IF(E265="","",IF(OR(COUNTIFS(Clients!$C$2:$C$501,E265,Clients!$S$2:$S$501,"Paid")&gt;0,AND(I265&lt;&gt;"",COUNTIFS(Clients!$E$2:$E$501,I265,Clients!$S$2:$S$501,"Paid")&gt;0)),"⚠ Refunded before – no free video",IF(OR(R265="Contract signed + paid",R265="Closed – No response",R265="Lost"),"",IF(R265="","Set a stage",IF(N(T265)&gt;=Settings!$S$3,"Close – 4 follow-ups sent",IF(U265="",IF(S265="","Make first contact",""),IF(TODAY()&gt;U265,"OVERDUE follow-up",IF(TODAY()=U265,"Follow up today",""))))))))</f>
        <v/>
      </c>
    </row>
    <row r="266" customFormat="false" ht="15" hidden="false" customHeight="false" outlineLevel="0" collapsed="false">
      <c r="A266" s="17"/>
      <c r="B266" s="38"/>
      <c r="C266" s="39"/>
      <c r="D266" s="17"/>
      <c r="E266" s="17"/>
      <c r="F266" s="17"/>
      <c r="G266" s="17"/>
      <c r="H266" s="17"/>
      <c r="I266" s="40"/>
      <c r="J266" s="17"/>
      <c r="K266" s="17"/>
      <c r="L266" s="17"/>
      <c r="M266" s="17"/>
      <c r="N266" s="38"/>
      <c r="O266" s="39"/>
      <c r="P266" s="41" t="str">
        <f aca="false">IF(OR(B266="",N266=""),"",ROUND(((N266+N(O266))-(B266+N(C266)))*24,1))</f>
        <v/>
      </c>
      <c r="Q266" s="17"/>
      <c r="R266" s="17"/>
      <c r="S266" s="38"/>
      <c r="T266" s="17"/>
      <c r="U266" s="42" t="str">
        <f aca="false">IF(OR(E266="",S266="",OR(R266="Contract signed + paid",R266="Closed – No response",R266="Lost"),N(T266)&gt;=Settings!$S$3),"",S266+Settings!$S$2)</f>
        <v/>
      </c>
      <c r="V266" s="38"/>
      <c r="W266" s="39"/>
      <c r="X266" s="17"/>
      <c r="Y266" s="17"/>
      <c r="Z266" s="17"/>
      <c r="AA266" s="43" t="str">
        <f aca="true">IF(OR(E266="",B266=""),"",INT(TODAY()-B266))</f>
        <v/>
      </c>
      <c r="AB266" s="44" t="str">
        <f aca="true">IF(E266="","",IF(OR(COUNTIFS(Clients!$C$2:$C$501,E266,Clients!$S$2:$S$501,"Paid")&gt;0,AND(I266&lt;&gt;"",COUNTIFS(Clients!$E$2:$E$501,I266,Clients!$S$2:$S$501,"Paid")&gt;0)),"⚠ Refunded before – no free video",IF(OR(R266="Contract signed + paid",R266="Closed – No response",R266="Lost"),"",IF(R266="","Set a stage",IF(N(T266)&gt;=Settings!$S$3,"Close – 4 follow-ups sent",IF(U266="",IF(S266="","Make first contact",""),IF(TODAY()&gt;U266,"OVERDUE follow-up",IF(TODAY()=U266,"Follow up today",""))))))))</f>
        <v/>
      </c>
    </row>
    <row r="267" customFormat="false" ht="15" hidden="false" customHeight="false" outlineLevel="0" collapsed="false">
      <c r="A267" s="17"/>
      <c r="B267" s="38"/>
      <c r="C267" s="39"/>
      <c r="D267" s="17"/>
      <c r="E267" s="17"/>
      <c r="F267" s="17"/>
      <c r="G267" s="17"/>
      <c r="H267" s="17"/>
      <c r="I267" s="40"/>
      <c r="J267" s="17"/>
      <c r="K267" s="17"/>
      <c r="L267" s="17"/>
      <c r="M267" s="17"/>
      <c r="N267" s="38"/>
      <c r="O267" s="39"/>
      <c r="P267" s="41" t="str">
        <f aca="false">IF(OR(B267="",N267=""),"",ROUND(((N267+N(O267))-(B267+N(C267)))*24,1))</f>
        <v/>
      </c>
      <c r="Q267" s="17"/>
      <c r="R267" s="17"/>
      <c r="S267" s="38"/>
      <c r="T267" s="17"/>
      <c r="U267" s="42" t="str">
        <f aca="false">IF(OR(E267="",S267="",OR(R267="Contract signed + paid",R267="Closed – No response",R267="Lost"),N(T267)&gt;=Settings!$S$3),"",S267+Settings!$S$2)</f>
        <v/>
      </c>
      <c r="V267" s="38"/>
      <c r="W267" s="39"/>
      <c r="X267" s="17"/>
      <c r="Y267" s="17"/>
      <c r="Z267" s="17"/>
      <c r="AA267" s="43" t="str">
        <f aca="true">IF(OR(E267="",B267=""),"",INT(TODAY()-B267))</f>
        <v/>
      </c>
      <c r="AB267" s="44" t="str">
        <f aca="true">IF(E267="","",IF(OR(COUNTIFS(Clients!$C$2:$C$501,E267,Clients!$S$2:$S$501,"Paid")&gt;0,AND(I267&lt;&gt;"",COUNTIFS(Clients!$E$2:$E$501,I267,Clients!$S$2:$S$501,"Paid")&gt;0)),"⚠ Refunded before – no free video",IF(OR(R267="Contract signed + paid",R267="Closed – No response",R267="Lost"),"",IF(R267="","Set a stage",IF(N(T267)&gt;=Settings!$S$3,"Close – 4 follow-ups sent",IF(U267="",IF(S267="","Make first contact",""),IF(TODAY()&gt;U267,"OVERDUE follow-up",IF(TODAY()=U267,"Follow up today",""))))))))</f>
        <v/>
      </c>
    </row>
    <row r="268" customFormat="false" ht="15" hidden="false" customHeight="false" outlineLevel="0" collapsed="false">
      <c r="A268" s="17"/>
      <c r="B268" s="38"/>
      <c r="C268" s="39"/>
      <c r="D268" s="17"/>
      <c r="E268" s="17"/>
      <c r="F268" s="17"/>
      <c r="G268" s="17"/>
      <c r="H268" s="17"/>
      <c r="I268" s="40"/>
      <c r="J268" s="17"/>
      <c r="K268" s="17"/>
      <c r="L268" s="17"/>
      <c r="M268" s="17"/>
      <c r="N268" s="38"/>
      <c r="O268" s="39"/>
      <c r="P268" s="41" t="str">
        <f aca="false">IF(OR(B268="",N268=""),"",ROUND(((N268+N(O268))-(B268+N(C268)))*24,1))</f>
        <v/>
      </c>
      <c r="Q268" s="17"/>
      <c r="R268" s="17"/>
      <c r="S268" s="38"/>
      <c r="T268" s="17"/>
      <c r="U268" s="42" t="str">
        <f aca="false">IF(OR(E268="",S268="",OR(R268="Contract signed + paid",R268="Closed – No response",R268="Lost"),N(T268)&gt;=Settings!$S$3),"",S268+Settings!$S$2)</f>
        <v/>
      </c>
      <c r="V268" s="38"/>
      <c r="W268" s="39"/>
      <c r="X268" s="17"/>
      <c r="Y268" s="17"/>
      <c r="Z268" s="17"/>
      <c r="AA268" s="43" t="str">
        <f aca="true">IF(OR(E268="",B268=""),"",INT(TODAY()-B268))</f>
        <v/>
      </c>
      <c r="AB268" s="44" t="str">
        <f aca="true">IF(E268="","",IF(OR(COUNTIFS(Clients!$C$2:$C$501,E268,Clients!$S$2:$S$501,"Paid")&gt;0,AND(I268&lt;&gt;"",COUNTIFS(Clients!$E$2:$E$501,I268,Clients!$S$2:$S$501,"Paid")&gt;0)),"⚠ Refunded before – no free video",IF(OR(R268="Contract signed + paid",R268="Closed – No response",R268="Lost"),"",IF(R268="","Set a stage",IF(N(T268)&gt;=Settings!$S$3,"Close – 4 follow-ups sent",IF(U268="",IF(S268="","Make first contact",""),IF(TODAY()&gt;U268,"OVERDUE follow-up",IF(TODAY()=U268,"Follow up today",""))))))))</f>
        <v/>
      </c>
    </row>
    <row r="269" customFormat="false" ht="15" hidden="false" customHeight="false" outlineLevel="0" collapsed="false">
      <c r="A269" s="17"/>
      <c r="B269" s="38"/>
      <c r="C269" s="39"/>
      <c r="D269" s="17"/>
      <c r="E269" s="17"/>
      <c r="F269" s="17"/>
      <c r="G269" s="17"/>
      <c r="H269" s="17"/>
      <c r="I269" s="40"/>
      <c r="J269" s="17"/>
      <c r="K269" s="17"/>
      <c r="L269" s="17"/>
      <c r="M269" s="17"/>
      <c r="N269" s="38"/>
      <c r="O269" s="39"/>
      <c r="P269" s="41" t="str">
        <f aca="false">IF(OR(B269="",N269=""),"",ROUND(((N269+N(O269))-(B269+N(C269)))*24,1))</f>
        <v/>
      </c>
      <c r="Q269" s="17"/>
      <c r="R269" s="17"/>
      <c r="S269" s="38"/>
      <c r="T269" s="17"/>
      <c r="U269" s="42" t="str">
        <f aca="false">IF(OR(E269="",S269="",OR(R269="Contract signed + paid",R269="Closed – No response",R269="Lost"),N(T269)&gt;=Settings!$S$3),"",S269+Settings!$S$2)</f>
        <v/>
      </c>
      <c r="V269" s="38"/>
      <c r="W269" s="39"/>
      <c r="X269" s="17"/>
      <c r="Y269" s="17"/>
      <c r="Z269" s="17"/>
      <c r="AA269" s="43" t="str">
        <f aca="true">IF(OR(E269="",B269=""),"",INT(TODAY()-B269))</f>
        <v/>
      </c>
      <c r="AB269" s="44" t="str">
        <f aca="true">IF(E269="","",IF(OR(COUNTIFS(Clients!$C$2:$C$501,E269,Clients!$S$2:$S$501,"Paid")&gt;0,AND(I269&lt;&gt;"",COUNTIFS(Clients!$E$2:$E$501,I269,Clients!$S$2:$S$501,"Paid")&gt;0)),"⚠ Refunded before – no free video",IF(OR(R269="Contract signed + paid",R269="Closed – No response",R269="Lost"),"",IF(R269="","Set a stage",IF(N(T269)&gt;=Settings!$S$3,"Close – 4 follow-ups sent",IF(U269="",IF(S269="","Make first contact",""),IF(TODAY()&gt;U269,"OVERDUE follow-up",IF(TODAY()=U269,"Follow up today",""))))))))</f>
        <v/>
      </c>
    </row>
    <row r="270" customFormat="false" ht="15" hidden="false" customHeight="false" outlineLevel="0" collapsed="false">
      <c r="A270" s="17"/>
      <c r="B270" s="38"/>
      <c r="C270" s="39"/>
      <c r="D270" s="17"/>
      <c r="E270" s="17"/>
      <c r="F270" s="17"/>
      <c r="G270" s="17"/>
      <c r="H270" s="17"/>
      <c r="I270" s="40"/>
      <c r="J270" s="17"/>
      <c r="K270" s="17"/>
      <c r="L270" s="17"/>
      <c r="M270" s="17"/>
      <c r="N270" s="38"/>
      <c r="O270" s="39"/>
      <c r="P270" s="41" t="str">
        <f aca="false">IF(OR(B270="",N270=""),"",ROUND(((N270+N(O270))-(B270+N(C270)))*24,1))</f>
        <v/>
      </c>
      <c r="Q270" s="17"/>
      <c r="R270" s="17"/>
      <c r="S270" s="38"/>
      <c r="T270" s="17"/>
      <c r="U270" s="42" t="str">
        <f aca="false">IF(OR(E270="",S270="",OR(R270="Contract signed + paid",R270="Closed – No response",R270="Lost"),N(T270)&gt;=Settings!$S$3),"",S270+Settings!$S$2)</f>
        <v/>
      </c>
      <c r="V270" s="38"/>
      <c r="W270" s="39"/>
      <c r="X270" s="17"/>
      <c r="Y270" s="17"/>
      <c r="Z270" s="17"/>
      <c r="AA270" s="43" t="str">
        <f aca="true">IF(OR(E270="",B270=""),"",INT(TODAY()-B270))</f>
        <v/>
      </c>
      <c r="AB270" s="44" t="str">
        <f aca="true">IF(E270="","",IF(OR(COUNTIFS(Clients!$C$2:$C$501,E270,Clients!$S$2:$S$501,"Paid")&gt;0,AND(I270&lt;&gt;"",COUNTIFS(Clients!$E$2:$E$501,I270,Clients!$S$2:$S$501,"Paid")&gt;0)),"⚠ Refunded before – no free video",IF(OR(R270="Contract signed + paid",R270="Closed – No response",R270="Lost"),"",IF(R270="","Set a stage",IF(N(T270)&gt;=Settings!$S$3,"Close – 4 follow-ups sent",IF(U270="",IF(S270="","Make first contact",""),IF(TODAY()&gt;U270,"OVERDUE follow-up",IF(TODAY()=U270,"Follow up today",""))))))))</f>
        <v/>
      </c>
    </row>
    <row r="271" customFormat="false" ht="15" hidden="false" customHeight="false" outlineLevel="0" collapsed="false">
      <c r="A271" s="17"/>
      <c r="B271" s="38"/>
      <c r="C271" s="39"/>
      <c r="D271" s="17"/>
      <c r="E271" s="17"/>
      <c r="F271" s="17"/>
      <c r="G271" s="17"/>
      <c r="H271" s="17"/>
      <c r="I271" s="40"/>
      <c r="J271" s="17"/>
      <c r="K271" s="17"/>
      <c r="L271" s="17"/>
      <c r="M271" s="17"/>
      <c r="N271" s="38"/>
      <c r="O271" s="39"/>
      <c r="P271" s="41" t="str">
        <f aca="false">IF(OR(B271="",N271=""),"",ROUND(((N271+N(O271))-(B271+N(C271)))*24,1))</f>
        <v/>
      </c>
      <c r="Q271" s="17"/>
      <c r="R271" s="17"/>
      <c r="S271" s="38"/>
      <c r="T271" s="17"/>
      <c r="U271" s="42" t="str">
        <f aca="false">IF(OR(E271="",S271="",OR(R271="Contract signed + paid",R271="Closed – No response",R271="Lost"),N(T271)&gt;=Settings!$S$3),"",S271+Settings!$S$2)</f>
        <v/>
      </c>
      <c r="V271" s="38"/>
      <c r="W271" s="39"/>
      <c r="X271" s="17"/>
      <c r="Y271" s="17"/>
      <c r="Z271" s="17"/>
      <c r="AA271" s="43" t="str">
        <f aca="true">IF(OR(E271="",B271=""),"",INT(TODAY()-B271))</f>
        <v/>
      </c>
      <c r="AB271" s="44" t="str">
        <f aca="true">IF(E271="","",IF(OR(COUNTIFS(Clients!$C$2:$C$501,E271,Clients!$S$2:$S$501,"Paid")&gt;0,AND(I271&lt;&gt;"",COUNTIFS(Clients!$E$2:$E$501,I271,Clients!$S$2:$S$501,"Paid")&gt;0)),"⚠ Refunded before – no free video",IF(OR(R271="Contract signed + paid",R271="Closed – No response",R271="Lost"),"",IF(R271="","Set a stage",IF(N(T271)&gt;=Settings!$S$3,"Close – 4 follow-ups sent",IF(U271="",IF(S271="","Make first contact",""),IF(TODAY()&gt;U271,"OVERDUE follow-up",IF(TODAY()=U271,"Follow up today",""))))))))</f>
        <v/>
      </c>
    </row>
    <row r="272" customFormat="false" ht="15" hidden="false" customHeight="false" outlineLevel="0" collapsed="false">
      <c r="A272" s="17"/>
      <c r="B272" s="38"/>
      <c r="C272" s="39"/>
      <c r="D272" s="17"/>
      <c r="E272" s="17"/>
      <c r="F272" s="17"/>
      <c r="G272" s="17"/>
      <c r="H272" s="17"/>
      <c r="I272" s="40"/>
      <c r="J272" s="17"/>
      <c r="K272" s="17"/>
      <c r="L272" s="17"/>
      <c r="M272" s="17"/>
      <c r="N272" s="38"/>
      <c r="O272" s="39"/>
      <c r="P272" s="41" t="str">
        <f aca="false">IF(OR(B272="",N272=""),"",ROUND(((N272+N(O272))-(B272+N(C272)))*24,1))</f>
        <v/>
      </c>
      <c r="Q272" s="17"/>
      <c r="R272" s="17"/>
      <c r="S272" s="38"/>
      <c r="T272" s="17"/>
      <c r="U272" s="42" t="str">
        <f aca="false">IF(OR(E272="",S272="",OR(R272="Contract signed + paid",R272="Closed – No response",R272="Lost"),N(T272)&gt;=Settings!$S$3),"",S272+Settings!$S$2)</f>
        <v/>
      </c>
      <c r="V272" s="38"/>
      <c r="W272" s="39"/>
      <c r="X272" s="17"/>
      <c r="Y272" s="17"/>
      <c r="Z272" s="17"/>
      <c r="AA272" s="43" t="str">
        <f aca="true">IF(OR(E272="",B272=""),"",INT(TODAY()-B272))</f>
        <v/>
      </c>
      <c r="AB272" s="44" t="str">
        <f aca="true">IF(E272="","",IF(OR(COUNTIFS(Clients!$C$2:$C$501,E272,Clients!$S$2:$S$501,"Paid")&gt;0,AND(I272&lt;&gt;"",COUNTIFS(Clients!$E$2:$E$501,I272,Clients!$S$2:$S$501,"Paid")&gt;0)),"⚠ Refunded before – no free video",IF(OR(R272="Contract signed + paid",R272="Closed – No response",R272="Lost"),"",IF(R272="","Set a stage",IF(N(T272)&gt;=Settings!$S$3,"Close – 4 follow-ups sent",IF(U272="",IF(S272="","Make first contact",""),IF(TODAY()&gt;U272,"OVERDUE follow-up",IF(TODAY()=U272,"Follow up today",""))))))))</f>
        <v/>
      </c>
    </row>
    <row r="273" customFormat="false" ht="15" hidden="false" customHeight="false" outlineLevel="0" collapsed="false">
      <c r="A273" s="17"/>
      <c r="B273" s="38"/>
      <c r="C273" s="39"/>
      <c r="D273" s="17"/>
      <c r="E273" s="17"/>
      <c r="F273" s="17"/>
      <c r="G273" s="17"/>
      <c r="H273" s="17"/>
      <c r="I273" s="40"/>
      <c r="J273" s="17"/>
      <c r="K273" s="17"/>
      <c r="L273" s="17"/>
      <c r="M273" s="17"/>
      <c r="N273" s="38"/>
      <c r="O273" s="39"/>
      <c r="P273" s="41" t="str">
        <f aca="false">IF(OR(B273="",N273=""),"",ROUND(((N273+N(O273))-(B273+N(C273)))*24,1))</f>
        <v/>
      </c>
      <c r="Q273" s="17"/>
      <c r="R273" s="17"/>
      <c r="S273" s="38"/>
      <c r="T273" s="17"/>
      <c r="U273" s="42" t="str">
        <f aca="false">IF(OR(E273="",S273="",OR(R273="Contract signed + paid",R273="Closed – No response",R273="Lost"),N(T273)&gt;=Settings!$S$3),"",S273+Settings!$S$2)</f>
        <v/>
      </c>
      <c r="V273" s="38"/>
      <c r="W273" s="39"/>
      <c r="X273" s="17"/>
      <c r="Y273" s="17"/>
      <c r="Z273" s="17"/>
      <c r="AA273" s="43" t="str">
        <f aca="true">IF(OR(E273="",B273=""),"",INT(TODAY()-B273))</f>
        <v/>
      </c>
      <c r="AB273" s="44" t="str">
        <f aca="true">IF(E273="","",IF(OR(COUNTIFS(Clients!$C$2:$C$501,E273,Clients!$S$2:$S$501,"Paid")&gt;0,AND(I273&lt;&gt;"",COUNTIFS(Clients!$E$2:$E$501,I273,Clients!$S$2:$S$501,"Paid")&gt;0)),"⚠ Refunded before – no free video",IF(OR(R273="Contract signed + paid",R273="Closed – No response",R273="Lost"),"",IF(R273="","Set a stage",IF(N(T273)&gt;=Settings!$S$3,"Close – 4 follow-ups sent",IF(U273="",IF(S273="","Make first contact",""),IF(TODAY()&gt;U273,"OVERDUE follow-up",IF(TODAY()=U273,"Follow up today",""))))))))</f>
        <v/>
      </c>
    </row>
    <row r="274" customFormat="false" ht="15" hidden="false" customHeight="false" outlineLevel="0" collapsed="false">
      <c r="A274" s="17"/>
      <c r="B274" s="38"/>
      <c r="C274" s="39"/>
      <c r="D274" s="17"/>
      <c r="E274" s="17"/>
      <c r="F274" s="17"/>
      <c r="G274" s="17"/>
      <c r="H274" s="17"/>
      <c r="I274" s="40"/>
      <c r="J274" s="17"/>
      <c r="K274" s="17"/>
      <c r="L274" s="17"/>
      <c r="M274" s="17"/>
      <c r="N274" s="38"/>
      <c r="O274" s="39"/>
      <c r="P274" s="41" t="str">
        <f aca="false">IF(OR(B274="",N274=""),"",ROUND(((N274+N(O274))-(B274+N(C274)))*24,1))</f>
        <v/>
      </c>
      <c r="Q274" s="17"/>
      <c r="R274" s="17"/>
      <c r="S274" s="38"/>
      <c r="T274" s="17"/>
      <c r="U274" s="42" t="str">
        <f aca="false">IF(OR(E274="",S274="",OR(R274="Contract signed + paid",R274="Closed – No response",R274="Lost"),N(T274)&gt;=Settings!$S$3),"",S274+Settings!$S$2)</f>
        <v/>
      </c>
      <c r="V274" s="38"/>
      <c r="W274" s="39"/>
      <c r="X274" s="17"/>
      <c r="Y274" s="17"/>
      <c r="Z274" s="17"/>
      <c r="AA274" s="43" t="str">
        <f aca="true">IF(OR(E274="",B274=""),"",INT(TODAY()-B274))</f>
        <v/>
      </c>
      <c r="AB274" s="44" t="str">
        <f aca="true">IF(E274="","",IF(OR(COUNTIFS(Clients!$C$2:$C$501,E274,Clients!$S$2:$S$501,"Paid")&gt;0,AND(I274&lt;&gt;"",COUNTIFS(Clients!$E$2:$E$501,I274,Clients!$S$2:$S$501,"Paid")&gt;0)),"⚠ Refunded before – no free video",IF(OR(R274="Contract signed + paid",R274="Closed – No response",R274="Lost"),"",IF(R274="","Set a stage",IF(N(T274)&gt;=Settings!$S$3,"Close – 4 follow-ups sent",IF(U274="",IF(S274="","Make first contact",""),IF(TODAY()&gt;U274,"OVERDUE follow-up",IF(TODAY()=U274,"Follow up today",""))))))))</f>
        <v/>
      </c>
    </row>
    <row r="275" customFormat="false" ht="15" hidden="false" customHeight="false" outlineLevel="0" collapsed="false">
      <c r="A275" s="17"/>
      <c r="B275" s="38"/>
      <c r="C275" s="39"/>
      <c r="D275" s="17"/>
      <c r="E275" s="17"/>
      <c r="F275" s="17"/>
      <c r="G275" s="17"/>
      <c r="H275" s="17"/>
      <c r="I275" s="40"/>
      <c r="J275" s="17"/>
      <c r="K275" s="17"/>
      <c r="L275" s="17"/>
      <c r="M275" s="17"/>
      <c r="N275" s="38"/>
      <c r="O275" s="39"/>
      <c r="P275" s="41" t="str">
        <f aca="false">IF(OR(B275="",N275=""),"",ROUND(((N275+N(O275))-(B275+N(C275)))*24,1))</f>
        <v/>
      </c>
      <c r="Q275" s="17"/>
      <c r="R275" s="17"/>
      <c r="S275" s="38"/>
      <c r="T275" s="17"/>
      <c r="U275" s="42" t="str">
        <f aca="false">IF(OR(E275="",S275="",OR(R275="Contract signed + paid",R275="Closed – No response",R275="Lost"),N(T275)&gt;=Settings!$S$3),"",S275+Settings!$S$2)</f>
        <v/>
      </c>
      <c r="V275" s="38"/>
      <c r="W275" s="39"/>
      <c r="X275" s="17"/>
      <c r="Y275" s="17"/>
      <c r="Z275" s="17"/>
      <c r="AA275" s="43" t="str">
        <f aca="true">IF(OR(E275="",B275=""),"",INT(TODAY()-B275))</f>
        <v/>
      </c>
      <c r="AB275" s="44" t="str">
        <f aca="true">IF(E275="","",IF(OR(COUNTIFS(Clients!$C$2:$C$501,E275,Clients!$S$2:$S$501,"Paid")&gt;0,AND(I275&lt;&gt;"",COUNTIFS(Clients!$E$2:$E$501,I275,Clients!$S$2:$S$501,"Paid")&gt;0)),"⚠ Refunded before – no free video",IF(OR(R275="Contract signed + paid",R275="Closed – No response",R275="Lost"),"",IF(R275="","Set a stage",IF(N(T275)&gt;=Settings!$S$3,"Close – 4 follow-ups sent",IF(U275="",IF(S275="","Make first contact",""),IF(TODAY()&gt;U275,"OVERDUE follow-up",IF(TODAY()=U275,"Follow up today",""))))))))</f>
        <v/>
      </c>
    </row>
    <row r="276" customFormat="false" ht="15" hidden="false" customHeight="false" outlineLevel="0" collapsed="false">
      <c r="A276" s="17"/>
      <c r="B276" s="38"/>
      <c r="C276" s="39"/>
      <c r="D276" s="17"/>
      <c r="E276" s="17"/>
      <c r="F276" s="17"/>
      <c r="G276" s="17"/>
      <c r="H276" s="17"/>
      <c r="I276" s="40"/>
      <c r="J276" s="17"/>
      <c r="K276" s="17"/>
      <c r="L276" s="17"/>
      <c r="M276" s="17"/>
      <c r="N276" s="38"/>
      <c r="O276" s="39"/>
      <c r="P276" s="41" t="str">
        <f aca="false">IF(OR(B276="",N276=""),"",ROUND(((N276+N(O276))-(B276+N(C276)))*24,1))</f>
        <v/>
      </c>
      <c r="Q276" s="17"/>
      <c r="R276" s="17"/>
      <c r="S276" s="38"/>
      <c r="T276" s="17"/>
      <c r="U276" s="42" t="str">
        <f aca="false">IF(OR(E276="",S276="",OR(R276="Contract signed + paid",R276="Closed – No response",R276="Lost"),N(T276)&gt;=Settings!$S$3),"",S276+Settings!$S$2)</f>
        <v/>
      </c>
      <c r="V276" s="38"/>
      <c r="W276" s="39"/>
      <c r="X276" s="17"/>
      <c r="Y276" s="17"/>
      <c r="Z276" s="17"/>
      <c r="AA276" s="43" t="str">
        <f aca="true">IF(OR(E276="",B276=""),"",INT(TODAY()-B276))</f>
        <v/>
      </c>
      <c r="AB276" s="44" t="str">
        <f aca="true">IF(E276="","",IF(OR(COUNTIFS(Clients!$C$2:$C$501,E276,Clients!$S$2:$S$501,"Paid")&gt;0,AND(I276&lt;&gt;"",COUNTIFS(Clients!$E$2:$E$501,I276,Clients!$S$2:$S$501,"Paid")&gt;0)),"⚠ Refunded before – no free video",IF(OR(R276="Contract signed + paid",R276="Closed – No response",R276="Lost"),"",IF(R276="","Set a stage",IF(N(T276)&gt;=Settings!$S$3,"Close – 4 follow-ups sent",IF(U276="",IF(S276="","Make first contact",""),IF(TODAY()&gt;U276,"OVERDUE follow-up",IF(TODAY()=U276,"Follow up today",""))))))))</f>
        <v/>
      </c>
    </row>
    <row r="277" customFormat="false" ht="15" hidden="false" customHeight="false" outlineLevel="0" collapsed="false">
      <c r="A277" s="17"/>
      <c r="B277" s="38"/>
      <c r="C277" s="39"/>
      <c r="D277" s="17"/>
      <c r="E277" s="17"/>
      <c r="F277" s="17"/>
      <c r="G277" s="17"/>
      <c r="H277" s="17"/>
      <c r="I277" s="40"/>
      <c r="J277" s="17"/>
      <c r="K277" s="17"/>
      <c r="L277" s="17"/>
      <c r="M277" s="17"/>
      <c r="N277" s="38"/>
      <c r="O277" s="39"/>
      <c r="P277" s="41" t="str">
        <f aca="false">IF(OR(B277="",N277=""),"",ROUND(((N277+N(O277))-(B277+N(C277)))*24,1))</f>
        <v/>
      </c>
      <c r="Q277" s="17"/>
      <c r="R277" s="17"/>
      <c r="S277" s="38"/>
      <c r="T277" s="17"/>
      <c r="U277" s="42" t="str">
        <f aca="false">IF(OR(E277="",S277="",OR(R277="Contract signed + paid",R277="Closed – No response",R277="Lost"),N(T277)&gt;=Settings!$S$3),"",S277+Settings!$S$2)</f>
        <v/>
      </c>
      <c r="V277" s="38"/>
      <c r="W277" s="39"/>
      <c r="X277" s="17"/>
      <c r="Y277" s="17"/>
      <c r="Z277" s="17"/>
      <c r="AA277" s="43" t="str">
        <f aca="true">IF(OR(E277="",B277=""),"",INT(TODAY()-B277))</f>
        <v/>
      </c>
      <c r="AB277" s="44" t="str">
        <f aca="true">IF(E277="","",IF(OR(COUNTIFS(Clients!$C$2:$C$501,E277,Clients!$S$2:$S$501,"Paid")&gt;0,AND(I277&lt;&gt;"",COUNTIFS(Clients!$E$2:$E$501,I277,Clients!$S$2:$S$501,"Paid")&gt;0)),"⚠ Refunded before – no free video",IF(OR(R277="Contract signed + paid",R277="Closed – No response",R277="Lost"),"",IF(R277="","Set a stage",IF(N(T277)&gt;=Settings!$S$3,"Close – 4 follow-ups sent",IF(U277="",IF(S277="","Make first contact",""),IF(TODAY()&gt;U277,"OVERDUE follow-up",IF(TODAY()=U277,"Follow up today",""))))))))</f>
        <v/>
      </c>
    </row>
    <row r="278" customFormat="false" ht="15" hidden="false" customHeight="false" outlineLevel="0" collapsed="false">
      <c r="A278" s="17"/>
      <c r="B278" s="38"/>
      <c r="C278" s="39"/>
      <c r="D278" s="17"/>
      <c r="E278" s="17"/>
      <c r="F278" s="17"/>
      <c r="G278" s="17"/>
      <c r="H278" s="17"/>
      <c r="I278" s="40"/>
      <c r="J278" s="17"/>
      <c r="K278" s="17"/>
      <c r="L278" s="17"/>
      <c r="M278" s="17"/>
      <c r="N278" s="38"/>
      <c r="O278" s="39"/>
      <c r="P278" s="41" t="str">
        <f aca="false">IF(OR(B278="",N278=""),"",ROUND(((N278+N(O278))-(B278+N(C278)))*24,1))</f>
        <v/>
      </c>
      <c r="Q278" s="17"/>
      <c r="R278" s="17"/>
      <c r="S278" s="38"/>
      <c r="T278" s="17"/>
      <c r="U278" s="42" t="str">
        <f aca="false">IF(OR(E278="",S278="",OR(R278="Contract signed + paid",R278="Closed – No response",R278="Lost"),N(T278)&gt;=Settings!$S$3),"",S278+Settings!$S$2)</f>
        <v/>
      </c>
      <c r="V278" s="38"/>
      <c r="W278" s="39"/>
      <c r="X278" s="17"/>
      <c r="Y278" s="17"/>
      <c r="Z278" s="17"/>
      <c r="AA278" s="43" t="str">
        <f aca="true">IF(OR(E278="",B278=""),"",INT(TODAY()-B278))</f>
        <v/>
      </c>
      <c r="AB278" s="44" t="str">
        <f aca="true">IF(E278="","",IF(OR(COUNTIFS(Clients!$C$2:$C$501,E278,Clients!$S$2:$S$501,"Paid")&gt;0,AND(I278&lt;&gt;"",COUNTIFS(Clients!$E$2:$E$501,I278,Clients!$S$2:$S$501,"Paid")&gt;0)),"⚠ Refunded before – no free video",IF(OR(R278="Contract signed + paid",R278="Closed – No response",R278="Lost"),"",IF(R278="","Set a stage",IF(N(T278)&gt;=Settings!$S$3,"Close – 4 follow-ups sent",IF(U278="",IF(S278="","Make first contact",""),IF(TODAY()&gt;U278,"OVERDUE follow-up",IF(TODAY()=U278,"Follow up today",""))))))))</f>
        <v/>
      </c>
    </row>
    <row r="279" customFormat="false" ht="15" hidden="false" customHeight="false" outlineLevel="0" collapsed="false">
      <c r="A279" s="17"/>
      <c r="B279" s="38"/>
      <c r="C279" s="39"/>
      <c r="D279" s="17"/>
      <c r="E279" s="17"/>
      <c r="F279" s="17"/>
      <c r="G279" s="17"/>
      <c r="H279" s="17"/>
      <c r="I279" s="40"/>
      <c r="J279" s="17"/>
      <c r="K279" s="17"/>
      <c r="L279" s="17"/>
      <c r="M279" s="17"/>
      <c r="N279" s="38"/>
      <c r="O279" s="39"/>
      <c r="P279" s="41" t="str">
        <f aca="false">IF(OR(B279="",N279=""),"",ROUND(((N279+N(O279))-(B279+N(C279)))*24,1))</f>
        <v/>
      </c>
      <c r="Q279" s="17"/>
      <c r="R279" s="17"/>
      <c r="S279" s="38"/>
      <c r="T279" s="17"/>
      <c r="U279" s="42" t="str">
        <f aca="false">IF(OR(E279="",S279="",OR(R279="Contract signed + paid",R279="Closed – No response",R279="Lost"),N(T279)&gt;=Settings!$S$3),"",S279+Settings!$S$2)</f>
        <v/>
      </c>
      <c r="V279" s="38"/>
      <c r="W279" s="39"/>
      <c r="X279" s="17"/>
      <c r="Y279" s="17"/>
      <c r="Z279" s="17"/>
      <c r="AA279" s="43" t="str">
        <f aca="true">IF(OR(E279="",B279=""),"",INT(TODAY()-B279))</f>
        <v/>
      </c>
      <c r="AB279" s="44" t="str">
        <f aca="true">IF(E279="","",IF(OR(COUNTIFS(Clients!$C$2:$C$501,E279,Clients!$S$2:$S$501,"Paid")&gt;0,AND(I279&lt;&gt;"",COUNTIFS(Clients!$E$2:$E$501,I279,Clients!$S$2:$S$501,"Paid")&gt;0)),"⚠ Refunded before – no free video",IF(OR(R279="Contract signed + paid",R279="Closed – No response",R279="Lost"),"",IF(R279="","Set a stage",IF(N(T279)&gt;=Settings!$S$3,"Close – 4 follow-ups sent",IF(U279="",IF(S279="","Make first contact",""),IF(TODAY()&gt;U279,"OVERDUE follow-up",IF(TODAY()=U279,"Follow up today",""))))))))</f>
        <v/>
      </c>
    </row>
    <row r="280" customFormat="false" ht="15" hidden="false" customHeight="false" outlineLevel="0" collapsed="false">
      <c r="A280" s="17"/>
      <c r="B280" s="38"/>
      <c r="C280" s="39"/>
      <c r="D280" s="17"/>
      <c r="E280" s="17"/>
      <c r="F280" s="17"/>
      <c r="G280" s="17"/>
      <c r="H280" s="17"/>
      <c r="I280" s="40"/>
      <c r="J280" s="17"/>
      <c r="K280" s="17"/>
      <c r="L280" s="17"/>
      <c r="M280" s="17"/>
      <c r="N280" s="38"/>
      <c r="O280" s="39"/>
      <c r="P280" s="41" t="str">
        <f aca="false">IF(OR(B280="",N280=""),"",ROUND(((N280+N(O280))-(B280+N(C280)))*24,1))</f>
        <v/>
      </c>
      <c r="Q280" s="17"/>
      <c r="R280" s="17"/>
      <c r="S280" s="38"/>
      <c r="T280" s="17"/>
      <c r="U280" s="42" t="str">
        <f aca="false">IF(OR(E280="",S280="",OR(R280="Contract signed + paid",R280="Closed – No response",R280="Lost"),N(T280)&gt;=Settings!$S$3),"",S280+Settings!$S$2)</f>
        <v/>
      </c>
      <c r="V280" s="38"/>
      <c r="W280" s="39"/>
      <c r="X280" s="17"/>
      <c r="Y280" s="17"/>
      <c r="Z280" s="17"/>
      <c r="AA280" s="43" t="str">
        <f aca="true">IF(OR(E280="",B280=""),"",INT(TODAY()-B280))</f>
        <v/>
      </c>
      <c r="AB280" s="44" t="str">
        <f aca="true">IF(E280="","",IF(OR(COUNTIFS(Clients!$C$2:$C$501,E280,Clients!$S$2:$S$501,"Paid")&gt;0,AND(I280&lt;&gt;"",COUNTIFS(Clients!$E$2:$E$501,I280,Clients!$S$2:$S$501,"Paid")&gt;0)),"⚠ Refunded before – no free video",IF(OR(R280="Contract signed + paid",R280="Closed – No response",R280="Lost"),"",IF(R280="","Set a stage",IF(N(T280)&gt;=Settings!$S$3,"Close – 4 follow-ups sent",IF(U280="",IF(S280="","Make first contact",""),IF(TODAY()&gt;U280,"OVERDUE follow-up",IF(TODAY()=U280,"Follow up today",""))))))))</f>
        <v/>
      </c>
    </row>
    <row r="281" customFormat="false" ht="15" hidden="false" customHeight="false" outlineLevel="0" collapsed="false">
      <c r="A281" s="17"/>
      <c r="B281" s="38"/>
      <c r="C281" s="39"/>
      <c r="D281" s="17"/>
      <c r="E281" s="17"/>
      <c r="F281" s="17"/>
      <c r="G281" s="17"/>
      <c r="H281" s="17"/>
      <c r="I281" s="40"/>
      <c r="J281" s="17"/>
      <c r="K281" s="17"/>
      <c r="L281" s="17"/>
      <c r="M281" s="17"/>
      <c r="N281" s="38"/>
      <c r="O281" s="39"/>
      <c r="P281" s="41" t="str">
        <f aca="false">IF(OR(B281="",N281=""),"",ROUND(((N281+N(O281))-(B281+N(C281)))*24,1))</f>
        <v/>
      </c>
      <c r="Q281" s="17"/>
      <c r="R281" s="17"/>
      <c r="S281" s="38"/>
      <c r="T281" s="17"/>
      <c r="U281" s="42" t="str">
        <f aca="false">IF(OR(E281="",S281="",OR(R281="Contract signed + paid",R281="Closed – No response",R281="Lost"),N(T281)&gt;=Settings!$S$3),"",S281+Settings!$S$2)</f>
        <v/>
      </c>
      <c r="V281" s="38"/>
      <c r="W281" s="39"/>
      <c r="X281" s="17"/>
      <c r="Y281" s="17"/>
      <c r="Z281" s="17"/>
      <c r="AA281" s="43" t="str">
        <f aca="true">IF(OR(E281="",B281=""),"",INT(TODAY()-B281))</f>
        <v/>
      </c>
      <c r="AB281" s="44" t="str">
        <f aca="true">IF(E281="","",IF(OR(COUNTIFS(Clients!$C$2:$C$501,E281,Clients!$S$2:$S$501,"Paid")&gt;0,AND(I281&lt;&gt;"",COUNTIFS(Clients!$E$2:$E$501,I281,Clients!$S$2:$S$501,"Paid")&gt;0)),"⚠ Refunded before – no free video",IF(OR(R281="Contract signed + paid",R281="Closed – No response",R281="Lost"),"",IF(R281="","Set a stage",IF(N(T281)&gt;=Settings!$S$3,"Close – 4 follow-ups sent",IF(U281="",IF(S281="","Make first contact",""),IF(TODAY()&gt;U281,"OVERDUE follow-up",IF(TODAY()=U281,"Follow up today",""))))))))</f>
        <v/>
      </c>
    </row>
    <row r="282" customFormat="false" ht="15" hidden="false" customHeight="false" outlineLevel="0" collapsed="false">
      <c r="A282" s="17"/>
      <c r="B282" s="38"/>
      <c r="C282" s="39"/>
      <c r="D282" s="17"/>
      <c r="E282" s="17"/>
      <c r="F282" s="17"/>
      <c r="G282" s="17"/>
      <c r="H282" s="17"/>
      <c r="I282" s="40"/>
      <c r="J282" s="17"/>
      <c r="K282" s="17"/>
      <c r="L282" s="17"/>
      <c r="M282" s="17"/>
      <c r="N282" s="38"/>
      <c r="O282" s="39"/>
      <c r="P282" s="41" t="str">
        <f aca="false">IF(OR(B282="",N282=""),"",ROUND(((N282+N(O282))-(B282+N(C282)))*24,1))</f>
        <v/>
      </c>
      <c r="Q282" s="17"/>
      <c r="R282" s="17"/>
      <c r="S282" s="38"/>
      <c r="T282" s="17"/>
      <c r="U282" s="42" t="str">
        <f aca="false">IF(OR(E282="",S282="",OR(R282="Contract signed + paid",R282="Closed – No response",R282="Lost"),N(T282)&gt;=Settings!$S$3),"",S282+Settings!$S$2)</f>
        <v/>
      </c>
      <c r="V282" s="38"/>
      <c r="W282" s="39"/>
      <c r="X282" s="17"/>
      <c r="Y282" s="17"/>
      <c r="Z282" s="17"/>
      <c r="AA282" s="43" t="str">
        <f aca="true">IF(OR(E282="",B282=""),"",INT(TODAY()-B282))</f>
        <v/>
      </c>
      <c r="AB282" s="44" t="str">
        <f aca="true">IF(E282="","",IF(OR(COUNTIFS(Clients!$C$2:$C$501,E282,Clients!$S$2:$S$501,"Paid")&gt;0,AND(I282&lt;&gt;"",COUNTIFS(Clients!$E$2:$E$501,I282,Clients!$S$2:$S$501,"Paid")&gt;0)),"⚠ Refunded before – no free video",IF(OR(R282="Contract signed + paid",R282="Closed – No response",R282="Lost"),"",IF(R282="","Set a stage",IF(N(T282)&gt;=Settings!$S$3,"Close – 4 follow-ups sent",IF(U282="",IF(S282="","Make first contact",""),IF(TODAY()&gt;U282,"OVERDUE follow-up",IF(TODAY()=U282,"Follow up today",""))))))))</f>
        <v/>
      </c>
    </row>
    <row r="283" customFormat="false" ht="15" hidden="false" customHeight="false" outlineLevel="0" collapsed="false">
      <c r="A283" s="17"/>
      <c r="B283" s="38"/>
      <c r="C283" s="39"/>
      <c r="D283" s="17"/>
      <c r="E283" s="17"/>
      <c r="F283" s="17"/>
      <c r="G283" s="17"/>
      <c r="H283" s="17"/>
      <c r="I283" s="40"/>
      <c r="J283" s="17"/>
      <c r="K283" s="17"/>
      <c r="L283" s="17"/>
      <c r="M283" s="17"/>
      <c r="N283" s="38"/>
      <c r="O283" s="39"/>
      <c r="P283" s="41" t="str">
        <f aca="false">IF(OR(B283="",N283=""),"",ROUND(((N283+N(O283))-(B283+N(C283)))*24,1))</f>
        <v/>
      </c>
      <c r="Q283" s="17"/>
      <c r="R283" s="17"/>
      <c r="S283" s="38"/>
      <c r="T283" s="17"/>
      <c r="U283" s="42" t="str">
        <f aca="false">IF(OR(E283="",S283="",OR(R283="Contract signed + paid",R283="Closed – No response",R283="Lost"),N(T283)&gt;=Settings!$S$3),"",S283+Settings!$S$2)</f>
        <v/>
      </c>
      <c r="V283" s="38"/>
      <c r="W283" s="39"/>
      <c r="X283" s="17"/>
      <c r="Y283" s="17"/>
      <c r="Z283" s="17"/>
      <c r="AA283" s="43" t="str">
        <f aca="true">IF(OR(E283="",B283=""),"",INT(TODAY()-B283))</f>
        <v/>
      </c>
      <c r="AB283" s="44" t="str">
        <f aca="true">IF(E283="","",IF(OR(COUNTIFS(Clients!$C$2:$C$501,E283,Clients!$S$2:$S$501,"Paid")&gt;0,AND(I283&lt;&gt;"",COUNTIFS(Clients!$E$2:$E$501,I283,Clients!$S$2:$S$501,"Paid")&gt;0)),"⚠ Refunded before – no free video",IF(OR(R283="Contract signed + paid",R283="Closed – No response",R283="Lost"),"",IF(R283="","Set a stage",IF(N(T283)&gt;=Settings!$S$3,"Close – 4 follow-ups sent",IF(U283="",IF(S283="","Make first contact",""),IF(TODAY()&gt;U283,"OVERDUE follow-up",IF(TODAY()=U283,"Follow up today",""))))))))</f>
        <v/>
      </c>
    </row>
    <row r="284" customFormat="false" ht="15" hidden="false" customHeight="false" outlineLevel="0" collapsed="false">
      <c r="A284" s="17"/>
      <c r="B284" s="38"/>
      <c r="C284" s="39"/>
      <c r="D284" s="17"/>
      <c r="E284" s="17"/>
      <c r="F284" s="17"/>
      <c r="G284" s="17"/>
      <c r="H284" s="17"/>
      <c r="I284" s="40"/>
      <c r="J284" s="17"/>
      <c r="K284" s="17"/>
      <c r="L284" s="17"/>
      <c r="M284" s="17"/>
      <c r="N284" s="38"/>
      <c r="O284" s="39"/>
      <c r="P284" s="41" t="str">
        <f aca="false">IF(OR(B284="",N284=""),"",ROUND(((N284+N(O284))-(B284+N(C284)))*24,1))</f>
        <v/>
      </c>
      <c r="Q284" s="17"/>
      <c r="R284" s="17"/>
      <c r="S284" s="38"/>
      <c r="T284" s="17"/>
      <c r="U284" s="42" t="str">
        <f aca="false">IF(OR(E284="",S284="",OR(R284="Contract signed + paid",R284="Closed – No response",R284="Lost"),N(T284)&gt;=Settings!$S$3),"",S284+Settings!$S$2)</f>
        <v/>
      </c>
      <c r="V284" s="38"/>
      <c r="W284" s="39"/>
      <c r="X284" s="17"/>
      <c r="Y284" s="17"/>
      <c r="Z284" s="17"/>
      <c r="AA284" s="43" t="str">
        <f aca="true">IF(OR(E284="",B284=""),"",INT(TODAY()-B284))</f>
        <v/>
      </c>
      <c r="AB284" s="44" t="str">
        <f aca="true">IF(E284="","",IF(OR(COUNTIFS(Clients!$C$2:$C$501,E284,Clients!$S$2:$S$501,"Paid")&gt;0,AND(I284&lt;&gt;"",COUNTIFS(Clients!$E$2:$E$501,I284,Clients!$S$2:$S$501,"Paid")&gt;0)),"⚠ Refunded before – no free video",IF(OR(R284="Contract signed + paid",R284="Closed – No response",R284="Lost"),"",IF(R284="","Set a stage",IF(N(T284)&gt;=Settings!$S$3,"Close – 4 follow-ups sent",IF(U284="",IF(S284="","Make first contact",""),IF(TODAY()&gt;U284,"OVERDUE follow-up",IF(TODAY()=U284,"Follow up today",""))))))))</f>
        <v/>
      </c>
    </row>
    <row r="285" customFormat="false" ht="15" hidden="false" customHeight="false" outlineLevel="0" collapsed="false">
      <c r="A285" s="17"/>
      <c r="B285" s="38"/>
      <c r="C285" s="39"/>
      <c r="D285" s="17"/>
      <c r="E285" s="17"/>
      <c r="F285" s="17"/>
      <c r="G285" s="17"/>
      <c r="H285" s="17"/>
      <c r="I285" s="40"/>
      <c r="J285" s="17"/>
      <c r="K285" s="17"/>
      <c r="L285" s="17"/>
      <c r="M285" s="17"/>
      <c r="N285" s="38"/>
      <c r="O285" s="39"/>
      <c r="P285" s="41" t="str">
        <f aca="false">IF(OR(B285="",N285=""),"",ROUND(((N285+N(O285))-(B285+N(C285)))*24,1))</f>
        <v/>
      </c>
      <c r="Q285" s="17"/>
      <c r="R285" s="17"/>
      <c r="S285" s="38"/>
      <c r="T285" s="17"/>
      <c r="U285" s="42" t="str">
        <f aca="false">IF(OR(E285="",S285="",OR(R285="Contract signed + paid",R285="Closed – No response",R285="Lost"),N(T285)&gt;=Settings!$S$3),"",S285+Settings!$S$2)</f>
        <v/>
      </c>
      <c r="V285" s="38"/>
      <c r="W285" s="39"/>
      <c r="X285" s="17"/>
      <c r="Y285" s="17"/>
      <c r="Z285" s="17"/>
      <c r="AA285" s="43" t="str">
        <f aca="true">IF(OR(E285="",B285=""),"",INT(TODAY()-B285))</f>
        <v/>
      </c>
      <c r="AB285" s="44" t="str">
        <f aca="true">IF(E285="","",IF(OR(COUNTIFS(Clients!$C$2:$C$501,E285,Clients!$S$2:$S$501,"Paid")&gt;0,AND(I285&lt;&gt;"",COUNTIFS(Clients!$E$2:$E$501,I285,Clients!$S$2:$S$501,"Paid")&gt;0)),"⚠ Refunded before – no free video",IF(OR(R285="Contract signed + paid",R285="Closed – No response",R285="Lost"),"",IF(R285="","Set a stage",IF(N(T285)&gt;=Settings!$S$3,"Close – 4 follow-ups sent",IF(U285="",IF(S285="","Make first contact",""),IF(TODAY()&gt;U285,"OVERDUE follow-up",IF(TODAY()=U285,"Follow up today",""))))))))</f>
        <v/>
      </c>
    </row>
    <row r="286" customFormat="false" ht="15" hidden="false" customHeight="false" outlineLevel="0" collapsed="false">
      <c r="A286" s="17"/>
      <c r="B286" s="38"/>
      <c r="C286" s="39"/>
      <c r="D286" s="17"/>
      <c r="E286" s="17"/>
      <c r="F286" s="17"/>
      <c r="G286" s="17"/>
      <c r="H286" s="17"/>
      <c r="I286" s="40"/>
      <c r="J286" s="17"/>
      <c r="K286" s="17"/>
      <c r="L286" s="17"/>
      <c r="M286" s="17"/>
      <c r="N286" s="38"/>
      <c r="O286" s="39"/>
      <c r="P286" s="41" t="str">
        <f aca="false">IF(OR(B286="",N286=""),"",ROUND(((N286+N(O286))-(B286+N(C286)))*24,1))</f>
        <v/>
      </c>
      <c r="Q286" s="17"/>
      <c r="R286" s="17"/>
      <c r="S286" s="38"/>
      <c r="T286" s="17"/>
      <c r="U286" s="42" t="str">
        <f aca="false">IF(OR(E286="",S286="",OR(R286="Contract signed + paid",R286="Closed – No response",R286="Lost"),N(T286)&gt;=Settings!$S$3),"",S286+Settings!$S$2)</f>
        <v/>
      </c>
      <c r="V286" s="38"/>
      <c r="W286" s="39"/>
      <c r="X286" s="17"/>
      <c r="Y286" s="17"/>
      <c r="Z286" s="17"/>
      <c r="AA286" s="43" t="str">
        <f aca="true">IF(OR(E286="",B286=""),"",INT(TODAY()-B286))</f>
        <v/>
      </c>
      <c r="AB286" s="44" t="str">
        <f aca="true">IF(E286="","",IF(OR(COUNTIFS(Clients!$C$2:$C$501,E286,Clients!$S$2:$S$501,"Paid")&gt;0,AND(I286&lt;&gt;"",COUNTIFS(Clients!$E$2:$E$501,I286,Clients!$S$2:$S$501,"Paid")&gt;0)),"⚠ Refunded before – no free video",IF(OR(R286="Contract signed + paid",R286="Closed – No response",R286="Lost"),"",IF(R286="","Set a stage",IF(N(T286)&gt;=Settings!$S$3,"Close – 4 follow-ups sent",IF(U286="",IF(S286="","Make first contact",""),IF(TODAY()&gt;U286,"OVERDUE follow-up",IF(TODAY()=U286,"Follow up today",""))))))))</f>
        <v/>
      </c>
    </row>
    <row r="287" customFormat="false" ht="15" hidden="false" customHeight="false" outlineLevel="0" collapsed="false">
      <c r="A287" s="17"/>
      <c r="B287" s="38"/>
      <c r="C287" s="39"/>
      <c r="D287" s="17"/>
      <c r="E287" s="17"/>
      <c r="F287" s="17"/>
      <c r="G287" s="17"/>
      <c r="H287" s="17"/>
      <c r="I287" s="40"/>
      <c r="J287" s="17"/>
      <c r="K287" s="17"/>
      <c r="L287" s="17"/>
      <c r="M287" s="17"/>
      <c r="N287" s="38"/>
      <c r="O287" s="39"/>
      <c r="P287" s="41" t="str">
        <f aca="false">IF(OR(B287="",N287=""),"",ROUND(((N287+N(O287))-(B287+N(C287)))*24,1))</f>
        <v/>
      </c>
      <c r="Q287" s="17"/>
      <c r="R287" s="17"/>
      <c r="S287" s="38"/>
      <c r="T287" s="17"/>
      <c r="U287" s="42" t="str">
        <f aca="false">IF(OR(E287="",S287="",OR(R287="Contract signed + paid",R287="Closed – No response",R287="Lost"),N(T287)&gt;=Settings!$S$3),"",S287+Settings!$S$2)</f>
        <v/>
      </c>
      <c r="V287" s="38"/>
      <c r="W287" s="39"/>
      <c r="X287" s="17"/>
      <c r="Y287" s="17"/>
      <c r="Z287" s="17"/>
      <c r="AA287" s="43" t="str">
        <f aca="true">IF(OR(E287="",B287=""),"",INT(TODAY()-B287))</f>
        <v/>
      </c>
      <c r="AB287" s="44" t="str">
        <f aca="true">IF(E287="","",IF(OR(COUNTIFS(Clients!$C$2:$C$501,E287,Clients!$S$2:$S$501,"Paid")&gt;0,AND(I287&lt;&gt;"",COUNTIFS(Clients!$E$2:$E$501,I287,Clients!$S$2:$S$501,"Paid")&gt;0)),"⚠ Refunded before – no free video",IF(OR(R287="Contract signed + paid",R287="Closed – No response",R287="Lost"),"",IF(R287="","Set a stage",IF(N(T287)&gt;=Settings!$S$3,"Close – 4 follow-ups sent",IF(U287="",IF(S287="","Make first contact",""),IF(TODAY()&gt;U287,"OVERDUE follow-up",IF(TODAY()=U287,"Follow up today",""))))))))</f>
        <v/>
      </c>
    </row>
    <row r="288" customFormat="false" ht="15" hidden="false" customHeight="false" outlineLevel="0" collapsed="false">
      <c r="A288" s="17"/>
      <c r="B288" s="38"/>
      <c r="C288" s="39"/>
      <c r="D288" s="17"/>
      <c r="E288" s="17"/>
      <c r="F288" s="17"/>
      <c r="G288" s="17"/>
      <c r="H288" s="17"/>
      <c r="I288" s="40"/>
      <c r="J288" s="17"/>
      <c r="K288" s="17"/>
      <c r="L288" s="17"/>
      <c r="M288" s="17"/>
      <c r="N288" s="38"/>
      <c r="O288" s="39"/>
      <c r="P288" s="41" t="str">
        <f aca="false">IF(OR(B288="",N288=""),"",ROUND(((N288+N(O288))-(B288+N(C288)))*24,1))</f>
        <v/>
      </c>
      <c r="Q288" s="17"/>
      <c r="R288" s="17"/>
      <c r="S288" s="38"/>
      <c r="T288" s="17"/>
      <c r="U288" s="42" t="str">
        <f aca="false">IF(OR(E288="",S288="",OR(R288="Contract signed + paid",R288="Closed – No response",R288="Lost"),N(T288)&gt;=Settings!$S$3),"",S288+Settings!$S$2)</f>
        <v/>
      </c>
      <c r="V288" s="38"/>
      <c r="W288" s="39"/>
      <c r="X288" s="17"/>
      <c r="Y288" s="17"/>
      <c r="Z288" s="17"/>
      <c r="AA288" s="43" t="str">
        <f aca="true">IF(OR(E288="",B288=""),"",INT(TODAY()-B288))</f>
        <v/>
      </c>
      <c r="AB288" s="44" t="str">
        <f aca="true">IF(E288="","",IF(OR(COUNTIFS(Clients!$C$2:$C$501,E288,Clients!$S$2:$S$501,"Paid")&gt;0,AND(I288&lt;&gt;"",COUNTIFS(Clients!$E$2:$E$501,I288,Clients!$S$2:$S$501,"Paid")&gt;0)),"⚠ Refunded before – no free video",IF(OR(R288="Contract signed + paid",R288="Closed – No response",R288="Lost"),"",IF(R288="","Set a stage",IF(N(T288)&gt;=Settings!$S$3,"Close – 4 follow-ups sent",IF(U288="",IF(S288="","Make first contact",""),IF(TODAY()&gt;U288,"OVERDUE follow-up",IF(TODAY()=U288,"Follow up today",""))))))))</f>
        <v/>
      </c>
    </row>
    <row r="289" customFormat="false" ht="15" hidden="false" customHeight="false" outlineLevel="0" collapsed="false">
      <c r="A289" s="17"/>
      <c r="B289" s="38"/>
      <c r="C289" s="39"/>
      <c r="D289" s="17"/>
      <c r="E289" s="17"/>
      <c r="F289" s="17"/>
      <c r="G289" s="17"/>
      <c r="H289" s="17"/>
      <c r="I289" s="40"/>
      <c r="J289" s="17"/>
      <c r="K289" s="17"/>
      <c r="L289" s="17"/>
      <c r="M289" s="17"/>
      <c r="N289" s="38"/>
      <c r="O289" s="39"/>
      <c r="P289" s="41" t="str">
        <f aca="false">IF(OR(B289="",N289=""),"",ROUND(((N289+N(O289))-(B289+N(C289)))*24,1))</f>
        <v/>
      </c>
      <c r="Q289" s="17"/>
      <c r="R289" s="17"/>
      <c r="S289" s="38"/>
      <c r="T289" s="17"/>
      <c r="U289" s="42" t="str">
        <f aca="false">IF(OR(E289="",S289="",OR(R289="Contract signed + paid",R289="Closed – No response",R289="Lost"),N(T289)&gt;=Settings!$S$3),"",S289+Settings!$S$2)</f>
        <v/>
      </c>
      <c r="V289" s="38"/>
      <c r="W289" s="39"/>
      <c r="X289" s="17"/>
      <c r="Y289" s="17"/>
      <c r="Z289" s="17"/>
      <c r="AA289" s="43" t="str">
        <f aca="true">IF(OR(E289="",B289=""),"",INT(TODAY()-B289))</f>
        <v/>
      </c>
      <c r="AB289" s="44" t="str">
        <f aca="true">IF(E289="","",IF(OR(COUNTIFS(Clients!$C$2:$C$501,E289,Clients!$S$2:$S$501,"Paid")&gt;0,AND(I289&lt;&gt;"",COUNTIFS(Clients!$E$2:$E$501,I289,Clients!$S$2:$S$501,"Paid")&gt;0)),"⚠ Refunded before – no free video",IF(OR(R289="Contract signed + paid",R289="Closed – No response",R289="Lost"),"",IF(R289="","Set a stage",IF(N(T289)&gt;=Settings!$S$3,"Close – 4 follow-ups sent",IF(U289="",IF(S289="","Make first contact",""),IF(TODAY()&gt;U289,"OVERDUE follow-up",IF(TODAY()=U289,"Follow up today",""))))))))</f>
        <v/>
      </c>
    </row>
    <row r="290" customFormat="false" ht="15" hidden="false" customHeight="false" outlineLevel="0" collapsed="false">
      <c r="A290" s="17"/>
      <c r="B290" s="38"/>
      <c r="C290" s="39"/>
      <c r="D290" s="17"/>
      <c r="E290" s="17"/>
      <c r="F290" s="17"/>
      <c r="G290" s="17"/>
      <c r="H290" s="17"/>
      <c r="I290" s="40"/>
      <c r="J290" s="17"/>
      <c r="K290" s="17"/>
      <c r="L290" s="17"/>
      <c r="M290" s="17"/>
      <c r="N290" s="38"/>
      <c r="O290" s="39"/>
      <c r="P290" s="41" t="str">
        <f aca="false">IF(OR(B290="",N290=""),"",ROUND(((N290+N(O290))-(B290+N(C290)))*24,1))</f>
        <v/>
      </c>
      <c r="Q290" s="17"/>
      <c r="R290" s="17"/>
      <c r="S290" s="38"/>
      <c r="T290" s="17"/>
      <c r="U290" s="42" t="str">
        <f aca="false">IF(OR(E290="",S290="",OR(R290="Contract signed + paid",R290="Closed – No response",R290="Lost"),N(T290)&gt;=Settings!$S$3),"",S290+Settings!$S$2)</f>
        <v/>
      </c>
      <c r="V290" s="38"/>
      <c r="W290" s="39"/>
      <c r="X290" s="17"/>
      <c r="Y290" s="17"/>
      <c r="Z290" s="17"/>
      <c r="AA290" s="43" t="str">
        <f aca="true">IF(OR(E290="",B290=""),"",INT(TODAY()-B290))</f>
        <v/>
      </c>
      <c r="AB290" s="44" t="str">
        <f aca="true">IF(E290="","",IF(OR(COUNTIFS(Clients!$C$2:$C$501,E290,Clients!$S$2:$S$501,"Paid")&gt;0,AND(I290&lt;&gt;"",COUNTIFS(Clients!$E$2:$E$501,I290,Clients!$S$2:$S$501,"Paid")&gt;0)),"⚠ Refunded before – no free video",IF(OR(R290="Contract signed + paid",R290="Closed – No response",R290="Lost"),"",IF(R290="","Set a stage",IF(N(T290)&gt;=Settings!$S$3,"Close – 4 follow-ups sent",IF(U290="",IF(S290="","Make first contact",""),IF(TODAY()&gt;U290,"OVERDUE follow-up",IF(TODAY()=U290,"Follow up today",""))))))))</f>
        <v/>
      </c>
    </row>
    <row r="291" customFormat="false" ht="15" hidden="false" customHeight="false" outlineLevel="0" collapsed="false">
      <c r="A291" s="17"/>
      <c r="B291" s="38"/>
      <c r="C291" s="39"/>
      <c r="D291" s="17"/>
      <c r="E291" s="17"/>
      <c r="F291" s="17"/>
      <c r="G291" s="17"/>
      <c r="H291" s="17"/>
      <c r="I291" s="40"/>
      <c r="J291" s="17"/>
      <c r="K291" s="17"/>
      <c r="L291" s="17"/>
      <c r="M291" s="17"/>
      <c r="N291" s="38"/>
      <c r="O291" s="39"/>
      <c r="P291" s="41" t="str">
        <f aca="false">IF(OR(B291="",N291=""),"",ROUND(((N291+N(O291))-(B291+N(C291)))*24,1))</f>
        <v/>
      </c>
      <c r="Q291" s="17"/>
      <c r="R291" s="17"/>
      <c r="S291" s="38"/>
      <c r="T291" s="17"/>
      <c r="U291" s="42" t="str">
        <f aca="false">IF(OR(E291="",S291="",OR(R291="Contract signed + paid",R291="Closed – No response",R291="Lost"),N(T291)&gt;=Settings!$S$3),"",S291+Settings!$S$2)</f>
        <v/>
      </c>
      <c r="V291" s="38"/>
      <c r="W291" s="39"/>
      <c r="X291" s="17"/>
      <c r="Y291" s="17"/>
      <c r="Z291" s="17"/>
      <c r="AA291" s="43" t="str">
        <f aca="true">IF(OR(E291="",B291=""),"",INT(TODAY()-B291))</f>
        <v/>
      </c>
      <c r="AB291" s="44" t="str">
        <f aca="true">IF(E291="","",IF(OR(COUNTIFS(Clients!$C$2:$C$501,E291,Clients!$S$2:$S$501,"Paid")&gt;0,AND(I291&lt;&gt;"",COUNTIFS(Clients!$E$2:$E$501,I291,Clients!$S$2:$S$501,"Paid")&gt;0)),"⚠ Refunded before – no free video",IF(OR(R291="Contract signed + paid",R291="Closed – No response",R291="Lost"),"",IF(R291="","Set a stage",IF(N(T291)&gt;=Settings!$S$3,"Close – 4 follow-ups sent",IF(U291="",IF(S291="","Make first contact",""),IF(TODAY()&gt;U291,"OVERDUE follow-up",IF(TODAY()=U291,"Follow up today",""))))))))</f>
        <v/>
      </c>
    </row>
    <row r="292" customFormat="false" ht="15" hidden="false" customHeight="false" outlineLevel="0" collapsed="false">
      <c r="A292" s="17"/>
      <c r="B292" s="38"/>
      <c r="C292" s="39"/>
      <c r="D292" s="17"/>
      <c r="E292" s="17"/>
      <c r="F292" s="17"/>
      <c r="G292" s="17"/>
      <c r="H292" s="17"/>
      <c r="I292" s="40"/>
      <c r="J292" s="17"/>
      <c r="K292" s="17"/>
      <c r="L292" s="17"/>
      <c r="M292" s="17"/>
      <c r="N292" s="38"/>
      <c r="O292" s="39"/>
      <c r="P292" s="41" t="str">
        <f aca="false">IF(OR(B292="",N292=""),"",ROUND(((N292+N(O292))-(B292+N(C292)))*24,1))</f>
        <v/>
      </c>
      <c r="Q292" s="17"/>
      <c r="R292" s="17"/>
      <c r="S292" s="38"/>
      <c r="T292" s="17"/>
      <c r="U292" s="42" t="str">
        <f aca="false">IF(OR(E292="",S292="",OR(R292="Contract signed + paid",R292="Closed – No response",R292="Lost"),N(T292)&gt;=Settings!$S$3),"",S292+Settings!$S$2)</f>
        <v/>
      </c>
      <c r="V292" s="38"/>
      <c r="W292" s="39"/>
      <c r="X292" s="17"/>
      <c r="Y292" s="17"/>
      <c r="Z292" s="17"/>
      <c r="AA292" s="43" t="str">
        <f aca="true">IF(OR(E292="",B292=""),"",INT(TODAY()-B292))</f>
        <v/>
      </c>
      <c r="AB292" s="44" t="str">
        <f aca="true">IF(E292="","",IF(OR(COUNTIFS(Clients!$C$2:$C$501,E292,Clients!$S$2:$S$501,"Paid")&gt;0,AND(I292&lt;&gt;"",COUNTIFS(Clients!$E$2:$E$501,I292,Clients!$S$2:$S$501,"Paid")&gt;0)),"⚠ Refunded before – no free video",IF(OR(R292="Contract signed + paid",R292="Closed – No response",R292="Lost"),"",IF(R292="","Set a stage",IF(N(T292)&gt;=Settings!$S$3,"Close – 4 follow-ups sent",IF(U292="",IF(S292="","Make first contact",""),IF(TODAY()&gt;U292,"OVERDUE follow-up",IF(TODAY()=U292,"Follow up today",""))))))))</f>
        <v/>
      </c>
    </row>
    <row r="293" customFormat="false" ht="15" hidden="false" customHeight="false" outlineLevel="0" collapsed="false">
      <c r="A293" s="17"/>
      <c r="B293" s="38"/>
      <c r="C293" s="39"/>
      <c r="D293" s="17"/>
      <c r="E293" s="17"/>
      <c r="F293" s="17"/>
      <c r="G293" s="17"/>
      <c r="H293" s="17"/>
      <c r="I293" s="40"/>
      <c r="J293" s="17"/>
      <c r="K293" s="17"/>
      <c r="L293" s="17"/>
      <c r="M293" s="17"/>
      <c r="N293" s="38"/>
      <c r="O293" s="39"/>
      <c r="P293" s="41" t="str">
        <f aca="false">IF(OR(B293="",N293=""),"",ROUND(((N293+N(O293))-(B293+N(C293)))*24,1))</f>
        <v/>
      </c>
      <c r="Q293" s="17"/>
      <c r="R293" s="17"/>
      <c r="S293" s="38"/>
      <c r="T293" s="17"/>
      <c r="U293" s="42" t="str">
        <f aca="false">IF(OR(E293="",S293="",OR(R293="Contract signed + paid",R293="Closed – No response",R293="Lost"),N(T293)&gt;=Settings!$S$3),"",S293+Settings!$S$2)</f>
        <v/>
      </c>
      <c r="V293" s="38"/>
      <c r="W293" s="39"/>
      <c r="X293" s="17"/>
      <c r="Y293" s="17"/>
      <c r="Z293" s="17"/>
      <c r="AA293" s="43" t="str">
        <f aca="true">IF(OR(E293="",B293=""),"",INT(TODAY()-B293))</f>
        <v/>
      </c>
      <c r="AB293" s="44" t="str">
        <f aca="true">IF(E293="","",IF(OR(COUNTIFS(Clients!$C$2:$C$501,E293,Clients!$S$2:$S$501,"Paid")&gt;0,AND(I293&lt;&gt;"",COUNTIFS(Clients!$E$2:$E$501,I293,Clients!$S$2:$S$501,"Paid")&gt;0)),"⚠ Refunded before – no free video",IF(OR(R293="Contract signed + paid",R293="Closed – No response",R293="Lost"),"",IF(R293="","Set a stage",IF(N(T293)&gt;=Settings!$S$3,"Close – 4 follow-ups sent",IF(U293="",IF(S293="","Make first contact",""),IF(TODAY()&gt;U293,"OVERDUE follow-up",IF(TODAY()=U293,"Follow up today",""))))))))</f>
        <v/>
      </c>
    </row>
    <row r="294" customFormat="false" ht="15" hidden="false" customHeight="false" outlineLevel="0" collapsed="false">
      <c r="A294" s="17"/>
      <c r="B294" s="38"/>
      <c r="C294" s="39"/>
      <c r="D294" s="17"/>
      <c r="E294" s="17"/>
      <c r="F294" s="17"/>
      <c r="G294" s="17"/>
      <c r="H294" s="17"/>
      <c r="I294" s="40"/>
      <c r="J294" s="17"/>
      <c r="K294" s="17"/>
      <c r="L294" s="17"/>
      <c r="M294" s="17"/>
      <c r="N294" s="38"/>
      <c r="O294" s="39"/>
      <c r="P294" s="41" t="str">
        <f aca="false">IF(OR(B294="",N294=""),"",ROUND(((N294+N(O294))-(B294+N(C294)))*24,1))</f>
        <v/>
      </c>
      <c r="Q294" s="17"/>
      <c r="R294" s="17"/>
      <c r="S294" s="38"/>
      <c r="T294" s="17"/>
      <c r="U294" s="42" t="str">
        <f aca="false">IF(OR(E294="",S294="",OR(R294="Contract signed + paid",R294="Closed – No response",R294="Lost"),N(T294)&gt;=Settings!$S$3),"",S294+Settings!$S$2)</f>
        <v/>
      </c>
      <c r="V294" s="38"/>
      <c r="W294" s="39"/>
      <c r="X294" s="17"/>
      <c r="Y294" s="17"/>
      <c r="Z294" s="17"/>
      <c r="AA294" s="43" t="str">
        <f aca="true">IF(OR(E294="",B294=""),"",INT(TODAY()-B294))</f>
        <v/>
      </c>
      <c r="AB294" s="44" t="str">
        <f aca="true">IF(E294="","",IF(OR(COUNTIFS(Clients!$C$2:$C$501,E294,Clients!$S$2:$S$501,"Paid")&gt;0,AND(I294&lt;&gt;"",COUNTIFS(Clients!$E$2:$E$501,I294,Clients!$S$2:$S$501,"Paid")&gt;0)),"⚠ Refunded before – no free video",IF(OR(R294="Contract signed + paid",R294="Closed – No response",R294="Lost"),"",IF(R294="","Set a stage",IF(N(T294)&gt;=Settings!$S$3,"Close – 4 follow-ups sent",IF(U294="",IF(S294="","Make first contact",""),IF(TODAY()&gt;U294,"OVERDUE follow-up",IF(TODAY()=U294,"Follow up today",""))))))))</f>
        <v/>
      </c>
    </row>
    <row r="295" customFormat="false" ht="15" hidden="false" customHeight="false" outlineLevel="0" collapsed="false">
      <c r="A295" s="17"/>
      <c r="B295" s="38"/>
      <c r="C295" s="39"/>
      <c r="D295" s="17"/>
      <c r="E295" s="17"/>
      <c r="F295" s="17"/>
      <c r="G295" s="17"/>
      <c r="H295" s="17"/>
      <c r="I295" s="40"/>
      <c r="J295" s="17"/>
      <c r="K295" s="17"/>
      <c r="L295" s="17"/>
      <c r="M295" s="17"/>
      <c r="N295" s="38"/>
      <c r="O295" s="39"/>
      <c r="P295" s="41" t="str">
        <f aca="false">IF(OR(B295="",N295=""),"",ROUND(((N295+N(O295))-(B295+N(C295)))*24,1))</f>
        <v/>
      </c>
      <c r="Q295" s="17"/>
      <c r="R295" s="17"/>
      <c r="S295" s="38"/>
      <c r="T295" s="17"/>
      <c r="U295" s="42" t="str">
        <f aca="false">IF(OR(E295="",S295="",OR(R295="Contract signed + paid",R295="Closed – No response",R295="Lost"),N(T295)&gt;=Settings!$S$3),"",S295+Settings!$S$2)</f>
        <v/>
      </c>
      <c r="V295" s="38"/>
      <c r="W295" s="39"/>
      <c r="X295" s="17"/>
      <c r="Y295" s="17"/>
      <c r="Z295" s="17"/>
      <c r="AA295" s="43" t="str">
        <f aca="true">IF(OR(E295="",B295=""),"",INT(TODAY()-B295))</f>
        <v/>
      </c>
      <c r="AB295" s="44" t="str">
        <f aca="true">IF(E295="","",IF(OR(COUNTIFS(Clients!$C$2:$C$501,E295,Clients!$S$2:$S$501,"Paid")&gt;0,AND(I295&lt;&gt;"",COUNTIFS(Clients!$E$2:$E$501,I295,Clients!$S$2:$S$501,"Paid")&gt;0)),"⚠ Refunded before – no free video",IF(OR(R295="Contract signed + paid",R295="Closed – No response",R295="Lost"),"",IF(R295="","Set a stage",IF(N(T295)&gt;=Settings!$S$3,"Close – 4 follow-ups sent",IF(U295="",IF(S295="","Make first contact",""),IF(TODAY()&gt;U295,"OVERDUE follow-up",IF(TODAY()=U295,"Follow up today",""))))))))</f>
        <v/>
      </c>
    </row>
    <row r="296" customFormat="false" ht="15" hidden="false" customHeight="false" outlineLevel="0" collapsed="false">
      <c r="A296" s="17"/>
      <c r="B296" s="38"/>
      <c r="C296" s="39"/>
      <c r="D296" s="17"/>
      <c r="E296" s="17"/>
      <c r="F296" s="17"/>
      <c r="G296" s="17"/>
      <c r="H296" s="17"/>
      <c r="I296" s="40"/>
      <c r="J296" s="17"/>
      <c r="K296" s="17"/>
      <c r="L296" s="17"/>
      <c r="M296" s="17"/>
      <c r="N296" s="38"/>
      <c r="O296" s="39"/>
      <c r="P296" s="41" t="str">
        <f aca="false">IF(OR(B296="",N296=""),"",ROUND(((N296+N(O296))-(B296+N(C296)))*24,1))</f>
        <v/>
      </c>
      <c r="Q296" s="17"/>
      <c r="R296" s="17"/>
      <c r="S296" s="38"/>
      <c r="T296" s="17"/>
      <c r="U296" s="42" t="str">
        <f aca="false">IF(OR(E296="",S296="",OR(R296="Contract signed + paid",R296="Closed – No response",R296="Lost"),N(T296)&gt;=Settings!$S$3),"",S296+Settings!$S$2)</f>
        <v/>
      </c>
      <c r="V296" s="38"/>
      <c r="W296" s="39"/>
      <c r="X296" s="17"/>
      <c r="Y296" s="17"/>
      <c r="Z296" s="17"/>
      <c r="AA296" s="43" t="str">
        <f aca="true">IF(OR(E296="",B296=""),"",INT(TODAY()-B296))</f>
        <v/>
      </c>
      <c r="AB296" s="44" t="str">
        <f aca="true">IF(E296="","",IF(OR(COUNTIFS(Clients!$C$2:$C$501,E296,Clients!$S$2:$S$501,"Paid")&gt;0,AND(I296&lt;&gt;"",COUNTIFS(Clients!$E$2:$E$501,I296,Clients!$S$2:$S$501,"Paid")&gt;0)),"⚠ Refunded before – no free video",IF(OR(R296="Contract signed + paid",R296="Closed – No response",R296="Lost"),"",IF(R296="","Set a stage",IF(N(T296)&gt;=Settings!$S$3,"Close – 4 follow-ups sent",IF(U296="",IF(S296="","Make first contact",""),IF(TODAY()&gt;U296,"OVERDUE follow-up",IF(TODAY()=U296,"Follow up today",""))))))))</f>
        <v/>
      </c>
    </row>
    <row r="297" customFormat="false" ht="15" hidden="false" customHeight="false" outlineLevel="0" collapsed="false">
      <c r="A297" s="17"/>
      <c r="B297" s="38"/>
      <c r="C297" s="39"/>
      <c r="D297" s="17"/>
      <c r="E297" s="17"/>
      <c r="F297" s="17"/>
      <c r="G297" s="17"/>
      <c r="H297" s="17"/>
      <c r="I297" s="40"/>
      <c r="J297" s="17"/>
      <c r="K297" s="17"/>
      <c r="L297" s="17"/>
      <c r="M297" s="17"/>
      <c r="N297" s="38"/>
      <c r="O297" s="39"/>
      <c r="P297" s="41" t="str">
        <f aca="false">IF(OR(B297="",N297=""),"",ROUND(((N297+N(O297))-(B297+N(C297)))*24,1))</f>
        <v/>
      </c>
      <c r="Q297" s="17"/>
      <c r="R297" s="17"/>
      <c r="S297" s="38"/>
      <c r="T297" s="17"/>
      <c r="U297" s="42" t="str">
        <f aca="false">IF(OR(E297="",S297="",OR(R297="Contract signed + paid",R297="Closed – No response",R297="Lost"),N(T297)&gt;=Settings!$S$3),"",S297+Settings!$S$2)</f>
        <v/>
      </c>
      <c r="V297" s="38"/>
      <c r="W297" s="39"/>
      <c r="X297" s="17"/>
      <c r="Y297" s="17"/>
      <c r="Z297" s="17"/>
      <c r="AA297" s="43" t="str">
        <f aca="true">IF(OR(E297="",B297=""),"",INT(TODAY()-B297))</f>
        <v/>
      </c>
      <c r="AB297" s="44" t="str">
        <f aca="true">IF(E297="","",IF(OR(COUNTIFS(Clients!$C$2:$C$501,E297,Clients!$S$2:$S$501,"Paid")&gt;0,AND(I297&lt;&gt;"",COUNTIFS(Clients!$E$2:$E$501,I297,Clients!$S$2:$S$501,"Paid")&gt;0)),"⚠ Refunded before – no free video",IF(OR(R297="Contract signed + paid",R297="Closed – No response",R297="Lost"),"",IF(R297="","Set a stage",IF(N(T297)&gt;=Settings!$S$3,"Close – 4 follow-ups sent",IF(U297="",IF(S297="","Make first contact",""),IF(TODAY()&gt;U297,"OVERDUE follow-up",IF(TODAY()=U297,"Follow up today",""))))))))</f>
        <v/>
      </c>
    </row>
    <row r="298" customFormat="false" ht="15" hidden="false" customHeight="false" outlineLevel="0" collapsed="false">
      <c r="A298" s="17"/>
      <c r="B298" s="38"/>
      <c r="C298" s="39"/>
      <c r="D298" s="17"/>
      <c r="E298" s="17"/>
      <c r="F298" s="17"/>
      <c r="G298" s="17"/>
      <c r="H298" s="17"/>
      <c r="I298" s="40"/>
      <c r="J298" s="17"/>
      <c r="K298" s="17"/>
      <c r="L298" s="17"/>
      <c r="M298" s="17"/>
      <c r="N298" s="38"/>
      <c r="O298" s="39"/>
      <c r="P298" s="41" t="str">
        <f aca="false">IF(OR(B298="",N298=""),"",ROUND(((N298+N(O298))-(B298+N(C298)))*24,1))</f>
        <v/>
      </c>
      <c r="Q298" s="17"/>
      <c r="R298" s="17"/>
      <c r="S298" s="38"/>
      <c r="T298" s="17"/>
      <c r="U298" s="42" t="str">
        <f aca="false">IF(OR(E298="",S298="",OR(R298="Contract signed + paid",R298="Closed – No response",R298="Lost"),N(T298)&gt;=Settings!$S$3),"",S298+Settings!$S$2)</f>
        <v/>
      </c>
      <c r="V298" s="38"/>
      <c r="W298" s="39"/>
      <c r="X298" s="17"/>
      <c r="Y298" s="17"/>
      <c r="Z298" s="17"/>
      <c r="AA298" s="43" t="str">
        <f aca="true">IF(OR(E298="",B298=""),"",INT(TODAY()-B298))</f>
        <v/>
      </c>
      <c r="AB298" s="44" t="str">
        <f aca="true">IF(E298="","",IF(OR(COUNTIFS(Clients!$C$2:$C$501,E298,Clients!$S$2:$S$501,"Paid")&gt;0,AND(I298&lt;&gt;"",COUNTIFS(Clients!$E$2:$E$501,I298,Clients!$S$2:$S$501,"Paid")&gt;0)),"⚠ Refunded before – no free video",IF(OR(R298="Contract signed + paid",R298="Closed – No response",R298="Lost"),"",IF(R298="","Set a stage",IF(N(T298)&gt;=Settings!$S$3,"Close – 4 follow-ups sent",IF(U298="",IF(S298="","Make first contact",""),IF(TODAY()&gt;U298,"OVERDUE follow-up",IF(TODAY()=U298,"Follow up today",""))))))))</f>
        <v/>
      </c>
    </row>
    <row r="299" customFormat="false" ht="15" hidden="false" customHeight="false" outlineLevel="0" collapsed="false">
      <c r="A299" s="17"/>
      <c r="B299" s="38"/>
      <c r="C299" s="39"/>
      <c r="D299" s="17"/>
      <c r="E299" s="17"/>
      <c r="F299" s="17"/>
      <c r="G299" s="17"/>
      <c r="H299" s="17"/>
      <c r="I299" s="40"/>
      <c r="J299" s="17"/>
      <c r="K299" s="17"/>
      <c r="L299" s="17"/>
      <c r="M299" s="17"/>
      <c r="N299" s="38"/>
      <c r="O299" s="39"/>
      <c r="P299" s="41" t="str">
        <f aca="false">IF(OR(B299="",N299=""),"",ROUND(((N299+N(O299))-(B299+N(C299)))*24,1))</f>
        <v/>
      </c>
      <c r="Q299" s="17"/>
      <c r="R299" s="17"/>
      <c r="S299" s="38"/>
      <c r="T299" s="17"/>
      <c r="U299" s="42" t="str">
        <f aca="false">IF(OR(E299="",S299="",OR(R299="Contract signed + paid",R299="Closed – No response",R299="Lost"),N(T299)&gt;=Settings!$S$3),"",S299+Settings!$S$2)</f>
        <v/>
      </c>
      <c r="V299" s="38"/>
      <c r="W299" s="39"/>
      <c r="X299" s="17"/>
      <c r="Y299" s="17"/>
      <c r="Z299" s="17"/>
      <c r="AA299" s="43" t="str">
        <f aca="true">IF(OR(E299="",B299=""),"",INT(TODAY()-B299))</f>
        <v/>
      </c>
      <c r="AB299" s="44" t="str">
        <f aca="true">IF(E299="","",IF(OR(COUNTIFS(Clients!$C$2:$C$501,E299,Clients!$S$2:$S$501,"Paid")&gt;0,AND(I299&lt;&gt;"",COUNTIFS(Clients!$E$2:$E$501,I299,Clients!$S$2:$S$501,"Paid")&gt;0)),"⚠ Refunded before – no free video",IF(OR(R299="Contract signed + paid",R299="Closed – No response",R299="Lost"),"",IF(R299="","Set a stage",IF(N(T299)&gt;=Settings!$S$3,"Close – 4 follow-ups sent",IF(U299="",IF(S299="","Make first contact",""),IF(TODAY()&gt;U299,"OVERDUE follow-up",IF(TODAY()=U299,"Follow up today",""))))))))</f>
        <v/>
      </c>
    </row>
    <row r="300" customFormat="false" ht="15" hidden="false" customHeight="false" outlineLevel="0" collapsed="false">
      <c r="A300" s="17"/>
      <c r="B300" s="38"/>
      <c r="C300" s="39"/>
      <c r="D300" s="17"/>
      <c r="E300" s="17"/>
      <c r="F300" s="17"/>
      <c r="G300" s="17"/>
      <c r="H300" s="17"/>
      <c r="I300" s="40"/>
      <c r="J300" s="17"/>
      <c r="K300" s="17"/>
      <c r="L300" s="17"/>
      <c r="M300" s="17"/>
      <c r="N300" s="38"/>
      <c r="O300" s="39"/>
      <c r="P300" s="41" t="str">
        <f aca="false">IF(OR(B300="",N300=""),"",ROUND(((N300+N(O300))-(B300+N(C300)))*24,1))</f>
        <v/>
      </c>
      <c r="Q300" s="17"/>
      <c r="R300" s="17"/>
      <c r="S300" s="38"/>
      <c r="T300" s="17"/>
      <c r="U300" s="42" t="str">
        <f aca="false">IF(OR(E300="",S300="",OR(R300="Contract signed + paid",R300="Closed – No response",R300="Lost"),N(T300)&gt;=Settings!$S$3),"",S300+Settings!$S$2)</f>
        <v/>
      </c>
      <c r="V300" s="38"/>
      <c r="W300" s="39"/>
      <c r="X300" s="17"/>
      <c r="Y300" s="17"/>
      <c r="Z300" s="17"/>
      <c r="AA300" s="43" t="str">
        <f aca="true">IF(OR(E300="",B300=""),"",INT(TODAY()-B300))</f>
        <v/>
      </c>
      <c r="AB300" s="44" t="str">
        <f aca="true">IF(E300="","",IF(OR(COUNTIFS(Clients!$C$2:$C$501,E300,Clients!$S$2:$S$501,"Paid")&gt;0,AND(I300&lt;&gt;"",COUNTIFS(Clients!$E$2:$E$501,I300,Clients!$S$2:$S$501,"Paid")&gt;0)),"⚠ Refunded before – no free video",IF(OR(R300="Contract signed + paid",R300="Closed – No response",R300="Lost"),"",IF(R300="","Set a stage",IF(N(T300)&gt;=Settings!$S$3,"Close – 4 follow-ups sent",IF(U300="",IF(S300="","Make first contact",""),IF(TODAY()&gt;U300,"OVERDUE follow-up",IF(TODAY()=U300,"Follow up today",""))))))))</f>
        <v/>
      </c>
    </row>
    <row r="301" customFormat="false" ht="15" hidden="false" customHeight="false" outlineLevel="0" collapsed="false">
      <c r="A301" s="17"/>
      <c r="B301" s="38"/>
      <c r="C301" s="39"/>
      <c r="D301" s="17"/>
      <c r="E301" s="17"/>
      <c r="F301" s="17"/>
      <c r="G301" s="17"/>
      <c r="H301" s="17"/>
      <c r="I301" s="40"/>
      <c r="J301" s="17"/>
      <c r="K301" s="17"/>
      <c r="L301" s="17"/>
      <c r="M301" s="17"/>
      <c r="N301" s="38"/>
      <c r="O301" s="39"/>
      <c r="P301" s="41" t="str">
        <f aca="false">IF(OR(B301="",N301=""),"",ROUND(((N301+N(O301))-(B301+N(C301)))*24,1))</f>
        <v/>
      </c>
      <c r="Q301" s="17"/>
      <c r="R301" s="17"/>
      <c r="S301" s="38"/>
      <c r="T301" s="17"/>
      <c r="U301" s="42" t="str">
        <f aca="false">IF(OR(E301="",S301="",OR(R301="Contract signed + paid",R301="Closed – No response",R301="Lost"),N(T301)&gt;=Settings!$S$3),"",S301+Settings!$S$2)</f>
        <v/>
      </c>
      <c r="V301" s="38"/>
      <c r="W301" s="39"/>
      <c r="X301" s="17"/>
      <c r="Y301" s="17"/>
      <c r="Z301" s="17"/>
      <c r="AA301" s="43" t="str">
        <f aca="true">IF(OR(E301="",B301=""),"",INT(TODAY()-B301))</f>
        <v/>
      </c>
      <c r="AB301" s="44" t="str">
        <f aca="true">IF(E301="","",IF(OR(COUNTIFS(Clients!$C$2:$C$501,E301,Clients!$S$2:$S$501,"Paid")&gt;0,AND(I301&lt;&gt;"",COUNTIFS(Clients!$E$2:$E$501,I301,Clients!$S$2:$S$501,"Paid")&gt;0)),"⚠ Refunded before – no free video",IF(OR(R301="Contract signed + paid",R301="Closed – No response",R301="Lost"),"",IF(R301="","Set a stage",IF(N(T301)&gt;=Settings!$S$3,"Close – 4 follow-ups sent",IF(U301="",IF(S301="","Make first contact",""),IF(TODAY()&gt;U301,"OVERDUE follow-up",IF(TODAY()=U301,"Follow up today",""))))))))</f>
        <v/>
      </c>
    </row>
    <row r="302" customFormat="false" ht="15" hidden="false" customHeight="false" outlineLevel="0" collapsed="false">
      <c r="A302" s="17"/>
      <c r="B302" s="38"/>
      <c r="C302" s="39"/>
      <c r="D302" s="17"/>
      <c r="E302" s="17"/>
      <c r="F302" s="17"/>
      <c r="G302" s="17"/>
      <c r="H302" s="17"/>
      <c r="I302" s="40"/>
      <c r="J302" s="17"/>
      <c r="K302" s="17"/>
      <c r="L302" s="17"/>
      <c r="M302" s="17"/>
      <c r="N302" s="38"/>
      <c r="O302" s="39"/>
      <c r="P302" s="41" t="str">
        <f aca="false">IF(OR(B302="",N302=""),"",ROUND(((N302+N(O302))-(B302+N(C302)))*24,1))</f>
        <v/>
      </c>
      <c r="Q302" s="17"/>
      <c r="R302" s="17"/>
      <c r="S302" s="38"/>
      <c r="T302" s="17"/>
      <c r="U302" s="42" t="str">
        <f aca="false">IF(OR(E302="",S302="",OR(R302="Contract signed + paid",R302="Closed – No response",R302="Lost"),N(T302)&gt;=Settings!$S$3),"",S302+Settings!$S$2)</f>
        <v/>
      </c>
      <c r="V302" s="38"/>
      <c r="W302" s="39"/>
      <c r="X302" s="17"/>
      <c r="Y302" s="17"/>
      <c r="Z302" s="17"/>
      <c r="AA302" s="43" t="str">
        <f aca="true">IF(OR(E302="",B302=""),"",INT(TODAY()-B302))</f>
        <v/>
      </c>
      <c r="AB302" s="44" t="str">
        <f aca="true">IF(E302="","",IF(OR(COUNTIFS(Clients!$C$2:$C$501,E302,Clients!$S$2:$S$501,"Paid")&gt;0,AND(I302&lt;&gt;"",COUNTIFS(Clients!$E$2:$E$501,I302,Clients!$S$2:$S$501,"Paid")&gt;0)),"⚠ Refunded before – no free video",IF(OR(R302="Contract signed + paid",R302="Closed – No response",R302="Lost"),"",IF(R302="","Set a stage",IF(N(T302)&gt;=Settings!$S$3,"Close – 4 follow-ups sent",IF(U302="",IF(S302="","Make first contact",""),IF(TODAY()&gt;U302,"OVERDUE follow-up",IF(TODAY()=U302,"Follow up today",""))))))))</f>
        <v/>
      </c>
    </row>
    <row r="303" customFormat="false" ht="15" hidden="false" customHeight="false" outlineLevel="0" collapsed="false">
      <c r="A303" s="17"/>
      <c r="B303" s="38"/>
      <c r="C303" s="39"/>
      <c r="D303" s="17"/>
      <c r="E303" s="17"/>
      <c r="F303" s="17"/>
      <c r="G303" s="17"/>
      <c r="H303" s="17"/>
      <c r="I303" s="40"/>
      <c r="J303" s="17"/>
      <c r="K303" s="17"/>
      <c r="L303" s="17"/>
      <c r="M303" s="17"/>
      <c r="N303" s="38"/>
      <c r="O303" s="39"/>
      <c r="P303" s="41" t="str">
        <f aca="false">IF(OR(B303="",N303=""),"",ROUND(((N303+N(O303))-(B303+N(C303)))*24,1))</f>
        <v/>
      </c>
      <c r="Q303" s="17"/>
      <c r="R303" s="17"/>
      <c r="S303" s="38"/>
      <c r="T303" s="17"/>
      <c r="U303" s="42" t="str">
        <f aca="false">IF(OR(E303="",S303="",OR(R303="Contract signed + paid",R303="Closed – No response",R303="Lost"),N(T303)&gt;=Settings!$S$3),"",S303+Settings!$S$2)</f>
        <v/>
      </c>
      <c r="V303" s="38"/>
      <c r="W303" s="39"/>
      <c r="X303" s="17"/>
      <c r="Y303" s="17"/>
      <c r="Z303" s="17"/>
      <c r="AA303" s="43" t="str">
        <f aca="true">IF(OR(E303="",B303=""),"",INT(TODAY()-B303))</f>
        <v/>
      </c>
      <c r="AB303" s="44" t="str">
        <f aca="true">IF(E303="","",IF(OR(COUNTIFS(Clients!$C$2:$C$501,E303,Clients!$S$2:$S$501,"Paid")&gt;0,AND(I303&lt;&gt;"",COUNTIFS(Clients!$E$2:$E$501,I303,Clients!$S$2:$S$501,"Paid")&gt;0)),"⚠ Refunded before – no free video",IF(OR(R303="Contract signed + paid",R303="Closed – No response",R303="Lost"),"",IF(R303="","Set a stage",IF(N(T303)&gt;=Settings!$S$3,"Close – 4 follow-ups sent",IF(U303="",IF(S303="","Make first contact",""),IF(TODAY()&gt;U303,"OVERDUE follow-up",IF(TODAY()=U303,"Follow up today",""))))))))</f>
        <v/>
      </c>
    </row>
    <row r="304" customFormat="false" ht="15" hidden="false" customHeight="false" outlineLevel="0" collapsed="false">
      <c r="A304" s="17"/>
      <c r="B304" s="38"/>
      <c r="C304" s="39"/>
      <c r="D304" s="17"/>
      <c r="E304" s="17"/>
      <c r="F304" s="17"/>
      <c r="G304" s="17"/>
      <c r="H304" s="17"/>
      <c r="I304" s="40"/>
      <c r="J304" s="17"/>
      <c r="K304" s="17"/>
      <c r="L304" s="17"/>
      <c r="M304" s="17"/>
      <c r="N304" s="38"/>
      <c r="O304" s="39"/>
      <c r="P304" s="41" t="str">
        <f aca="false">IF(OR(B304="",N304=""),"",ROUND(((N304+N(O304))-(B304+N(C304)))*24,1))</f>
        <v/>
      </c>
      <c r="Q304" s="17"/>
      <c r="R304" s="17"/>
      <c r="S304" s="38"/>
      <c r="T304" s="17"/>
      <c r="U304" s="42" t="str">
        <f aca="false">IF(OR(E304="",S304="",OR(R304="Contract signed + paid",R304="Closed – No response",R304="Lost"),N(T304)&gt;=Settings!$S$3),"",S304+Settings!$S$2)</f>
        <v/>
      </c>
      <c r="V304" s="38"/>
      <c r="W304" s="39"/>
      <c r="X304" s="17"/>
      <c r="Y304" s="17"/>
      <c r="Z304" s="17"/>
      <c r="AA304" s="43" t="str">
        <f aca="true">IF(OR(E304="",B304=""),"",INT(TODAY()-B304))</f>
        <v/>
      </c>
      <c r="AB304" s="44" t="str">
        <f aca="true">IF(E304="","",IF(OR(COUNTIFS(Clients!$C$2:$C$501,E304,Clients!$S$2:$S$501,"Paid")&gt;0,AND(I304&lt;&gt;"",COUNTIFS(Clients!$E$2:$E$501,I304,Clients!$S$2:$S$501,"Paid")&gt;0)),"⚠ Refunded before – no free video",IF(OR(R304="Contract signed + paid",R304="Closed – No response",R304="Lost"),"",IF(R304="","Set a stage",IF(N(T304)&gt;=Settings!$S$3,"Close – 4 follow-ups sent",IF(U304="",IF(S304="","Make first contact",""),IF(TODAY()&gt;U304,"OVERDUE follow-up",IF(TODAY()=U304,"Follow up today",""))))))))</f>
        <v/>
      </c>
    </row>
    <row r="305" customFormat="false" ht="15" hidden="false" customHeight="false" outlineLevel="0" collapsed="false">
      <c r="A305" s="17"/>
      <c r="B305" s="38"/>
      <c r="C305" s="39"/>
      <c r="D305" s="17"/>
      <c r="E305" s="17"/>
      <c r="F305" s="17"/>
      <c r="G305" s="17"/>
      <c r="H305" s="17"/>
      <c r="I305" s="40"/>
      <c r="J305" s="17"/>
      <c r="K305" s="17"/>
      <c r="L305" s="17"/>
      <c r="M305" s="17"/>
      <c r="N305" s="38"/>
      <c r="O305" s="39"/>
      <c r="P305" s="41" t="str">
        <f aca="false">IF(OR(B305="",N305=""),"",ROUND(((N305+N(O305))-(B305+N(C305)))*24,1))</f>
        <v/>
      </c>
      <c r="Q305" s="17"/>
      <c r="R305" s="17"/>
      <c r="S305" s="38"/>
      <c r="T305" s="17"/>
      <c r="U305" s="42" t="str">
        <f aca="false">IF(OR(E305="",S305="",OR(R305="Contract signed + paid",R305="Closed – No response",R305="Lost"),N(T305)&gt;=Settings!$S$3),"",S305+Settings!$S$2)</f>
        <v/>
      </c>
      <c r="V305" s="38"/>
      <c r="W305" s="39"/>
      <c r="X305" s="17"/>
      <c r="Y305" s="17"/>
      <c r="Z305" s="17"/>
      <c r="AA305" s="43" t="str">
        <f aca="true">IF(OR(E305="",B305=""),"",INT(TODAY()-B305))</f>
        <v/>
      </c>
      <c r="AB305" s="44" t="str">
        <f aca="true">IF(E305="","",IF(OR(COUNTIFS(Clients!$C$2:$C$501,E305,Clients!$S$2:$S$501,"Paid")&gt;0,AND(I305&lt;&gt;"",COUNTIFS(Clients!$E$2:$E$501,I305,Clients!$S$2:$S$501,"Paid")&gt;0)),"⚠ Refunded before – no free video",IF(OR(R305="Contract signed + paid",R305="Closed – No response",R305="Lost"),"",IF(R305="","Set a stage",IF(N(T305)&gt;=Settings!$S$3,"Close – 4 follow-ups sent",IF(U305="",IF(S305="","Make first contact",""),IF(TODAY()&gt;U305,"OVERDUE follow-up",IF(TODAY()=U305,"Follow up today",""))))))))</f>
        <v/>
      </c>
    </row>
    <row r="306" customFormat="false" ht="15" hidden="false" customHeight="false" outlineLevel="0" collapsed="false">
      <c r="A306" s="17"/>
      <c r="B306" s="38"/>
      <c r="C306" s="39"/>
      <c r="D306" s="17"/>
      <c r="E306" s="17"/>
      <c r="F306" s="17"/>
      <c r="G306" s="17"/>
      <c r="H306" s="17"/>
      <c r="I306" s="40"/>
      <c r="J306" s="17"/>
      <c r="K306" s="17"/>
      <c r="L306" s="17"/>
      <c r="M306" s="17"/>
      <c r="N306" s="38"/>
      <c r="O306" s="39"/>
      <c r="P306" s="41" t="str">
        <f aca="false">IF(OR(B306="",N306=""),"",ROUND(((N306+N(O306))-(B306+N(C306)))*24,1))</f>
        <v/>
      </c>
      <c r="Q306" s="17"/>
      <c r="R306" s="17"/>
      <c r="S306" s="38"/>
      <c r="T306" s="17"/>
      <c r="U306" s="42" t="str">
        <f aca="false">IF(OR(E306="",S306="",OR(R306="Contract signed + paid",R306="Closed – No response",R306="Lost"),N(T306)&gt;=Settings!$S$3),"",S306+Settings!$S$2)</f>
        <v/>
      </c>
      <c r="V306" s="38"/>
      <c r="W306" s="39"/>
      <c r="X306" s="17"/>
      <c r="Y306" s="17"/>
      <c r="Z306" s="17"/>
      <c r="AA306" s="43" t="str">
        <f aca="true">IF(OR(E306="",B306=""),"",INT(TODAY()-B306))</f>
        <v/>
      </c>
      <c r="AB306" s="44" t="str">
        <f aca="true">IF(E306="","",IF(OR(COUNTIFS(Clients!$C$2:$C$501,E306,Clients!$S$2:$S$501,"Paid")&gt;0,AND(I306&lt;&gt;"",COUNTIFS(Clients!$E$2:$E$501,I306,Clients!$S$2:$S$501,"Paid")&gt;0)),"⚠ Refunded before – no free video",IF(OR(R306="Contract signed + paid",R306="Closed – No response",R306="Lost"),"",IF(R306="","Set a stage",IF(N(T306)&gt;=Settings!$S$3,"Close – 4 follow-ups sent",IF(U306="",IF(S306="","Make first contact",""),IF(TODAY()&gt;U306,"OVERDUE follow-up",IF(TODAY()=U306,"Follow up today",""))))))))</f>
        <v/>
      </c>
    </row>
    <row r="307" customFormat="false" ht="15" hidden="false" customHeight="false" outlineLevel="0" collapsed="false">
      <c r="A307" s="17"/>
      <c r="B307" s="38"/>
      <c r="C307" s="39"/>
      <c r="D307" s="17"/>
      <c r="E307" s="17"/>
      <c r="F307" s="17"/>
      <c r="G307" s="17"/>
      <c r="H307" s="17"/>
      <c r="I307" s="40"/>
      <c r="J307" s="17"/>
      <c r="K307" s="17"/>
      <c r="L307" s="17"/>
      <c r="M307" s="17"/>
      <c r="N307" s="38"/>
      <c r="O307" s="39"/>
      <c r="P307" s="41" t="str">
        <f aca="false">IF(OR(B307="",N307=""),"",ROUND(((N307+N(O307))-(B307+N(C307)))*24,1))</f>
        <v/>
      </c>
      <c r="Q307" s="17"/>
      <c r="R307" s="17"/>
      <c r="S307" s="38"/>
      <c r="T307" s="17"/>
      <c r="U307" s="42" t="str">
        <f aca="false">IF(OR(E307="",S307="",OR(R307="Contract signed + paid",R307="Closed – No response",R307="Lost"),N(T307)&gt;=Settings!$S$3),"",S307+Settings!$S$2)</f>
        <v/>
      </c>
      <c r="V307" s="38"/>
      <c r="W307" s="39"/>
      <c r="X307" s="17"/>
      <c r="Y307" s="17"/>
      <c r="Z307" s="17"/>
      <c r="AA307" s="43" t="str">
        <f aca="true">IF(OR(E307="",B307=""),"",INT(TODAY()-B307))</f>
        <v/>
      </c>
      <c r="AB307" s="44" t="str">
        <f aca="true">IF(E307="","",IF(OR(COUNTIFS(Clients!$C$2:$C$501,E307,Clients!$S$2:$S$501,"Paid")&gt;0,AND(I307&lt;&gt;"",COUNTIFS(Clients!$E$2:$E$501,I307,Clients!$S$2:$S$501,"Paid")&gt;0)),"⚠ Refunded before – no free video",IF(OR(R307="Contract signed + paid",R307="Closed – No response",R307="Lost"),"",IF(R307="","Set a stage",IF(N(T307)&gt;=Settings!$S$3,"Close – 4 follow-ups sent",IF(U307="",IF(S307="","Make first contact",""),IF(TODAY()&gt;U307,"OVERDUE follow-up",IF(TODAY()=U307,"Follow up today",""))))))))</f>
        <v/>
      </c>
    </row>
    <row r="308" customFormat="false" ht="15" hidden="false" customHeight="false" outlineLevel="0" collapsed="false">
      <c r="A308" s="17"/>
      <c r="B308" s="38"/>
      <c r="C308" s="39"/>
      <c r="D308" s="17"/>
      <c r="E308" s="17"/>
      <c r="F308" s="17"/>
      <c r="G308" s="17"/>
      <c r="H308" s="17"/>
      <c r="I308" s="40"/>
      <c r="J308" s="17"/>
      <c r="K308" s="17"/>
      <c r="L308" s="17"/>
      <c r="M308" s="17"/>
      <c r="N308" s="38"/>
      <c r="O308" s="39"/>
      <c r="P308" s="41" t="str">
        <f aca="false">IF(OR(B308="",N308=""),"",ROUND(((N308+N(O308))-(B308+N(C308)))*24,1))</f>
        <v/>
      </c>
      <c r="Q308" s="17"/>
      <c r="R308" s="17"/>
      <c r="S308" s="38"/>
      <c r="T308" s="17"/>
      <c r="U308" s="42" t="str">
        <f aca="false">IF(OR(E308="",S308="",OR(R308="Contract signed + paid",R308="Closed – No response",R308="Lost"),N(T308)&gt;=Settings!$S$3),"",S308+Settings!$S$2)</f>
        <v/>
      </c>
      <c r="V308" s="38"/>
      <c r="W308" s="39"/>
      <c r="X308" s="17"/>
      <c r="Y308" s="17"/>
      <c r="Z308" s="17"/>
      <c r="AA308" s="43" t="str">
        <f aca="true">IF(OR(E308="",B308=""),"",INT(TODAY()-B308))</f>
        <v/>
      </c>
      <c r="AB308" s="44" t="str">
        <f aca="true">IF(E308="","",IF(OR(COUNTIFS(Clients!$C$2:$C$501,E308,Clients!$S$2:$S$501,"Paid")&gt;0,AND(I308&lt;&gt;"",COUNTIFS(Clients!$E$2:$E$501,I308,Clients!$S$2:$S$501,"Paid")&gt;0)),"⚠ Refunded before – no free video",IF(OR(R308="Contract signed + paid",R308="Closed – No response",R308="Lost"),"",IF(R308="","Set a stage",IF(N(T308)&gt;=Settings!$S$3,"Close – 4 follow-ups sent",IF(U308="",IF(S308="","Make first contact",""),IF(TODAY()&gt;U308,"OVERDUE follow-up",IF(TODAY()=U308,"Follow up today",""))))))))</f>
        <v/>
      </c>
    </row>
    <row r="309" customFormat="false" ht="15" hidden="false" customHeight="false" outlineLevel="0" collapsed="false">
      <c r="A309" s="17"/>
      <c r="B309" s="38"/>
      <c r="C309" s="39"/>
      <c r="D309" s="17"/>
      <c r="E309" s="17"/>
      <c r="F309" s="17"/>
      <c r="G309" s="17"/>
      <c r="H309" s="17"/>
      <c r="I309" s="40"/>
      <c r="J309" s="17"/>
      <c r="K309" s="17"/>
      <c r="L309" s="17"/>
      <c r="M309" s="17"/>
      <c r="N309" s="38"/>
      <c r="O309" s="39"/>
      <c r="P309" s="41" t="str">
        <f aca="false">IF(OR(B309="",N309=""),"",ROUND(((N309+N(O309))-(B309+N(C309)))*24,1))</f>
        <v/>
      </c>
      <c r="Q309" s="17"/>
      <c r="R309" s="17"/>
      <c r="S309" s="38"/>
      <c r="T309" s="17"/>
      <c r="U309" s="42" t="str">
        <f aca="false">IF(OR(E309="",S309="",OR(R309="Contract signed + paid",R309="Closed – No response",R309="Lost"),N(T309)&gt;=Settings!$S$3),"",S309+Settings!$S$2)</f>
        <v/>
      </c>
      <c r="V309" s="38"/>
      <c r="W309" s="39"/>
      <c r="X309" s="17"/>
      <c r="Y309" s="17"/>
      <c r="Z309" s="17"/>
      <c r="AA309" s="43" t="str">
        <f aca="true">IF(OR(E309="",B309=""),"",INT(TODAY()-B309))</f>
        <v/>
      </c>
      <c r="AB309" s="44" t="str">
        <f aca="true">IF(E309="","",IF(OR(COUNTIFS(Clients!$C$2:$C$501,E309,Clients!$S$2:$S$501,"Paid")&gt;0,AND(I309&lt;&gt;"",COUNTIFS(Clients!$E$2:$E$501,I309,Clients!$S$2:$S$501,"Paid")&gt;0)),"⚠ Refunded before – no free video",IF(OR(R309="Contract signed + paid",R309="Closed – No response",R309="Lost"),"",IF(R309="","Set a stage",IF(N(T309)&gt;=Settings!$S$3,"Close – 4 follow-ups sent",IF(U309="",IF(S309="","Make first contact",""),IF(TODAY()&gt;U309,"OVERDUE follow-up",IF(TODAY()=U309,"Follow up today",""))))))))</f>
        <v/>
      </c>
    </row>
    <row r="310" customFormat="false" ht="15" hidden="false" customHeight="false" outlineLevel="0" collapsed="false">
      <c r="A310" s="17"/>
      <c r="B310" s="38"/>
      <c r="C310" s="39"/>
      <c r="D310" s="17"/>
      <c r="E310" s="17"/>
      <c r="F310" s="17"/>
      <c r="G310" s="17"/>
      <c r="H310" s="17"/>
      <c r="I310" s="40"/>
      <c r="J310" s="17"/>
      <c r="K310" s="17"/>
      <c r="L310" s="17"/>
      <c r="M310" s="17"/>
      <c r="N310" s="38"/>
      <c r="O310" s="39"/>
      <c r="P310" s="41" t="str">
        <f aca="false">IF(OR(B310="",N310=""),"",ROUND(((N310+N(O310))-(B310+N(C310)))*24,1))</f>
        <v/>
      </c>
      <c r="Q310" s="17"/>
      <c r="R310" s="17"/>
      <c r="S310" s="38"/>
      <c r="T310" s="17"/>
      <c r="U310" s="42" t="str">
        <f aca="false">IF(OR(E310="",S310="",OR(R310="Contract signed + paid",R310="Closed – No response",R310="Lost"),N(T310)&gt;=Settings!$S$3),"",S310+Settings!$S$2)</f>
        <v/>
      </c>
      <c r="V310" s="38"/>
      <c r="W310" s="39"/>
      <c r="X310" s="17"/>
      <c r="Y310" s="17"/>
      <c r="Z310" s="17"/>
      <c r="AA310" s="43" t="str">
        <f aca="true">IF(OR(E310="",B310=""),"",INT(TODAY()-B310))</f>
        <v/>
      </c>
      <c r="AB310" s="44" t="str">
        <f aca="true">IF(E310="","",IF(OR(COUNTIFS(Clients!$C$2:$C$501,E310,Clients!$S$2:$S$501,"Paid")&gt;0,AND(I310&lt;&gt;"",COUNTIFS(Clients!$E$2:$E$501,I310,Clients!$S$2:$S$501,"Paid")&gt;0)),"⚠ Refunded before – no free video",IF(OR(R310="Contract signed + paid",R310="Closed – No response",R310="Lost"),"",IF(R310="","Set a stage",IF(N(T310)&gt;=Settings!$S$3,"Close – 4 follow-ups sent",IF(U310="",IF(S310="","Make first contact",""),IF(TODAY()&gt;U310,"OVERDUE follow-up",IF(TODAY()=U310,"Follow up today",""))))))))</f>
        <v/>
      </c>
    </row>
    <row r="311" customFormat="false" ht="15" hidden="false" customHeight="false" outlineLevel="0" collapsed="false">
      <c r="A311" s="17"/>
      <c r="B311" s="38"/>
      <c r="C311" s="39"/>
      <c r="D311" s="17"/>
      <c r="E311" s="17"/>
      <c r="F311" s="17"/>
      <c r="G311" s="17"/>
      <c r="H311" s="17"/>
      <c r="I311" s="40"/>
      <c r="J311" s="17"/>
      <c r="K311" s="17"/>
      <c r="L311" s="17"/>
      <c r="M311" s="17"/>
      <c r="N311" s="38"/>
      <c r="O311" s="39"/>
      <c r="P311" s="41" t="str">
        <f aca="false">IF(OR(B311="",N311=""),"",ROUND(((N311+N(O311))-(B311+N(C311)))*24,1))</f>
        <v/>
      </c>
      <c r="Q311" s="17"/>
      <c r="R311" s="17"/>
      <c r="S311" s="38"/>
      <c r="T311" s="17"/>
      <c r="U311" s="42" t="str">
        <f aca="false">IF(OR(E311="",S311="",OR(R311="Contract signed + paid",R311="Closed – No response",R311="Lost"),N(T311)&gt;=Settings!$S$3),"",S311+Settings!$S$2)</f>
        <v/>
      </c>
      <c r="V311" s="38"/>
      <c r="W311" s="39"/>
      <c r="X311" s="17"/>
      <c r="Y311" s="17"/>
      <c r="Z311" s="17"/>
      <c r="AA311" s="43" t="str">
        <f aca="true">IF(OR(E311="",B311=""),"",INT(TODAY()-B311))</f>
        <v/>
      </c>
      <c r="AB311" s="44" t="str">
        <f aca="true">IF(E311="","",IF(OR(COUNTIFS(Clients!$C$2:$C$501,E311,Clients!$S$2:$S$501,"Paid")&gt;0,AND(I311&lt;&gt;"",COUNTIFS(Clients!$E$2:$E$501,I311,Clients!$S$2:$S$501,"Paid")&gt;0)),"⚠ Refunded before – no free video",IF(OR(R311="Contract signed + paid",R311="Closed – No response",R311="Lost"),"",IF(R311="","Set a stage",IF(N(T311)&gt;=Settings!$S$3,"Close – 4 follow-ups sent",IF(U311="",IF(S311="","Make first contact",""),IF(TODAY()&gt;U311,"OVERDUE follow-up",IF(TODAY()=U311,"Follow up today",""))))))))</f>
        <v/>
      </c>
    </row>
    <row r="312" customFormat="false" ht="15" hidden="false" customHeight="false" outlineLevel="0" collapsed="false">
      <c r="A312" s="17"/>
      <c r="B312" s="38"/>
      <c r="C312" s="39"/>
      <c r="D312" s="17"/>
      <c r="E312" s="17"/>
      <c r="F312" s="17"/>
      <c r="G312" s="17"/>
      <c r="H312" s="17"/>
      <c r="I312" s="40"/>
      <c r="J312" s="17"/>
      <c r="K312" s="17"/>
      <c r="L312" s="17"/>
      <c r="M312" s="17"/>
      <c r="N312" s="38"/>
      <c r="O312" s="39"/>
      <c r="P312" s="41" t="str">
        <f aca="false">IF(OR(B312="",N312=""),"",ROUND(((N312+N(O312))-(B312+N(C312)))*24,1))</f>
        <v/>
      </c>
      <c r="Q312" s="17"/>
      <c r="R312" s="17"/>
      <c r="S312" s="38"/>
      <c r="T312" s="17"/>
      <c r="U312" s="42" t="str">
        <f aca="false">IF(OR(E312="",S312="",OR(R312="Contract signed + paid",R312="Closed – No response",R312="Lost"),N(T312)&gt;=Settings!$S$3),"",S312+Settings!$S$2)</f>
        <v/>
      </c>
      <c r="V312" s="38"/>
      <c r="W312" s="39"/>
      <c r="X312" s="17"/>
      <c r="Y312" s="17"/>
      <c r="Z312" s="17"/>
      <c r="AA312" s="43" t="str">
        <f aca="true">IF(OR(E312="",B312=""),"",INT(TODAY()-B312))</f>
        <v/>
      </c>
      <c r="AB312" s="44" t="str">
        <f aca="true">IF(E312="","",IF(OR(COUNTIFS(Clients!$C$2:$C$501,E312,Clients!$S$2:$S$501,"Paid")&gt;0,AND(I312&lt;&gt;"",COUNTIFS(Clients!$E$2:$E$501,I312,Clients!$S$2:$S$501,"Paid")&gt;0)),"⚠ Refunded before – no free video",IF(OR(R312="Contract signed + paid",R312="Closed – No response",R312="Lost"),"",IF(R312="","Set a stage",IF(N(T312)&gt;=Settings!$S$3,"Close – 4 follow-ups sent",IF(U312="",IF(S312="","Make first contact",""),IF(TODAY()&gt;U312,"OVERDUE follow-up",IF(TODAY()=U312,"Follow up today",""))))))))</f>
        <v/>
      </c>
    </row>
    <row r="313" customFormat="false" ht="15" hidden="false" customHeight="false" outlineLevel="0" collapsed="false">
      <c r="A313" s="17"/>
      <c r="B313" s="38"/>
      <c r="C313" s="39"/>
      <c r="D313" s="17"/>
      <c r="E313" s="17"/>
      <c r="F313" s="17"/>
      <c r="G313" s="17"/>
      <c r="H313" s="17"/>
      <c r="I313" s="40"/>
      <c r="J313" s="17"/>
      <c r="K313" s="17"/>
      <c r="L313" s="17"/>
      <c r="M313" s="17"/>
      <c r="N313" s="38"/>
      <c r="O313" s="39"/>
      <c r="P313" s="41" t="str">
        <f aca="false">IF(OR(B313="",N313=""),"",ROUND(((N313+N(O313))-(B313+N(C313)))*24,1))</f>
        <v/>
      </c>
      <c r="Q313" s="17"/>
      <c r="R313" s="17"/>
      <c r="S313" s="38"/>
      <c r="T313" s="17"/>
      <c r="U313" s="42" t="str">
        <f aca="false">IF(OR(E313="",S313="",OR(R313="Contract signed + paid",R313="Closed – No response",R313="Lost"),N(T313)&gt;=Settings!$S$3),"",S313+Settings!$S$2)</f>
        <v/>
      </c>
      <c r="V313" s="38"/>
      <c r="W313" s="39"/>
      <c r="X313" s="17"/>
      <c r="Y313" s="17"/>
      <c r="Z313" s="17"/>
      <c r="AA313" s="43" t="str">
        <f aca="true">IF(OR(E313="",B313=""),"",INT(TODAY()-B313))</f>
        <v/>
      </c>
      <c r="AB313" s="44" t="str">
        <f aca="true">IF(E313="","",IF(OR(COUNTIFS(Clients!$C$2:$C$501,E313,Clients!$S$2:$S$501,"Paid")&gt;0,AND(I313&lt;&gt;"",COUNTIFS(Clients!$E$2:$E$501,I313,Clients!$S$2:$S$501,"Paid")&gt;0)),"⚠ Refunded before – no free video",IF(OR(R313="Contract signed + paid",R313="Closed – No response",R313="Lost"),"",IF(R313="","Set a stage",IF(N(T313)&gt;=Settings!$S$3,"Close – 4 follow-ups sent",IF(U313="",IF(S313="","Make first contact",""),IF(TODAY()&gt;U313,"OVERDUE follow-up",IF(TODAY()=U313,"Follow up today",""))))))))</f>
        <v/>
      </c>
    </row>
    <row r="314" customFormat="false" ht="15" hidden="false" customHeight="false" outlineLevel="0" collapsed="false">
      <c r="A314" s="17"/>
      <c r="B314" s="38"/>
      <c r="C314" s="39"/>
      <c r="D314" s="17"/>
      <c r="E314" s="17"/>
      <c r="F314" s="17"/>
      <c r="G314" s="17"/>
      <c r="H314" s="17"/>
      <c r="I314" s="40"/>
      <c r="J314" s="17"/>
      <c r="K314" s="17"/>
      <c r="L314" s="17"/>
      <c r="M314" s="17"/>
      <c r="N314" s="38"/>
      <c r="O314" s="39"/>
      <c r="P314" s="41" t="str">
        <f aca="false">IF(OR(B314="",N314=""),"",ROUND(((N314+N(O314))-(B314+N(C314)))*24,1))</f>
        <v/>
      </c>
      <c r="Q314" s="17"/>
      <c r="R314" s="17"/>
      <c r="S314" s="38"/>
      <c r="T314" s="17"/>
      <c r="U314" s="42" t="str">
        <f aca="false">IF(OR(E314="",S314="",OR(R314="Contract signed + paid",R314="Closed – No response",R314="Lost"),N(T314)&gt;=Settings!$S$3),"",S314+Settings!$S$2)</f>
        <v/>
      </c>
      <c r="V314" s="38"/>
      <c r="W314" s="39"/>
      <c r="X314" s="17"/>
      <c r="Y314" s="17"/>
      <c r="Z314" s="17"/>
      <c r="AA314" s="43" t="str">
        <f aca="true">IF(OR(E314="",B314=""),"",INT(TODAY()-B314))</f>
        <v/>
      </c>
      <c r="AB314" s="44" t="str">
        <f aca="true">IF(E314="","",IF(OR(COUNTIFS(Clients!$C$2:$C$501,E314,Clients!$S$2:$S$501,"Paid")&gt;0,AND(I314&lt;&gt;"",COUNTIFS(Clients!$E$2:$E$501,I314,Clients!$S$2:$S$501,"Paid")&gt;0)),"⚠ Refunded before – no free video",IF(OR(R314="Contract signed + paid",R314="Closed – No response",R314="Lost"),"",IF(R314="","Set a stage",IF(N(T314)&gt;=Settings!$S$3,"Close – 4 follow-ups sent",IF(U314="",IF(S314="","Make first contact",""),IF(TODAY()&gt;U314,"OVERDUE follow-up",IF(TODAY()=U314,"Follow up today",""))))))))</f>
        <v/>
      </c>
    </row>
    <row r="315" customFormat="false" ht="15" hidden="false" customHeight="false" outlineLevel="0" collapsed="false">
      <c r="A315" s="17"/>
      <c r="B315" s="38"/>
      <c r="C315" s="39"/>
      <c r="D315" s="17"/>
      <c r="E315" s="17"/>
      <c r="F315" s="17"/>
      <c r="G315" s="17"/>
      <c r="H315" s="17"/>
      <c r="I315" s="40"/>
      <c r="J315" s="17"/>
      <c r="K315" s="17"/>
      <c r="L315" s="17"/>
      <c r="M315" s="17"/>
      <c r="N315" s="38"/>
      <c r="O315" s="39"/>
      <c r="P315" s="41" t="str">
        <f aca="false">IF(OR(B315="",N315=""),"",ROUND(((N315+N(O315))-(B315+N(C315)))*24,1))</f>
        <v/>
      </c>
      <c r="Q315" s="17"/>
      <c r="R315" s="17"/>
      <c r="S315" s="38"/>
      <c r="T315" s="17"/>
      <c r="U315" s="42" t="str">
        <f aca="false">IF(OR(E315="",S315="",OR(R315="Contract signed + paid",R315="Closed – No response",R315="Lost"),N(T315)&gt;=Settings!$S$3),"",S315+Settings!$S$2)</f>
        <v/>
      </c>
      <c r="V315" s="38"/>
      <c r="W315" s="39"/>
      <c r="X315" s="17"/>
      <c r="Y315" s="17"/>
      <c r="Z315" s="17"/>
      <c r="AA315" s="43" t="str">
        <f aca="true">IF(OR(E315="",B315=""),"",INT(TODAY()-B315))</f>
        <v/>
      </c>
      <c r="AB315" s="44" t="str">
        <f aca="true">IF(E315="","",IF(OR(COUNTIFS(Clients!$C$2:$C$501,E315,Clients!$S$2:$S$501,"Paid")&gt;0,AND(I315&lt;&gt;"",COUNTIFS(Clients!$E$2:$E$501,I315,Clients!$S$2:$S$501,"Paid")&gt;0)),"⚠ Refunded before – no free video",IF(OR(R315="Contract signed + paid",R315="Closed – No response",R315="Lost"),"",IF(R315="","Set a stage",IF(N(T315)&gt;=Settings!$S$3,"Close – 4 follow-ups sent",IF(U315="",IF(S315="","Make first contact",""),IF(TODAY()&gt;U315,"OVERDUE follow-up",IF(TODAY()=U315,"Follow up today",""))))))))</f>
        <v/>
      </c>
    </row>
    <row r="316" customFormat="false" ht="15" hidden="false" customHeight="false" outlineLevel="0" collapsed="false">
      <c r="A316" s="17"/>
      <c r="B316" s="38"/>
      <c r="C316" s="39"/>
      <c r="D316" s="17"/>
      <c r="E316" s="17"/>
      <c r="F316" s="17"/>
      <c r="G316" s="17"/>
      <c r="H316" s="17"/>
      <c r="I316" s="40"/>
      <c r="J316" s="17"/>
      <c r="K316" s="17"/>
      <c r="L316" s="17"/>
      <c r="M316" s="17"/>
      <c r="N316" s="38"/>
      <c r="O316" s="39"/>
      <c r="P316" s="41" t="str">
        <f aca="false">IF(OR(B316="",N316=""),"",ROUND(((N316+N(O316))-(B316+N(C316)))*24,1))</f>
        <v/>
      </c>
      <c r="Q316" s="17"/>
      <c r="R316" s="17"/>
      <c r="S316" s="38"/>
      <c r="T316" s="17"/>
      <c r="U316" s="42" t="str">
        <f aca="false">IF(OR(E316="",S316="",OR(R316="Contract signed + paid",R316="Closed – No response",R316="Lost"),N(T316)&gt;=Settings!$S$3),"",S316+Settings!$S$2)</f>
        <v/>
      </c>
      <c r="V316" s="38"/>
      <c r="W316" s="39"/>
      <c r="X316" s="17"/>
      <c r="Y316" s="17"/>
      <c r="Z316" s="17"/>
      <c r="AA316" s="43" t="str">
        <f aca="true">IF(OR(E316="",B316=""),"",INT(TODAY()-B316))</f>
        <v/>
      </c>
      <c r="AB316" s="44" t="str">
        <f aca="true">IF(E316="","",IF(OR(COUNTIFS(Clients!$C$2:$C$501,E316,Clients!$S$2:$S$501,"Paid")&gt;0,AND(I316&lt;&gt;"",COUNTIFS(Clients!$E$2:$E$501,I316,Clients!$S$2:$S$501,"Paid")&gt;0)),"⚠ Refunded before – no free video",IF(OR(R316="Contract signed + paid",R316="Closed – No response",R316="Lost"),"",IF(R316="","Set a stage",IF(N(T316)&gt;=Settings!$S$3,"Close – 4 follow-ups sent",IF(U316="",IF(S316="","Make first contact",""),IF(TODAY()&gt;U316,"OVERDUE follow-up",IF(TODAY()=U316,"Follow up today",""))))))))</f>
        <v/>
      </c>
    </row>
    <row r="317" customFormat="false" ht="15" hidden="false" customHeight="false" outlineLevel="0" collapsed="false">
      <c r="A317" s="17"/>
      <c r="B317" s="38"/>
      <c r="C317" s="39"/>
      <c r="D317" s="17"/>
      <c r="E317" s="17"/>
      <c r="F317" s="17"/>
      <c r="G317" s="17"/>
      <c r="H317" s="17"/>
      <c r="I317" s="40"/>
      <c r="J317" s="17"/>
      <c r="K317" s="17"/>
      <c r="L317" s="17"/>
      <c r="M317" s="17"/>
      <c r="N317" s="38"/>
      <c r="O317" s="39"/>
      <c r="P317" s="41" t="str">
        <f aca="false">IF(OR(B317="",N317=""),"",ROUND(((N317+N(O317))-(B317+N(C317)))*24,1))</f>
        <v/>
      </c>
      <c r="Q317" s="17"/>
      <c r="R317" s="17"/>
      <c r="S317" s="38"/>
      <c r="T317" s="17"/>
      <c r="U317" s="42" t="str">
        <f aca="false">IF(OR(E317="",S317="",OR(R317="Contract signed + paid",R317="Closed – No response",R317="Lost"),N(T317)&gt;=Settings!$S$3),"",S317+Settings!$S$2)</f>
        <v/>
      </c>
      <c r="V317" s="38"/>
      <c r="W317" s="39"/>
      <c r="X317" s="17"/>
      <c r="Y317" s="17"/>
      <c r="Z317" s="17"/>
      <c r="AA317" s="43" t="str">
        <f aca="true">IF(OR(E317="",B317=""),"",INT(TODAY()-B317))</f>
        <v/>
      </c>
      <c r="AB317" s="44" t="str">
        <f aca="true">IF(E317="","",IF(OR(COUNTIFS(Clients!$C$2:$C$501,E317,Clients!$S$2:$S$501,"Paid")&gt;0,AND(I317&lt;&gt;"",COUNTIFS(Clients!$E$2:$E$501,I317,Clients!$S$2:$S$501,"Paid")&gt;0)),"⚠ Refunded before – no free video",IF(OR(R317="Contract signed + paid",R317="Closed – No response",R317="Lost"),"",IF(R317="","Set a stage",IF(N(T317)&gt;=Settings!$S$3,"Close – 4 follow-ups sent",IF(U317="",IF(S317="","Make first contact",""),IF(TODAY()&gt;U317,"OVERDUE follow-up",IF(TODAY()=U317,"Follow up today",""))))))))</f>
        <v/>
      </c>
    </row>
    <row r="318" customFormat="false" ht="15" hidden="false" customHeight="false" outlineLevel="0" collapsed="false">
      <c r="A318" s="17"/>
      <c r="B318" s="38"/>
      <c r="C318" s="39"/>
      <c r="D318" s="17"/>
      <c r="E318" s="17"/>
      <c r="F318" s="17"/>
      <c r="G318" s="17"/>
      <c r="H318" s="17"/>
      <c r="I318" s="40"/>
      <c r="J318" s="17"/>
      <c r="K318" s="17"/>
      <c r="L318" s="17"/>
      <c r="M318" s="17"/>
      <c r="N318" s="38"/>
      <c r="O318" s="39"/>
      <c r="P318" s="41" t="str">
        <f aca="false">IF(OR(B318="",N318=""),"",ROUND(((N318+N(O318))-(B318+N(C318)))*24,1))</f>
        <v/>
      </c>
      <c r="Q318" s="17"/>
      <c r="R318" s="17"/>
      <c r="S318" s="38"/>
      <c r="T318" s="17"/>
      <c r="U318" s="42" t="str">
        <f aca="false">IF(OR(E318="",S318="",OR(R318="Contract signed + paid",R318="Closed – No response",R318="Lost"),N(T318)&gt;=Settings!$S$3),"",S318+Settings!$S$2)</f>
        <v/>
      </c>
      <c r="V318" s="38"/>
      <c r="W318" s="39"/>
      <c r="X318" s="17"/>
      <c r="Y318" s="17"/>
      <c r="Z318" s="17"/>
      <c r="AA318" s="43" t="str">
        <f aca="true">IF(OR(E318="",B318=""),"",INT(TODAY()-B318))</f>
        <v/>
      </c>
      <c r="AB318" s="44" t="str">
        <f aca="true">IF(E318="","",IF(OR(COUNTIFS(Clients!$C$2:$C$501,E318,Clients!$S$2:$S$501,"Paid")&gt;0,AND(I318&lt;&gt;"",COUNTIFS(Clients!$E$2:$E$501,I318,Clients!$S$2:$S$501,"Paid")&gt;0)),"⚠ Refunded before – no free video",IF(OR(R318="Contract signed + paid",R318="Closed – No response",R318="Lost"),"",IF(R318="","Set a stage",IF(N(T318)&gt;=Settings!$S$3,"Close – 4 follow-ups sent",IF(U318="",IF(S318="","Make first contact",""),IF(TODAY()&gt;U318,"OVERDUE follow-up",IF(TODAY()=U318,"Follow up today",""))))))))</f>
        <v/>
      </c>
    </row>
    <row r="319" customFormat="false" ht="15" hidden="false" customHeight="false" outlineLevel="0" collapsed="false">
      <c r="A319" s="17"/>
      <c r="B319" s="38"/>
      <c r="C319" s="39"/>
      <c r="D319" s="17"/>
      <c r="E319" s="17"/>
      <c r="F319" s="17"/>
      <c r="G319" s="17"/>
      <c r="H319" s="17"/>
      <c r="I319" s="40"/>
      <c r="J319" s="17"/>
      <c r="K319" s="17"/>
      <c r="L319" s="17"/>
      <c r="M319" s="17"/>
      <c r="N319" s="38"/>
      <c r="O319" s="39"/>
      <c r="P319" s="41" t="str">
        <f aca="false">IF(OR(B319="",N319=""),"",ROUND(((N319+N(O319))-(B319+N(C319)))*24,1))</f>
        <v/>
      </c>
      <c r="Q319" s="17"/>
      <c r="R319" s="17"/>
      <c r="S319" s="38"/>
      <c r="T319" s="17"/>
      <c r="U319" s="42" t="str">
        <f aca="false">IF(OR(E319="",S319="",OR(R319="Contract signed + paid",R319="Closed – No response",R319="Lost"),N(T319)&gt;=Settings!$S$3),"",S319+Settings!$S$2)</f>
        <v/>
      </c>
      <c r="V319" s="38"/>
      <c r="W319" s="39"/>
      <c r="X319" s="17"/>
      <c r="Y319" s="17"/>
      <c r="Z319" s="17"/>
      <c r="AA319" s="43" t="str">
        <f aca="true">IF(OR(E319="",B319=""),"",INT(TODAY()-B319))</f>
        <v/>
      </c>
      <c r="AB319" s="44" t="str">
        <f aca="true">IF(E319="","",IF(OR(COUNTIFS(Clients!$C$2:$C$501,E319,Clients!$S$2:$S$501,"Paid")&gt;0,AND(I319&lt;&gt;"",COUNTIFS(Clients!$E$2:$E$501,I319,Clients!$S$2:$S$501,"Paid")&gt;0)),"⚠ Refunded before – no free video",IF(OR(R319="Contract signed + paid",R319="Closed – No response",R319="Lost"),"",IF(R319="","Set a stage",IF(N(T319)&gt;=Settings!$S$3,"Close – 4 follow-ups sent",IF(U319="",IF(S319="","Make first contact",""),IF(TODAY()&gt;U319,"OVERDUE follow-up",IF(TODAY()=U319,"Follow up today",""))))))))</f>
        <v/>
      </c>
    </row>
    <row r="320" customFormat="false" ht="15" hidden="false" customHeight="false" outlineLevel="0" collapsed="false">
      <c r="A320" s="17"/>
      <c r="B320" s="38"/>
      <c r="C320" s="39"/>
      <c r="D320" s="17"/>
      <c r="E320" s="17"/>
      <c r="F320" s="17"/>
      <c r="G320" s="17"/>
      <c r="H320" s="17"/>
      <c r="I320" s="40"/>
      <c r="J320" s="17"/>
      <c r="K320" s="17"/>
      <c r="L320" s="17"/>
      <c r="M320" s="17"/>
      <c r="N320" s="38"/>
      <c r="O320" s="39"/>
      <c r="P320" s="41" t="str">
        <f aca="false">IF(OR(B320="",N320=""),"",ROUND(((N320+N(O320))-(B320+N(C320)))*24,1))</f>
        <v/>
      </c>
      <c r="Q320" s="17"/>
      <c r="R320" s="17"/>
      <c r="S320" s="38"/>
      <c r="T320" s="17"/>
      <c r="U320" s="42" t="str">
        <f aca="false">IF(OR(E320="",S320="",OR(R320="Contract signed + paid",R320="Closed – No response",R320="Lost"),N(T320)&gt;=Settings!$S$3),"",S320+Settings!$S$2)</f>
        <v/>
      </c>
      <c r="V320" s="38"/>
      <c r="W320" s="39"/>
      <c r="X320" s="17"/>
      <c r="Y320" s="17"/>
      <c r="Z320" s="17"/>
      <c r="AA320" s="43" t="str">
        <f aca="true">IF(OR(E320="",B320=""),"",INT(TODAY()-B320))</f>
        <v/>
      </c>
      <c r="AB320" s="44" t="str">
        <f aca="true">IF(E320="","",IF(OR(COUNTIFS(Clients!$C$2:$C$501,E320,Clients!$S$2:$S$501,"Paid")&gt;0,AND(I320&lt;&gt;"",COUNTIFS(Clients!$E$2:$E$501,I320,Clients!$S$2:$S$501,"Paid")&gt;0)),"⚠ Refunded before – no free video",IF(OR(R320="Contract signed + paid",R320="Closed – No response",R320="Lost"),"",IF(R320="","Set a stage",IF(N(T320)&gt;=Settings!$S$3,"Close – 4 follow-ups sent",IF(U320="",IF(S320="","Make first contact",""),IF(TODAY()&gt;U320,"OVERDUE follow-up",IF(TODAY()=U320,"Follow up today",""))))))))</f>
        <v/>
      </c>
    </row>
    <row r="321" customFormat="false" ht="15" hidden="false" customHeight="false" outlineLevel="0" collapsed="false">
      <c r="A321" s="17"/>
      <c r="B321" s="38"/>
      <c r="C321" s="39"/>
      <c r="D321" s="17"/>
      <c r="E321" s="17"/>
      <c r="F321" s="17"/>
      <c r="G321" s="17"/>
      <c r="H321" s="17"/>
      <c r="I321" s="40"/>
      <c r="J321" s="17"/>
      <c r="K321" s="17"/>
      <c r="L321" s="17"/>
      <c r="M321" s="17"/>
      <c r="N321" s="38"/>
      <c r="O321" s="39"/>
      <c r="P321" s="41" t="str">
        <f aca="false">IF(OR(B321="",N321=""),"",ROUND(((N321+N(O321))-(B321+N(C321)))*24,1))</f>
        <v/>
      </c>
      <c r="Q321" s="17"/>
      <c r="R321" s="17"/>
      <c r="S321" s="38"/>
      <c r="T321" s="17"/>
      <c r="U321" s="42" t="str">
        <f aca="false">IF(OR(E321="",S321="",OR(R321="Contract signed + paid",R321="Closed – No response",R321="Lost"),N(T321)&gt;=Settings!$S$3),"",S321+Settings!$S$2)</f>
        <v/>
      </c>
      <c r="V321" s="38"/>
      <c r="W321" s="39"/>
      <c r="X321" s="17"/>
      <c r="Y321" s="17"/>
      <c r="Z321" s="17"/>
      <c r="AA321" s="43" t="str">
        <f aca="true">IF(OR(E321="",B321=""),"",INT(TODAY()-B321))</f>
        <v/>
      </c>
      <c r="AB321" s="44" t="str">
        <f aca="true">IF(E321="","",IF(OR(COUNTIFS(Clients!$C$2:$C$501,E321,Clients!$S$2:$S$501,"Paid")&gt;0,AND(I321&lt;&gt;"",COUNTIFS(Clients!$E$2:$E$501,I321,Clients!$S$2:$S$501,"Paid")&gt;0)),"⚠ Refunded before – no free video",IF(OR(R321="Contract signed + paid",R321="Closed – No response",R321="Lost"),"",IF(R321="","Set a stage",IF(N(T321)&gt;=Settings!$S$3,"Close – 4 follow-ups sent",IF(U321="",IF(S321="","Make first contact",""),IF(TODAY()&gt;U321,"OVERDUE follow-up",IF(TODAY()=U321,"Follow up today",""))))))))</f>
        <v/>
      </c>
    </row>
    <row r="322" customFormat="false" ht="15" hidden="false" customHeight="false" outlineLevel="0" collapsed="false">
      <c r="A322" s="17"/>
      <c r="B322" s="38"/>
      <c r="C322" s="39"/>
      <c r="D322" s="17"/>
      <c r="E322" s="17"/>
      <c r="F322" s="17"/>
      <c r="G322" s="17"/>
      <c r="H322" s="17"/>
      <c r="I322" s="40"/>
      <c r="J322" s="17"/>
      <c r="K322" s="17"/>
      <c r="L322" s="17"/>
      <c r="M322" s="17"/>
      <c r="N322" s="38"/>
      <c r="O322" s="39"/>
      <c r="P322" s="41" t="str">
        <f aca="false">IF(OR(B322="",N322=""),"",ROUND(((N322+N(O322))-(B322+N(C322)))*24,1))</f>
        <v/>
      </c>
      <c r="Q322" s="17"/>
      <c r="R322" s="17"/>
      <c r="S322" s="38"/>
      <c r="T322" s="17"/>
      <c r="U322" s="42" t="str">
        <f aca="false">IF(OR(E322="",S322="",OR(R322="Contract signed + paid",R322="Closed – No response",R322="Lost"),N(T322)&gt;=Settings!$S$3),"",S322+Settings!$S$2)</f>
        <v/>
      </c>
      <c r="V322" s="38"/>
      <c r="W322" s="39"/>
      <c r="X322" s="17"/>
      <c r="Y322" s="17"/>
      <c r="Z322" s="17"/>
      <c r="AA322" s="43" t="str">
        <f aca="true">IF(OR(E322="",B322=""),"",INT(TODAY()-B322))</f>
        <v/>
      </c>
      <c r="AB322" s="44" t="str">
        <f aca="true">IF(E322="","",IF(OR(COUNTIFS(Clients!$C$2:$C$501,E322,Clients!$S$2:$S$501,"Paid")&gt;0,AND(I322&lt;&gt;"",COUNTIFS(Clients!$E$2:$E$501,I322,Clients!$S$2:$S$501,"Paid")&gt;0)),"⚠ Refunded before – no free video",IF(OR(R322="Contract signed + paid",R322="Closed – No response",R322="Lost"),"",IF(R322="","Set a stage",IF(N(T322)&gt;=Settings!$S$3,"Close – 4 follow-ups sent",IF(U322="",IF(S322="","Make first contact",""),IF(TODAY()&gt;U322,"OVERDUE follow-up",IF(TODAY()=U322,"Follow up today",""))))))))</f>
        <v/>
      </c>
    </row>
    <row r="323" customFormat="false" ht="15" hidden="false" customHeight="false" outlineLevel="0" collapsed="false">
      <c r="A323" s="17"/>
      <c r="B323" s="38"/>
      <c r="C323" s="39"/>
      <c r="D323" s="17"/>
      <c r="E323" s="17"/>
      <c r="F323" s="17"/>
      <c r="G323" s="17"/>
      <c r="H323" s="17"/>
      <c r="I323" s="40"/>
      <c r="J323" s="17"/>
      <c r="K323" s="17"/>
      <c r="L323" s="17"/>
      <c r="M323" s="17"/>
      <c r="N323" s="38"/>
      <c r="O323" s="39"/>
      <c r="P323" s="41" t="str">
        <f aca="false">IF(OR(B323="",N323=""),"",ROUND(((N323+N(O323))-(B323+N(C323)))*24,1))</f>
        <v/>
      </c>
      <c r="Q323" s="17"/>
      <c r="R323" s="17"/>
      <c r="S323" s="38"/>
      <c r="T323" s="17"/>
      <c r="U323" s="42" t="str">
        <f aca="false">IF(OR(E323="",S323="",OR(R323="Contract signed + paid",R323="Closed – No response",R323="Lost"),N(T323)&gt;=Settings!$S$3),"",S323+Settings!$S$2)</f>
        <v/>
      </c>
      <c r="V323" s="38"/>
      <c r="W323" s="39"/>
      <c r="X323" s="17"/>
      <c r="Y323" s="17"/>
      <c r="Z323" s="17"/>
      <c r="AA323" s="43" t="str">
        <f aca="true">IF(OR(E323="",B323=""),"",INT(TODAY()-B323))</f>
        <v/>
      </c>
      <c r="AB323" s="44" t="str">
        <f aca="true">IF(E323="","",IF(OR(COUNTIFS(Clients!$C$2:$C$501,E323,Clients!$S$2:$S$501,"Paid")&gt;0,AND(I323&lt;&gt;"",COUNTIFS(Clients!$E$2:$E$501,I323,Clients!$S$2:$S$501,"Paid")&gt;0)),"⚠ Refunded before – no free video",IF(OR(R323="Contract signed + paid",R323="Closed – No response",R323="Lost"),"",IF(R323="","Set a stage",IF(N(T323)&gt;=Settings!$S$3,"Close – 4 follow-ups sent",IF(U323="",IF(S323="","Make first contact",""),IF(TODAY()&gt;U323,"OVERDUE follow-up",IF(TODAY()=U323,"Follow up today",""))))))))</f>
        <v/>
      </c>
    </row>
    <row r="324" customFormat="false" ht="15" hidden="false" customHeight="false" outlineLevel="0" collapsed="false">
      <c r="A324" s="17"/>
      <c r="B324" s="38"/>
      <c r="C324" s="39"/>
      <c r="D324" s="17"/>
      <c r="E324" s="17"/>
      <c r="F324" s="17"/>
      <c r="G324" s="17"/>
      <c r="H324" s="17"/>
      <c r="I324" s="40"/>
      <c r="J324" s="17"/>
      <c r="K324" s="17"/>
      <c r="L324" s="17"/>
      <c r="M324" s="17"/>
      <c r="N324" s="38"/>
      <c r="O324" s="39"/>
      <c r="P324" s="41" t="str">
        <f aca="false">IF(OR(B324="",N324=""),"",ROUND(((N324+N(O324))-(B324+N(C324)))*24,1))</f>
        <v/>
      </c>
      <c r="Q324" s="17"/>
      <c r="R324" s="17"/>
      <c r="S324" s="38"/>
      <c r="T324" s="17"/>
      <c r="U324" s="42" t="str">
        <f aca="false">IF(OR(E324="",S324="",OR(R324="Contract signed + paid",R324="Closed – No response",R324="Lost"),N(T324)&gt;=Settings!$S$3),"",S324+Settings!$S$2)</f>
        <v/>
      </c>
      <c r="V324" s="38"/>
      <c r="W324" s="39"/>
      <c r="X324" s="17"/>
      <c r="Y324" s="17"/>
      <c r="Z324" s="17"/>
      <c r="AA324" s="43" t="str">
        <f aca="true">IF(OR(E324="",B324=""),"",INT(TODAY()-B324))</f>
        <v/>
      </c>
      <c r="AB324" s="44" t="str">
        <f aca="true">IF(E324="","",IF(OR(COUNTIFS(Clients!$C$2:$C$501,E324,Clients!$S$2:$S$501,"Paid")&gt;0,AND(I324&lt;&gt;"",COUNTIFS(Clients!$E$2:$E$501,I324,Clients!$S$2:$S$501,"Paid")&gt;0)),"⚠ Refunded before – no free video",IF(OR(R324="Contract signed + paid",R324="Closed – No response",R324="Lost"),"",IF(R324="","Set a stage",IF(N(T324)&gt;=Settings!$S$3,"Close – 4 follow-ups sent",IF(U324="",IF(S324="","Make first contact",""),IF(TODAY()&gt;U324,"OVERDUE follow-up",IF(TODAY()=U324,"Follow up today",""))))))))</f>
        <v/>
      </c>
    </row>
    <row r="325" customFormat="false" ht="15" hidden="false" customHeight="false" outlineLevel="0" collapsed="false">
      <c r="A325" s="17"/>
      <c r="B325" s="38"/>
      <c r="C325" s="39"/>
      <c r="D325" s="17"/>
      <c r="E325" s="17"/>
      <c r="F325" s="17"/>
      <c r="G325" s="17"/>
      <c r="H325" s="17"/>
      <c r="I325" s="40"/>
      <c r="J325" s="17"/>
      <c r="K325" s="17"/>
      <c r="L325" s="17"/>
      <c r="M325" s="17"/>
      <c r="N325" s="38"/>
      <c r="O325" s="39"/>
      <c r="P325" s="41" t="str">
        <f aca="false">IF(OR(B325="",N325=""),"",ROUND(((N325+N(O325))-(B325+N(C325)))*24,1))</f>
        <v/>
      </c>
      <c r="Q325" s="17"/>
      <c r="R325" s="17"/>
      <c r="S325" s="38"/>
      <c r="T325" s="17"/>
      <c r="U325" s="42" t="str">
        <f aca="false">IF(OR(E325="",S325="",OR(R325="Contract signed + paid",R325="Closed – No response",R325="Lost"),N(T325)&gt;=Settings!$S$3),"",S325+Settings!$S$2)</f>
        <v/>
      </c>
      <c r="V325" s="38"/>
      <c r="W325" s="39"/>
      <c r="X325" s="17"/>
      <c r="Y325" s="17"/>
      <c r="Z325" s="17"/>
      <c r="AA325" s="43" t="str">
        <f aca="true">IF(OR(E325="",B325=""),"",INT(TODAY()-B325))</f>
        <v/>
      </c>
      <c r="AB325" s="44" t="str">
        <f aca="true">IF(E325="","",IF(OR(COUNTIFS(Clients!$C$2:$C$501,E325,Clients!$S$2:$S$501,"Paid")&gt;0,AND(I325&lt;&gt;"",COUNTIFS(Clients!$E$2:$E$501,I325,Clients!$S$2:$S$501,"Paid")&gt;0)),"⚠ Refunded before – no free video",IF(OR(R325="Contract signed + paid",R325="Closed – No response",R325="Lost"),"",IF(R325="","Set a stage",IF(N(T325)&gt;=Settings!$S$3,"Close – 4 follow-ups sent",IF(U325="",IF(S325="","Make first contact",""),IF(TODAY()&gt;U325,"OVERDUE follow-up",IF(TODAY()=U325,"Follow up today",""))))))))</f>
        <v/>
      </c>
    </row>
    <row r="326" customFormat="false" ht="15" hidden="false" customHeight="false" outlineLevel="0" collapsed="false">
      <c r="A326" s="17"/>
      <c r="B326" s="38"/>
      <c r="C326" s="39"/>
      <c r="D326" s="17"/>
      <c r="E326" s="17"/>
      <c r="F326" s="17"/>
      <c r="G326" s="17"/>
      <c r="H326" s="17"/>
      <c r="I326" s="40"/>
      <c r="J326" s="17"/>
      <c r="K326" s="17"/>
      <c r="L326" s="17"/>
      <c r="M326" s="17"/>
      <c r="N326" s="38"/>
      <c r="O326" s="39"/>
      <c r="P326" s="41" t="str">
        <f aca="false">IF(OR(B326="",N326=""),"",ROUND(((N326+N(O326))-(B326+N(C326)))*24,1))</f>
        <v/>
      </c>
      <c r="Q326" s="17"/>
      <c r="R326" s="17"/>
      <c r="S326" s="38"/>
      <c r="T326" s="17"/>
      <c r="U326" s="42" t="str">
        <f aca="false">IF(OR(E326="",S326="",OR(R326="Contract signed + paid",R326="Closed – No response",R326="Lost"),N(T326)&gt;=Settings!$S$3),"",S326+Settings!$S$2)</f>
        <v/>
      </c>
      <c r="V326" s="38"/>
      <c r="W326" s="39"/>
      <c r="X326" s="17"/>
      <c r="Y326" s="17"/>
      <c r="Z326" s="17"/>
      <c r="AA326" s="43" t="str">
        <f aca="true">IF(OR(E326="",B326=""),"",INT(TODAY()-B326))</f>
        <v/>
      </c>
      <c r="AB326" s="44" t="str">
        <f aca="true">IF(E326="","",IF(OR(COUNTIFS(Clients!$C$2:$C$501,E326,Clients!$S$2:$S$501,"Paid")&gt;0,AND(I326&lt;&gt;"",COUNTIFS(Clients!$E$2:$E$501,I326,Clients!$S$2:$S$501,"Paid")&gt;0)),"⚠ Refunded before – no free video",IF(OR(R326="Contract signed + paid",R326="Closed – No response",R326="Lost"),"",IF(R326="","Set a stage",IF(N(T326)&gt;=Settings!$S$3,"Close – 4 follow-ups sent",IF(U326="",IF(S326="","Make first contact",""),IF(TODAY()&gt;U326,"OVERDUE follow-up",IF(TODAY()=U326,"Follow up today",""))))))))</f>
        <v/>
      </c>
    </row>
    <row r="327" customFormat="false" ht="15" hidden="false" customHeight="false" outlineLevel="0" collapsed="false">
      <c r="A327" s="17"/>
      <c r="B327" s="38"/>
      <c r="C327" s="39"/>
      <c r="D327" s="17"/>
      <c r="E327" s="17"/>
      <c r="F327" s="17"/>
      <c r="G327" s="17"/>
      <c r="H327" s="17"/>
      <c r="I327" s="40"/>
      <c r="J327" s="17"/>
      <c r="K327" s="17"/>
      <c r="L327" s="17"/>
      <c r="M327" s="17"/>
      <c r="N327" s="38"/>
      <c r="O327" s="39"/>
      <c r="P327" s="41" t="str">
        <f aca="false">IF(OR(B327="",N327=""),"",ROUND(((N327+N(O327))-(B327+N(C327)))*24,1))</f>
        <v/>
      </c>
      <c r="Q327" s="17"/>
      <c r="R327" s="17"/>
      <c r="S327" s="38"/>
      <c r="T327" s="17"/>
      <c r="U327" s="42" t="str">
        <f aca="false">IF(OR(E327="",S327="",OR(R327="Contract signed + paid",R327="Closed – No response",R327="Lost"),N(T327)&gt;=Settings!$S$3),"",S327+Settings!$S$2)</f>
        <v/>
      </c>
      <c r="V327" s="38"/>
      <c r="W327" s="39"/>
      <c r="X327" s="17"/>
      <c r="Y327" s="17"/>
      <c r="Z327" s="17"/>
      <c r="AA327" s="43" t="str">
        <f aca="true">IF(OR(E327="",B327=""),"",INT(TODAY()-B327))</f>
        <v/>
      </c>
      <c r="AB327" s="44" t="str">
        <f aca="true">IF(E327="","",IF(OR(COUNTIFS(Clients!$C$2:$C$501,E327,Clients!$S$2:$S$501,"Paid")&gt;0,AND(I327&lt;&gt;"",COUNTIFS(Clients!$E$2:$E$501,I327,Clients!$S$2:$S$501,"Paid")&gt;0)),"⚠ Refunded before – no free video",IF(OR(R327="Contract signed + paid",R327="Closed – No response",R327="Lost"),"",IF(R327="","Set a stage",IF(N(T327)&gt;=Settings!$S$3,"Close – 4 follow-ups sent",IF(U327="",IF(S327="","Make first contact",""),IF(TODAY()&gt;U327,"OVERDUE follow-up",IF(TODAY()=U327,"Follow up today",""))))))))</f>
        <v/>
      </c>
    </row>
    <row r="328" customFormat="false" ht="15" hidden="false" customHeight="false" outlineLevel="0" collapsed="false">
      <c r="A328" s="17"/>
      <c r="B328" s="38"/>
      <c r="C328" s="39"/>
      <c r="D328" s="17"/>
      <c r="E328" s="17"/>
      <c r="F328" s="17"/>
      <c r="G328" s="17"/>
      <c r="H328" s="17"/>
      <c r="I328" s="40"/>
      <c r="J328" s="17"/>
      <c r="K328" s="17"/>
      <c r="L328" s="17"/>
      <c r="M328" s="17"/>
      <c r="N328" s="38"/>
      <c r="O328" s="39"/>
      <c r="P328" s="41" t="str">
        <f aca="false">IF(OR(B328="",N328=""),"",ROUND(((N328+N(O328))-(B328+N(C328)))*24,1))</f>
        <v/>
      </c>
      <c r="Q328" s="17"/>
      <c r="R328" s="17"/>
      <c r="S328" s="38"/>
      <c r="T328" s="17"/>
      <c r="U328" s="42" t="str">
        <f aca="false">IF(OR(E328="",S328="",OR(R328="Contract signed + paid",R328="Closed – No response",R328="Lost"),N(T328)&gt;=Settings!$S$3),"",S328+Settings!$S$2)</f>
        <v/>
      </c>
      <c r="V328" s="38"/>
      <c r="W328" s="39"/>
      <c r="X328" s="17"/>
      <c r="Y328" s="17"/>
      <c r="Z328" s="17"/>
      <c r="AA328" s="43" t="str">
        <f aca="true">IF(OR(E328="",B328=""),"",INT(TODAY()-B328))</f>
        <v/>
      </c>
      <c r="AB328" s="44" t="str">
        <f aca="true">IF(E328="","",IF(OR(COUNTIFS(Clients!$C$2:$C$501,E328,Clients!$S$2:$S$501,"Paid")&gt;0,AND(I328&lt;&gt;"",COUNTIFS(Clients!$E$2:$E$501,I328,Clients!$S$2:$S$501,"Paid")&gt;0)),"⚠ Refunded before – no free video",IF(OR(R328="Contract signed + paid",R328="Closed – No response",R328="Lost"),"",IF(R328="","Set a stage",IF(N(T328)&gt;=Settings!$S$3,"Close – 4 follow-ups sent",IF(U328="",IF(S328="","Make first contact",""),IF(TODAY()&gt;U328,"OVERDUE follow-up",IF(TODAY()=U328,"Follow up today",""))))))))</f>
        <v/>
      </c>
    </row>
    <row r="329" customFormat="false" ht="15" hidden="false" customHeight="false" outlineLevel="0" collapsed="false">
      <c r="A329" s="17"/>
      <c r="B329" s="38"/>
      <c r="C329" s="39"/>
      <c r="D329" s="17"/>
      <c r="E329" s="17"/>
      <c r="F329" s="17"/>
      <c r="G329" s="17"/>
      <c r="H329" s="17"/>
      <c r="I329" s="40"/>
      <c r="J329" s="17"/>
      <c r="K329" s="17"/>
      <c r="L329" s="17"/>
      <c r="M329" s="17"/>
      <c r="N329" s="38"/>
      <c r="O329" s="39"/>
      <c r="P329" s="41" t="str">
        <f aca="false">IF(OR(B329="",N329=""),"",ROUND(((N329+N(O329))-(B329+N(C329)))*24,1))</f>
        <v/>
      </c>
      <c r="Q329" s="17"/>
      <c r="R329" s="17"/>
      <c r="S329" s="38"/>
      <c r="T329" s="17"/>
      <c r="U329" s="42" t="str">
        <f aca="false">IF(OR(E329="",S329="",OR(R329="Contract signed + paid",R329="Closed – No response",R329="Lost"),N(T329)&gt;=Settings!$S$3),"",S329+Settings!$S$2)</f>
        <v/>
      </c>
      <c r="V329" s="38"/>
      <c r="W329" s="39"/>
      <c r="X329" s="17"/>
      <c r="Y329" s="17"/>
      <c r="Z329" s="17"/>
      <c r="AA329" s="43" t="str">
        <f aca="true">IF(OR(E329="",B329=""),"",INT(TODAY()-B329))</f>
        <v/>
      </c>
      <c r="AB329" s="44" t="str">
        <f aca="true">IF(E329="","",IF(OR(COUNTIFS(Clients!$C$2:$C$501,E329,Clients!$S$2:$S$501,"Paid")&gt;0,AND(I329&lt;&gt;"",COUNTIFS(Clients!$E$2:$E$501,I329,Clients!$S$2:$S$501,"Paid")&gt;0)),"⚠ Refunded before – no free video",IF(OR(R329="Contract signed + paid",R329="Closed – No response",R329="Lost"),"",IF(R329="","Set a stage",IF(N(T329)&gt;=Settings!$S$3,"Close – 4 follow-ups sent",IF(U329="",IF(S329="","Make first contact",""),IF(TODAY()&gt;U329,"OVERDUE follow-up",IF(TODAY()=U329,"Follow up today",""))))))))</f>
        <v/>
      </c>
    </row>
    <row r="330" customFormat="false" ht="15" hidden="false" customHeight="false" outlineLevel="0" collapsed="false">
      <c r="A330" s="17"/>
      <c r="B330" s="38"/>
      <c r="C330" s="39"/>
      <c r="D330" s="17"/>
      <c r="E330" s="17"/>
      <c r="F330" s="17"/>
      <c r="G330" s="17"/>
      <c r="H330" s="17"/>
      <c r="I330" s="40"/>
      <c r="J330" s="17"/>
      <c r="K330" s="17"/>
      <c r="L330" s="17"/>
      <c r="M330" s="17"/>
      <c r="N330" s="38"/>
      <c r="O330" s="39"/>
      <c r="P330" s="41" t="str">
        <f aca="false">IF(OR(B330="",N330=""),"",ROUND(((N330+N(O330))-(B330+N(C330)))*24,1))</f>
        <v/>
      </c>
      <c r="Q330" s="17"/>
      <c r="R330" s="17"/>
      <c r="S330" s="38"/>
      <c r="T330" s="17"/>
      <c r="U330" s="42" t="str">
        <f aca="false">IF(OR(E330="",S330="",OR(R330="Contract signed + paid",R330="Closed – No response",R330="Lost"),N(T330)&gt;=Settings!$S$3),"",S330+Settings!$S$2)</f>
        <v/>
      </c>
      <c r="V330" s="38"/>
      <c r="W330" s="39"/>
      <c r="X330" s="17"/>
      <c r="Y330" s="17"/>
      <c r="Z330" s="17"/>
      <c r="AA330" s="43" t="str">
        <f aca="true">IF(OR(E330="",B330=""),"",INT(TODAY()-B330))</f>
        <v/>
      </c>
      <c r="AB330" s="44" t="str">
        <f aca="true">IF(E330="","",IF(OR(COUNTIFS(Clients!$C$2:$C$501,E330,Clients!$S$2:$S$501,"Paid")&gt;0,AND(I330&lt;&gt;"",COUNTIFS(Clients!$E$2:$E$501,I330,Clients!$S$2:$S$501,"Paid")&gt;0)),"⚠ Refunded before – no free video",IF(OR(R330="Contract signed + paid",R330="Closed – No response",R330="Lost"),"",IF(R330="","Set a stage",IF(N(T330)&gt;=Settings!$S$3,"Close – 4 follow-ups sent",IF(U330="",IF(S330="","Make first contact",""),IF(TODAY()&gt;U330,"OVERDUE follow-up",IF(TODAY()=U330,"Follow up today",""))))))))</f>
        <v/>
      </c>
    </row>
    <row r="331" customFormat="false" ht="15" hidden="false" customHeight="false" outlineLevel="0" collapsed="false">
      <c r="A331" s="17"/>
      <c r="B331" s="38"/>
      <c r="C331" s="39"/>
      <c r="D331" s="17"/>
      <c r="E331" s="17"/>
      <c r="F331" s="17"/>
      <c r="G331" s="17"/>
      <c r="H331" s="17"/>
      <c r="I331" s="40"/>
      <c r="J331" s="17"/>
      <c r="K331" s="17"/>
      <c r="L331" s="17"/>
      <c r="M331" s="17"/>
      <c r="N331" s="38"/>
      <c r="O331" s="39"/>
      <c r="P331" s="41" t="str">
        <f aca="false">IF(OR(B331="",N331=""),"",ROUND(((N331+N(O331))-(B331+N(C331)))*24,1))</f>
        <v/>
      </c>
      <c r="Q331" s="17"/>
      <c r="R331" s="17"/>
      <c r="S331" s="38"/>
      <c r="T331" s="17"/>
      <c r="U331" s="42" t="str">
        <f aca="false">IF(OR(E331="",S331="",OR(R331="Contract signed + paid",R331="Closed – No response",R331="Lost"),N(T331)&gt;=Settings!$S$3),"",S331+Settings!$S$2)</f>
        <v/>
      </c>
      <c r="V331" s="38"/>
      <c r="W331" s="39"/>
      <c r="X331" s="17"/>
      <c r="Y331" s="17"/>
      <c r="Z331" s="17"/>
      <c r="AA331" s="43" t="str">
        <f aca="true">IF(OR(E331="",B331=""),"",INT(TODAY()-B331))</f>
        <v/>
      </c>
      <c r="AB331" s="44" t="str">
        <f aca="true">IF(E331="","",IF(OR(COUNTIFS(Clients!$C$2:$C$501,E331,Clients!$S$2:$S$501,"Paid")&gt;0,AND(I331&lt;&gt;"",COUNTIFS(Clients!$E$2:$E$501,I331,Clients!$S$2:$S$501,"Paid")&gt;0)),"⚠ Refunded before – no free video",IF(OR(R331="Contract signed + paid",R331="Closed – No response",R331="Lost"),"",IF(R331="","Set a stage",IF(N(T331)&gt;=Settings!$S$3,"Close – 4 follow-ups sent",IF(U331="",IF(S331="","Make first contact",""),IF(TODAY()&gt;U331,"OVERDUE follow-up",IF(TODAY()=U331,"Follow up today",""))))))))</f>
        <v/>
      </c>
    </row>
    <row r="332" customFormat="false" ht="15" hidden="false" customHeight="false" outlineLevel="0" collapsed="false">
      <c r="A332" s="17"/>
      <c r="B332" s="38"/>
      <c r="C332" s="39"/>
      <c r="D332" s="17"/>
      <c r="E332" s="17"/>
      <c r="F332" s="17"/>
      <c r="G332" s="17"/>
      <c r="H332" s="17"/>
      <c r="I332" s="40"/>
      <c r="J332" s="17"/>
      <c r="K332" s="17"/>
      <c r="L332" s="17"/>
      <c r="M332" s="17"/>
      <c r="N332" s="38"/>
      <c r="O332" s="39"/>
      <c r="P332" s="41" t="str">
        <f aca="false">IF(OR(B332="",N332=""),"",ROUND(((N332+N(O332))-(B332+N(C332)))*24,1))</f>
        <v/>
      </c>
      <c r="Q332" s="17"/>
      <c r="R332" s="17"/>
      <c r="S332" s="38"/>
      <c r="T332" s="17"/>
      <c r="U332" s="42" t="str">
        <f aca="false">IF(OR(E332="",S332="",OR(R332="Contract signed + paid",R332="Closed – No response",R332="Lost"),N(T332)&gt;=Settings!$S$3),"",S332+Settings!$S$2)</f>
        <v/>
      </c>
      <c r="V332" s="38"/>
      <c r="W332" s="39"/>
      <c r="X332" s="17"/>
      <c r="Y332" s="17"/>
      <c r="Z332" s="17"/>
      <c r="AA332" s="43" t="str">
        <f aca="true">IF(OR(E332="",B332=""),"",INT(TODAY()-B332))</f>
        <v/>
      </c>
      <c r="AB332" s="44" t="str">
        <f aca="true">IF(E332="","",IF(OR(COUNTIFS(Clients!$C$2:$C$501,E332,Clients!$S$2:$S$501,"Paid")&gt;0,AND(I332&lt;&gt;"",COUNTIFS(Clients!$E$2:$E$501,I332,Clients!$S$2:$S$501,"Paid")&gt;0)),"⚠ Refunded before – no free video",IF(OR(R332="Contract signed + paid",R332="Closed – No response",R332="Lost"),"",IF(R332="","Set a stage",IF(N(T332)&gt;=Settings!$S$3,"Close – 4 follow-ups sent",IF(U332="",IF(S332="","Make first contact",""),IF(TODAY()&gt;U332,"OVERDUE follow-up",IF(TODAY()=U332,"Follow up today",""))))))))</f>
        <v/>
      </c>
    </row>
    <row r="333" customFormat="false" ht="15" hidden="false" customHeight="false" outlineLevel="0" collapsed="false">
      <c r="A333" s="17"/>
      <c r="B333" s="38"/>
      <c r="C333" s="39"/>
      <c r="D333" s="17"/>
      <c r="E333" s="17"/>
      <c r="F333" s="17"/>
      <c r="G333" s="17"/>
      <c r="H333" s="17"/>
      <c r="I333" s="40"/>
      <c r="J333" s="17"/>
      <c r="K333" s="17"/>
      <c r="L333" s="17"/>
      <c r="M333" s="17"/>
      <c r="N333" s="38"/>
      <c r="O333" s="39"/>
      <c r="P333" s="41" t="str">
        <f aca="false">IF(OR(B333="",N333=""),"",ROUND(((N333+N(O333))-(B333+N(C333)))*24,1))</f>
        <v/>
      </c>
      <c r="Q333" s="17"/>
      <c r="R333" s="17"/>
      <c r="S333" s="38"/>
      <c r="T333" s="17"/>
      <c r="U333" s="42" t="str">
        <f aca="false">IF(OR(E333="",S333="",OR(R333="Contract signed + paid",R333="Closed – No response",R333="Lost"),N(T333)&gt;=Settings!$S$3),"",S333+Settings!$S$2)</f>
        <v/>
      </c>
      <c r="V333" s="38"/>
      <c r="W333" s="39"/>
      <c r="X333" s="17"/>
      <c r="Y333" s="17"/>
      <c r="Z333" s="17"/>
      <c r="AA333" s="43" t="str">
        <f aca="true">IF(OR(E333="",B333=""),"",INT(TODAY()-B333))</f>
        <v/>
      </c>
      <c r="AB333" s="44" t="str">
        <f aca="true">IF(E333="","",IF(OR(COUNTIFS(Clients!$C$2:$C$501,E333,Clients!$S$2:$S$501,"Paid")&gt;0,AND(I333&lt;&gt;"",COUNTIFS(Clients!$E$2:$E$501,I333,Clients!$S$2:$S$501,"Paid")&gt;0)),"⚠ Refunded before – no free video",IF(OR(R333="Contract signed + paid",R333="Closed – No response",R333="Lost"),"",IF(R333="","Set a stage",IF(N(T333)&gt;=Settings!$S$3,"Close – 4 follow-ups sent",IF(U333="",IF(S333="","Make first contact",""),IF(TODAY()&gt;U333,"OVERDUE follow-up",IF(TODAY()=U333,"Follow up today",""))))))))</f>
        <v/>
      </c>
    </row>
    <row r="334" customFormat="false" ht="15" hidden="false" customHeight="false" outlineLevel="0" collapsed="false">
      <c r="A334" s="17"/>
      <c r="B334" s="38"/>
      <c r="C334" s="39"/>
      <c r="D334" s="17"/>
      <c r="E334" s="17"/>
      <c r="F334" s="17"/>
      <c r="G334" s="17"/>
      <c r="H334" s="17"/>
      <c r="I334" s="40"/>
      <c r="J334" s="17"/>
      <c r="K334" s="17"/>
      <c r="L334" s="17"/>
      <c r="M334" s="17"/>
      <c r="N334" s="38"/>
      <c r="O334" s="39"/>
      <c r="P334" s="41" t="str">
        <f aca="false">IF(OR(B334="",N334=""),"",ROUND(((N334+N(O334))-(B334+N(C334)))*24,1))</f>
        <v/>
      </c>
      <c r="Q334" s="17"/>
      <c r="R334" s="17"/>
      <c r="S334" s="38"/>
      <c r="T334" s="17"/>
      <c r="U334" s="42" t="str">
        <f aca="false">IF(OR(E334="",S334="",OR(R334="Contract signed + paid",R334="Closed – No response",R334="Lost"),N(T334)&gt;=Settings!$S$3),"",S334+Settings!$S$2)</f>
        <v/>
      </c>
      <c r="V334" s="38"/>
      <c r="W334" s="39"/>
      <c r="X334" s="17"/>
      <c r="Y334" s="17"/>
      <c r="Z334" s="17"/>
      <c r="AA334" s="43" t="str">
        <f aca="true">IF(OR(E334="",B334=""),"",INT(TODAY()-B334))</f>
        <v/>
      </c>
      <c r="AB334" s="44" t="str">
        <f aca="true">IF(E334="","",IF(OR(COUNTIFS(Clients!$C$2:$C$501,E334,Clients!$S$2:$S$501,"Paid")&gt;0,AND(I334&lt;&gt;"",COUNTIFS(Clients!$E$2:$E$501,I334,Clients!$S$2:$S$501,"Paid")&gt;0)),"⚠ Refunded before – no free video",IF(OR(R334="Contract signed + paid",R334="Closed – No response",R334="Lost"),"",IF(R334="","Set a stage",IF(N(T334)&gt;=Settings!$S$3,"Close – 4 follow-ups sent",IF(U334="",IF(S334="","Make first contact",""),IF(TODAY()&gt;U334,"OVERDUE follow-up",IF(TODAY()=U334,"Follow up today",""))))))))</f>
        <v/>
      </c>
    </row>
    <row r="335" customFormat="false" ht="15" hidden="false" customHeight="false" outlineLevel="0" collapsed="false">
      <c r="A335" s="17"/>
      <c r="B335" s="38"/>
      <c r="C335" s="39"/>
      <c r="D335" s="17"/>
      <c r="E335" s="17"/>
      <c r="F335" s="17"/>
      <c r="G335" s="17"/>
      <c r="H335" s="17"/>
      <c r="I335" s="40"/>
      <c r="J335" s="17"/>
      <c r="K335" s="17"/>
      <c r="L335" s="17"/>
      <c r="M335" s="17"/>
      <c r="N335" s="38"/>
      <c r="O335" s="39"/>
      <c r="P335" s="41" t="str">
        <f aca="false">IF(OR(B335="",N335=""),"",ROUND(((N335+N(O335))-(B335+N(C335)))*24,1))</f>
        <v/>
      </c>
      <c r="Q335" s="17"/>
      <c r="R335" s="17"/>
      <c r="S335" s="38"/>
      <c r="T335" s="17"/>
      <c r="U335" s="42" t="str">
        <f aca="false">IF(OR(E335="",S335="",OR(R335="Contract signed + paid",R335="Closed – No response",R335="Lost"),N(T335)&gt;=Settings!$S$3),"",S335+Settings!$S$2)</f>
        <v/>
      </c>
      <c r="V335" s="38"/>
      <c r="W335" s="39"/>
      <c r="X335" s="17"/>
      <c r="Y335" s="17"/>
      <c r="Z335" s="17"/>
      <c r="AA335" s="43" t="str">
        <f aca="true">IF(OR(E335="",B335=""),"",INT(TODAY()-B335))</f>
        <v/>
      </c>
      <c r="AB335" s="44" t="str">
        <f aca="true">IF(E335="","",IF(OR(COUNTIFS(Clients!$C$2:$C$501,E335,Clients!$S$2:$S$501,"Paid")&gt;0,AND(I335&lt;&gt;"",COUNTIFS(Clients!$E$2:$E$501,I335,Clients!$S$2:$S$501,"Paid")&gt;0)),"⚠ Refunded before – no free video",IF(OR(R335="Contract signed + paid",R335="Closed – No response",R335="Lost"),"",IF(R335="","Set a stage",IF(N(T335)&gt;=Settings!$S$3,"Close – 4 follow-ups sent",IF(U335="",IF(S335="","Make first contact",""),IF(TODAY()&gt;U335,"OVERDUE follow-up",IF(TODAY()=U335,"Follow up today",""))))))))</f>
        <v/>
      </c>
    </row>
    <row r="336" customFormat="false" ht="15" hidden="false" customHeight="false" outlineLevel="0" collapsed="false">
      <c r="A336" s="17"/>
      <c r="B336" s="38"/>
      <c r="C336" s="39"/>
      <c r="D336" s="17"/>
      <c r="E336" s="17"/>
      <c r="F336" s="17"/>
      <c r="G336" s="17"/>
      <c r="H336" s="17"/>
      <c r="I336" s="40"/>
      <c r="J336" s="17"/>
      <c r="K336" s="17"/>
      <c r="L336" s="17"/>
      <c r="M336" s="17"/>
      <c r="N336" s="38"/>
      <c r="O336" s="39"/>
      <c r="P336" s="41" t="str">
        <f aca="false">IF(OR(B336="",N336=""),"",ROUND(((N336+N(O336))-(B336+N(C336)))*24,1))</f>
        <v/>
      </c>
      <c r="Q336" s="17"/>
      <c r="R336" s="17"/>
      <c r="S336" s="38"/>
      <c r="T336" s="17"/>
      <c r="U336" s="42" t="str">
        <f aca="false">IF(OR(E336="",S336="",OR(R336="Contract signed + paid",R336="Closed – No response",R336="Lost"),N(T336)&gt;=Settings!$S$3),"",S336+Settings!$S$2)</f>
        <v/>
      </c>
      <c r="V336" s="38"/>
      <c r="W336" s="39"/>
      <c r="X336" s="17"/>
      <c r="Y336" s="17"/>
      <c r="Z336" s="17"/>
      <c r="AA336" s="43" t="str">
        <f aca="true">IF(OR(E336="",B336=""),"",INT(TODAY()-B336))</f>
        <v/>
      </c>
      <c r="AB336" s="44" t="str">
        <f aca="true">IF(E336="","",IF(OR(COUNTIFS(Clients!$C$2:$C$501,E336,Clients!$S$2:$S$501,"Paid")&gt;0,AND(I336&lt;&gt;"",COUNTIFS(Clients!$E$2:$E$501,I336,Clients!$S$2:$S$501,"Paid")&gt;0)),"⚠ Refunded before – no free video",IF(OR(R336="Contract signed + paid",R336="Closed – No response",R336="Lost"),"",IF(R336="","Set a stage",IF(N(T336)&gt;=Settings!$S$3,"Close – 4 follow-ups sent",IF(U336="",IF(S336="","Make first contact",""),IF(TODAY()&gt;U336,"OVERDUE follow-up",IF(TODAY()=U336,"Follow up today",""))))))))</f>
        <v/>
      </c>
    </row>
    <row r="337" customFormat="false" ht="15" hidden="false" customHeight="false" outlineLevel="0" collapsed="false">
      <c r="A337" s="17"/>
      <c r="B337" s="38"/>
      <c r="C337" s="39"/>
      <c r="D337" s="17"/>
      <c r="E337" s="17"/>
      <c r="F337" s="17"/>
      <c r="G337" s="17"/>
      <c r="H337" s="17"/>
      <c r="I337" s="40"/>
      <c r="J337" s="17"/>
      <c r="K337" s="17"/>
      <c r="L337" s="17"/>
      <c r="M337" s="17"/>
      <c r="N337" s="38"/>
      <c r="O337" s="39"/>
      <c r="P337" s="41" t="str">
        <f aca="false">IF(OR(B337="",N337=""),"",ROUND(((N337+N(O337))-(B337+N(C337)))*24,1))</f>
        <v/>
      </c>
      <c r="Q337" s="17"/>
      <c r="R337" s="17"/>
      <c r="S337" s="38"/>
      <c r="T337" s="17"/>
      <c r="U337" s="42" t="str">
        <f aca="false">IF(OR(E337="",S337="",OR(R337="Contract signed + paid",R337="Closed – No response",R337="Lost"),N(T337)&gt;=Settings!$S$3),"",S337+Settings!$S$2)</f>
        <v/>
      </c>
      <c r="V337" s="38"/>
      <c r="W337" s="39"/>
      <c r="X337" s="17"/>
      <c r="Y337" s="17"/>
      <c r="Z337" s="17"/>
      <c r="AA337" s="43" t="str">
        <f aca="true">IF(OR(E337="",B337=""),"",INT(TODAY()-B337))</f>
        <v/>
      </c>
      <c r="AB337" s="44" t="str">
        <f aca="true">IF(E337="","",IF(OR(COUNTIFS(Clients!$C$2:$C$501,E337,Clients!$S$2:$S$501,"Paid")&gt;0,AND(I337&lt;&gt;"",COUNTIFS(Clients!$E$2:$E$501,I337,Clients!$S$2:$S$501,"Paid")&gt;0)),"⚠ Refunded before – no free video",IF(OR(R337="Contract signed + paid",R337="Closed – No response",R337="Lost"),"",IF(R337="","Set a stage",IF(N(T337)&gt;=Settings!$S$3,"Close – 4 follow-ups sent",IF(U337="",IF(S337="","Make first contact",""),IF(TODAY()&gt;U337,"OVERDUE follow-up",IF(TODAY()=U337,"Follow up today",""))))))))</f>
        <v/>
      </c>
    </row>
    <row r="338" customFormat="false" ht="15" hidden="false" customHeight="false" outlineLevel="0" collapsed="false">
      <c r="A338" s="17"/>
      <c r="B338" s="38"/>
      <c r="C338" s="39"/>
      <c r="D338" s="17"/>
      <c r="E338" s="17"/>
      <c r="F338" s="17"/>
      <c r="G338" s="17"/>
      <c r="H338" s="17"/>
      <c r="I338" s="40"/>
      <c r="J338" s="17"/>
      <c r="K338" s="17"/>
      <c r="L338" s="17"/>
      <c r="M338" s="17"/>
      <c r="N338" s="38"/>
      <c r="O338" s="39"/>
      <c r="P338" s="41" t="str">
        <f aca="false">IF(OR(B338="",N338=""),"",ROUND(((N338+N(O338))-(B338+N(C338)))*24,1))</f>
        <v/>
      </c>
      <c r="Q338" s="17"/>
      <c r="R338" s="17"/>
      <c r="S338" s="38"/>
      <c r="T338" s="17"/>
      <c r="U338" s="42" t="str">
        <f aca="false">IF(OR(E338="",S338="",OR(R338="Contract signed + paid",R338="Closed – No response",R338="Lost"),N(T338)&gt;=Settings!$S$3),"",S338+Settings!$S$2)</f>
        <v/>
      </c>
      <c r="V338" s="38"/>
      <c r="W338" s="39"/>
      <c r="X338" s="17"/>
      <c r="Y338" s="17"/>
      <c r="Z338" s="17"/>
      <c r="AA338" s="43" t="str">
        <f aca="true">IF(OR(E338="",B338=""),"",INT(TODAY()-B338))</f>
        <v/>
      </c>
      <c r="AB338" s="44" t="str">
        <f aca="true">IF(E338="","",IF(OR(COUNTIFS(Clients!$C$2:$C$501,E338,Clients!$S$2:$S$501,"Paid")&gt;0,AND(I338&lt;&gt;"",COUNTIFS(Clients!$E$2:$E$501,I338,Clients!$S$2:$S$501,"Paid")&gt;0)),"⚠ Refunded before – no free video",IF(OR(R338="Contract signed + paid",R338="Closed – No response",R338="Lost"),"",IF(R338="","Set a stage",IF(N(T338)&gt;=Settings!$S$3,"Close – 4 follow-ups sent",IF(U338="",IF(S338="","Make first contact",""),IF(TODAY()&gt;U338,"OVERDUE follow-up",IF(TODAY()=U338,"Follow up today",""))))))))</f>
        <v/>
      </c>
    </row>
    <row r="339" customFormat="false" ht="15" hidden="false" customHeight="false" outlineLevel="0" collapsed="false">
      <c r="A339" s="17"/>
      <c r="B339" s="38"/>
      <c r="C339" s="39"/>
      <c r="D339" s="17"/>
      <c r="E339" s="17"/>
      <c r="F339" s="17"/>
      <c r="G339" s="17"/>
      <c r="H339" s="17"/>
      <c r="I339" s="40"/>
      <c r="J339" s="17"/>
      <c r="K339" s="17"/>
      <c r="L339" s="17"/>
      <c r="M339" s="17"/>
      <c r="N339" s="38"/>
      <c r="O339" s="39"/>
      <c r="P339" s="41" t="str">
        <f aca="false">IF(OR(B339="",N339=""),"",ROUND(((N339+N(O339))-(B339+N(C339)))*24,1))</f>
        <v/>
      </c>
      <c r="Q339" s="17"/>
      <c r="R339" s="17"/>
      <c r="S339" s="38"/>
      <c r="T339" s="17"/>
      <c r="U339" s="42" t="str">
        <f aca="false">IF(OR(E339="",S339="",OR(R339="Contract signed + paid",R339="Closed – No response",R339="Lost"),N(T339)&gt;=Settings!$S$3),"",S339+Settings!$S$2)</f>
        <v/>
      </c>
      <c r="V339" s="38"/>
      <c r="W339" s="39"/>
      <c r="X339" s="17"/>
      <c r="Y339" s="17"/>
      <c r="Z339" s="17"/>
      <c r="AA339" s="43" t="str">
        <f aca="true">IF(OR(E339="",B339=""),"",INT(TODAY()-B339))</f>
        <v/>
      </c>
      <c r="AB339" s="44" t="str">
        <f aca="true">IF(E339="","",IF(OR(COUNTIFS(Clients!$C$2:$C$501,E339,Clients!$S$2:$S$501,"Paid")&gt;0,AND(I339&lt;&gt;"",COUNTIFS(Clients!$E$2:$E$501,I339,Clients!$S$2:$S$501,"Paid")&gt;0)),"⚠ Refunded before – no free video",IF(OR(R339="Contract signed + paid",R339="Closed – No response",R339="Lost"),"",IF(R339="","Set a stage",IF(N(T339)&gt;=Settings!$S$3,"Close – 4 follow-ups sent",IF(U339="",IF(S339="","Make first contact",""),IF(TODAY()&gt;U339,"OVERDUE follow-up",IF(TODAY()=U339,"Follow up today",""))))))))</f>
        <v/>
      </c>
    </row>
    <row r="340" customFormat="false" ht="15" hidden="false" customHeight="false" outlineLevel="0" collapsed="false">
      <c r="A340" s="17"/>
      <c r="B340" s="38"/>
      <c r="C340" s="39"/>
      <c r="D340" s="17"/>
      <c r="E340" s="17"/>
      <c r="F340" s="17"/>
      <c r="G340" s="17"/>
      <c r="H340" s="17"/>
      <c r="I340" s="40"/>
      <c r="J340" s="17"/>
      <c r="K340" s="17"/>
      <c r="L340" s="17"/>
      <c r="M340" s="17"/>
      <c r="N340" s="38"/>
      <c r="O340" s="39"/>
      <c r="P340" s="41" t="str">
        <f aca="false">IF(OR(B340="",N340=""),"",ROUND(((N340+N(O340))-(B340+N(C340)))*24,1))</f>
        <v/>
      </c>
      <c r="Q340" s="17"/>
      <c r="R340" s="17"/>
      <c r="S340" s="38"/>
      <c r="T340" s="17"/>
      <c r="U340" s="42" t="str">
        <f aca="false">IF(OR(E340="",S340="",OR(R340="Contract signed + paid",R340="Closed – No response",R340="Lost"),N(T340)&gt;=Settings!$S$3),"",S340+Settings!$S$2)</f>
        <v/>
      </c>
      <c r="V340" s="38"/>
      <c r="W340" s="39"/>
      <c r="X340" s="17"/>
      <c r="Y340" s="17"/>
      <c r="Z340" s="17"/>
      <c r="AA340" s="43" t="str">
        <f aca="true">IF(OR(E340="",B340=""),"",INT(TODAY()-B340))</f>
        <v/>
      </c>
      <c r="AB340" s="44" t="str">
        <f aca="true">IF(E340="","",IF(OR(COUNTIFS(Clients!$C$2:$C$501,E340,Clients!$S$2:$S$501,"Paid")&gt;0,AND(I340&lt;&gt;"",COUNTIFS(Clients!$E$2:$E$501,I340,Clients!$S$2:$S$501,"Paid")&gt;0)),"⚠ Refunded before – no free video",IF(OR(R340="Contract signed + paid",R340="Closed – No response",R340="Lost"),"",IF(R340="","Set a stage",IF(N(T340)&gt;=Settings!$S$3,"Close – 4 follow-ups sent",IF(U340="",IF(S340="","Make first contact",""),IF(TODAY()&gt;U340,"OVERDUE follow-up",IF(TODAY()=U340,"Follow up today",""))))))))</f>
        <v/>
      </c>
    </row>
    <row r="341" customFormat="false" ht="15" hidden="false" customHeight="false" outlineLevel="0" collapsed="false">
      <c r="A341" s="17"/>
      <c r="B341" s="38"/>
      <c r="C341" s="39"/>
      <c r="D341" s="17"/>
      <c r="E341" s="17"/>
      <c r="F341" s="17"/>
      <c r="G341" s="17"/>
      <c r="H341" s="17"/>
      <c r="I341" s="40"/>
      <c r="J341" s="17"/>
      <c r="K341" s="17"/>
      <c r="L341" s="17"/>
      <c r="M341" s="17"/>
      <c r="N341" s="38"/>
      <c r="O341" s="39"/>
      <c r="P341" s="41" t="str">
        <f aca="false">IF(OR(B341="",N341=""),"",ROUND(((N341+N(O341))-(B341+N(C341)))*24,1))</f>
        <v/>
      </c>
      <c r="Q341" s="17"/>
      <c r="R341" s="17"/>
      <c r="S341" s="38"/>
      <c r="T341" s="17"/>
      <c r="U341" s="42" t="str">
        <f aca="false">IF(OR(E341="",S341="",OR(R341="Contract signed + paid",R341="Closed – No response",R341="Lost"),N(T341)&gt;=Settings!$S$3),"",S341+Settings!$S$2)</f>
        <v/>
      </c>
      <c r="V341" s="38"/>
      <c r="W341" s="39"/>
      <c r="X341" s="17"/>
      <c r="Y341" s="17"/>
      <c r="Z341" s="17"/>
      <c r="AA341" s="43" t="str">
        <f aca="true">IF(OR(E341="",B341=""),"",INT(TODAY()-B341))</f>
        <v/>
      </c>
      <c r="AB341" s="44" t="str">
        <f aca="true">IF(E341="","",IF(OR(COUNTIFS(Clients!$C$2:$C$501,E341,Clients!$S$2:$S$501,"Paid")&gt;0,AND(I341&lt;&gt;"",COUNTIFS(Clients!$E$2:$E$501,I341,Clients!$S$2:$S$501,"Paid")&gt;0)),"⚠ Refunded before – no free video",IF(OR(R341="Contract signed + paid",R341="Closed – No response",R341="Lost"),"",IF(R341="","Set a stage",IF(N(T341)&gt;=Settings!$S$3,"Close – 4 follow-ups sent",IF(U341="",IF(S341="","Make first contact",""),IF(TODAY()&gt;U341,"OVERDUE follow-up",IF(TODAY()=U341,"Follow up today",""))))))))</f>
        <v/>
      </c>
    </row>
    <row r="342" customFormat="false" ht="15" hidden="false" customHeight="false" outlineLevel="0" collapsed="false">
      <c r="A342" s="17"/>
      <c r="B342" s="38"/>
      <c r="C342" s="39"/>
      <c r="D342" s="17"/>
      <c r="E342" s="17"/>
      <c r="F342" s="17"/>
      <c r="G342" s="17"/>
      <c r="H342" s="17"/>
      <c r="I342" s="40"/>
      <c r="J342" s="17"/>
      <c r="K342" s="17"/>
      <c r="L342" s="17"/>
      <c r="M342" s="17"/>
      <c r="N342" s="38"/>
      <c r="O342" s="39"/>
      <c r="P342" s="41" t="str">
        <f aca="false">IF(OR(B342="",N342=""),"",ROUND(((N342+N(O342))-(B342+N(C342)))*24,1))</f>
        <v/>
      </c>
      <c r="Q342" s="17"/>
      <c r="R342" s="17"/>
      <c r="S342" s="38"/>
      <c r="T342" s="17"/>
      <c r="U342" s="42" t="str">
        <f aca="false">IF(OR(E342="",S342="",OR(R342="Contract signed + paid",R342="Closed – No response",R342="Lost"),N(T342)&gt;=Settings!$S$3),"",S342+Settings!$S$2)</f>
        <v/>
      </c>
      <c r="V342" s="38"/>
      <c r="W342" s="39"/>
      <c r="X342" s="17"/>
      <c r="Y342" s="17"/>
      <c r="Z342" s="17"/>
      <c r="AA342" s="43" t="str">
        <f aca="true">IF(OR(E342="",B342=""),"",INT(TODAY()-B342))</f>
        <v/>
      </c>
      <c r="AB342" s="44" t="str">
        <f aca="true">IF(E342="","",IF(OR(COUNTIFS(Clients!$C$2:$C$501,E342,Clients!$S$2:$S$501,"Paid")&gt;0,AND(I342&lt;&gt;"",COUNTIFS(Clients!$E$2:$E$501,I342,Clients!$S$2:$S$501,"Paid")&gt;0)),"⚠ Refunded before – no free video",IF(OR(R342="Contract signed + paid",R342="Closed – No response",R342="Lost"),"",IF(R342="","Set a stage",IF(N(T342)&gt;=Settings!$S$3,"Close – 4 follow-ups sent",IF(U342="",IF(S342="","Make first contact",""),IF(TODAY()&gt;U342,"OVERDUE follow-up",IF(TODAY()=U342,"Follow up today",""))))))))</f>
        <v/>
      </c>
    </row>
    <row r="343" customFormat="false" ht="15" hidden="false" customHeight="false" outlineLevel="0" collapsed="false">
      <c r="A343" s="17"/>
      <c r="B343" s="38"/>
      <c r="C343" s="39"/>
      <c r="D343" s="17"/>
      <c r="E343" s="17"/>
      <c r="F343" s="17"/>
      <c r="G343" s="17"/>
      <c r="H343" s="17"/>
      <c r="I343" s="40"/>
      <c r="J343" s="17"/>
      <c r="K343" s="17"/>
      <c r="L343" s="17"/>
      <c r="M343" s="17"/>
      <c r="N343" s="38"/>
      <c r="O343" s="39"/>
      <c r="P343" s="41" t="str">
        <f aca="false">IF(OR(B343="",N343=""),"",ROUND(((N343+N(O343))-(B343+N(C343)))*24,1))</f>
        <v/>
      </c>
      <c r="Q343" s="17"/>
      <c r="R343" s="17"/>
      <c r="S343" s="38"/>
      <c r="T343" s="17"/>
      <c r="U343" s="42" t="str">
        <f aca="false">IF(OR(E343="",S343="",OR(R343="Contract signed + paid",R343="Closed – No response",R343="Lost"),N(T343)&gt;=Settings!$S$3),"",S343+Settings!$S$2)</f>
        <v/>
      </c>
      <c r="V343" s="38"/>
      <c r="W343" s="39"/>
      <c r="X343" s="17"/>
      <c r="Y343" s="17"/>
      <c r="Z343" s="17"/>
      <c r="AA343" s="43" t="str">
        <f aca="true">IF(OR(E343="",B343=""),"",INT(TODAY()-B343))</f>
        <v/>
      </c>
      <c r="AB343" s="44" t="str">
        <f aca="true">IF(E343="","",IF(OR(COUNTIFS(Clients!$C$2:$C$501,E343,Clients!$S$2:$S$501,"Paid")&gt;0,AND(I343&lt;&gt;"",COUNTIFS(Clients!$E$2:$E$501,I343,Clients!$S$2:$S$501,"Paid")&gt;0)),"⚠ Refunded before – no free video",IF(OR(R343="Contract signed + paid",R343="Closed – No response",R343="Lost"),"",IF(R343="","Set a stage",IF(N(T343)&gt;=Settings!$S$3,"Close – 4 follow-ups sent",IF(U343="",IF(S343="","Make first contact",""),IF(TODAY()&gt;U343,"OVERDUE follow-up",IF(TODAY()=U343,"Follow up today",""))))))))</f>
        <v/>
      </c>
    </row>
    <row r="344" customFormat="false" ht="15" hidden="false" customHeight="false" outlineLevel="0" collapsed="false">
      <c r="A344" s="17"/>
      <c r="B344" s="38"/>
      <c r="C344" s="39"/>
      <c r="D344" s="17"/>
      <c r="E344" s="17"/>
      <c r="F344" s="17"/>
      <c r="G344" s="17"/>
      <c r="H344" s="17"/>
      <c r="I344" s="40"/>
      <c r="J344" s="17"/>
      <c r="K344" s="17"/>
      <c r="L344" s="17"/>
      <c r="M344" s="17"/>
      <c r="N344" s="38"/>
      <c r="O344" s="39"/>
      <c r="P344" s="41" t="str">
        <f aca="false">IF(OR(B344="",N344=""),"",ROUND(((N344+N(O344))-(B344+N(C344)))*24,1))</f>
        <v/>
      </c>
      <c r="Q344" s="17"/>
      <c r="R344" s="17"/>
      <c r="S344" s="38"/>
      <c r="T344" s="17"/>
      <c r="U344" s="42" t="str">
        <f aca="false">IF(OR(E344="",S344="",OR(R344="Contract signed + paid",R344="Closed – No response",R344="Lost"),N(T344)&gt;=Settings!$S$3),"",S344+Settings!$S$2)</f>
        <v/>
      </c>
      <c r="V344" s="38"/>
      <c r="W344" s="39"/>
      <c r="X344" s="17"/>
      <c r="Y344" s="17"/>
      <c r="Z344" s="17"/>
      <c r="AA344" s="43" t="str">
        <f aca="true">IF(OR(E344="",B344=""),"",INT(TODAY()-B344))</f>
        <v/>
      </c>
      <c r="AB344" s="44" t="str">
        <f aca="true">IF(E344="","",IF(OR(COUNTIFS(Clients!$C$2:$C$501,E344,Clients!$S$2:$S$501,"Paid")&gt;0,AND(I344&lt;&gt;"",COUNTIFS(Clients!$E$2:$E$501,I344,Clients!$S$2:$S$501,"Paid")&gt;0)),"⚠ Refunded before – no free video",IF(OR(R344="Contract signed + paid",R344="Closed – No response",R344="Lost"),"",IF(R344="","Set a stage",IF(N(T344)&gt;=Settings!$S$3,"Close – 4 follow-ups sent",IF(U344="",IF(S344="","Make first contact",""),IF(TODAY()&gt;U344,"OVERDUE follow-up",IF(TODAY()=U344,"Follow up today",""))))))))</f>
        <v/>
      </c>
    </row>
    <row r="345" customFormat="false" ht="15" hidden="false" customHeight="false" outlineLevel="0" collapsed="false">
      <c r="A345" s="17"/>
      <c r="B345" s="38"/>
      <c r="C345" s="39"/>
      <c r="D345" s="17"/>
      <c r="E345" s="17"/>
      <c r="F345" s="17"/>
      <c r="G345" s="17"/>
      <c r="H345" s="17"/>
      <c r="I345" s="40"/>
      <c r="J345" s="17"/>
      <c r="K345" s="17"/>
      <c r="L345" s="17"/>
      <c r="M345" s="17"/>
      <c r="N345" s="38"/>
      <c r="O345" s="39"/>
      <c r="P345" s="41" t="str">
        <f aca="false">IF(OR(B345="",N345=""),"",ROUND(((N345+N(O345))-(B345+N(C345)))*24,1))</f>
        <v/>
      </c>
      <c r="Q345" s="17"/>
      <c r="R345" s="17"/>
      <c r="S345" s="38"/>
      <c r="T345" s="17"/>
      <c r="U345" s="42" t="str">
        <f aca="false">IF(OR(E345="",S345="",OR(R345="Contract signed + paid",R345="Closed – No response",R345="Lost"),N(T345)&gt;=Settings!$S$3),"",S345+Settings!$S$2)</f>
        <v/>
      </c>
      <c r="V345" s="38"/>
      <c r="W345" s="39"/>
      <c r="X345" s="17"/>
      <c r="Y345" s="17"/>
      <c r="Z345" s="17"/>
      <c r="AA345" s="43" t="str">
        <f aca="true">IF(OR(E345="",B345=""),"",INT(TODAY()-B345))</f>
        <v/>
      </c>
      <c r="AB345" s="44" t="str">
        <f aca="true">IF(E345="","",IF(OR(COUNTIFS(Clients!$C$2:$C$501,E345,Clients!$S$2:$S$501,"Paid")&gt;0,AND(I345&lt;&gt;"",COUNTIFS(Clients!$E$2:$E$501,I345,Clients!$S$2:$S$501,"Paid")&gt;0)),"⚠ Refunded before – no free video",IF(OR(R345="Contract signed + paid",R345="Closed – No response",R345="Lost"),"",IF(R345="","Set a stage",IF(N(T345)&gt;=Settings!$S$3,"Close – 4 follow-ups sent",IF(U345="",IF(S345="","Make first contact",""),IF(TODAY()&gt;U345,"OVERDUE follow-up",IF(TODAY()=U345,"Follow up today",""))))))))</f>
        <v/>
      </c>
    </row>
    <row r="346" customFormat="false" ht="15" hidden="false" customHeight="false" outlineLevel="0" collapsed="false">
      <c r="A346" s="17"/>
      <c r="B346" s="38"/>
      <c r="C346" s="39"/>
      <c r="D346" s="17"/>
      <c r="E346" s="17"/>
      <c r="F346" s="17"/>
      <c r="G346" s="17"/>
      <c r="H346" s="17"/>
      <c r="I346" s="40"/>
      <c r="J346" s="17"/>
      <c r="K346" s="17"/>
      <c r="L346" s="17"/>
      <c r="M346" s="17"/>
      <c r="N346" s="38"/>
      <c r="O346" s="39"/>
      <c r="P346" s="41" t="str">
        <f aca="false">IF(OR(B346="",N346=""),"",ROUND(((N346+N(O346))-(B346+N(C346)))*24,1))</f>
        <v/>
      </c>
      <c r="Q346" s="17"/>
      <c r="R346" s="17"/>
      <c r="S346" s="38"/>
      <c r="T346" s="17"/>
      <c r="U346" s="42" t="str">
        <f aca="false">IF(OR(E346="",S346="",OR(R346="Contract signed + paid",R346="Closed – No response",R346="Lost"),N(T346)&gt;=Settings!$S$3),"",S346+Settings!$S$2)</f>
        <v/>
      </c>
      <c r="V346" s="38"/>
      <c r="W346" s="39"/>
      <c r="X346" s="17"/>
      <c r="Y346" s="17"/>
      <c r="Z346" s="17"/>
      <c r="AA346" s="43" t="str">
        <f aca="true">IF(OR(E346="",B346=""),"",INT(TODAY()-B346))</f>
        <v/>
      </c>
      <c r="AB346" s="44" t="str">
        <f aca="true">IF(E346="","",IF(OR(COUNTIFS(Clients!$C$2:$C$501,E346,Clients!$S$2:$S$501,"Paid")&gt;0,AND(I346&lt;&gt;"",COUNTIFS(Clients!$E$2:$E$501,I346,Clients!$S$2:$S$501,"Paid")&gt;0)),"⚠ Refunded before – no free video",IF(OR(R346="Contract signed + paid",R346="Closed – No response",R346="Lost"),"",IF(R346="","Set a stage",IF(N(T346)&gt;=Settings!$S$3,"Close – 4 follow-ups sent",IF(U346="",IF(S346="","Make first contact",""),IF(TODAY()&gt;U346,"OVERDUE follow-up",IF(TODAY()=U346,"Follow up today",""))))))))</f>
        <v/>
      </c>
    </row>
    <row r="347" customFormat="false" ht="15" hidden="false" customHeight="false" outlineLevel="0" collapsed="false">
      <c r="A347" s="17"/>
      <c r="B347" s="38"/>
      <c r="C347" s="39"/>
      <c r="D347" s="17"/>
      <c r="E347" s="17"/>
      <c r="F347" s="17"/>
      <c r="G347" s="17"/>
      <c r="H347" s="17"/>
      <c r="I347" s="40"/>
      <c r="J347" s="17"/>
      <c r="K347" s="17"/>
      <c r="L347" s="17"/>
      <c r="M347" s="17"/>
      <c r="N347" s="38"/>
      <c r="O347" s="39"/>
      <c r="P347" s="41" t="str">
        <f aca="false">IF(OR(B347="",N347=""),"",ROUND(((N347+N(O347))-(B347+N(C347)))*24,1))</f>
        <v/>
      </c>
      <c r="Q347" s="17"/>
      <c r="R347" s="17"/>
      <c r="S347" s="38"/>
      <c r="T347" s="17"/>
      <c r="U347" s="42" t="str">
        <f aca="false">IF(OR(E347="",S347="",OR(R347="Contract signed + paid",R347="Closed – No response",R347="Lost"),N(T347)&gt;=Settings!$S$3),"",S347+Settings!$S$2)</f>
        <v/>
      </c>
      <c r="V347" s="38"/>
      <c r="W347" s="39"/>
      <c r="X347" s="17"/>
      <c r="Y347" s="17"/>
      <c r="Z347" s="17"/>
      <c r="AA347" s="43" t="str">
        <f aca="true">IF(OR(E347="",B347=""),"",INT(TODAY()-B347))</f>
        <v/>
      </c>
      <c r="AB347" s="44" t="str">
        <f aca="true">IF(E347="","",IF(OR(COUNTIFS(Clients!$C$2:$C$501,E347,Clients!$S$2:$S$501,"Paid")&gt;0,AND(I347&lt;&gt;"",COUNTIFS(Clients!$E$2:$E$501,I347,Clients!$S$2:$S$501,"Paid")&gt;0)),"⚠ Refunded before – no free video",IF(OR(R347="Contract signed + paid",R347="Closed – No response",R347="Lost"),"",IF(R347="","Set a stage",IF(N(T347)&gt;=Settings!$S$3,"Close – 4 follow-ups sent",IF(U347="",IF(S347="","Make first contact",""),IF(TODAY()&gt;U347,"OVERDUE follow-up",IF(TODAY()=U347,"Follow up today",""))))))))</f>
        <v/>
      </c>
    </row>
    <row r="348" customFormat="false" ht="15" hidden="false" customHeight="false" outlineLevel="0" collapsed="false">
      <c r="A348" s="17"/>
      <c r="B348" s="38"/>
      <c r="C348" s="39"/>
      <c r="D348" s="17"/>
      <c r="E348" s="17"/>
      <c r="F348" s="17"/>
      <c r="G348" s="17"/>
      <c r="H348" s="17"/>
      <c r="I348" s="40"/>
      <c r="J348" s="17"/>
      <c r="K348" s="17"/>
      <c r="L348" s="17"/>
      <c r="M348" s="17"/>
      <c r="N348" s="38"/>
      <c r="O348" s="39"/>
      <c r="P348" s="41" t="str">
        <f aca="false">IF(OR(B348="",N348=""),"",ROUND(((N348+N(O348))-(B348+N(C348)))*24,1))</f>
        <v/>
      </c>
      <c r="Q348" s="17"/>
      <c r="R348" s="17"/>
      <c r="S348" s="38"/>
      <c r="T348" s="17"/>
      <c r="U348" s="42" t="str">
        <f aca="false">IF(OR(E348="",S348="",OR(R348="Contract signed + paid",R348="Closed – No response",R348="Lost"),N(T348)&gt;=Settings!$S$3),"",S348+Settings!$S$2)</f>
        <v/>
      </c>
      <c r="V348" s="38"/>
      <c r="W348" s="39"/>
      <c r="X348" s="17"/>
      <c r="Y348" s="17"/>
      <c r="Z348" s="17"/>
      <c r="AA348" s="43" t="str">
        <f aca="true">IF(OR(E348="",B348=""),"",INT(TODAY()-B348))</f>
        <v/>
      </c>
      <c r="AB348" s="44" t="str">
        <f aca="true">IF(E348="","",IF(OR(COUNTIFS(Clients!$C$2:$C$501,E348,Clients!$S$2:$S$501,"Paid")&gt;0,AND(I348&lt;&gt;"",COUNTIFS(Clients!$E$2:$E$501,I348,Clients!$S$2:$S$501,"Paid")&gt;0)),"⚠ Refunded before – no free video",IF(OR(R348="Contract signed + paid",R348="Closed – No response",R348="Lost"),"",IF(R348="","Set a stage",IF(N(T348)&gt;=Settings!$S$3,"Close – 4 follow-ups sent",IF(U348="",IF(S348="","Make first contact",""),IF(TODAY()&gt;U348,"OVERDUE follow-up",IF(TODAY()=U348,"Follow up today",""))))))))</f>
        <v/>
      </c>
    </row>
    <row r="349" customFormat="false" ht="15" hidden="false" customHeight="false" outlineLevel="0" collapsed="false">
      <c r="A349" s="17"/>
      <c r="B349" s="38"/>
      <c r="C349" s="39"/>
      <c r="D349" s="17"/>
      <c r="E349" s="17"/>
      <c r="F349" s="17"/>
      <c r="G349" s="17"/>
      <c r="H349" s="17"/>
      <c r="I349" s="40"/>
      <c r="J349" s="17"/>
      <c r="K349" s="17"/>
      <c r="L349" s="17"/>
      <c r="M349" s="17"/>
      <c r="N349" s="38"/>
      <c r="O349" s="39"/>
      <c r="P349" s="41" t="str">
        <f aca="false">IF(OR(B349="",N349=""),"",ROUND(((N349+N(O349))-(B349+N(C349)))*24,1))</f>
        <v/>
      </c>
      <c r="Q349" s="17"/>
      <c r="R349" s="17"/>
      <c r="S349" s="38"/>
      <c r="T349" s="17"/>
      <c r="U349" s="42" t="str">
        <f aca="false">IF(OR(E349="",S349="",OR(R349="Contract signed + paid",R349="Closed – No response",R349="Lost"),N(T349)&gt;=Settings!$S$3),"",S349+Settings!$S$2)</f>
        <v/>
      </c>
      <c r="V349" s="38"/>
      <c r="W349" s="39"/>
      <c r="X349" s="17"/>
      <c r="Y349" s="17"/>
      <c r="Z349" s="17"/>
      <c r="AA349" s="43" t="str">
        <f aca="true">IF(OR(E349="",B349=""),"",INT(TODAY()-B349))</f>
        <v/>
      </c>
      <c r="AB349" s="44" t="str">
        <f aca="true">IF(E349="","",IF(OR(COUNTIFS(Clients!$C$2:$C$501,E349,Clients!$S$2:$S$501,"Paid")&gt;0,AND(I349&lt;&gt;"",COUNTIFS(Clients!$E$2:$E$501,I349,Clients!$S$2:$S$501,"Paid")&gt;0)),"⚠ Refunded before – no free video",IF(OR(R349="Contract signed + paid",R349="Closed – No response",R349="Lost"),"",IF(R349="","Set a stage",IF(N(T349)&gt;=Settings!$S$3,"Close – 4 follow-ups sent",IF(U349="",IF(S349="","Make first contact",""),IF(TODAY()&gt;U349,"OVERDUE follow-up",IF(TODAY()=U349,"Follow up today",""))))))))</f>
        <v/>
      </c>
    </row>
    <row r="350" customFormat="false" ht="15" hidden="false" customHeight="false" outlineLevel="0" collapsed="false">
      <c r="A350" s="17"/>
      <c r="B350" s="38"/>
      <c r="C350" s="39"/>
      <c r="D350" s="17"/>
      <c r="E350" s="17"/>
      <c r="F350" s="17"/>
      <c r="G350" s="17"/>
      <c r="H350" s="17"/>
      <c r="I350" s="40"/>
      <c r="J350" s="17"/>
      <c r="K350" s="17"/>
      <c r="L350" s="17"/>
      <c r="M350" s="17"/>
      <c r="N350" s="38"/>
      <c r="O350" s="39"/>
      <c r="P350" s="41" t="str">
        <f aca="false">IF(OR(B350="",N350=""),"",ROUND(((N350+N(O350))-(B350+N(C350)))*24,1))</f>
        <v/>
      </c>
      <c r="Q350" s="17"/>
      <c r="R350" s="17"/>
      <c r="S350" s="38"/>
      <c r="T350" s="17"/>
      <c r="U350" s="42" t="str">
        <f aca="false">IF(OR(E350="",S350="",OR(R350="Contract signed + paid",R350="Closed – No response",R350="Lost"),N(T350)&gt;=Settings!$S$3),"",S350+Settings!$S$2)</f>
        <v/>
      </c>
      <c r="V350" s="38"/>
      <c r="W350" s="39"/>
      <c r="X350" s="17"/>
      <c r="Y350" s="17"/>
      <c r="Z350" s="17"/>
      <c r="AA350" s="43" t="str">
        <f aca="true">IF(OR(E350="",B350=""),"",INT(TODAY()-B350))</f>
        <v/>
      </c>
      <c r="AB350" s="44" t="str">
        <f aca="true">IF(E350="","",IF(OR(COUNTIFS(Clients!$C$2:$C$501,E350,Clients!$S$2:$S$501,"Paid")&gt;0,AND(I350&lt;&gt;"",COUNTIFS(Clients!$E$2:$E$501,I350,Clients!$S$2:$S$501,"Paid")&gt;0)),"⚠ Refunded before – no free video",IF(OR(R350="Contract signed + paid",R350="Closed – No response",R350="Lost"),"",IF(R350="","Set a stage",IF(N(T350)&gt;=Settings!$S$3,"Close – 4 follow-ups sent",IF(U350="",IF(S350="","Make first contact",""),IF(TODAY()&gt;U350,"OVERDUE follow-up",IF(TODAY()=U350,"Follow up today",""))))))))</f>
        <v/>
      </c>
    </row>
    <row r="351" customFormat="false" ht="15" hidden="false" customHeight="false" outlineLevel="0" collapsed="false">
      <c r="A351" s="17"/>
      <c r="B351" s="38"/>
      <c r="C351" s="39"/>
      <c r="D351" s="17"/>
      <c r="E351" s="17"/>
      <c r="F351" s="17"/>
      <c r="G351" s="17"/>
      <c r="H351" s="17"/>
      <c r="I351" s="40"/>
      <c r="J351" s="17"/>
      <c r="K351" s="17"/>
      <c r="L351" s="17"/>
      <c r="M351" s="17"/>
      <c r="N351" s="38"/>
      <c r="O351" s="39"/>
      <c r="P351" s="41" t="str">
        <f aca="false">IF(OR(B351="",N351=""),"",ROUND(((N351+N(O351))-(B351+N(C351)))*24,1))</f>
        <v/>
      </c>
      <c r="Q351" s="17"/>
      <c r="R351" s="17"/>
      <c r="S351" s="38"/>
      <c r="T351" s="17"/>
      <c r="U351" s="42" t="str">
        <f aca="false">IF(OR(E351="",S351="",OR(R351="Contract signed + paid",R351="Closed – No response",R351="Lost"),N(T351)&gt;=Settings!$S$3),"",S351+Settings!$S$2)</f>
        <v/>
      </c>
      <c r="V351" s="38"/>
      <c r="W351" s="39"/>
      <c r="X351" s="17"/>
      <c r="Y351" s="17"/>
      <c r="Z351" s="17"/>
      <c r="AA351" s="43" t="str">
        <f aca="true">IF(OR(E351="",B351=""),"",INT(TODAY()-B351))</f>
        <v/>
      </c>
      <c r="AB351" s="44" t="str">
        <f aca="true">IF(E351="","",IF(OR(COUNTIFS(Clients!$C$2:$C$501,E351,Clients!$S$2:$S$501,"Paid")&gt;0,AND(I351&lt;&gt;"",COUNTIFS(Clients!$E$2:$E$501,I351,Clients!$S$2:$S$501,"Paid")&gt;0)),"⚠ Refunded before – no free video",IF(OR(R351="Contract signed + paid",R351="Closed – No response",R351="Lost"),"",IF(R351="","Set a stage",IF(N(T351)&gt;=Settings!$S$3,"Close – 4 follow-ups sent",IF(U351="",IF(S351="","Make first contact",""),IF(TODAY()&gt;U351,"OVERDUE follow-up",IF(TODAY()=U351,"Follow up today",""))))))))</f>
        <v/>
      </c>
    </row>
    <row r="352" customFormat="false" ht="15" hidden="false" customHeight="false" outlineLevel="0" collapsed="false">
      <c r="A352" s="17"/>
      <c r="B352" s="38"/>
      <c r="C352" s="39"/>
      <c r="D352" s="17"/>
      <c r="E352" s="17"/>
      <c r="F352" s="17"/>
      <c r="G352" s="17"/>
      <c r="H352" s="17"/>
      <c r="I352" s="40"/>
      <c r="J352" s="17"/>
      <c r="K352" s="17"/>
      <c r="L352" s="17"/>
      <c r="M352" s="17"/>
      <c r="N352" s="38"/>
      <c r="O352" s="39"/>
      <c r="P352" s="41" t="str">
        <f aca="false">IF(OR(B352="",N352=""),"",ROUND(((N352+N(O352))-(B352+N(C352)))*24,1))</f>
        <v/>
      </c>
      <c r="Q352" s="17"/>
      <c r="R352" s="17"/>
      <c r="S352" s="38"/>
      <c r="T352" s="17"/>
      <c r="U352" s="42" t="str">
        <f aca="false">IF(OR(E352="",S352="",OR(R352="Contract signed + paid",R352="Closed – No response",R352="Lost"),N(T352)&gt;=Settings!$S$3),"",S352+Settings!$S$2)</f>
        <v/>
      </c>
      <c r="V352" s="38"/>
      <c r="W352" s="39"/>
      <c r="X352" s="17"/>
      <c r="Y352" s="17"/>
      <c r="Z352" s="17"/>
      <c r="AA352" s="43" t="str">
        <f aca="true">IF(OR(E352="",B352=""),"",INT(TODAY()-B352))</f>
        <v/>
      </c>
      <c r="AB352" s="44" t="str">
        <f aca="true">IF(E352="","",IF(OR(COUNTIFS(Clients!$C$2:$C$501,E352,Clients!$S$2:$S$501,"Paid")&gt;0,AND(I352&lt;&gt;"",COUNTIFS(Clients!$E$2:$E$501,I352,Clients!$S$2:$S$501,"Paid")&gt;0)),"⚠ Refunded before – no free video",IF(OR(R352="Contract signed + paid",R352="Closed – No response",R352="Lost"),"",IF(R352="","Set a stage",IF(N(T352)&gt;=Settings!$S$3,"Close – 4 follow-ups sent",IF(U352="",IF(S352="","Make first contact",""),IF(TODAY()&gt;U352,"OVERDUE follow-up",IF(TODAY()=U352,"Follow up today",""))))))))</f>
        <v/>
      </c>
    </row>
    <row r="353" customFormat="false" ht="15" hidden="false" customHeight="false" outlineLevel="0" collapsed="false">
      <c r="A353" s="17"/>
      <c r="B353" s="38"/>
      <c r="C353" s="39"/>
      <c r="D353" s="17"/>
      <c r="E353" s="17"/>
      <c r="F353" s="17"/>
      <c r="G353" s="17"/>
      <c r="H353" s="17"/>
      <c r="I353" s="40"/>
      <c r="J353" s="17"/>
      <c r="K353" s="17"/>
      <c r="L353" s="17"/>
      <c r="M353" s="17"/>
      <c r="N353" s="38"/>
      <c r="O353" s="39"/>
      <c r="P353" s="41" t="str">
        <f aca="false">IF(OR(B353="",N353=""),"",ROUND(((N353+N(O353))-(B353+N(C353)))*24,1))</f>
        <v/>
      </c>
      <c r="Q353" s="17"/>
      <c r="R353" s="17"/>
      <c r="S353" s="38"/>
      <c r="T353" s="17"/>
      <c r="U353" s="42" t="str">
        <f aca="false">IF(OR(E353="",S353="",OR(R353="Contract signed + paid",R353="Closed – No response",R353="Lost"),N(T353)&gt;=Settings!$S$3),"",S353+Settings!$S$2)</f>
        <v/>
      </c>
      <c r="V353" s="38"/>
      <c r="W353" s="39"/>
      <c r="X353" s="17"/>
      <c r="Y353" s="17"/>
      <c r="Z353" s="17"/>
      <c r="AA353" s="43" t="str">
        <f aca="true">IF(OR(E353="",B353=""),"",INT(TODAY()-B353))</f>
        <v/>
      </c>
      <c r="AB353" s="44" t="str">
        <f aca="true">IF(E353="","",IF(OR(COUNTIFS(Clients!$C$2:$C$501,E353,Clients!$S$2:$S$501,"Paid")&gt;0,AND(I353&lt;&gt;"",COUNTIFS(Clients!$E$2:$E$501,I353,Clients!$S$2:$S$501,"Paid")&gt;0)),"⚠ Refunded before – no free video",IF(OR(R353="Contract signed + paid",R353="Closed – No response",R353="Lost"),"",IF(R353="","Set a stage",IF(N(T353)&gt;=Settings!$S$3,"Close – 4 follow-ups sent",IF(U353="",IF(S353="","Make first contact",""),IF(TODAY()&gt;U353,"OVERDUE follow-up",IF(TODAY()=U353,"Follow up today",""))))))))</f>
        <v/>
      </c>
    </row>
    <row r="354" customFormat="false" ht="15" hidden="false" customHeight="false" outlineLevel="0" collapsed="false">
      <c r="A354" s="17"/>
      <c r="B354" s="38"/>
      <c r="C354" s="39"/>
      <c r="D354" s="17"/>
      <c r="E354" s="17"/>
      <c r="F354" s="17"/>
      <c r="G354" s="17"/>
      <c r="H354" s="17"/>
      <c r="I354" s="40"/>
      <c r="J354" s="17"/>
      <c r="K354" s="17"/>
      <c r="L354" s="17"/>
      <c r="M354" s="17"/>
      <c r="N354" s="38"/>
      <c r="O354" s="39"/>
      <c r="P354" s="41" t="str">
        <f aca="false">IF(OR(B354="",N354=""),"",ROUND(((N354+N(O354))-(B354+N(C354)))*24,1))</f>
        <v/>
      </c>
      <c r="Q354" s="17"/>
      <c r="R354" s="17"/>
      <c r="S354" s="38"/>
      <c r="T354" s="17"/>
      <c r="U354" s="42" t="str">
        <f aca="false">IF(OR(E354="",S354="",OR(R354="Contract signed + paid",R354="Closed – No response",R354="Lost"),N(T354)&gt;=Settings!$S$3),"",S354+Settings!$S$2)</f>
        <v/>
      </c>
      <c r="V354" s="38"/>
      <c r="W354" s="39"/>
      <c r="X354" s="17"/>
      <c r="Y354" s="17"/>
      <c r="Z354" s="17"/>
      <c r="AA354" s="43" t="str">
        <f aca="true">IF(OR(E354="",B354=""),"",INT(TODAY()-B354))</f>
        <v/>
      </c>
      <c r="AB354" s="44" t="str">
        <f aca="true">IF(E354="","",IF(OR(COUNTIFS(Clients!$C$2:$C$501,E354,Clients!$S$2:$S$501,"Paid")&gt;0,AND(I354&lt;&gt;"",COUNTIFS(Clients!$E$2:$E$501,I354,Clients!$S$2:$S$501,"Paid")&gt;0)),"⚠ Refunded before – no free video",IF(OR(R354="Contract signed + paid",R354="Closed – No response",R354="Lost"),"",IF(R354="","Set a stage",IF(N(T354)&gt;=Settings!$S$3,"Close – 4 follow-ups sent",IF(U354="",IF(S354="","Make first contact",""),IF(TODAY()&gt;U354,"OVERDUE follow-up",IF(TODAY()=U354,"Follow up today",""))))))))</f>
        <v/>
      </c>
    </row>
    <row r="355" customFormat="false" ht="15" hidden="false" customHeight="false" outlineLevel="0" collapsed="false">
      <c r="A355" s="17"/>
      <c r="B355" s="38"/>
      <c r="C355" s="39"/>
      <c r="D355" s="17"/>
      <c r="E355" s="17"/>
      <c r="F355" s="17"/>
      <c r="G355" s="17"/>
      <c r="H355" s="17"/>
      <c r="I355" s="40"/>
      <c r="J355" s="17"/>
      <c r="K355" s="17"/>
      <c r="L355" s="17"/>
      <c r="M355" s="17"/>
      <c r="N355" s="38"/>
      <c r="O355" s="39"/>
      <c r="P355" s="41" t="str">
        <f aca="false">IF(OR(B355="",N355=""),"",ROUND(((N355+N(O355))-(B355+N(C355)))*24,1))</f>
        <v/>
      </c>
      <c r="Q355" s="17"/>
      <c r="R355" s="17"/>
      <c r="S355" s="38"/>
      <c r="T355" s="17"/>
      <c r="U355" s="42" t="str">
        <f aca="false">IF(OR(E355="",S355="",OR(R355="Contract signed + paid",R355="Closed – No response",R355="Lost"),N(T355)&gt;=Settings!$S$3),"",S355+Settings!$S$2)</f>
        <v/>
      </c>
      <c r="V355" s="38"/>
      <c r="W355" s="39"/>
      <c r="X355" s="17"/>
      <c r="Y355" s="17"/>
      <c r="Z355" s="17"/>
      <c r="AA355" s="43" t="str">
        <f aca="true">IF(OR(E355="",B355=""),"",INT(TODAY()-B355))</f>
        <v/>
      </c>
      <c r="AB355" s="44" t="str">
        <f aca="true">IF(E355="","",IF(OR(COUNTIFS(Clients!$C$2:$C$501,E355,Clients!$S$2:$S$501,"Paid")&gt;0,AND(I355&lt;&gt;"",COUNTIFS(Clients!$E$2:$E$501,I355,Clients!$S$2:$S$501,"Paid")&gt;0)),"⚠ Refunded before – no free video",IF(OR(R355="Contract signed + paid",R355="Closed – No response",R355="Lost"),"",IF(R355="","Set a stage",IF(N(T355)&gt;=Settings!$S$3,"Close – 4 follow-ups sent",IF(U355="",IF(S355="","Make first contact",""),IF(TODAY()&gt;U355,"OVERDUE follow-up",IF(TODAY()=U355,"Follow up today",""))))))))</f>
        <v/>
      </c>
    </row>
    <row r="356" customFormat="false" ht="15" hidden="false" customHeight="false" outlineLevel="0" collapsed="false">
      <c r="A356" s="17"/>
      <c r="B356" s="38"/>
      <c r="C356" s="39"/>
      <c r="D356" s="17"/>
      <c r="E356" s="17"/>
      <c r="F356" s="17"/>
      <c r="G356" s="17"/>
      <c r="H356" s="17"/>
      <c r="I356" s="40"/>
      <c r="J356" s="17"/>
      <c r="K356" s="17"/>
      <c r="L356" s="17"/>
      <c r="M356" s="17"/>
      <c r="N356" s="38"/>
      <c r="O356" s="39"/>
      <c r="P356" s="41" t="str">
        <f aca="false">IF(OR(B356="",N356=""),"",ROUND(((N356+N(O356))-(B356+N(C356)))*24,1))</f>
        <v/>
      </c>
      <c r="Q356" s="17"/>
      <c r="R356" s="17"/>
      <c r="S356" s="38"/>
      <c r="T356" s="17"/>
      <c r="U356" s="42" t="str">
        <f aca="false">IF(OR(E356="",S356="",OR(R356="Contract signed + paid",R356="Closed – No response",R356="Lost"),N(T356)&gt;=Settings!$S$3),"",S356+Settings!$S$2)</f>
        <v/>
      </c>
      <c r="V356" s="38"/>
      <c r="W356" s="39"/>
      <c r="X356" s="17"/>
      <c r="Y356" s="17"/>
      <c r="Z356" s="17"/>
      <c r="AA356" s="43" t="str">
        <f aca="true">IF(OR(E356="",B356=""),"",INT(TODAY()-B356))</f>
        <v/>
      </c>
      <c r="AB356" s="44" t="str">
        <f aca="true">IF(E356="","",IF(OR(COUNTIFS(Clients!$C$2:$C$501,E356,Clients!$S$2:$S$501,"Paid")&gt;0,AND(I356&lt;&gt;"",COUNTIFS(Clients!$E$2:$E$501,I356,Clients!$S$2:$S$501,"Paid")&gt;0)),"⚠ Refunded before – no free video",IF(OR(R356="Contract signed + paid",R356="Closed – No response",R356="Lost"),"",IF(R356="","Set a stage",IF(N(T356)&gt;=Settings!$S$3,"Close – 4 follow-ups sent",IF(U356="",IF(S356="","Make first contact",""),IF(TODAY()&gt;U356,"OVERDUE follow-up",IF(TODAY()=U356,"Follow up today",""))))))))</f>
        <v/>
      </c>
    </row>
    <row r="357" customFormat="false" ht="15" hidden="false" customHeight="false" outlineLevel="0" collapsed="false">
      <c r="A357" s="17"/>
      <c r="B357" s="38"/>
      <c r="C357" s="39"/>
      <c r="D357" s="17"/>
      <c r="E357" s="17"/>
      <c r="F357" s="17"/>
      <c r="G357" s="17"/>
      <c r="H357" s="17"/>
      <c r="I357" s="40"/>
      <c r="J357" s="17"/>
      <c r="K357" s="17"/>
      <c r="L357" s="17"/>
      <c r="M357" s="17"/>
      <c r="N357" s="38"/>
      <c r="O357" s="39"/>
      <c r="P357" s="41" t="str">
        <f aca="false">IF(OR(B357="",N357=""),"",ROUND(((N357+N(O357))-(B357+N(C357)))*24,1))</f>
        <v/>
      </c>
      <c r="Q357" s="17"/>
      <c r="R357" s="17"/>
      <c r="S357" s="38"/>
      <c r="T357" s="17"/>
      <c r="U357" s="42" t="str">
        <f aca="false">IF(OR(E357="",S357="",OR(R357="Contract signed + paid",R357="Closed – No response",R357="Lost"),N(T357)&gt;=Settings!$S$3),"",S357+Settings!$S$2)</f>
        <v/>
      </c>
      <c r="V357" s="38"/>
      <c r="W357" s="39"/>
      <c r="X357" s="17"/>
      <c r="Y357" s="17"/>
      <c r="Z357" s="17"/>
      <c r="AA357" s="43" t="str">
        <f aca="true">IF(OR(E357="",B357=""),"",INT(TODAY()-B357))</f>
        <v/>
      </c>
      <c r="AB357" s="44" t="str">
        <f aca="true">IF(E357="","",IF(OR(COUNTIFS(Clients!$C$2:$C$501,E357,Clients!$S$2:$S$501,"Paid")&gt;0,AND(I357&lt;&gt;"",COUNTIFS(Clients!$E$2:$E$501,I357,Clients!$S$2:$S$501,"Paid")&gt;0)),"⚠ Refunded before – no free video",IF(OR(R357="Contract signed + paid",R357="Closed – No response",R357="Lost"),"",IF(R357="","Set a stage",IF(N(T357)&gt;=Settings!$S$3,"Close – 4 follow-ups sent",IF(U357="",IF(S357="","Make first contact",""),IF(TODAY()&gt;U357,"OVERDUE follow-up",IF(TODAY()=U357,"Follow up today",""))))))))</f>
        <v/>
      </c>
    </row>
    <row r="358" customFormat="false" ht="15" hidden="false" customHeight="false" outlineLevel="0" collapsed="false">
      <c r="A358" s="17"/>
      <c r="B358" s="38"/>
      <c r="C358" s="39"/>
      <c r="D358" s="17"/>
      <c r="E358" s="17"/>
      <c r="F358" s="17"/>
      <c r="G358" s="17"/>
      <c r="H358" s="17"/>
      <c r="I358" s="40"/>
      <c r="J358" s="17"/>
      <c r="K358" s="17"/>
      <c r="L358" s="17"/>
      <c r="M358" s="17"/>
      <c r="N358" s="38"/>
      <c r="O358" s="39"/>
      <c r="P358" s="41" t="str">
        <f aca="false">IF(OR(B358="",N358=""),"",ROUND(((N358+N(O358))-(B358+N(C358)))*24,1))</f>
        <v/>
      </c>
      <c r="Q358" s="17"/>
      <c r="R358" s="17"/>
      <c r="S358" s="38"/>
      <c r="T358" s="17"/>
      <c r="U358" s="42" t="str">
        <f aca="false">IF(OR(E358="",S358="",OR(R358="Contract signed + paid",R358="Closed – No response",R358="Lost"),N(T358)&gt;=Settings!$S$3),"",S358+Settings!$S$2)</f>
        <v/>
      </c>
      <c r="V358" s="38"/>
      <c r="W358" s="39"/>
      <c r="X358" s="17"/>
      <c r="Y358" s="17"/>
      <c r="Z358" s="17"/>
      <c r="AA358" s="43" t="str">
        <f aca="true">IF(OR(E358="",B358=""),"",INT(TODAY()-B358))</f>
        <v/>
      </c>
      <c r="AB358" s="44" t="str">
        <f aca="true">IF(E358="","",IF(OR(COUNTIFS(Clients!$C$2:$C$501,E358,Clients!$S$2:$S$501,"Paid")&gt;0,AND(I358&lt;&gt;"",COUNTIFS(Clients!$E$2:$E$501,I358,Clients!$S$2:$S$501,"Paid")&gt;0)),"⚠ Refunded before – no free video",IF(OR(R358="Contract signed + paid",R358="Closed – No response",R358="Lost"),"",IF(R358="","Set a stage",IF(N(T358)&gt;=Settings!$S$3,"Close – 4 follow-ups sent",IF(U358="",IF(S358="","Make first contact",""),IF(TODAY()&gt;U358,"OVERDUE follow-up",IF(TODAY()=U358,"Follow up today",""))))))))</f>
        <v/>
      </c>
    </row>
    <row r="359" customFormat="false" ht="15" hidden="false" customHeight="false" outlineLevel="0" collapsed="false">
      <c r="A359" s="17"/>
      <c r="B359" s="38"/>
      <c r="C359" s="39"/>
      <c r="D359" s="17"/>
      <c r="E359" s="17"/>
      <c r="F359" s="17"/>
      <c r="G359" s="17"/>
      <c r="H359" s="17"/>
      <c r="I359" s="40"/>
      <c r="J359" s="17"/>
      <c r="K359" s="17"/>
      <c r="L359" s="17"/>
      <c r="M359" s="17"/>
      <c r="N359" s="38"/>
      <c r="O359" s="39"/>
      <c r="P359" s="41" t="str">
        <f aca="false">IF(OR(B359="",N359=""),"",ROUND(((N359+N(O359))-(B359+N(C359)))*24,1))</f>
        <v/>
      </c>
      <c r="Q359" s="17"/>
      <c r="R359" s="17"/>
      <c r="S359" s="38"/>
      <c r="T359" s="17"/>
      <c r="U359" s="42" t="str">
        <f aca="false">IF(OR(E359="",S359="",OR(R359="Contract signed + paid",R359="Closed – No response",R359="Lost"),N(T359)&gt;=Settings!$S$3),"",S359+Settings!$S$2)</f>
        <v/>
      </c>
      <c r="V359" s="38"/>
      <c r="W359" s="39"/>
      <c r="X359" s="17"/>
      <c r="Y359" s="17"/>
      <c r="Z359" s="17"/>
      <c r="AA359" s="43" t="str">
        <f aca="true">IF(OR(E359="",B359=""),"",INT(TODAY()-B359))</f>
        <v/>
      </c>
      <c r="AB359" s="44" t="str">
        <f aca="true">IF(E359="","",IF(OR(COUNTIFS(Clients!$C$2:$C$501,E359,Clients!$S$2:$S$501,"Paid")&gt;0,AND(I359&lt;&gt;"",COUNTIFS(Clients!$E$2:$E$501,I359,Clients!$S$2:$S$501,"Paid")&gt;0)),"⚠ Refunded before – no free video",IF(OR(R359="Contract signed + paid",R359="Closed – No response",R359="Lost"),"",IF(R359="","Set a stage",IF(N(T359)&gt;=Settings!$S$3,"Close – 4 follow-ups sent",IF(U359="",IF(S359="","Make first contact",""),IF(TODAY()&gt;U359,"OVERDUE follow-up",IF(TODAY()=U359,"Follow up today",""))))))))</f>
        <v/>
      </c>
    </row>
    <row r="360" customFormat="false" ht="15" hidden="false" customHeight="false" outlineLevel="0" collapsed="false">
      <c r="A360" s="17"/>
      <c r="B360" s="38"/>
      <c r="C360" s="39"/>
      <c r="D360" s="17"/>
      <c r="E360" s="17"/>
      <c r="F360" s="17"/>
      <c r="G360" s="17"/>
      <c r="H360" s="17"/>
      <c r="I360" s="40"/>
      <c r="J360" s="17"/>
      <c r="K360" s="17"/>
      <c r="L360" s="17"/>
      <c r="M360" s="17"/>
      <c r="N360" s="38"/>
      <c r="O360" s="39"/>
      <c r="P360" s="41" t="str">
        <f aca="false">IF(OR(B360="",N360=""),"",ROUND(((N360+N(O360))-(B360+N(C360)))*24,1))</f>
        <v/>
      </c>
      <c r="Q360" s="17"/>
      <c r="R360" s="17"/>
      <c r="S360" s="38"/>
      <c r="T360" s="17"/>
      <c r="U360" s="42" t="str">
        <f aca="false">IF(OR(E360="",S360="",OR(R360="Contract signed + paid",R360="Closed – No response",R360="Lost"),N(T360)&gt;=Settings!$S$3),"",S360+Settings!$S$2)</f>
        <v/>
      </c>
      <c r="V360" s="38"/>
      <c r="W360" s="39"/>
      <c r="X360" s="17"/>
      <c r="Y360" s="17"/>
      <c r="Z360" s="17"/>
      <c r="AA360" s="43" t="str">
        <f aca="true">IF(OR(E360="",B360=""),"",INT(TODAY()-B360))</f>
        <v/>
      </c>
      <c r="AB360" s="44" t="str">
        <f aca="true">IF(E360="","",IF(OR(COUNTIFS(Clients!$C$2:$C$501,E360,Clients!$S$2:$S$501,"Paid")&gt;0,AND(I360&lt;&gt;"",COUNTIFS(Clients!$E$2:$E$501,I360,Clients!$S$2:$S$501,"Paid")&gt;0)),"⚠ Refunded before – no free video",IF(OR(R360="Contract signed + paid",R360="Closed – No response",R360="Lost"),"",IF(R360="","Set a stage",IF(N(T360)&gt;=Settings!$S$3,"Close – 4 follow-ups sent",IF(U360="",IF(S360="","Make first contact",""),IF(TODAY()&gt;U360,"OVERDUE follow-up",IF(TODAY()=U360,"Follow up today",""))))))))</f>
        <v/>
      </c>
    </row>
    <row r="361" customFormat="false" ht="15" hidden="false" customHeight="false" outlineLevel="0" collapsed="false">
      <c r="A361" s="17"/>
      <c r="B361" s="38"/>
      <c r="C361" s="39"/>
      <c r="D361" s="17"/>
      <c r="E361" s="17"/>
      <c r="F361" s="17"/>
      <c r="G361" s="17"/>
      <c r="H361" s="17"/>
      <c r="I361" s="40"/>
      <c r="J361" s="17"/>
      <c r="K361" s="17"/>
      <c r="L361" s="17"/>
      <c r="M361" s="17"/>
      <c r="N361" s="38"/>
      <c r="O361" s="39"/>
      <c r="P361" s="41" t="str">
        <f aca="false">IF(OR(B361="",N361=""),"",ROUND(((N361+N(O361))-(B361+N(C361)))*24,1))</f>
        <v/>
      </c>
      <c r="Q361" s="17"/>
      <c r="R361" s="17"/>
      <c r="S361" s="38"/>
      <c r="T361" s="17"/>
      <c r="U361" s="42" t="str">
        <f aca="false">IF(OR(E361="",S361="",OR(R361="Contract signed + paid",R361="Closed – No response",R361="Lost"),N(T361)&gt;=Settings!$S$3),"",S361+Settings!$S$2)</f>
        <v/>
      </c>
      <c r="V361" s="38"/>
      <c r="W361" s="39"/>
      <c r="X361" s="17"/>
      <c r="Y361" s="17"/>
      <c r="Z361" s="17"/>
      <c r="AA361" s="43" t="str">
        <f aca="true">IF(OR(E361="",B361=""),"",INT(TODAY()-B361))</f>
        <v/>
      </c>
      <c r="AB361" s="44" t="str">
        <f aca="true">IF(E361="","",IF(OR(COUNTIFS(Clients!$C$2:$C$501,E361,Clients!$S$2:$S$501,"Paid")&gt;0,AND(I361&lt;&gt;"",COUNTIFS(Clients!$E$2:$E$501,I361,Clients!$S$2:$S$501,"Paid")&gt;0)),"⚠ Refunded before – no free video",IF(OR(R361="Contract signed + paid",R361="Closed – No response",R361="Lost"),"",IF(R361="","Set a stage",IF(N(T361)&gt;=Settings!$S$3,"Close – 4 follow-ups sent",IF(U361="",IF(S361="","Make first contact",""),IF(TODAY()&gt;U361,"OVERDUE follow-up",IF(TODAY()=U361,"Follow up today",""))))))))</f>
        <v/>
      </c>
    </row>
    <row r="362" customFormat="false" ht="15" hidden="false" customHeight="false" outlineLevel="0" collapsed="false">
      <c r="A362" s="17"/>
      <c r="B362" s="38"/>
      <c r="C362" s="39"/>
      <c r="D362" s="17"/>
      <c r="E362" s="17"/>
      <c r="F362" s="17"/>
      <c r="G362" s="17"/>
      <c r="H362" s="17"/>
      <c r="I362" s="40"/>
      <c r="J362" s="17"/>
      <c r="K362" s="17"/>
      <c r="L362" s="17"/>
      <c r="M362" s="17"/>
      <c r="N362" s="38"/>
      <c r="O362" s="39"/>
      <c r="P362" s="41" t="str">
        <f aca="false">IF(OR(B362="",N362=""),"",ROUND(((N362+N(O362))-(B362+N(C362)))*24,1))</f>
        <v/>
      </c>
      <c r="Q362" s="17"/>
      <c r="R362" s="17"/>
      <c r="S362" s="38"/>
      <c r="T362" s="17"/>
      <c r="U362" s="42" t="str">
        <f aca="false">IF(OR(E362="",S362="",OR(R362="Contract signed + paid",R362="Closed – No response",R362="Lost"),N(T362)&gt;=Settings!$S$3),"",S362+Settings!$S$2)</f>
        <v/>
      </c>
      <c r="V362" s="38"/>
      <c r="W362" s="39"/>
      <c r="X362" s="17"/>
      <c r="Y362" s="17"/>
      <c r="Z362" s="17"/>
      <c r="AA362" s="43" t="str">
        <f aca="true">IF(OR(E362="",B362=""),"",INT(TODAY()-B362))</f>
        <v/>
      </c>
      <c r="AB362" s="44" t="str">
        <f aca="true">IF(E362="","",IF(OR(COUNTIFS(Clients!$C$2:$C$501,E362,Clients!$S$2:$S$501,"Paid")&gt;0,AND(I362&lt;&gt;"",COUNTIFS(Clients!$E$2:$E$501,I362,Clients!$S$2:$S$501,"Paid")&gt;0)),"⚠ Refunded before – no free video",IF(OR(R362="Contract signed + paid",R362="Closed – No response",R362="Lost"),"",IF(R362="","Set a stage",IF(N(T362)&gt;=Settings!$S$3,"Close – 4 follow-ups sent",IF(U362="",IF(S362="","Make first contact",""),IF(TODAY()&gt;U362,"OVERDUE follow-up",IF(TODAY()=U362,"Follow up today",""))))))))</f>
        <v/>
      </c>
    </row>
    <row r="363" customFormat="false" ht="15" hidden="false" customHeight="false" outlineLevel="0" collapsed="false">
      <c r="A363" s="17"/>
      <c r="B363" s="38"/>
      <c r="C363" s="39"/>
      <c r="D363" s="17"/>
      <c r="E363" s="17"/>
      <c r="F363" s="17"/>
      <c r="G363" s="17"/>
      <c r="H363" s="17"/>
      <c r="I363" s="40"/>
      <c r="J363" s="17"/>
      <c r="K363" s="17"/>
      <c r="L363" s="17"/>
      <c r="M363" s="17"/>
      <c r="N363" s="38"/>
      <c r="O363" s="39"/>
      <c r="P363" s="41" t="str">
        <f aca="false">IF(OR(B363="",N363=""),"",ROUND(((N363+N(O363))-(B363+N(C363)))*24,1))</f>
        <v/>
      </c>
      <c r="Q363" s="17"/>
      <c r="R363" s="17"/>
      <c r="S363" s="38"/>
      <c r="T363" s="17"/>
      <c r="U363" s="42" t="str">
        <f aca="false">IF(OR(E363="",S363="",OR(R363="Contract signed + paid",R363="Closed – No response",R363="Lost"),N(T363)&gt;=Settings!$S$3),"",S363+Settings!$S$2)</f>
        <v/>
      </c>
      <c r="V363" s="38"/>
      <c r="W363" s="39"/>
      <c r="X363" s="17"/>
      <c r="Y363" s="17"/>
      <c r="Z363" s="17"/>
      <c r="AA363" s="43" t="str">
        <f aca="true">IF(OR(E363="",B363=""),"",INT(TODAY()-B363))</f>
        <v/>
      </c>
      <c r="AB363" s="44" t="str">
        <f aca="true">IF(E363="","",IF(OR(COUNTIFS(Clients!$C$2:$C$501,E363,Clients!$S$2:$S$501,"Paid")&gt;0,AND(I363&lt;&gt;"",COUNTIFS(Clients!$E$2:$E$501,I363,Clients!$S$2:$S$501,"Paid")&gt;0)),"⚠ Refunded before – no free video",IF(OR(R363="Contract signed + paid",R363="Closed – No response",R363="Lost"),"",IF(R363="","Set a stage",IF(N(T363)&gt;=Settings!$S$3,"Close – 4 follow-ups sent",IF(U363="",IF(S363="","Make first contact",""),IF(TODAY()&gt;U363,"OVERDUE follow-up",IF(TODAY()=U363,"Follow up today",""))))))))</f>
        <v/>
      </c>
    </row>
    <row r="364" customFormat="false" ht="15" hidden="false" customHeight="false" outlineLevel="0" collapsed="false">
      <c r="A364" s="17"/>
      <c r="B364" s="38"/>
      <c r="C364" s="39"/>
      <c r="D364" s="17"/>
      <c r="E364" s="17"/>
      <c r="F364" s="17"/>
      <c r="G364" s="17"/>
      <c r="H364" s="17"/>
      <c r="I364" s="40"/>
      <c r="J364" s="17"/>
      <c r="K364" s="17"/>
      <c r="L364" s="17"/>
      <c r="M364" s="17"/>
      <c r="N364" s="38"/>
      <c r="O364" s="39"/>
      <c r="P364" s="41" t="str">
        <f aca="false">IF(OR(B364="",N364=""),"",ROUND(((N364+N(O364))-(B364+N(C364)))*24,1))</f>
        <v/>
      </c>
      <c r="Q364" s="17"/>
      <c r="R364" s="17"/>
      <c r="S364" s="38"/>
      <c r="T364" s="17"/>
      <c r="U364" s="42" t="str">
        <f aca="false">IF(OR(E364="",S364="",OR(R364="Contract signed + paid",R364="Closed – No response",R364="Lost"),N(T364)&gt;=Settings!$S$3),"",S364+Settings!$S$2)</f>
        <v/>
      </c>
      <c r="V364" s="38"/>
      <c r="W364" s="39"/>
      <c r="X364" s="17"/>
      <c r="Y364" s="17"/>
      <c r="Z364" s="17"/>
      <c r="AA364" s="43" t="str">
        <f aca="true">IF(OR(E364="",B364=""),"",INT(TODAY()-B364))</f>
        <v/>
      </c>
      <c r="AB364" s="44" t="str">
        <f aca="true">IF(E364="","",IF(OR(COUNTIFS(Clients!$C$2:$C$501,E364,Clients!$S$2:$S$501,"Paid")&gt;0,AND(I364&lt;&gt;"",COUNTIFS(Clients!$E$2:$E$501,I364,Clients!$S$2:$S$501,"Paid")&gt;0)),"⚠ Refunded before – no free video",IF(OR(R364="Contract signed + paid",R364="Closed – No response",R364="Lost"),"",IF(R364="","Set a stage",IF(N(T364)&gt;=Settings!$S$3,"Close – 4 follow-ups sent",IF(U364="",IF(S364="","Make first contact",""),IF(TODAY()&gt;U364,"OVERDUE follow-up",IF(TODAY()=U364,"Follow up today",""))))))))</f>
        <v/>
      </c>
    </row>
    <row r="365" customFormat="false" ht="15" hidden="false" customHeight="false" outlineLevel="0" collapsed="false">
      <c r="A365" s="17"/>
      <c r="B365" s="38"/>
      <c r="C365" s="39"/>
      <c r="D365" s="17"/>
      <c r="E365" s="17"/>
      <c r="F365" s="17"/>
      <c r="G365" s="17"/>
      <c r="H365" s="17"/>
      <c r="I365" s="40"/>
      <c r="J365" s="17"/>
      <c r="K365" s="17"/>
      <c r="L365" s="17"/>
      <c r="M365" s="17"/>
      <c r="N365" s="38"/>
      <c r="O365" s="39"/>
      <c r="P365" s="41" t="str">
        <f aca="false">IF(OR(B365="",N365=""),"",ROUND(((N365+N(O365))-(B365+N(C365)))*24,1))</f>
        <v/>
      </c>
      <c r="Q365" s="17"/>
      <c r="R365" s="17"/>
      <c r="S365" s="38"/>
      <c r="T365" s="17"/>
      <c r="U365" s="42" t="str">
        <f aca="false">IF(OR(E365="",S365="",OR(R365="Contract signed + paid",R365="Closed – No response",R365="Lost"),N(T365)&gt;=Settings!$S$3),"",S365+Settings!$S$2)</f>
        <v/>
      </c>
      <c r="V365" s="38"/>
      <c r="W365" s="39"/>
      <c r="X365" s="17"/>
      <c r="Y365" s="17"/>
      <c r="Z365" s="17"/>
      <c r="AA365" s="43" t="str">
        <f aca="true">IF(OR(E365="",B365=""),"",INT(TODAY()-B365))</f>
        <v/>
      </c>
      <c r="AB365" s="44" t="str">
        <f aca="true">IF(E365="","",IF(OR(COUNTIFS(Clients!$C$2:$C$501,E365,Clients!$S$2:$S$501,"Paid")&gt;0,AND(I365&lt;&gt;"",COUNTIFS(Clients!$E$2:$E$501,I365,Clients!$S$2:$S$501,"Paid")&gt;0)),"⚠ Refunded before – no free video",IF(OR(R365="Contract signed + paid",R365="Closed – No response",R365="Lost"),"",IF(R365="","Set a stage",IF(N(T365)&gt;=Settings!$S$3,"Close – 4 follow-ups sent",IF(U365="",IF(S365="","Make first contact",""),IF(TODAY()&gt;U365,"OVERDUE follow-up",IF(TODAY()=U365,"Follow up today",""))))))))</f>
        <v/>
      </c>
    </row>
    <row r="366" customFormat="false" ht="15" hidden="false" customHeight="false" outlineLevel="0" collapsed="false">
      <c r="A366" s="17"/>
      <c r="B366" s="38"/>
      <c r="C366" s="39"/>
      <c r="D366" s="17"/>
      <c r="E366" s="17"/>
      <c r="F366" s="17"/>
      <c r="G366" s="17"/>
      <c r="H366" s="17"/>
      <c r="I366" s="40"/>
      <c r="J366" s="17"/>
      <c r="K366" s="17"/>
      <c r="L366" s="17"/>
      <c r="M366" s="17"/>
      <c r="N366" s="38"/>
      <c r="O366" s="39"/>
      <c r="P366" s="41" t="str">
        <f aca="false">IF(OR(B366="",N366=""),"",ROUND(((N366+N(O366))-(B366+N(C366)))*24,1))</f>
        <v/>
      </c>
      <c r="Q366" s="17"/>
      <c r="R366" s="17"/>
      <c r="S366" s="38"/>
      <c r="T366" s="17"/>
      <c r="U366" s="42" t="str">
        <f aca="false">IF(OR(E366="",S366="",OR(R366="Contract signed + paid",R366="Closed – No response",R366="Lost"),N(T366)&gt;=Settings!$S$3),"",S366+Settings!$S$2)</f>
        <v/>
      </c>
      <c r="V366" s="38"/>
      <c r="W366" s="39"/>
      <c r="X366" s="17"/>
      <c r="Y366" s="17"/>
      <c r="Z366" s="17"/>
      <c r="AA366" s="43" t="str">
        <f aca="true">IF(OR(E366="",B366=""),"",INT(TODAY()-B366))</f>
        <v/>
      </c>
      <c r="AB366" s="44" t="str">
        <f aca="true">IF(E366="","",IF(OR(COUNTIFS(Clients!$C$2:$C$501,E366,Clients!$S$2:$S$501,"Paid")&gt;0,AND(I366&lt;&gt;"",COUNTIFS(Clients!$E$2:$E$501,I366,Clients!$S$2:$S$501,"Paid")&gt;0)),"⚠ Refunded before – no free video",IF(OR(R366="Contract signed + paid",R366="Closed – No response",R366="Lost"),"",IF(R366="","Set a stage",IF(N(T366)&gt;=Settings!$S$3,"Close – 4 follow-ups sent",IF(U366="",IF(S366="","Make first contact",""),IF(TODAY()&gt;U366,"OVERDUE follow-up",IF(TODAY()=U366,"Follow up today",""))))))))</f>
        <v/>
      </c>
    </row>
    <row r="367" customFormat="false" ht="15" hidden="false" customHeight="false" outlineLevel="0" collapsed="false">
      <c r="A367" s="17"/>
      <c r="B367" s="38"/>
      <c r="C367" s="39"/>
      <c r="D367" s="17"/>
      <c r="E367" s="17"/>
      <c r="F367" s="17"/>
      <c r="G367" s="17"/>
      <c r="H367" s="17"/>
      <c r="I367" s="40"/>
      <c r="J367" s="17"/>
      <c r="K367" s="17"/>
      <c r="L367" s="17"/>
      <c r="M367" s="17"/>
      <c r="N367" s="38"/>
      <c r="O367" s="39"/>
      <c r="P367" s="41" t="str">
        <f aca="false">IF(OR(B367="",N367=""),"",ROUND(((N367+N(O367))-(B367+N(C367)))*24,1))</f>
        <v/>
      </c>
      <c r="Q367" s="17"/>
      <c r="R367" s="17"/>
      <c r="S367" s="38"/>
      <c r="T367" s="17"/>
      <c r="U367" s="42" t="str">
        <f aca="false">IF(OR(E367="",S367="",OR(R367="Contract signed + paid",R367="Closed – No response",R367="Lost"),N(T367)&gt;=Settings!$S$3),"",S367+Settings!$S$2)</f>
        <v/>
      </c>
      <c r="V367" s="38"/>
      <c r="W367" s="39"/>
      <c r="X367" s="17"/>
      <c r="Y367" s="17"/>
      <c r="Z367" s="17"/>
      <c r="AA367" s="43" t="str">
        <f aca="true">IF(OR(E367="",B367=""),"",INT(TODAY()-B367))</f>
        <v/>
      </c>
      <c r="AB367" s="44" t="str">
        <f aca="true">IF(E367="","",IF(OR(COUNTIFS(Clients!$C$2:$C$501,E367,Clients!$S$2:$S$501,"Paid")&gt;0,AND(I367&lt;&gt;"",COUNTIFS(Clients!$E$2:$E$501,I367,Clients!$S$2:$S$501,"Paid")&gt;0)),"⚠ Refunded before – no free video",IF(OR(R367="Contract signed + paid",R367="Closed – No response",R367="Lost"),"",IF(R367="","Set a stage",IF(N(T367)&gt;=Settings!$S$3,"Close – 4 follow-ups sent",IF(U367="",IF(S367="","Make first contact",""),IF(TODAY()&gt;U367,"OVERDUE follow-up",IF(TODAY()=U367,"Follow up today",""))))))))</f>
        <v/>
      </c>
    </row>
    <row r="368" customFormat="false" ht="15" hidden="false" customHeight="false" outlineLevel="0" collapsed="false">
      <c r="A368" s="17"/>
      <c r="B368" s="38"/>
      <c r="C368" s="39"/>
      <c r="D368" s="17"/>
      <c r="E368" s="17"/>
      <c r="F368" s="17"/>
      <c r="G368" s="17"/>
      <c r="H368" s="17"/>
      <c r="I368" s="40"/>
      <c r="J368" s="17"/>
      <c r="K368" s="17"/>
      <c r="L368" s="17"/>
      <c r="M368" s="17"/>
      <c r="N368" s="38"/>
      <c r="O368" s="39"/>
      <c r="P368" s="41" t="str">
        <f aca="false">IF(OR(B368="",N368=""),"",ROUND(((N368+N(O368))-(B368+N(C368)))*24,1))</f>
        <v/>
      </c>
      <c r="Q368" s="17"/>
      <c r="R368" s="17"/>
      <c r="S368" s="38"/>
      <c r="T368" s="17"/>
      <c r="U368" s="42" t="str">
        <f aca="false">IF(OR(E368="",S368="",OR(R368="Contract signed + paid",R368="Closed – No response",R368="Lost"),N(T368)&gt;=Settings!$S$3),"",S368+Settings!$S$2)</f>
        <v/>
      </c>
      <c r="V368" s="38"/>
      <c r="W368" s="39"/>
      <c r="X368" s="17"/>
      <c r="Y368" s="17"/>
      <c r="Z368" s="17"/>
      <c r="AA368" s="43" t="str">
        <f aca="true">IF(OR(E368="",B368=""),"",INT(TODAY()-B368))</f>
        <v/>
      </c>
      <c r="AB368" s="44" t="str">
        <f aca="true">IF(E368="","",IF(OR(COUNTIFS(Clients!$C$2:$C$501,E368,Clients!$S$2:$S$501,"Paid")&gt;0,AND(I368&lt;&gt;"",COUNTIFS(Clients!$E$2:$E$501,I368,Clients!$S$2:$S$501,"Paid")&gt;0)),"⚠ Refunded before – no free video",IF(OR(R368="Contract signed + paid",R368="Closed – No response",R368="Lost"),"",IF(R368="","Set a stage",IF(N(T368)&gt;=Settings!$S$3,"Close – 4 follow-ups sent",IF(U368="",IF(S368="","Make first contact",""),IF(TODAY()&gt;U368,"OVERDUE follow-up",IF(TODAY()=U368,"Follow up today",""))))))))</f>
        <v/>
      </c>
    </row>
    <row r="369" customFormat="false" ht="15" hidden="false" customHeight="false" outlineLevel="0" collapsed="false">
      <c r="A369" s="17"/>
      <c r="B369" s="38"/>
      <c r="C369" s="39"/>
      <c r="D369" s="17"/>
      <c r="E369" s="17"/>
      <c r="F369" s="17"/>
      <c r="G369" s="17"/>
      <c r="H369" s="17"/>
      <c r="I369" s="40"/>
      <c r="J369" s="17"/>
      <c r="K369" s="17"/>
      <c r="L369" s="17"/>
      <c r="M369" s="17"/>
      <c r="N369" s="38"/>
      <c r="O369" s="39"/>
      <c r="P369" s="41" t="str">
        <f aca="false">IF(OR(B369="",N369=""),"",ROUND(((N369+N(O369))-(B369+N(C369)))*24,1))</f>
        <v/>
      </c>
      <c r="Q369" s="17"/>
      <c r="R369" s="17"/>
      <c r="S369" s="38"/>
      <c r="T369" s="17"/>
      <c r="U369" s="42" t="str">
        <f aca="false">IF(OR(E369="",S369="",OR(R369="Contract signed + paid",R369="Closed – No response",R369="Lost"),N(T369)&gt;=Settings!$S$3),"",S369+Settings!$S$2)</f>
        <v/>
      </c>
      <c r="V369" s="38"/>
      <c r="W369" s="39"/>
      <c r="X369" s="17"/>
      <c r="Y369" s="17"/>
      <c r="Z369" s="17"/>
      <c r="AA369" s="43" t="str">
        <f aca="true">IF(OR(E369="",B369=""),"",INT(TODAY()-B369))</f>
        <v/>
      </c>
      <c r="AB369" s="44" t="str">
        <f aca="true">IF(E369="","",IF(OR(COUNTIFS(Clients!$C$2:$C$501,E369,Clients!$S$2:$S$501,"Paid")&gt;0,AND(I369&lt;&gt;"",COUNTIFS(Clients!$E$2:$E$501,I369,Clients!$S$2:$S$501,"Paid")&gt;0)),"⚠ Refunded before – no free video",IF(OR(R369="Contract signed + paid",R369="Closed – No response",R369="Lost"),"",IF(R369="","Set a stage",IF(N(T369)&gt;=Settings!$S$3,"Close – 4 follow-ups sent",IF(U369="",IF(S369="","Make first contact",""),IF(TODAY()&gt;U369,"OVERDUE follow-up",IF(TODAY()=U369,"Follow up today",""))))))))</f>
        <v/>
      </c>
    </row>
    <row r="370" customFormat="false" ht="15" hidden="false" customHeight="false" outlineLevel="0" collapsed="false">
      <c r="A370" s="17"/>
      <c r="B370" s="38"/>
      <c r="C370" s="39"/>
      <c r="D370" s="17"/>
      <c r="E370" s="17"/>
      <c r="F370" s="17"/>
      <c r="G370" s="17"/>
      <c r="H370" s="17"/>
      <c r="I370" s="40"/>
      <c r="J370" s="17"/>
      <c r="K370" s="17"/>
      <c r="L370" s="17"/>
      <c r="M370" s="17"/>
      <c r="N370" s="38"/>
      <c r="O370" s="39"/>
      <c r="P370" s="41" t="str">
        <f aca="false">IF(OR(B370="",N370=""),"",ROUND(((N370+N(O370))-(B370+N(C370)))*24,1))</f>
        <v/>
      </c>
      <c r="Q370" s="17"/>
      <c r="R370" s="17"/>
      <c r="S370" s="38"/>
      <c r="T370" s="17"/>
      <c r="U370" s="42" t="str">
        <f aca="false">IF(OR(E370="",S370="",OR(R370="Contract signed + paid",R370="Closed – No response",R370="Lost"),N(T370)&gt;=Settings!$S$3),"",S370+Settings!$S$2)</f>
        <v/>
      </c>
      <c r="V370" s="38"/>
      <c r="W370" s="39"/>
      <c r="X370" s="17"/>
      <c r="Y370" s="17"/>
      <c r="Z370" s="17"/>
      <c r="AA370" s="43" t="str">
        <f aca="true">IF(OR(E370="",B370=""),"",INT(TODAY()-B370))</f>
        <v/>
      </c>
      <c r="AB370" s="44" t="str">
        <f aca="true">IF(E370="","",IF(OR(COUNTIFS(Clients!$C$2:$C$501,E370,Clients!$S$2:$S$501,"Paid")&gt;0,AND(I370&lt;&gt;"",COUNTIFS(Clients!$E$2:$E$501,I370,Clients!$S$2:$S$501,"Paid")&gt;0)),"⚠ Refunded before – no free video",IF(OR(R370="Contract signed + paid",R370="Closed – No response",R370="Lost"),"",IF(R370="","Set a stage",IF(N(T370)&gt;=Settings!$S$3,"Close – 4 follow-ups sent",IF(U370="",IF(S370="","Make first contact",""),IF(TODAY()&gt;U370,"OVERDUE follow-up",IF(TODAY()=U370,"Follow up today",""))))))))</f>
        <v/>
      </c>
    </row>
    <row r="371" customFormat="false" ht="15" hidden="false" customHeight="false" outlineLevel="0" collapsed="false">
      <c r="A371" s="17"/>
      <c r="B371" s="38"/>
      <c r="C371" s="39"/>
      <c r="D371" s="17"/>
      <c r="E371" s="17"/>
      <c r="F371" s="17"/>
      <c r="G371" s="17"/>
      <c r="H371" s="17"/>
      <c r="I371" s="40"/>
      <c r="J371" s="17"/>
      <c r="K371" s="17"/>
      <c r="L371" s="17"/>
      <c r="M371" s="17"/>
      <c r="N371" s="38"/>
      <c r="O371" s="39"/>
      <c r="P371" s="41" t="str">
        <f aca="false">IF(OR(B371="",N371=""),"",ROUND(((N371+N(O371))-(B371+N(C371)))*24,1))</f>
        <v/>
      </c>
      <c r="Q371" s="17"/>
      <c r="R371" s="17"/>
      <c r="S371" s="38"/>
      <c r="T371" s="17"/>
      <c r="U371" s="42" t="str">
        <f aca="false">IF(OR(E371="",S371="",OR(R371="Contract signed + paid",R371="Closed – No response",R371="Lost"),N(T371)&gt;=Settings!$S$3),"",S371+Settings!$S$2)</f>
        <v/>
      </c>
      <c r="V371" s="38"/>
      <c r="W371" s="39"/>
      <c r="X371" s="17"/>
      <c r="Y371" s="17"/>
      <c r="Z371" s="17"/>
      <c r="AA371" s="43" t="str">
        <f aca="true">IF(OR(E371="",B371=""),"",INT(TODAY()-B371))</f>
        <v/>
      </c>
      <c r="AB371" s="44" t="str">
        <f aca="true">IF(E371="","",IF(OR(COUNTIFS(Clients!$C$2:$C$501,E371,Clients!$S$2:$S$501,"Paid")&gt;0,AND(I371&lt;&gt;"",COUNTIFS(Clients!$E$2:$E$501,I371,Clients!$S$2:$S$501,"Paid")&gt;0)),"⚠ Refunded before – no free video",IF(OR(R371="Contract signed + paid",R371="Closed – No response",R371="Lost"),"",IF(R371="","Set a stage",IF(N(T371)&gt;=Settings!$S$3,"Close – 4 follow-ups sent",IF(U371="",IF(S371="","Make first contact",""),IF(TODAY()&gt;U371,"OVERDUE follow-up",IF(TODAY()=U371,"Follow up today",""))))))))</f>
        <v/>
      </c>
    </row>
    <row r="372" customFormat="false" ht="15" hidden="false" customHeight="false" outlineLevel="0" collapsed="false">
      <c r="A372" s="17"/>
      <c r="B372" s="38"/>
      <c r="C372" s="39"/>
      <c r="D372" s="17"/>
      <c r="E372" s="17"/>
      <c r="F372" s="17"/>
      <c r="G372" s="17"/>
      <c r="H372" s="17"/>
      <c r="I372" s="40"/>
      <c r="J372" s="17"/>
      <c r="K372" s="17"/>
      <c r="L372" s="17"/>
      <c r="M372" s="17"/>
      <c r="N372" s="38"/>
      <c r="O372" s="39"/>
      <c r="P372" s="41" t="str">
        <f aca="false">IF(OR(B372="",N372=""),"",ROUND(((N372+N(O372))-(B372+N(C372)))*24,1))</f>
        <v/>
      </c>
      <c r="Q372" s="17"/>
      <c r="R372" s="17"/>
      <c r="S372" s="38"/>
      <c r="T372" s="17"/>
      <c r="U372" s="42" t="str">
        <f aca="false">IF(OR(E372="",S372="",OR(R372="Contract signed + paid",R372="Closed – No response",R372="Lost"),N(T372)&gt;=Settings!$S$3),"",S372+Settings!$S$2)</f>
        <v/>
      </c>
      <c r="V372" s="38"/>
      <c r="W372" s="39"/>
      <c r="X372" s="17"/>
      <c r="Y372" s="17"/>
      <c r="Z372" s="17"/>
      <c r="AA372" s="43" t="str">
        <f aca="true">IF(OR(E372="",B372=""),"",INT(TODAY()-B372))</f>
        <v/>
      </c>
      <c r="AB372" s="44" t="str">
        <f aca="true">IF(E372="","",IF(OR(COUNTIFS(Clients!$C$2:$C$501,E372,Clients!$S$2:$S$501,"Paid")&gt;0,AND(I372&lt;&gt;"",COUNTIFS(Clients!$E$2:$E$501,I372,Clients!$S$2:$S$501,"Paid")&gt;0)),"⚠ Refunded before – no free video",IF(OR(R372="Contract signed + paid",R372="Closed – No response",R372="Lost"),"",IF(R372="","Set a stage",IF(N(T372)&gt;=Settings!$S$3,"Close – 4 follow-ups sent",IF(U372="",IF(S372="","Make first contact",""),IF(TODAY()&gt;U372,"OVERDUE follow-up",IF(TODAY()=U372,"Follow up today",""))))))))</f>
        <v/>
      </c>
    </row>
    <row r="373" customFormat="false" ht="15" hidden="false" customHeight="false" outlineLevel="0" collapsed="false">
      <c r="A373" s="17"/>
      <c r="B373" s="38"/>
      <c r="C373" s="39"/>
      <c r="D373" s="17"/>
      <c r="E373" s="17"/>
      <c r="F373" s="17"/>
      <c r="G373" s="17"/>
      <c r="H373" s="17"/>
      <c r="I373" s="40"/>
      <c r="J373" s="17"/>
      <c r="K373" s="17"/>
      <c r="L373" s="17"/>
      <c r="M373" s="17"/>
      <c r="N373" s="38"/>
      <c r="O373" s="39"/>
      <c r="P373" s="41" t="str">
        <f aca="false">IF(OR(B373="",N373=""),"",ROUND(((N373+N(O373))-(B373+N(C373)))*24,1))</f>
        <v/>
      </c>
      <c r="Q373" s="17"/>
      <c r="R373" s="17"/>
      <c r="S373" s="38"/>
      <c r="T373" s="17"/>
      <c r="U373" s="42" t="str">
        <f aca="false">IF(OR(E373="",S373="",OR(R373="Contract signed + paid",R373="Closed – No response",R373="Lost"),N(T373)&gt;=Settings!$S$3),"",S373+Settings!$S$2)</f>
        <v/>
      </c>
      <c r="V373" s="38"/>
      <c r="W373" s="39"/>
      <c r="X373" s="17"/>
      <c r="Y373" s="17"/>
      <c r="Z373" s="17"/>
      <c r="AA373" s="43" t="str">
        <f aca="true">IF(OR(E373="",B373=""),"",INT(TODAY()-B373))</f>
        <v/>
      </c>
      <c r="AB373" s="44" t="str">
        <f aca="true">IF(E373="","",IF(OR(COUNTIFS(Clients!$C$2:$C$501,E373,Clients!$S$2:$S$501,"Paid")&gt;0,AND(I373&lt;&gt;"",COUNTIFS(Clients!$E$2:$E$501,I373,Clients!$S$2:$S$501,"Paid")&gt;0)),"⚠ Refunded before – no free video",IF(OR(R373="Contract signed + paid",R373="Closed – No response",R373="Lost"),"",IF(R373="","Set a stage",IF(N(T373)&gt;=Settings!$S$3,"Close – 4 follow-ups sent",IF(U373="",IF(S373="","Make first contact",""),IF(TODAY()&gt;U373,"OVERDUE follow-up",IF(TODAY()=U373,"Follow up today",""))))))))</f>
        <v/>
      </c>
    </row>
    <row r="374" customFormat="false" ht="15" hidden="false" customHeight="false" outlineLevel="0" collapsed="false">
      <c r="A374" s="17"/>
      <c r="B374" s="38"/>
      <c r="C374" s="39"/>
      <c r="D374" s="17"/>
      <c r="E374" s="17"/>
      <c r="F374" s="17"/>
      <c r="G374" s="17"/>
      <c r="H374" s="17"/>
      <c r="I374" s="40"/>
      <c r="J374" s="17"/>
      <c r="K374" s="17"/>
      <c r="L374" s="17"/>
      <c r="M374" s="17"/>
      <c r="N374" s="38"/>
      <c r="O374" s="39"/>
      <c r="P374" s="41" t="str">
        <f aca="false">IF(OR(B374="",N374=""),"",ROUND(((N374+N(O374))-(B374+N(C374)))*24,1))</f>
        <v/>
      </c>
      <c r="Q374" s="17"/>
      <c r="R374" s="17"/>
      <c r="S374" s="38"/>
      <c r="T374" s="17"/>
      <c r="U374" s="42" t="str">
        <f aca="false">IF(OR(E374="",S374="",OR(R374="Contract signed + paid",R374="Closed – No response",R374="Lost"),N(T374)&gt;=Settings!$S$3),"",S374+Settings!$S$2)</f>
        <v/>
      </c>
      <c r="V374" s="38"/>
      <c r="W374" s="39"/>
      <c r="X374" s="17"/>
      <c r="Y374" s="17"/>
      <c r="Z374" s="17"/>
      <c r="AA374" s="43" t="str">
        <f aca="true">IF(OR(E374="",B374=""),"",INT(TODAY()-B374))</f>
        <v/>
      </c>
      <c r="AB374" s="44" t="str">
        <f aca="true">IF(E374="","",IF(OR(COUNTIFS(Clients!$C$2:$C$501,E374,Clients!$S$2:$S$501,"Paid")&gt;0,AND(I374&lt;&gt;"",COUNTIFS(Clients!$E$2:$E$501,I374,Clients!$S$2:$S$501,"Paid")&gt;0)),"⚠ Refunded before – no free video",IF(OR(R374="Contract signed + paid",R374="Closed – No response",R374="Lost"),"",IF(R374="","Set a stage",IF(N(T374)&gt;=Settings!$S$3,"Close – 4 follow-ups sent",IF(U374="",IF(S374="","Make first contact",""),IF(TODAY()&gt;U374,"OVERDUE follow-up",IF(TODAY()=U374,"Follow up today",""))))))))</f>
        <v/>
      </c>
    </row>
    <row r="375" customFormat="false" ht="15" hidden="false" customHeight="false" outlineLevel="0" collapsed="false">
      <c r="A375" s="17"/>
      <c r="B375" s="38"/>
      <c r="C375" s="39"/>
      <c r="D375" s="17"/>
      <c r="E375" s="17"/>
      <c r="F375" s="17"/>
      <c r="G375" s="17"/>
      <c r="H375" s="17"/>
      <c r="I375" s="40"/>
      <c r="J375" s="17"/>
      <c r="K375" s="17"/>
      <c r="L375" s="17"/>
      <c r="M375" s="17"/>
      <c r="N375" s="38"/>
      <c r="O375" s="39"/>
      <c r="P375" s="41" t="str">
        <f aca="false">IF(OR(B375="",N375=""),"",ROUND(((N375+N(O375))-(B375+N(C375)))*24,1))</f>
        <v/>
      </c>
      <c r="Q375" s="17"/>
      <c r="R375" s="17"/>
      <c r="S375" s="38"/>
      <c r="T375" s="17"/>
      <c r="U375" s="42" t="str">
        <f aca="false">IF(OR(E375="",S375="",OR(R375="Contract signed + paid",R375="Closed – No response",R375="Lost"),N(T375)&gt;=Settings!$S$3),"",S375+Settings!$S$2)</f>
        <v/>
      </c>
      <c r="V375" s="38"/>
      <c r="W375" s="39"/>
      <c r="X375" s="17"/>
      <c r="Y375" s="17"/>
      <c r="Z375" s="17"/>
      <c r="AA375" s="43" t="str">
        <f aca="true">IF(OR(E375="",B375=""),"",INT(TODAY()-B375))</f>
        <v/>
      </c>
      <c r="AB375" s="44" t="str">
        <f aca="true">IF(E375="","",IF(OR(COUNTIFS(Clients!$C$2:$C$501,E375,Clients!$S$2:$S$501,"Paid")&gt;0,AND(I375&lt;&gt;"",COUNTIFS(Clients!$E$2:$E$501,I375,Clients!$S$2:$S$501,"Paid")&gt;0)),"⚠ Refunded before – no free video",IF(OR(R375="Contract signed + paid",R375="Closed – No response",R375="Lost"),"",IF(R375="","Set a stage",IF(N(T375)&gt;=Settings!$S$3,"Close – 4 follow-ups sent",IF(U375="",IF(S375="","Make first contact",""),IF(TODAY()&gt;U375,"OVERDUE follow-up",IF(TODAY()=U375,"Follow up today",""))))))))</f>
        <v/>
      </c>
    </row>
    <row r="376" customFormat="false" ht="15" hidden="false" customHeight="false" outlineLevel="0" collapsed="false">
      <c r="A376" s="17"/>
      <c r="B376" s="38"/>
      <c r="C376" s="39"/>
      <c r="D376" s="17"/>
      <c r="E376" s="17"/>
      <c r="F376" s="17"/>
      <c r="G376" s="17"/>
      <c r="H376" s="17"/>
      <c r="I376" s="40"/>
      <c r="J376" s="17"/>
      <c r="K376" s="17"/>
      <c r="L376" s="17"/>
      <c r="M376" s="17"/>
      <c r="N376" s="38"/>
      <c r="O376" s="39"/>
      <c r="P376" s="41" t="str">
        <f aca="false">IF(OR(B376="",N376=""),"",ROUND(((N376+N(O376))-(B376+N(C376)))*24,1))</f>
        <v/>
      </c>
      <c r="Q376" s="17"/>
      <c r="R376" s="17"/>
      <c r="S376" s="38"/>
      <c r="T376" s="17"/>
      <c r="U376" s="42" t="str">
        <f aca="false">IF(OR(E376="",S376="",OR(R376="Contract signed + paid",R376="Closed – No response",R376="Lost"),N(T376)&gt;=Settings!$S$3),"",S376+Settings!$S$2)</f>
        <v/>
      </c>
      <c r="V376" s="38"/>
      <c r="W376" s="39"/>
      <c r="X376" s="17"/>
      <c r="Y376" s="17"/>
      <c r="Z376" s="17"/>
      <c r="AA376" s="43" t="str">
        <f aca="true">IF(OR(E376="",B376=""),"",INT(TODAY()-B376))</f>
        <v/>
      </c>
      <c r="AB376" s="44" t="str">
        <f aca="true">IF(E376="","",IF(OR(COUNTIFS(Clients!$C$2:$C$501,E376,Clients!$S$2:$S$501,"Paid")&gt;0,AND(I376&lt;&gt;"",COUNTIFS(Clients!$E$2:$E$501,I376,Clients!$S$2:$S$501,"Paid")&gt;0)),"⚠ Refunded before – no free video",IF(OR(R376="Contract signed + paid",R376="Closed – No response",R376="Lost"),"",IF(R376="","Set a stage",IF(N(T376)&gt;=Settings!$S$3,"Close – 4 follow-ups sent",IF(U376="",IF(S376="","Make first contact",""),IF(TODAY()&gt;U376,"OVERDUE follow-up",IF(TODAY()=U376,"Follow up today",""))))))))</f>
        <v/>
      </c>
    </row>
    <row r="377" customFormat="false" ht="15" hidden="false" customHeight="false" outlineLevel="0" collapsed="false">
      <c r="A377" s="17"/>
      <c r="B377" s="38"/>
      <c r="C377" s="39"/>
      <c r="D377" s="17"/>
      <c r="E377" s="17"/>
      <c r="F377" s="17"/>
      <c r="G377" s="17"/>
      <c r="H377" s="17"/>
      <c r="I377" s="40"/>
      <c r="J377" s="17"/>
      <c r="K377" s="17"/>
      <c r="L377" s="17"/>
      <c r="M377" s="17"/>
      <c r="N377" s="38"/>
      <c r="O377" s="39"/>
      <c r="P377" s="41" t="str">
        <f aca="false">IF(OR(B377="",N377=""),"",ROUND(((N377+N(O377))-(B377+N(C377)))*24,1))</f>
        <v/>
      </c>
      <c r="Q377" s="17"/>
      <c r="R377" s="17"/>
      <c r="S377" s="38"/>
      <c r="T377" s="17"/>
      <c r="U377" s="42" t="str">
        <f aca="false">IF(OR(E377="",S377="",OR(R377="Contract signed + paid",R377="Closed – No response",R377="Lost"),N(T377)&gt;=Settings!$S$3),"",S377+Settings!$S$2)</f>
        <v/>
      </c>
      <c r="V377" s="38"/>
      <c r="W377" s="39"/>
      <c r="X377" s="17"/>
      <c r="Y377" s="17"/>
      <c r="Z377" s="17"/>
      <c r="AA377" s="43" t="str">
        <f aca="true">IF(OR(E377="",B377=""),"",INT(TODAY()-B377))</f>
        <v/>
      </c>
      <c r="AB377" s="44" t="str">
        <f aca="true">IF(E377="","",IF(OR(COUNTIFS(Clients!$C$2:$C$501,E377,Clients!$S$2:$S$501,"Paid")&gt;0,AND(I377&lt;&gt;"",COUNTIFS(Clients!$E$2:$E$501,I377,Clients!$S$2:$S$501,"Paid")&gt;0)),"⚠ Refunded before – no free video",IF(OR(R377="Contract signed + paid",R377="Closed – No response",R377="Lost"),"",IF(R377="","Set a stage",IF(N(T377)&gt;=Settings!$S$3,"Close – 4 follow-ups sent",IF(U377="",IF(S377="","Make first contact",""),IF(TODAY()&gt;U377,"OVERDUE follow-up",IF(TODAY()=U377,"Follow up today",""))))))))</f>
        <v/>
      </c>
    </row>
    <row r="378" customFormat="false" ht="15" hidden="false" customHeight="false" outlineLevel="0" collapsed="false">
      <c r="A378" s="17"/>
      <c r="B378" s="38"/>
      <c r="C378" s="39"/>
      <c r="D378" s="17"/>
      <c r="E378" s="17"/>
      <c r="F378" s="17"/>
      <c r="G378" s="17"/>
      <c r="H378" s="17"/>
      <c r="I378" s="40"/>
      <c r="J378" s="17"/>
      <c r="K378" s="17"/>
      <c r="L378" s="17"/>
      <c r="M378" s="17"/>
      <c r="N378" s="38"/>
      <c r="O378" s="39"/>
      <c r="P378" s="41" t="str">
        <f aca="false">IF(OR(B378="",N378=""),"",ROUND(((N378+N(O378))-(B378+N(C378)))*24,1))</f>
        <v/>
      </c>
      <c r="Q378" s="17"/>
      <c r="R378" s="17"/>
      <c r="S378" s="38"/>
      <c r="T378" s="17"/>
      <c r="U378" s="42" t="str">
        <f aca="false">IF(OR(E378="",S378="",OR(R378="Contract signed + paid",R378="Closed – No response",R378="Lost"),N(T378)&gt;=Settings!$S$3),"",S378+Settings!$S$2)</f>
        <v/>
      </c>
      <c r="V378" s="38"/>
      <c r="W378" s="39"/>
      <c r="X378" s="17"/>
      <c r="Y378" s="17"/>
      <c r="Z378" s="17"/>
      <c r="AA378" s="43" t="str">
        <f aca="true">IF(OR(E378="",B378=""),"",INT(TODAY()-B378))</f>
        <v/>
      </c>
      <c r="AB378" s="44" t="str">
        <f aca="true">IF(E378="","",IF(OR(COUNTIFS(Clients!$C$2:$C$501,E378,Clients!$S$2:$S$501,"Paid")&gt;0,AND(I378&lt;&gt;"",COUNTIFS(Clients!$E$2:$E$501,I378,Clients!$S$2:$S$501,"Paid")&gt;0)),"⚠ Refunded before – no free video",IF(OR(R378="Contract signed + paid",R378="Closed – No response",R378="Lost"),"",IF(R378="","Set a stage",IF(N(T378)&gt;=Settings!$S$3,"Close – 4 follow-ups sent",IF(U378="",IF(S378="","Make first contact",""),IF(TODAY()&gt;U378,"OVERDUE follow-up",IF(TODAY()=U378,"Follow up today",""))))))))</f>
        <v/>
      </c>
    </row>
    <row r="379" customFormat="false" ht="15" hidden="false" customHeight="false" outlineLevel="0" collapsed="false">
      <c r="A379" s="17"/>
      <c r="B379" s="38"/>
      <c r="C379" s="39"/>
      <c r="D379" s="17"/>
      <c r="E379" s="17"/>
      <c r="F379" s="17"/>
      <c r="G379" s="17"/>
      <c r="H379" s="17"/>
      <c r="I379" s="40"/>
      <c r="J379" s="17"/>
      <c r="K379" s="17"/>
      <c r="L379" s="17"/>
      <c r="M379" s="17"/>
      <c r="N379" s="38"/>
      <c r="O379" s="39"/>
      <c r="P379" s="41" t="str">
        <f aca="false">IF(OR(B379="",N379=""),"",ROUND(((N379+N(O379))-(B379+N(C379)))*24,1))</f>
        <v/>
      </c>
      <c r="Q379" s="17"/>
      <c r="R379" s="17"/>
      <c r="S379" s="38"/>
      <c r="T379" s="17"/>
      <c r="U379" s="42" t="str">
        <f aca="false">IF(OR(E379="",S379="",OR(R379="Contract signed + paid",R379="Closed – No response",R379="Lost"),N(T379)&gt;=Settings!$S$3),"",S379+Settings!$S$2)</f>
        <v/>
      </c>
      <c r="V379" s="38"/>
      <c r="W379" s="39"/>
      <c r="X379" s="17"/>
      <c r="Y379" s="17"/>
      <c r="Z379" s="17"/>
      <c r="AA379" s="43" t="str">
        <f aca="true">IF(OR(E379="",B379=""),"",INT(TODAY()-B379))</f>
        <v/>
      </c>
      <c r="AB379" s="44" t="str">
        <f aca="true">IF(E379="","",IF(OR(COUNTIFS(Clients!$C$2:$C$501,E379,Clients!$S$2:$S$501,"Paid")&gt;0,AND(I379&lt;&gt;"",COUNTIFS(Clients!$E$2:$E$501,I379,Clients!$S$2:$S$501,"Paid")&gt;0)),"⚠ Refunded before – no free video",IF(OR(R379="Contract signed + paid",R379="Closed – No response",R379="Lost"),"",IF(R379="","Set a stage",IF(N(T379)&gt;=Settings!$S$3,"Close – 4 follow-ups sent",IF(U379="",IF(S379="","Make first contact",""),IF(TODAY()&gt;U379,"OVERDUE follow-up",IF(TODAY()=U379,"Follow up today",""))))))))</f>
        <v/>
      </c>
    </row>
    <row r="380" customFormat="false" ht="15" hidden="false" customHeight="false" outlineLevel="0" collapsed="false">
      <c r="A380" s="17"/>
      <c r="B380" s="38"/>
      <c r="C380" s="39"/>
      <c r="D380" s="17"/>
      <c r="E380" s="17"/>
      <c r="F380" s="17"/>
      <c r="G380" s="17"/>
      <c r="H380" s="17"/>
      <c r="I380" s="40"/>
      <c r="J380" s="17"/>
      <c r="K380" s="17"/>
      <c r="L380" s="17"/>
      <c r="M380" s="17"/>
      <c r="N380" s="38"/>
      <c r="O380" s="39"/>
      <c r="P380" s="41" t="str">
        <f aca="false">IF(OR(B380="",N380=""),"",ROUND(((N380+N(O380))-(B380+N(C380)))*24,1))</f>
        <v/>
      </c>
      <c r="Q380" s="17"/>
      <c r="R380" s="17"/>
      <c r="S380" s="38"/>
      <c r="T380" s="17"/>
      <c r="U380" s="42" t="str">
        <f aca="false">IF(OR(E380="",S380="",OR(R380="Contract signed + paid",R380="Closed – No response",R380="Lost"),N(T380)&gt;=Settings!$S$3),"",S380+Settings!$S$2)</f>
        <v/>
      </c>
      <c r="V380" s="38"/>
      <c r="W380" s="39"/>
      <c r="X380" s="17"/>
      <c r="Y380" s="17"/>
      <c r="Z380" s="17"/>
      <c r="AA380" s="43" t="str">
        <f aca="true">IF(OR(E380="",B380=""),"",INT(TODAY()-B380))</f>
        <v/>
      </c>
      <c r="AB380" s="44" t="str">
        <f aca="true">IF(E380="","",IF(OR(COUNTIFS(Clients!$C$2:$C$501,E380,Clients!$S$2:$S$501,"Paid")&gt;0,AND(I380&lt;&gt;"",COUNTIFS(Clients!$E$2:$E$501,I380,Clients!$S$2:$S$501,"Paid")&gt;0)),"⚠ Refunded before – no free video",IF(OR(R380="Contract signed + paid",R380="Closed – No response",R380="Lost"),"",IF(R380="","Set a stage",IF(N(T380)&gt;=Settings!$S$3,"Close – 4 follow-ups sent",IF(U380="",IF(S380="","Make first contact",""),IF(TODAY()&gt;U380,"OVERDUE follow-up",IF(TODAY()=U380,"Follow up today",""))))))))</f>
        <v/>
      </c>
    </row>
    <row r="381" customFormat="false" ht="15" hidden="false" customHeight="false" outlineLevel="0" collapsed="false">
      <c r="A381" s="17"/>
      <c r="B381" s="38"/>
      <c r="C381" s="39"/>
      <c r="D381" s="17"/>
      <c r="E381" s="17"/>
      <c r="F381" s="17"/>
      <c r="G381" s="17"/>
      <c r="H381" s="17"/>
      <c r="I381" s="40"/>
      <c r="J381" s="17"/>
      <c r="K381" s="17"/>
      <c r="L381" s="17"/>
      <c r="M381" s="17"/>
      <c r="N381" s="38"/>
      <c r="O381" s="39"/>
      <c r="P381" s="41" t="str">
        <f aca="false">IF(OR(B381="",N381=""),"",ROUND(((N381+N(O381))-(B381+N(C381)))*24,1))</f>
        <v/>
      </c>
      <c r="Q381" s="17"/>
      <c r="R381" s="17"/>
      <c r="S381" s="38"/>
      <c r="T381" s="17"/>
      <c r="U381" s="42" t="str">
        <f aca="false">IF(OR(E381="",S381="",OR(R381="Contract signed + paid",R381="Closed – No response",R381="Lost"),N(T381)&gt;=Settings!$S$3),"",S381+Settings!$S$2)</f>
        <v/>
      </c>
      <c r="V381" s="38"/>
      <c r="W381" s="39"/>
      <c r="X381" s="17"/>
      <c r="Y381" s="17"/>
      <c r="Z381" s="17"/>
      <c r="AA381" s="43" t="str">
        <f aca="true">IF(OR(E381="",B381=""),"",INT(TODAY()-B381))</f>
        <v/>
      </c>
      <c r="AB381" s="44" t="str">
        <f aca="true">IF(E381="","",IF(OR(COUNTIFS(Clients!$C$2:$C$501,E381,Clients!$S$2:$S$501,"Paid")&gt;0,AND(I381&lt;&gt;"",COUNTIFS(Clients!$E$2:$E$501,I381,Clients!$S$2:$S$501,"Paid")&gt;0)),"⚠ Refunded before – no free video",IF(OR(R381="Contract signed + paid",R381="Closed – No response",R381="Lost"),"",IF(R381="","Set a stage",IF(N(T381)&gt;=Settings!$S$3,"Close – 4 follow-ups sent",IF(U381="",IF(S381="","Make first contact",""),IF(TODAY()&gt;U381,"OVERDUE follow-up",IF(TODAY()=U381,"Follow up today",""))))))))</f>
        <v/>
      </c>
    </row>
    <row r="382" customFormat="false" ht="15" hidden="false" customHeight="false" outlineLevel="0" collapsed="false">
      <c r="A382" s="17"/>
      <c r="B382" s="38"/>
      <c r="C382" s="39"/>
      <c r="D382" s="17"/>
      <c r="E382" s="17"/>
      <c r="F382" s="17"/>
      <c r="G382" s="17"/>
      <c r="H382" s="17"/>
      <c r="I382" s="40"/>
      <c r="J382" s="17"/>
      <c r="K382" s="17"/>
      <c r="L382" s="17"/>
      <c r="M382" s="17"/>
      <c r="N382" s="38"/>
      <c r="O382" s="39"/>
      <c r="P382" s="41" t="str">
        <f aca="false">IF(OR(B382="",N382=""),"",ROUND(((N382+N(O382))-(B382+N(C382)))*24,1))</f>
        <v/>
      </c>
      <c r="Q382" s="17"/>
      <c r="R382" s="17"/>
      <c r="S382" s="38"/>
      <c r="T382" s="17"/>
      <c r="U382" s="42" t="str">
        <f aca="false">IF(OR(E382="",S382="",OR(R382="Contract signed + paid",R382="Closed – No response",R382="Lost"),N(T382)&gt;=Settings!$S$3),"",S382+Settings!$S$2)</f>
        <v/>
      </c>
      <c r="V382" s="38"/>
      <c r="W382" s="39"/>
      <c r="X382" s="17"/>
      <c r="Y382" s="17"/>
      <c r="Z382" s="17"/>
      <c r="AA382" s="43" t="str">
        <f aca="true">IF(OR(E382="",B382=""),"",INT(TODAY()-B382))</f>
        <v/>
      </c>
      <c r="AB382" s="44" t="str">
        <f aca="true">IF(E382="","",IF(OR(COUNTIFS(Clients!$C$2:$C$501,E382,Clients!$S$2:$S$501,"Paid")&gt;0,AND(I382&lt;&gt;"",COUNTIFS(Clients!$E$2:$E$501,I382,Clients!$S$2:$S$501,"Paid")&gt;0)),"⚠ Refunded before – no free video",IF(OR(R382="Contract signed + paid",R382="Closed – No response",R382="Lost"),"",IF(R382="","Set a stage",IF(N(T382)&gt;=Settings!$S$3,"Close – 4 follow-ups sent",IF(U382="",IF(S382="","Make first contact",""),IF(TODAY()&gt;U382,"OVERDUE follow-up",IF(TODAY()=U382,"Follow up today",""))))))))</f>
        <v/>
      </c>
    </row>
    <row r="383" customFormat="false" ht="15" hidden="false" customHeight="false" outlineLevel="0" collapsed="false">
      <c r="A383" s="17"/>
      <c r="B383" s="38"/>
      <c r="C383" s="39"/>
      <c r="D383" s="17"/>
      <c r="E383" s="17"/>
      <c r="F383" s="17"/>
      <c r="G383" s="17"/>
      <c r="H383" s="17"/>
      <c r="I383" s="40"/>
      <c r="J383" s="17"/>
      <c r="K383" s="17"/>
      <c r="L383" s="17"/>
      <c r="M383" s="17"/>
      <c r="N383" s="38"/>
      <c r="O383" s="39"/>
      <c r="P383" s="41" t="str">
        <f aca="false">IF(OR(B383="",N383=""),"",ROUND(((N383+N(O383))-(B383+N(C383)))*24,1))</f>
        <v/>
      </c>
      <c r="Q383" s="17"/>
      <c r="R383" s="17"/>
      <c r="S383" s="38"/>
      <c r="T383" s="17"/>
      <c r="U383" s="42" t="str">
        <f aca="false">IF(OR(E383="",S383="",OR(R383="Contract signed + paid",R383="Closed – No response",R383="Lost"),N(T383)&gt;=Settings!$S$3),"",S383+Settings!$S$2)</f>
        <v/>
      </c>
      <c r="V383" s="38"/>
      <c r="W383" s="39"/>
      <c r="X383" s="17"/>
      <c r="Y383" s="17"/>
      <c r="Z383" s="17"/>
      <c r="AA383" s="43" t="str">
        <f aca="true">IF(OR(E383="",B383=""),"",INT(TODAY()-B383))</f>
        <v/>
      </c>
      <c r="AB383" s="44" t="str">
        <f aca="true">IF(E383="","",IF(OR(COUNTIFS(Clients!$C$2:$C$501,E383,Clients!$S$2:$S$501,"Paid")&gt;0,AND(I383&lt;&gt;"",COUNTIFS(Clients!$E$2:$E$501,I383,Clients!$S$2:$S$501,"Paid")&gt;0)),"⚠ Refunded before – no free video",IF(OR(R383="Contract signed + paid",R383="Closed – No response",R383="Lost"),"",IF(R383="","Set a stage",IF(N(T383)&gt;=Settings!$S$3,"Close – 4 follow-ups sent",IF(U383="",IF(S383="","Make first contact",""),IF(TODAY()&gt;U383,"OVERDUE follow-up",IF(TODAY()=U383,"Follow up today",""))))))))</f>
        <v/>
      </c>
    </row>
    <row r="384" customFormat="false" ht="15" hidden="false" customHeight="false" outlineLevel="0" collapsed="false">
      <c r="A384" s="17"/>
      <c r="B384" s="38"/>
      <c r="C384" s="39"/>
      <c r="D384" s="17"/>
      <c r="E384" s="17"/>
      <c r="F384" s="17"/>
      <c r="G384" s="17"/>
      <c r="H384" s="17"/>
      <c r="I384" s="40"/>
      <c r="J384" s="17"/>
      <c r="K384" s="17"/>
      <c r="L384" s="17"/>
      <c r="M384" s="17"/>
      <c r="N384" s="38"/>
      <c r="O384" s="39"/>
      <c r="P384" s="41" t="str">
        <f aca="false">IF(OR(B384="",N384=""),"",ROUND(((N384+N(O384))-(B384+N(C384)))*24,1))</f>
        <v/>
      </c>
      <c r="Q384" s="17"/>
      <c r="R384" s="17"/>
      <c r="S384" s="38"/>
      <c r="T384" s="17"/>
      <c r="U384" s="42" t="str">
        <f aca="false">IF(OR(E384="",S384="",OR(R384="Contract signed + paid",R384="Closed – No response",R384="Lost"),N(T384)&gt;=Settings!$S$3),"",S384+Settings!$S$2)</f>
        <v/>
      </c>
      <c r="V384" s="38"/>
      <c r="W384" s="39"/>
      <c r="X384" s="17"/>
      <c r="Y384" s="17"/>
      <c r="Z384" s="17"/>
      <c r="AA384" s="43" t="str">
        <f aca="true">IF(OR(E384="",B384=""),"",INT(TODAY()-B384))</f>
        <v/>
      </c>
      <c r="AB384" s="44" t="str">
        <f aca="true">IF(E384="","",IF(OR(COUNTIFS(Clients!$C$2:$C$501,E384,Clients!$S$2:$S$501,"Paid")&gt;0,AND(I384&lt;&gt;"",COUNTIFS(Clients!$E$2:$E$501,I384,Clients!$S$2:$S$501,"Paid")&gt;0)),"⚠ Refunded before – no free video",IF(OR(R384="Contract signed + paid",R384="Closed – No response",R384="Lost"),"",IF(R384="","Set a stage",IF(N(T384)&gt;=Settings!$S$3,"Close – 4 follow-ups sent",IF(U384="",IF(S384="","Make first contact",""),IF(TODAY()&gt;U384,"OVERDUE follow-up",IF(TODAY()=U384,"Follow up today",""))))))))</f>
        <v/>
      </c>
    </row>
    <row r="385" customFormat="false" ht="15" hidden="false" customHeight="false" outlineLevel="0" collapsed="false">
      <c r="A385" s="17"/>
      <c r="B385" s="38"/>
      <c r="C385" s="39"/>
      <c r="D385" s="17"/>
      <c r="E385" s="17"/>
      <c r="F385" s="17"/>
      <c r="G385" s="17"/>
      <c r="H385" s="17"/>
      <c r="I385" s="40"/>
      <c r="J385" s="17"/>
      <c r="K385" s="17"/>
      <c r="L385" s="17"/>
      <c r="M385" s="17"/>
      <c r="N385" s="38"/>
      <c r="O385" s="39"/>
      <c r="P385" s="41" t="str">
        <f aca="false">IF(OR(B385="",N385=""),"",ROUND(((N385+N(O385))-(B385+N(C385)))*24,1))</f>
        <v/>
      </c>
      <c r="Q385" s="17"/>
      <c r="R385" s="17"/>
      <c r="S385" s="38"/>
      <c r="T385" s="17"/>
      <c r="U385" s="42" t="str">
        <f aca="false">IF(OR(E385="",S385="",OR(R385="Contract signed + paid",R385="Closed – No response",R385="Lost"),N(T385)&gt;=Settings!$S$3),"",S385+Settings!$S$2)</f>
        <v/>
      </c>
      <c r="V385" s="38"/>
      <c r="W385" s="39"/>
      <c r="X385" s="17"/>
      <c r="Y385" s="17"/>
      <c r="Z385" s="17"/>
      <c r="AA385" s="43" t="str">
        <f aca="true">IF(OR(E385="",B385=""),"",INT(TODAY()-B385))</f>
        <v/>
      </c>
      <c r="AB385" s="44" t="str">
        <f aca="true">IF(E385="","",IF(OR(COUNTIFS(Clients!$C$2:$C$501,E385,Clients!$S$2:$S$501,"Paid")&gt;0,AND(I385&lt;&gt;"",COUNTIFS(Clients!$E$2:$E$501,I385,Clients!$S$2:$S$501,"Paid")&gt;0)),"⚠ Refunded before – no free video",IF(OR(R385="Contract signed + paid",R385="Closed – No response",R385="Lost"),"",IF(R385="","Set a stage",IF(N(T385)&gt;=Settings!$S$3,"Close – 4 follow-ups sent",IF(U385="",IF(S385="","Make first contact",""),IF(TODAY()&gt;U385,"OVERDUE follow-up",IF(TODAY()=U385,"Follow up today",""))))))))</f>
        <v/>
      </c>
    </row>
    <row r="386" customFormat="false" ht="15" hidden="false" customHeight="false" outlineLevel="0" collapsed="false">
      <c r="A386" s="17"/>
      <c r="B386" s="38"/>
      <c r="C386" s="39"/>
      <c r="D386" s="17"/>
      <c r="E386" s="17"/>
      <c r="F386" s="17"/>
      <c r="G386" s="17"/>
      <c r="H386" s="17"/>
      <c r="I386" s="40"/>
      <c r="J386" s="17"/>
      <c r="K386" s="17"/>
      <c r="L386" s="17"/>
      <c r="M386" s="17"/>
      <c r="N386" s="38"/>
      <c r="O386" s="39"/>
      <c r="P386" s="41" t="str">
        <f aca="false">IF(OR(B386="",N386=""),"",ROUND(((N386+N(O386))-(B386+N(C386)))*24,1))</f>
        <v/>
      </c>
      <c r="Q386" s="17"/>
      <c r="R386" s="17"/>
      <c r="S386" s="38"/>
      <c r="T386" s="17"/>
      <c r="U386" s="42" t="str">
        <f aca="false">IF(OR(E386="",S386="",OR(R386="Contract signed + paid",R386="Closed – No response",R386="Lost"),N(T386)&gt;=Settings!$S$3),"",S386+Settings!$S$2)</f>
        <v/>
      </c>
      <c r="V386" s="38"/>
      <c r="W386" s="39"/>
      <c r="X386" s="17"/>
      <c r="Y386" s="17"/>
      <c r="Z386" s="17"/>
      <c r="AA386" s="43" t="str">
        <f aca="true">IF(OR(E386="",B386=""),"",INT(TODAY()-B386))</f>
        <v/>
      </c>
      <c r="AB386" s="44" t="str">
        <f aca="true">IF(E386="","",IF(OR(COUNTIFS(Clients!$C$2:$C$501,E386,Clients!$S$2:$S$501,"Paid")&gt;0,AND(I386&lt;&gt;"",COUNTIFS(Clients!$E$2:$E$501,I386,Clients!$S$2:$S$501,"Paid")&gt;0)),"⚠ Refunded before – no free video",IF(OR(R386="Contract signed + paid",R386="Closed – No response",R386="Lost"),"",IF(R386="","Set a stage",IF(N(T386)&gt;=Settings!$S$3,"Close – 4 follow-ups sent",IF(U386="",IF(S386="","Make first contact",""),IF(TODAY()&gt;U386,"OVERDUE follow-up",IF(TODAY()=U386,"Follow up today",""))))))))</f>
        <v/>
      </c>
    </row>
    <row r="387" customFormat="false" ht="15" hidden="false" customHeight="false" outlineLevel="0" collapsed="false">
      <c r="A387" s="17"/>
      <c r="B387" s="38"/>
      <c r="C387" s="39"/>
      <c r="D387" s="17"/>
      <c r="E387" s="17"/>
      <c r="F387" s="17"/>
      <c r="G387" s="17"/>
      <c r="H387" s="17"/>
      <c r="I387" s="40"/>
      <c r="J387" s="17"/>
      <c r="K387" s="17"/>
      <c r="L387" s="17"/>
      <c r="M387" s="17"/>
      <c r="N387" s="38"/>
      <c r="O387" s="39"/>
      <c r="P387" s="41" t="str">
        <f aca="false">IF(OR(B387="",N387=""),"",ROUND(((N387+N(O387))-(B387+N(C387)))*24,1))</f>
        <v/>
      </c>
      <c r="Q387" s="17"/>
      <c r="R387" s="17"/>
      <c r="S387" s="38"/>
      <c r="T387" s="17"/>
      <c r="U387" s="42" t="str">
        <f aca="false">IF(OR(E387="",S387="",OR(R387="Contract signed + paid",R387="Closed – No response",R387="Lost"),N(T387)&gt;=Settings!$S$3),"",S387+Settings!$S$2)</f>
        <v/>
      </c>
      <c r="V387" s="38"/>
      <c r="W387" s="39"/>
      <c r="X387" s="17"/>
      <c r="Y387" s="17"/>
      <c r="Z387" s="17"/>
      <c r="AA387" s="43" t="str">
        <f aca="true">IF(OR(E387="",B387=""),"",INT(TODAY()-B387))</f>
        <v/>
      </c>
      <c r="AB387" s="44" t="str">
        <f aca="true">IF(E387="","",IF(OR(COUNTIFS(Clients!$C$2:$C$501,E387,Clients!$S$2:$S$501,"Paid")&gt;0,AND(I387&lt;&gt;"",COUNTIFS(Clients!$E$2:$E$501,I387,Clients!$S$2:$S$501,"Paid")&gt;0)),"⚠ Refunded before – no free video",IF(OR(R387="Contract signed + paid",R387="Closed – No response",R387="Lost"),"",IF(R387="","Set a stage",IF(N(T387)&gt;=Settings!$S$3,"Close – 4 follow-ups sent",IF(U387="",IF(S387="","Make first contact",""),IF(TODAY()&gt;U387,"OVERDUE follow-up",IF(TODAY()=U387,"Follow up today",""))))))))</f>
        <v/>
      </c>
    </row>
    <row r="388" customFormat="false" ht="15" hidden="false" customHeight="false" outlineLevel="0" collapsed="false">
      <c r="A388" s="17"/>
      <c r="B388" s="38"/>
      <c r="C388" s="39"/>
      <c r="D388" s="17"/>
      <c r="E388" s="17"/>
      <c r="F388" s="17"/>
      <c r="G388" s="17"/>
      <c r="H388" s="17"/>
      <c r="I388" s="40"/>
      <c r="J388" s="17"/>
      <c r="K388" s="17"/>
      <c r="L388" s="17"/>
      <c r="M388" s="17"/>
      <c r="N388" s="38"/>
      <c r="O388" s="39"/>
      <c r="P388" s="41" t="str">
        <f aca="false">IF(OR(B388="",N388=""),"",ROUND(((N388+N(O388))-(B388+N(C388)))*24,1))</f>
        <v/>
      </c>
      <c r="Q388" s="17"/>
      <c r="R388" s="17"/>
      <c r="S388" s="38"/>
      <c r="T388" s="17"/>
      <c r="U388" s="42" t="str">
        <f aca="false">IF(OR(E388="",S388="",OR(R388="Contract signed + paid",R388="Closed – No response",R388="Lost"),N(T388)&gt;=Settings!$S$3),"",S388+Settings!$S$2)</f>
        <v/>
      </c>
      <c r="V388" s="38"/>
      <c r="W388" s="39"/>
      <c r="X388" s="17"/>
      <c r="Y388" s="17"/>
      <c r="Z388" s="17"/>
      <c r="AA388" s="43" t="str">
        <f aca="true">IF(OR(E388="",B388=""),"",INT(TODAY()-B388))</f>
        <v/>
      </c>
      <c r="AB388" s="44" t="str">
        <f aca="true">IF(E388="","",IF(OR(COUNTIFS(Clients!$C$2:$C$501,E388,Clients!$S$2:$S$501,"Paid")&gt;0,AND(I388&lt;&gt;"",COUNTIFS(Clients!$E$2:$E$501,I388,Clients!$S$2:$S$501,"Paid")&gt;0)),"⚠ Refunded before – no free video",IF(OR(R388="Contract signed + paid",R388="Closed – No response",R388="Lost"),"",IF(R388="","Set a stage",IF(N(T388)&gt;=Settings!$S$3,"Close – 4 follow-ups sent",IF(U388="",IF(S388="","Make first contact",""),IF(TODAY()&gt;U388,"OVERDUE follow-up",IF(TODAY()=U388,"Follow up today",""))))))))</f>
        <v/>
      </c>
    </row>
    <row r="389" customFormat="false" ht="15" hidden="false" customHeight="false" outlineLevel="0" collapsed="false">
      <c r="A389" s="17"/>
      <c r="B389" s="38"/>
      <c r="C389" s="39"/>
      <c r="D389" s="17"/>
      <c r="E389" s="17"/>
      <c r="F389" s="17"/>
      <c r="G389" s="17"/>
      <c r="H389" s="17"/>
      <c r="I389" s="40"/>
      <c r="J389" s="17"/>
      <c r="K389" s="17"/>
      <c r="L389" s="17"/>
      <c r="M389" s="17"/>
      <c r="N389" s="38"/>
      <c r="O389" s="39"/>
      <c r="P389" s="41" t="str">
        <f aca="false">IF(OR(B389="",N389=""),"",ROUND(((N389+N(O389))-(B389+N(C389)))*24,1))</f>
        <v/>
      </c>
      <c r="Q389" s="17"/>
      <c r="R389" s="17"/>
      <c r="S389" s="38"/>
      <c r="T389" s="17"/>
      <c r="U389" s="42" t="str">
        <f aca="false">IF(OR(E389="",S389="",OR(R389="Contract signed + paid",R389="Closed – No response",R389="Lost"),N(T389)&gt;=Settings!$S$3),"",S389+Settings!$S$2)</f>
        <v/>
      </c>
      <c r="V389" s="38"/>
      <c r="W389" s="39"/>
      <c r="X389" s="17"/>
      <c r="Y389" s="17"/>
      <c r="Z389" s="17"/>
      <c r="AA389" s="43" t="str">
        <f aca="true">IF(OR(E389="",B389=""),"",INT(TODAY()-B389))</f>
        <v/>
      </c>
      <c r="AB389" s="44" t="str">
        <f aca="true">IF(E389="","",IF(OR(COUNTIFS(Clients!$C$2:$C$501,E389,Clients!$S$2:$S$501,"Paid")&gt;0,AND(I389&lt;&gt;"",COUNTIFS(Clients!$E$2:$E$501,I389,Clients!$S$2:$S$501,"Paid")&gt;0)),"⚠ Refunded before – no free video",IF(OR(R389="Contract signed + paid",R389="Closed – No response",R389="Lost"),"",IF(R389="","Set a stage",IF(N(T389)&gt;=Settings!$S$3,"Close – 4 follow-ups sent",IF(U389="",IF(S389="","Make first contact",""),IF(TODAY()&gt;U389,"OVERDUE follow-up",IF(TODAY()=U389,"Follow up today",""))))))))</f>
        <v/>
      </c>
    </row>
    <row r="390" customFormat="false" ht="15" hidden="false" customHeight="false" outlineLevel="0" collapsed="false">
      <c r="A390" s="17"/>
      <c r="B390" s="38"/>
      <c r="C390" s="39"/>
      <c r="D390" s="17"/>
      <c r="E390" s="17"/>
      <c r="F390" s="17"/>
      <c r="G390" s="17"/>
      <c r="H390" s="17"/>
      <c r="I390" s="40"/>
      <c r="J390" s="17"/>
      <c r="K390" s="17"/>
      <c r="L390" s="17"/>
      <c r="M390" s="17"/>
      <c r="N390" s="38"/>
      <c r="O390" s="39"/>
      <c r="P390" s="41" t="str">
        <f aca="false">IF(OR(B390="",N390=""),"",ROUND(((N390+N(O390))-(B390+N(C390)))*24,1))</f>
        <v/>
      </c>
      <c r="Q390" s="17"/>
      <c r="R390" s="17"/>
      <c r="S390" s="38"/>
      <c r="T390" s="17"/>
      <c r="U390" s="42" t="str">
        <f aca="false">IF(OR(E390="",S390="",OR(R390="Contract signed + paid",R390="Closed – No response",R390="Lost"),N(T390)&gt;=Settings!$S$3),"",S390+Settings!$S$2)</f>
        <v/>
      </c>
      <c r="V390" s="38"/>
      <c r="W390" s="39"/>
      <c r="X390" s="17"/>
      <c r="Y390" s="17"/>
      <c r="Z390" s="17"/>
      <c r="AA390" s="43" t="str">
        <f aca="true">IF(OR(E390="",B390=""),"",INT(TODAY()-B390))</f>
        <v/>
      </c>
      <c r="AB390" s="44" t="str">
        <f aca="true">IF(E390="","",IF(OR(COUNTIFS(Clients!$C$2:$C$501,E390,Clients!$S$2:$S$501,"Paid")&gt;0,AND(I390&lt;&gt;"",COUNTIFS(Clients!$E$2:$E$501,I390,Clients!$S$2:$S$501,"Paid")&gt;0)),"⚠ Refunded before – no free video",IF(OR(R390="Contract signed + paid",R390="Closed – No response",R390="Lost"),"",IF(R390="","Set a stage",IF(N(T390)&gt;=Settings!$S$3,"Close – 4 follow-ups sent",IF(U390="",IF(S390="","Make first contact",""),IF(TODAY()&gt;U390,"OVERDUE follow-up",IF(TODAY()=U390,"Follow up today",""))))))))</f>
        <v/>
      </c>
    </row>
    <row r="391" customFormat="false" ht="15" hidden="false" customHeight="false" outlineLevel="0" collapsed="false">
      <c r="A391" s="17"/>
      <c r="B391" s="38"/>
      <c r="C391" s="39"/>
      <c r="D391" s="17"/>
      <c r="E391" s="17"/>
      <c r="F391" s="17"/>
      <c r="G391" s="17"/>
      <c r="H391" s="17"/>
      <c r="I391" s="40"/>
      <c r="J391" s="17"/>
      <c r="K391" s="17"/>
      <c r="L391" s="17"/>
      <c r="M391" s="17"/>
      <c r="N391" s="38"/>
      <c r="O391" s="39"/>
      <c r="P391" s="41" t="str">
        <f aca="false">IF(OR(B391="",N391=""),"",ROUND(((N391+N(O391))-(B391+N(C391)))*24,1))</f>
        <v/>
      </c>
      <c r="Q391" s="17"/>
      <c r="R391" s="17"/>
      <c r="S391" s="38"/>
      <c r="T391" s="17"/>
      <c r="U391" s="42" t="str">
        <f aca="false">IF(OR(E391="",S391="",OR(R391="Contract signed + paid",R391="Closed – No response",R391="Lost"),N(T391)&gt;=Settings!$S$3),"",S391+Settings!$S$2)</f>
        <v/>
      </c>
      <c r="V391" s="38"/>
      <c r="W391" s="39"/>
      <c r="X391" s="17"/>
      <c r="Y391" s="17"/>
      <c r="Z391" s="17"/>
      <c r="AA391" s="43" t="str">
        <f aca="true">IF(OR(E391="",B391=""),"",INT(TODAY()-B391))</f>
        <v/>
      </c>
      <c r="AB391" s="44" t="str">
        <f aca="true">IF(E391="","",IF(OR(COUNTIFS(Clients!$C$2:$C$501,E391,Clients!$S$2:$S$501,"Paid")&gt;0,AND(I391&lt;&gt;"",COUNTIFS(Clients!$E$2:$E$501,I391,Clients!$S$2:$S$501,"Paid")&gt;0)),"⚠ Refunded before – no free video",IF(OR(R391="Contract signed + paid",R391="Closed – No response",R391="Lost"),"",IF(R391="","Set a stage",IF(N(T391)&gt;=Settings!$S$3,"Close – 4 follow-ups sent",IF(U391="",IF(S391="","Make first contact",""),IF(TODAY()&gt;U391,"OVERDUE follow-up",IF(TODAY()=U391,"Follow up today",""))))))))</f>
        <v/>
      </c>
    </row>
    <row r="392" customFormat="false" ht="15" hidden="false" customHeight="false" outlineLevel="0" collapsed="false">
      <c r="A392" s="17"/>
      <c r="B392" s="38"/>
      <c r="C392" s="39"/>
      <c r="D392" s="17"/>
      <c r="E392" s="17"/>
      <c r="F392" s="17"/>
      <c r="G392" s="17"/>
      <c r="H392" s="17"/>
      <c r="I392" s="40"/>
      <c r="J392" s="17"/>
      <c r="K392" s="17"/>
      <c r="L392" s="17"/>
      <c r="M392" s="17"/>
      <c r="N392" s="38"/>
      <c r="O392" s="39"/>
      <c r="P392" s="41" t="str">
        <f aca="false">IF(OR(B392="",N392=""),"",ROUND(((N392+N(O392))-(B392+N(C392)))*24,1))</f>
        <v/>
      </c>
      <c r="Q392" s="17"/>
      <c r="R392" s="17"/>
      <c r="S392" s="38"/>
      <c r="T392" s="17"/>
      <c r="U392" s="42" t="str">
        <f aca="false">IF(OR(E392="",S392="",OR(R392="Contract signed + paid",R392="Closed – No response",R392="Lost"),N(T392)&gt;=Settings!$S$3),"",S392+Settings!$S$2)</f>
        <v/>
      </c>
      <c r="V392" s="38"/>
      <c r="W392" s="39"/>
      <c r="X392" s="17"/>
      <c r="Y392" s="17"/>
      <c r="Z392" s="17"/>
      <c r="AA392" s="43" t="str">
        <f aca="true">IF(OR(E392="",B392=""),"",INT(TODAY()-B392))</f>
        <v/>
      </c>
      <c r="AB392" s="44" t="str">
        <f aca="true">IF(E392="","",IF(OR(COUNTIFS(Clients!$C$2:$C$501,E392,Clients!$S$2:$S$501,"Paid")&gt;0,AND(I392&lt;&gt;"",COUNTIFS(Clients!$E$2:$E$501,I392,Clients!$S$2:$S$501,"Paid")&gt;0)),"⚠ Refunded before – no free video",IF(OR(R392="Contract signed + paid",R392="Closed – No response",R392="Lost"),"",IF(R392="","Set a stage",IF(N(T392)&gt;=Settings!$S$3,"Close – 4 follow-ups sent",IF(U392="",IF(S392="","Make first contact",""),IF(TODAY()&gt;U392,"OVERDUE follow-up",IF(TODAY()=U392,"Follow up today",""))))))))</f>
        <v/>
      </c>
    </row>
    <row r="393" customFormat="false" ht="15" hidden="false" customHeight="false" outlineLevel="0" collapsed="false">
      <c r="A393" s="17"/>
      <c r="B393" s="38"/>
      <c r="C393" s="39"/>
      <c r="D393" s="17"/>
      <c r="E393" s="17"/>
      <c r="F393" s="17"/>
      <c r="G393" s="17"/>
      <c r="H393" s="17"/>
      <c r="I393" s="40"/>
      <c r="J393" s="17"/>
      <c r="K393" s="17"/>
      <c r="L393" s="17"/>
      <c r="M393" s="17"/>
      <c r="N393" s="38"/>
      <c r="O393" s="39"/>
      <c r="P393" s="41" t="str">
        <f aca="false">IF(OR(B393="",N393=""),"",ROUND(((N393+N(O393))-(B393+N(C393)))*24,1))</f>
        <v/>
      </c>
      <c r="Q393" s="17"/>
      <c r="R393" s="17"/>
      <c r="S393" s="38"/>
      <c r="T393" s="17"/>
      <c r="U393" s="42" t="str">
        <f aca="false">IF(OR(E393="",S393="",OR(R393="Contract signed + paid",R393="Closed – No response",R393="Lost"),N(T393)&gt;=Settings!$S$3),"",S393+Settings!$S$2)</f>
        <v/>
      </c>
      <c r="V393" s="38"/>
      <c r="W393" s="39"/>
      <c r="X393" s="17"/>
      <c r="Y393" s="17"/>
      <c r="Z393" s="17"/>
      <c r="AA393" s="43" t="str">
        <f aca="true">IF(OR(E393="",B393=""),"",INT(TODAY()-B393))</f>
        <v/>
      </c>
      <c r="AB393" s="44" t="str">
        <f aca="true">IF(E393="","",IF(OR(COUNTIFS(Clients!$C$2:$C$501,E393,Clients!$S$2:$S$501,"Paid")&gt;0,AND(I393&lt;&gt;"",COUNTIFS(Clients!$E$2:$E$501,I393,Clients!$S$2:$S$501,"Paid")&gt;0)),"⚠ Refunded before – no free video",IF(OR(R393="Contract signed + paid",R393="Closed – No response",R393="Lost"),"",IF(R393="","Set a stage",IF(N(T393)&gt;=Settings!$S$3,"Close – 4 follow-ups sent",IF(U393="",IF(S393="","Make first contact",""),IF(TODAY()&gt;U393,"OVERDUE follow-up",IF(TODAY()=U393,"Follow up today",""))))))))</f>
        <v/>
      </c>
    </row>
    <row r="394" customFormat="false" ht="15" hidden="false" customHeight="false" outlineLevel="0" collapsed="false">
      <c r="A394" s="17"/>
      <c r="B394" s="38"/>
      <c r="C394" s="39"/>
      <c r="D394" s="17"/>
      <c r="E394" s="17"/>
      <c r="F394" s="17"/>
      <c r="G394" s="17"/>
      <c r="H394" s="17"/>
      <c r="I394" s="40"/>
      <c r="J394" s="17"/>
      <c r="K394" s="17"/>
      <c r="L394" s="17"/>
      <c r="M394" s="17"/>
      <c r="N394" s="38"/>
      <c r="O394" s="39"/>
      <c r="P394" s="41" t="str">
        <f aca="false">IF(OR(B394="",N394=""),"",ROUND(((N394+N(O394))-(B394+N(C394)))*24,1))</f>
        <v/>
      </c>
      <c r="Q394" s="17"/>
      <c r="R394" s="17"/>
      <c r="S394" s="38"/>
      <c r="T394" s="17"/>
      <c r="U394" s="42" t="str">
        <f aca="false">IF(OR(E394="",S394="",OR(R394="Contract signed + paid",R394="Closed – No response",R394="Lost"),N(T394)&gt;=Settings!$S$3),"",S394+Settings!$S$2)</f>
        <v/>
      </c>
      <c r="V394" s="38"/>
      <c r="W394" s="39"/>
      <c r="X394" s="17"/>
      <c r="Y394" s="17"/>
      <c r="Z394" s="17"/>
      <c r="AA394" s="43" t="str">
        <f aca="true">IF(OR(E394="",B394=""),"",INT(TODAY()-B394))</f>
        <v/>
      </c>
      <c r="AB394" s="44" t="str">
        <f aca="true">IF(E394="","",IF(OR(COUNTIFS(Clients!$C$2:$C$501,E394,Clients!$S$2:$S$501,"Paid")&gt;0,AND(I394&lt;&gt;"",COUNTIFS(Clients!$E$2:$E$501,I394,Clients!$S$2:$S$501,"Paid")&gt;0)),"⚠ Refunded before – no free video",IF(OR(R394="Contract signed + paid",R394="Closed – No response",R394="Lost"),"",IF(R394="","Set a stage",IF(N(T394)&gt;=Settings!$S$3,"Close – 4 follow-ups sent",IF(U394="",IF(S394="","Make first contact",""),IF(TODAY()&gt;U394,"OVERDUE follow-up",IF(TODAY()=U394,"Follow up today",""))))))))</f>
        <v/>
      </c>
    </row>
    <row r="395" customFormat="false" ht="15" hidden="false" customHeight="false" outlineLevel="0" collapsed="false">
      <c r="A395" s="17"/>
      <c r="B395" s="38"/>
      <c r="C395" s="39"/>
      <c r="D395" s="17"/>
      <c r="E395" s="17"/>
      <c r="F395" s="17"/>
      <c r="G395" s="17"/>
      <c r="H395" s="17"/>
      <c r="I395" s="40"/>
      <c r="J395" s="17"/>
      <c r="K395" s="17"/>
      <c r="L395" s="17"/>
      <c r="M395" s="17"/>
      <c r="N395" s="38"/>
      <c r="O395" s="39"/>
      <c r="P395" s="41" t="str">
        <f aca="false">IF(OR(B395="",N395=""),"",ROUND(((N395+N(O395))-(B395+N(C395)))*24,1))</f>
        <v/>
      </c>
      <c r="Q395" s="17"/>
      <c r="R395" s="17"/>
      <c r="S395" s="38"/>
      <c r="T395" s="17"/>
      <c r="U395" s="42" t="str">
        <f aca="false">IF(OR(E395="",S395="",OR(R395="Contract signed + paid",R395="Closed – No response",R395="Lost"),N(T395)&gt;=Settings!$S$3),"",S395+Settings!$S$2)</f>
        <v/>
      </c>
      <c r="V395" s="38"/>
      <c r="W395" s="39"/>
      <c r="X395" s="17"/>
      <c r="Y395" s="17"/>
      <c r="Z395" s="17"/>
      <c r="AA395" s="43" t="str">
        <f aca="true">IF(OR(E395="",B395=""),"",INT(TODAY()-B395))</f>
        <v/>
      </c>
      <c r="AB395" s="44" t="str">
        <f aca="true">IF(E395="","",IF(OR(COUNTIFS(Clients!$C$2:$C$501,E395,Clients!$S$2:$S$501,"Paid")&gt;0,AND(I395&lt;&gt;"",COUNTIFS(Clients!$E$2:$E$501,I395,Clients!$S$2:$S$501,"Paid")&gt;0)),"⚠ Refunded before – no free video",IF(OR(R395="Contract signed + paid",R395="Closed – No response",R395="Lost"),"",IF(R395="","Set a stage",IF(N(T395)&gt;=Settings!$S$3,"Close – 4 follow-ups sent",IF(U395="",IF(S395="","Make first contact",""),IF(TODAY()&gt;U395,"OVERDUE follow-up",IF(TODAY()=U395,"Follow up today",""))))))))</f>
        <v/>
      </c>
    </row>
    <row r="396" customFormat="false" ht="15" hidden="false" customHeight="false" outlineLevel="0" collapsed="false">
      <c r="A396" s="17"/>
      <c r="B396" s="38"/>
      <c r="C396" s="39"/>
      <c r="D396" s="17"/>
      <c r="E396" s="17"/>
      <c r="F396" s="17"/>
      <c r="G396" s="17"/>
      <c r="H396" s="17"/>
      <c r="I396" s="40"/>
      <c r="J396" s="17"/>
      <c r="K396" s="17"/>
      <c r="L396" s="17"/>
      <c r="M396" s="17"/>
      <c r="N396" s="38"/>
      <c r="O396" s="39"/>
      <c r="P396" s="41" t="str">
        <f aca="false">IF(OR(B396="",N396=""),"",ROUND(((N396+N(O396))-(B396+N(C396)))*24,1))</f>
        <v/>
      </c>
      <c r="Q396" s="17"/>
      <c r="R396" s="17"/>
      <c r="S396" s="38"/>
      <c r="T396" s="17"/>
      <c r="U396" s="42" t="str">
        <f aca="false">IF(OR(E396="",S396="",OR(R396="Contract signed + paid",R396="Closed – No response",R396="Lost"),N(T396)&gt;=Settings!$S$3),"",S396+Settings!$S$2)</f>
        <v/>
      </c>
      <c r="V396" s="38"/>
      <c r="W396" s="39"/>
      <c r="X396" s="17"/>
      <c r="Y396" s="17"/>
      <c r="Z396" s="17"/>
      <c r="AA396" s="43" t="str">
        <f aca="true">IF(OR(E396="",B396=""),"",INT(TODAY()-B396))</f>
        <v/>
      </c>
      <c r="AB396" s="44" t="str">
        <f aca="true">IF(E396="","",IF(OR(COUNTIFS(Clients!$C$2:$C$501,E396,Clients!$S$2:$S$501,"Paid")&gt;0,AND(I396&lt;&gt;"",COUNTIFS(Clients!$E$2:$E$501,I396,Clients!$S$2:$S$501,"Paid")&gt;0)),"⚠ Refunded before – no free video",IF(OR(R396="Contract signed + paid",R396="Closed – No response",R396="Lost"),"",IF(R396="","Set a stage",IF(N(T396)&gt;=Settings!$S$3,"Close – 4 follow-ups sent",IF(U396="",IF(S396="","Make first contact",""),IF(TODAY()&gt;U396,"OVERDUE follow-up",IF(TODAY()=U396,"Follow up today",""))))))))</f>
        <v/>
      </c>
    </row>
    <row r="397" customFormat="false" ht="15" hidden="false" customHeight="false" outlineLevel="0" collapsed="false">
      <c r="A397" s="17"/>
      <c r="B397" s="38"/>
      <c r="C397" s="39"/>
      <c r="D397" s="17"/>
      <c r="E397" s="17"/>
      <c r="F397" s="17"/>
      <c r="G397" s="17"/>
      <c r="H397" s="17"/>
      <c r="I397" s="40"/>
      <c r="J397" s="17"/>
      <c r="K397" s="17"/>
      <c r="L397" s="17"/>
      <c r="M397" s="17"/>
      <c r="N397" s="38"/>
      <c r="O397" s="39"/>
      <c r="P397" s="41" t="str">
        <f aca="false">IF(OR(B397="",N397=""),"",ROUND(((N397+N(O397))-(B397+N(C397)))*24,1))</f>
        <v/>
      </c>
      <c r="Q397" s="17"/>
      <c r="R397" s="17"/>
      <c r="S397" s="38"/>
      <c r="T397" s="17"/>
      <c r="U397" s="42" t="str">
        <f aca="false">IF(OR(E397="",S397="",OR(R397="Contract signed + paid",R397="Closed – No response",R397="Lost"),N(T397)&gt;=Settings!$S$3),"",S397+Settings!$S$2)</f>
        <v/>
      </c>
      <c r="V397" s="38"/>
      <c r="W397" s="39"/>
      <c r="X397" s="17"/>
      <c r="Y397" s="17"/>
      <c r="Z397" s="17"/>
      <c r="AA397" s="43" t="str">
        <f aca="true">IF(OR(E397="",B397=""),"",INT(TODAY()-B397))</f>
        <v/>
      </c>
      <c r="AB397" s="44" t="str">
        <f aca="true">IF(E397="","",IF(OR(COUNTIFS(Clients!$C$2:$C$501,E397,Clients!$S$2:$S$501,"Paid")&gt;0,AND(I397&lt;&gt;"",COUNTIFS(Clients!$E$2:$E$501,I397,Clients!$S$2:$S$501,"Paid")&gt;0)),"⚠ Refunded before – no free video",IF(OR(R397="Contract signed + paid",R397="Closed – No response",R397="Lost"),"",IF(R397="","Set a stage",IF(N(T397)&gt;=Settings!$S$3,"Close – 4 follow-ups sent",IF(U397="",IF(S397="","Make first contact",""),IF(TODAY()&gt;U397,"OVERDUE follow-up",IF(TODAY()=U397,"Follow up today",""))))))))</f>
        <v/>
      </c>
    </row>
    <row r="398" customFormat="false" ht="15" hidden="false" customHeight="false" outlineLevel="0" collapsed="false">
      <c r="A398" s="17"/>
      <c r="B398" s="38"/>
      <c r="C398" s="39"/>
      <c r="D398" s="17"/>
      <c r="E398" s="17"/>
      <c r="F398" s="17"/>
      <c r="G398" s="17"/>
      <c r="H398" s="17"/>
      <c r="I398" s="40"/>
      <c r="J398" s="17"/>
      <c r="K398" s="17"/>
      <c r="L398" s="17"/>
      <c r="M398" s="17"/>
      <c r="N398" s="38"/>
      <c r="O398" s="39"/>
      <c r="P398" s="41" t="str">
        <f aca="false">IF(OR(B398="",N398=""),"",ROUND(((N398+N(O398))-(B398+N(C398)))*24,1))</f>
        <v/>
      </c>
      <c r="Q398" s="17"/>
      <c r="R398" s="17"/>
      <c r="S398" s="38"/>
      <c r="T398" s="17"/>
      <c r="U398" s="42" t="str">
        <f aca="false">IF(OR(E398="",S398="",OR(R398="Contract signed + paid",R398="Closed – No response",R398="Lost"),N(T398)&gt;=Settings!$S$3),"",S398+Settings!$S$2)</f>
        <v/>
      </c>
      <c r="V398" s="38"/>
      <c r="W398" s="39"/>
      <c r="X398" s="17"/>
      <c r="Y398" s="17"/>
      <c r="Z398" s="17"/>
      <c r="AA398" s="43" t="str">
        <f aca="true">IF(OR(E398="",B398=""),"",INT(TODAY()-B398))</f>
        <v/>
      </c>
      <c r="AB398" s="44" t="str">
        <f aca="true">IF(E398="","",IF(OR(COUNTIFS(Clients!$C$2:$C$501,E398,Clients!$S$2:$S$501,"Paid")&gt;0,AND(I398&lt;&gt;"",COUNTIFS(Clients!$E$2:$E$501,I398,Clients!$S$2:$S$501,"Paid")&gt;0)),"⚠ Refunded before – no free video",IF(OR(R398="Contract signed + paid",R398="Closed – No response",R398="Lost"),"",IF(R398="","Set a stage",IF(N(T398)&gt;=Settings!$S$3,"Close – 4 follow-ups sent",IF(U398="",IF(S398="","Make first contact",""),IF(TODAY()&gt;U398,"OVERDUE follow-up",IF(TODAY()=U398,"Follow up today",""))))))))</f>
        <v/>
      </c>
    </row>
    <row r="399" customFormat="false" ht="15" hidden="false" customHeight="false" outlineLevel="0" collapsed="false">
      <c r="A399" s="17"/>
      <c r="B399" s="38"/>
      <c r="C399" s="39"/>
      <c r="D399" s="17"/>
      <c r="E399" s="17"/>
      <c r="F399" s="17"/>
      <c r="G399" s="17"/>
      <c r="H399" s="17"/>
      <c r="I399" s="40"/>
      <c r="J399" s="17"/>
      <c r="K399" s="17"/>
      <c r="L399" s="17"/>
      <c r="M399" s="17"/>
      <c r="N399" s="38"/>
      <c r="O399" s="39"/>
      <c r="P399" s="41" t="str">
        <f aca="false">IF(OR(B399="",N399=""),"",ROUND(((N399+N(O399))-(B399+N(C399)))*24,1))</f>
        <v/>
      </c>
      <c r="Q399" s="17"/>
      <c r="R399" s="17"/>
      <c r="S399" s="38"/>
      <c r="T399" s="17"/>
      <c r="U399" s="42" t="str">
        <f aca="false">IF(OR(E399="",S399="",OR(R399="Contract signed + paid",R399="Closed – No response",R399="Lost"),N(T399)&gt;=Settings!$S$3),"",S399+Settings!$S$2)</f>
        <v/>
      </c>
      <c r="V399" s="38"/>
      <c r="W399" s="39"/>
      <c r="X399" s="17"/>
      <c r="Y399" s="17"/>
      <c r="Z399" s="17"/>
      <c r="AA399" s="43" t="str">
        <f aca="true">IF(OR(E399="",B399=""),"",INT(TODAY()-B399))</f>
        <v/>
      </c>
      <c r="AB399" s="44" t="str">
        <f aca="true">IF(E399="","",IF(OR(COUNTIFS(Clients!$C$2:$C$501,E399,Clients!$S$2:$S$501,"Paid")&gt;0,AND(I399&lt;&gt;"",COUNTIFS(Clients!$E$2:$E$501,I399,Clients!$S$2:$S$501,"Paid")&gt;0)),"⚠ Refunded before – no free video",IF(OR(R399="Contract signed + paid",R399="Closed – No response",R399="Lost"),"",IF(R399="","Set a stage",IF(N(T399)&gt;=Settings!$S$3,"Close – 4 follow-ups sent",IF(U399="",IF(S399="","Make first contact",""),IF(TODAY()&gt;U399,"OVERDUE follow-up",IF(TODAY()=U399,"Follow up today",""))))))))</f>
        <v/>
      </c>
    </row>
    <row r="400" customFormat="false" ht="15" hidden="false" customHeight="false" outlineLevel="0" collapsed="false">
      <c r="A400" s="17"/>
      <c r="B400" s="38"/>
      <c r="C400" s="39"/>
      <c r="D400" s="17"/>
      <c r="E400" s="17"/>
      <c r="F400" s="17"/>
      <c r="G400" s="17"/>
      <c r="H400" s="17"/>
      <c r="I400" s="40"/>
      <c r="J400" s="17"/>
      <c r="K400" s="17"/>
      <c r="L400" s="17"/>
      <c r="M400" s="17"/>
      <c r="N400" s="38"/>
      <c r="O400" s="39"/>
      <c r="P400" s="41" t="str">
        <f aca="false">IF(OR(B400="",N400=""),"",ROUND(((N400+N(O400))-(B400+N(C400)))*24,1))</f>
        <v/>
      </c>
      <c r="Q400" s="17"/>
      <c r="R400" s="17"/>
      <c r="S400" s="38"/>
      <c r="T400" s="17"/>
      <c r="U400" s="42" t="str">
        <f aca="false">IF(OR(E400="",S400="",OR(R400="Contract signed + paid",R400="Closed – No response",R400="Lost"),N(T400)&gt;=Settings!$S$3),"",S400+Settings!$S$2)</f>
        <v/>
      </c>
      <c r="V400" s="38"/>
      <c r="W400" s="39"/>
      <c r="X400" s="17"/>
      <c r="Y400" s="17"/>
      <c r="Z400" s="17"/>
      <c r="AA400" s="43" t="str">
        <f aca="true">IF(OR(E400="",B400=""),"",INT(TODAY()-B400))</f>
        <v/>
      </c>
      <c r="AB400" s="44" t="str">
        <f aca="true">IF(E400="","",IF(OR(COUNTIFS(Clients!$C$2:$C$501,E400,Clients!$S$2:$S$501,"Paid")&gt;0,AND(I400&lt;&gt;"",COUNTIFS(Clients!$E$2:$E$501,I400,Clients!$S$2:$S$501,"Paid")&gt;0)),"⚠ Refunded before – no free video",IF(OR(R400="Contract signed + paid",R400="Closed – No response",R400="Lost"),"",IF(R400="","Set a stage",IF(N(T400)&gt;=Settings!$S$3,"Close – 4 follow-ups sent",IF(U400="",IF(S400="","Make first contact",""),IF(TODAY()&gt;U400,"OVERDUE follow-up",IF(TODAY()=U400,"Follow up today",""))))))))</f>
        <v/>
      </c>
    </row>
    <row r="401" customFormat="false" ht="15" hidden="false" customHeight="false" outlineLevel="0" collapsed="false">
      <c r="A401" s="17"/>
      <c r="B401" s="38"/>
      <c r="C401" s="39"/>
      <c r="D401" s="17"/>
      <c r="E401" s="17"/>
      <c r="F401" s="17"/>
      <c r="G401" s="17"/>
      <c r="H401" s="17"/>
      <c r="I401" s="40"/>
      <c r="J401" s="17"/>
      <c r="K401" s="17"/>
      <c r="L401" s="17"/>
      <c r="M401" s="17"/>
      <c r="N401" s="38"/>
      <c r="O401" s="39"/>
      <c r="P401" s="41" t="str">
        <f aca="false">IF(OR(B401="",N401=""),"",ROUND(((N401+N(O401))-(B401+N(C401)))*24,1))</f>
        <v/>
      </c>
      <c r="Q401" s="17"/>
      <c r="R401" s="17"/>
      <c r="S401" s="38"/>
      <c r="T401" s="17"/>
      <c r="U401" s="42" t="str">
        <f aca="false">IF(OR(E401="",S401="",OR(R401="Contract signed + paid",R401="Closed – No response",R401="Lost"),N(T401)&gt;=Settings!$S$3),"",S401+Settings!$S$2)</f>
        <v/>
      </c>
      <c r="V401" s="38"/>
      <c r="W401" s="39"/>
      <c r="X401" s="17"/>
      <c r="Y401" s="17"/>
      <c r="Z401" s="17"/>
      <c r="AA401" s="43" t="str">
        <f aca="true">IF(OR(E401="",B401=""),"",INT(TODAY()-B401))</f>
        <v/>
      </c>
      <c r="AB401" s="44" t="str">
        <f aca="true">IF(E401="","",IF(OR(COUNTIFS(Clients!$C$2:$C$501,E401,Clients!$S$2:$S$501,"Paid")&gt;0,AND(I401&lt;&gt;"",COUNTIFS(Clients!$E$2:$E$501,I401,Clients!$S$2:$S$501,"Paid")&gt;0)),"⚠ Refunded before – no free video",IF(OR(R401="Contract signed + paid",R401="Closed – No response",R401="Lost"),"",IF(R401="","Set a stage",IF(N(T401)&gt;=Settings!$S$3,"Close – 4 follow-ups sent",IF(U401="",IF(S401="","Make first contact",""),IF(TODAY()&gt;U401,"OVERDUE follow-up",IF(TODAY()=U401,"Follow up today",""))))))))</f>
        <v/>
      </c>
    </row>
    <row r="402" customFormat="false" ht="15" hidden="false" customHeight="false" outlineLevel="0" collapsed="false">
      <c r="A402" s="17"/>
      <c r="B402" s="38"/>
      <c r="C402" s="39"/>
      <c r="D402" s="17"/>
      <c r="E402" s="17"/>
      <c r="F402" s="17"/>
      <c r="G402" s="17"/>
      <c r="H402" s="17"/>
      <c r="I402" s="40"/>
      <c r="J402" s="17"/>
      <c r="K402" s="17"/>
      <c r="L402" s="17"/>
      <c r="M402" s="17"/>
      <c r="N402" s="38"/>
      <c r="O402" s="39"/>
      <c r="P402" s="41" t="str">
        <f aca="false">IF(OR(B402="",N402=""),"",ROUND(((N402+N(O402))-(B402+N(C402)))*24,1))</f>
        <v/>
      </c>
      <c r="Q402" s="17"/>
      <c r="R402" s="17"/>
      <c r="S402" s="38"/>
      <c r="T402" s="17"/>
      <c r="U402" s="42" t="str">
        <f aca="false">IF(OR(E402="",S402="",OR(R402="Contract signed + paid",R402="Closed – No response",R402="Lost"),N(T402)&gt;=Settings!$S$3),"",S402+Settings!$S$2)</f>
        <v/>
      </c>
      <c r="V402" s="38"/>
      <c r="W402" s="39"/>
      <c r="X402" s="17"/>
      <c r="Y402" s="17"/>
      <c r="Z402" s="17"/>
      <c r="AA402" s="43" t="str">
        <f aca="true">IF(OR(E402="",B402=""),"",INT(TODAY()-B402))</f>
        <v/>
      </c>
      <c r="AB402" s="44" t="str">
        <f aca="true">IF(E402="","",IF(OR(COUNTIFS(Clients!$C$2:$C$501,E402,Clients!$S$2:$S$501,"Paid")&gt;0,AND(I402&lt;&gt;"",COUNTIFS(Clients!$E$2:$E$501,I402,Clients!$S$2:$S$501,"Paid")&gt;0)),"⚠ Refunded before – no free video",IF(OR(R402="Contract signed + paid",R402="Closed – No response",R402="Lost"),"",IF(R402="","Set a stage",IF(N(T402)&gt;=Settings!$S$3,"Close – 4 follow-ups sent",IF(U402="",IF(S402="","Make first contact",""),IF(TODAY()&gt;U402,"OVERDUE follow-up",IF(TODAY()=U402,"Follow up today",""))))))))</f>
        <v/>
      </c>
    </row>
    <row r="403" customFormat="false" ht="15" hidden="false" customHeight="false" outlineLevel="0" collapsed="false">
      <c r="A403" s="17"/>
      <c r="B403" s="38"/>
      <c r="C403" s="39"/>
      <c r="D403" s="17"/>
      <c r="E403" s="17"/>
      <c r="F403" s="17"/>
      <c r="G403" s="17"/>
      <c r="H403" s="17"/>
      <c r="I403" s="40"/>
      <c r="J403" s="17"/>
      <c r="K403" s="17"/>
      <c r="L403" s="17"/>
      <c r="M403" s="17"/>
      <c r="N403" s="38"/>
      <c r="O403" s="39"/>
      <c r="P403" s="41" t="str">
        <f aca="false">IF(OR(B403="",N403=""),"",ROUND(((N403+N(O403))-(B403+N(C403)))*24,1))</f>
        <v/>
      </c>
      <c r="Q403" s="17"/>
      <c r="R403" s="17"/>
      <c r="S403" s="38"/>
      <c r="T403" s="17"/>
      <c r="U403" s="42" t="str">
        <f aca="false">IF(OR(E403="",S403="",OR(R403="Contract signed + paid",R403="Closed – No response",R403="Lost"),N(T403)&gt;=Settings!$S$3),"",S403+Settings!$S$2)</f>
        <v/>
      </c>
      <c r="V403" s="38"/>
      <c r="W403" s="39"/>
      <c r="X403" s="17"/>
      <c r="Y403" s="17"/>
      <c r="Z403" s="17"/>
      <c r="AA403" s="43" t="str">
        <f aca="true">IF(OR(E403="",B403=""),"",INT(TODAY()-B403))</f>
        <v/>
      </c>
      <c r="AB403" s="44" t="str">
        <f aca="true">IF(E403="","",IF(OR(COUNTIFS(Clients!$C$2:$C$501,E403,Clients!$S$2:$S$501,"Paid")&gt;0,AND(I403&lt;&gt;"",COUNTIFS(Clients!$E$2:$E$501,I403,Clients!$S$2:$S$501,"Paid")&gt;0)),"⚠ Refunded before – no free video",IF(OR(R403="Contract signed + paid",R403="Closed – No response",R403="Lost"),"",IF(R403="","Set a stage",IF(N(T403)&gt;=Settings!$S$3,"Close – 4 follow-ups sent",IF(U403="",IF(S403="","Make first contact",""),IF(TODAY()&gt;U403,"OVERDUE follow-up",IF(TODAY()=U403,"Follow up today",""))))))))</f>
        <v/>
      </c>
    </row>
    <row r="404" customFormat="false" ht="15" hidden="false" customHeight="false" outlineLevel="0" collapsed="false">
      <c r="A404" s="17"/>
      <c r="B404" s="38"/>
      <c r="C404" s="39"/>
      <c r="D404" s="17"/>
      <c r="E404" s="17"/>
      <c r="F404" s="17"/>
      <c r="G404" s="17"/>
      <c r="H404" s="17"/>
      <c r="I404" s="40"/>
      <c r="J404" s="17"/>
      <c r="K404" s="17"/>
      <c r="L404" s="17"/>
      <c r="M404" s="17"/>
      <c r="N404" s="38"/>
      <c r="O404" s="39"/>
      <c r="P404" s="41" t="str">
        <f aca="false">IF(OR(B404="",N404=""),"",ROUND(((N404+N(O404))-(B404+N(C404)))*24,1))</f>
        <v/>
      </c>
      <c r="Q404" s="17"/>
      <c r="R404" s="17"/>
      <c r="S404" s="38"/>
      <c r="T404" s="17"/>
      <c r="U404" s="42" t="str">
        <f aca="false">IF(OR(E404="",S404="",OR(R404="Contract signed + paid",R404="Closed – No response",R404="Lost"),N(T404)&gt;=Settings!$S$3),"",S404+Settings!$S$2)</f>
        <v/>
      </c>
      <c r="V404" s="38"/>
      <c r="W404" s="39"/>
      <c r="X404" s="17"/>
      <c r="Y404" s="17"/>
      <c r="Z404" s="17"/>
      <c r="AA404" s="43" t="str">
        <f aca="true">IF(OR(E404="",B404=""),"",INT(TODAY()-B404))</f>
        <v/>
      </c>
      <c r="AB404" s="44" t="str">
        <f aca="true">IF(E404="","",IF(OR(COUNTIFS(Clients!$C$2:$C$501,E404,Clients!$S$2:$S$501,"Paid")&gt;0,AND(I404&lt;&gt;"",COUNTIFS(Clients!$E$2:$E$501,I404,Clients!$S$2:$S$501,"Paid")&gt;0)),"⚠ Refunded before – no free video",IF(OR(R404="Contract signed + paid",R404="Closed – No response",R404="Lost"),"",IF(R404="","Set a stage",IF(N(T404)&gt;=Settings!$S$3,"Close – 4 follow-ups sent",IF(U404="",IF(S404="","Make first contact",""),IF(TODAY()&gt;U404,"OVERDUE follow-up",IF(TODAY()=U404,"Follow up today",""))))))))</f>
        <v/>
      </c>
    </row>
    <row r="405" customFormat="false" ht="15" hidden="false" customHeight="false" outlineLevel="0" collapsed="false">
      <c r="A405" s="17"/>
      <c r="B405" s="38"/>
      <c r="C405" s="39"/>
      <c r="D405" s="17"/>
      <c r="E405" s="17"/>
      <c r="F405" s="17"/>
      <c r="G405" s="17"/>
      <c r="H405" s="17"/>
      <c r="I405" s="40"/>
      <c r="J405" s="17"/>
      <c r="K405" s="17"/>
      <c r="L405" s="17"/>
      <c r="M405" s="17"/>
      <c r="N405" s="38"/>
      <c r="O405" s="39"/>
      <c r="P405" s="41" t="str">
        <f aca="false">IF(OR(B405="",N405=""),"",ROUND(((N405+N(O405))-(B405+N(C405)))*24,1))</f>
        <v/>
      </c>
      <c r="Q405" s="17"/>
      <c r="R405" s="17"/>
      <c r="S405" s="38"/>
      <c r="T405" s="17"/>
      <c r="U405" s="42" t="str">
        <f aca="false">IF(OR(E405="",S405="",OR(R405="Contract signed + paid",R405="Closed – No response",R405="Lost"),N(T405)&gt;=Settings!$S$3),"",S405+Settings!$S$2)</f>
        <v/>
      </c>
      <c r="V405" s="38"/>
      <c r="W405" s="39"/>
      <c r="X405" s="17"/>
      <c r="Y405" s="17"/>
      <c r="Z405" s="17"/>
      <c r="AA405" s="43" t="str">
        <f aca="true">IF(OR(E405="",B405=""),"",INT(TODAY()-B405))</f>
        <v/>
      </c>
      <c r="AB405" s="44" t="str">
        <f aca="true">IF(E405="","",IF(OR(COUNTIFS(Clients!$C$2:$C$501,E405,Clients!$S$2:$S$501,"Paid")&gt;0,AND(I405&lt;&gt;"",COUNTIFS(Clients!$E$2:$E$501,I405,Clients!$S$2:$S$501,"Paid")&gt;0)),"⚠ Refunded before – no free video",IF(OR(R405="Contract signed + paid",R405="Closed – No response",R405="Lost"),"",IF(R405="","Set a stage",IF(N(T405)&gt;=Settings!$S$3,"Close – 4 follow-ups sent",IF(U405="",IF(S405="","Make first contact",""),IF(TODAY()&gt;U405,"OVERDUE follow-up",IF(TODAY()=U405,"Follow up today",""))))))))</f>
        <v/>
      </c>
    </row>
    <row r="406" customFormat="false" ht="15" hidden="false" customHeight="false" outlineLevel="0" collapsed="false">
      <c r="A406" s="17"/>
      <c r="B406" s="38"/>
      <c r="C406" s="39"/>
      <c r="D406" s="17"/>
      <c r="E406" s="17"/>
      <c r="F406" s="17"/>
      <c r="G406" s="17"/>
      <c r="H406" s="17"/>
      <c r="I406" s="40"/>
      <c r="J406" s="17"/>
      <c r="K406" s="17"/>
      <c r="L406" s="17"/>
      <c r="M406" s="17"/>
      <c r="N406" s="38"/>
      <c r="O406" s="39"/>
      <c r="P406" s="41" t="str">
        <f aca="false">IF(OR(B406="",N406=""),"",ROUND(((N406+N(O406))-(B406+N(C406)))*24,1))</f>
        <v/>
      </c>
      <c r="Q406" s="17"/>
      <c r="R406" s="17"/>
      <c r="S406" s="38"/>
      <c r="T406" s="17"/>
      <c r="U406" s="42" t="str">
        <f aca="false">IF(OR(E406="",S406="",OR(R406="Contract signed + paid",R406="Closed – No response",R406="Lost"),N(T406)&gt;=Settings!$S$3),"",S406+Settings!$S$2)</f>
        <v/>
      </c>
      <c r="V406" s="38"/>
      <c r="W406" s="39"/>
      <c r="X406" s="17"/>
      <c r="Y406" s="17"/>
      <c r="Z406" s="17"/>
      <c r="AA406" s="43" t="str">
        <f aca="true">IF(OR(E406="",B406=""),"",INT(TODAY()-B406))</f>
        <v/>
      </c>
      <c r="AB406" s="44" t="str">
        <f aca="true">IF(E406="","",IF(OR(COUNTIFS(Clients!$C$2:$C$501,E406,Clients!$S$2:$S$501,"Paid")&gt;0,AND(I406&lt;&gt;"",COUNTIFS(Clients!$E$2:$E$501,I406,Clients!$S$2:$S$501,"Paid")&gt;0)),"⚠ Refunded before – no free video",IF(OR(R406="Contract signed + paid",R406="Closed – No response",R406="Lost"),"",IF(R406="","Set a stage",IF(N(T406)&gt;=Settings!$S$3,"Close – 4 follow-ups sent",IF(U406="",IF(S406="","Make first contact",""),IF(TODAY()&gt;U406,"OVERDUE follow-up",IF(TODAY()=U406,"Follow up today",""))))))))</f>
        <v/>
      </c>
    </row>
    <row r="407" customFormat="false" ht="15" hidden="false" customHeight="false" outlineLevel="0" collapsed="false">
      <c r="A407" s="17"/>
      <c r="B407" s="38"/>
      <c r="C407" s="39"/>
      <c r="D407" s="17"/>
      <c r="E407" s="17"/>
      <c r="F407" s="17"/>
      <c r="G407" s="17"/>
      <c r="H407" s="17"/>
      <c r="I407" s="40"/>
      <c r="J407" s="17"/>
      <c r="K407" s="17"/>
      <c r="L407" s="17"/>
      <c r="M407" s="17"/>
      <c r="N407" s="38"/>
      <c r="O407" s="39"/>
      <c r="P407" s="41" t="str">
        <f aca="false">IF(OR(B407="",N407=""),"",ROUND(((N407+N(O407))-(B407+N(C407)))*24,1))</f>
        <v/>
      </c>
      <c r="Q407" s="17"/>
      <c r="R407" s="17"/>
      <c r="S407" s="38"/>
      <c r="T407" s="17"/>
      <c r="U407" s="42" t="str">
        <f aca="false">IF(OR(E407="",S407="",OR(R407="Contract signed + paid",R407="Closed – No response",R407="Lost"),N(T407)&gt;=Settings!$S$3),"",S407+Settings!$S$2)</f>
        <v/>
      </c>
      <c r="V407" s="38"/>
      <c r="W407" s="39"/>
      <c r="X407" s="17"/>
      <c r="Y407" s="17"/>
      <c r="Z407" s="17"/>
      <c r="AA407" s="43" t="str">
        <f aca="true">IF(OR(E407="",B407=""),"",INT(TODAY()-B407))</f>
        <v/>
      </c>
      <c r="AB407" s="44" t="str">
        <f aca="true">IF(E407="","",IF(OR(COUNTIFS(Clients!$C$2:$C$501,E407,Clients!$S$2:$S$501,"Paid")&gt;0,AND(I407&lt;&gt;"",COUNTIFS(Clients!$E$2:$E$501,I407,Clients!$S$2:$S$501,"Paid")&gt;0)),"⚠ Refunded before – no free video",IF(OR(R407="Contract signed + paid",R407="Closed – No response",R407="Lost"),"",IF(R407="","Set a stage",IF(N(T407)&gt;=Settings!$S$3,"Close – 4 follow-ups sent",IF(U407="",IF(S407="","Make first contact",""),IF(TODAY()&gt;U407,"OVERDUE follow-up",IF(TODAY()=U407,"Follow up today",""))))))))</f>
        <v/>
      </c>
    </row>
    <row r="408" customFormat="false" ht="15" hidden="false" customHeight="false" outlineLevel="0" collapsed="false">
      <c r="A408" s="17"/>
      <c r="B408" s="38"/>
      <c r="C408" s="39"/>
      <c r="D408" s="17"/>
      <c r="E408" s="17"/>
      <c r="F408" s="17"/>
      <c r="G408" s="17"/>
      <c r="H408" s="17"/>
      <c r="I408" s="40"/>
      <c r="J408" s="17"/>
      <c r="K408" s="17"/>
      <c r="L408" s="17"/>
      <c r="M408" s="17"/>
      <c r="N408" s="38"/>
      <c r="O408" s="39"/>
      <c r="P408" s="41" t="str">
        <f aca="false">IF(OR(B408="",N408=""),"",ROUND(((N408+N(O408))-(B408+N(C408)))*24,1))</f>
        <v/>
      </c>
      <c r="Q408" s="17"/>
      <c r="R408" s="17"/>
      <c r="S408" s="38"/>
      <c r="T408" s="17"/>
      <c r="U408" s="42" t="str">
        <f aca="false">IF(OR(E408="",S408="",OR(R408="Contract signed + paid",R408="Closed – No response",R408="Lost"),N(T408)&gt;=Settings!$S$3),"",S408+Settings!$S$2)</f>
        <v/>
      </c>
      <c r="V408" s="38"/>
      <c r="W408" s="39"/>
      <c r="X408" s="17"/>
      <c r="Y408" s="17"/>
      <c r="Z408" s="17"/>
      <c r="AA408" s="43" t="str">
        <f aca="true">IF(OR(E408="",B408=""),"",INT(TODAY()-B408))</f>
        <v/>
      </c>
      <c r="AB408" s="44" t="str">
        <f aca="true">IF(E408="","",IF(OR(COUNTIFS(Clients!$C$2:$C$501,E408,Clients!$S$2:$S$501,"Paid")&gt;0,AND(I408&lt;&gt;"",COUNTIFS(Clients!$E$2:$E$501,I408,Clients!$S$2:$S$501,"Paid")&gt;0)),"⚠ Refunded before – no free video",IF(OR(R408="Contract signed + paid",R408="Closed – No response",R408="Lost"),"",IF(R408="","Set a stage",IF(N(T408)&gt;=Settings!$S$3,"Close – 4 follow-ups sent",IF(U408="",IF(S408="","Make first contact",""),IF(TODAY()&gt;U408,"OVERDUE follow-up",IF(TODAY()=U408,"Follow up today",""))))))))</f>
        <v/>
      </c>
    </row>
    <row r="409" customFormat="false" ht="15" hidden="false" customHeight="false" outlineLevel="0" collapsed="false">
      <c r="A409" s="17"/>
      <c r="B409" s="38"/>
      <c r="C409" s="39"/>
      <c r="D409" s="17"/>
      <c r="E409" s="17"/>
      <c r="F409" s="17"/>
      <c r="G409" s="17"/>
      <c r="H409" s="17"/>
      <c r="I409" s="40"/>
      <c r="J409" s="17"/>
      <c r="K409" s="17"/>
      <c r="L409" s="17"/>
      <c r="M409" s="17"/>
      <c r="N409" s="38"/>
      <c r="O409" s="39"/>
      <c r="P409" s="41" t="str">
        <f aca="false">IF(OR(B409="",N409=""),"",ROUND(((N409+N(O409))-(B409+N(C409)))*24,1))</f>
        <v/>
      </c>
      <c r="Q409" s="17"/>
      <c r="R409" s="17"/>
      <c r="S409" s="38"/>
      <c r="T409" s="17"/>
      <c r="U409" s="42" t="str">
        <f aca="false">IF(OR(E409="",S409="",OR(R409="Contract signed + paid",R409="Closed – No response",R409="Lost"),N(T409)&gt;=Settings!$S$3),"",S409+Settings!$S$2)</f>
        <v/>
      </c>
      <c r="V409" s="38"/>
      <c r="W409" s="39"/>
      <c r="X409" s="17"/>
      <c r="Y409" s="17"/>
      <c r="Z409" s="17"/>
      <c r="AA409" s="43" t="str">
        <f aca="true">IF(OR(E409="",B409=""),"",INT(TODAY()-B409))</f>
        <v/>
      </c>
      <c r="AB409" s="44" t="str">
        <f aca="true">IF(E409="","",IF(OR(COUNTIFS(Clients!$C$2:$C$501,E409,Clients!$S$2:$S$501,"Paid")&gt;0,AND(I409&lt;&gt;"",COUNTIFS(Clients!$E$2:$E$501,I409,Clients!$S$2:$S$501,"Paid")&gt;0)),"⚠ Refunded before – no free video",IF(OR(R409="Contract signed + paid",R409="Closed – No response",R409="Lost"),"",IF(R409="","Set a stage",IF(N(T409)&gt;=Settings!$S$3,"Close – 4 follow-ups sent",IF(U409="",IF(S409="","Make first contact",""),IF(TODAY()&gt;U409,"OVERDUE follow-up",IF(TODAY()=U409,"Follow up today",""))))))))</f>
        <v/>
      </c>
    </row>
    <row r="410" customFormat="false" ht="15" hidden="false" customHeight="false" outlineLevel="0" collapsed="false">
      <c r="A410" s="17"/>
      <c r="B410" s="38"/>
      <c r="C410" s="39"/>
      <c r="D410" s="17"/>
      <c r="E410" s="17"/>
      <c r="F410" s="17"/>
      <c r="G410" s="17"/>
      <c r="H410" s="17"/>
      <c r="I410" s="40"/>
      <c r="J410" s="17"/>
      <c r="K410" s="17"/>
      <c r="L410" s="17"/>
      <c r="M410" s="17"/>
      <c r="N410" s="38"/>
      <c r="O410" s="39"/>
      <c r="P410" s="41" t="str">
        <f aca="false">IF(OR(B410="",N410=""),"",ROUND(((N410+N(O410))-(B410+N(C410)))*24,1))</f>
        <v/>
      </c>
      <c r="Q410" s="17"/>
      <c r="R410" s="17"/>
      <c r="S410" s="38"/>
      <c r="T410" s="17"/>
      <c r="U410" s="42" t="str">
        <f aca="false">IF(OR(E410="",S410="",OR(R410="Contract signed + paid",R410="Closed – No response",R410="Lost"),N(T410)&gt;=Settings!$S$3),"",S410+Settings!$S$2)</f>
        <v/>
      </c>
      <c r="V410" s="38"/>
      <c r="W410" s="39"/>
      <c r="X410" s="17"/>
      <c r="Y410" s="17"/>
      <c r="Z410" s="17"/>
      <c r="AA410" s="43" t="str">
        <f aca="true">IF(OR(E410="",B410=""),"",INT(TODAY()-B410))</f>
        <v/>
      </c>
      <c r="AB410" s="44" t="str">
        <f aca="true">IF(E410="","",IF(OR(COUNTIFS(Clients!$C$2:$C$501,E410,Clients!$S$2:$S$501,"Paid")&gt;0,AND(I410&lt;&gt;"",COUNTIFS(Clients!$E$2:$E$501,I410,Clients!$S$2:$S$501,"Paid")&gt;0)),"⚠ Refunded before – no free video",IF(OR(R410="Contract signed + paid",R410="Closed – No response",R410="Lost"),"",IF(R410="","Set a stage",IF(N(T410)&gt;=Settings!$S$3,"Close – 4 follow-ups sent",IF(U410="",IF(S410="","Make first contact",""),IF(TODAY()&gt;U410,"OVERDUE follow-up",IF(TODAY()=U410,"Follow up today",""))))))))</f>
        <v/>
      </c>
    </row>
    <row r="411" customFormat="false" ht="15" hidden="false" customHeight="false" outlineLevel="0" collapsed="false">
      <c r="A411" s="17"/>
      <c r="B411" s="38"/>
      <c r="C411" s="39"/>
      <c r="D411" s="17"/>
      <c r="E411" s="17"/>
      <c r="F411" s="17"/>
      <c r="G411" s="17"/>
      <c r="H411" s="17"/>
      <c r="I411" s="40"/>
      <c r="J411" s="17"/>
      <c r="K411" s="17"/>
      <c r="L411" s="17"/>
      <c r="M411" s="17"/>
      <c r="N411" s="38"/>
      <c r="O411" s="39"/>
      <c r="P411" s="41" t="str">
        <f aca="false">IF(OR(B411="",N411=""),"",ROUND(((N411+N(O411))-(B411+N(C411)))*24,1))</f>
        <v/>
      </c>
      <c r="Q411" s="17"/>
      <c r="R411" s="17"/>
      <c r="S411" s="38"/>
      <c r="T411" s="17"/>
      <c r="U411" s="42" t="str">
        <f aca="false">IF(OR(E411="",S411="",OR(R411="Contract signed + paid",R411="Closed – No response",R411="Lost"),N(T411)&gt;=Settings!$S$3),"",S411+Settings!$S$2)</f>
        <v/>
      </c>
      <c r="V411" s="38"/>
      <c r="W411" s="39"/>
      <c r="X411" s="17"/>
      <c r="Y411" s="17"/>
      <c r="Z411" s="17"/>
      <c r="AA411" s="43" t="str">
        <f aca="true">IF(OR(E411="",B411=""),"",INT(TODAY()-B411))</f>
        <v/>
      </c>
      <c r="AB411" s="44" t="str">
        <f aca="true">IF(E411="","",IF(OR(COUNTIFS(Clients!$C$2:$C$501,E411,Clients!$S$2:$S$501,"Paid")&gt;0,AND(I411&lt;&gt;"",COUNTIFS(Clients!$E$2:$E$501,I411,Clients!$S$2:$S$501,"Paid")&gt;0)),"⚠ Refunded before – no free video",IF(OR(R411="Contract signed + paid",R411="Closed – No response",R411="Lost"),"",IF(R411="","Set a stage",IF(N(T411)&gt;=Settings!$S$3,"Close – 4 follow-ups sent",IF(U411="",IF(S411="","Make first contact",""),IF(TODAY()&gt;U411,"OVERDUE follow-up",IF(TODAY()=U411,"Follow up today",""))))))))</f>
        <v/>
      </c>
    </row>
    <row r="412" customFormat="false" ht="15" hidden="false" customHeight="false" outlineLevel="0" collapsed="false">
      <c r="A412" s="17"/>
      <c r="B412" s="38"/>
      <c r="C412" s="39"/>
      <c r="D412" s="17"/>
      <c r="E412" s="17"/>
      <c r="F412" s="17"/>
      <c r="G412" s="17"/>
      <c r="H412" s="17"/>
      <c r="I412" s="40"/>
      <c r="J412" s="17"/>
      <c r="K412" s="17"/>
      <c r="L412" s="17"/>
      <c r="M412" s="17"/>
      <c r="N412" s="38"/>
      <c r="O412" s="39"/>
      <c r="P412" s="41" t="str">
        <f aca="false">IF(OR(B412="",N412=""),"",ROUND(((N412+N(O412))-(B412+N(C412)))*24,1))</f>
        <v/>
      </c>
      <c r="Q412" s="17"/>
      <c r="R412" s="17"/>
      <c r="S412" s="38"/>
      <c r="T412" s="17"/>
      <c r="U412" s="42" t="str">
        <f aca="false">IF(OR(E412="",S412="",OR(R412="Contract signed + paid",R412="Closed – No response",R412="Lost"),N(T412)&gt;=Settings!$S$3),"",S412+Settings!$S$2)</f>
        <v/>
      </c>
      <c r="V412" s="38"/>
      <c r="W412" s="39"/>
      <c r="X412" s="17"/>
      <c r="Y412" s="17"/>
      <c r="Z412" s="17"/>
      <c r="AA412" s="43" t="str">
        <f aca="true">IF(OR(E412="",B412=""),"",INT(TODAY()-B412))</f>
        <v/>
      </c>
      <c r="AB412" s="44" t="str">
        <f aca="true">IF(E412="","",IF(OR(COUNTIFS(Clients!$C$2:$C$501,E412,Clients!$S$2:$S$501,"Paid")&gt;0,AND(I412&lt;&gt;"",COUNTIFS(Clients!$E$2:$E$501,I412,Clients!$S$2:$S$501,"Paid")&gt;0)),"⚠ Refunded before – no free video",IF(OR(R412="Contract signed + paid",R412="Closed – No response",R412="Lost"),"",IF(R412="","Set a stage",IF(N(T412)&gt;=Settings!$S$3,"Close – 4 follow-ups sent",IF(U412="",IF(S412="","Make first contact",""),IF(TODAY()&gt;U412,"OVERDUE follow-up",IF(TODAY()=U412,"Follow up today",""))))))))</f>
        <v/>
      </c>
    </row>
    <row r="413" customFormat="false" ht="15" hidden="false" customHeight="false" outlineLevel="0" collapsed="false">
      <c r="A413" s="17"/>
      <c r="B413" s="38"/>
      <c r="C413" s="39"/>
      <c r="D413" s="17"/>
      <c r="E413" s="17"/>
      <c r="F413" s="17"/>
      <c r="G413" s="17"/>
      <c r="H413" s="17"/>
      <c r="I413" s="40"/>
      <c r="J413" s="17"/>
      <c r="K413" s="17"/>
      <c r="L413" s="17"/>
      <c r="M413" s="17"/>
      <c r="N413" s="38"/>
      <c r="O413" s="39"/>
      <c r="P413" s="41" t="str">
        <f aca="false">IF(OR(B413="",N413=""),"",ROUND(((N413+N(O413))-(B413+N(C413)))*24,1))</f>
        <v/>
      </c>
      <c r="Q413" s="17"/>
      <c r="R413" s="17"/>
      <c r="S413" s="38"/>
      <c r="T413" s="17"/>
      <c r="U413" s="42" t="str">
        <f aca="false">IF(OR(E413="",S413="",OR(R413="Contract signed + paid",R413="Closed – No response",R413="Lost"),N(T413)&gt;=Settings!$S$3),"",S413+Settings!$S$2)</f>
        <v/>
      </c>
      <c r="V413" s="38"/>
      <c r="W413" s="39"/>
      <c r="X413" s="17"/>
      <c r="Y413" s="17"/>
      <c r="Z413" s="17"/>
      <c r="AA413" s="43" t="str">
        <f aca="true">IF(OR(E413="",B413=""),"",INT(TODAY()-B413))</f>
        <v/>
      </c>
      <c r="AB413" s="44" t="str">
        <f aca="true">IF(E413="","",IF(OR(COUNTIFS(Clients!$C$2:$C$501,E413,Clients!$S$2:$S$501,"Paid")&gt;0,AND(I413&lt;&gt;"",COUNTIFS(Clients!$E$2:$E$501,I413,Clients!$S$2:$S$501,"Paid")&gt;0)),"⚠ Refunded before – no free video",IF(OR(R413="Contract signed + paid",R413="Closed – No response",R413="Lost"),"",IF(R413="","Set a stage",IF(N(T413)&gt;=Settings!$S$3,"Close – 4 follow-ups sent",IF(U413="",IF(S413="","Make first contact",""),IF(TODAY()&gt;U413,"OVERDUE follow-up",IF(TODAY()=U413,"Follow up today",""))))))))</f>
        <v/>
      </c>
    </row>
    <row r="414" customFormat="false" ht="15" hidden="false" customHeight="false" outlineLevel="0" collapsed="false">
      <c r="A414" s="17"/>
      <c r="B414" s="38"/>
      <c r="C414" s="39"/>
      <c r="D414" s="17"/>
      <c r="E414" s="17"/>
      <c r="F414" s="17"/>
      <c r="G414" s="17"/>
      <c r="H414" s="17"/>
      <c r="I414" s="40"/>
      <c r="J414" s="17"/>
      <c r="K414" s="17"/>
      <c r="L414" s="17"/>
      <c r="M414" s="17"/>
      <c r="N414" s="38"/>
      <c r="O414" s="39"/>
      <c r="P414" s="41" t="str">
        <f aca="false">IF(OR(B414="",N414=""),"",ROUND(((N414+N(O414))-(B414+N(C414)))*24,1))</f>
        <v/>
      </c>
      <c r="Q414" s="17"/>
      <c r="R414" s="17"/>
      <c r="S414" s="38"/>
      <c r="T414" s="17"/>
      <c r="U414" s="42" t="str">
        <f aca="false">IF(OR(E414="",S414="",OR(R414="Contract signed + paid",R414="Closed – No response",R414="Lost"),N(T414)&gt;=Settings!$S$3),"",S414+Settings!$S$2)</f>
        <v/>
      </c>
      <c r="V414" s="38"/>
      <c r="W414" s="39"/>
      <c r="X414" s="17"/>
      <c r="Y414" s="17"/>
      <c r="Z414" s="17"/>
      <c r="AA414" s="43" t="str">
        <f aca="true">IF(OR(E414="",B414=""),"",INT(TODAY()-B414))</f>
        <v/>
      </c>
      <c r="AB414" s="44" t="str">
        <f aca="true">IF(E414="","",IF(OR(COUNTIFS(Clients!$C$2:$C$501,E414,Clients!$S$2:$S$501,"Paid")&gt;0,AND(I414&lt;&gt;"",COUNTIFS(Clients!$E$2:$E$501,I414,Clients!$S$2:$S$501,"Paid")&gt;0)),"⚠ Refunded before – no free video",IF(OR(R414="Contract signed + paid",R414="Closed – No response",R414="Lost"),"",IF(R414="","Set a stage",IF(N(T414)&gt;=Settings!$S$3,"Close – 4 follow-ups sent",IF(U414="",IF(S414="","Make first contact",""),IF(TODAY()&gt;U414,"OVERDUE follow-up",IF(TODAY()=U414,"Follow up today",""))))))))</f>
        <v/>
      </c>
    </row>
    <row r="415" customFormat="false" ht="15" hidden="false" customHeight="false" outlineLevel="0" collapsed="false">
      <c r="A415" s="17"/>
      <c r="B415" s="38"/>
      <c r="C415" s="39"/>
      <c r="D415" s="17"/>
      <c r="E415" s="17"/>
      <c r="F415" s="17"/>
      <c r="G415" s="17"/>
      <c r="H415" s="17"/>
      <c r="I415" s="40"/>
      <c r="J415" s="17"/>
      <c r="K415" s="17"/>
      <c r="L415" s="17"/>
      <c r="M415" s="17"/>
      <c r="N415" s="38"/>
      <c r="O415" s="39"/>
      <c r="P415" s="41" t="str">
        <f aca="false">IF(OR(B415="",N415=""),"",ROUND(((N415+N(O415))-(B415+N(C415)))*24,1))</f>
        <v/>
      </c>
      <c r="Q415" s="17"/>
      <c r="R415" s="17"/>
      <c r="S415" s="38"/>
      <c r="T415" s="17"/>
      <c r="U415" s="42" t="str">
        <f aca="false">IF(OR(E415="",S415="",OR(R415="Contract signed + paid",R415="Closed – No response",R415="Lost"),N(T415)&gt;=Settings!$S$3),"",S415+Settings!$S$2)</f>
        <v/>
      </c>
      <c r="V415" s="38"/>
      <c r="W415" s="39"/>
      <c r="X415" s="17"/>
      <c r="Y415" s="17"/>
      <c r="Z415" s="17"/>
      <c r="AA415" s="43" t="str">
        <f aca="true">IF(OR(E415="",B415=""),"",INT(TODAY()-B415))</f>
        <v/>
      </c>
      <c r="AB415" s="44" t="str">
        <f aca="true">IF(E415="","",IF(OR(COUNTIFS(Clients!$C$2:$C$501,E415,Clients!$S$2:$S$501,"Paid")&gt;0,AND(I415&lt;&gt;"",COUNTIFS(Clients!$E$2:$E$501,I415,Clients!$S$2:$S$501,"Paid")&gt;0)),"⚠ Refunded before – no free video",IF(OR(R415="Contract signed + paid",R415="Closed – No response",R415="Lost"),"",IF(R415="","Set a stage",IF(N(T415)&gt;=Settings!$S$3,"Close – 4 follow-ups sent",IF(U415="",IF(S415="","Make first contact",""),IF(TODAY()&gt;U415,"OVERDUE follow-up",IF(TODAY()=U415,"Follow up today",""))))))))</f>
        <v/>
      </c>
    </row>
    <row r="416" customFormat="false" ht="15" hidden="false" customHeight="false" outlineLevel="0" collapsed="false">
      <c r="A416" s="17"/>
      <c r="B416" s="38"/>
      <c r="C416" s="39"/>
      <c r="D416" s="17"/>
      <c r="E416" s="17"/>
      <c r="F416" s="17"/>
      <c r="G416" s="17"/>
      <c r="H416" s="17"/>
      <c r="I416" s="40"/>
      <c r="J416" s="17"/>
      <c r="K416" s="17"/>
      <c r="L416" s="17"/>
      <c r="M416" s="17"/>
      <c r="N416" s="38"/>
      <c r="O416" s="39"/>
      <c r="P416" s="41" t="str">
        <f aca="false">IF(OR(B416="",N416=""),"",ROUND(((N416+N(O416))-(B416+N(C416)))*24,1))</f>
        <v/>
      </c>
      <c r="Q416" s="17"/>
      <c r="R416" s="17"/>
      <c r="S416" s="38"/>
      <c r="T416" s="17"/>
      <c r="U416" s="42" t="str">
        <f aca="false">IF(OR(E416="",S416="",OR(R416="Contract signed + paid",R416="Closed – No response",R416="Lost"),N(T416)&gt;=Settings!$S$3),"",S416+Settings!$S$2)</f>
        <v/>
      </c>
      <c r="V416" s="38"/>
      <c r="W416" s="39"/>
      <c r="X416" s="17"/>
      <c r="Y416" s="17"/>
      <c r="Z416" s="17"/>
      <c r="AA416" s="43" t="str">
        <f aca="true">IF(OR(E416="",B416=""),"",INT(TODAY()-B416))</f>
        <v/>
      </c>
      <c r="AB416" s="44" t="str">
        <f aca="true">IF(E416="","",IF(OR(COUNTIFS(Clients!$C$2:$C$501,E416,Clients!$S$2:$S$501,"Paid")&gt;0,AND(I416&lt;&gt;"",COUNTIFS(Clients!$E$2:$E$501,I416,Clients!$S$2:$S$501,"Paid")&gt;0)),"⚠ Refunded before – no free video",IF(OR(R416="Contract signed + paid",R416="Closed – No response",R416="Lost"),"",IF(R416="","Set a stage",IF(N(T416)&gt;=Settings!$S$3,"Close – 4 follow-ups sent",IF(U416="",IF(S416="","Make first contact",""),IF(TODAY()&gt;U416,"OVERDUE follow-up",IF(TODAY()=U416,"Follow up today",""))))))))</f>
        <v/>
      </c>
    </row>
    <row r="417" customFormat="false" ht="15" hidden="false" customHeight="false" outlineLevel="0" collapsed="false">
      <c r="A417" s="17"/>
      <c r="B417" s="38"/>
      <c r="C417" s="39"/>
      <c r="D417" s="17"/>
      <c r="E417" s="17"/>
      <c r="F417" s="17"/>
      <c r="G417" s="17"/>
      <c r="H417" s="17"/>
      <c r="I417" s="40"/>
      <c r="J417" s="17"/>
      <c r="K417" s="17"/>
      <c r="L417" s="17"/>
      <c r="M417" s="17"/>
      <c r="N417" s="38"/>
      <c r="O417" s="39"/>
      <c r="P417" s="41" t="str">
        <f aca="false">IF(OR(B417="",N417=""),"",ROUND(((N417+N(O417))-(B417+N(C417)))*24,1))</f>
        <v/>
      </c>
      <c r="Q417" s="17"/>
      <c r="R417" s="17"/>
      <c r="S417" s="38"/>
      <c r="T417" s="17"/>
      <c r="U417" s="42" t="str">
        <f aca="false">IF(OR(E417="",S417="",OR(R417="Contract signed + paid",R417="Closed – No response",R417="Lost"),N(T417)&gt;=Settings!$S$3),"",S417+Settings!$S$2)</f>
        <v/>
      </c>
      <c r="V417" s="38"/>
      <c r="W417" s="39"/>
      <c r="X417" s="17"/>
      <c r="Y417" s="17"/>
      <c r="Z417" s="17"/>
      <c r="AA417" s="43" t="str">
        <f aca="true">IF(OR(E417="",B417=""),"",INT(TODAY()-B417))</f>
        <v/>
      </c>
      <c r="AB417" s="44" t="str">
        <f aca="true">IF(E417="","",IF(OR(COUNTIFS(Clients!$C$2:$C$501,E417,Clients!$S$2:$S$501,"Paid")&gt;0,AND(I417&lt;&gt;"",COUNTIFS(Clients!$E$2:$E$501,I417,Clients!$S$2:$S$501,"Paid")&gt;0)),"⚠ Refunded before – no free video",IF(OR(R417="Contract signed + paid",R417="Closed – No response",R417="Lost"),"",IF(R417="","Set a stage",IF(N(T417)&gt;=Settings!$S$3,"Close – 4 follow-ups sent",IF(U417="",IF(S417="","Make first contact",""),IF(TODAY()&gt;U417,"OVERDUE follow-up",IF(TODAY()=U417,"Follow up today",""))))))))</f>
        <v/>
      </c>
    </row>
    <row r="418" customFormat="false" ht="15" hidden="false" customHeight="false" outlineLevel="0" collapsed="false">
      <c r="A418" s="17"/>
      <c r="B418" s="38"/>
      <c r="C418" s="39"/>
      <c r="D418" s="17"/>
      <c r="E418" s="17"/>
      <c r="F418" s="17"/>
      <c r="G418" s="17"/>
      <c r="H418" s="17"/>
      <c r="I418" s="40"/>
      <c r="J418" s="17"/>
      <c r="K418" s="17"/>
      <c r="L418" s="17"/>
      <c r="M418" s="17"/>
      <c r="N418" s="38"/>
      <c r="O418" s="39"/>
      <c r="P418" s="41" t="str">
        <f aca="false">IF(OR(B418="",N418=""),"",ROUND(((N418+N(O418))-(B418+N(C418)))*24,1))</f>
        <v/>
      </c>
      <c r="Q418" s="17"/>
      <c r="R418" s="17"/>
      <c r="S418" s="38"/>
      <c r="T418" s="17"/>
      <c r="U418" s="42" t="str">
        <f aca="false">IF(OR(E418="",S418="",OR(R418="Contract signed + paid",R418="Closed – No response",R418="Lost"),N(T418)&gt;=Settings!$S$3),"",S418+Settings!$S$2)</f>
        <v/>
      </c>
      <c r="V418" s="38"/>
      <c r="W418" s="39"/>
      <c r="X418" s="17"/>
      <c r="Y418" s="17"/>
      <c r="Z418" s="17"/>
      <c r="AA418" s="43" t="str">
        <f aca="true">IF(OR(E418="",B418=""),"",INT(TODAY()-B418))</f>
        <v/>
      </c>
      <c r="AB418" s="44" t="str">
        <f aca="true">IF(E418="","",IF(OR(COUNTIFS(Clients!$C$2:$C$501,E418,Clients!$S$2:$S$501,"Paid")&gt;0,AND(I418&lt;&gt;"",COUNTIFS(Clients!$E$2:$E$501,I418,Clients!$S$2:$S$501,"Paid")&gt;0)),"⚠ Refunded before – no free video",IF(OR(R418="Contract signed + paid",R418="Closed – No response",R418="Lost"),"",IF(R418="","Set a stage",IF(N(T418)&gt;=Settings!$S$3,"Close – 4 follow-ups sent",IF(U418="",IF(S418="","Make first contact",""),IF(TODAY()&gt;U418,"OVERDUE follow-up",IF(TODAY()=U418,"Follow up today",""))))))))</f>
        <v/>
      </c>
    </row>
    <row r="419" customFormat="false" ht="15" hidden="false" customHeight="false" outlineLevel="0" collapsed="false">
      <c r="A419" s="17"/>
      <c r="B419" s="38"/>
      <c r="C419" s="39"/>
      <c r="D419" s="17"/>
      <c r="E419" s="17"/>
      <c r="F419" s="17"/>
      <c r="G419" s="17"/>
      <c r="H419" s="17"/>
      <c r="I419" s="40"/>
      <c r="J419" s="17"/>
      <c r="K419" s="17"/>
      <c r="L419" s="17"/>
      <c r="M419" s="17"/>
      <c r="N419" s="38"/>
      <c r="O419" s="39"/>
      <c r="P419" s="41" t="str">
        <f aca="false">IF(OR(B419="",N419=""),"",ROUND(((N419+N(O419))-(B419+N(C419)))*24,1))</f>
        <v/>
      </c>
      <c r="Q419" s="17"/>
      <c r="R419" s="17"/>
      <c r="S419" s="38"/>
      <c r="T419" s="17"/>
      <c r="U419" s="42" t="str">
        <f aca="false">IF(OR(E419="",S419="",OR(R419="Contract signed + paid",R419="Closed – No response",R419="Lost"),N(T419)&gt;=Settings!$S$3),"",S419+Settings!$S$2)</f>
        <v/>
      </c>
      <c r="V419" s="38"/>
      <c r="W419" s="39"/>
      <c r="X419" s="17"/>
      <c r="Y419" s="17"/>
      <c r="Z419" s="17"/>
      <c r="AA419" s="43" t="str">
        <f aca="true">IF(OR(E419="",B419=""),"",INT(TODAY()-B419))</f>
        <v/>
      </c>
      <c r="AB419" s="44" t="str">
        <f aca="true">IF(E419="","",IF(OR(COUNTIFS(Clients!$C$2:$C$501,E419,Clients!$S$2:$S$501,"Paid")&gt;0,AND(I419&lt;&gt;"",COUNTIFS(Clients!$E$2:$E$501,I419,Clients!$S$2:$S$501,"Paid")&gt;0)),"⚠ Refunded before – no free video",IF(OR(R419="Contract signed + paid",R419="Closed – No response",R419="Lost"),"",IF(R419="","Set a stage",IF(N(T419)&gt;=Settings!$S$3,"Close – 4 follow-ups sent",IF(U419="",IF(S419="","Make first contact",""),IF(TODAY()&gt;U419,"OVERDUE follow-up",IF(TODAY()=U419,"Follow up today",""))))))))</f>
        <v/>
      </c>
    </row>
    <row r="420" customFormat="false" ht="15" hidden="false" customHeight="false" outlineLevel="0" collapsed="false">
      <c r="A420" s="17"/>
      <c r="B420" s="38"/>
      <c r="C420" s="39"/>
      <c r="D420" s="17"/>
      <c r="E420" s="17"/>
      <c r="F420" s="17"/>
      <c r="G420" s="17"/>
      <c r="H420" s="17"/>
      <c r="I420" s="40"/>
      <c r="J420" s="17"/>
      <c r="K420" s="17"/>
      <c r="L420" s="17"/>
      <c r="M420" s="17"/>
      <c r="N420" s="38"/>
      <c r="O420" s="39"/>
      <c r="P420" s="41" t="str">
        <f aca="false">IF(OR(B420="",N420=""),"",ROUND(((N420+N(O420))-(B420+N(C420)))*24,1))</f>
        <v/>
      </c>
      <c r="Q420" s="17"/>
      <c r="R420" s="17"/>
      <c r="S420" s="38"/>
      <c r="T420" s="17"/>
      <c r="U420" s="42" t="str">
        <f aca="false">IF(OR(E420="",S420="",OR(R420="Contract signed + paid",R420="Closed – No response",R420="Lost"),N(T420)&gt;=Settings!$S$3),"",S420+Settings!$S$2)</f>
        <v/>
      </c>
      <c r="V420" s="38"/>
      <c r="W420" s="39"/>
      <c r="X420" s="17"/>
      <c r="Y420" s="17"/>
      <c r="Z420" s="17"/>
      <c r="AA420" s="43" t="str">
        <f aca="true">IF(OR(E420="",B420=""),"",INT(TODAY()-B420))</f>
        <v/>
      </c>
      <c r="AB420" s="44" t="str">
        <f aca="true">IF(E420="","",IF(OR(COUNTIFS(Clients!$C$2:$C$501,E420,Clients!$S$2:$S$501,"Paid")&gt;0,AND(I420&lt;&gt;"",COUNTIFS(Clients!$E$2:$E$501,I420,Clients!$S$2:$S$501,"Paid")&gt;0)),"⚠ Refunded before – no free video",IF(OR(R420="Contract signed + paid",R420="Closed – No response",R420="Lost"),"",IF(R420="","Set a stage",IF(N(T420)&gt;=Settings!$S$3,"Close – 4 follow-ups sent",IF(U420="",IF(S420="","Make first contact",""),IF(TODAY()&gt;U420,"OVERDUE follow-up",IF(TODAY()=U420,"Follow up today",""))))))))</f>
        <v/>
      </c>
    </row>
    <row r="421" customFormat="false" ht="15" hidden="false" customHeight="false" outlineLevel="0" collapsed="false">
      <c r="A421" s="17"/>
      <c r="B421" s="38"/>
      <c r="C421" s="39"/>
      <c r="D421" s="17"/>
      <c r="E421" s="17"/>
      <c r="F421" s="17"/>
      <c r="G421" s="17"/>
      <c r="H421" s="17"/>
      <c r="I421" s="40"/>
      <c r="J421" s="17"/>
      <c r="K421" s="17"/>
      <c r="L421" s="17"/>
      <c r="M421" s="17"/>
      <c r="N421" s="38"/>
      <c r="O421" s="39"/>
      <c r="P421" s="41" t="str">
        <f aca="false">IF(OR(B421="",N421=""),"",ROUND(((N421+N(O421))-(B421+N(C421)))*24,1))</f>
        <v/>
      </c>
      <c r="Q421" s="17"/>
      <c r="R421" s="17"/>
      <c r="S421" s="38"/>
      <c r="T421" s="17"/>
      <c r="U421" s="42" t="str">
        <f aca="false">IF(OR(E421="",S421="",OR(R421="Contract signed + paid",R421="Closed – No response",R421="Lost"),N(T421)&gt;=Settings!$S$3),"",S421+Settings!$S$2)</f>
        <v/>
      </c>
      <c r="V421" s="38"/>
      <c r="W421" s="39"/>
      <c r="X421" s="17"/>
      <c r="Y421" s="17"/>
      <c r="Z421" s="17"/>
      <c r="AA421" s="43" t="str">
        <f aca="true">IF(OR(E421="",B421=""),"",INT(TODAY()-B421))</f>
        <v/>
      </c>
      <c r="AB421" s="44" t="str">
        <f aca="true">IF(E421="","",IF(OR(COUNTIFS(Clients!$C$2:$C$501,E421,Clients!$S$2:$S$501,"Paid")&gt;0,AND(I421&lt;&gt;"",COUNTIFS(Clients!$E$2:$E$501,I421,Clients!$S$2:$S$501,"Paid")&gt;0)),"⚠ Refunded before – no free video",IF(OR(R421="Contract signed + paid",R421="Closed – No response",R421="Lost"),"",IF(R421="","Set a stage",IF(N(T421)&gt;=Settings!$S$3,"Close – 4 follow-ups sent",IF(U421="",IF(S421="","Make first contact",""),IF(TODAY()&gt;U421,"OVERDUE follow-up",IF(TODAY()=U421,"Follow up today",""))))))))</f>
        <v/>
      </c>
    </row>
    <row r="422" customFormat="false" ht="15" hidden="false" customHeight="false" outlineLevel="0" collapsed="false">
      <c r="A422" s="17"/>
      <c r="B422" s="38"/>
      <c r="C422" s="39"/>
      <c r="D422" s="17"/>
      <c r="E422" s="17"/>
      <c r="F422" s="17"/>
      <c r="G422" s="17"/>
      <c r="H422" s="17"/>
      <c r="I422" s="40"/>
      <c r="J422" s="17"/>
      <c r="K422" s="17"/>
      <c r="L422" s="17"/>
      <c r="M422" s="17"/>
      <c r="N422" s="38"/>
      <c r="O422" s="39"/>
      <c r="P422" s="41" t="str">
        <f aca="false">IF(OR(B422="",N422=""),"",ROUND(((N422+N(O422))-(B422+N(C422)))*24,1))</f>
        <v/>
      </c>
      <c r="Q422" s="17"/>
      <c r="R422" s="17"/>
      <c r="S422" s="38"/>
      <c r="T422" s="17"/>
      <c r="U422" s="42" t="str">
        <f aca="false">IF(OR(E422="",S422="",OR(R422="Contract signed + paid",R422="Closed – No response",R422="Lost"),N(T422)&gt;=Settings!$S$3),"",S422+Settings!$S$2)</f>
        <v/>
      </c>
      <c r="V422" s="38"/>
      <c r="W422" s="39"/>
      <c r="X422" s="17"/>
      <c r="Y422" s="17"/>
      <c r="Z422" s="17"/>
      <c r="AA422" s="43" t="str">
        <f aca="true">IF(OR(E422="",B422=""),"",INT(TODAY()-B422))</f>
        <v/>
      </c>
      <c r="AB422" s="44" t="str">
        <f aca="true">IF(E422="","",IF(OR(COUNTIFS(Clients!$C$2:$C$501,E422,Clients!$S$2:$S$501,"Paid")&gt;0,AND(I422&lt;&gt;"",COUNTIFS(Clients!$E$2:$E$501,I422,Clients!$S$2:$S$501,"Paid")&gt;0)),"⚠ Refunded before – no free video",IF(OR(R422="Contract signed + paid",R422="Closed – No response",R422="Lost"),"",IF(R422="","Set a stage",IF(N(T422)&gt;=Settings!$S$3,"Close – 4 follow-ups sent",IF(U422="",IF(S422="","Make first contact",""),IF(TODAY()&gt;U422,"OVERDUE follow-up",IF(TODAY()=U422,"Follow up today",""))))))))</f>
        <v/>
      </c>
    </row>
    <row r="423" customFormat="false" ht="15" hidden="false" customHeight="false" outlineLevel="0" collapsed="false">
      <c r="A423" s="17"/>
      <c r="B423" s="38"/>
      <c r="C423" s="39"/>
      <c r="D423" s="17"/>
      <c r="E423" s="17"/>
      <c r="F423" s="17"/>
      <c r="G423" s="17"/>
      <c r="H423" s="17"/>
      <c r="I423" s="40"/>
      <c r="J423" s="17"/>
      <c r="K423" s="17"/>
      <c r="L423" s="17"/>
      <c r="M423" s="17"/>
      <c r="N423" s="38"/>
      <c r="O423" s="39"/>
      <c r="P423" s="41" t="str">
        <f aca="false">IF(OR(B423="",N423=""),"",ROUND(((N423+N(O423))-(B423+N(C423)))*24,1))</f>
        <v/>
      </c>
      <c r="Q423" s="17"/>
      <c r="R423" s="17"/>
      <c r="S423" s="38"/>
      <c r="T423" s="17"/>
      <c r="U423" s="42" t="str">
        <f aca="false">IF(OR(E423="",S423="",OR(R423="Contract signed + paid",R423="Closed – No response",R423="Lost"),N(T423)&gt;=Settings!$S$3),"",S423+Settings!$S$2)</f>
        <v/>
      </c>
      <c r="V423" s="38"/>
      <c r="W423" s="39"/>
      <c r="X423" s="17"/>
      <c r="Y423" s="17"/>
      <c r="Z423" s="17"/>
      <c r="AA423" s="43" t="str">
        <f aca="true">IF(OR(E423="",B423=""),"",INT(TODAY()-B423))</f>
        <v/>
      </c>
      <c r="AB423" s="44" t="str">
        <f aca="true">IF(E423="","",IF(OR(COUNTIFS(Clients!$C$2:$C$501,E423,Clients!$S$2:$S$501,"Paid")&gt;0,AND(I423&lt;&gt;"",COUNTIFS(Clients!$E$2:$E$501,I423,Clients!$S$2:$S$501,"Paid")&gt;0)),"⚠ Refunded before – no free video",IF(OR(R423="Contract signed + paid",R423="Closed – No response",R423="Lost"),"",IF(R423="","Set a stage",IF(N(T423)&gt;=Settings!$S$3,"Close – 4 follow-ups sent",IF(U423="",IF(S423="","Make first contact",""),IF(TODAY()&gt;U423,"OVERDUE follow-up",IF(TODAY()=U423,"Follow up today",""))))))))</f>
        <v/>
      </c>
    </row>
    <row r="424" customFormat="false" ht="15" hidden="false" customHeight="false" outlineLevel="0" collapsed="false">
      <c r="A424" s="17"/>
      <c r="B424" s="38"/>
      <c r="C424" s="39"/>
      <c r="D424" s="17"/>
      <c r="E424" s="17"/>
      <c r="F424" s="17"/>
      <c r="G424" s="17"/>
      <c r="H424" s="17"/>
      <c r="I424" s="40"/>
      <c r="J424" s="17"/>
      <c r="K424" s="17"/>
      <c r="L424" s="17"/>
      <c r="M424" s="17"/>
      <c r="N424" s="38"/>
      <c r="O424" s="39"/>
      <c r="P424" s="41" t="str">
        <f aca="false">IF(OR(B424="",N424=""),"",ROUND(((N424+N(O424))-(B424+N(C424)))*24,1))</f>
        <v/>
      </c>
      <c r="Q424" s="17"/>
      <c r="R424" s="17"/>
      <c r="S424" s="38"/>
      <c r="T424" s="17"/>
      <c r="U424" s="42" t="str">
        <f aca="false">IF(OR(E424="",S424="",OR(R424="Contract signed + paid",R424="Closed – No response",R424="Lost"),N(T424)&gt;=Settings!$S$3),"",S424+Settings!$S$2)</f>
        <v/>
      </c>
      <c r="V424" s="38"/>
      <c r="W424" s="39"/>
      <c r="X424" s="17"/>
      <c r="Y424" s="17"/>
      <c r="Z424" s="17"/>
      <c r="AA424" s="43" t="str">
        <f aca="true">IF(OR(E424="",B424=""),"",INT(TODAY()-B424))</f>
        <v/>
      </c>
      <c r="AB424" s="44" t="str">
        <f aca="true">IF(E424="","",IF(OR(COUNTIFS(Clients!$C$2:$C$501,E424,Clients!$S$2:$S$501,"Paid")&gt;0,AND(I424&lt;&gt;"",COUNTIFS(Clients!$E$2:$E$501,I424,Clients!$S$2:$S$501,"Paid")&gt;0)),"⚠ Refunded before – no free video",IF(OR(R424="Contract signed + paid",R424="Closed – No response",R424="Lost"),"",IF(R424="","Set a stage",IF(N(T424)&gt;=Settings!$S$3,"Close – 4 follow-ups sent",IF(U424="",IF(S424="","Make first contact",""),IF(TODAY()&gt;U424,"OVERDUE follow-up",IF(TODAY()=U424,"Follow up today",""))))))))</f>
        <v/>
      </c>
    </row>
    <row r="425" customFormat="false" ht="15" hidden="false" customHeight="false" outlineLevel="0" collapsed="false">
      <c r="A425" s="17"/>
      <c r="B425" s="38"/>
      <c r="C425" s="39"/>
      <c r="D425" s="17"/>
      <c r="E425" s="17"/>
      <c r="F425" s="17"/>
      <c r="G425" s="17"/>
      <c r="H425" s="17"/>
      <c r="I425" s="40"/>
      <c r="J425" s="17"/>
      <c r="K425" s="17"/>
      <c r="L425" s="17"/>
      <c r="M425" s="17"/>
      <c r="N425" s="38"/>
      <c r="O425" s="39"/>
      <c r="P425" s="41" t="str">
        <f aca="false">IF(OR(B425="",N425=""),"",ROUND(((N425+N(O425))-(B425+N(C425)))*24,1))</f>
        <v/>
      </c>
      <c r="Q425" s="17"/>
      <c r="R425" s="17"/>
      <c r="S425" s="38"/>
      <c r="T425" s="17"/>
      <c r="U425" s="42" t="str">
        <f aca="false">IF(OR(E425="",S425="",OR(R425="Contract signed + paid",R425="Closed – No response",R425="Lost"),N(T425)&gt;=Settings!$S$3),"",S425+Settings!$S$2)</f>
        <v/>
      </c>
      <c r="V425" s="38"/>
      <c r="W425" s="39"/>
      <c r="X425" s="17"/>
      <c r="Y425" s="17"/>
      <c r="Z425" s="17"/>
      <c r="AA425" s="43" t="str">
        <f aca="true">IF(OR(E425="",B425=""),"",INT(TODAY()-B425))</f>
        <v/>
      </c>
      <c r="AB425" s="44" t="str">
        <f aca="true">IF(E425="","",IF(OR(COUNTIFS(Clients!$C$2:$C$501,E425,Clients!$S$2:$S$501,"Paid")&gt;0,AND(I425&lt;&gt;"",COUNTIFS(Clients!$E$2:$E$501,I425,Clients!$S$2:$S$501,"Paid")&gt;0)),"⚠ Refunded before – no free video",IF(OR(R425="Contract signed + paid",R425="Closed – No response",R425="Lost"),"",IF(R425="","Set a stage",IF(N(T425)&gt;=Settings!$S$3,"Close – 4 follow-ups sent",IF(U425="",IF(S425="","Make first contact",""),IF(TODAY()&gt;U425,"OVERDUE follow-up",IF(TODAY()=U425,"Follow up today",""))))))))</f>
        <v/>
      </c>
    </row>
    <row r="426" customFormat="false" ht="15" hidden="false" customHeight="false" outlineLevel="0" collapsed="false">
      <c r="A426" s="17"/>
      <c r="B426" s="38"/>
      <c r="C426" s="39"/>
      <c r="D426" s="17"/>
      <c r="E426" s="17"/>
      <c r="F426" s="17"/>
      <c r="G426" s="17"/>
      <c r="H426" s="17"/>
      <c r="I426" s="40"/>
      <c r="J426" s="17"/>
      <c r="K426" s="17"/>
      <c r="L426" s="17"/>
      <c r="M426" s="17"/>
      <c r="N426" s="38"/>
      <c r="O426" s="39"/>
      <c r="P426" s="41" t="str">
        <f aca="false">IF(OR(B426="",N426=""),"",ROUND(((N426+N(O426))-(B426+N(C426)))*24,1))</f>
        <v/>
      </c>
      <c r="Q426" s="17"/>
      <c r="R426" s="17"/>
      <c r="S426" s="38"/>
      <c r="T426" s="17"/>
      <c r="U426" s="42" t="str">
        <f aca="false">IF(OR(E426="",S426="",OR(R426="Contract signed + paid",R426="Closed – No response",R426="Lost"),N(T426)&gt;=Settings!$S$3),"",S426+Settings!$S$2)</f>
        <v/>
      </c>
      <c r="V426" s="38"/>
      <c r="W426" s="39"/>
      <c r="X426" s="17"/>
      <c r="Y426" s="17"/>
      <c r="Z426" s="17"/>
      <c r="AA426" s="43" t="str">
        <f aca="true">IF(OR(E426="",B426=""),"",INT(TODAY()-B426))</f>
        <v/>
      </c>
      <c r="AB426" s="44" t="str">
        <f aca="true">IF(E426="","",IF(OR(COUNTIFS(Clients!$C$2:$C$501,E426,Clients!$S$2:$S$501,"Paid")&gt;0,AND(I426&lt;&gt;"",COUNTIFS(Clients!$E$2:$E$501,I426,Clients!$S$2:$S$501,"Paid")&gt;0)),"⚠ Refunded before – no free video",IF(OR(R426="Contract signed + paid",R426="Closed – No response",R426="Lost"),"",IF(R426="","Set a stage",IF(N(T426)&gt;=Settings!$S$3,"Close – 4 follow-ups sent",IF(U426="",IF(S426="","Make first contact",""),IF(TODAY()&gt;U426,"OVERDUE follow-up",IF(TODAY()=U426,"Follow up today",""))))))))</f>
        <v/>
      </c>
    </row>
    <row r="427" customFormat="false" ht="15" hidden="false" customHeight="false" outlineLevel="0" collapsed="false">
      <c r="A427" s="17"/>
      <c r="B427" s="38"/>
      <c r="C427" s="39"/>
      <c r="D427" s="17"/>
      <c r="E427" s="17"/>
      <c r="F427" s="17"/>
      <c r="G427" s="17"/>
      <c r="H427" s="17"/>
      <c r="I427" s="40"/>
      <c r="J427" s="17"/>
      <c r="K427" s="17"/>
      <c r="L427" s="17"/>
      <c r="M427" s="17"/>
      <c r="N427" s="38"/>
      <c r="O427" s="39"/>
      <c r="P427" s="41" t="str">
        <f aca="false">IF(OR(B427="",N427=""),"",ROUND(((N427+N(O427))-(B427+N(C427)))*24,1))</f>
        <v/>
      </c>
      <c r="Q427" s="17"/>
      <c r="R427" s="17"/>
      <c r="S427" s="38"/>
      <c r="T427" s="17"/>
      <c r="U427" s="42" t="str">
        <f aca="false">IF(OR(E427="",S427="",OR(R427="Contract signed + paid",R427="Closed – No response",R427="Lost"),N(T427)&gt;=Settings!$S$3),"",S427+Settings!$S$2)</f>
        <v/>
      </c>
      <c r="V427" s="38"/>
      <c r="W427" s="39"/>
      <c r="X427" s="17"/>
      <c r="Y427" s="17"/>
      <c r="Z427" s="17"/>
      <c r="AA427" s="43" t="str">
        <f aca="true">IF(OR(E427="",B427=""),"",INT(TODAY()-B427))</f>
        <v/>
      </c>
      <c r="AB427" s="44" t="str">
        <f aca="true">IF(E427="","",IF(OR(COUNTIFS(Clients!$C$2:$C$501,E427,Clients!$S$2:$S$501,"Paid")&gt;0,AND(I427&lt;&gt;"",COUNTIFS(Clients!$E$2:$E$501,I427,Clients!$S$2:$S$501,"Paid")&gt;0)),"⚠ Refunded before – no free video",IF(OR(R427="Contract signed + paid",R427="Closed – No response",R427="Lost"),"",IF(R427="","Set a stage",IF(N(T427)&gt;=Settings!$S$3,"Close – 4 follow-ups sent",IF(U427="",IF(S427="","Make first contact",""),IF(TODAY()&gt;U427,"OVERDUE follow-up",IF(TODAY()=U427,"Follow up today",""))))))))</f>
        <v/>
      </c>
    </row>
    <row r="428" customFormat="false" ht="15" hidden="false" customHeight="false" outlineLevel="0" collapsed="false">
      <c r="A428" s="17"/>
      <c r="B428" s="38"/>
      <c r="C428" s="39"/>
      <c r="D428" s="17"/>
      <c r="E428" s="17"/>
      <c r="F428" s="17"/>
      <c r="G428" s="17"/>
      <c r="H428" s="17"/>
      <c r="I428" s="40"/>
      <c r="J428" s="17"/>
      <c r="K428" s="17"/>
      <c r="L428" s="17"/>
      <c r="M428" s="17"/>
      <c r="N428" s="38"/>
      <c r="O428" s="39"/>
      <c r="P428" s="41" t="str">
        <f aca="false">IF(OR(B428="",N428=""),"",ROUND(((N428+N(O428))-(B428+N(C428)))*24,1))</f>
        <v/>
      </c>
      <c r="Q428" s="17"/>
      <c r="R428" s="17"/>
      <c r="S428" s="38"/>
      <c r="T428" s="17"/>
      <c r="U428" s="42" t="str">
        <f aca="false">IF(OR(E428="",S428="",OR(R428="Contract signed + paid",R428="Closed – No response",R428="Lost"),N(T428)&gt;=Settings!$S$3),"",S428+Settings!$S$2)</f>
        <v/>
      </c>
      <c r="V428" s="38"/>
      <c r="W428" s="39"/>
      <c r="X428" s="17"/>
      <c r="Y428" s="17"/>
      <c r="Z428" s="17"/>
      <c r="AA428" s="43" t="str">
        <f aca="true">IF(OR(E428="",B428=""),"",INT(TODAY()-B428))</f>
        <v/>
      </c>
      <c r="AB428" s="44" t="str">
        <f aca="true">IF(E428="","",IF(OR(COUNTIFS(Clients!$C$2:$C$501,E428,Clients!$S$2:$S$501,"Paid")&gt;0,AND(I428&lt;&gt;"",COUNTIFS(Clients!$E$2:$E$501,I428,Clients!$S$2:$S$501,"Paid")&gt;0)),"⚠ Refunded before – no free video",IF(OR(R428="Contract signed + paid",R428="Closed – No response",R428="Lost"),"",IF(R428="","Set a stage",IF(N(T428)&gt;=Settings!$S$3,"Close – 4 follow-ups sent",IF(U428="",IF(S428="","Make first contact",""),IF(TODAY()&gt;U428,"OVERDUE follow-up",IF(TODAY()=U428,"Follow up today",""))))))))</f>
        <v/>
      </c>
    </row>
    <row r="429" customFormat="false" ht="15" hidden="false" customHeight="false" outlineLevel="0" collapsed="false">
      <c r="A429" s="17"/>
      <c r="B429" s="38"/>
      <c r="C429" s="39"/>
      <c r="D429" s="17"/>
      <c r="E429" s="17"/>
      <c r="F429" s="17"/>
      <c r="G429" s="17"/>
      <c r="H429" s="17"/>
      <c r="I429" s="40"/>
      <c r="J429" s="17"/>
      <c r="K429" s="17"/>
      <c r="L429" s="17"/>
      <c r="M429" s="17"/>
      <c r="N429" s="38"/>
      <c r="O429" s="39"/>
      <c r="P429" s="41" t="str">
        <f aca="false">IF(OR(B429="",N429=""),"",ROUND(((N429+N(O429))-(B429+N(C429)))*24,1))</f>
        <v/>
      </c>
      <c r="Q429" s="17"/>
      <c r="R429" s="17"/>
      <c r="S429" s="38"/>
      <c r="T429" s="17"/>
      <c r="U429" s="42" t="str">
        <f aca="false">IF(OR(E429="",S429="",OR(R429="Contract signed + paid",R429="Closed – No response",R429="Lost"),N(T429)&gt;=Settings!$S$3),"",S429+Settings!$S$2)</f>
        <v/>
      </c>
      <c r="V429" s="38"/>
      <c r="W429" s="39"/>
      <c r="X429" s="17"/>
      <c r="Y429" s="17"/>
      <c r="Z429" s="17"/>
      <c r="AA429" s="43" t="str">
        <f aca="true">IF(OR(E429="",B429=""),"",INT(TODAY()-B429))</f>
        <v/>
      </c>
      <c r="AB429" s="44" t="str">
        <f aca="true">IF(E429="","",IF(OR(COUNTIFS(Clients!$C$2:$C$501,E429,Clients!$S$2:$S$501,"Paid")&gt;0,AND(I429&lt;&gt;"",COUNTIFS(Clients!$E$2:$E$501,I429,Clients!$S$2:$S$501,"Paid")&gt;0)),"⚠ Refunded before – no free video",IF(OR(R429="Contract signed + paid",R429="Closed – No response",R429="Lost"),"",IF(R429="","Set a stage",IF(N(T429)&gt;=Settings!$S$3,"Close – 4 follow-ups sent",IF(U429="",IF(S429="","Make first contact",""),IF(TODAY()&gt;U429,"OVERDUE follow-up",IF(TODAY()=U429,"Follow up today",""))))))))</f>
        <v/>
      </c>
    </row>
    <row r="430" customFormat="false" ht="15" hidden="false" customHeight="false" outlineLevel="0" collapsed="false">
      <c r="A430" s="17"/>
      <c r="B430" s="38"/>
      <c r="C430" s="39"/>
      <c r="D430" s="17"/>
      <c r="E430" s="17"/>
      <c r="F430" s="17"/>
      <c r="G430" s="17"/>
      <c r="H430" s="17"/>
      <c r="I430" s="40"/>
      <c r="J430" s="17"/>
      <c r="K430" s="17"/>
      <c r="L430" s="17"/>
      <c r="M430" s="17"/>
      <c r="N430" s="38"/>
      <c r="O430" s="39"/>
      <c r="P430" s="41" t="str">
        <f aca="false">IF(OR(B430="",N430=""),"",ROUND(((N430+N(O430))-(B430+N(C430)))*24,1))</f>
        <v/>
      </c>
      <c r="Q430" s="17"/>
      <c r="R430" s="17"/>
      <c r="S430" s="38"/>
      <c r="T430" s="17"/>
      <c r="U430" s="42" t="str">
        <f aca="false">IF(OR(E430="",S430="",OR(R430="Contract signed + paid",R430="Closed – No response",R430="Lost"),N(T430)&gt;=Settings!$S$3),"",S430+Settings!$S$2)</f>
        <v/>
      </c>
      <c r="V430" s="38"/>
      <c r="W430" s="39"/>
      <c r="X430" s="17"/>
      <c r="Y430" s="17"/>
      <c r="Z430" s="17"/>
      <c r="AA430" s="43" t="str">
        <f aca="true">IF(OR(E430="",B430=""),"",INT(TODAY()-B430))</f>
        <v/>
      </c>
      <c r="AB430" s="44" t="str">
        <f aca="true">IF(E430="","",IF(OR(COUNTIFS(Clients!$C$2:$C$501,E430,Clients!$S$2:$S$501,"Paid")&gt;0,AND(I430&lt;&gt;"",COUNTIFS(Clients!$E$2:$E$501,I430,Clients!$S$2:$S$501,"Paid")&gt;0)),"⚠ Refunded before – no free video",IF(OR(R430="Contract signed + paid",R430="Closed – No response",R430="Lost"),"",IF(R430="","Set a stage",IF(N(T430)&gt;=Settings!$S$3,"Close – 4 follow-ups sent",IF(U430="",IF(S430="","Make first contact",""),IF(TODAY()&gt;U430,"OVERDUE follow-up",IF(TODAY()=U430,"Follow up today",""))))))))</f>
        <v/>
      </c>
    </row>
    <row r="431" customFormat="false" ht="15" hidden="false" customHeight="false" outlineLevel="0" collapsed="false">
      <c r="A431" s="17"/>
      <c r="B431" s="38"/>
      <c r="C431" s="39"/>
      <c r="D431" s="17"/>
      <c r="E431" s="17"/>
      <c r="F431" s="17"/>
      <c r="G431" s="17"/>
      <c r="H431" s="17"/>
      <c r="I431" s="40"/>
      <c r="J431" s="17"/>
      <c r="K431" s="17"/>
      <c r="L431" s="17"/>
      <c r="M431" s="17"/>
      <c r="N431" s="38"/>
      <c r="O431" s="39"/>
      <c r="P431" s="41" t="str">
        <f aca="false">IF(OR(B431="",N431=""),"",ROUND(((N431+N(O431))-(B431+N(C431)))*24,1))</f>
        <v/>
      </c>
      <c r="Q431" s="17"/>
      <c r="R431" s="17"/>
      <c r="S431" s="38"/>
      <c r="T431" s="17"/>
      <c r="U431" s="42" t="str">
        <f aca="false">IF(OR(E431="",S431="",OR(R431="Contract signed + paid",R431="Closed – No response",R431="Lost"),N(T431)&gt;=Settings!$S$3),"",S431+Settings!$S$2)</f>
        <v/>
      </c>
      <c r="V431" s="38"/>
      <c r="W431" s="39"/>
      <c r="X431" s="17"/>
      <c r="Y431" s="17"/>
      <c r="Z431" s="17"/>
      <c r="AA431" s="43" t="str">
        <f aca="true">IF(OR(E431="",B431=""),"",INT(TODAY()-B431))</f>
        <v/>
      </c>
      <c r="AB431" s="44" t="str">
        <f aca="true">IF(E431="","",IF(OR(COUNTIFS(Clients!$C$2:$C$501,E431,Clients!$S$2:$S$501,"Paid")&gt;0,AND(I431&lt;&gt;"",COUNTIFS(Clients!$E$2:$E$501,I431,Clients!$S$2:$S$501,"Paid")&gt;0)),"⚠ Refunded before – no free video",IF(OR(R431="Contract signed + paid",R431="Closed – No response",R431="Lost"),"",IF(R431="","Set a stage",IF(N(T431)&gt;=Settings!$S$3,"Close – 4 follow-ups sent",IF(U431="",IF(S431="","Make first contact",""),IF(TODAY()&gt;U431,"OVERDUE follow-up",IF(TODAY()=U431,"Follow up today",""))))))))</f>
        <v/>
      </c>
    </row>
    <row r="432" customFormat="false" ht="15" hidden="false" customHeight="false" outlineLevel="0" collapsed="false">
      <c r="A432" s="17"/>
      <c r="B432" s="38"/>
      <c r="C432" s="39"/>
      <c r="D432" s="17"/>
      <c r="E432" s="17"/>
      <c r="F432" s="17"/>
      <c r="G432" s="17"/>
      <c r="H432" s="17"/>
      <c r="I432" s="40"/>
      <c r="J432" s="17"/>
      <c r="K432" s="17"/>
      <c r="L432" s="17"/>
      <c r="M432" s="17"/>
      <c r="N432" s="38"/>
      <c r="O432" s="39"/>
      <c r="P432" s="41" t="str">
        <f aca="false">IF(OR(B432="",N432=""),"",ROUND(((N432+N(O432))-(B432+N(C432)))*24,1))</f>
        <v/>
      </c>
      <c r="Q432" s="17"/>
      <c r="R432" s="17"/>
      <c r="S432" s="38"/>
      <c r="T432" s="17"/>
      <c r="U432" s="42" t="str">
        <f aca="false">IF(OR(E432="",S432="",OR(R432="Contract signed + paid",R432="Closed – No response",R432="Lost"),N(T432)&gt;=Settings!$S$3),"",S432+Settings!$S$2)</f>
        <v/>
      </c>
      <c r="V432" s="38"/>
      <c r="W432" s="39"/>
      <c r="X432" s="17"/>
      <c r="Y432" s="17"/>
      <c r="Z432" s="17"/>
      <c r="AA432" s="43" t="str">
        <f aca="true">IF(OR(E432="",B432=""),"",INT(TODAY()-B432))</f>
        <v/>
      </c>
      <c r="AB432" s="44" t="str">
        <f aca="true">IF(E432="","",IF(OR(COUNTIFS(Clients!$C$2:$C$501,E432,Clients!$S$2:$S$501,"Paid")&gt;0,AND(I432&lt;&gt;"",COUNTIFS(Clients!$E$2:$E$501,I432,Clients!$S$2:$S$501,"Paid")&gt;0)),"⚠ Refunded before – no free video",IF(OR(R432="Contract signed + paid",R432="Closed – No response",R432="Lost"),"",IF(R432="","Set a stage",IF(N(T432)&gt;=Settings!$S$3,"Close – 4 follow-ups sent",IF(U432="",IF(S432="","Make first contact",""),IF(TODAY()&gt;U432,"OVERDUE follow-up",IF(TODAY()=U432,"Follow up today",""))))))))</f>
        <v/>
      </c>
    </row>
    <row r="433" customFormat="false" ht="15" hidden="false" customHeight="false" outlineLevel="0" collapsed="false">
      <c r="A433" s="17"/>
      <c r="B433" s="38"/>
      <c r="C433" s="39"/>
      <c r="D433" s="17"/>
      <c r="E433" s="17"/>
      <c r="F433" s="17"/>
      <c r="G433" s="17"/>
      <c r="H433" s="17"/>
      <c r="I433" s="40"/>
      <c r="J433" s="17"/>
      <c r="K433" s="17"/>
      <c r="L433" s="17"/>
      <c r="M433" s="17"/>
      <c r="N433" s="38"/>
      <c r="O433" s="39"/>
      <c r="P433" s="41" t="str">
        <f aca="false">IF(OR(B433="",N433=""),"",ROUND(((N433+N(O433))-(B433+N(C433)))*24,1))</f>
        <v/>
      </c>
      <c r="Q433" s="17"/>
      <c r="R433" s="17"/>
      <c r="S433" s="38"/>
      <c r="T433" s="17"/>
      <c r="U433" s="42" t="str">
        <f aca="false">IF(OR(E433="",S433="",OR(R433="Contract signed + paid",R433="Closed – No response",R433="Lost"),N(T433)&gt;=Settings!$S$3),"",S433+Settings!$S$2)</f>
        <v/>
      </c>
      <c r="V433" s="38"/>
      <c r="W433" s="39"/>
      <c r="X433" s="17"/>
      <c r="Y433" s="17"/>
      <c r="Z433" s="17"/>
      <c r="AA433" s="43" t="str">
        <f aca="true">IF(OR(E433="",B433=""),"",INT(TODAY()-B433))</f>
        <v/>
      </c>
      <c r="AB433" s="44" t="str">
        <f aca="true">IF(E433="","",IF(OR(COUNTIFS(Clients!$C$2:$C$501,E433,Clients!$S$2:$S$501,"Paid")&gt;0,AND(I433&lt;&gt;"",COUNTIFS(Clients!$E$2:$E$501,I433,Clients!$S$2:$S$501,"Paid")&gt;0)),"⚠ Refunded before – no free video",IF(OR(R433="Contract signed + paid",R433="Closed – No response",R433="Lost"),"",IF(R433="","Set a stage",IF(N(T433)&gt;=Settings!$S$3,"Close – 4 follow-ups sent",IF(U433="",IF(S433="","Make first contact",""),IF(TODAY()&gt;U433,"OVERDUE follow-up",IF(TODAY()=U433,"Follow up today",""))))))))</f>
        <v/>
      </c>
    </row>
    <row r="434" customFormat="false" ht="15" hidden="false" customHeight="false" outlineLevel="0" collapsed="false">
      <c r="A434" s="17"/>
      <c r="B434" s="38"/>
      <c r="C434" s="39"/>
      <c r="D434" s="17"/>
      <c r="E434" s="17"/>
      <c r="F434" s="17"/>
      <c r="G434" s="17"/>
      <c r="H434" s="17"/>
      <c r="I434" s="40"/>
      <c r="J434" s="17"/>
      <c r="K434" s="17"/>
      <c r="L434" s="17"/>
      <c r="M434" s="17"/>
      <c r="N434" s="38"/>
      <c r="O434" s="39"/>
      <c r="P434" s="41" t="str">
        <f aca="false">IF(OR(B434="",N434=""),"",ROUND(((N434+N(O434))-(B434+N(C434)))*24,1))</f>
        <v/>
      </c>
      <c r="Q434" s="17"/>
      <c r="R434" s="17"/>
      <c r="S434" s="38"/>
      <c r="T434" s="17"/>
      <c r="U434" s="42" t="str">
        <f aca="false">IF(OR(E434="",S434="",OR(R434="Contract signed + paid",R434="Closed – No response",R434="Lost"),N(T434)&gt;=Settings!$S$3),"",S434+Settings!$S$2)</f>
        <v/>
      </c>
      <c r="V434" s="38"/>
      <c r="W434" s="39"/>
      <c r="X434" s="17"/>
      <c r="Y434" s="17"/>
      <c r="Z434" s="17"/>
      <c r="AA434" s="43" t="str">
        <f aca="true">IF(OR(E434="",B434=""),"",INT(TODAY()-B434))</f>
        <v/>
      </c>
      <c r="AB434" s="44" t="str">
        <f aca="true">IF(E434="","",IF(OR(COUNTIFS(Clients!$C$2:$C$501,E434,Clients!$S$2:$S$501,"Paid")&gt;0,AND(I434&lt;&gt;"",COUNTIFS(Clients!$E$2:$E$501,I434,Clients!$S$2:$S$501,"Paid")&gt;0)),"⚠ Refunded before – no free video",IF(OR(R434="Contract signed + paid",R434="Closed – No response",R434="Lost"),"",IF(R434="","Set a stage",IF(N(T434)&gt;=Settings!$S$3,"Close – 4 follow-ups sent",IF(U434="",IF(S434="","Make first contact",""),IF(TODAY()&gt;U434,"OVERDUE follow-up",IF(TODAY()=U434,"Follow up today",""))))))))</f>
        <v/>
      </c>
    </row>
    <row r="435" customFormat="false" ht="15" hidden="false" customHeight="false" outlineLevel="0" collapsed="false">
      <c r="A435" s="17"/>
      <c r="B435" s="38"/>
      <c r="C435" s="39"/>
      <c r="D435" s="17"/>
      <c r="E435" s="17"/>
      <c r="F435" s="17"/>
      <c r="G435" s="17"/>
      <c r="H435" s="17"/>
      <c r="I435" s="40"/>
      <c r="J435" s="17"/>
      <c r="K435" s="17"/>
      <c r="L435" s="17"/>
      <c r="M435" s="17"/>
      <c r="N435" s="38"/>
      <c r="O435" s="39"/>
      <c r="P435" s="41" t="str">
        <f aca="false">IF(OR(B435="",N435=""),"",ROUND(((N435+N(O435))-(B435+N(C435)))*24,1))</f>
        <v/>
      </c>
      <c r="Q435" s="17"/>
      <c r="R435" s="17"/>
      <c r="S435" s="38"/>
      <c r="T435" s="17"/>
      <c r="U435" s="42" t="str">
        <f aca="false">IF(OR(E435="",S435="",OR(R435="Contract signed + paid",R435="Closed – No response",R435="Lost"),N(T435)&gt;=Settings!$S$3),"",S435+Settings!$S$2)</f>
        <v/>
      </c>
      <c r="V435" s="38"/>
      <c r="W435" s="39"/>
      <c r="X435" s="17"/>
      <c r="Y435" s="17"/>
      <c r="Z435" s="17"/>
      <c r="AA435" s="43" t="str">
        <f aca="true">IF(OR(E435="",B435=""),"",INT(TODAY()-B435))</f>
        <v/>
      </c>
      <c r="AB435" s="44" t="str">
        <f aca="true">IF(E435="","",IF(OR(COUNTIFS(Clients!$C$2:$C$501,E435,Clients!$S$2:$S$501,"Paid")&gt;0,AND(I435&lt;&gt;"",COUNTIFS(Clients!$E$2:$E$501,I435,Clients!$S$2:$S$501,"Paid")&gt;0)),"⚠ Refunded before – no free video",IF(OR(R435="Contract signed + paid",R435="Closed – No response",R435="Lost"),"",IF(R435="","Set a stage",IF(N(T435)&gt;=Settings!$S$3,"Close – 4 follow-ups sent",IF(U435="",IF(S435="","Make first contact",""),IF(TODAY()&gt;U435,"OVERDUE follow-up",IF(TODAY()=U435,"Follow up today",""))))))))</f>
        <v/>
      </c>
    </row>
    <row r="436" customFormat="false" ht="15" hidden="false" customHeight="false" outlineLevel="0" collapsed="false">
      <c r="A436" s="17"/>
      <c r="B436" s="38"/>
      <c r="C436" s="39"/>
      <c r="D436" s="17"/>
      <c r="E436" s="17"/>
      <c r="F436" s="17"/>
      <c r="G436" s="17"/>
      <c r="H436" s="17"/>
      <c r="I436" s="40"/>
      <c r="J436" s="17"/>
      <c r="K436" s="17"/>
      <c r="L436" s="17"/>
      <c r="M436" s="17"/>
      <c r="N436" s="38"/>
      <c r="O436" s="39"/>
      <c r="P436" s="41" t="str">
        <f aca="false">IF(OR(B436="",N436=""),"",ROUND(((N436+N(O436))-(B436+N(C436)))*24,1))</f>
        <v/>
      </c>
      <c r="Q436" s="17"/>
      <c r="R436" s="17"/>
      <c r="S436" s="38"/>
      <c r="T436" s="17"/>
      <c r="U436" s="42" t="str">
        <f aca="false">IF(OR(E436="",S436="",OR(R436="Contract signed + paid",R436="Closed – No response",R436="Lost"),N(T436)&gt;=Settings!$S$3),"",S436+Settings!$S$2)</f>
        <v/>
      </c>
      <c r="V436" s="38"/>
      <c r="W436" s="39"/>
      <c r="X436" s="17"/>
      <c r="Y436" s="17"/>
      <c r="Z436" s="17"/>
      <c r="AA436" s="43" t="str">
        <f aca="true">IF(OR(E436="",B436=""),"",INT(TODAY()-B436))</f>
        <v/>
      </c>
      <c r="AB436" s="44" t="str">
        <f aca="true">IF(E436="","",IF(OR(COUNTIFS(Clients!$C$2:$C$501,E436,Clients!$S$2:$S$501,"Paid")&gt;0,AND(I436&lt;&gt;"",COUNTIFS(Clients!$E$2:$E$501,I436,Clients!$S$2:$S$501,"Paid")&gt;0)),"⚠ Refunded before – no free video",IF(OR(R436="Contract signed + paid",R436="Closed – No response",R436="Lost"),"",IF(R436="","Set a stage",IF(N(T436)&gt;=Settings!$S$3,"Close – 4 follow-ups sent",IF(U436="",IF(S436="","Make first contact",""),IF(TODAY()&gt;U436,"OVERDUE follow-up",IF(TODAY()=U436,"Follow up today",""))))))))</f>
        <v/>
      </c>
    </row>
    <row r="437" customFormat="false" ht="15" hidden="false" customHeight="false" outlineLevel="0" collapsed="false">
      <c r="A437" s="17"/>
      <c r="B437" s="38"/>
      <c r="C437" s="39"/>
      <c r="D437" s="17"/>
      <c r="E437" s="17"/>
      <c r="F437" s="17"/>
      <c r="G437" s="17"/>
      <c r="H437" s="17"/>
      <c r="I437" s="40"/>
      <c r="J437" s="17"/>
      <c r="K437" s="17"/>
      <c r="L437" s="17"/>
      <c r="M437" s="17"/>
      <c r="N437" s="38"/>
      <c r="O437" s="39"/>
      <c r="P437" s="41" t="str">
        <f aca="false">IF(OR(B437="",N437=""),"",ROUND(((N437+N(O437))-(B437+N(C437)))*24,1))</f>
        <v/>
      </c>
      <c r="Q437" s="17"/>
      <c r="R437" s="17"/>
      <c r="S437" s="38"/>
      <c r="T437" s="17"/>
      <c r="U437" s="42" t="str">
        <f aca="false">IF(OR(E437="",S437="",OR(R437="Contract signed + paid",R437="Closed – No response",R437="Lost"),N(T437)&gt;=Settings!$S$3),"",S437+Settings!$S$2)</f>
        <v/>
      </c>
      <c r="V437" s="38"/>
      <c r="W437" s="39"/>
      <c r="X437" s="17"/>
      <c r="Y437" s="17"/>
      <c r="Z437" s="17"/>
      <c r="AA437" s="43" t="str">
        <f aca="true">IF(OR(E437="",B437=""),"",INT(TODAY()-B437))</f>
        <v/>
      </c>
      <c r="AB437" s="44" t="str">
        <f aca="true">IF(E437="","",IF(OR(COUNTIFS(Clients!$C$2:$C$501,E437,Clients!$S$2:$S$501,"Paid")&gt;0,AND(I437&lt;&gt;"",COUNTIFS(Clients!$E$2:$E$501,I437,Clients!$S$2:$S$501,"Paid")&gt;0)),"⚠ Refunded before – no free video",IF(OR(R437="Contract signed + paid",R437="Closed – No response",R437="Lost"),"",IF(R437="","Set a stage",IF(N(T437)&gt;=Settings!$S$3,"Close – 4 follow-ups sent",IF(U437="",IF(S437="","Make first contact",""),IF(TODAY()&gt;U437,"OVERDUE follow-up",IF(TODAY()=U437,"Follow up today",""))))))))</f>
        <v/>
      </c>
    </row>
    <row r="438" customFormat="false" ht="15" hidden="false" customHeight="false" outlineLevel="0" collapsed="false">
      <c r="A438" s="17"/>
      <c r="B438" s="38"/>
      <c r="C438" s="39"/>
      <c r="D438" s="17"/>
      <c r="E438" s="17"/>
      <c r="F438" s="17"/>
      <c r="G438" s="17"/>
      <c r="H438" s="17"/>
      <c r="I438" s="40"/>
      <c r="J438" s="17"/>
      <c r="K438" s="17"/>
      <c r="L438" s="17"/>
      <c r="M438" s="17"/>
      <c r="N438" s="38"/>
      <c r="O438" s="39"/>
      <c r="P438" s="41" t="str">
        <f aca="false">IF(OR(B438="",N438=""),"",ROUND(((N438+N(O438))-(B438+N(C438)))*24,1))</f>
        <v/>
      </c>
      <c r="Q438" s="17"/>
      <c r="R438" s="17"/>
      <c r="S438" s="38"/>
      <c r="T438" s="17"/>
      <c r="U438" s="42" t="str">
        <f aca="false">IF(OR(E438="",S438="",OR(R438="Contract signed + paid",R438="Closed – No response",R438="Lost"),N(T438)&gt;=Settings!$S$3),"",S438+Settings!$S$2)</f>
        <v/>
      </c>
      <c r="V438" s="38"/>
      <c r="W438" s="39"/>
      <c r="X438" s="17"/>
      <c r="Y438" s="17"/>
      <c r="Z438" s="17"/>
      <c r="AA438" s="43" t="str">
        <f aca="true">IF(OR(E438="",B438=""),"",INT(TODAY()-B438))</f>
        <v/>
      </c>
      <c r="AB438" s="44" t="str">
        <f aca="true">IF(E438="","",IF(OR(COUNTIFS(Clients!$C$2:$C$501,E438,Clients!$S$2:$S$501,"Paid")&gt;0,AND(I438&lt;&gt;"",COUNTIFS(Clients!$E$2:$E$501,I438,Clients!$S$2:$S$501,"Paid")&gt;0)),"⚠ Refunded before – no free video",IF(OR(R438="Contract signed + paid",R438="Closed – No response",R438="Lost"),"",IF(R438="","Set a stage",IF(N(T438)&gt;=Settings!$S$3,"Close – 4 follow-ups sent",IF(U438="",IF(S438="","Make first contact",""),IF(TODAY()&gt;U438,"OVERDUE follow-up",IF(TODAY()=U438,"Follow up today",""))))))))</f>
        <v/>
      </c>
    </row>
    <row r="439" customFormat="false" ht="15" hidden="false" customHeight="false" outlineLevel="0" collapsed="false">
      <c r="A439" s="17"/>
      <c r="B439" s="38"/>
      <c r="C439" s="39"/>
      <c r="D439" s="17"/>
      <c r="E439" s="17"/>
      <c r="F439" s="17"/>
      <c r="G439" s="17"/>
      <c r="H439" s="17"/>
      <c r="I439" s="40"/>
      <c r="J439" s="17"/>
      <c r="K439" s="17"/>
      <c r="L439" s="17"/>
      <c r="M439" s="17"/>
      <c r="N439" s="38"/>
      <c r="O439" s="39"/>
      <c r="P439" s="41" t="str">
        <f aca="false">IF(OR(B439="",N439=""),"",ROUND(((N439+N(O439))-(B439+N(C439)))*24,1))</f>
        <v/>
      </c>
      <c r="Q439" s="17"/>
      <c r="R439" s="17"/>
      <c r="S439" s="38"/>
      <c r="T439" s="17"/>
      <c r="U439" s="42" t="str">
        <f aca="false">IF(OR(E439="",S439="",OR(R439="Contract signed + paid",R439="Closed – No response",R439="Lost"),N(T439)&gt;=Settings!$S$3),"",S439+Settings!$S$2)</f>
        <v/>
      </c>
      <c r="V439" s="38"/>
      <c r="W439" s="39"/>
      <c r="X439" s="17"/>
      <c r="Y439" s="17"/>
      <c r="Z439" s="17"/>
      <c r="AA439" s="43" t="str">
        <f aca="true">IF(OR(E439="",B439=""),"",INT(TODAY()-B439))</f>
        <v/>
      </c>
      <c r="AB439" s="44" t="str">
        <f aca="true">IF(E439="","",IF(OR(COUNTIFS(Clients!$C$2:$C$501,E439,Clients!$S$2:$S$501,"Paid")&gt;0,AND(I439&lt;&gt;"",COUNTIFS(Clients!$E$2:$E$501,I439,Clients!$S$2:$S$501,"Paid")&gt;0)),"⚠ Refunded before – no free video",IF(OR(R439="Contract signed + paid",R439="Closed – No response",R439="Lost"),"",IF(R439="","Set a stage",IF(N(T439)&gt;=Settings!$S$3,"Close – 4 follow-ups sent",IF(U439="",IF(S439="","Make first contact",""),IF(TODAY()&gt;U439,"OVERDUE follow-up",IF(TODAY()=U439,"Follow up today",""))))))))</f>
        <v/>
      </c>
    </row>
    <row r="440" customFormat="false" ht="15" hidden="false" customHeight="false" outlineLevel="0" collapsed="false">
      <c r="A440" s="17"/>
      <c r="B440" s="38"/>
      <c r="C440" s="39"/>
      <c r="D440" s="17"/>
      <c r="E440" s="17"/>
      <c r="F440" s="17"/>
      <c r="G440" s="17"/>
      <c r="H440" s="17"/>
      <c r="I440" s="40"/>
      <c r="J440" s="17"/>
      <c r="K440" s="17"/>
      <c r="L440" s="17"/>
      <c r="M440" s="17"/>
      <c r="N440" s="38"/>
      <c r="O440" s="39"/>
      <c r="P440" s="41" t="str">
        <f aca="false">IF(OR(B440="",N440=""),"",ROUND(((N440+N(O440))-(B440+N(C440)))*24,1))</f>
        <v/>
      </c>
      <c r="Q440" s="17"/>
      <c r="R440" s="17"/>
      <c r="S440" s="38"/>
      <c r="T440" s="17"/>
      <c r="U440" s="42" t="str">
        <f aca="false">IF(OR(E440="",S440="",OR(R440="Contract signed + paid",R440="Closed – No response",R440="Lost"),N(T440)&gt;=Settings!$S$3),"",S440+Settings!$S$2)</f>
        <v/>
      </c>
      <c r="V440" s="38"/>
      <c r="W440" s="39"/>
      <c r="X440" s="17"/>
      <c r="Y440" s="17"/>
      <c r="Z440" s="17"/>
      <c r="AA440" s="43" t="str">
        <f aca="true">IF(OR(E440="",B440=""),"",INT(TODAY()-B440))</f>
        <v/>
      </c>
      <c r="AB440" s="44" t="str">
        <f aca="true">IF(E440="","",IF(OR(COUNTIFS(Clients!$C$2:$C$501,E440,Clients!$S$2:$S$501,"Paid")&gt;0,AND(I440&lt;&gt;"",COUNTIFS(Clients!$E$2:$E$501,I440,Clients!$S$2:$S$501,"Paid")&gt;0)),"⚠ Refunded before – no free video",IF(OR(R440="Contract signed + paid",R440="Closed – No response",R440="Lost"),"",IF(R440="","Set a stage",IF(N(T440)&gt;=Settings!$S$3,"Close – 4 follow-ups sent",IF(U440="",IF(S440="","Make first contact",""),IF(TODAY()&gt;U440,"OVERDUE follow-up",IF(TODAY()=U440,"Follow up today",""))))))))</f>
        <v/>
      </c>
    </row>
    <row r="441" customFormat="false" ht="15" hidden="false" customHeight="false" outlineLevel="0" collapsed="false">
      <c r="A441" s="17"/>
      <c r="B441" s="38"/>
      <c r="C441" s="39"/>
      <c r="D441" s="17"/>
      <c r="E441" s="17"/>
      <c r="F441" s="17"/>
      <c r="G441" s="17"/>
      <c r="H441" s="17"/>
      <c r="I441" s="40"/>
      <c r="J441" s="17"/>
      <c r="K441" s="17"/>
      <c r="L441" s="17"/>
      <c r="M441" s="17"/>
      <c r="N441" s="38"/>
      <c r="O441" s="39"/>
      <c r="P441" s="41" t="str">
        <f aca="false">IF(OR(B441="",N441=""),"",ROUND(((N441+N(O441))-(B441+N(C441)))*24,1))</f>
        <v/>
      </c>
      <c r="Q441" s="17"/>
      <c r="R441" s="17"/>
      <c r="S441" s="38"/>
      <c r="T441" s="17"/>
      <c r="U441" s="42" t="str">
        <f aca="false">IF(OR(E441="",S441="",OR(R441="Contract signed + paid",R441="Closed – No response",R441="Lost"),N(T441)&gt;=Settings!$S$3),"",S441+Settings!$S$2)</f>
        <v/>
      </c>
      <c r="V441" s="38"/>
      <c r="W441" s="39"/>
      <c r="X441" s="17"/>
      <c r="Y441" s="17"/>
      <c r="Z441" s="17"/>
      <c r="AA441" s="43" t="str">
        <f aca="true">IF(OR(E441="",B441=""),"",INT(TODAY()-B441))</f>
        <v/>
      </c>
      <c r="AB441" s="44" t="str">
        <f aca="true">IF(E441="","",IF(OR(COUNTIFS(Clients!$C$2:$C$501,E441,Clients!$S$2:$S$501,"Paid")&gt;0,AND(I441&lt;&gt;"",COUNTIFS(Clients!$E$2:$E$501,I441,Clients!$S$2:$S$501,"Paid")&gt;0)),"⚠ Refunded before – no free video",IF(OR(R441="Contract signed + paid",R441="Closed – No response",R441="Lost"),"",IF(R441="","Set a stage",IF(N(T441)&gt;=Settings!$S$3,"Close – 4 follow-ups sent",IF(U441="",IF(S441="","Make first contact",""),IF(TODAY()&gt;U441,"OVERDUE follow-up",IF(TODAY()=U441,"Follow up today",""))))))))</f>
        <v/>
      </c>
    </row>
    <row r="442" customFormat="false" ht="15" hidden="false" customHeight="false" outlineLevel="0" collapsed="false">
      <c r="A442" s="17"/>
      <c r="B442" s="38"/>
      <c r="C442" s="39"/>
      <c r="D442" s="17"/>
      <c r="E442" s="17"/>
      <c r="F442" s="17"/>
      <c r="G442" s="17"/>
      <c r="H442" s="17"/>
      <c r="I442" s="40"/>
      <c r="J442" s="17"/>
      <c r="K442" s="17"/>
      <c r="L442" s="17"/>
      <c r="M442" s="17"/>
      <c r="N442" s="38"/>
      <c r="O442" s="39"/>
      <c r="P442" s="41" t="str">
        <f aca="false">IF(OR(B442="",N442=""),"",ROUND(((N442+N(O442))-(B442+N(C442)))*24,1))</f>
        <v/>
      </c>
      <c r="Q442" s="17"/>
      <c r="R442" s="17"/>
      <c r="S442" s="38"/>
      <c r="T442" s="17"/>
      <c r="U442" s="42" t="str">
        <f aca="false">IF(OR(E442="",S442="",OR(R442="Contract signed + paid",R442="Closed – No response",R442="Lost"),N(T442)&gt;=Settings!$S$3),"",S442+Settings!$S$2)</f>
        <v/>
      </c>
      <c r="V442" s="38"/>
      <c r="W442" s="39"/>
      <c r="X442" s="17"/>
      <c r="Y442" s="17"/>
      <c r="Z442" s="17"/>
      <c r="AA442" s="43" t="str">
        <f aca="true">IF(OR(E442="",B442=""),"",INT(TODAY()-B442))</f>
        <v/>
      </c>
      <c r="AB442" s="44" t="str">
        <f aca="true">IF(E442="","",IF(OR(COUNTIFS(Clients!$C$2:$C$501,E442,Clients!$S$2:$S$501,"Paid")&gt;0,AND(I442&lt;&gt;"",COUNTIFS(Clients!$E$2:$E$501,I442,Clients!$S$2:$S$501,"Paid")&gt;0)),"⚠ Refunded before – no free video",IF(OR(R442="Contract signed + paid",R442="Closed – No response",R442="Lost"),"",IF(R442="","Set a stage",IF(N(T442)&gt;=Settings!$S$3,"Close – 4 follow-ups sent",IF(U442="",IF(S442="","Make first contact",""),IF(TODAY()&gt;U442,"OVERDUE follow-up",IF(TODAY()=U442,"Follow up today",""))))))))</f>
        <v/>
      </c>
    </row>
    <row r="443" customFormat="false" ht="15" hidden="false" customHeight="false" outlineLevel="0" collapsed="false">
      <c r="A443" s="17"/>
      <c r="B443" s="38"/>
      <c r="C443" s="39"/>
      <c r="D443" s="17"/>
      <c r="E443" s="17"/>
      <c r="F443" s="17"/>
      <c r="G443" s="17"/>
      <c r="H443" s="17"/>
      <c r="I443" s="40"/>
      <c r="J443" s="17"/>
      <c r="K443" s="17"/>
      <c r="L443" s="17"/>
      <c r="M443" s="17"/>
      <c r="N443" s="38"/>
      <c r="O443" s="39"/>
      <c r="P443" s="41" t="str">
        <f aca="false">IF(OR(B443="",N443=""),"",ROUND(((N443+N(O443))-(B443+N(C443)))*24,1))</f>
        <v/>
      </c>
      <c r="Q443" s="17"/>
      <c r="R443" s="17"/>
      <c r="S443" s="38"/>
      <c r="T443" s="17"/>
      <c r="U443" s="42" t="str">
        <f aca="false">IF(OR(E443="",S443="",OR(R443="Contract signed + paid",R443="Closed – No response",R443="Lost"),N(T443)&gt;=Settings!$S$3),"",S443+Settings!$S$2)</f>
        <v/>
      </c>
      <c r="V443" s="38"/>
      <c r="W443" s="39"/>
      <c r="X443" s="17"/>
      <c r="Y443" s="17"/>
      <c r="Z443" s="17"/>
      <c r="AA443" s="43" t="str">
        <f aca="true">IF(OR(E443="",B443=""),"",INT(TODAY()-B443))</f>
        <v/>
      </c>
      <c r="AB443" s="44" t="str">
        <f aca="true">IF(E443="","",IF(OR(COUNTIFS(Clients!$C$2:$C$501,E443,Clients!$S$2:$S$501,"Paid")&gt;0,AND(I443&lt;&gt;"",COUNTIFS(Clients!$E$2:$E$501,I443,Clients!$S$2:$S$501,"Paid")&gt;0)),"⚠ Refunded before – no free video",IF(OR(R443="Contract signed + paid",R443="Closed – No response",R443="Lost"),"",IF(R443="","Set a stage",IF(N(T443)&gt;=Settings!$S$3,"Close – 4 follow-ups sent",IF(U443="",IF(S443="","Make first contact",""),IF(TODAY()&gt;U443,"OVERDUE follow-up",IF(TODAY()=U443,"Follow up today",""))))))))</f>
        <v/>
      </c>
    </row>
    <row r="444" customFormat="false" ht="15" hidden="false" customHeight="false" outlineLevel="0" collapsed="false">
      <c r="A444" s="17"/>
      <c r="B444" s="38"/>
      <c r="C444" s="39"/>
      <c r="D444" s="17"/>
      <c r="E444" s="17"/>
      <c r="F444" s="17"/>
      <c r="G444" s="17"/>
      <c r="H444" s="17"/>
      <c r="I444" s="40"/>
      <c r="J444" s="17"/>
      <c r="K444" s="17"/>
      <c r="L444" s="17"/>
      <c r="M444" s="17"/>
      <c r="N444" s="38"/>
      <c r="O444" s="39"/>
      <c r="P444" s="41" t="str">
        <f aca="false">IF(OR(B444="",N444=""),"",ROUND(((N444+N(O444))-(B444+N(C444)))*24,1))</f>
        <v/>
      </c>
      <c r="Q444" s="17"/>
      <c r="R444" s="17"/>
      <c r="S444" s="38"/>
      <c r="T444" s="17"/>
      <c r="U444" s="42" t="str">
        <f aca="false">IF(OR(E444="",S444="",OR(R444="Contract signed + paid",R444="Closed – No response",R444="Lost"),N(T444)&gt;=Settings!$S$3),"",S444+Settings!$S$2)</f>
        <v/>
      </c>
      <c r="V444" s="38"/>
      <c r="W444" s="39"/>
      <c r="X444" s="17"/>
      <c r="Y444" s="17"/>
      <c r="Z444" s="17"/>
      <c r="AA444" s="43" t="str">
        <f aca="true">IF(OR(E444="",B444=""),"",INT(TODAY()-B444))</f>
        <v/>
      </c>
      <c r="AB444" s="44" t="str">
        <f aca="true">IF(E444="","",IF(OR(COUNTIFS(Clients!$C$2:$C$501,E444,Clients!$S$2:$S$501,"Paid")&gt;0,AND(I444&lt;&gt;"",COUNTIFS(Clients!$E$2:$E$501,I444,Clients!$S$2:$S$501,"Paid")&gt;0)),"⚠ Refunded before – no free video",IF(OR(R444="Contract signed + paid",R444="Closed – No response",R444="Lost"),"",IF(R444="","Set a stage",IF(N(T444)&gt;=Settings!$S$3,"Close – 4 follow-ups sent",IF(U444="",IF(S444="","Make first contact",""),IF(TODAY()&gt;U444,"OVERDUE follow-up",IF(TODAY()=U444,"Follow up today",""))))))))</f>
        <v/>
      </c>
    </row>
    <row r="445" customFormat="false" ht="15" hidden="false" customHeight="false" outlineLevel="0" collapsed="false">
      <c r="A445" s="17"/>
      <c r="B445" s="38"/>
      <c r="C445" s="39"/>
      <c r="D445" s="17"/>
      <c r="E445" s="17"/>
      <c r="F445" s="17"/>
      <c r="G445" s="17"/>
      <c r="H445" s="17"/>
      <c r="I445" s="40"/>
      <c r="J445" s="17"/>
      <c r="K445" s="17"/>
      <c r="L445" s="17"/>
      <c r="M445" s="17"/>
      <c r="N445" s="38"/>
      <c r="O445" s="39"/>
      <c r="P445" s="41" t="str">
        <f aca="false">IF(OR(B445="",N445=""),"",ROUND(((N445+N(O445))-(B445+N(C445)))*24,1))</f>
        <v/>
      </c>
      <c r="Q445" s="17"/>
      <c r="R445" s="17"/>
      <c r="S445" s="38"/>
      <c r="T445" s="17"/>
      <c r="U445" s="42" t="str">
        <f aca="false">IF(OR(E445="",S445="",OR(R445="Contract signed + paid",R445="Closed – No response",R445="Lost"),N(T445)&gt;=Settings!$S$3),"",S445+Settings!$S$2)</f>
        <v/>
      </c>
      <c r="V445" s="38"/>
      <c r="W445" s="39"/>
      <c r="X445" s="17"/>
      <c r="Y445" s="17"/>
      <c r="Z445" s="17"/>
      <c r="AA445" s="43" t="str">
        <f aca="true">IF(OR(E445="",B445=""),"",INT(TODAY()-B445))</f>
        <v/>
      </c>
      <c r="AB445" s="44" t="str">
        <f aca="true">IF(E445="","",IF(OR(COUNTIFS(Clients!$C$2:$C$501,E445,Clients!$S$2:$S$501,"Paid")&gt;0,AND(I445&lt;&gt;"",COUNTIFS(Clients!$E$2:$E$501,I445,Clients!$S$2:$S$501,"Paid")&gt;0)),"⚠ Refunded before – no free video",IF(OR(R445="Contract signed + paid",R445="Closed – No response",R445="Lost"),"",IF(R445="","Set a stage",IF(N(T445)&gt;=Settings!$S$3,"Close – 4 follow-ups sent",IF(U445="",IF(S445="","Make first contact",""),IF(TODAY()&gt;U445,"OVERDUE follow-up",IF(TODAY()=U445,"Follow up today",""))))))))</f>
        <v/>
      </c>
    </row>
    <row r="446" customFormat="false" ht="15" hidden="false" customHeight="false" outlineLevel="0" collapsed="false">
      <c r="A446" s="17"/>
      <c r="B446" s="38"/>
      <c r="C446" s="39"/>
      <c r="D446" s="17"/>
      <c r="E446" s="17"/>
      <c r="F446" s="17"/>
      <c r="G446" s="17"/>
      <c r="H446" s="17"/>
      <c r="I446" s="40"/>
      <c r="J446" s="17"/>
      <c r="K446" s="17"/>
      <c r="L446" s="17"/>
      <c r="M446" s="17"/>
      <c r="N446" s="38"/>
      <c r="O446" s="39"/>
      <c r="P446" s="41" t="str">
        <f aca="false">IF(OR(B446="",N446=""),"",ROUND(((N446+N(O446))-(B446+N(C446)))*24,1))</f>
        <v/>
      </c>
      <c r="Q446" s="17"/>
      <c r="R446" s="17"/>
      <c r="S446" s="38"/>
      <c r="T446" s="17"/>
      <c r="U446" s="42" t="str">
        <f aca="false">IF(OR(E446="",S446="",OR(R446="Contract signed + paid",R446="Closed – No response",R446="Lost"),N(T446)&gt;=Settings!$S$3),"",S446+Settings!$S$2)</f>
        <v/>
      </c>
      <c r="V446" s="38"/>
      <c r="W446" s="39"/>
      <c r="X446" s="17"/>
      <c r="Y446" s="17"/>
      <c r="Z446" s="17"/>
      <c r="AA446" s="43" t="str">
        <f aca="true">IF(OR(E446="",B446=""),"",INT(TODAY()-B446))</f>
        <v/>
      </c>
      <c r="AB446" s="44" t="str">
        <f aca="true">IF(E446="","",IF(OR(COUNTIFS(Clients!$C$2:$C$501,E446,Clients!$S$2:$S$501,"Paid")&gt;0,AND(I446&lt;&gt;"",COUNTIFS(Clients!$E$2:$E$501,I446,Clients!$S$2:$S$501,"Paid")&gt;0)),"⚠ Refunded before – no free video",IF(OR(R446="Contract signed + paid",R446="Closed – No response",R446="Lost"),"",IF(R446="","Set a stage",IF(N(T446)&gt;=Settings!$S$3,"Close – 4 follow-ups sent",IF(U446="",IF(S446="","Make first contact",""),IF(TODAY()&gt;U446,"OVERDUE follow-up",IF(TODAY()=U446,"Follow up today",""))))))))</f>
        <v/>
      </c>
    </row>
    <row r="447" customFormat="false" ht="15" hidden="false" customHeight="false" outlineLevel="0" collapsed="false">
      <c r="A447" s="17"/>
      <c r="B447" s="38"/>
      <c r="C447" s="39"/>
      <c r="D447" s="17"/>
      <c r="E447" s="17"/>
      <c r="F447" s="17"/>
      <c r="G447" s="17"/>
      <c r="H447" s="17"/>
      <c r="I447" s="40"/>
      <c r="J447" s="17"/>
      <c r="K447" s="17"/>
      <c r="L447" s="17"/>
      <c r="M447" s="17"/>
      <c r="N447" s="38"/>
      <c r="O447" s="39"/>
      <c r="P447" s="41" t="str">
        <f aca="false">IF(OR(B447="",N447=""),"",ROUND(((N447+N(O447))-(B447+N(C447)))*24,1))</f>
        <v/>
      </c>
      <c r="Q447" s="17"/>
      <c r="R447" s="17"/>
      <c r="S447" s="38"/>
      <c r="T447" s="17"/>
      <c r="U447" s="42" t="str">
        <f aca="false">IF(OR(E447="",S447="",OR(R447="Contract signed + paid",R447="Closed – No response",R447="Lost"),N(T447)&gt;=Settings!$S$3),"",S447+Settings!$S$2)</f>
        <v/>
      </c>
      <c r="V447" s="38"/>
      <c r="W447" s="39"/>
      <c r="X447" s="17"/>
      <c r="Y447" s="17"/>
      <c r="Z447" s="17"/>
      <c r="AA447" s="43" t="str">
        <f aca="true">IF(OR(E447="",B447=""),"",INT(TODAY()-B447))</f>
        <v/>
      </c>
      <c r="AB447" s="44" t="str">
        <f aca="true">IF(E447="","",IF(OR(COUNTIFS(Clients!$C$2:$C$501,E447,Clients!$S$2:$S$501,"Paid")&gt;0,AND(I447&lt;&gt;"",COUNTIFS(Clients!$E$2:$E$501,I447,Clients!$S$2:$S$501,"Paid")&gt;0)),"⚠ Refunded before – no free video",IF(OR(R447="Contract signed + paid",R447="Closed – No response",R447="Lost"),"",IF(R447="","Set a stage",IF(N(T447)&gt;=Settings!$S$3,"Close – 4 follow-ups sent",IF(U447="",IF(S447="","Make first contact",""),IF(TODAY()&gt;U447,"OVERDUE follow-up",IF(TODAY()=U447,"Follow up today",""))))))))</f>
        <v/>
      </c>
    </row>
    <row r="448" customFormat="false" ht="15" hidden="false" customHeight="false" outlineLevel="0" collapsed="false">
      <c r="A448" s="17"/>
      <c r="B448" s="38"/>
      <c r="C448" s="39"/>
      <c r="D448" s="17"/>
      <c r="E448" s="17"/>
      <c r="F448" s="17"/>
      <c r="G448" s="17"/>
      <c r="H448" s="17"/>
      <c r="I448" s="40"/>
      <c r="J448" s="17"/>
      <c r="K448" s="17"/>
      <c r="L448" s="17"/>
      <c r="M448" s="17"/>
      <c r="N448" s="38"/>
      <c r="O448" s="39"/>
      <c r="P448" s="41" t="str">
        <f aca="false">IF(OR(B448="",N448=""),"",ROUND(((N448+N(O448))-(B448+N(C448)))*24,1))</f>
        <v/>
      </c>
      <c r="Q448" s="17"/>
      <c r="R448" s="17"/>
      <c r="S448" s="38"/>
      <c r="T448" s="17"/>
      <c r="U448" s="42" t="str">
        <f aca="false">IF(OR(E448="",S448="",OR(R448="Contract signed + paid",R448="Closed – No response",R448="Lost"),N(T448)&gt;=Settings!$S$3),"",S448+Settings!$S$2)</f>
        <v/>
      </c>
      <c r="V448" s="38"/>
      <c r="W448" s="39"/>
      <c r="X448" s="17"/>
      <c r="Y448" s="17"/>
      <c r="Z448" s="17"/>
      <c r="AA448" s="43" t="str">
        <f aca="true">IF(OR(E448="",B448=""),"",INT(TODAY()-B448))</f>
        <v/>
      </c>
      <c r="AB448" s="44" t="str">
        <f aca="true">IF(E448="","",IF(OR(COUNTIFS(Clients!$C$2:$C$501,E448,Clients!$S$2:$S$501,"Paid")&gt;0,AND(I448&lt;&gt;"",COUNTIFS(Clients!$E$2:$E$501,I448,Clients!$S$2:$S$501,"Paid")&gt;0)),"⚠ Refunded before – no free video",IF(OR(R448="Contract signed + paid",R448="Closed – No response",R448="Lost"),"",IF(R448="","Set a stage",IF(N(T448)&gt;=Settings!$S$3,"Close – 4 follow-ups sent",IF(U448="",IF(S448="","Make first contact",""),IF(TODAY()&gt;U448,"OVERDUE follow-up",IF(TODAY()=U448,"Follow up today",""))))))))</f>
        <v/>
      </c>
    </row>
    <row r="449" customFormat="false" ht="15" hidden="false" customHeight="false" outlineLevel="0" collapsed="false">
      <c r="A449" s="17"/>
      <c r="B449" s="38"/>
      <c r="C449" s="39"/>
      <c r="D449" s="17"/>
      <c r="E449" s="17"/>
      <c r="F449" s="17"/>
      <c r="G449" s="17"/>
      <c r="H449" s="17"/>
      <c r="I449" s="40"/>
      <c r="J449" s="17"/>
      <c r="K449" s="17"/>
      <c r="L449" s="17"/>
      <c r="M449" s="17"/>
      <c r="N449" s="38"/>
      <c r="O449" s="39"/>
      <c r="P449" s="41" t="str">
        <f aca="false">IF(OR(B449="",N449=""),"",ROUND(((N449+N(O449))-(B449+N(C449)))*24,1))</f>
        <v/>
      </c>
      <c r="Q449" s="17"/>
      <c r="R449" s="17"/>
      <c r="S449" s="38"/>
      <c r="T449" s="17"/>
      <c r="U449" s="42" t="str">
        <f aca="false">IF(OR(E449="",S449="",OR(R449="Contract signed + paid",R449="Closed – No response",R449="Lost"),N(T449)&gt;=Settings!$S$3),"",S449+Settings!$S$2)</f>
        <v/>
      </c>
      <c r="V449" s="38"/>
      <c r="W449" s="39"/>
      <c r="X449" s="17"/>
      <c r="Y449" s="17"/>
      <c r="Z449" s="17"/>
      <c r="AA449" s="43" t="str">
        <f aca="true">IF(OR(E449="",B449=""),"",INT(TODAY()-B449))</f>
        <v/>
      </c>
      <c r="AB449" s="44" t="str">
        <f aca="true">IF(E449="","",IF(OR(COUNTIFS(Clients!$C$2:$C$501,E449,Clients!$S$2:$S$501,"Paid")&gt;0,AND(I449&lt;&gt;"",COUNTIFS(Clients!$E$2:$E$501,I449,Clients!$S$2:$S$501,"Paid")&gt;0)),"⚠ Refunded before – no free video",IF(OR(R449="Contract signed + paid",R449="Closed – No response",R449="Lost"),"",IF(R449="","Set a stage",IF(N(T449)&gt;=Settings!$S$3,"Close – 4 follow-ups sent",IF(U449="",IF(S449="","Make first contact",""),IF(TODAY()&gt;U449,"OVERDUE follow-up",IF(TODAY()=U449,"Follow up today",""))))))))</f>
        <v/>
      </c>
    </row>
    <row r="450" customFormat="false" ht="15" hidden="false" customHeight="false" outlineLevel="0" collapsed="false">
      <c r="A450" s="17"/>
      <c r="B450" s="38"/>
      <c r="C450" s="39"/>
      <c r="D450" s="17"/>
      <c r="E450" s="17"/>
      <c r="F450" s="17"/>
      <c r="G450" s="17"/>
      <c r="H450" s="17"/>
      <c r="I450" s="40"/>
      <c r="J450" s="17"/>
      <c r="K450" s="17"/>
      <c r="L450" s="17"/>
      <c r="M450" s="17"/>
      <c r="N450" s="38"/>
      <c r="O450" s="39"/>
      <c r="P450" s="41" t="str">
        <f aca="false">IF(OR(B450="",N450=""),"",ROUND(((N450+N(O450))-(B450+N(C450)))*24,1))</f>
        <v/>
      </c>
      <c r="Q450" s="17"/>
      <c r="R450" s="17"/>
      <c r="S450" s="38"/>
      <c r="T450" s="17"/>
      <c r="U450" s="42" t="str">
        <f aca="false">IF(OR(E450="",S450="",OR(R450="Contract signed + paid",R450="Closed – No response",R450="Lost"),N(T450)&gt;=Settings!$S$3),"",S450+Settings!$S$2)</f>
        <v/>
      </c>
      <c r="V450" s="38"/>
      <c r="W450" s="39"/>
      <c r="X450" s="17"/>
      <c r="Y450" s="17"/>
      <c r="Z450" s="17"/>
      <c r="AA450" s="43" t="str">
        <f aca="true">IF(OR(E450="",B450=""),"",INT(TODAY()-B450))</f>
        <v/>
      </c>
      <c r="AB450" s="44" t="str">
        <f aca="true">IF(E450="","",IF(OR(COUNTIFS(Clients!$C$2:$C$501,E450,Clients!$S$2:$S$501,"Paid")&gt;0,AND(I450&lt;&gt;"",COUNTIFS(Clients!$E$2:$E$501,I450,Clients!$S$2:$S$501,"Paid")&gt;0)),"⚠ Refunded before – no free video",IF(OR(R450="Contract signed + paid",R450="Closed – No response",R450="Lost"),"",IF(R450="","Set a stage",IF(N(T450)&gt;=Settings!$S$3,"Close – 4 follow-ups sent",IF(U450="",IF(S450="","Make first contact",""),IF(TODAY()&gt;U450,"OVERDUE follow-up",IF(TODAY()=U450,"Follow up today",""))))))))</f>
        <v/>
      </c>
    </row>
    <row r="451" customFormat="false" ht="15" hidden="false" customHeight="false" outlineLevel="0" collapsed="false">
      <c r="A451" s="17"/>
      <c r="B451" s="38"/>
      <c r="C451" s="39"/>
      <c r="D451" s="17"/>
      <c r="E451" s="17"/>
      <c r="F451" s="17"/>
      <c r="G451" s="17"/>
      <c r="H451" s="17"/>
      <c r="I451" s="40"/>
      <c r="J451" s="17"/>
      <c r="K451" s="17"/>
      <c r="L451" s="17"/>
      <c r="M451" s="17"/>
      <c r="N451" s="38"/>
      <c r="O451" s="39"/>
      <c r="P451" s="41" t="str">
        <f aca="false">IF(OR(B451="",N451=""),"",ROUND(((N451+N(O451))-(B451+N(C451)))*24,1))</f>
        <v/>
      </c>
      <c r="Q451" s="17"/>
      <c r="R451" s="17"/>
      <c r="S451" s="38"/>
      <c r="T451" s="17"/>
      <c r="U451" s="42" t="str">
        <f aca="false">IF(OR(E451="",S451="",OR(R451="Contract signed + paid",R451="Closed – No response",R451="Lost"),N(T451)&gt;=Settings!$S$3),"",S451+Settings!$S$2)</f>
        <v/>
      </c>
      <c r="V451" s="38"/>
      <c r="W451" s="39"/>
      <c r="X451" s="17"/>
      <c r="Y451" s="17"/>
      <c r="Z451" s="17"/>
      <c r="AA451" s="43" t="str">
        <f aca="true">IF(OR(E451="",B451=""),"",INT(TODAY()-B451))</f>
        <v/>
      </c>
      <c r="AB451" s="44" t="str">
        <f aca="true">IF(E451="","",IF(OR(COUNTIFS(Clients!$C$2:$C$501,E451,Clients!$S$2:$S$501,"Paid")&gt;0,AND(I451&lt;&gt;"",COUNTIFS(Clients!$E$2:$E$501,I451,Clients!$S$2:$S$501,"Paid")&gt;0)),"⚠ Refunded before – no free video",IF(OR(R451="Contract signed + paid",R451="Closed – No response",R451="Lost"),"",IF(R451="","Set a stage",IF(N(T451)&gt;=Settings!$S$3,"Close – 4 follow-ups sent",IF(U451="",IF(S451="","Make first contact",""),IF(TODAY()&gt;U451,"OVERDUE follow-up",IF(TODAY()=U451,"Follow up today",""))))))))</f>
        <v/>
      </c>
    </row>
    <row r="452" customFormat="false" ht="15" hidden="false" customHeight="false" outlineLevel="0" collapsed="false">
      <c r="A452" s="17"/>
      <c r="B452" s="38"/>
      <c r="C452" s="39"/>
      <c r="D452" s="17"/>
      <c r="E452" s="17"/>
      <c r="F452" s="17"/>
      <c r="G452" s="17"/>
      <c r="H452" s="17"/>
      <c r="I452" s="40"/>
      <c r="J452" s="17"/>
      <c r="K452" s="17"/>
      <c r="L452" s="17"/>
      <c r="M452" s="17"/>
      <c r="N452" s="38"/>
      <c r="O452" s="39"/>
      <c r="P452" s="41" t="str">
        <f aca="false">IF(OR(B452="",N452=""),"",ROUND(((N452+N(O452))-(B452+N(C452)))*24,1))</f>
        <v/>
      </c>
      <c r="Q452" s="17"/>
      <c r="R452" s="17"/>
      <c r="S452" s="38"/>
      <c r="T452" s="17"/>
      <c r="U452" s="42" t="str">
        <f aca="false">IF(OR(E452="",S452="",OR(R452="Contract signed + paid",R452="Closed – No response",R452="Lost"),N(T452)&gt;=Settings!$S$3),"",S452+Settings!$S$2)</f>
        <v/>
      </c>
      <c r="V452" s="38"/>
      <c r="W452" s="39"/>
      <c r="X452" s="17"/>
      <c r="Y452" s="17"/>
      <c r="Z452" s="17"/>
      <c r="AA452" s="43" t="str">
        <f aca="true">IF(OR(E452="",B452=""),"",INT(TODAY()-B452))</f>
        <v/>
      </c>
      <c r="AB452" s="44" t="str">
        <f aca="true">IF(E452="","",IF(OR(COUNTIFS(Clients!$C$2:$C$501,E452,Clients!$S$2:$S$501,"Paid")&gt;0,AND(I452&lt;&gt;"",COUNTIFS(Clients!$E$2:$E$501,I452,Clients!$S$2:$S$501,"Paid")&gt;0)),"⚠ Refunded before – no free video",IF(OR(R452="Contract signed + paid",R452="Closed – No response",R452="Lost"),"",IF(R452="","Set a stage",IF(N(T452)&gt;=Settings!$S$3,"Close – 4 follow-ups sent",IF(U452="",IF(S452="","Make first contact",""),IF(TODAY()&gt;U452,"OVERDUE follow-up",IF(TODAY()=U452,"Follow up today",""))))))))</f>
        <v/>
      </c>
    </row>
    <row r="453" customFormat="false" ht="15" hidden="false" customHeight="false" outlineLevel="0" collapsed="false">
      <c r="A453" s="17"/>
      <c r="B453" s="38"/>
      <c r="C453" s="39"/>
      <c r="D453" s="17"/>
      <c r="E453" s="17"/>
      <c r="F453" s="17"/>
      <c r="G453" s="17"/>
      <c r="H453" s="17"/>
      <c r="I453" s="40"/>
      <c r="J453" s="17"/>
      <c r="K453" s="17"/>
      <c r="L453" s="17"/>
      <c r="M453" s="17"/>
      <c r="N453" s="38"/>
      <c r="O453" s="39"/>
      <c r="P453" s="41" t="str">
        <f aca="false">IF(OR(B453="",N453=""),"",ROUND(((N453+N(O453))-(B453+N(C453)))*24,1))</f>
        <v/>
      </c>
      <c r="Q453" s="17"/>
      <c r="R453" s="17"/>
      <c r="S453" s="38"/>
      <c r="T453" s="17"/>
      <c r="U453" s="42" t="str">
        <f aca="false">IF(OR(E453="",S453="",OR(R453="Contract signed + paid",R453="Closed – No response",R453="Lost"),N(T453)&gt;=Settings!$S$3),"",S453+Settings!$S$2)</f>
        <v/>
      </c>
      <c r="V453" s="38"/>
      <c r="W453" s="39"/>
      <c r="X453" s="17"/>
      <c r="Y453" s="17"/>
      <c r="Z453" s="17"/>
      <c r="AA453" s="43" t="str">
        <f aca="true">IF(OR(E453="",B453=""),"",INT(TODAY()-B453))</f>
        <v/>
      </c>
      <c r="AB453" s="44" t="str">
        <f aca="true">IF(E453="","",IF(OR(COUNTIFS(Clients!$C$2:$C$501,E453,Clients!$S$2:$S$501,"Paid")&gt;0,AND(I453&lt;&gt;"",COUNTIFS(Clients!$E$2:$E$501,I453,Clients!$S$2:$S$501,"Paid")&gt;0)),"⚠ Refunded before – no free video",IF(OR(R453="Contract signed + paid",R453="Closed – No response",R453="Lost"),"",IF(R453="","Set a stage",IF(N(T453)&gt;=Settings!$S$3,"Close – 4 follow-ups sent",IF(U453="",IF(S453="","Make first contact",""),IF(TODAY()&gt;U453,"OVERDUE follow-up",IF(TODAY()=U453,"Follow up today",""))))))))</f>
        <v/>
      </c>
    </row>
    <row r="454" customFormat="false" ht="15" hidden="false" customHeight="false" outlineLevel="0" collapsed="false">
      <c r="A454" s="17"/>
      <c r="B454" s="38"/>
      <c r="C454" s="39"/>
      <c r="D454" s="17"/>
      <c r="E454" s="17"/>
      <c r="F454" s="17"/>
      <c r="G454" s="17"/>
      <c r="H454" s="17"/>
      <c r="I454" s="40"/>
      <c r="J454" s="17"/>
      <c r="K454" s="17"/>
      <c r="L454" s="17"/>
      <c r="M454" s="17"/>
      <c r="N454" s="38"/>
      <c r="O454" s="39"/>
      <c r="P454" s="41" t="str">
        <f aca="false">IF(OR(B454="",N454=""),"",ROUND(((N454+N(O454))-(B454+N(C454)))*24,1))</f>
        <v/>
      </c>
      <c r="Q454" s="17"/>
      <c r="R454" s="17"/>
      <c r="S454" s="38"/>
      <c r="T454" s="17"/>
      <c r="U454" s="42" t="str">
        <f aca="false">IF(OR(E454="",S454="",OR(R454="Contract signed + paid",R454="Closed – No response",R454="Lost"),N(T454)&gt;=Settings!$S$3),"",S454+Settings!$S$2)</f>
        <v/>
      </c>
      <c r="V454" s="38"/>
      <c r="W454" s="39"/>
      <c r="X454" s="17"/>
      <c r="Y454" s="17"/>
      <c r="Z454" s="17"/>
      <c r="AA454" s="43" t="str">
        <f aca="true">IF(OR(E454="",B454=""),"",INT(TODAY()-B454))</f>
        <v/>
      </c>
      <c r="AB454" s="44" t="str">
        <f aca="true">IF(E454="","",IF(OR(COUNTIFS(Clients!$C$2:$C$501,E454,Clients!$S$2:$S$501,"Paid")&gt;0,AND(I454&lt;&gt;"",COUNTIFS(Clients!$E$2:$E$501,I454,Clients!$S$2:$S$501,"Paid")&gt;0)),"⚠ Refunded before – no free video",IF(OR(R454="Contract signed + paid",R454="Closed – No response",R454="Lost"),"",IF(R454="","Set a stage",IF(N(T454)&gt;=Settings!$S$3,"Close – 4 follow-ups sent",IF(U454="",IF(S454="","Make first contact",""),IF(TODAY()&gt;U454,"OVERDUE follow-up",IF(TODAY()=U454,"Follow up today",""))))))))</f>
        <v/>
      </c>
    </row>
    <row r="455" customFormat="false" ht="15" hidden="false" customHeight="false" outlineLevel="0" collapsed="false">
      <c r="A455" s="17"/>
      <c r="B455" s="38"/>
      <c r="C455" s="39"/>
      <c r="D455" s="17"/>
      <c r="E455" s="17"/>
      <c r="F455" s="17"/>
      <c r="G455" s="17"/>
      <c r="H455" s="17"/>
      <c r="I455" s="40"/>
      <c r="J455" s="17"/>
      <c r="K455" s="17"/>
      <c r="L455" s="17"/>
      <c r="M455" s="17"/>
      <c r="N455" s="38"/>
      <c r="O455" s="39"/>
      <c r="P455" s="41" t="str">
        <f aca="false">IF(OR(B455="",N455=""),"",ROUND(((N455+N(O455))-(B455+N(C455)))*24,1))</f>
        <v/>
      </c>
      <c r="Q455" s="17"/>
      <c r="R455" s="17"/>
      <c r="S455" s="38"/>
      <c r="T455" s="17"/>
      <c r="U455" s="42" t="str">
        <f aca="false">IF(OR(E455="",S455="",OR(R455="Contract signed + paid",R455="Closed – No response",R455="Lost"),N(T455)&gt;=Settings!$S$3),"",S455+Settings!$S$2)</f>
        <v/>
      </c>
      <c r="V455" s="38"/>
      <c r="W455" s="39"/>
      <c r="X455" s="17"/>
      <c r="Y455" s="17"/>
      <c r="Z455" s="17"/>
      <c r="AA455" s="43" t="str">
        <f aca="true">IF(OR(E455="",B455=""),"",INT(TODAY()-B455))</f>
        <v/>
      </c>
      <c r="AB455" s="44" t="str">
        <f aca="true">IF(E455="","",IF(OR(COUNTIFS(Clients!$C$2:$C$501,E455,Clients!$S$2:$S$501,"Paid")&gt;0,AND(I455&lt;&gt;"",COUNTIFS(Clients!$E$2:$E$501,I455,Clients!$S$2:$S$501,"Paid")&gt;0)),"⚠ Refunded before – no free video",IF(OR(R455="Contract signed + paid",R455="Closed – No response",R455="Lost"),"",IF(R455="","Set a stage",IF(N(T455)&gt;=Settings!$S$3,"Close – 4 follow-ups sent",IF(U455="",IF(S455="","Make first contact",""),IF(TODAY()&gt;U455,"OVERDUE follow-up",IF(TODAY()=U455,"Follow up today",""))))))))</f>
        <v/>
      </c>
    </row>
    <row r="456" customFormat="false" ht="15" hidden="false" customHeight="false" outlineLevel="0" collapsed="false">
      <c r="A456" s="17"/>
      <c r="B456" s="38"/>
      <c r="C456" s="39"/>
      <c r="D456" s="17"/>
      <c r="E456" s="17"/>
      <c r="F456" s="17"/>
      <c r="G456" s="17"/>
      <c r="H456" s="17"/>
      <c r="I456" s="40"/>
      <c r="J456" s="17"/>
      <c r="K456" s="17"/>
      <c r="L456" s="17"/>
      <c r="M456" s="17"/>
      <c r="N456" s="38"/>
      <c r="O456" s="39"/>
      <c r="P456" s="41" t="str">
        <f aca="false">IF(OR(B456="",N456=""),"",ROUND(((N456+N(O456))-(B456+N(C456)))*24,1))</f>
        <v/>
      </c>
      <c r="Q456" s="17"/>
      <c r="R456" s="17"/>
      <c r="S456" s="38"/>
      <c r="T456" s="17"/>
      <c r="U456" s="42" t="str">
        <f aca="false">IF(OR(E456="",S456="",OR(R456="Contract signed + paid",R456="Closed – No response",R456="Lost"),N(T456)&gt;=Settings!$S$3),"",S456+Settings!$S$2)</f>
        <v/>
      </c>
      <c r="V456" s="38"/>
      <c r="W456" s="39"/>
      <c r="X456" s="17"/>
      <c r="Y456" s="17"/>
      <c r="Z456" s="17"/>
      <c r="AA456" s="43" t="str">
        <f aca="true">IF(OR(E456="",B456=""),"",INT(TODAY()-B456))</f>
        <v/>
      </c>
      <c r="AB456" s="44" t="str">
        <f aca="true">IF(E456="","",IF(OR(COUNTIFS(Clients!$C$2:$C$501,E456,Clients!$S$2:$S$501,"Paid")&gt;0,AND(I456&lt;&gt;"",COUNTIFS(Clients!$E$2:$E$501,I456,Clients!$S$2:$S$501,"Paid")&gt;0)),"⚠ Refunded before – no free video",IF(OR(R456="Contract signed + paid",R456="Closed – No response",R456="Lost"),"",IF(R456="","Set a stage",IF(N(T456)&gt;=Settings!$S$3,"Close – 4 follow-ups sent",IF(U456="",IF(S456="","Make first contact",""),IF(TODAY()&gt;U456,"OVERDUE follow-up",IF(TODAY()=U456,"Follow up today",""))))))))</f>
        <v/>
      </c>
    </row>
    <row r="457" customFormat="false" ht="15" hidden="false" customHeight="false" outlineLevel="0" collapsed="false">
      <c r="A457" s="17"/>
      <c r="B457" s="38"/>
      <c r="C457" s="39"/>
      <c r="D457" s="17"/>
      <c r="E457" s="17"/>
      <c r="F457" s="17"/>
      <c r="G457" s="17"/>
      <c r="H457" s="17"/>
      <c r="I457" s="40"/>
      <c r="J457" s="17"/>
      <c r="K457" s="17"/>
      <c r="L457" s="17"/>
      <c r="M457" s="17"/>
      <c r="N457" s="38"/>
      <c r="O457" s="39"/>
      <c r="P457" s="41" t="str">
        <f aca="false">IF(OR(B457="",N457=""),"",ROUND(((N457+N(O457))-(B457+N(C457)))*24,1))</f>
        <v/>
      </c>
      <c r="Q457" s="17"/>
      <c r="R457" s="17"/>
      <c r="S457" s="38"/>
      <c r="T457" s="17"/>
      <c r="U457" s="42" t="str">
        <f aca="false">IF(OR(E457="",S457="",OR(R457="Contract signed + paid",R457="Closed – No response",R457="Lost"),N(T457)&gt;=Settings!$S$3),"",S457+Settings!$S$2)</f>
        <v/>
      </c>
      <c r="V457" s="38"/>
      <c r="W457" s="39"/>
      <c r="X457" s="17"/>
      <c r="Y457" s="17"/>
      <c r="Z457" s="17"/>
      <c r="AA457" s="43" t="str">
        <f aca="true">IF(OR(E457="",B457=""),"",INT(TODAY()-B457))</f>
        <v/>
      </c>
      <c r="AB457" s="44" t="str">
        <f aca="true">IF(E457="","",IF(OR(COUNTIFS(Clients!$C$2:$C$501,E457,Clients!$S$2:$S$501,"Paid")&gt;0,AND(I457&lt;&gt;"",COUNTIFS(Clients!$E$2:$E$501,I457,Clients!$S$2:$S$501,"Paid")&gt;0)),"⚠ Refunded before – no free video",IF(OR(R457="Contract signed + paid",R457="Closed – No response",R457="Lost"),"",IF(R457="","Set a stage",IF(N(T457)&gt;=Settings!$S$3,"Close – 4 follow-ups sent",IF(U457="",IF(S457="","Make first contact",""),IF(TODAY()&gt;U457,"OVERDUE follow-up",IF(TODAY()=U457,"Follow up today",""))))))))</f>
        <v/>
      </c>
    </row>
    <row r="458" customFormat="false" ht="15" hidden="false" customHeight="false" outlineLevel="0" collapsed="false">
      <c r="A458" s="17"/>
      <c r="B458" s="38"/>
      <c r="C458" s="39"/>
      <c r="D458" s="17"/>
      <c r="E458" s="17"/>
      <c r="F458" s="17"/>
      <c r="G458" s="17"/>
      <c r="H458" s="17"/>
      <c r="I458" s="40"/>
      <c r="J458" s="17"/>
      <c r="K458" s="17"/>
      <c r="L458" s="17"/>
      <c r="M458" s="17"/>
      <c r="N458" s="38"/>
      <c r="O458" s="39"/>
      <c r="P458" s="41" t="str">
        <f aca="false">IF(OR(B458="",N458=""),"",ROUND(((N458+N(O458))-(B458+N(C458)))*24,1))</f>
        <v/>
      </c>
      <c r="Q458" s="17"/>
      <c r="R458" s="17"/>
      <c r="S458" s="38"/>
      <c r="T458" s="17"/>
      <c r="U458" s="42" t="str">
        <f aca="false">IF(OR(E458="",S458="",OR(R458="Contract signed + paid",R458="Closed – No response",R458="Lost"),N(T458)&gt;=Settings!$S$3),"",S458+Settings!$S$2)</f>
        <v/>
      </c>
      <c r="V458" s="38"/>
      <c r="W458" s="39"/>
      <c r="X458" s="17"/>
      <c r="Y458" s="17"/>
      <c r="Z458" s="17"/>
      <c r="AA458" s="43" t="str">
        <f aca="true">IF(OR(E458="",B458=""),"",INT(TODAY()-B458))</f>
        <v/>
      </c>
      <c r="AB458" s="44" t="str">
        <f aca="true">IF(E458="","",IF(OR(COUNTIFS(Clients!$C$2:$C$501,E458,Clients!$S$2:$S$501,"Paid")&gt;0,AND(I458&lt;&gt;"",COUNTIFS(Clients!$E$2:$E$501,I458,Clients!$S$2:$S$501,"Paid")&gt;0)),"⚠ Refunded before – no free video",IF(OR(R458="Contract signed + paid",R458="Closed – No response",R458="Lost"),"",IF(R458="","Set a stage",IF(N(T458)&gt;=Settings!$S$3,"Close – 4 follow-ups sent",IF(U458="",IF(S458="","Make first contact",""),IF(TODAY()&gt;U458,"OVERDUE follow-up",IF(TODAY()=U458,"Follow up today",""))))))))</f>
        <v/>
      </c>
    </row>
    <row r="459" customFormat="false" ht="15" hidden="false" customHeight="false" outlineLevel="0" collapsed="false">
      <c r="A459" s="17"/>
      <c r="B459" s="38"/>
      <c r="C459" s="39"/>
      <c r="D459" s="17"/>
      <c r="E459" s="17"/>
      <c r="F459" s="17"/>
      <c r="G459" s="17"/>
      <c r="H459" s="17"/>
      <c r="I459" s="40"/>
      <c r="J459" s="17"/>
      <c r="K459" s="17"/>
      <c r="L459" s="17"/>
      <c r="M459" s="17"/>
      <c r="N459" s="38"/>
      <c r="O459" s="39"/>
      <c r="P459" s="41" t="str">
        <f aca="false">IF(OR(B459="",N459=""),"",ROUND(((N459+N(O459))-(B459+N(C459)))*24,1))</f>
        <v/>
      </c>
      <c r="Q459" s="17"/>
      <c r="R459" s="17"/>
      <c r="S459" s="38"/>
      <c r="T459" s="17"/>
      <c r="U459" s="42" t="str">
        <f aca="false">IF(OR(E459="",S459="",OR(R459="Contract signed + paid",R459="Closed – No response",R459="Lost"),N(T459)&gt;=Settings!$S$3),"",S459+Settings!$S$2)</f>
        <v/>
      </c>
      <c r="V459" s="38"/>
      <c r="W459" s="39"/>
      <c r="X459" s="17"/>
      <c r="Y459" s="17"/>
      <c r="Z459" s="17"/>
      <c r="AA459" s="43" t="str">
        <f aca="true">IF(OR(E459="",B459=""),"",INT(TODAY()-B459))</f>
        <v/>
      </c>
      <c r="AB459" s="44" t="str">
        <f aca="true">IF(E459="","",IF(OR(COUNTIFS(Clients!$C$2:$C$501,E459,Clients!$S$2:$S$501,"Paid")&gt;0,AND(I459&lt;&gt;"",COUNTIFS(Clients!$E$2:$E$501,I459,Clients!$S$2:$S$501,"Paid")&gt;0)),"⚠ Refunded before – no free video",IF(OR(R459="Contract signed + paid",R459="Closed – No response",R459="Lost"),"",IF(R459="","Set a stage",IF(N(T459)&gt;=Settings!$S$3,"Close – 4 follow-ups sent",IF(U459="",IF(S459="","Make first contact",""),IF(TODAY()&gt;U459,"OVERDUE follow-up",IF(TODAY()=U459,"Follow up today",""))))))))</f>
        <v/>
      </c>
    </row>
    <row r="460" customFormat="false" ht="15" hidden="false" customHeight="false" outlineLevel="0" collapsed="false">
      <c r="A460" s="17"/>
      <c r="B460" s="38"/>
      <c r="C460" s="39"/>
      <c r="D460" s="17"/>
      <c r="E460" s="17"/>
      <c r="F460" s="17"/>
      <c r="G460" s="17"/>
      <c r="H460" s="17"/>
      <c r="I460" s="40"/>
      <c r="J460" s="17"/>
      <c r="K460" s="17"/>
      <c r="L460" s="17"/>
      <c r="M460" s="17"/>
      <c r="N460" s="38"/>
      <c r="O460" s="39"/>
      <c r="P460" s="41" t="str">
        <f aca="false">IF(OR(B460="",N460=""),"",ROUND(((N460+N(O460))-(B460+N(C460)))*24,1))</f>
        <v/>
      </c>
      <c r="Q460" s="17"/>
      <c r="R460" s="17"/>
      <c r="S460" s="38"/>
      <c r="T460" s="17"/>
      <c r="U460" s="42" t="str">
        <f aca="false">IF(OR(E460="",S460="",OR(R460="Contract signed + paid",R460="Closed – No response",R460="Lost"),N(T460)&gt;=Settings!$S$3),"",S460+Settings!$S$2)</f>
        <v/>
      </c>
      <c r="V460" s="38"/>
      <c r="W460" s="39"/>
      <c r="X460" s="17"/>
      <c r="Y460" s="17"/>
      <c r="Z460" s="17"/>
      <c r="AA460" s="43" t="str">
        <f aca="true">IF(OR(E460="",B460=""),"",INT(TODAY()-B460))</f>
        <v/>
      </c>
      <c r="AB460" s="44" t="str">
        <f aca="true">IF(E460="","",IF(OR(COUNTIFS(Clients!$C$2:$C$501,E460,Clients!$S$2:$S$501,"Paid")&gt;0,AND(I460&lt;&gt;"",COUNTIFS(Clients!$E$2:$E$501,I460,Clients!$S$2:$S$501,"Paid")&gt;0)),"⚠ Refunded before – no free video",IF(OR(R460="Contract signed + paid",R460="Closed – No response",R460="Lost"),"",IF(R460="","Set a stage",IF(N(T460)&gt;=Settings!$S$3,"Close – 4 follow-ups sent",IF(U460="",IF(S460="","Make first contact",""),IF(TODAY()&gt;U460,"OVERDUE follow-up",IF(TODAY()=U460,"Follow up today",""))))))))</f>
        <v/>
      </c>
    </row>
    <row r="461" customFormat="false" ht="15" hidden="false" customHeight="false" outlineLevel="0" collapsed="false">
      <c r="A461" s="17"/>
      <c r="B461" s="38"/>
      <c r="C461" s="39"/>
      <c r="D461" s="17"/>
      <c r="E461" s="17"/>
      <c r="F461" s="17"/>
      <c r="G461" s="17"/>
      <c r="H461" s="17"/>
      <c r="I461" s="40"/>
      <c r="J461" s="17"/>
      <c r="K461" s="17"/>
      <c r="L461" s="17"/>
      <c r="M461" s="17"/>
      <c r="N461" s="38"/>
      <c r="O461" s="39"/>
      <c r="P461" s="41" t="str">
        <f aca="false">IF(OR(B461="",N461=""),"",ROUND(((N461+N(O461))-(B461+N(C461)))*24,1))</f>
        <v/>
      </c>
      <c r="Q461" s="17"/>
      <c r="R461" s="17"/>
      <c r="S461" s="38"/>
      <c r="T461" s="17"/>
      <c r="U461" s="42" t="str">
        <f aca="false">IF(OR(E461="",S461="",OR(R461="Contract signed + paid",R461="Closed – No response",R461="Lost"),N(T461)&gt;=Settings!$S$3),"",S461+Settings!$S$2)</f>
        <v/>
      </c>
      <c r="V461" s="38"/>
      <c r="W461" s="39"/>
      <c r="X461" s="17"/>
      <c r="Y461" s="17"/>
      <c r="Z461" s="17"/>
      <c r="AA461" s="43" t="str">
        <f aca="true">IF(OR(E461="",B461=""),"",INT(TODAY()-B461))</f>
        <v/>
      </c>
      <c r="AB461" s="44" t="str">
        <f aca="true">IF(E461="","",IF(OR(COUNTIFS(Clients!$C$2:$C$501,E461,Clients!$S$2:$S$501,"Paid")&gt;0,AND(I461&lt;&gt;"",COUNTIFS(Clients!$E$2:$E$501,I461,Clients!$S$2:$S$501,"Paid")&gt;0)),"⚠ Refunded before – no free video",IF(OR(R461="Contract signed + paid",R461="Closed – No response",R461="Lost"),"",IF(R461="","Set a stage",IF(N(T461)&gt;=Settings!$S$3,"Close – 4 follow-ups sent",IF(U461="",IF(S461="","Make first contact",""),IF(TODAY()&gt;U461,"OVERDUE follow-up",IF(TODAY()=U461,"Follow up today",""))))))))</f>
        <v/>
      </c>
    </row>
    <row r="462" customFormat="false" ht="15" hidden="false" customHeight="false" outlineLevel="0" collapsed="false">
      <c r="A462" s="17"/>
      <c r="B462" s="38"/>
      <c r="C462" s="39"/>
      <c r="D462" s="17"/>
      <c r="E462" s="17"/>
      <c r="F462" s="17"/>
      <c r="G462" s="17"/>
      <c r="H462" s="17"/>
      <c r="I462" s="40"/>
      <c r="J462" s="17"/>
      <c r="K462" s="17"/>
      <c r="L462" s="17"/>
      <c r="M462" s="17"/>
      <c r="N462" s="38"/>
      <c r="O462" s="39"/>
      <c r="P462" s="41" t="str">
        <f aca="false">IF(OR(B462="",N462=""),"",ROUND(((N462+N(O462))-(B462+N(C462)))*24,1))</f>
        <v/>
      </c>
      <c r="Q462" s="17"/>
      <c r="R462" s="17"/>
      <c r="S462" s="38"/>
      <c r="T462" s="17"/>
      <c r="U462" s="42" t="str">
        <f aca="false">IF(OR(E462="",S462="",OR(R462="Contract signed + paid",R462="Closed – No response",R462="Lost"),N(T462)&gt;=Settings!$S$3),"",S462+Settings!$S$2)</f>
        <v/>
      </c>
      <c r="V462" s="38"/>
      <c r="W462" s="39"/>
      <c r="X462" s="17"/>
      <c r="Y462" s="17"/>
      <c r="Z462" s="17"/>
      <c r="AA462" s="43" t="str">
        <f aca="true">IF(OR(E462="",B462=""),"",INT(TODAY()-B462))</f>
        <v/>
      </c>
      <c r="AB462" s="44" t="str">
        <f aca="true">IF(E462="","",IF(OR(COUNTIFS(Clients!$C$2:$C$501,E462,Clients!$S$2:$S$501,"Paid")&gt;0,AND(I462&lt;&gt;"",COUNTIFS(Clients!$E$2:$E$501,I462,Clients!$S$2:$S$501,"Paid")&gt;0)),"⚠ Refunded before – no free video",IF(OR(R462="Contract signed + paid",R462="Closed – No response",R462="Lost"),"",IF(R462="","Set a stage",IF(N(T462)&gt;=Settings!$S$3,"Close – 4 follow-ups sent",IF(U462="",IF(S462="","Make first contact",""),IF(TODAY()&gt;U462,"OVERDUE follow-up",IF(TODAY()=U462,"Follow up today",""))))))))</f>
        <v/>
      </c>
    </row>
    <row r="463" customFormat="false" ht="15" hidden="false" customHeight="false" outlineLevel="0" collapsed="false">
      <c r="A463" s="17"/>
      <c r="B463" s="38"/>
      <c r="C463" s="39"/>
      <c r="D463" s="17"/>
      <c r="E463" s="17"/>
      <c r="F463" s="17"/>
      <c r="G463" s="17"/>
      <c r="H463" s="17"/>
      <c r="I463" s="40"/>
      <c r="J463" s="17"/>
      <c r="K463" s="17"/>
      <c r="L463" s="17"/>
      <c r="M463" s="17"/>
      <c r="N463" s="38"/>
      <c r="O463" s="39"/>
      <c r="P463" s="41" t="str">
        <f aca="false">IF(OR(B463="",N463=""),"",ROUND(((N463+N(O463))-(B463+N(C463)))*24,1))</f>
        <v/>
      </c>
      <c r="Q463" s="17"/>
      <c r="R463" s="17"/>
      <c r="S463" s="38"/>
      <c r="T463" s="17"/>
      <c r="U463" s="42" t="str">
        <f aca="false">IF(OR(E463="",S463="",OR(R463="Contract signed + paid",R463="Closed – No response",R463="Lost"),N(T463)&gt;=Settings!$S$3),"",S463+Settings!$S$2)</f>
        <v/>
      </c>
      <c r="V463" s="38"/>
      <c r="W463" s="39"/>
      <c r="X463" s="17"/>
      <c r="Y463" s="17"/>
      <c r="Z463" s="17"/>
      <c r="AA463" s="43" t="str">
        <f aca="true">IF(OR(E463="",B463=""),"",INT(TODAY()-B463))</f>
        <v/>
      </c>
      <c r="AB463" s="44" t="str">
        <f aca="true">IF(E463="","",IF(OR(COUNTIFS(Clients!$C$2:$C$501,E463,Clients!$S$2:$S$501,"Paid")&gt;0,AND(I463&lt;&gt;"",COUNTIFS(Clients!$E$2:$E$501,I463,Clients!$S$2:$S$501,"Paid")&gt;0)),"⚠ Refunded before – no free video",IF(OR(R463="Contract signed + paid",R463="Closed – No response",R463="Lost"),"",IF(R463="","Set a stage",IF(N(T463)&gt;=Settings!$S$3,"Close – 4 follow-ups sent",IF(U463="",IF(S463="","Make first contact",""),IF(TODAY()&gt;U463,"OVERDUE follow-up",IF(TODAY()=U463,"Follow up today",""))))))))</f>
        <v/>
      </c>
    </row>
    <row r="464" customFormat="false" ht="15" hidden="false" customHeight="false" outlineLevel="0" collapsed="false">
      <c r="A464" s="17"/>
      <c r="B464" s="38"/>
      <c r="C464" s="39"/>
      <c r="D464" s="17"/>
      <c r="E464" s="17"/>
      <c r="F464" s="17"/>
      <c r="G464" s="17"/>
      <c r="H464" s="17"/>
      <c r="I464" s="40"/>
      <c r="J464" s="17"/>
      <c r="K464" s="17"/>
      <c r="L464" s="17"/>
      <c r="M464" s="17"/>
      <c r="N464" s="38"/>
      <c r="O464" s="39"/>
      <c r="P464" s="41" t="str">
        <f aca="false">IF(OR(B464="",N464=""),"",ROUND(((N464+N(O464))-(B464+N(C464)))*24,1))</f>
        <v/>
      </c>
      <c r="Q464" s="17"/>
      <c r="R464" s="17"/>
      <c r="S464" s="38"/>
      <c r="T464" s="17"/>
      <c r="U464" s="42" t="str">
        <f aca="false">IF(OR(E464="",S464="",OR(R464="Contract signed + paid",R464="Closed – No response",R464="Lost"),N(T464)&gt;=Settings!$S$3),"",S464+Settings!$S$2)</f>
        <v/>
      </c>
      <c r="V464" s="38"/>
      <c r="W464" s="39"/>
      <c r="X464" s="17"/>
      <c r="Y464" s="17"/>
      <c r="Z464" s="17"/>
      <c r="AA464" s="43" t="str">
        <f aca="true">IF(OR(E464="",B464=""),"",INT(TODAY()-B464))</f>
        <v/>
      </c>
      <c r="AB464" s="44" t="str">
        <f aca="true">IF(E464="","",IF(OR(COUNTIFS(Clients!$C$2:$C$501,E464,Clients!$S$2:$S$501,"Paid")&gt;0,AND(I464&lt;&gt;"",COUNTIFS(Clients!$E$2:$E$501,I464,Clients!$S$2:$S$501,"Paid")&gt;0)),"⚠ Refunded before – no free video",IF(OR(R464="Contract signed + paid",R464="Closed – No response",R464="Lost"),"",IF(R464="","Set a stage",IF(N(T464)&gt;=Settings!$S$3,"Close – 4 follow-ups sent",IF(U464="",IF(S464="","Make first contact",""),IF(TODAY()&gt;U464,"OVERDUE follow-up",IF(TODAY()=U464,"Follow up today",""))))))))</f>
        <v/>
      </c>
    </row>
    <row r="465" customFormat="false" ht="15" hidden="false" customHeight="false" outlineLevel="0" collapsed="false">
      <c r="A465" s="17"/>
      <c r="B465" s="38"/>
      <c r="C465" s="39"/>
      <c r="D465" s="17"/>
      <c r="E465" s="17"/>
      <c r="F465" s="17"/>
      <c r="G465" s="17"/>
      <c r="H465" s="17"/>
      <c r="I465" s="40"/>
      <c r="J465" s="17"/>
      <c r="K465" s="17"/>
      <c r="L465" s="17"/>
      <c r="M465" s="17"/>
      <c r="N465" s="38"/>
      <c r="O465" s="39"/>
      <c r="P465" s="41" t="str">
        <f aca="false">IF(OR(B465="",N465=""),"",ROUND(((N465+N(O465))-(B465+N(C465)))*24,1))</f>
        <v/>
      </c>
      <c r="Q465" s="17"/>
      <c r="R465" s="17"/>
      <c r="S465" s="38"/>
      <c r="T465" s="17"/>
      <c r="U465" s="42" t="str">
        <f aca="false">IF(OR(E465="",S465="",OR(R465="Contract signed + paid",R465="Closed – No response",R465="Lost"),N(T465)&gt;=Settings!$S$3),"",S465+Settings!$S$2)</f>
        <v/>
      </c>
      <c r="V465" s="38"/>
      <c r="W465" s="39"/>
      <c r="X465" s="17"/>
      <c r="Y465" s="17"/>
      <c r="Z465" s="17"/>
      <c r="AA465" s="43" t="str">
        <f aca="true">IF(OR(E465="",B465=""),"",INT(TODAY()-B465))</f>
        <v/>
      </c>
      <c r="AB465" s="44" t="str">
        <f aca="true">IF(E465="","",IF(OR(COUNTIFS(Clients!$C$2:$C$501,E465,Clients!$S$2:$S$501,"Paid")&gt;0,AND(I465&lt;&gt;"",COUNTIFS(Clients!$E$2:$E$501,I465,Clients!$S$2:$S$501,"Paid")&gt;0)),"⚠ Refunded before – no free video",IF(OR(R465="Contract signed + paid",R465="Closed – No response",R465="Lost"),"",IF(R465="","Set a stage",IF(N(T465)&gt;=Settings!$S$3,"Close – 4 follow-ups sent",IF(U465="",IF(S465="","Make first contact",""),IF(TODAY()&gt;U465,"OVERDUE follow-up",IF(TODAY()=U465,"Follow up today",""))))))))</f>
        <v/>
      </c>
    </row>
    <row r="466" customFormat="false" ht="15" hidden="false" customHeight="false" outlineLevel="0" collapsed="false">
      <c r="A466" s="17"/>
      <c r="B466" s="38"/>
      <c r="C466" s="39"/>
      <c r="D466" s="17"/>
      <c r="E466" s="17"/>
      <c r="F466" s="17"/>
      <c r="G466" s="17"/>
      <c r="H466" s="17"/>
      <c r="I466" s="40"/>
      <c r="J466" s="17"/>
      <c r="K466" s="17"/>
      <c r="L466" s="17"/>
      <c r="M466" s="17"/>
      <c r="N466" s="38"/>
      <c r="O466" s="39"/>
      <c r="P466" s="41" t="str">
        <f aca="false">IF(OR(B466="",N466=""),"",ROUND(((N466+N(O466))-(B466+N(C466)))*24,1))</f>
        <v/>
      </c>
      <c r="Q466" s="17"/>
      <c r="R466" s="17"/>
      <c r="S466" s="38"/>
      <c r="T466" s="17"/>
      <c r="U466" s="42" t="str">
        <f aca="false">IF(OR(E466="",S466="",OR(R466="Contract signed + paid",R466="Closed – No response",R466="Lost"),N(T466)&gt;=Settings!$S$3),"",S466+Settings!$S$2)</f>
        <v/>
      </c>
      <c r="V466" s="38"/>
      <c r="W466" s="39"/>
      <c r="X466" s="17"/>
      <c r="Y466" s="17"/>
      <c r="Z466" s="17"/>
      <c r="AA466" s="43" t="str">
        <f aca="true">IF(OR(E466="",B466=""),"",INT(TODAY()-B466))</f>
        <v/>
      </c>
      <c r="AB466" s="44" t="str">
        <f aca="true">IF(E466="","",IF(OR(COUNTIFS(Clients!$C$2:$C$501,E466,Clients!$S$2:$S$501,"Paid")&gt;0,AND(I466&lt;&gt;"",COUNTIFS(Clients!$E$2:$E$501,I466,Clients!$S$2:$S$501,"Paid")&gt;0)),"⚠ Refunded before – no free video",IF(OR(R466="Contract signed + paid",R466="Closed – No response",R466="Lost"),"",IF(R466="","Set a stage",IF(N(T466)&gt;=Settings!$S$3,"Close – 4 follow-ups sent",IF(U466="",IF(S466="","Make first contact",""),IF(TODAY()&gt;U466,"OVERDUE follow-up",IF(TODAY()=U466,"Follow up today",""))))))))</f>
        <v/>
      </c>
    </row>
    <row r="467" customFormat="false" ht="15" hidden="false" customHeight="false" outlineLevel="0" collapsed="false">
      <c r="A467" s="17"/>
      <c r="B467" s="38"/>
      <c r="C467" s="39"/>
      <c r="D467" s="17"/>
      <c r="E467" s="17"/>
      <c r="F467" s="17"/>
      <c r="G467" s="17"/>
      <c r="H467" s="17"/>
      <c r="I467" s="40"/>
      <c r="J467" s="17"/>
      <c r="K467" s="17"/>
      <c r="L467" s="17"/>
      <c r="M467" s="17"/>
      <c r="N467" s="38"/>
      <c r="O467" s="39"/>
      <c r="P467" s="41" t="str">
        <f aca="false">IF(OR(B467="",N467=""),"",ROUND(((N467+N(O467))-(B467+N(C467)))*24,1))</f>
        <v/>
      </c>
      <c r="Q467" s="17"/>
      <c r="R467" s="17"/>
      <c r="S467" s="38"/>
      <c r="T467" s="17"/>
      <c r="U467" s="42" t="str">
        <f aca="false">IF(OR(E467="",S467="",OR(R467="Contract signed + paid",R467="Closed – No response",R467="Lost"),N(T467)&gt;=Settings!$S$3),"",S467+Settings!$S$2)</f>
        <v/>
      </c>
      <c r="V467" s="38"/>
      <c r="W467" s="39"/>
      <c r="X467" s="17"/>
      <c r="Y467" s="17"/>
      <c r="Z467" s="17"/>
      <c r="AA467" s="43" t="str">
        <f aca="true">IF(OR(E467="",B467=""),"",INT(TODAY()-B467))</f>
        <v/>
      </c>
      <c r="AB467" s="44" t="str">
        <f aca="true">IF(E467="","",IF(OR(COUNTIFS(Clients!$C$2:$C$501,E467,Clients!$S$2:$S$501,"Paid")&gt;0,AND(I467&lt;&gt;"",COUNTIFS(Clients!$E$2:$E$501,I467,Clients!$S$2:$S$501,"Paid")&gt;0)),"⚠ Refunded before – no free video",IF(OR(R467="Contract signed + paid",R467="Closed – No response",R467="Lost"),"",IF(R467="","Set a stage",IF(N(T467)&gt;=Settings!$S$3,"Close – 4 follow-ups sent",IF(U467="",IF(S467="","Make first contact",""),IF(TODAY()&gt;U467,"OVERDUE follow-up",IF(TODAY()=U467,"Follow up today",""))))))))</f>
        <v/>
      </c>
    </row>
    <row r="468" customFormat="false" ht="15" hidden="false" customHeight="false" outlineLevel="0" collapsed="false">
      <c r="A468" s="17"/>
      <c r="B468" s="38"/>
      <c r="C468" s="39"/>
      <c r="D468" s="17"/>
      <c r="E468" s="17"/>
      <c r="F468" s="17"/>
      <c r="G468" s="17"/>
      <c r="H468" s="17"/>
      <c r="I468" s="40"/>
      <c r="J468" s="17"/>
      <c r="K468" s="17"/>
      <c r="L468" s="17"/>
      <c r="M468" s="17"/>
      <c r="N468" s="38"/>
      <c r="O468" s="39"/>
      <c r="P468" s="41" t="str">
        <f aca="false">IF(OR(B468="",N468=""),"",ROUND(((N468+N(O468))-(B468+N(C468)))*24,1))</f>
        <v/>
      </c>
      <c r="Q468" s="17"/>
      <c r="R468" s="17"/>
      <c r="S468" s="38"/>
      <c r="T468" s="17"/>
      <c r="U468" s="42" t="str">
        <f aca="false">IF(OR(E468="",S468="",OR(R468="Contract signed + paid",R468="Closed – No response",R468="Lost"),N(T468)&gt;=Settings!$S$3),"",S468+Settings!$S$2)</f>
        <v/>
      </c>
      <c r="V468" s="38"/>
      <c r="W468" s="39"/>
      <c r="X468" s="17"/>
      <c r="Y468" s="17"/>
      <c r="Z468" s="17"/>
      <c r="AA468" s="43" t="str">
        <f aca="true">IF(OR(E468="",B468=""),"",INT(TODAY()-B468))</f>
        <v/>
      </c>
      <c r="AB468" s="44" t="str">
        <f aca="true">IF(E468="","",IF(OR(COUNTIFS(Clients!$C$2:$C$501,E468,Clients!$S$2:$S$501,"Paid")&gt;0,AND(I468&lt;&gt;"",COUNTIFS(Clients!$E$2:$E$501,I468,Clients!$S$2:$S$501,"Paid")&gt;0)),"⚠ Refunded before – no free video",IF(OR(R468="Contract signed + paid",R468="Closed – No response",R468="Lost"),"",IF(R468="","Set a stage",IF(N(T468)&gt;=Settings!$S$3,"Close – 4 follow-ups sent",IF(U468="",IF(S468="","Make first contact",""),IF(TODAY()&gt;U468,"OVERDUE follow-up",IF(TODAY()=U468,"Follow up today",""))))))))</f>
        <v/>
      </c>
    </row>
    <row r="469" customFormat="false" ht="15" hidden="false" customHeight="false" outlineLevel="0" collapsed="false">
      <c r="A469" s="17"/>
      <c r="B469" s="38"/>
      <c r="C469" s="39"/>
      <c r="D469" s="17"/>
      <c r="E469" s="17"/>
      <c r="F469" s="17"/>
      <c r="G469" s="17"/>
      <c r="H469" s="17"/>
      <c r="I469" s="40"/>
      <c r="J469" s="17"/>
      <c r="K469" s="17"/>
      <c r="L469" s="17"/>
      <c r="M469" s="17"/>
      <c r="N469" s="38"/>
      <c r="O469" s="39"/>
      <c r="P469" s="41" t="str">
        <f aca="false">IF(OR(B469="",N469=""),"",ROUND(((N469+N(O469))-(B469+N(C469)))*24,1))</f>
        <v/>
      </c>
      <c r="Q469" s="17"/>
      <c r="R469" s="17"/>
      <c r="S469" s="38"/>
      <c r="T469" s="17"/>
      <c r="U469" s="42" t="str">
        <f aca="false">IF(OR(E469="",S469="",OR(R469="Contract signed + paid",R469="Closed – No response",R469="Lost"),N(T469)&gt;=Settings!$S$3),"",S469+Settings!$S$2)</f>
        <v/>
      </c>
      <c r="V469" s="38"/>
      <c r="W469" s="39"/>
      <c r="X469" s="17"/>
      <c r="Y469" s="17"/>
      <c r="Z469" s="17"/>
      <c r="AA469" s="43" t="str">
        <f aca="true">IF(OR(E469="",B469=""),"",INT(TODAY()-B469))</f>
        <v/>
      </c>
      <c r="AB469" s="44" t="str">
        <f aca="true">IF(E469="","",IF(OR(COUNTIFS(Clients!$C$2:$C$501,E469,Clients!$S$2:$S$501,"Paid")&gt;0,AND(I469&lt;&gt;"",COUNTIFS(Clients!$E$2:$E$501,I469,Clients!$S$2:$S$501,"Paid")&gt;0)),"⚠ Refunded before – no free video",IF(OR(R469="Contract signed + paid",R469="Closed – No response",R469="Lost"),"",IF(R469="","Set a stage",IF(N(T469)&gt;=Settings!$S$3,"Close – 4 follow-ups sent",IF(U469="",IF(S469="","Make first contact",""),IF(TODAY()&gt;U469,"OVERDUE follow-up",IF(TODAY()=U469,"Follow up today",""))))))))</f>
        <v/>
      </c>
    </row>
    <row r="470" customFormat="false" ht="15" hidden="false" customHeight="false" outlineLevel="0" collapsed="false">
      <c r="A470" s="17"/>
      <c r="B470" s="38"/>
      <c r="C470" s="39"/>
      <c r="D470" s="17"/>
      <c r="E470" s="17"/>
      <c r="F470" s="17"/>
      <c r="G470" s="17"/>
      <c r="H470" s="17"/>
      <c r="I470" s="40"/>
      <c r="J470" s="17"/>
      <c r="K470" s="17"/>
      <c r="L470" s="17"/>
      <c r="M470" s="17"/>
      <c r="N470" s="38"/>
      <c r="O470" s="39"/>
      <c r="P470" s="41" t="str">
        <f aca="false">IF(OR(B470="",N470=""),"",ROUND(((N470+N(O470))-(B470+N(C470)))*24,1))</f>
        <v/>
      </c>
      <c r="Q470" s="17"/>
      <c r="R470" s="17"/>
      <c r="S470" s="38"/>
      <c r="T470" s="17"/>
      <c r="U470" s="42" t="str">
        <f aca="false">IF(OR(E470="",S470="",OR(R470="Contract signed + paid",R470="Closed – No response",R470="Lost"),N(T470)&gt;=Settings!$S$3),"",S470+Settings!$S$2)</f>
        <v/>
      </c>
      <c r="V470" s="38"/>
      <c r="W470" s="39"/>
      <c r="X470" s="17"/>
      <c r="Y470" s="17"/>
      <c r="Z470" s="17"/>
      <c r="AA470" s="43" t="str">
        <f aca="true">IF(OR(E470="",B470=""),"",INT(TODAY()-B470))</f>
        <v/>
      </c>
      <c r="AB470" s="44" t="str">
        <f aca="true">IF(E470="","",IF(OR(COUNTIFS(Clients!$C$2:$C$501,E470,Clients!$S$2:$S$501,"Paid")&gt;0,AND(I470&lt;&gt;"",COUNTIFS(Clients!$E$2:$E$501,I470,Clients!$S$2:$S$501,"Paid")&gt;0)),"⚠ Refunded before – no free video",IF(OR(R470="Contract signed + paid",R470="Closed – No response",R470="Lost"),"",IF(R470="","Set a stage",IF(N(T470)&gt;=Settings!$S$3,"Close – 4 follow-ups sent",IF(U470="",IF(S470="","Make first contact",""),IF(TODAY()&gt;U470,"OVERDUE follow-up",IF(TODAY()=U470,"Follow up today",""))))))))</f>
        <v/>
      </c>
    </row>
    <row r="471" customFormat="false" ht="15" hidden="false" customHeight="false" outlineLevel="0" collapsed="false">
      <c r="A471" s="17"/>
      <c r="B471" s="38"/>
      <c r="C471" s="39"/>
      <c r="D471" s="17"/>
      <c r="E471" s="17"/>
      <c r="F471" s="17"/>
      <c r="G471" s="17"/>
      <c r="H471" s="17"/>
      <c r="I471" s="40"/>
      <c r="J471" s="17"/>
      <c r="K471" s="17"/>
      <c r="L471" s="17"/>
      <c r="M471" s="17"/>
      <c r="N471" s="38"/>
      <c r="O471" s="39"/>
      <c r="P471" s="41" t="str">
        <f aca="false">IF(OR(B471="",N471=""),"",ROUND(((N471+N(O471))-(B471+N(C471)))*24,1))</f>
        <v/>
      </c>
      <c r="Q471" s="17"/>
      <c r="R471" s="17"/>
      <c r="S471" s="38"/>
      <c r="T471" s="17"/>
      <c r="U471" s="42" t="str">
        <f aca="false">IF(OR(E471="",S471="",OR(R471="Contract signed + paid",R471="Closed – No response",R471="Lost"),N(T471)&gt;=Settings!$S$3),"",S471+Settings!$S$2)</f>
        <v/>
      </c>
      <c r="V471" s="38"/>
      <c r="W471" s="39"/>
      <c r="X471" s="17"/>
      <c r="Y471" s="17"/>
      <c r="Z471" s="17"/>
      <c r="AA471" s="43" t="str">
        <f aca="true">IF(OR(E471="",B471=""),"",INT(TODAY()-B471))</f>
        <v/>
      </c>
      <c r="AB471" s="44" t="str">
        <f aca="true">IF(E471="","",IF(OR(COUNTIFS(Clients!$C$2:$C$501,E471,Clients!$S$2:$S$501,"Paid")&gt;0,AND(I471&lt;&gt;"",COUNTIFS(Clients!$E$2:$E$501,I471,Clients!$S$2:$S$501,"Paid")&gt;0)),"⚠ Refunded before – no free video",IF(OR(R471="Contract signed + paid",R471="Closed – No response",R471="Lost"),"",IF(R471="","Set a stage",IF(N(T471)&gt;=Settings!$S$3,"Close – 4 follow-ups sent",IF(U471="",IF(S471="","Make first contact",""),IF(TODAY()&gt;U471,"OVERDUE follow-up",IF(TODAY()=U471,"Follow up today",""))))))))</f>
        <v/>
      </c>
    </row>
    <row r="472" customFormat="false" ht="15" hidden="false" customHeight="false" outlineLevel="0" collapsed="false">
      <c r="A472" s="17"/>
      <c r="B472" s="38"/>
      <c r="C472" s="39"/>
      <c r="D472" s="17"/>
      <c r="E472" s="17"/>
      <c r="F472" s="17"/>
      <c r="G472" s="17"/>
      <c r="H472" s="17"/>
      <c r="I472" s="40"/>
      <c r="J472" s="17"/>
      <c r="K472" s="17"/>
      <c r="L472" s="17"/>
      <c r="M472" s="17"/>
      <c r="N472" s="38"/>
      <c r="O472" s="39"/>
      <c r="P472" s="41" t="str">
        <f aca="false">IF(OR(B472="",N472=""),"",ROUND(((N472+N(O472))-(B472+N(C472)))*24,1))</f>
        <v/>
      </c>
      <c r="Q472" s="17"/>
      <c r="R472" s="17"/>
      <c r="S472" s="38"/>
      <c r="T472" s="17"/>
      <c r="U472" s="42" t="str">
        <f aca="false">IF(OR(E472="",S472="",OR(R472="Contract signed + paid",R472="Closed – No response",R472="Lost"),N(T472)&gt;=Settings!$S$3),"",S472+Settings!$S$2)</f>
        <v/>
      </c>
      <c r="V472" s="38"/>
      <c r="W472" s="39"/>
      <c r="X472" s="17"/>
      <c r="Y472" s="17"/>
      <c r="Z472" s="17"/>
      <c r="AA472" s="43" t="str">
        <f aca="true">IF(OR(E472="",B472=""),"",INT(TODAY()-B472))</f>
        <v/>
      </c>
      <c r="AB472" s="44" t="str">
        <f aca="true">IF(E472="","",IF(OR(COUNTIFS(Clients!$C$2:$C$501,E472,Clients!$S$2:$S$501,"Paid")&gt;0,AND(I472&lt;&gt;"",COUNTIFS(Clients!$E$2:$E$501,I472,Clients!$S$2:$S$501,"Paid")&gt;0)),"⚠ Refunded before – no free video",IF(OR(R472="Contract signed + paid",R472="Closed – No response",R472="Lost"),"",IF(R472="","Set a stage",IF(N(T472)&gt;=Settings!$S$3,"Close – 4 follow-ups sent",IF(U472="",IF(S472="","Make first contact",""),IF(TODAY()&gt;U472,"OVERDUE follow-up",IF(TODAY()=U472,"Follow up today",""))))))))</f>
        <v/>
      </c>
    </row>
    <row r="473" customFormat="false" ht="15" hidden="false" customHeight="false" outlineLevel="0" collapsed="false">
      <c r="A473" s="17"/>
      <c r="B473" s="38"/>
      <c r="C473" s="39"/>
      <c r="D473" s="17"/>
      <c r="E473" s="17"/>
      <c r="F473" s="17"/>
      <c r="G473" s="17"/>
      <c r="H473" s="17"/>
      <c r="I473" s="40"/>
      <c r="J473" s="17"/>
      <c r="K473" s="17"/>
      <c r="L473" s="17"/>
      <c r="M473" s="17"/>
      <c r="N473" s="38"/>
      <c r="O473" s="39"/>
      <c r="P473" s="41" t="str">
        <f aca="false">IF(OR(B473="",N473=""),"",ROUND(((N473+N(O473))-(B473+N(C473)))*24,1))</f>
        <v/>
      </c>
      <c r="Q473" s="17"/>
      <c r="R473" s="17"/>
      <c r="S473" s="38"/>
      <c r="T473" s="17"/>
      <c r="U473" s="42" t="str">
        <f aca="false">IF(OR(E473="",S473="",OR(R473="Contract signed + paid",R473="Closed – No response",R473="Lost"),N(T473)&gt;=Settings!$S$3),"",S473+Settings!$S$2)</f>
        <v/>
      </c>
      <c r="V473" s="38"/>
      <c r="W473" s="39"/>
      <c r="X473" s="17"/>
      <c r="Y473" s="17"/>
      <c r="Z473" s="17"/>
      <c r="AA473" s="43" t="str">
        <f aca="true">IF(OR(E473="",B473=""),"",INT(TODAY()-B473))</f>
        <v/>
      </c>
      <c r="AB473" s="44" t="str">
        <f aca="true">IF(E473="","",IF(OR(COUNTIFS(Clients!$C$2:$C$501,E473,Clients!$S$2:$S$501,"Paid")&gt;0,AND(I473&lt;&gt;"",COUNTIFS(Clients!$E$2:$E$501,I473,Clients!$S$2:$S$501,"Paid")&gt;0)),"⚠ Refunded before – no free video",IF(OR(R473="Contract signed + paid",R473="Closed – No response",R473="Lost"),"",IF(R473="","Set a stage",IF(N(T473)&gt;=Settings!$S$3,"Close – 4 follow-ups sent",IF(U473="",IF(S473="","Make first contact",""),IF(TODAY()&gt;U473,"OVERDUE follow-up",IF(TODAY()=U473,"Follow up today",""))))))))</f>
        <v/>
      </c>
    </row>
    <row r="474" customFormat="false" ht="15" hidden="false" customHeight="false" outlineLevel="0" collapsed="false">
      <c r="A474" s="17"/>
      <c r="B474" s="38"/>
      <c r="C474" s="39"/>
      <c r="D474" s="17"/>
      <c r="E474" s="17"/>
      <c r="F474" s="17"/>
      <c r="G474" s="17"/>
      <c r="H474" s="17"/>
      <c r="I474" s="40"/>
      <c r="J474" s="17"/>
      <c r="K474" s="17"/>
      <c r="L474" s="17"/>
      <c r="M474" s="17"/>
      <c r="N474" s="38"/>
      <c r="O474" s="39"/>
      <c r="P474" s="41" t="str">
        <f aca="false">IF(OR(B474="",N474=""),"",ROUND(((N474+N(O474))-(B474+N(C474)))*24,1))</f>
        <v/>
      </c>
      <c r="Q474" s="17"/>
      <c r="R474" s="17"/>
      <c r="S474" s="38"/>
      <c r="T474" s="17"/>
      <c r="U474" s="42" t="str">
        <f aca="false">IF(OR(E474="",S474="",OR(R474="Contract signed + paid",R474="Closed – No response",R474="Lost"),N(T474)&gt;=Settings!$S$3),"",S474+Settings!$S$2)</f>
        <v/>
      </c>
      <c r="V474" s="38"/>
      <c r="W474" s="39"/>
      <c r="X474" s="17"/>
      <c r="Y474" s="17"/>
      <c r="Z474" s="17"/>
      <c r="AA474" s="43" t="str">
        <f aca="true">IF(OR(E474="",B474=""),"",INT(TODAY()-B474))</f>
        <v/>
      </c>
      <c r="AB474" s="44" t="str">
        <f aca="true">IF(E474="","",IF(OR(COUNTIFS(Clients!$C$2:$C$501,E474,Clients!$S$2:$S$501,"Paid")&gt;0,AND(I474&lt;&gt;"",COUNTIFS(Clients!$E$2:$E$501,I474,Clients!$S$2:$S$501,"Paid")&gt;0)),"⚠ Refunded before – no free video",IF(OR(R474="Contract signed + paid",R474="Closed – No response",R474="Lost"),"",IF(R474="","Set a stage",IF(N(T474)&gt;=Settings!$S$3,"Close – 4 follow-ups sent",IF(U474="",IF(S474="","Make first contact",""),IF(TODAY()&gt;U474,"OVERDUE follow-up",IF(TODAY()=U474,"Follow up today",""))))))))</f>
        <v/>
      </c>
    </row>
    <row r="475" customFormat="false" ht="15" hidden="false" customHeight="false" outlineLevel="0" collapsed="false">
      <c r="A475" s="17"/>
      <c r="B475" s="38"/>
      <c r="C475" s="39"/>
      <c r="D475" s="17"/>
      <c r="E475" s="17"/>
      <c r="F475" s="17"/>
      <c r="G475" s="17"/>
      <c r="H475" s="17"/>
      <c r="I475" s="40"/>
      <c r="J475" s="17"/>
      <c r="K475" s="17"/>
      <c r="L475" s="17"/>
      <c r="M475" s="17"/>
      <c r="N475" s="38"/>
      <c r="O475" s="39"/>
      <c r="P475" s="41" t="str">
        <f aca="false">IF(OR(B475="",N475=""),"",ROUND(((N475+N(O475))-(B475+N(C475)))*24,1))</f>
        <v/>
      </c>
      <c r="Q475" s="17"/>
      <c r="R475" s="17"/>
      <c r="S475" s="38"/>
      <c r="T475" s="17"/>
      <c r="U475" s="42" t="str">
        <f aca="false">IF(OR(E475="",S475="",OR(R475="Contract signed + paid",R475="Closed – No response",R475="Lost"),N(T475)&gt;=Settings!$S$3),"",S475+Settings!$S$2)</f>
        <v/>
      </c>
      <c r="V475" s="38"/>
      <c r="W475" s="39"/>
      <c r="X475" s="17"/>
      <c r="Y475" s="17"/>
      <c r="Z475" s="17"/>
      <c r="AA475" s="43" t="str">
        <f aca="true">IF(OR(E475="",B475=""),"",INT(TODAY()-B475))</f>
        <v/>
      </c>
      <c r="AB475" s="44" t="str">
        <f aca="true">IF(E475="","",IF(OR(COUNTIFS(Clients!$C$2:$C$501,E475,Clients!$S$2:$S$501,"Paid")&gt;0,AND(I475&lt;&gt;"",COUNTIFS(Clients!$E$2:$E$501,I475,Clients!$S$2:$S$501,"Paid")&gt;0)),"⚠ Refunded before – no free video",IF(OR(R475="Contract signed + paid",R475="Closed – No response",R475="Lost"),"",IF(R475="","Set a stage",IF(N(T475)&gt;=Settings!$S$3,"Close – 4 follow-ups sent",IF(U475="",IF(S475="","Make first contact",""),IF(TODAY()&gt;U475,"OVERDUE follow-up",IF(TODAY()=U475,"Follow up today",""))))))))</f>
        <v/>
      </c>
    </row>
    <row r="476" customFormat="false" ht="15" hidden="false" customHeight="false" outlineLevel="0" collapsed="false">
      <c r="A476" s="17"/>
      <c r="B476" s="38"/>
      <c r="C476" s="39"/>
      <c r="D476" s="17"/>
      <c r="E476" s="17"/>
      <c r="F476" s="17"/>
      <c r="G476" s="17"/>
      <c r="H476" s="17"/>
      <c r="I476" s="40"/>
      <c r="J476" s="17"/>
      <c r="K476" s="17"/>
      <c r="L476" s="17"/>
      <c r="M476" s="17"/>
      <c r="N476" s="38"/>
      <c r="O476" s="39"/>
      <c r="P476" s="41" t="str">
        <f aca="false">IF(OR(B476="",N476=""),"",ROUND(((N476+N(O476))-(B476+N(C476)))*24,1))</f>
        <v/>
      </c>
      <c r="Q476" s="17"/>
      <c r="R476" s="17"/>
      <c r="S476" s="38"/>
      <c r="T476" s="17"/>
      <c r="U476" s="42" t="str">
        <f aca="false">IF(OR(E476="",S476="",OR(R476="Contract signed + paid",R476="Closed – No response",R476="Lost"),N(T476)&gt;=Settings!$S$3),"",S476+Settings!$S$2)</f>
        <v/>
      </c>
      <c r="V476" s="38"/>
      <c r="W476" s="39"/>
      <c r="X476" s="17"/>
      <c r="Y476" s="17"/>
      <c r="Z476" s="17"/>
      <c r="AA476" s="43" t="str">
        <f aca="true">IF(OR(E476="",B476=""),"",INT(TODAY()-B476))</f>
        <v/>
      </c>
      <c r="AB476" s="44" t="str">
        <f aca="true">IF(E476="","",IF(OR(COUNTIFS(Clients!$C$2:$C$501,E476,Clients!$S$2:$S$501,"Paid")&gt;0,AND(I476&lt;&gt;"",COUNTIFS(Clients!$E$2:$E$501,I476,Clients!$S$2:$S$501,"Paid")&gt;0)),"⚠ Refunded before – no free video",IF(OR(R476="Contract signed + paid",R476="Closed – No response",R476="Lost"),"",IF(R476="","Set a stage",IF(N(T476)&gt;=Settings!$S$3,"Close – 4 follow-ups sent",IF(U476="",IF(S476="","Make first contact",""),IF(TODAY()&gt;U476,"OVERDUE follow-up",IF(TODAY()=U476,"Follow up today",""))))))))</f>
        <v/>
      </c>
    </row>
    <row r="477" customFormat="false" ht="15" hidden="false" customHeight="false" outlineLevel="0" collapsed="false">
      <c r="A477" s="17"/>
      <c r="B477" s="38"/>
      <c r="C477" s="39"/>
      <c r="D477" s="17"/>
      <c r="E477" s="17"/>
      <c r="F477" s="17"/>
      <c r="G477" s="17"/>
      <c r="H477" s="17"/>
      <c r="I477" s="40"/>
      <c r="J477" s="17"/>
      <c r="K477" s="17"/>
      <c r="L477" s="17"/>
      <c r="M477" s="17"/>
      <c r="N477" s="38"/>
      <c r="O477" s="39"/>
      <c r="P477" s="41" t="str">
        <f aca="false">IF(OR(B477="",N477=""),"",ROUND(((N477+N(O477))-(B477+N(C477)))*24,1))</f>
        <v/>
      </c>
      <c r="Q477" s="17"/>
      <c r="R477" s="17"/>
      <c r="S477" s="38"/>
      <c r="T477" s="17"/>
      <c r="U477" s="42" t="str">
        <f aca="false">IF(OR(E477="",S477="",OR(R477="Contract signed + paid",R477="Closed – No response",R477="Lost"),N(T477)&gt;=Settings!$S$3),"",S477+Settings!$S$2)</f>
        <v/>
      </c>
      <c r="V477" s="38"/>
      <c r="W477" s="39"/>
      <c r="X477" s="17"/>
      <c r="Y477" s="17"/>
      <c r="Z477" s="17"/>
      <c r="AA477" s="43" t="str">
        <f aca="true">IF(OR(E477="",B477=""),"",INT(TODAY()-B477))</f>
        <v/>
      </c>
      <c r="AB477" s="44" t="str">
        <f aca="true">IF(E477="","",IF(OR(COUNTIFS(Clients!$C$2:$C$501,E477,Clients!$S$2:$S$501,"Paid")&gt;0,AND(I477&lt;&gt;"",COUNTIFS(Clients!$E$2:$E$501,I477,Clients!$S$2:$S$501,"Paid")&gt;0)),"⚠ Refunded before – no free video",IF(OR(R477="Contract signed + paid",R477="Closed – No response",R477="Lost"),"",IF(R477="","Set a stage",IF(N(T477)&gt;=Settings!$S$3,"Close – 4 follow-ups sent",IF(U477="",IF(S477="","Make first contact",""),IF(TODAY()&gt;U477,"OVERDUE follow-up",IF(TODAY()=U477,"Follow up today",""))))))))</f>
        <v/>
      </c>
    </row>
    <row r="478" customFormat="false" ht="15" hidden="false" customHeight="false" outlineLevel="0" collapsed="false">
      <c r="A478" s="17"/>
      <c r="B478" s="38"/>
      <c r="C478" s="39"/>
      <c r="D478" s="17"/>
      <c r="E478" s="17"/>
      <c r="F478" s="17"/>
      <c r="G478" s="17"/>
      <c r="H478" s="17"/>
      <c r="I478" s="40"/>
      <c r="J478" s="17"/>
      <c r="K478" s="17"/>
      <c r="L478" s="17"/>
      <c r="M478" s="17"/>
      <c r="N478" s="38"/>
      <c r="O478" s="39"/>
      <c r="P478" s="41" t="str">
        <f aca="false">IF(OR(B478="",N478=""),"",ROUND(((N478+N(O478))-(B478+N(C478)))*24,1))</f>
        <v/>
      </c>
      <c r="Q478" s="17"/>
      <c r="R478" s="17"/>
      <c r="S478" s="38"/>
      <c r="T478" s="17"/>
      <c r="U478" s="42" t="str">
        <f aca="false">IF(OR(E478="",S478="",OR(R478="Contract signed + paid",R478="Closed – No response",R478="Lost"),N(T478)&gt;=Settings!$S$3),"",S478+Settings!$S$2)</f>
        <v/>
      </c>
      <c r="V478" s="38"/>
      <c r="W478" s="39"/>
      <c r="X478" s="17"/>
      <c r="Y478" s="17"/>
      <c r="Z478" s="17"/>
      <c r="AA478" s="43" t="str">
        <f aca="true">IF(OR(E478="",B478=""),"",INT(TODAY()-B478))</f>
        <v/>
      </c>
      <c r="AB478" s="44" t="str">
        <f aca="true">IF(E478="","",IF(OR(COUNTIFS(Clients!$C$2:$C$501,E478,Clients!$S$2:$S$501,"Paid")&gt;0,AND(I478&lt;&gt;"",COUNTIFS(Clients!$E$2:$E$501,I478,Clients!$S$2:$S$501,"Paid")&gt;0)),"⚠ Refunded before – no free video",IF(OR(R478="Contract signed + paid",R478="Closed – No response",R478="Lost"),"",IF(R478="","Set a stage",IF(N(T478)&gt;=Settings!$S$3,"Close – 4 follow-ups sent",IF(U478="",IF(S478="","Make first contact",""),IF(TODAY()&gt;U478,"OVERDUE follow-up",IF(TODAY()=U478,"Follow up today",""))))))))</f>
        <v/>
      </c>
    </row>
    <row r="479" customFormat="false" ht="15" hidden="false" customHeight="false" outlineLevel="0" collapsed="false">
      <c r="A479" s="17"/>
      <c r="B479" s="38"/>
      <c r="C479" s="39"/>
      <c r="D479" s="17"/>
      <c r="E479" s="17"/>
      <c r="F479" s="17"/>
      <c r="G479" s="17"/>
      <c r="H479" s="17"/>
      <c r="I479" s="40"/>
      <c r="J479" s="17"/>
      <c r="K479" s="17"/>
      <c r="L479" s="17"/>
      <c r="M479" s="17"/>
      <c r="N479" s="38"/>
      <c r="O479" s="39"/>
      <c r="P479" s="41" t="str">
        <f aca="false">IF(OR(B479="",N479=""),"",ROUND(((N479+N(O479))-(B479+N(C479)))*24,1))</f>
        <v/>
      </c>
      <c r="Q479" s="17"/>
      <c r="R479" s="17"/>
      <c r="S479" s="38"/>
      <c r="T479" s="17"/>
      <c r="U479" s="42" t="str">
        <f aca="false">IF(OR(E479="",S479="",OR(R479="Contract signed + paid",R479="Closed – No response",R479="Lost"),N(T479)&gt;=Settings!$S$3),"",S479+Settings!$S$2)</f>
        <v/>
      </c>
      <c r="V479" s="38"/>
      <c r="W479" s="39"/>
      <c r="X479" s="17"/>
      <c r="Y479" s="17"/>
      <c r="Z479" s="17"/>
      <c r="AA479" s="43" t="str">
        <f aca="true">IF(OR(E479="",B479=""),"",INT(TODAY()-B479))</f>
        <v/>
      </c>
      <c r="AB479" s="44" t="str">
        <f aca="true">IF(E479="","",IF(OR(COUNTIFS(Clients!$C$2:$C$501,E479,Clients!$S$2:$S$501,"Paid")&gt;0,AND(I479&lt;&gt;"",COUNTIFS(Clients!$E$2:$E$501,I479,Clients!$S$2:$S$501,"Paid")&gt;0)),"⚠ Refunded before – no free video",IF(OR(R479="Contract signed + paid",R479="Closed – No response",R479="Lost"),"",IF(R479="","Set a stage",IF(N(T479)&gt;=Settings!$S$3,"Close – 4 follow-ups sent",IF(U479="",IF(S479="","Make first contact",""),IF(TODAY()&gt;U479,"OVERDUE follow-up",IF(TODAY()=U479,"Follow up today",""))))))))</f>
        <v/>
      </c>
    </row>
    <row r="480" customFormat="false" ht="15" hidden="false" customHeight="false" outlineLevel="0" collapsed="false">
      <c r="A480" s="17"/>
      <c r="B480" s="38"/>
      <c r="C480" s="39"/>
      <c r="D480" s="17"/>
      <c r="E480" s="17"/>
      <c r="F480" s="17"/>
      <c r="G480" s="17"/>
      <c r="H480" s="17"/>
      <c r="I480" s="40"/>
      <c r="J480" s="17"/>
      <c r="K480" s="17"/>
      <c r="L480" s="17"/>
      <c r="M480" s="17"/>
      <c r="N480" s="38"/>
      <c r="O480" s="39"/>
      <c r="P480" s="41" t="str">
        <f aca="false">IF(OR(B480="",N480=""),"",ROUND(((N480+N(O480))-(B480+N(C480)))*24,1))</f>
        <v/>
      </c>
      <c r="Q480" s="17"/>
      <c r="R480" s="17"/>
      <c r="S480" s="38"/>
      <c r="T480" s="17"/>
      <c r="U480" s="42" t="str">
        <f aca="false">IF(OR(E480="",S480="",OR(R480="Contract signed + paid",R480="Closed – No response",R480="Lost"),N(T480)&gt;=Settings!$S$3),"",S480+Settings!$S$2)</f>
        <v/>
      </c>
      <c r="V480" s="38"/>
      <c r="W480" s="39"/>
      <c r="X480" s="17"/>
      <c r="Y480" s="17"/>
      <c r="Z480" s="17"/>
      <c r="AA480" s="43" t="str">
        <f aca="true">IF(OR(E480="",B480=""),"",INT(TODAY()-B480))</f>
        <v/>
      </c>
      <c r="AB480" s="44" t="str">
        <f aca="true">IF(E480="","",IF(OR(COUNTIFS(Clients!$C$2:$C$501,E480,Clients!$S$2:$S$501,"Paid")&gt;0,AND(I480&lt;&gt;"",COUNTIFS(Clients!$E$2:$E$501,I480,Clients!$S$2:$S$501,"Paid")&gt;0)),"⚠ Refunded before – no free video",IF(OR(R480="Contract signed + paid",R480="Closed – No response",R480="Lost"),"",IF(R480="","Set a stage",IF(N(T480)&gt;=Settings!$S$3,"Close – 4 follow-ups sent",IF(U480="",IF(S480="","Make first contact",""),IF(TODAY()&gt;U480,"OVERDUE follow-up",IF(TODAY()=U480,"Follow up today",""))))))))</f>
        <v/>
      </c>
    </row>
    <row r="481" customFormat="false" ht="15" hidden="false" customHeight="false" outlineLevel="0" collapsed="false">
      <c r="A481" s="17"/>
      <c r="B481" s="38"/>
      <c r="C481" s="39"/>
      <c r="D481" s="17"/>
      <c r="E481" s="17"/>
      <c r="F481" s="17"/>
      <c r="G481" s="17"/>
      <c r="H481" s="17"/>
      <c r="I481" s="40"/>
      <c r="J481" s="17"/>
      <c r="K481" s="17"/>
      <c r="L481" s="17"/>
      <c r="M481" s="17"/>
      <c r="N481" s="38"/>
      <c r="O481" s="39"/>
      <c r="P481" s="41" t="str">
        <f aca="false">IF(OR(B481="",N481=""),"",ROUND(((N481+N(O481))-(B481+N(C481)))*24,1))</f>
        <v/>
      </c>
      <c r="Q481" s="17"/>
      <c r="R481" s="17"/>
      <c r="S481" s="38"/>
      <c r="T481" s="17"/>
      <c r="U481" s="42" t="str">
        <f aca="false">IF(OR(E481="",S481="",OR(R481="Contract signed + paid",R481="Closed – No response",R481="Lost"),N(T481)&gt;=Settings!$S$3),"",S481+Settings!$S$2)</f>
        <v/>
      </c>
      <c r="V481" s="38"/>
      <c r="W481" s="39"/>
      <c r="X481" s="17"/>
      <c r="Y481" s="17"/>
      <c r="Z481" s="17"/>
      <c r="AA481" s="43" t="str">
        <f aca="true">IF(OR(E481="",B481=""),"",INT(TODAY()-B481))</f>
        <v/>
      </c>
      <c r="AB481" s="44" t="str">
        <f aca="true">IF(E481="","",IF(OR(COUNTIFS(Clients!$C$2:$C$501,E481,Clients!$S$2:$S$501,"Paid")&gt;0,AND(I481&lt;&gt;"",COUNTIFS(Clients!$E$2:$E$501,I481,Clients!$S$2:$S$501,"Paid")&gt;0)),"⚠ Refunded before – no free video",IF(OR(R481="Contract signed + paid",R481="Closed – No response",R481="Lost"),"",IF(R481="","Set a stage",IF(N(T481)&gt;=Settings!$S$3,"Close – 4 follow-ups sent",IF(U481="",IF(S481="","Make first contact",""),IF(TODAY()&gt;U481,"OVERDUE follow-up",IF(TODAY()=U481,"Follow up today",""))))))))</f>
        <v/>
      </c>
    </row>
    <row r="482" customFormat="false" ht="15" hidden="false" customHeight="false" outlineLevel="0" collapsed="false">
      <c r="A482" s="17"/>
      <c r="B482" s="38"/>
      <c r="C482" s="39"/>
      <c r="D482" s="17"/>
      <c r="E482" s="17"/>
      <c r="F482" s="17"/>
      <c r="G482" s="17"/>
      <c r="H482" s="17"/>
      <c r="I482" s="40"/>
      <c r="J482" s="17"/>
      <c r="K482" s="17"/>
      <c r="L482" s="17"/>
      <c r="M482" s="17"/>
      <c r="N482" s="38"/>
      <c r="O482" s="39"/>
      <c r="P482" s="41" t="str">
        <f aca="false">IF(OR(B482="",N482=""),"",ROUND(((N482+N(O482))-(B482+N(C482)))*24,1))</f>
        <v/>
      </c>
      <c r="Q482" s="17"/>
      <c r="R482" s="17"/>
      <c r="S482" s="38"/>
      <c r="T482" s="17"/>
      <c r="U482" s="42" t="str">
        <f aca="false">IF(OR(E482="",S482="",OR(R482="Contract signed + paid",R482="Closed – No response",R482="Lost"),N(T482)&gt;=Settings!$S$3),"",S482+Settings!$S$2)</f>
        <v/>
      </c>
      <c r="V482" s="38"/>
      <c r="W482" s="39"/>
      <c r="X482" s="17"/>
      <c r="Y482" s="17"/>
      <c r="Z482" s="17"/>
      <c r="AA482" s="43" t="str">
        <f aca="true">IF(OR(E482="",B482=""),"",INT(TODAY()-B482))</f>
        <v/>
      </c>
      <c r="AB482" s="44" t="str">
        <f aca="true">IF(E482="","",IF(OR(COUNTIFS(Clients!$C$2:$C$501,E482,Clients!$S$2:$S$501,"Paid")&gt;0,AND(I482&lt;&gt;"",COUNTIFS(Clients!$E$2:$E$501,I482,Clients!$S$2:$S$501,"Paid")&gt;0)),"⚠ Refunded before – no free video",IF(OR(R482="Contract signed + paid",R482="Closed – No response",R482="Lost"),"",IF(R482="","Set a stage",IF(N(T482)&gt;=Settings!$S$3,"Close – 4 follow-ups sent",IF(U482="",IF(S482="","Make first contact",""),IF(TODAY()&gt;U482,"OVERDUE follow-up",IF(TODAY()=U482,"Follow up today",""))))))))</f>
        <v/>
      </c>
    </row>
    <row r="483" customFormat="false" ht="15" hidden="false" customHeight="false" outlineLevel="0" collapsed="false">
      <c r="A483" s="17"/>
      <c r="B483" s="38"/>
      <c r="C483" s="39"/>
      <c r="D483" s="17"/>
      <c r="E483" s="17"/>
      <c r="F483" s="17"/>
      <c r="G483" s="17"/>
      <c r="H483" s="17"/>
      <c r="I483" s="40"/>
      <c r="J483" s="17"/>
      <c r="K483" s="17"/>
      <c r="L483" s="17"/>
      <c r="M483" s="17"/>
      <c r="N483" s="38"/>
      <c r="O483" s="39"/>
      <c r="P483" s="41" t="str">
        <f aca="false">IF(OR(B483="",N483=""),"",ROUND(((N483+N(O483))-(B483+N(C483)))*24,1))</f>
        <v/>
      </c>
      <c r="Q483" s="17"/>
      <c r="R483" s="17"/>
      <c r="S483" s="38"/>
      <c r="T483" s="17"/>
      <c r="U483" s="42" t="str">
        <f aca="false">IF(OR(E483="",S483="",OR(R483="Contract signed + paid",R483="Closed – No response",R483="Lost"),N(T483)&gt;=Settings!$S$3),"",S483+Settings!$S$2)</f>
        <v/>
      </c>
      <c r="V483" s="38"/>
      <c r="W483" s="39"/>
      <c r="X483" s="17"/>
      <c r="Y483" s="17"/>
      <c r="Z483" s="17"/>
      <c r="AA483" s="43" t="str">
        <f aca="true">IF(OR(E483="",B483=""),"",INT(TODAY()-B483))</f>
        <v/>
      </c>
      <c r="AB483" s="44" t="str">
        <f aca="true">IF(E483="","",IF(OR(COUNTIFS(Clients!$C$2:$C$501,E483,Clients!$S$2:$S$501,"Paid")&gt;0,AND(I483&lt;&gt;"",COUNTIFS(Clients!$E$2:$E$501,I483,Clients!$S$2:$S$501,"Paid")&gt;0)),"⚠ Refunded before – no free video",IF(OR(R483="Contract signed + paid",R483="Closed – No response",R483="Lost"),"",IF(R483="","Set a stage",IF(N(T483)&gt;=Settings!$S$3,"Close – 4 follow-ups sent",IF(U483="",IF(S483="","Make first contact",""),IF(TODAY()&gt;U483,"OVERDUE follow-up",IF(TODAY()=U483,"Follow up today",""))))))))</f>
        <v/>
      </c>
    </row>
    <row r="484" customFormat="false" ht="15" hidden="false" customHeight="false" outlineLevel="0" collapsed="false">
      <c r="A484" s="17"/>
      <c r="B484" s="38"/>
      <c r="C484" s="39"/>
      <c r="D484" s="17"/>
      <c r="E484" s="17"/>
      <c r="F484" s="17"/>
      <c r="G484" s="17"/>
      <c r="H484" s="17"/>
      <c r="I484" s="40"/>
      <c r="J484" s="17"/>
      <c r="K484" s="17"/>
      <c r="L484" s="17"/>
      <c r="M484" s="17"/>
      <c r="N484" s="38"/>
      <c r="O484" s="39"/>
      <c r="P484" s="41" t="str">
        <f aca="false">IF(OR(B484="",N484=""),"",ROUND(((N484+N(O484))-(B484+N(C484)))*24,1))</f>
        <v/>
      </c>
      <c r="Q484" s="17"/>
      <c r="R484" s="17"/>
      <c r="S484" s="38"/>
      <c r="T484" s="17"/>
      <c r="U484" s="42" t="str">
        <f aca="false">IF(OR(E484="",S484="",OR(R484="Contract signed + paid",R484="Closed – No response",R484="Lost"),N(T484)&gt;=Settings!$S$3),"",S484+Settings!$S$2)</f>
        <v/>
      </c>
      <c r="V484" s="38"/>
      <c r="W484" s="39"/>
      <c r="X484" s="17"/>
      <c r="Y484" s="17"/>
      <c r="Z484" s="17"/>
      <c r="AA484" s="43" t="str">
        <f aca="true">IF(OR(E484="",B484=""),"",INT(TODAY()-B484))</f>
        <v/>
      </c>
      <c r="AB484" s="44" t="str">
        <f aca="true">IF(E484="","",IF(OR(COUNTIFS(Clients!$C$2:$C$501,E484,Clients!$S$2:$S$501,"Paid")&gt;0,AND(I484&lt;&gt;"",COUNTIFS(Clients!$E$2:$E$501,I484,Clients!$S$2:$S$501,"Paid")&gt;0)),"⚠ Refunded before – no free video",IF(OR(R484="Contract signed + paid",R484="Closed – No response",R484="Lost"),"",IF(R484="","Set a stage",IF(N(T484)&gt;=Settings!$S$3,"Close – 4 follow-ups sent",IF(U484="",IF(S484="","Make first contact",""),IF(TODAY()&gt;U484,"OVERDUE follow-up",IF(TODAY()=U484,"Follow up today",""))))))))</f>
        <v/>
      </c>
    </row>
    <row r="485" customFormat="false" ht="15" hidden="false" customHeight="false" outlineLevel="0" collapsed="false">
      <c r="A485" s="17"/>
      <c r="B485" s="38"/>
      <c r="C485" s="39"/>
      <c r="D485" s="17"/>
      <c r="E485" s="17"/>
      <c r="F485" s="17"/>
      <c r="G485" s="17"/>
      <c r="H485" s="17"/>
      <c r="I485" s="40"/>
      <c r="J485" s="17"/>
      <c r="K485" s="17"/>
      <c r="L485" s="17"/>
      <c r="M485" s="17"/>
      <c r="N485" s="38"/>
      <c r="O485" s="39"/>
      <c r="P485" s="41" t="str">
        <f aca="false">IF(OR(B485="",N485=""),"",ROUND(((N485+N(O485))-(B485+N(C485)))*24,1))</f>
        <v/>
      </c>
      <c r="Q485" s="17"/>
      <c r="R485" s="17"/>
      <c r="S485" s="38"/>
      <c r="T485" s="17"/>
      <c r="U485" s="42" t="str">
        <f aca="false">IF(OR(E485="",S485="",OR(R485="Contract signed + paid",R485="Closed – No response",R485="Lost"),N(T485)&gt;=Settings!$S$3),"",S485+Settings!$S$2)</f>
        <v/>
      </c>
      <c r="V485" s="38"/>
      <c r="W485" s="39"/>
      <c r="X485" s="17"/>
      <c r="Y485" s="17"/>
      <c r="Z485" s="17"/>
      <c r="AA485" s="43" t="str">
        <f aca="true">IF(OR(E485="",B485=""),"",INT(TODAY()-B485))</f>
        <v/>
      </c>
      <c r="AB485" s="44" t="str">
        <f aca="true">IF(E485="","",IF(OR(COUNTIFS(Clients!$C$2:$C$501,E485,Clients!$S$2:$S$501,"Paid")&gt;0,AND(I485&lt;&gt;"",COUNTIFS(Clients!$E$2:$E$501,I485,Clients!$S$2:$S$501,"Paid")&gt;0)),"⚠ Refunded before – no free video",IF(OR(R485="Contract signed + paid",R485="Closed – No response",R485="Lost"),"",IF(R485="","Set a stage",IF(N(T485)&gt;=Settings!$S$3,"Close – 4 follow-ups sent",IF(U485="",IF(S485="","Make first contact",""),IF(TODAY()&gt;U485,"OVERDUE follow-up",IF(TODAY()=U485,"Follow up today",""))))))))</f>
        <v/>
      </c>
    </row>
    <row r="486" customFormat="false" ht="15" hidden="false" customHeight="false" outlineLevel="0" collapsed="false">
      <c r="A486" s="17"/>
      <c r="B486" s="38"/>
      <c r="C486" s="39"/>
      <c r="D486" s="17"/>
      <c r="E486" s="17"/>
      <c r="F486" s="17"/>
      <c r="G486" s="17"/>
      <c r="H486" s="17"/>
      <c r="I486" s="40"/>
      <c r="J486" s="17"/>
      <c r="K486" s="17"/>
      <c r="L486" s="17"/>
      <c r="M486" s="17"/>
      <c r="N486" s="38"/>
      <c r="O486" s="39"/>
      <c r="P486" s="41" t="str">
        <f aca="false">IF(OR(B486="",N486=""),"",ROUND(((N486+N(O486))-(B486+N(C486)))*24,1))</f>
        <v/>
      </c>
      <c r="Q486" s="17"/>
      <c r="R486" s="17"/>
      <c r="S486" s="38"/>
      <c r="T486" s="17"/>
      <c r="U486" s="42" t="str">
        <f aca="false">IF(OR(E486="",S486="",OR(R486="Contract signed + paid",R486="Closed – No response",R486="Lost"),N(T486)&gt;=Settings!$S$3),"",S486+Settings!$S$2)</f>
        <v/>
      </c>
      <c r="V486" s="38"/>
      <c r="W486" s="39"/>
      <c r="X486" s="17"/>
      <c r="Y486" s="17"/>
      <c r="Z486" s="17"/>
      <c r="AA486" s="43" t="str">
        <f aca="true">IF(OR(E486="",B486=""),"",INT(TODAY()-B486))</f>
        <v/>
      </c>
      <c r="AB486" s="44" t="str">
        <f aca="true">IF(E486="","",IF(OR(COUNTIFS(Clients!$C$2:$C$501,E486,Clients!$S$2:$S$501,"Paid")&gt;0,AND(I486&lt;&gt;"",COUNTIFS(Clients!$E$2:$E$501,I486,Clients!$S$2:$S$501,"Paid")&gt;0)),"⚠ Refunded before – no free video",IF(OR(R486="Contract signed + paid",R486="Closed – No response",R486="Lost"),"",IF(R486="","Set a stage",IF(N(T486)&gt;=Settings!$S$3,"Close – 4 follow-ups sent",IF(U486="",IF(S486="","Make first contact",""),IF(TODAY()&gt;U486,"OVERDUE follow-up",IF(TODAY()=U486,"Follow up today",""))))))))</f>
        <v/>
      </c>
    </row>
    <row r="487" customFormat="false" ht="15" hidden="false" customHeight="false" outlineLevel="0" collapsed="false">
      <c r="A487" s="17"/>
      <c r="B487" s="38"/>
      <c r="C487" s="39"/>
      <c r="D487" s="17"/>
      <c r="E487" s="17"/>
      <c r="F487" s="17"/>
      <c r="G487" s="17"/>
      <c r="H487" s="17"/>
      <c r="I487" s="40"/>
      <c r="J487" s="17"/>
      <c r="K487" s="17"/>
      <c r="L487" s="17"/>
      <c r="M487" s="17"/>
      <c r="N487" s="38"/>
      <c r="O487" s="39"/>
      <c r="P487" s="41" t="str">
        <f aca="false">IF(OR(B487="",N487=""),"",ROUND(((N487+N(O487))-(B487+N(C487)))*24,1))</f>
        <v/>
      </c>
      <c r="Q487" s="17"/>
      <c r="R487" s="17"/>
      <c r="S487" s="38"/>
      <c r="T487" s="17"/>
      <c r="U487" s="42" t="str">
        <f aca="false">IF(OR(E487="",S487="",OR(R487="Contract signed + paid",R487="Closed – No response",R487="Lost"),N(T487)&gt;=Settings!$S$3),"",S487+Settings!$S$2)</f>
        <v/>
      </c>
      <c r="V487" s="38"/>
      <c r="W487" s="39"/>
      <c r="X487" s="17"/>
      <c r="Y487" s="17"/>
      <c r="Z487" s="17"/>
      <c r="AA487" s="43" t="str">
        <f aca="true">IF(OR(E487="",B487=""),"",INT(TODAY()-B487))</f>
        <v/>
      </c>
      <c r="AB487" s="44" t="str">
        <f aca="true">IF(E487="","",IF(OR(COUNTIFS(Clients!$C$2:$C$501,E487,Clients!$S$2:$S$501,"Paid")&gt;0,AND(I487&lt;&gt;"",COUNTIFS(Clients!$E$2:$E$501,I487,Clients!$S$2:$S$501,"Paid")&gt;0)),"⚠ Refunded before – no free video",IF(OR(R487="Contract signed + paid",R487="Closed – No response",R487="Lost"),"",IF(R487="","Set a stage",IF(N(T487)&gt;=Settings!$S$3,"Close – 4 follow-ups sent",IF(U487="",IF(S487="","Make first contact",""),IF(TODAY()&gt;U487,"OVERDUE follow-up",IF(TODAY()=U487,"Follow up today",""))))))))</f>
        <v/>
      </c>
    </row>
    <row r="488" customFormat="false" ht="15" hidden="false" customHeight="false" outlineLevel="0" collapsed="false">
      <c r="A488" s="17"/>
      <c r="B488" s="38"/>
      <c r="C488" s="39"/>
      <c r="D488" s="17"/>
      <c r="E488" s="17"/>
      <c r="F488" s="17"/>
      <c r="G488" s="17"/>
      <c r="H488" s="17"/>
      <c r="I488" s="40"/>
      <c r="J488" s="17"/>
      <c r="K488" s="17"/>
      <c r="L488" s="17"/>
      <c r="M488" s="17"/>
      <c r="N488" s="38"/>
      <c r="O488" s="39"/>
      <c r="P488" s="41" t="str">
        <f aca="false">IF(OR(B488="",N488=""),"",ROUND(((N488+N(O488))-(B488+N(C488)))*24,1))</f>
        <v/>
      </c>
      <c r="Q488" s="17"/>
      <c r="R488" s="17"/>
      <c r="S488" s="38"/>
      <c r="T488" s="17"/>
      <c r="U488" s="42" t="str">
        <f aca="false">IF(OR(E488="",S488="",OR(R488="Contract signed + paid",R488="Closed – No response",R488="Lost"),N(T488)&gt;=Settings!$S$3),"",S488+Settings!$S$2)</f>
        <v/>
      </c>
      <c r="V488" s="38"/>
      <c r="W488" s="39"/>
      <c r="X488" s="17"/>
      <c r="Y488" s="17"/>
      <c r="Z488" s="17"/>
      <c r="AA488" s="43" t="str">
        <f aca="true">IF(OR(E488="",B488=""),"",INT(TODAY()-B488))</f>
        <v/>
      </c>
      <c r="AB488" s="44" t="str">
        <f aca="true">IF(E488="","",IF(OR(COUNTIFS(Clients!$C$2:$C$501,E488,Clients!$S$2:$S$501,"Paid")&gt;0,AND(I488&lt;&gt;"",COUNTIFS(Clients!$E$2:$E$501,I488,Clients!$S$2:$S$501,"Paid")&gt;0)),"⚠ Refunded before – no free video",IF(OR(R488="Contract signed + paid",R488="Closed – No response",R488="Lost"),"",IF(R488="","Set a stage",IF(N(T488)&gt;=Settings!$S$3,"Close – 4 follow-ups sent",IF(U488="",IF(S488="","Make first contact",""),IF(TODAY()&gt;U488,"OVERDUE follow-up",IF(TODAY()=U488,"Follow up today",""))))))))</f>
        <v/>
      </c>
    </row>
    <row r="489" customFormat="false" ht="15" hidden="false" customHeight="false" outlineLevel="0" collapsed="false">
      <c r="A489" s="17"/>
      <c r="B489" s="38"/>
      <c r="C489" s="39"/>
      <c r="D489" s="17"/>
      <c r="E489" s="17"/>
      <c r="F489" s="17"/>
      <c r="G489" s="17"/>
      <c r="H489" s="17"/>
      <c r="I489" s="40"/>
      <c r="J489" s="17"/>
      <c r="K489" s="17"/>
      <c r="L489" s="17"/>
      <c r="M489" s="17"/>
      <c r="N489" s="38"/>
      <c r="O489" s="39"/>
      <c r="P489" s="41" t="str">
        <f aca="false">IF(OR(B489="",N489=""),"",ROUND(((N489+N(O489))-(B489+N(C489)))*24,1))</f>
        <v/>
      </c>
      <c r="Q489" s="17"/>
      <c r="R489" s="17"/>
      <c r="S489" s="38"/>
      <c r="T489" s="17"/>
      <c r="U489" s="42" t="str">
        <f aca="false">IF(OR(E489="",S489="",OR(R489="Contract signed + paid",R489="Closed – No response",R489="Lost"),N(T489)&gt;=Settings!$S$3),"",S489+Settings!$S$2)</f>
        <v/>
      </c>
      <c r="V489" s="38"/>
      <c r="W489" s="39"/>
      <c r="X489" s="17"/>
      <c r="Y489" s="17"/>
      <c r="Z489" s="17"/>
      <c r="AA489" s="43" t="str">
        <f aca="true">IF(OR(E489="",B489=""),"",INT(TODAY()-B489))</f>
        <v/>
      </c>
      <c r="AB489" s="44" t="str">
        <f aca="true">IF(E489="","",IF(OR(COUNTIFS(Clients!$C$2:$C$501,E489,Clients!$S$2:$S$501,"Paid")&gt;0,AND(I489&lt;&gt;"",COUNTIFS(Clients!$E$2:$E$501,I489,Clients!$S$2:$S$501,"Paid")&gt;0)),"⚠ Refunded before – no free video",IF(OR(R489="Contract signed + paid",R489="Closed – No response",R489="Lost"),"",IF(R489="","Set a stage",IF(N(T489)&gt;=Settings!$S$3,"Close – 4 follow-ups sent",IF(U489="",IF(S489="","Make first contact",""),IF(TODAY()&gt;U489,"OVERDUE follow-up",IF(TODAY()=U489,"Follow up today",""))))))))</f>
        <v/>
      </c>
    </row>
    <row r="490" customFormat="false" ht="15" hidden="false" customHeight="false" outlineLevel="0" collapsed="false">
      <c r="A490" s="17"/>
      <c r="B490" s="38"/>
      <c r="C490" s="39"/>
      <c r="D490" s="17"/>
      <c r="E490" s="17"/>
      <c r="F490" s="17"/>
      <c r="G490" s="17"/>
      <c r="H490" s="17"/>
      <c r="I490" s="40"/>
      <c r="J490" s="17"/>
      <c r="K490" s="17"/>
      <c r="L490" s="17"/>
      <c r="M490" s="17"/>
      <c r="N490" s="38"/>
      <c r="O490" s="39"/>
      <c r="P490" s="41" t="str">
        <f aca="false">IF(OR(B490="",N490=""),"",ROUND(((N490+N(O490))-(B490+N(C490)))*24,1))</f>
        <v/>
      </c>
      <c r="Q490" s="17"/>
      <c r="R490" s="17"/>
      <c r="S490" s="38"/>
      <c r="T490" s="17"/>
      <c r="U490" s="42" t="str">
        <f aca="false">IF(OR(E490="",S490="",OR(R490="Contract signed + paid",R490="Closed – No response",R490="Lost"),N(T490)&gt;=Settings!$S$3),"",S490+Settings!$S$2)</f>
        <v/>
      </c>
      <c r="V490" s="38"/>
      <c r="W490" s="39"/>
      <c r="X490" s="17"/>
      <c r="Y490" s="17"/>
      <c r="Z490" s="17"/>
      <c r="AA490" s="43" t="str">
        <f aca="true">IF(OR(E490="",B490=""),"",INT(TODAY()-B490))</f>
        <v/>
      </c>
      <c r="AB490" s="44" t="str">
        <f aca="true">IF(E490="","",IF(OR(COUNTIFS(Clients!$C$2:$C$501,E490,Clients!$S$2:$S$501,"Paid")&gt;0,AND(I490&lt;&gt;"",COUNTIFS(Clients!$E$2:$E$501,I490,Clients!$S$2:$S$501,"Paid")&gt;0)),"⚠ Refunded before – no free video",IF(OR(R490="Contract signed + paid",R490="Closed – No response",R490="Lost"),"",IF(R490="","Set a stage",IF(N(T490)&gt;=Settings!$S$3,"Close – 4 follow-ups sent",IF(U490="",IF(S490="","Make first contact",""),IF(TODAY()&gt;U490,"OVERDUE follow-up",IF(TODAY()=U490,"Follow up today",""))))))))</f>
        <v/>
      </c>
    </row>
    <row r="491" customFormat="false" ht="15" hidden="false" customHeight="false" outlineLevel="0" collapsed="false">
      <c r="A491" s="17"/>
      <c r="B491" s="38"/>
      <c r="C491" s="39"/>
      <c r="D491" s="17"/>
      <c r="E491" s="17"/>
      <c r="F491" s="17"/>
      <c r="G491" s="17"/>
      <c r="H491" s="17"/>
      <c r="I491" s="40"/>
      <c r="J491" s="17"/>
      <c r="K491" s="17"/>
      <c r="L491" s="17"/>
      <c r="M491" s="17"/>
      <c r="N491" s="38"/>
      <c r="O491" s="39"/>
      <c r="P491" s="41" t="str">
        <f aca="false">IF(OR(B491="",N491=""),"",ROUND(((N491+N(O491))-(B491+N(C491)))*24,1))</f>
        <v/>
      </c>
      <c r="Q491" s="17"/>
      <c r="R491" s="17"/>
      <c r="S491" s="38"/>
      <c r="T491" s="17"/>
      <c r="U491" s="42" t="str">
        <f aca="false">IF(OR(E491="",S491="",OR(R491="Contract signed + paid",R491="Closed – No response",R491="Lost"),N(T491)&gt;=Settings!$S$3),"",S491+Settings!$S$2)</f>
        <v/>
      </c>
      <c r="V491" s="38"/>
      <c r="W491" s="39"/>
      <c r="X491" s="17"/>
      <c r="Y491" s="17"/>
      <c r="Z491" s="17"/>
      <c r="AA491" s="43" t="str">
        <f aca="true">IF(OR(E491="",B491=""),"",INT(TODAY()-B491))</f>
        <v/>
      </c>
      <c r="AB491" s="44" t="str">
        <f aca="true">IF(E491="","",IF(OR(COUNTIFS(Clients!$C$2:$C$501,E491,Clients!$S$2:$S$501,"Paid")&gt;0,AND(I491&lt;&gt;"",COUNTIFS(Clients!$E$2:$E$501,I491,Clients!$S$2:$S$501,"Paid")&gt;0)),"⚠ Refunded before – no free video",IF(OR(R491="Contract signed + paid",R491="Closed – No response",R491="Lost"),"",IF(R491="","Set a stage",IF(N(T491)&gt;=Settings!$S$3,"Close – 4 follow-ups sent",IF(U491="",IF(S491="","Make first contact",""),IF(TODAY()&gt;U491,"OVERDUE follow-up",IF(TODAY()=U491,"Follow up today",""))))))))</f>
        <v/>
      </c>
    </row>
    <row r="492" customFormat="false" ht="15" hidden="false" customHeight="false" outlineLevel="0" collapsed="false">
      <c r="A492" s="17"/>
      <c r="B492" s="38"/>
      <c r="C492" s="39"/>
      <c r="D492" s="17"/>
      <c r="E492" s="17"/>
      <c r="F492" s="17"/>
      <c r="G492" s="17"/>
      <c r="H492" s="17"/>
      <c r="I492" s="40"/>
      <c r="J492" s="17"/>
      <c r="K492" s="17"/>
      <c r="L492" s="17"/>
      <c r="M492" s="17"/>
      <c r="N492" s="38"/>
      <c r="O492" s="39"/>
      <c r="P492" s="41" t="str">
        <f aca="false">IF(OR(B492="",N492=""),"",ROUND(((N492+N(O492))-(B492+N(C492)))*24,1))</f>
        <v/>
      </c>
      <c r="Q492" s="17"/>
      <c r="R492" s="17"/>
      <c r="S492" s="38"/>
      <c r="T492" s="17"/>
      <c r="U492" s="42" t="str">
        <f aca="false">IF(OR(E492="",S492="",OR(R492="Contract signed + paid",R492="Closed – No response",R492="Lost"),N(T492)&gt;=Settings!$S$3),"",S492+Settings!$S$2)</f>
        <v/>
      </c>
      <c r="V492" s="38"/>
      <c r="W492" s="39"/>
      <c r="X492" s="17"/>
      <c r="Y492" s="17"/>
      <c r="Z492" s="17"/>
      <c r="AA492" s="43" t="str">
        <f aca="true">IF(OR(E492="",B492=""),"",INT(TODAY()-B492))</f>
        <v/>
      </c>
      <c r="AB492" s="44" t="str">
        <f aca="true">IF(E492="","",IF(OR(COUNTIFS(Clients!$C$2:$C$501,E492,Clients!$S$2:$S$501,"Paid")&gt;0,AND(I492&lt;&gt;"",COUNTIFS(Clients!$E$2:$E$501,I492,Clients!$S$2:$S$501,"Paid")&gt;0)),"⚠ Refunded before – no free video",IF(OR(R492="Contract signed + paid",R492="Closed – No response",R492="Lost"),"",IF(R492="","Set a stage",IF(N(T492)&gt;=Settings!$S$3,"Close – 4 follow-ups sent",IF(U492="",IF(S492="","Make first contact",""),IF(TODAY()&gt;U492,"OVERDUE follow-up",IF(TODAY()=U492,"Follow up today",""))))))))</f>
        <v/>
      </c>
    </row>
    <row r="493" customFormat="false" ht="15" hidden="false" customHeight="false" outlineLevel="0" collapsed="false">
      <c r="A493" s="17"/>
      <c r="B493" s="38"/>
      <c r="C493" s="39"/>
      <c r="D493" s="17"/>
      <c r="E493" s="17"/>
      <c r="F493" s="17"/>
      <c r="G493" s="17"/>
      <c r="H493" s="17"/>
      <c r="I493" s="40"/>
      <c r="J493" s="17"/>
      <c r="K493" s="17"/>
      <c r="L493" s="17"/>
      <c r="M493" s="17"/>
      <c r="N493" s="38"/>
      <c r="O493" s="39"/>
      <c r="P493" s="41" t="str">
        <f aca="false">IF(OR(B493="",N493=""),"",ROUND(((N493+N(O493))-(B493+N(C493)))*24,1))</f>
        <v/>
      </c>
      <c r="Q493" s="17"/>
      <c r="R493" s="17"/>
      <c r="S493" s="38"/>
      <c r="T493" s="17"/>
      <c r="U493" s="42" t="str">
        <f aca="false">IF(OR(E493="",S493="",OR(R493="Contract signed + paid",R493="Closed – No response",R493="Lost"),N(T493)&gt;=Settings!$S$3),"",S493+Settings!$S$2)</f>
        <v/>
      </c>
      <c r="V493" s="38"/>
      <c r="W493" s="39"/>
      <c r="X493" s="17"/>
      <c r="Y493" s="17"/>
      <c r="Z493" s="17"/>
      <c r="AA493" s="43" t="str">
        <f aca="true">IF(OR(E493="",B493=""),"",INT(TODAY()-B493))</f>
        <v/>
      </c>
      <c r="AB493" s="44" t="str">
        <f aca="true">IF(E493="","",IF(OR(COUNTIFS(Clients!$C$2:$C$501,E493,Clients!$S$2:$S$501,"Paid")&gt;0,AND(I493&lt;&gt;"",COUNTIFS(Clients!$E$2:$E$501,I493,Clients!$S$2:$S$501,"Paid")&gt;0)),"⚠ Refunded before – no free video",IF(OR(R493="Contract signed + paid",R493="Closed – No response",R493="Lost"),"",IF(R493="","Set a stage",IF(N(T493)&gt;=Settings!$S$3,"Close – 4 follow-ups sent",IF(U493="",IF(S493="","Make first contact",""),IF(TODAY()&gt;U493,"OVERDUE follow-up",IF(TODAY()=U493,"Follow up today",""))))))))</f>
        <v/>
      </c>
    </row>
    <row r="494" customFormat="false" ht="15" hidden="false" customHeight="false" outlineLevel="0" collapsed="false">
      <c r="A494" s="17"/>
      <c r="B494" s="38"/>
      <c r="C494" s="39"/>
      <c r="D494" s="17"/>
      <c r="E494" s="17"/>
      <c r="F494" s="17"/>
      <c r="G494" s="17"/>
      <c r="H494" s="17"/>
      <c r="I494" s="40"/>
      <c r="J494" s="17"/>
      <c r="K494" s="17"/>
      <c r="L494" s="17"/>
      <c r="M494" s="17"/>
      <c r="N494" s="38"/>
      <c r="O494" s="39"/>
      <c r="P494" s="41" t="str">
        <f aca="false">IF(OR(B494="",N494=""),"",ROUND(((N494+N(O494))-(B494+N(C494)))*24,1))</f>
        <v/>
      </c>
      <c r="Q494" s="17"/>
      <c r="R494" s="17"/>
      <c r="S494" s="38"/>
      <c r="T494" s="17"/>
      <c r="U494" s="42" t="str">
        <f aca="false">IF(OR(E494="",S494="",OR(R494="Contract signed + paid",R494="Closed – No response",R494="Lost"),N(T494)&gt;=Settings!$S$3),"",S494+Settings!$S$2)</f>
        <v/>
      </c>
      <c r="V494" s="38"/>
      <c r="W494" s="39"/>
      <c r="X494" s="17"/>
      <c r="Y494" s="17"/>
      <c r="Z494" s="17"/>
      <c r="AA494" s="43" t="str">
        <f aca="true">IF(OR(E494="",B494=""),"",INT(TODAY()-B494))</f>
        <v/>
      </c>
      <c r="AB494" s="44" t="str">
        <f aca="true">IF(E494="","",IF(OR(COUNTIFS(Clients!$C$2:$C$501,E494,Clients!$S$2:$S$501,"Paid")&gt;0,AND(I494&lt;&gt;"",COUNTIFS(Clients!$E$2:$E$501,I494,Clients!$S$2:$S$501,"Paid")&gt;0)),"⚠ Refunded before – no free video",IF(OR(R494="Contract signed + paid",R494="Closed – No response",R494="Lost"),"",IF(R494="","Set a stage",IF(N(T494)&gt;=Settings!$S$3,"Close – 4 follow-ups sent",IF(U494="",IF(S494="","Make first contact",""),IF(TODAY()&gt;U494,"OVERDUE follow-up",IF(TODAY()=U494,"Follow up today",""))))))))</f>
        <v/>
      </c>
    </row>
    <row r="495" customFormat="false" ht="15" hidden="false" customHeight="false" outlineLevel="0" collapsed="false">
      <c r="A495" s="17"/>
      <c r="B495" s="38"/>
      <c r="C495" s="39"/>
      <c r="D495" s="17"/>
      <c r="E495" s="17"/>
      <c r="F495" s="17"/>
      <c r="G495" s="17"/>
      <c r="H495" s="17"/>
      <c r="I495" s="40"/>
      <c r="J495" s="17"/>
      <c r="K495" s="17"/>
      <c r="L495" s="17"/>
      <c r="M495" s="17"/>
      <c r="N495" s="38"/>
      <c r="O495" s="39"/>
      <c r="P495" s="41" t="str">
        <f aca="false">IF(OR(B495="",N495=""),"",ROUND(((N495+N(O495))-(B495+N(C495)))*24,1))</f>
        <v/>
      </c>
      <c r="Q495" s="17"/>
      <c r="R495" s="17"/>
      <c r="S495" s="38"/>
      <c r="T495" s="17"/>
      <c r="U495" s="42" t="str">
        <f aca="false">IF(OR(E495="",S495="",OR(R495="Contract signed + paid",R495="Closed – No response",R495="Lost"),N(T495)&gt;=Settings!$S$3),"",S495+Settings!$S$2)</f>
        <v/>
      </c>
      <c r="V495" s="38"/>
      <c r="W495" s="39"/>
      <c r="X495" s="17"/>
      <c r="Y495" s="17"/>
      <c r="Z495" s="17"/>
      <c r="AA495" s="43" t="str">
        <f aca="true">IF(OR(E495="",B495=""),"",INT(TODAY()-B495))</f>
        <v/>
      </c>
      <c r="AB495" s="44" t="str">
        <f aca="true">IF(E495="","",IF(OR(COUNTIFS(Clients!$C$2:$C$501,E495,Clients!$S$2:$S$501,"Paid")&gt;0,AND(I495&lt;&gt;"",COUNTIFS(Clients!$E$2:$E$501,I495,Clients!$S$2:$S$501,"Paid")&gt;0)),"⚠ Refunded before – no free video",IF(OR(R495="Contract signed + paid",R495="Closed – No response",R495="Lost"),"",IF(R495="","Set a stage",IF(N(T495)&gt;=Settings!$S$3,"Close – 4 follow-ups sent",IF(U495="",IF(S495="","Make first contact",""),IF(TODAY()&gt;U495,"OVERDUE follow-up",IF(TODAY()=U495,"Follow up today",""))))))))</f>
        <v/>
      </c>
    </row>
    <row r="496" customFormat="false" ht="15" hidden="false" customHeight="false" outlineLevel="0" collapsed="false">
      <c r="A496" s="17"/>
      <c r="B496" s="38"/>
      <c r="C496" s="39"/>
      <c r="D496" s="17"/>
      <c r="E496" s="17"/>
      <c r="F496" s="17"/>
      <c r="G496" s="17"/>
      <c r="H496" s="17"/>
      <c r="I496" s="40"/>
      <c r="J496" s="17"/>
      <c r="K496" s="17"/>
      <c r="L496" s="17"/>
      <c r="M496" s="17"/>
      <c r="N496" s="38"/>
      <c r="O496" s="39"/>
      <c r="P496" s="41" t="str">
        <f aca="false">IF(OR(B496="",N496=""),"",ROUND(((N496+N(O496))-(B496+N(C496)))*24,1))</f>
        <v/>
      </c>
      <c r="Q496" s="17"/>
      <c r="R496" s="17"/>
      <c r="S496" s="38"/>
      <c r="T496" s="17"/>
      <c r="U496" s="42" t="str">
        <f aca="false">IF(OR(E496="",S496="",OR(R496="Contract signed + paid",R496="Closed – No response",R496="Lost"),N(T496)&gt;=Settings!$S$3),"",S496+Settings!$S$2)</f>
        <v/>
      </c>
      <c r="V496" s="38"/>
      <c r="W496" s="39"/>
      <c r="X496" s="17"/>
      <c r="Y496" s="17"/>
      <c r="Z496" s="17"/>
      <c r="AA496" s="43" t="str">
        <f aca="true">IF(OR(E496="",B496=""),"",INT(TODAY()-B496))</f>
        <v/>
      </c>
      <c r="AB496" s="44" t="str">
        <f aca="true">IF(E496="","",IF(OR(COUNTIFS(Clients!$C$2:$C$501,E496,Clients!$S$2:$S$501,"Paid")&gt;0,AND(I496&lt;&gt;"",COUNTIFS(Clients!$E$2:$E$501,I496,Clients!$S$2:$S$501,"Paid")&gt;0)),"⚠ Refunded before – no free video",IF(OR(R496="Contract signed + paid",R496="Closed – No response",R496="Lost"),"",IF(R496="","Set a stage",IF(N(T496)&gt;=Settings!$S$3,"Close – 4 follow-ups sent",IF(U496="",IF(S496="","Make first contact",""),IF(TODAY()&gt;U496,"OVERDUE follow-up",IF(TODAY()=U496,"Follow up today",""))))))))</f>
        <v/>
      </c>
    </row>
    <row r="497" customFormat="false" ht="15" hidden="false" customHeight="false" outlineLevel="0" collapsed="false">
      <c r="A497" s="17"/>
      <c r="B497" s="38"/>
      <c r="C497" s="39"/>
      <c r="D497" s="17"/>
      <c r="E497" s="17"/>
      <c r="F497" s="17"/>
      <c r="G497" s="17"/>
      <c r="H497" s="17"/>
      <c r="I497" s="40"/>
      <c r="J497" s="17"/>
      <c r="K497" s="17"/>
      <c r="L497" s="17"/>
      <c r="M497" s="17"/>
      <c r="N497" s="38"/>
      <c r="O497" s="39"/>
      <c r="P497" s="41" t="str">
        <f aca="false">IF(OR(B497="",N497=""),"",ROUND(((N497+N(O497))-(B497+N(C497)))*24,1))</f>
        <v/>
      </c>
      <c r="Q497" s="17"/>
      <c r="R497" s="17"/>
      <c r="S497" s="38"/>
      <c r="T497" s="17"/>
      <c r="U497" s="42" t="str">
        <f aca="false">IF(OR(E497="",S497="",OR(R497="Contract signed + paid",R497="Closed – No response",R497="Lost"),N(T497)&gt;=Settings!$S$3),"",S497+Settings!$S$2)</f>
        <v/>
      </c>
      <c r="V497" s="38"/>
      <c r="W497" s="39"/>
      <c r="X497" s="17"/>
      <c r="Y497" s="17"/>
      <c r="Z497" s="17"/>
      <c r="AA497" s="43" t="str">
        <f aca="true">IF(OR(E497="",B497=""),"",INT(TODAY()-B497))</f>
        <v/>
      </c>
      <c r="AB497" s="44" t="str">
        <f aca="true">IF(E497="","",IF(OR(COUNTIFS(Clients!$C$2:$C$501,E497,Clients!$S$2:$S$501,"Paid")&gt;0,AND(I497&lt;&gt;"",COUNTIFS(Clients!$E$2:$E$501,I497,Clients!$S$2:$S$501,"Paid")&gt;0)),"⚠ Refunded before – no free video",IF(OR(R497="Contract signed + paid",R497="Closed – No response",R497="Lost"),"",IF(R497="","Set a stage",IF(N(T497)&gt;=Settings!$S$3,"Close – 4 follow-ups sent",IF(U497="",IF(S497="","Make first contact",""),IF(TODAY()&gt;U497,"OVERDUE follow-up",IF(TODAY()=U497,"Follow up today",""))))))))</f>
        <v/>
      </c>
    </row>
    <row r="498" customFormat="false" ht="15" hidden="false" customHeight="false" outlineLevel="0" collapsed="false">
      <c r="A498" s="17"/>
      <c r="B498" s="38"/>
      <c r="C498" s="39"/>
      <c r="D498" s="17"/>
      <c r="E498" s="17"/>
      <c r="F498" s="17"/>
      <c r="G498" s="17"/>
      <c r="H498" s="17"/>
      <c r="I498" s="40"/>
      <c r="J498" s="17"/>
      <c r="K498" s="17"/>
      <c r="L498" s="17"/>
      <c r="M498" s="17"/>
      <c r="N498" s="38"/>
      <c r="O498" s="39"/>
      <c r="P498" s="41" t="str">
        <f aca="false">IF(OR(B498="",N498=""),"",ROUND(((N498+N(O498))-(B498+N(C498)))*24,1))</f>
        <v/>
      </c>
      <c r="Q498" s="17"/>
      <c r="R498" s="17"/>
      <c r="S498" s="38"/>
      <c r="T498" s="17"/>
      <c r="U498" s="42" t="str">
        <f aca="false">IF(OR(E498="",S498="",OR(R498="Contract signed + paid",R498="Closed – No response",R498="Lost"),N(T498)&gt;=Settings!$S$3),"",S498+Settings!$S$2)</f>
        <v/>
      </c>
      <c r="V498" s="38"/>
      <c r="W498" s="39"/>
      <c r="X498" s="17"/>
      <c r="Y498" s="17"/>
      <c r="Z498" s="17"/>
      <c r="AA498" s="43" t="str">
        <f aca="true">IF(OR(E498="",B498=""),"",INT(TODAY()-B498))</f>
        <v/>
      </c>
      <c r="AB498" s="44" t="str">
        <f aca="true">IF(E498="","",IF(OR(COUNTIFS(Clients!$C$2:$C$501,E498,Clients!$S$2:$S$501,"Paid")&gt;0,AND(I498&lt;&gt;"",COUNTIFS(Clients!$E$2:$E$501,I498,Clients!$S$2:$S$501,"Paid")&gt;0)),"⚠ Refunded before – no free video",IF(OR(R498="Contract signed + paid",R498="Closed – No response",R498="Lost"),"",IF(R498="","Set a stage",IF(N(T498)&gt;=Settings!$S$3,"Close – 4 follow-ups sent",IF(U498="",IF(S498="","Make first contact",""),IF(TODAY()&gt;U498,"OVERDUE follow-up",IF(TODAY()=U498,"Follow up today",""))))))))</f>
        <v/>
      </c>
    </row>
    <row r="499" customFormat="false" ht="15" hidden="false" customHeight="false" outlineLevel="0" collapsed="false">
      <c r="A499" s="17"/>
      <c r="B499" s="38"/>
      <c r="C499" s="39"/>
      <c r="D499" s="17"/>
      <c r="E499" s="17"/>
      <c r="F499" s="17"/>
      <c r="G499" s="17"/>
      <c r="H499" s="17"/>
      <c r="I499" s="40"/>
      <c r="J499" s="17"/>
      <c r="K499" s="17"/>
      <c r="L499" s="17"/>
      <c r="M499" s="17"/>
      <c r="N499" s="38"/>
      <c r="O499" s="39"/>
      <c r="P499" s="41" t="str">
        <f aca="false">IF(OR(B499="",N499=""),"",ROUND(((N499+N(O499))-(B499+N(C499)))*24,1))</f>
        <v/>
      </c>
      <c r="Q499" s="17"/>
      <c r="R499" s="17"/>
      <c r="S499" s="38"/>
      <c r="T499" s="17"/>
      <c r="U499" s="42" t="str">
        <f aca="false">IF(OR(E499="",S499="",OR(R499="Contract signed + paid",R499="Closed – No response",R499="Lost"),N(T499)&gt;=Settings!$S$3),"",S499+Settings!$S$2)</f>
        <v/>
      </c>
      <c r="V499" s="38"/>
      <c r="W499" s="39"/>
      <c r="X499" s="17"/>
      <c r="Y499" s="17"/>
      <c r="Z499" s="17"/>
      <c r="AA499" s="43" t="str">
        <f aca="true">IF(OR(E499="",B499=""),"",INT(TODAY()-B499))</f>
        <v/>
      </c>
      <c r="AB499" s="44" t="str">
        <f aca="true">IF(E499="","",IF(OR(COUNTIFS(Clients!$C$2:$C$501,E499,Clients!$S$2:$S$501,"Paid")&gt;0,AND(I499&lt;&gt;"",COUNTIFS(Clients!$E$2:$E$501,I499,Clients!$S$2:$S$501,"Paid")&gt;0)),"⚠ Refunded before – no free video",IF(OR(R499="Contract signed + paid",R499="Closed – No response",R499="Lost"),"",IF(R499="","Set a stage",IF(N(T499)&gt;=Settings!$S$3,"Close – 4 follow-ups sent",IF(U499="",IF(S499="","Make first contact",""),IF(TODAY()&gt;U499,"OVERDUE follow-up",IF(TODAY()=U499,"Follow up today",""))))))))</f>
        <v/>
      </c>
    </row>
    <row r="500" customFormat="false" ht="15" hidden="false" customHeight="false" outlineLevel="0" collapsed="false">
      <c r="A500" s="17"/>
      <c r="B500" s="38"/>
      <c r="C500" s="39"/>
      <c r="D500" s="17"/>
      <c r="E500" s="17"/>
      <c r="F500" s="17"/>
      <c r="G500" s="17"/>
      <c r="H500" s="17"/>
      <c r="I500" s="40"/>
      <c r="J500" s="17"/>
      <c r="K500" s="17"/>
      <c r="L500" s="17"/>
      <c r="M500" s="17"/>
      <c r="N500" s="38"/>
      <c r="O500" s="39"/>
      <c r="P500" s="41" t="str">
        <f aca="false">IF(OR(B500="",N500=""),"",ROUND(((N500+N(O500))-(B500+N(C500)))*24,1))</f>
        <v/>
      </c>
      <c r="Q500" s="17"/>
      <c r="R500" s="17"/>
      <c r="S500" s="38"/>
      <c r="T500" s="17"/>
      <c r="U500" s="42" t="str">
        <f aca="false">IF(OR(E500="",S500="",OR(R500="Contract signed + paid",R500="Closed – No response",R500="Lost"),N(T500)&gt;=Settings!$S$3),"",S500+Settings!$S$2)</f>
        <v/>
      </c>
      <c r="V500" s="38"/>
      <c r="W500" s="39"/>
      <c r="X500" s="17"/>
      <c r="Y500" s="17"/>
      <c r="Z500" s="17"/>
      <c r="AA500" s="43" t="str">
        <f aca="true">IF(OR(E500="",B500=""),"",INT(TODAY()-B500))</f>
        <v/>
      </c>
      <c r="AB500" s="44" t="str">
        <f aca="true">IF(E500="","",IF(OR(COUNTIFS(Clients!$C$2:$C$501,E500,Clients!$S$2:$S$501,"Paid")&gt;0,AND(I500&lt;&gt;"",COUNTIFS(Clients!$E$2:$E$501,I500,Clients!$S$2:$S$501,"Paid")&gt;0)),"⚠ Refunded before – no free video",IF(OR(R500="Contract signed + paid",R500="Closed – No response",R500="Lost"),"",IF(R500="","Set a stage",IF(N(T500)&gt;=Settings!$S$3,"Close – 4 follow-ups sent",IF(U500="",IF(S500="","Make first contact",""),IF(TODAY()&gt;U500,"OVERDUE follow-up",IF(TODAY()=U500,"Follow up today",""))))))))</f>
        <v/>
      </c>
    </row>
    <row r="501" customFormat="false" ht="15" hidden="false" customHeight="false" outlineLevel="0" collapsed="false">
      <c r="A501" s="17"/>
      <c r="B501" s="38"/>
      <c r="C501" s="39"/>
      <c r="D501" s="17"/>
      <c r="E501" s="17"/>
      <c r="F501" s="17"/>
      <c r="G501" s="17"/>
      <c r="H501" s="17"/>
      <c r="I501" s="40"/>
      <c r="J501" s="17"/>
      <c r="K501" s="17"/>
      <c r="L501" s="17"/>
      <c r="M501" s="17"/>
      <c r="N501" s="38"/>
      <c r="O501" s="39"/>
      <c r="P501" s="41" t="str">
        <f aca="false">IF(OR(B501="",N501=""),"",ROUND(((N501+N(O501))-(B501+N(C501)))*24,1))</f>
        <v/>
      </c>
      <c r="Q501" s="17"/>
      <c r="R501" s="17"/>
      <c r="S501" s="38"/>
      <c r="T501" s="17"/>
      <c r="U501" s="42" t="str">
        <f aca="false">IF(OR(E501="",S501="",OR(R501="Contract signed + paid",R501="Closed – No response",R501="Lost"),N(T501)&gt;=Settings!$S$3),"",S501+Settings!$S$2)</f>
        <v/>
      </c>
      <c r="V501" s="38"/>
      <c r="W501" s="39"/>
      <c r="X501" s="17"/>
      <c r="Y501" s="17"/>
      <c r="Z501" s="17"/>
      <c r="AA501" s="43" t="str">
        <f aca="true">IF(OR(E501="",B501=""),"",INT(TODAY()-B501))</f>
        <v/>
      </c>
      <c r="AB501" s="44" t="str">
        <f aca="true">IF(E501="","",IF(OR(COUNTIFS(Clients!$C$2:$C$501,E501,Clients!$S$2:$S$501,"Paid")&gt;0,AND(I501&lt;&gt;"",COUNTIFS(Clients!$E$2:$E$501,I501,Clients!$S$2:$S$501,"Paid")&gt;0)),"⚠ Refunded before – no free video",IF(OR(R501="Contract signed + paid",R501="Closed – No response",R501="Lost"),"",IF(R501="","Set a stage",IF(N(T501)&gt;=Settings!$S$3,"Close – 4 follow-ups sent",IF(U501="",IF(S501="","Make first contact",""),IF(TODAY()&gt;U501,"OVERDUE follow-up",IF(TODAY()=U501,"Follow up today",""))))))))</f>
        <v/>
      </c>
    </row>
  </sheetData>
  <autoFilter ref="A1:AB501"/>
  <conditionalFormatting sqref="A2:AB501">
    <cfRule type="expression" priority="2" aboveAverage="0" equalAverage="0" bottom="0" percent="0" rank="0" text="" dxfId="7">
      <formula>$R2="Contract signed + paid"</formula>
    </cfRule>
    <cfRule type="expression" priority="3" aboveAverage="0" equalAverage="0" bottom="0" percent="0" rank="0" text="" dxfId="8">
      <formula>OR($R2="Closed – No response",$R2="Lost")</formula>
    </cfRule>
  </conditionalFormatting>
  <conditionalFormatting sqref="AB2:AB501">
    <cfRule type="expression" priority="4" aboveAverage="0" equalAverage="0" bottom="0" percent="0" rank="0" text="" dxfId="9">
      <formula>LEFT(AB2,1)="⚠"</formula>
    </cfRule>
    <cfRule type="expression" priority="5" aboveAverage="0" equalAverage="0" bottom="0" percent="0" rank="0" text="" dxfId="10">
      <formula>AB2="OVERDUE follow-up"</formula>
    </cfRule>
    <cfRule type="expression" priority="6" aboveAverage="0" equalAverage="0" bottom="0" percent="0" rank="0" text="" dxfId="11">
      <formula>AB2="Follow up today"</formula>
    </cfRule>
    <cfRule type="expression" priority="7" aboveAverage="0" equalAverage="0" bottom="0" percent="0" rank="0" text="" dxfId="12">
      <formula>AB2="Close – 4 follow-ups sent"</formula>
    </cfRule>
    <cfRule type="expression" priority="8" aboveAverage="0" equalAverage="0" bottom="0" percent="0" rank="0" text="" dxfId="13">
      <formula>OR(AB2="Make first contact",AB2="Set a stage")</formula>
    </cfRule>
  </conditionalFormatting>
  <dataValidations count="15">
    <dataValidation allowBlank="true" error="Pick a value from the list (edit lists on the Settings tab)." errorStyle="stop" errorTitle="Not on the list" operator="between" showDropDown="false" showErrorMessage="false" showInputMessage="false" sqref="D2:D501" type="list">
      <formula1>Settings!$B$2:$B$8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F2:F501" type="list">
      <formula1>Settings!$D$2:$D$11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Q2:Q501" type="list">
      <formula1>Settings!$E$2:$E$5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R2:R501" type="list">
      <formula1>Settings!$A$2:$A$10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X2:X501" type="list">
      <formula1>Settings!$F$2:$F$4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Y2:Y501" type="list">
      <formula1>Settings!$O$2:$O$8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M2:M501" type="list">
      <formula1>Settings!$P$2:$P$6</formula1>
      <formula2>0</formula2>
    </dataValidation>
    <dataValidation allowBlank="true" error="Enter a whole number from 0 to 4." errorStyle="stop" operator="between" showDropDown="false" showErrorMessage="false" showInputMessage="false" sqref="T2:T501" type="whole">
      <formula1>0</formula1>
      <formula2>4</formula2>
    </dataValidation>
    <dataValidation allowBlank="true" error="Enter a date - double-click the cell for a calendar." errorStyle="stop" errorTitle="Not a date" operator="between" showDropDown="false" showErrorMessage="false" showInputMessage="false" sqref="B2:B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S2:S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V2:V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N2:N501" type="date">
      <formula1>DATE(2020,1,1)</formula1>
      <formula2>DATE(2100,12,31)</formula2>
    </dataValidation>
    <dataValidation allowBlank="true" error="That time isn't in the list - keep it if it's correct." errorStyle="warning" errorTitle="Check the time" operator="between" showDropDown="false" showErrorMessage="false" showInputMessage="false" sqref="W2:W501" type="list">
      <formula1>Settings!$Q$2:$Q$26</formula1>
      <formula2>0</formula2>
    </dataValidation>
    <dataValidation allowBlank="true" error="That time isn't in the list - keep it if it's correct." errorStyle="warning" errorTitle="Check the time" operator="between" showDropDown="false" showErrorMessage="false" showInputMessage="false" sqref="C2:C501" type="list">
      <formula1>Settings!$W$2:$W$49</formula1>
      <formula2>0</formula2>
    </dataValidation>
    <dataValidation allowBlank="true" error="That time isn't in the list - keep it if it's correct." errorStyle="warning" errorTitle="Check the time" operator="between" showDropDown="false" showErrorMessage="false" showInputMessage="false" sqref="O2:O501" type="list">
      <formula1>Settings!$W$2:$W$49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Y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8" min="6" style="0" width="16"/>
    <col collapsed="false" customWidth="true" hidden="false" outlineLevel="0" max="9" min="9" style="0" width="24"/>
    <col collapsed="false" customWidth="true" hidden="false" outlineLevel="0" max="12" min="10" style="0" width="16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21" min="16" style="0" width="16"/>
    <col collapsed="false" customWidth="true" hidden="false" outlineLevel="0" max="22" min="22" style="0" width="22"/>
    <col collapsed="false" customWidth="true" hidden="false" outlineLevel="0" max="23" min="23" style="0" width="34"/>
    <col collapsed="false" customWidth="true" hidden="false" outlineLevel="0" max="24" min="24" style="0" width="16"/>
    <col collapsed="false" customWidth="true" hidden="false" outlineLevel="0" max="25" min="25" style="0" width="30"/>
  </cols>
  <sheetData>
    <row r="1" customFormat="false" ht="31.5" hidden="false" customHeight="true" outlineLevel="0" collapsed="false">
      <c r="A1" s="28" t="s">
        <v>127</v>
      </c>
      <c r="B1" s="28" t="s">
        <v>167</v>
      </c>
      <c r="C1" s="28" t="s">
        <v>130</v>
      </c>
      <c r="D1" s="28" t="s">
        <v>131</v>
      </c>
      <c r="E1" s="28" t="s">
        <v>132</v>
      </c>
      <c r="F1" s="28" t="s">
        <v>133</v>
      </c>
      <c r="G1" s="28" t="s">
        <v>134</v>
      </c>
      <c r="H1" s="28" t="s">
        <v>135</v>
      </c>
      <c r="I1" s="28" t="s">
        <v>136</v>
      </c>
      <c r="J1" s="28" t="s">
        <v>137</v>
      </c>
      <c r="K1" s="28" t="s">
        <v>168</v>
      </c>
      <c r="L1" s="28" t="s">
        <v>138</v>
      </c>
      <c r="M1" s="28" t="s">
        <v>169</v>
      </c>
      <c r="N1" s="28" t="s">
        <v>56</v>
      </c>
      <c r="O1" s="28" t="s">
        <v>143</v>
      </c>
      <c r="P1" s="28" t="s">
        <v>144</v>
      </c>
      <c r="Q1" s="28" t="s">
        <v>145</v>
      </c>
      <c r="R1" s="29" t="s">
        <v>146</v>
      </c>
      <c r="S1" s="28" t="s">
        <v>147</v>
      </c>
      <c r="T1" s="28" t="s">
        <v>148</v>
      </c>
      <c r="U1" s="28" t="s">
        <v>149</v>
      </c>
      <c r="V1" s="28" t="s">
        <v>150</v>
      </c>
      <c r="W1" s="28" t="s">
        <v>151</v>
      </c>
      <c r="X1" s="29" t="s">
        <v>152</v>
      </c>
      <c r="Y1" s="29" t="s">
        <v>153</v>
      </c>
    </row>
    <row r="2" customFormat="false" ht="15" hidden="false" customHeight="false" outlineLevel="0" collapsed="false">
      <c r="A2" s="30" t="s">
        <v>170</v>
      </c>
      <c r="B2" s="31" t="n">
        <v>46308</v>
      </c>
      <c r="C2" s="30" t="s">
        <v>171</v>
      </c>
      <c r="D2" s="30" t="s">
        <v>172</v>
      </c>
      <c r="E2" s="30" t="s">
        <v>173</v>
      </c>
      <c r="F2" s="30" t="s">
        <v>174</v>
      </c>
      <c r="G2" s="30" t="s">
        <v>175</v>
      </c>
      <c r="H2" s="33" t="s">
        <v>176</v>
      </c>
      <c r="I2" s="30" t="s">
        <v>177</v>
      </c>
      <c r="J2" s="30" t="s">
        <v>178</v>
      </c>
      <c r="K2" s="30" t="s">
        <v>179</v>
      </c>
      <c r="L2" s="30" t="s">
        <v>180</v>
      </c>
      <c r="M2" s="30" t="s">
        <v>181</v>
      </c>
      <c r="N2" s="30" t="s">
        <v>50</v>
      </c>
      <c r="O2" s="30" t="s">
        <v>182</v>
      </c>
      <c r="P2" s="31" t="n">
        <v>46311</v>
      </c>
      <c r="Q2" s="30" t="n">
        <v>0</v>
      </c>
      <c r="R2" s="35" t="n">
        <f aca="false">IF(OR(D2="",P2="",OR(O2="Contract signed + paid",O2="Closed – No response",O2="Lost"),N(Q2)&gt;=Settings!$S$3),"",P2+Settings!$S$2)</f>
        <v>46314</v>
      </c>
      <c r="S2" s="31"/>
      <c r="T2" s="32"/>
      <c r="U2" s="30" t="s">
        <v>183</v>
      </c>
      <c r="V2" s="30"/>
      <c r="W2" s="30" t="s">
        <v>166</v>
      </c>
      <c r="X2" s="36" t="n">
        <f aca="true">IF(OR(D2="",B2=""),"",INT(TODAY()-B2))</f>
        <v>7</v>
      </c>
      <c r="Y2" s="37" t="str">
        <f aca="true">IF(D2="","",IF(OR(COUNTIFS(Clients!$C$2:$C$501,D2,Clients!$S$2:$S$501,"Paid")&gt;0,AND(H2&lt;&gt;"",COUNTIFS(Clients!$E$2:$E$501,H2,Clients!$S$2:$S$501,"Paid")&gt;0)),"⚠ Refunded before – no free video",IF(OR(O2="Contract signed + paid",O2="Closed – No response",O2="Lost"),"",IF(O2="","Set a stage",IF(N(Q2)&gt;=Settings!$S$3,"Close – 4 follow-ups sent",IF(R2="",IF(P2="","Make first contact",""),IF(TODAY()&gt;R2,"OVERDUE follow-up",IF(TODAY()=R2,"Follow up today",""))))))))</f>
        <v>OVERDUE follow-up</v>
      </c>
    </row>
    <row r="3" customFormat="false" ht="15" hidden="false" customHeight="false" outlineLevel="0" collapsed="false">
      <c r="A3" s="17"/>
      <c r="B3" s="38"/>
      <c r="C3" s="17"/>
      <c r="D3" s="17"/>
      <c r="E3" s="17"/>
      <c r="F3" s="17"/>
      <c r="G3" s="17"/>
      <c r="H3" s="40"/>
      <c r="I3" s="17"/>
      <c r="J3" s="17"/>
      <c r="K3" s="17"/>
      <c r="L3" s="17"/>
      <c r="M3" s="17"/>
      <c r="N3" s="17"/>
      <c r="O3" s="17"/>
      <c r="P3" s="38"/>
      <c r="Q3" s="17"/>
      <c r="R3" s="42" t="str">
        <f aca="false">IF(OR(D3="",P3="",OR(O3="Contract signed + paid",O3="Closed – No response",O3="Lost"),N(Q3)&gt;=Settings!$S$3),"",P3+Settings!$S$2)</f>
        <v/>
      </c>
      <c r="S3" s="38"/>
      <c r="T3" s="39"/>
      <c r="U3" s="17"/>
      <c r="V3" s="17"/>
      <c r="W3" s="17"/>
      <c r="X3" s="43" t="str">
        <f aca="true">IF(OR(D3="",B3=""),"",INT(TODAY()-B3))</f>
        <v/>
      </c>
      <c r="Y3" s="44" t="str">
        <f aca="true">IF(D3="","",IF(OR(COUNTIFS(Clients!$C$2:$C$501,D3,Clients!$S$2:$S$501,"Paid")&gt;0,AND(H3&lt;&gt;"",COUNTIFS(Clients!$E$2:$E$501,H3,Clients!$S$2:$S$501,"Paid")&gt;0)),"⚠ Refunded before – no free video",IF(OR(O3="Contract signed + paid",O3="Closed – No response",O3="Lost"),"",IF(O3="","Set a stage",IF(N(Q3)&gt;=Settings!$S$3,"Close – 4 follow-ups sent",IF(R3="",IF(P3="","Make first contact",""),IF(TODAY()&gt;R3,"OVERDUE follow-up",IF(TODAY()=R3,"Follow up today",""))))))))</f>
        <v/>
      </c>
    </row>
    <row r="4" customFormat="false" ht="15" hidden="false" customHeight="false" outlineLevel="0" collapsed="false">
      <c r="A4" s="17"/>
      <c r="B4" s="38"/>
      <c r="C4" s="17"/>
      <c r="D4" s="17"/>
      <c r="E4" s="17"/>
      <c r="F4" s="17"/>
      <c r="G4" s="17"/>
      <c r="H4" s="40"/>
      <c r="I4" s="17"/>
      <c r="J4" s="17"/>
      <c r="K4" s="17"/>
      <c r="L4" s="17"/>
      <c r="M4" s="17"/>
      <c r="N4" s="17"/>
      <c r="O4" s="17"/>
      <c r="P4" s="38"/>
      <c r="Q4" s="17"/>
      <c r="R4" s="42" t="str">
        <f aca="false">IF(OR(D4="",P4="",OR(O4="Contract signed + paid",O4="Closed – No response",O4="Lost"),N(Q4)&gt;=Settings!$S$3),"",P4+Settings!$S$2)</f>
        <v/>
      </c>
      <c r="S4" s="38"/>
      <c r="T4" s="39"/>
      <c r="U4" s="17"/>
      <c r="V4" s="17"/>
      <c r="W4" s="17"/>
      <c r="X4" s="43" t="str">
        <f aca="true">IF(OR(D4="",B4=""),"",INT(TODAY()-B4))</f>
        <v/>
      </c>
      <c r="Y4" s="44" t="str">
        <f aca="true">IF(D4="","",IF(OR(COUNTIFS(Clients!$C$2:$C$501,D4,Clients!$S$2:$S$501,"Paid")&gt;0,AND(H4&lt;&gt;"",COUNTIFS(Clients!$E$2:$E$501,H4,Clients!$S$2:$S$501,"Paid")&gt;0)),"⚠ Refunded before – no free video",IF(OR(O4="Contract signed + paid",O4="Closed – No response",O4="Lost"),"",IF(O4="","Set a stage",IF(N(Q4)&gt;=Settings!$S$3,"Close – 4 follow-ups sent",IF(R4="",IF(P4="","Make first contact",""),IF(TODAY()&gt;R4,"OVERDUE follow-up",IF(TODAY()=R4,"Follow up today",""))))))))</f>
        <v/>
      </c>
    </row>
    <row r="5" customFormat="false" ht="15" hidden="false" customHeight="false" outlineLevel="0" collapsed="false">
      <c r="A5" s="17"/>
      <c r="B5" s="38"/>
      <c r="C5" s="17"/>
      <c r="D5" s="17"/>
      <c r="E5" s="17"/>
      <c r="F5" s="17"/>
      <c r="G5" s="17"/>
      <c r="H5" s="40"/>
      <c r="I5" s="17"/>
      <c r="J5" s="17"/>
      <c r="K5" s="17"/>
      <c r="L5" s="17"/>
      <c r="M5" s="17"/>
      <c r="N5" s="17"/>
      <c r="O5" s="17"/>
      <c r="P5" s="38"/>
      <c r="Q5" s="17"/>
      <c r="R5" s="42" t="str">
        <f aca="false">IF(OR(D5="",P5="",OR(O5="Contract signed + paid",O5="Closed – No response",O5="Lost"),N(Q5)&gt;=Settings!$S$3),"",P5+Settings!$S$2)</f>
        <v/>
      </c>
      <c r="S5" s="38"/>
      <c r="T5" s="39"/>
      <c r="U5" s="17"/>
      <c r="V5" s="17"/>
      <c r="W5" s="17"/>
      <c r="X5" s="43" t="str">
        <f aca="true">IF(OR(D5="",B5=""),"",INT(TODAY()-B5))</f>
        <v/>
      </c>
      <c r="Y5" s="44" t="str">
        <f aca="true">IF(D5="","",IF(OR(COUNTIFS(Clients!$C$2:$C$501,D5,Clients!$S$2:$S$501,"Paid")&gt;0,AND(H5&lt;&gt;"",COUNTIFS(Clients!$E$2:$E$501,H5,Clients!$S$2:$S$501,"Paid")&gt;0)),"⚠ Refunded before – no free video",IF(OR(O5="Contract signed + paid",O5="Closed – No response",O5="Lost"),"",IF(O5="","Set a stage",IF(N(Q5)&gt;=Settings!$S$3,"Close – 4 follow-ups sent",IF(R5="",IF(P5="","Make first contact",""),IF(TODAY()&gt;R5,"OVERDUE follow-up",IF(TODAY()=R5,"Follow up today",""))))))))</f>
        <v/>
      </c>
    </row>
    <row r="6" customFormat="false" ht="15" hidden="false" customHeight="false" outlineLevel="0" collapsed="false">
      <c r="A6" s="17"/>
      <c r="B6" s="38"/>
      <c r="C6" s="17"/>
      <c r="D6" s="17"/>
      <c r="E6" s="17"/>
      <c r="F6" s="17"/>
      <c r="G6" s="17"/>
      <c r="H6" s="40"/>
      <c r="I6" s="17"/>
      <c r="J6" s="17"/>
      <c r="K6" s="17"/>
      <c r="L6" s="17"/>
      <c r="M6" s="17"/>
      <c r="N6" s="17"/>
      <c r="O6" s="17"/>
      <c r="P6" s="38"/>
      <c r="Q6" s="17"/>
      <c r="R6" s="42" t="str">
        <f aca="false">IF(OR(D6="",P6="",OR(O6="Contract signed + paid",O6="Closed – No response",O6="Lost"),N(Q6)&gt;=Settings!$S$3),"",P6+Settings!$S$2)</f>
        <v/>
      </c>
      <c r="S6" s="38"/>
      <c r="T6" s="39"/>
      <c r="U6" s="17"/>
      <c r="V6" s="17"/>
      <c r="W6" s="17"/>
      <c r="X6" s="43" t="str">
        <f aca="true">IF(OR(D6="",B6=""),"",INT(TODAY()-B6))</f>
        <v/>
      </c>
      <c r="Y6" s="44" t="str">
        <f aca="true">IF(D6="","",IF(OR(COUNTIFS(Clients!$C$2:$C$501,D6,Clients!$S$2:$S$501,"Paid")&gt;0,AND(H6&lt;&gt;"",COUNTIFS(Clients!$E$2:$E$501,H6,Clients!$S$2:$S$501,"Paid")&gt;0)),"⚠ Refunded before – no free video",IF(OR(O6="Contract signed + paid",O6="Closed – No response",O6="Lost"),"",IF(O6="","Set a stage",IF(N(Q6)&gt;=Settings!$S$3,"Close – 4 follow-ups sent",IF(R6="",IF(P6="","Make first contact",""),IF(TODAY()&gt;R6,"OVERDUE follow-up",IF(TODAY()=R6,"Follow up today",""))))))))</f>
        <v/>
      </c>
    </row>
    <row r="7" customFormat="false" ht="15" hidden="false" customHeight="false" outlineLevel="0" collapsed="false">
      <c r="A7" s="17"/>
      <c r="B7" s="38"/>
      <c r="C7" s="17"/>
      <c r="D7" s="17"/>
      <c r="E7" s="17"/>
      <c r="F7" s="17"/>
      <c r="G7" s="17"/>
      <c r="H7" s="40"/>
      <c r="I7" s="17"/>
      <c r="J7" s="17"/>
      <c r="K7" s="17"/>
      <c r="L7" s="17"/>
      <c r="M7" s="17"/>
      <c r="N7" s="17"/>
      <c r="O7" s="17"/>
      <c r="P7" s="38"/>
      <c r="Q7" s="17"/>
      <c r="R7" s="42" t="str">
        <f aca="false">IF(OR(D7="",P7="",OR(O7="Contract signed + paid",O7="Closed – No response",O7="Lost"),N(Q7)&gt;=Settings!$S$3),"",P7+Settings!$S$2)</f>
        <v/>
      </c>
      <c r="S7" s="38"/>
      <c r="T7" s="39"/>
      <c r="U7" s="17"/>
      <c r="V7" s="17"/>
      <c r="W7" s="17"/>
      <c r="X7" s="43" t="str">
        <f aca="true">IF(OR(D7="",B7=""),"",INT(TODAY()-B7))</f>
        <v/>
      </c>
      <c r="Y7" s="44" t="str">
        <f aca="true">IF(D7="","",IF(OR(COUNTIFS(Clients!$C$2:$C$501,D7,Clients!$S$2:$S$501,"Paid")&gt;0,AND(H7&lt;&gt;"",COUNTIFS(Clients!$E$2:$E$501,H7,Clients!$S$2:$S$501,"Paid")&gt;0)),"⚠ Refunded before – no free video",IF(OR(O7="Contract signed + paid",O7="Closed – No response",O7="Lost"),"",IF(O7="","Set a stage",IF(N(Q7)&gt;=Settings!$S$3,"Close – 4 follow-ups sent",IF(R7="",IF(P7="","Make first contact",""),IF(TODAY()&gt;R7,"OVERDUE follow-up",IF(TODAY()=R7,"Follow up today",""))))))))</f>
        <v/>
      </c>
    </row>
    <row r="8" customFormat="false" ht="15" hidden="false" customHeight="false" outlineLevel="0" collapsed="false">
      <c r="A8" s="17"/>
      <c r="B8" s="38"/>
      <c r="C8" s="17"/>
      <c r="D8" s="17"/>
      <c r="E8" s="17"/>
      <c r="F8" s="17"/>
      <c r="G8" s="17"/>
      <c r="H8" s="40"/>
      <c r="I8" s="17"/>
      <c r="J8" s="17"/>
      <c r="K8" s="17"/>
      <c r="L8" s="17"/>
      <c r="M8" s="17"/>
      <c r="N8" s="17"/>
      <c r="O8" s="17"/>
      <c r="P8" s="38"/>
      <c r="Q8" s="17"/>
      <c r="R8" s="42" t="str">
        <f aca="false">IF(OR(D8="",P8="",OR(O8="Contract signed + paid",O8="Closed – No response",O8="Lost"),N(Q8)&gt;=Settings!$S$3),"",P8+Settings!$S$2)</f>
        <v/>
      </c>
      <c r="S8" s="38"/>
      <c r="T8" s="39"/>
      <c r="U8" s="17"/>
      <c r="V8" s="17"/>
      <c r="W8" s="17"/>
      <c r="X8" s="43" t="str">
        <f aca="true">IF(OR(D8="",B8=""),"",INT(TODAY()-B8))</f>
        <v/>
      </c>
      <c r="Y8" s="44" t="str">
        <f aca="true">IF(D8="","",IF(OR(COUNTIFS(Clients!$C$2:$C$501,D8,Clients!$S$2:$S$501,"Paid")&gt;0,AND(H8&lt;&gt;"",COUNTIFS(Clients!$E$2:$E$501,H8,Clients!$S$2:$S$501,"Paid")&gt;0)),"⚠ Refunded before – no free video",IF(OR(O8="Contract signed + paid",O8="Closed – No response",O8="Lost"),"",IF(O8="","Set a stage",IF(N(Q8)&gt;=Settings!$S$3,"Close – 4 follow-ups sent",IF(R8="",IF(P8="","Make first contact",""),IF(TODAY()&gt;R8,"OVERDUE follow-up",IF(TODAY()=R8,"Follow up today",""))))))))</f>
        <v/>
      </c>
    </row>
    <row r="9" customFormat="false" ht="15" hidden="false" customHeight="false" outlineLevel="0" collapsed="false">
      <c r="A9" s="17"/>
      <c r="B9" s="38"/>
      <c r="C9" s="17"/>
      <c r="D9" s="17"/>
      <c r="E9" s="17"/>
      <c r="F9" s="17"/>
      <c r="G9" s="17"/>
      <c r="H9" s="40"/>
      <c r="I9" s="17"/>
      <c r="J9" s="17"/>
      <c r="K9" s="17"/>
      <c r="L9" s="17"/>
      <c r="M9" s="17"/>
      <c r="N9" s="17"/>
      <c r="O9" s="17"/>
      <c r="P9" s="38"/>
      <c r="Q9" s="17"/>
      <c r="R9" s="42" t="str">
        <f aca="false">IF(OR(D9="",P9="",OR(O9="Contract signed + paid",O9="Closed – No response",O9="Lost"),N(Q9)&gt;=Settings!$S$3),"",P9+Settings!$S$2)</f>
        <v/>
      </c>
      <c r="S9" s="38"/>
      <c r="T9" s="39"/>
      <c r="U9" s="17"/>
      <c r="V9" s="17"/>
      <c r="W9" s="17"/>
      <c r="X9" s="43" t="str">
        <f aca="true">IF(OR(D9="",B9=""),"",INT(TODAY()-B9))</f>
        <v/>
      </c>
      <c r="Y9" s="44" t="str">
        <f aca="true">IF(D9="","",IF(OR(COUNTIFS(Clients!$C$2:$C$501,D9,Clients!$S$2:$S$501,"Paid")&gt;0,AND(H9&lt;&gt;"",COUNTIFS(Clients!$E$2:$E$501,H9,Clients!$S$2:$S$501,"Paid")&gt;0)),"⚠ Refunded before – no free video",IF(OR(O9="Contract signed + paid",O9="Closed – No response",O9="Lost"),"",IF(O9="","Set a stage",IF(N(Q9)&gt;=Settings!$S$3,"Close – 4 follow-ups sent",IF(R9="",IF(P9="","Make first contact",""),IF(TODAY()&gt;R9,"OVERDUE follow-up",IF(TODAY()=R9,"Follow up today",""))))))))</f>
        <v/>
      </c>
    </row>
    <row r="10" customFormat="false" ht="15" hidden="false" customHeight="false" outlineLevel="0" collapsed="false">
      <c r="A10" s="17"/>
      <c r="B10" s="38"/>
      <c r="C10" s="17"/>
      <c r="D10" s="17"/>
      <c r="E10" s="17"/>
      <c r="F10" s="17"/>
      <c r="G10" s="17"/>
      <c r="H10" s="40"/>
      <c r="I10" s="17"/>
      <c r="J10" s="17"/>
      <c r="K10" s="17"/>
      <c r="L10" s="17"/>
      <c r="M10" s="17"/>
      <c r="N10" s="17"/>
      <c r="O10" s="17"/>
      <c r="P10" s="38"/>
      <c r="Q10" s="17"/>
      <c r="R10" s="42" t="str">
        <f aca="false">IF(OR(D10="",P10="",OR(O10="Contract signed + paid",O10="Closed – No response",O10="Lost"),N(Q10)&gt;=Settings!$S$3),"",P10+Settings!$S$2)</f>
        <v/>
      </c>
      <c r="S10" s="38"/>
      <c r="T10" s="39"/>
      <c r="U10" s="17"/>
      <c r="V10" s="17"/>
      <c r="W10" s="17"/>
      <c r="X10" s="43" t="str">
        <f aca="true">IF(OR(D10="",B10=""),"",INT(TODAY()-B10))</f>
        <v/>
      </c>
      <c r="Y10" s="44" t="str">
        <f aca="true">IF(D10="","",IF(OR(COUNTIFS(Clients!$C$2:$C$501,D10,Clients!$S$2:$S$501,"Paid")&gt;0,AND(H10&lt;&gt;"",COUNTIFS(Clients!$E$2:$E$501,H10,Clients!$S$2:$S$501,"Paid")&gt;0)),"⚠ Refunded before – no free video",IF(OR(O10="Contract signed + paid",O10="Closed – No response",O10="Lost"),"",IF(O10="","Set a stage",IF(N(Q10)&gt;=Settings!$S$3,"Close – 4 follow-ups sent",IF(R10="",IF(P10="","Make first contact",""),IF(TODAY()&gt;R10,"OVERDUE follow-up",IF(TODAY()=R10,"Follow up today",""))))))))</f>
        <v/>
      </c>
    </row>
    <row r="11" customFormat="false" ht="15" hidden="false" customHeight="false" outlineLevel="0" collapsed="false">
      <c r="A11" s="17"/>
      <c r="B11" s="38"/>
      <c r="C11" s="17"/>
      <c r="D11" s="17"/>
      <c r="E11" s="17"/>
      <c r="F11" s="17"/>
      <c r="G11" s="17"/>
      <c r="H11" s="40"/>
      <c r="I11" s="17"/>
      <c r="J11" s="17"/>
      <c r="K11" s="17"/>
      <c r="L11" s="17"/>
      <c r="M11" s="17"/>
      <c r="N11" s="17"/>
      <c r="O11" s="17"/>
      <c r="P11" s="38"/>
      <c r="Q11" s="17"/>
      <c r="R11" s="42" t="str">
        <f aca="false">IF(OR(D11="",P11="",OR(O11="Contract signed + paid",O11="Closed – No response",O11="Lost"),N(Q11)&gt;=Settings!$S$3),"",P11+Settings!$S$2)</f>
        <v/>
      </c>
      <c r="S11" s="38"/>
      <c r="T11" s="39"/>
      <c r="U11" s="17"/>
      <c r="V11" s="17"/>
      <c r="W11" s="17"/>
      <c r="X11" s="43" t="str">
        <f aca="true">IF(OR(D11="",B11=""),"",INT(TODAY()-B11))</f>
        <v/>
      </c>
      <c r="Y11" s="44" t="str">
        <f aca="true">IF(D11="","",IF(OR(COUNTIFS(Clients!$C$2:$C$501,D11,Clients!$S$2:$S$501,"Paid")&gt;0,AND(H11&lt;&gt;"",COUNTIFS(Clients!$E$2:$E$501,H11,Clients!$S$2:$S$501,"Paid")&gt;0)),"⚠ Refunded before – no free video",IF(OR(O11="Contract signed + paid",O11="Closed – No response",O11="Lost"),"",IF(O11="","Set a stage",IF(N(Q11)&gt;=Settings!$S$3,"Close – 4 follow-ups sent",IF(R11="",IF(P11="","Make first contact",""),IF(TODAY()&gt;R11,"OVERDUE follow-up",IF(TODAY()=R11,"Follow up today",""))))))))</f>
        <v/>
      </c>
    </row>
    <row r="12" customFormat="false" ht="15" hidden="false" customHeight="false" outlineLevel="0" collapsed="false">
      <c r="A12" s="17"/>
      <c r="B12" s="38"/>
      <c r="C12" s="17"/>
      <c r="D12" s="17"/>
      <c r="E12" s="17"/>
      <c r="F12" s="17"/>
      <c r="G12" s="17"/>
      <c r="H12" s="40"/>
      <c r="I12" s="17"/>
      <c r="J12" s="17"/>
      <c r="K12" s="17"/>
      <c r="L12" s="17"/>
      <c r="M12" s="17"/>
      <c r="N12" s="17"/>
      <c r="O12" s="17"/>
      <c r="P12" s="38"/>
      <c r="Q12" s="17"/>
      <c r="R12" s="42" t="str">
        <f aca="false">IF(OR(D12="",P12="",OR(O12="Contract signed + paid",O12="Closed – No response",O12="Lost"),N(Q12)&gt;=Settings!$S$3),"",P12+Settings!$S$2)</f>
        <v/>
      </c>
      <c r="S12" s="38"/>
      <c r="T12" s="39"/>
      <c r="U12" s="17"/>
      <c r="V12" s="17"/>
      <c r="W12" s="17"/>
      <c r="X12" s="43" t="str">
        <f aca="true">IF(OR(D12="",B12=""),"",INT(TODAY()-B12))</f>
        <v/>
      </c>
      <c r="Y12" s="44" t="str">
        <f aca="true">IF(D12="","",IF(OR(COUNTIFS(Clients!$C$2:$C$501,D12,Clients!$S$2:$S$501,"Paid")&gt;0,AND(H12&lt;&gt;"",COUNTIFS(Clients!$E$2:$E$501,H12,Clients!$S$2:$S$501,"Paid")&gt;0)),"⚠ Refunded before – no free video",IF(OR(O12="Contract signed + paid",O12="Closed – No response",O12="Lost"),"",IF(O12="","Set a stage",IF(N(Q12)&gt;=Settings!$S$3,"Close – 4 follow-ups sent",IF(R12="",IF(P12="","Make first contact",""),IF(TODAY()&gt;R12,"OVERDUE follow-up",IF(TODAY()=R12,"Follow up today",""))))))))</f>
        <v/>
      </c>
    </row>
    <row r="13" customFormat="false" ht="15" hidden="false" customHeight="false" outlineLevel="0" collapsed="false">
      <c r="A13" s="17"/>
      <c r="B13" s="38"/>
      <c r="C13" s="17"/>
      <c r="D13" s="17"/>
      <c r="E13" s="17"/>
      <c r="F13" s="17"/>
      <c r="G13" s="17"/>
      <c r="H13" s="40"/>
      <c r="I13" s="17"/>
      <c r="J13" s="17"/>
      <c r="K13" s="17"/>
      <c r="L13" s="17"/>
      <c r="M13" s="17"/>
      <c r="N13" s="17"/>
      <c r="O13" s="17"/>
      <c r="P13" s="38"/>
      <c r="Q13" s="17"/>
      <c r="R13" s="42" t="str">
        <f aca="false">IF(OR(D13="",P13="",OR(O13="Contract signed + paid",O13="Closed – No response",O13="Lost"),N(Q13)&gt;=Settings!$S$3),"",P13+Settings!$S$2)</f>
        <v/>
      </c>
      <c r="S13" s="38"/>
      <c r="T13" s="39"/>
      <c r="U13" s="17"/>
      <c r="V13" s="17"/>
      <c r="W13" s="17"/>
      <c r="X13" s="43" t="str">
        <f aca="true">IF(OR(D13="",B13=""),"",INT(TODAY()-B13))</f>
        <v/>
      </c>
      <c r="Y13" s="44" t="str">
        <f aca="true">IF(D13="","",IF(OR(COUNTIFS(Clients!$C$2:$C$501,D13,Clients!$S$2:$S$501,"Paid")&gt;0,AND(H13&lt;&gt;"",COUNTIFS(Clients!$E$2:$E$501,H13,Clients!$S$2:$S$501,"Paid")&gt;0)),"⚠ Refunded before – no free video",IF(OR(O13="Contract signed + paid",O13="Closed – No response",O13="Lost"),"",IF(O13="","Set a stage",IF(N(Q13)&gt;=Settings!$S$3,"Close – 4 follow-ups sent",IF(R13="",IF(P13="","Make first contact",""),IF(TODAY()&gt;R13,"OVERDUE follow-up",IF(TODAY()=R13,"Follow up today",""))))))))</f>
        <v/>
      </c>
    </row>
    <row r="14" customFormat="false" ht="15" hidden="false" customHeight="false" outlineLevel="0" collapsed="false">
      <c r="A14" s="17"/>
      <c r="B14" s="38"/>
      <c r="C14" s="17"/>
      <c r="D14" s="17"/>
      <c r="E14" s="17"/>
      <c r="F14" s="17"/>
      <c r="G14" s="17"/>
      <c r="H14" s="40"/>
      <c r="I14" s="17"/>
      <c r="J14" s="17"/>
      <c r="K14" s="17"/>
      <c r="L14" s="17"/>
      <c r="M14" s="17"/>
      <c r="N14" s="17"/>
      <c r="O14" s="17"/>
      <c r="P14" s="38"/>
      <c r="Q14" s="17"/>
      <c r="R14" s="42" t="str">
        <f aca="false">IF(OR(D14="",P14="",OR(O14="Contract signed + paid",O14="Closed – No response",O14="Lost"),N(Q14)&gt;=Settings!$S$3),"",P14+Settings!$S$2)</f>
        <v/>
      </c>
      <c r="S14" s="38"/>
      <c r="T14" s="39"/>
      <c r="U14" s="17"/>
      <c r="V14" s="17"/>
      <c r="W14" s="17"/>
      <c r="X14" s="43" t="str">
        <f aca="true">IF(OR(D14="",B14=""),"",INT(TODAY()-B14))</f>
        <v/>
      </c>
      <c r="Y14" s="44" t="str">
        <f aca="true">IF(D14="","",IF(OR(COUNTIFS(Clients!$C$2:$C$501,D14,Clients!$S$2:$S$501,"Paid")&gt;0,AND(H14&lt;&gt;"",COUNTIFS(Clients!$E$2:$E$501,H14,Clients!$S$2:$S$501,"Paid")&gt;0)),"⚠ Refunded before – no free video",IF(OR(O14="Contract signed + paid",O14="Closed – No response",O14="Lost"),"",IF(O14="","Set a stage",IF(N(Q14)&gt;=Settings!$S$3,"Close – 4 follow-ups sent",IF(R14="",IF(P14="","Make first contact",""),IF(TODAY()&gt;R14,"OVERDUE follow-up",IF(TODAY()=R14,"Follow up today",""))))))))</f>
        <v/>
      </c>
    </row>
    <row r="15" customFormat="false" ht="15" hidden="false" customHeight="false" outlineLevel="0" collapsed="false">
      <c r="A15" s="17"/>
      <c r="B15" s="38"/>
      <c r="C15" s="17"/>
      <c r="D15" s="17"/>
      <c r="E15" s="17"/>
      <c r="F15" s="17"/>
      <c r="G15" s="17"/>
      <c r="H15" s="40"/>
      <c r="I15" s="17"/>
      <c r="J15" s="17"/>
      <c r="K15" s="17"/>
      <c r="L15" s="17"/>
      <c r="M15" s="17"/>
      <c r="N15" s="17"/>
      <c r="O15" s="17"/>
      <c r="P15" s="38"/>
      <c r="Q15" s="17"/>
      <c r="R15" s="42" t="str">
        <f aca="false">IF(OR(D15="",P15="",OR(O15="Contract signed + paid",O15="Closed – No response",O15="Lost"),N(Q15)&gt;=Settings!$S$3),"",P15+Settings!$S$2)</f>
        <v/>
      </c>
      <c r="S15" s="38"/>
      <c r="T15" s="39"/>
      <c r="U15" s="17"/>
      <c r="V15" s="17"/>
      <c r="W15" s="17"/>
      <c r="X15" s="43" t="str">
        <f aca="true">IF(OR(D15="",B15=""),"",INT(TODAY()-B15))</f>
        <v/>
      </c>
      <c r="Y15" s="44" t="str">
        <f aca="true">IF(D15="","",IF(OR(COUNTIFS(Clients!$C$2:$C$501,D15,Clients!$S$2:$S$501,"Paid")&gt;0,AND(H15&lt;&gt;"",COUNTIFS(Clients!$E$2:$E$501,H15,Clients!$S$2:$S$501,"Paid")&gt;0)),"⚠ Refunded before – no free video",IF(OR(O15="Contract signed + paid",O15="Closed – No response",O15="Lost"),"",IF(O15="","Set a stage",IF(N(Q15)&gt;=Settings!$S$3,"Close – 4 follow-ups sent",IF(R15="",IF(P15="","Make first contact",""),IF(TODAY()&gt;R15,"OVERDUE follow-up",IF(TODAY()=R15,"Follow up today",""))))))))</f>
        <v/>
      </c>
    </row>
    <row r="16" customFormat="false" ht="15" hidden="false" customHeight="false" outlineLevel="0" collapsed="false">
      <c r="A16" s="17"/>
      <c r="B16" s="38"/>
      <c r="C16" s="17"/>
      <c r="D16" s="17"/>
      <c r="E16" s="17"/>
      <c r="F16" s="17"/>
      <c r="G16" s="17"/>
      <c r="H16" s="40"/>
      <c r="I16" s="17"/>
      <c r="J16" s="17"/>
      <c r="K16" s="17"/>
      <c r="L16" s="17"/>
      <c r="M16" s="17"/>
      <c r="N16" s="17"/>
      <c r="O16" s="17"/>
      <c r="P16" s="38"/>
      <c r="Q16" s="17"/>
      <c r="R16" s="42" t="str">
        <f aca="false">IF(OR(D16="",P16="",OR(O16="Contract signed + paid",O16="Closed – No response",O16="Lost"),N(Q16)&gt;=Settings!$S$3),"",P16+Settings!$S$2)</f>
        <v/>
      </c>
      <c r="S16" s="38"/>
      <c r="T16" s="39"/>
      <c r="U16" s="17"/>
      <c r="V16" s="17"/>
      <c r="W16" s="17"/>
      <c r="X16" s="43" t="str">
        <f aca="true">IF(OR(D16="",B16=""),"",INT(TODAY()-B16))</f>
        <v/>
      </c>
      <c r="Y16" s="44" t="str">
        <f aca="true">IF(D16="","",IF(OR(COUNTIFS(Clients!$C$2:$C$501,D16,Clients!$S$2:$S$501,"Paid")&gt;0,AND(H16&lt;&gt;"",COUNTIFS(Clients!$E$2:$E$501,H16,Clients!$S$2:$S$501,"Paid")&gt;0)),"⚠ Refunded before – no free video",IF(OR(O16="Contract signed + paid",O16="Closed – No response",O16="Lost"),"",IF(O16="","Set a stage",IF(N(Q16)&gt;=Settings!$S$3,"Close – 4 follow-ups sent",IF(R16="",IF(P16="","Make first contact",""),IF(TODAY()&gt;R16,"OVERDUE follow-up",IF(TODAY()=R16,"Follow up today",""))))))))</f>
        <v/>
      </c>
    </row>
    <row r="17" customFormat="false" ht="15" hidden="false" customHeight="false" outlineLevel="0" collapsed="false">
      <c r="A17" s="17"/>
      <c r="B17" s="38"/>
      <c r="C17" s="17"/>
      <c r="D17" s="17"/>
      <c r="E17" s="17"/>
      <c r="F17" s="17"/>
      <c r="G17" s="17"/>
      <c r="H17" s="40"/>
      <c r="I17" s="17"/>
      <c r="J17" s="17"/>
      <c r="K17" s="17"/>
      <c r="L17" s="17"/>
      <c r="M17" s="17"/>
      <c r="N17" s="17"/>
      <c r="O17" s="17"/>
      <c r="P17" s="38"/>
      <c r="Q17" s="17"/>
      <c r="R17" s="42" t="str">
        <f aca="false">IF(OR(D17="",P17="",OR(O17="Contract signed + paid",O17="Closed – No response",O17="Lost"),N(Q17)&gt;=Settings!$S$3),"",P17+Settings!$S$2)</f>
        <v/>
      </c>
      <c r="S17" s="38"/>
      <c r="T17" s="39"/>
      <c r="U17" s="17"/>
      <c r="V17" s="17"/>
      <c r="W17" s="17"/>
      <c r="X17" s="43" t="str">
        <f aca="true">IF(OR(D17="",B17=""),"",INT(TODAY()-B17))</f>
        <v/>
      </c>
      <c r="Y17" s="44" t="str">
        <f aca="true">IF(D17="","",IF(OR(COUNTIFS(Clients!$C$2:$C$501,D17,Clients!$S$2:$S$501,"Paid")&gt;0,AND(H17&lt;&gt;"",COUNTIFS(Clients!$E$2:$E$501,H17,Clients!$S$2:$S$501,"Paid")&gt;0)),"⚠ Refunded before – no free video",IF(OR(O17="Contract signed + paid",O17="Closed – No response",O17="Lost"),"",IF(O17="","Set a stage",IF(N(Q17)&gt;=Settings!$S$3,"Close – 4 follow-ups sent",IF(R17="",IF(P17="","Make first contact",""),IF(TODAY()&gt;R17,"OVERDUE follow-up",IF(TODAY()=R17,"Follow up today",""))))))))</f>
        <v/>
      </c>
    </row>
    <row r="18" customFormat="false" ht="15" hidden="false" customHeight="false" outlineLevel="0" collapsed="false">
      <c r="A18" s="17"/>
      <c r="B18" s="38"/>
      <c r="C18" s="17"/>
      <c r="D18" s="17"/>
      <c r="E18" s="17"/>
      <c r="F18" s="17"/>
      <c r="G18" s="17"/>
      <c r="H18" s="40"/>
      <c r="I18" s="17"/>
      <c r="J18" s="17"/>
      <c r="K18" s="17"/>
      <c r="L18" s="17"/>
      <c r="M18" s="17"/>
      <c r="N18" s="17"/>
      <c r="O18" s="17"/>
      <c r="P18" s="38"/>
      <c r="Q18" s="17"/>
      <c r="R18" s="42" t="str">
        <f aca="false">IF(OR(D18="",P18="",OR(O18="Contract signed + paid",O18="Closed – No response",O18="Lost"),N(Q18)&gt;=Settings!$S$3),"",P18+Settings!$S$2)</f>
        <v/>
      </c>
      <c r="S18" s="38"/>
      <c r="T18" s="39"/>
      <c r="U18" s="17"/>
      <c r="V18" s="17"/>
      <c r="W18" s="17"/>
      <c r="X18" s="43" t="str">
        <f aca="true">IF(OR(D18="",B18=""),"",INT(TODAY()-B18))</f>
        <v/>
      </c>
      <c r="Y18" s="44" t="str">
        <f aca="true">IF(D18="","",IF(OR(COUNTIFS(Clients!$C$2:$C$501,D18,Clients!$S$2:$S$501,"Paid")&gt;0,AND(H18&lt;&gt;"",COUNTIFS(Clients!$E$2:$E$501,H18,Clients!$S$2:$S$501,"Paid")&gt;0)),"⚠ Refunded before – no free video",IF(OR(O18="Contract signed + paid",O18="Closed – No response",O18="Lost"),"",IF(O18="","Set a stage",IF(N(Q18)&gt;=Settings!$S$3,"Close – 4 follow-ups sent",IF(R18="",IF(P18="","Make first contact",""),IF(TODAY()&gt;R18,"OVERDUE follow-up",IF(TODAY()=R18,"Follow up today",""))))))))</f>
        <v/>
      </c>
    </row>
    <row r="19" customFormat="false" ht="15" hidden="false" customHeight="false" outlineLevel="0" collapsed="false">
      <c r="A19" s="17"/>
      <c r="B19" s="38"/>
      <c r="C19" s="17"/>
      <c r="D19" s="17"/>
      <c r="E19" s="17"/>
      <c r="F19" s="17"/>
      <c r="G19" s="17"/>
      <c r="H19" s="40"/>
      <c r="I19" s="17"/>
      <c r="J19" s="17"/>
      <c r="K19" s="17"/>
      <c r="L19" s="17"/>
      <c r="M19" s="17"/>
      <c r="N19" s="17"/>
      <c r="O19" s="17"/>
      <c r="P19" s="38"/>
      <c r="Q19" s="17"/>
      <c r="R19" s="42" t="str">
        <f aca="false">IF(OR(D19="",P19="",OR(O19="Contract signed + paid",O19="Closed – No response",O19="Lost"),N(Q19)&gt;=Settings!$S$3),"",P19+Settings!$S$2)</f>
        <v/>
      </c>
      <c r="S19" s="38"/>
      <c r="T19" s="39"/>
      <c r="U19" s="17"/>
      <c r="V19" s="17"/>
      <c r="W19" s="17"/>
      <c r="X19" s="43" t="str">
        <f aca="true">IF(OR(D19="",B19=""),"",INT(TODAY()-B19))</f>
        <v/>
      </c>
      <c r="Y19" s="44" t="str">
        <f aca="true">IF(D19="","",IF(OR(COUNTIFS(Clients!$C$2:$C$501,D19,Clients!$S$2:$S$501,"Paid")&gt;0,AND(H19&lt;&gt;"",COUNTIFS(Clients!$E$2:$E$501,H19,Clients!$S$2:$S$501,"Paid")&gt;0)),"⚠ Refunded before – no free video",IF(OR(O19="Contract signed + paid",O19="Closed – No response",O19="Lost"),"",IF(O19="","Set a stage",IF(N(Q19)&gt;=Settings!$S$3,"Close – 4 follow-ups sent",IF(R19="",IF(P19="","Make first contact",""),IF(TODAY()&gt;R19,"OVERDUE follow-up",IF(TODAY()=R19,"Follow up today",""))))))))</f>
        <v/>
      </c>
    </row>
    <row r="20" customFormat="false" ht="15" hidden="false" customHeight="false" outlineLevel="0" collapsed="false">
      <c r="A20" s="17"/>
      <c r="B20" s="38"/>
      <c r="C20" s="17"/>
      <c r="D20" s="17"/>
      <c r="E20" s="17"/>
      <c r="F20" s="17"/>
      <c r="G20" s="17"/>
      <c r="H20" s="40"/>
      <c r="I20" s="17"/>
      <c r="J20" s="17"/>
      <c r="K20" s="17"/>
      <c r="L20" s="17"/>
      <c r="M20" s="17"/>
      <c r="N20" s="17"/>
      <c r="O20" s="17"/>
      <c r="P20" s="38"/>
      <c r="Q20" s="17"/>
      <c r="R20" s="42" t="str">
        <f aca="false">IF(OR(D20="",P20="",OR(O20="Contract signed + paid",O20="Closed – No response",O20="Lost"),N(Q20)&gt;=Settings!$S$3),"",P20+Settings!$S$2)</f>
        <v/>
      </c>
      <c r="S20" s="38"/>
      <c r="T20" s="39"/>
      <c r="U20" s="17"/>
      <c r="V20" s="17"/>
      <c r="W20" s="17"/>
      <c r="X20" s="43" t="str">
        <f aca="true">IF(OR(D20="",B20=""),"",INT(TODAY()-B20))</f>
        <v/>
      </c>
      <c r="Y20" s="44" t="str">
        <f aca="true">IF(D20="","",IF(OR(COUNTIFS(Clients!$C$2:$C$501,D20,Clients!$S$2:$S$501,"Paid")&gt;0,AND(H20&lt;&gt;"",COUNTIFS(Clients!$E$2:$E$501,H20,Clients!$S$2:$S$501,"Paid")&gt;0)),"⚠ Refunded before – no free video",IF(OR(O20="Contract signed + paid",O20="Closed – No response",O20="Lost"),"",IF(O20="","Set a stage",IF(N(Q20)&gt;=Settings!$S$3,"Close – 4 follow-ups sent",IF(R20="",IF(P20="","Make first contact",""),IF(TODAY()&gt;R20,"OVERDUE follow-up",IF(TODAY()=R20,"Follow up today",""))))))))</f>
        <v/>
      </c>
    </row>
    <row r="21" customFormat="false" ht="15" hidden="false" customHeight="false" outlineLevel="0" collapsed="false">
      <c r="A21" s="17"/>
      <c r="B21" s="38"/>
      <c r="C21" s="17"/>
      <c r="D21" s="17"/>
      <c r="E21" s="17"/>
      <c r="F21" s="17"/>
      <c r="G21" s="17"/>
      <c r="H21" s="40"/>
      <c r="I21" s="17"/>
      <c r="J21" s="17"/>
      <c r="K21" s="17"/>
      <c r="L21" s="17"/>
      <c r="M21" s="17"/>
      <c r="N21" s="17"/>
      <c r="O21" s="17"/>
      <c r="P21" s="38"/>
      <c r="Q21" s="17"/>
      <c r="R21" s="42" t="str">
        <f aca="false">IF(OR(D21="",P21="",OR(O21="Contract signed + paid",O21="Closed – No response",O21="Lost"),N(Q21)&gt;=Settings!$S$3),"",P21+Settings!$S$2)</f>
        <v/>
      </c>
      <c r="S21" s="38"/>
      <c r="T21" s="39"/>
      <c r="U21" s="17"/>
      <c r="V21" s="17"/>
      <c r="W21" s="17"/>
      <c r="X21" s="43" t="str">
        <f aca="true">IF(OR(D21="",B21=""),"",INT(TODAY()-B21))</f>
        <v/>
      </c>
      <c r="Y21" s="44" t="str">
        <f aca="true">IF(D21="","",IF(OR(COUNTIFS(Clients!$C$2:$C$501,D21,Clients!$S$2:$S$501,"Paid")&gt;0,AND(H21&lt;&gt;"",COUNTIFS(Clients!$E$2:$E$501,H21,Clients!$S$2:$S$501,"Paid")&gt;0)),"⚠ Refunded before – no free video",IF(OR(O21="Contract signed + paid",O21="Closed – No response",O21="Lost"),"",IF(O21="","Set a stage",IF(N(Q21)&gt;=Settings!$S$3,"Close – 4 follow-ups sent",IF(R21="",IF(P21="","Make first contact",""),IF(TODAY()&gt;R21,"OVERDUE follow-up",IF(TODAY()=R21,"Follow up today",""))))))))</f>
        <v/>
      </c>
    </row>
    <row r="22" customFormat="false" ht="15" hidden="false" customHeight="false" outlineLevel="0" collapsed="false">
      <c r="A22" s="17"/>
      <c r="B22" s="38"/>
      <c r="C22" s="17"/>
      <c r="D22" s="17"/>
      <c r="E22" s="17"/>
      <c r="F22" s="17"/>
      <c r="G22" s="17"/>
      <c r="H22" s="40"/>
      <c r="I22" s="17"/>
      <c r="J22" s="17"/>
      <c r="K22" s="17"/>
      <c r="L22" s="17"/>
      <c r="M22" s="17"/>
      <c r="N22" s="17"/>
      <c r="O22" s="17"/>
      <c r="P22" s="38"/>
      <c r="Q22" s="17"/>
      <c r="R22" s="42" t="str">
        <f aca="false">IF(OR(D22="",P22="",OR(O22="Contract signed + paid",O22="Closed – No response",O22="Lost"),N(Q22)&gt;=Settings!$S$3),"",P22+Settings!$S$2)</f>
        <v/>
      </c>
      <c r="S22" s="38"/>
      <c r="T22" s="39"/>
      <c r="U22" s="17"/>
      <c r="V22" s="17"/>
      <c r="W22" s="17"/>
      <c r="X22" s="43" t="str">
        <f aca="true">IF(OR(D22="",B22=""),"",INT(TODAY()-B22))</f>
        <v/>
      </c>
      <c r="Y22" s="44" t="str">
        <f aca="true">IF(D22="","",IF(OR(COUNTIFS(Clients!$C$2:$C$501,D22,Clients!$S$2:$S$501,"Paid")&gt;0,AND(H22&lt;&gt;"",COUNTIFS(Clients!$E$2:$E$501,H22,Clients!$S$2:$S$501,"Paid")&gt;0)),"⚠ Refunded before – no free video",IF(OR(O22="Contract signed + paid",O22="Closed – No response",O22="Lost"),"",IF(O22="","Set a stage",IF(N(Q22)&gt;=Settings!$S$3,"Close – 4 follow-ups sent",IF(R22="",IF(P22="","Make first contact",""),IF(TODAY()&gt;R22,"OVERDUE follow-up",IF(TODAY()=R22,"Follow up today",""))))))))</f>
        <v/>
      </c>
    </row>
    <row r="23" customFormat="false" ht="15" hidden="false" customHeight="false" outlineLevel="0" collapsed="false">
      <c r="A23" s="17"/>
      <c r="B23" s="38"/>
      <c r="C23" s="17"/>
      <c r="D23" s="17"/>
      <c r="E23" s="17"/>
      <c r="F23" s="17"/>
      <c r="G23" s="17"/>
      <c r="H23" s="40"/>
      <c r="I23" s="17"/>
      <c r="J23" s="17"/>
      <c r="K23" s="17"/>
      <c r="L23" s="17"/>
      <c r="M23" s="17"/>
      <c r="N23" s="17"/>
      <c r="O23" s="17"/>
      <c r="P23" s="38"/>
      <c r="Q23" s="17"/>
      <c r="R23" s="42" t="str">
        <f aca="false">IF(OR(D23="",P23="",OR(O23="Contract signed + paid",O23="Closed – No response",O23="Lost"),N(Q23)&gt;=Settings!$S$3),"",P23+Settings!$S$2)</f>
        <v/>
      </c>
      <c r="S23" s="38"/>
      <c r="T23" s="39"/>
      <c r="U23" s="17"/>
      <c r="V23" s="17"/>
      <c r="W23" s="17"/>
      <c r="X23" s="43" t="str">
        <f aca="true">IF(OR(D23="",B23=""),"",INT(TODAY()-B23))</f>
        <v/>
      </c>
      <c r="Y23" s="44" t="str">
        <f aca="true">IF(D23="","",IF(OR(COUNTIFS(Clients!$C$2:$C$501,D23,Clients!$S$2:$S$501,"Paid")&gt;0,AND(H23&lt;&gt;"",COUNTIFS(Clients!$E$2:$E$501,H23,Clients!$S$2:$S$501,"Paid")&gt;0)),"⚠ Refunded before – no free video",IF(OR(O23="Contract signed + paid",O23="Closed – No response",O23="Lost"),"",IF(O23="","Set a stage",IF(N(Q23)&gt;=Settings!$S$3,"Close – 4 follow-ups sent",IF(R23="",IF(P23="","Make first contact",""),IF(TODAY()&gt;R23,"OVERDUE follow-up",IF(TODAY()=R23,"Follow up today",""))))))))</f>
        <v/>
      </c>
    </row>
    <row r="24" customFormat="false" ht="15" hidden="false" customHeight="false" outlineLevel="0" collapsed="false">
      <c r="A24" s="17"/>
      <c r="B24" s="38"/>
      <c r="C24" s="17"/>
      <c r="D24" s="17"/>
      <c r="E24" s="17"/>
      <c r="F24" s="17"/>
      <c r="G24" s="17"/>
      <c r="H24" s="40"/>
      <c r="I24" s="17"/>
      <c r="J24" s="17"/>
      <c r="K24" s="17"/>
      <c r="L24" s="17"/>
      <c r="M24" s="17"/>
      <c r="N24" s="17"/>
      <c r="O24" s="17"/>
      <c r="P24" s="38"/>
      <c r="Q24" s="17"/>
      <c r="R24" s="42" t="str">
        <f aca="false">IF(OR(D24="",P24="",OR(O24="Contract signed + paid",O24="Closed – No response",O24="Lost"),N(Q24)&gt;=Settings!$S$3),"",P24+Settings!$S$2)</f>
        <v/>
      </c>
      <c r="S24" s="38"/>
      <c r="T24" s="39"/>
      <c r="U24" s="17"/>
      <c r="V24" s="17"/>
      <c r="W24" s="17"/>
      <c r="X24" s="43" t="str">
        <f aca="true">IF(OR(D24="",B24=""),"",INT(TODAY()-B24))</f>
        <v/>
      </c>
      <c r="Y24" s="44" t="str">
        <f aca="true">IF(D24="","",IF(OR(COUNTIFS(Clients!$C$2:$C$501,D24,Clients!$S$2:$S$501,"Paid")&gt;0,AND(H24&lt;&gt;"",COUNTIFS(Clients!$E$2:$E$501,H24,Clients!$S$2:$S$501,"Paid")&gt;0)),"⚠ Refunded before – no free video",IF(OR(O24="Contract signed + paid",O24="Closed – No response",O24="Lost"),"",IF(O24="","Set a stage",IF(N(Q24)&gt;=Settings!$S$3,"Close – 4 follow-ups sent",IF(R24="",IF(P24="","Make first contact",""),IF(TODAY()&gt;R24,"OVERDUE follow-up",IF(TODAY()=R24,"Follow up today",""))))))))</f>
        <v/>
      </c>
    </row>
    <row r="25" customFormat="false" ht="15" hidden="false" customHeight="false" outlineLevel="0" collapsed="false">
      <c r="A25" s="17"/>
      <c r="B25" s="38"/>
      <c r="C25" s="17"/>
      <c r="D25" s="17"/>
      <c r="E25" s="17"/>
      <c r="F25" s="17"/>
      <c r="G25" s="17"/>
      <c r="H25" s="40"/>
      <c r="I25" s="17"/>
      <c r="J25" s="17"/>
      <c r="K25" s="17"/>
      <c r="L25" s="17"/>
      <c r="M25" s="17"/>
      <c r="N25" s="17"/>
      <c r="O25" s="17"/>
      <c r="P25" s="38"/>
      <c r="Q25" s="17"/>
      <c r="R25" s="42" t="str">
        <f aca="false">IF(OR(D25="",P25="",OR(O25="Contract signed + paid",O25="Closed – No response",O25="Lost"),N(Q25)&gt;=Settings!$S$3),"",P25+Settings!$S$2)</f>
        <v/>
      </c>
      <c r="S25" s="38"/>
      <c r="T25" s="39"/>
      <c r="U25" s="17"/>
      <c r="V25" s="17"/>
      <c r="W25" s="17"/>
      <c r="X25" s="43" t="str">
        <f aca="true">IF(OR(D25="",B25=""),"",INT(TODAY()-B25))</f>
        <v/>
      </c>
      <c r="Y25" s="44" t="str">
        <f aca="true">IF(D25="","",IF(OR(COUNTIFS(Clients!$C$2:$C$501,D25,Clients!$S$2:$S$501,"Paid")&gt;0,AND(H25&lt;&gt;"",COUNTIFS(Clients!$E$2:$E$501,H25,Clients!$S$2:$S$501,"Paid")&gt;0)),"⚠ Refunded before – no free video",IF(OR(O25="Contract signed + paid",O25="Closed – No response",O25="Lost"),"",IF(O25="","Set a stage",IF(N(Q25)&gt;=Settings!$S$3,"Close – 4 follow-ups sent",IF(R25="",IF(P25="","Make first contact",""),IF(TODAY()&gt;R25,"OVERDUE follow-up",IF(TODAY()=R25,"Follow up today",""))))))))</f>
        <v/>
      </c>
    </row>
    <row r="26" customFormat="false" ht="15" hidden="false" customHeight="false" outlineLevel="0" collapsed="false">
      <c r="A26" s="17"/>
      <c r="B26" s="38"/>
      <c r="C26" s="17"/>
      <c r="D26" s="17"/>
      <c r="E26" s="17"/>
      <c r="F26" s="17"/>
      <c r="G26" s="17"/>
      <c r="H26" s="40"/>
      <c r="I26" s="17"/>
      <c r="J26" s="17"/>
      <c r="K26" s="17"/>
      <c r="L26" s="17"/>
      <c r="M26" s="17"/>
      <c r="N26" s="17"/>
      <c r="O26" s="17"/>
      <c r="P26" s="38"/>
      <c r="Q26" s="17"/>
      <c r="R26" s="42" t="str">
        <f aca="false">IF(OR(D26="",P26="",OR(O26="Contract signed + paid",O26="Closed – No response",O26="Lost"),N(Q26)&gt;=Settings!$S$3),"",P26+Settings!$S$2)</f>
        <v/>
      </c>
      <c r="S26" s="38"/>
      <c r="T26" s="39"/>
      <c r="U26" s="17"/>
      <c r="V26" s="17"/>
      <c r="W26" s="17"/>
      <c r="X26" s="43" t="str">
        <f aca="true">IF(OR(D26="",B26=""),"",INT(TODAY()-B26))</f>
        <v/>
      </c>
      <c r="Y26" s="44" t="str">
        <f aca="true">IF(D26="","",IF(OR(COUNTIFS(Clients!$C$2:$C$501,D26,Clients!$S$2:$S$501,"Paid")&gt;0,AND(H26&lt;&gt;"",COUNTIFS(Clients!$E$2:$E$501,H26,Clients!$S$2:$S$501,"Paid")&gt;0)),"⚠ Refunded before – no free video",IF(OR(O26="Contract signed + paid",O26="Closed – No response",O26="Lost"),"",IF(O26="","Set a stage",IF(N(Q26)&gt;=Settings!$S$3,"Close – 4 follow-ups sent",IF(R26="",IF(P26="","Make first contact",""),IF(TODAY()&gt;R26,"OVERDUE follow-up",IF(TODAY()=R26,"Follow up today",""))))))))</f>
        <v/>
      </c>
    </row>
    <row r="27" customFormat="false" ht="15" hidden="false" customHeight="false" outlineLevel="0" collapsed="false">
      <c r="A27" s="17"/>
      <c r="B27" s="38"/>
      <c r="C27" s="17"/>
      <c r="D27" s="17"/>
      <c r="E27" s="17"/>
      <c r="F27" s="17"/>
      <c r="G27" s="17"/>
      <c r="H27" s="40"/>
      <c r="I27" s="17"/>
      <c r="J27" s="17"/>
      <c r="K27" s="17"/>
      <c r="L27" s="17"/>
      <c r="M27" s="17"/>
      <c r="N27" s="17"/>
      <c r="O27" s="17"/>
      <c r="P27" s="38"/>
      <c r="Q27" s="17"/>
      <c r="R27" s="42" t="str">
        <f aca="false">IF(OR(D27="",P27="",OR(O27="Contract signed + paid",O27="Closed – No response",O27="Lost"),N(Q27)&gt;=Settings!$S$3),"",P27+Settings!$S$2)</f>
        <v/>
      </c>
      <c r="S27" s="38"/>
      <c r="T27" s="39"/>
      <c r="U27" s="17"/>
      <c r="V27" s="17"/>
      <c r="W27" s="17"/>
      <c r="X27" s="43" t="str">
        <f aca="true">IF(OR(D27="",B27=""),"",INT(TODAY()-B27))</f>
        <v/>
      </c>
      <c r="Y27" s="44" t="str">
        <f aca="true">IF(D27="","",IF(OR(COUNTIFS(Clients!$C$2:$C$501,D27,Clients!$S$2:$S$501,"Paid")&gt;0,AND(H27&lt;&gt;"",COUNTIFS(Clients!$E$2:$E$501,H27,Clients!$S$2:$S$501,"Paid")&gt;0)),"⚠ Refunded before – no free video",IF(OR(O27="Contract signed + paid",O27="Closed – No response",O27="Lost"),"",IF(O27="","Set a stage",IF(N(Q27)&gt;=Settings!$S$3,"Close – 4 follow-ups sent",IF(R27="",IF(P27="","Make first contact",""),IF(TODAY()&gt;R27,"OVERDUE follow-up",IF(TODAY()=R27,"Follow up today",""))))))))</f>
        <v/>
      </c>
    </row>
    <row r="28" customFormat="false" ht="15" hidden="false" customHeight="false" outlineLevel="0" collapsed="false">
      <c r="A28" s="17"/>
      <c r="B28" s="38"/>
      <c r="C28" s="17"/>
      <c r="D28" s="17"/>
      <c r="E28" s="17"/>
      <c r="F28" s="17"/>
      <c r="G28" s="17"/>
      <c r="H28" s="40"/>
      <c r="I28" s="17"/>
      <c r="J28" s="17"/>
      <c r="K28" s="17"/>
      <c r="L28" s="17"/>
      <c r="M28" s="17"/>
      <c r="N28" s="17"/>
      <c r="O28" s="17"/>
      <c r="P28" s="38"/>
      <c r="Q28" s="17"/>
      <c r="R28" s="42" t="str">
        <f aca="false">IF(OR(D28="",P28="",OR(O28="Contract signed + paid",O28="Closed – No response",O28="Lost"),N(Q28)&gt;=Settings!$S$3),"",P28+Settings!$S$2)</f>
        <v/>
      </c>
      <c r="S28" s="38"/>
      <c r="T28" s="39"/>
      <c r="U28" s="17"/>
      <c r="V28" s="17"/>
      <c r="W28" s="17"/>
      <c r="X28" s="43" t="str">
        <f aca="true">IF(OR(D28="",B28=""),"",INT(TODAY()-B28))</f>
        <v/>
      </c>
      <c r="Y28" s="44" t="str">
        <f aca="true">IF(D28="","",IF(OR(COUNTIFS(Clients!$C$2:$C$501,D28,Clients!$S$2:$S$501,"Paid")&gt;0,AND(H28&lt;&gt;"",COUNTIFS(Clients!$E$2:$E$501,H28,Clients!$S$2:$S$501,"Paid")&gt;0)),"⚠ Refunded before – no free video",IF(OR(O28="Contract signed + paid",O28="Closed – No response",O28="Lost"),"",IF(O28="","Set a stage",IF(N(Q28)&gt;=Settings!$S$3,"Close – 4 follow-ups sent",IF(R28="",IF(P28="","Make first contact",""),IF(TODAY()&gt;R28,"OVERDUE follow-up",IF(TODAY()=R28,"Follow up today",""))))))))</f>
        <v/>
      </c>
    </row>
    <row r="29" customFormat="false" ht="15" hidden="false" customHeight="false" outlineLevel="0" collapsed="false">
      <c r="A29" s="17"/>
      <c r="B29" s="38"/>
      <c r="C29" s="17"/>
      <c r="D29" s="17"/>
      <c r="E29" s="17"/>
      <c r="F29" s="17"/>
      <c r="G29" s="17"/>
      <c r="H29" s="40"/>
      <c r="I29" s="17"/>
      <c r="J29" s="17"/>
      <c r="K29" s="17"/>
      <c r="L29" s="17"/>
      <c r="M29" s="17"/>
      <c r="N29" s="17"/>
      <c r="O29" s="17"/>
      <c r="P29" s="38"/>
      <c r="Q29" s="17"/>
      <c r="R29" s="42" t="str">
        <f aca="false">IF(OR(D29="",P29="",OR(O29="Contract signed + paid",O29="Closed – No response",O29="Lost"),N(Q29)&gt;=Settings!$S$3),"",P29+Settings!$S$2)</f>
        <v/>
      </c>
      <c r="S29" s="38"/>
      <c r="T29" s="39"/>
      <c r="U29" s="17"/>
      <c r="V29" s="17"/>
      <c r="W29" s="17"/>
      <c r="X29" s="43" t="str">
        <f aca="true">IF(OR(D29="",B29=""),"",INT(TODAY()-B29))</f>
        <v/>
      </c>
      <c r="Y29" s="44" t="str">
        <f aca="true">IF(D29="","",IF(OR(COUNTIFS(Clients!$C$2:$C$501,D29,Clients!$S$2:$S$501,"Paid")&gt;0,AND(H29&lt;&gt;"",COUNTIFS(Clients!$E$2:$E$501,H29,Clients!$S$2:$S$501,"Paid")&gt;0)),"⚠ Refunded before – no free video",IF(OR(O29="Contract signed + paid",O29="Closed – No response",O29="Lost"),"",IF(O29="","Set a stage",IF(N(Q29)&gt;=Settings!$S$3,"Close – 4 follow-ups sent",IF(R29="",IF(P29="","Make first contact",""),IF(TODAY()&gt;R29,"OVERDUE follow-up",IF(TODAY()=R29,"Follow up today",""))))))))</f>
        <v/>
      </c>
    </row>
    <row r="30" customFormat="false" ht="15" hidden="false" customHeight="false" outlineLevel="0" collapsed="false">
      <c r="A30" s="17"/>
      <c r="B30" s="38"/>
      <c r="C30" s="17"/>
      <c r="D30" s="17"/>
      <c r="E30" s="17"/>
      <c r="F30" s="17"/>
      <c r="G30" s="17"/>
      <c r="H30" s="40"/>
      <c r="I30" s="17"/>
      <c r="J30" s="17"/>
      <c r="K30" s="17"/>
      <c r="L30" s="17"/>
      <c r="M30" s="17"/>
      <c r="N30" s="17"/>
      <c r="O30" s="17"/>
      <c r="P30" s="38"/>
      <c r="Q30" s="17"/>
      <c r="R30" s="42" t="str">
        <f aca="false">IF(OR(D30="",P30="",OR(O30="Contract signed + paid",O30="Closed – No response",O30="Lost"),N(Q30)&gt;=Settings!$S$3),"",P30+Settings!$S$2)</f>
        <v/>
      </c>
      <c r="S30" s="38"/>
      <c r="T30" s="39"/>
      <c r="U30" s="17"/>
      <c r="V30" s="17"/>
      <c r="W30" s="17"/>
      <c r="X30" s="43" t="str">
        <f aca="true">IF(OR(D30="",B30=""),"",INT(TODAY()-B30))</f>
        <v/>
      </c>
      <c r="Y30" s="44" t="str">
        <f aca="true">IF(D30="","",IF(OR(COUNTIFS(Clients!$C$2:$C$501,D30,Clients!$S$2:$S$501,"Paid")&gt;0,AND(H30&lt;&gt;"",COUNTIFS(Clients!$E$2:$E$501,H30,Clients!$S$2:$S$501,"Paid")&gt;0)),"⚠ Refunded before – no free video",IF(OR(O30="Contract signed + paid",O30="Closed – No response",O30="Lost"),"",IF(O30="","Set a stage",IF(N(Q30)&gt;=Settings!$S$3,"Close – 4 follow-ups sent",IF(R30="",IF(P30="","Make first contact",""),IF(TODAY()&gt;R30,"OVERDUE follow-up",IF(TODAY()=R30,"Follow up today",""))))))))</f>
        <v/>
      </c>
    </row>
    <row r="31" customFormat="false" ht="15" hidden="false" customHeight="false" outlineLevel="0" collapsed="false">
      <c r="A31" s="17"/>
      <c r="B31" s="38"/>
      <c r="C31" s="17"/>
      <c r="D31" s="17"/>
      <c r="E31" s="17"/>
      <c r="F31" s="17"/>
      <c r="G31" s="17"/>
      <c r="H31" s="40"/>
      <c r="I31" s="17"/>
      <c r="J31" s="17"/>
      <c r="K31" s="17"/>
      <c r="L31" s="17"/>
      <c r="M31" s="17"/>
      <c r="N31" s="17"/>
      <c r="O31" s="17"/>
      <c r="P31" s="38"/>
      <c r="Q31" s="17"/>
      <c r="R31" s="42" t="str">
        <f aca="false">IF(OR(D31="",P31="",OR(O31="Contract signed + paid",O31="Closed – No response",O31="Lost"),N(Q31)&gt;=Settings!$S$3),"",P31+Settings!$S$2)</f>
        <v/>
      </c>
      <c r="S31" s="38"/>
      <c r="T31" s="39"/>
      <c r="U31" s="17"/>
      <c r="V31" s="17"/>
      <c r="W31" s="17"/>
      <c r="X31" s="43" t="str">
        <f aca="true">IF(OR(D31="",B31=""),"",INT(TODAY()-B31))</f>
        <v/>
      </c>
      <c r="Y31" s="44" t="str">
        <f aca="true">IF(D31="","",IF(OR(COUNTIFS(Clients!$C$2:$C$501,D31,Clients!$S$2:$S$501,"Paid")&gt;0,AND(H31&lt;&gt;"",COUNTIFS(Clients!$E$2:$E$501,H31,Clients!$S$2:$S$501,"Paid")&gt;0)),"⚠ Refunded before – no free video",IF(OR(O31="Contract signed + paid",O31="Closed – No response",O31="Lost"),"",IF(O31="","Set a stage",IF(N(Q31)&gt;=Settings!$S$3,"Close – 4 follow-ups sent",IF(R31="",IF(P31="","Make first contact",""),IF(TODAY()&gt;R31,"OVERDUE follow-up",IF(TODAY()=R31,"Follow up today",""))))))))</f>
        <v/>
      </c>
    </row>
    <row r="32" customFormat="false" ht="15" hidden="false" customHeight="false" outlineLevel="0" collapsed="false">
      <c r="A32" s="17"/>
      <c r="B32" s="38"/>
      <c r="C32" s="17"/>
      <c r="D32" s="17"/>
      <c r="E32" s="17"/>
      <c r="F32" s="17"/>
      <c r="G32" s="17"/>
      <c r="H32" s="40"/>
      <c r="I32" s="17"/>
      <c r="J32" s="17"/>
      <c r="K32" s="17"/>
      <c r="L32" s="17"/>
      <c r="M32" s="17"/>
      <c r="N32" s="17"/>
      <c r="O32" s="17"/>
      <c r="P32" s="38"/>
      <c r="Q32" s="17"/>
      <c r="R32" s="42" t="str">
        <f aca="false">IF(OR(D32="",P32="",OR(O32="Contract signed + paid",O32="Closed – No response",O32="Lost"),N(Q32)&gt;=Settings!$S$3),"",P32+Settings!$S$2)</f>
        <v/>
      </c>
      <c r="S32" s="38"/>
      <c r="T32" s="39"/>
      <c r="U32" s="17"/>
      <c r="V32" s="17"/>
      <c r="W32" s="17"/>
      <c r="X32" s="43" t="str">
        <f aca="true">IF(OR(D32="",B32=""),"",INT(TODAY()-B32))</f>
        <v/>
      </c>
      <c r="Y32" s="44" t="str">
        <f aca="true">IF(D32="","",IF(OR(COUNTIFS(Clients!$C$2:$C$501,D32,Clients!$S$2:$S$501,"Paid")&gt;0,AND(H32&lt;&gt;"",COUNTIFS(Clients!$E$2:$E$501,H32,Clients!$S$2:$S$501,"Paid")&gt;0)),"⚠ Refunded before – no free video",IF(OR(O32="Contract signed + paid",O32="Closed – No response",O32="Lost"),"",IF(O32="","Set a stage",IF(N(Q32)&gt;=Settings!$S$3,"Close – 4 follow-ups sent",IF(R32="",IF(P32="","Make first contact",""),IF(TODAY()&gt;R32,"OVERDUE follow-up",IF(TODAY()=R32,"Follow up today",""))))))))</f>
        <v/>
      </c>
    </row>
    <row r="33" customFormat="false" ht="15" hidden="false" customHeight="false" outlineLevel="0" collapsed="false">
      <c r="A33" s="17"/>
      <c r="B33" s="38"/>
      <c r="C33" s="17"/>
      <c r="D33" s="17"/>
      <c r="E33" s="17"/>
      <c r="F33" s="17"/>
      <c r="G33" s="17"/>
      <c r="H33" s="40"/>
      <c r="I33" s="17"/>
      <c r="J33" s="17"/>
      <c r="K33" s="17"/>
      <c r="L33" s="17"/>
      <c r="M33" s="17"/>
      <c r="N33" s="17"/>
      <c r="O33" s="17"/>
      <c r="P33" s="38"/>
      <c r="Q33" s="17"/>
      <c r="R33" s="42" t="str">
        <f aca="false">IF(OR(D33="",P33="",OR(O33="Contract signed + paid",O33="Closed – No response",O33="Lost"),N(Q33)&gt;=Settings!$S$3),"",P33+Settings!$S$2)</f>
        <v/>
      </c>
      <c r="S33" s="38"/>
      <c r="T33" s="39"/>
      <c r="U33" s="17"/>
      <c r="V33" s="17"/>
      <c r="W33" s="17"/>
      <c r="X33" s="43" t="str">
        <f aca="true">IF(OR(D33="",B33=""),"",INT(TODAY()-B33))</f>
        <v/>
      </c>
      <c r="Y33" s="44" t="str">
        <f aca="true">IF(D33="","",IF(OR(COUNTIFS(Clients!$C$2:$C$501,D33,Clients!$S$2:$S$501,"Paid")&gt;0,AND(H33&lt;&gt;"",COUNTIFS(Clients!$E$2:$E$501,H33,Clients!$S$2:$S$501,"Paid")&gt;0)),"⚠ Refunded before – no free video",IF(OR(O33="Contract signed + paid",O33="Closed – No response",O33="Lost"),"",IF(O33="","Set a stage",IF(N(Q33)&gt;=Settings!$S$3,"Close – 4 follow-ups sent",IF(R33="",IF(P33="","Make first contact",""),IF(TODAY()&gt;R33,"OVERDUE follow-up",IF(TODAY()=R33,"Follow up today",""))))))))</f>
        <v/>
      </c>
    </row>
    <row r="34" customFormat="false" ht="15" hidden="false" customHeight="false" outlineLevel="0" collapsed="false">
      <c r="A34" s="17"/>
      <c r="B34" s="38"/>
      <c r="C34" s="17"/>
      <c r="D34" s="17"/>
      <c r="E34" s="17"/>
      <c r="F34" s="17"/>
      <c r="G34" s="17"/>
      <c r="H34" s="40"/>
      <c r="I34" s="17"/>
      <c r="J34" s="17"/>
      <c r="K34" s="17"/>
      <c r="L34" s="17"/>
      <c r="M34" s="17"/>
      <c r="N34" s="17"/>
      <c r="O34" s="17"/>
      <c r="P34" s="38"/>
      <c r="Q34" s="17"/>
      <c r="R34" s="42" t="str">
        <f aca="false">IF(OR(D34="",P34="",OR(O34="Contract signed + paid",O34="Closed – No response",O34="Lost"),N(Q34)&gt;=Settings!$S$3),"",P34+Settings!$S$2)</f>
        <v/>
      </c>
      <c r="S34" s="38"/>
      <c r="T34" s="39"/>
      <c r="U34" s="17"/>
      <c r="V34" s="17"/>
      <c r="W34" s="17"/>
      <c r="X34" s="43" t="str">
        <f aca="true">IF(OR(D34="",B34=""),"",INT(TODAY()-B34))</f>
        <v/>
      </c>
      <c r="Y34" s="44" t="str">
        <f aca="true">IF(D34="","",IF(OR(COUNTIFS(Clients!$C$2:$C$501,D34,Clients!$S$2:$S$501,"Paid")&gt;0,AND(H34&lt;&gt;"",COUNTIFS(Clients!$E$2:$E$501,H34,Clients!$S$2:$S$501,"Paid")&gt;0)),"⚠ Refunded before – no free video",IF(OR(O34="Contract signed + paid",O34="Closed – No response",O34="Lost"),"",IF(O34="","Set a stage",IF(N(Q34)&gt;=Settings!$S$3,"Close – 4 follow-ups sent",IF(R34="",IF(P34="","Make first contact",""),IF(TODAY()&gt;R34,"OVERDUE follow-up",IF(TODAY()=R34,"Follow up today",""))))))))</f>
        <v/>
      </c>
    </row>
    <row r="35" customFormat="false" ht="15" hidden="false" customHeight="false" outlineLevel="0" collapsed="false">
      <c r="A35" s="17"/>
      <c r="B35" s="38"/>
      <c r="C35" s="17"/>
      <c r="D35" s="17"/>
      <c r="E35" s="17"/>
      <c r="F35" s="17"/>
      <c r="G35" s="17"/>
      <c r="H35" s="40"/>
      <c r="I35" s="17"/>
      <c r="J35" s="17"/>
      <c r="K35" s="17"/>
      <c r="L35" s="17"/>
      <c r="M35" s="17"/>
      <c r="N35" s="17"/>
      <c r="O35" s="17"/>
      <c r="P35" s="38"/>
      <c r="Q35" s="17"/>
      <c r="R35" s="42" t="str">
        <f aca="false">IF(OR(D35="",P35="",OR(O35="Contract signed + paid",O35="Closed – No response",O35="Lost"),N(Q35)&gt;=Settings!$S$3),"",P35+Settings!$S$2)</f>
        <v/>
      </c>
      <c r="S35" s="38"/>
      <c r="T35" s="39"/>
      <c r="U35" s="17"/>
      <c r="V35" s="17"/>
      <c r="W35" s="17"/>
      <c r="X35" s="43" t="str">
        <f aca="true">IF(OR(D35="",B35=""),"",INT(TODAY()-B35))</f>
        <v/>
      </c>
      <c r="Y35" s="44" t="str">
        <f aca="true">IF(D35="","",IF(OR(COUNTIFS(Clients!$C$2:$C$501,D35,Clients!$S$2:$S$501,"Paid")&gt;0,AND(H35&lt;&gt;"",COUNTIFS(Clients!$E$2:$E$501,H35,Clients!$S$2:$S$501,"Paid")&gt;0)),"⚠ Refunded before – no free video",IF(OR(O35="Contract signed + paid",O35="Closed – No response",O35="Lost"),"",IF(O35="","Set a stage",IF(N(Q35)&gt;=Settings!$S$3,"Close – 4 follow-ups sent",IF(R35="",IF(P35="","Make first contact",""),IF(TODAY()&gt;R35,"OVERDUE follow-up",IF(TODAY()=R35,"Follow up today",""))))))))</f>
        <v/>
      </c>
    </row>
    <row r="36" customFormat="false" ht="15" hidden="false" customHeight="false" outlineLevel="0" collapsed="false">
      <c r="A36" s="17"/>
      <c r="B36" s="38"/>
      <c r="C36" s="17"/>
      <c r="D36" s="17"/>
      <c r="E36" s="17"/>
      <c r="F36" s="17"/>
      <c r="G36" s="17"/>
      <c r="H36" s="40"/>
      <c r="I36" s="17"/>
      <c r="J36" s="17"/>
      <c r="K36" s="17"/>
      <c r="L36" s="17"/>
      <c r="M36" s="17"/>
      <c r="N36" s="17"/>
      <c r="O36" s="17"/>
      <c r="P36" s="38"/>
      <c r="Q36" s="17"/>
      <c r="R36" s="42" t="str">
        <f aca="false">IF(OR(D36="",P36="",OR(O36="Contract signed + paid",O36="Closed – No response",O36="Lost"),N(Q36)&gt;=Settings!$S$3),"",P36+Settings!$S$2)</f>
        <v/>
      </c>
      <c r="S36" s="38"/>
      <c r="T36" s="39"/>
      <c r="U36" s="17"/>
      <c r="V36" s="17"/>
      <c r="W36" s="17"/>
      <c r="X36" s="43" t="str">
        <f aca="true">IF(OR(D36="",B36=""),"",INT(TODAY()-B36))</f>
        <v/>
      </c>
      <c r="Y36" s="44" t="str">
        <f aca="true">IF(D36="","",IF(OR(COUNTIFS(Clients!$C$2:$C$501,D36,Clients!$S$2:$S$501,"Paid")&gt;0,AND(H36&lt;&gt;"",COUNTIFS(Clients!$E$2:$E$501,H36,Clients!$S$2:$S$501,"Paid")&gt;0)),"⚠ Refunded before – no free video",IF(OR(O36="Contract signed + paid",O36="Closed – No response",O36="Lost"),"",IF(O36="","Set a stage",IF(N(Q36)&gt;=Settings!$S$3,"Close – 4 follow-ups sent",IF(R36="",IF(P36="","Make first contact",""),IF(TODAY()&gt;R36,"OVERDUE follow-up",IF(TODAY()=R36,"Follow up today",""))))))))</f>
        <v/>
      </c>
    </row>
    <row r="37" customFormat="false" ht="15" hidden="false" customHeight="false" outlineLevel="0" collapsed="false">
      <c r="A37" s="17"/>
      <c r="B37" s="38"/>
      <c r="C37" s="17"/>
      <c r="D37" s="17"/>
      <c r="E37" s="17"/>
      <c r="F37" s="17"/>
      <c r="G37" s="17"/>
      <c r="H37" s="40"/>
      <c r="I37" s="17"/>
      <c r="J37" s="17"/>
      <c r="K37" s="17"/>
      <c r="L37" s="17"/>
      <c r="M37" s="17"/>
      <c r="N37" s="17"/>
      <c r="O37" s="17"/>
      <c r="P37" s="38"/>
      <c r="Q37" s="17"/>
      <c r="R37" s="42" t="str">
        <f aca="false">IF(OR(D37="",P37="",OR(O37="Contract signed + paid",O37="Closed – No response",O37="Lost"),N(Q37)&gt;=Settings!$S$3),"",P37+Settings!$S$2)</f>
        <v/>
      </c>
      <c r="S37" s="38"/>
      <c r="T37" s="39"/>
      <c r="U37" s="17"/>
      <c r="V37" s="17"/>
      <c r="W37" s="17"/>
      <c r="X37" s="43" t="str">
        <f aca="true">IF(OR(D37="",B37=""),"",INT(TODAY()-B37))</f>
        <v/>
      </c>
      <c r="Y37" s="44" t="str">
        <f aca="true">IF(D37="","",IF(OR(COUNTIFS(Clients!$C$2:$C$501,D37,Clients!$S$2:$S$501,"Paid")&gt;0,AND(H37&lt;&gt;"",COUNTIFS(Clients!$E$2:$E$501,H37,Clients!$S$2:$S$501,"Paid")&gt;0)),"⚠ Refunded before – no free video",IF(OR(O37="Contract signed + paid",O37="Closed – No response",O37="Lost"),"",IF(O37="","Set a stage",IF(N(Q37)&gt;=Settings!$S$3,"Close – 4 follow-ups sent",IF(R37="",IF(P37="","Make first contact",""),IF(TODAY()&gt;R37,"OVERDUE follow-up",IF(TODAY()=R37,"Follow up today",""))))))))</f>
        <v/>
      </c>
    </row>
    <row r="38" customFormat="false" ht="15" hidden="false" customHeight="false" outlineLevel="0" collapsed="false">
      <c r="A38" s="17"/>
      <c r="B38" s="38"/>
      <c r="C38" s="17"/>
      <c r="D38" s="17"/>
      <c r="E38" s="17"/>
      <c r="F38" s="17"/>
      <c r="G38" s="17"/>
      <c r="H38" s="40"/>
      <c r="I38" s="17"/>
      <c r="J38" s="17"/>
      <c r="K38" s="17"/>
      <c r="L38" s="17"/>
      <c r="M38" s="17"/>
      <c r="N38" s="17"/>
      <c r="O38" s="17"/>
      <c r="P38" s="38"/>
      <c r="Q38" s="17"/>
      <c r="R38" s="42" t="str">
        <f aca="false">IF(OR(D38="",P38="",OR(O38="Contract signed + paid",O38="Closed – No response",O38="Lost"),N(Q38)&gt;=Settings!$S$3),"",P38+Settings!$S$2)</f>
        <v/>
      </c>
      <c r="S38" s="38"/>
      <c r="T38" s="39"/>
      <c r="U38" s="17"/>
      <c r="V38" s="17"/>
      <c r="W38" s="17"/>
      <c r="X38" s="43" t="str">
        <f aca="true">IF(OR(D38="",B38=""),"",INT(TODAY()-B38))</f>
        <v/>
      </c>
      <c r="Y38" s="44" t="str">
        <f aca="true">IF(D38="","",IF(OR(COUNTIFS(Clients!$C$2:$C$501,D38,Clients!$S$2:$S$501,"Paid")&gt;0,AND(H38&lt;&gt;"",COUNTIFS(Clients!$E$2:$E$501,H38,Clients!$S$2:$S$501,"Paid")&gt;0)),"⚠ Refunded before – no free video",IF(OR(O38="Contract signed + paid",O38="Closed – No response",O38="Lost"),"",IF(O38="","Set a stage",IF(N(Q38)&gt;=Settings!$S$3,"Close – 4 follow-ups sent",IF(R38="",IF(P38="","Make first contact",""),IF(TODAY()&gt;R38,"OVERDUE follow-up",IF(TODAY()=R38,"Follow up today",""))))))))</f>
        <v/>
      </c>
    </row>
    <row r="39" customFormat="false" ht="15" hidden="false" customHeight="false" outlineLevel="0" collapsed="false">
      <c r="A39" s="17"/>
      <c r="B39" s="38"/>
      <c r="C39" s="17"/>
      <c r="D39" s="17"/>
      <c r="E39" s="17"/>
      <c r="F39" s="17"/>
      <c r="G39" s="17"/>
      <c r="H39" s="40"/>
      <c r="I39" s="17"/>
      <c r="J39" s="17"/>
      <c r="K39" s="17"/>
      <c r="L39" s="17"/>
      <c r="M39" s="17"/>
      <c r="N39" s="17"/>
      <c r="O39" s="17"/>
      <c r="P39" s="38"/>
      <c r="Q39" s="17"/>
      <c r="R39" s="42" t="str">
        <f aca="false">IF(OR(D39="",P39="",OR(O39="Contract signed + paid",O39="Closed – No response",O39="Lost"),N(Q39)&gt;=Settings!$S$3),"",P39+Settings!$S$2)</f>
        <v/>
      </c>
      <c r="S39" s="38"/>
      <c r="T39" s="39"/>
      <c r="U39" s="17"/>
      <c r="V39" s="17"/>
      <c r="W39" s="17"/>
      <c r="X39" s="43" t="str">
        <f aca="true">IF(OR(D39="",B39=""),"",INT(TODAY()-B39))</f>
        <v/>
      </c>
      <c r="Y39" s="44" t="str">
        <f aca="true">IF(D39="","",IF(OR(COUNTIFS(Clients!$C$2:$C$501,D39,Clients!$S$2:$S$501,"Paid")&gt;0,AND(H39&lt;&gt;"",COUNTIFS(Clients!$E$2:$E$501,H39,Clients!$S$2:$S$501,"Paid")&gt;0)),"⚠ Refunded before – no free video",IF(OR(O39="Contract signed + paid",O39="Closed – No response",O39="Lost"),"",IF(O39="","Set a stage",IF(N(Q39)&gt;=Settings!$S$3,"Close – 4 follow-ups sent",IF(R39="",IF(P39="","Make first contact",""),IF(TODAY()&gt;R39,"OVERDUE follow-up",IF(TODAY()=R39,"Follow up today",""))))))))</f>
        <v/>
      </c>
    </row>
    <row r="40" customFormat="false" ht="15" hidden="false" customHeight="false" outlineLevel="0" collapsed="false">
      <c r="A40" s="17"/>
      <c r="B40" s="38"/>
      <c r="C40" s="17"/>
      <c r="D40" s="17"/>
      <c r="E40" s="17"/>
      <c r="F40" s="17"/>
      <c r="G40" s="17"/>
      <c r="H40" s="40"/>
      <c r="I40" s="17"/>
      <c r="J40" s="17"/>
      <c r="K40" s="17"/>
      <c r="L40" s="17"/>
      <c r="M40" s="17"/>
      <c r="N40" s="17"/>
      <c r="O40" s="17"/>
      <c r="P40" s="38"/>
      <c r="Q40" s="17"/>
      <c r="R40" s="42" t="str">
        <f aca="false">IF(OR(D40="",P40="",OR(O40="Contract signed + paid",O40="Closed – No response",O40="Lost"),N(Q40)&gt;=Settings!$S$3),"",P40+Settings!$S$2)</f>
        <v/>
      </c>
      <c r="S40" s="38"/>
      <c r="T40" s="39"/>
      <c r="U40" s="17"/>
      <c r="V40" s="17"/>
      <c r="W40" s="17"/>
      <c r="X40" s="43" t="str">
        <f aca="true">IF(OR(D40="",B40=""),"",INT(TODAY()-B40))</f>
        <v/>
      </c>
      <c r="Y40" s="44" t="str">
        <f aca="true">IF(D40="","",IF(OR(COUNTIFS(Clients!$C$2:$C$501,D40,Clients!$S$2:$S$501,"Paid")&gt;0,AND(H40&lt;&gt;"",COUNTIFS(Clients!$E$2:$E$501,H40,Clients!$S$2:$S$501,"Paid")&gt;0)),"⚠ Refunded before – no free video",IF(OR(O40="Contract signed + paid",O40="Closed – No response",O40="Lost"),"",IF(O40="","Set a stage",IF(N(Q40)&gt;=Settings!$S$3,"Close – 4 follow-ups sent",IF(R40="",IF(P40="","Make first contact",""),IF(TODAY()&gt;R40,"OVERDUE follow-up",IF(TODAY()=R40,"Follow up today",""))))))))</f>
        <v/>
      </c>
    </row>
    <row r="41" customFormat="false" ht="15" hidden="false" customHeight="false" outlineLevel="0" collapsed="false">
      <c r="A41" s="17"/>
      <c r="B41" s="38"/>
      <c r="C41" s="17"/>
      <c r="D41" s="17"/>
      <c r="E41" s="17"/>
      <c r="F41" s="17"/>
      <c r="G41" s="17"/>
      <c r="H41" s="40"/>
      <c r="I41" s="17"/>
      <c r="J41" s="17"/>
      <c r="K41" s="17"/>
      <c r="L41" s="17"/>
      <c r="M41" s="17"/>
      <c r="N41" s="17"/>
      <c r="O41" s="17"/>
      <c r="P41" s="38"/>
      <c r="Q41" s="17"/>
      <c r="R41" s="42" t="str">
        <f aca="false">IF(OR(D41="",P41="",OR(O41="Contract signed + paid",O41="Closed – No response",O41="Lost"),N(Q41)&gt;=Settings!$S$3),"",P41+Settings!$S$2)</f>
        <v/>
      </c>
      <c r="S41" s="38"/>
      <c r="T41" s="39"/>
      <c r="U41" s="17"/>
      <c r="V41" s="17"/>
      <c r="W41" s="17"/>
      <c r="X41" s="43" t="str">
        <f aca="true">IF(OR(D41="",B41=""),"",INT(TODAY()-B41))</f>
        <v/>
      </c>
      <c r="Y41" s="44" t="str">
        <f aca="true">IF(D41="","",IF(OR(COUNTIFS(Clients!$C$2:$C$501,D41,Clients!$S$2:$S$501,"Paid")&gt;0,AND(H41&lt;&gt;"",COUNTIFS(Clients!$E$2:$E$501,H41,Clients!$S$2:$S$501,"Paid")&gt;0)),"⚠ Refunded before – no free video",IF(OR(O41="Contract signed + paid",O41="Closed – No response",O41="Lost"),"",IF(O41="","Set a stage",IF(N(Q41)&gt;=Settings!$S$3,"Close – 4 follow-ups sent",IF(R41="",IF(P41="","Make first contact",""),IF(TODAY()&gt;R41,"OVERDUE follow-up",IF(TODAY()=R41,"Follow up today",""))))))))</f>
        <v/>
      </c>
    </row>
    <row r="42" customFormat="false" ht="15" hidden="false" customHeight="false" outlineLevel="0" collapsed="false">
      <c r="A42" s="17"/>
      <c r="B42" s="38"/>
      <c r="C42" s="17"/>
      <c r="D42" s="17"/>
      <c r="E42" s="17"/>
      <c r="F42" s="17"/>
      <c r="G42" s="17"/>
      <c r="H42" s="40"/>
      <c r="I42" s="17"/>
      <c r="J42" s="17"/>
      <c r="K42" s="17"/>
      <c r="L42" s="17"/>
      <c r="M42" s="17"/>
      <c r="N42" s="17"/>
      <c r="O42" s="17"/>
      <c r="P42" s="38"/>
      <c r="Q42" s="17"/>
      <c r="R42" s="42" t="str">
        <f aca="false">IF(OR(D42="",P42="",OR(O42="Contract signed + paid",O42="Closed – No response",O42="Lost"),N(Q42)&gt;=Settings!$S$3),"",P42+Settings!$S$2)</f>
        <v/>
      </c>
      <c r="S42" s="38"/>
      <c r="T42" s="39"/>
      <c r="U42" s="17"/>
      <c r="V42" s="17"/>
      <c r="W42" s="17"/>
      <c r="X42" s="43" t="str">
        <f aca="true">IF(OR(D42="",B42=""),"",INT(TODAY()-B42))</f>
        <v/>
      </c>
      <c r="Y42" s="44" t="str">
        <f aca="true">IF(D42="","",IF(OR(COUNTIFS(Clients!$C$2:$C$501,D42,Clients!$S$2:$S$501,"Paid")&gt;0,AND(H42&lt;&gt;"",COUNTIFS(Clients!$E$2:$E$501,H42,Clients!$S$2:$S$501,"Paid")&gt;0)),"⚠ Refunded before – no free video",IF(OR(O42="Contract signed + paid",O42="Closed – No response",O42="Lost"),"",IF(O42="","Set a stage",IF(N(Q42)&gt;=Settings!$S$3,"Close – 4 follow-ups sent",IF(R42="",IF(P42="","Make first contact",""),IF(TODAY()&gt;R42,"OVERDUE follow-up",IF(TODAY()=R42,"Follow up today",""))))))))</f>
        <v/>
      </c>
    </row>
    <row r="43" customFormat="false" ht="15" hidden="false" customHeight="false" outlineLevel="0" collapsed="false">
      <c r="A43" s="17"/>
      <c r="B43" s="38"/>
      <c r="C43" s="17"/>
      <c r="D43" s="17"/>
      <c r="E43" s="17"/>
      <c r="F43" s="17"/>
      <c r="G43" s="17"/>
      <c r="H43" s="40"/>
      <c r="I43" s="17"/>
      <c r="J43" s="17"/>
      <c r="K43" s="17"/>
      <c r="L43" s="17"/>
      <c r="M43" s="17"/>
      <c r="N43" s="17"/>
      <c r="O43" s="17"/>
      <c r="P43" s="38"/>
      <c r="Q43" s="17"/>
      <c r="R43" s="42" t="str">
        <f aca="false">IF(OR(D43="",P43="",OR(O43="Contract signed + paid",O43="Closed – No response",O43="Lost"),N(Q43)&gt;=Settings!$S$3),"",P43+Settings!$S$2)</f>
        <v/>
      </c>
      <c r="S43" s="38"/>
      <c r="T43" s="39"/>
      <c r="U43" s="17"/>
      <c r="V43" s="17"/>
      <c r="W43" s="17"/>
      <c r="X43" s="43" t="str">
        <f aca="true">IF(OR(D43="",B43=""),"",INT(TODAY()-B43))</f>
        <v/>
      </c>
      <c r="Y43" s="44" t="str">
        <f aca="true">IF(D43="","",IF(OR(COUNTIFS(Clients!$C$2:$C$501,D43,Clients!$S$2:$S$501,"Paid")&gt;0,AND(H43&lt;&gt;"",COUNTIFS(Clients!$E$2:$E$501,H43,Clients!$S$2:$S$501,"Paid")&gt;0)),"⚠ Refunded before – no free video",IF(OR(O43="Contract signed + paid",O43="Closed – No response",O43="Lost"),"",IF(O43="","Set a stage",IF(N(Q43)&gt;=Settings!$S$3,"Close – 4 follow-ups sent",IF(R43="",IF(P43="","Make first contact",""),IF(TODAY()&gt;R43,"OVERDUE follow-up",IF(TODAY()=R43,"Follow up today",""))))))))</f>
        <v/>
      </c>
    </row>
    <row r="44" customFormat="false" ht="15" hidden="false" customHeight="false" outlineLevel="0" collapsed="false">
      <c r="A44" s="17"/>
      <c r="B44" s="38"/>
      <c r="C44" s="17"/>
      <c r="D44" s="17"/>
      <c r="E44" s="17"/>
      <c r="F44" s="17"/>
      <c r="G44" s="17"/>
      <c r="H44" s="40"/>
      <c r="I44" s="17"/>
      <c r="J44" s="17"/>
      <c r="K44" s="17"/>
      <c r="L44" s="17"/>
      <c r="M44" s="17"/>
      <c r="N44" s="17"/>
      <c r="O44" s="17"/>
      <c r="P44" s="38"/>
      <c r="Q44" s="17"/>
      <c r="R44" s="42" t="str">
        <f aca="false">IF(OR(D44="",P44="",OR(O44="Contract signed + paid",O44="Closed – No response",O44="Lost"),N(Q44)&gt;=Settings!$S$3),"",P44+Settings!$S$2)</f>
        <v/>
      </c>
      <c r="S44" s="38"/>
      <c r="T44" s="39"/>
      <c r="U44" s="17"/>
      <c r="V44" s="17"/>
      <c r="W44" s="17"/>
      <c r="X44" s="43" t="str">
        <f aca="true">IF(OR(D44="",B44=""),"",INT(TODAY()-B44))</f>
        <v/>
      </c>
      <c r="Y44" s="44" t="str">
        <f aca="true">IF(D44="","",IF(OR(COUNTIFS(Clients!$C$2:$C$501,D44,Clients!$S$2:$S$501,"Paid")&gt;0,AND(H44&lt;&gt;"",COUNTIFS(Clients!$E$2:$E$501,H44,Clients!$S$2:$S$501,"Paid")&gt;0)),"⚠ Refunded before – no free video",IF(OR(O44="Contract signed + paid",O44="Closed – No response",O44="Lost"),"",IF(O44="","Set a stage",IF(N(Q44)&gt;=Settings!$S$3,"Close – 4 follow-ups sent",IF(R44="",IF(P44="","Make first contact",""),IF(TODAY()&gt;R44,"OVERDUE follow-up",IF(TODAY()=R44,"Follow up today",""))))))))</f>
        <v/>
      </c>
    </row>
    <row r="45" customFormat="false" ht="15" hidden="false" customHeight="false" outlineLevel="0" collapsed="false">
      <c r="A45" s="17"/>
      <c r="B45" s="38"/>
      <c r="C45" s="17"/>
      <c r="D45" s="17"/>
      <c r="E45" s="17"/>
      <c r="F45" s="17"/>
      <c r="G45" s="17"/>
      <c r="H45" s="40"/>
      <c r="I45" s="17"/>
      <c r="J45" s="17"/>
      <c r="K45" s="17"/>
      <c r="L45" s="17"/>
      <c r="M45" s="17"/>
      <c r="N45" s="17"/>
      <c r="O45" s="17"/>
      <c r="P45" s="38"/>
      <c r="Q45" s="17"/>
      <c r="R45" s="42" t="str">
        <f aca="false">IF(OR(D45="",P45="",OR(O45="Contract signed + paid",O45="Closed – No response",O45="Lost"),N(Q45)&gt;=Settings!$S$3),"",P45+Settings!$S$2)</f>
        <v/>
      </c>
      <c r="S45" s="38"/>
      <c r="T45" s="39"/>
      <c r="U45" s="17"/>
      <c r="V45" s="17"/>
      <c r="W45" s="17"/>
      <c r="X45" s="43" t="str">
        <f aca="true">IF(OR(D45="",B45=""),"",INT(TODAY()-B45))</f>
        <v/>
      </c>
      <c r="Y45" s="44" t="str">
        <f aca="true">IF(D45="","",IF(OR(COUNTIFS(Clients!$C$2:$C$501,D45,Clients!$S$2:$S$501,"Paid")&gt;0,AND(H45&lt;&gt;"",COUNTIFS(Clients!$E$2:$E$501,H45,Clients!$S$2:$S$501,"Paid")&gt;0)),"⚠ Refunded before – no free video",IF(OR(O45="Contract signed + paid",O45="Closed – No response",O45="Lost"),"",IF(O45="","Set a stage",IF(N(Q45)&gt;=Settings!$S$3,"Close – 4 follow-ups sent",IF(R45="",IF(P45="","Make first contact",""),IF(TODAY()&gt;R45,"OVERDUE follow-up",IF(TODAY()=R45,"Follow up today",""))))))))</f>
        <v/>
      </c>
    </row>
    <row r="46" customFormat="false" ht="15" hidden="false" customHeight="false" outlineLevel="0" collapsed="false">
      <c r="A46" s="17"/>
      <c r="B46" s="38"/>
      <c r="C46" s="17"/>
      <c r="D46" s="17"/>
      <c r="E46" s="17"/>
      <c r="F46" s="17"/>
      <c r="G46" s="17"/>
      <c r="H46" s="40"/>
      <c r="I46" s="17"/>
      <c r="J46" s="17"/>
      <c r="K46" s="17"/>
      <c r="L46" s="17"/>
      <c r="M46" s="17"/>
      <c r="N46" s="17"/>
      <c r="O46" s="17"/>
      <c r="P46" s="38"/>
      <c r="Q46" s="17"/>
      <c r="R46" s="42" t="str">
        <f aca="false">IF(OR(D46="",P46="",OR(O46="Contract signed + paid",O46="Closed – No response",O46="Lost"),N(Q46)&gt;=Settings!$S$3),"",P46+Settings!$S$2)</f>
        <v/>
      </c>
      <c r="S46" s="38"/>
      <c r="T46" s="39"/>
      <c r="U46" s="17"/>
      <c r="V46" s="17"/>
      <c r="W46" s="17"/>
      <c r="X46" s="43" t="str">
        <f aca="true">IF(OR(D46="",B46=""),"",INT(TODAY()-B46))</f>
        <v/>
      </c>
      <c r="Y46" s="44" t="str">
        <f aca="true">IF(D46="","",IF(OR(COUNTIFS(Clients!$C$2:$C$501,D46,Clients!$S$2:$S$501,"Paid")&gt;0,AND(H46&lt;&gt;"",COUNTIFS(Clients!$E$2:$E$501,H46,Clients!$S$2:$S$501,"Paid")&gt;0)),"⚠ Refunded before – no free video",IF(OR(O46="Contract signed + paid",O46="Closed – No response",O46="Lost"),"",IF(O46="","Set a stage",IF(N(Q46)&gt;=Settings!$S$3,"Close – 4 follow-ups sent",IF(R46="",IF(P46="","Make first contact",""),IF(TODAY()&gt;R46,"OVERDUE follow-up",IF(TODAY()=R46,"Follow up today",""))))))))</f>
        <v/>
      </c>
    </row>
    <row r="47" customFormat="false" ht="15" hidden="false" customHeight="false" outlineLevel="0" collapsed="false">
      <c r="A47" s="17"/>
      <c r="B47" s="38"/>
      <c r="C47" s="17"/>
      <c r="D47" s="17"/>
      <c r="E47" s="17"/>
      <c r="F47" s="17"/>
      <c r="G47" s="17"/>
      <c r="H47" s="40"/>
      <c r="I47" s="17"/>
      <c r="J47" s="17"/>
      <c r="K47" s="17"/>
      <c r="L47" s="17"/>
      <c r="M47" s="17"/>
      <c r="N47" s="17"/>
      <c r="O47" s="17"/>
      <c r="P47" s="38"/>
      <c r="Q47" s="17"/>
      <c r="R47" s="42" t="str">
        <f aca="false">IF(OR(D47="",P47="",OR(O47="Contract signed + paid",O47="Closed – No response",O47="Lost"),N(Q47)&gt;=Settings!$S$3),"",P47+Settings!$S$2)</f>
        <v/>
      </c>
      <c r="S47" s="38"/>
      <c r="T47" s="39"/>
      <c r="U47" s="17"/>
      <c r="V47" s="17"/>
      <c r="W47" s="17"/>
      <c r="X47" s="43" t="str">
        <f aca="true">IF(OR(D47="",B47=""),"",INT(TODAY()-B47))</f>
        <v/>
      </c>
      <c r="Y47" s="44" t="str">
        <f aca="true">IF(D47="","",IF(OR(COUNTIFS(Clients!$C$2:$C$501,D47,Clients!$S$2:$S$501,"Paid")&gt;0,AND(H47&lt;&gt;"",COUNTIFS(Clients!$E$2:$E$501,H47,Clients!$S$2:$S$501,"Paid")&gt;0)),"⚠ Refunded before – no free video",IF(OR(O47="Contract signed + paid",O47="Closed – No response",O47="Lost"),"",IF(O47="","Set a stage",IF(N(Q47)&gt;=Settings!$S$3,"Close – 4 follow-ups sent",IF(R47="",IF(P47="","Make first contact",""),IF(TODAY()&gt;R47,"OVERDUE follow-up",IF(TODAY()=R47,"Follow up today",""))))))))</f>
        <v/>
      </c>
    </row>
    <row r="48" customFormat="false" ht="15" hidden="false" customHeight="false" outlineLevel="0" collapsed="false">
      <c r="A48" s="17"/>
      <c r="B48" s="38"/>
      <c r="C48" s="17"/>
      <c r="D48" s="17"/>
      <c r="E48" s="17"/>
      <c r="F48" s="17"/>
      <c r="G48" s="17"/>
      <c r="H48" s="40"/>
      <c r="I48" s="17"/>
      <c r="J48" s="17"/>
      <c r="K48" s="17"/>
      <c r="L48" s="17"/>
      <c r="M48" s="17"/>
      <c r="N48" s="17"/>
      <c r="O48" s="17"/>
      <c r="P48" s="38"/>
      <c r="Q48" s="17"/>
      <c r="R48" s="42" t="str">
        <f aca="false">IF(OR(D48="",P48="",OR(O48="Contract signed + paid",O48="Closed – No response",O48="Lost"),N(Q48)&gt;=Settings!$S$3),"",P48+Settings!$S$2)</f>
        <v/>
      </c>
      <c r="S48" s="38"/>
      <c r="T48" s="39"/>
      <c r="U48" s="17"/>
      <c r="V48" s="17"/>
      <c r="W48" s="17"/>
      <c r="X48" s="43" t="str">
        <f aca="true">IF(OR(D48="",B48=""),"",INT(TODAY()-B48))</f>
        <v/>
      </c>
      <c r="Y48" s="44" t="str">
        <f aca="true">IF(D48="","",IF(OR(COUNTIFS(Clients!$C$2:$C$501,D48,Clients!$S$2:$S$501,"Paid")&gt;0,AND(H48&lt;&gt;"",COUNTIFS(Clients!$E$2:$E$501,H48,Clients!$S$2:$S$501,"Paid")&gt;0)),"⚠ Refunded before – no free video",IF(OR(O48="Contract signed + paid",O48="Closed – No response",O48="Lost"),"",IF(O48="","Set a stage",IF(N(Q48)&gt;=Settings!$S$3,"Close – 4 follow-ups sent",IF(R48="",IF(P48="","Make first contact",""),IF(TODAY()&gt;R48,"OVERDUE follow-up",IF(TODAY()=R48,"Follow up today",""))))))))</f>
        <v/>
      </c>
    </row>
    <row r="49" customFormat="false" ht="15" hidden="false" customHeight="false" outlineLevel="0" collapsed="false">
      <c r="A49" s="17"/>
      <c r="B49" s="38"/>
      <c r="C49" s="17"/>
      <c r="D49" s="17"/>
      <c r="E49" s="17"/>
      <c r="F49" s="17"/>
      <c r="G49" s="17"/>
      <c r="H49" s="40"/>
      <c r="I49" s="17"/>
      <c r="J49" s="17"/>
      <c r="K49" s="17"/>
      <c r="L49" s="17"/>
      <c r="M49" s="17"/>
      <c r="N49" s="17"/>
      <c r="O49" s="17"/>
      <c r="P49" s="38"/>
      <c r="Q49" s="17"/>
      <c r="R49" s="42" t="str">
        <f aca="false">IF(OR(D49="",P49="",OR(O49="Contract signed + paid",O49="Closed – No response",O49="Lost"),N(Q49)&gt;=Settings!$S$3),"",P49+Settings!$S$2)</f>
        <v/>
      </c>
      <c r="S49" s="38"/>
      <c r="T49" s="39"/>
      <c r="U49" s="17"/>
      <c r="V49" s="17"/>
      <c r="W49" s="17"/>
      <c r="X49" s="43" t="str">
        <f aca="true">IF(OR(D49="",B49=""),"",INT(TODAY()-B49))</f>
        <v/>
      </c>
      <c r="Y49" s="44" t="str">
        <f aca="true">IF(D49="","",IF(OR(COUNTIFS(Clients!$C$2:$C$501,D49,Clients!$S$2:$S$501,"Paid")&gt;0,AND(H49&lt;&gt;"",COUNTIFS(Clients!$E$2:$E$501,H49,Clients!$S$2:$S$501,"Paid")&gt;0)),"⚠ Refunded before – no free video",IF(OR(O49="Contract signed + paid",O49="Closed – No response",O49="Lost"),"",IF(O49="","Set a stage",IF(N(Q49)&gt;=Settings!$S$3,"Close – 4 follow-ups sent",IF(R49="",IF(P49="","Make first contact",""),IF(TODAY()&gt;R49,"OVERDUE follow-up",IF(TODAY()=R49,"Follow up today",""))))))))</f>
        <v/>
      </c>
    </row>
    <row r="50" customFormat="false" ht="15" hidden="false" customHeight="false" outlineLevel="0" collapsed="false">
      <c r="A50" s="17"/>
      <c r="B50" s="38"/>
      <c r="C50" s="17"/>
      <c r="D50" s="17"/>
      <c r="E50" s="17"/>
      <c r="F50" s="17"/>
      <c r="G50" s="17"/>
      <c r="H50" s="40"/>
      <c r="I50" s="17"/>
      <c r="J50" s="17"/>
      <c r="K50" s="17"/>
      <c r="L50" s="17"/>
      <c r="M50" s="17"/>
      <c r="N50" s="17"/>
      <c r="O50" s="17"/>
      <c r="P50" s="38"/>
      <c r="Q50" s="17"/>
      <c r="R50" s="42" t="str">
        <f aca="false">IF(OR(D50="",P50="",OR(O50="Contract signed + paid",O50="Closed – No response",O50="Lost"),N(Q50)&gt;=Settings!$S$3),"",P50+Settings!$S$2)</f>
        <v/>
      </c>
      <c r="S50" s="38"/>
      <c r="T50" s="39"/>
      <c r="U50" s="17"/>
      <c r="V50" s="17"/>
      <c r="W50" s="17"/>
      <c r="X50" s="43" t="str">
        <f aca="true">IF(OR(D50="",B50=""),"",INT(TODAY()-B50))</f>
        <v/>
      </c>
      <c r="Y50" s="44" t="str">
        <f aca="true">IF(D50="","",IF(OR(COUNTIFS(Clients!$C$2:$C$501,D50,Clients!$S$2:$S$501,"Paid")&gt;0,AND(H50&lt;&gt;"",COUNTIFS(Clients!$E$2:$E$501,H50,Clients!$S$2:$S$501,"Paid")&gt;0)),"⚠ Refunded before – no free video",IF(OR(O50="Contract signed + paid",O50="Closed – No response",O50="Lost"),"",IF(O50="","Set a stage",IF(N(Q50)&gt;=Settings!$S$3,"Close – 4 follow-ups sent",IF(R50="",IF(P50="","Make first contact",""),IF(TODAY()&gt;R50,"OVERDUE follow-up",IF(TODAY()=R50,"Follow up today",""))))))))</f>
        <v/>
      </c>
    </row>
    <row r="51" customFormat="false" ht="15" hidden="false" customHeight="false" outlineLevel="0" collapsed="false">
      <c r="A51" s="17"/>
      <c r="B51" s="38"/>
      <c r="C51" s="17"/>
      <c r="D51" s="17"/>
      <c r="E51" s="17"/>
      <c r="F51" s="17"/>
      <c r="G51" s="17"/>
      <c r="H51" s="40"/>
      <c r="I51" s="17"/>
      <c r="J51" s="17"/>
      <c r="K51" s="17"/>
      <c r="L51" s="17"/>
      <c r="M51" s="17"/>
      <c r="N51" s="17"/>
      <c r="O51" s="17"/>
      <c r="P51" s="38"/>
      <c r="Q51" s="17"/>
      <c r="R51" s="42" t="str">
        <f aca="false">IF(OR(D51="",P51="",OR(O51="Contract signed + paid",O51="Closed – No response",O51="Lost"),N(Q51)&gt;=Settings!$S$3),"",P51+Settings!$S$2)</f>
        <v/>
      </c>
      <c r="S51" s="38"/>
      <c r="T51" s="39"/>
      <c r="U51" s="17"/>
      <c r="V51" s="17"/>
      <c r="W51" s="17"/>
      <c r="X51" s="43" t="str">
        <f aca="true">IF(OR(D51="",B51=""),"",INT(TODAY()-B51))</f>
        <v/>
      </c>
      <c r="Y51" s="44" t="str">
        <f aca="true">IF(D51="","",IF(OR(COUNTIFS(Clients!$C$2:$C$501,D51,Clients!$S$2:$S$501,"Paid")&gt;0,AND(H51&lt;&gt;"",COUNTIFS(Clients!$E$2:$E$501,H51,Clients!$S$2:$S$501,"Paid")&gt;0)),"⚠ Refunded before – no free video",IF(OR(O51="Contract signed + paid",O51="Closed – No response",O51="Lost"),"",IF(O51="","Set a stage",IF(N(Q51)&gt;=Settings!$S$3,"Close – 4 follow-ups sent",IF(R51="",IF(P51="","Make first contact",""),IF(TODAY()&gt;R51,"OVERDUE follow-up",IF(TODAY()=R51,"Follow up today",""))))))))</f>
        <v/>
      </c>
    </row>
    <row r="52" customFormat="false" ht="15" hidden="false" customHeight="false" outlineLevel="0" collapsed="false">
      <c r="A52" s="17"/>
      <c r="B52" s="38"/>
      <c r="C52" s="17"/>
      <c r="D52" s="17"/>
      <c r="E52" s="17"/>
      <c r="F52" s="17"/>
      <c r="G52" s="17"/>
      <c r="H52" s="40"/>
      <c r="I52" s="17"/>
      <c r="J52" s="17"/>
      <c r="K52" s="17"/>
      <c r="L52" s="17"/>
      <c r="M52" s="17"/>
      <c r="N52" s="17"/>
      <c r="O52" s="17"/>
      <c r="P52" s="38"/>
      <c r="Q52" s="17"/>
      <c r="R52" s="42" t="str">
        <f aca="false">IF(OR(D52="",P52="",OR(O52="Contract signed + paid",O52="Closed – No response",O52="Lost"),N(Q52)&gt;=Settings!$S$3),"",P52+Settings!$S$2)</f>
        <v/>
      </c>
      <c r="S52" s="38"/>
      <c r="T52" s="39"/>
      <c r="U52" s="17"/>
      <c r="V52" s="17"/>
      <c r="W52" s="17"/>
      <c r="X52" s="43" t="str">
        <f aca="true">IF(OR(D52="",B52=""),"",INT(TODAY()-B52))</f>
        <v/>
      </c>
      <c r="Y52" s="44" t="str">
        <f aca="true">IF(D52="","",IF(OR(COUNTIFS(Clients!$C$2:$C$501,D52,Clients!$S$2:$S$501,"Paid")&gt;0,AND(H52&lt;&gt;"",COUNTIFS(Clients!$E$2:$E$501,H52,Clients!$S$2:$S$501,"Paid")&gt;0)),"⚠ Refunded before – no free video",IF(OR(O52="Contract signed + paid",O52="Closed – No response",O52="Lost"),"",IF(O52="","Set a stage",IF(N(Q52)&gt;=Settings!$S$3,"Close – 4 follow-ups sent",IF(R52="",IF(P52="","Make first contact",""),IF(TODAY()&gt;R52,"OVERDUE follow-up",IF(TODAY()=R52,"Follow up today",""))))))))</f>
        <v/>
      </c>
    </row>
    <row r="53" customFormat="false" ht="15" hidden="false" customHeight="false" outlineLevel="0" collapsed="false">
      <c r="A53" s="17"/>
      <c r="B53" s="38"/>
      <c r="C53" s="17"/>
      <c r="D53" s="17"/>
      <c r="E53" s="17"/>
      <c r="F53" s="17"/>
      <c r="G53" s="17"/>
      <c r="H53" s="40"/>
      <c r="I53" s="17"/>
      <c r="J53" s="17"/>
      <c r="K53" s="17"/>
      <c r="L53" s="17"/>
      <c r="M53" s="17"/>
      <c r="N53" s="17"/>
      <c r="O53" s="17"/>
      <c r="P53" s="38"/>
      <c r="Q53" s="17"/>
      <c r="R53" s="42" t="str">
        <f aca="false">IF(OR(D53="",P53="",OR(O53="Contract signed + paid",O53="Closed – No response",O53="Lost"),N(Q53)&gt;=Settings!$S$3),"",P53+Settings!$S$2)</f>
        <v/>
      </c>
      <c r="S53" s="38"/>
      <c r="T53" s="39"/>
      <c r="U53" s="17"/>
      <c r="V53" s="17"/>
      <c r="W53" s="17"/>
      <c r="X53" s="43" t="str">
        <f aca="true">IF(OR(D53="",B53=""),"",INT(TODAY()-B53))</f>
        <v/>
      </c>
      <c r="Y53" s="44" t="str">
        <f aca="true">IF(D53="","",IF(OR(COUNTIFS(Clients!$C$2:$C$501,D53,Clients!$S$2:$S$501,"Paid")&gt;0,AND(H53&lt;&gt;"",COUNTIFS(Clients!$E$2:$E$501,H53,Clients!$S$2:$S$501,"Paid")&gt;0)),"⚠ Refunded before – no free video",IF(OR(O53="Contract signed + paid",O53="Closed – No response",O53="Lost"),"",IF(O53="","Set a stage",IF(N(Q53)&gt;=Settings!$S$3,"Close – 4 follow-ups sent",IF(R53="",IF(P53="","Make first contact",""),IF(TODAY()&gt;R53,"OVERDUE follow-up",IF(TODAY()=R53,"Follow up today",""))))))))</f>
        <v/>
      </c>
    </row>
    <row r="54" customFormat="false" ht="15" hidden="false" customHeight="false" outlineLevel="0" collapsed="false">
      <c r="A54" s="17"/>
      <c r="B54" s="38"/>
      <c r="C54" s="17"/>
      <c r="D54" s="17"/>
      <c r="E54" s="17"/>
      <c r="F54" s="17"/>
      <c r="G54" s="17"/>
      <c r="H54" s="40"/>
      <c r="I54" s="17"/>
      <c r="J54" s="17"/>
      <c r="K54" s="17"/>
      <c r="L54" s="17"/>
      <c r="M54" s="17"/>
      <c r="N54" s="17"/>
      <c r="O54" s="17"/>
      <c r="P54" s="38"/>
      <c r="Q54" s="17"/>
      <c r="R54" s="42" t="str">
        <f aca="false">IF(OR(D54="",P54="",OR(O54="Contract signed + paid",O54="Closed – No response",O54="Lost"),N(Q54)&gt;=Settings!$S$3),"",P54+Settings!$S$2)</f>
        <v/>
      </c>
      <c r="S54" s="38"/>
      <c r="T54" s="39"/>
      <c r="U54" s="17"/>
      <c r="V54" s="17"/>
      <c r="W54" s="17"/>
      <c r="X54" s="43" t="str">
        <f aca="true">IF(OR(D54="",B54=""),"",INT(TODAY()-B54))</f>
        <v/>
      </c>
      <c r="Y54" s="44" t="str">
        <f aca="true">IF(D54="","",IF(OR(COUNTIFS(Clients!$C$2:$C$501,D54,Clients!$S$2:$S$501,"Paid")&gt;0,AND(H54&lt;&gt;"",COUNTIFS(Clients!$E$2:$E$501,H54,Clients!$S$2:$S$501,"Paid")&gt;0)),"⚠ Refunded before – no free video",IF(OR(O54="Contract signed + paid",O54="Closed – No response",O54="Lost"),"",IF(O54="","Set a stage",IF(N(Q54)&gt;=Settings!$S$3,"Close – 4 follow-ups sent",IF(R54="",IF(P54="","Make first contact",""),IF(TODAY()&gt;R54,"OVERDUE follow-up",IF(TODAY()=R54,"Follow up today",""))))))))</f>
        <v/>
      </c>
    </row>
    <row r="55" customFormat="false" ht="15" hidden="false" customHeight="false" outlineLevel="0" collapsed="false">
      <c r="A55" s="17"/>
      <c r="B55" s="38"/>
      <c r="C55" s="17"/>
      <c r="D55" s="17"/>
      <c r="E55" s="17"/>
      <c r="F55" s="17"/>
      <c r="G55" s="17"/>
      <c r="H55" s="40"/>
      <c r="I55" s="17"/>
      <c r="J55" s="17"/>
      <c r="K55" s="17"/>
      <c r="L55" s="17"/>
      <c r="M55" s="17"/>
      <c r="N55" s="17"/>
      <c r="O55" s="17"/>
      <c r="P55" s="38"/>
      <c r="Q55" s="17"/>
      <c r="R55" s="42" t="str">
        <f aca="false">IF(OR(D55="",P55="",OR(O55="Contract signed + paid",O55="Closed – No response",O55="Lost"),N(Q55)&gt;=Settings!$S$3),"",P55+Settings!$S$2)</f>
        <v/>
      </c>
      <c r="S55" s="38"/>
      <c r="T55" s="39"/>
      <c r="U55" s="17"/>
      <c r="V55" s="17"/>
      <c r="W55" s="17"/>
      <c r="X55" s="43" t="str">
        <f aca="true">IF(OR(D55="",B55=""),"",INT(TODAY()-B55))</f>
        <v/>
      </c>
      <c r="Y55" s="44" t="str">
        <f aca="true">IF(D55="","",IF(OR(COUNTIFS(Clients!$C$2:$C$501,D55,Clients!$S$2:$S$501,"Paid")&gt;0,AND(H55&lt;&gt;"",COUNTIFS(Clients!$E$2:$E$501,H55,Clients!$S$2:$S$501,"Paid")&gt;0)),"⚠ Refunded before – no free video",IF(OR(O55="Contract signed + paid",O55="Closed – No response",O55="Lost"),"",IF(O55="","Set a stage",IF(N(Q55)&gt;=Settings!$S$3,"Close – 4 follow-ups sent",IF(R55="",IF(P55="","Make first contact",""),IF(TODAY()&gt;R55,"OVERDUE follow-up",IF(TODAY()=R55,"Follow up today",""))))))))</f>
        <v/>
      </c>
    </row>
    <row r="56" customFormat="false" ht="15" hidden="false" customHeight="false" outlineLevel="0" collapsed="false">
      <c r="A56" s="17"/>
      <c r="B56" s="38"/>
      <c r="C56" s="17"/>
      <c r="D56" s="17"/>
      <c r="E56" s="17"/>
      <c r="F56" s="17"/>
      <c r="G56" s="17"/>
      <c r="H56" s="40"/>
      <c r="I56" s="17"/>
      <c r="J56" s="17"/>
      <c r="K56" s="17"/>
      <c r="L56" s="17"/>
      <c r="M56" s="17"/>
      <c r="N56" s="17"/>
      <c r="O56" s="17"/>
      <c r="P56" s="38"/>
      <c r="Q56" s="17"/>
      <c r="R56" s="42" t="str">
        <f aca="false">IF(OR(D56="",P56="",OR(O56="Contract signed + paid",O56="Closed – No response",O56="Lost"),N(Q56)&gt;=Settings!$S$3),"",P56+Settings!$S$2)</f>
        <v/>
      </c>
      <c r="S56" s="38"/>
      <c r="T56" s="39"/>
      <c r="U56" s="17"/>
      <c r="V56" s="17"/>
      <c r="W56" s="17"/>
      <c r="X56" s="43" t="str">
        <f aca="true">IF(OR(D56="",B56=""),"",INT(TODAY()-B56))</f>
        <v/>
      </c>
      <c r="Y56" s="44" t="str">
        <f aca="true">IF(D56="","",IF(OR(COUNTIFS(Clients!$C$2:$C$501,D56,Clients!$S$2:$S$501,"Paid")&gt;0,AND(H56&lt;&gt;"",COUNTIFS(Clients!$E$2:$E$501,H56,Clients!$S$2:$S$501,"Paid")&gt;0)),"⚠ Refunded before – no free video",IF(OR(O56="Contract signed + paid",O56="Closed – No response",O56="Lost"),"",IF(O56="","Set a stage",IF(N(Q56)&gt;=Settings!$S$3,"Close – 4 follow-ups sent",IF(R56="",IF(P56="","Make first contact",""),IF(TODAY()&gt;R56,"OVERDUE follow-up",IF(TODAY()=R56,"Follow up today",""))))))))</f>
        <v/>
      </c>
    </row>
    <row r="57" customFormat="false" ht="15" hidden="false" customHeight="false" outlineLevel="0" collapsed="false">
      <c r="A57" s="17"/>
      <c r="B57" s="38"/>
      <c r="C57" s="17"/>
      <c r="D57" s="17"/>
      <c r="E57" s="17"/>
      <c r="F57" s="17"/>
      <c r="G57" s="17"/>
      <c r="H57" s="40"/>
      <c r="I57" s="17"/>
      <c r="J57" s="17"/>
      <c r="K57" s="17"/>
      <c r="L57" s="17"/>
      <c r="M57" s="17"/>
      <c r="N57" s="17"/>
      <c r="O57" s="17"/>
      <c r="P57" s="38"/>
      <c r="Q57" s="17"/>
      <c r="R57" s="42" t="str">
        <f aca="false">IF(OR(D57="",P57="",OR(O57="Contract signed + paid",O57="Closed – No response",O57="Lost"),N(Q57)&gt;=Settings!$S$3),"",P57+Settings!$S$2)</f>
        <v/>
      </c>
      <c r="S57" s="38"/>
      <c r="T57" s="39"/>
      <c r="U57" s="17"/>
      <c r="V57" s="17"/>
      <c r="W57" s="17"/>
      <c r="X57" s="43" t="str">
        <f aca="true">IF(OR(D57="",B57=""),"",INT(TODAY()-B57))</f>
        <v/>
      </c>
      <c r="Y57" s="44" t="str">
        <f aca="true">IF(D57="","",IF(OR(COUNTIFS(Clients!$C$2:$C$501,D57,Clients!$S$2:$S$501,"Paid")&gt;0,AND(H57&lt;&gt;"",COUNTIFS(Clients!$E$2:$E$501,H57,Clients!$S$2:$S$501,"Paid")&gt;0)),"⚠ Refunded before – no free video",IF(OR(O57="Contract signed + paid",O57="Closed – No response",O57="Lost"),"",IF(O57="","Set a stage",IF(N(Q57)&gt;=Settings!$S$3,"Close – 4 follow-ups sent",IF(R57="",IF(P57="","Make first contact",""),IF(TODAY()&gt;R57,"OVERDUE follow-up",IF(TODAY()=R57,"Follow up today",""))))))))</f>
        <v/>
      </c>
    </row>
    <row r="58" customFormat="false" ht="15" hidden="false" customHeight="false" outlineLevel="0" collapsed="false">
      <c r="A58" s="17"/>
      <c r="B58" s="38"/>
      <c r="C58" s="17"/>
      <c r="D58" s="17"/>
      <c r="E58" s="17"/>
      <c r="F58" s="17"/>
      <c r="G58" s="17"/>
      <c r="H58" s="40"/>
      <c r="I58" s="17"/>
      <c r="J58" s="17"/>
      <c r="K58" s="17"/>
      <c r="L58" s="17"/>
      <c r="M58" s="17"/>
      <c r="N58" s="17"/>
      <c r="O58" s="17"/>
      <c r="P58" s="38"/>
      <c r="Q58" s="17"/>
      <c r="R58" s="42" t="str">
        <f aca="false">IF(OR(D58="",P58="",OR(O58="Contract signed + paid",O58="Closed – No response",O58="Lost"),N(Q58)&gt;=Settings!$S$3),"",P58+Settings!$S$2)</f>
        <v/>
      </c>
      <c r="S58" s="38"/>
      <c r="T58" s="39"/>
      <c r="U58" s="17"/>
      <c r="V58" s="17"/>
      <c r="W58" s="17"/>
      <c r="X58" s="43" t="str">
        <f aca="true">IF(OR(D58="",B58=""),"",INT(TODAY()-B58))</f>
        <v/>
      </c>
      <c r="Y58" s="44" t="str">
        <f aca="true">IF(D58="","",IF(OR(COUNTIFS(Clients!$C$2:$C$501,D58,Clients!$S$2:$S$501,"Paid")&gt;0,AND(H58&lt;&gt;"",COUNTIFS(Clients!$E$2:$E$501,H58,Clients!$S$2:$S$501,"Paid")&gt;0)),"⚠ Refunded before – no free video",IF(OR(O58="Contract signed + paid",O58="Closed – No response",O58="Lost"),"",IF(O58="","Set a stage",IF(N(Q58)&gt;=Settings!$S$3,"Close – 4 follow-ups sent",IF(R58="",IF(P58="","Make first contact",""),IF(TODAY()&gt;R58,"OVERDUE follow-up",IF(TODAY()=R58,"Follow up today",""))))))))</f>
        <v/>
      </c>
    </row>
    <row r="59" customFormat="false" ht="15" hidden="false" customHeight="false" outlineLevel="0" collapsed="false">
      <c r="A59" s="17"/>
      <c r="B59" s="38"/>
      <c r="C59" s="17"/>
      <c r="D59" s="17"/>
      <c r="E59" s="17"/>
      <c r="F59" s="17"/>
      <c r="G59" s="17"/>
      <c r="H59" s="40"/>
      <c r="I59" s="17"/>
      <c r="J59" s="17"/>
      <c r="K59" s="17"/>
      <c r="L59" s="17"/>
      <c r="M59" s="17"/>
      <c r="N59" s="17"/>
      <c r="O59" s="17"/>
      <c r="P59" s="38"/>
      <c r="Q59" s="17"/>
      <c r="R59" s="42" t="str">
        <f aca="false">IF(OR(D59="",P59="",OR(O59="Contract signed + paid",O59="Closed – No response",O59="Lost"),N(Q59)&gt;=Settings!$S$3),"",P59+Settings!$S$2)</f>
        <v/>
      </c>
      <c r="S59" s="38"/>
      <c r="T59" s="39"/>
      <c r="U59" s="17"/>
      <c r="V59" s="17"/>
      <c r="W59" s="17"/>
      <c r="X59" s="43" t="str">
        <f aca="true">IF(OR(D59="",B59=""),"",INT(TODAY()-B59))</f>
        <v/>
      </c>
      <c r="Y59" s="44" t="str">
        <f aca="true">IF(D59="","",IF(OR(COUNTIFS(Clients!$C$2:$C$501,D59,Clients!$S$2:$S$501,"Paid")&gt;0,AND(H59&lt;&gt;"",COUNTIFS(Clients!$E$2:$E$501,H59,Clients!$S$2:$S$501,"Paid")&gt;0)),"⚠ Refunded before – no free video",IF(OR(O59="Contract signed + paid",O59="Closed – No response",O59="Lost"),"",IF(O59="","Set a stage",IF(N(Q59)&gt;=Settings!$S$3,"Close – 4 follow-ups sent",IF(R59="",IF(P59="","Make first contact",""),IF(TODAY()&gt;R59,"OVERDUE follow-up",IF(TODAY()=R59,"Follow up today",""))))))))</f>
        <v/>
      </c>
    </row>
    <row r="60" customFormat="false" ht="15" hidden="false" customHeight="false" outlineLevel="0" collapsed="false">
      <c r="A60" s="17"/>
      <c r="B60" s="38"/>
      <c r="C60" s="17"/>
      <c r="D60" s="17"/>
      <c r="E60" s="17"/>
      <c r="F60" s="17"/>
      <c r="G60" s="17"/>
      <c r="H60" s="40"/>
      <c r="I60" s="17"/>
      <c r="J60" s="17"/>
      <c r="K60" s="17"/>
      <c r="L60" s="17"/>
      <c r="M60" s="17"/>
      <c r="N60" s="17"/>
      <c r="O60" s="17"/>
      <c r="P60" s="38"/>
      <c r="Q60" s="17"/>
      <c r="R60" s="42" t="str">
        <f aca="false">IF(OR(D60="",P60="",OR(O60="Contract signed + paid",O60="Closed – No response",O60="Lost"),N(Q60)&gt;=Settings!$S$3),"",P60+Settings!$S$2)</f>
        <v/>
      </c>
      <c r="S60" s="38"/>
      <c r="T60" s="39"/>
      <c r="U60" s="17"/>
      <c r="V60" s="17"/>
      <c r="W60" s="17"/>
      <c r="X60" s="43" t="str">
        <f aca="true">IF(OR(D60="",B60=""),"",INT(TODAY()-B60))</f>
        <v/>
      </c>
      <c r="Y60" s="44" t="str">
        <f aca="true">IF(D60="","",IF(OR(COUNTIFS(Clients!$C$2:$C$501,D60,Clients!$S$2:$S$501,"Paid")&gt;0,AND(H60&lt;&gt;"",COUNTIFS(Clients!$E$2:$E$501,H60,Clients!$S$2:$S$501,"Paid")&gt;0)),"⚠ Refunded before – no free video",IF(OR(O60="Contract signed + paid",O60="Closed – No response",O60="Lost"),"",IF(O60="","Set a stage",IF(N(Q60)&gt;=Settings!$S$3,"Close – 4 follow-ups sent",IF(R60="",IF(P60="","Make first contact",""),IF(TODAY()&gt;R60,"OVERDUE follow-up",IF(TODAY()=R60,"Follow up today",""))))))))</f>
        <v/>
      </c>
    </row>
    <row r="61" customFormat="false" ht="15" hidden="false" customHeight="false" outlineLevel="0" collapsed="false">
      <c r="A61" s="17"/>
      <c r="B61" s="38"/>
      <c r="C61" s="17"/>
      <c r="D61" s="17"/>
      <c r="E61" s="17"/>
      <c r="F61" s="17"/>
      <c r="G61" s="17"/>
      <c r="H61" s="40"/>
      <c r="I61" s="17"/>
      <c r="J61" s="17"/>
      <c r="K61" s="17"/>
      <c r="L61" s="17"/>
      <c r="M61" s="17"/>
      <c r="N61" s="17"/>
      <c r="O61" s="17"/>
      <c r="P61" s="38"/>
      <c r="Q61" s="17"/>
      <c r="R61" s="42" t="str">
        <f aca="false">IF(OR(D61="",P61="",OR(O61="Contract signed + paid",O61="Closed – No response",O61="Lost"),N(Q61)&gt;=Settings!$S$3),"",P61+Settings!$S$2)</f>
        <v/>
      </c>
      <c r="S61" s="38"/>
      <c r="T61" s="39"/>
      <c r="U61" s="17"/>
      <c r="V61" s="17"/>
      <c r="W61" s="17"/>
      <c r="X61" s="43" t="str">
        <f aca="true">IF(OR(D61="",B61=""),"",INT(TODAY()-B61))</f>
        <v/>
      </c>
      <c r="Y61" s="44" t="str">
        <f aca="true">IF(D61="","",IF(OR(COUNTIFS(Clients!$C$2:$C$501,D61,Clients!$S$2:$S$501,"Paid")&gt;0,AND(H61&lt;&gt;"",COUNTIFS(Clients!$E$2:$E$501,H61,Clients!$S$2:$S$501,"Paid")&gt;0)),"⚠ Refunded before – no free video",IF(OR(O61="Contract signed + paid",O61="Closed – No response",O61="Lost"),"",IF(O61="","Set a stage",IF(N(Q61)&gt;=Settings!$S$3,"Close – 4 follow-ups sent",IF(R61="",IF(P61="","Make first contact",""),IF(TODAY()&gt;R61,"OVERDUE follow-up",IF(TODAY()=R61,"Follow up today",""))))))))</f>
        <v/>
      </c>
    </row>
    <row r="62" customFormat="false" ht="15" hidden="false" customHeight="false" outlineLevel="0" collapsed="false">
      <c r="A62" s="17"/>
      <c r="B62" s="38"/>
      <c r="C62" s="17"/>
      <c r="D62" s="17"/>
      <c r="E62" s="17"/>
      <c r="F62" s="17"/>
      <c r="G62" s="17"/>
      <c r="H62" s="40"/>
      <c r="I62" s="17"/>
      <c r="J62" s="17"/>
      <c r="K62" s="17"/>
      <c r="L62" s="17"/>
      <c r="M62" s="17"/>
      <c r="N62" s="17"/>
      <c r="O62" s="17"/>
      <c r="P62" s="38"/>
      <c r="Q62" s="17"/>
      <c r="R62" s="42" t="str">
        <f aca="false">IF(OR(D62="",P62="",OR(O62="Contract signed + paid",O62="Closed – No response",O62="Lost"),N(Q62)&gt;=Settings!$S$3),"",P62+Settings!$S$2)</f>
        <v/>
      </c>
      <c r="S62" s="38"/>
      <c r="T62" s="39"/>
      <c r="U62" s="17"/>
      <c r="V62" s="17"/>
      <c r="W62" s="17"/>
      <c r="X62" s="43" t="str">
        <f aca="true">IF(OR(D62="",B62=""),"",INT(TODAY()-B62))</f>
        <v/>
      </c>
      <c r="Y62" s="44" t="str">
        <f aca="true">IF(D62="","",IF(OR(COUNTIFS(Clients!$C$2:$C$501,D62,Clients!$S$2:$S$501,"Paid")&gt;0,AND(H62&lt;&gt;"",COUNTIFS(Clients!$E$2:$E$501,H62,Clients!$S$2:$S$501,"Paid")&gt;0)),"⚠ Refunded before – no free video",IF(OR(O62="Contract signed + paid",O62="Closed – No response",O62="Lost"),"",IF(O62="","Set a stage",IF(N(Q62)&gt;=Settings!$S$3,"Close – 4 follow-ups sent",IF(R62="",IF(P62="","Make first contact",""),IF(TODAY()&gt;R62,"OVERDUE follow-up",IF(TODAY()=R62,"Follow up today",""))))))))</f>
        <v/>
      </c>
    </row>
    <row r="63" customFormat="false" ht="15" hidden="false" customHeight="false" outlineLevel="0" collapsed="false">
      <c r="A63" s="17"/>
      <c r="B63" s="38"/>
      <c r="C63" s="17"/>
      <c r="D63" s="17"/>
      <c r="E63" s="17"/>
      <c r="F63" s="17"/>
      <c r="G63" s="17"/>
      <c r="H63" s="40"/>
      <c r="I63" s="17"/>
      <c r="J63" s="17"/>
      <c r="K63" s="17"/>
      <c r="L63" s="17"/>
      <c r="M63" s="17"/>
      <c r="N63" s="17"/>
      <c r="O63" s="17"/>
      <c r="P63" s="38"/>
      <c r="Q63" s="17"/>
      <c r="R63" s="42" t="str">
        <f aca="false">IF(OR(D63="",P63="",OR(O63="Contract signed + paid",O63="Closed – No response",O63="Lost"),N(Q63)&gt;=Settings!$S$3),"",P63+Settings!$S$2)</f>
        <v/>
      </c>
      <c r="S63" s="38"/>
      <c r="T63" s="39"/>
      <c r="U63" s="17"/>
      <c r="V63" s="17"/>
      <c r="W63" s="17"/>
      <c r="X63" s="43" t="str">
        <f aca="true">IF(OR(D63="",B63=""),"",INT(TODAY()-B63))</f>
        <v/>
      </c>
      <c r="Y63" s="44" t="str">
        <f aca="true">IF(D63="","",IF(OR(COUNTIFS(Clients!$C$2:$C$501,D63,Clients!$S$2:$S$501,"Paid")&gt;0,AND(H63&lt;&gt;"",COUNTIFS(Clients!$E$2:$E$501,H63,Clients!$S$2:$S$501,"Paid")&gt;0)),"⚠ Refunded before – no free video",IF(OR(O63="Contract signed + paid",O63="Closed – No response",O63="Lost"),"",IF(O63="","Set a stage",IF(N(Q63)&gt;=Settings!$S$3,"Close – 4 follow-ups sent",IF(R63="",IF(P63="","Make first contact",""),IF(TODAY()&gt;R63,"OVERDUE follow-up",IF(TODAY()=R63,"Follow up today",""))))))))</f>
        <v/>
      </c>
    </row>
    <row r="64" customFormat="false" ht="15" hidden="false" customHeight="false" outlineLevel="0" collapsed="false">
      <c r="A64" s="17"/>
      <c r="B64" s="38"/>
      <c r="C64" s="17"/>
      <c r="D64" s="17"/>
      <c r="E64" s="17"/>
      <c r="F64" s="17"/>
      <c r="G64" s="17"/>
      <c r="H64" s="40"/>
      <c r="I64" s="17"/>
      <c r="J64" s="17"/>
      <c r="K64" s="17"/>
      <c r="L64" s="17"/>
      <c r="M64" s="17"/>
      <c r="N64" s="17"/>
      <c r="O64" s="17"/>
      <c r="P64" s="38"/>
      <c r="Q64" s="17"/>
      <c r="R64" s="42" t="str">
        <f aca="false">IF(OR(D64="",P64="",OR(O64="Contract signed + paid",O64="Closed – No response",O64="Lost"),N(Q64)&gt;=Settings!$S$3),"",P64+Settings!$S$2)</f>
        <v/>
      </c>
      <c r="S64" s="38"/>
      <c r="T64" s="39"/>
      <c r="U64" s="17"/>
      <c r="V64" s="17"/>
      <c r="W64" s="17"/>
      <c r="X64" s="43" t="str">
        <f aca="true">IF(OR(D64="",B64=""),"",INT(TODAY()-B64))</f>
        <v/>
      </c>
      <c r="Y64" s="44" t="str">
        <f aca="true">IF(D64="","",IF(OR(COUNTIFS(Clients!$C$2:$C$501,D64,Clients!$S$2:$S$501,"Paid")&gt;0,AND(H64&lt;&gt;"",COUNTIFS(Clients!$E$2:$E$501,H64,Clients!$S$2:$S$501,"Paid")&gt;0)),"⚠ Refunded before – no free video",IF(OR(O64="Contract signed + paid",O64="Closed – No response",O64="Lost"),"",IF(O64="","Set a stage",IF(N(Q64)&gt;=Settings!$S$3,"Close – 4 follow-ups sent",IF(R64="",IF(P64="","Make first contact",""),IF(TODAY()&gt;R64,"OVERDUE follow-up",IF(TODAY()=R64,"Follow up today",""))))))))</f>
        <v/>
      </c>
    </row>
    <row r="65" customFormat="false" ht="15" hidden="false" customHeight="false" outlineLevel="0" collapsed="false">
      <c r="A65" s="17"/>
      <c r="B65" s="38"/>
      <c r="C65" s="17"/>
      <c r="D65" s="17"/>
      <c r="E65" s="17"/>
      <c r="F65" s="17"/>
      <c r="G65" s="17"/>
      <c r="H65" s="40"/>
      <c r="I65" s="17"/>
      <c r="J65" s="17"/>
      <c r="K65" s="17"/>
      <c r="L65" s="17"/>
      <c r="M65" s="17"/>
      <c r="N65" s="17"/>
      <c r="O65" s="17"/>
      <c r="P65" s="38"/>
      <c r="Q65" s="17"/>
      <c r="R65" s="42" t="str">
        <f aca="false">IF(OR(D65="",P65="",OR(O65="Contract signed + paid",O65="Closed – No response",O65="Lost"),N(Q65)&gt;=Settings!$S$3),"",P65+Settings!$S$2)</f>
        <v/>
      </c>
      <c r="S65" s="38"/>
      <c r="T65" s="39"/>
      <c r="U65" s="17"/>
      <c r="V65" s="17"/>
      <c r="W65" s="17"/>
      <c r="X65" s="43" t="str">
        <f aca="true">IF(OR(D65="",B65=""),"",INT(TODAY()-B65))</f>
        <v/>
      </c>
      <c r="Y65" s="44" t="str">
        <f aca="true">IF(D65="","",IF(OR(COUNTIFS(Clients!$C$2:$C$501,D65,Clients!$S$2:$S$501,"Paid")&gt;0,AND(H65&lt;&gt;"",COUNTIFS(Clients!$E$2:$E$501,H65,Clients!$S$2:$S$501,"Paid")&gt;0)),"⚠ Refunded before – no free video",IF(OR(O65="Contract signed + paid",O65="Closed – No response",O65="Lost"),"",IF(O65="","Set a stage",IF(N(Q65)&gt;=Settings!$S$3,"Close – 4 follow-ups sent",IF(R65="",IF(P65="","Make first contact",""),IF(TODAY()&gt;R65,"OVERDUE follow-up",IF(TODAY()=R65,"Follow up today",""))))))))</f>
        <v/>
      </c>
    </row>
    <row r="66" customFormat="false" ht="15" hidden="false" customHeight="false" outlineLevel="0" collapsed="false">
      <c r="A66" s="17"/>
      <c r="B66" s="38"/>
      <c r="C66" s="17"/>
      <c r="D66" s="17"/>
      <c r="E66" s="17"/>
      <c r="F66" s="17"/>
      <c r="G66" s="17"/>
      <c r="H66" s="40"/>
      <c r="I66" s="17"/>
      <c r="J66" s="17"/>
      <c r="K66" s="17"/>
      <c r="L66" s="17"/>
      <c r="M66" s="17"/>
      <c r="N66" s="17"/>
      <c r="O66" s="17"/>
      <c r="P66" s="38"/>
      <c r="Q66" s="17"/>
      <c r="R66" s="42" t="str">
        <f aca="false">IF(OR(D66="",P66="",OR(O66="Contract signed + paid",O66="Closed – No response",O66="Lost"),N(Q66)&gt;=Settings!$S$3),"",P66+Settings!$S$2)</f>
        <v/>
      </c>
      <c r="S66" s="38"/>
      <c r="T66" s="39"/>
      <c r="U66" s="17"/>
      <c r="V66" s="17"/>
      <c r="W66" s="17"/>
      <c r="X66" s="43" t="str">
        <f aca="true">IF(OR(D66="",B66=""),"",INT(TODAY()-B66))</f>
        <v/>
      </c>
      <c r="Y66" s="44" t="str">
        <f aca="true">IF(D66="","",IF(OR(COUNTIFS(Clients!$C$2:$C$501,D66,Clients!$S$2:$S$501,"Paid")&gt;0,AND(H66&lt;&gt;"",COUNTIFS(Clients!$E$2:$E$501,H66,Clients!$S$2:$S$501,"Paid")&gt;0)),"⚠ Refunded before – no free video",IF(OR(O66="Contract signed + paid",O66="Closed – No response",O66="Lost"),"",IF(O66="","Set a stage",IF(N(Q66)&gt;=Settings!$S$3,"Close – 4 follow-ups sent",IF(R66="",IF(P66="","Make first contact",""),IF(TODAY()&gt;R66,"OVERDUE follow-up",IF(TODAY()=R66,"Follow up today",""))))))))</f>
        <v/>
      </c>
    </row>
    <row r="67" customFormat="false" ht="15" hidden="false" customHeight="false" outlineLevel="0" collapsed="false">
      <c r="A67" s="17"/>
      <c r="B67" s="38"/>
      <c r="C67" s="17"/>
      <c r="D67" s="17"/>
      <c r="E67" s="17"/>
      <c r="F67" s="17"/>
      <c r="G67" s="17"/>
      <c r="H67" s="40"/>
      <c r="I67" s="17"/>
      <c r="J67" s="17"/>
      <c r="K67" s="17"/>
      <c r="L67" s="17"/>
      <c r="M67" s="17"/>
      <c r="N67" s="17"/>
      <c r="O67" s="17"/>
      <c r="P67" s="38"/>
      <c r="Q67" s="17"/>
      <c r="R67" s="42" t="str">
        <f aca="false">IF(OR(D67="",P67="",OR(O67="Contract signed + paid",O67="Closed – No response",O67="Lost"),N(Q67)&gt;=Settings!$S$3),"",P67+Settings!$S$2)</f>
        <v/>
      </c>
      <c r="S67" s="38"/>
      <c r="T67" s="39"/>
      <c r="U67" s="17"/>
      <c r="V67" s="17"/>
      <c r="W67" s="17"/>
      <c r="X67" s="43" t="str">
        <f aca="true">IF(OR(D67="",B67=""),"",INT(TODAY()-B67))</f>
        <v/>
      </c>
      <c r="Y67" s="44" t="str">
        <f aca="true">IF(D67="","",IF(OR(COUNTIFS(Clients!$C$2:$C$501,D67,Clients!$S$2:$S$501,"Paid")&gt;0,AND(H67&lt;&gt;"",COUNTIFS(Clients!$E$2:$E$501,H67,Clients!$S$2:$S$501,"Paid")&gt;0)),"⚠ Refunded before – no free video",IF(OR(O67="Contract signed + paid",O67="Closed – No response",O67="Lost"),"",IF(O67="","Set a stage",IF(N(Q67)&gt;=Settings!$S$3,"Close – 4 follow-ups sent",IF(R67="",IF(P67="","Make first contact",""),IF(TODAY()&gt;R67,"OVERDUE follow-up",IF(TODAY()=R67,"Follow up today",""))))))))</f>
        <v/>
      </c>
    </row>
    <row r="68" customFormat="false" ht="15" hidden="false" customHeight="false" outlineLevel="0" collapsed="false">
      <c r="A68" s="17"/>
      <c r="B68" s="38"/>
      <c r="C68" s="17"/>
      <c r="D68" s="17"/>
      <c r="E68" s="17"/>
      <c r="F68" s="17"/>
      <c r="G68" s="17"/>
      <c r="H68" s="40"/>
      <c r="I68" s="17"/>
      <c r="J68" s="17"/>
      <c r="K68" s="17"/>
      <c r="L68" s="17"/>
      <c r="M68" s="17"/>
      <c r="N68" s="17"/>
      <c r="O68" s="17"/>
      <c r="P68" s="38"/>
      <c r="Q68" s="17"/>
      <c r="R68" s="42" t="str">
        <f aca="false">IF(OR(D68="",P68="",OR(O68="Contract signed + paid",O68="Closed – No response",O68="Lost"),N(Q68)&gt;=Settings!$S$3),"",P68+Settings!$S$2)</f>
        <v/>
      </c>
      <c r="S68" s="38"/>
      <c r="T68" s="39"/>
      <c r="U68" s="17"/>
      <c r="V68" s="17"/>
      <c r="W68" s="17"/>
      <c r="X68" s="43" t="str">
        <f aca="true">IF(OR(D68="",B68=""),"",INT(TODAY()-B68))</f>
        <v/>
      </c>
      <c r="Y68" s="44" t="str">
        <f aca="true">IF(D68="","",IF(OR(COUNTIFS(Clients!$C$2:$C$501,D68,Clients!$S$2:$S$501,"Paid")&gt;0,AND(H68&lt;&gt;"",COUNTIFS(Clients!$E$2:$E$501,H68,Clients!$S$2:$S$501,"Paid")&gt;0)),"⚠ Refunded before – no free video",IF(OR(O68="Contract signed + paid",O68="Closed – No response",O68="Lost"),"",IF(O68="","Set a stage",IF(N(Q68)&gt;=Settings!$S$3,"Close – 4 follow-ups sent",IF(R68="",IF(P68="","Make first contact",""),IF(TODAY()&gt;R68,"OVERDUE follow-up",IF(TODAY()=R68,"Follow up today",""))))))))</f>
        <v/>
      </c>
    </row>
    <row r="69" customFormat="false" ht="15" hidden="false" customHeight="false" outlineLevel="0" collapsed="false">
      <c r="A69" s="17"/>
      <c r="B69" s="38"/>
      <c r="C69" s="17"/>
      <c r="D69" s="17"/>
      <c r="E69" s="17"/>
      <c r="F69" s="17"/>
      <c r="G69" s="17"/>
      <c r="H69" s="40"/>
      <c r="I69" s="17"/>
      <c r="J69" s="17"/>
      <c r="K69" s="17"/>
      <c r="L69" s="17"/>
      <c r="M69" s="17"/>
      <c r="N69" s="17"/>
      <c r="O69" s="17"/>
      <c r="P69" s="38"/>
      <c r="Q69" s="17"/>
      <c r="R69" s="42" t="str">
        <f aca="false">IF(OR(D69="",P69="",OR(O69="Contract signed + paid",O69="Closed – No response",O69="Lost"),N(Q69)&gt;=Settings!$S$3),"",P69+Settings!$S$2)</f>
        <v/>
      </c>
      <c r="S69" s="38"/>
      <c r="T69" s="39"/>
      <c r="U69" s="17"/>
      <c r="V69" s="17"/>
      <c r="W69" s="17"/>
      <c r="X69" s="43" t="str">
        <f aca="true">IF(OR(D69="",B69=""),"",INT(TODAY()-B69))</f>
        <v/>
      </c>
      <c r="Y69" s="44" t="str">
        <f aca="true">IF(D69="","",IF(OR(COUNTIFS(Clients!$C$2:$C$501,D69,Clients!$S$2:$S$501,"Paid")&gt;0,AND(H69&lt;&gt;"",COUNTIFS(Clients!$E$2:$E$501,H69,Clients!$S$2:$S$501,"Paid")&gt;0)),"⚠ Refunded before – no free video",IF(OR(O69="Contract signed + paid",O69="Closed – No response",O69="Lost"),"",IF(O69="","Set a stage",IF(N(Q69)&gt;=Settings!$S$3,"Close – 4 follow-ups sent",IF(R69="",IF(P69="","Make first contact",""),IF(TODAY()&gt;R69,"OVERDUE follow-up",IF(TODAY()=R69,"Follow up today",""))))))))</f>
        <v/>
      </c>
    </row>
    <row r="70" customFormat="false" ht="15" hidden="false" customHeight="false" outlineLevel="0" collapsed="false">
      <c r="A70" s="17"/>
      <c r="B70" s="38"/>
      <c r="C70" s="17"/>
      <c r="D70" s="17"/>
      <c r="E70" s="17"/>
      <c r="F70" s="17"/>
      <c r="G70" s="17"/>
      <c r="H70" s="40"/>
      <c r="I70" s="17"/>
      <c r="J70" s="17"/>
      <c r="K70" s="17"/>
      <c r="L70" s="17"/>
      <c r="M70" s="17"/>
      <c r="N70" s="17"/>
      <c r="O70" s="17"/>
      <c r="P70" s="38"/>
      <c r="Q70" s="17"/>
      <c r="R70" s="42" t="str">
        <f aca="false">IF(OR(D70="",P70="",OR(O70="Contract signed + paid",O70="Closed – No response",O70="Lost"),N(Q70)&gt;=Settings!$S$3),"",P70+Settings!$S$2)</f>
        <v/>
      </c>
      <c r="S70" s="38"/>
      <c r="T70" s="39"/>
      <c r="U70" s="17"/>
      <c r="V70" s="17"/>
      <c r="W70" s="17"/>
      <c r="X70" s="43" t="str">
        <f aca="true">IF(OR(D70="",B70=""),"",INT(TODAY()-B70))</f>
        <v/>
      </c>
      <c r="Y70" s="44" t="str">
        <f aca="true">IF(D70="","",IF(OR(COUNTIFS(Clients!$C$2:$C$501,D70,Clients!$S$2:$S$501,"Paid")&gt;0,AND(H70&lt;&gt;"",COUNTIFS(Clients!$E$2:$E$501,H70,Clients!$S$2:$S$501,"Paid")&gt;0)),"⚠ Refunded before – no free video",IF(OR(O70="Contract signed + paid",O70="Closed – No response",O70="Lost"),"",IF(O70="","Set a stage",IF(N(Q70)&gt;=Settings!$S$3,"Close – 4 follow-ups sent",IF(R70="",IF(P70="","Make first contact",""),IF(TODAY()&gt;R70,"OVERDUE follow-up",IF(TODAY()=R70,"Follow up today",""))))))))</f>
        <v/>
      </c>
    </row>
    <row r="71" customFormat="false" ht="15" hidden="false" customHeight="false" outlineLevel="0" collapsed="false">
      <c r="A71" s="17"/>
      <c r="B71" s="38"/>
      <c r="C71" s="17"/>
      <c r="D71" s="17"/>
      <c r="E71" s="17"/>
      <c r="F71" s="17"/>
      <c r="G71" s="17"/>
      <c r="H71" s="40"/>
      <c r="I71" s="17"/>
      <c r="J71" s="17"/>
      <c r="K71" s="17"/>
      <c r="L71" s="17"/>
      <c r="M71" s="17"/>
      <c r="N71" s="17"/>
      <c r="O71" s="17"/>
      <c r="P71" s="38"/>
      <c r="Q71" s="17"/>
      <c r="R71" s="42" t="str">
        <f aca="false">IF(OR(D71="",P71="",OR(O71="Contract signed + paid",O71="Closed – No response",O71="Lost"),N(Q71)&gt;=Settings!$S$3),"",P71+Settings!$S$2)</f>
        <v/>
      </c>
      <c r="S71" s="38"/>
      <c r="T71" s="39"/>
      <c r="U71" s="17"/>
      <c r="V71" s="17"/>
      <c r="W71" s="17"/>
      <c r="X71" s="43" t="str">
        <f aca="true">IF(OR(D71="",B71=""),"",INT(TODAY()-B71))</f>
        <v/>
      </c>
      <c r="Y71" s="44" t="str">
        <f aca="true">IF(D71="","",IF(OR(COUNTIFS(Clients!$C$2:$C$501,D71,Clients!$S$2:$S$501,"Paid")&gt;0,AND(H71&lt;&gt;"",COUNTIFS(Clients!$E$2:$E$501,H71,Clients!$S$2:$S$501,"Paid")&gt;0)),"⚠ Refunded before – no free video",IF(OR(O71="Contract signed + paid",O71="Closed – No response",O71="Lost"),"",IF(O71="","Set a stage",IF(N(Q71)&gt;=Settings!$S$3,"Close – 4 follow-ups sent",IF(R71="",IF(P71="","Make first contact",""),IF(TODAY()&gt;R71,"OVERDUE follow-up",IF(TODAY()=R71,"Follow up today",""))))))))</f>
        <v/>
      </c>
    </row>
    <row r="72" customFormat="false" ht="15" hidden="false" customHeight="false" outlineLevel="0" collapsed="false">
      <c r="A72" s="17"/>
      <c r="B72" s="38"/>
      <c r="C72" s="17"/>
      <c r="D72" s="17"/>
      <c r="E72" s="17"/>
      <c r="F72" s="17"/>
      <c r="G72" s="17"/>
      <c r="H72" s="40"/>
      <c r="I72" s="17"/>
      <c r="J72" s="17"/>
      <c r="K72" s="17"/>
      <c r="L72" s="17"/>
      <c r="M72" s="17"/>
      <c r="N72" s="17"/>
      <c r="O72" s="17"/>
      <c r="P72" s="38"/>
      <c r="Q72" s="17"/>
      <c r="R72" s="42" t="str">
        <f aca="false">IF(OR(D72="",P72="",OR(O72="Contract signed + paid",O72="Closed – No response",O72="Lost"),N(Q72)&gt;=Settings!$S$3),"",P72+Settings!$S$2)</f>
        <v/>
      </c>
      <c r="S72" s="38"/>
      <c r="T72" s="39"/>
      <c r="U72" s="17"/>
      <c r="V72" s="17"/>
      <c r="W72" s="17"/>
      <c r="X72" s="43" t="str">
        <f aca="true">IF(OR(D72="",B72=""),"",INT(TODAY()-B72))</f>
        <v/>
      </c>
      <c r="Y72" s="44" t="str">
        <f aca="true">IF(D72="","",IF(OR(COUNTIFS(Clients!$C$2:$C$501,D72,Clients!$S$2:$S$501,"Paid")&gt;0,AND(H72&lt;&gt;"",COUNTIFS(Clients!$E$2:$E$501,H72,Clients!$S$2:$S$501,"Paid")&gt;0)),"⚠ Refunded before – no free video",IF(OR(O72="Contract signed + paid",O72="Closed – No response",O72="Lost"),"",IF(O72="","Set a stage",IF(N(Q72)&gt;=Settings!$S$3,"Close – 4 follow-ups sent",IF(R72="",IF(P72="","Make first contact",""),IF(TODAY()&gt;R72,"OVERDUE follow-up",IF(TODAY()=R72,"Follow up today",""))))))))</f>
        <v/>
      </c>
    </row>
    <row r="73" customFormat="false" ht="15" hidden="false" customHeight="false" outlineLevel="0" collapsed="false">
      <c r="A73" s="17"/>
      <c r="B73" s="38"/>
      <c r="C73" s="17"/>
      <c r="D73" s="17"/>
      <c r="E73" s="17"/>
      <c r="F73" s="17"/>
      <c r="G73" s="17"/>
      <c r="H73" s="40"/>
      <c r="I73" s="17"/>
      <c r="J73" s="17"/>
      <c r="K73" s="17"/>
      <c r="L73" s="17"/>
      <c r="M73" s="17"/>
      <c r="N73" s="17"/>
      <c r="O73" s="17"/>
      <c r="P73" s="38"/>
      <c r="Q73" s="17"/>
      <c r="R73" s="42" t="str">
        <f aca="false">IF(OR(D73="",P73="",OR(O73="Contract signed + paid",O73="Closed – No response",O73="Lost"),N(Q73)&gt;=Settings!$S$3),"",P73+Settings!$S$2)</f>
        <v/>
      </c>
      <c r="S73" s="38"/>
      <c r="T73" s="39"/>
      <c r="U73" s="17"/>
      <c r="V73" s="17"/>
      <c r="W73" s="17"/>
      <c r="X73" s="43" t="str">
        <f aca="true">IF(OR(D73="",B73=""),"",INT(TODAY()-B73))</f>
        <v/>
      </c>
      <c r="Y73" s="44" t="str">
        <f aca="true">IF(D73="","",IF(OR(COUNTIFS(Clients!$C$2:$C$501,D73,Clients!$S$2:$S$501,"Paid")&gt;0,AND(H73&lt;&gt;"",COUNTIFS(Clients!$E$2:$E$501,H73,Clients!$S$2:$S$501,"Paid")&gt;0)),"⚠ Refunded before – no free video",IF(OR(O73="Contract signed + paid",O73="Closed – No response",O73="Lost"),"",IF(O73="","Set a stage",IF(N(Q73)&gt;=Settings!$S$3,"Close – 4 follow-ups sent",IF(R73="",IF(P73="","Make first contact",""),IF(TODAY()&gt;R73,"OVERDUE follow-up",IF(TODAY()=R73,"Follow up today",""))))))))</f>
        <v/>
      </c>
    </row>
    <row r="74" customFormat="false" ht="15" hidden="false" customHeight="false" outlineLevel="0" collapsed="false">
      <c r="A74" s="17"/>
      <c r="B74" s="38"/>
      <c r="C74" s="17"/>
      <c r="D74" s="17"/>
      <c r="E74" s="17"/>
      <c r="F74" s="17"/>
      <c r="G74" s="17"/>
      <c r="H74" s="40"/>
      <c r="I74" s="17"/>
      <c r="J74" s="17"/>
      <c r="K74" s="17"/>
      <c r="L74" s="17"/>
      <c r="M74" s="17"/>
      <c r="N74" s="17"/>
      <c r="O74" s="17"/>
      <c r="P74" s="38"/>
      <c r="Q74" s="17"/>
      <c r="R74" s="42" t="str">
        <f aca="false">IF(OR(D74="",P74="",OR(O74="Contract signed + paid",O74="Closed – No response",O74="Lost"),N(Q74)&gt;=Settings!$S$3),"",P74+Settings!$S$2)</f>
        <v/>
      </c>
      <c r="S74" s="38"/>
      <c r="T74" s="39"/>
      <c r="U74" s="17"/>
      <c r="V74" s="17"/>
      <c r="W74" s="17"/>
      <c r="X74" s="43" t="str">
        <f aca="true">IF(OR(D74="",B74=""),"",INT(TODAY()-B74))</f>
        <v/>
      </c>
      <c r="Y74" s="44" t="str">
        <f aca="true">IF(D74="","",IF(OR(COUNTIFS(Clients!$C$2:$C$501,D74,Clients!$S$2:$S$501,"Paid")&gt;0,AND(H74&lt;&gt;"",COUNTIFS(Clients!$E$2:$E$501,H74,Clients!$S$2:$S$501,"Paid")&gt;0)),"⚠ Refunded before – no free video",IF(OR(O74="Contract signed + paid",O74="Closed – No response",O74="Lost"),"",IF(O74="","Set a stage",IF(N(Q74)&gt;=Settings!$S$3,"Close – 4 follow-ups sent",IF(R74="",IF(P74="","Make first contact",""),IF(TODAY()&gt;R74,"OVERDUE follow-up",IF(TODAY()=R74,"Follow up today",""))))))))</f>
        <v/>
      </c>
    </row>
    <row r="75" customFormat="false" ht="15" hidden="false" customHeight="false" outlineLevel="0" collapsed="false">
      <c r="A75" s="17"/>
      <c r="B75" s="38"/>
      <c r="C75" s="17"/>
      <c r="D75" s="17"/>
      <c r="E75" s="17"/>
      <c r="F75" s="17"/>
      <c r="G75" s="17"/>
      <c r="H75" s="40"/>
      <c r="I75" s="17"/>
      <c r="J75" s="17"/>
      <c r="K75" s="17"/>
      <c r="L75" s="17"/>
      <c r="M75" s="17"/>
      <c r="N75" s="17"/>
      <c r="O75" s="17"/>
      <c r="P75" s="38"/>
      <c r="Q75" s="17"/>
      <c r="R75" s="42" t="str">
        <f aca="false">IF(OR(D75="",P75="",OR(O75="Contract signed + paid",O75="Closed – No response",O75="Lost"),N(Q75)&gt;=Settings!$S$3),"",P75+Settings!$S$2)</f>
        <v/>
      </c>
      <c r="S75" s="38"/>
      <c r="T75" s="39"/>
      <c r="U75" s="17"/>
      <c r="V75" s="17"/>
      <c r="W75" s="17"/>
      <c r="X75" s="43" t="str">
        <f aca="true">IF(OR(D75="",B75=""),"",INT(TODAY()-B75))</f>
        <v/>
      </c>
      <c r="Y75" s="44" t="str">
        <f aca="true">IF(D75="","",IF(OR(COUNTIFS(Clients!$C$2:$C$501,D75,Clients!$S$2:$S$501,"Paid")&gt;0,AND(H75&lt;&gt;"",COUNTIFS(Clients!$E$2:$E$501,H75,Clients!$S$2:$S$501,"Paid")&gt;0)),"⚠ Refunded before – no free video",IF(OR(O75="Contract signed + paid",O75="Closed – No response",O75="Lost"),"",IF(O75="","Set a stage",IF(N(Q75)&gt;=Settings!$S$3,"Close – 4 follow-ups sent",IF(R75="",IF(P75="","Make first contact",""),IF(TODAY()&gt;R75,"OVERDUE follow-up",IF(TODAY()=R75,"Follow up today",""))))))))</f>
        <v/>
      </c>
    </row>
    <row r="76" customFormat="false" ht="15" hidden="false" customHeight="false" outlineLevel="0" collapsed="false">
      <c r="A76" s="17"/>
      <c r="B76" s="38"/>
      <c r="C76" s="17"/>
      <c r="D76" s="17"/>
      <c r="E76" s="17"/>
      <c r="F76" s="17"/>
      <c r="G76" s="17"/>
      <c r="H76" s="40"/>
      <c r="I76" s="17"/>
      <c r="J76" s="17"/>
      <c r="K76" s="17"/>
      <c r="L76" s="17"/>
      <c r="M76" s="17"/>
      <c r="N76" s="17"/>
      <c r="O76" s="17"/>
      <c r="P76" s="38"/>
      <c r="Q76" s="17"/>
      <c r="R76" s="42" t="str">
        <f aca="false">IF(OR(D76="",P76="",OR(O76="Contract signed + paid",O76="Closed – No response",O76="Lost"),N(Q76)&gt;=Settings!$S$3),"",P76+Settings!$S$2)</f>
        <v/>
      </c>
      <c r="S76" s="38"/>
      <c r="T76" s="39"/>
      <c r="U76" s="17"/>
      <c r="V76" s="17"/>
      <c r="W76" s="17"/>
      <c r="X76" s="43" t="str">
        <f aca="true">IF(OR(D76="",B76=""),"",INT(TODAY()-B76))</f>
        <v/>
      </c>
      <c r="Y76" s="44" t="str">
        <f aca="true">IF(D76="","",IF(OR(COUNTIFS(Clients!$C$2:$C$501,D76,Clients!$S$2:$S$501,"Paid")&gt;0,AND(H76&lt;&gt;"",COUNTIFS(Clients!$E$2:$E$501,H76,Clients!$S$2:$S$501,"Paid")&gt;0)),"⚠ Refunded before – no free video",IF(OR(O76="Contract signed + paid",O76="Closed – No response",O76="Lost"),"",IF(O76="","Set a stage",IF(N(Q76)&gt;=Settings!$S$3,"Close – 4 follow-ups sent",IF(R76="",IF(P76="","Make first contact",""),IF(TODAY()&gt;R76,"OVERDUE follow-up",IF(TODAY()=R76,"Follow up today",""))))))))</f>
        <v/>
      </c>
    </row>
    <row r="77" customFormat="false" ht="15" hidden="false" customHeight="false" outlineLevel="0" collapsed="false">
      <c r="A77" s="17"/>
      <c r="B77" s="38"/>
      <c r="C77" s="17"/>
      <c r="D77" s="17"/>
      <c r="E77" s="17"/>
      <c r="F77" s="17"/>
      <c r="G77" s="17"/>
      <c r="H77" s="40"/>
      <c r="I77" s="17"/>
      <c r="J77" s="17"/>
      <c r="K77" s="17"/>
      <c r="L77" s="17"/>
      <c r="M77" s="17"/>
      <c r="N77" s="17"/>
      <c r="O77" s="17"/>
      <c r="P77" s="38"/>
      <c r="Q77" s="17"/>
      <c r="R77" s="42" t="str">
        <f aca="false">IF(OR(D77="",P77="",OR(O77="Contract signed + paid",O77="Closed – No response",O77="Lost"),N(Q77)&gt;=Settings!$S$3),"",P77+Settings!$S$2)</f>
        <v/>
      </c>
      <c r="S77" s="38"/>
      <c r="T77" s="39"/>
      <c r="U77" s="17"/>
      <c r="V77" s="17"/>
      <c r="W77" s="17"/>
      <c r="X77" s="43" t="str">
        <f aca="true">IF(OR(D77="",B77=""),"",INT(TODAY()-B77))</f>
        <v/>
      </c>
      <c r="Y77" s="44" t="str">
        <f aca="true">IF(D77="","",IF(OR(COUNTIFS(Clients!$C$2:$C$501,D77,Clients!$S$2:$S$501,"Paid")&gt;0,AND(H77&lt;&gt;"",COUNTIFS(Clients!$E$2:$E$501,H77,Clients!$S$2:$S$501,"Paid")&gt;0)),"⚠ Refunded before – no free video",IF(OR(O77="Contract signed + paid",O77="Closed – No response",O77="Lost"),"",IF(O77="","Set a stage",IF(N(Q77)&gt;=Settings!$S$3,"Close – 4 follow-ups sent",IF(R77="",IF(P77="","Make first contact",""),IF(TODAY()&gt;R77,"OVERDUE follow-up",IF(TODAY()=R77,"Follow up today",""))))))))</f>
        <v/>
      </c>
    </row>
    <row r="78" customFormat="false" ht="15" hidden="false" customHeight="false" outlineLevel="0" collapsed="false">
      <c r="A78" s="17"/>
      <c r="B78" s="38"/>
      <c r="C78" s="17"/>
      <c r="D78" s="17"/>
      <c r="E78" s="17"/>
      <c r="F78" s="17"/>
      <c r="G78" s="17"/>
      <c r="H78" s="40"/>
      <c r="I78" s="17"/>
      <c r="J78" s="17"/>
      <c r="K78" s="17"/>
      <c r="L78" s="17"/>
      <c r="M78" s="17"/>
      <c r="N78" s="17"/>
      <c r="O78" s="17"/>
      <c r="P78" s="38"/>
      <c r="Q78" s="17"/>
      <c r="R78" s="42" t="str">
        <f aca="false">IF(OR(D78="",P78="",OR(O78="Contract signed + paid",O78="Closed – No response",O78="Lost"),N(Q78)&gt;=Settings!$S$3),"",P78+Settings!$S$2)</f>
        <v/>
      </c>
      <c r="S78" s="38"/>
      <c r="T78" s="39"/>
      <c r="U78" s="17"/>
      <c r="V78" s="17"/>
      <c r="W78" s="17"/>
      <c r="X78" s="43" t="str">
        <f aca="true">IF(OR(D78="",B78=""),"",INT(TODAY()-B78))</f>
        <v/>
      </c>
      <c r="Y78" s="44" t="str">
        <f aca="true">IF(D78="","",IF(OR(COUNTIFS(Clients!$C$2:$C$501,D78,Clients!$S$2:$S$501,"Paid")&gt;0,AND(H78&lt;&gt;"",COUNTIFS(Clients!$E$2:$E$501,H78,Clients!$S$2:$S$501,"Paid")&gt;0)),"⚠ Refunded before – no free video",IF(OR(O78="Contract signed + paid",O78="Closed – No response",O78="Lost"),"",IF(O78="","Set a stage",IF(N(Q78)&gt;=Settings!$S$3,"Close – 4 follow-ups sent",IF(R78="",IF(P78="","Make first contact",""),IF(TODAY()&gt;R78,"OVERDUE follow-up",IF(TODAY()=R78,"Follow up today",""))))))))</f>
        <v/>
      </c>
    </row>
    <row r="79" customFormat="false" ht="15" hidden="false" customHeight="false" outlineLevel="0" collapsed="false">
      <c r="A79" s="17"/>
      <c r="B79" s="38"/>
      <c r="C79" s="17"/>
      <c r="D79" s="17"/>
      <c r="E79" s="17"/>
      <c r="F79" s="17"/>
      <c r="G79" s="17"/>
      <c r="H79" s="40"/>
      <c r="I79" s="17"/>
      <c r="J79" s="17"/>
      <c r="K79" s="17"/>
      <c r="L79" s="17"/>
      <c r="M79" s="17"/>
      <c r="N79" s="17"/>
      <c r="O79" s="17"/>
      <c r="P79" s="38"/>
      <c r="Q79" s="17"/>
      <c r="R79" s="42" t="str">
        <f aca="false">IF(OR(D79="",P79="",OR(O79="Contract signed + paid",O79="Closed – No response",O79="Lost"),N(Q79)&gt;=Settings!$S$3),"",P79+Settings!$S$2)</f>
        <v/>
      </c>
      <c r="S79" s="38"/>
      <c r="T79" s="39"/>
      <c r="U79" s="17"/>
      <c r="V79" s="17"/>
      <c r="W79" s="17"/>
      <c r="X79" s="43" t="str">
        <f aca="true">IF(OR(D79="",B79=""),"",INT(TODAY()-B79))</f>
        <v/>
      </c>
      <c r="Y79" s="44" t="str">
        <f aca="true">IF(D79="","",IF(OR(COUNTIFS(Clients!$C$2:$C$501,D79,Clients!$S$2:$S$501,"Paid")&gt;0,AND(H79&lt;&gt;"",COUNTIFS(Clients!$E$2:$E$501,H79,Clients!$S$2:$S$501,"Paid")&gt;0)),"⚠ Refunded before – no free video",IF(OR(O79="Contract signed + paid",O79="Closed – No response",O79="Lost"),"",IF(O79="","Set a stage",IF(N(Q79)&gt;=Settings!$S$3,"Close – 4 follow-ups sent",IF(R79="",IF(P79="","Make first contact",""),IF(TODAY()&gt;R79,"OVERDUE follow-up",IF(TODAY()=R79,"Follow up today",""))))))))</f>
        <v/>
      </c>
    </row>
    <row r="80" customFormat="false" ht="15" hidden="false" customHeight="false" outlineLevel="0" collapsed="false">
      <c r="A80" s="17"/>
      <c r="B80" s="38"/>
      <c r="C80" s="17"/>
      <c r="D80" s="17"/>
      <c r="E80" s="17"/>
      <c r="F80" s="17"/>
      <c r="G80" s="17"/>
      <c r="H80" s="40"/>
      <c r="I80" s="17"/>
      <c r="J80" s="17"/>
      <c r="K80" s="17"/>
      <c r="L80" s="17"/>
      <c r="M80" s="17"/>
      <c r="N80" s="17"/>
      <c r="O80" s="17"/>
      <c r="P80" s="38"/>
      <c r="Q80" s="17"/>
      <c r="R80" s="42" t="str">
        <f aca="false">IF(OR(D80="",P80="",OR(O80="Contract signed + paid",O80="Closed – No response",O80="Lost"),N(Q80)&gt;=Settings!$S$3),"",P80+Settings!$S$2)</f>
        <v/>
      </c>
      <c r="S80" s="38"/>
      <c r="T80" s="39"/>
      <c r="U80" s="17"/>
      <c r="V80" s="17"/>
      <c r="W80" s="17"/>
      <c r="X80" s="43" t="str">
        <f aca="true">IF(OR(D80="",B80=""),"",INT(TODAY()-B80))</f>
        <v/>
      </c>
      <c r="Y80" s="44" t="str">
        <f aca="true">IF(D80="","",IF(OR(COUNTIFS(Clients!$C$2:$C$501,D80,Clients!$S$2:$S$501,"Paid")&gt;0,AND(H80&lt;&gt;"",COUNTIFS(Clients!$E$2:$E$501,H80,Clients!$S$2:$S$501,"Paid")&gt;0)),"⚠ Refunded before – no free video",IF(OR(O80="Contract signed + paid",O80="Closed – No response",O80="Lost"),"",IF(O80="","Set a stage",IF(N(Q80)&gt;=Settings!$S$3,"Close – 4 follow-ups sent",IF(R80="",IF(P80="","Make first contact",""),IF(TODAY()&gt;R80,"OVERDUE follow-up",IF(TODAY()=R80,"Follow up today",""))))))))</f>
        <v/>
      </c>
    </row>
    <row r="81" customFormat="false" ht="15" hidden="false" customHeight="false" outlineLevel="0" collapsed="false">
      <c r="A81" s="17"/>
      <c r="B81" s="38"/>
      <c r="C81" s="17"/>
      <c r="D81" s="17"/>
      <c r="E81" s="17"/>
      <c r="F81" s="17"/>
      <c r="G81" s="17"/>
      <c r="H81" s="40"/>
      <c r="I81" s="17"/>
      <c r="J81" s="17"/>
      <c r="K81" s="17"/>
      <c r="L81" s="17"/>
      <c r="M81" s="17"/>
      <c r="N81" s="17"/>
      <c r="O81" s="17"/>
      <c r="P81" s="38"/>
      <c r="Q81" s="17"/>
      <c r="R81" s="42" t="str">
        <f aca="false">IF(OR(D81="",P81="",OR(O81="Contract signed + paid",O81="Closed – No response",O81="Lost"),N(Q81)&gt;=Settings!$S$3),"",P81+Settings!$S$2)</f>
        <v/>
      </c>
      <c r="S81" s="38"/>
      <c r="T81" s="39"/>
      <c r="U81" s="17"/>
      <c r="V81" s="17"/>
      <c r="W81" s="17"/>
      <c r="X81" s="43" t="str">
        <f aca="true">IF(OR(D81="",B81=""),"",INT(TODAY()-B81))</f>
        <v/>
      </c>
      <c r="Y81" s="44" t="str">
        <f aca="true">IF(D81="","",IF(OR(COUNTIFS(Clients!$C$2:$C$501,D81,Clients!$S$2:$S$501,"Paid")&gt;0,AND(H81&lt;&gt;"",COUNTIFS(Clients!$E$2:$E$501,H81,Clients!$S$2:$S$501,"Paid")&gt;0)),"⚠ Refunded before – no free video",IF(OR(O81="Contract signed + paid",O81="Closed – No response",O81="Lost"),"",IF(O81="","Set a stage",IF(N(Q81)&gt;=Settings!$S$3,"Close – 4 follow-ups sent",IF(R81="",IF(P81="","Make first contact",""),IF(TODAY()&gt;R81,"OVERDUE follow-up",IF(TODAY()=R81,"Follow up today",""))))))))</f>
        <v/>
      </c>
    </row>
    <row r="82" customFormat="false" ht="15" hidden="false" customHeight="false" outlineLevel="0" collapsed="false">
      <c r="A82" s="17"/>
      <c r="B82" s="38"/>
      <c r="C82" s="17"/>
      <c r="D82" s="17"/>
      <c r="E82" s="17"/>
      <c r="F82" s="17"/>
      <c r="G82" s="17"/>
      <c r="H82" s="40"/>
      <c r="I82" s="17"/>
      <c r="J82" s="17"/>
      <c r="K82" s="17"/>
      <c r="L82" s="17"/>
      <c r="M82" s="17"/>
      <c r="N82" s="17"/>
      <c r="O82" s="17"/>
      <c r="P82" s="38"/>
      <c r="Q82" s="17"/>
      <c r="R82" s="42" t="str">
        <f aca="false">IF(OR(D82="",P82="",OR(O82="Contract signed + paid",O82="Closed – No response",O82="Lost"),N(Q82)&gt;=Settings!$S$3),"",P82+Settings!$S$2)</f>
        <v/>
      </c>
      <c r="S82" s="38"/>
      <c r="T82" s="39"/>
      <c r="U82" s="17"/>
      <c r="V82" s="17"/>
      <c r="W82" s="17"/>
      <c r="X82" s="43" t="str">
        <f aca="true">IF(OR(D82="",B82=""),"",INT(TODAY()-B82))</f>
        <v/>
      </c>
      <c r="Y82" s="44" t="str">
        <f aca="true">IF(D82="","",IF(OR(COUNTIFS(Clients!$C$2:$C$501,D82,Clients!$S$2:$S$501,"Paid")&gt;0,AND(H82&lt;&gt;"",COUNTIFS(Clients!$E$2:$E$501,H82,Clients!$S$2:$S$501,"Paid")&gt;0)),"⚠ Refunded before – no free video",IF(OR(O82="Contract signed + paid",O82="Closed – No response",O82="Lost"),"",IF(O82="","Set a stage",IF(N(Q82)&gt;=Settings!$S$3,"Close – 4 follow-ups sent",IF(R82="",IF(P82="","Make first contact",""),IF(TODAY()&gt;R82,"OVERDUE follow-up",IF(TODAY()=R82,"Follow up today",""))))))))</f>
        <v/>
      </c>
    </row>
    <row r="83" customFormat="false" ht="15" hidden="false" customHeight="false" outlineLevel="0" collapsed="false">
      <c r="A83" s="17"/>
      <c r="B83" s="38"/>
      <c r="C83" s="17"/>
      <c r="D83" s="17"/>
      <c r="E83" s="17"/>
      <c r="F83" s="17"/>
      <c r="G83" s="17"/>
      <c r="H83" s="40"/>
      <c r="I83" s="17"/>
      <c r="J83" s="17"/>
      <c r="K83" s="17"/>
      <c r="L83" s="17"/>
      <c r="M83" s="17"/>
      <c r="N83" s="17"/>
      <c r="O83" s="17"/>
      <c r="P83" s="38"/>
      <c r="Q83" s="17"/>
      <c r="R83" s="42" t="str">
        <f aca="false">IF(OR(D83="",P83="",OR(O83="Contract signed + paid",O83="Closed – No response",O83="Lost"),N(Q83)&gt;=Settings!$S$3),"",P83+Settings!$S$2)</f>
        <v/>
      </c>
      <c r="S83" s="38"/>
      <c r="T83" s="39"/>
      <c r="U83" s="17"/>
      <c r="V83" s="17"/>
      <c r="W83" s="17"/>
      <c r="X83" s="43" t="str">
        <f aca="true">IF(OR(D83="",B83=""),"",INT(TODAY()-B83))</f>
        <v/>
      </c>
      <c r="Y83" s="44" t="str">
        <f aca="true">IF(D83="","",IF(OR(COUNTIFS(Clients!$C$2:$C$501,D83,Clients!$S$2:$S$501,"Paid")&gt;0,AND(H83&lt;&gt;"",COUNTIFS(Clients!$E$2:$E$501,H83,Clients!$S$2:$S$501,"Paid")&gt;0)),"⚠ Refunded before – no free video",IF(OR(O83="Contract signed + paid",O83="Closed – No response",O83="Lost"),"",IF(O83="","Set a stage",IF(N(Q83)&gt;=Settings!$S$3,"Close – 4 follow-ups sent",IF(R83="",IF(P83="","Make first contact",""),IF(TODAY()&gt;R83,"OVERDUE follow-up",IF(TODAY()=R83,"Follow up today",""))))))))</f>
        <v/>
      </c>
    </row>
    <row r="84" customFormat="false" ht="15" hidden="false" customHeight="false" outlineLevel="0" collapsed="false">
      <c r="A84" s="17"/>
      <c r="B84" s="38"/>
      <c r="C84" s="17"/>
      <c r="D84" s="17"/>
      <c r="E84" s="17"/>
      <c r="F84" s="17"/>
      <c r="G84" s="17"/>
      <c r="H84" s="40"/>
      <c r="I84" s="17"/>
      <c r="J84" s="17"/>
      <c r="K84" s="17"/>
      <c r="L84" s="17"/>
      <c r="M84" s="17"/>
      <c r="N84" s="17"/>
      <c r="O84" s="17"/>
      <c r="P84" s="38"/>
      <c r="Q84" s="17"/>
      <c r="R84" s="42" t="str">
        <f aca="false">IF(OR(D84="",P84="",OR(O84="Contract signed + paid",O84="Closed – No response",O84="Lost"),N(Q84)&gt;=Settings!$S$3),"",P84+Settings!$S$2)</f>
        <v/>
      </c>
      <c r="S84" s="38"/>
      <c r="T84" s="39"/>
      <c r="U84" s="17"/>
      <c r="V84" s="17"/>
      <c r="W84" s="17"/>
      <c r="X84" s="43" t="str">
        <f aca="true">IF(OR(D84="",B84=""),"",INT(TODAY()-B84))</f>
        <v/>
      </c>
      <c r="Y84" s="44" t="str">
        <f aca="true">IF(D84="","",IF(OR(COUNTIFS(Clients!$C$2:$C$501,D84,Clients!$S$2:$S$501,"Paid")&gt;0,AND(H84&lt;&gt;"",COUNTIFS(Clients!$E$2:$E$501,H84,Clients!$S$2:$S$501,"Paid")&gt;0)),"⚠ Refunded before – no free video",IF(OR(O84="Contract signed + paid",O84="Closed – No response",O84="Lost"),"",IF(O84="","Set a stage",IF(N(Q84)&gt;=Settings!$S$3,"Close – 4 follow-ups sent",IF(R84="",IF(P84="","Make first contact",""),IF(TODAY()&gt;R84,"OVERDUE follow-up",IF(TODAY()=R84,"Follow up today",""))))))))</f>
        <v/>
      </c>
    </row>
    <row r="85" customFormat="false" ht="15" hidden="false" customHeight="false" outlineLevel="0" collapsed="false">
      <c r="A85" s="17"/>
      <c r="B85" s="38"/>
      <c r="C85" s="17"/>
      <c r="D85" s="17"/>
      <c r="E85" s="17"/>
      <c r="F85" s="17"/>
      <c r="G85" s="17"/>
      <c r="H85" s="40"/>
      <c r="I85" s="17"/>
      <c r="J85" s="17"/>
      <c r="K85" s="17"/>
      <c r="L85" s="17"/>
      <c r="M85" s="17"/>
      <c r="N85" s="17"/>
      <c r="O85" s="17"/>
      <c r="P85" s="38"/>
      <c r="Q85" s="17"/>
      <c r="R85" s="42" t="str">
        <f aca="false">IF(OR(D85="",P85="",OR(O85="Contract signed + paid",O85="Closed – No response",O85="Lost"),N(Q85)&gt;=Settings!$S$3),"",P85+Settings!$S$2)</f>
        <v/>
      </c>
      <c r="S85" s="38"/>
      <c r="T85" s="39"/>
      <c r="U85" s="17"/>
      <c r="V85" s="17"/>
      <c r="W85" s="17"/>
      <c r="X85" s="43" t="str">
        <f aca="true">IF(OR(D85="",B85=""),"",INT(TODAY()-B85))</f>
        <v/>
      </c>
      <c r="Y85" s="44" t="str">
        <f aca="true">IF(D85="","",IF(OR(COUNTIFS(Clients!$C$2:$C$501,D85,Clients!$S$2:$S$501,"Paid")&gt;0,AND(H85&lt;&gt;"",COUNTIFS(Clients!$E$2:$E$501,H85,Clients!$S$2:$S$501,"Paid")&gt;0)),"⚠ Refunded before – no free video",IF(OR(O85="Contract signed + paid",O85="Closed – No response",O85="Lost"),"",IF(O85="","Set a stage",IF(N(Q85)&gt;=Settings!$S$3,"Close – 4 follow-ups sent",IF(R85="",IF(P85="","Make first contact",""),IF(TODAY()&gt;R85,"OVERDUE follow-up",IF(TODAY()=R85,"Follow up today",""))))))))</f>
        <v/>
      </c>
    </row>
    <row r="86" customFormat="false" ht="15" hidden="false" customHeight="false" outlineLevel="0" collapsed="false">
      <c r="A86" s="17"/>
      <c r="B86" s="38"/>
      <c r="C86" s="17"/>
      <c r="D86" s="17"/>
      <c r="E86" s="17"/>
      <c r="F86" s="17"/>
      <c r="G86" s="17"/>
      <c r="H86" s="40"/>
      <c r="I86" s="17"/>
      <c r="J86" s="17"/>
      <c r="K86" s="17"/>
      <c r="L86" s="17"/>
      <c r="M86" s="17"/>
      <c r="N86" s="17"/>
      <c r="O86" s="17"/>
      <c r="P86" s="38"/>
      <c r="Q86" s="17"/>
      <c r="R86" s="42" t="str">
        <f aca="false">IF(OR(D86="",P86="",OR(O86="Contract signed + paid",O86="Closed – No response",O86="Lost"),N(Q86)&gt;=Settings!$S$3),"",P86+Settings!$S$2)</f>
        <v/>
      </c>
      <c r="S86" s="38"/>
      <c r="T86" s="39"/>
      <c r="U86" s="17"/>
      <c r="V86" s="17"/>
      <c r="W86" s="17"/>
      <c r="X86" s="43" t="str">
        <f aca="true">IF(OR(D86="",B86=""),"",INT(TODAY()-B86))</f>
        <v/>
      </c>
      <c r="Y86" s="44" t="str">
        <f aca="true">IF(D86="","",IF(OR(COUNTIFS(Clients!$C$2:$C$501,D86,Clients!$S$2:$S$501,"Paid")&gt;0,AND(H86&lt;&gt;"",COUNTIFS(Clients!$E$2:$E$501,H86,Clients!$S$2:$S$501,"Paid")&gt;0)),"⚠ Refunded before – no free video",IF(OR(O86="Contract signed + paid",O86="Closed – No response",O86="Lost"),"",IF(O86="","Set a stage",IF(N(Q86)&gt;=Settings!$S$3,"Close – 4 follow-ups sent",IF(R86="",IF(P86="","Make first contact",""),IF(TODAY()&gt;R86,"OVERDUE follow-up",IF(TODAY()=R86,"Follow up today",""))))))))</f>
        <v/>
      </c>
    </row>
    <row r="87" customFormat="false" ht="15" hidden="false" customHeight="false" outlineLevel="0" collapsed="false">
      <c r="A87" s="17"/>
      <c r="B87" s="38"/>
      <c r="C87" s="17"/>
      <c r="D87" s="17"/>
      <c r="E87" s="17"/>
      <c r="F87" s="17"/>
      <c r="G87" s="17"/>
      <c r="H87" s="40"/>
      <c r="I87" s="17"/>
      <c r="J87" s="17"/>
      <c r="K87" s="17"/>
      <c r="L87" s="17"/>
      <c r="M87" s="17"/>
      <c r="N87" s="17"/>
      <c r="O87" s="17"/>
      <c r="P87" s="38"/>
      <c r="Q87" s="17"/>
      <c r="R87" s="42" t="str">
        <f aca="false">IF(OR(D87="",P87="",OR(O87="Contract signed + paid",O87="Closed – No response",O87="Lost"),N(Q87)&gt;=Settings!$S$3),"",P87+Settings!$S$2)</f>
        <v/>
      </c>
      <c r="S87" s="38"/>
      <c r="T87" s="39"/>
      <c r="U87" s="17"/>
      <c r="V87" s="17"/>
      <c r="W87" s="17"/>
      <c r="X87" s="43" t="str">
        <f aca="true">IF(OR(D87="",B87=""),"",INT(TODAY()-B87))</f>
        <v/>
      </c>
      <c r="Y87" s="44" t="str">
        <f aca="true">IF(D87="","",IF(OR(COUNTIFS(Clients!$C$2:$C$501,D87,Clients!$S$2:$S$501,"Paid")&gt;0,AND(H87&lt;&gt;"",COUNTIFS(Clients!$E$2:$E$501,H87,Clients!$S$2:$S$501,"Paid")&gt;0)),"⚠ Refunded before – no free video",IF(OR(O87="Contract signed + paid",O87="Closed – No response",O87="Lost"),"",IF(O87="","Set a stage",IF(N(Q87)&gt;=Settings!$S$3,"Close – 4 follow-ups sent",IF(R87="",IF(P87="","Make first contact",""),IF(TODAY()&gt;R87,"OVERDUE follow-up",IF(TODAY()=R87,"Follow up today",""))))))))</f>
        <v/>
      </c>
    </row>
    <row r="88" customFormat="false" ht="15" hidden="false" customHeight="false" outlineLevel="0" collapsed="false">
      <c r="A88" s="17"/>
      <c r="B88" s="38"/>
      <c r="C88" s="17"/>
      <c r="D88" s="17"/>
      <c r="E88" s="17"/>
      <c r="F88" s="17"/>
      <c r="G88" s="17"/>
      <c r="H88" s="40"/>
      <c r="I88" s="17"/>
      <c r="J88" s="17"/>
      <c r="K88" s="17"/>
      <c r="L88" s="17"/>
      <c r="M88" s="17"/>
      <c r="N88" s="17"/>
      <c r="O88" s="17"/>
      <c r="P88" s="38"/>
      <c r="Q88" s="17"/>
      <c r="R88" s="42" t="str">
        <f aca="false">IF(OR(D88="",P88="",OR(O88="Contract signed + paid",O88="Closed – No response",O88="Lost"),N(Q88)&gt;=Settings!$S$3),"",P88+Settings!$S$2)</f>
        <v/>
      </c>
      <c r="S88" s="38"/>
      <c r="T88" s="39"/>
      <c r="U88" s="17"/>
      <c r="V88" s="17"/>
      <c r="W88" s="17"/>
      <c r="X88" s="43" t="str">
        <f aca="true">IF(OR(D88="",B88=""),"",INT(TODAY()-B88))</f>
        <v/>
      </c>
      <c r="Y88" s="44" t="str">
        <f aca="true">IF(D88="","",IF(OR(COUNTIFS(Clients!$C$2:$C$501,D88,Clients!$S$2:$S$501,"Paid")&gt;0,AND(H88&lt;&gt;"",COUNTIFS(Clients!$E$2:$E$501,H88,Clients!$S$2:$S$501,"Paid")&gt;0)),"⚠ Refunded before – no free video",IF(OR(O88="Contract signed + paid",O88="Closed – No response",O88="Lost"),"",IF(O88="","Set a stage",IF(N(Q88)&gt;=Settings!$S$3,"Close – 4 follow-ups sent",IF(R88="",IF(P88="","Make first contact",""),IF(TODAY()&gt;R88,"OVERDUE follow-up",IF(TODAY()=R88,"Follow up today",""))))))))</f>
        <v/>
      </c>
    </row>
    <row r="89" customFormat="false" ht="15" hidden="false" customHeight="false" outlineLevel="0" collapsed="false">
      <c r="A89" s="17"/>
      <c r="B89" s="38"/>
      <c r="C89" s="17"/>
      <c r="D89" s="17"/>
      <c r="E89" s="17"/>
      <c r="F89" s="17"/>
      <c r="G89" s="17"/>
      <c r="H89" s="40"/>
      <c r="I89" s="17"/>
      <c r="J89" s="17"/>
      <c r="K89" s="17"/>
      <c r="L89" s="17"/>
      <c r="M89" s="17"/>
      <c r="N89" s="17"/>
      <c r="O89" s="17"/>
      <c r="P89" s="38"/>
      <c r="Q89" s="17"/>
      <c r="R89" s="42" t="str">
        <f aca="false">IF(OR(D89="",P89="",OR(O89="Contract signed + paid",O89="Closed – No response",O89="Lost"),N(Q89)&gt;=Settings!$S$3),"",P89+Settings!$S$2)</f>
        <v/>
      </c>
      <c r="S89" s="38"/>
      <c r="T89" s="39"/>
      <c r="U89" s="17"/>
      <c r="V89" s="17"/>
      <c r="W89" s="17"/>
      <c r="X89" s="43" t="str">
        <f aca="true">IF(OR(D89="",B89=""),"",INT(TODAY()-B89))</f>
        <v/>
      </c>
      <c r="Y89" s="44" t="str">
        <f aca="true">IF(D89="","",IF(OR(COUNTIFS(Clients!$C$2:$C$501,D89,Clients!$S$2:$S$501,"Paid")&gt;0,AND(H89&lt;&gt;"",COUNTIFS(Clients!$E$2:$E$501,H89,Clients!$S$2:$S$501,"Paid")&gt;0)),"⚠ Refunded before – no free video",IF(OR(O89="Contract signed + paid",O89="Closed – No response",O89="Lost"),"",IF(O89="","Set a stage",IF(N(Q89)&gt;=Settings!$S$3,"Close – 4 follow-ups sent",IF(R89="",IF(P89="","Make first contact",""),IF(TODAY()&gt;R89,"OVERDUE follow-up",IF(TODAY()=R89,"Follow up today",""))))))))</f>
        <v/>
      </c>
    </row>
    <row r="90" customFormat="false" ht="15" hidden="false" customHeight="false" outlineLevel="0" collapsed="false">
      <c r="A90" s="17"/>
      <c r="B90" s="38"/>
      <c r="C90" s="17"/>
      <c r="D90" s="17"/>
      <c r="E90" s="17"/>
      <c r="F90" s="17"/>
      <c r="G90" s="17"/>
      <c r="H90" s="40"/>
      <c r="I90" s="17"/>
      <c r="J90" s="17"/>
      <c r="K90" s="17"/>
      <c r="L90" s="17"/>
      <c r="M90" s="17"/>
      <c r="N90" s="17"/>
      <c r="O90" s="17"/>
      <c r="P90" s="38"/>
      <c r="Q90" s="17"/>
      <c r="R90" s="42" t="str">
        <f aca="false">IF(OR(D90="",P90="",OR(O90="Contract signed + paid",O90="Closed – No response",O90="Lost"),N(Q90)&gt;=Settings!$S$3),"",P90+Settings!$S$2)</f>
        <v/>
      </c>
      <c r="S90" s="38"/>
      <c r="T90" s="39"/>
      <c r="U90" s="17"/>
      <c r="V90" s="17"/>
      <c r="W90" s="17"/>
      <c r="X90" s="43" t="str">
        <f aca="true">IF(OR(D90="",B90=""),"",INT(TODAY()-B90))</f>
        <v/>
      </c>
      <c r="Y90" s="44" t="str">
        <f aca="true">IF(D90="","",IF(OR(COUNTIFS(Clients!$C$2:$C$501,D90,Clients!$S$2:$S$501,"Paid")&gt;0,AND(H90&lt;&gt;"",COUNTIFS(Clients!$E$2:$E$501,H90,Clients!$S$2:$S$501,"Paid")&gt;0)),"⚠ Refunded before – no free video",IF(OR(O90="Contract signed + paid",O90="Closed – No response",O90="Lost"),"",IF(O90="","Set a stage",IF(N(Q90)&gt;=Settings!$S$3,"Close – 4 follow-ups sent",IF(R90="",IF(P90="","Make first contact",""),IF(TODAY()&gt;R90,"OVERDUE follow-up",IF(TODAY()=R90,"Follow up today",""))))))))</f>
        <v/>
      </c>
    </row>
    <row r="91" customFormat="false" ht="15" hidden="false" customHeight="false" outlineLevel="0" collapsed="false">
      <c r="A91" s="17"/>
      <c r="B91" s="38"/>
      <c r="C91" s="17"/>
      <c r="D91" s="17"/>
      <c r="E91" s="17"/>
      <c r="F91" s="17"/>
      <c r="G91" s="17"/>
      <c r="H91" s="40"/>
      <c r="I91" s="17"/>
      <c r="J91" s="17"/>
      <c r="K91" s="17"/>
      <c r="L91" s="17"/>
      <c r="M91" s="17"/>
      <c r="N91" s="17"/>
      <c r="O91" s="17"/>
      <c r="P91" s="38"/>
      <c r="Q91" s="17"/>
      <c r="R91" s="42" t="str">
        <f aca="false">IF(OR(D91="",P91="",OR(O91="Contract signed + paid",O91="Closed – No response",O91="Lost"),N(Q91)&gt;=Settings!$S$3),"",P91+Settings!$S$2)</f>
        <v/>
      </c>
      <c r="S91" s="38"/>
      <c r="T91" s="39"/>
      <c r="U91" s="17"/>
      <c r="V91" s="17"/>
      <c r="W91" s="17"/>
      <c r="X91" s="43" t="str">
        <f aca="true">IF(OR(D91="",B91=""),"",INT(TODAY()-B91))</f>
        <v/>
      </c>
      <c r="Y91" s="44" t="str">
        <f aca="true">IF(D91="","",IF(OR(COUNTIFS(Clients!$C$2:$C$501,D91,Clients!$S$2:$S$501,"Paid")&gt;0,AND(H91&lt;&gt;"",COUNTIFS(Clients!$E$2:$E$501,H91,Clients!$S$2:$S$501,"Paid")&gt;0)),"⚠ Refunded before – no free video",IF(OR(O91="Contract signed + paid",O91="Closed – No response",O91="Lost"),"",IF(O91="","Set a stage",IF(N(Q91)&gt;=Settings!$S$3,"Close – 4 follow-ups sent",IF(R91="",IF(P91="","Make first contact",""),IF(TODAY()&gt;R91,"OVERDUE follow-up",IF(TODAY()=R91,"Follow up today",""))))))))</f>
        <v/>
      </c>
    </row>
    <row r="92" customFormat="false" ht="15" hidden="false" customHeight="false" outlineLevel="0" collapsed="false">
      <c r="A92" s="17"/>
      <c r="B92" s="38"/>
      <c r="C92" s="17"/>
      <c r="D92" s="17"/>
      <c r="E92" s="17"/>
      <c r="F92" s="17"/>
      <c r="G92" s="17"/>
      <c r="H92" s="40"/>
      <c r="I92" s="17"/>
      <c r="J92" s="17"/>
      <c r="K92" s="17"/>
      <c r="L92" s="17"/>
      <c r="M92" s="17"/>
      <c r="N92" s="17"/>
      <c r="O92" s="17"/>
      <c r="P92" s="38"/>
      <c r="Q92" s="17"/>
      <c r="R92" s="42" t="str">
        <f aca="false">IF(OR(D92="",P92="",OR(O92="Contract signed + paid",O92="Closed – No response",O92="Lost"),N(Q92)&gt;=Settings!$S$3),"",P92+Settings!$S$2)</f>
        <v/>
      </c>
      <c r="S92" s="38"/>
      <c r="T92" s="39"/>
      <c r="U92" s="17"/>
      <c r="V92" s="17"/>
      <c r="W92" s="17"/>
      <c r="X92" s="43" t="str">
        <f aca="true">IF(OR(D92="",B92=""),"",INT(TODAY()-B92))</f>
        <v/>
      </c>
      <c r="Y92" s="44" t="str">
        <f aca="true">IF(D92="","",IF(OR(COUNTIFS(Clients!$C$2:$C$501,D92,Clients!$S$2:$S$501,"Paid")&gt;0,AND(H92&lt;&gt;"",COUNTIFS(Clients!$E$2:$E$501,H92,Clients!$S$2:$S$501,"Paid")&gt;0)),"⚠ Refunded before – no free video",IF(OR(O92="Contract signed + paid",O92="Closed – No response",O92="Lost"),"",IF(O92="","Set a stage",IF(N(Q92)&gt;=Settings!$S$3,"Close – 4 follow-ups sent",IF(R92="",IF(P92="","Make first contact",""),IF(TODAY()&gt;R92,"OVERDUE follow-up",IF(TODAY()=R92,"Follow up today",""))))))))</f>
        <v/>
      </c>
    </row>
    <row r="93" customFormat="false" ht="15" hidden="false" customHeight="false" outlineLevel="0" collapsed="false">
      <c r="A93" s="17"/>
      <c r="B93" s="38"/>
      <c r="C93" s="17"/>
      <c r="D93" s="17"/>
      <c r="E93" s="17"/>
      <c r="F93" s="17"/>
      <c r="G93" s="17"/>
      <c r="H93" s="40"/>
      <c r="I93" s="17"/>
      <c r="J93" s="17"/>
      <c r="K93" s="17"/>
      <c r="L93" s="17"/>
      <c r="M93" s="17"/>
      <c r="N93" s="17"/>
      <c r="O93" s="17"/>
      <c r="P93" s="38"/>
      <c r="Q93" s="17"/>
      <c r="R93" s="42" t="str">
        <f aca="false">IF(OR(D93="",P93="",OR(O93="Contract signed + paid",O93="Closed – No response",O93="Lost"),N(Q93)&gt;=Settings!$S$3),"",P93+Settings!$S$2)</f>
        <v/>
      </c>
      <c r="S93" s="38"/>
      <c r="T93" s="39"/>
      <c r="U93" s="17"/>
      <c r="V93" s="17"/>
      <c r="W93" s="17"/>
      <c r="X93" s="43" t="str">
        <f aca="true">IF(OR(D93="",B93=""),"",INT(TODAY()-B93))</f>
        <v/>
      </c>
      <c r="Y93" s="44" t="str">
        <f aca="true">IF(D93="","",IF(OR(COUNTIFS(Clients!$C$2:$C$501,D93,Clients!$S$2:$S$501,"Paid")&gt;0,AND(H93&lt;&gt;"",COUNTIFS(Clients!$E$2:$E$501,H93,Clients!$S$2:$S$501,"Paid")&gt;0)),"⚠ Refunded before – no free video",IF(OR(O93="Contract signed + paid",O93="Closed – No response",O93="Lost"),"",IF(O93="","Set a stage",IF(N(Q93)&gt;=Settings!$S$3,"Close – 4 follow-ups sent",IF(R93="",IF(P93="","Make first contact",""),IF(TODAY()&gt;R93,"OVERDUE follow-up",IF(TODAY()=R93,"Follow up today",""))))))))</f>
        <v/>
      </c>
    </row>
    <row r="94" customFormat="false" ht="15" hidden="false" customHeight="false" outlineLevel="0" collapsed="false">
      <c r="A94" s="17"/>
      <c r="B94" s="38"/>
      <c r="C94" s="17"/>
      <c r="D94" s="17"/>
      <c r="E94" s="17"/>
      <c r="F94" s="17"/>
      <c r="G94" s="17"/>
      <c r="H94" s="40"/>
      <c r="I94" s="17"/>
      <c r="J94" s="17"/>
      <c r="K94" s="17"/>
      <c r="L94" s="17"/>
      <c r="M94" s="17"/>
      <c r="N94" s="17"/>
      <c r="O94" s="17"/>
      <c r="P94" s="38"/>
      <c r="Q94" s="17"/>
      <c r="R94" s="42" t="str">
        <f aca="false">IF(OR(D94="",P94="",OR(O94="Contract signed + paid",O94="Closed – No response",O94="Lost"),N(Q94)&gt;=Settings!$S$3),"",P94+Settings!$S$2)</f>
        <v/>
      </c>
      <c r="S94" s="38"/>
      <c r="T94" s="39"/>
      <c r="U94" s="17"/>
      <c r="V94" s="17"/>
      <c r="W94" s="17"/>
      <c r="X94" s="43" t="str">
        <f aca="true">IF(OR(D94="",B94=""),"",INT(TODAY()-B94))</f>
        <v/>
      </c>
      <c r="Y94" s="44" t="str">
        <f aca="true">IF(D94="","",IF(OR(COUNTIFS(Clients!$C$2:$C$501,D94,Clients!$S$2:$S$501,"Paid")&gt;0,AND(H94&lt;&gt;"",COUNTIFS(Clients!$E$2:$E$501,H94,Clients!$S$2:$S$501,"Paid")&gt;0)),"⚠ Refunded before – no free video",IF(OR(O94="Contract signed + paid",O94="Closed – No response",O94="Lost"),"",IF(O94="","Set a stage",IF(N(Q94)&gt;=Settings!$S$3,"Close – 4 follow-ups sent",IF(R94="",IF(P94="","Make first contact",""),IF(TODAY()&gt;R94,"OVERDUE follow-up",IF(TODAY()=R94,"Follow up today",""))))))))</f>
        <v/>
      </c>
    </row>
    <row r="95" customFormat="false" ht="15" hidden="false" customHeight="false" outlineLevel="0" collapsed="false">
      <c r="A95" s="17"/>
      <c r="B95" s="38"/>
      <c r="C95" s="17"/>
      <c r="D95" s="17"/>
      <c r="E95" s="17"/>
      <c r="F95" s="17"/>
      <c r="G95" s="17"/>
      <c r="H95" s="40"/>
      <c r="I95" s="17"/>
      <c r="J95" s="17"/>
      <c r="K95" s="17"/>
      <c r="L95" s="17"/>
      <c r="M95" s="17"/>
      <c r="N95" s="17"/>
      <c r="O95" s="17"/>
      <c r="P95" s="38"/>
      <c r="Q95" s="17"/>
      <c r="R95" s="42" t="str">
        <f aca="false">IF(OR(D95="",P95="",OR(O95="Contract signed + paid",O95="Closed – No response",O95="Lost"),N(Q95)&gt;=Settings!$S$3),"",P95+Settings!$S$2)</f>
        <v/>
      </c>
      <c r="S95" s="38"/>
      <c r="T95" s="39"/>
      <c r="U95" s="17"/>
      <c r="V95" s="17"/>
      <c r="W95" s="17"/>
      <c r="X95" s="43" t="str">
        <f aca="true">IF(OR(D95="",B95=""),"",INT(TODAY()-B95))</f>
        <v/>
      </c>
      <c r="Y95" s="44" t="str">
        <f aca="true">IF(D95="","",IF(OR(COUNTIFS(Clients!$C$2:$C$501,D95,Clients!$S$2:$S$501,"Paid")&gt;0,AND(H95&lt;&gt;"",COUNTIFS(Clients!$E$2:$E$501,H95,Clients!$S$2:$S$501,"Paid")&gt;0)),"⚠ Refunded before – no free video",IF(OR(O95="Contract signed + paid",O95="Closed – No response",O95="Lost"),"",IF(O95="","Set a stage",IF(N(Q95)&gt;=Settings!$S$3,"Close – 4 follow-ups sent",IF(R95="",IF(P95="","Make first contact",""),IF(TODAY()&gt;R95,"OVERDUE follow-up",IF(TODAY()=R95,"Follow up today",""))))))))</f>
        <v/>
      </c>
    </row>
    <row r="96" customFormat="false" ht="15" hidden="false" customHeight="false" outlineLevel="0" collapsed="false">
      <c r="A96" s="17"/>
      <c r="B96" s="38"/>
      <c r="C96" s="17"/>
      <c r="D96" s="17"/>
      <c r="E96" s="17"/>
      <c r="F96" s="17"/>
      <c r="G96" s="17"/>
      <c r="H96" s="40"/>
      <c r="I96" s="17"/>
      <c r="J96" s="17"/>
      <c r="K96" s="17"/>
      <c r="L96" s="17"/>
      <c r="M96" s="17"/>
      <c r="N96" s="17"/>
      <c r="O96" s="17"/>
      <c r="P96" s="38"/>
      <c r="Q96" s="17"/>
      <c r="R96" s="42" t="str">
        <f aca="false">IF(OR(D96="",P96="",OR(O96="Contract signed + paid",O96="Closed – No response",O96="Lost"),N(Q96)&gt;=Settings!$S$3),"",P96+Settings!$S$2)</f>
        <v/>
      </c>
      <c r="S96" s="38"/>
      <c r="T96" s="39"/>
      <c r="U96" s="17"/>
      <c r="V96" s="17"/>
      <c r="W96" s="17"/>
      <c r="X96" s="43" t="str">
        <f aca="true">IF(OR(D96="",B96=""),"",INT(TODAY()-B96))</f>
        <v/>
      </c>
      <c r="Y96" s="44" t="str">
        <f aca="true">IF(D96="","",IF(OR(COUNTIFS(Clients!$C$2:$C$501,D96,Clients!$S$2:$S$501,"Paid")&gt;0,AND(H96&lt;&gt;"",COUNTIFS(Clients!$E$2:$E$501,H96,Clients!$S$2:$S$501,"Paid")&gt;0)),"⚠ Refunded before – no free video",IF(OR(O96="Contract signed + paid",O96="Closed – No response",O96="Lost"),"",IF(O96="","Set a stage",IF(N(Q96)&gt;=Settings!$S$3,"Close – 4 follow-ups sent",IF(R96="",IF(P96="","Make first contact",""),IF(TODAY()&gt;R96,"OVERDUE follow-up",IF(TODAY()=R96,"Follow up today",""))))))))</f>
        <v/>
      </c>
    </row>
    <row r="97" customFormat="false" ht="15" hidden="false" customHeight="false" outlineLevel="0" collapsed="false">
      <c r="A97" s="17"/>
      <c r="B97" s="38"/>
      <c r="C97" s="17"/>
      <c r="D97" s="17"/>
      <c r="E97" s="17"/>
      <c r="F97" s="17"/>
      <c r="G97" s="17"/>
      <c r="H97" s="40"/>
      <c r="I97" s="17"/>
      <c r="J97" s="17"/>
      <c r="K97" s="17"/>
      <c r="L97" s="17"/>
      <c r="M97" s="17"/>
      <c r="N97" s="17"/>
      <c r="O97" s="17"/>
      <c r="P97" s="38"/>
      <c r="Q97" s="17"/>
      <c r="R97" s="42" t="str">
        <f aca="false">IF(OR(D97="",P97="",OR(O97="Contract signed + paid",O97="Closed – No response",O97="Lost"),N(Q97)&gt;=Settings!$S$3),"",P97+Settings!$S$2)</f>
        <v/>
      </c>
      <c r="S97" s="38"/>
      <c r="T97" s="39"/>
      <c r="U97" s="17"/>
      <c r="V97" s="17"/>
      <c r="W97" s="17"/>
      <c r="X97" s="43" t="str">
        <f aca="true">IF(OR(D97="",B97=""),"",INT(TODAY()-B97))</f>
        <v/>
      </c>
      <c r="Y97" s="44" t="str">
        <f aca="true">IF(D97="","",IF(OR(COUNTIFS(Clients!$C$2:$C$501,D97,Clients!$S$2:$S$501,"Paid")&gt;0,AND(H97&lt;&gt;"",COUNTIFS(Clients!$E$2:$E$501,H97,Clients!$S$2:$S$501,"Paid")&gt;0)),"⚠ Refunded before – no free video",IF(OR(O97="Contract signed + paid",O97="Closed – No response",O97="Lost"),"",IF(O97="","Set a stage",IF(N(Q97)&gt;=Settings!$S$3,"Close – 4 follow-ups sent",IF(R97="",IF(P97="","Make first contact",""),IF(TODAY()&gt;R97,"OVERDUE follow-up",IF(TODAY()=R97,"Follow up today",""))))))))</f>
        <v/>
      </c>
    </row>
    <row r="98" customFormat="false" ht="15" hidden="false" customHeight="false" outlineLevel="0" collapsed="false">
      <c r="A98" s="17"/>
      <c r="B98" s="38"/>
      <c r="C98" s="17"/>
      <c r="D98" s="17"/>
      <c r="E98" s="17"/>
      <c r="F98" s="17"/>
      <c r="G98" s="17"/>
      <c r="H98" s="40"/>
      <c r="I98" s="17"/>
      <c r="J98" s="17"/>
      <c r="K98" s="17"/>
      <c r="L98" s="17"/>
      <c r="M98" s="17"/>
      <c r="N98" s="17"/>
      <c r="O98" s="17"/>
      <c r="P98" s="38"/>
      <c r="Q98" s="17"/>
      <c r="R98" s="42" t="str">
        <f aca="false">IF(OR(D98="",P98="",OR(O98="Contract signed + paid",O98="Closed – No response",O98="Lost"),N(Q98)&gt;=Settings!$S$3),"",P98+Settings!$S$2)</f>
        <v/>
      </c>
      <c r="S98" s="38"/>
      <c r="T98" s="39"/>
      <c r="U98" s="17"/>
      <c r="V98" s="17"/>
      <c r="W98" s="17"/>
      <c r="X98" s="43" t="str">
        <f aca="true">IF(OR(D98="",B98=""),"",INT(TODAY()-B98))</f>
        <v/>
      </c>
      <c r="Y98" s="44" t="str">
        <f aca="true">IF(D98="","",IF(OR(COUNTIFS(Clients!$C$2:$C$501,D98,Clients!$S$2:$S$501,"Paid")&gt;0,AND(H98&lt;&gt;"",COUNTIFS(Clients!$E$2:$E$501,H98,Clients!$S$2:$S$501,"Paid")&gt;0)),"⚠ Refunded before – no free video",IF(OR(O98="Contract signed + paid",O98="Closed – No response",O98="Lost"),"",IF(O98="","Set a stage",IF(N(Q98)&gt;=Settings!$S$3,"Close – 4 follow-ups sent",IF(R98="",IF(P98="","Make first contact",""),IF(TODAY()&gt;R98,"OVERDUE follow-up",IF(TODAY()=R98,"Follow up today",""))))))))</f>
        <v/>
      </c>
    </row>
    <row r="99" customFormat="false" ht="15" hidden="false" customHeight="false" outlineLevel="0" collapsed="false">
      <c r="A99" s="17"/>
      <c r="B99" s="38"/>
      <c r="C99" s="17"/>
      <c r="D99" s="17"/>
      <c r="E99" s="17"/>
      <c r="F99" s="17"/>
      <c r="G99" s="17"/>
      <c r="H99" s="40"/>
      <c r="I99" s="17"/>
      <c r="J99" s="17"/>
      <c r="K99" s="17"/>
      <c r="L99" s="17"/>
      <c r="M99" s="17"/>
      <c r="N99" s="17"/>
      <c r="O99" s="17"/>
      <c r="P99" s="38"/>
      <c r="Q99" s="17"/>
      <c r="R99" s="42" t="str">
        <f aca="false">IF(OR(D99="",P99="",OR(O99="Contract signed + paid",O99="Closed – No response",O99="Lost"),N(Q99)&gt;=Settings!$S$3),"",P99+Settings!$S$2)</f>
        <v/>
      </c>
      <c r="S99" s="38"/>
      <c r="T99" s="39"/>
      <c r="U99" s="17"/>
      <c r="V99" s="17"/>
      <c r="W99" s="17"/>
      <c r="X99" s="43" t="str">
        <f aca="true">IF(OR(D99="",B99=""),"",INT(TODAY()-B99))</f>
        <v/>
      </c>
      <c r="Y99" s="44" t="str">
        <f aca="true">IF(D99="","",IF(OR(COUNTIFS(Clients!$C$2:$C$501,D99,Clients!$S$2:$S$501,"Paid")&gt;0,AND(H99&lt;&gt;"",COUNTIFS(Clients!$E$2:$E$501,H99,Clients!$S$2:$S$501,"Paid")&gt;0)),"⚠ Refunded before – no free video",IF(OR(O99="Contract signed + paid",O99="Closed – No response",O99="Lost"),"",IF(O99="","Set a stage",IF(N(Q99)&gt;=Settings!$S$3,"Close – 4 follow-ups sent",IF(R99="",IF(P99="","Make first contact",""),IF(TODAY()&gt;R99,"OVERDUE follow-up",IF(TODAY()=R99,"Follow up today",""))))))))</f>
        <v/>
      </c>
    </row>
    <row r="100" customFormat="false" ht="15" hidden="false" customHeight="false" outlineLevel="0" collapsed="false">
      <c r="A100" s="17"/>
      <c r="B100" s="38"/>
      <c r="C100" s="17"/>
      <c r="D100" s="17"/>
      <c r="E100" s="17"/>
      <c r="F100" s="17"/>
      <c r="G100" s="17"/>
      <c r="H100" s="40"/>
      <c r="I100" s="17"/>
      <c r="J100" s="17"/>
      <c r="K100" s="17"/>
      <c r="L100" s="17"/>
      <c r="M100" s="17"/>
      <c r="N100" s="17"/>
      <c r="O100" s="17"/>
      <c r="P100" s="38"/>
      <c r="Q100" s="17"/>
      <c r="R100" s="42" t="str">
        <f aca="false">IF(OR(D100="",P100="",OR(O100="Contract signed + paid",O100="Closed – No response",O100="Lost"),N(Q100)&gt;=Settings!$S$3),"",P100+Settings!$S$2)</f>
        <v/>
      </c>
      <c r="S100" s="38"/>
      <c r="T100" s="39"/>
      <c r="U100" s="17"/>
      <c r="V100" s="17"/>
      <c r="W100" s="17"/>
      <c r="X100" s="43" t="str">
        <f aca="true">IF(OR(D100="",B100=""),"",INT(TODAY()-B100))</f>
        <v/>
      </c>
      <c r="Y100" s="44" t="str">
        <f aca="true">IF(D100="","",IF(OR(COUNTIFS(Clients!$C$2:$C$501,D100,Clients!$S$2:$S$501,"Paid")&gt;0,AND(H100&lt;&gt;"",COUNTIFS(Clients!$E$2:$E$501,H100,Clients!$S$2:$S$501,"Paid")&gt;0)),"⚠ Refunded before – no free video",IF(OR(O100="Contract signed + paid",O100="Closed – No response",O100="Lost"),"",IF(O100="","Set a stage",IF(N(Q100)&gt;=Settings!$S$3,"Close – 4 follow-ups sent",IF(R100="",IF(P100="","Make first contact",""),IF(TODAY()&gt;R100,"OVERDUE follow-up",IF(TODAY()=R100,"Follow up today",""))))))))</f>
        <v/>
      </c>
    </row>
    <row r="101" customFormat="false" ht="15" hidden="false" customHeight="false" outlineLevel="0" collapsed="false">
      <c r="A101" s="17"/>
      <c r="B101" s="38"/>
      <c r="C101" s="17"/>
      <c r="D101" s="17"/>
      <c r="E101" s="17"/>
      <c r="F101" s="17"/>
      <c r="G101" s="17"/>
      <c r="H101" s="40"/>
      <c r="I101" s="17"/>
      <c r="J101" s="17"/>
      <c r="K101" s="17"/>
      <c r="L101" s="17"/>
      <c r="M101" s="17"/>
      <c r="N101" s="17"/>
      <c r="O101" s="17"/>
      <c r="P101" s="38"/>
      <c r="Q101" s="17"/>
      <c r="R101" s="42" t="str">
        <f aca="false">IF(OR(D101="",P101="",OR(O101="Contract signed + paid",O101="Closed – No response",O101="Lost"),N(Q101)&gt;=Settings!$S$3),"",P101+Settings!$S$2)</f>
        <v/>
      </c>
      <c r="S101" s="38"/>
      <c r="T101" s="39"/>
      <c r="U101" s="17"/>
      <c r="V101" s="17"/>
      <c r="W101" s="17"/>
      <c r="X101" s="43" t="str">
        <f aca="true">IF(OR(D101="",B101=""),"",INT(TODAY()-B101))</f>
        <v/>
      </c>
      <c r="Y101" s="44" t="str">
        <f aca="true">IF(D101="","",IF(OR(COUNTIFS(Clients!$C$2:$C$501,D101,Clients!$S$2:$S$501,"Paid")&gt;0,AND(H101&lt;&gt;"",COUNTIFS(Clients!$E$2:$E$501,H101,Clients!$S$2:$S$501,"Paid")&gt;0)),"⚠ Refunded before – no free video",IF(OR(O101="Contract signed + paid",O101="Closed – No response",O101="Lost"),"",IF(O101="","Set a stage",IF(N(Q101)&gt;=Settings!$S$3,"Close – 4 follow-ups sent",IF(R101="",IF(P101="","Make first contact",""),IF(TODAY()&gt;R101,"OVERDUE follow-up",IF(TODAY()=R101,"Follow up today",""))))))))</f>
        <v/>
      </c>
    </row>
    <row r="102" customFormat="false" ht="15" hidden="false" customHeight="false" outlineLevel="0" collapsed="false">
      <c r="A102" s="17"/>
      <c r="B102" s="38"/>
      <c r="C102" s="17"/>
      <c r="D102" s="17"/>
      <c r="E102" s="17"/>
      <c r="F102" s="17"/>
      <c r="G102" s="17"/>
      <c r="H102" s="40"/>
      <c r="I102" s="17"/>
      <c r="J102" s="17"/>
      <c r="K102" s="17"/>
      <c r="L102" s="17"/>
      <c r="M102" s="17"/>
      <c r="N102" s="17"/>
      <c r="O102" s="17"/>
      <c r="P102" s="38"/>
      <c r="Q102" s="17"/>
      <c r="R102" s="42" t="str">
        <f aca="false">IF(OR(D102="",P102="",OR(O102="Contract signed + paid",O102="Closed – No response",O102="Lost"),N(Q102)&gt;=Settings!$S$3),"",P102+Settings!$S$2)</f>
        <v/>
      </c>
      <c r="S102" s="38"/>
      <c r="T102" s="39"/>
      <c r="U102" s="17"/>
      <c r="V102" s="17"/>
      <c r="W102" s="17"/>
      <c r="X102" s="43" t="str">
        <f aca="true">IF(OR(D102="",B102=""),"",INT(TODAY()-B102))</f>
        <v/>
      </c>
      <c r="Y102" s="44" t="str">
        <f aca="true">IF(D102="","",IF(OR(COUNTIFS(Clients!$C$2:$C$501,D102,Clients!$S$2:$S$501,"Paid")&gt;0,AND(H102&lt;&gt;"",COUNTIFS(Clients!$E$2:$E$501,H102,Clients!$S$2:$S$501,"Paid")&gt;0)),"⚠ Refunded before – no free video",IF(OR(O102="Contract signed + paid",O102="Closed – No response",O102="Lost"),"",IF(O102="","Set a stage",IF(N(Q102)&gt;=Settings!$S$3,"Close – 4 follow-ups sent",IF(R102="",IF(P102="","Make first contact",""),IF(TODAY()&gt;R102,"OVERDUE follow-up",IF(TODAY()=R102,"Follow up today",""))))))))</f>
        <v/>
      </c>
    </row>
    <row r="103" customFormat="false" ht="15" hidden="false" customHeight="false" outlineLevel="0" collapsed="false">
      <c r="A103" s="17"/>
      <c r="B103" s="38"/>
      <c r="C103" s="17"/>
      <c r="D103" s="17"/>
      <c r="E103" s="17"/>
      <c r="F103" s="17"/>
      <c r="G103" s="17"/>
      <c r="H103" s="40"/>
      <c r="I103" s="17"/>
      <c r="J103" s="17"/>
      <c r="K103" s="17"/>
      <c r="L103" s="17"/>
      <c r="M103" s="17"/>
      <c r="N103" s="17"/>
      <c r="O103" s="17"/>
      <c r="P103" s="38"/>
      <c r="Q103" s="17"/>
      <c r="R103" s="42" t="str">
        <f aca="false">IF(OR(D103="",P103="",OR(O103="Contract signed + paid",O103="Closed – No response",O103="Lost"),N(Q103)&gt;=Settings!$S$3),"",P103+Settings!$S$2)</f>
        <v/>
      </c>
      <c r="S103" s="38"/>
      <c r="T103" s="39"/>
      <c r="U103" s="17"/>
      <c r="V103" s="17"/>
      <c r="W103" s="17"/>
      <c r="X103" s="43" t="str">
        <f aca="true">IF(OR(D103="",B103=""),"",INT(TODAY()-B103))</f>
        <v/>
      </c>
      <c r="Y103" s="44" t="str">
        <f aca="true">IF(D103="","",IF(OR(COUNTIFS(Clients!$C$2:$C$501,D103,Clients!$S$2:$S$501,"Paid")&gt;0,AND(H103&lt;&gt;"",COUNTIFS(Clients!$E$2:$E$501,H103,Clients!$S$2:$S$501,"Paid")&gt;0)),"⚠ Refunded before – no free video",IF(OR(O103="Contract signed + paid",O103="Closed – No response",O103="Lost"),"",IF(O103="","Set a stage",IF(N(Q103)&gt;=Settings!$S$3,"Close – 4 follow-ups sent",IF(R103="",IF(P103="","Make first contact",""),IF(TODAY()&gt;R103,"OVERDUE follow-up",IF(TODAY()=R103,"Follow up today",""))))))))</f>
        <v/>
      </c>
    </row>
    <row r="104" customFormat="false" ht="15" hidden="false" customHeight="false" outlineLevel="0" collapsed="false">
      <c r="A104" s="17"/>
      <c r="B104" s="38"/>
      <c r="C104" s="17"/>
      <c r="D104" s="17"/>
      <c r="E104" s="17"/>
      <c r="F104" s="17"/>
      <c r="G104" s="17"/>
      <c r="H104" s="40"/>
      <c r="I104" s="17"/>
      <c r="J104" s="17"/>
      <c r="K104" s="17"/>
      <c r="L104" s="17"/>
      <c r="M104" s="17"/>
      <c r="N104" s="17"/>
      <c r="O104" s="17"/>
      <c r="P104" s="38"/>
      <c r="Q104" s="17"/>
      <c r="R104" s="42" t="str">
        <f aca="false">IF(OR(D104="",P104="",OR(O104="Contract signed + paid",O104="Closed – No response",O104="Lost"),N(Q104)&gt;=Settings!$S$3),"",P104+Settings!$S$2)</f>
        <v/>
      </c>
      <c r="S104" s="38"/>
      <c r="T104" s="39"/>
      <c r="U104" s="17"/>
      <c r="V104" s="17"/>
      <c r="W104" s="17"/>
      <c r="X104" s="43" t="str">
        <f aca="true">IF(OR(D104="",B104=""),"",INT(TODAY()-B104))</f>
        <v/>
      </c>
      <c r="Y104" s="44" t="str">
        <f aca="true">IF(D104="","",IF(OR(COUNTIFS(Clients!$C$2:$C$501,D104,Clients!$S$2:$S$501,"Paid")&gt;0,AND(H104&lt;&gt;"",COUNTIFS(Clients!$E$2:$E$501,H104,Clients!$S$2:$S$501,"Paid")&gt;0)),"⚠ Refunded before – no free video",IF(OR(O104="Contract signed + paid",O104="Closed – No response",O104="Lost"),"",IF(O104="","Set a stage",IF(N(Q104)&gt;=Settings!$S$3,"Close – 4 follow-ups sent",IF(R104="",IF(P104="","Make first contact",""),IF(TODAY()&gt;R104,"OVERDUE follow-up",IF(TODAY()=R104,"Follow up today",""))))))))</f>
        <v/>
      </c>
    </row>
    <row r="105" customFormat="false" ht="15" hidden="false" customHeight="false" outlineLevel="0" collapsed="false">
      <c r="A105" s="17"/>
      <c r="B105" s="38"/>
      <c r="C105" s="17"/>
      <c r="D105" s="17"/>
      <c r="E105" s="17"/>
      <c r="F105" s="17"/>
      <c r="G105" s="17"/>
      <c r="H105" s="40"/>
      <c r="I105" s="17"/>
      <c r="J105" s="17"/>
      <c r="K105" s="17"/>
      <c r="L105" s="17"/>
      <c r="M105" s="17"/>
      <c r="N105" s="17"/>
      <c r="O105" s="17"/>
      <c r="P105" s="38"/>
      <c r="Q105" s="17"/>
      <c r="R105" s="42" t="str">
        <f aca="false">IF(OR(D105="",P105="",OR(O105="Contract signed + paid",O105="Closed – No response",O105="Lost"),N(Q105)&gt;=Settings!$S$3),"",P105+Settings!$S$2)</f>
        <v/>
      </c>
      <c r="S105" s="38"/>
      <c r="T105" s="39"/>
      <c r="U105" s="17"/>
      <c r="V105" s="17"/>
      <c r="W105" s="17"/>
      <c r="X105" s="43" t="str">
        <f aca="true">IF(OR(D105="",B105=""),"",INT(TODAY()-B105))</f>
        <v/>
      </c>
      <c r="Y105" s="44" t="str">
        <f aca="true">IF(D105="","",IF(OR(COUNTIFS(Clients!$C$2:$C$501,D105,Clients!$S$2:$S$501,"Paid")&gt;0,AND(H105&lt;&gt;"",COUNTIFS(Clients!$E$2:$E$501,H105,Clients!$S$2:$S$501,"Paid")&gt;0)),"⚠ Refunded before – no free video",IF(OR(O105="Contract signed + paid",O105="Closed – No response",O105="Lost"),"",IF(O105="","Set a stage",IF(N(Q105)&gt;=Settings!$S$3,"Close – 4 follow-ups sent",IF(R105="",IF(P105="","Make first contact",""),IF(TODAY()&gt;R105,"OVERDUE follow-up",IF(TODAY()=R105,"Follow up today",""))))))))</f>
        <v/>
      </c>
    </row>
    <row r="106" customFormat="false" ht="15" hidden="false" customHeight="false" outlineLevel="0" collapsed="false">
      <c r="A106" s="17"/>
      <c r="B106" s="38"/>
      <c r="C106" s="17"/>
      <c r="D106" s="17"/>
      <c r="E106" s="17"/>
      <c r="F106" s="17"/>
      <c r="G106" s="17"/>
      <c r="H106" s="40"/>
      <c r="I106" s="17"/>
      <c r="J106" s="17"/>
      <c r="K106" s="17"/>
      <c r="L106" s="17"/>
      <c r="M106" s="17"/>
      <c r="N106" s="17"/>
      <c r="O106" s="17"/>
      <c r="P106" s="38"/>
      <c r="Q106" s="17"/>
      <c r="R106" s="42" t="str">
        <f aca="false">IF(OR(D106="",P106="",OR(O106="Contract signed + paid",O106="Closed – No response",O106="Lost"),N(Q106)&gt;=Settings!$S$3),"",P106+Settings!$S$2)</f>
        <v/>
      </c>
      <c r="S106" s="38"/>
      <c r="T106" s="39"/>
      <c r="U106" s="17"/>
      <c r="V106" s="17"/>
      <c r="W106" s="17"/>
      <c r="X106" s="43" t="str">
        <f aca="true">IF(OR(D106="",B106=""),"",INT(TODAY()-B106))</f>
        <v/>
      </c>
      <c r="Y106" s="44" t="str">
        <f aca="true">IF(D106="","",IF(OR(COUNTIFS(Clients!$C$2:$C$501,D106,Clients!$S$2:$S$501,"Paid")&gt;0,AND(H106&lt;&gt;"",COUNTIFS(Clients!$E$2:$E$501,H106,Clients!$S$2:$S$501,"Paid")&gt;0)),"⚠ Refunded before – no free video",IF(OR(O106="Contract signed + paid",O106="Closed – No response",O106="Lost"),"",IF(O106="","Set a stage",IF(N(Q106)&gt;=Settings!$S$3,"Close – 4 follow-ups sent",IF(R106="",IF(P106="","Make first contact",""),IF(TODAY()&gt;R106,"OVERDUE follow-up",IF(TODAY()=R106,"Follow up today",""))))))))</f>
        <v/>
      </c>
    </row>
    <row r="107" customFormat="false" ht="15" hidden="false" customHeight="false" outlineLevel="0" collapsed="false">
      <c r="A107" s="17"/>
      <c r="B107" s="38"/>
      <c r="C107" s="17"/>
      <c r="D107" s="17"/>
      <c r="E107" s="17"/>
      <c r="F107" s="17"/>
      <c r="G107" s="17"/>
      <c r="H107" s="40"/>
      <c r="I107" s="17"/>
      <c r="J107" s="17"/>
      <c r="K107" s="17"/>
      <c r="L107" s="17"/>
      <c r="M107" s="17"/>
      <c r="N107" s="17"/>
      <c r="O107" s="17"/>
      <c r="P107" s="38"/>
      <c r="Q107" s="17"/>
      <c r="R107" s="42" t="str">
        <f aca="false">IF(OR(D107="",P107="",OR(O107="Contract signed + paid",O107="Closed – No response",O107="Lost"),N(Q107)&gt;=Settings!$S$3),"",P107+Settings!$S$2)</f>
        <v/>
      </c>
      <c r="S107" s="38"/>
      <c r="T107" s="39"/>
      <c r="U107" s="17"/>
      <c r="V107" s="17"/>
      <c r="W107" s="17"/>
      <c r="X107" s="43" t="str">
        <f aca="true">IF(OR(D107="",B107=""),"",INT(TODAY()-B107))</f>
        <v/>
      </c>
      <c r="Y107" s="44" t="str">
        <f aca="true">IF(D107="","",IF(OR(COUNTIFS(Clients!$C$2:$C$501,D107,Clients!$S$2:$S$501,"Paid")&gt;0,AND(H107&lt;&gt;"",COUNTIFS(Clients!$E$2:$E$501,H107,Clients!$S$2:$S$501,"Paid")&gt;0)),"⚠ Refunded before – no free video",IF(OR(O107="Contract signed + paid",O107="Closed – No response",O107="Lost"),"",IF(O107="","Set a stage",IF(N(Q107)&gt;=Settings!$S$3,"Close – 4 follow-ups sent",IF(R107="",IF(P107="","Make first contact",""),IF(TODAY()&gt;R107,"OVERDUE follow-up",IF(TODAY()=R107,"Follow up today",""))))))))</f>
        <v/>
      </c>
    </row>
    <row r="108" customFormat="false" ht="15" hidden="false" customHeight="false" outlineLevel="0" collapsed="false">
      <c r="A108" s="17"/>
      <c r="B108" s="38"/>
      <c r="C108" s="17"/>
      <c r="D108" s="17"/>
      <c r="E108" s="17"/>
      <c r="F108" s="17"/>
      <c r="G108" s="17"/>
      <c r="H108" s="40"/>
      <c r="I108" s="17"/>
      <c r="J108" s="17"/>
      <c r="K108" s="17"/>
      <c r="L108" s="17"/>
      <c r="M108" s="17"/>
      <c r="N108" s="17"/>
      <c r="O108" s="17"/>
      <c r="P108" s="38"/>
      <c r="Q108" s="17"/>
      <c r="R108" s="42" t="str">
        <f aca="false">IF(OR(D108="",P108="",OR(O108="Contract signed + paid",O108="Closed – No response",O108="Lost"),N(Q108)&gt;=Settings!$S$3),"",P108+Settings!$S$2)</f>
        <v/>
      </c>
      <c r="S108" s="38"/>
      <c r="T108" s="39"/>
      <c r="U108" s="17"/>
      <c r="V108" s="17"/>
      <c r="W108" s="17"/>
      <c r="X108" s="43" t="str">
        <f aca="true">IF(OR(D108="",B108=""),"",INT(TODAY()-B108))</f>
        <v/>
      </c>
      <c r="Y108" s="44" t="str">
        <f aca="true">IF(D108="","",IF(OR(COUNTIFS(Clients!$C$2:$C$501,D108,Clients!$S$2:$S$501,"Paid")&gt;0,AND(H108&lt;&gt;"",COUNTIFS(Clients!$E$2:$E$501,H108,Clients!$S$2:$S$501,"Paid")&gt;0)),"⚠ Refunded before – no free video",IF(OR(O108="Contract signed + paid",O108="Closed – No response",O108="Lost"),"",IF(O108="","Set a stage",IF(N(Q108)&gt;=Settings!$S$3,"Close – 4 follow-ups sent",IF(R108="",IF(P108="","Make first contact",""),IF(TODAY()&gt;R108,"OVERDUE follow-up",IF(TODAY()=R108,"Follow up today",""))))))))</f>
        <v/>
      </c>
    </row>
    <row r="109" customFormat="false" ht="15" hidden="false" customHeight="false" outlineLevel="0" collapsed="false">
      <c r="A109" s="17"/>
      <c r="B109" s="38"/>
      <c r="C109" s="17"/>
      <c r="D109" s="17"/>
      <c r="E109" s="17"/>
      <c r="F109" s="17"/>
      <c r="G109" s="17"/>
      <c r="H109" s="40"/>
      <c r="I109" s="17"/>
      <c r="J109" s="17"/>
      <c r="K109" s="17"/>
      <c r="L109" s="17"/>
      <c r="M109" s="17"/>
      <c r="N109" s="17"/>
      <c r="O109" s="17"/>
      <c r="P109" s="38"/>
      <c r="Q109" s="17"/>
      <c r="R109" s="42" t="str">
        <f aca="false">IF(OR(D109="",P109="",OR(O109="Contract signed + paid",O109="Closed – No response",O109="Lost"),N(Q109)&gt;=Settings!$S$3),"",P109+Settings!$S$2)</f>
        <v/>
      </c>
      <c r="S109" s="38"/>
      <c r="T109" s="39"/>
      <c r="U109" s="17"/>
      <c r="V109" s="17"/>
      <c r="W109" s="17"/>
      <c r="X109" s="43" t="str">
        <f aca="true">IF(OR(D109="",B109=""),"",INT(TODAY()-B109))</f>
        <v/>
      </c>
      <c r="Y109" s="44" t="str">
        <f aca="true">IF(D109="","",IF(OR(COUNTIFS(Clients!$C$2:$C$501,D109,Clients!$S$2:$S$501,"Paid")&gt;0,AND(H109&lt;&gt;"",COUNTIFS(Clients!$E$2:$E$501,H109,Clients!$S$2:$S$501,"Paid")&gt;0)),"⚠ Refunded before – no free video",IF(OR(O109="Contract signed + paid",O109="Closed – No response",O109="Lost"),"",IF(O109="","Set a stage",IF(N(Q109)&gt;=Settings!$S$3,"Close – 4 follow-ups sent",IF(R109="",IF(P109="","Make first contact",""),IF(TODAY()&gt;R109,"OVERDUE follow-up",IF(TODAY()=R109,"Follow up today",""))))))))</f>
        <v/>
      </c>
    </row>
    <row r="110" customFormat="false" ht="15" hidden="false" customHeight="false" outlineLevel="0" collapsed="false">
      <c r="A110" s="17"/>
      <c r="B110" s="38"/>
      <c r="C110" s="17"/>
      <c r="D110" s="17"/>
      <c r="E110" s="17"/>
      <c r="F110" s="17"/>
      <c r="G110" s="17"/>
      <c r="H110" s="40"/>
      <c r="I110" s="17"/>
      <c r="J110" s="17"/>
      <c r="K110" s="17"/>
      <c r="L110" s="17"/>
      <c r="M110" s="17"/>
      <c r="N110" s="17"/>
      <c r="O110" s="17"/>
      <c r="P110" s="38"/>
      <c r="Q110" s="17"/>
      <c r="R110" s="42" t="str">
        <f aca="false">IF(OR(D110="",P110="",OR(O110="Contract signed + paid",O110="Closed – No response",O110="Lost"),N(Q110)&gt;=Settings!$S$3),"",P110+Settings!$S$2)</f>
        <v/>
      </c>
      <c r="S110" s="38"/>
      <c r="T110" s="39"/>
      <c r="U110" s="17"/>
      <c r="V110" s="17"/>
      <c r="W110" s="17"/>
      <c r="X110" s="43" t="str">
        <f aca="true">IF(OR(D110="",B110=""),"",INT(TODAY()-B110))</f>
        <v/>
      </c>
      <c r="Y110" s="44" t="str">
        <f aca="true">IF(D110="","",IF(OR(COUNTIFS(Clients!$C$2:$C$501,D110,Clients!$S$2:$S$501,"Paid")&gt;0,AND(H110&lt;&gt;"",COUNTIFS(Clients!$E$2:$E$501,H110,Clients!$S$2:$S$501,"Paid")&gt;0)),"⚠ Refunded before – no free video",IF(OR(O110="Contract signed + paid",O110="Closed – No response",O110="Lost"),"",IF(O110="","Set a stage",IF(N(Q110)&gt;=Settings!$S$3,"Close – 4 follow-ups sent",IF(R110="",IF(P110="","Make first contact",""),IF(TODAY()&gt;R110,"OVERDUE follow-up",IF(TODAY()=R110,"Follow up today",""))))))))</f>
        <v/>
      </c>
    </row>
    <row r="111" customFormat="false" ht="15" hidden="false" customHeight="false" outlineLevel="0" collapsed="false">
      <c r="A111" s="17"/>
      <c r="B111" s="38"/>
      <c r="C111" s="17"/>
      <c r="D111" s="17"/>
      <c r="E111" s="17"/>
      <c r="F111" s="17"/>
      <c r="G111" s="17"/>
      <c r="H111" s="40"/>
      <c r="I111" s="17"/>
      <c r="J111" s="17"/>
      <c r="K111" s="17"/>
      <c r="L111" s="17"/>
      <c r="M111" s="17"/>
      <c r="N111" s="17"/>
      <c r="O111" s="17"/>
      <c r="P111" s="38"/>
      <c r="Q111" s="17"/>
      <c r="R111" s="42" t="str">
        <f aca="false">IF(OR(D111="",P111="",OR(O111="Contract signed + paid",O111="Closed – No response",O111="Lost"),N(Q111)&gt;=Settings!$S$3),"",P111+Settings!$S$2)</f>
        <v/>
      </c>
      <c r="S111" s="38"/>
      <c r="T111" s="39"/>
      <c r="U111" s="17"/>
      <c r="V111" s="17"/>
      <c r="W111" s="17"/>
      <c r="X111" s="43" t="str">
        <f aca="true">IF(OR(D111="",B111=""),"",INT(TODAY()-B111))</f>
        <v/>
      </c>
      <c r="Y111" s="44" t="str">
        <f aca="true">IF(D111="","",IF(OR(COUNTIFS(Clients!$C$2:$C$501,D111,Clients!$S$2:$S$501,"Paid")&gt;0,AND(H111&lt;&gt;"",COUNTIFS(Clients!$E$2:$E$501,H111,Clients!$S$2:$S$501,"Paid")&gt;0)),"⚠ Refunded before – no free video",IF(OR(O111="Contract signed + paid",O111="Closed – No response",O111="Lost"),"",IF(O111="","Set a stage",IF(N(Q111)&gt;=Settings!$S$3,"Close – 4 follow-ups sent",IF(R111="",IF(P111="","Make first contact",""),IF(TODAY()&gt;R111,"OVERDUE follow-up",IF(TODAY()=R111,"Follow up today",""))))))))</f>
        <v/>
      </c>
    </row>
    <row r="112" customFormat="false" ht="15" hidden="false" customHeight="false" outlineLevel="0" collapsed="false">
      <c r="A112" s="17"/>
      <c r="B112" s="38"/>
      <c r="C112" s="17"/>
      <c r="D112" s="17"/>
      <c r="E112" s="17"/>
      <c r="F112" s="17"/>
      <c r="G112" s="17"/>
      <c r="H112" s="40"/>
      <c r="I112" s="17"/>
      <c r="J112" s="17"/>
      <c r="K112" s="17"/>
      <c r="L112" s="17"/>
      <c r="M112" s="17"/>
      <c r="N112" s="17"/>
      <c r="O112" s="17"/>
      <c r="P112" s="38"/>
      <c r="Q112" s="17"/>
      <c r="R112" s="42" t="str">
        <f aca="false">IF(OR(D112="",P112="",OR(O112="Contract signed + paid",O112="Closed – No response",O112="Lost"),N(Q112)&gt;=Settings!$S$3),"",P112+Settings!$S$2)</f>
        <v/>
      </c>
      <c r="S112" s="38"/>
      <c r="T112" s="39"/>
      <c r="U112" s="17"/>
      <c r="V112" s="17"/>
      <c r="W112" s="17"/>
      <c r="X112" s="43" t="str">
        <f aca="true">IF(OR(D112="",B112=""),"",INT(TODAY()-B112))</f>
        <v/>
      </c>
      <c r="Y112" s="44" t="str">
        <f aca="true">IF(D112="","",IF(OR(COUNTIFS(Clients!$C$2:$C$501,D112,Clients!$S$2:$S$501,"Paid")&gt;0,AND(H112&lt;&gt;"",COUNTIFS(Clients!$E$2:$E$501,H112,Clients!$S$2:$S$501,"Paid")&gt;0)),"⚠ Refunded before – no free video",IF(OR(O112="Contract signed + paid",O112="Closed – No response",O112="Lost"),"",IF(O112="","Set a stage",IF(N(Q112)&gt;=Settings!$S$3,"Close – 4 follow-ups sent",IF(R112="",IF(P112="","Make first contact",""),IF(TODAY()&gt;R112,"OVERDUE follow-up",IF(TODAY()=R112,"Follow up today",""))))))))</f>
        <v/>
      </c>
    </row>
    <row r="113" customFormat="false" ht="15" hidden="false" customHeight="false" outlineLevel="0" collapsed="false">
      <c r="A113" s="17"/>
      <c r="B113" s="38"/>
      <c r="C113" s="17"/>
      <c r="D113" s="17"/>
      <c r="E113" s="17"/>
      <c r="F113" s="17"/>
      <c r="G113" s="17"/>
      <c r="H113" s="40"/>
      <c r="I113" s="17"/>
      <c r="J113" s="17"/>
      <c r="K113" s="17"/>
      <c r="L113" s="17"/>
      <c r="M113" s="17"/>
      <c r="N113" s="17"/>
      <c r="O113" s="17"/>
      <c r="P113" s="38"/>
      <c r="Q113" s="17"/>
      <c r="R113" s="42" t="str">
        <f aca="false">IF(OR(D113="",P113="",OR(O113="Contract signed + paid",O113="Closed – No response",O113="Lost"),N(Q113)&gt;=Settings!$S$3),"",P113+Settings!$S$2)</f>
        <v/>
      </c>
      <c r="S113" s="38"/>
      <c r="T113" s="39"/>
      <c r="U113" s="17"/>
      <c r="V113" s="17"/>
      <c r="W113" s="17"/>
      <c r="X113" s="43" t="str">
        <f aca="true">IF(OR(D113="",B113=""),"",INT(TODAY()-B113))</f>
        <v/>
      </c>
      <c r="Y113" s="44" t="str">
        <f aca="true">IF(D113="","",IF(OR(COUNTIFS(Clients!$C$2:$C$501,D113,Clients!$S$2:$S$501,"Paid")&gt;0,AND(H113&lt;&gt;"",COUNTIFS(Clients!$E$2:$E$501,H113,Clients!$S$2:$S$501,"Paid")&gt;0)),"⚠ Refunded before – no free video",IF(OR(O113="Contract signed + paid",O113="Closed – No response",O113="Lost"),"",IF(O113="","Set a stage",IF(N(Q113)&gt;=Settings!$S$3,"Close – 4 follow-ups sent",IF(R113="",IF(P113="","Make first contact",""),IF(TODAY()&gt;R113,"OVERDUE follow-up",IF(TODAY()=R113,"Follow up today",""))))))))</f>
        <v/>
      </c>
    </row>
    <row r="114" customFormat="false" ht="15" hidden="false" customHeight="false" outlineLevel="0" collapsed="false">
      <c r="A114" s="17"/>
      <c r="B114" s="38"/>
      <c r="C114" s="17"/>
      <c r="D114" s="17"/>
      <c r="E114" s="17"/>
      <c r="F114" s="17"/>
      <c r="G114" s="17"/>
      <c r="H114" s="40"/>
      <c r="I114" s="17"/>
      <c r="J114" s="17"/>
      <c r="K114" s="17"/>
      <c r="L114" s="17"/>
      <c r="M114" s="17"/>
      <c r="N114" s="17"/>
      <c r="O114" s="17"/>
      <c r="P114" s="38"/>
      <c r="Q114" s="17"/>
      <c r="R114" s="42" t="str">
        <f aca="false">IF(OR(D114="",P114="",OR(O114="Contract signed + paid",O114="Closed – No response",O114="Lost"),N(Q114)&gt;=Settings!$S$3),"",P114+Settings!$S$2)</f>
        <v/>
      </c>
      <c r="S114" s="38"/>
      <c r="T114" s="39"/>
      <c r="U114" s="17"/>
      <c r="V114" s="17"/>
      <c r="W114" s="17"/>
      <c r="X114" s="43" t="str">
        <f aca="true">IF(OR(D114="",B114=""),"",INT(TODAY()-B114))</f>
        <v/>
      </c>
      <c r="Y114" s="44" t="str">
        <f aca="true">IF(D114="","",IF(OR(COUNTIFS(Clients!$C$2:$C$501,D114,Clients!$S$2:$S$501,"Paid")&gt;0,AND(H114&lt;&gt;"",COUNTIFS(Clients!$E$2:$E$501,H114,Clients!$S$2:$S$501,"Paid")&gt;0)),"⚠ Refunded before – no free video",IF(OR(O114="Contract signed + paid",O114="Closed – No response",O114="Lost"),"",IF(O114="","Set a stage",IF(N(Q114)&gt;=Settings!$S$3,"Close – 4 follow-ups sent",IF(R114="",IF(P114="","Make first contact",""),IF(TODAY()&gt;R114,"OVERDUE follow-up",IF(TODAY()=R114,"Follow up today",""))))))))</f>
        <v/>
      </c>
    </row>
    <row r="115" customFormat="false" ht="15" hidden="false" customHeight="false" outlineLevel="0" collapsed="false">
      <c r="A115" s="17"/>
      <c r="B115" s="38"/>
      <c r="C115" s="17"/>
      <c r="D115" s="17"/>
      <c r="E115" s="17"/>
      <c r="F115" s="17"/>
      <c r="G115" s="17"/>
      <c r="H115" s="40"/>
      <c r="I115" s="17"/>
      <c r="J115" s="17"/>
      <c r="K115" s="17"/>
      <c r="L115" s="17"/>
      <c r="M115" s="17"/>
      <c r="N115" s="17"/>
      <c r="O115" s="17"/>
      <c r="P115" s="38"/>
      <c r="Q115" s="17"/>
      <c r="R115" s="42" t="str">
        <f aca="false">IF(OR(D115="",P115="",OR(O115="Contract signed + paid",O115="Closed – No response",O115="Lost"),N(Q115)&gt;=Settings!$S$3),"",P115+Settings!$S$2)</f>
        <v/>
      </c>
      <c r="S115" s="38"/>
      <c r="T115" s="39"/>
      <c r="U115" s="17"/>
      <c r="V115" s="17"/>
      <c r="W115" s="17"/>
      <c r="X115" s="43" t="str">
        <f aca="true">IF(OR(D115="",B115=""),"",INT(TODAY()-B115))</f>
        <v/>
      </c>
      <c r="Y115" s="44" t="str">
        <f aca="true">IF(D115="","",IF(OR(COUNTIFS(Clients!$C$2:$C$501,D115,Clients!$S$2:$S$501,"Paid")&gt;0,AND(H115&lt;&gt;"",COUNTIFS(Clients!$E$2:$E$501,H115,Clients!$S$2:$S$501,"Paid")&gt;0)),"⚠ Refunded before – no free video",IF(OR(O115="Contract signed + paid",O115="Closed – No response",O115="Lost"),"",IF(O115="","Set a stage",IF(N(Q115)&gt;=Settings!$S$3,"Close – 4 follow-ups sent",IF(R115="",IF(P115="","Make first contact",""),IF(TODAY()&gt;R115,"OVERDUE follow-up",IF(TODAY()=R115,"Follow up today",""))))))))</f>
        <v/>
      </c>
    </row>
    <row r="116" customFormat="false" ht="15" hidden="false" customHeight="false" outlineLevel="0" collapsed="false">
      <c r="A116" s="17"/>
      <c r="B116" s="38"/>
      <c r="C116" s="17"/>
      <c r="D116" s="17"/>
      <c r="E116" s="17"/>
      <c r="F116" s="17"/>
      <c r="G116" s="17"/>
      <c r="H116" s="40"/>
      <c r="I116" s="17"/>
      <c r="J116" s="17"/>
      <c r="K116" s="17"/>
      <c r="L116" s="17"/>
      <c r="M116" s="17"/>
      <c r="N116" s="17"/>
      <c r="O116" s="17"/>
      <c r="P116" s="38"/>
      <c r="Q116" s="17"/>
      <c r="R116" s="42" t="str">
        <f aca="false">IF(OR(D116="",P116="",OR(O116="Contract signed + paid",O116="Closed – No response",O116="Lost"),N(Q116)&gt;=Settings!$S$3),"",P116+Settings!$S$2)</f>
        <v/>
      </c>
      <c r="S116" s="38"/>
      <c r="T116" s="39"/>
      <c r="U116" s="17"/>
      <c r="V116" s="17"/>
      <c r="W116" s="17"/>
      <c r="X116" s="43" t="str">
        <f aca="true">IF(OR(D116="",B116=""),"",INT(TODAY()-B116))</f>
        <v/>
      </c>
      <c r="Y116" s="44" t="str">
        <f aca="true">IF(D116="","",IF(OR(COUNTIFS(Clients!$C$2:$C$501,D116,Clients!$S$2:$S$501,"Paid")&gt;0,AND(H116&lt;&gt;"",COUNTIFS(Clients!$E$2:$E$501,H116,Clients!$S$2:$S$501,"Paid")&gt;0)),"⚠ Refunded before – no free video",IF(OR(O116="Contract signed + paid",O116="Closed – No response",O116="Lost"),"",IF(O116="","Set a stage",IF(N(Q116)&gt;=Settings!$S$3,"Close – 4 follow-ups sent",IF(R116="",IF(P116="","Make first contact",""),IF(TODAY()&gt;R116,"OVERDUE follow-up",IF(TODAY()=R116,"Follow up today",""))))))))</f>
        <v/>
      </c>
    </row>
    <row r="117" customFormat="false" ht="15" hidden="false" customHeight="false" outlineLevel="0" collapsed="false">
      <c r="A117" s="17"/>
      <c r="B117" s="38"/>
      <c r="C117" s="17"/>
      <c r="D117" s="17"/>
      <c r="E117" s="17"/>
      <c r="F117" s="17"/>
      <c r="G117" s="17"/>
      <c r="H117" s="40"/>
      <c r="I117" s="17"/>
      <c r="J117" s="17"/>
      <c r="K117" s="17"/>
      <c r="L117" s="17"/>
      <c r="M117" s="17"/>
      <c r="N117" s="17"/>
      <c r="O117" s="17"/>
      <c r="P117" s="38"/>
      <c r="Q117" s="17"/>
      <c r="R117" s="42" t="str">
        <f aca="false">IF(OR(D117="",P117="",OR(O117="Contract signed + paid",O117="Closed – No response",O117="Lost"),N(Q117)&gt;=Settings!$S$3),"",P117+Settings!$S$2)</f>
        <v/>
      </c>
      <c r="S117" s="38"/>
      <c r="T117" s="39"/>
      <c r="U117" s="17"/>
      <c r="V117" s="17"/>
      <c r="W117" s="17"/>
      <c r="X117" s="43" t="str">
        <f aca="true">IF(OR(D117="",B117=""),"",INT(TODAY()-B117))</f>
        <v/>
      </c>
      <c r="Y117" s="44" t="str">
        <f aca="true">IF(D117="","",IF(OR(COUNTIFS(Clients!$C$2:$C$501,D117,Clients!$S$2:$S$501,"Paid")&gt;0,AND(H117&lt;&gt;"",COUNTIFS(Clients!$E$2:$E$501,H117,Clients!$S$2:$S$501,"Paid")&gt;0)),"⚠ Refunded before – no free video",IF(OR(O117="Contract signed + paid",O117="Closed – No response",O117="Lost"),"",IF(O117="","Set a stage",IF(N(Q117)&gt;=Settings!$S$3,"Close – 4 follow-ups sent",IF(R117="",IF(P117="","Make first contact",""),IF(TODAY()&gt;R117,"OVERDUE follow-up",IF(TODAY()=R117,"Follow up today",""))))))))</f>
        <v/>
      </c>
    </row>
    <row r="118" customFormat="false" ht="15" hidden="false" customHeight="false" outlineLevel="0" collapsed="false">
      <c r="A118" s="17"/>
      <c r="B118" s="38"/>
      <c r="C118" s="17"/>
      <c r="D118" s="17"/>
      <c r="E118" s="17"/>
      <c r="F118" s="17"/>
      <c r="G118" s="17"/>
      <c r="H118" s="40"/>
      <c r="I118" s="17"/>
      <c r="J118" s="17"/>
      <c r="K118" s="17"/>
      <c r="L118" s="17"/>
      <c r="M118" s="17"/>
      <c r="N118" s="17"/>
      <c r="O118" s="17"/>
      <c r="P118" s="38"/>
      <c r="Q118" s="17"/>
      <c r="R118" s="42" t="str">
        <f aca="false">IF(OR(D118="",P118="",OR(O118="Contract signed + paid",O118="Closed – No response",O118="Lost"),N(Q118)&gt;=Settings!$S$3),"",P118+Settings!$S$2)</f>
        <v/>
      </c>
      <c r="S118" s="38"/>
      <c r="T118" s="39"/>
      <c r="U118" s="17"/>
      <c r="V118" s="17"/>
      <c r="W118" s="17"/>
      <c r="X118" s="43" t="str">
        <f aca="true">IF(OR(D118="",B118=""),"",INT(TODAY()-B118))</f>
        <v/>
      </c>
      <c r="Y118" s="44" t="str">
        <f aca="true">IF(D118="","",IF(OR(COUNTIFS(Clients!$C$2:$C$501,D118,Clients!$S$2:$S$501,"Paid")&gt;0,AND(H118&lt;&gt;"",COUNTIFS(Clients!$E$2:$E$501,H118,Clients!$S$2:$S$501,"Paid")&gt;0)),"⚠ Refunded before – no free video",IF(OR(O118="Contract signed + paid",O118="Closed – No response",O118="Lost"),"",IF(O118="","Set a stage",IF(N(Q118)&gt;=Settings!$S$3,"Close – 4 follow-ups sent",IF(R118="",IF(P118="","Make first contact",""),IF(TODAY()&gt;R118,"OVERDUE follow-up",IF(TODAY()=R118,"Follow up today",""))))))))</f>
        <v/>
      </c>
    </row>
    <row r="119" customFormat="false" ht="15" hidden="false" customHeight="false" outlineLevel="0" collapsed="false">
      <c r="A119" s="17"/>
      <c r="B119" s="38"/>
      <c r="C119" s="17"/>
      <c r="D119" s="17"/>
      <c r="E119" s="17"/>
      <c r="F119" s="17"/>
      <c r="G119" s="17"/>
      <c r="H119" s="40"/>
      <c r="I119" s="17"/>
      <c r="J119" s="17"/>
      <c r="K119" s="17"/>
      <c r="L119" s="17"/>
      <c r="M119" s="17"/>
      <c r="N119" s="17"/>
      <c r="O119" s="17"/>
      <c r="P119" s="38"/>
      <c r="Q119" s="17"/>
      <c r="R119" s="42" t="str">
        <f aca="false">IF(OR(D119="",P119="",OR(O119="Contract signed + paid",O119="Closed – No response",O119="Lost"),N(Q119)&gt;=Settings!$S$3),"",P119+Settings!$S$2)</f>
        <v/>
      </c>
      <c r="S119" s="38"/>
      <c r="T119" s="39"/>
      <c r="U119" s="17"/>
      <c r="V119" s="17"/>
      <c r="W119" s="17"/>
      <c r="X119" s="43" t="str">
        <f aca="true">IF(OR(D119="",B119=""),"",INT(TODAY()-B119))</f>
        <v/>
      </c>
      <c r="Y119" s="44" t="str">
        <f aca="true">IF(D119="","",IF(OR(COUNTIFS(Clients!$C$2:$C$501,D119,Clients!$S$2:$S$501,"Paid")&gt;0,AND(H119&lt;&gt;"",COUNTIFS(Clients!$E$2:$E$501,H119,Clients!$S$2:$S$501,"Paid")&gt;0)),"⚠ Refunded before – no free video",IF(OR(O119="Contract signed + paid",O119="Closed – No response",O119="Lost"),"",IF(O119="","Set a stage",IF(N(Q119)&gt;=Settings!$S$3,"Close – 4 follow-ups sent",IF(R119="",IF(P119="","Make first contact",""),IF(TODAY()&gt;R119,"OVERDUE follow-up",IF(TODAY()=R119,"Follow up today",""))))))))</f>
        <v/>
      </c>
    </row>
    <row r="120" customFormat="false" ht="15" hidden="false" customHeight="false" outlineLevel="0" collapsed="false">
      <c r="A120" s="17"/>
      <c r="B120" s="38"/>
      <c r="C120" s="17"/>
      <c r="D120" s="17"/>
      <c r="E120" s="17"/>
      <c r="F120" s="17"/>
      <c r="G120" s="17"/>
      <c r="H120" s="40"/>
      <c r="I120" s="17"/>
      <c r="J120" s="17"/>
      <c r="K120" s="17"/>
      <c r="L120" s="17"/>
      <c r="M120" s="17"/>
      <c r="N120" s="17"/>
      <c r="O120" s="17"/>
      <c r="P120" s="38"/>
      <c r="Q120" s="17"/>
      <c r="R120" s="42" t="str">
        <f aca="false">IF(OR(D120="",P120="",OR(O120="Contract signed + paid",O120="Closed – No response",O120="Lost"),N(Q120)&gt;=Settings!$S$3),"",P120+Settings!$S$2)</f>
        <v/>
      </c>
      <c r="S120" s="38"/>
      <c r="T120" s="39"/>
      <c r="U120" s="17"/>
      <c r="V120" s="17"/>
      <c r="W120" s="17"/>
      <c r="X120" s="43" t="str">
        <f aca="true">IF(OR(D120="",B120=""),"",INT(TODAY()-B120))</f>
        <v/>
      </c>
      <c r="Y120" s="44" t="str">
        <f aca="true">IF(D120="","",IF(OR(COUNTIFS(Clients!$C$2:$C$501,D120,Clients!$S$2:$S$501,"Paid")&gt;0,AND(H120&lt;&gt;"",COUNTIFS(Clients!$E$2:$E$501,H120,Clients!$S$2:$S$501,"Paid")&gt;0)),"⚠ Refunded before – no free video",IF(OR(O120="Contract signed + paid",O120="Closed – No response",O120="Lost"),"",IF(O120="","Set a stage",IF(N(Q120)&gt;=Settings!$S$3,"Close – 4 follow-ups sent",IF(R120="",IF(P120="","Make first contact",""),IF(TODAY()&gt;R120,"OVERDUE follow-up",IF(TODAY()=R120,"Follow up today",""))))))))</f>
        <v/>
      </c>
    </row>
    <row r="121" customFormat="false" ht="15" hidden="false" customHeight="false" outlineLevel="0" collapsed="false">
      <c r="A121" s="17"/>
      <c r="B121" s="38"/>
      <c r="C121" s="17"/>
      <c r="D121" s="17"/>
      <c r="E121" s="17"/>
      <c r="F121" s="17"/>
      <c r="G121" s="17"/>
      <c r="H121" s="40"/>
      <c r="I121" s="17"/>
      <c r="J121" s="17"/>
      <c r="K121" s="17"/>
      <c r="L121" s="17"/>
      <c r="M121" s="17"/>
      <c r="N121" s="17"/>
      <c r="O121" s="17"/>
      <c r="P121" s="38"/>
      <c r="Q121" s="17"/>
      <c r="R121" s="42" t="str">
        <f aca="false">IF(OR(D121="",P121="",OR(O121="Contract signed + paid",O121="Closed – No response",O121="Lost"),N(Q121)&gt;=Settings!$S$3),"",P121+Settings!$S$2)</f>
        <v/>
      </c>
      <c r="S121" s="38"/>
      <c r="T121" s="39"/>
      <c r="U121" s="17"/>
      <c r="V121" s="17"/>
      <c r="W121" s="17"/>
      <c r="X121" s="43" t="str">
        <f aca="true">IF(OR(D121="",B121=""),"",INT(TODAY()-B121))</f>
        <v/>
      </c>
      <c r="Y121" s="44" t="str">
        <f aca="true">IF(D121="","",IF(OR(COUNTIFS(Clients!$C$2:$C$501,D121,Clients!$S$2:$S$501,"Paid")&gt;0,AND(H121&lt;&gt;"",COUNTIFS(Clients!$E$2:$E$501,H121,Clients!$S$2:$S$501,"Paid")&gt;0)),"⚠ Refunded before – no free video",IF(OR(O121="Contract signed + paid",O121="Closed – No response",O121="Lost"),"",IF(O121="","Set a stage",IF(N(Q121)&gt;=Settings!$S$3,"Close – 4 follow-ups sent",IF(R121="",IF(P121="","Make first contact",""),IF(TODAY()&gt;R121,"OVERDUE follow-up",IF(TODAY()=R121,"Follow up today",""))))))))</f>
        <v/>
      </c>
    </row>
    <row r="122" customFormat="false" ht="15" hidden="false" customHeight="false" outlineLevel="0" collapsed="false">
      <c r="A122" s="17"/>
      <c r="B122" s="38"/>
      <c r="C122" s="17"/>
      <c r="D122" s="17"/>
      <c r="E122" s="17"/>
      <c r="F122" s="17"/>
      <c r="G122" s="17"/>
      <c r="H122" s="40"/>
      <c r="I122" s="17"/>
      <c r="J122" s="17"/>
      <c r="K122" s="17"/>
      <c r="L122" s="17"/>
      <c r="M122" s="17"/>
      <c r="N122" s="17"/>
      <c r="O122" s="17"/>
      <c r="P122" s="38"/>
      <c r="Q122" s="17"/>
      <c r="R122" s="42" t="str">
        <f aca="false">IF(OR(D122="",P122="",OR(O122="Contract signed + paid",O122="Closed – No response",O122="Lost"),N(Q122)&gt;=Settings!$S$3),"",P122+Settings!$S$2)</f>
        <v/>
      </c>
      <c r="S122" s="38"/>
      <c r="T122" s="39"/>
      <c r="U122" s="17"/>
      <c r="V122" s="17"/>
      <c r="W122" s="17"/>
      <c r="X122" s="43" t="str">
        <f aca="true">IF(OR(D122="",B122=""),"",INT(TODAY()-B122))</f>
        <v/>
      </c>
      <c r="Y122" s="44" t="str">
        <f aca="true">IF(D122="","",IF(OR(COUNTIFS(Clients!$C$2:$C$501,D122,Clients!$S$2:$S$501,"Paid")&gt;0,AND(H122&lt;&gt;"",COUNTIFS(Clients!$E$2:$E$501,H122,Clients!$S$2:$S$501,"Paid")&gt;0)),"⚠ Refunded before – no free video",IF(OR(O122="Contract signed + paid",O122="Closed – No response",O122="Lost"),"",IF(O122="","Set a stage",IF(N(Q122)&gt;=Settings!$S$3,"Close – 4 follow-ups sent",IF(R122="",IF(P122="","Make first contact",""),IF(TODAY()&gt;R122,"OVERDUE follow-up",IF(TODAY()=R122,"Follow up today",""))))))))</f>
        <v/>
      </c>
    </row>
    <row r="123" customFormat="false" ht="15" hidden="false" customHeight="false" outlineLevel="0" collapsed="false">
      <c r="A123" s="17"/>
      <c r="B123" s="38"/>
      <c r="C123" s="17"/>
      <c r="D123" s="17"/>
      <c r="E123" s="17"/>
      <c r="F123" s="17"/>
      <c r="G123" s="17"/>
      <c r="H123" s="40"/>
      <c r="I123" s="17"/>
      <c r="J123" s="17"/>
      <c r="K123" s="17"/>
      <c r="L123" s="17"/>
      <c r="M123" s="17"/>
      <c r="N123" s="17"/>
      <c r="O123" s="17"/>
      <c r="P123" s="38"/>
      <c r="Q123" s="17"/>
      <c r="R123" s="42" t="str">
        <f aca="false">IF(OR(D123="",P123="",OR(O123="Contract signed + paid",O123="Closed – No response",O123="Lost"),N(Q123)&gt;=Settings!$S$3),"",P123+Settings!$S$2)</f>
        <v/>
      </c>
      <c r="S123" s="38"/>
      <c r="T123" s="39"/>
      <c r="U123" s="17"/>
      <c r="V123" s="17"/>
      <c r="W123" s="17"/>
      <c r="X123" s="43" t="str">
        <f aca="true">IF(OR(D123="",B123=""),"",INT(TODAY()-B123))</f>
        <v/>
      </c>
      <c r="Y123" s="44" t="str">
        <f aca="true">IF(D123="","",IF(OR(COUNTIFS(Clients!$C$2:$C$501,D123,Clients!$S$2:$S$501,"Paid")&gt;0,AND(H123&lt;&gt;"",COUNTIFS(Clients!$E$2:$E$501,H123,Clients!$S$2:$S$501,"Paid")&gt;0)),"⚠ Refunded before – no free video",IF(OR(O123="Contract signed + paid",O123="Closed – No response",O123="Lost"),"",IF(O123="","Set a stage",IF(N(Q123)&gt;=Settings!$S$3,"Close – 4 follow-ups sent",IF(R123="",IF(P123="","Make first contact",""),IF(TODAY()&gt;R123,"OVERDUE follow-up",IF(TODAY()=R123,"Follow up today",""))))))))</f>
        <v/>
      </c>
    </row>
    <row r="124" customFormat="false" ht="15" hidden="false" customHeight="false" outlineLevel="0" collapsed="false">
      <c r="A124" s="17"/>
      <c r="B124" s="38"/>
      <c r="C124" s="17"/>
      <c r="D124" s="17"/>
      <c r="E124" s="17"/>
      <c r="F124" s="17"/>
      <c r="G124" s="17"/>
      <c r="H124" s="40"/>
      <c r="I124" s="17"/>
      <c r="J124" s="17"/>
      <c r="K124" s="17"/>
      <c r="L124" s="17"/>
      <c r="M124" s="17"/>
      <c r="N124" s="17"/>
      <c r="O124" s="17"/>
      <c r="P124" s="38"/>
      <c r="Q124" s="17"/>
      <c r="R124" s="42" t="str">
        <f aca="false">IF(OR(D124="",P124="",OR(O124="Contract signed + paid",O124="Closed – No response",O124="Lost"),N(Q124)&gt;=Settings!$S$3),"",P124+Settings!$S$2)</f>
        <v/>
      </c>
      <c r="S124" s="38"/>
      <c r="T124" s="39"/>
      <c r="U124" s="17"/>
      <c r="V124" s="17"/>
      <c r="W124" s="17"/>
      <c r="X124" s="43" t="str">
        <f aca="true">IF(OR(D124="",B124=""),"",INT(TODAY()-B124))</f>
        <v/>
      </c>
      <c r="Y124" s="44" t="str">
        <f aca="true">IF(D124="","",IF(OR(COUNTIFS(Clients!$C$2:$C$501,D124,Clients!$S$2:$S$501,"Paid")&gt;0,AND(H124&lt;&gt;"",COUNTIFS(Clients!$E$2:$E$501,H124,Clients!$S$2:$S$501,"Paid")&gt;0)),"⚠ Refunded before – no free video",IF(OR(O124="Contract signed + paid",O124="Closed – No response",O124="Lost"),"",IF(O124="","Set a stage",IF(N(Q124)&gt;=Settings!$S$3,"Close – 4 follow-ups sent",IF(R124="",IF(P124="","Make first contact",""),IF(TODAY()&gt;R124,"OVERDUE follow-up",IF(TODAY()=R124,"Follow up today",""))))))))</f>
        <v/>
      </c>
    </row>
    <row r="125" customFormat="false" ht="15" hidden="false" customHeight="false" outlineLevel="0" collapsed="false">
      <c r="A125" s="17"/>
      <c r="B125" s="38"/>
      <c r="C125" s="17"/>
      <c r="D125" s="17"/>
      <c r="E125" s="17"/>
      <c r="F125" s="17"/>
      <c r="G125" s="17"/>
      <c r="H125" s="40"/>
      <c r="I125" s="17"/>
      <c r="J125" s="17"/>
      <c r="K125" s="17"/>
      <c r="L125" s="17"/>
      <c r="M125" s="17"/>
      <c r="N125" s="17"/>
      <c r="O125" s="17"/>
      <c r="P125" s="38"/>
      <c r="Q125" s="17"/>
      <c r="R125" s="42" t="str">
        <f aca="false">IF(OR(D125="",P125="",OR(O125="Contract signed + paid",O125="Closed – No response",O125="Lost"),N(Q125)&gt;=Settings!$S$3),"",P125+Settings!$S$2)</f>
        <v/>
      </c>
      <c r="S125" s="38"/>
      <c r="T125" s="39"/>
      <c r="U125" s="17"/>
      <c r="V125" s="17"/>
      <c r="W125" s="17"/>
      <c r="X125" s="43" t="str">
        <f aca="true">IF(OR(D125="",B125=""),"",INT(TODAY()-B125))</f>
        <v/>
      </c>
      <c r="Y125" s="44" t="str">
        <f aca="true">IF(D125="","",IF(OR(COUNTIFS(Clients!$C$2:$C$501,D125,Clients!$S$2:$S$501,"Paid")&gt;0,AND(H125&lt;&gt;"",COUNTIFS(Clients!$E$2:$E$501,H125,Clients!$S$2:$S$501,"Paid")&gt;0)),"⚠ Refunded before – no free video",IF(OR(O125="Contract signed + paid",O125="Closed – No response",O125="Lost"),"",IF(O125="","Set a stage",IF(N(Q125)&gt;=Settings!$S$3,"Close – 4 follow-ups sent",IF(R125="",IF(P125="","Make first contact",""),IF(TODAY()&gt;R125,"OVERDUE follow-up",IF(TODAY()=R125,"Follow up today",""))))))))</f>
        <v/>
      </c>
    </row>
    <row r="126" customFormat="false" ht="15" hidden="false" customHeight="false" outlineLevel="0" collapsed="false">
      <c r="A126" s="17"/>
      <c r="B126" s="38"/>
      <c r="C126" s="17"/>
      <c r="D126" s="17"/>
      <c r="E126" s="17"/>
      <c r="F126" s="17"/>
      <c r="G126" s="17"/>
      <c r="H126" s="40"/>
      <c r="I126" s="17"/>
      <c r="J126" s="17"/>
      <c r="K126" s="17"/>
      <c r="L126" s="17"/>
      <c r="M126" s="17"/>
      <c r="N126" s="17"/>
      <c r="O126" s="17"/>
      <c r="P126" s="38"/>
      <c r="Q126" s="17"/>
      <c r="R126" s="42" t="str">
        <f aca="false">IF(OR(D126="",P126="",OR(O126="Contract signed + paid",O126="Closed – No response",O126="Lost"),N(Q126)&gt;=Settings!$S$3),"",P126+Settings!$S$2)</f>
        <v/>
      </c>
      <c r="S126" s="38"/>
      <c r="T126" s="39"/>
      <c r="U126" s="17"/>
      <c r="V126" s="17"/>
      <c r="W126" s="17"/>
      <c r="X126" s="43" t="str">
        <f aca="true">IF(OR(D126="",B126=""),"",INT(TODAY()-B126))</f>
        <v/>
      </c>
      <c r="Y126" s="44" t="str">
        <f aca="true">IF(D126="","",IF(OR(COUNTIFS(Clients!$C$2:$C$501,D126,Clients!$S$2:$S$501,"Paid")&gt;0,AND(H126&lt;&gt;"",COUNTIFS(Clients!$E$2:$E$501,H126,Clients!$S$2:$S$501,"Paid")&gt;0)),"⚠ Refunded before – no free video",IF(OR(O126="Contract signed + paid",O126="Closed – No response",O126="Lost"),"",IF(O126="","Set a stage",IF(N(Q126)&gt;=Settings!$S$3,"Close – 4 follow-ups sent",IF(R126="",IF(P126="","Make first contact",""),IF(TODAY()&gt;R126,"OVERDUE follow-up",IF(TODAY()=R126,"Follow up today",""))))))))</f>
        <v/>
      </c>
    </row>
    <row r="127" customFormat="false" ht="15" hidden="false" customHeight="false" outlineLevel="0" collapsed="false">
      <c r="A127" s="17"/>
      <c r="B127" s="38"/>
      <c r="C127" s="17"/>
      <c r="D127" s="17"/>
      <c r="E127" s="17"/>
      <c r="F127" s="17"/>
      <c r="G127" s="17"/>
      <c r="H127" s="40"/>
      <c r="I127" s="17"/>
      <c r="J127" s="17"/>
      <c r="K127" s="17"/>
      <c r="L127" s="17"/>
      <c r="M127" s="17"/>
      <c r="N127" s="17"/>
      <c r="O127" s="17"/>
      <c r="P127" s="38"/>
      <c r="Q127" s="17"/>
      <c r="R127" s="42" t="str">
        <f aca="false">IF(OR(D127="",P127="",OR(O127="Contract signed + paid",O127="Closed – No response",O127="Lost"),N(Q127)&gt;=Settings!$S$3),"",P127+Settings!$S$2)</f>
        <v/>
      </c>
      <c r="S127" s="38"/>
      <c r="T127" s="39"/>
      <c r="U127" s="17"/>
      <c r="V127" s="17"/>
      <c r="W127" s="17"/>
      <c r="X127" s="43" t="str">
        <f aca="true">IF(OR(D127="",B127=""),"",INT(TODAY()-B127))</f>
        <v/>
      </c>
      <c r="Y127" s="44" t="str">
        <f aca="true">IF(D127="","",IF(OR(COUNTIFS(Clients!$C$2:$C$501,D127,Clients!$S$2:$S$501,"Paid")&gt;0,AND(H127&lt;&gt;"",COUNTIFS(Clients!$E$2:$E$501,H127,Clients!$S$2:$S$501,"Paid")&gt;0)),"⚠ Refunded before – no free video",IF(OR(O127="Contract signed + paid",O127="Closed – No response",O127="Lost"),"",IF(O127="","Set a stage",IF(N(Q127)&gt;=Settings!$S$3,"Close – 4 follow-ups sent",IF(R127="",IF(P127="","Make first contact",""),IF(TODAY()&gt;R127,"OVERDUE follow-up",IF(TODAY()=R127,"Follow up today",""))))))))</f>
        <v/>
      </c>
    </row>
    <row r="128" customFormat="false" ht="15" hidden="false" customHeight="false" outlineLevel="0" collapsed="false">
      <c r="A128" s="17"/>
      <c r="B128" s="38"/>
      <c r="C128" s="17"/>
      <c r="D128" s="17"/>
      <c r="E128" s="17"/>
      <c r="F128" s="17"/>
      <c r="G128" s="17"/>
      <c r="H128" s="40"/>
      <c r="I128" s="17"/>
      <c r="J128" s="17"/>
      <c r="K128" s="17"/>
      <c r="L128" s="17"/>
      <c r="M128" s="17"/>
      <c r="N128" s="17"/>
      <c r="O128" s="17"/>
      <c r="P128" s="38"/>
      <c r="Q128" s="17"/>
      <c r="R128" s="42" t="str">
        <f aca="false">IF(OR(D128="",P128="",OR(O128="Contract signed + paid",O128="Closed – No response",O128="Lost"),N(Q128)&gt;=Settings!$S$3),"",P128+Settings!$S$2)</f>
        <v/>
      </c>
      <c r="S128" s="38"/>
      <c r="T128" s="39"/>
      <c r="U128" s="17"/>
      <c r="V128" s="17"/>
      <c r="W128" s="17"/>
      <c r="X128" s="43" t="str">
        <f aca="true">IF(OR(D128="",B128=""),"",INT(TODAY()-B128))</f>
        <v/>
      </c>
      <c r="Y128" s="44" t="str">
        <f aca="true">IF(D128="","",IF(OR(COUNTIFS(Clients!$C$2:$C$501,D128,Clients!$S$2:$S$501,"Paid")&gt;0,AND(H128&lt;&gt;"",COUNTIFS(Clients!$E$2:$E$501,H128,Clients!$S$2:$S$501,"Paid")&gt;0)),"⚠ Refunded before – no free video",IF(OR(O128="Contract signed + paid",O128="Closed – No response",O128="Lost"),"",IF(O128="","Set a stage",IF(N(Q128)&gt;=Settings!$S$3,"Close – 4 follow-ups sent",IF(R128="",IF(P128="","Make first contact",""),IF(TODAY()&gt;R128,"OVERDUE follow-up",IF(TODAY()=R128,"Follow up today",""))))))))</f>
        <v/>
      </c>
    </row>
    <row r="129" customFormat="false" ht="15" hidden="false" customHeight="false" outlineLevel="0" collapsed="false">
      <c r="A129" s="17"/>
      <c r="B129" s="38"/>
      <c r="C129" s="17"/>
      <c r="D129" s="17"/>
      <c r="E129" s="17"/>
      <c r="F129" s="17"/>
      <c r="G129" s="17"/>
      <c r="H129" s="40"/>
      <c r="I129" s="17"/>
      <c r="J129" s="17"/>
      <c r="K129" s="17"/>
      <c r="L129" s="17"/>
      <c r="M129" s="17"/>
      <c r="N129" s="17"/>
      <c r="O129" s="17"/>
      <c r="P129" s="38"/>
      <c r="Q129" s="17"/>
      <c r="R129" s="42" t="str">
        <f aca="false">IF(OR(D129="",P129="",OR(O129="Contract signed + paid",O129="Closed – No response",O129="Lost"),N(Q129)&gt;=Settings!$S$3),"",P129+Settings!$S$2)</f>
        <v/>
      </c>
      <c r="S129" s="38"/>
      <c r="T129" s="39"/>
      <c r="U129" s="17"/>
      <c r="V129" s="17"/>
      <c r="W129" s="17"/>
      <c r="X129" s="43" t="str">
        <f aca="true">IF(OR(D129="",B129=""),"",INT(TODAY()-B129))</f>
        <v/>
      </c>
      <c r="Y129" s="44" t="str">
        <f aca="true">IF(D129="","",IF(OR(COUNTIFS(Clients!$C$2:$C$501,D129,Clients!$S$2:$S$501,"Paid")&gt;0,AND(H129&lt;&gt;"",COUNTIFS(Clients!$E$2:$E$501,H129,Clients!$S$2:$S$501,"Paid")&gt;0)),"⚠ Refunded before – no free video",IF(OR(O129="Contract signed + paid",O129="Closed – No response",O129="Lost"),"",IF(O129="","Set a stage",IF(N(Q129)&gt;=Settings!$S$3,"Close – 4 follow-ups sent",IF(R129="",IF(P129="","Make first contact",""),IF(TODAY()&gt;R129,"OVERDUE follow-up",IF(TODAY()=R129,"Follow up today",""))))))))</f>
        <v/>
      </c>
    </row>
    <row r="130" customFormat="false" ht="15" hidden="false" customHeight="false" outlineLevel="0" collapsed="false">
      <c r="A130" s="17"/>
      <c r="B130" s="38"/>
      <c r="C130" s="17"/>
      <c r="D130" s="17"/>
      <c r="E130" s="17"/>
      <c r="F130" s="17"/>
      <c r="G130" s="17"/>
      <c r="H130" s="40"/>
      <c r="I130" s="17"/>
      <c r="J130" s="17"/>
      <c r="K130" s="17"/>
      <c r="L130" s="17"/>
      <c r="M130" s="17"/>
      <c r="N130" s="17"/>
      <c r="O130" s="17"/>
      <c r="P130" s="38"/>
      <c r="Q130" s="17"/>
      <c r="R130" s="42" t="str">
        <f aca="false">IF(OR(D130="",P130="",OR(O130="Contract signed + paid",O130="Closed – No response",O130="Lost"),N(Q130)&gt;=Settings!$S$3),"",P130+Settings!$S$2)</f>
        <v/>
      </c>
      <c r="S130" s="38"/>
      <c r="T130" s="39"/>
      <c r="U130" s="17"/>
      <c r="V130" s="17"/>
      <c r="W130" s="17"/>
      <c r="X130" s="43" t="str">
        <f aca="true">IF(OR(D130="",B130=""),"",INT(TODAY()-B130))</f>
        <v/>
      </c>
      <c r="Y130" s="44" t="str">
        <f aca="true">IF(D130="","",IF(OR(COUNTIFS(Clients!$C$2:$C$501,D130,Clients!$S$2:$S$501,"Paid")&gt;0,AND(H130&lt;&gt;"",COUNTIFS(Clients!$E$2:$E$501,H130,Clients!$S$2:$S$501,"Paid")&gt;0)),"⚠ Refunded before – no free video",IF(OR(O130="Contract signed + paid",O130="Closed – No response",O130="Lost"),"",IF(O130="","Set a stage",IF(N(Q130)&gt;=Settings!$S$3,"Close – 4 follow-ups sent",IF(R130="",IF(P130="","Make first contact",""),IF(TODAY()&gt;R130,"OVERDUE follow-up",IF(TODAY()=R130,"Follow up today",""))))))))</f>
        <v/>
      </c>
    </row>
    <row r="131" customFormat="false" ht="15" hidden="false" customHeight="false" outlineLevel="0" collapsed="false">
      <c r="A131" s="17"/>
      <c r="B131" s="38"/>
      <c r="C131" s="17"/>
      <c r="D131" s="17"/>
      <c r="E131" s="17"/>
      <c r="F131" s="17"/>
      <c r="G131" s="17"/>
      <c r="H131" s="40"/>
      <c r="I131" s="17"/>
      <c r="J131" s="17"/>
      <c r="K131" s="17"/>
      <c r="L131" s="17"/>
      <c r="M131" s="17"/>
      <c r="N131" s="17"/>
      <c r="O131" s="17"/>
      <c r="P131" s="38"/>
      <c r="Q131" s="17"/>
      <c r="R131" s="42" t="str">
        <f aca="false">IF(OR(D131="",P131="",OR(O131="Contract signed + paid",O131="Closed – No response",O131="Lost"),N(Q131)&gt;=Settings!$S$3),"",P131+Settings!$S$2)</f>
        <v/>
      </c>
      <c r="S131" s="38"/>
      <c r="T131" s="39"/>
      <c r="U131" s="17"/>
      <c r="V131" s="17"/>
      <c r="W131" s="17"/>
      <c r="X131" s="43" t="str">
        <f aca="true">IF(OR(D131="",B131=""),"",INT(TODAY()-B131))</f>
        <v/>
      </c>
      <c r="Y131" s="44" t="str">
        <f aca="true">IF(D131="","",IF(OR(COUNTIFS(Clients!$C$2:$C$501,D131,Clients!$S$2:$S$501,"Paid")&gt;0,AND(H131&lt;&gt;"",COUNTIFS(Clients!$E$2:$E$501,H131,Clients!$S$2:$S$501,"Paid")&gt;0)),"⚠ Refunded before – no free video",IF(OR(O131="Contract signed + paid",O131="Closed – No response",O131="Lost"),"",IF(O131="","Set a stage",IF(N(Q131)&gt;=Settings!$S$3,"Close – 4 follow-ups sent",IF(R131="",IF(P131="","Make first contact",""),IF(TODAY()&gt;R131,"OVERDUE follow-up",IF(TODAY()=R131,"Follow up today",""))))))))</f>
        <v/>
      </c>
    </row>
    <row r="132" customFormat="false" ht="15" hidden="false" customHeight="false" outlineLevel="0" collapsed="false">
      <c r="A132" s="17"/>
      <c r="B132" s="38"/>
      <c r="C132" s="17"/>
      <c r="D132" s="17"/>
      <c r="E132" s="17"/>
      <c r="F132" s="17"/>
      <c r="G132" s="17"/>
      <c r="H132" s="40"/>
      <c r="I132" s="17"/>
      <c r="J132" s="17"/>
      <c r="K132" s="17"/>
      <c r="L132" s="17"/>
      <c r="M132" s="17"/>
      <c r="N132" s="17"/>
      <c r="O132" s="17"/>
      <c r="P132" s="38"/>
      <c r="Q132" s="17"/>
      <c r="R132" s="42" t="str">
        <f aca="false">IF(OR(D132="",P132="",OR(O132="Contract signed + paid",O132="Closed – No response",O132="Lost"),N(Q132)&gt;=Settings!$S$3),"",P132+Settings!$S$2)</f>
        <v/>
      </c>
      <c r="S132" s="38"/>
      <c r="T132" s="39"/>
      <c r="U132" s="17"/>
      <c r="V132" s="17"/>
      <c r="W132" s="17"/>
      <c r="X132" s="43" t="str">
        <f aca="true">IF(OR(D132="",B132=""),"",INT(TODAY()-B132))</f>
        <v/>
      </c>
      <c r="Y132" s="44" t="str">
        <f aca="true">IF(D132="","",IF(OR(COUNTIFS(Clients!$C$2:$C$501,D132,Clients!$S$2:$S$501,"Paid")&gt;0,AND(H132&lt;&gt;"",COUNTIFS(Clients!$E$2:$E$501,H132,Clients!$S$2:$S$501,"Paid")&gt;0)),"⚠ Refunded before – no free video",IF(OR(O132="Contract signed + paid",O132="Closed – No response",O132="Lost"),"",IF(O132="","Set a stage",IF(N(Q132)&gt;=Settings!$S$3,"Close – 4 follow-ups sent",IF(R132="",IF(P132="","Make first contact",""),IF(TODAY()&gt;R132,"OVERDUE follow-up",IF(TODAY()=R132,"Follow up today",""))))))))</f>
        <v/>
      </c>
    </row>
    <row r="133" customFormat="false" ht="15" hidden="false" customHeight="false" outlineLevel="0" collapsed="false">
      <c r="A133" s="17"/>
      <c r="B133" s="38"/>
      <c r="C133" s="17"/>
      <c r="D133" s="17"/>
      <c r="E133" s="17"/>
      <c r="F133" s="17"/>
      <c r="G133" s="17"/>
      <c r="H133" s="40"/>
      <c r="I133" s="17"/>
      <c r="J133" s="17"/>
      <c r="K133" s="17"/>
      <c r="L133" s="17"/>
      <c r="M133" s="17"/>
      <c r="N133" s="17"/>
      <c r="O133" s="17"/>
      <c r="P133" s="38"/>
      <c r="Q133" s="17"/>
      <c r="R133" s="42" t="str">
        <f aca="false">IF(OR(D133="",P133="",OR(O133="Contract signed + paid",O133="Closed – No response",O133="Lost"),N(Q133)&gt;=Settings!$S$3),"",P133+Settings!$S$2)</f>
        <v/>
      </c>
      <c r="S133" s="38"/>
      <c r="T133" s="39"/>
      <c r="U133" s="17"/>
      <c r="V133" s="17"/>
      <c r="W133" s="17"/>
      <c r="X133" s="43" t="str">
        <f aca="true">IF(OR(D133="",B133=""),"",INT(TODAY()-B133))</f>
        <v/>
      </c>
      <c r="Y133" s="44" t="str">
        <f aca="true">IF(D133="","",IF(OR(COUNTIFS(Clients!$C$2:$C$501,D133,Clients!$S$2:$S$501,"Paid")&gt;0,AND(H133&lt;&gt;"",COUNTIFS(Clients!$E$2:$E$501,H133,Clients!$S$2:$S$501,"Paid")&gt;0)),"⚠ Refunded before – no free video",IF(OR(O133="Contract signed + paid",O133="Closed – No response",O133="Lost"),"",IF(O133="","Set a stage",IF(N(Q133)&gt;=Settings!$S$3,"Close – 4 follow-ups sent",IF(R133="",IF(P133="","Make first contact",""),IF(TODAY()&gt;R133,"OVERDUE follow-up",IF(TODAY()=R133,"Follow up today",""))))))))</f>
        <v/>
      </c>
    </row>
    <row r="134" customFormat="false" ht="15" hidden="false" customHeight="false" outlineLevel="0" collapsed="false">
      <c r="A134" s="17"/>
      <c r="B134" s="38"/>
      <c r="C134" s="17"/>
      <c r="D134" s="17"/>
      <c r="E134" s="17"/>
      <c r="F134" s="17"/>
      <c r="G134" s="17"/>
      <c r="H134" s="40"/>
      <c r="I134" s="17"/>
      <c r="J134" s="17"/>
      <c r="K134" s="17"/>
      <c r="L134" s="17"/>
      <c r="M134" s="17"/>
      <c r="N134" s="17"/>
      <c r="O134" s="17"/>
      <c r="P134" s="38"/>
      <c r="Q134" s="17"/>
      <c r="R134" s="42" t="str">
        <f aca="false">IF(OR(D134="",P134="",OR(O134="Contract signed + paid",O134="Closed – No response",O134="Lost"),N(Q134)&gt;=Settings!$S$3),"",P134+Settings!$S$2)</f>
        <v/>
      </c>
      <c r="S134" s="38"/>
      <c r="T134" s="39"/>
      <c r="U134" s="17"/>
      <c r="V134" s="17"/>
      <c r="W134" s="17"/>
      <c r="X134" s="43" t="str">
        <f aca="true">IF(OR(D134="",B134=""),"",INT(TODAY()-B134))</f>
        <v/>
      </c>
      <c r="Y134" s="44" t="str">
        <f aca="true">IF(D134="","",IF(OR(COUNTIFS(Clients!$C$2:$C$501,D134,Clients!$S$2:$S$501,"Paid")&gt;0,AND(H134&lt;&gt;"",COUNTIFS(Clients!$E$2:$E$501,H134,Clients!$S$2:$S$501,"Paid")&gt;0)),"⚠ Refunded before – no free video",IF(OR(O134="Contract signed + paid",O134="Closed – No response",O134="Lost"),"",IF(O134="","Set a stage",IF(N(Q134)&gt;=Settings!$S$3,"Close – 4 follow-ups sent",IF(R134="",IF(P134="","Make first contact",""),IF(TODAY()&gt;R134,"OVERDUE follow-up",IF(TODAY()=R134,"Follow up today",""))))))))</f>
        <v/>
      </c>
    </row>
    <row r="135" customFormat="false" ht="15" hidden="false" customHeight="false" outlineLevel="0" collapsed="false">
      <c r="A135" s="17"/>
      <c r="B135" s="38"/>
      <c r="C135" s="17"/>
      <c r="D135" s="17"/>
      <c r="E135" s="17"/>
      <c r="F135" s="17"/>
      <c r="G135" s="17"/>
      <c r="H135" s="40"/>
      <c r="I135" s="17"/>
      <c r="J135" s="17"/>
      <c r="K135" s="17"/>
      <c r="L135" s="17"/>
      <c r="M135" s="17"/>
      <c r="N135" s="17"/>
      <c r="O135" s="17"/>
      <c r="P135" s="38"/>
      <c r="Q135" s="17"/>
      <c r="R135" s="42" t="str">
        <f aca="false">IF(OR(D135="",P135="",OR(O135="Contract signed + paid",O135="Closed – No response",O135="Lost"),N(Q135)&gt;=Settings!$S$3),"",P135+Settings!$S$2)</f>
        <v/>
      </c>
      <c r="S135" s="38"/>
      <c r="T135" s="39"/>
      <c r="U135" s="17"/>
      <c r="V135" s="17"/>
      <c r="W135" s="17"/>
      <c r="X135" s="43" t="str">
        <f aca="true">IF(OR(D135="",B135=""),"",INT(TODAY()-B135))</f>
        <v/>
      </c>
      <c r="Y135" s="44" t="str">
        <f aca="true">IF(D135="","",IF(OR(COUNTIFS(Clients!$C$2:$C$501,D135,Clients!$S$2:$S$501,"Paid")&gt;0,AND(H135&lt;&gt;"",COUNTIFS(Clients!$E$2:$E$501,H135,Clients!$S$2:$S$501,"Paid")&gt;0)),"⚠ Refunded before – no free video",IF(OR(O135="Contract signed + paid",O135="Closed – No response",O135="Lost"),"",IF(O135="","Set a stage",IF(N(Q135)&gt;=Settings!$S$3,"Close – 4 follow-ups sent",IF(R135="",IF(P135="","Make first contact",""),IF(TODAY()&gt;R135,"OVERDUE follow-up",IF(TODAY()=R135,"Follow up today",""))))))))</f>
        <v/>
      </c>
    </row>
    <row r="136" customFormat="false" ht="15" hidden="false" customHeight="false" outlineLevel="0" collapsed="false">
      <c r="A136" s="17"/>
      <c r="B136" s="38"/>
      <c r="C136" s="17"/>
      <c r="D136" s="17"/>
      <c r="E136" s="17"/>
      <c r="F136" s="17"/>
      <c r="G136" s="17"/>
      <c r="H136" s="40"/>
      <c r="I136" s="17"/>
      <c r="J136" s="17"/>
      <c r="K136" s="17"/>
      <c r="L136" s="17"/>
      <c r="M136" s="17"/>
      <c r="N136" s="17"/>
      <c r="O136" s="17"/>
      <c r="P136" s="38"/>
      <c r="Q136" s="17"/>
      <c r="R136" s="42" t="str">
        <f aca="false">IF(OR(D136="",P136="",OR(O136="Contract signed + paid",O136="Closed – No response",O136="Lost"),N(Q136)&gt;=Settings!$S$3),"",P136+Settings!$S$2)</f>
        <v/>
      </c>
      <c r="S136" s="38"/>
      <c r="T136" s="39"/>
      <c r="U136" s="17"/>
      <c r="V136" s="17"/>
      <c r="W136" s="17"/>
      <c r="X136" s="43" t="str">
        <f aca="true">IF(OR(D136="",B136=""),"",INT(TODAY()-B136))</f>
        <v/>
      </c>
      <c r="Y136" s="44" t="str">
        <f aca="true">IF(D136="","",IF(OR(COUNTIFS(Clients!$C$2:$C$501,D136,Clients!$S$2:$S$501,"Paid")&gt;0,AND(H136&lt;&gt;"",COUNTIFS(Clients!$E$2:$E$501,H136,Clients!$S$2:$S$501,"Paid")&gt;0)),"⚠ Refunded before – no free video",IF(OR(O136="Contract signed + paid",O136="Closed – No response",O136="Lost"),"",IF(O136="","Set a stage",IF(N(Q136)&gt;=Settings!$S$3,"Close – 4 follow-ups sent",IF(R136="",IF(P136="","Make first contact",""),IF(TODAY()&gt;R136,"OVERDUE follow-up",IF(TODAY()=R136,"Follow up today",""))))))))</f>
        <v/>
      </c>
    </row>
    <row r="137" customFormat="false" ht="15" hidden="false" customHeight="false" outlineLevel="0" collapsed="false">
      <c r="A137" s="17"/>
      <c r="B137" s="38"/>
      <c r="C137" s="17"/>
      <c r="D137" s="17"/>
      <c r="E137" s="17"/>
      <c r="F137" s="17"/>
      <c r="G137" s="17"/>
      <c r="H137" s="40"/>
      <c r="I137" s="17"/>
      <c r="J137" s="17"/>
      <c r="K137" s="17"/>
      <c r="L137" s="17"/>
      <c r="M137" s="17"/>
      <c r="N137" s="17"/>
      <c r="O137" s="17"/>
      <c r="P137" s="38"/>
      <c r="Q137" s="17"/>
      <c r="R137" s="42" t="str">
        <f aca="false">IF(OR(D137="",P137="",OR(O137="Contract signed + paid",O137="Closed – No response",O137="Lost"),N(Q137)&gt;=Settings!$S$3),"",P137+Settings!$S$2)</f>
        <v/>
      </c>
      <c r="S137" s="38"/>
      <c r="T137" s="39"/>
      <c r="U137" s="17"/>
      <c r="V137" s="17"/>
      <c r="W137" s="17"/>
      <c r="X137" s="43" t="str">
        <f aca="true">IF(OR(D137="",B137=""),"",INT(TODAY()-B137))</f>
        <v/>
      </c>
      <c r="Y137" s="44" t="str">
        <f aca="true">IF(D137="","",IF(OR(COUNTIFS(Clients!$C$2:$C$501,D137,Clients!$S$2:$S$501,"Paid")&gt;0,AND(H137&lt;&gt;"",COUNTIFS(Clients!$E$2:$E$501,H137,Clients!$S$2:$S$501,"Paid")&gt;0)),"⚠ Refunded before – no free video",IF(OR(O137="Contract signed + paid",O137="Closed – No response",O137="Lost"),"",IF(O137="","Set a stage",IF(N(Q137)&gt;=Settings!$S$3,"Close – 4 follow-ups sent",IF(R137="",IF(P137="","Make first contact",""),IF(TODAY()&gt;R137,"OVERDUE follow-up",IF(TODAY()=R137,"Follow up today",""))))))))</f>
        <v/>
      </c>
    </row>
    <row r="138" customFormat="false" ht="15" hidden="false" customHeight="false" outlineLevel="0" collapsed="false">
      <c r="A138" s="17"/>
      <c r="B138" s="38"/>
      <c r="C138" s="17"/>
      <c r="D138" s="17"/>
      <c r="E138" s="17"/>
      <c r="F138" s="17"/>
      <c r="G138" s="17"/>
      <c r="H138" s="40"/>
      <c r="I138" s="17"/>
      <c r="J138" s="17"/>
      <c r="K138" s="17"/>
      <c r="L138" s="17"/>
      <c r="M138" s="17"/>
      <c r="N138" s="17"/>
      <c r="O138" s="17"/>
      <c r="P138" s="38"/>
      <c r="Q138" s="17"/>
      <c r="R138" s="42" t="str">
        <f aca="false">IF(OR(D138="",P138="",OR(O138="Contract signed + paid",O138="Closed – No response",O138="Lost"),N(Q138)&gt;=Settings!$S$3),"",P138+Settings!$S$2)</f>
        <v/>
      </c>
      <c r="S138" s="38"/>
      <c r="T138" s="39"/>
      <c r="U138" s="17"/>
      <c r="V138" s="17"/>
      <c r="W138" s="17"/>
      <c r="X138" s="43" t="str">
        <f aca="true">IF(OR(D138="",B138=""),"",INT(TODAY()-B138))</f>
        <v/>
      </c>
      <c r="Y138" s="44" t="str">
        <f aca="true">IF(D138="","",IF(OR(COUNTIFS(Clients!$C$2:$C$501,D138,Clients!$S$2:$S$501,"Paid")&gt;0,AND(H138&lt;&gt;"",COUNTIFS(Clients!$E$2:$E$501,H138,Clients!$S$2:$S$501,"Paid")&gt;0)),"⚠ Refunded before – no free video",IF(OR(O138="Contract signed + paid",O138="Closed – No response",O138="Lost"),"",IF(O138="","Set a stage",IF(N(Q138)&gt;=Settings!$S$3,"Close – 4 follow-ups sent",IF(R138="",IF(P138="","Make first contact",""),IF(TODAY()&gt;R138,"OVERDUE follow-up",IF(TODAY()=R138,"Follow up today",""))))))))</f>
        <v/>
      </c>
    </row>
    <row r="139" customFormat="false" ht="15" hidden="false" customHeight="false" outlineLevel="0" collapsed="false">
      <c r="A139" s="17"/>
      <c r="B139" s="38"/>
      <c r="C139" s="17"/>
      <c r="D139" s="17"/>
      <c r="E139" s="17"/>
      <c r="F139" s="17"/>
      <c r="G139" s="17"/>
      <c r="H139" s="40"/>
      <c r="I139" s="17"/>
      <c r="J139" s="17"/>
      <c r="K139" s="17"/>
      <c r="L139" s="17"/>
      <c r="M139" s="17"/>
      <c r="N139" s="17"/>
      <c r="O139" s="17"/>
      <c r="P139" s="38"/>
      <c r="Q139" s="17"/>
      <c r="R139" s="42" t="str">
        <f aca="false">IF(OR(D139="",P139="",OR(O139="Contract signed + paid",O139="Closed – No response",O139="Lost"),N(Q139)&gt;=Settings!$S$3),"",P139+Settings!$S$2)</f>
        <v/>
      </c>
      <c r="S139" s="38"/>
      <c r="T139" s="39"/>
      <c r="U139" s="17"/>
      <c r="V139" s="17"/>
      <c r="W139" s="17"/>
      <c r="X139" s="43" t="str">
        <f aca="true">IF(OR(D139="",B139=""),"",INT(TODAY()-B139))</f>
        <v/>
      </c>
      <c r="Y139" s="44" t="str">
        <f aca="true">IF(D139="","",IF(OR(COUNTIFS(Clients!$C$2:$C$501,D139,Clients!$S$2:$S$501,"Paid")&gt;0,AND(H139&lt;&gt;"",COUNTIFS(Clients!$E$2:$E$501,H139,Clients!$S$2:$S$501,"Paid")&gt;0)),"⚠ Refunded before – no free video",IF(OR(O139="Contract signed + paid",O139="Closed – No response",O139="Lost"),"",IF(O139="","Set a stage",IF(N(Q139)&gt;=Settings!$S$3,"Close – 4 follow-ups sent",IF(R139="",IF(P139="","Make first contact",""),IF(TODAY()&gt;R139,"OVERDUE follow-up",IF(TODAY()=R139,"Follow up today",""))))))))</f>
        <v/>
      </c>
    </row>
    <row r="140" customFormat="false" ht="15" hidden="false" customHeight="false" outlineLevel="0" collapsed="false">
      <c r="A140" s="17"/>
      <c r="B140" s="38"/>
      <c r="C140" s="17"/>
      <c r="D140" s="17"/>
      <c r="E140" s="17"/>
      <c r="F140" s="17"/>
      <c r="G140" s="17"/>
      <c r="H140" s="40"/>
      <c r="I140" s="17"/>
      <c r="J140" s="17"/>
      <c r="K140" s="17"/>
      <c r="L140" s="17"/>
      <c r="M140" s="17"/>
      <c r="N140" s="17"/>
      <c r="O140" s="17"/>
      <c r="P140" s="38"/>
      <c r="Q140" s="17"/>
      <c r="R140" s="42" t="str">
        <f aca="false">IF(OR(D140="",P140="",OR(O140="Contract signed + paid",O140="Closed – No response",O140="Lost"),N(Q140)&gt;=Settings!$S$3),"",P140+Settings!$S$2)</f>
        <v/>
      </c>
      <c r="S140" s="38"/>
      <c r="T140" s="39"/>
      <c r="U140" s="17"/>
      <c r="V140" s="17"/>
      <c r="W140" s="17"/>
      <c r="X140" s="43" t="str">
        <f aca="true">IF(OR(D140="",B140=""),"",INT(TODAY()-B140))</f>
        <v/>
      </c>
      <c r="Y140" s="44" t="str">
        <f aca="true">IF(D140="","",IF(OR(COUNTIFS(Clients!$C$2:$C$501,D140,Clients!$S$2:$S$501,"Paid")&gt;0,AND(H140&lt;&gt;"",COUNTIFS(Clients!$E$2:$E$501,H140,Clients!$S$2:$S$501,"Paid")&gt;0)),"⚠ Refunded before – no free video",IF(OR(O140="Contract signed + paid",O140="Closed – No response",O140="Lost"),"",IF(O140="","Set a stage",IF(N(Q140)&gt;=Settings!$S$3,"Close – 4 follow-ups sent",IF(R140="",IF(P140="","Make first contact",""),IF(TODAY()&gt;R140,"OVERDUE follow-up",IF(TODAY()=R140,"Follow up today",""))))))))</f>
        <v/>
      </c>
    </row>
    <row r="141" customFormat="false" ht="15" hidden="false" customHeight="false" outlineLevel="0" collapsed="false">
      <c r="A141" s="17"/>
      <c r="B141" s="38"/>
      <c r="C141" s="17"/>
      <c r="D141" s="17"/>
      <c r="E141" s="17"/>
      <c r="F141" s="17"/>
      <c r="G141" s="17"/>
      <c r="H141" s="40"/>
      <c r="I141" s="17"/>
      <c r="J141" s="17"/>
      <c r="K141" s="17"/>
      <c r="L141" s="17"/>
      <c r="M141" s="17"/>
      <c r="N141" s="17"/>
      <c r="O141" s="17"/>
      <c r="P141" s="38"/>
      <c r="Q141" s="17"/>
      <c r="R141" s="42" t="str">
        <f aca="false">IF(OR(D141="",P141="",OR(O141="Contract signed + paid",O141="Closed – No response",O141="Lost"),N(Q141)&gt;=Settings!$S$3),"",P141+Settings!$S$2)</f>
        <v/>
      </c>
      <c r="S141" s="38"/>
      <c r="T141" s="39"/>
      <c r="U141" s="17"/>
      <c r="V141" s="17"/>
      <c r="W141" s="17"/>
      <c r="X141" s="43" t="str">
        <f aca="true">IF(OR(D141="",B141=""),"",INT(TODAY()-B141))</f>
        <v/>
      </c>
      <c r="Y141" s="44" t="str">
        <f aca="true">IF(D141="","",IF(OR(COUNTIFS(Clients!$C$2:$C$501,D141,Clients!$S$2:$S$501,"Paid")&gt;0,AND(H141&lt;&gt;"",COUNTIFS(Clients!$E$2:$E$501,H141,Clients!$S$2:$S$501,"Paid")&gt;0)),"⚠ Refunded before – no free video",IF(OR(O141="Contract signed + paid",O141="Closed – No response",O141="Lost"),"",IF(O141="","Set a stage",IF(N(Q141)&gt;=Settings!$S$3,"Close – 4 follow-ups sent",IF(R141="",IF(P141="","Make first contact",""),IF(TODAY()&gt;R141,"OVERDUE follow-up",IF(TODAY()=R141,"Follow up today",""))))))))</f>
        <v/>
      </c>
    </row>
    <row r="142" customFormat="false" ht="15" hidden="false" customHeight="false" outlineLevel="0" collapsed="false">
      <c r="A142" s="17"/>
      <c r="B142" s="38"/>
      <c r="C142" s="17"/>
      <c r="D142" s="17"/>
      <c r="E142" s="17"/>
      <c r="F142" s="17"/>
      <c r="G142" s="17"/>
      <c r="H142" s="40"/>
      <c r="I142" s="17"/>
      <c r="J142" s="17"/>
      <c r="K142" s="17"/>
      <c r="L142" s="17"/>
      <c r="M142" s="17"/>
      <c r="N142" s="17"/>
      <c r="O142" s="17"/>
      <c r="P142" s="38"/>
      <c r="Q142" s="17"/>
      <c r="R142" s="42" t="str">
        <f aca="false">IF(OR(D142="",P142="",OR(O142="Contract signed + paid",O142="Closed – No response",O142="Lost"),N(Q142)&gt;=Settings!$S$3),"",P142+Settings!$S$2)</f>
        <v/>
      </c>
      <c r="S142" s="38"/>
      <c r="T142" s="39"/>
      <c r="U142" s="17"/>
      <c r="V142" s="17"/>
      <c r="W142" s="17"/>
      <c r="X142" s="43" t="str">
        <f aca="true">IF(OR(D142="",B142=""),"",INT(TODAY()-B142))</f>
        <v/>
      </c>
      <c r="Y142" s="44" t="str">
        <f aca="true">IF(D142="","",IF(OR(COUNTIFS(Clients!$C$2:$C$501,D142,Clients!$S$2:$S$501,"Paid")&gt;0,AND(H142&lt;&gt;"",COUNTIFS(Clients!$E$2:$E$501,H142,Clients!$S$2:$S$501,"Paid")&gt;0)),"⚠ Refunded before – no free video",IF(OR(O142="Contract signed + paid",O142="Closed – No response",O142="Lost"),"",IF(O142="","Set a stage",IF(N(Q142)&gt;=Settings!$S$3,"Close – 4 follow-ups sent",IF(R142="",IF(P142="","Make first contact",""),IF(TODAY()&gt;R142,"OVERDUE follow-up",IF(TODAY()=R142,"Follow up today",""))))))))</f>
        <v/>
      </c>
    </row>
    <row r="143" customFormat="false" ht="15" hidden="false" customHeight="false" outlineLevel="0" collapsed="false">
      <c r="A143" s="17"/>
      <c r="B143" s="38"/>
      <c r="C143" s="17"/>
      <c r="D143" s="17"/>
      <c r="E143" s="17"/>
      <c r="F143" s="17"/>
      <c r="G143" s="17"/>
      <c r="H143" s="40"/>
      <c r="I143" s="17"/>
      <c r="J143" s="17"/>
      <c r="K143" s="17"/>
      <c r="L143" s="17"/>
      <c r="M143" s="17"/>
      <c r="N143" s="17"/>
      <c r="O143" s="17"/>
      <c r="P143" s="38"/>
      <c r="Q143" s="17"/>
      <c r="R143" s="42" t="str">
        <f aca="false">IF(OR(D143="",P143="",OR(O143="Contract signed + paid",O143="Closed – No response",O143="Lost"),N(Q143)&gt;=Settings!$S$3),"",P143+Settings!$S$2)</f>
        <v/>
      </c>
      <c r="S143" s="38"/>
      <c r="T143" s="39"/>
      <c r="U143" s="17"/>
      <c r="V143" s="17"/>
      <c r="W143" s="17"/>
      <c r="X143" s="43" t="str">
        <f aca="true">IF(OR(D143="",B143=""),"",INT(TODAY()-B143))</f>
        <v/>
      </c>
      <c r="Y143" s="44" t="str">
        <f aca="true">IF(D143="","",IF(OR(COUNTIFS(Clients!$C$2:$C$501,D143,Clients!$S$2:$S$501,"Paid")&gt;0,AND(H143&lt;&gt;"",COUNTIFS(Clients!$E$2:$E$501,H143,Clients!$S$2:$S$501,"Paid")&gt;0)),"⚠ Refunded before – no free video",IF(OR(O143="Contract signed + paid",O143="Closed – No response",O143="Lost"),"",IF(O143="","Set a stage",IF(N(Q143)&gt;=Settings!$S$3,"Close – 4 follow-ups sent",IF(R143="",IF(P143="","Make first contact",""),IF(TODAY()&gt;R143,"OVERDUE follow-up",IF(TODAY()=R143,"Follow up today",""))))))))</f>
        <v/>
      </c>
    </row>
    <row r="144" customFormat="false" ht="15" hidden="false" customHeight="false" outlineLevel="0" collapsed="false">
      <c r="A144" s="17"/>
      <c r="B144" s="38"/>
      <c r="C144" s="17"/>
      <c r="D144" s="17"/>
      <c r="E144" s="17"/>
      <c r="F144" s="17"/>
      <c r="G144" s="17"/>
      <c r="H144" s="40"/>
      <c r="I144" s="17"/>
      <c r="J144" s="17"/>
      <c r="K144" s="17"/>
      <c r="L144" s="17"/>
      <c r="M144" s="17"/>
      <c r="N144" s="17"/>
      <c r="O144" s="17"/>
      <c r="P144" s="38"/>
      <c r="Q144" s="17"/>
      <c r="R144" s="42" t="str">
        <f aca="false">IF(OR(D144="",P144="",OR(O144="Contract signed + paid",O144="Closed – No response",O144="Lost"),N(Q144)&gt;=Settings!$S$3),"",P144+Settings!$S$2)</f>
        <v/>
      </c>
      <c r="S144" s="38"/>
      <c r="T144" s="39"/>
      <c r="U144" s="17"/>
      <c r="V144" s="17"/>
      <c r="W144" s="17"/>
      <c r="X144" s="43" t="str">
        <f aca="true">IF(OR(D144="",B144=""),"",INT(TODAY()-B144))</f>
        <v/>
      </c>
      <c r="Y144" s="44" t="str">
        <f aca="true">IF(D144="","",IF(OR(COUNTIFS(Clients!$C$2:$C$501,D144,Clients!$S$2:$S$501,"Paid")&gt;0,AND(H144&lt;&gt;"",COUNTIFS(Clients!$E$2:$E$501,H144,Clients!$S$2:$S$501,"Paid")&gt;0)),"⚠ Refunded before – no free video",IF(OR(O144="Contract signed + paid",O144="Closed – No response",O144="Lost"),"",IF(O144="","Set a stage",IF(N(Q144)&gt;=Settings!$S$3,"Close – 4 follow-ups sent",IF(R144="",IF(P144="","Make first contact",""),IF(TODAY()&gt;R144,"OVERDUE follow-up",IF(TODAY()=R144,"Follow up today",""))))))))</f>
        <v/>
      </c>
    </row>
    <row r="145" customFormat="false" ht="15" hidden="false" customHeight="false" outlineLevel="0" collapsed="false">
      <c r="A145" s="17"/>
      <c r="B145" s="38"/>
      <c r="C145" s="17"/>
      <c r="D145" s="17"/>
      <c r="E145" s="17"/>
      <c r="F145" s="17"/>
      <c r="G145" s="17"/>
      <c r="H145" s="40"/>
      <c r="I145" s="17"/>
      <c r="J145" s="17"/>
      <c r="K145" s="17"/>
      <c r="L145" s="17"/>
      <c r="M145" s="17"/>
      <c r="N145" s="17"/>
      <c r="O145" s="17"/>
      <c r="P145" s="38"/>
      <c r="Q145" s="17"/>
      <c r="R145" s="42" t="str">
        <f aca="false">IF(OR(D145="",P145="",OR(O145="Contract signed + paid",O145="Closed – No response",O145="Lost"),N(Q145)&gt;=Settings!$S$3),"",P145+Settings!$S$2)</f>
        <v/>
      </c>
      <c r="S145" s="38"/>
      <c r="T145" s="39"/>
      <c r="U145" s="17"/>
      <c r="V145" s="17"/>
      <c r="W145" s="17"/>
      <c r="X145" s="43" t="str">
        <f aca="true">IF(OR(D145="",B145=""),"",INT(TODAY()-B145))</f>
        <v/>
      </c>
      <c r="Y145" s="44" t="str">
        <f aca="true">IF(D145="","",IF(OR(COUNTIFS(Clients!$C$2:$C$501,D145,Clients!$S$2:$S$501,"Paid")&gt;0,AND(H145&lt;&gt;"",COUNTIFS(Clients!$E$2:$E$501,H145,Clients!$S$2:$S$501,"Paid")&gt;0)),"⚠ Refunded before – no free video",IF(OR(O145="Contract signed + paid",O145="Closed – No response",O145="Lost"),"",IF(O145="","Set a stage",IF(N(Q145)&gt;=Settings!$S$3,"Close – 4 follow-ups sent",IF(R145="",IF(P145="","Make first contact",""),IF(TODAY()&gt;R145,"OVERDUE follow-up",IF(TODAY()=R145,"Follow up today",""))))))))</f>
        <v/>
      </c>
    </row>
    <row r="146" customFormat="false" ht="15" hidden="false" customHeight="false" outlineLevel="0" collapsed="false">
      <c r="A146" s="17"/>
      <c r="B146" s="38"/>
      <c r="C146" s="17"/>
      <c r="D146" s="17"/>
      <c r="E146" s="17"/>
      <c r="F146" s="17"/>
      <c r="G146" s="17"/>
      <c r="H146" s="40"/>
      <c r="I146" s="17"/>
      <c r="J146" s="17"/>
      <c r="K146" s="17"/>
      <c r="L146" s="17"/>
      <c r="M146" s="17"/>
      <c r="N146" s="17"/>
      <c r="O146" s="17"/>
      <c r="P146" s="38"/>
      <c r="Q146" s="17"/>
      <c r="R146" s="42" t="str">
        <f aca="false">IF(OR(D146="",P146="",OR(O146="Contract signed + paid",O146="Closed – No response",O146="Lost"),N(Q146)&gt;=Settings!$S$3),"",P146+Settings!$S$2)</f>
        <v/>
      </c>
      <c r="S146" s="38"/>
      <c r="T146" s="39"/>
      <c r="U146" s="17"/>
      <c r="V146" s="17"/>
      <c r="W146" s="17"/>
      <c r="X146" s="43" t="str">
        <f aca="true">IF(OR(D146="",B146=""),"",INT(TODAY()-B146))</f>
        <v/>
      </c>
      <c r="Y146" s="44" t="str">
        <f aca="true">IF(D146="","",IF(OR(COUNTIFS(Clients!$C$2:$C$501,D146,Clients!$S$2:$S$501,"Paid")&gt;0,AND(H146&lt;&gt;"",COUNTIFS(Clients!$E$2:$E$501,H146,Clients!$S$2:$S$501,"Paid")&gt;0)),"⚠ Refunded before – no free video",IF(OR(O146="Contract signed + paid",O146="Closed – No response",O146="Lost"),"",IF(O146="","Set a stage",IF(N(Q146)&gt;=Settings!$S$3,"Close – 4 follow-ups sent",IF(R146="",IF(P146="","Make first contact",""),IF(TODAY()&gt;R146,"OVERDUE follow-up",IF(TODAY()=R146,"Follow up today",""))))))))</f>
        <v/>
      </c>
    </row>
    <row r="147" customFormat="false" ht="15" hidden="false" customHeight="false" outlineLevel="0" collapsed="false">
      <c r="A147" s="17"/>
      <c r="B147" s="38"/>
      <c r="C147" s="17"/>
      <c r="D147" s="17"/>
      <c r="E147" s="17"/>
      <c r="F147" s="17"/>
      <c r="G147" s="17"/>
      <c r="H147" s="40"/>
      <c r="I147" s="17"/>
      <c r="J147" s="17"/>
      <c r="K147" s="17"/>
      <c r="L147" s="17"/>
      <c r="M147" s="17"/>
      <c r="N147" s="17"/>
      <c r="O147" s="17"/>
      <c r="P147" s="38"/>
      <c r="Q147" s="17"/>
      <c r="R147" s="42" t="str">
        <f aca="false">IF(OR(D147="",P147="",OR(O147="Contract signed + paid",O147="Closed – No response",O147="Lost"),N(Q147)&gt;=Settings!$S$3),"",P147+Settings!$S$2)</f>
        <v/>
      </c>
      <c r="S147" s="38"/>
      <c r="T147" s="39"/>
      <c r="U147" s="17"/>
      <c r="V147" s="17"/>
      <c r="W147" s="17"/>
      <c r="X147" s="43" t="str">
        <f aca="true">IF(OR(D147="",B147=""),"",INT(TODAY()-B147))</f>
        <v/>
      </c>
      <c r="Y147" s="44" t="str">
        <f aca="true">IF(D147="","",IF(OR(COUNTIFS(Clients!$C$2:$C$501,D147,Clients!$S$2:$S$501,"Paid")&gt;0,AND(H147&lt;&gt;"",COUNTIFS(Clients!$E$2:$E$501,H147,Clients!$S$2:$S$501,"Paid")&gt;0)),"⚠ Refunded before – no free video",IF(OR(O147="Contract signed + paid",O147="Closed – No response",O147="Lost"),"",IF(O147="","Set a stage",IF(N(Q147)&gt;=Settings!$S$3,"Close – 4 follow-ups sent",IF(R147="",IF(P147="","Make first contact",""),IF(TODAY()&gt;R147,"OVERDUE follow-up",IF(TODAY()=R147,"Follow up today",""))))))))</f>
        <v/>
      </c>
    </row>
    <row r="148" customFormat="false" ht="15" hidden="false" customHeight="false" outlineLevel="0" collapsed="false">
      <c r="A148" s="17"/>
      <c r="B148" s="38"/>
      <c r="C148" s="17"/>
      <c r="D148" s="17"/>
      <c r="E148" s="17"/>
      <c r="F148" s="17"/>
      <c r="G148" s="17"/>
      <c r="H148" s="40"/>
      <c r="I148" s="17"/>
      <c r="J148" s="17"/>
      <c r="K148" s="17"/>
      <c r="L148" s="17"/>
      <c r="M148" s="17"/>
      <c r="N148" s="17"/>
      <c r="O148" s="17"/>
      <c r="P148" s="38"/>
      <c r="Q148" s="17"/>
      <c r="R148" s="42" t="str">
        <f aca="false">IF(OR(D148="",P148="",OR(O148="Contract signed + paid",O148="Closed – No response",O148="Lost"),N(Q148)&gt;=Settings!$S$3),"",P148+Settings!$S$2)</f>
        <v/>
      </c>
      <c r="S148" s="38"/>
      <c r="T148" s="39"/>
      <c r="U148" s="17"/>
      <c r="V148" s="17"/>
      <c r="W148" s="17"/>
      <c r="X148" s="43" t="str">
        <f aca="true">IF(OR(D148="",B148=""),"",INT(TODAY()-B148))</f>
        <v/>
      </c>
      <c r="Y148" s="44" t="str">
        <f aca="true">IF(D148="","",IF(OR(COUNTIFS(Clients!$C$2:$C$501,D148,Clients!$S$2:$S$501,"Paid")&gt;0,AND(H148&lt;&gt;"",COUNTIFS(Clients!$E$2:$E$501,H148,Clients!$S$2:$S$501,"Paid")&gt;0)),"⚠ Refunded before – no free video",IF(OR(O148="Contract signed + paid",O148="Closed – No response",O148="Lost"),"",IF(O148="","Set a stage",IF(N(Q148)&gt;=Settings!$S$3,"Close – 4 follow-ups sent",IF(R148="",IF(P148="","Make first contact",""),IF(TODAY()&gt;R148,"OVERDUE follow-up",IF(TODAY()=R148,"Follow up today",""))))))))</f>
        <v/>
      </c>
    </row>
    <row r="149" customFormat="false" ht="15" hidden="false" customHeight="false" outlineLevel="0" collapsed="false">
      <c r="A149" s="17"/>
      <c r="B149" s="38"/>
      <c r="C149" s="17"/>
      <c r="D149" s="17"/>
      <c r="E149" s="17"/>
      <c r="F149" s="17"/>
      <c r="G149" s="17"/>
      <c r="H149" s="40"/>
      <c r="I149" s="17"/>
      <c r="J149" s="17"/>
      <c r="K149" s="17"/>
      <c r="L149" s="17"/>
      <c r="M149" s="17"/>
      <c r="N149" s="17"/>
      <c r="O149" s="17"/>
      <c r="P149" s="38"/>
      <c r="Q149" s="17"/>
      <c r="R149" s="42" t="str">
        <f aca="false">IF(OR(D149="",P149="",OR(O149="Contract signed + paid",O149="Closed – No response",O149="Lost"),N(Q149)&gt;=Settings!$S$3),"",P149+Settings!$S$2)</f>
        <v/>
      </c>
      <c r="S149" s="38"/>
      <c r="T149" s="39"/>
      <c r="U149" s="17"/>
      <c r="V149" s="17"/>
      <c r="W149" s="17"/>
      <c r="X149" s="43" t="str">
        <f aca="true">IF(OR(D149="",B149=""),"",INT(TODAY()-B149))</f>
        <v/>
      </c>
      <c r="Y149" s="44" t="str">
        <f aca="true">IF(D149="","",IF(OR(COUNTIFS(Clients!$C$2:$C$501,D149,Clients!$S$2:$S$501,"Paid")&gt;0,AND(H149&lt;&gt;"",COUNTIFS(Clients!$E$2:$E$501,H149,Clients!$S$2:$S$501,"Paid")&gt;0)),"⚠ Refunded before – no free video",IF(OR(O149="Contract signed + paid",O149="Closed – No response",O149="Lost"),"",IF(O149="","Set a stage",IF(N(Q149)&gt;=Settings!$S$3,"Close – 4 follow-ups sent",IF(R149="",IF(P149="","Make first contact",""),IF(TODAY()&gt;R149,"OVERDUE follow-up",IF(TODAY()=R149,"Follow up today",""))))))))</f>
        <v/>
      </c>
    </row>
    <row r="150" customFormat="false" ht="15" hidden="false" customHeight="false" outlineLevel="0" collapsed="false">
      <c r="A150" s="17"/>
      <c r="B150" s="38"/>
      <c r="C150" s="17"/>
      <c r="D150" s="17"/>
      <c r="E150" s="17"/>
      <c r="F150" s="17"/>
      <c r="G150" s="17"/>
      <c r="H150" s="40"/>
      <c r="I150" s="17"/>
      <c r="J150" s="17"/>
      <c r="K150" s="17"/>
      <c r="L150" s="17"/>
      <c r="M150" s="17"/>
      <c r="N150" s="17"/>
      <c r="O150" s="17"/>
      <c r="P150" s="38"/>
      <c r="Q150" s="17"/>
      <c r="R150" s="42" t="str">
        <f aca="false">IF(OR(D150="",P150="",OR(O150="Contract signed + paid",O150="Closed – No response",O150="Lost"),N(Q150)&gt;=Settings!$S$3),"",P150+Settings!$S$2)</f>
        <v/>
      </c>
      <c r="S150" s="38"/>
      <c r="T150" s="39"/>
      <c r="U150" s="17"/>
      <c r="V150" s="17"/>
      <c r="W150" s="17"/>
      <c r="X150" s="43" t="str">
        <f aca="true">IF(OR(D150="",B150=""),"",INT(TODAY()-B150))</f>
        <v/>
      </c>
      <c r="Y150" s="44" t="str">
        <f aca="true">IF(D150="","",IF(OR(COUNTIFS(Clients!$C$2:$C$501,D150,Clients!$S$2:$S$501,"Paid")&gt;0,AND(H150&lt;&gt;"",COUNTIFS(Clients!$E$2:$E$501,H150,Clients!$S$2:$S$501,"Paid")&gt;0)),"⚠ Refunded before – no free video",IF(OR(O150="Contract signed + paid",O150="Closed – No response",O150="Lost"),"",IF(O150="","Set a stage",IF(N(Q150)&gt;=Settings!$S$3,"Close – 4 follow-ups sent",IF(R150="",IF(P150="","Make first contact",""),IF(TODAY()&gt;R150,"OVERDUE follow-up",IF(TODAY()=R150,"Follow up today",""))))))))</f>
        <v/>
      </c>
    </row>
    <row r="151" customFormat="false" ht="15" hidden="false" customHeight="false" outlineLevel="0" collapsed="false">
      <c r="A151" s="17"/>
      <c r="B151" s="38"/>
      <c r="C151" s="17"/>
      <c r="D151" s="17"/>
      <c r="E151" s="17"/>
      <c r="F151" s="17"/>
      <c r="G151" s="17"/>
      <c r="H151" s="40"/>
      <c r="I151" s="17"/>
      <c r="J151" s="17"/>
      <c r="K151" s="17"/>
      <c r="L151" s="17"/>
      <c r="M151" s="17"/>
      <c r="N151" s="17"/>
      <c r="O151" s="17"/>
      <c r="P151" s="38"/>
      <c r="Q151" s="17"/>
      <c r="R151" s="42" t="str">
        <f aca="false">IF(OR(D151="",P151="",OR(O151="Contract signed + paid",O151="Closed – No response",O151="Lost"),N(Q151)&gt;=Settings!$S$3),"",P151+Settings!$S$2)</f>
        <v/>
      </c>
      <c r="S151" s="38"/>
      <c r="T151" s="39"/>
      <c r="U151" s="17"/>
      <c r="V151" s="17"/>
      <c r="W151" s="17"/>
      <c r="X151" s="43" t="str">
        <f aca="true">IF(OR(D151="",B151=""),"",INT(TODAY()-B151))</f>
        <v/>
      </c>
      <c r="Y151" s="44" t="str">
        <f aca="true">IF(D151="","",IF(OR(COUNTIFS(Clients!$C$2:$C$501,D151,Clients!$S$2:$S$501,"Paid")&gt;0,AND(H151&lt;&gt;"",COUNTIFS(Clients!$E$2:$E$501,H151,Clients!$S$2:$S$501,"Paid")&gt;0)),"⚠ Refunded before – no free video",IF(OR(O151="Contract signed + paid",O151="Closed – No response",O151="Lost"),"",IF(O151="","Set a stage",IF(N(Q151)&gt;=Settings!$S$3,"Close – 4 follow-ups sent",IF(R151="",IF(P151="","Make first contact",""),IF(TODAY()&gt;R151,"OVERDUE follow-up",IF(TODAY()=R151,"Follow up today",""))))))))</f>
        <v/>
      </c>
    </row>
    <row r="152" customFormat="false" ht="15" hidden="false" customHeight="false" outlineLevel="0" collapsed="false">
      <c r="A152" s="17"/>
      <c r="B152" s="38"/>
      <c r="C152" s="17"/>
      <c r="D152" s="17"/>
      <c r="E152" s="17"/>
      <c r="F152" s="17"/>
      <c r="G152" s="17"/>
      <c r="H152" s="40"/>
      <c r="I152" s="17"/>
      <c r="J152" s="17"/>
      <c r="K152" s="17"/>
      <c r="L152" s="17"/>
      <c r="M152" s="17"/>
      <c r="N152" s="17"/>
      <c r="O152" s="17"/>
      <c r="P152" s="38"/>
      <c r="Q152" s="17"/>
      <c r="R152" s="42" t="str">
        <f aca="false">IF(OR(D152="",P152="",OR(O152="Contract signed + paid",O152="Closed – No response",O152="Lost"),N(Q152)&gt;=Settings!$S$3),"",P152+Settings!$S$2)</f>
        <v/>
      </c>
      <c r="S152" s="38"/>
      <c r="T152" s="39"/>
      <c r="U152" s="17"/>
      <c r="V152" s="17"/>
      <c r="W152" s="17"/>
      <c r="X152" s="43" t="str">
        <f aca="true">IF(OR(D152="",B152=""),"",INT(TODAY()-B152))</f>
        <v/>
      </c>
      <c r="Y152" s="44" t="str">
        <f aca="true">IF(D152="","",IF(OR(COUNTIFS(Clients!$C$2:$C$501,D152,Clients!$S$2:$S$501,"Paid")&gt;0,AND(H152&lt;&gt;"",COUNTIFS(Clients!$E$2:$E$501,H152,Clients!$S$2:$S$501,"Paid")&gt;0)),"⚠ Refunded before – no free video",IF(OR(O152="Contract signed + paid",O152="Closed – No response",O152="Lost"),"",IF(O152="","Set a stage",IF(N(Q152)&gt;=Settings!$S$3,"Close – 4 follow-ups sent",IF(R152="",IF(P152="","Make first contact",""),IF(TODAY()&gt;R152,"OVERDUE follow-up",IF(TODAY()=R152,"Follow up today",""))))))))</f>
        <v/>
      </c>
    </row>
    <row r="153" customFormat="false" ht="15" hidden="false" customHeight="false" outlineLevel="0" collapsed="false">
      <c r="A153" s="17"/>
      <c r="B153" s="38"/>
      <c r="C153" s="17"/>
      <c r="D153" s="17"/>
      <c r="E153" s="17"/>
      <c r="F153" s="17"/>
      <c r="G153" s="17"/>
      <c r="H153" s="40"/>
      <c r="I153" s="17"/>
      <c r="J153" s="17"/>
      <c r="K153" s="17"/>
      <c r="L153" s="17"/>
      <c r="M153" s="17"/>
      <c r="N153" s="17"/>
      <c r="O153" s="17"/>
      <c r="P153" s="38"/>
      <c r="Q153" s="17"/>
      <c r="R153" s="42" t="str">
        <f aca="false">IF(OR(D153="",P153="",OR(O153="Contract signed + paid",O153="Closed – No response",O153="Lost"),N(Q153)&gt;=Settings!$S$3),"",P153+Settings!$S$2)</f>
        <v/>
      </c>
      <c r="S153" s="38"/>
      <c r="T153" s="39"/>
      <c r="U153" s="17"/>
      <c r="V153" s="17"/>
      <c r="W153" s="17"/>
      <c r="X153" s="43" t="str">
        <f aca="true">IF(OR(D153="",B153=""),"",INT(TODAY()-B153))</f>
        <v/>
      </c>
      <c r="Y153" s="44" t="str">
        <f aca="true">IF(D153="","",IF(OR(COUNTIFS(Clients!$C$2:$C$501,D153,Clients!$S$2:$S$501,"Paid")&gt;0,AND(H153&lt;&gt;"",COUNTIFS(Clients!$E$2:$E$501,H153,Clients!$S$2:$S$501,"Paid")&gt;0)),"⚠ Refunded before – no free video",IF(OR(O153="Contract signed + paid",O153="Closed – No response",O153="Lost"),"",IF(O153="","Set a stage",IF(N(Q153)&gt;=Settings!$S$3,"Close – 4 follow-ups sent",IF(R153="",IF(P153="","Make first contact",""),IF(TODAY()&gt;R153,"OVERDUE follow-up",IF(TODAY()=R153,"Follow up today",""))))))))</f>
        <v/>
      </c>
    </row>
    <row r="154" customFormat="false" ht="15" hidden="false" customHeight="false" outlineLevel="0" collapsed="false">
      <c r="A154" s="17"/>
      <c r="B154" s="38"/>
      <c r="C154" s="17"/>
      <c r="D154" s="17"/>
      <c r="E154" s="17"/>
      <c r="F154" s="17"/>
      <c r="G154" s="17"/>
      <c r="H154" s="40"/>
      <c r="I154" s="17"/>
      <c r="J154" s="17"/>
      <c r="K154" s="17"/>
      <c r="L154" s="17"/>
      <c r="M154" s="17"/>
      <c r="N154" s="17"/>
      <c r="O154" s="17"/>
      <c r="P154" s="38"/>
      <c r="Q154" s="17"/>
      <c r="R154" s="42" t="str">
        <f aca="false">IF(OR(D154="",P154="",OR(O154="Contract signed + paid",O154="Closed – No response",O154="Lost"),N(Q154)&gt;=Settings!$S$3),"",P154+Settings!$S$2)</f>
        <v/>
      </c>
      <c r="S154" s="38"/>
      <c r="T154" s="39"/>
      <c r="U154" s="17"/>
      <c r="V154" s="17"/>
      <c r="W154" s="17"/>
      <c r="X154" s="43" t="str">
        <f aca="true">IF(OR(D154="",B154=""),"",INT(TODAY()-B154))</f>
        <v/>
      </c>
      <c r="Y154" s="44" t="str">
        <f aca="true">IF(D154="","",IF(OR(COUNTIFS(Clients!$C$2:$C$501,D154,Clients!$S$2:$S$501,"Paid")&gt;0,AND(H154&lt;&gt;"",COUNTIFS(Clients!$E$2:$E$501,H154,Clients!$S$2:$S$501,"Paid")&gt;0)),"⚠ Refunded before – no free video",IF(OR(O154="Contract signed + paid",O154="Closed – No response",O154="Lost"),"",IF(O154="","Set a stage",IF(N(Q154)&gt;=Settings!$S$3,"Close – 4 follow-ups sent",IF(R154="",IF(P154="","Make first contact",""),IF(TODAY()&gt;R154,"OVERDUE follow-up",IF(TODAY()=R154,"Follow up today",""))))))))</f>
        <v/>
      </c>
    </row>
    <row r="155" customFormat="false" ht="15" hidden="false" customHeight="false" outlineLevel="0" collapsed="false">
      <c r="A155" s="17"/>
      <c r="B155" s="38"/>
      <c r="C155" s="17"/>
      <c r="D155" s="17"/>
      <c r="E155" s="17"/>
      <c r="F155" s="17"/>
      <c r="G155" s="17"/>
      <c r="H155" s="40"/>
      <c r="I155" s="17"/>
      <c r="J155" s="17"/>
      <c r="K155" s="17"/>
      <c r="L155" s="17"/>
      <c r="M155" s="17"/>
      <c r="N155" s="17"/>
      <c r="O155" s="17"/>
      <c r="P155" s="38"/>
      <c r="Q155" s="17"/>
      <c r="R155" s="42" t="str">
        <f aca="false">IF(OR(D155="",P155="",OR(O155="Contract signed + paid",O155="Closed – No response",O155="Lost"),N(Q155)&gt;=Settings!$S$3),"",P155+Settings!$S$2)</f>
        <v/>
      </c>
      <c r="S155" s="38"/>
      <c r="T155" s="39"/>
      <c r="U155" s="17"/>
      <c r="V155" s="17"/>
      <c r="W155" s="17"/>
      <c r="X155" s="43" t="str">
        <f aca="true">IF(OR(D155="",B155=""),"",INT(TODAY()-B155))</f>
        <v/>
      </c>
      <c r="Y155" s="44" t="str">
        <f aca="true">IF(D155="","",IF(OR(COUNTIFS(Clients!$C$2:$C$501,D155,Clients!$S$2:$S$501,"Paid")&gt;0,AND(H155&lt;&gt;"",COUNTIFS(Clients!$E$2:$E$501,H155,Clients!$S$2:$S$501,"Paid")&gt;0)),"⚠ Refunded before – no free video",IF(OR(O155="Contract signed + paid",O155="Closed – No response",O155="Lost"),"",IF(O155="","Set a stage",IF(N(Q155)&gt;=Settings!$S$3,"Close – 4 follow-ups sent",IF(R155="",IF(P155="","Make first contact",""),IF(TODAY()&gt;R155,"OVERDUE follow-up",IF(TODAY()=R155,"Follow up today",""))))))))</f>
        <v/>
      </c>
    </row>
    <row r="156" customFormat="false" ht="15" hidden="false" customHeight="false" outlineLevel="0" collapsed="false">
      <c r="A156" s="17"/>
      <c r="B156" s="38"/>
      <c r="C156" s="17"/>
      <c r="D156" s="17"/>
      <c r="E156" s="17"/>
      <c r="F156" s="17"/>
      <c r="G156" s="17"/>
      <c r="H156" s="40"/>
      <c r="I156" s="17"/>
      <c r="J156" s="17"/>
      <c r="K156" s="17"/>
      <c r="L156" s="17"/>
      <c r="M156" s="17"/>
      <c r="N156" s="17"/>
      <c r="O156" s="17"/>
      <c r="P156" s="38"/>
      <c r="Q156" s="17"/>
      <c r="R156" s="42" t="str">
        <f aca="false">IF(OR(D156="",P156="",OR(O156="Contract signed + paid",O156="Closed – No response",O156="Lost"),N(Q156)&gt;=Settings!$S$3),"",P156+Settings!$S$2)</f>
        <v/>
      </c>
      <c r="S156" s="38"/>
      <c r="T156" s="39"/>
      <c r="U156" s="17"/>
      <c r="V156" s="17"/>
      <c r="W156" s="17"/>
      <c r="X156" s="43" t="str">
        <f aca="true">IF(OR(D156="",B156=""),"",INT(TODAY()-B156))</f>
        <v/>
      </c>
      <c r="Y156" s="44" t="str">
        <f aca="true">IF(D156="","",IF(OR(COUNTIFS(Clients!$C$2:$C$501,D156,Clients!$S$2:$S$501,"Paid")&gt;0,AND(H156&lt;&gt;"",COUNTIFS(Clients!$E$2:$E$501,H156,Clients!$S$2:$S$501,"Paid")&gt;0)),"⚠ Refunded before – no free video",IF(OR(O156="Contract signed + paid",O156="Closed – No response",O156="Lost"),"",IF(O156="","Set a stage",IF(N(Q156)&gt;=Settings!$S$3,"Close – 4 follow-ups sent",IF(R156="",IF(P156="","Make first contact",""),IF(TODAY()&gt;R156,"OVERDUE follow-up",IF(TODAY()=R156,"Follow up today",""))))))))</f>
        <v/>
      </c>
    </row>
    <row r="157" customFormat="false" ht="15" hidden="false" customHeight="false" outlineLevel="0" collapsed="false">
      <c r="A157" s="17"/>
      <c r="B157" s="38"/>
      <c r="C157" s="17"/>
      <c r="D157" s="17"/>
      <c r="E157" s="17"/>
      <c r="F157" s="17"/>
      <c r="G157" s="17"/>
      <c r="H157" s="40"/>
      <c r="I157" s="17"/>
      <c r="J157" s="17"/>
      <c r="K157" s="17"/>
      <c r="L157" s="17"/>
      <c r="M157" s="17"/>
      <c r="N157" s="17"/>
      <c r="O157" s="17"/>
      <c r="P157" s="38"/>
      <c r="Q157" s="17"/>
      <c r="R157" s="42" t="str">
        <f aca="false">IF(OR(D157="",P157="",OR(O157="Contract signed + paid",O157="Closed – No response",O157="Lost"),N(Q157)&gt;=Settings!$S$3),"",P157+Settings!$S$2)</f>
        <v/>
      </c>
      <c r="S157" s="38"/>
      <c r="T157" s="39"/>
      <c r="U157" s="17"/>
      <c r="V157" s="17"/>
      <c r="W157" s="17"/>
      <c r="X157" s="43" t="str">
        <f aca="true">IF(OR(D157="",B157=""),"",INT(TODAY()-B157))</f>
        <v/>
      </c>
      <c r="Y157" s="44" t="str">
        <f aca="true">IF(D157="","",IF(OR(COUNTIFS(Clients!$C$2:$C$501,D157,Clients!$S$2:$S$501,"Paid")&gt;0,AND(H157&lt;&gt;"",COUNTIFS(Clients!$E$2:$E$501,H157,Clients!$S$2:$S$501,"Paid")&gt;0)),"⚠ Refunded before – no free video",IF(OR(O157="Contract signed + paid",O157="Closed – No response",O157="Lost"),"",IF(O157="","Set a stage",IF(N(Q157)&gt;=Settings!$S$3,"Close – 4 follow-ups sent",IF(R157="",IF(P157="","Make first contact",""),IF(TODAY()&gt;R157,"OVERDUE follow-up",IF(TODAY()=R157,"Follow up today",""))))))))</f>
        <v/>
      </c>
    </row>
    <row r="158" customFormat="false" ht="15" hidden="false" customHeight="false" outlineLevel="0" collapsed="false">
      <c r="A158" s="17"/>
      <c r="B158" s="38"/>
      <c r="C158" s="17"/>
      <c r="D158" s="17"/>
      <c r="E158" s="17"/>
      <c r="F158" s="17"/>
      <c r="G158" s="17"/>
      <c r="H158" s="40"/>
      <c r="I158" s="17"/>
      <c r="J158" s="17"/>
      <c r="K158" s="17"/>
      <c r="L158" s="17"/>
      <c r="M158" s="17"/>
      <c r="N158" s="17"/>
      <c r="O158" s="17"/>
      <c r="P158" s="38"/>
      <c r="Q158" s="17"/>
      <c r="R158" s="42" t="str">
        <f aca="false">IF(OR(D158="",P158="",OR(O158="Contract signed + paid",O158="Closed – No response",O158="Lost"),N(Q158)&gt;=Settings!$S$3),"",P158+Settings!$S$2)</f>
        <v/>
      </c>
      <c r="S158" s="38"/>
      <c r="T158" s="39"/>
      <c r="U158" s="17"/>
      <c r="V158" s="17"/>
      <c r="W158" s="17"/>
      <c r="X158" s="43" t="str">
        <f aca="true">IF(OR(D158="",B158=""),"",INT(TODAY()-B158))</f>
        <v/>
      </c>
      <c r="Y158" s="44" t="str">
        <f aca="true">IF(D158="","",IF(OR(COUNTIFS(Clients!$C$2:$C$501,D158,Clients!$S$2:$S$501,"Paid")&gt;0,AND(H158&lt;&gt;"",COUNTIFS(Clients!$E$2:$E$501,H158,Clients!$S$2:$S$501,"Paid")&gt;0)),"⚠ Refunded before – no free video",IF(OR(O158="Contract signed + paid",O158="Closed – No response",O158="Lost"),"",IF(O158="","Set a stage",IF(N(Q158)&gt;=Settings!$S$3,"Close – 4 follow-ups sent",IF(R158="",IF(P158="","Make first contact",""),IF(TODAY()&gt;R158,"OVERDUE follow-up",IF(TODAY()=R158,"Follow up today",""))))))))</f>
        <v/>
      </c>
    </row>
    <row r="159" customFormat="false" ht="15" hidden="false" customHeight="false" outlineLevel="0" collapsed="false">
      <c r="A159" s="17"/>
      <c r="B159" s="38"/>
      <c r="C159" s="17"/>
      <c r="D159" s="17"/>
      <c r="E159" s="17"/>
      <c r="F159" s="17"/>
      <c r="G159" s="17"/>
      <c r="H159" s="40"/>
      <c r="I159" s="17"/>
      <c r="J159" s="17"/>
      <c r="K159" s="17"/>
      <c r="L159" s="17"/>
      <c r="M159" s="17"/>
      <c r="N159" s="17"/>
      <c r="O159" s="17"/>
      <c r="P159" s="38"/>
      <c r="Q159" s="17"/>
      <c r="R159" s="42" t="str">
        <f aca="false">IF(OR(D159="",P159="",OR(O159="Contract signed + paid",O159="Closed – No response",O159="Lost"),N(Q159)&gt;=Settings!$S$3),"",P159+Settings!$S$2)</f>
        <v/>
      </c>
      <c r="S159" s="38"/>
      <c r="T159" s="39"/>
      <c r="U159" s="17"/>
      <c r="V159" s="17"/>
      <c r="W159" s="17"/>
      <c r="X159" s="43" t="str">
        <f aca="true">IF(OR(D159="",B159=""),"",INT(TODAY()-B159))</f>
        <v/>
      </c>
      <c r="Y159" s="44" t="str">
        <f aca="true">IF(D159="","",IF(OR(COUNTIFS(Clients!$C$2:$C$501,D159,Clients!$S$2:$S$501,"Paid")&gt;0,AND(H159&lt;&gt;"",COUNTIFS(Clients!$E$2:$E$501,H159,Clients!$S$2:$S$501,"Paid")&gt;0)),"⚠ Refunded before – no free video",IF(OR(O159="Contract signed + paid",O159="Closed – No response",O159="Lost"),"",IF(O159="","Set a stage",IF(N(Q159)&gt;=Settings!$S$3,"Close – 4 follow-ups sent",IF(R159="",IF(P159="","Make first contact",""),IF(TODAY()&gt;R159,"OVERDUE follow-up",IF(TODAY()=R159,"Follow up today",""))))))))</f>
        <v/>
      </c>
    </row>
    <row r="160" customFormat="false" ht="15" hidden="false" customHeight="false" outlineLevel="0" collapsed="false">
      <c r="A160" s="17"/>
      <c r="B160" s="38"/>
      <c r="C160" s="17"/>
      <c r="D160" s="17"/>
      <c r="E160" s="17"/>
      <c r="F160" s="17"/>
      <c r="G160" s="17"/>
      <c r="H160" s="40"/>
      <c r="I160" s="17"/>
      <c r="J160" s="17"/>
      <c r="K160" s="17"/>
      <c r="L160" s="17"/>
      <c r="M160" s="17"/>
      <c r="N160" s="17"/>
      <c r="O160" s="17"/>
      <c r="P160" s="38"/>
      <c r="Q160" s="17"/>
      <c r="R160" s="42" t="str">
        <f aca="false">IF(OR(D160="",P160="",OR(O160="Contract signed + paid",O160="Closed – No response",O160="Lost"),N(Q160)&gt;=Settings!$S$3),"",P160+Settings!$S$2)</f>
        <v/>
      </c>
      <c r="S160" s="38"/>
      <c r="T160" s="39"/>
      <c r="U160" s="17"/>
      <c r="V160" s="17"/>
      <c r="W160" s="17"/>
      <c r="X160" s="43" t="str">
        <f aca="true">IF(OR(D160="",B160=""),"",INT(TODAY()-B160))</f>
        <v/>
      </c>
      <c r="Y160" s="44" t="str">
        <f aca="true">IF(D160="","",IF(OR(COUNTIFS(Clients!$C$2:$C$501,D160,Clients!$S$2:$S$501,"Paid")&gt;0,AND(H160&lt;&gt;"",COUNTIFS(Clients!$E$2:$E$501,H160,Clients!$S$2:$S$501,"Paid")&gt;0)),"⚠ Refunded before – no free video",IF(OR(O160="Contract signed + paid",O160="Closed – No response",O160="Lost"),"",IF(O160="","Set a stage",IF(N(Q160)&gt;=Settings!$S$3,"Close – 4 follow-ups sent",IF(R160="",IF(P160="","Make first contact",""),IF(TODAY()&gt;R160,"OVERDUE follow-up",IF(TODAY()=R160,"Follow up today",""))))))))</f>
        <v/>
      </c>
    </row>
    <row r="161" customFormat="false" ht="15" hidden="false" customHeight="false" outlineLevel="0" collapsed="false">
      <c r="A161" s="17"/>
      <c r="B161" s="38"/>
      <c r="C161" s="17"/>
      <c r="D161" s="17"/>
      <c r="E161" s="17"/>
      <c r="F161" s="17"/>
      <c r="G161" s="17"/>
      <c r="H161" s="40"/>
      <c r="I161" s="17"/>
      <c r="J161" s="17"/>
      <c r="K161" s="17"/>
      <c r="L161" s="17"/>
      <c r="M161" s="17"/>
      <c r="N161" s="17"/>
      <c r="O161" s="17"/>
      <c r="P161" s="38"/>
      <c r="Q161" s="17"/>
      <c r="R161" s="42" t="str">
        <f aca="false">IF(OR(D161="",P161="",OR(O161="Contract signed + paid",O161="Closed – No response",O161="Lost"),N(Q161)&gt;=Settings!$S$3),"",P161+Settings!$S$2)</f>
        <v/>
      </c>
      <c r="S161" s="38"/>
      <c r="T161" s="39"/>
      <c r="U161" s="17"/>
      <c r="V161" s="17"/>
      <c r="W161" s="17"/>
      <c r="X161" s="43" t="str">
        <f aca="true">IF(OR(D161="",B161=""),"",INT(TODAY()-B161))</f>
        <v/>
      </c>
      <c r="Y161" s="44" t="str">
        <f aca="true">IF(D161="","",IF(OR(COUNTIFS(Clients!$C$2:$C$501,D161,Clients!$S$2:$S$501,"Paid")&gt;0,AND(H161&lt;&gt;"",COUNTIFS(Clients!$E$2:$E$501,H161,Clients!$S$2:$S$501,"Paid")&gt;0)),"⚠ Refunded before – no free video",IF(OR(O161="Contract signed + paid",O161="Closed – No response",O161="Lost"),"",IF(O161="","Set a stage",IF(N(Q161)&gt;=Settings!$S$3,"Close – 4 follow-ups sent",IF(R161="",IF(P161="","Make first contact",""),IF(TODAY()&gt;R161,"OVERDUE follow-up",IF(TODAY()=R161,"Follow up today",""))))))))</f>
        <v/>
      </c>
    </row>
    <row r="162" customFormat="false" ht="15" hidden="false" customHeight="false" outlineLevel="0" collapsed="false">
      <c r="A162" s="17"/>
      <c r="B162" s="38"/>
      <c r="C162" s="17"/>
      <c r="D162" s="17"/>
      <c r="E162" s="17"/>
      <c r="F162" s="17"/>
      <c r="G162" s="17"/>
      <c r="H162" s="40"/>
      <c r="I162" s="17"/>
      <c r="J162" s="17"/>
      <c r="K162" s="17"/>
      <c r="L162" s="17"/>
      <c r="M162" s="17"/>
      <c r="N162" s="17"/>
      <c r="O162" s="17"/>
      <c r="P162" s="38"/>
      <c r="Q162" s="17"/>
      <c r="R162" s="42" t="str">
        <f aca="false">IF(OR(D162="",P162="",OR(O162="Contract signed + paid",O162="Closed – No response",O162="Lost"),N(Q162)&gt;=Settings!$S$3),"",P162+Settings!$S$2)</f>
        <v/>
      </c>
      <c r="S162" s="38"/>
      <c r="T162" s="39"/>
      <c r="U162" s="17"/>
      <c r="V162" s="17"/>
      <c r="W162" s="17"/>
      <c r="X162" s="43" t="str">
        <f aca="true">IF(OR(D162="",B162=""),"",INT(TODAY()-B162))</f>
        <v/>
      </c>
      <c r="Y162" s="44" t="str">
        <f aca="true">IF(D162="","",IF(OR(COUNTIFS(Clients!$C$2:$C$501,D162,Clients!$S$2:$S$501,"Paid")&gt;0,AND(H162&lt;&gt;"",COUNTIFS(Clients!$E$2:$E$501,H162,Clients!$S$2:$S$501,"Paid")&gt;0)),"⚠ Refunded before – no free video",IF(OR(O162="Contract signed + paid",O162="Closed – No response",O162="Lost"),"",IF(O162="","Set a stage",IF(N(Q162)&gt;=Settings!$S$3,"Close – 4 follow-ups sent",IF(R162="",IF(P162="","Make first contact",""),IF(TODAY()&gt;R162,"OVERDUE follow-up",IF(TODAY()=R162,"Follow up today",""))))))))</f>
        <v/>
      </c>
    </row>
    <row r="163" customFormat="false" ht="15" hidden="false" customHeight="false" outlineLevel="0" collapsed="false">
      <c r="A163" s="17"/>
      <c r="B163" s="38"/>
      <c r="C163" s="17"/>
      <c r="D163" s="17"/>
      <c r="E163" s="17"/>
      <c r="F163" s="17"/>
      <c r="G163" s="17"/>
      <c r="H163" s="40"/>
      <c r="I163" s="17"/>
      <c r="J163" s="17"/>
      <c r="K163" s="17"/>
      <c r="L163" s="17"/>
      <c r="M163" s="17"/>
      <c r="N163" s="17"/>
      <c r="O163" s="17"/>
      <c r="P163" s="38"/>
      <c r="Q163" s="17"/>
      <c r="R163" s="42" t="str">
        <f aca="false">IF(OR(D163="",P163="",OR(O163="Contract signed + paid",O163="Closed – No response",O163="Lost"),N(Q163)&gt;=Settings!$S$3),"",P163+Settings!$S$2)</f>
        <v/>
      </c>
      <c r="S163" s="38"/>
      <c r="T163" s="39"/>
      <c r="U163" s="17"/>
      <c r="V163" s="17"/>
      <c r="W163" s="17"/>
      <c r="X163" s="43" t="str">
        <f aca="true">IF(OR(D163="",B163=""),"",INT(TODAY()-B163))</f>
        <v/>
      </c>
      <c r="Y163" s="44" t="str">
        <f aca="true">IF(D163="","",IF(OR(COUNTIFS(Clients!$C$2:$C$501,D163,Clients!$S$2:$S$501,"Paid")&gt;0,AND(H163&lt;&gt;"",COUNTIFS(Clients!$E$2:$E$501,H163,Clients!$S$2:$S$501,"Paid")&gt;0)),"⚠ Refunded before – no free video",IF(OR(O163="Contract signed + paid",O163="Closed – No response",O163="Lost"),"",IF(O163="","Set a stage",IF(N(Q163)&gt;=Settings!$S$3,"Close – 4 follow-ups sent",IF(R163="",IF(P163="","Make first contact",""),IF(TODAY()&gt;R163,"OVERDUE follow-up",IF(TODAY()=R163,"Follow up today",""))))))))</f>
        <v/>
      </c>
    </row>
    <row r="164" customFormat="false" ht="15" hidden="false" customHeight="false" outlineLevel="0" collapsed="false">
      <c r="A164" s="17"/>
      <c r="B164" s="38"/>
      <c r="C164" s="17"/>
      <c r="D164" s="17"/>
      <c r="E164" s="17"/>
      <c r="F164" s="17"/>
      <c r="G164" s="17"/>
      <c r="H164" s="40"/>
      <c r="I164" s="17"/>
      <c r="J164" s="17"/>
      <c r="K164" s="17"/>
      <c r="L164" s="17"/>
      <c r="M164" s="17"/>
      <c r="N164" s="17"/>
      <c r="O164" s="17"/>
      <c r="P164" s="38"/>
      <c r="Q164" s="17"/>
      <c r="R164" s="42" t="str">
        <f aca="false">IF(OR(D164="",P164="",OR(O164="Contract signed + paid",O164="Closed – No response",O164="Lost"),N(Q164)&gt;=Settings!$S$3),"",P164+Settings!$S$2)</f>
        <v/>
      </c>
      <c r="S164" s="38"/>
      <c r="T164" s="39"/>
      <c r="U164" s="17"/>
      <c r="V164" s="17"/>
      <c r="W164" s="17"/>
      <c r="X164" s="43" t="str">
        <f aca="true">IF(OR(D164="",B164=""),"",INT(TODAY()-B164))</f>
        <v/>
      </c>
      <c r="Y164" s="44" t="str">
        <f aca="true">IF(D164="","",IF(OR(COUNTIFS(Clients!$C$2:$C$501,D164,Clients!$S$2:$S$501,"Paid")&gt;0,AND(H164&lt;&gt;"",COUNTIFS(Clients!$E$2:$E$501,H164,Clients!$S$2:$S$501,"Paid")&gt;0)),"⚠ Refunded before – no free video",IF(OR(O164="Contract signed + paid",O164="Closed – No response",O164="Lost"),"",IF(O164="","Set a stage",IF(N(Q164)&gt;=Settings!$S$3,"Close – 4 follow-ups sent",IF(R164="",IF(P164="","Make first contact",""),IF(TODAY()&gt;R164,"OVERDUE follow-up",IF(TODAY()=R164,"Follow up today",""))))))))</f>
        <v/>
      </c>
    </row>
    <row r="165" customFormat="false" ht="15" hidden="false" customHeight="false" outlineLevel="0" collapsed="false">
      <c r="A165" s="17"/>
      <c r="B165" s="38"/>
      <c r="C165" s="17"/>
      <c r="D165" s="17"/>
      <c r="E165" s="17"/>
      <c r="F165" s="17"/>
      <c r="G165" s="17"/>
      <c r="H165" s="40"/>
      <c r="I165" s="17"/>
      <c r="J165" s="17"/>
      <c r="K165" s="17"/>
      <c r="L165" s="17"/>
      <c r="M165" s="17"/>
      <c r="N165" s="17"/>
      <c r="O165" s="17"/>
      <c r="P165" s="38"/>
      <c r="Q165" s="17"/>
      <c r="R165" s="42" t="str">
        <f aca="false">IF(OR(D165="",P165="",OR(O165="Contract signed + paid",O165="Closed – No response",O165="Lost"),N(Q165)&gt;=Settings!$S$3),"",P165+Settings!$S$2)</f>
        <v/>
      </c>
      <c r="S165" s="38"/>
      <c r="T165" s="39"/>
      <c r="U165" s="17"/>
      <c r="V165" s="17"/>
      <c r="W165" s="17"/>
      <c r="X165" s="43" t="str">
        <f aca="true">IF(OR(D165="",B165=""),"",INT(TODAY()-B165))</f>
        <v/>
      </c>
      <c r="Y165" s="44" t="str">
        <f aca="true">IF(D165="","",IF(OR(COUNTIFS(Clients!$C$2:$C$501,D165,Clients!$S$2:$S$501,"Paid")&gt;0,AND(H165&lt;&gt;"",COUNTIFS(Clients!$E$2:$E$501,H165,Clients!$S$2:$S$501,"Paid")&gt;0)),"⚠ Refunded before – no free video",IF(OR(O165="Contract signed + paid",O165="Closed – No response",O165="Lost"),"",IF(O165="","Set a stage",IF(N(Q165)&gt;=Settings!$S$3,"Close – 4 follow-ups sent",IF(R165="",IF(P165="","Make first contact",""),IF(TODAY()&gt;R165,"OVERDUE follow-up",IF(TODAY()=R165,"Follow up today",""))))))))</f>
        <v/>
      </c>
    </row>
    <row r="166" customFormat="false" ht="15" hidden="false" customHeight="false" outlineLevel="0" collapsed="false">
      <c r="A166" s="17"/>
      <c r="B166" s="38"/>
      <c r="C166" s="17"/>
      <c r="D166" s="17"/>
      <c r="E166" s="17"/>
      <c r="F166" s="17"/>
      <c r="G166" s="17"/>
      <c r="H166" s="40"/>
      <c r="I166" s="17"/>
      <c r="J166" s="17"/>
      <c r="K166" s="17"/>
      <c r="L166" s="17"/>
      <c r="M166" s="17"/>
      <c r="N166" s="17"/>
      <c r="O166" s="17"/>
      <c r="P166" s="38"/>
      <c r="Q166" s="17"/>
      <c r="R166" s="42" t="str">
        <f aca="false">IF(OR(D166="",P166="",OR(O166="Contract signed + paid",O166="Closed – No response",O166="Lost"),N(Q166)&gt;=Settings!$S$3),"",P166+Settings!$S$2)</f>
        <v/>
      </c>
      <c r="S166" s="38"/>
      <c r="T166" s="39"/>
      <c r="U166" s="17"/>
      <c r="V166" s="17"/>
      <c r="W166" s="17"/>
      <c r="X166" s="43" t="str">
        <f aca="true">IF(OR(D166="",B166=""),"",INT(TODAY()-B166))</f>
        <v/>
      </c>
      <c r="Y166" s="44" t="str">
        <f aca="true">IF(D166="","",IF(OR(COUNTIFS(Clients!$C$2:$C$501,D166,Clients!$S$2:$S$501,"Paid")&gt;0,AND(H166&lt;&gt;"",COUNTIFS(Clients!$E$2:$E$501,H166,Clients!$S$2:$S$501,"Paid")&gt;0)),"⚠ Refunded before – no free video",IF(OR(O166="Contract signed + paid",O166="Closed – No response",O166="Lost"),"",IF(O166="","Set a stage",IF(N(Q166)&gt;=Settings!$S$3,"Close – 4 follow-ups sent",IF(R166="",IF(P166="","Make first contact",""),IF(TODAY()&gt;R166,"OVERDUE follow-up",IF(TODAY()=R166,"Follow up today",""))))))))</f>
        <v/>
      </c>
    </row>
    <row r="167" customFormat="false" ht="15" hidden="false" customHeight="false" outlineLevel="0" collapsed="false">
      <c r="A167" s="17"/>
      <c r="B167" s="38"/>
      <c r="C167" s="17"/>
      <c r="D167" s="17"/>
      <c r="E167" s="17"/>
      <c r="F167" s="17"/>
      <c r="G167" s="17"/>
      <c r="H167" s="40"/>
      <c r="I167" s="17"/>
      <c r="J167" s="17"/>
      <c r="K167" s="17"/>
      <c r="L167" s="17"/>
      <c r="M167" s="17"/>
      <c r="N167" s="17"/>
      <c r="O167" s="17"/>
      <c r="P167" s="38"/>
      <c r="Q167" s="17"/>
      <c r="R167" s="42" t="str">
        <f aca="false">IF(OR(D167="",P167="",OR(O167="Contract signed + paid",O167="Closed – No response",O167="Lost"),N(Q167)&gt;=Settings!$S$3),"",P167+Settings!$S$2)</f>
        <v/>
      </c>
      <c r="S167" s="38"/>
      <c r="T167" s="39"/>
      <c r="U167" s="17"/>
      <c r="V167" s="17"/>
      <c r="W167" s="17"/>
      <c r="X167" s="43" t="str">
        <f aca="true">IF(OR(D167="",B167=""),"",INT(TODAY()-B167))</f>
        <v/>
      </c>
      <c r="Y167" s="44" t="str">
        <f aca="true">IF(D167="","",IF(OR(COUNTIFS(Clients!$C$2:$C$501,D167,Clients!$S$2:$S$501,"Paid")&gt;0,AND(H167&lt;&gt;"",COUNTIFS(Clients!$E$2:$E$501,H167,Clients!$S$2:$S$501,"Paid")&gt;0)),"⚠ Refunded before – no free video",IF(OR(O167="Contract signed + paid",O167="Closed – No response",O167="Lost"),"",IF(O167="","Set a stage",IF(N(Q167)&gt;=Settings!$S$3,"Close – 4 follow-ups sent",IF(R167="",IF(P167="","Make first contact",""),IF(TODAY()&gt;R167,"OVERDUE follow-up",IF(TODAY()=R167,"Follow up today",""))))))))</f>
        <v/>
      </c>
    </row>
    <row r="168" customFormat="false" ht="15" hidden="false" customHeight="false" outlineLevel="0" collapsed="false">
      <c r="A168" s="17"/>
      <c r="B168" s="38"/>
      <c r="C168" s="17"/>
      <c r="D168" s="17"/>
      <c r="E168" s="17"/>
      <c r="F168" s="17"/>
      <c r="G168" s="17"/>
      <c r="H168" s="40"/>
      <c r="I168" s="17"/>
      <c r="J168" s="17"/>
      <c r="K168" s="17"/>
      <c r="L168" s="17"/>
      <c r="M168" s="17"/>
      <c r="N168" s="17"/>
      <c r="O168" s="17"/>
      <c r="P168" s="38"/>
      <c r="Q168" s="17"/>
      <c r="R168" s="42" t="str">
        <f aca="false">IF(OR(D168="",P168="",OR(O168="Contract signed + paid",O168="Closed – No response",O168="Lost"),N(Q168)&gt;=Settings!$S$3),"",P168+Settings!$S$2)</f>
        <v/>
      </c>
      <c r="S168" s="38"/>
      <c r="T168" s="39"/>
      <c r="U168" s="17"/>
      <c r="V168" s="17"/>
      <c r="W168" s="17"/>
      <c r="X168" s="43" t="str">
        <f aca="true">IF(OR(D168="",B168=""),"",INT(TODAY()-B168))</f>
        <v/>
      </c>
      <c r="Y168" s="44" t="str">
        <f aca="true">IF(D168="","",IF(OR(COUNTIFS(Clients!$C$2:$C$501,D168,Clients!$S$2:$S$501,"Paid")&gt;0,AND(H168&lt;&gt;"",COUNTIFS(Clients!$E$2:$E$501,H168,Clients!$S$2:$S$501,"Paid")&gt;0)),"⚠ Refunded before – no free video",IF(OR(O168="Contract signed + paid",O168="Closed – No response",O168="Lost"),"",IF(O168="","Set a stage",IF(N(Q168)&gt;=Settings!$S$3,"Close – 4 follow-ups sent",IF(R168="",IF(P168="","Make first contact",""),IF(TODAY()&gt;R168,"OVERDUE follow-up",IF(TODAY()=R168,"Follow up today",""))))))))</f>
        <v/>
      </c>
    </row>
    <row r="169" customFormat="false" ht="15" hidden="false" customHeight="false" outlineLevel="0" collapsed="false">
      <c r="A169" s="17"/>
      <c r="B169" s="38"/>
      <c r="C169" s="17"/>
      <c r="D169" s="17"/>
      <c r="E169" s="17"/>
      <c r="F169" s="17"/>
      <c r="G169" s="17"/>
      <c r="H169" s="40"/>
      <c r="I169" s="17"/>
      <c r="J169" s="17"/>
      <c r="K169" s="17"/>
      <c r="L169" s="17"/>
      <c r="M169" s="17"/>
      <c r="N169" s="17"/>
      <c r="O169" s="17"/>
      <c r="P169" s="38"/>
      <c r="Q169" s="17"/>
      <c r="R169" s="42" t="str">
        <f aca="false">IF(OR(D169="",P169="",OR(O169="Contract signed + paid",O169="Closed – No response",O169="Lost"),N(Q169)&gt;=Settings!$S$3),"",P169+Settings!$S$2)</f>
        <v/>
      </c>
      <c r="S169" s="38"/>
      <c r="T169" s="39"/>
      <c r="U169" s="17"/>
      <c r="V169" s="17"/>
      <c r="W169" s="17"/>
      <c r="X169" s="43" t="str">
        <f aca="true">IF(OR(D169="",B169=""),"",INT(TODAY()-B169))</f>
        <v/>
      </c>
      <c r="Y169" s="44" t="str">
        <f aca="true">IF(D169="","",IF(OR(COUNTIFS(Clients!$C$2:$C$501,D169,Clients!$S$2:$S$501,"Paid")&gt;0,AND(H169&lt;&gt;"",COUNTIFS(Clients!$E$2:$E$501,H169,Clients!$S$2:$S$501,"Paid")&gt;0)),"⚠ Refunded before – no free video",IF(OR(O169="Contract signed + paid",O169="Closed – No response",O169="Lost"),"",IF(O169="","Set a stage",IF(N(Q169)&gt;=Settings!$S$3,"Close – 4 follow-ups sent",IF(R169="",IF(P169="","Make first contact",""),IF(TODAY()&gt;R169,"OVERDUE follow-up",IF(TODAY()=R169,"Follow up today",""))))))))</f>
        <v/>
      </c>
    </row>
    <row r="170" customFormat="false" ht="15" hidden="false" customHeight="false" outlineLevel="0" collapsed="false">
      <c r="A170" s="17"/>
      <c r="B170" s="38"/>
      <c r="C170" s="17"/>
      <c r="D170" s="17"/>
      <c r="E170" s="17"/>
      <c r="F170" s="17"/>
      <c r="G170" s="17"/>
      <c r="H170" s="40"/>
      <c r="I170" s="17"/>
      <c r="J170" s="17"/>
      <c r="K170" s="17"/>
      <c r="L170" s="17"/>
      <c r="M170" s="17"/>
      <c r="N170" s="17"/>
      <c r="O170" s="17"/>
      <c r="P170" s="38"/>
      <c r="Q170" s="17"/>
      <c r="R170" s="42" t="str">
        <f aca="false">IF(OR(D170="",P170="",OR(O170="Contract signed + paid",O170="Closed – No response",O170="Lost"),N(Q170)&gt;=Settings!$S$3),"",P170+Settings!$S$2)</f>
        <v/>
      </c>
      <c r="S170" s="38"/>
      <c r="T170" s="39"/>
      <c r="U170" s="17"/>
      <c r="V170" s="17"/>
      <c r="W170" s="17"/>
      <c r="X170" s="43" t="str">
        <f aca="true">IF(OR(D170="",B170=""),"",INT(TODAY()-B170))</f>
        <v/>
      </c>
      <c r="Y170" s="44" t="str">
        <f aca="true">IF(D170="","",IF(OR(COUNTIFS(Clients!$C$2:$C$501,D170,Clients!$S$2:$S$501,"Paid")&gt;0,AND(H170&lt;&gt;"",COUNTIFS(Clients!$E$2:$E$501,H170,Clients!$S$2:$S$501,"Paid")&gt;0)),"⚠ Refunded before – no free video",IF(OR(O170="Contract signed + paid",O170="Closed – No response",O170="Lost"),"",IF(O170="","Set a stage",IF(N(Q170)&gt;=Settings!$S$3,"Close – 4 follow-ups sent",IF(R170="",IF(P170="","Make first contact",""),IF(TODAY()&gt;R170,"OVERDUE follow-up",IF(TODAY()=R170,"Follow up today",""))))))))</f>
        <v/>
      </c>
    </row>
    <row r="171" customFormat="false" ht="15" hidden="false" customHeight="false" outlineLevel="0" collapsed="false">
      <c r="A171" s="17"/>
      <c r="B171" s="38"/>
      <c r="C171" s="17"/>
      <c r="D171" s="17"/>
      <c r="E171" s="17"/>
      <c r="F171" s="17"/>
      <c r="G171" s="17"/>
      <c r="H171" s="40"/>
      <c r="I171" s="17"/>
      <c r="J171" s="17"/>
      <c r="K171" s="17"/>
      <c r="L171" s="17"/>
      <c r="M171" s="17"/>
      <c r="N171" s="17"/>
      <c r="O171" s="17"/>
      <c r="P171" s="38"/>
      <c r="Q171" s="17"/>
      <c r="R171" s="42" t="str">
        <f aca="false">IF(OR(D171="",P171="",OR(O171="Contract signed + paid",O171="Closed – No response",O171="Lost"),N(Q171)&gt;=Settings!$S$3),"",P171+Settings!$S$2)</f>
        <v/>
      </c>
      <c r="S171" s="38"/>
      <c r="T171" s="39"/>
      <c r="U171" s="17"/>
      <c r="V171" s="17"/>
      <c r="W171" s="17"/>
      <c r="X171" s="43" t="str">
        <f aca="true">IF(OR(D171="",B171=""),"",INT(TODAY()-B171))</f>
        <v/>
      </c>
      <c r="Y171" s="44" t="str">
        <f aca="true">IF(D171="","",IF(OR(COUNTIFS(Clients!$C$2:$C$501,D171,Clients!$S$2:$S$501,"Paid")&gt;0,AND(H171&lt;&gt;"",COUNTIFS(Clients!$E$2:$E$501,H171,Clients!$S$2:$S$501,"Paid")&gt;0)),"⚠ Refunded before – no free video",IF(OR(O171="Contract signed + paid",O171="Closed – No response",O171="Lost"),"",IF(O171="","Set a stage",IF(N(Q171)&gt;=Settings!$S$3,"Close – 4 follow-ups sent",IF(R171="",IF(P171="","Make first contact",""),IF(TODAY()&gt;R171,"OVERDUE follow-up",IF(TODAY()=R171,"Follow up today",""))))))))</f>
        <v/>
      </c>
    </row>
    <row r="172" customFormat="false" ht="15" hidden="false" customHeight="false" outlineLevel="0" collapsed="false">
      <c r="A172" s="17"/>
      <c r="B172" s="38"/>
      <c r="C172" s="17"/>
      <c r="D172" s="17"/>
      <c r="E172" s="17"/>
      <c r="F172" s="17"/>
      <c r="G172" s="17"/>
      <c r="H172" s="40"/>
      <c r="I172" s="17"/>
      <c r="J172" s="17"/>
      <c r="K172" s="17"/>
      <c r="L172" s="17"/>
      <c r="M172" s="17"/>
      <c r="N172" s="17"/>
      <c r="O172" s="17"/>
      <c r="P172" s="38"/>
      <c r="Q172" s="17"/>
      <c r="R172" s="42" t="str">
        <f aca="false">IF(OR(D172="",P172="",OR(O172="Contract signed + paid",O172="Closed – No response",O172="Lost"),N(Q172)&gt;=Settings!$S$3),"",P172+Settings!$S$2)</f>
        <v/>
      </c>
      <c r="S172" s="38"/>
      <c r="T172" s="39"/>
      <c r="U172" s="17"/>
      <c r="V172" s="17"/>
      <c r="W172" s="17"/>
      <c r="X172" s="43" t="str">
        <f aca="true">IF(OR(D172="",B172=""),"",INT(TODAY()-B172))</f>
        <v/>
      </c>
      <c r="Y172" s="44" t="str">
        <f aca="true">IF(D172="","",IF(OR(COUNTIFS(Clients!$C$2:$C$501,D172,Clients!$S$2:$S$501,"Paid")&gt;0,AND(H172&lt;&gt;"",COUNTIFS(Clients!$E$2:$E$501,H172,Clients!$S$2:$S$501,"Paid")&gt;0)),"⚠ Refunded before – no free video",IF(OR(O172="Contract signed + paid",O172="Closed – No response",O172="Lost"),"",IF(O172="","Set a stage",IF(N(Q172)&gt;=Settings!$S$3,"Close – 4 follow-ups sent",IF(R172="",IF(P172="","Make first contact",""),IF(TODAY()&gt;R172,"OVERDUE follow-up",IF(TODAY()=R172,"Follow up today",""))))))))</f>
        <v/>
      </c>
    </row>
    <row r="173" customFormat="false" ht="15" hidden="false" customHeight="false" outlineLevel="0" collapsed="false">
      <c r="A173" s="17"/>
      <c r="B173" s="38"/>
      <c r="C173" s="17"/>
      <c r="D173" s="17"/>
      <c r="E173" s="17"/>
      <c r="F173" s="17"/>
      <c r="G173" s="17"/>
      <c r="H173" s="40"/>
      <c r="I173" s="17"/>
      <c r="J173" s="17"/>
      <c r="K173" s="17"/>
      <c r="L173" s="17"/>
      <c r="M173" s="17"/>
      <c r="N173" s="17"/>
      <c r="O173" s="17"/>
      <c r="P173" s="38"/>
      <c r="Q173" s="17"/>
      <c r="R173" s="42" t="str">
        <f aca="false">IF(OR(D173="",P173="",OR(O173="Contract signed + paid",O173="Closed – No response",O173="Lost"),N(Q173)&gt;=Settings!$S$3),"",P173+Settings!$S$2)</f>
        <v/>
      </c>
      <c r="S173" s="38"/>
      <c r="T173" s="39"/>
      <c r="U173" s="17"/>
      <c r="V173" s="17"/>
      <c r="W173" s="17"/>
      <c r="X173" s="43" t="str">
        <f aca="true">IF(OR(D173="",B173=""),"",INT(TODAY()-B173))</f>
        <v/>
      </c>
      <c r="Y173" s="44" t="str">
        <f aca="true">IF(D173="","",IF(OR(COUNTIFS(Clients!$C$2:$C$501,D173,Clients!$S$2:$S$501,"Paid")&gt;0,AND(H173&lt;&gt;"",COUNTIFS(Clients!$E$2:$E$501,H173,Clients!$S$2:$S$501,"Paid")&gt;0)),"⚠ Refunded before – no free video",IF(OR(O173="Contract signed + paid",O173="Closed – No response",O173="Lost"),"",IF(O173="","Set a stage",IF(N(Q173)&gt;=Settings!$S$3,"Close – 4 follow-ups sent",IF(R173="",IF(P173="","Make first contact",""),IF(TODAY()&gt;R173,"OVERDUE follow-up",IF(TODAY()=R173,"Follow up today",""))))))))</f>
        <v/>
      </c>
    </row>
    <row r="174" customFormat="false" ht="15" hidden="false" customHeight="false" outlineLevel="0" collapsed="false">
      <c r="A174" s="17"/>
      <c r="B174" s="38"/>
      <c r="C174" s="17"/>
      <c r="D174" s="17"/>
      <c r="E174" s="17"/>
      <c r="F174" s="17"/>
      <c r="G174" s="17"/>
      <c r="H174" s="40"/>
      <c r="I174" s="17"/>
      <c r="J174" s="17"/>
      <c r="K174" s="17"/>
      <c r="L174" s="17"/>
      <c r="M174" s="17"/>
      <c r="N174" s="17"/>
      <c r="O174" s="17"/>
      <c r="P174" s="38"/>
      <c r="Q174" s="17"/>
      <c r="R174" s="42" t="str">
        <f aca="false">IF(OR(D174="",P174="",OR(O174="Contract signed + paid",O174="Closed – No response",O174="Lost"),N(Q174)&gt;=Settings!$S$3),"",P174+Settings!$S$2)</f>
        <v/>
      </c>
      <c r="S174" s="38"/>
      <c r="T174" s="39"/>
      <c r="U174" s="17"/>
      <c r="V174" s="17"/>
      <c r="W174" s="17"/>
      <c r="X174" s="43" t="str">
        <f aca="true">IF(OR(D174="",B174=""),"",INT(TODAY()-B174))</f>
        <v/>
      </c>
      <c r="Y174" s="44" t="str">
        <f aca="true">IF(D174="","",IF(OR(COUNTIFS(Clients!$C$2:$C$501,D174,Clients!$S$2:$S$501,"Paid")&gt;0,AND(H174&lt;&gt;"",COUNTIFS(Clients!$E$2:$E$501,H174,Clients!$S$2:$S$501,"Paid")&gt;0)),"⚠ Refunded before – no free video",IF(OR(O174="Contract signed + paid",O174="Closed – No response",O174="Lost"),"",IF(O174="","Set a stage",IF(N(Q174)&gt;=Settings!$S$3,"Close – 4 follow-ups sent",IF(R174="",IF(P174="","Make first contact",""),IF(TODAY()&gt;R174,"OVERDUE follow-up",IF(TODAY()=R174,"Follow up today",""))))))))</f>
        <v/>
      </c>
    </row>
    <row r="175" customFormat="false" ht="15" hidden="false" customHeight="false" outlineLevel="0" collapsed="false">
      <c r="A175" s="17"/>
      <c r="B175" s="38"/>
      <c r="C175" s="17"/>
      <c r="D175" s="17"/>
      <c r="E175" s="17"/>
      <c r="F175" s="17"/>
      <c r="G175" s="17"/>
      <c r="H175" s="40"/>
      <c r="I175" s="17"/>
      <c r="J175" s="17"/>
      <c r="K175" s="17"/>
      <c r="L175" s="17"/>
      <c r="M175" s="17"/>
      <c r="N175" s="17"/>
      <c r="O175" s="17"/>
      <c r="P175" s="38"/>
      <c r="Q175" s="17"/>
      <c r="R175" s="42" t="str">
        <f aca="false">IF(OR(D175="",P175="",OR(O175="Contract signed + paid",O175="Closed – No response",O175="Lost"),N(Q175)&gt;=Settings!$S$3),"",P175+Settings!$S$2)</f>
        <v/>
      </c>
      <c r="S175" s="38"/>
      <c r="T175" s="39"/>
      <c r="U175" s="17"/>
      <c r="V175" s="17"/>
      <c r="W175" s="17"/>
      <c r="X175" s="43" t="str">
        <f aca="true">IF(OR(D175="",B175=""),"",INT(TODAY()-B175))</f>
        <v/>
      </c>
      <c r="Y175" s="44" t="str">
        <f aca="true">IF(D175="","",IF(OR(COUNTIFS(Clients!$C$2:$C$501,D175,Clients!$S$2:$S$501,"Paid")&gt;0,AND(H175&lt;&gt;"",COUNTIFS(Clients!$E$2:$E$501,H175,Clients!$S$2:$S$501,"Paid")&gt;0)),"⚠ Refunded before – no free video",IF(OR(O175="Contract signed + paid",O175="Closed – No response",O175="Lost"),"",IF(O175="","Set a stage",IF(N(Q175)&gt;=Settings!$S$3,"Close – 4 follow-ups sent",IF(R175="",IF(P175="","Make first contact",""),IF(TODAY()&gt;R175,"OVERDUE follow-up",IF(TODAY()=R175,"Follow up today",""))))))))</f>
        <v/>
      </c>
    </row>
    <row r="176" customFormat="false" ht="15" hidden="false" customHeight="false" outlineLevel="0" collapsed="false">
      <c r="A176" s="17"/>
      <c r="B176" s="38"/>
      <c r="C176" s="17"/>
      <c r="D176" s="17"/>
      <c r="E176" s="17"/>
      <c r="F176" s="17"/>
      <c r="G176" s="17"/>
      <c r="H176" s="40"/>
      <c r="I176" s="17"/>
      <c r="J176" s="17"/>
      <c r="K176" s="17"/>
      <c r="L176" s="17"/>
      <c r="M176" s="17"/>
      <c r="N176" s="17"/>
      <c r="O176" s="17"/>
      <c r="P176" s="38"/>
      <c r="Q176" s="17"/>
      <c r="R176" s="42" t="str">
        <f aca="false">IF(OR(D176="",P176="",OR(O176="Contract signed + paid",O176="Closed – No response",O176="Lost"),N(Q176)&gt;=Settings!$S$3),"",P176+Settings!$S$2)</f>
        <v/>
      </c>
      <c r="S176" s="38"/>
      <c r="T176" s="39"/>
      <c r="U176" s="17"/>
      <c r="V176" s="17"/>
      <c r="W176" s="17"/>
      <c r="X176" s="43" t="str">
        <f aca="true">IF(OR(D176="",B176=""),"",INT(TODAY()-B176))</f>
        <v/>
      </c>
      <c r="Y176" s="44" t="str">
        <f aca="true">IF(D176="","",IF(OR(COUNTIFS(Clients!$C$2:$C$501,D176,Clients!$S$2:$S$501,"Paid")&gt;0,AND(H176&lt;&gt;"",COUNTIFS(Clients!$E$2:$E$501,H176,Clients!$S$2:$S$501,"Paid")&gt;0)),"⚠ Refunded before – no free video",IF(OR(O176="Contract signed + paid",O176="Closed – No response",O176="Lost"),"",IF(O176="","Set a stage",IF(N(Q176)&gt;=Settings!$S$3,"Close – 4 follow-ups sent",IF(R176="",IF(P176="","Make first contact",""),IF(TODAY()&gt;R176,"OVERDUE follow-up",IF(TODAY()=R176,"Follow up today",""))))))))</f>
        <v/>
      </c>
    </row>
    <row r="177" customFormat="false" ht="15" hidden="false" customHeight="false" outlineLevel="0" collapsed="false">
      <c r="A177" s="17"/>
      <c r="B177" s="38"/>
      <c r="C177" s="17"/>
      <c r="D177" s="17"/>
      <c r="E177" s="17"/>
      <c r="F177" s="17"/>
      <c r="G177" s="17"/>
      <c r="H177" s="40"/>
      <c r="I177" s="17"/>
      <c r="J177" s="17"/>
      <c r="K177" s="17"/>
      <c r="L177" s="17"/>
      <c r="M177" s="17"/>
      <c r="N177" s="17"/>
      <c r="O177" s="17"/>
      <c r="P177" s="38"/>
      <c r="Q177" s="17"/>
      <c r="R177" s="42" t="str">
        <f aca="false">IF(OR(D177="",P177="",OR(O177="Contract signed + paid",O177="Closed – No response",O177="Lost"),N(Q177)&gt;=Settings!$S$3),"",P177+Settings!$S$2)</f>
        <v/>
      </c>
      <c r="S177" s="38"/>
      <c r="T177" s="39"/>
      <c r="U177" s="17"/>
      <c r="V177" s="17"/>
      <c r="W177" s="17"/>
      <c r="X177" s="43" t="str">
        <f aca="true">IF(OR(D177="",B177=""),"",INT(TODAY()-B177))</f>
        <v/>
      </c>
      <c r="Y177" s="44" t="str">
        <f aca="true">IF(D177="","",IF(OR(COUNTIFS(Clients!$C$2:$C$501,D177,Clients!$S$2:$S$501,"Paid")&gt;0,AND(H177&lt;&gt;"",COUNTIFS(Clients!$E$2:$E$501,H177,Clients!$S$2:$S$501,"Paid")&gt;0)),"⚠ Refunded before – no free video",IF(OR(O177="Contract signed + paid",O177="Closed – No response",O177="Lost"),"",IF(O177="","Set a stage",IF(N(Q177)&gt;=Settings!$S$3,"Close – 4 follow-ups sent",IF(R177="",IF(P177="","Make first contact",""),IF(TODAY()&gt;R177,"OVERDUE follow-up",IF(TODAY()=R177,"Follow up today",""))))))))</f>
        <v/>
      </c>
    </row>
    <row r="178" customFormat="false" ht="15" hidden="false" customHeight="false" outlineLevel="0" collapsed="false">
      <c r="A178" s="17"/>
      <c r="B178" s="38"/>
      <c r="C178" s="17"/>
      <c r="D178" s="17"/>
      <c r="E178" s="17"/>
      <c r="F178" s="17"/>
      <c r="G178" s="17"/>
      <c r="H178" s="40"/>
      <c r="I178" s="17"/>
      <c r="J178" s="17"/>
      <c r="K178" s="17"/>
      <c r="L178" s="17"/>
      <c r="M178" s="17"/>
      <c r="N178" s="17"/>
      <c r="O178" s="17"/>
      <c r="P178" s="38"/>
      <c r="Q178" s="17"/>
      <c r="R178" s="42" t="str">
        <f aca="false">IF(OR(D178="",P178="",OR(O178="Contract signed + paid",O178="Closed – No response",O178="Lost"),N(Q178)&gt;=Settings!$S$3),"",P178+Settings!$S$2)</f>
        <v/>
      </c>
      <c r="S178" s="38"/>
      <c r="T178" s="39"/>
      <c r="U178" s="17"/>
      <c r="V178" s="17"/>
      <c r="W178" s="17"/>
      <c r="X178" s="43" t="str">
        <f aca="true">IF(OR(D178="",B178=""),"",INT(TODAY()-B178))</f>
        <v/>
      </c>
      <c r="Y178" s="44" t="str">
        <f aca="true">IF(D178="","",IF(OR(COUNTIFS(Clients!$C$2:$C$501,D178,Clients!$S$2:$S$501,"Paid")&gt;0,AND(H178&lt;&gt;"",COUNTIFS(Clients!$E$2:$E$501,H178,Clients!$S$2:$S$501,"Paid")&gt;0)),"⚠ Refunded before – no free video",IF(OR(O178="Contract signed + paid",O178="Closed – No response",O178="Lost"),"",IF(O178="","Set a stage",IF(N(Q178)&gt;=Settings!$S$3,"Close – 4 follow-ups sent",IF(R178="",IF(P178="","Make first contact",""),IF(TODAY()&gt;R178,"OVERDUE follow-up",IF(TODAY()=R178,"Follow up today",""))))))))</f>
        <v/>
      </c>
    </row>
    <row r="179" customFormat="false" ht="15" hidden="false" customHeight="false" outlineLevel="0" collapsed="false">
      <c r="A179" s="17"/>
      <c r="B179" s="38"/>
      <c r="C179" s="17"/>
      <c r="D179" s="17"/>
      <c r="E179" s="17"/>
      <c r="F179" s="17"/>
      <c r="G179" s="17"/>
      <c r="H179" s="40"/>
      <c r="I179" s="17"/>
      <c r="J179" s="17"/>
      <c r="K179" s="17"/>
      <c r="L179" s="17"/>
      <c r="M179" s="17"/>
      <c r="N179" s="17"/>
      <c r="O179" s="17"/>
      <c r="P179" s="38"/>
      <c r="Q179" s="17"/>
      <c r="R179" s="42" t="str">
        <f aca="false">IF(OR(D179="",P179="",OR(O179="Contract signed + paid",O179="Closed – No response",O179="Lost"),N(Q179)&gt;=Settings!$S$3),"",P179+Settings!$S$2)</f>
        <v/>
      </c>
      <c r="S179" s="38"/>
      <c r="T179" s="39"/>
      <c r="U179" s="17"/>
      <c r="V179" s="17"/>
      <c r="W179" s="17"/>
      <c r="X179" s="43" t="str">
        <f aca="true">IF(OR(D179="",B179=""),"",INT(TODAY()-B179))</f>
        <v/>
      </c>
      <c r="Y179" s="44" t="str">
        <f aca="true">IF(D179="","",IF(OR(COUNTIFS(Clients!$C$2:$C$501,D179,Clients!$S$2:$S$501,"Paid")&gt;0,AND(H179&lt;&gt;"",COUNTIFS(Clients!$E$2:$E$501,H179,Clients!$S$2:$S$501,"Paid")&gt;0)),"⚠ Refunded before – no free video",IF(OR(O179="Contract signed + paid",O179="Closed – No response",O179="Lost"),"",IF(O179="","Set a stage",IF(N(Q179)&gt;=Settings!$S$3,"Close – 4 follow-ups sent",IF(R179="",IF(P179="","Make first contact",""),IF(TODAY()&gt;R179,"OVERDUE follow-up",IF(TODAY()=R179,"Follow up today",""))))))))</f>
        <v/>
      </c>
    </row>
    <row r="180" customFormat="false" ht="15" hidden="false" customHeight="false" outlineLevel="0" collapsed="false">
      <c r="A180" s="17"/>
      <c r="B180" s="38"/>
      <c r="C180" s="17"/>
      <c r="D180" s="17"/>
      <c r="E180" s="17"/>
      <c r="F180" s="17"/>
      <c r="G180" s="17"/>
      <c r="H180" s="40"/>
      <c r="I180" s="17"/>
      <c r="J180" s="17"/>
      <c r="K180" s="17"/>
      <c r="L180" s="17"/>
      <c r="M180" s="17"/>
      <c r="N180" s="17"/>
      <c r="O180" s="17"/>
      <c r="P180" s="38"/>
      <c r="Q180" s="17"/>
      <c r="R180" s="42" t="str">
        <f aca="false">IF(OR(D180="",P180="",OR(O180="Contract signed + paid",O180="Closed – No response",O180="Lost"),N(Q180)&gt;=Settings!$S$3),"",P180+Settings!$S$2)</f>
        <v/>
      </c>
      <c r="S180" s="38"/>
      <c r="T180" s="39"/>
      <c r="U180" s="17"/>
      <c r="V180" s="17"/>
      <c r="W180" s="17"/>
      <c r="X180" s="43" t="str">
        <f aca="true">IF(OR(D180="",B180=""),"",INT(TODAY()-B180))</f>
        <v/>
      </c>
      <c r="Y180" s="44" t="str">
        <f aca="true">IF(D180="","",IF(OR(COUNTIFS(Clients!$C$2:$C$501,D180,Clients!$S$2:$S$501,"Paid")&gt;0,AND(H180&lt;&gt;"",COUNTIFS(Clients!$E$2:$E$501,H180,Clients!$S$2:$S$501,"Paid")&gt;0)),"⚠ Refunded before – no free video",IF(OR(O180="Contract signed + paid",O180="Closed – No response",O180="Lost"),"",IF(O180="","Set a stage",IF(N(Q180)&gt;=Settings!$S$3,"Close – 4 follow-ups sent",IF(R180="",IF(P180="","Make first contact",""),IF(TODAY()&gt;R180,"OVERDUE follow-up",IF(TODAY()=R180,"Follow up today",""))))))))</f>
        <v/>
      </c>
    </row>
    <row r="181" customFormat="false" ht="15" hidden="false" customHeight="false" outlineLevel="0" collapsed="false">
      <c r="A181" s="17"/>
      <c r="B181" s="38"/>
      <c r="C181" s="17"/>
      <c r="D181" s="17"/>
      <c r="E181" s="17"/>
      <c r="F181" s="17"/>
      <c r="G181" s="17"/>
      <c r="H181" s="40"/>
      <c r="I181" s="17"/>
      <c r="J181" s="17"/>
      <c r="K181" s="17"/>
      <c r="L181" s="17"/>
      <c r="M181" s="17"/>
      <c r="N181" s="17"/>
      <c r="O181" s="17"/>
      <c r="P181" s="38"/>
      <c r="Q181" s="17"/>
      <c r="R181" s="42" t="str">
        <f aca="false">IF(OR(D181="",P181="",OR(O181="Contract signed + paid",O181="Closed – No response",O181="Lost"),N(Q181)&gt;=Settings!$S$3),"",P181+Settings!$S$2)</f>
        <v/>
      </c>
      <c r="S181" s="38"/>
      <c r="T181" s="39"/>
      <c r="U181" s="17"/>
      <c r="V181" s="17"/>
      <c r="W181" s="17"/>
      <c r="X181" s="43" t="str">
        <f aca="true">IF(OR(D181="",B181=""),"",INT(TODAY()-B181))</f>
        <v/>
      </c>
      <c r="Y181" s="44" t="str">
        <f aca="true">IF(D181="","",IF(OR(COUNTIFS(Clients!$C$2:$C$501,D181,Clients!$S$2:$S$501,"Paid")&gt;0,AND(H181&lt;&gt;"",COUNTIFS(Clients!$E$2:$E$501,H181,Clients!$S$2:$S$501,"Paid")&gt;0)),"⚠ Refunded before – no free video",IF(OR(O181="Contract signed + paid",O181="Closed – No response",O181="Lost"),"",IF(O181="","Set a stage",IF(N(Q181)&gt;=Settings!$S$3,"Close – 4 follow-ups sent",IF(R181="",IF(P181="","Make first contact",""),IF(TODAY()&gt;R181,"OVERDUE follow-up",IF(TODAY()=R181,"Follow up today",""))))))))</f>
        <v/>
      </c>
    </row>
    <row r="182" customFormat="false" ht="15" hidden="false" customHeight="false" outlineLevel="0" collapsed="false">
      <c r="A182" s="17"/>
      <c r="B182" s="38"/>
      <c r="C182" s="17"/>
      <c r="D182" s="17"/>
      <c r="E182" s="17"/>
      <c r="F182" s="17"/>
      <c r="G182" s="17"/>
      <c r="H182" s="40"/>
      <c r="I182" s="17"/>
      <c r="J182" s="17"/>
      <c r="K182" s="17"/>
      <c r="L182" s="17"/>
      <c r="M182" s="17"/>
      <c r="N182" s="17"/>
      <c r="O182" s="17"/>
      <c r="P182" s="38"/>
      <c r="Q182" s="17"/>
      <c r="R182" s="42" t="str">
        <f aca="false">IF(OR(D182="",P182="",OR(O182="Contract signed + paid",O182="Closed – No response",O182="Lost"),N(Q182)&gt;=Settings!$S$3),"",P182+Settings!$S$2)</f>
        <v/>
      </c>
      <c r="S182" s="38"/>
      <c r="T182" s="39"/>
      <c r="U182" s="17"/>
      <c r="V182" s="17"/>
      <c r="W182" s="17"/>
      <c r="X182" s="43" t="str">
        <f aca="true">IF(OR(D182="",B182=""),"",INT(TODAY()-B182))</f>
        <v/>
      </c>
      <c r="Y182" s="44" t="str">
        <f aca="true">IF(D182="","",IF(OR(COUNTIFS(Clients!$C$2:$C$501,D182,Clients!$S$2:$S$501,"Paid")&gt;0,AND(H182&lt;&gt;"",COUNTIFS(Clients!$E$2:$E$501,H182,Clients!$S$2:$S$501,"Paid")&gt;0)),"⚠ Refunded before – no free video",IF(OR(O182="Contract signed + paid",O182="Closed – No response",O182="Lost"),"",IF(O182="","Set a stage",IF(N(Q182)&gt;=Settings!$S$3,"Close – 4 follow-ups sent",IF(R182="",IF(P182="","Make first contact",""),IF(TODAY()&gt;R182,"OVERDUE follow-up",IF(TODAY()=R182,"Follow up today",""))))))))</f>
        <v/>
      </c>
    </row>
    <row r="183" customFormat="false" ht="15" hidden="false" customHeight="false" outlineLevel="0" collapsed="false">
      <c r="A183" s="17"/>
      <c r="B183" s="38"/>
      <c r="C183" s="17"/>
      <c r="D183" s="17"/>
      <c r="E183" s="17"/>
      <c r="F183" s="17"/>
      <c r="G183" s="17"/>
      <c r="H183" s="40"/>
      <c r="I183" s="17"/>
      <c r="J183" s="17"/>
      <c r="K183" s="17"/>
      <c r="L183" s="17"/>
      <c r="M183" s="17"/>
      <c r="N183" s="17"/>
      <c r="O183" s="17"/>
      <c r="P183" s="38"/>
      <c r="Q183" s="17"/>
      <c r="R183" s="42" t="str">
        <f aca="false">IF(OR(D183="",P183="",OR(O183="Contract signed + paid",O183="Closed – No response",O183="Lost"),N(Q183)&gt;=Settings!$S$3),"",P183+Settings!$S$2)</f>
        <v/>
      </c>
      <c r="S183" s="38"/>
      <c r="T183" s="39"/>
      <c r="U183" s="17"/>
      <c r="V183" s="17"/>
      <c r="W183" s="17"/>
      <c r="X183" s="43" t="str">
        <f aca="true">IF(OR(D183="",B183=""),"",INT(TODAY()-B183))</f>
        <v/>
      </c>
      <c r="Y183" s="44" t="str">
        <f aca="true">IF(D183="","",IF(OR(COUNTIFS(Clients!$C$2:$C$501,D183,Clients!$S$2:$S$501,"Paid")&gt;0,AND(H183&lt;&gt;"",COUNTIFS(Clients!$E$2:$E$501,H183,Clients!$S$2:$S$501,"Paid")&gt;0)),"⚠ Refunded before – no free video",IF(OR(O183="Contract signed + paid",O183="Closed – No response",O183="Lost"),"",IF(O183="","Set a stage",IF(N(Q183)&gt;=Settings!$S$3,"Close – 4 follow-ups sent",IF(R183="",IF(P183="","Make first contact",""),IF(TODAY()&gt;R183,"OVERDUE follow-up",IF(TODAY()=R183,"Follow up today",""))))))))</f>
        <v/>
      </c>
    </row>
    <row r="184" customFormat="false" ht="15" hidden="false" customHeight="false" outlineLevel="0" collapsed="false">
      <c r="A184" s="17"/>
      <c r="B184" s="38"/>
      <c r="C184" s="17"/>
      <c r="D184" s="17"/>
      <c r="E184" s="17"/>
      <c r="F184" s="17"/>
      <c r="G184" s="17"/>
      <c r="H184" s="40"/>
      <c r="I184" s="17"/>
      <c r="J184" s="17"/>
      <c r="K184" s="17"/>
      <c r="L184" s="17"/>
      <c r="M184" s="17"/>
      <c r="N184" s="17"/>
      <c r="O184" s="17"/>
      <c r="P184" s="38"/>
      <c r="Q184" s="17"/>
      <c r="R184" s="42" t="str">
        <f aca="false">IF(OR(D184="",P184="",OR(O184="Contract signed + paid",O184="Closed – No response",O184="Lost"),N(Q184)&gt;=Settings!$S$3),"",P184+Settings!$S$2)</f>
        <v/>
      </c>
      <c r="S184" s="38"/>
      <c r="T184" s="39"/>
      <c r="U184" s="17"/>
      <c r="V184" s="17"/>
      <c r="W184" s="17"/>
      <c r="X184" s="43" t="str">
        <f aca="true">IF(OR(D184="",B184=""),"",INT(TODAY()-B184))</f>
        <v/>
      </c>
      <c r="Y184" s="44" t="str">
        <f aca="true">IF(D184="","",IF(OR(COUNTIFS(Clients!$C$2:$C$501,D184,Clients!$S$2:$S$501,"Paid")&gt;0,AND(H184&lt;&gt;"",COUNTIFS(Clients!$E$2:$E$501,H184,Clients!$S$2:$S$501,"Paid")&gt;0)),"⚠ Refunded before – no free video",IF(OR(O184="Contract signed + paid",O184="Closed – No response",O184="Lost"),"",IF(O184="","Set a stage",IF(N(Q184)&gt;=Settings!$S$3,"Close – 4 follow-ups sent",IF(R184="",IF(P184="","Make first contact",""),IF(TODAY()&gt;R184,"OVERDUE follow-up",IF(TODAY()=R184,"Follow up today",""))))))))</f>
        <v/>
      </c>
    </row>
    <row r="185" customFormat="false" ht="15" hidden="false" customHeight="false" outlineLevel="0" collapsed="false">
      <c r="A185" s="17"/>
      <c r="B185" s="38"/>
      <c r="C185" s="17"/>
      <c r="D185" s="17"/>
      <c r="E185" s="17"/>
      <c r="F185" s="17"/>
      <c r="G185" s="17"/>
      <c r="H185" s="40"/>
      <c r="I185" s="17"/>
      <c r="J185" s="17"/>
      <c r="K185" s="17"/>
      <c r="L185" s="17"/>
      <c r="M185" s="17"/>
      <c r="N185" s="17"/>
      <c r="O185" s="17"/>
      <c r="P185" s="38"/>
      <c r="Q185" s="17"/>
      <c r="R185" s="42" t="str">
        <f aca="false">IF(OR(D185="",P185="",OR(O185="Contract signed + paid",O185="Closed – No response",O185="Lost"),N(Q185)&gt;=Settings!$S$3),"",P185+Settings!$S$2)</f>
        <v/>
      </c>
      <c r="S185" s="38"/>
      <c r="T185" s="39"/>
      <c r="U185" s="17"/>
      <c r="V185" s="17"/>
      <c r="W185" s="17"/>
      <c r="X185" s="43" t="str">
        <f aca="true">IF(OR(D185="",B185=""),"",INT(TODAY()-B185))</f>
        <v/>
      </c>
      <c r="Y185" s="44" t="str">
        <f aca="true">IF(D185="","",IF(OR(COUNTIFS(Clients!$C$2:$C$501,D185,Clients!$S$2:$S$501,"Paid")&gt;0,AND(H185&lt;&gt;"",COUNTIFS(Clients!$E$2:$E$501,H185,Clients!$S$2:$S$501,"Paid")&gt;0)),"⚠ Refunded before – no free video",IF(OR(O185="Contract signed + paid",O185="Closed – No response",O185="Lost"),"",IF(O185="","Set a stage",IF(N(Q185)&gt;=Settings!$S$3,"Close – 4 follow-ups sent",IF(R185="",IF(P185="","Make first contact",""),IF(TODAY()&gt;R185,"OVERDUE follow-up",IF(TODAY()=R185,"Follow up today",""))))))))</f>
        <v/>
      </c>
    </row>
    <row r="186" customFormat="false" ht="15" hidden="false" customHeight="false" outlineLevel="0" collapsed="false">
      <c r="A186" s="17"/>
      <c r="B186" s="38"/>
      <c r="C186" s="17"/>
      <c r="D186" s="17"/>
      <c r="E186" s="17"/>
      <c r="F186" s="17"/>
      <c r="G186" s="17"/>
      <c r="H186" s="40"/>
      <c r="I186" s="17"/>
      <c r="J186" s="17"/>
      <c r="K186" s="17"/>
      <c r="L186" s="17"/>
      <c r="M186" s="17"/>
      <c r="N186" s="17"/>
      <c r="O186" s="17"/>
      <c r="P186" s="38"/>
      <c r="Q186" s="17"/>
      <c r="R186" s="42" t="str">
        <f aca="false">IF(OR(D186="",P186="",OR(O186="Contract signed + paid",O186="Closed – No response",O186="Lost"),N(Q186)&gt;=Settings!$S$3),"",P186+Settings!$S$2)</f>
        <v/>
      </c>
      <c r="S186" s="38"/>
      <c r="T186" s="39"/>
      <c r="U186" s="17"/>
      <c r="V186" s="17"/>
      <c r="W186" s="17"/>
      <c r="X186" s="43" t="str">
        <f aca="true">IF(OR(D186="",B186=""),"",INT(TODAY()-B186))</f>
        <v/>
      </c>
      <c r="Y186" s="44" t="str">
        <f aca="true">IF(D186="","",IF(OR(COUNTIFS(Clients!$C$2:$C$501,D186,Clients!$S$2:$S$501,"Paid")&gt;0,AND(H186&lt;&gt;"",COUNTIFS(Clients!$E$2:$E$501,H186,Clients!$S$2:$S$501,"Paid")&gt;0)),"⚠ Refunded before – no free video",IF(OR(O186="Contract signed + paid",O186="Closed – No response",O186="Lost"),"",IF(O186="","Set a stage",IF(N(Q186)&gt;=Settings!$S$3,"Close – 4 follow-ups sent",IF(R186="",IF(P186="","Make first contact",""),IF(TODAY()&gt;R186,"OVERDUE follow-up",IF(TODAY()=R186,"Follow up today",""))))))))</f>
        <v/>
      </c>
    </row>
    <row r="187" customFormat="false" ht="15" hidden="false" customHeight="false" outlineLevel="0" collapsed="false">
      <c r="A187" s="17"/>
      <c r="B187" s="38"/>
      <c r="C187" s="17"/>
      <c r="D187" s="17"/>
      <c r="E187" s="17"/>
      <c r="F187" s="17"/>
      <c r="G187" s="17"/>
      <c r="H187" s="40"/>
      <c r="I187" s="17"/>
      <c r="J187" s="17"/>
      <c r="K187" s="17"/>
      <c r="L187" s="17"/>
      <c r="M187" s="17"/>
      <c r="N187" s="17"/>
      <c r="O187" s="17"/>
      <c r="P187" s="38"/>
      <c r="Q187" s="17"/>
      <c r="R187" s="42" t="str">
        <f aca="false">IF(OR(D187="",P187="",OR(O187="Contract signed + paid",O187="Closed – No response",O187="Lost"),N(Q187)&gt;=Settings!$S$3),"",P187+Settings!$S$2)</f>
        <v/>
      </c>
      <c r="S187" s="38"/>
      <c r="T187" s="39"/>
      <c r="U187" s="17"/>
      <c r="V187" s="17"/>
      <c r="W187" s="17"/>
      <c r="X187" s="43" t="str">
        <f aca="true">IF(OR(D187="",B187=""),"",INT(TODAY()-B187))</f>
        <v/>
      </c>
      <c r="Y187" s="44" t="str">
        <f aca="true">IF(D187="","",IF(OR(COUNTIFS(Clients!$C$2:$C$501,D187,Clients!$S$2:$S$501,"Paid")&gt;0,AND(H187&lt;&gt;"",COUNTIFS(Clients!$E$2:$E$501,H187,Clients!$S$2:$S$501,"Paid")&gt;0)),"⚠ Refunded before – no free video",IF(OR(O187="Contract signed + paid",O187="Closed – No response",O187="Lost"),"",IF(O187="","Set a stage",IF(N(Q187)&gt;=Settings!$S$3,"Close – 4 follow-ups sent",IF(R187="",IF(P187="","Make first contact",""),IF(TODAY()&gt;R187,"OVERDUE follow-up",IF(TODAY()=R187,"Follow up today",""))))))))</f>
        <v/>
      </c>
    </row>
    <row r="188" customFormat="false" ht="15" hidden="false" customHeight="false" outlineLevel="0" collapsed="false">
      <c r="A188" s="17"/>
      <c r="B188" s="38"/>
      <c r="C188" s="17"/>
      <c r="D188" s="17"/>
      <c r="E188" s="17"/>
      <c r="F188" s="17"/>
      <c r="G188" s="17"/>
      <c r="H188" s="40"/>
      <c r="I188" s="17"/>
      <c r="J188" s="17"/>
      <c r="K188" s="17"/>
      <c r="L188" s="17"/>
      <c r="M188" s="17"/>
      <c r="N188" s="17"/>
      <c r="O188" s="17"/>
      <c r="P188" s="38"/>
      <c r="Q188" s="17"/>
      <c r="R188" s="42" t="str">
        <f aca="false">IF(OR(D188="",P188="",OR(O188="Contract signed + paid",O188="Closed – No response",O188="Lost"),N(Q188)&gt;=Settings!$S$3),"",P188+Settings!$S$2)</f>
        <v/>
      </c>
      <c r="S188" s="38"/>
      <c r="T188" s="39"/>
      <c r="U188" s="17"/>
      <c r="V188" s="17"/>
      <c r="W188" s="17"/>
      <c r="X188" s="43" t="str">
        <f aca="true">IF(OR(D188="",B188=""),"",INT(TODAY()-B188))</f>
        <v/>
      </c>
      <c r="Y188" s="44" t="str">
        <f aca="true">IF(D188="","",IF(OR(COUNTIFS(Clients!$C$2:$C$501,D188,Clients!$S$2:$S$501,"Paid")&gt;0,AND(H188&lt;&gt;"",COUNTIFS(Clients!$E$2:$E$501,H188,Clients!$S$2:$S$501,"Paid")&gt;0)),"⚠ Refunded before – no free video",IF(OR(O188="Contract signed + paid",O188="Closed – No response",O188="Lost"),"",IF(O188="","Set a stage",IF(N(Q188)&gt;=Settings!$S$3,"Close – 4 follow-ups sent",IF(R188="",IF(P188="","Make first contact",""),IF(TODAY()&gt;R188,"OVERDUE follow-up",IF(TODAY()=R188,"Follow up today",""))))))))</f>
        <v/>
      </c>
    </row>
    <row r="189" customFormat="false" ht="15" hidden="false" customHeight="false" outlineLevel="0" collapsed="false">
      <c r="A189" s="17"/>
      <c r="B189" s="38"/>
      <c r="C189" s="17"/>
      <c r="D189" s="17"/>
      <c r="E189" s="17"/>
      <c r="F189" s="17"/>
      <c r="G189" s="17"/>
      <c r="H189" s="40"/>
      <c r="I189" s="17"/>
      <c r="J189" s="17"/>
      <c r="K189" s="17"/>
      <c r="L189" s="17"/>
      <c r="M189" s="17"/>
      <c r="N189" s="17"/>
      <c r="O189" s="17"/>
      <c r="P189" s="38"/>
      <c r="Q189" s="17"/>
      <c r="R189" s="42" t="str">
        <f aca="false">IF(OR(D189="",P189="",OR(O189="Contract signed + paid",O189="Closed – No response",O189="Lost"),N(Q189)&gt;=Settings!$S$3),"",P189+Settings!$S$2)</f>
        <v/>
      </c>
      <c r="S189" s="38"/>
      <c r="T189" s="39"/>
      <c r="U189" s="17"/>
      <c r="V189" s="17"/>
      <c r="W189" s="17"/>
      <c r="X189" s="43" t="str">
        <f aca="true">IF(OR(D189="",B189=""),"",INT(TODAY()-B189))</f>
        <v/>
      </c>
      <c r="Y189" s="44" t="str">
        <f aca="true">IF(D189="","",IF(OR(COUNTIFS(Clients!$C$2:$C$501,D189,Clients!$S$2:$S$501,"Paid")&gt;0,AND(H189&lt;&gt;"",COUNTIFS(Clients!$E$2:$E$501,H189,Clients!$S$2:$S$501,"Paid")&gt;0)),"⚠ Refunded before – no free video",IF(OR(O189="Contract signed + paid",O189="Closed – No response",O189="Lost"),"",IF(O189="","Set a stage",IF(N(Q189)&gt;=Settings!$S$3,"Close – 4 follow-ups sent",IF(R189="",IF(P189="","Make first contact",""),IF(TODAY()&gt;R189,"OVERDUE follow-up",IF(TODAY()=R189,"Follow up today",""))))))))</f>
        <v/>
      </c>
    </row>
    <row r="190" customFormat="false" ht="15" hidden="false" customHeight="false" outlineLevel="0" collapsed="false">
      <c r="A190" s="17"/>
      <c r="B190" s="38"/>
      <c r="C190" s="17"/>
      <c r="D190" s="17"/>
      <c r="E190" s="17"/>
      <c r="F190" s="17"/>
      <c r="G190" s="17"/>
      <c r="H190" s="40"/>
      <c r="I190" s="17"/>
      <c r="J190" s="17"/>
      <c r="K190" s="17"/>
      <c r="L190" s="17"/>
      <c r="M190" s="17"/>
      <c r="N190" s="17"/>
      <c r="O190" s="17"/>
      <c r="P190" s="38"/>
      <c r="Q190" s="17"/>
      <c r="R190" s="42" t="str">
        <f aca="false">IF(OR(D190="",P190="",OR(O190="Contract signed + paid",O190="Closed – No response",O190="Lost"),N(Q190)&gt;=Settings!$S$3),"",P190+Settings!$S$2)</f>
        <v/>
      </c>
      <c r="S190" s="38"/>
      <c r="T190" s="39"/>
      <c r="U190" s="17"/>
      <c r="V190" s="17"/>
      <c r="W190" s="17"/>
      <c r="X190" s="43" t="str">
        <f aca="true">IF(OR(D190="",B190=""),"",INT(TODAY()-B190))</f>
        <v/>
      </c>
      <c r="Y190" s="44" t="str">
        <f aca="true">IF(D190="","",IF(OR(COUNTIFS(Clients!$C$2:$C$501,D190,Clients!$S$2:$S$501,"Paid")&gt;0,AND(H190&lt;&gt;"",COUNTIFS(Clients!$E$2:$E$501,H190,Clients!$S$2:$S$501,"Paid")&gt;0)),"⚠ Refunded before – no free video",IF(OR(O190="Contract signed + paid",O190="Closed – No response",O190="Lost"),"",IF(O190="","Set a stage",IF(N(Q190)&gt;=Settings!$S$3,"Close – 4 follow-ups sent",IF(R190="",IF(P190="","Make first contact",""),IF(TODAY()&gt;R190,"OVERDUE follow-up",IF(TODAY()=R190,"Follow up today",""))))))))</f>
        <v/>
      </c>
    </row>
    <row r="191" customFormat="false" ht="15" hidden="false" customHeight="false" outlineLevel="0" collapsed="false">
      <c r="A191" s="17"/>
      <c r="B191" s="38"/>
      <c r="C191" s="17"/>
      <c r="D191" s="17"/>
      <c r="E191" s="17"/>
      <c r="F191" s="17"/>
      <c r="G191" s="17"/>
      <c r="H191" s="40"/>
      <c r="I191" s="17"/>
      <c r="J191" s="17"/>
      <c r="K191" s="17"/>
      <c r="L191" s="17"/>
      <c r="M191" s="17"/>
      <c r="N191" s="17"/>
      <c r="O191" s="17"/>
      <c r="P191" s="38"/>
      <c r="Q191" s="17"/>
      <c r="R191" s="42" t="str">
        <f aca="false">IF(OR(D191="",P191="",OR(O191="Contract signed + paid",O191="Closed – No response",O191="Lost"),N(Q191)&gt;=Settings!$S$3),"",P191+Settings!$S$2)</f>
        <v/>
      </c>
      <c r="S191" s="38"/>
      <c r="T191" s="39"/>
      <c r="U191" s="17"/>
      <c r="V191" s="17"/>
      <c r="W191" s="17"/>
      <c r="X191" s="43" t="str">
        <f aca="true">IF(OR(D191="",B191=""),"",INT(TODAY()-B191))</f>
        <v/>
      </c>
      <c r="Y191" s="44" t="str">
        <f aca="true">IF(D191="","",IF(OR(COUNTIFS(Clients!$C$2:$C$501,D191,Clients!$S$2:$S$501,"Paid")&gt;0,AND(H191&lt;&gt;"",COUNTIFS(Clients!$E$2:$E$501,H191,Clients!$S$2:$S$501,"Paid")&gt;0)),"⚠ Refunded before – no free video",IF(OR(O191="Contract signed + paid",O191="Closed – No response",O191="Lost"),"",IF(O191="","Set a stage",IF(N(Q191)&gt;=Settings!$S$3,"Close – 4 follow-ups sent",IF(R191="",IF(P191="","Make first contact",""),IF(TODAY()&gt;R191,"OVERDUE follow-up",IF(TODAY()=R191,"Follow up today",""))))))))</f>
        <v/>
      </c>
    </row>
    <row r="192" customFormat="false" ht="15" hidden="false" customHeight="false" outlineLevel="0" collapsed="false">
      <c r="A192" s="17"/>
      <c r="B192" s="38"/>
      <c r="C192" s="17"/>
      <c r="D192" s="17"/>
      <c r="E192" s="17"/>
      <c r="F192" s="17"/>
      <c r="G192" s="17"/>
      <c r="H192" s="40"/>
      <c r="I192" s="17"/>
      <c r="J192" s="17"/>
      <c r="K192" s="17"/>
      <c r="L192" s="17"/>
      <c r="M192" s="17"/>
      <c r="N192" s="17"/>
      <c r="O192" s="17"/>
      <c r="P192" s="38"/>
      <c r="Q192" s="17"/>
      <c r="R192" s="42" t="str">
        <f aca="false">IF(OR(D192="",P192="",OR(O192="Contract signed + paid",O192="Closed – No response",O192="Lost"),N(Q192)&gt;=Settings!$S$3),"",P192+Settings!$S$2)</f>
        <v/>
      </c>
      <c r="S192" s="38"/>
      <c r="T192" s="39"/>
      <c r="U192" s="17"/>
      <c r="V192" s="17"/>
      <c r="W192" s="17"/>
      <c r="X192" s="43" t="str">
        <f aca="true">IF(OR(D192="",B192=""),"",INT(TODAY()-B192))</f>
        <v/>
      </c>
      <c r="Y192" s="44" t="str">
        <f aca="true">IF(D192="","",IF(OR(COUNTIFS(Clients!$C$2:$C$501,D192,Clients!$S$2:$S$501,"Paid")&gt;0,AND(H192&lt;&gt;"",COUNTIFS(Clients!$E$2:$E$501,H192,Clients!$S$2:$S$501,"Paid")&gt;0)),"⚠ Refunded before – no free video",IF(OR(O192="Contract signed + paid",O192="Closed – No response",O192="Lost"),"",IF(O192="","Set a stage",IF(N(Q192)&gt;=Settings!$S$3,"Close – 4 follow-ups sent",IF(R192="",IF(P192="","Make first contact",""),IF(TODAY()&gt;R192,"OVERDUE follow-up",IF(TODAY()=R192,"Follow up today",""))))))))</f>
        <v/>
      </c>
    </row>
    <row r="193" customFormat="false" ht="15" hidden="false" customHeight="false" outlineLevel="0" collapsed="false">
      <c r="A193" s="17"/>
      <c r="B193" s="38"/>
      <c r="C193" s="17"/>
      <c r="D193" s="17"/>
      <c r="E193" s="17"/>
      <c r="F193" s="17"/>
      <c r="G193" s="17"/>
      <c r="H193" s="40"/>
      <c r="I193" s="17"/>
      <c r="J193" s="17"/>
      <c r="K193" s="17"/>
      <c r="L193" s="17"/>
      <c r="M193" s="17"/>
      <c r="N193" s="17"/>
      <c r="O193" s="17"/>
      <c r="P193" s="38"/>
      <c r="Q193" s="17"/>
      <c r="R193" s="42" t="str">
        <f aca="false">IF(OR(D193="",P193="",OR(O193="Contract signed + paid",O193="Closed – No response",O193="Lost"),N(Q193)&gt;=Settings!$S$3),"",P193+Settings!$S$2)</f>
        <v/>
      </c>
      <c r="S193" s="38"/>
      <c r="T193" s="39"/>
      <c r="U193" s="17"/>
      <c r="V193" s="17"/>
      <c r="W193" s="17"/>
      <c r="X193" s="43" t="str">
        <f aca="true">IF(OR(D193="",B193=""),"",INT(TODAY()-B193))</f>
        <v/>
      </c>
      <c r="Y193" s="44" t="str">
        <f aca="true">IF(D193="","",IF(OR(COUNTIFS(Clients!$C$2:$C$501,D193,Clients!$S$2:$S$501,"Paid")&gt;0,AND(H193&lt;&gt;"",COUNTIFS(Clients!$E$2:$E$501,H193,Clients!$S$2:$S$501,"Paid")&gt;0)),"⚠ Refunded before – no free video",IF(OR(O193="Contract signed + paid",O193="Closed – No response",O193="Lost"),"",IF(O193="","Set a stage",IF(N(Q193)&gt;=Settings!$S$3,"Close – 4 follow-ups sent",IF(R193="",IF(P193="","Make first contact",""),IF(TODAY()&gt;R193,"OVERDUE follow-up",IF(TODAY()=R193,"Follow up today",""))))))))</f>
        <v/>
      </c>
    </row>
    <row r="194" customFormat="false" ht="15" hidden="false" customHeight="false" outlineLevel="0" collapsed="false">
      <c r="A194" s="17"/>
      <c r="B194" s="38"/>
      <c r="C194" s="17"/>
      <c r="D194" s="17"/>
      <c r="E194" s="17"/>
      <c r="F194" s="17"/>
      <c r="G194" s="17"/>
      <c r="H194" s="40"/>
      <c r="I194" s="17"/>
      <c r="J194" s="17"/>
      <c r="K194" s="17"/>
      <c r="L194" s="17"/>
      <c r="M194" s="17"/>
      <c r="N194" s="17"/>
      <c r="O194" s="17"/>
      <c r="P194" s="38"/>
      <c r="Q194" s="17"/>
      <c r="R194" s="42" t="str">
        <f aca="false">IF(OR(D194="",P194="",OR(O194="Contract signed + paid",O194="Closed – No response",O194="Lost"),N(Q194)&gt;=Settings!$S$3),"",P194+Settings!$S$2)</f>
        <v/>
      </c>
      <c r="S194" s="38"/>
      <c r="T194" s="39"/>
      <c r="U194" s="17"/>
      <c r="V194" s="17"/>
      <c r="W194" s="17"/>
      <c r="X194" s="43" t="str">
        <f aca="true">IF(OR(D194="",B194=""),"",INT(TODAY()-B194))</f>
        <v/>
      </c>
      <c r="Y194" s="44" t="str">
        <f aca="true">IF(D194="","",IF(OR(COUNTIFS(Clients!$C$2:$C$501,D194,Clients!$S$2:$S$501,"Paid")&gt;0,AND(H194&lt;&gt;"",COUNTIFS(Clients!$E$2:$E$501,H194,Clients!$S$2:$S$501,"Paid")&gt;0)),"⚠ Refunded before – no free video",IF(OR(O194="Contract signed + paid",O194="Closed – No response",O194="Lost"),"",IF(O194="","Set a stage",IF(N(Q194)&gt;=Settings!$S$3,"Close – 4 follow-ups sent",IF(R194="",IF(P194="","Make first contact",""),IF(TODAY()&gt;R194,"OVERDUE follow-up",IF(TODAY()=R194,"Follow up today",""))))))))</f>
        <v/>
      </c>
    </row>
    <row r="195" customFormat="false" ht="15" hidden="false" customHeight="false" outlineLevel="0" collapsed="false">
      <c r="A195" s="17"/>
      <c r="B195" s="38"/>
      <c r="C195" s="17"/>
      <c r="D195" s="17"/>
      <c r="E195" s="17"/>
      <c r="F195" s="17"/>
      <c r="G195" s="17"/>
      <c r="H195" s="40"/>
      <c r="I195" s="17"/>
      <c r="J195" s="17"/>
      <c r="K195" s="17"/>
      <c r="L195" s="17"/>
      <c r="M195" s="17"/>
      <c r="N195" s="17"/>
      <c r="O195" s="17"/>
      <c r="P195" s="38"/>
      <c r="Q195" s="17"/>
      <c r="R195" s="42" t="str">
        <f aca="false">IF(OR(D195="",P195="",OR(O195="Contract signed + paid",O195="Closed – No response",O195="Lost"),N(Q195)&gt;=Settings!$S$3),"",P195+Settings!$S$2)</f>
        <v/>
      </c>
      <c r="S195" s="38"/>
      <c r="T195" s="39"/>
      <c r="U195" s="17"/>
      <c r="V195" s="17"/>
      <c r="W195" s="17"/>
      <c r="X195" s="43" t="str">
        <f aca="true">IF(OR(D195="",B195=""),"",INT(TODAY()-B195))</f>
        <v/>
      </c>
      <c r="Y195" s="44" t="str">
        <f aca="true">IF(D195="","",IF(OR(COUNTIFS(Clients!$C$2:$C$501,D195,Clients!$S$2:$S$501,"Paid")&gt;0,AND(H195&lt;&gt;"",COUNTIFS(Clients!$E$2:$E$501,H195,Clients!$S$2:$S$501,"Paid")&gt;0)),"⚠ Refunded before – no free video",IF(OR(O195="Contract signed + paid",O195="Closed – No response",O195="Lost"),"",IF(O195="","Set a stage",IF(N(Q195)&gt;=Settings!$S$3,"Close – 4 follow-ups sent",IF(R195="",IF(P195="","Make first contact",""),IF(TODAY()&gt;R195,"OVERDUE follow-up",IF(TODAY()=R195,"Follow up today",""))))))))</f>
        <v/>
      </c>
    </row>
    <row r="196" customFormat="false" ht="15" hidden="false" customHeight="false" outlineLevel="0" collapsed="false">
      <c r="A196" s="17"/>
      <c r="B196" s="38"/>
      <c r="C196" s="17"/>
      <c r="D196" s="17"/>
      <c r="E196" s="17"/>
      <c r="F196" s="17"/>
      <c r="G196" s="17"/>
      <c r="H196" s="40"/>
      <c r="I196" s="17"/>
      <c r="J196" s="17"/>
      <c r="K196" s="17"/>
      <c r="L196" s="17"/>
      <c r="M196" s="17"/>
      <c r="N196" s="17"/>
      <c r="O196" s="17"/>
      <c r="P196" s="38"/>
      <c r="Q196" s="17"/>
      <c r="R196" s="42" t="str">
        <f aca="false">IF(OR(D196="",P196="",OR(O196="Contract signed + paid",O196="Closed – No response",O196="Lost"),N(Q196)&gt;=Settings!$S$3),"",P196+Settings!$S$2)</f>
        <v/>
      </c>
      <c r="S196" s="38"/>
      <c r="T196" s="39"/>
      <c r="U196" s="17"/>
      <c r="V196" s="17"/>
      <c r="W196" s="17"/>
      <c r="X196" s="43" t="str">
        <f aca="true">IF(OR(D196="",B196=""),"",INT(TODAY()-B196))</f>
        <v/>
      </c>
      <c r="Y196" s="44" t="str">
        <f aca="true">IF(D196="","",IF(OR(COUNTIFS(Clients!$C$2:$C$501,D196,Clients!$S$2:$S$501,"Paid")&gt;0,AND(H196&lt;&gt;"",COUNTIFS(Clients!$E$2:$E$501,H196,Clients!$S$2:$S$501,"Paid")&gt;0)),"⚠ Refunded before – no free video",IF(OR(O196="Contract signed + paid",O196="Closed – No response",O196="Lost"),"",IF(O196="","Set a stage",IF(N(Q196)&gt;=Settings!$S$3,"Close – 4 follow-ups sent",IF(R196="",IF(P196="","Make first contact",""),IF(TODAY()&gt;R196,"OVERDUE follow-up",IF(TODAY()=R196,"Follow up today",""))))))))</f>
        <v/>
      </c>
    </row>
    <row r="197" customFormat="false" ht="15" hidden="false" customHeight="false" outlineLevel="0" collapsed="false">
      <c r="A197" s="17"/>
      <c r="B197" s="38"/>
      <c r="C197" s="17"/>
      <c r="D197" s="17"/>
      <c r="E197" s="17"/>
      <c r="F197" s="17"/>
      <c r="G197" s="17"/>
      <c r="H197" s="40"/>
      <c r="I197" s="17"/>
      <c r="J197" s="17"/>
      <c r="K197" s="17"/>
      <c r="L197" s="17"/>
      <c r="M197" s="17"/>
      <c r="N197" s="17"/>
      <c r="O197" s="17"/>
      <c r="P197" s="38"/>
      <c r="Q197" s="17"/>
      <c r="R197" s="42" t="str">
        <f aca="false">IF(OR(D197="",P197="",OR(O197="Contract signed + paid",O197="Closed – No response",O197="Lost"),N(Q197)&gt;=Settings!$S$3),"",P197+Settings!$S$2)</f>
        <v/>
      </c>
      <c r="S197" s="38"/>
      <c r="T197" s="39"/>
      <c r="U197" s="17"/>
      <c r="V197" s="17"/>
      <c r="W197" s="17"/>
      <c r="X197" s="43" t="str">
        <f aca="true">IF(OR(D197="",B197=""),"",INT(TODAY()-B197))</f>
        <v/>
      </c>
      <c r="Y197" s="44" t="str">
        <f aca="true">IF(D197="","",IF(OR(COUNTIFS(Clients!$C$2:$C$501,D197,Clients!$S$2:$S$501,"Paid")&gt;0,AND(H197&lt;&gt;"",COUNTIFS(Clients!$E$2:$E$501,H197,Clients!$S$2:$S$501,"Paid")&gt;0)),"⚠ Refunded before – no free video",IF(OR(O197="Contract signed + paid",O197="Closed – No response",O197="Lost"),"",IF(O197="","Set a stage",IF(N(Q197)&gt;=Settings!$S$3,"Close – 4 follow-ups sent",IF(R197="",IF(P197="","Make first contact",""),IF(TODAY()&gt;R197,"OVERDUE follow-up",IF(TODAY()=R197,"Follow up today",""))))))))</f>
        <v/>
      </c>
    </row>
    <row r="198" customFormat="false" ht="15" hidden="false" customHeight="false" outlineLevel="0" collapsed="false">
      <c r="A198" s="17"/>
      <c r="B198" s="38"/>
      <c r="C198" s="17"/>
      <c r="D198" s="17"/>
      <c r="E198" s="17"/>
      <c r="F198" s="17"/>
      <c r="G198" s="17"/>
      <c r="H198" s="40"/>
      <c r="I198" s="17"/>
      <c r="J198" s="17"/>
      <c r="K198" s="17"/>
      <c r="L198" s="17"/>
      <c r="M198" s="17"/>
      <c r="N198" s="17"/>
      <c r="O198" s="17"/>
      <c r="P198" s="38"/>
      <c r="Q198" s="17"/>
      <c r="R198" s="42" t="str">
        <f aca="false">IF(OR(D198="",P198="",OR(O198="Contract signed + paid",O198="Closed – No response",O198="Lost"),N(Q198)&gt;=Settings!$S$3),"",P198+Settings!$S$2)</f>
        <v/>
      </c>
      <c r="S198" s="38"/>
      <c r="T198" s="39"/>
      <c r="U198" s="17"/>
      <c r="V198" s="17"/>
      <c r="W198" s="17"/>
      <c r="X198" s="43" t="str">
        <f aca="true">IF(OR(D198="",B198=""),"",INT(TODAY()-B198))</f>
        <v/>
      </c>
      <c r="Y198" s="44" t="str">
        <f aca="true">IF(D198="","",IF(OR(COUNTIFS(Clients!$C$2:$C$501,D198,Clients!$S$2:$S$501,"Paid")&gt;0,AND(H198&lt;&gt;"",COUNTIFS(Clients!$E$2:$E$501,H198,Clients!$S$2:$S$501,"Paid")&gt;0)),"⚠ Refunded before – no free video",IF(OR(O198="Contract signed + paid",O198="Closed – No response",O198="Lost"),"",IF(O198="","Set a stage",IF(N(Q198)&gt;=Settings!$S$3,"Close – 4 follow-ups sent",IF(R198="",IF(P198="","Make first contact",""),IF(TODAY()&gt;R198,"OVERDUE follow-up",IF(TODAY()=R198,"Follow up today",""))))))))</f>
        <v/>
      </c>
    </row>
    <row r="199" customFormat="false" ht="15" hidden="false" customHeight="false" outlineLevel="0" collapsed="false">
      <c r="A199" s="17"/>
      <c r="B199" s="38"/>
      <c r="C199" s="17"/>
      <c r="D199" s="17"/>
      <c r="E199" s="17"/>
      <c r="F199" s="17"/>
      <c r="G199" s="17"/>
      <c r="H199" s="40"/>
      <c r="I199" s="17"/>
      <c r="J199" s="17"/>
      <c r="K199" s="17"/>
      <c r="L199" s="17"/>
      <c r="M199" s="17"/>
      <c r="N199" s="17"/>
      <c r="O199" s="17"/>
      <c r="P199" s="38"/>
      <c r="Q199" s="17"/>
      <c r="R199" s="42" t="str">
        <f aca="false">IF(OR(D199="",P199="",OR(O199="Contract signed + paid",O199="Closed – No response",O199="Lost"),N(Q199)&gt;=Settings!$S$3),"",P199+Settings!$S$2)</f>
        <v/>
      </c>
      <c r="S199" s="38"/>
      <c r="T199" s="39"/>
      <c r="U199" s="17"/>
      <c r="V199" s="17"/>
      <c r="W199" s="17"/>
      <c r="X199" s="43" t="str">
        <f aca="true">IF(OR(D199="",B199=""),"",INT(TODAY()-B199))</f>
        <v/>
      </c>
      <c r="Y199" s="44" t="str">
        <f aca="true">IF(D199="","",IF(OR(COUNTIFS(Clients!$C$2:$C$501,D199,Clients!$S$2:$S$501,"Paid")&gt;0,AND(H199&lt;&gt;"",COUNTIFS(Clients!$E$2:$E$501,H199,Clients!$S$2:$S$501,"Paid")&gt;0)),"⚠ Refunded before – no free video",IF(OR(O199="Contract signed + paid",O199="Closed – No response",O199="Lost"),"",IF(O199="","Set a stage",IF(N(Q199)&gt;=Settings!$S$3,"Close – 4 follow-ups sent",IF(R199="",IF(P199="","Make first contact",""),IF(TODAY()&gt;R199,"OVERDUE follow-up",IF(TODAY()=R199,"Follow up today",""))))))))</f>
        <v/>
      </c>
    </row>
    <row r="200" customFormat="false" ht="15" hidden="false" customHeight="false" outlineLevel="0" collapsed="false">
      <c r="A200" s="17"/>
      <c r="B200" s="38"/>
      <c r="C200" s="17"/>
      <c r="D200" s="17"/>
      <c r="E200" s="17"/>
      <c r="F200" s="17"/>
      <c r="G200" s="17"/>
      <c r="H200" s="40"/>
      <c r="I200" s="17"/>
      <c r="J200" s="17"/>
      <c r="K200" s="17"/>
      <c r="L200" s="17"/>
      <c r="M200" s="17"/>
      <c r="N200" s="17"/>
      <c r="O200" s="17"/>
      <c r="P200" s="38"/>
      <c r="Q200" s="17"/>
      <c r="R200" s="42" t="str">
        <f aca="false">IF(OR(D200="",P200="",OR(O200="Contract signed + paid",O200="Closed – No response",O200="Lost"),N(Q200)&gt;=Settings!$S$3),"",P200+Settings!$S$2)</f>
        <v/>
      </c>
      <c r="S200" s="38"/>
      <c r="T200" s="39"/>
      <c r="U200" s="17"/>
      <c r="V200" s="17"/>
      <c r="W200" s="17"/>
      <c r="X200" s="43" t="str">
        <f aca="true">IF(OR(D200="",B200=""),"",INT(TODAY()-B200))</f>
        <v/>
      </c>
      <c r="Y200" s="44" t="str">
        <f aca="true">IF(D200="","",IF(OR(COUNTIFS(Clients!$C$2:$C$501,D200,Clients!$S$2:$S$501,"Paid")&gt;0,AND(H200&lt;&gt;"",COUNTIFS(Clients!$E$2:$E$501,H200,Clients!$S$2:$S$501,"Paid")&gt;0)),"⚠ Refunded before – no free video",IF(OR(O200="Contract signed + paid",O200="Closed – No response",O200="Lost"),"",IF(O200="","Set a stage",IF(N(Q200)&gt;=Settings!$S$3,"Close – 4 follow-ups sent",IF(R200="",IF(P200="","Make first contact",""),IF(TODAY()&gt;R200,"OVERDUE follow-up",IF(TODAY()=R200,"Follow up today",""))))))))</f>
        <v/>
      </c>
    </row>
    <row r="201" customFormat="false" ht="15" hidden="false" customHeight="false" outlineLevel="0" collapsed="false">
      <c r="A201" s="17"/>
      <c r="B201" s="38"/>
      <c r="C201" s="17"/>
      <c r="D201" s="17"/>
      <c r="E201" s="17"/>
      <c r="F201" s="17"/>
      <c r="G201" s="17"/>
      <c r="H201" s="40"/>
      <c r="I201" s="17"/>
      <c r="J201" s="17"/>
      <c r="K201" s="17"/>
      <c r="L201" s="17"/>
      <c r="M201" s="17"/>
      <c r="N201" s="17"/>
      <c r="O201" s="17"/>
      <c r="P201" s="38"/>
      <c r="Q201" s="17"/>
      <c r="R201" s="42" t="str">
        <f aca="false">IF(OR(D201="",P201="",OR(O201="Contract signed + paid",O201="Closed – No response",O201="Lost"),N(Q201)&gt;=Settings!$S$3),"",P201+Settings!$S$2)</f>
        <v/>
      </c>
      <c r="S201" s="38"/>
      <c r="T201" s="39"/>
      <c r="U201" s="17"/>
      <c r="V201" s="17"/>
      <c r="W201" s="17"/>
      <c r="X201" s="43" t="str">
        <f aca="true">IF(OR(D201="",B201=""),"",INT(TODAY()-B201))</f>
        <v/>
      </c>
      <c r="Y201" s="44" t="str">
        <f aca="true">IF(D201="","",IF(OR(COUNTIFS(Clients!$C$2:$C$501,D201,Clients!$S$2:$S$501,"Paid")&gt;0,AND(H201&lt;&gt;"",COUNTIFS(Clients!$E$2:$E$501,H201,Clients!$S$2:$S$501,"Paid")&gt;0)),"⚠ Refunded before – no free video",IF(OR(O201="Contract signed + paid",O201="Closed – No response",O201="Lost"),"",IF(O201="","Set a stage",IF(N(Q201)&gt;=Settings!$S$3,"Close – 4 follow-ups sent",IF(R201="",IF(P201="","Make first contact",""),IF(TODAY()&gt;R201,"OVERDUE follow-up",IF(TODAY()=R201,"Follow up today",""))))))))</f>
        <v/>
      </c>
    </row>
    <row r="202" customFormat="false" ht="15" hidden="false" customHeight="false" outlineLevel="0" collapsed="false">
      <c r="A202" s="17"/>
      <c r="B202" s="38"/>
      <c r="C202" s="17"/>
      <c r="D202" s="17"/>
      <c r="E202" s="17"/>
      <c r="F202" s="17"/>
      <c r="G202" s="17"/>
      <c r="H202" s="40"/>
      <c r="I202" s="17"/>
      <c r="J202" s="17"/>
      <c r="K202" s="17"/>
      <c r="L202" s="17"/>
      <c r="M202" s="17"/>
      <c r="N202" s="17"/>
      <c r="O202" s="17"/>
      <c r="P202" s="38"/>
      <c r="Q202" s="17"/>
      <c r="R202" s="42" t="str">
        <f aca="false">IF(OR(D202="",P202="",OR(O202="Contract signed + paid",O202="Closed – No response",O202="Lost"),N(Q202)&gt;=Settings!$S$3),"",P202+Settings!$S$2)</f>
        <v/>
      </c>
      <c r="S202" s="38"/>
      <c r="T202" s="39"/>
      <c r="U202" s="17"/>
      <c r="V202" s="17"/>
      <c r="W202" s="17"/>
      <c r="X202" s="43" t="str">
        <f aca="true">IF(OR(D202="",B202=""),"",INT(TODAY()-B202))</f>
        <v/>
      </c>
      <c r="Y202" s="44" t="str">
        <f aca="true">IF(D202="","",IF(OR(COUNTIFS(Clients!$C$2:$C$501,D202,Clients!$S$2:$S$501,"Paid")&gt;0,AND(H202&lt;&gt;"",COUNTIFS(Clients!$E$2:$E$501,H202,Clients!$S$2:$S$501,"Paid")&gt;0)),"⚠ Refunded before – no free video",IF(OR(O202="Contract signed + paid",O202="Closed – No response",O202="Lost"),"",IF(O202="","Set a stage",IF(N(Q202)&gt;=Settings!$S$3,"Close – 4 follow-ups sent",IF(R202="",IF(P202="","Make first contact",""),IF(TODAY()&gt;R202,"OVERDUE follow-up",IF(TODAY()=R202,"Follow up today",""))))))))</f>
        <v/>
      </c>
    </row>
    <row r="203" customFormat="false" ht="15" hidden="false" customHeight="false" outlineLevel="0" collapsed="false">
      <c r="A203" s="17"/>
      <c r="B203" s="38"/>
      <c r="C203" s="17"/>
      <c r="D203" s="17"/>
      <c r="E203" s="17"/>
      <c r="F203" s="17"/>
      <c r="G203" s="17"/>
      <c r="H203" s="40"/>
      <c r="I203" s="17"/>
      <c r="J203" s="17"/>
      <c r="K203" s="17"/>
      <c r="L203" s="17"/>
      <c r="M203" s="17"/>
      <c r="N203" s="17"/>
      <c r="O203" s="17"/>
      <c r="P203" s="38"/>
      <c r="Q203" s="17"/>
      <c r="R203" s="42" t="str">
        <f aca="false">IF(OR(D203="",P203="",OR(O203="Contract signed + paid",O203="Closed – No response",O203="Lost"),N(Q203)&gt;=Settings!$S$3),"",P203+Settings!$S$2)</f>
        <v/>
      </c>
      <c r="S203" s="38"/>
      <c r="T203" s="39"/>
      <c r="U203" s="17"/>
      <c r="V203" s="17"/>
      <c r="W203" s="17"/>
      <c r="X203" s="43" t="str">
        <f aca="true">IF(OR(D203="",B203=""),"",INT(TODAY()-B203))</f>
        <v/>
      </c>
      <c r="Y203" s="44" t="str">
        <f aca="true">IF(D203="","",IF(OR(COUNTIFS(Clients!$C$2:$C$501,D203,Clients!$S$2:$S$501,"Paid")&gt;0,AND(H203&lt;&gt;"",COUNTIFS(Clients!$E$2:$E$501,H203,Clients!$S$2:$S$501,"Paid")&gt;0)),"⚠ Refunded before – no free video",IF(OR(O203="Contract signed + paid",O203="Closed – No response",O203="Lost"),"",IF(O203="","Set a stage",IF(N(Q203)&gt;=Settings!$S$3,"Close – 4 follow-ups sent",IF(R203="",IF(P203="","Make first contact",""),IF(TODAY()&gt;R203,"OVERDUE follow-up",IF(TODAY()=R203,"Follow up today",""))))))))</f>
        <v/>
      </c>
    </row>
    <row r="204" customFormat="false" ht="15" hidden="false" customHeight="false" outlineLevel="0" collapsed="false">
      <c r="A204" s="17"/>
      <c r="B204" s="38"/>
      <c r="C204" s="17"/>
      <c r="D204" s="17"/>
      <c r="E204" s="17"/>
      <c r="F204" s="17"/>
      <c r="G204" s="17"/>
      <c r="H204" s="40"/>
      <c r="I204" s="17"/>
      <c r="J204" s="17"/>
      <c r="K204" s="17"/>
      <c r="L204" s="17"/>
      <c r="M204" s="17"/>
      <c r="N204" s="17"/>
      <c r="O204" s="17"/>
      <c r="P204" s="38"/>
      <c r="Q204" s="17"/>
      <c r="R204" s="42" t="str">
        <f aca="false">IF(OR(D204="",P204="",OR(O204="Contract signed + paid",O204="Closed – No response",O204="Lost"),N(Q204)&gt;=Settings!$S$3),"",P204+Settings!$S$2)</f>
        <v/>
      </c>
      <c r="S204" s="38"/>
      <c r="T204" s="39"/>
      <c r="U204" s="17"/>
      <c r="V204" s="17"/>
      <c r="W204" s="17"/>
      <c r="X204" s="43" t="str">
        <f aca="true">IF(OR(D204="",B204=""),"",INT(TODAY()-B204))</f>
        <v/>
      </c>
      <c r="Y204" s="44" t="str">
        <f aca="true">IF(D204="","",IF(OR(COUNTIFS(Clients!$C$2:$C$501,D204,Clients!$S$2:$S$501,"Paid")&gt;0,AND(H204&lt;&gt;"",COUNTIFS(Clients!$E$2:$E$501,H204,Clients!$S$2:$S$501,"Paid")&gt;0)),"⚠ Refunded before – no free video",IF(OR(O204="Contract signed + paid",O204="Closed – No response",O204="Lost"),"",IF(O204="","Set a stage",IF(N(Q204)&gt;=Settings!$S$3,"Close – 4 follow-ups sent",IF(R204="",IF(P204="","Make first contact",""),IF(TODAY()&gt;R204,"OVERDUE follow-up",IF(TODAY()=R204,"Follow up today",""))))))))</f>
        <v/>
      </c>
    </row>
    <row r="205" customFormat="false" ht="15" hidden="false" customHeight="false" outlineLevel="0" collapsed="false">
      <c r="A205" s="17"/>
      <c r="B205" s="38"/>
      <c r="C205" s="17"/>
      <c r="D205" s="17"/>
      <c r="E205" s="17"/>
      <c r="F205" s="17"/>
      <c r="G205" s="17"/>
      <c r="H205" s="40"/>
      <c r="I205" s="17"/>
      <c r="J205" s="17"/>
      <c r="K205" s="17"/>
      <c r="L205" s="17"/>
      <c r="M205" s="17"/>
      <c r="N205" s="17"/>
      <c r="O205" s="17"/>
      <c r="P205" s="38"/>
      <c r="Q205" s="17"/>
      <c r="R205" s="42" t="str">
        <f aca="false">IF(OR(D205="",P205="",OR(O205="Contract signed + paid",O205="Closed – No response",O205="Lost"),N(Q205)&gt;=Settings!$S$3),"",P205+Settings!$S$2)</f>
        <v/>
      </c>
      <c r="S205" s="38"/>
      <c r="T205" s="39"/>
      <c r="U205" s="17"/>
      <c r="V205" s="17"/>
      <c r="W205" s="17"/>
      <c r="X205" s="43" t="str">
        <f aca="true">IF(OR(D205="",B205=""),"",INT(TODAY()-B205))</f>
        <v/>
      </c>
      <c r="Y205" s="44" t="str">
        <f aca="true">IF(D205="","",IF(OR(COUNTIFS(Clients!$C$2:$C$501,D205,Clients!$S$2:$S$501,"Paid")&gt;0,AND(H205&lt;&gt;"",COUNTIFS(Clients!$E$2:$E$501,H205,Clients!$S$2:$S$501,"Paid")&gt;0)),"⚠ Refunded before – no free video",IF(OR(O205="Contract signed + paid",O205="Closed – No response",O205="Lost"),"",IF(O205="","Set a stage",IF(N(Q205)&gt;=Settings!$S$3,"Close – 4 follow-ups sent",IF(R205="",IF(P205="","Make first contact",""),IF(TODAY()&gt;R205,"OVERDUE follow-up",IF(TODAY()=R205,"Follow up today",""))))))))</f>
        <v/>
      </c>
    </row>
    <row r="206" customFormat="false" ht="15" hidden="false" customHeight="false" outlineLevel="0" collapsed="false">
      <c r="A206" s="17"/>
      <c r="B206" s="38"/>
      <c r="C206" s="17"/>
      <c r="D206" s="17"/>
      <c r="E206" s="17"/>
      <c r="F206" s="17"/>
      <c r="G206" s="17"/>
      <c r="H206" s="40"/>
      <c r="I206" s="17"/>
      <c r="J206" s="17"/>
      <c r="K206" s="17"/>
      <c r="L206" s="17"/>
      <c r="M206" s="17"/>
      <c r="N206" s="17"/>
      <c r="O206" s="17"/>
      <c r="P206" s="38"/>
      <c r="Q206" s="17"/>
      <c r="R206" s="42" t="str">
        <f aca="false">IF(OR(D206="",P206="",OR(O206="Contract signed + paid",O206="Closed – No response",O206="Lost"),N(Q206)&gt;=Settings!$S$3),"",P206+Settings!$S$2)</f>
        <v/>
      </c>
      <c r="S206" s="38"/>
      <c r="T206" s="39"/>
      <c r="U206" s="17"/>
      <c r="V206" s="17"/>
      <c r="W206" s="17"/>
      <c r="X206" s="43" t="str">
        <f aca="true">IF(OR(D206="",B206=""),"",INT(TODAY()-B206))</f>
        <v/>
      </c>
      <c r="Y206" s="44" t="str">
        <f aca="true">IF(D206="","",IF(OR(COUNTIFS(Clients!$C$2:$C$501,D206,Clients!$S$2:$S$501,"Paid")&gt;0,AND(H206&lt;&gt;"",COUNTIFS(Clients!$E$2:$E$501,H206,Clients!$S$2:$S$501,"Paid")&gt;0)),"⚠ Refunded before – no free video",IF(OR(O206="Contract signed + paid",O206="Closed – No response",O206="Lost"),"",IF(O206="","Set a stage",IF(N(Q206)&gt;=Settings!$S$3,"Close – 4 follow-ups sent",IF(R206="",IF(P206="","Make first contact",""),IF(TODAY()&gt;R206,"OVERDUE follow-up",IF(TODAY()=R206,"Follow up today",""))))))))</f>
        <v/>
      </c>
    </row>
    <row r="207" customFormat="false" ht="15" hidden="false" customHeight="false" outlineLevel="0" collapsed="false">
      <c r="A207" s="17"/>
      <c r="B207" s="38"/>
      <c r="C207" s="17"/>
      <c r="D207" s="17"/>
      <c r="E207" s="17"/>
      <c r="F207" s="17"/>
      <c r="G207" s="17"/>
      <c r="H207" s="40"/>
      <c r="I207" s="17"/>
      <c r="J207" s="17"/>
      <c r="K207" s="17"/>
      <c r="L207" s="17"/>
      <c r="M207" s="17"/>
      <c r="N207" s="17"/>
      <c r="O207" s="17"/>
      <c r="P207" s="38"/>
      <c r="Q207" s="17"/>
      <c r="R207" s="42" t="str">
        <f aca="false">IF(OR(D207="",P207="",OR(O207="Contract signed + paid",O207="Closed – No response",O207="Lost"),N(Q207)&gt;=Settings!$S$3),"",P207+Settings!$S$2)</f>
        <v/>
      </c>
      <c r="S207" s="38"/>
      <c r="T207" s="39"/>
      <c r="U207" s="17"/>
      <c r="V207" s="17"/>
      <c r="W207" s="17"/>
      <c r="X207" s="43" t="str">
        <f aca="true">IF(OR(D207="",B207=""),"",INT(TODAY()-B207))</f>
        <v/>
      </c>
      <c r="Y207" s="44" t="str">
        <f aca="true">IF(D207="","",IF(OR(COUNTIFS(Clients!$C$2:$C$501,D207,Clients!$S$2:$S$501,"Paid")&gt;0,AND(H207&lt;&gt;"",COUNTIFS(Clients!$E$2:$E$501,H207,Clients!$S$2:$S$501,"Paid")&gt;0)),"⚠ Refunded before – no free video",IF(OR(O207="Contract signed + paid",O207="Closed – No response",O207="Lost"),"",IF(O207="","Set a stage",IF(N(Q207)&gt;=Settings!$S$3,"Close – 4 follow-ups sent",IF(R207="",IF(P207="","Make first contact",""),IF(TODAY()&gt;R207,"OVERDUE follow-up",IF(TODAY()=R207,"Follow up today",""))))))))</f>
        <v/>
      </c>
    </row>
    <row r="208" customFormat="false" ht="15" hidden="false" customHeight="false" outlineLevel="0" collapsed="false">
      <c r="A208" s="17"/>
      <c r="B208" s="38"/>
      <c r="C208" s="17"/>
      <c r="D208" s="17"/>
      <c r="E208" s="17"/>
      <c r="F208" s="17"/>
      <c r="G208" s="17"/>
      <c r="H208" s="40"/>
      <c r="I208" s="17"/>
      <c r="J208" s="17"/>
      <c r="K208" s="17"/>
      <c r="L208" s="17"/>
      <c r="M208" s="17"/>
      <c r="N208" s="17"/>
      <c r="O208" s="17"/>
      <c r="P208" s="38"/>
      <c r="Q208" s="17"/>
      <c r="R208" s="42" t="str">
        <f aca="false">IF(OR(D208="",P208="",OR(O208="Contract signed + paid",O208="Closed – No response",O208="Lost"),N(Q208)&gt;=Settings!$S$3),"",P208+Settings!$S$2)</f>
        <v/>
      </c>
      <c r="S208" s="38"/>
      <c r="T208" s="39"/>
      <c r="U208" s="17"/>
      <c r="V208" s="17"/>
      <c r="W208" s="17"/>
      <c r="X208" s="43" t="str">
        <f aca="true">IF(OR(D208="",B208=""),"",INT(TODAY()-B208))</f>
        <v/>
      </c>
      <c r="Y208" s="44" t="str">
        <f aca="true">IF(D208="","",IF(OR(COUNTIFS(Clients!$C$2:$C$501,D208,Clients!$S$2:$S$501,"Paid")&gt;0,AND(H208&lt;&gt;"",COUNTIFS(Clients!$E$2:$E$501,H208,Clients!$S$2:$S$501,"Paid")&gt;0)),"⚠ Refunded before – no free video",IF(OR(O208="Contract signed + paid",O208="Closed – No response",O208="Lost"),"",IF(O208="","Set a stage",IF(N(Q208)&gt;=Settings!$S$3,"Close – 4 follow-ups sent",IF(R208="",IF(P208="","Make first contact",""),IF(TODAY()&gt;R208,"OVERDUE follow-up",IF(TODAY()=R208,"Follow up today",""))))))))</f>
        <v/>
      </c>
    </row>
    <row r="209" customFormat="false" ht="15" hidden="false" customHeight="false" outlineLevel="0" collapsed="false">
      <c r="A209" s="17"/>
      <c r="B209" s="38"/>
      <c r="C209" s="17"/>
      <c r="D209" s="17"/>
      <c r="E209" s="17"/>
      <c r="F209" s="17"/>
      <c r="G209" s="17"/>
      <c r="H209" s="40"/>
      <c r="I209" s="17"/>
      <c r="J209" s="17"/>
      <c r="K209" s="17"/>
      <c r="L209" s="17"/>
      <c r="M209" s="17"/>
      <c r="N209" s="17"/>
      <c r="O209" s="17"/>
      <c r="P209" s="38"/>
      <c r="Q209" s="17"/>
      <c r="R209" s="42" t="str">
        <f aca="false">IF(OR(D209="",P209="",OR(O209="Contract signed + paid",O209="Closed – No response",O209="Lost"),N(Q209)&gt;=Settings!$S$3),"",P209+Settings!$S$2)</f>
        <v/>
      </c>
      <c r="S209" s="38"/>
      <c r="T209" s="39"/>
      <c r="U209" s="17"/>
      <c r="V209" s="17"/>
      <c r="W209" s="17"/>
      <c r="X209" s="43" t="str">
        <f aca="true">IF(OR(D209="",B209=""),"",INT(TODAY()-B209))</f>
        <v/>
      </c>
      <c r="Y209" s="44" t="str">
        <f aca="true">IF(D209="","",IF(OR(COUNTIFS(Clients!$C$2:$C$501,D209,Clients!$S$2:$S$501,"Paid")&gt;0,AND(H209&lt;&gt;"",COUNTIFS(Clients!$E$2:$E$501,H209,Clients!$S$2:$S$501,"Paid")&gt;0)),"⚠ Refunded before – no free video",IF(OR(O209="Contract signed + paid",O209="Closed – No response",O209="Lost"),"",IF(O209="","Set a stage",IF(N(Q209)&gt;=Settings!$S$3,"Close – 4 follow-ups sent",IF(R209="",IF(P209="","Make first contact",""),IF(TODAY()&gt;R209,"OVERDUE follow-up",IF(TODAY()=R209,"Follow up today",""))))))))</f>
        <v/>
      </c>
    </row>
    <row r="210" customFormat="false" ht="15" hidden="false" customHeight="false" outlineLevel="0" collapsed="false">
      <c r="A210" s="17"/>
      <c r="B210" s="38"/>
      <c r="C210" s="17"/>
      <c r="D210" s="17"/>
      <c r="E210" s="17"/>
      <c r="F210" s="17"/>
      <c r="G210" s="17"/>
      <c r="H210" s="40"/>
      <c r="I210" s="17"/>
      <c r="J210" s="17"/>
      <c r="K210" s="17"/>
      <c r="L210" s="17"/>
      <c r="M210" s="17"/>
      <c r="N210" s="17"/>
      <c r="O210" s="17"/>
      <c r="P210" s="38"/>
      <c r="Q210" s="17"/>
      <c r="R210" s="42" t="str">
        <f aca="false">IF(OR(D210="",P210="",OR(O210="Contract signed + paid",O210="Closed – No response",O210="Lost"),N(Q210)&gt;=Settings!$S$3),"",P210+Settings!$S$2)</f>
        <v/>
      </c>
      <c r="S210" s="38"/>
      <c r="T210" s="39"/>
      <c r="U210" s="17"/>
      <c r="V210" s="17"/>
      <c r="W210" s="17"/>
      <c r="X210" s="43" t="str">
        <f aca="true">IF(OR(D210="",B210=""),"",INT(TODAY()-B210))</f>
        <v/>
      </c>
      <c r="Y210" s="44" t="str">
        <f aca="true">IF(D210="","",IF(OR(COUNTIFS(Clients!$C$2:$C$501,D210,Clients!$S$2:$S$501,"Paid")&gt;0,AND(H210&lt;&gt;"",COUNTIFS(Clients!$E$2:$E$501,H210,Clients!$S$2:$S$501,"Paid")&gt;0)),"⚠ Refunded before – no free video",IF(OR(O210="Contract signed + paid",O210="Closed – No response",O210="Lost"),"",IF(O210="","Set a stage",IF(N(Q210)&gt;=Settings!$S$3,"Close – 4 follow-ups sent",IF(R210="",IF(P210="","Make first contact",""),IF(TODAY()&gt;R210,"OVERDUE follow-up",IF(TODAY()=R210,"Follow up today",""))))))))</f>
        <v/>
      </c>
    </row>
    <row r="211" customFormat="false" ht="15" hidden="false" customHeight="false" outlineLevel="0" collapsed="false">
      <c r="A211" s="17"/>
      <c r="B211" s="38"/>
      <c r="C211" s="17"/>
      <c r="D211" s="17"/>
      <c r="E211" s="17"/>
      <c r="F211" s="17"/>
      <c r="G211" s="17"/>
      <c r="H211" s="40"/>
      <c r="I211" s="17"/>
      <c r="J211" s="17"/>
      <c r="K211" s="17"/>
      <c r="L211" s="17"/>
      <c r="M211" s="17"/>
      <c r="N211" s="17"/>
      <c r="O211" s="17"/>
      <c r="P211" s="38"/>
      <c r="Q211" s="17"/>
      <c r="R211" s="42" t="str">
        <f aca="false">IF(OR(D211="",P211="",OR(O211="Contract signed + paid",O211="Closed – No response",O211="Lost"),N(Q211)&gt;=Settings!$S$3),"",P211+Settings!$S$2)</f>
        <v/>
      </c>
      <c r="S211" s="38"/>
      <c r="T211" s="39"/>
      <c r="U211" s="17"/>
      <c r="V211" s="17"/>
      <c r="W211" s="17"/>
      <c r="X211" s="43" t="str">
        <f aca="true">IF(OR(D211="",B211=""),"",INT(TODAY()-B211))</f>
        <v/>
      </c>
      <c r="Y211" s="44" t="str">
        <f aca="true">IF(D211="","",IF(OR(COUNTIFS(Clients!$C$2:$C$501,D211,Clients!$S$2:$S$501,"Paid")&gt;0,AND(H211&lt;&gt;"",COUNTIFS(Clients!$E$2:$E$501,H211,Clients!$S$2:$S$501,"Paid")&gt;0)),"⚠ Refunded before – no free video",IF(OR(O211="Contract signed + paid",O211="Closed – No response",O211="Lost"),"",IF(O211="","Set a stage",IF(N(Q211)&gt;=Settings!$S$3,"Close – 4 follow-ups sent",IF(R211="",IF(P211="","Make first contact",""),IF(TODAY()&gt;R211,"OVERDUE follow-up",IF(TODAY()=R211,"Follow up today",""))))))))</f>
        <v/>
      </c>
    </row>
    <row r="212" customFormat="false" ht="15" hidden="false" customHeight="false" outlineLevel="0" collapsed="false">
      <c r="A212" s="17"/>
      <c r="B212" s="38"/>
      <c r="C212" s="17"/>
      <c r="D212" s="17"/>
      <c r="E212" s="17"/>
      <c r="F212" s="17"/>
      <c r="G212" s="17"/>
      <c r="H212" s="40"/>
      <c r="I212" s="17"/>
      <c r="J212" s="17"/>
      <c r="K212" s="17"/>
      <c r="L212" s="17"/>
      <c r="M212" s="17"/>
      <c r="N212" s="17"/>
      <c r="O212" s="17"/>
      <c r="P212" s="38"/>
      <c r="Q212" s="17"/>
      <c r="R212" s="42" t="str">
        <f aca="false">IF(OR(D212="",P212="",OR(O212="Contract signed + paid",O212="Closed – No response",O212="Lost"),N(Q212)&gt;=Settings!$S$3),"",P212+Settings!$S$2)</f>
        <v/>
      </c>
      <c r="S212" s="38"/>
      <c r="T212" s="39"/>
      <c r="U212" s="17"/>
      <c r="V212" s="17"/>
      <c r="W212" s="17"/>
      <c r="X212" s="43" t="str">
        <f aca="true">IF(OR(D212="",B212=""),"",INT(TODAY()-B212))</f>
        <v/>
      </c>
      <c r="Y212" s="44" t="str">
        <f aca="true">IF(D212="","",IF(OR(COUNTIFS(Clients!$C$2:$C$501,D212,Clients!$S$2:$S$501,"Paid")&gt;0,AND(H212&lt;&gt;"",COUNTIFS(Clients!$E$2:$E$501,H212,Clients!$S$2:$S$501,"Paid")&gt;0)),"⚠ Refunded before – no free video",IF(OR(O212="Contract signed + paid",O212="Closed – No response",O212="Lost"),"",IF(O212="","Set a stage",IF(N(Q212)&gt;=Settings!$S$3,"Close – 4 follow-ups sent",IF(R212="",IF(P212="","Make first contact",""),IF(TODAY()&gt;R212,"OVERDUE follow-up",IF(TODAY()=R212,"Follow up today",""))))))))</f>
        <v/>
      </c>
    </row>
    <row r="213" customFormat="false" ht="15" hidden="false" customHeight="false" outlineLevel="0" collapsed="false">
      <c r="A213" s="17"/>
      <c r="B213" s="38"/>
      <c r="C213" s="17"/>
      <c r="D213" s="17"/>
      <c r="E213" s="17"/>
      <c r="F213" s="17"/>
      <c r="G213" s="17"/>
      <c r="H213" s="40"/>
      <c r="I213" s="17"/>
      <c r="J213" s="17"/>
      <c r="K213" s="17"/>
      <c r="L213" s="17"/>
      <c r="M213" s="17"/>
      <c r="N213" s="17"/>
      <c r="O213" s="17"/>
      <c r="P213" s="38"/>
      <c r="Q213" s="17"/>
      <c r="R213" s="42" t="str">
        <f aca="false">IF(OR(D213="",P213="",OR(O213="Contract signed + paid",O213="Closed – No response",O213="Lost"),N(Q213)&gt;=Settings!$S$3),"",P213+Settings!$S$2)</f>
        <v/>
      </c>
      <c r="S213" s="38"/>
      <c r="T213" s="39"/>
      <c r="U213" s="17"/>
      <c r="V213" s="17"/>
      <c r="W213" s="17"/>
      <c r="X213" s="43" t="str">
        <f aca="true">IF(OR(D213="",B213=""),"",INT(TODAY()-B213))</f>
        <v/>
      </c>
      <c r="Y213" s="44" t="str">
        <f aca="true">IF(D213="","",IF(OR(COUNTIFS(Clients!$C$2:$C$501,D213,Clients!$S$2:$S$501,"Paid")&gt;0,AND(H213&lt;&gt;"",COUNTIFS(Clients!$E$2:$E$501,H213,Clients!$S$2:$S$501,"Paid")&gt;0)),"⚠ Refunded before – no free video",IF(OR(O213="Contract signed + paid",O213="Closed – No response",O213="Lost"),"",IF(O213="","Set a stage",IF(N(Q213)&gt;=Settings!$S$3,"Close – 4 follow-ups sent",IF(R213="",IF(P213="","Make first contact",""),IF(TODAY()&gt;R213,"OVERDUE follow-up",IF(TODAY()=R213,"Follow up today",""))))))))</f>
        <v/>
      </c>
    </row>
    <row r="214" customFormat="false" ht="15" hidden="false" customHeight="false" outlineLevel="0" collapsed="false">
      <c r="A214" s="17"/>
      <c r="B214" s="38"/>
      <c r="C214" s="17"/>
      <c r="D214" s="17"/>
      <c r="E214" s="17"/>
      <c r="F214" s="17"/>
      <c r="G214" s="17"/>
      <c r="H214" s="40"/>
      <c r="I214" s="17"/>
      <c r="J214" s="17"/>
      <c r="K214" s="17"/>
      <c r="L214" s="17"/>
      <c r="M214" s="17"/>
      <c r="N214" s="17"/>
      <c r="O214" s="17"/>
      <c r="P214" s="38"/>
      <c r="Q214" s="17"/>
      <c r="R214" s="42" t="str">
        <f aca="false">IF(OR(D214="",P214="",OR(O214="Contract signed + paid",O214="Closed – No response",O214="Lost"),N(Q214)&gt;=Settings!$S$3),"",P214+Settings!$S$2)</f>
        <v/>
      </c>
      <c r="S214" s="38"/>
      <c r="T214" s="39"/>
      <c r="U214" s="17"/>
      <c r="V214" s="17"/>
      <c r="W214" s="17"/>
      <c r="X214" s="43" t="str">
        <f aca="true">IF(OR(D214="",B214=""),"",INT(TODAY()-B214))</f>
        <v/>
      </c>
      <c r="Y214" s="44" t="str">
        <f aca="true">IF(D214="","",IF(OR(COUNTIFS(Clients!$C$2:$C$501,D214,Clients!$S$2:$S$501,"Paid")&gt;0,AND(H214&lt;&gt;"",COUNTIFS(Clients!$E$2:$E$501,H214,Clients!$S$2:$S$501,"Paid")&gt;0)),"⚠ Refunded before – no free video",IF(OR(O214="Contract signed + paid",O214="Closed – No response",O214="Lost"),"",IF(O214="","Set a stage",IF(N(Q214)&gt;=Settings!$S$3,"Close – 4 follow-ups sent",IF(R214="",IF(P214="","Make first contact",""),IF(TODAY()&gt;R214,"OVERDUE follow-up",IF(TODAY()=R214,"Follow up today",""))))))))</f>
        <v/>
      </c>
    </row>
    <row r="215" customFormat="false" ht="15" hidden="false" customHeight="false" outlineLevel="0" collapsed="false">
      <c r="A215" s="17"/>
      <c r="B215" s="38"/>
      <c r="C215" s="17"/>
      <c r="D215" s="17"/>
      <c r="E215" s="17"/>
      <c r="F215" s="17"/>
      <c r="G215" s="17"/>
      <c r="H215" s="40"/>
      <c r="I215" s="17"/>
      <c r="J215" s="17"/>
      <c r="K215" s="17"/>
      <c r="L215" s="17"/>
      <c r="M215" s="17"/>
      <c r="N215" s="17"/>
      <c r="O215" s="17"/>
      <c r="P215" s="38"/>
      <c r="Q215" s="17"/>
      <c r="R215" s="42" t="str">
        <f aca="false">IF(OR(D215="",P215="",OR(O215="Contract signed + paid",O215="Closed – No response",O215="Lost"),N(Q215)&gt;=Settings!$S$3),"",P215+Settings!$S$2)</f>
        <v/>
      </c>
      <c r="S215" s="38"/>
      <c r="T215" s="39"/>
      <c r="U215" s="17"/>
      <c r="V215" s="17"/>
      <c r="W215" s="17"/>
      <c r="X215" s="43" t="str">
        <f aca="true">IF(OR(D215="",B215=""),"",INT(TODAY()-B215))</f>
        <v/>
      </c>
      <c r="Y215" s="44" t="str">
        <f aca="true">IF(D215="","",IF(OR(COUNTIFS(Clients!$C$2:$C$501,D215,Clients!$S$2:$S$501,"Paid")&gt;0,AND(H215&lt;&gt;"",COUNTIFS(Clients!$E$2:$E$501,H215,Clients!$S$2:$S$501,"Paid")&gt;0)),"⚠ Refunded before – no free video",IF(OR(O215="Contract signed + paid",O215="Closed – No response",O215="Lost"),"",IF(O215="","Set a stage",IF(N(Q215)&gt;=Settings!$S$3,"Close – 4 follow-ups sent",IF(R215="",IF(P215="","Make first contact",""),IF(TODAY()&gt;R215,"OVERDUE follow-up",IF(TODAY()=R215,"Follow up today",""))))))))</f>
        <v/>
      </c>
    </row>
    <row r="216" customFormat="false" ht="15" hidden="false" customHeight="false" outlineLevel="0" collapsed="false">
      <c r="A216" s="17"/>
      <c r="B216" s="38"/>
      <c r="C216" s="17"/>
      <c r="D216" s="17"/>
      <c r="E216" s="17"/>
      <c r="F216" s="17"/>
      <c r="G216" s="17"/>
      <c r="H216" s="40"/>
      <c r="I216" s="17"/>
      <c r="J216" s="17"/>
      <c r="K216" s="17"/>
      <c r="L216" s="17"/>
      <c r="M216" s="17"/>
      <c r="N216" s="17"/>
      <c r="O216" s="17"/>
      <c r="P216" s="38"/>
      <c r="Q216" s="17"/>
      <c r="R216" s="42" t="str">
        <f aca="false">IF(OR(D216="",P216="",OR(O216="Contract signed + paid",O216="Closed – No response",O216="Lost"),N(Q216)&gt;=Settings!$S$3),"",P216+Settings!$S$2)</f>
        <v/>
      </c>
      <c r="S216" s="38"/>
      <c r="T216" s="39"/>
      <c r="U216" s="17"/>
      <c r="V216" s="17"/>
      <c r="W216" s="17"/>
      <c r="X216" s="43" t="str">
        <f aca="true">IF(OR(D216="",B216=""),"",INT(TODAY()-B216))</f>
        <v/>
      </c>
      <c r="Y216" s="44" t="str">
        <f aca="true">IF(D216="","",IF(OR(COUNTIFS(Clients!$C$2:$C$501,D216,Clients!$S$2:$S$501,"Paid")&gt;0,AND(H216&lt;&gt;"",COUNTIFS(Clients!$E$2:$E$501,H216,Clients!$S$2:$S$501,"Paid")&gt;0)),"⚠ Refunded before – no free video",IF(OR(O216="Contract signed + paid",O216="Closed – No response",O216="Lost"),"",IF(O216="","Set a stage",IF(N(Q216)&gt;=Settings!$S$3,"Close – 4 follow-ups sent",IF(R216="",IF(P216="","Make first contact",""),IF(TODAY()&gt;R216,"OVERDUE follow-up",IF(TODAY()=R216,"Follow up today",""))))))))</f>
        <v/>
      </c>
    </row>
    <row r="217" customFormat="false" ht="15" hidden="false" customHeight="false" outlineLevel="0" collapsed="false">
      <c r="A217" s="17"/>
      <c r="B217" s="38"/>
      <c r="C217" s="17"/>
      <c r="D217" s="17"/>
      <c r="E217" s="17"/>
      <c r="F217" s="17"/>
      <c r="G217" s="17"/>
      <c r="H217" s="40"/>
      <c r="I217" s="17"/>
      <c r="J217" s="17"/>
      <c r="K217" s="17"/>
      <c r="L217" s="17"/>
      <c r="M217" s="17"/>
      <c r="N217" s="17"/>
      <c r="O217" s="17"/>
      <c r="P217" s="38"/>
      <c r="Q217" s="17"/>
      <c r="R217" s="42" t="str">
        <f aca="false">IF(OR(D217="",P217="",OR(O217="Contract signed + paid",O217="Closed – No response",O217="Lost"),N(Q217)&gt;=Settings!$S$3),"",P217+Settings!$S$2)</f>
        <v/>
      </c>
      <c r="S217" s="38"/>
      <c r="T217" s="39"/>
      <c r="U217" s="17"/>
      <c r="V217" s="17"/>
      <c r="W217" s="17"/>
      <c r="X217" s="43" t="str">
        <f aca="true">IF(OR(D217="",B217=""),"",INT(TODAY()-B217))</f>
        <v/>
      </c>
      <c r="Y217" s="44" t="str">
        <f aca="true">IF(D217="","",IF(OR(COUNTIFS(Clients!$C$2:$C$501,D217,Clients!$S$2:$S$501,"Paid")&gt;0,AND(H217&lt;&gt;"",COUNTIFS(Clients!$E$2:$E$501,H217,Clients!$S$2:$S$501,"Paid")&gt;0)),"⚠ Refunded before – no free video",IF(OR(O217="Contract signed + paid",O217="Closed – No response",O217="Lost"),"",IF(O217="","Set a stage",IF(N(Q217)&gt;=Settings!$S$3,"Close – 4 follow-ups sent",IF(R217="",IF(P217="","Make first contact",""),IF(TODAY()&gt;R217,"OVERDUE follow-up",IF(TODAY()=R217,"Follow up today",""))))))))</f>
        <v/>
      </c>
    </row>
    <row r="218" customFormat="false" ht="15" hidden="false" customHeight="false" outlineLevel="0" collapsed="false">
      <c r="A218" s="17"/>
      <c r="B218" s="38"/>
      <c r="C218" s="17"/>
      <c r="D218" s="17"/>
      <c r="E218" s="17"/>
      <c r="F218" s="17"/>
      <c r="G218" s="17"/>
      <c r="H218" s="40"/>
      <c r="I218" s="17"/>
      <c r="J218" s="17"/>
      <c r="K218" s="17"/>
      <c r="L218" s="17"/>
      <c r="M218" s="17"/>
      <c r="N218" s="17"/>
      <c r="O218" s="17"/>
      <c r="P218" s="38"/>
      <c r="Q218" s="17"/>
      <c r="R218" s="42" t="str">
        <f aca="false">IF(OR(D218="",P218="",OR(O218="Contract signed + paid",O218="Closed – No response",O218="Lost"),N(Q218)&gt;=Settings!$S$3),"",P218+Settings!$S$2)</f>
        <v/>
      </c>
      <c r="S218" s="38"/>
      <c r="T218" s="39"/>
      <c r="U218" s="17"/>
      <c r="V218" s="17"/>
      <c r="W218" s="17"/>
      <c r="X218" s="43" t="str">
        <f aca="true">IF(OR(D218="",B218=""),"",INT(TODAY()-B218))</f>
        <v/>
      </c>
      <c r="Y218" s="44" t="str">
        <f aca="true">IF(D218="","",IF(OR(COUNTIFS(Clients!$C$2:$C$501,D218,Clients!$S$2:$S$501,"Paid")&gt;0,AND(H218&lt;&gt;"",COUNTIFS(Clients!$E$2:$E$501,H218,Clients!$S$2:$S$501,"Paid")&gt;0)),"⚠ Refunded before – no free video",IF(OR(O218="Contract signed + paid",O218="Closed – No response",O218="Lost"),"",IF(O218="","Set a stage",IF(N(Q218)&gt;=Settings!$S$3,"Close – 4 follow-ups sent",IF(R218="",IF(P218="","Make first contact",""),IF(TODAY()&gt;R218,"OVERDUE follow-up",IF(TODAY()=R218,"Follow up today",""))))))))</f>
        <v/>
      </c>
    </row>
    <row r="219" customFormat="false" ht="15" hidden="false" customHeight="false" outlineLevel="0" collapsed="false">
      <c r="A219" s="17"/>
      <c r="B219" s="38"/>
      <c r="C219" s="17"/>
      <c r="D219" s="17"/>
      <c r="E219" s="17"/>
      <c r="F219" s="17"/>
      <c r="G219" s="17"/>
      <c r="H219" s="40"/>
      <c r="I219" s="17"/>
      <c r="J219" s="17"/>
      <c r="K219" s="17"/>
      <c r="L219" s="17"/>
      <c r="M219" s="17"/>
      <c r="N219" s="17"/>
      <c r="O219" s="17"/>
      <c r="P219" s="38"/>
      <c r="Q219" s="17"/>
      <c r="R219" s="42" t="str">
        <f aca="false">IF(OR(D219="",P219="",OR(O219="Contract signed + paid",O219="Closed – No response",O219="Lost"),N(Q219)&gt;=Settings!$S$3),"",P219+Settings!$S$2)</f>
        <v/>
      </c>
      <c r="S219" s="38"/>
      <c r="T219" s="39"/>
      <c r="U219" s="17"/>
      <c r="V219" s="17"/>
      <c r="W219" s="17"/>
      <c r="X219" s="43" t="str">
        <f aca="true">IF(OR(D219="",B219=""),"",INT(TODAY()-B219))</f>
        <v/>
      </c>
      <c r="Y219" s="44" t="str">
        <f aca="true">IF(D219="","",IF(OR(COUNTIFS(Clients!$C$2:$C$501,D219,Clients!$S$2:$S$501,"Paid")&gt;0,AND(H219&lt;&gt;"",COUNTIFS(Clients!$E$2:$E$501,H219,Clients!$S$2:$S$501,"Paid")&gt;0)),"⚠ Refunded before – no free video",IF(OR(O219="Contract signed + paid",O219="Closed – No response",O219="Lost"),"",IF(O219="","Set a stage",IF(N(Q219)&gt;=Settings!$S$3,"Close – 4 follow-ups sent",IF(R219="",IF(P219="","Make first contact",""),IF(TODAY()&gt;R219,"OVERDUE follow-up",IF(TODAY()=R219,"Follow up today",""))))))))</f>
        <v/>
      </c>
    </row>
    <row r="220" customFormat="false" ht="15" hidden="false" customHeight="false" outlineLevel="0" collapsed="false">
      <c r="A220" s="17"/>
      <c r="B220" s="38"/>
      <c r="C220" s="17"/>
      <c r="D220" s="17"/>
      <c r="E220" s="17"/>
      <c r="F220" s="17"/>
      <c r="G220" s="17"/>
      <c r="H220" s="40"/>
      <c r="I220" s="17"/>
      <c r="J220" s="17"/>
      <c r="K220" s="17"/>
      <c r="L220" s="17"/>
      <c r="M220" s="17"/>
      <c r="N220" s="17"/>
      <c r="O220" s="17"/>
      <c r="P220" s="38"/>
      <c r="Q220" s="17"/>
      <c r="R220" s="42" t="str">
        <f aca="false">IF(OR(D220="",P220="",OR(O220="Contract signed + paid",O220="Closed – No response",O220="Lost"),N(Q220)&gt;=Settings!$S$3),"",P220+Settings!$S$2)</f>
        <v/>
      </c>
      <c r="S220" s="38"/>
      <c r="T220" s="39"/>
      <c r="U220" s="17"/>
      <c r="V220" s="17"/>
      <c r="W220" s="17"/>
      <c r="X220" s="43" t="str">
        <f aca="true">IF(OR(D220="",B220=""),"",INT(TODAY()-B220))</f>
        <v/>
      </c>
      <c r="Y220" s="44" t="str">
        <f aca="true">IF(D220="","",IF(OR(COUNTIFS(Clients!$C$2:$C$501,D220,Clients!$S$2:$S$501,"Paid")&gt;0,AND(H220&lt;&gt;"",COUNTIFS(Clients!$E$2:$E$501,H220,Clients!$S$2:$S$501,"Paid")&gt;0)),"⚠ Refunded before – no free video",IF(OR(O220="Contract signed + paid",O220="Closed – No response",O220="Lost"),"",IF(O220="","Set a stage",IF(N(Q220)&gt;=Settings!$S$3,"Close – 4 follow-ups sent",IF(R220="",IF(P220="","Make first contact",""),IF(TODAY()&gt;R220,"OVERDUE follow-up",IF(TODAY()=R220,"Follow up today",""))))))))</f>
        <v/>
      </c>
    </row>
    <row r="221" customFormat="false" ht="15" hidden="false" customHeight="false" outlineLevel="0" collapsed="false">
      <c r="A221" s="17"/>
      <c r="B221" s="38"/>
      <c r="C221" s="17"/>
      <c r="D221" s="17"/>
      <c r="E221" s="17"/>
      <c r="F221" s="17"/>
      <c r="G221" s="17"/>
      <c r="H221" s="40"/>
      <c r="I221" s="17"/>
      <c r="J221" s="17"/>
      <c r="K221" s="17"/>
      <c r="L221" s="17"/>
      <c r="M221" s="17"/>
      <c r="N221" s="17"/>
      <c r="O221" s="17"/>
      <c r="P221" s="38"/>
      <c r="Q221" s="17"/>
      <c r="R221" s="42" t="str">
        <f aca="false">IF(OR(D221="",P221="",OR(O221="Contract signed + paid",O221="Closed – No response",O221="Lost"),N(Q221)&gt;=Settings!$S$3),"",P221+Settings!$S$2)</f>
        <v/>
      </c>
      <c r="S221" s="38"/>
      <c r="T221" s="39"/>
      <c r="U221" s="17"/>
      <c r="V221" s="17"/>
      <c r="W221" s="17"/>
      <c r="X221" s="43" t="str">
        <f aca="true">IF(OR(D221="",B221=""),"",INT(TODAY()-B221))</f>
        <v/>
      </c>
      <c r="Y221" s="44" t="str">
        <f aca="true">IF(D221="","",IF(OR(COUNTIFS(Clients!$C$2:$C$501,D221,Clients!$S$2:$S$501,"Paid")&gt;0,AND(H221&lt;&gt;"",COUNTIFS(Clients!$E$2:$E$501,H221,Clients!$S$2:$S$501,"Paid")&gt;0)),"⚠ Refunded before – no free video",IF(OR(O221="Contract signed + paid",O221="Closed – No response",O221="Lost"),"",IF(O221="","Set a stage",IF(N(Q221)&gt;=Settings!$S$3,"Close – 4 follow-ups sent",IF(R221="",IF(P221="","Make first contact",""),IF(TODAY()&gt;R221,"OVERDUE follow-up",IF(TODAY()=R221,"Follow up today",""))))))))</f>
        <v/>
      </c>
    </row>
    <row r="222" customFormat="false" ht="15" hidden="false" customHeight="false" outlineLevel="0" collapsed="false">
      <c r="A222" s="17"/>
      <c r="B222" s="38"/>
      <c r="C222" s="17"/>
      <c r="D222" s="17"/>
      <c r="E222" s="17"/>
      <c r="F222" s="17"/>
      <c r="G222" s="17"/>
      <c r="H222" s="40"/>
      <c r="I222" s="17"/>
      <c r="J222" s="17"/>
      <c r="K222" s="17"/>
      <c r="L222" s="17"/>
      <c r="M222" s="17"/>
      <c r="N222" s="17"/>
      <c r="O222" s="17"/>
      <c r="P222" s="38"/>
      <c r="Q222" s="17"/>
      <c r="R222" s="42" t="str">
        <f aca="false">IF(OR(D222="",P222="",OR(O222="Contract signed + paid",O222="Closed – No response",O222="Lost"),N(Q222)&gt;=Settings!$S$3),"",P222+Settings!$S$2)</f>
        <v/>
      </c>
      <c r="S222" s="38"/>
      <c r="T222" s="39"/>
      <c r="U222" s="17"/>
      <c r="V222" s="17"/>
      <c r="W222" s="17"/>
      <c r="X222" s="43" t="str">
        <f aca="true">IF(OR(D222="",B222=""),"",INT(TODAY()-B222))</f>
        <v/>
      </c>
      <c r="Y222" s="44" t="str">
        <f aca="true">IF(D222="","",IF(OR(COUNTIFS(Clients!$C$2:$C$501,D222,Clients!$S$2:$S$501,"Paid")&gt;0,AND(H222&lt;&gt;"",COUNTIFS(Clients!$E$2:$E$501,H222,Clients!$S$2:$S$501,"Paid")&gt;0)),"⚠ Refunded before – no free video",IF(OR(O222="Contract signed + paid",O222="Closed – No response",O222="Lost"),"",IF(O222="","Set a stage",IF(N(Q222)&gt;=Settings!$S$3,"Close – 4 follow-ups sent",IF(R222="",IF(P222="","Make first contact",""),IF(TODAY()&gt;R222,"OVERDUE follow-up",IF(TODAY()=R222,"Follow up today",""))))))))</f>
        <v/>
      </c>
    </row>
    <row r="223" customFormat="false" ht="15" hidden="false" customHeight="false" outlineLevel="0" collapsed="false">
      <c r="A223" s="17"/>
      <c r="B223" s="38"/>
      <c r="C223" s="17"/>
      <c r="D223" s="17"/>
      <c r="E223" s="17"/>
      <c r="F223" s="17"/>
      <c r="G223" s="17"/>
      <c r="H223" s="40"/>
      <c r="I223" s="17"/>
      <c r="J223" s="17"/>
      <c r="K223" s="17"/>
      <c r="L223" s="17"/>
      <c r="M223" s="17"/>
      <c r="N223" s="17"/>
      <c r="O223" s="17"/>
      <c r="P223" s="38"/>
      <c r="Q223" s="17"/>
      <c r="R223" s="42" t="str">
        <f aca="false">IF(OR(D223="",P223="",OR(O223="Contract signed + paid",O223="Closed – No response",O223="Lost"),N(Q223)&gt;=Settings!$S$3),"",P223+Settings!$S$2)</f>
        <v/>
      </c>
      <c r="S223" s="38"/>
      <c r="T223" s="39"/>
      <c r="U223" s="17"/>
      <c r="V223" s="17"/>
      <c r="W223" s="17"/>
      <c r="X223" s="43" t="str">
        <f aca="true">IF(OR(D223="",B223=""),"",INT(TODAY()-B223))</f>
        <v/>
      </c>
      <c r="Y223" s="44" t="str">
        <f aca="true">IF(D223="","",IF(OR(COUNTIFS(Clients!$C$2:$C$501,D223,Clients!$S$2:$S$501,"Paid")&gt;0,AND(H223&lt;&gt;"",COUNTIFS(Clients!$E$2:$E$501,H223,Clients!$S$2:$S$501,"Paid")&gt;0)),"⚠ Refunded before – no free video",IF(OR(O223="Contract signed + paid",O223="Closed – No response",O223="Lost"),"",IF(O223="","Set a stage",IF(N(Q223)&gt;=Settings!$S$3,"Close – 4 follow-ups sent",IF(R223="",IF(P223="","Make first contact",""),IF(TODAY()&gt;R223,"OVERDUE follow-up",IF(TODAY()=R223,"Follow up today",""))))))))</f>
        <v/>
      </c>
    </row>
    <row r="224" customFormat="false" ht="15" hidden="false" customHeight="false" outlineLevel="0" collapsed="false">
      <c r="A224" s="17"/>
      <c r="B224" s="38"/>
      <c r="C224" s="17"/>
      <c r="D224" s="17"/>
      <c r="E224" s="17"/>
      <c r="F224" s="17"/>
      <c r="G224" s="17"/>
      <c r="H224" s="40"/>
      <c r="I224" s="17"/>
      <c r="J224" s="17"/>
      <c r="K224" s="17"/>
      <c r="L224" s="17"/>
      <c r="M224" s="17"/>
      <c r="N224" s="17"/>
      <c r="O224" s="17"/>
      <c r="P224" s="38"/>
      <c r="Q224" s="17"/>
      <c r="R224" s="42" t="str">
        <f aca="false">IF(OR(D224="",P224="",OR(O224="Contract signed + paid",O224="Closed – No response",O224="Lost"),N(Q224)&gt;=Settings!$S$3),"",P224+Settings!$S$2)</f>
        <v/>
      </c>
      <c r="S224" s="38"/>
      <c r="T224" s="39"/>
      <c r="U224" s="17"/>
      <c r="V224" s="17"/>
      <c r="W224" s="17"/>
      <c r="X224" s="43" t="str">
        <f aca="true">IF(OR(D224="",B224=""),"",INT(TODAY()-B224))</f>
        <v/>
      </c>
      <c r="Y224" s="44" t="str">
        <f aca="true">IF(D224="","",IF(OR(COUNTIFS(Clients!$C$2:$C$501,D224,Clients!$S$2:$S$501,"Paid")&gt;0,AND(H224&lt;&gt;"",COUNTIFS(Clients!$E$2:$E$501,H224,Clients!$S$2:$S$501,"Paid")&gt;0)),"⚠ Refunded before – no free video",IF(OR(O224="Contract signed + paid",O224="Closed – No response",O224="Lost"),"",IF(O224="","Set a stage",IF(N(Q224)&gt;=Settings!$S$3,"Close – 4 follow-ups sent",IF(R224="",IF(P224="","Make first contact",""),IF(TODAY()&gt;R224,"OVERDUE follow-up",IF(TODAY()=R224,"Follow up today",""))))))))</f>
        <v/>
      </c>
    </row>
    <row r="225" customFormat="false" ht="15" hidden="false" customHeight="false" outlineLevel="0" collapsed="false">
      <c r="A225" s="17"/>
      <c r="B225" s="38"/>
      <c r="C225" s="17"/>
      <c r="D225" s="17"/>
      <c r="E225" s="17"/>
      <c r="F225" s="17"/>
      <c r="G225" s="17"/>
      <c r="H225" s="40"/>
      <c r="I225" s="17"/>
      <c r="J225" s="17"/>
      <c r="K225" s="17"/>
      <c r="L225" s="17"/>
      <c r="M225" s="17"/>
      <c r="N225" s="17"/>
      <c r="O225" s="17"/>
      <c r="P225" s="38"/>
      <c r="Q225" s="17"/>
      <c r="R225" s="42" t="str">
        <f aca="false">IF(OR(D225="",P225="",OR(O225="Contract signed + paid",O225="Closed – No response",O225="Lost"),N(Q225)&gt;=Settings!$S$3),"",P225+Settings!$S$2)</f>
        <v/>
      </c>
      <c r="S225" s="38"/>
      <c r="T225" s="39"/>
      <c r="U225" s="17"/>
      <c r="V225" s="17"/>
      <c r="W225" s="17"/>
      <c r="X225" s="43" t="str">
        <f aca="true">IF(OR(D225="",B225=""),"",INT(TODAY()-B225))</f>
        <v/>
      </c>
      <c r="Y225" s="44" t="str">
        <f aca="true">IF(D225="","",IF(OR(COUNTIFS(Clients!$C$2:$C$501,D225,Clients!$S$2:$S$501,"Paid")&gt;0,AND(H225&lt;&gt;"",COUNTIFS(Clients!$E$2:$E$501,H225,Clients!$S$2:$S$501,"Paid")&gt;0)),"⚠ Refunded before – no free video",IF(OR(O225="Contract signed + paid",O225="Closed – No response",O225="Lost"),"",IF(O225="","Set a stage",IF(N(Q225)&gt;=Settings!$S$3,"Close – 4 follow-ups sent",IF(R225="",IF(P225="","Make first contact",""),IF(TODAY()&gt;R225,"OVERDUE follow-up",IF(TODAY()=R225,"Follow up today",""))))))))</f>
        <v/>
      </c>
    </row>
    <row r="226" customFormat="false" ht="15" hidden="false" customHeight="false" outlineLevel="0" collapsed="false">
      <c r="A226" s="17"/>
      <c r="B226" s="38"/>
      <c r="C226" s="17"/>
      <c r="D226" s="17"/>
      <c r="E226" s="17"/>
      <c r="F226" s="17"/>
      <c r="G226" s="17"/>
      <c r="H226" s="40"/>
      <c r="I226" s="17"/>
      <c r="J226" s="17"/>
      <c r="K226" s="17"/>
      <c r="L226" s="17"/>
      <c r="M226" s="17"/>
      <c r="N226" s="17"/>
      <c r="O226" s="17"/>
      <c r="P226" s="38"/>
      <c r="Q226" s="17"/>
      <c r="R226" s="42" t="str">
        <f aca="false">IF(OR(D226="",P226="",OR(O226="Contract signed + paid",O226="Closed – No response",O226="Lost"),N(Q226)&gt;=Settings!$S$3),"",P226+Settings!$S$2)</f>
        <v/>
      </c>
      <c r="S226" s="38"/>
      <c r="T226" s="39"/>
      <c r="U226" s="17"/>
      <c r="V226" s="17"/>
      <c r="W226" s="17"/>
      <c r="X226" s="43" t="str">
        <f aca="true">IF(OR(D226="",B226=""),"",INT(TODAY()-B226))</f>
        <v/>
      </c>
      <c r="Y226" s="44" t="str">
        <f aca="true">IF(D226="","",IF(OR(COUNTIFS(Clients!$C$2:$C$501,D226,Clients!$S$2:$S$501,"Paid")&gt;0,AND(H226&lt;&gt;"",COUNTIFS(Clients!$E$2:$E$501,H226,Clients!$S$2:$S$501,"Paid")&gt;0)),"⚠ Refunded before – no free video",IF(OR(O226="Contract signed + paid",O226="Closed – No response",O226="Lost"),"",IF(O226="","Set a stage",IF(N(Q226)&gt;=Settings!$S$3,"Close – 4 follow-ups sent",IF(R226="",IF(P226="","Make first contact",""),IF(TODAY()&gt;R226,"OVERDUE follow-up",IF(TODAY()=R226,"Follow up today",""))))))))</f>
        <v/>
      </c>
    </row>
    <row r="227" customFormat="false" ht="15" hidden="false" customHeight="false" outlineLevel="0" collapsed="false">
      <c r="A227" s="17"/>
      <c r="B227" s="38"/>
      <c r="C227" s="17"/>
      <c r="D227" s="17"/>
      <c r="E227" s="17"/>
      <c r="F227" s="17"/>
      <c r="G227" s="17"/>
      <c r="H227" s="40"/>
      <c r="I227" s="17"/>
      <c r="J227" s="17"/>
      <c r="K227" s="17"/>
      <c r="L227" s="17"/>
      <c r="M227" s="17"/>
      <c r="N227" s="17"/>
      <c r="O227" s="17"/>
      <c r="P227" s="38"/>
      <c r="Q227" s="17"/>
      <c r="R227" s="42" t="str">
        <f aca="false">IF(OR(D227="",P227="",OR(O227="Contract signed + paid",O227="Closed – No response",O227="Lost"),N(Q227)&gt;=Settings!$S$3),"",P227+Settings!$S$2)</f>
        <v/>
      </c>
      <c r="S227" s="38"/>
      <c r="T227" s="39"/>
      <c r="U227" s="17"/>
      <c r="V227" s="17"/>
      <c r="W227" s="17"/>
      <c r="X227" s="43" t="str">
        <f aca="true">IF(OR(D227="",B227=""),"",INT(TODAY()-B227))</f>
        <v/>
      </c>
      <c r="Y227" s="44" t="str">
        <f aca="true">IF(D227="","",IF(OR(COUNTIFS(Clients!$C$2:$C$501,D227,Clients!$S$2:$S$501,"Paid")&gt;0,AND(H227&lt;&gt;"",COUNTIFS(Clients!$E$2:$E$501,H227,Clients!$S$2:$S$501,"Paid")&gt;0)),"⚠ Refunded before – no free video",IF(OR(O227="Contract signed + paid",O227="Closed – No response",O227="Lost"),"",IF(O227="","Set a stage",IF(N(Q227)&gt;=Settings!$S$3,"Close – 4 follow-ups sent",IF(R227="",IF(P227="","Make first contact",""),IF(TODAY()&gt;R227,"OVERDUE follow-up",IF(TODAY()=R227,"Follow up today",""))))))))</f>
        <v/>
      </c>
    </row>
    <row r="228" customFormat="false" ht="15" hidden="false" customHeight="false" outlineLevel="0" collapsed="false">
      <c r="A228" s="17"/>
      <c r="B228" s="38"/>
      <c r="C228" s="17"/>
      <c r="D228" s="17"/>
      <c r="E228" s="17"/>
      <c r="F228" s="17"/>
      <c r="G228" s="17"/>
      <c r="H228" s="40"/>
      <c r="I228" s="17"/>
      <c r="J228" s="17"/>
      <c r="K228" s="17"/>
      <c r="L228" s="17"/>
      <c r="M228" s="17"/>
      <c r="N228" s="17"/>
      <c r="O228" s="17"/>
      <c r="P228" s="38"/>
      <c r="Q228" s="17"/>
      <c r="R228" s="42" t="str">
        <f aca="false">IF(OR(D228="",P228="",OR(O228="Contract signed + paid",O228="Closed – No response",O228="Lost"),N(Q228)&gt;=Settings!$S$3),"",P228+Settings!$S$2)</f>
        <v/>
      </c>
      <c r="S228" s="38"/>
      <c r="T228" s="39"/>
      <c r="U228" s="17"/>
      <c r="V228" s="17"/>
      <c r="W228" s="17"/>
      <c r="X228" s="43" t="str">
        <f aca="true">IF(OR(D228="",B228=""),"",INT(TODAY()-B228))</f>
        <v/>
      </c>
      <c r="Y228" s="44" t="str">
        <f aca="true">IF(D228="","",IF(OR(COUNTIFS(Clients!$C$2:$C$501,D228,Clients!$S$2:$S$501,"Paid")&gt;0,AND(H228&lt;&gt;"",COUNTIFS(Clients!$E$2:$E$501,H228,Clients!$S$2:$S$501,"Paid")&gt;0)),"⚠ Refunded before – no free video",IF(OR(O228="Contract signed + paid",O228="Closed – No response",O228="Lost"),"",IF(O228="","Set a stage",IF(N(Q228)&gt;=Settings!$S$3,"Close – 4 follow-ups sent",IF(R228="",IF(P228="","Make first contact",""),IF(TODAY()&gt;R228,"OVERDUE follow-up",IF(TODAY()=R228,"Follow up today",""))))))))</f>
        <v/>
      </c>
    </row>
    <row r="229" customFormat="false" ht="15" hidden="false" customHeight="false" outlineLevel="0" collapsed="false">
      <c r="A229" s="17"/>
      <c r="B229" s="38"/>
      <c r="C229" s="17"/>
      <c r="D229" s="17"/>
      <c r="E229" s="17"/>
      <c r="F229" s="17"/>
      <c r="G229" s="17"/>
      <c r="H229" s="40"/>
      <c r="I229" s="17"/>
      <c r="J229" s="17"/>
      <c r="K229" s="17"/>
      <c r="L229" s="17"/>
      <c r="M229" s="17"/>
      <c r="N229" s="17"/>
      <c r="O229" s="17"/>
      <c r="P229" s="38"/>
      <c r="Q229" s="17"/>
      <c r="R229" s="42" t="str">
        <f aca="false">IF(OR(D229="",P229="",OR(O229="Contract signed + paid",O229="Closed – No response",O229="Lost"),N(Q229)&gt;=Settings!$S$3),"",P229+Settings!$S$2)</f>
        <v/>
      </c>
      <c r="S229" s="38"/>
      <c r="T229" s="39"/>
      <c r="U229" s="17"/>
      <c r="V229" s="17"/>
      <c r="W229" s="17"/>
      <c r="X229" s="43" t="str">
        <f aca="true">IF(OR(D229="",B229=""),"",INT(TODAY()-B229))</f>
        <v/>
      </c>
      <c r="Y229" s="44" t="str">
        <f aca="true">IF(D229="","",IF(OR(COUNTIFS(Clients!$C$2:$C$501,D229,Clients!$S$2:$S$501,"Paid")&gt;0,AND(H229&lt;&gt;"",COUNTIFS(Clients!$E$2:$E$501,H229,Clients!$S$2:$S$501,"Paid")&gt;0)),"⚠ Refunded before – no free video",IF(OR(O229="Contract signed + paid",O229="Closed – No response",O229="Lost"),"",IF(O229="","Set a stage",IF(N(Q229)&gt;=Settings!$S$3,"Close – 4 follow-ups sent",IF(R229="",IF(P229="","Make first contact",""),IF(TODAY()&gt;R229,"OVERDUE follow-up",IF(TODAY()=R229,"Follow up today",""))))))))</f>
        <v/>
      </c>
    </row>
    <row r="230" customFormat="false" ht="15" hidden="false" customHeight="false" outlineLevel="0" collapsed="false">
      <c r="A230" s="17"/>
      <c r="B230" s="38"/>
      <c r="C230" s="17"/>
      <c r="D230" s="17"/>
      <c r="E230" s="17"/>
      <c r="F230" s="17"/>
      <c r="G230" s="17"/>
      <c r="H230" s="40"/>
      <c r="I230" s="17"/>
      <c r="J230" s="17"/>
      <c r="K230" s="17"/>
      <c r="L230" s="17"/>
      <c r="M230" s="17"/>
      <c r="N230" s="17"/>
      <c r="O230" s="17"/>
      <c r="P230" s="38"/>
      <c r="Q230" s="17"/>
      <c r="R230" s="42" t="str">
        <f aca="false">IF(OR(D230="",P230="",OR(O230="Contract signed + paid",O230="Closed – No response",O230="Lost"),N(Q230)&gt;=Settings!$S$3),"",P230+Settings!$S$2)</f>
        <v/>
      </c>
      <c r="S230" s="38"/>
      <c r="T230" s="39"/>
      <c r="U230" s="17"/>
      <c r="V230" s="17"/>
      <c r="W230" s="17"/>
      <c r="X230" s="43" t="str">
        <f aca="true">IF(OR(D230="",B230=""),"",INT(TODAY()-B230))</f>
        <v/>
      </c>
      <c r="Y230" s="44" t="str">
        <f aca="true">IF(D230="","",IF(OR(COUNTIFS(Clients!$C$2:$C$501,D230,Clients!$S$2:$S$501,"Paid")&gt;0,AND(H230&lt;&gt;"",COUNTIFS(Clients!$E$2:$E$501,H230,Clients!$S$2:$S$501,"Paid")&gt;0)),"⚠ Refunded before – no free video",IF(OR(O230="Contract signed + paid",O230="Closed – No response",O230="Lost"),"",IF(O230="","Set a stage",IF(N(Q230)&gt;=Settings!$S$3,"Close – 4 follow-ups sent",IF(R230="",IF(P230="","Make first contact",""),IF(TODAY()&gt;R230,"OVERDUE follow-up",IF(TODAY()=R230,"Follow up today",""))))))))</f>
        <v/>
      </c>
    </row>
    <row r="231" customFormat="false" ht="15" hidden="false" customHeight="false" outlineLevel="0" collapsed="false">
      <c r="A231" s="17"/>
      <c r="B231" s="38"/>
      <c r="C231" s="17"/>
      <c r="D231" s="17"/>
      <c r="E231" s="17"/>
      <c r="F231" s="17"/>
      <c r="G231" s="17"/>
      <c r="H231" s="40"/>
      <c r="I231" s="17"/>
      <c r="J231" s="17"/>
      <c r="K231" s="17"/>
      <c r="L231" s="17"/>
      <c r="M231" s="17"/>
      <c r="N231" s="17"/>
      <c r="O231" s="17"/>
      <c r="P231" s="38"/>
      <c r="Q231" s="17"/>
      <c r="R231" s="42" t="str">
        <f aca="false">IF(OR(D231="",P231="",OR(O231="Contract signed + paid",O231="Closed – No response",O231="Lost"),N(Q231)&gt;=Settings!$S$3),"",P231+Settings!$S$2)</f>
        <v/>
      </c>
      <c r="S231" s="38"/>
      <c r="T231" s="39"/>
      <c r="U231" s="17"/>
      <c r="V231" s="17"/>
      <c r="W231" s="17"/>
      <c r="X231" s="43" t="str">
        <f aca="true">IF(OR(D231="",B231=""),"",INT(TODAY()-B231))</f>
        <v/>
      </c>
      <c r="Y231" s="44" t="str">
        <f aca="true">IF(D231="","",IF(OR(COUNTIFS(Clients!$C$2:$C$501,D231,Clients!$S$2:$S$501,"Paid")&gt;0,AND(H231&lt;&gt;"",COUNTIFS(Clients!$E$2:$E$501,H231,Clients!$S$2:$S$501,"Paid")&gt;0)),"⚠ Refunded before – no free video",IF(OR(O231="Contract signed + paid",O231="Closed – No response",O231="Lost"),"",IF(O231="","Set a stage",IF(N(Q231)&gt;=Settings!$S$3,"Close – 4 follow-ups sent",IF(R231="",IF(P231="","Make first contact",""),IF(TODAY()&gt;R231,"OVERDUE follow-up",IF(TODAY()=R231,"Follow up today",""))))))))</f>
        <v/>
      </c>
    </row>
    <row r="232" customFormat="false" ht="15" hidden="false" customHeight="false" outlineLevel="0" collapsed="false">
      <c r="A232" s="17"/>
      <c r="B232" s="38"/>
      <c r="C232" s="17"/>
      <c r="D232" s="17"/>
      <c r="E232" s="17"/>
      <c r="F232" s="17"/>
      <c r="G232" s="17"/>
      <c r="H232" s="40"/>
      <c r="I232" s="17"/>
      <c r="J232" s="17"/>
      <c r="K232" s="17"/>
      <c r="L232" s="17"/>
      <c r="M232" s="17"/>
      <c r="N232" s="17"/>
      <c r="O232" s="17"/>
      <c r="P232" s="38"/>
      <c r="Q232" s="17"/>
      <c r="R232" s="42" t="str">
        <f aca="false">IF(OR(D232="",P232="",OR(O232="Contract signed + paid",O232="Closed – No response",O232="Lost"),N(Q232)&gt;=Settings!$S$3),"",P232+Settings!$S$2)</f>
        <v/>
      </c>
      <c r="S232" s="38"/>
      <c r="T232" s="39"/>
      <c r="U232" s="17"/>
      <c r="V232" s="17"/>
      <c r="W232" s="17"/>
      <c r="X232" s="43" t="str">
        <f aca="true">IF(OR(D232="",B232=""),"",INT(TODAY()-B232))</f>
        <v/>
      </c>
      <c r="Y232" s="44" t="str">
        <f aca="true">IF(D232="","",IF(OR(COUNTIFS(Clients!$C$2:$C$501,D232,Clients!$S$2:$S$501,"Paid")&gt;0,AND(H232&lt;&gt;"",COUNTIFS(Clients!$E$2:$E$501,H232,Clients!$S$2:$S$501,"Paid")&gt;0)),"⚠ Refunded before – no free video",IF(OR(O232="Contract signed + paid",O232="Closed – No response",O232="Lost"),"",IF(O232="","Set a stage",IF(N(Q232)&gt;=Settings!$S$3,"Close – 4 follow-ups sent",IF(R232="",IF(P232="","Make first contact",""),IF(TODAY()&gt;R232,"OVERDUE follow-up",IF(TODAY()=R232,"Follow up today",""))))))))</f>
        <v/>
      </c>
    </row>
    <row r="233" customFormat="false" ht="15" hidden="false" customHeight="false" outlineLevel="0" collapsed="false">
      <c r="A233" s="17"/>
      <c r="B233" s="38"/>
      <c r="C233" s="17"/>
      <c r="D233" s="17"/>
      <c r="E233" s="17"/>
      <c r="F233" s="17"/>
      <c r="G233" s="17"/>
      <c r="H233" s="40"/>
      <c r="I233" s="17"/>
      <c r="J233" s="17"/>
      <c r="K233" s="17"/>
      <c r="L233" s="17"/>
      <c r="M233" s="17"/>
      <c r="N233" s="17"/>
      <c r="O233" s="17"/>
      <c r="P233" s="38"/>
      <c r="Q233" s="17"/>
      <c r="R233" s="42" t="str">
        <f aca="false">IF(OR(D233="",P233="",OR(O233="Contract signed + paid",O233="Closed – No response",O233="Lost"),N(Q233)&gt;=Settings!$S$3),"",P233+Settings!$S$2)</f>
        <v/>
      </c>
      <c r="S233" s="38"/>
      <c r="T233" s="39"/>
      <c r="U233" s="17"/>
      <c r="V233" s="17"/>
      <c r="W233" s="17"/>
      <c r="X233" s="43" t="str">
        <f aca="true">IF(OR(D233="",B233=""),"",INT(TODAY()-B233))</f>
        <v/>
      </c>
      <c r="Y233" s="44" t="str">
        <f aca="true">IF(D233="","",IF(OR(COUNTIFS(Clients!$C$2:$C$501,D233,Clients!$S$2:$S$501,"Paid")&gt;0,AND(H233&lt;&gt;"",COUNTIFS(Clients!$E$2:$E$501,H233,Clients!$S$2:$S$501,"Paid")&gt;0)),"⚠ Refunded before – no free video",IF(OR(O233="Contract signed + paid",O233="Closed – No response",O233="Lost"),"",IF(O233="","Set a stage",IF(N(Q233)&gt;=Settings!$S$3,"Close – 4 follow-ups sent",IF(R233="",IF(P233="","Make first contact",""),IF(TODAY()&gt;R233,"OVERDUE follow-up",IF(TODAY()=R233,"Follow up today",""))))))))</f>
        <v/>
      </c>
    </row>
    <row r="234" customFormat="false" ht="15" hidden="false" customHeight="false" outlineLevel="0" collapsed="false">
      <c r="A234" s="17"/>
      <c r="B234" s="38"/>
      <c r="C234" s="17"/>
      <c r="D234" s="17"/>
      <c r="E234" s="17"/>
      <c r="F234" s="17"/>
      <c r="G234" s="17"/>
      <c r="H234" s="40"/>
      <c r="I234" s="17"/>
      <c r="J234" s="17"/>
      <c r="K234" s="17"/>
      <c r="L234" s="17"/>
      <c r="M234" s="17"/>
      <c r="N234" s="17"/>
      <c r="O234" s="17"/>
      <c r="P234" s="38"/>
      <c r="Q234" s="17"/>
      <c r="R234" s="42" t="str">
        <f aca="false">IF(OR(D234="",P234="",OR(O234="Contract signed + paid",O234="Closed – No response",O234="Lost"),N(Q234)&gt;=Settings!$S$3),"",P234+Settings!$S$2)</f>
        <v/>
      </c>
      <c r="S234" s="38"/>
      <c r="T234" s="39"/>
      <c r="U234" s="17"/>
      <c r="V234" s="17"/>
      <c r="W234" s="17"/>
      <c r="X234" s="43" t="str">
        <f aca="true">IF(OR(D234="",B234=""),"",INT(TODAY()-B234))</f>
        <v/>
      </c>
      <c r="Y234" s="44" t="str">
        <f aca="true">IF(D234="","",IF(OR(COUNTIFS(Clients!$C$2:$C$501,D234,Clients!$S$2:$S$501,"Paid")&gt;0,AND(H234&lt;&gt;"",COUNTIFS(Clients!$E$2:$E$501,H234,Clients!$S$2:$S$501,"Paid")&gt;0)),"⚠ Refunded before – no free video",IF(OR(O234="Contract signed + paid",O234="Closed – No response",O234="Lost"),"",IF(O234="","Set a stage",IF(N(Q234)&gt;=Settings!$S$3,"Close – 4 follow-ups sent",IF(R234="",IF(P234="","Make first contact",""),IF(TODAY()&gt;R234,"OVERDUE follow-up",IF(TODAY()=R234,"Follow up today",""))))))))</f>
        <v/>
      </c>
    </row>
    <row r="235" customFormat="false" ht="15" hidden="false" customHeight="false" outlineLevel="0" collapsed="false">
      <c r="A235" s="17"/>
      <c r="B235" s="38"/>
      <c r="C235" s="17"/>
      <c r="D235" s="17"/>
      <c r="E235" s="17"/>
      <c r="F235" s="17"/>
      <c r="G235" s="17"/>
      <c r="H235" s="40"/>
      <c r="I235" s="17"/>
      <c r="J235" s="17"/>
      <c r="K235" s="17"/>
      <c r="L235" s="17"/>
      <c r="M235" s="17"/>
      <c r="N235" s="17"/>
      <c r="O235" s="17"/>
      <c r="P235" s="38"/>
      <c r="Q235" s="17"/>
      <c r="R235" s="42" t="str">
        <f aca="false">IF(OR(D235="",P235="",OR(O235="Contract signed + paid",O235="Closed – No response",O235="Lost"),N(Q235)&gt;=Settings!$S$3),"",P235+Settings!$S$2)</f>
        <v/>
      </c>
      <c r="S235" s="38"/>
      <c r="T235" s="39"/>
      <c r="U235" s="17"/>
      <c r="V235" s="17"/>
      <c r="W235" s="17"/>
      <c r="X235" s="43" t="str">
        <f aca="true">IF(OR(D235="",B235=""),"",INT(TODAY()-B235))</f>
        <v/>
      </c>
      <c r="Y235" s="44" t="str">
        <f aca="true">IF(D235="","",IF(OR(COUNTIFS(Clients!$C$2:$C$501,D235,Clients!$S$2:$S$501,"Paid")&gt;0,AND(H235&lt;&gt;"",COUNTIFS(Clients!$E$2:$E$501,H235,Clients!$S$2:$S$501,"Paid")&gt;0)),"⚠ Refunded before – no free video",IF(OR(O235="Contract signed + paid",O235="Closed – No response",O235="Lost"),"",IF(O235="","Set a stage",IF(N(Q235)&gt;=Settings!$S$3,"Close – 4 follow-ups sent",IF(R235="",IF(P235="","Make first contact",""),IF(TODAY()&gt;R235,"OVERDUE follow-up",IF(TODAY()=R235,"Follow up today",""))))))))</f>
        <v/>
      </c>
    </row>
    <row r="236" customFormat="false" ht="15" hidden="false" customHeight="false" outlineLevel="0" collapsed="false">
      <c r="A236" s="17"/>
      <c r="B236" s="38"/>
      <c r="C236" s="17"/>
      <c r="D236" s="17"/>
      <c r="E236" s="17"/>
      <c r="F236" s="17"/>
      <c r="G236" s="17"/>
      <c r="H236" s="40"/>
      <c r="I236" s="17"/>
      <c r="J236" s="17"/>
      <c r="K236" s="17"/>
      <c r="L236" s="17"/>
      <c r="M236" s="17"/>
      <c r="N236" s="17"/>
      <c r="O236" s="17"/>
      <c r="P236" s="38"/>
      <c r="Q236" s="17"/>
      <c r="R236" s="42" t="str">
        <f aca="false">IF(OR(D236="",P236="",OR(O236="Contract signed + paid",O236="Closed – No response",O236="Lost"),N(Q236)&gt;=Settings!$S$3),"",P236+Settings!$S$2)</f>
        <v/>
      </c>
      <c r="S236" s="38"/>
      <c r="T236" s="39"/>
      <c r="U236" s="17"/>
      <c r="V236" s="17"/>
      <c r="W236" s="17"/>
      <c r="X236" s="43" t="str">
        <f aca="true">IF(OR(D236="",B236=""),"",INT(TODAY()-B236))</f>
        <v/>
      </c>
      <c r="Y236" s="44" t="str">
        <f aca="true">IF(D236="","",IF(OR(COUNTIFS(Clients!$C$2:$C$501,D236,Clients!$S$2:$S$501,"Paid")&gt;0,AND(H236&lt;&gt;"",COUNTIFS(Clients!$E$2:$E$501,H236,Clients!$S$2:$S$501,"Paid")&gt;0)),"⚠ Refunded before – no free video",IF(OR(O236="Contract signed + paid",O236="Closed – No response",O236="Lost"),"",IF(O236="","Set a stage",IF(N(Q236)&gt;=Settings!$S$3,"Close – 4 follow-ups sent",IF(R236="",IF(P236="","Make first contact",""),IF(TODAY()&gt;R236,"OVERDUE follow-up",IF(TODAY()=R236,"Follow up today",""))))))))</f>
        <v/>
      </c>
    </row>
    <row r="237" customFormat="false" ht="15" hidden="false" customHeight="false" outlineLevel="0" collapsed="false">
      <c r="A237" s="17"/>
      <c r="B237" s="38"/>
      <c r="C237" s="17"/>
      <c r="D237" s="17"/>
      <c r="E237" s="17"/>
      <c r="F237" s="17"/>
      <c r="G237" s="17"/>
      <c r="H237" s="40"/>
      <c r="I237" s="17"/>
      <c r="J237" s="17"/>
      <c r="K237" s="17"/>
      <c r="L237" s="17"/>
      <c r="M237" s="17"/>
      <c r="N237" s="17"/>
      <c r="O237" s="17"/>
      <c r="P237" s="38"/>
      <c r="Q237" s="17"/>
      <c r="R237" s="42" t="str">
        <f aca="false">IF(OR(D237="",P237="",OR(O237="Contract signed + paid",O237="Closed – No response",O237="Lost"),N(Q237)&gt;=Settings!$S$3),"",P237+Settings!$S$2)</f>
        <v/>
      </c>
      <c r="S237" s="38"/>
      <c r="T237" s="39"/>
      <c r="U237" s="17"/>
      <c r="V237" s="17"/>
      <c r="W237" s="17"/>
      <c r="X237" s="43" t="str">
        <f aca="true">IF(OR(D237="",B237=""),"",INT(TODAY()-B237))</f>
        <v/>
      </c>
      <c r="Y237" s="44" t="str">
        <f aca="true">IF(D237="","",IF(OR(COUNTIFS(Clients!$C$2:$C$501,D237,Clients!$S$2:$S$501,"Paid")&gt;0,AND(H237&lt;&gt;"",COUNTIFS(Clients!$E$2:$E$501,H237,Clients!$S$2:$S$501,"Paid")&gt;0)),"⚠ Refunded before – no free video",IF(OR(O237="Contract signed + paid",O237="Closed – No response",O237="Lost"),"",IF(O237="","Set a stage",IF(N(Q237)&gt;=Settings!$S$3,"Close – 4 follow-ups sent",IF(R237="",IF(P237="","Make first contact",""),IF(TODAY()&gt;R237,"OVERDUE follow-up",IF(TODAY()=R237,"Follow up today",""))))))))</f>
        <v/>
      </c>
    </row>
    <row r="238" customFormat="false" ht="15" hidden="false" customHeight="false" outlineLevel="0" collapsed="false">
      <c r="A238" s="17"/>
      <c r="B238" s="38"/>
      <c r="C238" s="17"/>
      <c r="D238" s="17"/>
      <c r="E238" s="17"/>
      <c r="F238" s="17"/>
      <c r="G238" s="17"/>
      <c r="H238" s="40"/>
      <c r="I238" s="17"/>
      <c r="J238" s="17"/>
      <c r="K238" s="17"/>
      <c r="L238" s="17"/>
      <c r="M238" s="17"/>
      <c r="N238" s="17"/>
      <c r="O238" s="17"/>
      <c r="P238" s="38"/>
      <c r="Q238" s="17"/>
      <c r="R238" s="42" t="str">
        <f aca="false">IF(OR(D238="",P238="",OR(O238="Contract signed + paid",O238="Closed – No response",O238="Lost"),N(Q238)&gt;=Settings!$S$3),"",P238+Settings!$S$2)</f>
        <v/>
      </c>
      <c r="S238" s="38"/>
      <c r="T238" s="39"/>
      <c r="U238" s="17"/>
      <c r="V238" s="17"/>
      <c r="W238" s="17"/>
      <c r="X238" s="43" t="str">
        <f aca="true">IF(OR(D238="",B238=""),"",INT(TODAY()-B238))</f>
        <v/>
      </c>
      <c r="Y238" s="44" t="str">
        <f aca="true">IF(D238="","",IF(OR(COUNTIFS(Clients!$C$2:$C$501,D238,Clients!$S$2:$S$501,"Paid")&gt;0,AND(H238&lt;&gt;"",COUNTIFS(Clients!$E$2:$E$501,H238,Clients!$S$2:$S$501,"Paid")&gt;0)),"⚠ Refunded before – no free video",IF(OR(O238="Contract signed + paid",O238="Closed – No response",O238="Lost"),"",IF(O238="","Set a stage",IF(N(Q238)&gt;=Settings!$S$3,"Close – 4 follow-ups sent",IF(R238="",IF(P238="","Make first contact",""),IF(TODAY()&gt;R238,"OVERDUE follow-up",IF(TODAY()=R238,"Follow up today",""))))))))</f>
        <v/>
      </c>
    </row>
    <row r="239" customFormat="false" ht="15" hidden="false" customHeight="false" outlineLevel="0" collapsed="false">
      <c r="A239" s="17"/>
      <c r="B239" s="38"/>
      <c r="C239" s="17"/>
      <c r="D239" s="17"/>
      <c r="E239" s="17"/>
      <c r="F239" s="17"/>
      <c r="G239" s="17"/>
      <c r="H239" s="40"/>
      <c r="I239" s="17"/>
      <c r="J239" s="17"/>
      <c r="K239" s="17"/>
      <c r="L239" s="17"/>
      <c r="M239" s="17"/>
      <c r="N239" s="17"/>
      <c r="O239" s="17"/>
      <c r="P239" s="38"/>
      <c r="Q239" s="17"/>
      <c r="R239" s="42" t="str">
        <f aca="false">IF(OR(D239="",P239="",OR(O239="Contract signed + paid",O239="Closed – No response",O239="Lost"),N(Q239)&gt;=Settings!$S$3),"",P239+Settings!$S$2)</f>
        <v/>
      </c>
      <c r="S239" s="38"/>
      <c r="T239" s="39"/>
      <c r="U239" s="17"/>
      <c r="V239" s="17"/>
      <c r="W239" s="17"/>
      <c r="X239" s="43" t="str">
        <f aca="true">IF(OR(D239="",B239=""),"",INT(TODAY()-B239))</f>
        <v/>
      </c>
      <c r="Y239" s="44" t="str">
        <f aca="true">IF(D239="","",IF(OR(COUNTIFS(Clients!$C$2:$C$501,D239,Clients!$S$2:$S$501,"Paid")&gt;0,AND(H239&lt;&gt;"",COUNTIFS(Clients!$E$2:$E$501,H239,Clients!$S$2:$S$501,"Paid")&gt;0)),"⚠ Refunded before – no free video",IF(OR(O239="Contract signed + paid",O239="Closed – No response",O239="Lost"),"",IF(O239="","Set a stage",IF(N(Q239)&gt;=Settings!$S$3,"Close – 4 follow-ups sent",IF(R239="",IF(P239="","Make first contact",""),IF(TODAY()&gt;R239,"OVERDUE follow-up",IF(TODAY()=R239,"Follow up today",""))))))))</f>
        <v/>
      </c>
    </row>
    <row r="240" customFormat="false" ht="15" hidden="false" customHeight="false" outlineLevel="0" collapsed="false">
      <c r="A240" s="17"/>
      <c r="B240" s="38"/>
      <c r="C240" s="17"/>
      <c r="D240" s="17"/>
      <c r="E240" s="17"/>
      <c r="F240" s="17"/>
      <c r="G240" s="17"/>
      <c r="H240" s="40"/>
      <c r="I240" s="17"/>
      <c r="J240" s="17"/>
      <c r="K240" s="17"/>
      <c r="L240" s="17"/>
      <c r="M240" s="17"/>
      <c r="N240" s="17"/>
      <c r="O240" s="17"/>
      <c r="P240" s="38"/>
      <c r="Q240" s="17"/>
      <c r="R240" s="42" t="str">
        <f aca="false">IF(OR(D240="",P240="",OR(O240="Contract signed + paid",O240="Closed – No response",O240="Lost"),N(Q240)&gt;=Settings!$S$3),"",P240+Settings!$S$2)</f>
        <v/>
      </c>
      <c r="S240" s="38"/>
      <c r="T240" s="39"/>
      <c r="U240" s="17"/>
      <c r="V240" s="17"/>
      <c r="W240" s="17"/>
      <c r="X240" s="43" t="str">
        <f aca="true">IF(OR(D240="",B240=""),"",INT(TODAY()-B240))</f>
        <v/>
      </c>
      <c r="Y240" s="44" t="str">
        <f aca="true">IF(D240="","",IF(OR(COUNTIFS(Clients!$C$2:$C$501,D240,Clients!$S$2:$S$501,"Paid")&gt;0,AND(H240&lt;&gt;"",COUNTIFS(Clients!$E$2:$E$501,H240,Clients!$S$2:$S$501,"Paid")&gt;0)),"⚠ Refunded before – no free video",IF(OR(O240="Contract signed + paid",O240="Closed – No response",O240="Lost"),"",IF(O240="","Set a stage",IF(N(Q240)&gt;=Settings!$S$3,"Close – 4 follow-ups sent",IF(R240="",IF(P240="","Make first contact",""),IF(TODAY()&gt;R240,"OVERDUE follow-up",IF(TODAY()=R240,"Follow up today",""))))))))</f>
        <v/>
      </c>
    </row>
    <row r="241" customFormat="false" ht="15" hidden="false" customHeight="false" outlineLevel="0" collapsed="false">
      <c r="A241" s="17"/>
      <c r="B241" s="38"/>
      <c r="C241" s="17"/>
      <c r="D241" s="17"/>
      <c r="E241" s="17"/>
      <c r="F241" s="17"/>
      <c r="G241" s="17"/>
      <c r="H241" s="40"/>
      <c r="I241" s="17"/>
      <c r="J241" s="17"/>
      <c r="K241" s="17"/>
      <c r="L241" s="17"/>
      <c r="M241" s="17"/>
      <c r="N241" s="17"/>
      <c r="O241" s="17"/>
      <c r="P241" s="38"/>
      <c r="Q241" s="17"/>
      <c r="R241" s="42" t="str">
        <f aca="false">IF(OR(D241="",P241="",OR(O241="Contract signed + paid",O241="Closed – No response",O241="Lost"),N(Q241)&gt;=Settings!$S$3),"",P241+Settings!$S$2)</f>
        <v/>
      </c>
      <c r="S241" s="38"/>
      <c r="T241" s="39"/>
      <c r="U241" s="17"/>
      <c r="V241" s="17"/>
      <c r="W241" s="17"/>
      <c r="X241" s="43" t="str">
        <f aca="true">IF(OR(D241="",B241=""),"",INT(TODAY()-B241))</f>
        <v/>
      </c>
      <c r="Y241" s="44" t="str">
        <f aca="true">IF(D241="","",IF(OR(COUNTIFS(Clients!$C$2:$C$501,D241,Clients!$S$2:$S$501,"Paid")&gt;0,AND(H241&lt;&gt;"",COUNTIFS(Clients!$E$2:$E$501,H241,Clients!$S$2:$S$501,"Paid")&gt;0)),"⚠ Refunded before – no free video",IF(OR(O241="Contract signed + paid",O241="Closed – No response",O241="Lost"),"",IF(O241="","Set a stage",IF(N(Q241)&gt;=Settings!$S$3,"Close – 4 follow-ups sent",IF(R241="",IF(P241="","Make first contact",""),IF(TODAY()&gt;R241,"OVERDUE follow-up",IF(TODAY()=R241,"Follow up today",""))))))))</f>
        <v/>
      </c>
    </row>
    <row r="242" customFormat="false" ht="15" hidden="false" customHeight="false" outlineLevel="0" collapsed="false">
      <c r="A242" s="17"/>
      <c r="B242" s="38"/>
      <c r="C242" s="17"/>
      <c r="D242" s="17"/>
      <c r="E242" s="17"/>
      <c r="F242" s="17"/>
      <c r="G242" s="17"/>
      <c r="H242" s="40"/>
      <c r="I242" s="17"/>
      <c r="J242" s="17"/>
      <c r="K242" s="17"/>
      <c r="L242" s="17"/>
      <c r="M242" s="17"/>
      <c r="N242" s="17"/>
      <c r="O242" s="17"/>
      <c r="P242" s="38"/>
      <c r="Q242" s="17"/>
      <c r="R242" s="42" t="str">
        <f aca="false">IF(OR(D242="",P242="",OR(O242="Contract signed + paid",O242="Closed – No response",O242="Lost"),N(Q242)&gt;=Settings!$S$3),"",P242+Settings!$S$2)</f>
        <v/>
      </c>
      <c r="S242" s="38"/>
      <c r="T242" s="39"/>
      <c r="U242" s="17"/>
      <c r="V242" s="17"/>
      <c r="W242" s="17"/>
      <c r="X242" s="43" t="str">
        <f aca="true">IF(OR(D242="",B242=""),"",INT(TODAY()-B242))</f>
        <v/>
      </c>
      <c r="Y242" s="44" t="str">
        <f aca="true">IF(D242="","",IF(OR(COUNTIFS(Clients!$C$2:$C$501,D242,Clients!$S$2:$S$501,"Paid")&gt;0,AND(H242&lt;&gt;"",COUNTIFS(Clients!$E$2:$E$501,H242,Clients!$S$2:$S$501,"Paid")&gt;0)),"⚠ Refunded before – no free video",IF(OR(O242="Contract signed + paid",O242="Closed – No response",O242="Lost"),"",IF(O242="","Set a stage",IF(N(Q242)&gt;=Settings!$S$3,"Close – 4 follow-ups sent",IF(R242="",IF(P242="","Make first contact",""),IF(TODAY()&gt;R242,"OVERDUE follow-up",IF(TODAY()=R242,"Follow up today",""))))))))</f>
        <v/>
      </c>
    </row>
    <row r="243" customFormat="false" ht="15" hidden="false" customHeight="false" outlineLevel="0" collapsed="false">
      <c r="A243" s="17"/>
      <c r="B243" s="38"/>
      <c r="C243" s="17"/>
      <c r="D243" s="17"/>
      <c r="E243" s="17"/>
      <c r="F243" s="17"/>
      <c r="G243" s="17"/>
      <c r="H243" s="40"/>
      <c r="I243" s="17"/>
      <c r="J243" s="17"/>
      <c r="K243" s="17"/>
      <c r="L243" s="17"/>
      <c r="M243" s="17"/>
      <c r="N243" s="17"/>
      <c r="O243" s="17"/>
      <c r="P243" s="38"/>
      <c r="Q243" s="17"/>
      <c r="R243" s="42" t="str">
        <f aca="false">IF(OR(D243="",P243="",OR(O243="Contract signed + paid",O243="Closed – No response",O243="Lost"),N(Q243)&gt;=Settings!$S$3),"",P243+Settings!$S$2)</f>
        <v/>
      </c>
      <c r="S243" s="38"/>
      <c r="T243" s="39"/>
      <c r="U243" s="17"/>
      <c r="V243" s="17"/>
      <c r="W243" s="17"/>
      <c r="X243" s="43" t="str">
        <f aca="true">IF(OR(D243="",B243=""),"",INT(TODAY()-B243))</f>
        <v/>
      </c>
      <c r="Y243" s="44" t="str">
        <f aca="true">IF(D243="","",IF(OR(COUNTIFS(Clients!$C$2:$C$501,D243,Clients!$S$2:$S$501,"Paid")&gt;0,AND(H243&lt;&gt;"",COUNTIFS(Clients!$E$2:$E$501,H243,Clients!$S$2:$S$501,"Paid")&gt;0)),"⚠ Refunded before – no free video",IF(OR(O243="Contract signed + paid",O243="Closed – No response",O243="Lost"),"",IF(O243="","Set a stage",IF(N(Q243)&gt;=Settings!$S$3,"Close – 4 follow-ups sent",IF(R243="",IF(P243="","Make first contact",""),IF(TODAY()&gt;R243,"OVERDUE follow-up",IF(TODAY()=R243,"Follow up today",""))))))))</f>
        <v/>
      </c>
    </row>
    <row r="244" customFormat="false" ht="15" hidden="false" customHeight="false" outlineLevel="0" collapsed="false">
      <c r="A244" s="17"/>
      <c r="B244" s="38"/>
      <c r="C244" s="17"/>
      <c r="D244" s="17"/>
      <c r="E244" s="17"/>
      <c r="F244" s="17"/>
      <c r="G244" s="17"/>
      <c r="H244" s="40"/>
      <c r="I244" s="17"/>
      <c r="J244" s="17"/>
      <c r="K244" s="17"/>
      <c r="L244" s="17"/>
      <c r="M244" s="17"/>
      <c r="N244" s="17"/>
      <c r="O244" s="17"/>
      <c r="P244" s="38"/>
      <c r="Q244" s="17"/>
      <c r="R244" s="42" t="str">
        <f aca="false">IF(OR(D244="",P244="",OR(O244="Contract signed + paid",O244="Closed – No response",O244="Lost"),N(Q244)&gt;=Settings!$S$3),"",P244+Settings!$S$2)</f>
        <v/>
      </c>
      <c r="S244" s="38"/>
      <c r="T244" s="39"/>
      <c r="U244" s="17"/>
      <c r="V244" s="17"/>
      <c r="W244" s="17"/>
      <c r="X244" s="43" t="str">
        <f aca="true">IF(OR(D244="",B244=""),"",INT(TODAY()-B244))</f>
        <v/>
      </c>
      <c r="Y244" s="44" t="str">
        <f aca="true">IF(D244="","",IF(OR(COUNTIFS(Clients!$C$2:$C$501,D244,Clients!$S$2:$S$501,"Paid")&gt;0,AND(H244&lt;&gt;"",COUNTIFS(Clients!$E$2:$E$501,H244,Clients!$S$2:$S$501,"Paid")&gt;0)),"⚠ Refunded before – no free video",IF(OR(O244="Contract signed + paid",O244="Closed – No response",O244="Lost"),"",IF(O244="","Set a stage",IF(N(Q244)&gt;=Settings!$S$3,"Close – 4 follow-ups sent",IF(R244="",IF(P244="","Make first contact",""),IF(TODAY()&gt;R244,"OVERDUE follow-up",IF(TODAY()=R244,"Follow up today",""))))))))</f>
        <v/>
      </c>
    </row>
    <row r="245" customFormat="false" ht="15" hidden="false" customHeight="false" outlineLevel="0" collapsed="false">
      <c r="A245" s="17"/>
      <c r="B245" s="38"/>
      <c r="C245" s="17"/>
      <c r="D245" s="17"/>
      <c r="E245" s="17"/>
      <c r="F245" s="17"/>
      <c r="G245" s="17"/>
      <c r="H245" s="40"/>
      <c r="I245" s="17"/>
      <c r="J245" s="17"/>
      <c r="K245" s="17"/>
      <c r="L245" s="17"/>
      <c r="M245" s="17"/>
      <c r="N245" s="17"/>
      <c r="O245" s="17"/>
      <c r="P245" s="38"/>
      <c r="Q245" s="17"/>
      <c r="R245" s="42" t="str">
        <f aca="false">IF(OR(D245="",P245="",OR(O245="Contract signed + paid",O245="Closed – No response",O245="Lost"),N(Q245)&gt;=Settings!$S$3),"",P245+Settings!$S$2)</f>
        <v/>
      </c>
      <c r="S245" s="38"/>
      <c r="T245" s="39"/>
      <c r="U245" s="17"/>
      <c r="V245" s="17"/>
      <c r="W245" s="17"/>
      <c r="X245" s="43" t="str">
        <f aca="true">IF(OR(D245="",B245=""),"",INT(TODAY()-B245))</f>
        <v/>
      </c>
      <c r="Y245" s="44" t="str">
        <f aca="true">IF(D245="","",IF(OR(COUNTIFS(Clients!$C$2:$C$501,D245,Clients!$S$2:$S$501,"Paid")&gt;0,AND(H245&lt;&gt;"",COUNTIFS(Clients!$E$2:$E$501,H245,Clients!$S$2:$S$501,"Paid")&gt;0)),"⚠ Refunded before – no free video",IF(OR(O245="Contract signed + paid",O245="Closed – No response",O245="Lost"),"",IF(O245="","Set a stage",IF(N(Q245)&gt;=Settings!$S$3,"Close – 4 follow-ups sent",IF(R245="",IF(P245="","Make first contact",""),IF(TODAY()&gt;R245,"OVERDUE follow-up",IF(TODAY()=R245,"Follow up today",""))))))))</f>
        <v/>
      </c>
    </row>
    <row r="246" customFormat="false" ht="15" hidden="false" customHeight="false" outlineLevel="0" collapsed="false">
      <c r="A246" s="17"/>
      <c r="B246" s="38"/>
      <c r="C246" s="17"/>
      <c r="D246" s="17"/>
      <c r="E246" s="17"/>
      <c r="F246" s="17"/>
      <c r="G246" s="17"/>
      <c r="H246" s="40"/>
      <c r="I246" s="17"/>
      <c r="J246" s="17"/>
      <c r="K246" s="17"/>
      <c r="L246" s="17"/>
      <c r="M246" s="17"/>
      <c r="N246" s="17"/>
      <c r="O246" s="17"/>
      <c r="P246" s="38"/>
      <c r="Q246" s="17"/>
      <c r="R246" s="42" t="str">
        <f aca="false">IF(OR(D246="",P246="",OR(O246="Contract signed + paid",O246="Closed – No response",O246="Lost"),N(Q246)&gt;=Settings!$S$3),"",P246+Settings!$S$2)</f>
        <v/>
      </c>
      <c r="S246" s="38"/>
      <c r="T246" s="39"/>
      <c r="U246" s="17"/>
      <c r="V246" s="17"/>
      <c r="W246" s="17"/>
      <c r="X246" s="43" t="str">
        <f aca="true">IF(OR(D246="",B246=""),"",INT(TODAY()-B246))</f>
        <v/>
      </c>
      <c r="Y246" s="44" t="str">
        <f aca="true">IF(D246="","",IF(OR(COUNTIFS(Clients!$C$2:$C$501,D246,Clients!$S$2:$S$501,"Paid")&gt;0,AND(H246&lt;&gt;"",COUNTIFS(Clients!$E$2:$E$501,H246,Clients!$S$2:$S$501,"Paid")&gt;0)),"⚠ Refunded before – no free video",IF(OR(O246="Contract signed + paid",O246="Closed – No response",O246="Lost"),"",IF(O246="","Set a stage",IF(N(Q246)&gt;=Settings!$S$3,"Close – 4 follow-ups sent",IF(R246="",IF(P246="","Make first contact",""),IF(TODAY()&gt;R246,"OVERDUE follow-up",IF(TODAY()=R246,"Follow up today",""))))))))</f>
        <v/>
      </c>
    </row>
    <row r="247" customFormat="false" ht="15" hidden="false" customHeight="false" outlineLevel="0" collapsed="false">
      <c r="A247" s="17"/>
      <c r="B247" s="38"/>
      <c r="C247" s="17"/>
      <c r="D247" s="17"/>
      <c r="E247" s="17"/>
      <c r="F247" s="17"/>
      <c r="G247" s="17"/>
      <c r="H247" s="40"/>
      <c r="I247" s="17"/>
      <c r="J247" s="17"/>
      <c r="K247" s="17"/>
      <c r="L247" s="17"/>
      <c r="M247" s="17"/>
      <c r="N247" s="17"/>
      <c r="O247" s="17"/>
      <c r="P247" s="38"/>
      <c r="Q247" s="17"/>
      <c r="R247" s="42" t="str">
        <f aca="false">IF(OR(D247="",P247="",OR(O247="Contract signed + paid",O247="Closed – No response",O247="Lost"),N(Q247)&gt;=Settings!$S$3),"",P247+Settings!$S$2)</f>
        <v/>
      </c>
      <c r="S247" s="38"/>
      <c r="T247" s="39"/>
      <c r="U247" s="17"/>
      <c r="V247" s="17"/>
      <c r="W247" s="17"/>
      <c r="X247" s="43" t="str">
        <f aca="true">IF(OR(D247="",B247=""),"",INT(TODAY()-B247))</f>
        <v/>
      </c>
      <c r="Y247" s="44" t="str">
        <f aca="true">IF(D247="","",IF(OR(COUNTIFS(Clients!$C$2:$C$501,D247,Clients!$S$2:$S$501,"Paid")&gt;0,AND(H247&lt;&gt;"",COUNTIFS(Clients!$E$2:$E$501,H247,Clients!$S$2:$S$501,"Paid")&gt;0)),"⚠ Refunded before – no free video",IF(OR(O247="Contract signed + paid",O247="Closed – No response",O247="Lost"),"",IF(O247="","Set a stage",IF(N(Q247)&gt;=Settings!$S$3,"Close – 4 follow-ups sent",IF(R247="",IF(P247="","Make first contact",""),IF(TODAY()&gt;R247,"OVERDUE follow-up",IF(TODAY()=R247,"Follow up today",""))))))))</f>
        <v/>
      </c>
    </row>
    <row r="248" customFormat="false" ht="15" hidden="false" customHeight="false" outlineLevel="0" collapsed="false">
      <c r="A248" s="17"/>
      <c r="B248" s="38"/>
      <c r="C248" s="17"/>
      <c r="D248" s="17"/>
      <c r="E248" s="17"/>
      <c r="F248" s="17"/>
      <c r="G248" s="17"/>
      <c r="H248" s="40"/>
      <c r="I248" s="17"/>
      <c r="J248" s="17"/>
      <c r="K248" s="17"/>
      <c r="L248" s="17"/>
      <c r="M248" s="17"/>
      <c r="N248" s="17"/>
      <c r="O248" s="17"/>
      <c r="P248" s="38"/>
      <c r="Q248" s="17"/>
      <c r="R248" s="42" t="str">
        <f aca="false">IF(OR(D248="",P248="",OR(O248="Contract signed + paid",O248="Closed – No response",O248="Lost"),N(Q248)&gt;=Settings!$S$3),"",P248+Settings!$S$2)</f>
        <v/>
      </c>
      <c r="S248" s="38"/>
      <c r="T248" s="39"/>
      <c r="U248" s="17"/>
      <c r="V248" s="17"/>
      <c r="W248" s="17"/>
      <c r="X248" s="43" t="str">
        <f aca="true">IF(OR(D248="",B248=""),"",INT(TODAY()-B248))</f>
        <v/>
      </c>
      <c r="Y248" s="44" t="str">
        <f aca="true">IF(D248="","",IF(OR(COUNTIFS(Clients!$C$2:$C$501,D248,Clients!$S$2:$S$501,"Paid")&gt;0,AND(H248&lt;&gt;"",COUNTIFS(Clients!$E$2:$E$501,H248,Clients!$S$2:$S$501,"Paid")&gt;0)),"⚠ Refunded before – no free video",IF(OR(O248="Contract signed + paid",O248="Closed – No response",O248="Lost"),"",IF(O248="","Set a stage",IF(N(Q248)&gt;=Settings!$S$3,"Close – 4 follow-ups sent",IF(R248="",IF(P248="","Make first contact",""),IF(TODAY()&gt;R248,"OVERDUE follow-up",IF(TODAY()=R248,"Follow up today",""))))))))</f>
        <v/>
      </c>
    </row>
    <row r="249" customFormat="false" ht="15" hidden="false" customHeight="false" outlineLevel="0" collapsed="false">
      <c r="A249" s="17"/>
      <c r="B249" s="38"/>
      <c r="C249" s="17"/>
      <c r="D249" s="17"/>
      <c r="E249" s="17"/>
      <c r="F249" s="17"/>
      <c r="G249" s="17"/>
      <c r="H249" s="40"/>
      <c r="I249" s="17"/>
      <c r="J249" s="17"/>
      <c r="K249" s="17"/>
      <c r="L249" s="17"/>
      <c r="M249" s="17"/>
      <c r="N249" s="17"/>
      <c r="O249" s="17"/>
      <c r="P249" s="38"/>
      <c r="Q249" s="17"/>
      <c r="R249" s="42" t="str">
        <f aca="false">IF(OR(D249="",P249="",OR(O249="Contract signed + paid",O249="Closed – No response",O249="Lost"),N(Q249)&gt;=Settings!$S$3),"",P249+Settings!$S$2)</f>
        <v/>
      </c>
      <c r="S249" s="38"/>
      <c r="T249" s="39"/>
      <c r="U249" s="17"/>
      <c r="V249" s="17"/>
      <c r="W249" s="17"/>
      <c r="X249" s="43" t="str">
        <f aca="true">IF(OR(D249="",B249=""),"",INT(TODAY()-B249))</f>
        <v/>
      </c>
      <c r="Y249" s="44" t="str">
        <f aca="true">IF(D249="","",IF(OR(COUNTIFS(Clients!$C$2:$C$501,D249,Clients!$S$2:$S$501,"Paid")&gt;0,AND(H249&lt;&gt;"",COUNTIFS(Clients!$E$2:$E$501,H249,Clients!$S$2:$S$501,"Paid")&gt;0)),"⚠ Refunded before – no free video",IF(OR(O249="Contract signed + paid",O249="Closed – No response",O249="Lost"),"",IF(O249="","Set a stage",IF(N(Q249)&gt;=Settings!$S$3,"Close – 4 follow-ups sent",IF(R249="",IF(P249="","Make first contact",""),IF(TODAY()&gt;R249,"OVERDUE follow-up",IF(TODAY()=R249,"Follow up today",""))))))))</f>
        <v/>
      </c>
    </row>
    <row r="250" customFormat="false" ht="15" hidden="false" customHeight="false" outlineLevel="0" collapsed="false">
      <c r="A250" s="17"/>
      <c r="B250" s="38"/>
      <c r="C250" s="17"/>
      <c r="D250" s="17"/>
      <c r="E250" s="17"/>
      <c r="F250" s="17"/>
      <c r="G250" s="17"/>
      <c r="H250" s="40"/>
      <c r="I250" s="17"/>
      <c r="J250" s="17"/>
      <c r="K250" s="17"/>
      <c r="L250" s="17"/>
      <c r="M250" s="17"/>
      <c r="N250" s="17"/>
      <c r="O250" s="17"/>
      <c r="P250" s="38"/>
      <c r="Q250" s="17"/>
      <c r="R250" s="42" t="str">
        <f aca="false">IF(OR(D250="",P250="",OR(O250="Contract signed + paid",O250="Closed – No response",O250="Lost"),N(Q250)&gt;=Settings!$S$3),"",P250+Settings!$S$2)</f>
        <v/>
      </c>
      <c r="S250" s="38"/>
      <c r="T250" s="39"/>
      <c r="U250" s="17"/>
      <c r="V250" s="17"/>
      <c r="W250" s="17"/>
      <c r="X250" s="43" t="str">
        <f aca="true">IF(OR(D250="",B250=""),"",INT(TODAY()-B250))</f>
        <v/>
      </c>
      <c r="Y250" s="44" t="str">
        <f aca="true">IF(D250="","",IF(OR(COUNTIFS(Clients!$C$2:$C$501,D250,Clients!$S$2:$S$501,"Paid")&gt;0,AND(H250&lt;&gt;"",COUNTIFS(Clients!$E$2:$E$501,H250,Clients!$S$2:$S$501,"Paid")&gt;0)),"⚠ Refunded before – no free video",IF(OR(O250="Contract signed + paid",O250="Closed – No response",O250="Lost"),"",IF(O250="","Set a stage",IF(N(Q250)&gt;=Settings!$S$3,"Close – 4 follow-ups sent",IF(R250="",IF(P250="","Make first contact",""),IF(TODAY()&gt;R250,"OVERDUE follow-up",IF(TODAY()=R250,"Follow up today",""))))))))</f>
        <v/>
      </c>
    </row>
    <row r="251" customFormat="false" ht="15" hidden="false" customHeight="false" outlineLevel="0" collapsed="false">
      <c r="A251" s="17"/>
      <c r="B251" s="38"/>
      <c r="C251" s="17"/>
      <c r="D251" s="17"/>
      <c r="E251" s="17"/>
      <c r="F251" s="17"/>
      <c r="G251" s="17"/>
      <c r="H251" s="40"/>
      <c r="I251" s="17"/>
      <c r="J251" s="17"/>
      <c r="K251" s="17"/>
      <c r="L251" s="17"/>
      <c r="M251" s="17"/>
      <c r="N251" s="17"/>
      <c r="O251" s="17"/>
      <c r="P251" s="38"/>
      <c r="Q251" s="17"/>
      <c r="R251" s="42" t="str">
        <f aca="false">IF(OR(D251="",P251="",OR(O251="Contract signed + paid",O251="Closed – No response",O251="Lost"),N(Q251)&gt;=Settings!$S$3),"",P251+Settings!$S$2)</f>
        <v/>
      </c>
      <c r="S251" s="38"/>
      <c r="T251" s="39"/>
      <c r="U251" s="17"/>
      <c r="V251" s="17"/>
      <c r="W251" s="17"/>
      <c r="X251" s="43" t="str">
        <f aca="true">IF(OR(D251="",B251=""),"",INT(TODAY()-B251))</f>
        <v/>
      </c>
      <c r="Y251" s="44" t="str">
        <f aca="true">IF(D251="","",IF(OR(COUNTIFS(Clients!$C$2:$C$501,D251,Clients!$S$2:$S$501,"Paid")&gt;0,AND(H251&lt;&gt;"",COUNTIFS(Clients!$E$2:$E$501,H251,Clients!$S$2:$S$501,"Paid")&gt;0)),"⚠ Refunded before – no free video",IF(OR(O251="Contract signed + paid",O251="Closed – No response",O251="Lost"),"",IF(O251="","Set a stage",IF(N(Q251)&gt;=Settings!$S$3,"Close – 4 follow-ups sent",IF(R251="",IF(P251="","Make first contact",""),IF(TODAY()&gt;R251,"OVERDUE follow-up",IF(TODAY()=R251,"Follow up today",""))))))))</f>
        <v/>
      </c>
    </row>
    <row r="252" customFormat="false" ht="15" hidden="false" customHeight="false" outlineLevel="0" collapsed="false">
      <c r="A252" s="17"/>
      <c r="B252" s="38"/>
      <c r="C252" s="17"/>
      <c r="D252" s="17"/>
      <c r="E252" s="17"/>
      <c r="F252" s="17"/>
      <c r="G252" s="17"/>
      <c r="H252" s="40"/>
      <c r="I252" s="17"/>
      <c r="J252" s="17"/>
      <c r="K252" s="17"/>
      <c r="L252" s="17"/>
      <c r="M252" s="17"/>
      <c r="N252" s="17"/>
      <c r="O252" s="17"/>
      <c r="P252" s="38"/>
      <c r="Q252" s="17"/>
      <c r="R252" s="42" t="str">
        <f aca="false">IF(OR(D252="",P252="",OR(O252="Contract signed + paid",O252="Closed – No response",O252="Lost"),N(Q252)&gt;=Settings!$S$3),"",P252+Settings!$S$2)</f>
        <v/>
      </c>
      <c r="S252" s="38"/>
      <c r="T252" s="39"/>
      <c r="U252" s="17"/>
      <c r="V252" s="17"/>
      <c r="W252" s="17"/>
      <c r="X252" s="43" t="str">
        <f aca="true">IF(OR(D252="",B252=""),"",INT(TODAY()-B252))</f>
        <v/>
      </c>
      <c r="Y252" s="44" t="str">
        <f aca="true">IF(D252="","",IF(OR(COUNTIFS(Clients!$C$2:$C$501,D252,Clients!$S$2:$S$501,"Paid")&gt;0,AND(H252&lt;&gt;"",COUNTIFS(Clients!$E$2:$E$501,H252,Clients!$S$2:$S$501,"Paid")&gt;0)),"⚠ Refunded before – no free video",IF(OR(O252="Contract signed + paid",O252="Closed – No response",O252="Lost"),"",IF(O252="","Set a stage",IF(N(Q252)&gt;=Settings!$S$3,"Close – 4 follow-ups sent",IF(R252="",IF(P252="","Make first contact",""),IF(TODAY()&gt;R252,"OVERDUE follow-up",IF(TODAY()=R252,"Follow up today",""))))))))</f>
        <v/>
      </c>
    </row>
    <row r="253" customFormat="false" ht="15" hidden="false" customHeight="false" outlineLevel="0" collapsed="false">
      <c r="A253" s="17"/>
      <c r="B253" s="38"/>
      <c r="C253" s="17"/>
      <c r="D253" s="17"/>
      <c r="E253" s="17"/>
      <c r="F253" s="17"/>
      <c r="G253" s="17"/>
      <c r="H253" s="40"/>
      <c r="I253" s="17"/>
      <c r="J253" s="17"/>
      <c r="K253" s="17"/>
      <c r="L253" s="17"/>
      <c r="M253" s="17"/>
      <c r="N253" s="17"/>
      <c r="O253" s="17"/>
      <c r="P253" s="38"/>
      <c r="Q253" s="17"/>
      <c r="R253" s="42" t="str">
        <f aca="false">IF(OR(D253="",P253="",OR(O253="Contract signed + paid",O253="Closed – No response",O253="Lost"),N(Q253)&gt;=Settings!$S$3),"",P253+Settings!$S$2)</f>
        <v/>
      </c>
      <c r="S253" s="38"/>
      <c r="T253" s="39"/>
      <c r="U253" s="17"/>
      <c r="V253" s="17"/>
      <c r="W253" s="17"/>
      <c r="X253" s="43" t="str">
        <f aca="true">IF(OR(D253="",B253=""),"",INT(TODAY()-B253))</f>
        <v/>
      </c>
      <c r="Y253" s="44" t="str">
        <f aca="true">IF(D253="","",IF(OR(COUNTIFS(Clients!$C$2:$C$501,D253,Clients!$S$2:$S$501,"Paid")&gt;0,AND(H253&lt;&gt;"",COUNTIFS(Clients!$E$2:$E$501,H253,Clients!$S$2:$S$501,"Paid")&gt;0)),"⚠ Refunded before – no free video",IF(OR(O253="Contract signed + paid",O253="Closed – No response",O253="Lost"),"",IF(O253="","Set a stage",IF(N(Q253)&gt;=Settings!$S$3,"Close – 4 follow-ups sent",IF(R253="",IF(P253="","Make first contact",""),IF(TODAY()&gt;R253,"OVERDUE follow-up",IF(TODAY()=R253,"Follow up today",""))))))))</f>
        <v/>
      </c>
    </row>
    <row r="254" customFormat="false" ht="15" hidden="false" customHeight="false" outlineLevel="0" collapsed="false">
      <c r="A254" s="17"/>
      <c r="B254" s="38"/>
      <c r="C254" s="17"/>
      <c r="D254" s="17"/>
      <c r="E254" s="17"/>
      <c r="F254" s="17"/>
      <c r="G254" s="17"/>
      <c r="H254" s="40"/>
      <c r="I254" s="17"/>
      <c r="J254" s="17"/>
      <c r="K254" s="17"/>
      <c r="L254" s="17"/>
      <c r="M254" s="17"/>
      <c r="N254" s="17"/>
      <c r="O254" s="17"/>
      <c r="P254" s="38"/>
      <c r="Q254" s="17"/>
      <c r="R254" s="42" t="str">
        <f aca="false">IF(OR(D254="",P254="",OR(O254="Contract signed + paid",O254="Closed – No response",O254="Lost"),N(Q254)&gt;=Settings!$S$3),"",P254+Settings!$S$2)</f>
        <v/>
      </c>
      <c r="S254" s="38"/>
      <c r="T254" s="39"/>
      <c r="U254" s="17"/>
      <c r="V254" s="17"/>
      <c r="W254" s="17"/>
      <c r="X254" s="43" t="str">
        <f aca="true">IF(OR(D254="",B254=""),"",INT(TODAY()-B254))</f>
        <v/>
      </c>
      <c r="Y254" s="44" t="str">
        <f aca="true">IF(D254="","",IF(OR(COUNTIFS(Clients!$C$2:$C$501,D254,Clients!$S$2:$S$501,"Paid")&gt;0,AND(H254&lt;&gt;"",COUNTIFS(Clients!$E$2:$E$501,H254,Clients!$S$2:$S$501,"Paid")&gt;0)),"⚠ Refunded before – no free video",IF(OR(O254="Contract signed + paid",O254="Closed – No response",O254="Lost"),"",IF(O254="","Set a stage",IF(N(Q254)&gt;=Settings!$S$3,"Close – 4 follow-ups sent",IF(R254="",IF(P254="","Make first contact",""),IF(TODAY()&gt;R254,"OVERDUE follow-up",IF(TODAY()=R254,"Follow up today",""))))))))</f>
        <v/>
      </c>
    </row>
    <row r="255" customFormat="false" ht="15" hidden="false" customHeight="false" outlineLevel="0" collapsed="false">
      <c r="A255" s="17"/>
      <c r="B255" s="38"/>
      <c r="C255" s="17"/>
      <c r="D255" s="17"/>
      <c r="E255" s="17"/>
      <c r="F255" s="17"/>
      <c r="G255" s="17"/>
      <c r="H255" s="40"/>
      <c r="I255" s="17"/>
      <c r="J255" s="17"/>
      <c r="K255" s="17"/>
      <c r="L255" s="17"/>
      <c r="M255" s="17"/>
      <c r="N255" s="17"/>
      <c r="O255" s="17"/>
      <c r="P255" s="38"/>
      <c r="Q255" s="17"/>
      <c r="R255" s="42" t="str">
        <f aca="false">IF(OR(D255="",P255="",OR(O255="Contract signed + paid",O255="Closed – No response",O255="Lost"),N(Q255)&gt;=Settings!$S$3),"",P255+Settings!$S$2)</f>
        <v/>
      </c>
      <c r="S255" s="38"/>
      <c r="T255" s="39"/>
      <c r="U255" s="17"/>
      <c r="V255" s="17"/>
      <c r="W255" s="17"/>
      <c r="X255" s="43" t="str">
        <f aca="true">IF(OR(D255="",B255=""),"",INT(TODAY()-B255))</f>
        <v/>
      </c>
      <c r="Y255" s="44" t="str">
        <f aca="true">IF(D255="","",IF(OR(COUNTIFS(Clients!$C$2:$C$501,D255,Clients!$S$2:$S$501,"Paid")&gt;0,AND(H255&lt;&gt;"",COUNTIFS(Clients!$E$2:$E$501,H255,Clients!$S$2:$S$501,"Paid")&gt;0)),"⚠ Refunded before – no free video",IF(OR(O255="Contract signed + paid",O255="Closed – No response",O255="Lost"),"",IF(O255="","Set a stage",IF(N(Q255)&gt;=Settings!$S$3,"Close – 4 follow-ups sent",IF(R255="",IF(P255="","Make first contact",""),IF(TODAY()&gt;R255,"OVERDUE follow-up",IF(TODAY()=R255,"Follow up today",""))))))))</f>
        <v/>
      </c>
    </row>
    <row r="256" customFormat="false" ht="15" hidden="false" customHeight="false" outlineLevel="0" collapsed="false">
      <c r="A256" s="17"/>
      <c r="B256" s="38"/>
      <c r="C256" s="17"/>
      <c r="D256" s="17"/>
      <c r="E256" s="17"/>
      <c r="F256" s="17"/>
      <c r="G256" s="17"/>
      <c r="H256" s="40"/>
      <c r="I256" s="17"/>
      <c r="J256" s="17"/>
      <c r="K256" s="17"/>
      <c r="L256" s="17"/>
      <c r="M256" s="17"/>
      <c r="N256" s="17"/>
      <c r="O256" s="17"/>
      <c r="P256" s="38"/>
      <c r="Q256" s="17"/>
      <c r="R256" s="42" t="str">
        <f aca="false">IF(OR(D256="",P256="",OR(O256="Contract signed + paid",O256="Closed – No response",O256="Lost"),N(Q256)&gt;=Settings!$S$3),"",P256+Settings!$S$2)</f>
        <v/>
      </c>
      <c r="S256" s="38"/>
      <c r="T256" s="39"/>
      <c r="U256" s="17"/>
      <c r="V256" s="17"/>
      <c r="W256" s="17"/>
      <c r="X256" s="43" t="str">
        <f aca="true">IF(OR(D256="",B256=""),"",INT(TODAY()-B256))</f>
        <v/>
      </c>
      <c r="Y256" s="44" t="str">
        <f aca="true">IF(D256="","",IF(OR(COUNTIFS(Clients!$C$2:$C$501,D256,Clients!$S$2:$S$501,"Paid")&gt;0,AND(H256&lt;&gt;"",COUNTIFS(Clients!$E$2:$E$501,H256,Clients!$S$2:$S$501,"Paid")&gt;0)),"⚠ Refunded before – no free video",IF(OR(O256="Contract signed + paid",O256="Closed – No response",O256="Lost"),"",IF(O256="","Set a stage",IF(N(Q256)&gt;=Settings!$S$3,"Close – 4 follow-ups sent",IF(R256="",IF(P256="","Make first contact",""),IF(TODAY()&gt;R256,"OVERDUE follow-up",IF(TODAY()=R256,"Follow up today",""))))))))</f>
        <v/>
      </c>
    </row>
    <row r="257" customFormat="false" ht="15" hidden="false" customHeight="false" outlineLevel="0" collapsed="false">
      <c r="A257" s="17"/>
      <c r="B257" s="38"/>
      <c r="C257" s="17"/>
      <c r="D257" s="17"/>
      <c r="E257" s="17"/>
      <c r="F257" s="17"/>
      <c r="G257" s="17"/>
      <c r="H257" s="40"/>
      <c r="I257" s="17"/>
      <c r="J257" s="17"/>
      <c r="K257" s="17"/>
      <c r="L257" s="17"/>
      <c r="M257" s="17"/>
      <c r="N257" s="17"/>
      <c r="O257" s="17"/>
      <c r="P257" s="38"/>
      <c r="Q257" s="17"/>
      <c r="R257" s="42" t="str">
        <f aca="false">IF(OR(D257="",P257="",OR(O257="Contract signed + paid",O257="Closed – No response",O257="Lost"),N(Q257)&gt;=Settings!$S$3),"",P257+Settings!$S$2)</f>
        <v/>
      </c>
      <c r="S257" s="38"/>
      <c r="T257" s="39"/>
      <c r="U257" s="17"/>
      <c r="V257" s="17"/>
      <c r="W257" s="17"/>
      <c r="X257" s="43" t="str">
        <f aca="true">IF(OR(D257="",B257=""),"",INT(TODAY()-B257))</f>
        <v/>
      </c>
      <c r="Y257" s="44" t="str">
        <f aca="true">IF(D257="","",IF(OR(COUNTIFS(Clients!$C$2:$C$501,D257,Clients!$S$2:$S$501,"Paid")&gt;0,AND(H257&lt;&gt;"",COUNTIFS(Clients!$E$2:$E$501,H257,Clients!$S$2:$S$501,"Paid")&gt;0)),"⚠ Refunded before – no free video",IF(OR(O257="Contract signed + paid",O257="Closed – No response",O257="Lost"),"",IF(O257="","Set a stage",IF(N(Q257)&gt;=Settings!$S$3,"Close – 4 follow-ups sent",IF(R257="",IF(P257="","Make first contact",""),IF(TODAY()&gt;R257,"OVERDUE follow-up",IF(TODAY()=R257,"Follow up today",""))))))))</f>
        <v/>
      </c>
    </row>
    <row r="258" customFormat="false" ht="15" hidden="false" customHeight="false" outlineLevel="0" collapsed="false">
      <c r="A258" s="17"/>
      <c r="B258" s="38"/>
      <c r="C258" s="17"/>
      <c r="D258" s="17"/>
      <c r="E258" s="17"/>
      <c r="F258" s="17"/>
      <c r="G258" s="17"/>
      <c r="H258" s="40"/>
      <c r="I258" s="17"/>
      <c r="J258" s="17"/>
      <c r="K258" s="17"/>
      <c r="L258" s="17"/>
      <c r="M258" s="17"/>
      <c r="N258" s="17"/>
      <c r="O258" s="17"/>
      <c r="P258" s="38"/>
      <c r="Q258" s="17"/>
      <c r="R258" s="42" t="str">
        <f aca="false">IF(OR(D258="",P258="",OR(O258="Contract signed + paid",O258="Closed – No response",O258="Lost"),N(Q258)&gt;=Settings!$S$3),"",P258+Settings!$S$2)</f>
        <v/>
      </c>
      <c r="S258" s="38"/>
      <c r="T258" s="39"/>
      <c r="U258" s="17"/>
      <c r="V258" s="17"/>
      <c r="W258" s="17"/>
      <c r="X258" s="43" t="str">
        <f aca="true">IF(OR(D258="",B258=""),"",INT(TODAY()-B258))</f>
        <v/>
      </c>
      <c r="Y258" s="44" t="str">
        <f aca="true">IF(D258="","",IF(OR(COUNTIFS(Clients!$C$2:$C$501,D258,Clients!$S$2:$S$501,"Paid")&gt;0,AND(H258&lt;&gt;"",COUNTIFS(Clients!$E$2:$E$501,H258,Clients!$S$2:$S$501,"Paid")&gt;0)),"⚠ Refunded before – no free video",IF(OR(O258="Contract signed + paid",O258="Closed – No response",O258="Lost"),"",IF(O258="","Set a stage",IF(N(Q258)&gt;=Settings!$S$3,"Close – 4 follow-ups sent",IF(R258="",IF(P258="","Make first contact",""),IF(TODAY()&gt;R258,"OVERDUE follow-up",IF(TODAY()=R258,"Follow up today",""))))))))</f>
        <v/>
      </c>
    </row>
    <row r="259" customFormat="false" ht="15" hidden="false" customHeight="false" outlineLevel="0" collapsed="false">
      <c r="A259" s="17"/>
      <c r="B259" s="38"/>
      <c r="C259" s="17"/>
      <c r="D259" s="17"/>
      <c r="E259" s="17"/>
      <c r="F259" s="17"/>
      <c r="G259" s="17"/>
      <c r="H259" s="40"/>
      <c r="I259" s="17"/>
      <c r="J259" s="17"/>
      <c r="K259" s="17"/>
      <c r="L259" s="17"/>
      <c r="M259" s="17"/>
      <c r="N259" s="17"/>
      <c r="O259" s="17"/>
      <c r="P259" s="38"/>
      <c r="Q259" s="17"/>
      <c r="R259" s="42" t="str">
        <f aca="false">IF(OR(D259="",P259="",OR(O259="Contract signed + paid",O259="Closed – No response",O259="Lost"),N(Q259)&gt;=Settings!$S$3),"",P259+Settings!$S$2)</f>
        <v/>
      </c>
      <c r="S259" s="38"/>
      <c r="T259" s="39"/>
      <c r="U259" s="17"/>
      <c r="V259" s="17"/>
      <c r="W259" s="17"/>
      <c r="X259" s="43" t="str">
        <f aca="true">IF(OR(D259="",B259=""),"",INT(TODAY()-B259))</f>
        <v/>
      </c>
      <c r="Y259" s="44" t="str">
        <f aca="true">IF(D259="","",IF(OR(COUNTIFS(Clients!$C$2:$C$501,D259,Clients!$S$2:$S$501,"Paid")&gt;0,AND(H259&lt;&gt;"",COUNTIFS(Clients!$E$2:$E$501,H259,Clients!$S$2:$S$501,"Paid")&gt;0)),"⚠ Refunded before – no free video",IF(OR(O259="Contract signed + paid",O259="Closed – No response",O259="Lost"),"",IF(O259="","Set a stage",IF(N(Q259)&gt;=Settings!$S$3,"Close – 4 follow-ups sent",IF(R259="",IF(P259="","Make first contact",""),IF(TODAY()&gt;R259,"OVERDUE follow-up",IF(TODAY()=R259,"Follow up today",""))))))))</f>
        <v/>
      </c>
    </row>
    <row r="260" customFormat="false" ht="15" hidden="false" customHeight="false" outlineLevel="0" collapsed="false">
      <c r="A260" s="17"/>
      <c r="B260" s="38"/>
      <c r="C260" s="17"/>
      <c r="D260" s="17"/>
      <c r="E260" s="17"/>
      <c r="F260" s="17"/>
      <c r="G260" s="17"/>
      <c r="H260" s="40"/>
      <c r="I260" s="17"/>
      <c r="J260" s="17"/>
      <c r="K260" s="17"/>
      <c r="L260" s="17"/>
      <c r="M260" s="17"/>
      <c r="N260" s="17"/>
      <c r="O260" s="17"/>
      <c r="P260" s="38"/>
      <c r="Q260" s="17"/>
      <c r="R260" s="42" t="str">
        <f aca="false">IF(OR(D260="",P260="",OR(O260="Contract signed + paid",O260="Closed – No response",O260="Lost"),N(Q260)&gt;=Settings!$S$3),"",P260+Settings!$S$2)</f>
        <v/>
      </c>
      <c r="S260" s="38"/>
      <c r="T260" s="39"/>
      <c r="U260" s="17"/>
      <c r="V260" s="17"/>
      <c r="W260" s="17"/>
      <c r="X260" s="43" t="str">
        <f aca="true">IF(OR(D260="",B260=""),"",INT(TODAY()-B260))</f>
        <v/>
      </c>
      <c r="Y260" s="44" t="str">
        <f aca="true">IF(D260="","",IF(OR(COUNTIFS(Clients!$C$2:$C$501,D260,Clients!$S$2:$S$501,"Paid")&gt;0,AND(H260&lt;&gt;"",COUNTIFS(Clients!$E$2:$E$501,H260,Clients!$S$2:$S$501,"Paid")&gt;0)),"⚠ Refunded before – no free video",IF(OR(O260="Contract signed + paid",O260="Closed – No response",O260="Lost"),"",IF(O260="","Set a stage",IF(N(Q260)&gt;=Settings!$S$3,"Close – 4 follow-ups sent",IF(R260="",IF(P260="","Make first contact",""),IF(TODAY()&gt;R260,"OVERDUE follow-up",IF(TODAY()=R260,"Follow up today",""))))))))</f>
        <v/>
      </c>
    </row>
    <row r="261" customFormat="false" ht="15" hidden="false" customHeight="false" outlineLevel="0" collapsed="false">
      <c r="A261" s="17"/>
      <c r="B261" s="38"/>
      <c r="C261" s="17"/>
      <c r="D261" s="17"/>
      <c r="E261" s="17"/>
      <c r="F261" s="17"/>
      <c r="G261" s="17"/>
      <c r="H261" s="40"/>
      <c r="I261" s="17"/>
      <c r="J261" s="17"/>
      <c r="K261" s="17"/>
      <c r="L261" s="17"/>
      <c r="M261" s="17"/>
      <c r="N261" s="17"/>
      <c r="O261" s="17"/>
      <c r="P261" s="38"/>
      <c r="Q261" s="17"/>
      <c r="R261" s="42" t="str">
        <f aca="false">IF(OR(D261="",P261="",OR(O261="Contract signed + paid",O261="Closed – No response",O261="Lost"),N(Q261)&gt;=Settings!$S$3),"",P261+Settings!$S$2)</f>
        <v/>
      </c>
      <c r="S261" s="38"/>
      <c r="T261" s="39"/>
      <c r="U261" s="17"/>
      <c r="V261" s="17"/>
      <c r="W261" s="17"/>
      <c r="X261" s="43" t="str">
        <f aca="true">IF(OR(D261="",B261=""),"",INT(TODAY()-B261))</f>
        <v/>
      </c>
      <c r="Y261" s="44" t="str">
        <f aca="true">IF(D261="","",IF(OR(COUNTIFS(Clients!$C$2:$C$501,D261,Clients!$S$2:$S$501,"Paid")&gt;0,AND(H261&lt;&gt;"",COUNTIFS(Clients!$E$2:$E$501,H261,Clients!$S$2:$S$501,"Paid")&gt;0)),"⚠ Refunded before – no free video",IF(OR(O261="Contract signed + paid",O261="Closed – No response",O261="Lost"),"",IF(O261="","Set a stage",IF(N(Q261)&gt;=Settings!$S$3,"Close – 4 follow-ups sent",IF(R261="",IF(P261="","Make first contact",""),IF(TODAY()&gt;R261,"OVERDUE follow-up",IF(TODAY()=R261,"Follow up today",""))))))))</f>
        <v/>
      </c>
    </row>
    <row r="262" customFormat="false" ht="15" hidden="false" customHeight="false" outlineLevel="0" collapsed="false">
      <c r="A262" s="17"/>
      <c r="B262" s="38"/>
      <c r="C262" s="17"/>
      <c r="D262" s="17"/>
      <c r="E262" s="17"/>
      <c r="F262" s="17"/>
      <c r="G262" s="17"/>
      <c r="H262" s="40"/>
      <c r="I262" s="17"/>
      <c r="J262" s="17"/>
      <c r="K262" s="17"/>
      <c r="L262" s="17"/>
      <c r="M262" s="17"/>
      <c r="N262" s="17"/>
      <c r="O262" s="17"/>
      <c r="P262" s="38"/>
      <c r="Q262" s="17"/>
      <c r="R262" s="42" t="str">
        <f aca="false">IF(OR(D262="",P262="",OR(O262="Contract signed + paid",O262="Closed – No response",O262="Lost"),N(Q262)&gt;=Settings!$S$3),"",P262+Settings!$S$2)</f>
        <v/>
      </c>
      <c r="S262" s="38"/>
      <c r="T262" s="39"/>
      <c r="U262" s="17"/>
      <c r="V262" s="17"/>
      <c r="W262" s="17"/>
      <c r="X262" s="43" t="str">
        <f aca="true">IF(OR(D262="",B262=""),"",INT(TODAY()-B262))</f>
        <v/>
      </c>
      <c r="Y262" s="44" t="str">
        <f aca="true">IF(D262="","",IF(OR(COUNTIFS(Clients!$C$2:$C$501,D262,Clients!$S$2:$S$501,"Paid")&gt;0,AND(H262&lt;&gt;"",COUNTIFS(Clients!$E$2:$E$501,H262,Clients!$S$2:$S$501,"Paid")&gt;0)),"⚠ Refunded before – no free video",IF(OR(O262="Contract signed + paid",O262="Closed – No response",O262="Lost"),"",IF(O262="","Set a stage",IF(N(Q262)&gt;=Settings!$S$3,"Close – 4 follow-ups sent",IF(R262="",IF(P262="","Make first contact",""),IF(TODAY()&gt;R262,"OVERDUE follow-up",IF(TODAY()=R262,"Follow up today",""))))))))</f>
        <v/>
      </c>
    </row>
    <row r="263" customFormat="false" ht="15" hidden="false" customHeight="false" outlineLevel="0" collapsed="false">
      <c r="A263" s="17"/>
      <c r="B263" s="38"/>
      <c r="C263" s="17"/>
      <c r="D263" s="17"/>
      <c r="E263" s="17"/>
      <c r="F263" s="17"/>
      <c r="G263" s="17"/>
      <c r="H263" s="40"/>
      <c r="I263" s="17"/>
      <c r="J263" s="17"/>
      <c r="K263" s="17"/>
      <c r="L263" s="17"/>
      <c r="M263" s="17"/>
      <c r="N263" s="17"/>
      <c r="O263" s="17"/>
      <c r="P263" s="38"/>
      <c r="Q263" s="17"/>
      <c r="R263" s="42" t="str">
        <f aca="false">IF(OR(D263="",P263="",OR(O263="Contract signed + paid",O263="Closed – No response",O263="Lost"),N(Q263)&gt;=Settings!$S$3),"",P263+Settings!$S$2)</f>
        <v/>
      </c>
      <c r="S263" s="38"/>
      <c r="T263" s="39"/>
      <c r="U263" s="17"/>
      <c r="V263" s="17"/>
      <c r="W263" s="17"/>
      <c r="X263" s="43" t="str">
        <f aca="true">IF(OR(D263="",B263=""),"",INT(TODAY()-B263))</f>
        <v/>
      </c>
      <c r="Y263" s="44" t="str">
        <f aca="true">IF(D263="","",IF(OR(COUNTIFS(Clients!$C$2:$C$501,D263,Clients!$S$2:$S$501,"Paid")&gt;0,AND(H263&lt;&gt;"",COUNTIFS(Clients!$E$2:$E$501,H263,Clients!$S$2:$S$501,"Paid")&gt;0)),"⚠ Refunded before – no free video",IF(OR(O263="Contract signed + paid",O263="Closed – No response",O263="Lost"),"",IF(O263="","Set a stage",IF(N(Q263)&gt;=Settings!$S$3,"Close – 4 follow-ups sent",IF(R263="",IF(P263="","Make first contact",""),IF(TODAY()&gt;R263,"OVERDUE follow-up",IF(TODAY()=R263,"Follow up today",""))))))))</f>
        <v/>
      </c>
    </row>
    <row r="264" customFormat="false" ht="15" hidden="false" customHeight="false" outlineLevel="0" collapsed="false">
      <c r="A264" s="17"/>
      <c r="B264" s="38"/>
      <c r="C264" s="17"/>
      <c r="D264" s="17"/>
      <c r="E264" s="17"/>
      <c r="F264" s="17"/>
      <c r="G264" s="17"/>
      <c r="H264" s="40"/>
      <c r="I264" s="17"/>
      <c r="J264" s="17"/>
      <c r="K264" s="17"/>
      <c r="L264" s="17"/>
      <c r="M264" s="17"/>
      <c r="N264" s="17"/>
      <c r="O264" s="17"/>
      <c r="P264" s="38"/>
      <c r="Q264" s="17"/>
      <c r="R264" s="42" t="str">
        <f aca="false">IF(OR(D264="",P264="",OR(O264="Contract signed + paid",O264="Closed – No response",O264="Lost"),N(Q264)&gt;=Settings!$S$3),"",P264+Settings!$S$2)</f>
        <v/>
      </c>
      <c r="S264" s="38"/>
      <c r="T264" s="39"/>
      <c r="U264" s="17"/>
      <c r="V264" s="17"/>
      <c r="W264" s="17"/>
      <c r="X264" s="43" t="str">
        <f aca="true">IF(OR(D264="",B264=""),"",INT(TODAY()-B264))</f>
        <v/>
      </c>
      <c r="Y264" s="44" t="str">
        <f aca="true">IF(D264="","",IF(OR(COUNTIFS(Clients!$C$2:$C$501,D264,Clients!$S$2:$S$501,"Paid")&gt;0,AND(H264&lt;&gt;"",COUNTIFS(Clients!$E$2:$E$501,H264,Clients!$S$2:$S$501,"Paid")&gt;0)),"⚠ Refunded before – no free video",IF(OR(O264="Contract signed + paid",O264="Closed – No response",O264="Lost"),"",IF(O264="","Set a stage",IF(N(Q264)&gt;=Settings!$S$3,"Close – 4 follow-ups sent",IF(R264="",IF(P264="","Make first contact",""),IF(TODAY()&gt;R264,"OVERDUE follow-up",IF(TODAY()=R264,"Follow up today",""))))))))</f>
        <v/>
      </c>
    </row>
    <row r="265" customFormat="false" ht="15" hidden="false" customHeight="false" outlineLevel="0" collapsed="false">
      <c r="A265" s="17"/>
      <c r="B265" s="38"/>
      <c r="C265" s="17"/>
      <c r="D265" s="17"/>
      <c r="E265" s="17"/>
      <c r="F265" s="17"/>
      <c r="G265" s="17"/>
      <c r="H265" s="40"/>
      <c r="I265" s="17"/>
      <c r="J265" s="17"/>
      <c r="K265" s="17"/>
      <c r="L265" s="17"/>
      <c r="M265" s="17"/>
      <c r="N265" s="17"/>
      <c r="O265" s="17"/>
      <c r="P265" s="38"/>
      <c r="Q265" s="17"/>
      <c r="R265" s="42" t="str">
        <f aca="false">IF(OR(D265="",P265="",OR(O265="Contract signed + paid",O265="Closed – No response",O265="Lost"),N(Q265)&gt;=Settings!$S$3),"",P265+Settings!$S$2)</f>
        <v/>
      </c>
      <c r="S265" s="38"/>
      <c r="T265" s="39"/>
      <c r="U265" s="17"/>
      <c r="V265" s="17"/>
      <c r="W265" s="17"/>
      <c r="X265" s="43" t="str">
        <f aca="true">IF(OR(D265="",B265=""),"",INT(TODAY()-B265))</f>
        <v/>
      </c>
      <c r="Y265" s="44" t="str">
        <f aca="true">IF(D265="","",IF(OR(COUNTIFS(Clients!$C$2:$C$501,D265,Clients!$S$2:$S$501,"Paid")&gt;0,AND(H265&lt;&gt;"",COUNTIFS(Clients!$E$2:$E$501,H265,Clients!$S$2:$S$501,"Paid")&gt;0)),"⚠ Refunded before – no free video",IF(OR(O265="Contract signed + paid",O265="Closed – No response",O265="Lost"),"",IF(O265="","Set a stage",IF(N(Q265)&gt;=Settings!$S$3,"Close – 4 follow-ups sent",IF(R265="",IF(P265="","Make first contact",""),IF(TODAY()&gt;R265,"OVERDUE follow-up",IF(TODAY()=R265,"Follow up today",""))))))))</f>
        <v/>
      </c>
    </row>
    <row r="266" customFormat="false" ht="15" hidden="false" customHeight="false" outlineLevel="0" collapsed="false">
      <c r="A266" s="17"/>
      <c r="B266" s="38"/>
      <c r="C266" s="17"/>
      <c r="D266" s="17"/>
      <c r="E266" s="17"/>
      <c r="F266" s="17"/>
      <c r="G266" s="17"/>
      <c r="H266" s="40"/>
      <c r="I266" s="17"/>
      <c r="J266" s="17"/>
      <c r="K266" s="17"/>
      <c r="L266" s="17"/>
      <c r="M266" s="17"/>
      <c r="N266" s="17"/>
      <c r="O266" s="17"/>
      <c r="P266" s="38"/>
      <c r="Q266" s="17"/>
      <c r="R266" s="42" t="str">
        <f aca="false">IF(OR(D266="",P266="",OR(O266="Contract signed + paid",O266="Closed – No response",O266="Lost"),N(Q266)&gt;=Settings!$S$3),"",P266+Settings!$S$2)</f>
        <v/>
      </c>
      <c r="S266" s="38"/>
      <c r="T266" s="39"/>
      <c r="U266" s="17"/>
      <c r="V266" s="17"/>
      <c r="W266" s="17"/>
      <c r="X266" s="43" t="str">
        <f aca="true">IF(OR(D266="",B266=""),"",INT(TODAY()-B266))</f>
        <v/>
      </c>
      <c r="Y266" s="44" t="str">
        <f aca="true">IF(D266="","",IF(OR(COUNTIFS(Clients!$C$2:$C$501,D266,Clients!$S$2:$S$501,"Paid")&gt;0,AND(H266&lt;&gt;"",COUNTIFS(Clients!$E$2:$E$501,H266,Clients!$S$2:$S$501,"Paid")&gt;0)),"⚠ Refunded before – no free video",IF(OR(O266="Contract signed + paid",O266="Closed – No response",O266="Lost"),"",IF(O266="","Set a stage",IF(N(Q266)&gt;=Settings!$S$3,"Close – 4 follow-ups sent",IF(R266="",IF(P266="","Make first contact",""),IF(TODAY()&gt;R266,"OVERDUE follow-up",IF(TODAY()=R266,"Follow up today",""))))))))</f>
        <v/>
      </c>
    </row>
    <row r="267" customFormat="false" ht="15" hidden="false" customHeight="false" outlineLevel="0" collapsed="false">
      <c r="A267" s="17"/>
      <c r="B267" s="38"/>
      <c r="C267" s="17"/>
      <c r="D267" s="17"/>
      <c r="E267" s="17"/>
      <c r="F267" s="17"/>
      <c r="G267" s="17"/>
      <c r="H267" s="40"/>
      <c r="I267" s="17"/>
      <c r="J267" s="17"/>
      <c r="K267" s="17"/>
      <c r="L267" s="17"/>
      <c r="M267" s="17"/>
      <c r="N267" s="17"/>
      <c r="O267" s="17"/>
      <c r="P267" s="38"/>
      <c r="Q267" s="17"/>
      <c r="R267" s="42" t="str">
        <f aca="false">IF(OR(D267="",P267="",OR(O267="Contract signed + paid",O267="Closed – No response",O267="Lost"),N(Q267)&gt;=Settings!$S$3),"",P267+Settings!$S$2)</f>
        <v/>
      </c>
      <c r="S267" s="38"/>
      <c r="T267" s="39"/>
      <c r="U267" s="17"/>
      <c r="V267" s="17"/>
      <c r="W267" s="17"/>
      <c r="X267" s="43" t="str">
        <f aca="true">IF(OR(D267="",B267=""),"",INT(TODAY()-B267))</f>
        <v/>
      </c>
      <c r="Y267" s="44" t="str">
        <f aca="true">IF(D267="","",IF(OR(COUNTIFS(Clients!$C$2:$C$501,D267,Clients!$S$2:$S$501,"Paid")&gt;0,AND(H267&lt;&gt;"",COUNTIFS(Clients!$E$2:$E$501,H267,Clients!$S$2:$S$501,"Paid")&gt;0)),"⚠ Refunded before – no free video",IF(OR(O267="Contract signed + paid",O267="Closed – No response",O267="Lost"),"",IF(O267="","Set a stage",IF(N(Q267)&gt;=Settings!$S$3,"Close – 4 follow-ups sent",IF(R267="",IF(P267="","Make first contact",""),IF(TODAY()&gt;R267,"OVERDUE follow-up",IF(TODAY()=R267,"Follow up today",""))))))))</f>
        <v/>
      </c>
    </row>
    <row r="268" customFormat="false" ht="15" hidden="false" customHeight="false" outlineLevel="0" collapsed="false">
      <c r="A268" s="17"/>
      <c r="B268" s="38"/>
      <c r="C268" s="17"/>
      <c r="D268" s="17"/>
      <c r="E268" s="17"/>
      <c r="F268" s="17"/>
      <c r="G268" s="17"/>
      <c r="H268" s="40"/>
      <c r="I268" s="17"/>
      <c r="J268" s="17"/>
      <c r="K268" s="17"/>
      <c r="L268" s="17"/>
      <c r="M268" s="17"/>
      <c r="N268" s="17"/>
      <c r="O268" s="17"/>
      <c r="P268" s="38"/>
      <c r="Q268" s="17"/>
      <c r="R268" s="42" t="str">
        <f aca="false">IF(OR(D268="",P268="",OR(O268="Contract signed + paid",O268="Closed – No response",O268="Lost"),N(Q268)&gt;=Settings!$S$3),"",P268+Settings!$S$2)</f>
        <v/>
      </c>
      <c r="S268" s="38"/>
      <c r="T268" s="39"/>
      <c r="U268" s="17"/>
      <c r="V268" s="17"/>
      <c r="W268" s="17"/>
      <c r="X268" s="43" t="str">
        <f aca="true">IF(OR(D268="",B268=""),"",INT(TODAY()-B268))</f>
        <v/>
      </c>
      <c r="Y268" s="44" t="str">
        <f aca="true">IF(D268="","",IF(OR(COUNTIFS(Clients!$C$2:$C$501,D268,Clients!$S$2:$S$501,"Paid")&gt;0,AND(H268&lt;&gt;"",COUNTIFS(Clients!$E$2:$E$501,H268,Clients!$S$2:$S$501,"Paid")&gt;0)),"⚠ Refunded before – no free video",IF(OR(O268="Contract signed + paid",O268="Closed – No response",O268="Lost"),"",IF(O268="","Set a stage",IF(N(Q268)&gt;=Settings!$S$3,"Close – 4 follow-ups sent",IF(R268="",IF(P268="","Make first contact",""),IF(TODAY()&gt;R268,"OVERDUE follow-up",IF(TODAY()=R268,"Follow up today",""))))))))</f>
        <v/>
      </c>
    </row>
    <row r="269" customFormat="false" ht="15" hidden="false" customHeight="false" outlineLevel="0" collapsed="false">
      <c r="A269" s="17"/>
      <c r="B269" s="38"/>
      <c r="C269" s="17"/>
      <c r="D269" s="17"/>
      <c r="E269" s="17"/>
      <c r="F269" s="17"/>
      <c r="G269" s="17"/>
      <c r="H269" s="40"/>
      <c r="I269" s="17"/>
      <c r="J269" s="17"/>
      <c r="K269" s="17"/>
      <c r="L269" s="17"/>
      <c r="M269" s="17"/>
      <c r="N269" s="17"/>
      <c r="O269" s="17"/>
      <c r="P269" s="38"/>
      <c r="Q269" s="17"/>
      <c r="R269" s="42" t="str">
        <f aca="false">IF(OR(D269="",P269="",OR(O269="Contract signed + paid",O269="Closed – No response",O269="Lost"),N(Q269)&gt;=Settings!$S$3),"",P269+Settings!$S$2)</f>
        <v/>
      </c>
      <c r="S269" s="38"/>
      <c r="T269" s="39"/>
      <c r="U269" s="17"/>
      <c r="V269" s="17"/>
      <c r="W269" s="17"/>
      <c r="X269" s="43" t="str">
        <f aca="true">IF(OR(D269="",B269=""),"",INT(TODAY()-B269))</f>
        <v/>
      </c>
      <c r="Y269" s="44" t="str">
        <f aca="true">IF(D269="","",IF(OR(COUNTIFS(Clients!$C$2:$C$501,D269,Clients!$S$2:$S$501,"Paid")&gt;0,AND(H269&lt;&gt;"",COUNTIFS(Clients!$E$2:$E$501,H269,Clients!$S$2:$S$501,"Paid")&gt;0)),"⚠ Refunded before – no free video",IF(OR(O269="Contract signed + paid",O269="Closed – No response",O269="Lost"),"",IF(O269="","Set a stage",IF(N(Q269)&gt;=Settings!$S$3,"Close – 4 follow-ups sent",IF(R269="",IF(P269="","Make first contact",""),IF(TODAY()&gt;R269,"OVERDUE follow-up",IF(TODAY()=R269,"Follow up today",""))))))))</f>
        <v/>
      </c>
    </row>
    <row r="270" customFormat="false" ht="15" hidden="false" customHeight="false" outlineLevel="0" collapsed="false">
      <c r="A270" s="17"/>
      <c r="B270" s="38"/>
      <c r="C270" s="17"/>
      <c r="D270" s="17"/>
      <c r="E270" s="17"/>
      <c r="F270" s="17"/>
      <c r="G270" s="17"/>
      <c r="H270" s="40"/>
      <c r="I270" s="17"/>
      <c r="J270" s="17"/>
      <c r="K270" s="17"/>
      <c r="L270" s="17"/>
      <c r="M270" s="17"/>
      <c r="N270" s="17"/>
      <c r="O270" s="17"/>
      <c r="P270" s="38"/>
      <c r="Q270" s="17"/>
      <c r="R270" s="42" t="str">
        <f aca="false">IF(OR(D270="",P270="",OR(O270="Contract signed + paid",O270="Closed – No response",O270="Lost"),N(Q270)&gt;=Settings!$S$3),"",P270+Settings!$S$2)</f>
        <v/>
      </c>
      <c r="S270" s="38"/>
      <c r="T270" s="39"/>
      <c r="U270" s="17"/>
      <c r="V270" s="17"/>
      <c r="W270" s="17"/>
      <c r="X270" s="43" t="str">
        <f aca="true">IF(OR(D270="",B270=""),"",INT(TODAY()-B270))</f>
        <v/>
      </c>
      <c r="Y270" s="44" t="str">
        <f aca="true">IF(D270="","",IF(OR(COUNTIFS(Clients!$C$2:$C$501,D270,Clients!$S$2:$S$501,"Paid")&gt;0,AND(H270&lt;&gt;"",COUNTIFS(Clients!$E$2:$E$501,H270,Clients!$S$2:$S$501,"Paid")&gt;0)),"⚠ Refunded before – no free video",IF(OR(O270="Contract signed + paid",O270="Closed – No response",O270="Lost"),"",IF(O270="","Set a stage",IF(N(Q270)&gt;=Settings!$S$3,"Close – 4 follow-ups sent",IF(R270="",IF(P270="","Make first contact",""),IF(TODAY()&gt;R270,"OVERDUE follow-up",IF(TODAY()=R270,"Follow up today",""))))))))</f>
        <v/>
      </c>
    </row>
    <row r="271" customFormat="false" ht="15" hidden="false" customHeight="false" outlineLevel="0" collapsed="false">
      <c r="A271" s="17"/>
      <c r="B271" s="38"/>
      <c r="C271" s="17"/>
      <c r="D271" s="17"/>
      <c r="E271" s="17"/>
      <c r="F271" s="17"/>
      <c r="G271" s="17"/>
      <c r="H271" s="40"/>
      <c r="I271" s="17"/>
      <c r="J271" s="17"/>
      <c r="K271" s="17"/>
      <c r="L271" s="17"/>
      <c r="M271" s="17"/>
      <c r="N271" s="17"/>
      <c r="O271" s="17"/>
      <c r="P271" s="38"/>
      <c r="Q271" s="17"/>
      <c r="R271" s="42" t="str">
        <f aca="false">IF(OR(D271="",P271="",OR(O271="Contract signed + paid",O271="Closed – No response",O271="Lost"),N(Q271)&gt;=Settings!$S$3),"",P271+Settings!$S$2)</f>
        <v/>
      </c>
      <c r="S271" s="38"/>
      <c r="T271" s="39"/>
      <c r="U271" s="17"/>
      <c r="V271" s="17"/>
      <c r="W271" s="17"/>
      <c r="X271" s="43" t="str">
        <f aca="true">IF(OR(D271="",B271=""),"",INT(TODAY()-B271))</f>
        <v/>
      </c>
      <c r="Y271" s="44" t="str">
        <f aca="true">IF(D271="","",IF(OR(COUNTIFS(Clients!$C$2:$C$501,D271,Clients!$S$2:$S$501,"Paid")&gt;0,AND(H271&lt;&gt;"",COUNTIFS(Clients!$E$2:$E$501,H271,Clients!$S$2:$S$501,"Paid")&gt;0)),"⚠ Refunded before – no free video",IF(OR(O271="Contract signed + paid",O271="Closed – No response",O271="Lost"),"",IF(O271="","Set a stage",IF(N(Q271)&gt;=Settings!$S$3,"Close – 4 follow-ups sent",IF(R271="",IF(P271="","Make first contact",""),IF(TODAY()&gt;R271,"OVERDUE follow-up",IF(TODAY()=R271,"Follow up today",""))))))))</f>
        <v/>
      </c>
    </row>
    <row r="272" customFormat="false" ht="15" hidden="false" customHeight="false" outlineLevel="0" collapsed="false">
      <c r="A272" s="17"/>
      <c r="B272" s="38"/>
      <c r="C272" s="17"/>
      <c r="D272" s="17"/>
      <c r="E272" s="17"/>
      <c r="F272" s="17"/>
      <c r="G272" s="17"/>
      <c r="H272" s="40"/>
      <c r="I272" s="17"/>
      <c r="J272" s="17"/>
      <c r="K272" s="17"/>
      <c r="L272" s="17"/>
      <c r="M272" s="17"/>
      <c r="N272" s="17"/>
      <c r="O272" s="17"/>
      <c r="P272" s="38"/>
      <c r="Q272" s="17"/>
      <c r="R272" s="42" t="str">
        <f aca="false">IF(OR(D272="",P272="",OR(O272="Contract signed + paid",O272="Closed – No response",O272="Lost"),N(Q272)&gt;=Settings!$S$3),"",P272+Settings!$S$2)</f>
        <v/>
      </c>
      <c r="S272" s="38"/>
      <c r="T272" s="39"/>
      <c r="U272" s="17"/>
      <c r="V272" s="17"/>
      <c r="W272" s="17"/>
      <c r="X272" s="43" t="str">
        <f aca="true">IF(OR(D272="",B272=""),"",INT(TODAY()-B272))</f>
        <v/>
      </c>
      <c r="Y272" s="44" t="str">
        <f aca="true">IF(D272="","",IF(OR(COUNTIFS(Clients!$C$2:$C$501,D272,Clients!$S$2:$S$501,"Paid")&gt;0,AND(H272&lt;&gt;"",COUNTIFS(Clients!$E$2:$E$501,H272,Clients!$S$2:$S$501,"Paid")&gt;0)),"⚠ Refunded before – no free video",IF(OR(O272="Contract signed + paid",O272="Closed – No response",O272="Lost"),"",IF(O272="","Set a stage",IF(N(Q272)&gt;=Settings!$S$3,"Close – 4 follow-ups sent",IF(R272="",IF(P272="","Make first contact",""),IF(TODAY()&gt;R272,"OVERDUE follow-up",IF(TODAY()=R272,"Follow up today",""))))))))</f>
        <v/>
      </c>
    </row>
    <row r="273" customFormat="false" ht="15" hidden="false" customHeight="false" outlineLevel="0" collapsed="false">
      <c r="A273" s="17"/>
      <c r="B273" s="38"/>
      <c r="C273" s="17"/>
      <c r="D273" s="17"/>
      <c r="E273" s="17"/>
      <c r="F273" s="17"/>
      <c r="G273" s="17"/>
      <c r="H273" s="40"/>
      <c r="I273" s="17"/>
      <c r="J273" s="17"/>
      <c r="K273" s="17"/>
      <c r="L273" s="17"/>
      <c r="M273" s="17"/>
      <c r="N273" s="17"/>
      <c r="O273" s="17"/>
      <c r="P273" s="38"/>
      <c r="Q273" s="17"/>
      <c r="R273" s="42" t="str">
        <f aca="false">IF(OR(D273="",P273="",OR(O273="Contract signed + paid",O273="Closed – No response",O273="Lost"),N(Q273)&gt;=Settings!$S$3),"",P273+Settings!$S$2)</f>
        <v/>
      </c>
      <c r="S273" s="38"/>
      <c r="T273" s="39"/>
      <c r="U273" s="17"/>
      <c r="V273" s="17"/>
      <c r="W273" s="17"/>
      <c r="X273" s="43" t="str">
        <f aca="true">IF(OR(D273="",B273=""),"",INT(TODAY()-B273))</f>
        <v/>
      </c>
      <c r="Y273" s="44" t="str">
        <f aca="true">IF(D273="","",IF(OR(COUNTIFS(Clients!$C$2:$C$501,D273,Clients!$S$2:$S$501,"Paid")&gt;0,AND(H273&lt;&gt;"",COUNTIFS(Clients!$E$2:$E$501,H273,Clients!$S$2:$S$501,"Paid")&gt;0)),"⚠ Refunded before – no free video",IF(OR(O273="Contract signed + paid",O273="Closed – No response",O273="Lost"),"",IF(O273="","Set a stage",IF(N(Q273)&gt;=Settings!$S$3,"Close – 4 follow-ups sent",IF(R273="",IF(P273="","Make first contact",""),IF(TODAY()&gt;R273,"OVERDUE follow-up",IF(TODAY()=R273,"Follow up today",""))))))))</f>
        <v/>
      </c>
    </row>
    <row r="274" customFormat="false" ht="15" hidden="false" customHeight="false" outlineLevel="0" collapsed="false">
      <c r="A274" s="17"/>
      <c r="B274" s="38"/>
      <c r="C274" s="17"/>
      <c r="D274" s="17"/>
      <c r="E274" s="17"/>
      <c r="F274" s="17"/>
      <c r="G274" s="17"/>
      <c r="H274" s="40"/>
      <c r="I274" s="17"/>
      <c r="J274" s="17"/>
      <c r="K274" s="17"/>
      <c r="L274" s="17"/>
      <c r="M274" s="17"/>
      <c r="N274" s="17"/>
      <c r="O274" s="17"/>
      <c r="P274" s="38"/>
      <c r="Q274" s="17"/>
      <c r="R274" s="42" t="str">
        <f aca="false">IF(OR(D274="",P274="",OR(O274="Contract signed + paid",O274="Closed – No response",O274="Lost"),N(Q274)&gt;=Settings!$S$3),"",P274+Settings!$S$2)</f>
        <v/>
      </c>
      <c r="S274" s="38"/>
      <c r="T274" s="39"/>
      <c r="U274" s="17"/>
      <c r="V274" s="17"/>
      <c r="W274" s="17"/>
      <c r="X274" s="43" t="str">
        <f aca="true">IF(OR(D274="",B274=""),"",INT(TODAY()-B274))</f>
        <v/>
      </c>
      <c r="Y274" s="44" t="str">
        <f aca="true">IF(D274="","",IF(OR(COUNTIFS(Clients!$C$2:$C$501,D274,Clients!$S$2:$S$501,"Paid")&gt;0,AND(H274&lt;&gt;"",COUNTIFS(Clients!$E$2:$E$501,H274,Clients!$S$2:$S$501,"Paid")&gt;0)),"⚠ Refunded before – no free video",IF(OR(O274="Contract signed + paid",O274="Closed – No response",O274="Lost"),"",IF(O274="","Set a stage",IF(N(Q274)&gt;=Settings!$S$3,"Close – 4 follow-ups sent",IF(R274="",IF(P274="","Make first contact",""),IF(TODAY()&gt;R274,"OVERDUE follow-up",IF(TODAY()=R274,"Follow up today",""))))))))</f>
        <v/>
      </c>
    </row>
    <row r="275" customFormat="false" ht="15" hidden="false" customHeight="false" outlineLevel="0" collapsed="false">
      <c r="A275" s="17"/>
      <c r="B275" s="38"/>
      <c r="C275" s="17"/>
      <c r="D275" s="17"/>
      <c r="E275" s="17"/>
      <c r="F275" s="17"/>
      <c r="G275" s="17"/>
      <c r="H275" s="40"/>
      <c r="I275" s="17"/>
      <c r="J275" s="17"/>
      <c r="K275" s="17"/>
      <c r="L275" s="17"/>
      <c r="M275" s="17"/>
      <c r="N275" s="17"/>
      <c r="O275" s="17"/>
      <c r="P275" s="38"/>
      <c r="Q275" s="17"/>
      <c r="R275" s="42" t="str">
        <f aca="false">IF(OR(D275="",P275="",OR(O275="Contract signed + paid",O275="Closed – No response",O275="Lost"),N(Q275)&gt;=Settings!$S$3),"",P275+Settings!$S$2)</f>
        <v/>
      </c>
      <c r="S275" s="38"/>
      <c r="T275" s="39"/>
      <c r="U275" s="17"/>
      <c r="V275" s="17"/>
      <c r="W275" s="17"/>
      <c r="X275" s="43" t="str">
        <f aca="true">IF(OR(D275="",B275=""),"",INT(TODAY()-B275))</f>
        <v/>
      </c>
      <c r="Y275" s="44" t="str">
        <f aca="true">IF(D275="","",IF(OR(COUNTIFS(Clients!$C$2:$C$501,D275,Clients!$S$2:$S$501,"Paid")&gt;0,AND(H275&lt;&gt;"",COUNTIFS(Clients!$E$2:$E$501,H275,Clients!$S$2:$S$501,"Paid")&gt;0)),"⚠ Refunded before – no free video",IF(OR(O275="Contract signed + paid",O275="Closed – No response",O275="Lost"),"",IF(O275="","Set a stage",IF(N(Q275)&gt;=Settings!$S$3,"Close – 4 follow-ups sent",IF(R275="",IF(P275="","Make first contact",""),IF(TODAY()&gt;R275,"OVERDUE follow-up",IF(TODAY()=R275,"Follow up today",""))))))))</f>
        <v/>
      </c>
    </row>
    <row r="276" customFormat="false" ht="15" hidden="false" customHeight="false" outlineLevel="0" collapsed="false">
      <c r="A276" s="17"/>
      <c r="B276" s="38"/>
      <c r="C276" s="17"/>
      <c r="D276" s="17"/>
      <c r="E276" s="17"/>
      <c r="F276" s="17"/>
      <c r="G276" s="17"/>
      <c r="H276" s="40"/>
      <c r="I276" s="17"/>
      <c r="J276" s="17"/>
      <c r="K276" s="17"/>
      <c r="L276" s="17"/>
      <c r="M276" s="17"/>
      <c r="N276" s="17"/>
      <c r="O276" s="17"/>
      <c r="P276" s="38"/>
      <c r="Q276" s="17"/>
      <c r="R276" s="42" t="str">
        <f aca="false">IF(OR(D276="",P276="",OR(O276="Contract signed + paid",O276="Closed – No response",O276="Lost"),N(Q276)&gt;=Settings!$S$3),"",P276+Settings!$S$2)</f>
        <v/>
      </c>
      <c r="S276" s="38"/>
      <c r="T276" s="39"/>
      <c r="U276" s="17"/>
      <c r="V276" s="17"/>
      <c r="W276" s="17"/>
      <c r="X276" s="43" t="str">
        <f aca="true">IF(OR(D276="",B276=""),"",INT(TODAY()-B276))</f>
        <v/>
      </c>
      <c r="Y276" s="44" t="str">
        <f aca="true">IF(D276="","",IF(OR(COUNTIFS(Clients!$C$2:$C$501,D276,Clients!$S$2:$S$501,"Paid")&gt;0,AND(H276&lt;&gt;"",COUNTIFS(Clients!$E$2:$E$501,H276,Clients!$S$2:$S$501,"Paid")&gt;0)),"⚠ Refunded before – no free video",IF(OR(O276="Contract signed + paid",O276="Closed – No response",O276="Lost"),"",IF(O276="","Set a stage",IF(N(Q276)&gt;=Settings!$S$3,"Close – 4 follow-ups sent",IF(R276="",IF(P276="","Make first contact",""),IF(TODAY()&gt;R276,"OVERDUE follow-up",IF(TODAY()=R276,"Follow up today",""))))))))</f>
        <v/>
      </c>
    </row>
    <row r="277" customFormat="false" ht="15" hidden="false" customHeight="false" outlineLevel="0" collapsed="false">
      <c r="A277" s="17"/>
      <c r="B277" s="38"/>
      <c r="C277" s="17"/>
      <c r="D277" s="17"/>
      <c r="E277" s="17"/>
      <c r="F277" s="17"/>
      <c r="G277" s="17"/>
      <c r="H277" s="40"/>
      <c r="I277" s="17"/>
      <c r="J277" s="17"/>
      <c r="K277" s="17"/>
      <c r="L277" s="17"/>
      <c r="M277" s="17"/>
      <c r="N277" s="17"/>
      <c r="O277" s="17"/>
      <c r="P277" s="38"/>
      <c r="Q277" s="17"/>
      <c r="R277" s="42" t="str">
        <f aca="false">IF(OR(D277="",P277="",OR(O277="Contract signed + paid",O277="Closed – No response",O277="Lost"),N(Q277)&gt;=Settings!$S$3),"",P277+Settings!$S$2)</f>
        <v/>
      </c>
      <c r="S277" s="38"/>
      <c r="T277" s="39"/>
      <c r="U277" s="17"/>
      <c r="V277" s="17"/>
      <c r="W277" s="17"/>
      <c r="X277" s="43" t="str">
        <f aca="true">IF(OR(D277="",B277=""),"",INT(TODAY()-B277))</f>
        <v/>
      </c>
      <c r="Y277" s="44" t="str">
        <f aca="true">IF(D277="","",IF(OR(COUNTIFS(Clients!$C$2:$C$501,D277,Clients!$S$2:$S$501,"Paid")&gt;0,AND(H277&lt;&gt;"",COUNTIFS(Clients!$E$2:$E$501,H277,Clients!$S$2:$S$501,"Paid")&gt;0)),"⚠ Refunded before – no free video",IF(OR(O277="Contract signed + paid",O277="Closed – No response",O277="Lost"),"",IF(O277="","Set a stage",IF(N(Q277)&gt;=Settings!$S$3,"Close – 4 follow-ups sent",IF(R277="",IF(P277="","Make first contact",""),IF(TODAY()&gt;R277,"OVERDUE follow-up",IF(TODAY()=R277,"Follow up today",""))))))))</f>
        <v/>
      </c>
    </row>
    <row r="278" customFormat="false" ht="15" hidden="false" customHeight="false" outlineLevel="0" collapsed="false">
      <c r="A278" s="17"/>
      <c r="B278" s="38"/>
      <c r="C278" s="17"/>
      <c r="D278" s="17"/>
      <c r="E278" s="17"/>
      <c r="F278" s="17"/>
      <c r="G278" s="17"/>
      <c r="H278" s="40"/>
      <c r="I278" s="17"/>
      <c r="J278" s="17"/>
      <c r="K278" s="17"/>
      <c r="L278" s="17"/>
      <c r="M278" s="17"/>
      <c r="N278" s="17"/>
      <c r="O278" s="17"/>
      <c r="P278" s="38"/>
      <c r="Q278" s="17"/>
      <c r="R278" s="42" t="str">
        <f aca="false">IF(OR(D278="",P278="",OR(O278="Contract signed + paid",O278="Closed – No response",O278="Lost"),N(Q278)&gt;=Settings!$S$3),"",P278+Settings!$S$2)</f>
        <v/>
      </c>
      <c r="S278" s="38"/>
      <c r="T278" s="39"/>
      <c r="U278" s="17"/>
      <c r="V278" s="17"/>
      <c r="W278" s="17"/>
      <c r="X278" s="43" t="str">
        <f aca="true">IF(OR(D278="",B278=""),"",INT(TODAY()-B278))</f>
        <v/>
      </c>
      <c r="Y278" s="44" t="str">
        <f aca="true">IF(D278="","",IF(OR(COUNTIFS(Clients!$C$2:$C$501,D278,Clients!$S$2:$S$501,"Paid")&gt;0,AND(H278&lt;&gt;"",COUNTIFS(Clients!$E$2:$E$501,H278,Clients!$S$2:$S$501,"Paid")&gt;0)),"⚠ Refunded before – no free video",IF(OR(O278="Contract signed + paid",O278="Closed – No response",O278="Lost"),"",IF(O278="","Set a stage",IF(N(Q278)&gt;=Settings!$S$3,"Close – 4 follow-ups sent",IF(R278="",IF(P278="","Make first contact",""),IF(TODAY()&gt;R278,"OVERDUE follow-up",IF(TODAY()=R278,"Follow up today",""))))))))</f>
        <v/>
      </c>
    </row>
    <row r="279" customFormat="false" ht="15" hidden="false" customHeight="false" outlineLevel="0" collapsed="false">
      <c r="A279" s="17"/>
      <c r="B279" s="38"/>
      <c r="C279" s="17"/>
      <c r="D279" s="17"/>
      <c r="E279" s="17"/>
      <c r="F279" s="17"/>
      <c r="G279" s="17"/>
      <c r="H279" s="40"/>
      <c r="I279" s="17"/>
      <c r="J279" s="17"/>
      <c r="K279" s="17"/>
      <c r="L279" s="17"/>
      <c r="M279" s="17"/>
      <c r="N279" s="17"/>
      <c r="O279" s="17"/>
      <c r="P279" s="38"/>
      <c r="Q279" s="17"/>
      <c r="R279" s="42" t="str">
        <f aca="false">IF(OR(D279="",P279="",OR(O279="Contract signed + paid",O279="Closed – No response",O279="Lost"),N(Q279)&gt;=Settings!$S$3),"",P279+Settings!$S$2)</f>
        <v/>
      </c>
      <c r="S279" s="38"/>
      <c r="T279" s="39"/>
      <c r="U279" s="17"/>
      <c r="V279" s="17"/>
      <c r="W279" s="17"/>
      <c r="X279" s="43" t="str">
        <f aca="true">IF(OR(D279="",B279=""),"",INT(TODAY()-B279))</f>
        <v/>
      </c>
      <c r="Y279" s="44" t="str">
        <f aca="true">IF(D279="","",IF(OR(COUNTIFS(Clients!$C$2:$C$501,D279,Clients!$S$2:$S$501,"Paid")&gt;0,AND(H279&lt;&gt;"",COUNTIFS(Clients!$E$2:$E$501,H279,Clients!$S$2:$S$501,"Paid")&gt;0)),"⚠ Refunded before – no free video",IF(OR(O279="Contract signed + paid",O279="Closed – No response",O279="Lost"),"",IF(O279="","Set a stage",IF(N(Q279)&gt;=Settings!$S$3,"Close – 4 follow-ups sent",IF(R279="",IF(P279="","Make first contact",""),IF(TODAY()&gt;R279,"OVERDUE follow-up",IF(TODAY()=R279,"Follow up today",""))))))))</f>
        <v/>
      </c>
    </row>
    <row r="280" customFormat="false" ht="15" hidden="false" customHeight="false" outlineLevel="0" collapsed="false">
      <c r="A280" s="17"/>
      <c r="B280" s="38"/>
      <c r="C280" s="17"/>
      <c r="D280" s="17"/>
      <c r="E280" s="17"/>
      <c r="F280" s="17"/>
      <c r="G280" s="17"/>
      <c r="H280" s="40"/>
      <c r="I280" s="17"/>
      <c r="J280" s="17"/>
      <c r="K280" s="17"/>
      <c r="L280" s="17"/>
      <c r="M280" s="17"/>
      <c r="N280" s="17"/>
      <c r="O280" s="17"/>
      <c r="P280" s="38"/>
      <c r="Q280" s="17"/>
      <c r="R280" s="42" t="str">
        <f aca="false">IF(OR(D280="",P280="",OR(O280="Contract signed + paid",O280="Closed – No response",O280="Lost"),N(Q280)&gt;=Settings!$S$3),"",P280+Settings!$S$2)</f>
        <v/>
      </c>
      <c r="S280" s="38"/>
      <c r="T280" s="39"/>
      <c r="U280" s="17"/>
      <c r="V280" s="17"/>
      <c r="W280" s="17"/>
      <c r="X280" s="43" t="str">
        <f aca="true">IF(OR(D280="",B280=""),"",INT(TODAY()-B280))</f>
        <v/>
      </c>
      <c r="Y280" s="44" t="str">
        <f aca="true">IF(D280="","",IF(OR(COUNTIFS(Clients!$C$2:$C$501,D280,Clients!$S$2:$S$501,"Paid")&gt;0,AND(H280&lt;&gt;"",COUNTIFS(Clients!$E$2:$E$501,H280,Clients!$S$2:$S$501,"Paid")&gt;0)),"⚠ Refunded before – no free video",IF(OR(O280="Contract signed + paid",O280="Closed – No response",O280="Lost"),"",IF(O280="","Set a stage",IF(N(Q280)&gt;=Settings!$S$3,"Close – 4 follow-ups sent",IF(R280="",IF(P280="","Make first contact",""),IF(TODAY()&gt;R280,"OVERDUE follow-up",IF(TODAY()=R280,"Follow up today",""))))))))</f>
        <v/>
      </c>
    </row>
    <row r="281" customFormat="false" ht="15" hidden="false" customHeight="false" outlineLevel="0" collapsed="false">
      <c r="A281" s="17"/>
      <c r="B281" s="38"/>
      <c r="C281" s="17"/>
      <c r="D281" s="17"/>
      <c r="E281" s="17"/>
      <c r="F281" s="17"/>
      <c r="G281" s="17"/>
      <c r="H281" s="40"/>
      <c r="I281" s="17"/>
      <c r="J281" s="17"/>
      <c r="K281" s="17"/>
      <c r="L281" s="17"/>
      <c r="M281" s="17"/>
      <c r="N281" s="17"/>
      <c r="O281" s="17"/>
      <c r="P281" s="38"/>
      <c r="Q281" s="17"/>
      <c r="R281" s="42" t="str">
        <f aca="false">IF(OR(D281="",P281="",OR(O281="Contract signed + paid",O281="Closed – No response",O281="Lost"),N(Q281)&gt;=Settings!$S$3),"",P281+Settings!$S$2)</f>
        <v/>
      </c>
      <c r="S281" s="38"/>
      <c r="T281" s="39"/>
      <c r="U281" s="17"/>
      <c r="V281" s="17"/>
      <c r="W281" s="17"/>
      <c r="X281" s="43" t="str">
        <f aca="true">IF(OR(D281="",B281=""),"",INT(TODAY()-B281))</f>
        <v/>
      </c>
      <c r="Y281" s="44" t="str">
        <f aca="true">IF(D281="","",IF(OR(COUNTIFS(Clients!$C$2:$C$501,D281,Clients!$S$2:$S$501,"Paid")&gt;0,AND(H281&lt;&gt;"",COUNTIFS(Clients!$E$2:$E$501,H281,Clients!$S$2:$S$501,"Paid")&gt;0)),"⚠ Refunded before – no free video",IF(OR(O281="Contract signed + paid",O281="Closed – No response",O281="Lost"),"",IF(O281="","Set a stage",IF(N(Q281)&gt;=Settings!$S$3,"Close – 4 follow-ups sent",IF(R281="",IF(P281="","Make first contact",""),IF(TODAY()&gt;R281,"OVERDUE follow-up",IF(TODAY()=R281,"Follow up today",""))))))))</f>
        <v/>
      </c>
    </row>
    <row r="282" customFormat="false" ht="15" hidden="false" customHeight="false" outlineLevel="0" collapsed="false">
      <c r="A282" s="17"/>
      <c r="B282" s="38"/>
      <c r="C282" s="17"/>
      <c r="D282" s="17"/>
      <c r="E282" s="17"/>
      <c r="F282" s="17"/>
      <c r="G282" s="17"/>
      <c r="H282" s="40"/>
      <c r="I282" s="17"/>
      <c r="J282" s="17"/>
      <c r="K282" s="17"/>
      <c r="L282" s="17"/>
      <c r="M282" s="17"/>
      <c r="N282" s="17"/>
      <c r="O282" s="17"/>
      <c r="P282" s="38"/>
      <c r="Q282" s="17"/>
      <c r="R282" s="42" t="str">
        <f aca="false">IF(OR(D282="",P282="",OR(O282="Contract signed + paid",O282="Closed – No response",O282="Lost"),N(Q282)&gt;=Settings!$S$3),"",P282+Settings!$S$2)</f>
        <v/>
      </c>
      <c r="S282" s="38"/>
      <c r="T282" s="39"/>
      <c r="U282" s="17"/>
      <c r="V282" s="17"/>
      <c r="W282" s="17"/>
      <c r="X282" s="43" t="str">
        <f aca="true">IF(OR(D282="",B282=""),"",INT(TODAY()-B282))</f>
        <v/>
      </c>
      <c r="Y282" s="44" t="str">
        <f aca="true">IF(D282="","",IF(OR(COUNTIFS(Clients!$C$2:$C$501,D282,Clients!$S$2:$S$501,"Paid")&gt;0,AND(H282&lt;&gt;"",COUNTIFS(Clients!$E$2:$E$501,H282,Clients!$S$2:$S$501,"Paid")&gt;0)),"⚠ Refunded before – no free video",IF(OR(O282="Contract signed + paid",O282="Closed – No response",O282="Lost"),"",IF(O282="","Set a stage",IF(N(Q282)&gt;=Settings!$S$3,"Close – 4 follow-ups sent",IF(R282="",IF(P282="","Make first contact",""),IF(TODAY()&gt;R282,"OVERDUE follow-up",IF(TODAY()=R282,"Follow up today",""))))))))</f>
        <v/>
      </c>
    </row>
    <row r="283" customFormat="false" ht="15" hidden="false" customHeight="false" outlineLevel="0" collapsed="false">
      <c r="A283" s="17"/>
      <c r="B283" s="38"/>
      <c r="C283" s="17"/>
      <c r="D283" s="17"/>
      <c r="E283" s="17"/>
      <c r="F283" s="17"/>
      <c r="G283" s="17"/>
      <c r="H283" s="40"/>
      <c r="I283" s="17"/>
      <c r="J283" s="17"/>
      <c r="K283" s="17"/>
      <c r="L283" s="17"/>
      <c r="M283" s="17"/>
      <c r="N283" s="17"/>
      <c r="O283" s="17"/>
      <c r="P283" s="38"/>
      <c r="Q283" s="17"/>
      <c r="R283" s="42" t="str">
        <f aca="false">IF(OR(D283="",P283="",OR(O283="Contract signed + paid",O283="Closed – No response",O283="Lost"),N(Q283)&gt;=Settings!$S$3),"",P283+Settings!$S$2)</f>
        <v/>
      </c>
      <c r="S283" s="38"/>
      <c r="T283" s="39"/>
      <c r="U283" s="17"/>
      <c r="V283" s="17"/>
      <c r="W283" s="17"/>
      <c r="X283" s="43" t="str">
        <f aca="true">IF(OR(D283="",B283=""),"",INT(TODAY()-B283))</f>
        <v/>
      </c>
      <c r="Y283" s="44" t="str">
        <f aca="true">IF(D283="","",IF(OR(COUNTIFS(Clients!$C$2:$C$501,D283,Clients!$S$2:$S$501,"Paid")&gt;0,AND(H283&lt;&gt;"",COUNTIFS(Clients!$E$2:$E$501,H283,Clients!$S$2:$S$501,"Paid")&gt;0)),"⚠ Refunded before – no free video",IF(OR(O283="Contract signed + paid",O283="Closed – No response",O283="Lost"),"",IF(O283="","Set a stage",IF(N(Q283)&gt;=Settings!$S$3,"Close – 4 follow-ups sent",IF(R283="",IF(P283="","Make first contact",""),IF(TODAY()&gt;R283,"OVERDUE follow-up",IF(TODAY()=R283,"Follow up today",""))))))))</f>
        <v/>
      </c>
    </row>
    <row r="284" customFormat="false" ht="15" hidden="false" customHeight="false" outlineLevel="0" collapsed="false">
      <c r="A284" s="17"/>
      <c r="B284" s="38"/>
      <c r="C284" s="17"/>
      <c r="D284" s="17"/>
      <c r="E284" s="17"/>
      <c r="F284" s="17"/>
      <c r="G284" s="17"/>
      <c r="H284" s="40"/>
      <c r="I284" s="17"/>
      <c r="J284" s="17"/>
      <c r="K284" s="17"/>
      <c r="L284" s="17"/>
      <c r="M284" s="17"/>
      <c r="N284" s="17"/>
      <c r="O284" s="17"/>
      <c r="P284" s="38"/>
      <c r="Q284" s="17"/>
      <c r="R284" s="42" t="str">
        <f aca="false">IF(OR(D284="",P284="",OR(O284="Contract signed + paid",O284="Closed – No response",O284="Lost"),N(Q284)&gt;=Settings!$S$3),"",P284+Settings!$S$2)</f>
        <v/>
      </c>
      <c r="S284" s="38"/>
      <c r="T284" s="39"/>
      <c r="U284" s="17"/>
      <c r="V284" s="17"/>
      <c r="W284" s="17"/>
      <c r="X284" s="43" t="str">
        <f aca="true">IF(OR(D284="",B284=""),"",INT(TODAY()-B284))</f>
        <v/>
      </c>
      <c r="Y284" s="44" t="str">
        <f aca="true">IF(D284="","",IF(OR(COUNTIFS(Clients!$C$2:$C$501,D284,Clients!$S$2:$S$501,"Paid")&gt;0,AND(H284&lt;&gt;"",COUNTIFS(Clients!$E$2:$E$501,H284,Clients!$S$2:$S$501,"Paid")&gt;0)),"⚠ Refunded before – no free video",IF(OR(O284="Contract signed + paid",O284="Closed – No response",O284="Lost"),"",IF(O284="","Set a stage",IF(N(Q284)&gt;=Settings!$S$3,"Close – 4 follow-ups sent",IF(R284="",IF(P284="","Make first contact",""),IF(TODAY()&gt;R284,"OVERDUE follow-up",IF(TODAY()=R284,"Follow up today",""))))))))</f>
        <v/>
      </c>
    </row>
    <row r="285" customFormat="false" ht="15" hidden="false" customHeight="false" outlineLevel="0" collapsed="false">
      <c r="A285" s="17"/>
      <c r="B285" s="38"/>
      <c r="C285" s="17"/>
      <c r="D285" s="17"/>
      <c r="E285" s="17"/>
      <c r="F285" s="17"/>
      <c r="G285" s="17"/>
      <c r="H285" s="40"/>
      <c r="I285" s="17"/>
      <c r="J285" s="17"/>
      <c r="K285" s="17"/>
      <c r="L285" s="17"/>
      <c r="M285" s="17"/>
      <c r="N285" s="17"/>
      <c r="O285" s="17"/>
      <c r="P285" s="38"/>
      <c r="Q285" s="17"/>
      <c r="R285" s="42" t="str">
        <f aca="false">IF(OR(D285="",P285="",OR(O285="Contract signed + paid",O285="Closed – No response",O285="Lost"),N(Q285)&gt;=Settings!$S$3),"",P285+Settings!$S$2)</f>
        <v/>
      </c>
      <c r="S285" s="38"/>
      <c r="T285" s="39"/>
      <c r="U285" s="17"/>
      <c r="V285" s="17"/>
      <c r="W285" s="17"/>
      <c r="X285" s="43" t="str">
        <f aca="true">IF(OR(D285="",B285=""),"",INT(TODAY()-B285))</f>
        <v/>
      </c>
      <c r="Y285" s="44" t="str">
        <f aca="true">IF(D285="","",IF(OR(COUNTIFS(Clients!$C$2:$C$501,D285,Clients!$S$2:$S$501,"Paid")&gt;0,AND(H285&lt;&gt;"",COUNTIFS(Clients!$E$2:$E$501,H285,Clients!$S$2:$S$501,"Paid")&gt;0)),"⚠ Refunded before – no free video",IF(OR(O285="Contract signed + paid",O285="Closed – No response",O285="Lost"),"",IF(O285="","Set a stage",IF(N(Q285)&gt;=Settings!$S$3,"Close – 4 follow-ups sent",IF(R285="",IF(P285="","Make first contact",""),IF(TODAY()&gt;R285,"OVERDUE follow-up",IF(TODAY()=R285,"Follow up today",""))))))))</f>
        <v/>
      </c>
    </row>
    <row r="286" customFormat="false" ht="15" hidden="false" customHeight="false" outlineLevel="0" collapsed="false">
      <c r="A286" s="17"/>
      <c r="B286" s="38"/>
      <c r="C286" s="17"/>
      <c r="D286" s="17"/>
      <c r="E286" s="17"/>
      <c r="F286" s="17"/>
      <c r="G286" s="17"/>
      <c r="H286" s="40"/>
      <c r="I286" s="17"/>
      <c r="J286" s="17"/>
      <c r="K286" s="17"/>
      <c r="L286" s="17"/>
      <c r="M286" s="17"/>
      <c r="N286" s="17"/>
      <c r="O286" s="17"/>
      <c r="P286" s="38"/>
      <c r="Q286" s="17"/>
      <c r="R286" s="42" t="str">
        <f aca="false">IF(OR(D286="",P286="",OR(O286="Contract signed + paid",O286="Closed – No response",O286="Lost"),N(Q286)&gt;=Settings!$S$3),"",P286+Settings!$S$2)</f>
        <v/>
      </c>
      <c r="S286" s="38"/>
      <c r="T286" s="39"/>
      <c r="U286" s="17"/>
      <c r="V286" s="17"/>
      <c r="W286" s="17"/>
      <c r="X286" s="43" t="str">
        <f aca="true">IF(OR(D286="",B286=""),"",INT(TODAY()-B286))</f>
        <v/>
      </c>
      <c r="Y286" s="44" t="str">
        <f aca="true">IF(D286="","",IF(OR(COUNTIFS(Clients!$C$2:$C$501,D286,Clients!$S$2:$S$501,"Paid")&gt;0,AND(H286&lt;&gt;"",COUNTIFS(Clients!$E$2:$E$501,H286,Clients!$S$2:$S$501,"Paid")&gt;0)),"⚠ Refunded before – no free video",IF(OR(O286="Contract signed + paid",O286="Closed – No response",O286="Lost"),"",IF(O286="","Set a stage",IF(N(Q286)&gt;=Settings!$S$3,"Close – 4 follow-ups sent",IF(R286="",IF(P286="","Make first contact",""),IF(TODAY()&gt;R286,"OVERDUE follow-up",IF(TODAY()=R286,"Follow up today",""))))))))</f>
        <v/>
      </c>
    </row>
    <row r="287" customFormat="false" ht="15" hidden="false" customHeight="false" outlineLevel="0" collapsed="false">
      <c r="A287" s="17"/>
      <c r="B287" s="38"/>
      <c r="C287" s="17"/>
      <c r="D287" s="17"/>
      <c r="E287" s="17"/>
      <c r="F287" s="17"/>
      <c r="G287" s="17"/>
      <c r="H287" s="40"/>
      <c r="I287" s="17"/>
      <c r="J287" s="17"/>
      <c r="K287" s="17"/>
      <c r="L287" s="17"/>
      <c r="M287" s="17"/>
      <c r="N287" s="17"/>
      <c r="O287" s="17"/>
      <c r="P287" s="38"/>
      <c r="Q287" s="17"/>
      <c r="R287" s="42" t="str">
        <f aca="false">IF(OR(D287="",P287="",OR(O287="Contract signed + paid",O287="Closed – No response",O287="Lost"),N(Q287)&gt;=Settings!$S$3),"",P287+Settings!$S$2)</f>
        <v/>
      </c>
      <c r="S287" s="38"/>
      <c r="T287" s="39"/>
      <c r="U287" s="17"/>
      <c r="V287" s="17"/>
      <c r="W287" s="17"/>
      <c r="X287" s="43" t="str">
        <f aca="true">IF(OR(D287="",B287=""),"",INT(TODAY()-B287))</f>
        <v/>
      </c>
      <c r="Y287" s="44" t="str">
        <f aca="true">IF(D287="","",IF(OR(COUNTIFS(Clients!$C$2:$C$501,D287,Clients!$S$2:$S$501,"Paid")&gt;0,AND(H287&lt;&gt;"",COUNTIFS(Clients!$E$2:$E$501,H287,Clients!$S$2:$S$501,"Paid")&gt;0)),"⚠ Refunded before – no free video",IF(OR(O287="Contract signed + paid",O287="Closed – No response",O287="Lost"),"",IF(O287="","Set a stage",IF(N(Q287)&gt;=Settings!$S$3,"Close – 4 follow-ups sent",IF(R287="",IF(P287="","Make first contact",""),IF(TODAY()&gt;R287,"OVERDUE follow-up",IF(TODAY()=R287,"Follow up today",""))))))))</f>
        <v/>
      </c>
    </row>
    <row r="288" customFormat="false" ht="15" hidden="false" customHeight="false" outlineLevel="0" collapsed="false">
      <c r="A288" s="17"/>
      <c r="B288" s="38"/>
      <c r="C288" s="17"/>
      <c r="D288" s="17"/>
      <c r="E288" s="17"/>
      <c r="F288" s="17"/>
      <c r="G288" s="17"/>
      <c r="H288" s="40"/>
      <c r="I288" s="17"/>
      <c r="J288" s="17"/>
      <c r="K288" s="17"/>
      <c r="L288" s="17"/>
      <c r="M288" s="17"/>
      <c r="N288" s="17"/>
      <c r="O288" s="17"/>
      <c r="P288" s="38"/>
      <c r="Q288" s="17"/>
      <c r="R288" s="42" t="str">
        <f aca="false">IF(OR(D288="",P288="",OR(O288="Contract signed + paid",O288="Closed – No response",O288="Lost"),N(Q288)&gt;=Settings!$S$3),"",P288+Settings!$S$2)</f>
        <v/>
      </c>
      <c r="S288" s="38"/>
      <c r="T288" s="39"/>
      <c r="U288" s="17"/>
      <c r="V288" s="17"/>
      <c r="W288" s="17"/>
      <c r="X288" s="43" t="str">
        <f aca="true">IF(OR(D288="",B288=""),"",INT(TODAY()-B288))</f>
        <v/>
      </c>
      <c r="Y288" s="44" t="str">
        <f aca="true">IF(D288="","",IF(OR(COUNTIFS(Clients!$C$2:$C$501,D288,Clients!$S$2:$S$501,"Paid")&gt;0,AND(H288&lt;&gt;"",COUNTIFS(Clients!$E$2:$E$501,H288,Clients!$S$2:$S$501,"Paid")&gt;0)),"⚠ Refunded before – no free video",IF(OR(O288="Contract signed + paid",O288="Closed – No response",O288="Lost"),"",IF(O288="","Set a stage",IF(N(Q288)&gt;=Settings!$S$3,"Close – 4 follow-ups sent",IF(R288="",IF(P288="","Make first contact",""),IF(TODAY()&gt;R288,"OVERDUE follow-up",IF(TODAY()=R288,"Follow up today",""))))))))</f>
        <v/>
      </c>
    </row>
    <row r="289" customFormat="false" ht="15" hidden="false" customHeight="false" outlineLevel="0" collapsed="false">
      <c r="A289" s="17"/>
      <c r="B289" s="38"/>
      <c r="C289" s="17"/>
      <c r="D289" s="17"/>
      <c r="E289" s="17"/>
      <c r="F289" s="17"/>
      <c r="G289" s="17"/>
      <c r="H289" s="40"/>
      <c r="I289" s="17"/>
      <c r="J289" s="17"/>
      <c r="K289" s="17"/>
      <c r="L289" s="17"/>
      <c r="M289" s="17"/>
      <c r="N289" s="17"/>
      <c r="O289" s="17"/>
      <c r="P289" s="38"/>
      <c r="Q289" s="17"/>
      <c r="R289" s="42" t="str">
        <f aca="false">IF(OR(D289="",P289="",OR(O289="Contract signed + paid",O289="Closed – No response",O289="Lost"),N(Q289)&gt;=Settings!$S$3),"",P289+Settings!$S$2)</f>
        <v/>
      </c>
      <c r="S289" s="38"/>
      <c r="T289" s="39"/>
      <c r="U289" s="17"/>
      <c r="V289" s="17"/>
      <c r="W289" s="17"/>
      <c r="X289" s="43" t="str">
        <f aca="true">IF(OR(D289="",B289=""),"",INT(TODAY()-B289))</f>
        <v/>
      </c>
      <c r="Y289" s="44" t="str">
        <f aca="true">IF(D289="","",IF(OR(COUNTIFS(Clients!$C$2:$C$501,D289,Clients!$S$2:$S$501,"Paid")&gt;0,AND(H289&lt;&gt;"",COUNTIFS(Clients!$E$2:$E$501,H289,Clients!$S$2:$S$501,"Paid")&gt;0)),"⚠ Refunded before – no free video",IF(OR(O289="Contract signed + paid",O289="Closed – No response",O289="Lost"),"",IF(O289="","Set a stage",IF(N(Q289)&gt;=Settings!$S$3,"Close – 4 follow-ups sent",IF(R289="",IF(P289="","Make first contact",""),IF(TODAY()&gt;R289,"OVERDUE follow-up",IF(TODAY()=R289,"Follow up today",""))))))))</f>
        <v/>
      </c>
    </row>
    <row r="290" customFormat="false" ht="15" hidden="false" customHeight="false" outlineLevel="0" collapsed="false">
      <c r="A290" s="17"/>
      <c r="B290" s="38"/>
      <c r="C290" s="17"/>
      <c r="D290" s="17"/>
      <c r="E290" s="17"/>
      <c r="F290" s="17"/>
      <c r="G290" s="17"/>
      <c r="H290" s="40"/>
      <c r="I290" s="17"/>
      <c r="J290" s="17"/>
      <c r="K290" s="17"/>
      <c r="L290" s="17"/>
      <c r="M290" s="17"/>
      <c r="N290" s="17"/>
      <c r="O290" s="17"/>
      <c r="P290" s="38"/>
      <c r="Q290" s="17"/>
      <c r="R290" s="42" t="str">
        <f aca="false">IF(OR(D290="",P290="",OR(O290="Contract signed + paid",O290="Closed – No response",O290="Lost"),N(Q290)&gt;=Settings!$S$3),"",P290+Settings!$S$2)</f>
        <v/>
      </c>
      <c r="S290" s="38"/>
      <c r="T290" s="39"/>
      <c r="U290" s="17"/>
      <c r="V290" s="17"/>
      <c r="W290" s="17"/>
      <c r="X290" s="43" t="str">
        <f aca="true">IF(OR(D290="",B290=""),"",INT(TODAY()-B290))</f>
        <v/>
      </c>
      <c r="Y290" s="44" t="str">
        <f aca="true">IF(D290="","",IF(OR(COUNTIFS(Clients!$C$2:$C$501,D290,Clients!$S$2:$S$501,"Paid")&gt;0,AND(H290&lt;&gt;"",COUNTIFS(Clients!$E$2:$E$501,H290,Clients!$S$2:$S$501,"Paid")&gt;0)),"⚠ Refunded before – no free video",IF(OR(O290="Contract signed + paid",O290="Closed – No response",O290="Lost"),"",IF(O290="","Set a stage",IF(N(Q290)&gt;=Settings!$S$3,"Close – 4 follow-ups sent",IF(R290="",IF(P290="","Make first contact",""),IF(TODAY()&gt;R290,"OVERDUE follow-up",IF(TODAY()=R290,"Follow up today",""))))))))</f>
        <v/>
      </c>
    </row>
    <row r="291" customFormat="false" ht="15" hidden="false" customHeight="false" outlineLevel="0" collapsed="false">
      <c r="A291" s="17"/>
      <c r="B291" s="38"/>
      <c r="C291" s="17"/>
      <c r="D291" s="17"/>
      <c r="E291" s="17"/>
      <c r="F291" s="17"/>
      <c r="G291" s="17"/>
      <c r="H291" s="40"/>
      <c r="I291" s="17"/>
      <c r="J291" s="17"/>
      <c r="K291" s="17"/>
      <c r="L291" s="17"/>
      <c r="M291" s="17"/>
      <c r="N291" s="17"/>
      <c r="O291" s="17"/>
      <c r="P291" s="38"/>
      <c r="Q291" s="17"/>
      <c r="R291" s="42" t="str">
        <f aca="false">IF(OR(D291="",P291="",OR(O291="Contract signed + paid",O291="Closed – No response",O291="Lost"),N(Q291)&gt;=Settings!$S$3),"",P291+Settings!$S$2)</f>
        <v/>
      </c>
      <c r="S291" s="38"/>
      <c r="T291" s="39"/>
      <c r="U291" s="17"/>
      <c r="V291" s="17"/>
      <c r="W291" s="17"/>
      <c r="X291" s="43" t="str">
        <f aca="true">IF(OR(D291="",B291=""),"",INT(TODAY()-B291))</f>
        <v/>
      </c>
      <c r="Y291" s="44" t="str">
        <f aca="true">IF(D291="","",IF(OR(COUNTIFS(Clients!$C$2:$C$501,D291,Clients!$S$2:$S$501,"Paid")&gt;0,AND(H291&lt;&gt;"",COUNTIFS(Clients!$E$2:$E$501,H291,Clients!$S$2:$S$501,"Paid")&gt;0)),"⚠ Refunded before – no free video",IF(OR(O291="Contract signed + paid",O291="Closed – No response",O291="Lost"),"",IF(O291="","Set a stage",IF(N(Q291)&gt;=Settings!$S$3,"Close – 4 follow-ups sent",IF(R291="",IF(P291="","Make first contact",""),IF(TODAY()&gt;R291,"OVERDUE follow-up",IF(TODAY()=R291,"Follow up today",""))))))))</f>
        <v/>
      </c>
    </row>
    <row r="292" customFormat="false" ht="15" hidden="false" customHeight="false" outlineLevel="0" collapsed="false">
      <c r="A292" s="17"/>
      <c r="B292" s="38"/>
      <c r="C292" s="17"/>
      <c r="D292" s="17"/>
      <c r="E292" s="17"/>
      <c r="F292" s="17"/>
      <c r="G292" s="17"/>
      <c r="H292" s="40"/>
      <c r="I292" s="17"/>
      <c r="J292" s="17"/>
      <c r="K292" s="17"/>
      <c r="L292" s="17"/>
      <c r="M292" s="17"/>
      <c r="N292" s="17"/>
      <c r="O292" s="17"/>
      <c r="P292" s="38"/>
      <c r="Q292" s="17"/>
      <c r="R292" s="42" t="str">
        <f aca="false">IF(OR(D292="",P292="",OR(O292="Contract signed + paid",O292="Closed – No response",O292="Lost"),N(Q292)&gt;=Settings!$S$3),"",P292+Settings!$S$2)</f>
        <v/>
      </c>
      <c r="S292" s="38"/>
      <c r="T292" s="39"/>
      <c r="U292" s="17"/>
      <c r="V292" s="17"/>
      <c r="W292" s="17"/>
      <c r="X292" s="43" t="str">
        <f aca="true">IF(OR(D292="",B292=""),"",INT(TODAY()-B292))</f>
        <v/>
      </c>
      <c r="Y292" s="44" t="str">
        <f aca="true">IF(D292="","",IF(OR(COUNTIFS(Clients!$C$2:$C$501,D292,Clients!$S$2:$S$501,"Paid")&gt;0,AND(H292&lt;&gt;"",COUNTIFS(Clients!$E$2:$E$501,H292,Clients!$S$2:$S$501,"Paid")&gt;0)),"⚠ Refunded before – no free video",IF(OR(O292="Contract signed + paid",O292="Closed – No response",O292="Lost"),"",IF(O292="","Set a stage",IF(N(Q292)&gt;=Settings!$S$3,"Close – 4 follow-ups sent",IF(R292="",IF(P292="","Make first contact",""),IF(TODAY()&gt;R292,"OVERDUE follow-up",IF(TODAY()=R292,"Follow up today",""))))))))</f>
        <v/>
      </c>
    </row>
    <row r="293" customFormat="false" ht="15" hidden="false" customHeight="false" outlineLevel="0" collapsed="false">
      <c r="A293" s="17"/>
      <c r="B293" s="38"/>
      <c r="C293" s="17"/>
      <c r="D293" s="17"/>
      <c r="E293" s="17"/>
      <c r="F293" s="17"/>
      <c r="G293" s="17"/>
      <c r="H293" s="40"/>
      <c r="I293" s="17"/>
      <c r="J293" s="17"/>
      <c r="K293" s="17"/>
      <c r="L293" s="17"/>
      <c r="M293" s="17"/>
      <c r="N293" s="17"/>
      <c r="O293" s="17"/>
      <c r="P293" s="38"/>
      <c r="Q293" s="17"/>
      <c r="R293" s="42" t="str">
        <f aca="false">IF(OR(D293="",P293="",OR(O293="Contract signed + paid",O293="Closed – No response",O293="Lost"),N(Q293)&gt;=Settings!$S$3),"",P293+Settings!$S$2)</f>
        <v/>
      </c>
      <c r="S293" s="38"/>
      <c r="T293" s="39"/>
      <c r="U293" s="17"/>
      <c r="V293" s="17"/>
      <c r="W293" s="17"/>
      <c r="X293" s="43" t="str">
        <f aca="true">IF(OR(D293="",B293=""),"",INT(TODAY()-B293))</f>
        <v/>
      </c>
      <c r="Y293" s="44" t="str">
        <f aca="true">IF(D293="","",IF(OR(COUNTIFS(Clients!$C$2:$C$501,D293,Clients!$S$2:$S$501,"Paid")&gt;0,AND(H293&lt;&gt;"",COUNTIFS(Clients!$E$2:$E$501,H293,Clients!$S$2:$S$501,"Paid")&gt;0)),"⚠ Refunded before – no free video",IF(OR(O293="Contract signed + paid",O293="Closed – No response",O293="Lost"),"",IF(O293="","Set a stage",IF(N(Q293)&gt;=Settings!$S$3,"Close – 4 follow-ups sent",IF(R293="",IF(P293="","Make first contact",""),IF(TODAY()&gt;R293,"OVERDUE follow-up",IF(TODAY()=R293,"Follow up today",""))))))))</f>
        <v/>
      </c>
    </row>
    <row r="294" customFormat="false" ht="15" hidden="false" customHeight="false" outlineLevel="0" collapsed="false">
      <c r="A294" s="17"/>
      <c r="B294" s="38"/>
      <c r="C294" s="17"/>
      <c r="D294" s="17"/>
      <c r="E294" s="17"/>
      <c r="F294" s="17"/>
      <c r="G294" s="17"/>
      <c r="H294" s="40"/>
      <c r="I294" s="17"/>
      <c r="J294" s="17"/>
      <c r="K294" s="17"/>
      <c r="L294" s="17"/>
      <c r="M294" s="17"/>
      <c r="N294" s="17"/>
      <c r="O294" s="17"/>
      <c r="P294" s="38"/>
      <c r="Q294" s="17"/>
      <c r="R294" s="42" t="str">
        <f aca="false">IF(OR(D294="",P294="",OR(O294="Contract signed + paid",O294="Closed – No response",O294="Lost"),N(Q294)&gt;=Settings!$S$3),"",P294+Settings!$S$2)</f>
        <v/>
      </c>
      <c r="S294" s="38"/>
      <c r="T294" s="39"/>
      <c r="U294" s="17"/>
      <c r="V294" s="17"/>
      <c r="W294" s="17"/>
      <c r="X294" s="43" t="str">
        <f aca="true">IF(OR(D294="",B294=""),"",INT(TODAY()-B294))</f>
        <v/>
      </c>
      <c r="Y294" s="44" t="str">
        <f aca="true">IF(D294="","",IF(OR(COUNTIFS(Clients!$C$2:$C$501,D294,Clients!$S$2:$S$501,"Paid")&gt;0,AND(H294&lt;&gt;"",COUNTIFS(Clients!$E$2:$E$501,H294,Clients!$S$2:$S$501,"Paid")&gt;0)),"⚠ Refunded before – no free video",IF(OR(O294="Contract signed + paid",O294="Closed – No response",O294="Lost"),"",IF(O294="","Set a stage",IF(N(Q294)&gt;=Settings!$S$3,"Close – 4 follow-ups sent",IF(R294="",IF(P294="","Make first contact",""),IF(TODAY()&gt;R294,"OVERDUE follow-up",IF(TODAY()=R294,"Follow up today",""))))))))</f>
        <v/>
      </c>
    </row>
    <row r="295" customFormat="false" ht="15" hidden="false" customHeight="false" outlineLevel="0" collapsed="false">
      <c r="A295" s="17"/>
      <c r="B295" s="38"/>
      <c r="C295" s="17"/>
      <c r="D295" s="17"/>
      <c r="E295" s="17"/>
      <c r="F295" s="17"/>
      <c r="G295" s="17"/>
      <c r="H295" s="40"/>
      <c r="I295" s="17"/>
      <c r="J295" s="17"/>
      <c r="K295" s="17"/>
      <c r="L295" s="17"/>
      <c r="M295" s="17"/>
      <c r="N295" s="17"/>
      <c r="O295" s="17"/>
      <c r="P295" s="38"/>
      <c r="Q295" s="17"/>
      <c r="R295" s="42" t="str">
        <f aca="false">IF(OR(D295="",P295="",OR(O295="Contract signed + paid",O295="Closed – No response",O295="Lost"),N(Q295)&gt;=Settings!$S$3),"",P295+Settings!$S$2)</f>
        <v/>
      </c>
      <c r="S295" s="38"/>
      <c r="T295" s="39"/>
      <c r="U295" s="17"/>
      <c r="V295" s="17"/>
      <c r="W295" s="17"/>
      <c r="X295" s="43" t="str">
        <f aca="true">IF(OR(D295="",B295=""),"",INT(TODAY()-B295))</f>
        <v/>
      </c>
      <c r="Y295" s="44" t="str">
        <f aca="true">IF(D295="","",IF(OR(COUNTIFS(Clients!$C$2:$C$501,D295,Clients!$S$2:$S$501,"Paid")&gt;0,AND(H295&lt;&gt;"",COUNTIFS(Clients!$E$2:$E$501,H295,Clients!$S$2:$S$501,"Paid")&gt;0)),"⚠ Refunded before – no free video",IF(OR(O295="Contract signed + paid",O295="Closed – No response",O295="Lost"),"",IF(O295="","Set a stage",IF(N(Q295)&gt;=Settings!$S$3,"Close – 4 follow-ups sent",IF(R295="",IF(P295="","Make first contact",""),IF(TODAY()&gt;R295,"OVERDUE follow-up",IF(TODAY()=R295,"Follow up today",""))))))))</f>
        <v/>
      </c>
    </row>
    <row r="296" customFormat="false" ht="15" hidden="false" customHeight="false" outlineLevel="0" collapsed="false">
      <c r="A296" s="17"/>
      <c r="B296" s="38"/>
      <c r="C296" s="17"/>
      <c r="D296" s="17"/>
      <c r="E296" s="17"/>
      <c r="F296" s="17"/>
      <c r="G296" s="17"/>
      <c r="H296" s="40"/>
      <c r="I296" s="17"/>
      <c r="J296" s="17"/>
      <c r="K296" s="17"/>
      <c r="L296" s="17"/>
      <c r="M296" s="17"/>
      <c r="N296" s="17"/>
      <c r="O296" s="17"/>
      <c r="P296" s="38"/>
      <c r="Q296" s="17"/>
      <c r="R296" s="42" t="str">
        <f aca="false">IF(OR(D296="",P296="",OR(O296="Contract signed + paid",O296="Closed – No response",O296="Lost"),N(Q296)&gt;=Settings!$S$3),"",P296+Settings!$S$2)</f>
        <v/>
      </c>
      <c r="S296" s="38"/>
      <c r="T296" s="39"/>
      <c r="U296" s="17"/>
      <c r="V296" s="17"/>
      <c r="W296" s="17"/>
      <c r="X296" s="43" t="str">
        <f aca="true">IF(OR(D296="",B296=""),"",INT(TODAY()-B296))</f>
        <v/>
      </c>
      <c r="Y296" s="44" t="str">
        <f aca="true">IF(D296="","",IF(OR(COUNTIFS(Clients!$C$2:$C$501,D296,Clients!$S$2:$S$501,"Paid")&gt;0,AND(H296&lt;&gt;"",COUNTIFS(Clients!$E$2:$E$501,H296,Clients!$S$2:$S$501,"Paid")&gt;0)),"⚠ Refunded before – no free video",IF(OR(O296="Contract signed + paid",O296="Closed – No response",O296="Lost"),"",IF(O296="","Set a stage",IF(N(Q296)&gt;=Settings!$S$3,"Close – 4 follow-ups sent",IF(R296="",IF(P296="","Make first contact",""),IF(TODAY()&gt;R296,"OVERDUE follow-up",IF(TODAY()=R296,"Follow up today",""))))))))</f>
        <v/>
      </c>
    </row>
    <row r="297" customFormat="false" ht="15" hidden="false" customHeight="false" outlineLevel="0" collapsed="false">
      <c r="A297" s="17"/>
      <c r="B297" s="38"/>
      <c r="C297" s="17"/>
      <c r="D297" s="17"/>
      <c r="E297" s="17"/>
      <c r="F297" s="17"/>
      <c r="G297" s="17"/>
      <c r="H297" s="40"/>
      <c r="I297" s="17"/>
      <c r="J297" s="17"/>
      <c r="K297" s="17"/>
      <c r="L297" s="17"/>
      <c r="M297" s="17"/>
      <c r="N297" s="17"/>
      <c r="O297" s="17"/>
      <c r="P297" s="38"/>
      <c r="Q297" s="17"/>
      <c r="R297" s="42" t="str">
        <f aca="false">IF(OR(D297="",P297="",OR(O297="Contract signed + paid",O297="Closed – No response",O297="Lost"),N(Q297)&gt;=Settings!$S$3),"",P297+Settings!$S$2)</f>
        <v/>
      </c>
      <c r="S297" s="38"/>
      <c r="T297" s="39"/>
      <c r="U297" s="17"/>
      <c r="V297" s="17"/>
      <c r="W297" s="17"/>
      <c r="X297" s="43" t="str">
        <f aca="true">IF(OR(D297="",B297=""),"",INT(TODAY()-B297))</f>
        <v/>
      </c>
      <c r="Y297" s="44" t="str">
        <f aca="true">IF(D297="","",IF(OR(COUNTIFS(Clients!$C$2:$C$501,D297,Clients!$S$2:$S$501,"Paid")&gt;0,AND(H297&lt;&gt;"",COUNTIFS(Clients!$E$2:$E$501,H297,Clients!$S$2:$S$501,"Paid")&gt;0)),"⚠ Refunded before – no free video",IF(OR(O297="Contract signed + paid",O297="Closed – No response",O297="Lost"),"",IF(O297="","Set a stage",IF(N(Q297)&gt;=Settings!$S$3,"Close – 4 follow-ups sent",IF(R297="",IF(P297="","Make first contact",""),IF(TODAY()&gt;R297,"OVERDUE follow-up",IF(TODAY()=R297,"Follow up today",""))))))))</f>
        <v/>
      </c>
    </row>
    <row r="298" customFormat="false" ht="15" hidden="false" customHeight="false" outlineLevel="0" collapsed="false">
      <c r="A298" s="17"/>
      <c r="B298" s="38"/>
      <c r="C298" s="17"/>
      <c r="D298" s="17"/>
      <c r="E298" s="17"/>
      <c r="F298" s="17"/>
      <c r="G298" s="17"/>
      <c r="H298" s="40"/>
      <c r="I298" s="17"/>
      <c r="J298" s="17"/>
      <c r="K298" s="17"/>
      <c r="L298" s="17"/>
      <c r="M298" s="17"/>
      <c r="N298" s="17"/>
      <c r="O298" s="17"/>
      <c r="P298" s="38"/>
      <c r="Q298" s="17"/>
      <c r="R298" s="42" t="str">
        <f aca="false">IF(OR(D298="",P298="",OR(O298="Contract signed + paid",O298="Closed – No response",O298="Lost"),N(Q298)&gt;=Settings!$S$3),"",P298+Settings!$S$2)</f>
        <v/>
      </c>
      <c r="S298" s="38"/>
      <c r="T298" s="39"/>
      <c r="U298" s="17"/>
      <c r="V298" s="17"/>
      <c r="W298" s="17"/>
      <c r="X298" s="43" t="str">
        <f aca="true">IF(OR(D298="",B298=""),"",INT(TODAY()-B298))</f>
        <v/>
      </c>
      <c r="Y298" s="44" t="str">
        <f aca="true">IF(D298="","",IF(OR(COUNTIFS(Clients!$C$2:$C$501,D298,Clients!$S$2:$S$501,"Paid")&gt;0,AND(H298&lt;&gt;"",COUNTIFS(Clients!$E$2:$E$501,H298,Clients!$S$2:$S$501,"Paid")&gt;0)),"⚠ Refunded before – no free video",IF(OR(O298="Contract signed + paid",O298="Closed – No response",O298="Lost"),"",IF(O298="","Set a stage",IF(N(Q298)&gt;=Settings!$S$3,"Close – 4 follow-ups sent",IF(R298="",IF(P298="","Make first contact",""),IF(TODAY()&gt;R298,"OVERDUE follow-up",IF(TODAY()=R298,"Follow up today",""))))))))</f>
        <v/>
      </c>
    </row>
    <row r="299" customFormat="false" ht="15" hidden="false" customHeight="false" outlineLevel="0" collapsed="false">
      <c r="A299" s="17"/>
      <c r="B299" s="38"/>
      <c r="C299" s="17"/>
      <c r="D299" s="17"/>
      <c r="E299" s="17"/>
      <c r="F299" s="17"/>
      <c r="G299" s="17"/>
      <c r="H299" s="40"/>
      <c r="I299" s="17"/>
      <c r="J299" s="17"/>
      <c r="K299" s="17"/>
      <c r="L299" s="17"/>
      <c r="M299" s="17"/>
      <c r="N299" s="17"/>
      <c r="O299" s="17"/>
      <c r="P299" s="38"/>
      <c r="Q299" s="17"/>
      <c r="R299" s="42" t="str">
        <f aca="false">IF(OR(D299="",P299="",OR(O299="Contract signed + paid",O299="Closed – No response",O299="Lost"),N(Q299)&gt;=Settings!$S$3),"",P299+Settings!$S$2)</f>
        <v/>
      </c>
      <c r="S299" s="38"/>
      <c r="T299" s="39"/>
      <c r="U299" s="17"/>
      <c r="V299" s="17"/>
      <c r="W299" s="17"/>
      <c r="X299" s="43" t="str">
        <f aca="true">IF(OR(D299="",B299=""),"",INT(TODAY()-B299))</f>
        <v/>
      </c>
      <c r="Y299" s="44" t="str">
        <f aca="true">IF(D299="","",IF(OR(COUNTIFS(Clients!$C$2:$C$501,D299,Clients!$S$2:$S$501,"Paid")&gt;0,AND(H299&lt;&gt;"",COUNTIFS(Clients!$E$2:$E$501,H299,Clients!$S$2:$S$501,"Paid")&gt;0)),"⚠ Refunded before – no free video",IF(OR(O299="Contract signed + paid",O299="Closed – No response",O299="Lost"),"",IF(O299="","Set a stage",IF(N(Q299)&gt;=Settings!$S$3,"Close – 4 follow-ups sent",IF(R299="",IF(P299="","Make first contact",""),IF(TODAY()&gt;R299,"OVERDUE follow-up",IF(TODAY()=R299,"Follow up today",""))))))))</f>
        <v/>
      </c>
    </row>
    <row r="300" customFormat="false" ht="15" hidden="false" customHeight="false" outlineLevel="0" collapsed="false">
      <c r="A300" s="17"/>
      <c r="B300" s="38"/>
      <c r="C300" s="17"/>
      <c r="D300" s="17"/>
      <c r="E300" s="17"/>
      <c r="F300" s="17"/>
      <c r="G300" s="17"/>
      <c r="H300" s="40"/>
      <c r="I300" s="17"/>
      <c r="J300" s="17"/>
      <c r="K300" s="17"/>
      <c r="L300" s="17"/>
      <c r="M300" s="17"/>
      <c r="N300" s="17"/>
      <c r="O300" s="17"/>
      <c r="P300" s="38"/>
      <c r="Q300" s="17"/>
      <c r="R300" s="42" t="str">
        <f aca="false">IF(OR(D300="",P300="",OR(O300="Contract signed + paid",O300="Closed – No response",O300="Lost"),N(Q300)&gt;=Settings!$S$3),"",P300+Settings!$S$2)</f>
        <v/>
      </c>
      <c r="S300" s="38"/>
      <c r="T300" s="39"/>
      <c r="U300" s="17"/>
      <c r="V300" s="17"/>
      <c r="W300" s="17"/>
      <c r="X300" s="43" t="str">
        <f aca="true">IF(OR(D300="",B300=""),"",INT(TODAY()-B300))</f>
        <v/>
      </c>
      <c r="Y300" s="44" t="str">
        <f aca="true">IF(D300="","",IF(OR(COUNTIFS(Clients!$C$2:$C$501,D300,Clients!$S$2:$S$501,"Paid")&gt;0,AND(H300&lt;&gt;"",COUNTIFS(Clients!$E$2:$E$501,H300,Clients!$S$2:$S$501,"Paid")&gt;0)),"⚠ Refunded before – no free video",IF(OR(O300="Contract signed + paid",O300="Closed – No response",O300="Lost"),"",IF(O300="","Set a stage",IF(N(Q300)&gt;=Settings!$S$3,"Close – 4 follow-ups sent",IF(R300="",IF(P300="","Make first contact",""),IF(TODAY()&gt;R300,"OVERDUE follow-up",IF(TODAY()=R300,"Follow up today",""))))))))</f>
        <v/>
      </c>
    </row>
    <row r="301" customFormat="false" ht="15" hidden="false" customHeight="false" outlineLevel="0" collapsed="false">
      <c r="A301" s="17"/>
      <c r="B301" s="38"/>
      <c r="C301" s="17"/>
      <c r="D301" s="17"/>
      <c r="E301" s="17"/>
      <c r="F301" s="17"/>
      <c r="G301" s="17"/>
      <c r="H301" s="40"/>
      <c r="I301" s="17"/>
      <c r="J301" s="17"/>
      <c r="K301" s="17"/>
      <c r="L301" s="17"/>
      <c r="M301" s="17"/>
      <c r="N301" s="17"/>
      <c r="O301" s="17"/>
      <c r="P301" s="38"/>
      <c r="Q301" s="17"/>
      <c r="R301" s="42" t="str">
        <f aca="false">IF(OR(D301="",P301="",OR(O301="Contract signed + paid",O301="Closed – No response",O301="Lost"),N(Q301)&gt;=Settings!$S$3),"",P301+Settings!$S$2)</f>
        <v/>
      </c>
      <c r="S301" s="38"/>
      <c r="T301" s="39"/>
      <c r="U301" s="17"/>
      <c r="V301" s="17"/>
      <c r="W301" s="17"/>
      <c r="X301" s="43" t="str">
        <f aca="true">IF(OR(D301="",B301=""),"",INT(TODAY()-B301))</f>
        <v/>
      </c>
      <c r="Y301" s="44" t="str">
        <f aca="true">IF(D301="","",IF(OR(COUNTIFS(Clients!$C$2:$C$501,D301,Clients!$S$2:$S$501,"Paid")&gt;0,AND(H301&lt;&gt;"",COUNTIFS(Clients!$E$2:$E$501,H301,Clients!$S$2:$S$501,"Paid")&gt;0)),"⚠ Refunded before – no free video",IF(OR(O301="Contract signed + paid",O301="Closed – No response",O301="Lost"),"",IF(O301="","Set a stage",IF(N(Q301)&gt;=Settings!$S$3,"Close – 4 follow-ups sent",IF(R301="",IF(P301="","Make first contact",""),IF(TODAY()&gt;R301,"OVERDUE follow-up",IF(TODAY()=R301,"Follow up today",""))))))))</f>
        <v/>
      </c>
    </row>
    <row r="302" customFormat="false" ht="15" hidden="false" customHeight="false" outlineLevel="0" collapsed="false">
      <c r="A302" s="17"/>
      <c r="B302" s="38"/>
      <c r="C302" s="17"/>
      <c r="D302" s="17"/>
      <c r="E302" s="17"/>
      <c r="F302" s="17"/>
      <c r="G302" s="17"/>
      <c r="H302" s="40"/>
      <c r="I302" s="17"/>
      <c r="J302" s="17"/>
      <c r="K302" s="17"/>
      <c r="L302" s="17"/>
      <c r="M302" s="17"/>
      <c r="N302" s="17"/>
      <c r="O302" s="17"/>
      <c r="P302" s="38"/>
      <c r="Q302" s="17"/>
      <c r="R302" s="42" t="str">
        <f aca="false">IF(OR(D302="",P302="",OR(O302="Contract signed + paid",O302="Closed – No response",O302="Lost"),N(Q302)&gt;=Settings!$S$3),"",P302+Settings!$S$2)</f>
        <v/>
      </c>
      <c r="S302" s="38"/>
      <c r="T302" s="39"/>
      <c r="U302" s="17"/>
      <c r="V302" s="17"/>
      <c r="W302" s="17"/>
      <c r="X302" s="43" t="str">
        <f aca="true">IF(OR(D302="",B302=""),"",INT(TODAY()-B302))</f>
        <v/>
      </c>
      <c r="Y302" s="44" t="str">
        <f aca="true">IF(D302="","",IF(OR(COUNTIFS(Clients!$C$2:$C$501,D302,Clients!$S$2:$S$501,"Paid")&gt;0,AND(H302&lt;&gt;"",COUNTIFS(Clients!$E$2:$E$501,H302,Clients!$S$2:$S$501,"Paid")&gt;0)),"⚠ Refunded before – no free video",IF(OR(O302="Contract signed + paid",O302="Closed – No response",O302="Lost"),"",IF(O302="","Set a stage",IF(N(Q302)&gt;=Settings!$S$3,"Close – 4 follow-ups sent",IF(R302="",IF(P302="","Make first contact",""),IF(TODAY()&gt;R302,"OVERDUE follow-up",IF(TODAY()=R302,"Follow up today",""))))))))</f>
        <v/>
      </c>
    </row>
    <row r="303" customFormat="false" ht="15" hidden="false" customHeight="false" outlineLevel="0" collapsed="false">
      <c r="A303" s="17"/>
      <c r="B303" s="38"/>
      <c r="C303" s="17"/>
      <c r="D303" s="17"/>
      <c r="E303" s="17"/>
      <c r="F303" s="17"/>
      <c r="G303" s="17"/>
      <c r="H303" s="40"/>
      <c r="I303" s="17"/>
      <c r="J303" s="17"/>
      <c r="K303" s="17"/>
      <c r="L303" s="17"/>
      <c r="M303" s="17"/>
      <c r="N303" s="17"/>
      <c r="O303" s="17"/>
      <c r="P303" s="38"/>
      <c r="Q303" s="17"/>
      <c r="R303" s="42" t="str">
        <f aca="false">IF(OR(D303="",P303="",OR(O303="Contract signed + paid",O303="Closed – No response",O303="Lost"),N(Q303)&gt;=Settings!$S$3),"",P303+Settings!$S$2)</f>
        <v/>
      </c>
      <c r="S303" s="38"/>
      <c r="T303" s="39"/>
      <c r="U303" s="17"/>
      <c r="V303" s="17"/>
      <c r="W303" s="17"/>
      <c r="X303" s="43" t="str">
        <f aca="true">IF(OR(D303="",B303=""),"",INT(TODAY()-B303))</f>
        <v/>
      </c>
      <c r="Y303" s="44" t="str">
        <f aca="true">IF(D303="","",IF(OR(COUNTIFS(Clients!$C$2:$C$501,D303,Clients!$S$2:$S$501,"Paid")&gt;0,AND(H303&lt;&gt;"",COUNTIFS(Clients!$E$2:$E$501,H303,Clients!$S$2:$S$501,"Paid")&gt;0)),"⚠ Refunded before – no free video",IF(OR(O303="Contract signed + paid",O303="Closed – No response",O303="Lost"),"",IF(O303="","Set a stage",IF(N(Q303)&gt;=Settings!$S$3,"Close – 4 follow-ups sent",IF(R303="",IF(P303="","Make first contact",""),IF(TODAY()&gt;R303,"OVERDUE follow-up",IF(TODAY()=R303,"Follow up today",""))))))))</f>
        <v/>
      </c>
    </row>
    <row r="304" customFormat="false" ht="15" hidden="false" customHeight="false" outlineLevel="0" collapsed="false">
      <c r="A304" s="17"/>
      <c r="B304" s="38"/>
      <c r="C304" s="17"/>
      <c r="D304" s="17"/>
      <c r="E304" s="17"/>
      <c r="F304" s="17"/>
      <c r="G304" s="17"/>
      <c r="H304" s="40"/>
      <c r="I304" s="17"/>
      <c r="J304" s="17"/>
      <c r="K304" s="17"/>
      <c r="L304" s="17"/>
      <c r="M304" s="17"/>
      <c r="N304" s="17"/>
      <c r="O304" s="17"/>
      <c r="P304" s="38"/>
      <c r="Q304" s="17"/>
      <c r="R304" s="42" t="str">
        <f aca="false">IF(OR(D304="",P304="",OR(O304="Contract signed + paid",O304="Closed – No response",O304="Lost"),N(Q304)&gt;=Settings!$S$3),"",P304+Settings!$S$2)</f>
        <v/>
      </c>
      <c r="S304" s="38"/>
      <c r="T304" s="39"/>
      <c r="U304" s="17"/>
      <c r="V304" s="17"/>
      <c r="W304" s="17"/>
      <c r="X304" s="43" t="str">
        <f aca="true">IF(OR(D304="",B304=""),"",INT(TODAY()-B304))</f>
        <v/>
      </c>
      <c r="Y304" s="44" t="str">
        <f aca="true">IF(D304="","",IF(OR(COUNTIFS(Clients!$C$2:$C$501,D304,Clients!$S$2:$S$501,"Paid")&gt;0,AND(H304&lt;&gt;"",COUNTIFS(Clients!$E$2:$E$501,H304,Clients!$S$2:$S$501,"Paid")&gt;0)),"⚠ Refunded before – no free video",IF(OR(O304="Contract signed + paid",O304="Closed – No response",O304="Lost"),"",IF(O304="","Set a stage",IF(N(Q304)&gt;=Settings!$S$3,"Close – 4 follow-ups sent",IF(R304="",IF(P304="","Make first contact",""),IF(TODAY()&gt;R304,"OVERDUE follow-up",IF(TODAY()=R304,"Follow up today",""))))))))</f>
        <v/>
      </c>
    </row>
    <row r="305" customFormat="false" ht="15" hidden="false" customHeight="false" outlineLevel="0" collapsed="false">
      <c r="A305" s="17"/>
      <c r="B305" s="38"/>
      <c r="C305" s="17"/>
      <c r="D305" s="17"/>
      <c r="E305" s="17"/>
      <c r="F305" s="17"/>
      <c r="G305" s="17"/>
      <c r="H305" s="40"/>
      <c r="I305" s="17"/>
      <c r="J305" s="17"/>
      <c r="K305" s="17"/>
      <c r="L305" s="17"/>
      <c r="M305" s="17"/>
      <c r="N305" s="17"/>
      <c r="O305" s="17"/>
      <c r="P305" s="38"/>
      <c r="Q305" s="17"/>
      <c r="R305" s="42" t="str">
        <f aca="false">IF(OR(D305="",P305="",OR(O305="Contract signed + paid",O305="Closed – No response",O305="Lost"),N(Q305)&gt;=Settings!$S$3),"",P305+Settings!$S$2)</f>
        <v/>
      </c>
      <c r="S305" s="38"/>
      <c r="T305" s="39"/>
      <c r="U305" s="17"/>
      <c r="V305" s="17"/>
      <c r="W305" s="17"/>
      <c r="X305" s="43" t="str">
        <f aca="true">IF(OR(D305="",B305=""),"",INT(TODAY()-B305))</f>
        <v/>
      </c>
      <c r="Y305" s="44" t="str">
        <f aca="true">IF(D305="","",IF(OR(COUNTIFS(Clients!$C$2:$C$501,D305,Clients!$S$2:$S$501,"Paid")&gt;0,AND(H305&lt;&gt;"",COUNTIFS(Clients!$E$2:$E$501,H305,Clients!$S$2:$S$501,"Paid")&gt;0)),"⚠ Refunded before – no free video",IF(OR(O305="Contract signed + paid",O305="Closed – No response",O305="Lost"),"",IF(O305="","Set a stage",IF(N(Q305)&gt;=Settings!$S$3,"Close – 4 follow-ups sent",IF(R305="",IF(P305="","Make first contact",""),IF(TODAY()&gt;R305,"OVERDUE follow-up",IF(TODAY()=R305,"Follow up today",""))))))))</f>
        <v/>
      </c>
    </row>
    <row r="306" customFormat="false" ht="15" hidden="false" customHeight="false" outlineLevel="0" collapsed="false">
      <c r="A306" s="17"/>
      <c r="B306" s="38"/>
      <c r="C306" s="17"/>
      <c r="D306" s="17"/>
      <c r="E306" s="17"/>
      <c r="F306" s="17"/>
      <c r="G306" s="17"/>
      <c r="H306" s="40"/>
      <c r="I306" s="17"/>
      <c r="J306" s="17"/>
      <c r="K306" s="17"/>
      <c r="L306" s="17"/>
      <c r="M306" s="17"/>
      <c r="N306" s="17"/>
      <c r="O306" s="17"/>
      <c r="P306" s="38"/>
      <c r="Q306" s="17"/>
      <c r="R306" s="42" t="str">
        <f aca="false">IF(OR(D306="",P306="",OR(O306="Contract signed + paid",O306="Closed – No response",O306="Lost"),N(Q306)&gt;=Settings!$S$3),"",P306+Settings!$S$2)</f>
        <v/>
      </c>
      <c r="S306" s="38"/>
      <c r="T306" s="39"/>
      <c r="U306" s="17"/>
      <c r="V306" s="17"/>
      <c r="W306" s="17"/>
      <c r="X306" s="43" t="str">
        <f aca="true">IF(OR(D306="",B306=""),"",INT(TODAY()-B306))</f>
        <v/>
      </c>
      <c r="Y306" s="44" t="str">
        <f aca="true">IF(D306="","",IF(OR(COUNTIFS(Clients!$C$2:$C$501,D306,Clients!$S$2:$S$501,"Paid")&gt;0,AND(H306&lt;&gt;"",COUNTIFS(Clients!$E$2:$E$501,H306,Clients!$S$2:$S$501,"Paid")&gt;0)),"⚠ Refunded before – no free video",IF(OR(O306="Contract signed + paid",O306="Closed – No response",O306="Lost"),"",IF(O306="","Set a stage",IF(N(Q306)&gt;=Settings!$S$3,"Close – 4 follow-ups sent",IF(R306="",IF(P306="","Make first contact",""),IF(TODAY()&gt;R306,"OVERDUE follow-up",IF(TODAY()=R306,"Follow up today",""))))))))</f>
        <v/>
      </c>
    </row>
    <row r="307" customFormat="false" ht="15" hidden="false" customHeight="false" outlineLevel="0" collapsed="false">
      <c r="A307" s="17"/>
      <c r="B307" s="38"/>
      <c r="C307" s="17"/>
      <c r="D307" s="17"/>
      <c r="E307" s="17"/>
      <c r="F307" s="17"/>
      <c r="G307" s="17"/>
      <c r="H307" s="40"/>
      <c r="I307" s="17"/>
      <c r="J307" s="17"/>
      <c r="K307" s="17"/>
      <c r="L307" s="17"/>
      <c r="M307" s="17"/>
      <c r="N307" s="17"/>
      <c r="O307" s="17"/>
      <c r="P307" s="38"/>
      <c r="Q307" s="17"/>
      <c r="R307" s="42" t="str">
        <f aca="false">IF(OR(D307="",P307="",OR(O307="Contract signed + paid",O307="Closed – No response",O307="Lost"),N(Q307)&gt;=Settings!$S$3),"",P307+Settings!$S$2)</f>
        <v/>
      </c>
      <c r="S307" s="38"/>
      <c r="T307" s="39"/>
      <c r="U307" s="17"/>
      <c r="V307" s="17"/>
      <c r="W307" s="17"/>
      <c r="X307" s="43" t="str">
        <f aca="true">IF(OR(D307="",B307=""),"",INT(TODAY()-B307))</f>
        <v/>
      </c>
      <c r="Y307" s="44" t="str">
        <f aca="true">IF(D307="","",IF(OR(COUNTIFS(Clients!$C$2:$C$501,D307,Clients!$S$2:$S$501,"Paid")&gt;0,AND(H307&lt;&gt;"",COUNTIFS(Clients!$E$2:$E$501,H307,Clients!$S$2:$S$501,"Paid")&gt;0)),"⚠ Refunded before – no free video",IF(OR(O307="Contract signed + paid",O307="Closed – No response",O307="Lost"),"",IF(O307="","Set a stage",IF(N(Q307)&gt;=Settings!$S$3,"Close – 4 follow-ups sent",IF(R307="",IF(P307="","Make first contact",""),IF(TODAY()&gt;R307,"OVERDUE follow-up",IF(TODAY()=R307,"Follow up today",""))))))))</f>
        <v/>
      </c>
    </row>
    <row r="308" customFormat="false" ht="15" hidden="false" customHeight="false" outlineLevel="0" collapsed="false">
      <c r="A308" s="17"/>
      <c r="B308" s="38"/>
      <c r="C308" s="17"/>
      <c r="D308" s="17"/>
      <c r="E308" s="17"/>
      <c r="F308" s="17"/>
      <c r="G308" s="17"/>
      <c r="H308" s="40"/>
      <c r="I308" s="17"/>
      <c r="J308" s="17"/>
      <c r="K308" s="17"/>
      <c r="L308" s="17"/>
      <c r="M308" s="17"/>
      <c r="N308" s="17"/>
      <c r="O308" s="17"/>
      <c r="P308" s="38"/>
      <c r="Q308" s="17"/>
      <c r="R308" s="42" t="str">
        <f aca="false">IF(OR(D308="",P308="",OR(O308="Contract signed + paid",O308="Closed – No response",O308="Lost"),N(Q308)&gt;=Settings!$S$3),"",P308+Settings!$S$2)</f>
        <v/>
      </c>
      <c r="S308" s="38"/>
      <c r="T308" s="39"/>
      <c r="U308" s="17"/>
      <c r="V308" s="17"/>
      <c r="W308" s="17"/>
      <c r="X308" s="43" t="str">
        <f aca="true">IF(OR(D308="",B308=""),"",INT(TODAY()-B308))</f>
        <v/>
      </c>
      <c r="Y308" s="44" t="str">
        <f aca="true">IF(D308="","",IF(OR(COUNTIFS(Clients!$C$2:$C$501,D308,Clients!$S$2:$S$501,"Paid")&gt;0,AND(H308&lt;&gt;"",COUNTIFS(Clients!$E$2:$E$501,H308,Clients!$S$2:$S$501,"Paid")&gt;0)),"⚠ Refunded before – no free video",IF(OR(O308="Contract signed + paid",O308="Closed – No response",O308="Lost"),"",IF(O308="","Set a stage",IF(N(Q308)&gt;=Settings!$S$3,"Close – 4 follow-ups sent",IF(R308="",IF(P308="","Make first contact",""),IF(TODAY()&gt;R308,"OVERDUE follow-up",IF(TODAY()=R308,"Follow up today",""))))))))</f>
        <v/>
      </c>
    </row>
    <row r="309" customFormat="false" ht="15" hidden="false" customHeight="false" outlineLevel="0" collapsed="false">
      <c r="A309" s="17"/>
      <c r="B309" s="38"/>
      <c r="C309" s="17"/>
      <c r="D309" s="17"/>
      <c r="E309" s="17"/>
      <c r="F309" s="17"/>
      <c r="G309" s="17"/>
      <c r="H309" s="40"/>
      <c r="I309" s="17"/>
      <c r="J309" s="17"/>
      <c r="K309" s="17"/>
      <c r="L309" s="17"/>
      <c r="M309" s="17"/>
      <c r="N309" s="17"/>
      <c r="O309" s="17"/>
      <c r="P309" s="38"/>
      <c r="Q309" s="17"/>
      <c r="R309" s="42" t="str">
        <f aca="false">IF(OR(D309="",P309="",OR(O309="Contract signed + paid",O309="Closed – No response",O309="Lost"),N(Q309)&gt;=Settings!$S$3),"",P309+Settings!$S$2)</f>
        <v/>
      </c>
      <c r="S309" s="38"/>
      <c r="T309" s="39"/>
      <c r="U309" s="17"/>
      <c r="V309" s="17"/>
      <c r="W309" s="17"/>
      <c r="X309" s="43" t="str">
        <f aca="true">IF(OR(D309="",B309=""),"",INT(TODAY()-B309))</f>
        <v/>
      </c>
      <c r="Y309" s="44" t="str">
        <f aca="true">IF(D309="","",IF(OR(COUNTIFS(Clients!$C$2:$C$501,D309,Clients!$S$2:$S$501,"Paid")&gt;0,AND(H309&lt;&gt;"",COUNTIFS(Clients!$E$2:$E$501,H309,Clients!$S$2:$S$501,"Paid")&gt;0)),"⚠ Refunded before – no free video",IF(OR(O309="Contract signed + paid",O309="Closed – No response",O309="Lost"),"",IF(O309="","Set a stage",IF(N(Q309)&gt;=Settings!$S$3,"Close – 4 follow-ups sent",IF(R309="",IF(P309="","Make first contact",""),IF(TODAY()&gt;R309,"OVERDUE follow-up",IF(TODAY()=R309,"Follow up today",""))))))))</f>
        <v/>
      </c>
    </row>
    <row r="310" customFormat="false" ht="15" hidden="false" customHeight="false" outlineLevel="0" collapsed="false">
      <c r="A310" s="17"/>
      <c r="B310" s="38"/>
      <c r="C310" s="17"/>
      <c r="D310" s="17"/>
      <c r="E310" s="17"/>
      <c r="F310" s="17"/>
      <c r="G310" s="17"/>
      <c r="H310" s="40"/>
      <c r="I310" s="17"/>
      <c r="J310" s="17"/>
      <c r="K310" s="17"/>
      <c r="L310" s="17"/>
      <c r="M310" s="17"/>
      <c r="N310" s="17"/>
      <c r="O310" s="17"/>
      <c r="P310" s="38"/>
      <c r="Q310" s="17"/>
      <c r="R310" s="42" t="str">
        <f aca="false">IF(OR(D310="",P310="",OR(O310="Contract signed + paid",O310="Closed – No response",O310="Lost"),N(Q310)&gt;=Settings!$S$3),"",P310+Settings!$S$2)</f>
        <v/>
      </c>
      <c r="S310" s="38"/>
      <c r="T310" s="39"/>
      <c r="U310" s="17"/>
      <c r="V310" s="17"/>
      <c r="W310" s="17"/>
      <c r="X310" s="43" t="str">
        <f aca="true">IF(OR(D310="",B310=""),"",INT(TODAY()-B310))</f>
        <v/>
      </c>
      <c r="Y310" s="44" t="str">
        <f aca="true">IF(D310="","",IF(OR(COUNTIFS(Clients!$C$2:$C$501,D310,Clients!$S$2:$S$501,"Paid")&gt;0,AND(H310&lt;&gt;"",COUNTIFS(Clients!$E$2:$E$501,H310,Clients!$S$2:$S$501,"Paid")&gt;0)),"⚠ Refunded before – no free video",IF(OR(O310="Contract signed + paid",O310="Closed – No response",O310="Lost"),"",IF(O310="","Set a stage",IF(N(Q310)&gt;=Settings!$S$3,"Close – 4 follow-ups sent",IF(R310="",IF(P310="","Make first contact",""),IF(TODAY()&gt;R310,"OVERDUE follow-up",IF(TODAY()=R310,"Follow up today",""))))))))</f>
        <v/>
      </c>
    </row>
    <row r="311" customFormat="false" ht="15" hidden="false" customHeight="false" outlineLevel="0" collapsed="false">
      <c r="A311" s="17"/>
      <c r="B311" s="38"/>
      <c r="C311" s="17"/>
      <c r="D311" s="17"/>
      <c r="E311" s="17"/>
      <c r="F311" s="17"/>
      <c r="G311" s="17"/>
      <c r="H311" s="40"/>
      <c r="I311" s="17"/>
      <c r="J311" s="17"/>
      <c r="K311" s="17"/>
      <c r="L311" s="17"/>
      <c r="M311" s="17"/>
      <c r="N311" s="17"/>
      <c r="O311" s="17"/>
      <c r="P311" s="38"/>
      <c r="Q311" s="17"/>
      <c r="R311" s="42" t="str">
        <f aca="false">IF(OR(D311="",P311="",OR(O311="Contract signed + paid",O311="Closed – No response",O311="Lost"),N(Q311)&gt;=Settings!$S$3),"",P311+Settings!$S$2)</f>
        <v/>
      </c>
      <c r="S311" s="38"/>
      <c r="T311" s="39"/>
      <c r="U311" s="17"/>
      <c r="V311" s="17"/>
      <c r="W311" s="17"/>
      <c r="X311" s="43" t="str">
        <f aca="true">IF(OR(D311="",B311=""),"",INT(TODAY()-B311))</f>
        <v/>
      </c>
      <c r="Y311" s="44" t="str">
        <f aca="true">IF(D311="","",IF(OR(COUNTIFS(Clients!$C$2:$C$501,D311,Clients!$S$2:$S$501,"Paid")&gt;0,AND(H311&lt;&gt;"",COUNTIFS(Clients!$E$2:$E$501,H311,Clients!$S$2:$S$501,"Paid")&gt;0)),"⚠ Refunded before – no free video",IF(OR(O311="Contract signed + paid",O311="Closed – No response",O311="Lost"),"",IF(O311="","Set a stage",IF(N(Q311)&gt;=Settings!$S$3,"Close – 4 follow-ups sent",IF(R311="",IF(P311="","Make first contact",""),IF(TODAY()&gt;R311,"OVERDUE follow-up",IF(TODAY()=R311,"Follow up today",""))))))))</f>
        <v/>
      </c>
    </row>
    <row r="312" customFormat="false" ht="15" hidden="false" customHeight="false" outlineLevel="0" collapsed="false">
      <c r="A312" s="17"/>
      <c r="B312" s="38"/>
      <c r="C312" s="17"/>
      <c r="D312" s="17"/>
      <c r="E312" s="17"/>
      <c r="F312" s="17"/>
      <c r="G312" s="17"/>
      <c r="H312" s="40"/>
      <c r="I312" s="17"/>
      <c r="J312" s="17"/>
      <c r="K312" s="17"/>
      <c r="L312" s="17"/>
      <c r="M312" s="17"/>
      <c r="N312" s="17"/>
      <c r="O312" s="17"/>
      <c r="P312" s="38"/>
      <c r="Q312" s="17"/>
      <c r="R312" s="42" t="str">
        <f aca="false">IF(OR(D312="",P312="",OR(O312="Contract signed + paid",O312="Closed – No response",O312="Lost"),N(Q312)&gt;=Settings!$S$3),"",P312+Settings!$S$2)</f>
        <v/>
      </c>
      <c r="S312" s="38"/>
      <c r="T312" s="39"/>
      <c r="U312" s="17"/>
      <c r="V312" s="17"/>
      <c r="W312" s="17"/>
      <c r="X312" s="43" t="str">
        <f aca="true">IF(OR(D312="",B312=""),"",INT(TODAY()-B312))</f>
        <v/>
      </c>
      <c r="Y312" s="44" t="str">
        <f aca="true">IF(D312="","",IF(OR(COUNTIFS(Clients!$C$2:$C$501,D312,Clients!$S$2:$S$501,"Paid")&gt;0,AND(H312&lt;&gt;"",COUNTIFS(Clients!$E$2:$E$501,H312,Clients!$S$2:$S$501,"Paid")&gt;0)),"⚠ Refunded before – no free video",IF(OR(O312="Contract signed + paid",O312="Closed – No response",O312="Lost"),"",IF(O312="","Set a stage",IF(N(Q312)&gt;=Settings!$S$3,"Close – 4 follow-ups sent",IF(R312="",IF(P312="","Make first contact",""),IF(TODAY()&gt;R312,"OVERDUE follow-up",IF(TODAY()=R312,"Follow up today",""))))))))</f>
        <v/>
      </c>
    </row>
    <row r="313" customFormat="false" ht="15" hidden="false" customHeight="false" outlineLevel="0" collapsed="false">
      <c r="A313" s="17"/>
      <c r="B313" s="38"/>
      <c r="C313" s="17"/>
      <c r="D313" s="17"/>
      <c r="E313" s="17"/>
      <c r="F313" s="17"/>
      <c r="G313" s="17"/>
      <c r="H313" s="40"/>
      <c r="I313" s="17"/>
      <c r="J313" s="17"/>
      <c r="K313" s="17"/>
      <c r="L313" s="17"/>
      <c r="M313" s="17"/>
      <c r="N313" s="17"/>
      <c r="O313" s="17"/>
      <c r="P313" s="38"/>
      <c r="Q313" s="17"/>
      <c r="R313" s="42" t="str">
        <f aca="false">IF(OR(D313="",P313="",OR(O313="Contract signed + paid",O313="Closed – No response",O313="Lost"),N(Q313)&gt;=Settings!$S$3),"",P313+Settings!$S$2)</f>
        <v/>
      </c>
      <c r="S313" s="38"/>
      <c r="T313" s="39"/>
      <c r="U313" s="17"/>
      <c r="V313" s="17"/>
      <c r="W313" s="17"/>
      <c r="X313" s="43" t="str">
        <f aca="true">IF(OR(D313="",B313=""),"",INT(TODAY()-B313))</f>
        <v/>
      </c>
      <c r="Y313" s="44" t="str">
        <f aca="true">IF(D313="","",IF(OR(COUNTIFS(Clients!$C$2:$C$501,D313,Clients!$S$2:$S$501,"Paid")&gt;0,AND(H313&lt;&gt;"",COUNTIFS(Clients!$E$2:$E$501,H313,Clients!$S$2:$S$501,"Paid")&gt;0)),"⚠ Refunded before – no free video",IF(OR(O313="Contract signed + paid",O313="Closed – No response",O313="Lost"),"",IF(O313="","Set a stage",IF(N(Q313)&gt;=Settings!$S$3,"Close – 4 follow-ups sent",IF(R313="",IF(P313="","Make first contact",""),IF(TODAY()&gt;R313,"OVERDUE follow-up",IF(TODAY()=R313,"Follow up today",""))))))))</f>
        <v/>
      </c>
    </row>
    <row r="314" customFormat="false" ht="15" hidden="false" customHeight="false" outlineLevel="0" collapsed="false">
      <c r="A314" s="17"/>
      <c r="B314" s="38"/>
      <c r="C314" s="17"/>
      <c r="D314" s="17"/>
      <c r="E314" s="17"/>
      <c r="F314" s="17"/>
      <c r="G314" s="17"/>
      <c r="H314" s="40"/>
      <c r="I314" s="17"/>
      <c r="J314" s="17"/>
      <c r="K314" s="17"/>
      <c r="L314" s="17"/>
      <c r="M314" s="17"/>
      <c r="N314" s="17"/>
      <c r="O314" s="17"/>
      <c r="P314" s="38"/>
      <c r="Q314" s="17"/>
      <c r="R314" s="42" t="str">
        <f aca="false">IF(OR(D314="",P314="",OR(O314="Contract signed + paid",O314="Closed – No response",O314="Lost"),N(Q314)&gt;=Settings!$S$3),"",P314+Settings!$S$2)</f>
        <v/>
      </c>
      <c r="S314" s="38"/>
      <c r="T314" s="39"/>
      <c r="U314" s="17"/>
      <c r="V314" s="17"/>
      <c r="W314" s="17"/>
      <c r="X314" s="43" t="str">
        <f aca="true">IF(OR(D314="",B314=""),"",INT(TODAY()-B314))</f>
        <v/>
      </c>
      <c r="Y314" s="44" t="str">
        <f aca="true">IF(D314="","",IF(OR(COUNTIFS(Clients!$C$2:$C$501,D314,Clients!$S$2:$S$501,"Paid")&gt;0,AND(H314&lt;&gt;"",COUNTIFS(Clients!$E$2:$E$501,H314,Clients!$S$2:$S$501,"Paid")&gt;0)),"⚠ Refunded before – no free video",IF(OR(O314="Contract signed + paid",O314="Closed – No response",O314="Lost"),"",IF(O314="","Set a stage",IF(N(Q314)&gt;=Settings!$S$3,"Close – 4 follow-ups sent",IF(R314="",IF(P314="","Make first contact",""),IF(TODAY()&gt;R314,"OVERDUE follow-up",IF(TODAY()=R314,"Follow up today",""))))))))</f>
        <v/>
      </c>
    </row>
    <row r="315" customFormat="false" ht="15" hidden="false" customHeight="false" outlineLevel="0" collapsed="false">
      <c r="A315" s="17"/>
      <c r="B315" s="38"/>
      <c r="C315" s="17"/>
      <c r="D315" s="17"/>
      <c r="E315" s="17"/>
      <c r="F315" s="17"/>
      <c r="G315" s="17"/>
      <c r="H315" s="40"/>
      <c r="I315" s="17"/>
      <c r="J315" s="17"/>
      <c r="K315" s="17"/>
      <c r="L315" s="17"/>
      <c r="M315" s="17"/>
      <c r="N315" s="17"/>
      <c r="O315" s="17"/>
      <c r="P315" s="38"/>
      <c r="Q315" s="17"/>
      <c r="R315" s="42" t="str">
        <f aca="false">IF(OR(D315="",P315="",OR(O315="Contract signed + paid",O315="Closed – No response",O315="Lost"),N(Q315)&gt;=Settings!$S$3),"",P315+Settings!$S$2)</f>
        <v/>
      </c>
      <c r="S315" s="38"/>
      <c r="T315" s="39"/>
      <c r="U315" s="17"/>
      <c r="V315" s="17"/>
      <c r="W315" s="17"/>
      <c r="X315" s="43" t="str">
        <f aca="true">IF(OR(D315="",B315=""),"",INT(TODAY()-B315))</f>
        <v/>
      </c>
      <c r="Y315" s="44" t="str">
        <f aca="true">IF(D315="","",IF(OR(COUNTIFS(Clients!$C$2:$C$501,D315,Clients!$S$2:$S$501,"Paid")&gt;0,AND(H315&lt;&gt;"",COUNTIFS(Clients!$E$2:$E$501,H315,Clients!$S$2:$S$501,"Paid")&gt;0)),"⚠ Refunded before – no free video",IF(OR(O315="Contract signed + paid",O315="Closed – No response",O315="Lost"),"",IF(O315="","Set a stage",IF(N(Q315)&gt;=Settings!$S$3,"Close – 4 follow-ups sent",IF(R315="",IF(P315="","Make first contact",""),IF(TODAY()&gt;R315,"OVERDUE follow-up",IF(TODAY()=R315,"Follow up today",""))))))))</f>
        <v/>
      </c>
    </row>
    <row r="316" customFormat="false" ht="15" hidden="false" customHeight="false" outlineLevel="0" collapsed="false">
      <c r="A316" s="17"/>
      <c r="B316" s="38"/>
      <c r="C316" s="17"/>
      <c r="D316" s="17"/>
      <c r="E316" s="17"/>
      <c r="F316" s="17"/>
      <c r="G316" s="17"/>
      <c r="H316" s="40"/>
      <c r="I316" s="17"/>
      <c r="J316" s="17"/>
      <c r="K316" s="17"/>
      <c r="L316" s="17"/>
      <c r="M316" s="17"/>
      <c r="N316" s="17"/>
      <c r="O316" s="17"/>
      <c r="P316" s="38"/>
      <c r="Q316" s="17"/>
      <c r="R316" s="42" t="str">
        <f aca="false">IF(OR(D316="",P316="",OR(O316="Contract signed + paid",O316="Closed – No response",O316="Lost"),N(Q316)&gt;=Settings!$S$3),"",P316+Settings!$S$2)</f>
        <v/>
      </c>
      <c r="S316" s="38"/>
      <c r="T316" s="39"/>
      <c r="U316" s="17"/>
      <c r="V316" s="17"/>
      <c r="W316" s="17"/>
      <c r="X316" s="43" t="str">
        <f aca="true">IF(OR(D316="",B316=""),"",INT(TODAY()-B316))</f>
        <v/>
      </c>
      <c r="Y316" s="44" t="str">
        <f aca="true">IF(D316="","",IF(OR(COUNTIFS(Clients!$C$2:$C$501,D316,Clients!$S$2:$S$501,"Paid")&gt;0,AND(H316&lt;&gt;"",COUNTIFS(Clients!$E$2:$E$501,H316,Clients!$S$2:$S$501,"Paid")&gt;0)),"⚠ Refunded before – no free video",IF(OR(O316="Contract signed + paid",O316="Closed – No response",O316="Lost"),"",IF(O316="","Set a stage",IF(N(Q316)&gt;=Settings!$S$3,"Close – 4 follow-ups sent",IF(R316="",IF(P316="","Make first contact",""),IF(TODAY()&gt;R316,"OVERDUE follow-up",IF(TODAY()=R316,"Follow up today",""))))))))</f>
        <v/>
      </c>
    </row>
    <row r="317" customFormat="false" ht="15" hidden="false" customHeight="false" outlineLevel="0" collapsed="false">
      <c r="A317" s="17"/>
      <c r="B317" s="38"/>
      <c r="C317" s="17"/>
      <c r="D317" s="17"/>
      <c r="E317" s="17"/>
      <c r="F317" s="17"/>
      <c r="G317" s="17"/>
      <c r="H317" s="40"/>
      <c r="I317" s="17"/>
      <c r="J317" s="17"/>
      <c r="K317" s="17"/>
      <c r="L317" s="17"/>
      <c r="M317" s="17"/>
      <c r="N317" s="17"/>
      <c r="O317" s="17"/>
      <c r="P317" s="38"/>
      <c r="Q317" s="17"/>
      <c r="R317" s="42" t="str">
        <f aca="false">IF(OR(D317="",P317="",OR(O317="Contract signed + paid",O317="Closed – No response",O317="Lost"),N(Q317)&gt;=Settings!$S$3),"",P317+Settings!$S$2)</f>
        <v/>
      </c>
      <c r="S317" s="38"/>
      <c r="T317" s="39"/>
      <c r="U317" s="17"/>
      <c r="V317" s="17"/>
      <c r="W317" s="17"/>
      <c r="X317" s="43" t="str">
        <f aca="true">IF(OR(D317="",B317=""),"",INT(TODAY()-B317))</f>
        <v/>
      </c>
      <c r="Y317" s="44" t="str">
        <f aca="true">IF(D317="","",IF(OR(COUNTIFS(Clients!$C$2:$C$501,D317,Clients!$S$2:$S$501,"Paid")&gt;0,AND(H317&lt;&gt;"",COUNTIFS(Clients!$E$2:$E$501,H317,Clients!$S$2:$S$501,"Paid")&gt;0)),"⚠ Refunded before – no free video",IF(OR(O317="Contract signed + paid",O317="Closed – No response",O317="Lost"),"",IF(O317="","Set a stage",IF(N(Q317)&gt;=Settings!$S$3,"Close – 4 follow-ups sent",IF(R317="",IF(P317="","Make first contact",""),IF(TODAY()&gt;R317,"OVERDUE follow-up",IF(TODAY()=R317,"Follow up today",""))))))))</f>
        <v/>
      </c>
    </row>
    <row r="318" customFormat="false" ht="15" hidden="false" customHeight="false" outlineLevel="0" collapsed="false">
      <c r="A318" s="17"/>
      <c r="B318" s="38"/>
      <c r="C318" s="17"/>
      <c r="D318" s="17"/>
      <c r="E318" s="17"/>
      <c r="F318" s="17"/>
      <c r="G318" s="17"/>
      <c r="H318" s="40"/>
      <c r="I318" s="17"/>
      <c r="J318" s="17"/>
      <c r="K318" s="17"/>
      <c r="L318" s="17"/>
      <c r="M318" s="17"/>
      <c r="N318" s="17"/>
      <c r="O318" s="17"/>
      <c r="P318" s="38"/>
      <c r="Q318" s="17"/>
      <c r="R318" s="42" t="str">
        <f aca="false">IF(OR(D318="",P318="",OR(O318="Contract signed + paid",O318="Closed – No response",O318="Lost"),N(Q318)&gt;=Settings!$S$3),"",P318+Settings!$S$2)</f>
        <v/>
      </c>
      <c r="S318" s="38"/>
      <c r="T318" s="39"/>
      <c r="U318" s="17"/>
      <c r="V318" s="17"/>
      <c r="W318" s="17"/>
      <c r="X318" s="43" t="str">
        <f aca="true">IF(OR(D318="",B318=""),"",INT(TODAY()-B318))</f>
        <v/>
      </c>
      <c r="Y318" s="44" t="str">
        <f aca="true">IF(D318="","",IF(OR(COUNTIFS(Clients!$C$2:$C$501,D318,Clients!$S$2:$S$501,"Paid")&gt;0,AND(H318&lt;&gt;"",COUNTIFS(Clients!$E$2:$E$501,H318,Clients!$S$2:$S$501,"Paid")&gt;0)),"⚠ Refunded before – no free video",IF(OR(O318="Contract signed + paid",O318="Closed – No response",O318="Lost"),"",IF(O318="","Set a stage",IF(N(Q318)&gt;=Settings!$S$3,"Close – 4 follow-ups sent",IF(R318="",IF(P318="","Make first contact",""),IF(TODAY()&gt;R318,"OVERDUE follow-up",IF(TODAY()=R318,"Follow up today",""))))))))</f>
        <v/>
      </c>
    </row>
    <row r="319" customFormat="false" ht="15" hidden="false" customHeight="false" outlineLevel="0" collapsed="false">
      <c r="A319" s="17"/>
      <c r="B319" s="38"/>
      <c r="C319" s="17"/>
      <c r="D319" s="17"/>
      <c r="E319" s="17"/>
      <c r="F319" s="17"/>
      <c r="G319" s="17"/>
      <c r="H319" s="40"/>
      <c r="I319" s="17"/>
      <c r="J319" s="17"/>
      <c r="K319" s="17"/>
      <c r="L319" s="17"/>
      <c r="M319" s="17"/>
      <c r="N319" s="17"/>
      <c r="O319" s="17"/>
      <c r="P319" s="38"/>
      <c r="Q319" s="17"/>
      <c r="R319" s="42" t="str">
        <f aca="false">IF(OR(D319="",P319="",OR(O319="Contract signed + paid",O319="Closed – No response",O319="Lost"),N(Q319)&gt;=Settings!$S$3),"",P319+Settings!$S$2)</f>
        <v/>
      </c>
      <c r="S319" s="38"/>
      <c r="T319" s="39"/>
      <c r="U319" s="17"/>
      <c r="V319" s="17"/>
      <c r="W319" s="17"/>
      <c r="X319" s="43" t="str">
        <f aca="true">IF(OR(D319="",B319=""),"",INT(TODAY()-B319))</f>
        <v/>
      </c>
      <c r="Y319" s="44" t="str">
        <f aca="true">IF(D319="","",IF(OR(COUNTIFS(Clients!$C$2:$C$501,D319,Clients!$S$2:$S$501,"Paid")&gt;0,AND(H319&lt;&gt;"",COUNTIFS(Clients!$E$2:$E$501,H319,Clients!$S$2:$S$501,"Paid")&gt;0)),"⚠ Refunded before – no free video",IF(OR(O319="Contract signed + paid",O319="Closed – No response",O319="Lost"),"",IF(O319="","Set a stage",IF(N(Q319)&gt;=Settings!$S$3,"Close – 4 follow-ups sent",IF(R319="",IF(P319="","Make first contact",""),IF(TODAY()&gt;R319,"OVERDUE follow-up",IF(TODAY()=R319,"Follow up today",""))))))))</f>
        <v/>
      </c>
    </row>
    <row r="320" customFormat="false" ht="15" hidden="false" customHeight="false" outlineLevel="0" collapsed="false">
      <c r="A320" s="17"/>
      <c r="B320" s="38"/>
      <c r="C320" s="17"/>
      <c r="D320" s="17"/>
      <c r="E320" s="17"/>
      <c r="F320" s="17"/>
      <c r="G320" s="17"/>
      <c r="H320" s="40"/>
      <c r="I320" s="17"/>
      <c r="J320" s="17"/>
      <c r="K320" s="17"/>
      <c r="L320" s="17"/>
      <c r="M320" s="17"/>
      <c r="N320" s="17"/>
      <c r="O320" s="17"/>
      <c r="P320" s="38"/>
      <c r="Q320" s="17"/>
      <c r="R320" s="42" t="str">
        <f aca="false">IF(OR(D320="",P320="",OR(O320="Contract signed + paid",O320="Closed – No response",O320="Lost"),N(Q320)&gt;=Settings!$S$3),"",P320+Settings!$S$2)</f>
        <v/>
      </c>
      <c r="S320" s="38"/>
      <c r="T320" s="39"/>
      <c r="U320" s="17"/>
      <c r="V320" s="17"/>
      <c r="W320" s="17"/>
      <c r="X320" s="43" t="str">
        <f aca="true">IF(OR(D320="",B320=""),"",INT(TODAY()-B320))</f>
        <v/>
      </c>
      <c r="Y320" s="44" t="str">
        <f aca="true">IF(D320="","",IF(OR(COUNTIFS(Clients!$C$2:$C$501,D320,Clients!$S$2:$S$501,"Paid")&gt;0,AND(H320&lt;&gt;"",COUNTIFS(Clients!$E$2:$E$501,H320,Clients!$S$2:$S$501,"Paid")&gt;0)),"⚠ Refunded before – no free video",IF(OR(O320="Contract signed + paid",O320="Closed – No response",O320="Lost"),"",IF(O320="","Set a stage",IF(N(Q320)&gt;=Settings!$S$3,"Close – 4 follow-ups sent",IF(R320="",IF(P320="","Make first contact",""),IF(TODAY()&gt;R320,"OVERDUE follow-up",IF(TODAY()=R320,"Follow up today",""))))))))</f>
        <v/>
      </c>
    </row>
    <row r="321" customFormat="false" ht="15" hidden="false" customHeight="false" outlineLevel="0" collapsed="false">
      <c r="A321" s="17"/>
      <c r="B321" s="38"/>
      <c r="C321" s="17"/>
      <c r="D321" s="17"/>
      <c r="E321" s="17"/>
      <c r="F321" s="17"/>
      <c r="G321" s="17"/>
      <c r="H321" s="40"/>
      <c r="I321" s="17"/>
      <c r="J321" s="17"/>
      <c r="K321" s="17"/>
      <c r="L321" s="17"/>
      <c r="M321" s="17"/>
      <c r="N321" s="17"/>
      <c r="O321" s="17"/>
      <c r="P321" s="38"/>
      <c r="Q321" s="17"/>
      <c r="R321" s="42" t="str">
        <f aca="false">IF(OR(D321="",P321="",OR(O321="Contract signed + paid",O321="Closed – No response",O321="Lost"),N(Q321)&gt;=Settings!$S$3),"",P321+Settings!$S$2)</f>
        <v/>
      </c>
      <c r="S321" s="38"/>
      <c r="T321" s="39"/>
      <c r="U321" s="17"/>
      <c r="V321" s="17"/>
      <c r="W321" s="17"/>
      <c r="X321" s="43" t="str">
        <f aca="true">IF(OR(D321="",B321=""),"",INT(TODAY()-B321))</f>
        <v/>
      </c>
      <c r="Y321" s="44" t="str">
        <f aca="true">IF(D321="","",IF(OR(COUNTIFS(Clients!$C$2:$C$501,D321,Clients!$S$2:$S$501,"Paid")&gt;0,AND(H321&lt;&gt;"",COUNTIFS(Clients!$E$2:$E$501,H321,Clients!$S$2:$S$501,"Paid")&gt;0)),"⚠ Refunded before – no free video",IF(OR(O321="Contract signed + paid",O321="Closed – No response",O321="Lost"),"",IF(O321="","Set a stage",IF(N(Q321)&gt;=Settings!$S$3,"Close – 4 follow-ups sent",IF(R321="",IF(P321="","Make first contact",""),IF(TODAY()&gt;R321,"OVERDUE follow-up",IF(TODAY()=R321,"Follow up today",""))))))))</f>
        <v/>
      </c>
    </row>
    <row r="322" customFormat="false" ht="15" hidden="false" customHeight="false" outlineLevel="0" collapsed="false">
      <c r="A322" s="17"/>
      <c r="B322" s="38"/>
      <c r="C322" s="17"/>
      <c r="D322" s="17"/>
      <c r="E322" s="17"/>
      <c r="F322" s="17"/>
      <c r="G322" s="17"/>
      <c r="H322" s="40"/>
      <c r="I322" s="17"/>
      <c r="J322" s="17"/>
      <c r="K322" s="17"/>
      <c r="L322" s="17"/>
      <c r="M322" s="17"/>
      <c r="N322" s="17"/>
      <c r="O322" s="17"/>
      <c r="P322" s="38"/>
      <c r="Q322" s="17"/>
      <c r="R322" s="42" t="str">
        <f aca="false">IF(OR(D322="",P322="",OR(O322="Contract signed + paid",O322="Closed – No response",O322="Lost"),N(Q322)&gt;=Settings!$S$3),"",P322+Settings!$S$2)</f>
        <v/>
      </c>
      <c r="S322" s="38"/>
      <c r="T322" s="39"/>
      <c r="U322" s="17"/>
      <c r="V322" s="17"/>
      <c r="W322" s="17"/>
      <c r="X322" s="43" t="str">
        <f aca="true">IF(OR(D322="",B322=""),"",INT(TODAY()-B322))</f>
        <v/>
      </c>
      <c r="Y322" s="44" t="str">
        <f aca="true">IF(D322="","",IF(OR(COUNTIFS(Clients!$C$2:$C$501,D322,Clients!$S$2:$S$501,"Paid")&gt;0,AND(H322&lt;&gt;"",COUNTIFS(Clients!$E$2:$E$501,H322,Clients!$S$2:$S$501,"Paid")&gt;0)),"⚠ Refunded before – no free video",IF(OR(O322="Contract signed + paid",O322="Closed – No response",O322="Lost"),"",IF(O322="","Set a stage",IF(N(Q322)&gt;=Settings!$S$3,"Close – 4 follow-ups sent",IF(R322="",IF(P322="","Make first contact",""),IF(TODAY()&gt;R322,"OVERDUE follow-up",IF(TODAY()=R322,"Follow up today",""))))))))</f>
        <v/>
      </c>
    </row>
    <row r="323" customFormat="false" ht="15" hidden="false" customHeight="false" outlineLevel="0" collapsed="false">
      <c r="A323" s="17"/>
      <c r="B323" s="38"/>
      <c r="C323" s="17"/>
      <c r="D323" s="17"/>
      <c r="E323" s="17"/>
      <c r="F323" s="17"/>
      <c r="G323" s="17"/>
      <c r="H323" s="40"/>
      <c r="I323" s="17"/>
      <c r="J323" s="17"/>
      <c r="K323" s="17"/>
      <c r="L323" s="17"/>
      <c r="M323" s="17"/>
      <c r="N323" s="17"/>
      <c r="O323" s="17"/>
      <c r="P323" s="38"/>
      <c r="Q323" s="17"/>
      <c r="R323" s="42" t="str">
        <f aca="false">IF(OR(D323="",P323="",OR(O323="Contract signed + paid",O323="Closed – No response",O323="Lost"),N(Q323)&gt;=Settings!$S$3),"",P323+Settings!$S$2)</f>
        <v/>
      </c>
      <c r="S323" s="38"/>
      <c r="T323" s="39"/>
      <c r="U323" s="17"/>
      <c r="V323" s="17"/>
      <c r="W323" s="17"/>
      <c r="X323" s="43" t="str">
        <f aca="true">IF(OR(D323="",B323=""),"",INT(TODAY()-B323))</f>
        <v/>
      </c>
      <c r="Y323" s="44" t="str">
        <f aca="true">IF(D323="","",IF(OR(COUNTIFS(Clients!$C$2:$C$501,D323,Clients!$S$2:$S$501,"Paid")&gt;0,AND(H323&lt;&gt;"",COUNTIFS(Clients!$E$2:$E$501,H323,Clients!$S$2:$S$501,"Paid")&gt;0)),"⚠ Refunded before – no free video",IF(OR(O323="Contract signed + paid",O323="Closed – No response",O323="Lost"),"",IF(O323="","Set a stage",IF(N(Q323)&gt;=Settings!$S$3,"Close – 4 follow-ups sent",IF(R323="",IF(P323="","Make first contact",""),IF(TODAY()&gt;R323,"OVERDUE follow-up",IF(TODAY()=R323,"Follow up today",""))))))))</f>
        <v/>
      </c>
    </row>
    <row r="324" customFormat="false" ht="15" hidden="false" customHeight="false" outlineLevel="0" collapsed="false">
      <c r="A324" s="17"/>
      <c r="B324" s="38"/>
      <c r="C324" s="17"/>
      <c r="D324" s="17"/>
      <c r="E324" s="17"/>
      <c r="F324" s="17"/>
      <c r="G324" s="17"/>
      <c r="H324" s="40"/>
      <c r="I324" s="17"/>
      <c r="J324" s="17"/>
      <c r="K324" s="17"/>
      <c r="L324" s="17"/>
      <c r="M324" s="17"/>
      <c r="N324" s="17"/>
      <c r="O324" s="17"/>
      <c r="P324" s="38"/>
      <c r="Q324" s="17"/>
      <c r="R324" s="42" t="str">
        <f aca="false">IF(OR(D324="",P324="",OR(O324="Contract signed + paid",O324="Closed – No response",O324="Lost"),N(Q324)&gt;=Settings!$S$3),"",P324+Settings!$S$2)</f>
        <v/>
      </c>
      <c r="S324" s="38"/>
      <c r="T324" s="39"/>
      <c r="U324" s="17"/>
      <c r="V324" s="17"/>
      <c r="W324" s="17"/>
      <c r="X324" s="43" t="str">
        <f aca="true">IF(OR(D324="",B324=""),"",INT(TODAY()-B324))</f>
        <v/>
      </c>
      <c r="Y324" s="44" t="str">
        <f aca="true">IF(D324="","",IF(OR(COUNTIFS(Clients!$C$2:$C$501,D324,Clients!$S$2:$S$501,"Paid")&gt;0,AND(H324&lt;&gt;"",COUNTIFS(Clients!$E$2:$E$501,H324,Clients!$S$2:$S$501,"Paid")&gt;0)),"⚠ Refunded before – no free video",IF(OR(O324="Contract signed + paid",O324="Closed – No response",O324="Lost"),"",IF(O324="","Set a stage",IF(N(Q324)&gt;=Settings!$S$3,"Close – 4 follow-ups sent",IF(R324="",IF(P324="","Make first contact",""),IF(TODAY()&gt;R324,"OVERDUE follow-up",IF(TODAY()=R324,"Follow up today",""))))))))</f>
        <v/>
      </c>
    </row>
    <row r="325" customFormat="false" ht="15" hidden="false" customHeight="false" outlineLevel="0" collapsed="false">
      <c r="A325" s="17"/>
      <c r="B325" s="38"/>
      <c r="C325" s="17"/>
      <c r="D325" s="17"/>
      <c r="E325" s="17"/>
      <c r="F325" s="17"/>
      <c r="G325" s="17"/>
      <c r="H325" s="40"/>
      <c r="I325" s="17"/>
      <c r="J325" s="17"/>
      <c r="K325" s="17"/>
      <c r="L325" s="17"/>
      <c r="M325" s="17"/>
      <c r="N325" s="17"/>
      <c r="O325" s="17"/>
      <c r="P325" s="38"/>
      <c r="Q325" s="17"/>
      <c r="R325" s="42" t="str">
        <f aca="false">IF(OR(D325="",P325="",OR(O325="Contract signed + paid",O325="Closed – No response",O325="Lost"),N(Q325)&gt;=Settings!$S$3),"",P325+Settings!$S$2)</f>
        <v/>
      </c>
      <c r="S325" s="38"/>
      <c r="T325" s="39"/>
      <c r="U325" s="17"/>
      <c r="V325" s="17"/>
      <c r="W325" s="17"/>
      <c r="X325" s="43" t="str">
        <f aca="true">IF(OR(D325="",B325=""),"",INT(TODAY()-B325))</f>
        <v/>
      </c>
      <c r="Y325" s="44" t="str">
        <f aca="true">IF(D325="","",IF(OR(COUNTIFS(Clients!$C$2:$C$501,D325,Clients!$S$2:$S$501,"Paid")&gt;0,AND(H325&lt;&gt;"",COUNTIFS(Clients!$E$2:$E$501,H325,Clients!$S$2:$S$501,"Paid")&gt;0)),"⚠ Refunded before – no free video",IF(OR(O325="Contract signed + paid",O325="Closed – No response",O325="Lost"),"",IF(O325="","Set a stage",IF(N(Q325)&gt;=Settings!$S$3,"Close – 4 follow-ups sent",IF(R325="",IF(P325="","Make first contact",""),IF(TODAY()&gt;R325,"OVERDUE follow-up",IF(TODAY()=R325,"Follow up today",""))))))))</f>
        <v/>
      </c>
    </row>
    <row r="326" customFormat="false" ht="15" hidden="false" customHeight="false" outlineLevel="0" collapsed="false">
      <c r="A326" s="17"/>
      <c r="B326" s="38"/>
      <c r="C326" s="17"/>
      <c r="D326" s="17"/>
      <c r="E326" s="17"/>
      <c r="F326" s="17"/>
      <c r="G326" s="17"/>
      <c r="H326" s="40"/>
      <c r="I326" s="17"/>
      <c r="J326" s="17"/>
      <c r="K326" s="17"/>
      <c r="L326" s="17"/>
      <c r="M326" s="17"/>
      <c r="N326" s="17"/>
      <c r="O326" s="17"/>
      <c r="P326" s="38"/>
      <c r="Q326" s="17"/>
      <c r="R326" s="42" t="str">
        <f aca="false">IF(OR(D326="",P326="",OR(O326="Contract signed + paid",O326="Closed – No response",O326="Lost"),N(Q326)&gt;=Settings!$S$3),"",P326+Settings!$S$2)</f>
        <v/>
      </c>
      <c r="S326" s="38"/>
      <c r="T326" s="39"/>
      <c r="U326" s="17"/>
      <c r="V326" s="17"/>
      <c r="W326" s="17"/>
      <c r="X326" s="43" t="str">
        <f aca="true">IF(OR(D326="",B326=""),"",INT(TODAY()-B326))</f>
        <v/>
      </c>
      <c r="Y326" s="44" t="str">
        <f aca="true">IF(D326="","",IF(OR(COUNTIFS(Clients!$C$2:$C$501,D326,Clients!$S$2:$S$501,"Paid")&gt;0,AND(H326&lt;&gt;"",COUNTIFS(Clients!$E$2:$E$501,H326,Clients!$S$2:$S$501,"Paid")&gt;0)),"⚠ Refunded before – no free video",IF(OR(O326="Contract signed + paid",O326="Closed – No response",O326="Lost"),"",IF(O326="","Set a stage",IF(N(Q326)&gt;=Settings!$S$3,"Close – 4 follow-ups sent",IF(R326="",IF(P326="","Make first contact",""),IF(TODAY()&gt;R326,"OVERDUE follow-up",IF(TODAY()=R326,"Follow up today",""))))))))</f>
        <v/>
      </c>
    </row>
    <row r="327" customFormat="false" ht="15" hidden="false" customHeight="false" outlineLevel="0" collapsed="false">
      <c r="A327" s="17"/>
      <c r="B327" s="38"/>
      <c r="C327" s="17"/>
      <c r="D327" s="17"/>
      <c r="E327" s="17"/>
      <c r="F327" s="17"/>
      <c r="G327" s="17"/>
      <c r="H327" s="40"/>
      <c r="I327" s="17"/>
      <c r="J327" s="17"/>
      <c r="K327" s="17"/>
      <c r="L327" s="17"/>
      <c r="M327" s="17"/>
      <c r="N327" s="17"/>
      <c r="O327" s="17"/>
      <c r="P327" s="38"/>
      <c r="Q327" s="17"/>
      <c r="R327" s="42" t="str">
        <f aca="false">IF(OR(D327="",P327="",OR(O327="Contract signed + paid",O327="Closed – No response",O327="Lost"),N(Q327)&gt;=Settings!$S$3),"",P327+Settings!$S$2)</f>
        <v/>
      </c>
      <c r="S327" s="38"/>
      <c r="T327" s="39"/>
      <c r="U327" s="17"/>
      <c r="V327" s="17"/>
      <c r="W327" s="17"/>
      <c r="X327" s="43" t="str">
        <f aca="true">IF(OR(D327="",B327=""),"",INT(TODAY()-B327))</f>
        <v/>
      </c>
      <c r="Y327" s="44" t="str">
        <f aca="true">IF(D327="","",IF(OR(COUNTIFS(Clients!$C$2:$C$501,D327,Clients!$S$2:$S$501,"Paid")&gt;0,AND(H327&lt;&gt;"",COUNTIFS(Clients!$E$2:$E$501,H327,Clients!$S$2:$S$501,"Paid")&gt;0)),"⚠ Refunded before – no free video",IF(OR(O327="Contract signed + paid",O327="Closed – No response",O327="Lost"),"",IF(O327="","Set a stage",IF(N(Q327)&gt;=Settings!$S$3,"Close – 4 follow-ups sent",IF(R327="",IF(P327="","Make first contact",""),IF(TODAY()&gt;R327,"OVERDUE follow-up",IF(TODAY()=R327,"Follow up today",""))))))))</f>
        <v/>
      </c>
    </row>
    <row r="328" customFormat="false" ht="15" hidden="false" customHeight="false" outlineLevel="0" collapsed="false">
      <c r="A328" s="17"/>
      <c r="B328" s="38"/>
      <c r="C328" s="17"/>
      <c r="D328" s="17"/>
      <c r="E328" s="17"/>
      <c r="F328" s="17"/>
      <c r="G328" s="17"/>
      <c r="H328" s="40"/>
      <c r="I328" s="17"/>
      <c r="J328" s="17"/>
      <c r="K328" s="17"/>
      <c r="L328" s="17"/>
      <c r="M328" s="17"/>
      <c r="N328" s="17"/>
      <c r="O328" s="17"/>
      <c r="P328" s="38"/>
      <c r="Q328" s="17"/>
      <c r="R328" s="42" t="str">
        <f aca="false">IF(OR(D328="",P328="",OR(O328="Contract signed + paid",O328="Closed – No response",O328="Lost"),N(Q328)&gt;=Settings!$S$3),"",P328+Settings!$S$2)</f>
        <v/>
      </c>
      <c r="S328" s="38"/>
      <c r="T328" s="39"/>
      <c r="U328" s="17"/>
      <c r="V328" s="17"/>
      <c r="W328" s="17"/>
      <c r="X328" s="43" t="str">
        <f aca="true">IF(OR(D328="",B328=""),"",INT(TODAY()-B328))</f>
        <v/>
      </c>
      <c r="Y328" s="44" t="str">
        <f aca="true">IF(D328="","",IF(OR(COUNTIFS(Clients!$C$2:$C$501,D328,Clients!$S$2:$S$501,"Paid")&gt;0,AND(H328&lt;&gt;"",COUNTIFS(Clients!$E$2:$E$501,H328,Clients!$S$2:$S$501,"Paid")&gt;0)),"⚠ Refunded before – no free video",IF(OR(O328="Contract signed + paid",O328="Closed – No response",O328="Lost"),"",IF(O328="","Set a stage",IF(N(Q328)&gt;=Settings!$S$3,"Close – 4 follow-ups sent",IF(R328="",IF(P328="","Make first contact",""),IF(TODAY()&gt;R328,"OVERDUE follow-up",IF(TODAY()=R328,"Follow up today",""))))))))</f>
        <v/>
      </c>
    </row>
    <row r="329" customFormat="false" ht="15" hidden="false" customHeight="false" outlineLevel="0" collapsed="false">
      <c r="A329" s="17"/>
      <c r="B329" s="38"/>
      <c r="C329" s="17"/>
      <c r="D329" s="17"/>
      <c r="E329" s="17"/>
      <c r="F329" s="17"/>
      <c r="G329" s="17"/>
      <c r="H329" s="40"/>
      <c r="I329" s="17"/>
      <c r="J329" s="17"/>
      <c r="K329" s="17"/>
      <c r="L329" s="17"/>
      <c r="M329" s="17"/>
      <c r="N329" s="17"/>
      <c r="O329" s="17"/>
      <c r="P329" s="38"/>
      <c r="Q329" s="17"/>
      <c r="R329" s="42" t="str">
        <f aca="false">IF(OR(D329="",P329="",OR(O329="Contract signed + paid",O329="Closed – No response",O329="Lost"),N(Q329)&gt;=Settings!$S$3),"",P329+Settings!$S$2)</f>
        <v/>
      </c>
      <c r="S329" s="38"/>
      <c r="T329" s="39"/>
      <c r="U329" s="17"/>
      <c r="V329" s="17"/>
      <c r="W329" s="17"/>
      <c r="X329" s="43" t="str">
        <f aca="true">IF(OR(D329="",B329=""),"",INT(TODAY()-B329))</f>
        <v/>
      </c>
      <c r="Y329" s="44" t="str">
        <f aca="true">IF(D329="","",IF(OR(COUNTIFS(Clients!$C$2:$C$501,D329,Clients!$S$2:$S$501,"Paid")&gt;0,AND(H329&lt;&gt;"",COUNTIFS(Clients!$E$2:$E$501,H329,Clients!$S$2:$S$501,"Paid")&gt;0)),"⚠ Refunded before – no free video",IF(OR(O329="Contract signed + paid",O329="Closed – No response",O329="Lost"),"",IF(O329="","Set a stage",IF(N(Q329)&gt;=Settings!$S$3,"Close – 4 follow-ups sent",IF(R329="",IF(P329="","Make first contact",""),IF(TODAY()&gt;R329,"OVERDUE follow-up",IF(TODAY()=R329,"Follow up today",""))))))))</f>
        <v/>
      </c>
    </row>
    <row r="330" customFormat="false" ht="15" hidden="false" customHeight="false" outlineLevel="0" collapsed="false">
      <c r="A330" s="17"/>
      <c r="B330" s="38"/>
      <c r="C330" s="17"/>
      <c r="D330" s="17"/>
      <c r="E330" s="17"/>
      <c r="F330" s="17"/>
      <c r="G330" s="17"/>
      <c r="H330" s="40"/>
      <c r="I330" s="17"/>
      <c r="J330" s="17"/>
      <c r="K330" s="17"/>
      <c r="L330" s="17"/>
      <c r="M330" s="17"/>
      <c r="N330" s="17"/>
      <c r="O330" s="17"/>
      <c r="P330" s="38"/>
      <c r="Q330" s="17"/>
      <c r="R330" s="42" t="str">
        <f aca="false">IF(OR(D330="",P330="",OR(O330="Contract signed + paid",O330="Closed – No response",O330="Lost"),N(Q330)&gt;=Settings!$S$3),"",P330+Settings!$S$2)</f>
        <v/>
      </c>
      <c r="S330" s="38"/>
      <c r="T330" s="39"/>
      <c r="U330" s="17"/>
      <c r="V330" s="17"/>
      <c r="W330" s="17"/>
      <c r="X330" s="43" t="str">
        <f aca="true">IF(OR(D330="",B330=""),"",INT(TODAY()-B330))</f>
        <v/>
      </c>
      <c r="Y330" s="44" t="str">
        <f aca="true">IF(D330="","",IF(OR(COUNTIFS(Clients!$C$2:$C$501,D330,Clients!$S$2:$S$501,"Paid")&gt;0,AND(H330&lt;&gt;"",COUNTIFS(Clients!$E$2:$E$501,H330,Clients!$S$2:$S$501,"Paid")&gt;0)),"⚠ Refunded before – no free video",IF(OR(O330="Contract signed + paid",O330="Closed – No response",O330="Lost"),"",IF(O330="","Set a stage",IF(N(Q330)&gt;=Settings!$S$3,"Close – 4 follow-ups sent",IF(R330="",IF(P330="","Make first contact",""),IF(TODAY()&gt;R330,"OVERDUE follow-up",IF(TODAY()=R330,"Follow up today",""))))))))</f>
        <v/>
      </c>
    </row>
    <row r="331" customFormat="false" ht="15" hidden="false" customHeight="false" outlineLevel="0" collapsed="false">
      <c r="A331" s="17"/>
      <c r="B331" s="38"/>
      <c r="C331" s="17"/>
      <c r="D331" s="17"/>
      <c r="E331" s="17"/>
      <c r="F331" s="17"/>
      <c r="G331" s="17"/>
      <c r="H331" s="40"/>
      <c r="I331" s="17"/>
      <c r="J331" s="17"/>
      <c r="K331" s="17"/>
      <c r="L331" s="17"/>
      <c r="M331" s="17"/>
      <c r="N331" s="17"/>
      <c r="O331" s="17"/>
      <c r="P331" s="38"/>
      <c r="Q331" s="17"/>
      <c r="R331" s="42" t="str">
        <f aca="false">IF(OR(D331="",P331="",OR(O331="Contract signed + paid",O331="Closed – No response",O331="Lost"),N(Q331)&gt;=Settings!$S$3),"",P331+Settings!$S$2)</f>
        <v/>
      </c>
      <c r="S331" s="38"/>
      <c r="T331" s="39"/>
      <c r="U331" s="17"/>
      <c r="V331" s="17"/>
      <c r="W331" s="17"/>
      <c r="X331" s="43" t="str">
        <f aca="true">IF(OR(D331="",B331=""),"",INT(TODAY()-B331))</f>
        <v/>
      </c>
      <c r="Y331" s="44" t="str">
        <f aca="true">IF(D331="","",IF(OR(COUNTIFS(Clients!$C$2:$C$501,D331,Clients!$S$2:$S$501,"Paid")&gt;0,AND(H331&lt;&gt;"",COUNTIFS(Clients!$E$2:$E$501,H331,Clients!$S$2:$S$501,"Paid")&gt;0)),"⚠ Refunded before – no free video",IF(OR(O331="Contract signed + paid",O331="Closed – No response",O331="Lost"),"",IF(O331="","Set a stage",IF(N(Q331)&gt;=Settings!$S$3,"Close – 4 follow-ups sent",IF(R331="",IF(P331="","Make first contact",""),IF(TODAY()&gt;R331,"OVERDUE follow-up",IF(TODAY()=R331,"Follow up today",""))))))))</f>
        <v/>
      </c>
    </row>
    <row r="332" customFormat="false" ht="15" hidden="false" customHeight="false" outlineLevel="0" collapsed="false">
      <c r="A332" s="17"/>
      <c r="B332" s="38"/>
      <c r="C332" s="17"/>
      <c r="D332" s="17"/>
      <c r="E332" s="17"/>
      <c r="F332" s="17"/>
      <c r="G332" s="17"/>
      <c r="H332" s="40"/>
      <c r="I332" s="17"/>
      <c r="J332" s="17"/>
      <c r="K332" s="17"/>
      <c r="L332" s="17"/>
      <c r="M332" s="17"/>
      <c r="N332" s="17"/>
      <c r="O332" s="17"/>
      <c r="P332" s="38"/>
      <c r="Q332" s="17"/>
      <c r="R332" s="42" t="str">
        <f aca="false">IF(OR(D332="",P332="",OR(O332="Contract signed + paid",O332="Closed – No response",O332="Lost"),N(Q332)&gt;=Settings!$S$3),"",P332+Settings!$S$2)</f>
        <v/>
      </c>
      <c r="S332" s="38"/>
      <c r="T332" s="39"/>
      <c r="U332" s="17"/>
      <c r="V332" s="17"/>
      <c r="W332" s="17"/>
      <c r="X332" s="43" t="str">
        <f aca="true">IF(OR(D332="",B332=""),"",INT(TODAY()-B332))</f>
        <v/>
      </c>
      <c r="Y332" s="44" t="str">
        <f aca="true">IF(D332="","",IF(OR(COUNTIFS(Clients!$C$2:$C$501,D332,Clients!$S$2:$S$501,"Paid")&gt;0,AND(H332&lt;&gt;"",COUNTIFS(Clients!$E$2:$E$501,H332,Clients!$S$2:$S$501,"Paid")&gt;0)),"⚠ Refunded before – no free video",IF(OR(O332="Contract signed + paid",O332="Closed – No response",O332="Lost"),"",IF(O332="","Set a stage",IF(N(Q332)&gt;=Settings!$S$3,"Close – 4 follow-ups sent",IF(R332="",IF(P332="","Make first contact",""),IF(TODAY()&gt;R332,"OVERDUE follow-up",IF(TODAY()=R332,"Follow up today",""))))))))</f>
        <v/>
      </c>
    </row>
    <row r="333" customFormat="false" ht="15" hidden="false" customHeight="false" outlineLevel="0" collapsed="false">
      <c r="A333" s="17"/>
      <c r="B333" s="38"/>
      <c r="C333" s="17"/>
      <c r="D333" s="17"/>
      <c r="E333" s="17"/>
      <c r="F333" s="17"/>
      <c r="G333" s="17"/>
      <c r="H333" s="40"/>
      <c r="I333" s="17"/>
      <c r="J333" s="17"/>
      <c r="K333" s="17"/>
      <c r="L333" s="17"/>
      <c r="M333" s="17"/>
      <c r="N333" s="17"/>
      <c r="O333" s="17"/>
      <c r="P333" s="38"/>
      <c r="Q333" s="17"/>
      <c r="R333" s="42" t="str">
        <f aca="false">IF(OR(D333="",P333="",OR(O333="Contract signed + paid",O333="Closed – No response",O333="Lost"),N(Q333)&gt;=Settings!$S$3),"",P333+Settings!$S$2)</f>
        <v/>
      </c>
      <c r="S333" s="38"/>
      <c r="T333" s="39"/>
      <c r="U333" s="17"/>
      <c r="V333" s="17"/>
      <c r="W333" s="17"/>
      <c r="X333" s="43" t="str">
        <f aca="true">IF(OR(D333="",B333=""),"",INT(TODAY()-B333))</f>
        <v/>
      </c>
      <c r="Y333" s="44" t="str">
        <f aca="true">IF(D333="","",IF(OR(COUNTIFS(Clients!$C$2:$C$501,D333,Clients!$S$2:$S$501,"Paid")&gt;0,AND(H333&lt;&gt;"",COUNTIFS(Clients!$E$2:$E$501,H333,Clients!$S$2:$S$501,"Paid")&gt;0)),"⚠ Refunded before – no free video",IF(OR(O333="Contract signed + paid",O333="Closed – No response",O333="Lost"),"",IF(O333="","Set a stage",IF(N(Q333)&gt;=Settings!$S$3,"Close – 4 follow-ups sent",IF(R333="",IF(P333="","Make first contact",""),IF(TODAY()&gt;R333,"OVERDUE follow-up",IF(TODAY()=R333,"Follow up today",""))))))))</f>
        <v/>
      </c>
    </row>
    <row r="334" customFormat="false" ht="15" hidden="false" customHeight="false" outlineLevel="0" collapsed="false">
      <c r="A334" s="17"/>
      <c r="B334" s="38"/>
      <c r="C334" s="17"/>
      <c r="D334" s="17"/>
      <c r="E334" s="17"/>
      <c r="F334" s="17"/>
      <c r="G334" s="17"/>
      <c r="H334" s="40"/>
      <c r="I334" s="17"/>
      <c r="J334" s="17"/>
      <c r="K334" s="17"/>
      <c r="L334" s="17"/>
      <c r="M334" s="17"/>
      <c r="N334" s="17"/>
      <c r="O334" s="17"/>
      <c r="P334" s="38"/>
      <c r="Q334" s="17"/>
      <c r="R334" s="42" t="str">
        <f aca="false">IF(OR(D334="",P334="",OR(O334="Contract signed + paid",O334="Closed – No response",O334="Lost"),N(Q334)&gt;=Settings!$S$3),"",P334+Settings!$S$2)</f>
        <v/>
      </c>
      <c r="S334" s="38"/>
      <c r="T334" s="39"/>
      <c r="U334" s="17"/>
      <c r="V334" s="17"/>
      <c r="W334" s="17"/>
      <c r="X334" s="43" t="str">
        <f aca="true">IF(OR(D334="",B334=""),"",INT(TODAY()-B334))</f>
        <v/>
      </c>
      <c r="Y334" s="44" t="str">
        <f aca="true">IF(D334="","",IF(OR(COUNTIFS(Clients!$C$2:$C$501,D334,Clients!$S$2:$S$501,"Paid")&gt;0,AND(H334&lt;&gt;"",COUNTIFS(Clients!$E$2:$E$501,H334,Clients!$S$2:$S$501,"Paid")&gt;0)),"⚠ Refunded before – no free video",IF(OR(O334="Contract signed + paid",O334="Closed – No response",O334="Lost"),"",IF(O334="","Set a stage",IF(N(Q334)&gt;=Settings!$S$3,"Close – 4 follow-ups sent",IF(R334="",IF(P334="","Make first contact",""),IF(TODAY()&gt;R334,"OVERDUE follow-up",IF(TODAY()=R334,"Follow up today",""))))))))</f>
        <v/>
      </c>
    </row>
    <row r="335" customFormat="false" ht="15" hidden="false" customHeight="false" outlineLevel="0" collapsed="false">
      <c r="A335" s="17"/>
      <c r="B335" s="38"/>
      <c r="C335" s="17"/>
      <c r="D335" s="17"/>
      <c r="E335" s="17"/>
      <c r="F335" s="17"/>
      <c r="G335" s="17"/>
      <c r="H335" s="40"/>
      <c r="I335" s="17"/>
      <c r="J335" s="17"/>
      <c r="K335" s="17"/>
      <c r="L335" s="17"/>
      <c r="M335" s="17"/>
      <c r="N335" s="17"/>
      <c r="O335" s="17"/>
      <c r="P335" s="38"/>
      <c r="Q335" s="17"/>
      <c r="R335" s="42" t="str">
        <f aca="false">IF(OR(D335="",P335="",OR(O335="Contract signed + paid",O335="Closed – No response",O335="Lost"),N(Q335)&gt;=Settings!$S$3),"",P335+Settings!$S$2)</f>
        <v/>
      </c>
      <c r="S335" s="38"/>
      <c r="T335" s="39"/>
      <c r="U335" s="17"/>
      <c r="V335" s="17"/>
      <c r="W335" s="17"/>
      <c r="X335" s="43" t="str">
        <f aca="true">IF(OR(D335="",B335=""),"",INT(TODAY()-B335))</f>
        <v/>
      </c>
      <c r="Y335" s="44" t="str">
        <f aca="true">IF(D335="","",IF(OR(COUNTIFS(Clients!$C$2:$C$501,D335,Clients!$S$2:$S$501,"Paid")&gt;0,AND(H335&lt;&gt;"",COUNTIFS(Clients!$E$2:$E$501,H335,Clients!$S$2:$S$501,"Paid")&gt;0)),"⚠ Refunded before – no free video",IF(OR(O335="Contract signed + paid",O335="Closed – No response",O335="Lost"),"",IF(O335="","Set a stage",IF(N(Q335)&gt;=Settings!$S$3,"Close – 4 follow-ups sent",IF(R335="",IF(P335="","Make first contact",""),IF(TODAY()&gt;R335,"OVERDUE follow-up",IF(TODAY()=R335,"Follow up today",""))))))))</f>
        <v/>
      </c>
    </row>
    <row r="336" customFormat="false" ht="15" hidden="false" customHeight="false" outlineLevel="0" collapsed="false">
      <c r="A336" s="17"/>
      <c r="B336" s="38"/>
      <c r="C336" s="17"/>
      <c r="D336" s="17"/>
      <c r="E336" s="17"/>
      <c r="F336" s="17"/>
      <c r="G336" s="17"/>
      <c r="H336" s="40"/>
      <c r="I336" s="17"/>
      <c r="J336" s="17"/>
      <c r="K336" s="17"/>
      <c r="L336" s="17"/>
      <c r="M336" s="17"/>
      <c r="N336" s="17"/>
      <c r="O336" s="17"/>
      <c r="P336" s="38"/>
      <c r="Q336" s="17"/>
      <c r="R336" s="42" t="str">
        <f aca="false">IF(OR(D336="",P336="",OR(O336="Contract signed + paid",O336="Closed – No response",O336="Lost"),N(Q336)&gt;=Settings!$S$3),"",P336+Settings!$S$2)</f>
        <v/>
      </c>
      <c r="S336" s="38"/>
      <c r="T336" s="39"/>
      <c r="U336" s="17"/>
      <c r="V336" s="17"/>
      <c r="W336" s="17"/>
      <c r="X336" s="43" t="str">
        <f aca="true">IF(OR(D336="",B336=""),"",INT(TODAY()-B336))</f>
        <v/>
      </c>
      <c r="Y336" s="44" t="str">
        <f aca="true">IF(D336="","",IF(OR(COUNTIFS(Clients!$C$2:$C$501,D336,Clients!$S$2:$S$501,"Paid")&gt;0,AND(H336&lt;&gt;"",COUNTIFS(Clients!$E$2:$E$501,H336,Clients!$S$2:$S$501,"Paid")&gt;0)),"⚠ Refunded before – no free video",IF(OR(O336="Contract signed + paid",O336="Closed – No response",O336="Lost"),"",IF(O336="","Set a stage",IF(N(Q336)&gt;=Settings!$S$3,"Close – 4 follow-ups sent",IF(R336="",IF(P336="","Make first contact",""),IF(TODAY()&gt;R336,"OVERDUE follow-up",IF(TODAY()=R336,"Follow up today",""))))))))</f>
        <v/>
      </c>
    </row>
    <row r="337" customFormat="false" ht="15" hidden="false" customHeight="false" outlineLevel="0" collapsed="false">
      <c r="A337" s="17"/>
      <c r="B337" s="38"/>
      <c r="C337" s="17"/>
      <c r="D337" s="17"/>
      <c r="E337" s="17"/>
      <c r="F337" s="17"/>
      <c r="G337" s="17"/>
      <c r="H337" s="40"/>
      <c r="I337" s="17"/>
      <c r="J337" s="17"/>
      <c r="K337" s="17"/>
      <c r="L337" s="17"/>
      <c r="M337" s="17"/>
      <c r="N337" s="17"/>
      <c r="O337" s="17"/>
      <c r="P337" s="38"/>
      <c r="Q337" s="17"/>
      <c r="R337" s="42" t="str">
        <f aca="false">IF(OR(D337="",P337="",OR(O337="Contract signed + paid",O337="Closed – No response",O337="Lost"),N(Q337)&gt;=Settings!$S$3),"",P337+Settings!$S$2)</f>
        <v/>
      </c>
      <c r="S337" s="38"/>
      <c r="T337" s="39"/>
      <c r="U337" s="17"/>
      <c r="V337" s="17"/>
      <c r="W337" s="17"/>
      <c r="X337" s="43" t="str">
        <f aca="true">IF(OR(D337="",B337=""),"",INT(TODAY()-B337))</f>
        <v/>
      </c>
      <c r="Y337" s="44" t="str">
        <f aca="true">IF(D337="","",IF(OR(COUNTIFS(Clients!$C$2:$C$501,D337,Clients!$S$2:$S$501,"Paid")&gt;0,AND(H337&lt;&gt;"",COUNTIFS(Clients!$E$2:$E$501,H337,Clients!$S$2:$S$501,"Paid")&gt;0)),"⚠ Refunded before – no free video",IF(OR(O337="Contract signed + paid",O337="Closed – No response",O337="Lost"),"",IF(O337="","Set a stage",IF(N(Q337)&gt;=Settings!$S$3,"Close – 4 follow-ups sent",IF(R337="",IF(P337="","Make first contact",""),IF(TODAY()&gt;R337,"OVERDUE follow-up",IF(TODAY()=R337,"Follow up today",""))))))))</f>
        <v/>
      </c>
    </row>
    <row r="338" customFormat="false" ht="15" hidden="false" customHeight="false" outlineLevel="0" collapsed="false">
      <c r="A338" s="17"/>
      <c r="B338" s="38"/>
      <c r="C338" s="17"/>
      <c r="D338" s="17"/>
      <c r="E338" s="17"/>
      <c r="F338" s="17"/>
      <c r="G338" s="17"/>
      <c r="H338" s="40"/>
      <c r="I338" s="17"/>
      <c r="J338" s="17"/>
      <c r="K338" s="17"/>
      <c r="L338" s="17"/>
      <c r="M338" s="17"/>
      <c r="N338" s="17"/>
      <c r="O338" s="17"/>
      <c r="P338" s="38"/>
      <c r="Q338" s="17"/>
      <c r="R338" s="42" t="str">
        <f aca="false">IF(OR(D338="",P338="",OR(O338="Contract signed + paid",O338="Closed – No response",O338="Lost"),N(Q338)&gt;=Settings!$S$3),"",P338+Settings!$S$2)</f>
        <v/>
      </c>
      <c r="S338" s="38"/>
      <c r="T338" s="39"/>
      <c r="U338" s="17"/>
      <c r="V338" s="17"/>
      <c r="W338" s="17"/>
      <c r="X338" s="43" t="str">
        <f aca="true">IF(OR(D338="",B338=""),"",INT(TODAY()-B338))</f>
        <v/>
      </c>
      <c r="Y338" s="44" t="str">
        <f aca="true">IF(D338="","",IF(OR(COUNTIFS(Clients!$C$2:$C$501,D338,Clients!$S$2:$S$501,"Paid")&gt;0,AND(H338&lt;&gt;"",COUNTIFS(Clients!$E$2:$E$501,H338,Clients!$S$2:$S$501,"Paid")&gt;0)),"⚠ Refunded before – no free video",IF(OR(O338="Contract signed + paid",O338="Closed – No response",O338="Lost"),"",IF(O338="","Set a stage",IF(N(Q338)&gt;=Settings!$S$3,"Close – 4 follow-ups sent",IF(R338="",IF(P338="","Make first contact",""),IF(TODAY()&gt;R338,"OVERDUE follow-up",IF(TODAY()=R338,"Follow up today",""))))))))</f>
        <v/>
      </c>
    </row>
    <row r="339" customFormat="false" ht="15" hidden="false" customHeight="false" outlineLevel="0" collapsed="false">
      <c r="A339" s="17"/>
      <c r="B339" s="38"/>
      <c r="C339" s="17"/>
      <c r="D339" s="17"/>
      <c r="E339" s="17"/>
      <c r="F339" s="17"/>
      <c r="G339" s="17"/>
      <c r="H339" s="40"/>
      <c r="I339" s="17"/>
      <c r="J339" s="17"/>
      <c r="K339" s="17"/>
      <c r="L339" s="17"/>
      <c r="M339" s="17"/>
      <c r="N339" s="17"/>
      <c r="O339" s="17"/>
      <c r="P339" s="38"/>
      <c r="Q339" s="17"/>
      <c r="R339" s="42" t="str">
        <f aca="false">IF(OR(D339="",P339="",OR(O339="Contract signed + paid",O339="Closed – No response",O339="Lost"),N(Q339)&gt;=Settings!$S$3),"",P339+Settings!$S$2)</f>
        <v/>
      </c>
      <c r="S339" s="38"/>
      <c r="T339" s="39"/>
      <c r="U339" s="17"/>
      <c r="V339" s="17"/>
      <c r="W339" s="17"/>
      <c r="X339" s="43" t="str">
        <f aca="true">IF(OR(D339="",B339=""),"",INT(TODAY()-B339))</f>
        <v/>
      </c>
      <c r="Y339" s="44" t="str">
        <f aca="true">IF(D339="","",IF(OR(COUNTIFS(Clients!$C$2:$C$501,D339,Clients!$S$2:$S$501,"Paid")&gt;0,AND(H339&lt;&gt;"",COUNTIFS(Clients!$E$2:$E$501,H339,Clients!$S$2:$S$501,"Paid")&gt;0)),"⚠ Refunded before – no free video",IF(OR(O339="Contract signed + paid",O339="Closed – No response",O339="Lost"),"",IF(O339="","Set a stage",IF(N(Q339)&gt;=Settings!$S$3,"Close – 4 follow-ups sent",IF(R339="",IF(P339="","Make first contact",""),IF(TODAY()&gt;R339,"OVERDUE follow-up",IF(TODAY()=R339,"Follow up today",""))))))))</f>
        <v/>
      </c>
    </row>
    <row r="340" customFormat="false" ht="15" hidden="false" customHeight="false" outlineLevel="0" collapsed="false">
      <c r="A340" s="17"/>
      <c r="B340" s="38"/>
      <c r="C340" s="17"/>
      <c r="D340" s="17"/>
      <c r="E340" s="17"/>
      <c r="F340" s="17"/>
      <c r="G340" s="17"/>
      <c r="H340" s="40"/>
      <c r="I340" s="17"/>
      <c r="J340" s="17"/>
      <c r="K340" s="17"/>
      <c r="L340" s="17"/>
      <c r="M340" s="17"/>
      <c r="N340" s="17"/>
      <c r="O340" s="17"/>
      <c r="P340" s="38"/>
      <c r="Q340" s="17"/>
      <c r="R340" s="42" t="str">
        <f aca="false">IF(OR(D340="",P340="",OR(O340="Contract signed + paid",O340="Closed – No response",O340="Lost"),N(Q340)&gt;=Settings!$S$3),"",P340+Settings!$S$2)</f>
        <v/>
      </c>
      <c r="S340" s="38"/>
      <c r="T340" s="39"/>
      <c r="U340" s="17"/>
      <c r="V340" s="17"/>
      <c r="W340" s="17"/>
      <c r="X340" s="43" t="str">
        <f aca="true">IF(OR(D340="",B340=""),"",INT(TODAY()-B340))</f>
        <v/>
      </c>
      <c r="Y340" s="44" t="str">
        <f aca="true">IF(D340="","",IF(OR(COUNTIFS(Clients!$C$2:$C$501,D340,Clients!$S$2:$S$501,"Paid")&gt;0,AND(H340&lt;&gt;"",COUNTIFS(Clients!$E$2:$E$501,H340,Clients!$S$2:$S$501,"Paid")&gt;0)),"⚠ Refunded before – no free video",IF(OR(O340="Contract signed + paid",O340="Closed – No response",O340="Lost"),"",IF(O340="","Set a stage",IF(N(Q340)&gt;=Settings!$S$3,"Close – 4 follow-ups sent",IF(R340="",IF(P340="","Make first contact",""),IF(TODAY()&gt;R340,"OVERDUE follow-up",IF(TODAY()=R340,"Follow up today",""))))))))</f>
        <v/>
      </c>
    </row>
    <row r="341" customFormat="false" ht="15" hidden="false" customHeight="false" outlineLevel="0" collapsed="false">
      <c r="A341" s="17"/>
      <c r="B341" s="38"/>
      <c r="C341" s="17"/>
      <c r="D341" s="17"/>
      <c r="E341" s="17"/>
      <c r="F341" s="17"/>
      <c r="G341" s="17"/>
      <c r="H341" s="40"/>
      <c r="I341" s="17"/>
      <c r="J341" s="17"/>
      <c r="K341" s="17"/>
      <c r="L341" s="17"/>
      <c r="M341" s="17"/>
      <c r="N341" s="17"/>
      <c r="O341" s="17"/>
      <c r="P341" s="38"/>
      <c r="Q341" s="17"/>
      <c r="R341" s="42" t="str">
        <f aca="false">IF(OR(D341="",P341="",OR(O341="Contract signed + paid",O341="Closed – No response",O341="Lost"),N(Q341)&gt;=Settings!$S$3),"",P341+Settings!$S$2)</f>
        <v/>
      </c>
      <c r="S341" s="38"/>
      <c r="T341" s="39"/>
      <c r="U341" s="17"/>
      <c r="V341" s="17"/>
      <c r="W341" s="17"/>
      <c r="X341" s="43" t="str">
        <f aca="true">IF(OR(D341="",B341=""),"",INT(TODAY()-B341))</f>
        <v/>
      </c>
      <c r="Y341" s="44" t="str">
        <f aca="true">IF(D341="","",IF(OR(COUNTIFS(Clients!$C$2:$C$501,D341,Clients!$S$2:$S$501,"Paid")&gt;0,AND(H341&lt;&gt;"",COUNTIFS(Clients!$E$2:$E$501,H341,Clients!$S$2:$S$501,"Paid")&gt;0)),"⚠ Refunded before – no free video",IF(OR(O341="Contract signed + paid",O341="Closed – No response",O341="Lost"),"",IF(O341="","Set a stage",IF(N(Q341)&gt;=Settings!$S$3,"Close – 4 follow-ups sent",IF(R341="",IF(P341="","Make first contact",""),IF(TODAY()&gt;R341,"OVERDUE follow-up",IF(TODAY()=R341,"Follow up today",""))))))))</f>
        <v/>
      </c>
    </row>
    <row r="342" customFormat="false" ht="15" hidden="false" customHeight="false" outlineLevel="0" collapsed="false">
      <c r="A342" s="17"/>
      <c r="B342" s="38"/>
      <c r="C342" s="17"/>
      <c r="D342" s="17"/>
      <c r="E342" s="17"/>
      <c r="F342" s="17"/>
      <c r="G342" s="17"/>
      <c r="H342" s="40"/>
      <c r="I342" s="17"/>
      <c r="J342" s="17"/>
      <c r="K342" s="17"/>
      <c r="L342" s="17"/>
      <c r="M342" s="17"/>
      <c r="N342" s="17"/>
      <c r="O342" s="17"/>
      <c r="P342" s="38"/>
      <c r="Q342" s="17"/>
      <c r="R342" s="42" t="str">
        <f aca="false">IF(OR(D342="",P342="",OR(O342="Contract signed + paid",O342="Closed – No response",O342="Lost"),N(Q342)&gt;=Settings!$S$3),"",P342+Settings!$S$2)</f>
        <v/>
      </c>
      <c r="S342" s="38"/>
      <c r="T342" s="39"/>
      <c r="U342" s="17"/>
      <c r="V342" s="17"/>
      <c r="W342" s="17"/>
      <c r="X342" s="43" t="str">
        <f aca="true">IF(OR(D342="",B342=""),"",INT(TODAY()-B342))</f>
        <v/>
      </c>
      <c r="Y342" s="44" t="str">
        <f aca="true">IF(D342="","",IF(OR(COUNTIFS(Clients!$C$2:$C$501,D342,Clients!$S$2:$S$501,"Paid")&gt;0,AND(H342&lt;&gt;"",COUNTIFS(Clients!$E$2:$E$501,H342,Clients!$S$2:$S$501,"Paid")&gt;0)),"⚠ Refunded before – no free video",IF(OR(O342="Contract signed + paid",O342="Closed – No response",O342="Lost"),"",IF(O342="","Set a stage",IF(N(Q342)&gt;=Settings!$S$3,"Close – 4 follow-ups sent",IF(R342="",IF(P342="","Make first contact",""),IF(TODAY()&gt;R342,"OVERDUE follow-up",IF(TODAY()=R342,"Follow up today",""))))))))</f>
        <v/>
      </c>
    </row>
    <row r="343" customFormat="false" ht="15" hidden="false" customHeight="false" outlineLevel="0" collapsed="false">
      <c r="A343" s="17"/>
      <c r="B343" s="38"/>
      <c r="C343" s="17"/>
      <c r="D343" s="17"/>
      <c r="E343" s="17"/>
      <c r="F343" s="17"/>
      <c r="G343" s="17"/>
      <c r="H343" s="40"/>
      <c r="I343" s="17"/>
      <c r="J343" s="17"/>
      <c r="K343" s="17"/>
      <c r="L343" s="17"/>
      <c r="M343" s="17"/>
      <c r="N343" s="17"/>
      <c r="O343" s="17"/>
      <c r="P343" s="38"/>
      <c r="Q343" s="17"/>
      <c r="R343" s="42" t="str">
        <f aca="false">IF(OR(D343="",P343="",OR(O343="Contract signed + paid",O343="Closed – No response",O343="Lost"),N(Q343)&gt;=Settings!$S$3),"",P343+Settings!$S$2)</f>
        <v/>
      </c>
      <c r="S343" s="38"/>
      <c r="T343" s="39"/>
      <c r="U343" s="17"/>
      <c r="V343" s="17"/>
      <c r="W343" s="17"/>
      <c r="X343" s="43" t="str">
        <f aca="true">IF(OR(D343="",B343=""),"",INT(TODAY()-B343))</f>
        <v/>
      </c>
      <c r="Y343" s="44" t="str">
        <f aca="true">IF(D343="","",IF(OR(COUNTIFS(Clients!$C$2:$C$501,D343,Clients!$S$2:$S$501,"Paid")&gt;0,AND(H343&lt;&gt;"",COUNTIFS(Clients!$E$2:$E$501,H343,Clients!$S$2:$S$501,"Paid")&gt;0)),"⚠ Refunded before – no free video",IF(OR(O343="Contract signed + paid",O343="Closed – No response",O343="Lost"),"",IF(O343="","Set a stage",IF(N(Q343)&gt;=Settings!$S$3,"Close – 4 follow-ups sent",IF(R343="",IF(P343="","Make first contact",""),IF(TODAY()&gt;R343,"OVERDUE follow-up",IF(TODAY()=R343,"Follow up today",""))))))))</f>
        <v/>
      </c>
    </row>
    <row r="344" customFormat="false" ht="15" hidden="false" customHeight="false" outlineLevel="0" collapsed="false">
      <c r="A344" s="17"/>
      <c r="B344" s="38"/>
      <c r="C344" s="17"/>
      <c r="D344" s="17"/>
      <c r="E344" s="17"/>
      <c r="F344" s="17"/>
      <c r="G344" s="17"/>
      <c r="H344" s="40"/>
      <c r="I344" s="17"/>
      <c r="J344" s="17"/>
      <c r="K344" s="17"/>
      <c r="L344" s="17"/>
      <c r="M344" s="17"/>
      <c r="N344" s="17"/>
      <c r="O344" s="17"/>
      <c r="P344" s="38"/>
      <c r="Q344" s="17"/>
      <c r="R344" s="42" t="str">
        <f aca="false">IF(OR(D344="",P344="",OR(O344="Contract signed + paid",O344="Closed – No response",O344="Lost"),N(Q344)&gt;=Settings!$S$3),"",P344+Settings!$S$2)</f>
        <v/>
      </c>
      <c r="S344" s="38"/>
      <c r="T344" s="39"/>
      <c r="U344" s="17"/>
      <c r="V344" s="17"/>
      <c r="W344" s="17"/>
      <c r="X344" s="43" t="str">
        <f aca="true">IF(OR(D344="",B344=""),"",INT(TODAY()-B344))</f>
        <v/>
      </c>
      <c r="Y344" s="44" t="str">
        <f aca="true">IF(D344="","",IF(OR(COUNTIFS(Clients!$C$2:$C$501,D344,Clients!$S$2:$S$501,"Paid")&gt;0,AND(H344&lt;&gt;"",COUNTIFS(Clients!$E$2:$E$501,H344,Clients!$S$2:$S$501,"Paid")&gt;0)),"⚠ Refunded before – no free video",IF(OR(O344="Contract signed + paid",O344="Closed – No response",O344="Lost"),"",IF(O344="","Set a stage",IF(N(Q344)&gt;=Settings!$S$3,"Close – 4 follow-ups sent",IF(R344="",IF(P344="","Make first contact",""),IF(TODAY()&gt;R344,"OVERDUE follow-up",IF(TODAY()=R344,"Follow up today",""))))))))</f>
        <v/>
      </c>
    </row>
    <row r="345" customFormat="false" ht="15" hidden="false" customHeight="false" outlineLevel="0" collapsed="false">
      <c r="A345" s="17"/>
      <c r="B345" s="38"/>
      <c r="C345" s="17"/>
      <c r="D345" s="17"/>
      <c r="E345" s="17"/>
      <c r="F345" s="17"/>
      <c r="G345" s="17"/>
      <c r="H345" s="40"/>
      <c r="I345" s="17"/>
      <c r="J345" s="17"/>
      <c r="K345" s="17"/>
      <c r="L345" s="17"/>
      <c r="M345" s="17"/>
      <c r="N345" s="17"/>
      <c r="O345" s="17"/>
      <c r="P345" s="38"/>
      <c r="Q345" s="17"/>
      <c r="R345" s="42" t="str">
        <f aca="false">IF(OR(D345="",P345="",OR(O345="Contract signed + paid",O345="Closed – No response",O345="Lost"),N(Q345)&gt;=Settings!$S$3),"",P345+Settings!$S$2)</f>
        <v/>
      </c>
      <c r="S345" s="38"/>
      <c r="T345" s="39"/>
      <c r="U345" s="17"/>
      <c r="V345" s="17"/>
      <c r="W345" s="17"/>
      <c r="X345" s="43" t="str">
        <f aca="true">IF(OR(D345="",B345=""),"",INT(TODAY()-B345))</f>
        <v/>
      </c>
      <c r="Y345" s="44" t="str">
        <f aca="true">IF(D345="","",IF(OR(COUNTIFS(Clients!$C$2:$C$501,D345,Clients!$S$2:$S$501,"Paid")&gt;0,AND(H345&lt;&gt;"",COUNTIFS(Clients!$E$2:$E$501,H345,Clients!$S$2:$S$501,"Paid")&gt;0)),"⚠ Refunded before – no free video",IF(OR(O345="Contract signed + paid",O345="Closed – No response",O345="Lost"),"",IF(O345="","Set a stage",IF(N(Q345)&gt;=Settings!$S$3,"Close – 4 follow-ups sent",IF(R345="",IF(P345="","Make first contact",""),IF(TODAY()&gt;R345,"OVERDUE follow-up",IF(TODAY()=R345,"Follow up today",""))))))))</f>
        <v/>
      </c>
    </row>
    <row r="346" customFormat="false" ht="15" hidden="false" customHeight="false" outlineLevel="0" collapsed="false">
      <c r="A346" s="17"/>
      <c r="B346" s="38"/>
      <c r="C346" s="17"/>
      <c r="D346" s="17"/>
      <c r="E346" s="17"/>
      <c r="F346" s="17"/>
      <c r="G346" s="17"/>
      <c r="H346" s="40"/>
      <c r="I346" s="17"/>
      <c r="J346" s="17"/>
      <c r="K346" s="17"/>
      <c r="L346" s="17"/>
      <c r="M346" s="17"/>
      <c r="N346" s="17"/>
      <c r="O346" s="17"/>
      <c r="P346" s="38"/>
      <c r="Q346" s="17"/>
      <c r="R346" s="42" t="str">
        <f aca="false">IF(OR(D346="",P346="",OR(O346="Contract signed + paid",O346="Closed – No response",O346="Lost"),N(Q346)&gt;=Settings!$S$3),"",P346+Settings!$S$2)</f>
        <v/>
      </c>
      <c r="S346" s="38"/>
      <c r="T346" s="39"/>
      <c r="U346" s="17"/>
      <c r="V346" s="17"/>
      <c r="W346" s="17"/>
      <c r="X346" s="43" t="str">
        <f aca="true">IF(OR(D346="",B346=""),"",INT(TODAY()-B346))</f>
        <v/>
      </c>
      <c r="Y346" s="44" t="str">
        <f aca="true">IF(D346="","",IF(OR(COUNTIFS(Clients!$C$2:$C$501,D346,Clients!$S$2:$S$501,"Paid")&gt;0,AND(H346&lt;&gt;"",COUNTIFS(Clients!$E$2:$E$501,H346,Clients!$S$2:$S$501,"Paid")&gt;0)),"⚠ Refunded before – no free video",IF(OR(O346="Contract signed + paid",O346="Closed – No response",O346="Lost"),"",IF(O346="","Set a stage",IF(N(Q346)&gt;=Settings!$S$3,"Close – 4 follow-ups sent",IF(R346="",IF(P346="","Make first contact",""),IF(TODAY()&gt;R346,"OVERDUE follow-up",IF(TODAY()=R346,"Follow up today",""))))))))</f>
        <v/>
      </c>
    </row>
    <row r="347" customFormat="false" ht="15" hidden="false" customHeight="false" outlineLevel="0" collapsed="false">
      <c r="A347" s="17"/>
      <c r="B347" s="38"/>
      <c r="C347" s="17"/>
      <c r="D347" s="17"/>
      <c r="E347" s="17"/>
      <c r="F347" s="17"/>
      <c r="G347" s="17"/>
      <c r="H347" s="40"/>
      <c r="I347" s="17"/>
      <c r="J347" s="17"/>
      <c r="K347" s="17"/>
      <c r="L347" s="17"/>
      <c r="M347" s="17"/>
      <c r="N347" s="17"/>
      <c r="O347" s="17"/>
      <c r="P347" s="38"/>
      <c r="Q347" s="17"/>
      <c r="R347" s="42" t="str">
        <f aca="false">IF(OR(D347="",P347="",OR(O347="Contract signed + paid",O347="Closed – No response",O347="Lost"),N(Q347)&gt;=Settings!$S$3),"",P347+Settings!$S$2)</f>
        <v/>
      </c>
      <c r="S347" s="38"/>
      <c r="T347" s="39"/>
      <c r="U347" s="17"/>
      <c r="V347" s="17"/>
      <c r="W347" s="17"/>
      <c r="X347" s="43" t="str">
        <f aca="true">IF(OR(D347="",B347=""),"",INT(TODAY()-B347))</f>
        <v/>
      </c>
      <c r="Y347" s="44" t="str">
        <f aca="true">IF(D347="","",IF(OR(COUNTIFS(Clients!$C$2:$C$501,D347,Clients!$S$2:$S$501,"Paid")&gt;0,AND(H347&lt;&gt;"",COUNTIFS(Clients!$E$2:$E$501,H347,Clients!$S$2:$S$501,"Paid")&gt;0)),"⚠ Refunded before – no free video",IF(OR(O347="Contract signed + paid",O347="Closed – No response",O347="Lost"),"",IF(O347="","Set a stage",IF(N(Q347)&gt;=Settings!$S$3,"Close – 4 follow-ups sent",IF(R347="",IF(P347="","Make first contact",""),IF(TODAY()&gt;R347,"OVERDUE follow-up",IF(TODAY()=R347,"Follow up today",""))))))))</f>
        <v/>
      </c>
    </row>
    <row r="348" customFormat="false" ht="15" hidden="false" customHeight="false" outlineLevel="0" collapsed="false">
      <c r="A348" s="17"/>
      <c r="B348" s="38"/>
      <c r="C348" s="17"/>
      <c r="D348" s="17"/>
      <c r="E348" s="17"/>
      <c r="F348" s="17"/>
      <c r="G348" s="17"/>
      <c r="H348" s="40"/>
      <c r="I348" s="17"/>
      <c r="J348" s="17"/>
      <c r="K348" s="17"/>
      <c r="L348" s="17"/>
      <c r="M348" s="17"/>
      <c r="N348" s="17"/>
      <c r="O348" s="17"/>
      <c r="P348" s="38"/>
      <c r="Q348" s="17"/>
      <c r="R348" s="42" t="str">
        <f aca="false">IF(OR(D348="",P348="",OR(O348="Contract signed + paid",O348="Closed – No response",O348="Lost"),N(Q348)&gt;=Settings!$S$3),"",P348+Settings!$S$2)</f>
        <v/>
      </c>
      <c r="S348" s="38"/>
      <c r="T348" s="39"/>
      <c r="U348" s="17"/>
      <c r="V348" s="17"/>
      <c r="W348" s="17"/>
      <c r="X348" s="43" t="str">
        <f aca="true">IF(OR(D348="",B348=""),"",INT(TODAY()-B348))</f>
        <v/>
      </c>
      <c r="Y348" s="44" t="str">
        <f aca="true">IF(D348="","",IF(OR(COUNTIFS(Clients!$C$2:$C$501,D348,Clients!$S$2:$S$501,"Paid")&gt;0,AND(H348&lt;&gt;"",COUNTIFS(Clients!$E$2:$E$501,H348,Clients!$S$2:$S$501,"Paid")&gt;0)),"⚠ Refunded before – no free video",IF(OR(O348="Contract signed + paid",O348="Closed – No response",O348="Lost"),"",IF(O348="","Set a stage",IF(N(Q348)&gt;=Settings!$S$3,"Close – 4 follow-ups sent",IF(R348="",IF(P348="","Make first contact",""),IF(TODAY()&gt;R348,"OVERDUE follow-up",IF(TODAY()=R348,"Follow up today",""))))))))</f>
        <v/>
      </c>
    </row>
    <row r="349" customFormat="false" ht="15" hidden="false" customHeight="false" outlineLevel="0" collapsed="false">
      <c r="A349" s="17"/>
      <c r="B349" s="38"/>
      <c r="C349" s="17"/>
      <c r="D349" s="17"/>
      <c r="E349" s="17"/>
      <c r="F349" s="17"/>
      <c r="G349" s="17"/>
      <c r="H349" s="40"/>
      <c r="I349" s="17"/>
      <c r="J349" s="17"/>
      <c r="K349" s="17"/>
      <c r="L349" s="17"/>
      <c r="M349" s="17"/>
      <c r="N349" s="17"/>
      <c r="O349" s="17"/>
      <c r="P349" s="38"/>
      <c r="Q349" s="17"/>
      <c r="R349" s="42" t="str">
        <f aca="false">IF(OR(D349="",P349="",OR(O349="Contract signed + paid",O349="Closed – No response",O349="Lost"),N(Q349)&gt;=Settings!$S$3),"",P349+Settings!$S$2)</f>
        <v/>
      </c>
      <c r="S349" s="38"/>
      <c r="T349" s="39"/>
      <c r="U349" s="17"/>
      <c r="V349" s="17"/>
      <c r="W349" s="17"/>
      <c r="X349" s="43" t="str">
        <f aca="true">IF(OR(D349="",B349=""),"",INT(TODAY()-B349))</f>
        <v/>
      </c>
      <c r="Y349" s="44" t="str">
        <f aca="true">IF(D349="","",IF(OR(COUNTIFS(Clients!$C$2:$C$501,D349,Clients!$S$2:$S$501,"Paid")&gt;0,AND(H349&lt;&gt;"",COUNTIFS(Clients!$E$2:$E$501,H349,Clients!$S$2:$S$501,"Paid")&gt;0)),"⚠ Refunded before – no free video",IF(OR(O349="Contract signed + paid",O349="Closed – No response",O349="Lost"),"",IF(O349="","Set a stage",IF(N(Q349)&gt;=Settings!$S$3,"Close – 4 follow-ups sent",IF(R349="",IF(P349="","Make first contact",""),IF(TODAY()&gt;R349,"OVERDUE follow-up",IF(TODAY()=R349,"Follow up today",""))))))))</f>
        <v/>
      </c>
    </row>
    <row r="350" customFormat="false" ht="15" hidden="false" customHeight="false" outlineLevel="0" collapsed="false">
      <c r="A350" s="17"/>
      <c r="B350" s="38"/>
      <c r="C350" s="17"/>
      <c r="D350" s="17"/>
      <c r="E350" s="17"/>
      <c r="F350" s="17"/>
      <c r="G350" s="17"/>
      <c r="H350" s="40"/>
      <c r="I350" s="17"/>
      <c r="J350" s="17"/>
      <c r="K350" s="17"/>
      <c r="L350" s="17"/>
      <c r="M350" s="17"/>
      <c r="N350" s="17"/>
      <c r="O350" s="17"/>
      <c r="P350" s="38"/>
      <c r="Q350" s="17"/>
      <c r="R350" s="42" t="str">
        <f aca="false">IF(OR(D350="",P350="",OR(O350="Contract signed + paid",O350="Closed – No response",O350="Lost"),N(Q350)&gt;=Settings!$S$3),"",P350+Settings!$S$2)</f>
        <v/>
      </c>
      <c r="S350" s="38"/>
      <c r="T350" s="39"/>
      <c r="U350" s="17"/>
      <c r="V350" s="17"/>
      <c r="W350" s="17"/>
      <c r="X350" s="43" t="str">
        <f aca="true">IF(OR(D350="",B350=""),"",INT(TODAY()-B350))</f>
        <v/>
      </c>
      <c r="Y350" s="44" t="str">
        <f aca="true">IF(D350="","",IF(OR(COUNTIFS(Clients!$C$2:$C$501,D350,Clients!$S$2:$S$501,"Paid")&gt;0,AND(H350&lt;&gt;"",COUNTIFS(Clients!$E$2:$E$501,H350,Clients!$S$2:$S$501,"Paid")&gt;0)),"⚠ Refunded before – no free video",IF(OR(O350="Contract signed + paid",O350="Closed – No response",O350="Lost"),"",IF(O350="","Set a stage",IF(N(Q350)&gt;=Settings!$S$3,"Close – 4 follow-ups sent",IF(R350="",IF(P350="","Make first contact",""),IF(TODAY()&gt;R350,"OVERDUE follow-up",IF(TODAY()=R350,"Follow up today",""))))))))</f>
        <v/>
      </c>
    </row>
    <row r="351" customFormat="false" ht="15" hidden="false" customHeight="false" outlineLevel="0" collapsed="false">
      <c r="A351" s="17"/>
      <c r="B351" s="38"/>
      <c r="C351" s="17"/>
      <c r="D351" s="17"/>
      <c r="E351" s="17"/>
      <c r="F351" s="17"/>
      <c r="G351" s="17"/>
      <c r="H351" s="40"/>
      <c r="I351" s="17"/>
      <c r="J351" s="17"/>
      <c r="K351" s="17"/>
      <c r="L351" s="17"/>
      <c r="M351" s="17"/>
      <c r="N351" s="17"/>
      <c r="O351" s="17"/>
      <c r="P351" s="38"/>
      <c r="Q351" s="17"/>
      <c r="R351" s="42" t="str">
        <f aca="false">IF(OR(D351="",P351="",OR(O351="Contract signed + paid",O351="Closed – No response",O351="Lost"),N(Q351)&gt;=Settings!$S$3),"",P351+Settings!$S$2)</f>
        <v/>
      </c>
      <c r="S351" s="38"/>
      <c r="T351" s="39"/>
      <c r="U351" s="17"/>
      <c r="V351" s="17"/>
      <c r="W351" s="17"/>
      <c r="X351" s="43" t="str">
        <f aca="true">IF(OR(D351="",B351=""),"",INT(TODAY()-B351))</f>
        <v/>
      </c>
      <c r="Y351" s="44" t="str">
        <f aca="true">IF(D351="","",IF(OR(COUNTIFS(Clients!$C$2:$C$501,D351,Clients!$S$2:$S$501,"Paid")&gt;0,AND(H351&lt;&gt;"",COUNTIFS(Clients!$E$2:$E$501,H351,Clients!$S$2:$S$501,"Paid")&gt;0)),"⚠ Refunded before – no free video",IF(OR(O351="Contract signed + paid",O351="Closed – No response",O351="Lost"),"",IF(O351="","Set a stage",IF(N(Q351)&gt;=Settings!$S$3,"Close – 4 follow-ups sent",IF(R351="",IF(P351="","Make first contact",""),IF(TODAY()&gt;R351,"OVERDUE follow-up",IF(TODAY()=R351,"Follow up today",""))))))))</f>
        <v/>
      </c>
    </row>
    <row r="352" customFormat="false" ht="15" hidden="false" customHeight="false" outlineLevel="0" collapsed="false">
      <c r="A352" s="17"/>
      <c r="B352" s="38"/>
      <c r="C352" s="17"/>
      <c r="D352" s="17"/>
      <c r="E352" s="17"/>
      <c r="F352" s="17"/>
      <c r="G352" s="17"/>
      <c r="H352" s="40"/>
      <c r="I352" s="17"/>
      <c r="J352" s="17"/>
      <c r="K352" s="17"/>
      <c r="L352" s="17"/>
      <c r="M352" s="17"/>
      <c r="N352" s="17"/>
      <c r="O352" s="17"/>
      <c r="P352" s="38"/>
      <c r="Q352" s="17"/>
      <c r="R352" s="42" t="str">
        <f aca="false">IF(OR(D352="",P352="",OR(O352="Contract signed + paid",O352="Closed – No response",O352="Lost"),N(Q352)&gt;=Settings!$S$3),"",P352+Settings!$S$2)</f>
        <v/>
      </c>
      <c r="S352" s="38"/>
      <c r="T352" s="39"/>
      <c r="U352" s="17"/>
      <c r="V352" s="17"/>
      <c r="W352" s="17"/>
      <c r="X352" s="43" t="str">
        <f aca="true">IF(OR(D352="",B352=""),"",INT(TODAY()-B352))</f>
        <v/>
      </c>
      <c r="Y352" s="44" t="str">
        <f aca="true">IF(D352="","",IF(OR(COUNTIFS(Clients!$C$2:$C$501,D352,Clients!$S$2:$S$501,"Paid")&gt;0,AND(H352&lt;&gt;"",COUNTIFS(Clients!$E$2:$E$501,H352,Clients!$S$2:$S$501,"Paid")&gt;0)),"⚠ Refunded before – no free video",IF(OR(O352="Contract signed + paid",O352="Closed – No response",O352="Lost"),"",IF(O352="","Set a stage",IF(N(Q352)&gt;=Settings!$S$3,"Close – 4 follow-ups sent",IF(R352="",IF(P352="","Make first contact",""),IF(TODAY()&gt;R352,"OVERDUE follow-up",IF(TODAY()=R352,"Follow up today",""))))))))</f>
        <v/>
      </c>
    </row>
    <row r="353" customFormat="false" ht="15" hidden="false" customHeight="false" outlineLevel="0" collapsed="false">
      <c r="A353" s="17"/>
      <c r="B353" s="38"/>
      <c r="C353" s="17"/>
      <c r="D353" s="17"/>
      <c r="E353" s="17"/>
      <c r="F353" s="17"/>
      <c r="G353" s="17"/>
      <c r="H353" s="40"/>
      <c r="I353" s="17"/>
      <c r="J353" s="17"/>
      <c r="K353" s="17"/>
      <c r="L353" s="17"/>
      <c r="M353" s="17"/>
      <c r="N353" s="17"/>
      <c r="O353" s="17"/>
      <c r="P353" s="38"/>
      <c r="Q353" s="17"/>
      <c r="R353" s="42" t="str">
        <f aca="false">IF(OR(D353="",P353="",OR(O353="Contract signed + paid",O353="Closed – No response",O353="Lost"),N(Q353)&gt;=Settings!$S$3),"",P353+Settings!$S$2)</f>
        <v/>
      </c>
      <c r="S353" s="38"/>
      <c r="T353" s="39"/>
      <c r="U353" s="17"/>
      <c r="V353" s="17"/>
      <c r="W353" s="17"/>
      <c r="X353" s="43" t="str">
        <f aca="true">IF(OR(D353="",B353=""),"",INT(TODAY()-B353))</f>
        <v/>
      </c>
      <c r="Y353" s="44" t="str">
        <f aca="true">IF(D353="","",IF(OR(COUNTIFS(Clients!$C$2:$C$501,D353,Clients!$S$2:$S$501,"Paid")&gt;0,AND(H353&lt;&gt;"",COUNTIFS(Clients!$E$2:$E$501,H353,Clients!$S$2:$S$501,"Paid")&gt;0)),"⚠ Refunded before – no free video",IF(OR(O353="Contract signed + paid",O353="Closed – No response",O353="Lost"),"",IF(O353="","Set a stage",IF(N(Q353)&gt;=Settings!$S$3,"Close – 4 follow-ups sent",IF(R353="",IF(P353="","Make first contact",""),IF(TODAY()&gt;R353,"OVERDUE follow-up",IF(TODAY()=R353,"Follow up today",""))))))))</f>
        <v/>
      </c>
    </row>
    <row r="354" customFormat="false" ht="15" hidden="false" customHeight="false" outlineLevel="0" collapsed="false">
      <c r="A354" s="17"/>
      <c r="B354" s="38"/>
      <c r="C354" s="17"/>
      <c r="D354" s="17"/>
      <c r="E354" s="17"/>
      <c r="F354" s="17"/>
      <c r="G354" s="17"/>
      <c r="H354" s="40"/>
      <c r="I354" s="17"/>
      <c r="J354" s="17"/>
      <c r="K354" s="17"/>
      <c r="L354" s="17"/>
      <c r="M354" s="17"/>
      <c r="N354" s="17"/>
      <c r="O354" s="17"/>
      <c r="P354" s="38"/>
      <c r="Q354" s="17"/>
      <c r="R354" s="42" t="str">
        <f aca="false">IF(OR(D354="",P354="",OR(O354="Contract signed + paid",O354="Closed – No response",O354="Lost"),N(Q354)&gt;=Settings!$S$3),"",P354+Settings!$S$2)</f>
        <v/>
      </c>
      <c r="S354" s="38"/>
      <c r="T354" s="39"/>
      <c r="U354" s="17"/>
      <c r="V354" s="17"/>
      <c r="W354" s="17"/>
      <c r="X354" s="43" t="str">
        <f aca="true">IF(OR(D354="",B354=""),"",INT(TODAY()-B354))</f>
        <v/>
      </c>
      <c r="Y354" s="44" t="str">
        <f aca="true">IF(D354="","",IF(OR(COUNTIFS(Clients!$C$2:$C$501,D354,Clients!$S$2:$S$501,"Paid")&gt;0,AND(H354&lt;&gt;"",COUNTIFS(Clients!$E$2:$E$501,H354,Clients!$S$2:$S$501,"Paid")&gt;0)),"⚠ Refunded before – no free video",IF(OR(O354="Contract signed + paid",O354="Closed – No response",O354="Lost"),"",IF(O354="","Set a stage",IF(N(Q354)&gt;=Settings!$S$3,"Close – 4 follow-ups sent",IF(R354="",IF(P354="","Make first contact",""),IF(TODAY()&gt;R354,"OVERDUE follow-up",IF(TODAY()=R354,"Follow up today",""))))))))</f>
        <v/>
      </c>
    </row>
    <row r="355" customFormat="false" ht="15" hidden="false" customHeight="false" outlineLevel="0" collapsed="false">
      <c r="A355" s="17"/>
      <c r="B355" s="38"/>
      <c r="C355" s="17"/>
      <c r="D355" s="17"/>
      <c r="E355" s="17"/>
      <c r="F355" s="17"/>
      <c r="G355" s="17"/>
      <c r="H355" s="40"/>
      <c r="I355" s="17"/>
      <c r="J355" s="17"/>
      <c r="K355" s="17"/>
      <c r="L355" s="17"/>
      <c r="M355" s="17"/>
      <c r="N355" s="17"/>
      <c r="O355" s="17"/>
      <c r="P355" s="38"/>
      <c r="Q355" s="17"/>
      <c r="R355" s="42" t="str">
        <f aca="false">IF(OR(D355="",P355="",OR(O355="Contract signed + paid",O355="Closed – No response",O355="Lost"),N(Q355)&gt;=Settings!$S$3),"",P355+Settings!$S$2)</f>
        <v/>
      </c>
      <c r="S355" s="38"/>
      <c r="T355" s="39"/>
      <c r="U355" s="17"/>
      <c r="V355" s="17"/>
      <c r="W355" s="17"/>
      <c r="X355" s="43" t="str">
        <f aca="true">IF(OR(D355="",B355=""),"",INT(TODAY()-B355))</f>
        <v/>
      </c>
      <c r="Y355" s="44" t="str">
        <f aca="true">IF(D355="","",IF(OR(COUNTIFS(Clients!$C$2:$C$501,D355,Clients!$S$2:$S$501,"Paid")&gt;0,AND(H355&lt;&gt;"",COUNTIFS(Clients!$E$2:$E$501,H355,Clients!$S$2:$S$501,"Paid")&gt;0)),"⚠ Refunded before – no free video",IF(OR(O355="Contract signed + paid",O355="Closed – No response",O355="Lost"),"",IF(O355="","Set a stage",IF(N(Q355)&gt;=Settings!$S$3,"Close – 4 follow-ups sent",IF(R355="",IF(P355="","Make first contact",""),IF(TODAY()&gt;R355,"OVERDUE follow-up",IF(TODAY()=R355,"Follow up today",""))))))))</f>
        <v/>
      </c>
    </row>
    <row r="356" customFormat="false" ht="15" hidden="false" customHeight="false" outlineLevel="0" collapsed="false">
      <c r="A356" s="17"/>
      <c r="B356" s="38"/>
      <c r="C356" s="17"/>
      <c r="D356" s="17"/>
      <c r="E356" s="17"/>
      <c r="F356" s="17"/>
      <c r="G356" s="17"/>
      <c r="H356" s="40"/>
      <c r="I356" s="17"/>
      <c r="J356" s="17"/>
      <c r="K356" s="17"/>
      <c r="L356" s="17"/>
      <c r="M356" s="17"/>
      <c r="N356" s="17"/>
      <c r="O356" s="17"/>
      <c r="P356" s="38"/>
      <c r="Q356" s="17"/>
      <c r="R356" s="42" t="str">
        <f aca="false">IF(OR(D356="",P356="",OR(O356="Contract signed + paid",O356="Closed – No response",O356="Lost"),N(Q356)&gt;=Settings!$S$3),"",P356+Settings!$S$2)</f>
        <v/>
      </c>
      <c r="S356" s="38"/>
      <c r="T356" s="39"/>
      <c r="U356" s="17"/>
      <c r="V356" s="17"/>
      <c r="W356" s="17"/>
      <c r="X356" s="43" t="str">
        <f aca="true">IF(OR(D356="",B356=""),"",INT(TODAY()-B356))</f>
        <v/>
      </c>
      <c r="Y356" s="44" t="str">
        <f aca="true">IF(D356="","",IF(OR(COUNTIFS(Clients!$C$2:$C$501,D356,Clients!$S$2:$S$501,"Paid")&gt;0,AND(H356&lt;&gt;"",COUNTIFS(Clients!$E$2:$E$501,H356,Clients!$S$2:$S$501,"Paid")&gt;0)),"⚠ Refunded before – no free video",IF(OR(O356="Contract signed + paid",O356="Closed – No response",O356="Lost"),"",IF(O356="","Set a stage",IF(N(Q356)&gt;=Settings!$S$3,"Close – 4 follow-ups sent",IF(R356="",IF(P356="","Make first contact",""),IF(TODAY()&gt;R356,"OVERDUE follow-up",IF(TODAY()=R356,"Follow up today",""))))))))</f>
        <v/>
      </c>
    </row>
    <row r="357" customFormat="false" ht="15" hidden="false" customHeight="false" outlineLevel="0" collapsed="false">
      <c r="A357" s="17"/>
      <c r="B357" s="38"/>
      <c r="C357" s="17"/>
      <c r="D357" s="17"/>
      <c r="E357" s="17"/>
      <c r="F357" s="17"/>
      <c r="G357" s="17"/>
      <c r="H357" s="40"/>
      <c r="I357" s="17"/>
      <c r="J357" s="17"/>
      <c r="K357" s="17"/>
      <c r="L357" s="17"/>
      <c r="M357" s="17"/>
      <c r="N357" s="17"/>
      <c r="O357" s="17"/>
      <c r="P357" s="38"/>
      <c r="Q357" s="17"/>
      <c r="R357" s="42" t="str">
        <f aca="false">IF(OR(D357="",P357="",OR(O357="Contract signed + paid",O357="Closed – No response",O357="Lost"),N(Q357)&gt;=Settings!$S$3),"",P357+Settings!$S$2)</f>
        <v/>
      </c>
      <c r="S357" s="38"/>
      <c r="T357" s="39"/>
      <c r="U357" s="17"/>
      <c r="V357" s="17"/>
      <c r="W357" s="17"/>
      <c r="X357" s="43" t="str">
        <f aca="true">IF(OR(D357="",B357=""),"",INT(TODAY()-B357))</f>
        <v/>
      </c>
      <c r="Y357" s="44" t="str">
        <f aca="true">IF(D357="","",IF(OR(COUNTIFS(Clients!$C$2:$C$501,D357,Clients!$S$2:$S$501,"Paid")&gt;0,AND(H357&lt;&gt;"",COUNTIFS(Clients!$E$2:$E$501,H357,Clients!$S$2:$S$501,"Paid")&gt;0)),"⚠ Refunded before – no free video",IF(OR(O357="Contract signed + paid",O357="Closed – No response",O357="Lost"),"",IF(O357="","Set a stage",IF(N(Q357)&gt;=Settings!$S$3,"Close – 4 follow-ups sent",IF(R357="",IF(P357="","Make first contact",""),IF(TODAY()&gt;R357,"OVERDUE follow-up",IF(TODAY()=R357,"Follow up today",""))))))))</f>
        <v/>
      </c>
    </row>
    <row r="358" customFormat="false" ht="15" hidden="false" customHeight="false" outlineLevel="0" collapsed="false">
      <c r="A358" s="17"/>
      <c r="B358" s="38"/>
      <c r="C358" s="17"/>
      <c r="D358" s="17"/>
      <c r="E358" s="17"/>
      <c r="F358" s="17"/>
      <c r="G358" s="17"/>
      <c r="H358" s="40"/>
      <c r="I358" s="17"/>
      <c r="J358" s="17"/>
      <c r="K358" s="17"/>
      <c r="L358" s="17"/>
      <c r="M358" s="17"/>
      <c r="N358" s="17"/>
      <c r="O358" s="17"/>
      <c r="P358" s="38"/>
      <c r="Q358" s="17"/>
      <c r="R358" s="42" t="str">
        <f aca="false">IF(OR(D358="",P358="",OR(O358="Contract signed + paid",O358="Closed – No response",O358="Lost"),N(Q358)&gt;=Settings!$S$3),"",P358+Settings!$S$2)</f>
        <v/>
      </c>
      <c r="S358" s="38"/>
      <c r="T358" s="39"/>
      <c r="U358" s="17"/>
      <c r="V358" s="17"/>
      <c r="W358" s="17"/>
      <c r="X358" s="43" t="str">
        <f aca="true">IF(OR(D358="",B358=""),"",INT(TODAY()-B358))</f>
        <v/>
      </c>
      <c r="Y358" s="44" t="str">
        <f aca="true">IF(D358="","",IF(OR(COUNTIFS(Clients!$C$2:$C$501,D358,Clients!$S$2:$S$501,"Paid")&gt;0,AND(H358&lt;&gt;"",COUNTIFS(Clients!$E$2:$E$501,H358,Clients!$S$2:$S$501,"Paid")&gt;0)),"⚠ Refunded before – no free video",IF(OR(O358="Contract signed + paid",O358="Closed – No response",O358="Lost"),"",IF(O358="","Set a stage",IF(N(Q358)&gt;=Settings!$S$3,"Close – 4 follow-ups sent",IF(R358="",IF(P358="","Make first contact",""),IF(TODAY()&gt;R358,"OVERDUE follow-up",IF(TODAY()=R358,"Follow up today",""))))))))</f>
        <v/>
      </c>
    </row>
    <row r="359" customFormat="false" ht="15" hidden="false" customHeight="false" outlineLevel="0" collapsed="false">
      <c r="A359" s="17"/>
      <c r="B359" s="38"/>
      <c r="C359" s="17"/>
      <c r="D359" s="17"/>
      <c r="E359" s="17"/>
      <c r="F359" s="17"/>
      <c r="G359" s="17"/>
      <c r="H359" s="40"/>
      <c r="I359" s="17"/>
      <c r="J359" s="17"/>
      <c r="K359" s="17"/>
      <c r="L359" s="17"/>
      <c r="M359" s="17"/>
      <c r="N359" s="17"/>
      <c r="O359" s="17"/>
      <c r="P359" s="38"/>
      <c r="Q359" s="17"/>
      <c r="R359" s="42" t="str">
        <f aca="false">IF(OR(D359="",P359="",OR(O359="Contract signed + paid",O359="Closed – No response",O359="Lost"),N(Q359)&gt;=Settings!$S$3),"",P359+Settings!$S$2)</f>
        <v/>
      </c>
      <c r="S359" s="38"/>
      <c r="T359" s="39"/>
      <c r="U359" s="17"/>
      <c r="V359" s="17"/>
      <c r="W359" s="17"/>
      <c r="X359" s="43" t="str">
        <f aca="true">IF(OR(D359="",B359=""),"",INT(TODAY()-B359))</f>
        <v/>
      </c>
      <c r="Y359" s="44" t="str">
        <f aca="true">IF(D359="","",IF(OR(COUNTIFS(Clients!$C$2:$C$501,D359,Clients!$S$2:$S$501,"Paid")&gt;0,AND(H359&lt;&gt;"",COUNTIFS(Clients!$E$2:$E$501,H359,Clients!$S$2:$S$501,"Paid")&gt;0)),"⚠ Refunded before – no free video",IF(OR(O359="Contract signed + paid",O359="Closed – No response",O359="Lost"),"",IF(O359="","Set a stage",IF(N(Q359)&gt;=Settings!$S$3,"Close – 4 follow-ups sent",IF(R359="",IF(P359="","Make first contact",""),IF(TODAY()&gt;R359,"OVERDUE follow-up",IF(TODAY()=R359,"Follow up today",""))))))))</f>
        <v/>
      </c>
    </row>
    <row r="360" customFormat="false" ht="15" hidden="false" customHeight="false" outlineLevel="0" collapsed="false">
      <c r="A360" s="17"/>
      <c r="B360" s="38"/>
      <c r="C360" s="17"/>
      <c r="D360" s="17"/>
      <c r="E360" s="17"/>
      <c r="F360" s="17"/>
      <c r="G360" s="17"/>
      <c r="H360" s="40"/>
      <c r="I360" s="17"/>
      <c r="J360" s="17"/>
      <c r="K360" s="17"/>
      <c r="L360" s="17"/>
      <c r="M360" s="17"/>
      <c r="N360" s="17"/>
      <c r="O360" s="17"/>
      <c r="P360" s="38"/>
      <c r="Q360" s="17"/>
      <c r="R360" s="42" t="str">
        <f aca="false">IF(OR(D360="",P360="",OR(O360="Contract signed + paid",O360="Closed – No response",O360="Lost"),N(Q360)&gt;=Settings!$S$3),"",P360+Settings!$S$2)</f>
        <v/>
      </c>
      <c r="S360" s="38"/>
      <c r="T360" s="39"/>
      <c r="U360" s="17"/>
      <c r="V360" s="17"/>
      <c r="W360" s="17"/>
      <c r="X360" s="43" t="str">
        <f aca="true">IF(OR(D360="",B360=""),"",INT(TODAY()-B360))</f>
        <v/>
      </c>
      <c r="Y360" s="44" t="str">
        <f aca="true">IF(D360="","",IF(OR(COUNTIFS(Clients!$C$2:$C$501,D360,Clients!$S$2:$S$501,"Paid")&gt;0,AND(H360&lt;&gt;"",COUNTIFS(Clients!$E$2:$E$501,H360,Clients!$S$2:$S$501,"Paid")&gt;0)),"⚠ Refunded before – no free video",IF(OR(O360="Contract signed + paid",O360="Closed – No response",O360="Lost"),"",IF(O360="","Set a stage",IF(N(Q360)&gt;=Settings!$S$3,"Close – 4 follow-ups sent",IF(R360="",IF(P360="","Make first contact",""),IF(TODAY()&gt;R360,"OVERDUE follow-up",IF(TODAY()=R360,"Follow up today",""))))))))</f>
        <v/>
      </c>
    </row>
    <row r="361" customFormat="false" ht="15" hidden="false" customHeight="false" outlineLevel="0" collapsed="false">
      <c r="A361" s="17"/>
      <c r="B361" s="38"/>
      <c r="C361" s="17"/>
      <c r="D361" s="17"/>
      <c r="E361" s="17"/>
      <c r="F361" s="17"/>
      <c r="G361" s="17"/>
      <c r="H361" s="40"/>
      <c r="I361" s="17"/>
      <c r="J361" s="17"/>
      <c r="K361" s="17"/>
      <c r="L361" s="17"/>
      <c r="M361" s="17"/>
      <c r="N361" s="17"/>
      <c r="O361" s="17"/>
      <c r="P361" s="38"/>
      <c r="Q361" s="17"/>
      <c r="R361" s="42" t="str">
        <f aca="false">IF(OR(D361="",P361="",OR(O361="Contract signed + paid",O361="Closed – No response",O361="Lost"),N(Q361)&gt;=Settings!$S$3),"",P361+Settings!$S$2)</f>
        <v/>
      </c>
      <c r="S361" s="38"/>
      <c r="T361" s="39"/>
      <c r="U361" s="17"/>
      <c r="V361" s="17"/>
      <c r="W361" s="17"/>
      <c r="X361" s="43" t="str">
        <f aca="true">IF(OR(D361="",B361=""),"",INT(TODAY()-B361))</f>
        <v/>
      </c>
      <c r="Y361" s="44" t="str">
        <f aca="true">IF(D361="","",IF(OR(COUNTIFS(Clients!$C$2:$C$501,D361,Clients!$S$2:$S$501,"Paid")&gt;0,AND(H361&lt;&gt;"",COUNTIFS(Clients!$E$2:$E$501,H361,Clients!$S$2:$S$501,"Paid")&gt;0)),"⚠ Refunded before – no free video",IF(OR(O361="Contract signed + paid",O361="Closed – No response",O361="Lost"),"",IF(O361="","Set a stage",IF(N(Q361)&gt;=Settings!$S$3,"Close – 4 follow-ups sent",IF(R361="",IF(P361="","Make first contact",""),IF(TODAY()&gt;R361,"OVERDUE follow-up",IF(TODAY()=R361,"Follow up today",""))))))))</f>
        <v/>
      </c>
    </row>
    <row r="362" customFormat="false" ht="15" hidden="false" customHeight="false" outlineLevel="0" collapsed="false">
      <c r="A362" s="17"/>
      <c r="B362" s="38"/>
      <c r="C362" s="17"/>
      <c r="D362" s="17"/>
      <c r="E362" s="17"/>
      <c r="F362" s="17"/>
      <c r="G362" s="17"/>
      <c r="H362" s="40"/>
      <c r="I362" s="17"/>
      <c r="J362" s="17"/>
      <c r="K362" s="17"/>
      <c r="L362" s="17"/>
      <c r="M362" s="17"/>
      <c r="N362" s="17"/>
      <c r="O362" s="17"/>
      <c r="P362" s="38"/>
      <c r="Q362" s="17"/>
      <c r="R362" s="42" t="str">
        <f aca="false">IF(OR(D362="",P362="",OR(O362="Contract signed + paid",O362="Closed – No response",O362="Lost"),N(Q362)&gt;=Settings!$S$3),"",P362+Settings!$S$2)</f>
        <v/>
      </c>
      <c r="S362" s="38"/>
      <c r="T362" s="39"/>
      <c r="U362" s="17"/>
      <c r="V362" s="17"/>
      <c r="W362" s="17"/>
      <c r="X362" s="43" t="str">
        <f aca="true">IF(OR(D362="",B362=""),"",INT(TODAY()-B362))</f>
        <v/>
      </c>
      <c r="Y362" s="44" t="str">
        <f aca="true">IF(D362="","",IF(OR(COUNTIFS(Clients!$C$2:$C$501,D362,Clients!$S$2:$S$501,"Paid")&gt;0,AND(H362&lt;&gt;"",COUNTIFS(Clients!$E$2:$E$501,H362,Clients!$S$2:$S$501,"Paid")&gt;0)),"⚠ Refunded before – no free video",IF(OR(O362="Contract signed + paid",O362="Closed – No response",O362="Lost"),"",IF(O362="","Set a stage",IF(N(Q362)&gt;=Settings!$S$3,"Close – 4 follow-ups sent",IF(R362="",IF(P362="","Make first contact",""),IF(TODAY()&gt;R362,"OVERDUE follow-up",IF(TODAY()=R362,"Follow up today",""))))))))</f>
        <v/>
      </c>
    </row>
    <row r="363" customFormat="false" ht="15" hidden="false" customHeight="false" outlineLevel="0" collapsed="false">
      <c r="A363" s="17"/>
      <c r="B363" s="38"/>
      <c r="C363" s="17"/>
      <c r="D363" s="17"/>
      <c r="E363" s="17"/>
      <c r="F363" s="17"/>
      <c r="G363" s="17"/>
      <c r="H363" s="40"/>
      <c r="I363" s="17"/>
      <c r="J363" s="17"/>
      <c r="K363" s="17"/>
      <c r="L363" s="17"/>
      <c r="M363" s="17"/>
      <c r="N363" s="17"/>
      <c r="O363" s="17"/>
      <c r="P363" s="38"/>
      <c r="Q363" s="17"/>
      <c r="R363" s="42" t="str">
        <f aca="false">IF(OR(D363="",P363="",OR(O363="Contract signed + paid",O363="Closed – No response",O363="Lost"),N(Q363)&gt;=Settings!$S$3),"",P363+Settings!$S$2)</f>
        <v/>
      </c>
      <c r="S363" s="38"/>
      <c r="T363" s="39"/>
      <c r="U363" s="17"/>
      <c r="V363" s="17"/>
      <c r="W363" s="17"/>
      <c r="X363" s="43" t="str">
        <f aca="true">IF(OR(D363="",B363=""),"",INT(TODAY()-B363))</f>
        <v/>
      </c>
      <c r="Y363" s="44" t="str">
        <f aca="true">IF(D363="","",IF(OR(COUNTIFS(Clients!$C$2:$C$501,D363,Clients!$S$2:$S$501,"Paid")&gt;0,AND(H363&lt;&gt;"",COUNTIFS(Clients!$E$2:$E$501,H363,Clients!$S$2:$S$501,"Paid")&gt;0)),"⚠ Refunded before – no free video",IF(OR(O363="Contract signed + paid",O363="Closed – No response",O363="Lost"),"",IF(O363="","Set a stage",IF(N(Q363)&gt;=Settings!$S$3,"Close – 4 follow-ups sent",IF(R363="",IF(P363="","Make first contact",""),IF(TODAY()&gt;R363,"OVERDUE follow-up",IF(TODAY()=R363,"Follow up today",""))))))))</f>
        <v/>
      </c>
    </row>
    <row r="364" customFormat="false" ht="15" hidden="false" customHeight="false" outlineLevel="0" collapsed="false">
      <c r="A364" s="17"/>
      <c r="B364" s="38"/>
      <c r="C364" s="17"/>
      <c r="D364" s="17"/>
      <c r="E364" s="17"/>
      <c r="F364" s="17"/>
      <c r="G364" s="17"/>
      <c r="H364" s="40"/>
      <c r="I364" s="17"/>
      <c r="J364" s="17"/>
      <c r="K364" s="17"/>
      <c r="L364" s="17"/>
      <c r="M364" s="17"/>
      <c r="N364" s="17"/>
      <c r="O364" s="17"/>
      <c r="P364" s="38"/>
      <c r="Q364" s="17"/>
      <c r="R364" s="42" t="str">
        <f aca="false">IF(OR(D364="",P364="",OR(O364="Contract signed + paid",O364="Closed – No response",O364="Lost"),N(Q364)&gt;=Settings!$S$3),"",P364+Settings!$S$2)</f>
        <v/>
      </c>
      <c r="S364" s="38"/>
      <c r="T364" s="39"/>
      <c r="U364" s="17"/>
      <c r="V364" s="17"/>
      <c r="W364" s="17"/>
      <c r="X364" s="43" t="str">
        <f aca="true">IF(OR(D364="",B364=""),"",INT(TODAY()-B364))</f>
        <v/>
      </c>
      <c r="Y364" s="44" t="str">
        <f aca="true">IF(D364="","",IF(OR(COUNTIFS(Clients!$C$2:$C$501,D364,Clients!$S$2:$S$501,"Paid")&gt;0,AND(H364&lt;&gt;"",COUNTIFS(Clients!$E$2:$E$501,H364,Clients!$S$2:$S$501,"Paid")&gt;0)),"⚠ Refunded before – no free video",IF(OR(O364="Contract signed + paid",O364="Closed – No response",O364="Lost"),"",IF(O364="","Set a stage",IF(N(Q364)&gt;=Settings!$S$3,"Close – 4 follow-ups sent",IF(R364="",IF(P364="","Make first contact",""),IF(TODAY()&gt;R364,"OVERDUE follow-up",IF(TODAY()=R364,"Follow up today",""))))))))</f>
        <v/>
      </c>
    </row>
    <row r="365" customFormat="false" ht="15" hidden="false" customHeight="false" outlineLevel="0" collapsed="false">
      <c r="A365" s="17"/>
      <c r="B365" s="38"/>
      <c r="C365" s="17"/>
      <c r="D365" s="17"/>
      <c r="E365" s="17"/>
      <c r="F365" s="17"/>
      <c r="G365" s="17"/>
      <c r="H365" s="40"/>
      <c r="I365" s="17"/>
      <c r="J365" s="17"/>
      <c r="K365" s="17"/>
      <c r="L365" s="17"/>
      <c r="M365" s="17"/>
      <c r="N365" s="17"/>
      <c r="O365" s="17"/>
      <c r="P365" s="38"/>
      <c r="Q365" s="17"/>
      <c r="R365" s="42" t="str">
        <f aca="false">IF(OR(D365="",P365="",OR(O365="Contract signed + paid",O365="Closed – No response",O365="Lost"),N(Q365)&gt;=Settings!$S$3),"",P365+Settings!$S$2)</f>
        <v/>
      </c>
      <c r="S365" s="38"/>
      <c r="T365" s="39"/>
      <c r="U365" s="17"/>
      <c r="V365" s="17"/>
      <c r="W365" s="17"/>
      <c r="X365" s="43" t="str">
        <f aca="true">IF(OR(D365="",B365=""),"",INT(TODAY()-B365))</f>
        <v/>
      </c>
      <c r="Y365" s="44" t="str">
        <f aca="true">IF(D365="","",IF(OR(COUNTIFS(Clients!$C$2:$C$501,D365,Clients!$S$2:$S$501,"Paid")&gt;0,AND(H365&lt;&gt;"",COUNTIFS(Clients!$E$2:$E$501,H365,Clients!$S$2:$S$501,"Paid")&gt;0)),"⚠ Refunded before – no free video",IF(OR(O365="Contract signed + paid",O365="Closed – No response",O365="Lost"),"",IF(O365="","Set a stage",IF(N(Q365)&gt;=Settings!$S$3,"Close – 4 follow-ups sent",IF(R365="",IF(P365="","Make first contact",""),IF(TODAY()&gt;R365,"OVERDUE follow-up",IF(TODAY()=R365,"Follow up today",""))))))))</f>
        <v/>
      </c>
    </row>
    <row r="366" customFormat="false" ht="15" hidden="false" customHeight="false" outlineLevel="0" collapsed="false">
      <c r="A366" s="17"/>
      <c r="B366" s="38"/>
      <c r="C366" s="17"/>
      <c r="D366" s="17"/>
      <c r="E366" s="17"/>
      <c r="F366" s="17"/>
      <c r="G366" s="17"/>
      <c r="H366" s="40"/>
      <c r="I366" s="17"/>
      <c r="J366" s="17"/>
      <c r="K366" s="17"/>
      <c r="L366" s="17"/>
      <c r="M366" s="17"/>
      <c r="N366" s="17"/>
      <c r="O366" s="17"/>
      <c r="P366" s="38"/>
      <c r="Q366" s="17"/>
      <c r="R366" s="42" t="str">
        <f aca="false">IF(OR(D366="",P366="",OR(O366="Contract signed + paid",O366="Closed – No response",O366="Lost"),N(Q366)&gt;=Settings!$S$3),"",P366+Settings!$S$2)</f>
        <v/>
      </c>
      <c r="S366" s="38"/>
      <c r="T366" s="39"/>
      <c r="U366" s="17"/>
      <c r="V366" s="17"/>
      <c r="W366" s="17"/>
      <c r="X366" s="43" t="str">
        <f aca="true">IF(OR(D366="",B366=""),"",INT(TODAY()-B366))</f>
        <v/>
      </c>
      <c r="Y366" s="44" t="str">
        <f aca="true">IF(D366="","",IF(OR(COUNTIFS(Clients!$C$2:$C$501,D366,Clients!$S$2:$S$501,"Paid")&gt;0,AND(H366&lt;&gt;"",COUNTIFS(Clients!$E$2:$E$501,H366,Clients!$S$2:$S$501,"Paid")&gt;0)),"⚠ Refunded before – no free video",IF(OR(O366="Contract signed + paid",O366="Closed – No response",O366="Lost"),"",IF(O366="","Set a stage",IF(N(Q366)&gt;=Settings!$S$3,"Close – 4 follow-ups sent",IF(R366="",IF(P366="","Make first contact",""),IF(TODAY()&gt;R366,"OVERDUE follow-up",IF(TODAY()=R366,"Follow up today",""))))))))</f>
        <v/>
      </c>
    </row>
    <row r="367" customFormat="false" ht="15" hidden="false" customHeight="false" outlineLevel="0" collapsed="false">
      <c r="A367" s="17"/>
      <c r="B367" s="38"/>
      <c r="C367" s="17"/>
      <c r="D367" s="17"/>
      <c r="E367" s="17"/>
      <c r="F367" s="17"/>
      <c r="G367" s="17"/>
      <c r="H367" s="40"/>
      <c r="I367" s="17"/>
      <c r="J367" s="17"/>
      <c r="K367" s="17"/>
      <c r="L367" s="17"/>
      <c r="M367" s="17"/>
      <c r="N367" s="17"/>
      <c r="O367" s="17"/>
      <c r="P367" s="38"/>
      <c r="Q367" s="17"/>
      <c r="R367" s="42" t="str">
        <f aca="false">IF(OR(D367="",P367="",OR(O367="Contract signed + paid",O367="Closed – No response",O367="Lost"),N(Q367)&gt;=Settings!$S$3),"",P367+Settings!$S$2)</f>
        <v/>
      </c>
      <c r="S367" s="38"/>
      <c r="T367" s="39"/>
      <c r="U367" s="17"/>
      <c r="V367" s="17"/>
      <c r="W367" s="17"/>
      <c r="X367" s="43" t="str">
        <f aca="true">IF(OR(D367="",B367=""),"",INT(TODAY()-B367))</f>
        <v/>
      </c>
      <c r="Y367" s="44" t="str">
        <f aca="true">IF(D367="","",IF(OR(COUNTIFS(Clients!$C$2:$C$501,D367,Clients!$S$2:$S$501,"Paid")&gt;0,AND(H367&lt;&gt;"",COUNTIFS(Clients!$E$2:$E$501,H367,Clients!$S$2:$S$501,"Paid")&gt;0)),"⚠ Refunded before – no free video",IF(OR(O367="Contract signed + paid",O367="Closed – No response",O367="Lost"),"",IF(O367="","Set a stage",IF(N(Q367)&gt;=Settings!$S$3,"Close – 4 follow-ups sent",IF(R367="",IF(P367="","Make first contact",""),IF(TODAY()&gt;R367,"OVERDUE follow-up",IF(TODAY()=R367,"Follow up today",""))))))))</f>
        <v/>
      </c>
    </row>
    <row r="368" customFormat="false" ht="15" hidden="false" customHeight="false" outlineLevel="0" collapsed="false">
      <c r="A368" s="17"/>
      <c r="B368" s="38"/>
      <c r="C368" s="17"/>
      <c r="D368" s="17"/>
      <c r="E368" s="17"/>
      <c r="F368" s="17"/>
      <c r="G368" s="17"/>
      <c r="H368" s="40"/>
      <c r="I368" s="17"/>
      <c r="J368" s="17"/>
      <c r="K368" s="17"/>
      <c r="L368" s="17"/>
      <c r="M368" s="17"/>
      <c r="N368" s="17"/>
      <c r="O368" s="17"/>
      <c r="P368" s="38"/>
      <c r="Q368" s="17"/>
      <c r="R368" s="42" t="str">
        <f aca="false">IF(OR(D368="",P368="",OR(O368="Contract signed + paid",O368="Closed – No response",O368="Lost"),N(Q368)&gt;=Settings!$S$3),"",P368+Settings!$S$2)</f>
        <v/>
      </c>
      <c r="S368" s="38"/>
      <c r="T368" s="39"/>
      <c r="U368" s="17"/>
      <c r="V368" s="17"/>
      <c r="W368" s="17"/>
      <c r="X368" s="43" t="str">
        <f aca="true">IF(OR(D368="",B368=""),"",INT(TODAY()-B368))</f>
        <v/>
      </c>
      <c r="Y368" s="44" t="str">
        <f aca="true">IF(D368="","",IF(OR(COUNTIFS(Clients!$C$2:$C$501,D368,Clients!$S$2:$S$501,"Paid")&gt;0,AND(H368&lt;&gt;"",COUNTIFS(Clients!$E$2:$E$501,H368,Clients!$S$2:$S$501,"Paid")&gt;0)),"⚠ Refunded before – no free video",IF(OR(O368="Contract signed + paid",O368="Closed – No response",O368="Lost"),"",IF(O368="","Set a stage",IF(N(Q368)&gt;=Settings!$S$3,"Close – 4 follow-ups sent",IF(R368="",IF(P368="","Make first contact",""),IF(TODAY()&gt;R368,"OVERDUE follow-up",IF(TODAY()=R368,"Follow up today",""))))))))</f>
        <v/>
      </c>
    </row>
    <row r="369" customFormat="false" ht="15" hidden="false" customHeight="false" outlineLevel="0" collapsed="false">
      <c r="A369" s="17"/>
      <c r="B369" s="38"/>
      <c r="C369" s="17"/>
      <c r="D369" s="17"/>
      <c r="E369" s="17"/>
      <c r="F369" s="17"/>
      <c r="G369" s="17"/>
      <c r="H369" s="40"/>
      <c r="I369" s="17"/>
      <c r="J369" s="17"/>
      <c r="K369" s="17"/>
      <c r="L369" s="17"/>
      <c r="M369" s="17"/>
      <c r="N369" s="17"/>
      <c r="O369" s="17"/>
      <c r="P369" s="38"/>
      <c r="Q369" s="17"/>
      <c r="R369" s="42" t="str">
        <f aca="false">IF(OR(D369="",P369="",OR(O369="Contract signed + paid",O369="Closed – No response",O369="Lost"),N(Q369)&gt;=Settings!$S$3),"",P369+Settings!$S$2)</f>
        <v/>
      </c>
      <c r="S369" s="38"/>
      <c r="T369" s="39"/>
      <c r="U369" s="17"/>
      <c r="V369" s="17"/>
      <c r="W369" s="17"/>
      <c r="X369" s="43" t="str">
        <f aca="true">IF(OR(D369="",B369=""),"",INT(TODAY()-B369))</f>
        <v/>
      </c>
      <c r="Y369" s="44" t="str">
        <f aca="true">IF(D369="","",IF(OR(COUNTIFS(Clients!$C$2:$C$501,D369,Clients!$S$2:$S$501,"Paid")&gt;0,AND(H369&lt;&gt;"",COUNTIFS(Clients!$E$2:$E$501,H369,Clients!$S$2:$S$501,"Paid")&gt;0)),"⚠ Refunded before – no free video",IF(OR(O369="Contract signed + paid",O369="Closed – No response",O369="Lost"),"",IF(O369="","Set a stage",IF(N(Q369)&gt;=Settings!$S$3,"Close – 4 follow-ups sent",IF(R369="",IF(P369="","Make first contact",""),IF(TODAY()&gt;R369,"OVERDUE follow-up",IF(TODAY()=R369,"Follow up today",""))))))))</f>
        <v/>
      </c>
    </row>
    <row r="370" customFormat="false" ht="15" hidden="false" customHeight="false" outlineLevel="0" collapsed="false">
      <c r="A370" s="17"/>
      <c r="B370" s="38"/>
      <c r="C370" s="17"/>
      <c r="D370" s="17"/>
      <c r="E370" s="17"/>
      <c r="F370" s="17"/>
      <c r="G370" s="17"/>
      <c r="H370" s="40"/>
      <c r="I370" s="17"/>
      <c r="J370" s="17"/>
      <c r="K370" s="17"/>
      <c r="L370" s="17"/>
      <c r="M370" s="17"/>
      <c r="N370" s="17"/>
      <c r="O370" s="17"/>
      <c r="P370" s="38"/>
      <c r="Q370" s="17"/>
      <c r="R370" s="42" t="str">
        <f aca="false">IF(OR(D370="",P370="",OR(O370="Contract signed + paid",O370="Closed – No response",O370="Lost"),N(Q370)&gt;=Settings!$S$3),"",P370+Settings!$S$2)</f>
        <v/>
      </c>
      <c r="S370" s="38"/>
      <c r="T370" s="39"/>
      <c r="U370" s="17"/>
      <c r="V370" s="17"/>
      <c r="W370" s="17"/>
      <c r="X370" s="43" t="str">
        <f aca="true">IF(OR(D370="",B370=""),"",INT(TODAY()-B370))</f>
        <v/>
      </c>
      <c r="Y370" s="44" t="str">
        <f aca="true">IF(D370="","",IF(OR(COUNTIFS(Clients!$C$2:$C$501,D370,Clients!$S$2:$S$501,"Paid")&gt;0,AND(H370&lt;&gt;"",COUNTIFS(Clients!$E$2:$E$501,H370,Clients!$S$2:$S$501,"Paid")&gt;0)),"⚠ Refunded before – no free video",IF(OR(O370="Contract signed + paid",O370="Closed – No response",O370="Lost"),"",IF(O370="","Set a stage",IF(N(Q370)&gt;=Settings!$S$3,"Close – 4 follow-ups sent",IF(R370="",IF(P370="","Make first contact",""),IF(TODAY()&gt;R370,"OVERDUE follow-up",IF(TODAY()=R370,"Follow up today",""))))))))</f>
        <v/>
      </c>
    </row>
    <row r="371" customFormat="false" ht="15" hidden="false" customHeight="false" outlineLevel="0" collapsed="false">
      <c r="A371" s="17"/>
      <c r="B371" s="38"/>
      <c r="C371" s="17"/>
      <c r="D371" s="17"/>
      <c r="E371" s="17"/>
      <c r="F371" s="17"/>
      <c r="G371" s="17"/>
      <c r="H371" s="40"/>
      <c r="I371" s="17"/>
      <c r="J371" s="17"/>
      <c r="K371" s="17"/>
      <c r="L371" s="17"/>
      <c r="M371" s="17"/>
      <c r="N371" s="17"/>
      <c r="O371" s="17"/>
      <c r="P371" s="38"/>
      <c r="Q371" s="17"/>
      <c r="R371" s="42" t="str">
        <f aca="false">IF(OR(D371="",P371="",OR(O371="Contract signed + paid",O371="Closed – No response",O371="Lost"),N(Q371)&gt;=Settings!$S$3),"",P371+Settings!$S$2)</f>
        <v/>
      </c>
      <c r="S371" s="38"/>
      <c r="T371" s="39"/>
      <c r="U371" s="17"/>
      <c r="V371" s="17"/>
      <c r="W371" s="17"/>
      <c r="X371" s="43" t="str">
        <f aca="true">IF(OR(D371="",B371=""),"",INT(TODAY()-B371))</f>
        <v/>
      </c>
      <c r="Y371" s="44" t="str">
        <f aca="true">IF(D371="","",IF(OR(COUNTIFS(Clients!$C$2:$C$501,D371,Clients!$S$2:$S$501,"Paid")&gt;0,AND(H371&lt;&gt;"",COUNTIFS(Clients!$E$2:$E$501,H371,Clients!$S$2:$S$501,"Paid")&gt;0)),"⚠ Refunded before – no free video",IF(OR(O371="Contract signed + paid",O371="Closed – No response",O371="Lost"),"",IF(O371="","Set a stage",IF(N(Q371)&gt;=Settings!$S$3,"Close – 4 follow-ups sent",IF(R371="",IF(P371="","Make first contact",""),IF(TODAY()&gt;R371,"OVERDUE follow-up",IF(TODAY()=R371,"Follow up today",""))))))))</f>
        <v/>
      </c>
    </row>
    <row r="372" customFormat="false" ht="15" hidden="false" customHeight="false" outlineLevel="0" collapsed="false">
      <c r="A372" s="17"/>
      <c r="B372" s="38"/>
      <c r="C372" s="17"/>
      <c r="D372" s="17"/>
      <c r="E372" s="17"/>
      <c r="F372" s="17"/>
      <c r="G372" s="17"/>
      <c r="H372" s="40"/>
      <c r="I372" s="17"/>
      <c r="J372" s="17"/>
      <c r="K372" s="17"/>
      <c r="L372" s="17"/>
      <c r="M372" s="17"/>
      <c r="N372" s="17"/>
      <c r="O372" s="17"/>
      <c r="P372" s="38"/>
      <c r="Q372" s="17"/>
      <c r="R372" s="42" t="str">
        <f aca="false">IF(OR(D372="",P372="",OR(O372="Contract signed + paid",O372="Closed – No response",O372="Lost"),N(Q372)&gt;=Settings!$S$3),"",P372+Settings!$S$2)</f>
        <v/>
      </c>
      <c r="S372" s="38"/>
      <c r="T372" s="39"/>
      <c r="U372" s="17"/>
      <c r="V372" s="17"/>
      <c r="W372" s="17"/>
      <c r="X372" s="43" t="str">
        <f aca="true">IF(OR(D372="",B372=""),"",INT(TODAY()-B372))</f>
        <v/>
      </c>
      <c r="Y372" s="44" t="str">
        <f aca="true">IF(D372="","",IF(OR(COUNTIFS(Clients!$C$2:$C$501,D372,Clients!$S$2:$S$501,"Paid")&gt;0,AND(H372&lt;&gt;"",COUNTIFS(Clients!$E$2:$E$501,H372,Clients!$S$2:$S$501,"Paid")&gt;0)),"⚠ Refunded before – no free video",IF(OR(O372="Contract signed + paid",O372="Closed – No response",O372="Lost"),"",IF(O372="","Set a stage",IF(N(Q372)&gt;=Settings!$S$3,"Close – 4 follow-ups sent",IF(R372="",IF(P372="","Make first contact",""),IF(TODAY()&gt;R372,"OVERDUE follow-up",IF(TODAY()=R372,"Follow up today",""))))))))</f>
        <v/>
      </c>
    </row>
    <row r="373" customFormat="false" ht="15" hidden="false" customHeight="false" outlineLevel="0" collapsed="false">
      <c r="A373" s="17"/>
      <c r="B373" s="38"/>
      <c r="C373" s="17"/>
      <c r="D373" s="17"/>
      <c r="E373" s="17"/>
      <c r="F373" s="17"/>
      <c r="G373" s="17"/>
      <c r="H373" s="40"/>
      <c r="I373" s="17"/>
      <c r="J373" s="17"/>
      <c r="K373" s="17"/>
      <c r="L373" s="17"/>
      <c r="M373" s="17"/>
      <c r="N373" s="17"/>
      <c r="O373" s="17"/>
      <c r="P373" s="38"/>
      <c r="Q373" s="17"/>
      <c r="R373" s="42" t="str">
        <f aca="false">IF(OR(D373="",P373="",OR(O373="Contract signed + paid",O373="Closed – No response",O373="Lost"),N(Q373)&gt;=Settings!$S$3),"",P373+Settings!$S$2)</f>
        <v/>
      </c>
      <c r="S373" s="38"/>
      <c r="T373" s="39"/>
      <c r="U373" s="17"/>
      <c r="V373" s="17"/>
      <c r="W373" s="17"/>
      <c r="X373" s="43" t="str">
        <f aca="true">IF(OR(D373="",B373=""),"",INT(TODAY()-B373))</f>
        <v/>
      </c>
      <c r="Y373" s="44" t="str">
        <f aca="true">IF(D373="","",IF(OR(COUNTIFS(Clients!$C$2:$C$501,D373,Clients!$S$2:$S$501,"Paid")&gt;0,AND(H373&lt;&gt;"",COUNTIFS(Clients!$E$2:$E$501,H373,Clients!$S$2:$S$501,"Paid")&gt;0)),"⚠ Refunded before – no free video",IF(OR(O373="Contract signed + paid",O373="Closed – No response",O373="Lost"),"",IF(O373="","Set a stage",IF(N(Q373)&gt;=Settings!$S$3,"Close – 4 follow-ups sent",IF(R373="",IF(P373="","Make first contact",""),IF(TODAY()&gt;R373,"OVERDUE follow-up",IF(TODAY()=R373,"Follow up today",""))))))))</f>
        <v/>
      </c>
    </row>
    <row r="374" customFormat="false" ht="15" hidden="false" customHeight="false" outlineLevel="0" collapsed="false">
      <c r="A374" s="17"/>
      <c r="B374" s="38"/>
      <c r="C374" s="17"/>
      <c r="D374" s="17"/>
      <c r="E374" s="17"/>
      <c r="F374" s="17"/>
      <c r="G374" s="17"/>
      <c r="H374" s="40"/>
      <c r="I374" s="17"/>
      <c r="J374" s="17"/>
      <c r="K374" s="17"/>
      <c r="L374" s="17"/>
      <c r="M374" s="17"/>
      <c r="N374" s="17"/>
      <c r="O374" s="17"/>
      <c r="P374" s="38"/>
      <c r="Q374" s="17"/>
      <c r="R374" s="42" t="str">
        <f aca="false">IF(OR(D374="",P374="",OR(O374="Contract signed + paid",O374="Closed – No response",O374="Lost"),N(Q374)&gt;=Settings!$S$3),"",P374+Settings!$S$2)</f>
        <v/>
      </c>
      <c r="S374" s="38"/>
      <c r="T374" s="39"/>
      <c r="U374" s="17"/>
      <c r="V374" s="17"/>
      <c r="W374" s="17"/>
      <c r="X374" s="43" t="str">
        <f aca="true">IF(OR(D374="",B374=""),"",INT(TODAY()-B374))</f>
        <v/>
      </c>
      <c r="Y374" s="44" t="str">
        <f aca="true">IF(D374="","",IF(OR(COUNTIFS(Clients!$C$2:$C$501,D374,Clients!$S$2:$S$501,"Paid")&gt;0,AND(H374&lt;&gt;"",COUNTIFS(Clients!$E$2:$E$501,H374,Clients!$S$2:$S$501,"Paid")&gt;0)),"⚠ Refunded before – no free video",IF(OR(O374="Contract signed + paid",O374="Closed – No response",O374="Lost"),"",IF(O374="","Set a stage",IF(N(Q374)&gt;=Settings!$S$3,"Close – 4 follow-ups sent",IF(R374="",IF(P374="","Make first contact",""),IF(TODAY()&gt;R374,"OVERDUE follow-up",IF(TODAY()=R374,"Follow up today",""))))))))</f>
        <v/>
      </c>
    </row>
    <row r="375" customFormat="false" ht="15" hidden="false" customHeight="false" outlineLevel="0" collapsed="false">
      <c r="A375" s="17"/>
      <c r="B375" s="38"/>
      <c r="C375" s="17"/>
      <c r="D375" s="17"/>
      <c r="E375" s="17"/>
      <c r="F375" s="17"/>
      <c r="G375" s="17"/>
      <c r="H375" s="40"/>
      <c r="I375" s="17"/>
      <c r="J375" s="17"/>
      <c r="K375" s="17"/>
      <c r="L375" s="17"/>
      <c r="M375" s="17"/>
      <c r="N375" s="17"/>
      <c r="O375" s="17"/>
      <c r="P375" s="38"/>
      <c r="Q375" s="17"/>
      <c r="R375" s="42" t="str">
        <f aca="false">IF(OR(D375="",P375="",OR(O375="Contract signed + paid",O375="Closed – No response",O375="Lost"),N(Q375)&gt;=Settings!$S$3),"",P375+Settings!$S$2)</f>
        <v/>
      </c>
      <c r="S375" s="38"/>
      <c r="T375" s="39"/>
      <c r="U375" s="17"/>
      <c r="V375" s="17"/>
      <c r="W375" s="17"/>
      <c r="X375" s="43" t="str">
        <f aca="true">IF(OR(D375="",B375=""),"",INT(TODAY()-B375))</f>
        <v/>
      </c>
      <c r="Y375" s="44" t="str">
        <f aca="true">IF(D375="","",IF(OR(COUNTIFS(Clients!$C$2:$C$501,D375,Clients!$S$2:$S$501,"Paid")&gt;0,AND(H375&lt;&gt;"",COUNTIFS(Clients!$E$2:$E$501,H375,Clients!$S$2:$S$501,"Paid")&gt;0)),"⚠ Refunded before – no free video",IF(OR(O375="Contract signed + paid",O375="Closed – No response",O375="Lost"),"",IF(O375="","Set a stage",IF(N(Q375)&gt;=Settings!$S$3,"Close – 4 follow-ups sent",IF(R375="",IF(P375="","Make first contact",""),IF(TODAY()&gt;R375,"OVERDUE follow-up",IF(TODAY()=R375,"Follow up today",""))))))))</f>
        <v/>
      </c>
    </row>
    <row r="376" customFormat="false" ht="15" hidden="false" customHeight="false" outlineLevel="0" collapsed="false">
      <c r="A376" s="17"/>
      <c r="B376" s="38"/>
      <c r="C376" s="17"/>
      <c r="D376" s="17"/>
      <c r="E376" s="17"/>
      <c r="F376" s="17"/>
      <c r="G376" s="17"/>
      <c r="H376" s="40"/>
      <c r="I376" s="17"/>
      <c r="J376" s="17"/>
      <c r="K376" s="17"/>
      <c r="L376" s="17"/>
      <c r="M376" s="17"/>
      <c r="N376" s="17"/>
      <c r="O376" s="17"/>
      <c r="P376" s="38"/>
      <c r="Q376" s="17"/>
      <c r="R376" s="42" t="str">
        <f aca="false">IF(OR(D376="",P376="",OR(O376="Contract signed + paid",O376="Closed – No response",O376="Lost"),N(Q376)&gt;=Settings!$S$3),"",P376+Settings!$S$2)</f>
        <v/>
      </c>
      <c r="S376" s="38"/>
      <c r="T376" s="39"/>
      <c r="U376" s="17"/>
      <c r="V376" s="17"/>
      <c r="W376" s="17"/>
      <c r="X376" s="43" t="str">
        <f aca="true">IF(OR(D376="",B376=""),"",INT(TODAY()-B376))</f>
        <v/>
      </c>
      <c r="Y376" s="44" t="str">
        <f aca="true">IF(D376="","",IF(OR(COUNTIFS(Clients!$C$2:$C$501,D376,Clients!$S$2:$S$501,"Paid")&gt;0,AND(H376&lt;&gt;"",COUNTIFS(Clients!$E$2:$E$501,H376,Clients!$S$2:$S$501,"Paid")&gt;0)),"⚠ Refunded before – no free video",IF(OR(O376="Contract signed + paid",O376="Closed – No response",O376="Lost"),"",IF(O376="","Set a stage",IF(N(Q376)&gt;=Settings!$S$3,"Close – 4 follow-ups sent",IF(R376="",IF(P376="","Make first contact",""),IF(TODAY()&gt;R376,"OVERDUE follow-up",IF(TODAY()=R376,"Follow up today",""))))))))</f>
        <v/>
      </c>
    </row>
    <row r="377" customFormat="false" ht="15" hidden="false" customHeight="false" outlineLevel="0" collapsed="false">
      <c r="A377" s="17"/>
      <c r="B377" s="38"/>
      <c r="C377" s="17"/>
      <c r="D377" s="17"/>
      <c r="E377" s="17"/>
      <c r="F377" s="17"/>
      <c r="G377" s="17"/>
      <c r="H377" s="40"/>
      <c r="I377" s="17"/>
      <c r="J377" s="17"/>
      <c r="K377" s="17"/>
      <c r="L377" s="17"/>
      <c r="M377" s="17"/>
      <c r="N377" s="17"/>
      <c r="O377" s="17"/>
      <c r="P377" s="38"/>
      <c r="Q377" s="17"/>
      <c r="R377" s="42" t="str">
        <f aca="false">IF(OR(D377="",P377="",OR(O377="Contract signed + paid",O377="Closed – No response",O377="Lost"),N(Q377)&gt;=Settings!$S$3),"",P377+Settings!$S$2)</f>
        <v/>
      </c>
      <c r="S377" s="38"/>
      <c r="T377" s="39"/>
      <c r="U377" s="17"/>
      <c r="V377" s="17"/>
      <c r="W377" s="17"/>
      <c r="X377" s="43" t="str">
        <f aca="true">IF(OR(D377="",B377=""),"",INT(TODAY()-B377))</f>
        <v/>
      </c>
      <c r="Y377" s="44" t="str">
        <f aca="true">IF(D377="","",IF(OR(COUNTIFS(Clients!$C$2:$C$501,D377,Clients!$S$2:$S$501,"Paid")&gt;0,AND(H377&lt;&gt;"",COUNTIFS(Clients!$E$2:$E$501,H377,Clients!$S$2:$S$501,"Paid")&gt;0)),"⚠ Refunded before – no free video",IF(OR(O377="Contract signed + paid",O377="Closed – No response",O377="Lost"),"",IF(O377="","Set a stage",IF(N(Q377)&gt;=Settings!$S$3,"Close – 4 follow-ups sent",IF(R377="",IF(P377="","Make first contact",""),IF(TODAY()&gt;R377,"OVERDUE follow-up",IF(TODAY()=R377,"Follow up today",""))))))))</f>
        <v/>
      </c>
    </row>
    <row r="378" customFormat="false" ht="15" hidden="false" customHeight="false" outlineLevel="0" collapsed="false">
      <c r="A378" s="17"/>
      <c r="B378" s="38"/>
      <c r="C378" s="17"/>
      <c r="D378" s="17"/>
      <c r="E378" s="17"/>
      <c r="F378" s="17"/>
      <c r="G378" s="17"/>
      <c r="H378" s="40"/>
      <c r="I378" s="17"/>
      <c r="J378" s="17"/>
      <c r="K378" s="17"/>
      <c r="L378" s="17"/>
      <c r="M378" s="17"/>
      <c r="N378" s="17"/>
      <c r="O378" s="17"/>
      <c r="P378" s="38"/>
      <c r="Q378" s="17"/>
      <c r="R378" s="42" t="str">
        <f aca="false">IF(OR(D378="",P378="",OR(O378="Contract signed + paid",O378="Closed – No response",O378="Lost"),N(Q378)&gt;=Settings!$S$3),"",P378+Settings!$S$2)</f>
        <v/>
      </c>
      <c r="S378" s="38"/>
      <c r="T378" s="39"/>
      <c r="U378" s="17"/>
      <c r="V378" s="17"/>
      <c r="W378" s="17"/>
      <c r="X378" s="43" t="str">
        <f aca="true">IF(OR(D378="",B378=""),"",INT(TODAY()-B378))</f>
        <v/>
      </c>
      <c r="Y378" s="44" t="str">
        <f aca="true">IF(D378="","",IF(OR(COUNTIFS(Clients!$C$2:$C$501,D378,Clients!$S$2:$S$501,"Paid")&gt;0,AND(H378&lt;&gt;"",COUNTIFS(Clients!$E$2:$E$501,H378,Clients!$S$2:$S$501,"Paid")&gt;0)),"⚠ Refunded before – no free video",IF(OR(O378="Contract signed + paid",O378="Closed – No response",O378="Lost"),"",IF(O378="","Set a stage",IF(N(Q378)&gt;=Settings!$S$3,"Close – 4 follow-ups sent",IF(R378="",IF(P378="","Make first contact",""),IF(TODAY()&gt;R378,"OVERDUE follow-up",IF(TODAY()=R378,"Follow up today",""))))))))</f>
        <v/>
      </c>
    </row>
    <row r="379" customFormat="false" ht="15" hidden="false" customHeight="false" outlineLevel="0" collapsed="false">
      <c r="A379" s="17"/>
      <c r="B379" s="38"/>
      <c r="C379" s="17"/>
      <c r="D379" s="17"/>
      <c r="E379" s="17"/>
      <c r="F379" s="17"/>
      <c r="G379" s="17"/>
      <c r="H379" s="40"/>
      <c r="I379" s="17"/>
      <c r="J379" s="17"/>
      <c r="K379" s="17"/>
      <c r="L379" s="17"/>
      <c r="M379" s="17"/>
      <c r="N379" s="17"/>
      <c r="O379" s="17"/>
      <c r="P379" s="38"/>
      <c r="Q379" s="17"/>
      <c r="R379" s="42" t="str">
        <f aca="false">IF(OR(D379="",P379="",OR(O379="Contract signed + paid",O379="Closed – No response",O379="Lost"),N(Q379)&gt;=Settings!$S$3),"",P379+Settings!$S$2)</f>
        <v/>
      </c>
      <c r="S379" s="38"/>
      <c r="T379" s="39"/>
      <c r="U379" s="17"/>
      <c r="V379" s="17"/>
      <c r="W379" s="17"/>
      <c r="X379" s="43" t="str">
        <f aca="true">IF(OR(D379="",B379=""),"",INT(TODAY()-B379))</f>
        <v/>
      </c>
      <c r="Y379" s="44" t="str">
        <f aca="true">IF(D379="","",IF(OR(COUNTIFS(Clients!$C$2:$C$501,D379,Clients!$S$2:$S$501,"Paid")&gt;0,AND(H379&lt;&gt;"",COUNTIFS(Clients!$E$2:$E$501,H379,Clients!$S$2:$S$501,"Paid")&gt;0)),"⚠ Refunded before – no free video",IF(OR(O379="Contract signed + paid",O379="Closed – No response",O379="Lost"),"",IF(O379="","Set a stage",IF(N(Q379)&gt;=Settings!$S$3,"Close – 4 follow-ups sent",IF(R379="",IF(P379="","Make first contact",""),IF(TODAY()&gt;R379,"OVERDUE follow-up",IF(TODAY()=R379,"Follow up today",""))))))))</f>
        <v/>
      </c>
    </row>
    <row r="380" customFormat="false" ht="15" hidden="false" customHeight="false" outlineLevel="0" collapsed="false">
      <c r="A380" s="17"/>
      <c r="B380" s="38"/>
      <c r="C380" s="17"/>
      <c r="D380" s="17"/>
      <c r="E380" s="17"/>
      <c r="F380" s="17"/>
      <c r="G380" s="17"/>
      <c r="H380" s="40"/>
      <c r="I380" s="17"/>
      <c r="J380" s="17"/>
      <c r="K380" s="17"/>
      <c r="L380" s="17"/>
      <c r="M380" s="17"/>
      <c r="N380" s="17"/>
      <c r="O380" s="17"/>
      <c r="P380" s="38"/>
      <c r="Q380" s="17"/>
      <c r="R380" s="42" t="str">
        <f aca="false">IF(OR(D380="",P380="",OR(O380="Contract signed + paid",O380="Closed – No response",O380="Lost"),N(Q380)&gt;=Settings!$S$3),"",P380+Settings!$S$2)</f>
        <v/>
      </c>
      <c r="S380" s="38"/>
      <c r="T380" s="39"/>
      <c r="U380" s="17"/>
      <c r="V380" s="17"/>
      <c r="W380" s="17"/>
      <c r="X380" s="43" t="str">
        <f aca="true">IF(OR(D380="",B380=""),"",INT(TODAY()-B380))</f>
        <v/>
      </c>
      <c r="Y380" s="44" t="str">
        <f aca="true">IF(D380="","",IF(OR(COUNTIFS(Clients!$C$2:$C$501,D380,Clients!$S$2:$S$501,"Paid")&gt;0,AND(H380&lt;&gt;"",COUNTIFS(Clients!$E$2:$E$501,H380,Clients!$S$2:$S$501,"Paid")&gt;0)),"⚠ Refunded before – no free video",IF(OR(O380="Contract signed + paid",O380="Closed – No response",O380="Lost"),"",IF(O380="","Set a stage",IF(N(Q380)&gt;=Settings!$S$3,"Close – 4 follow-ups sent",IF(R380="",IF(P380="","Make first contact",""),IF(TODAY()&gt;R380,"OVERDUE follow-up",IF(TODAY()=R380,"Follow up today",""))))))))</f>
        <v/>
      </c>
    </row>
    <row r="381" customFormat="false" ht="15" hidden="false" customHeight="false" outlineLevel="0" collapsed="false">
      <c r="A381" s="17"/>
      <c r="B381" s="38"/>
      <c r="C381" s="17"/>
      <c r="D381" s="17"/>
      <c r="E381" s="17"/>
      <c r="F381" s="17"/>
      <c r="G381" s="17"/>
      <c r="H381" s="40"/>
      <c r="I381" s="17"/>
      <c r="J381" s="17"/>
      <c r="K381" s="17"/>
      <c r="L381" s="17"/>
      <c r="M381" s="17"/>
      <c r="N381" s="17"/>
      <c r="O381" s="17"/>
      <c r="P381" s="38"/>
      <c r="Q381" s="17"/>
      <c r="R381" s="42" t="str">
        <f aca="false">IF(OR(D381="",P381="",OR(O381="Contract signed + paid",O381="Closed – No response",O381="Lost"),N(Q381)&gt;=Settings!$S$3),"",P381+Settings!$S$2)</f>
        <v/>
      </c>
      <c r="S381" s="38"/>
      <c r="T381" s="39"/>
      <c r="U381" s="17"/>
      <c r="V381" s="17"/>
      <c r="W381" s="17"/>
      <c r="X381" s="43" t="str">
        <f aca="true">IF(OR(D381="",B381=""),"",INT(TODAY()-B381))</f>
        <v/>
      </c>
      <c r="Y381" s="44" t="str">
        <f aca="true">IF(D381="","",IF(OR(COUNTIFS(Clients!$C$2:$C$501,D381,Clients!$S$2:$S$501,"Paid")&gt;0,AND(H381&lt;&gt;"",COUNTIFS(Clients!$E$2:$E$501,H381,Clients!$S$2:$S$501,"Paid")&gt;0)),"⚠ Refunded before – no free video",IF(OR(O381="Contract signed + paid",O381="Closed – No response",O381="Lost"),"",IF(O381="","Set a stage",IF(N(Q381)&gt;=Settings!$S$3,"Close – 4 follow-ups sent",IF(R381="",IF(P381="","Make first contact",""),IF(TODAY()&gt;R381,"OVERDUE follow-up",IF(TODAY()=R381,"Follow up today",""))))))))</f>
        <v/>
      </c>
    </row>
    <row r="382" customFormat="false" ht="15" hidden="false" customHeight="false" outlineLevel="0" collapsed="false">
      <c r="A382" s="17"/>
      <c r="B382" s="38"/>
      <c r="C382" s="17"/>
      <c r="D382" s="17"/>
      <c r="E382" s="17"/>
      <c r="F382" s="17"/>
      <c r="G382" s="17"/>
      <c r="H382" s="40"/>
      <c r="I382" s="17"/>
      <c r="J382" s="17"/>
      <c r="K382" s="17"/>
      <c r="L382" s="17"/>
      <c r="M382" s="17"/>
      <c r="N382" s="17"/>
      <c r="O382" s="17"/>
      <c r="P382" s="38"/>
      <c r="Q382" s="17"/>
      <c r="R382" s="42" t="str">
        <f aca="false">IF(OR(D382="",P382="",OR(O382="Contract signed + paid",O382="Closed – No response",O382="Lost"),N(Q382)&gt;=Settings!$S$3),"",P382+Settings!$S$2)</f>
        <v/>
      </c>
      <c r="S382" s="38"/>
      <c r="T382" s="39"/>
      <c r="U382" s="17"/>
      <c r="V382" s="17"/>
      <c r="W382" s="17"/>
      <c r="X382" s="43" t="str">
        <f aca="true">IF(OR(D382="",B382=""),"",INT(TODAY()-B382))</f>
        <v/>
      </c>
      <c r="Y382" s="44" t="str">
        <f aca="true">IF(D382="","",IF(OR(COUNTIFS(Clients!$C$2:$C$501,D382,Clients!$S$2:$S$501,"Paid")&gt;0,AND(H382&lt;&gt;"",COUNTIFS(Clients!$E$2:$E$501,H382,Clients!$S$2:$S$501,"Paid")&gt;0)),"⚠ Refunded before – no free video",IF(OR(O382="Contract signed + paid",O382="Closed – No response",O382="Lost"),"",IF(O382="","Set a stage",IF(N(Q382)&gt;=Settings!$S$3,"Close – 4 follow-ups sent",IF(R382="",IF(P382="","Make first contact",""),IF(TODAY()&gt;R382,"OVERDUE follow-up",IF(TODAY()=R382,"Follow up today",""))))))))</f>
        <v/>
      </c>
    </row>
    <row r="383" customFormat="false" ht="15" hidden="false" customHeight="false" outlineLevel="0" collapsed="false">
      <c r="A383" s="17"/>
      <c r="B383" s="38"/>
      <c r="C383" s="17"/>
      <c r="D383" s="17"/>
      <c r="E383" s="17"/>
      <c r="F383" s="17"/>
      <c r="G383" s="17"/>
      <c r="H383" s="40"/>
      <c r="I383" s="17"/>
      <c r="J383" s="17"/>
      <c r="K383" s="17"/>
      <c r="L383" s="17"/>
      <c r="M383" s="17"/>
      <c r="N383" s="17"/>
      <c r="O383" s="17"/>
      <c r="P383" s="38"/>
      <c r="Q383" s="17"/>
      <c r="R383" s="42" t="str">
        <f aca="false">IF(OR(D383="",P383="",OR(O383="Contract signed + paid",O383="Closed – No response",O383="Lost"),N(Q383)&gt;=Settings!$S$3),"",P383+Settings!$S$2)</f>
        <v/>
      </c>
      <c r="S383" s="38"/>
      <c r="T383" s="39"/>
      <c r="U383" s="17"/>
      <c r="V383" s="17"/>
      <c r="W383" s="17"/>
      <c r="X383" s="43" t="str">
        <f aca="true">IF(OR(D383="",B383=""),"",INT(TODAY()-B383))</f>
        <v/>
      </c>
      <c r="Y383" s="44" t="str">
        <f aca="true">IF(D383="","",IF(OR(COUNTIFS(Clients!$C$2:$C$501,D383,Clients!$S$2:$S$501,"Paid")&gt;0,AND(H383&lt;&gt;"",COUNTIFS(Clients!$E$2:$E$501,H383,Clients!$S$2:$S$501,"Paid")&gt;0)),"⚠ Refunded before – no free video",IF(OR(O383="Contract signed + paid",O383="Closed – No response",O383="Lost"),"",IF(O383="","Set a stage",IF(N(Q383)&gt;=Settings!$S$3,"Close – 4 follow-ups sent",IF(R383="",IF(P383="","Make first contact",""),IF(TODAY()&gt;R383,"OVERDUE follow-up",IF(TODAY()=R383,"Follow up today",""))))))))</f>
        <v/>
      </c>
    </row>
    <row r="384" customFormat="false" ht="15" hidden="false" customHeight="false" outlineLevel="0" collapsed="false">
      <c r="A384" s="17"/>
      <c r="B384" s="38"/>
      <c r="C384" s="17"/>
      <c r="D384" s="17"/>
      <c r="E384" s="17"/>
      <c r="F384" s="17"/>
      <c r="G384" s="17"/>
      <c r="H384" s="40"/>
      <c r="I384" s="17"/>
      <c r="J384" s="17"/>
      <c r="K384" s="17"/>
      <c r="L384" s="17"/>
      <c r="M384" s="17"/>
      <c r="N384" s="17"/>
      <c r="O384" s="17"/>
      <c r="P384" s="38"/>
      <c r="Q384" s="17"/>
      <c r="R384" s="42" t="str">
        <f aca="false">IF(OR(D384="",P384="",OR(O384="Contract signed + paid",O384="Closed – No response",O384="Lost"),N(Q384)&gt;=Settings!$S$3),"",P384+Settings!$S$2)</f>
        <v/>
      </c>
      <c r="S384" s="38"/>
      <c r="T384" s="39"/>
      <c r="U384" s="17"/>
      <c r="V384" s="17"/>
      <c r="W384" s="17"/>
      <c r="X384" s="43" t="str">
        <f aca="true">IF(OR(D384="",B384=""),"",INT(TODAY()-B384))</f>
        <v/>
      </c>
      <c r="Y384" s="44" t="str">
        <f aca="true">IF(D384="","",IF(OR(COUNTIFS(Clients!$C$2:$C$501,D384,Clients!$S$2:$S$501,"Paid")&gt;0,AND(H384&lt;&gt;"",COUNTIFS(Clients!$E$2:$E$501,H384,Clients!$S$2:$S$501,"Paid")&gt;0)),"⚠ Refunded before – no free video",IF(OR(O384="Contract signed + paid",O384="Closed – No response",O384="Lost"),"",IF(O384="","Set a stage",IF(N(Q384)&gt;=Settings!$S$3,"Close – 4 follow-ups sent",IF(R384="",IF(P384="","Make first contact",""),IF(TODAY()&gt;R384,"OVERDUE follow-up",IF(TODAY()=R384,"Follow up today",""))))))))</f>
        <v/>
      </c>
    </row>
    <row r="385" customFormat="false" ht="15" hidden="false" customHeight="false" outlineLevel="0" collapsed="false">
      <c r="A385" s="17"/>
      <c r="B385" s="38"/>
      <c r="C385" s="17"/>
      <c r="D385" s="17"/>
      <c r="E385" s="17"/>
      <c r="F385" s="17"/>
      <c r="G385" s="17"/>
      <c r="H385" s="40"/>
      <c r="I385" s="17"/>
      <c r="J385" s="17"/>
      <c r="K385" s="17"/>
      <c r="L385" s="17"/>
      <c r="M385" s="17"/>
      <c r="N385" s="17"/>
      <c r="O385" s="17"/>
      <c r="P385" s="38"/>
      <c r="Q385" s="17"/>
      <c r="R385" s="42" t="str">
        <f aca="false">IF(OR(D385="",P385="",OR(O385="Contract signed + paid",O385="Closed – No response",O385="Lost"),N(Q385)&gt;=Settings!$S$3),"",P385+Settings!$S$2)</f>
        <v/>
      </c>
      <c r="S385" s="38"/>
      <c r="T385" s="39"/>
      <c r="U385" s="17"/>
      <c r="V385" s="17"/>
      <c r="W385" s="17"/>
      <c r="X385" s="43" t="str">
        <f aca="true">IF(OR(D385="",B385=""),"",INT(TODAY()-B385))</f>
        <v/>
      </c>
      <c r="Y385" s="44" t="str">
        <f aca="true">IF(D385="","",IF(OR(COUNTIFS(Clients!$C$2:$C$501,D385,Clients!$S$2:$S$501,"Paid")&gt;0,AND(H385&lt;&gt;"",COUNTIFS(Clients!$E$2:$E$501,H385,Clients!$S$2:$S$501,"Paid")&gt;0)),"⚠ Refunded before – no free video",IF(OR(O385="Contract signed + paid",O385="Closed – No response",O385="Lost"),"",IF(O385="","Set a stage",IF(N(Q385)&gt;=Settings!$S$3,"Close – 4 follow-ups sent",IF(R385="",IF(P385="","Make first contact",""),IF(TODAY()&gt;R385,"OVERDUE follow-up",IF(TODAY()=R385,"Follow up today",""))))))))</f>
        <v/>
      </c>
    </row>
    <row r="386" customFormat="false" ht="15" hidden="false" customHeight="false" outlineLevel="0" collapsed="false">
      <c r="A386" s="17"/>
      <c r="B386" s="38"/>
      <c r="C386" s="17"/>
      <c r="D386" s="17"/>
      <c r="E386" s="17"/>
      <c r="F386" s="17"/>
      <c r="G386" s="17"/>
      <c r="H386" s="40"/>
      <c r="I386" s="17"/>
      <c r="J386" s="17"/>
      <c r="K386" s="17"/>
      <c r="L386" s="17"/>
      <c r="M386" s="17"/>
      <c r="N386" s="17"/>
      <c r="O386" s="17"/>
      <c r="P386" s="38"/>
      <c r="Q386" s="17"/>
      <c r="R386" s="42" t="str">
        <f aca="false">IF(OR(D386="",P386="",OR(O386="Contract signed + paid",O386="Closed – No response",O386="Lost"),N(Q386)&gt;=Settings!$S$3),"",P386+Settings!$S$2)</f>
        <v/>
      </c>
      <c r="S386" s="38"/>
      <c r="T386" s="39"/>
      <c r="U386" s="17"/>
      <c r="V386" s="17"/>
      <c r="W386" s="17"/>
      <c r="X386" s="43" t="str">
        <f aca="true">IF(OR(D386="",B386=""),"",INT(TODAY()-B386))</f>
        <v/>
      </c>
      <c r="Y386" s="44" t="str">
        <f aca="true">IF(D386="","",IF(OR(COUNTIFS(Clients!$C$2:$C$501,D386,Clients!$S$2:$S$501,"Paid")&gt;0,AND(H386&lt;&gt;"",COUNTIFS(Clients!$E$2:$E$501,H386,Clients!$S$2:$S$501,"Paid")&gt;0)),"⚠ Refunded before – no free video",IF(OR(O386="Contract signed + paid",O386="Closed – No response",O386="Lost"),"",IF(O386="","Set a stage",IF(N(Q386)&gt;=Settings!$S$3,"Close – 4 follow-ups sent",IF(R386="",IF(P386="","Make first contact",""),IF(TODAY()&gt;R386,"OVERDUE follow-up",IF(TODAY()=R386,"Follow up today",""))))))))</f>
        <v/>
      </c>
    </row>
    <row r="387" customFormat="false" ht="15" hidden="false" customHeight="false" outlineLevel="0" collapsed="false">
      <c r="A387" s="17"/>
      <c r="B387" s="38"/>
      <c r="C387" s="17"/>
      <c r="D387" s="17"/>
      <c r="E387" s="17"/>
      <c r="F387" s="17"/>
      <c r="G387" s="17"/>
      <c r="H387" s="40"/>
      <c r="I387" s="17"/>
      <c r="J387" s="17"/>
      <c r="K387" s="17"/>
      <c r="L387" s="17"/>
      <c r="M387" s="17"/>
      <c r="N387" s="17"/>
      <c r="O387" s="17"/>
      <c r="P387" s="38"/>
      <c r="Q387" s="17"/>
      <c r="R387" s="42" t="str">
        <f aca="false">IF(OR(D387="",P387="",OR(O387="Contract signed + paid",O387="Closed – No response",O387="Lost"),N(Q387)&gt;=Settings!$S$3),"",P387+Settings!$S$2)</f>
        <v/>
      </c>
      <c r="S387" s="38"/>
      <c r="T387" s="39"/>
      <c r="U387" s="17"/>
      <c r="V387" s="17"/>
      <c r="W387" s="17"/>
      <c r="X387" s="43" t="str">
        <f aca="true">IF(OR(D387="",B387=""),"",INT(TODAY()-B387))</f>
        <v/>
      </c>
      <c r="Y387" s="44" t="str">
        <f aca="true">IF(D387="","",IF(OR(COUNTIFS(Clients!$C$2:$C$501,D387,Clients!$S$2:$S$501,"Paid")&gt;0,AND(H387&lt;&gt;"",COUNTIFS(Clients!$E$2:$E$501,H387,Clients!$S$2:$S$501,"Paid")&gt;0)),"⚠ Refunded before – no free video",IF(OR(O387="Contract signed + paid",O387="Closed – No response",O387="Lost"),"",IF(O387="","Set a stage",IF(N(Q387)&gt;=Settings!$S$3,"Close – 4 follow-ups sent",IF(R387="",IF(P387="","Make first contact",""),IF(TODAY()&gt;R387,"OVERDUE follow-up",IF(TODAY()=R387,"Follow up today",""))))))))</f>
        <v/>
      </c>
    </row>
    <row r="388" customFormat="false" ht="15" hidden="false" customHeight="false" outlineLevel="0" collapsed="false">
      <c r="A388" s="17"/>
      <c r="B388" s="38"/>
      <c r="C388" s="17"/>
      <c r="D388" s="17"/>
      <c r="E388" s="17"/>
      <c r="F388" s="17"/>
      <c r="G388" s="17"/>
      <c r="H388" s="40"/>
      <c r="I388" s="17"/>
      <c r="J388" s="17"/>
      <c r="K388" s="17"/>
      <c r="L388" s="17"/>
      <c r="M388" s="17"/>
      <c r="N388" s="17"/>
      <c r="O388" s="17"/>
      <c r="P388" s="38"/>
      <c r="Q388" s="17"/>
      <c r="R388" s="42" t="str">
        <f aca="false">IF(OR(D388="",P388="",OR(O388="Contract signed + paid",O388="Closed – No response",O388="Lost"),N(Q388)&gt;=Settings!$S$3),"",P388+Settings!$S$2)</f>
        <v/>
      </c>
      <c r="S388" s="38"/>
      <c r="T388" s="39"/>
      <c r="U388" s="17"/>
      <c r="V388" s="17"/>
      <c r="W388" s="17"/>
      <c r="X388" s="43" t="str">
        <f aca="true">IF(OR(D388="",B388=""),"",INT(TODAY()-B388))</f>
        <v/>
      </c>
      <c r="Y388" s="44" t="str">
        <f aca="true">IF(D388="","",IF(OR(COUNTIFS(Clients!$C$2:$C$501,D388,Clients!$S$2:$S$501,"Paid")&gt;0,AND(H388&lt;&gt;"",COUNTIFS(Clients!$E$2:$E$501,H388,Clients!$S$2:$S$501,"Paid")&gt;0)),"⚠ Refunded before – no free video",IF(OR(O388="Contract signed + paid",O388="Closed – No response",O388="Lost"),"",IF(O388="","Set a stage",IF(N(Q388)&gt;=Settings!$S$3,"Close – 4 follow-ups sent",IF(R388="",IF(P388="","Make first contact",""),IF(TODAY()&gt;R388,"OVERDUE follow-up",IF(TODAY()=R388,"Follow up today",""))))))))</f>
        <v/>
      </c>
    </row>
    <row r="389" customFormat="false" ht="15" hidden="false" customHeight="false" outlineLevel="0" collapsed="false">
      <c r="A389" s="17"/>
      <c r="B389" s="38"/>
      <c r="C389" s="17"/>
      <c r="D389" s="17"/>
      <c r="E389" s="17"/>
      <c r="F389" s="17"/>
      <c r="G389" s="17"/>
      <c r="H389" s="40"/>
      <c r="I389" s="17"/>
      <c r="J389" s="17"/>
      <c r="K389" s="17"/>
      <c r="L389" s="17"/>
      <c r="M389" s="17"/>
      <c r="N389" s="17"/>
      <c r="O389" s="17"/>
      <c r="P389" s="38"/>
      <c r="Q389" s="17"/>
      <c r="R389" s="42" t="str">
        <f aca="false">IF(OR(D389="",P389="",OR(O389="Contract signed + paid",O389="Closed – No response",O389="Lost"),N(Q389)&gt;=Settings!$S$3),"",P389+Settings!$S$2)</f>
        <v/>
      </c>
      <c r="S389" s="38"/>
      <c r="T389" s="39"/>
      <c r="U389" s="17"/>
      <c r="V389" s="17"/>
      <c r="W389" s="17"/>
      <c r="X389" s="43" t="str">
        <f aca="true">IF(OR(D389="",B389=""),"",INT(TODAY()-B389))</f>
        <v/>
      </c>
      <c r="Y389" s="44" t="str">
        <f aca="true">IF(D389="","",IF(OR(COUNTIFS(Clients!$C$2:$C$501,D389,Clients!$S$2:$S$501,"Paid")&gt;0,AND(H389&lt;&gt;"",COUNTIFS(Clients!$E$2:$E$501,H389,Clients!$S$2:$S$501,"Paid")&gt;0)),"⚠ Refunded before – no free video",IF(OR(O389="Contract signed + paid",O389="Closed – No response",O389="Lost"),"",IF(O389="","Set a stage",IF(N(Q389)&gt;=Settings!$S$3,"Close – 4 follow-ups sent",IF(R389="",IF(P389="","Make first contact",""),IF(TODAY()&gt;R389,"OVERDUE follow-up",IF(TODAY()=R389,"Follow up today",""))))))))</f>
        <v/>
      </c>
    </row>
    <row r="390" customFormat="false" ht="15" hidden="false" customHeight="false" outlineLevel="0" collapsed="false">
      <c r="A390" s="17"/>
      <c r="B390" s="38"/>
      <c r="C390" s="17"/>
      <c r="D390" s="17"/>
      <c r="E390" s="17"/>
      <c r="F390" s="17"/>
      <c r="G390" s="17"/>
      <c r="H390" s="40"/>
      <c r="I390" s="17"/>
      <c r="J390" s="17"/>
      <c r="K390" s="17"/>
      <c r="L390" s="17"/>
      <c r="M390" s="17"/>
      <c r="N390" s="17"/>
      <c r="O390" s="17"/>
      <c r="P390" s="38"/>
      <c r="Q390" s="17"/>
      <c r="R390" s="42" t="str">
        <f aca="false">IF(OR(D390="",P390="",OR(O390="Contract signed + paid",O390="Closed – No response",O390="Lost"),N(Q390)&gt;=Settings!$S$3),"",P390+Settings!$S$2)</f>
        <v/>
      </c>
      <c r="S390" s="38"/>
      <c r="T390" s="39"/>
      <c r="U390" s="17"/>
      <c r="V390" s="17"/>
      <c r="W390" s="17"/>
      <c r="X390" s="43" t="str">
        <f aca="true">IF(OR(D390="",B390=""),"",INT(TODAY()-B390))</f>
        <v/>
      </c>
      <c r="Y390" s="44" t="str">
        <f aca="true">IF(D390="","",IF(OR(COUNTIFS(Clients!$C$2:$C$501,D390,Clients!$S$2:$S$501,"Paid")&gt;0,AND(H390&lt;&gt;"",COUNTIFS(Clients!$E$2:$E$501,H390,Clients!$S$2:$S$501,"Paid")&gt;0)),"⚠ Refunded before – no free video",IF(OR(O390="Contract signed + paid",O390="Closed – No response",O390="Lost"),"",IF(O390="","Set a stage",IF(N(Q390)&gt;=Settings!$S$3,"Close – 4 follow-ups sent",IF(R390="",IF(P390="","Make first contact",""),IF(TODAY()&gt;R390,"OVERDUE follow-up",IF(TODAY()=R390,"Follow up today",""))))))))</f>
        <v/>
      </c>
    </row>
    <row r="391" customFormat="false" ht="15" hidden="false" customHeight="false" outlineLevel="0" collapsed="false">
      <c r="A391" s="17"/>
      <c r="B391" s="38"/>
      <c r="C391" s="17"/>
      <c r="D391" s="17"/>
      <c r="E391" s="17"/>
      <c r="F391" s="17"/>
      <c r="G391" s="17"/>
      <c r="H391" s="40"/>
      <c r="I391" s="17"/>
      <c r="J391" s="17"/>
      <c r="K391" s="17"/>
      <c r="L391" s="17"/>
      <c r="M391" s="17"/>
      <c r="N391" s="17"/>
      <c r="O391" s="17"/>
      <c r="P391" s="38"/>
      <c r="Q391" s="17"/>
      <c r="R391" s="42" t="str">
        <f aca="false">IF(OR(D391="",P391="",OR(O391="Contract signed + paid",O391="Closed – No response",O391="Lost"),N(Q391)&gt;=Settings!$S$3),"",P391+Settings!$S$2)</f>
        <v/>
      </c>
      <c r="S391" s="38"/>
      <c r="T391" s="39"/>
      <c r="U391" s="17"/>
      <c r="V391" s="17"/>
      <c r="W391" s="17"/>
      <c r="X391" s="43" t="str">
        <f aca="true">IF(OR(D391="",B391=""),"",INT(TODAY()-B391))</f>
        <v/>
      </c>
      <c r="Y391" s="44" t="str">
        <f aca="true">IF(D391="","",IF(OR(COUNTIFS(Clients!$C$2:$C$501,D391,Clients!$S$2:$S$501,"Paid")&gt;0,AND(H391&lt;&gt;"",COUNTIFS(Clients!$E$2:$E$501,H391,Clients!$S$2:$S$501,"Paid")&gt;0)),"⚠ Refunded before – no free video",IF(OR(O391="Contract signed + paid",O391="Closed – No response",O391="Lost"),"",IF(O391="","Set a stage",IF(N(Q391)&gt;=Settings!$S$3,"Close – 4 follow-ups sent",IF(R391="",IF(P391="","Make first contact",""),IF(TODAY()&gt;R391,"OVERDUE follow-up",IF(TODAY()=R391,"Follow up today",""))))))))</f>
        <v/>
      </c>
    </row>
    <row r="392" customFormat="false" ht="15" hidden="false" customHeight="false" outlineLevel="0" collapsed="false">
      <c r="A392" s="17"/>
      <c r="B392" s="38"/>
      <c r="C392" s="17"/>
      <c r="D392" s="17"/>
      <c r="E392" s="17"/>
      <c r="F392" s="17"/>
      <c r="G392" s="17"/>
      <c r="H392" s="40"/>
      <c r="I392" s="17"/>
      <c r="J392" s="17"/>
      <c r="K392" s="17"/>
      <c r="L392" s="17"/>
      <c r="M392" s="17"/>
      <c r="N392" s="17"/>
      <c r="O392" s="17"/>
      <c r="P392" s="38"/>
      <c r="Q392" s="17"/>
      <c r="R392" s="42" t="str">
        <f aca="false">IF(OR(D392="",P392="",OR(O392="Contract signed + paid",O392="Closed – No response",O392="Lost"),N(Q392)&gt;=Settings!$S$3),"",P392+Settings!$S$2)</f>
        <v/>
      </c>
      <c r="S392" s="38"/>
      <c r="T392" s="39"/>
      <c r="U392" s="17"/>
      <c r="V392" s="17"/>
      <c r="W392" s="17"/>
      <c r="X392" s="43" t="str">
        <f aca="true">IF(OR(D392="",B392=""),"",INT(TODAY()-B392))</f>
        <v/>
      </c>
      <c r="Y392" s="44" t="str">
        <f aca="true">IF(D392="","",IF(OR(COUNTIFS(Clients!$C$2:$C$501,D392,Clients!$S$2:$S$501,"Paid")&gt;0,AND(H392&lt;&gt;"",COUNTIFS(Clients!$E$2:$E$501,H392,Clients!$S$2:$S$501,"Paid")&gt;0)),"⚠ Refunded before – no free video",IF(OR(O392="Contract signed + paid",O392="Closed – No response",O392="Lost"),"",IF(O392="","Set a stage",IF(N(Q392)&gt;=Settings!$S$3,"Close – 4 follow-ups sent",IF(R392="",IF(P392="","Make first contact",""),IF(TODAY()&gt;R392,"OVERDUE follow-up",IF(TODAY()=R392,"Follow up today",""))))))))</f>
        <v/>
      </c>
    </row>
    <row r="393" customFormat="false" ht="15" hidden="false" customHeight="false" outlineLevel="0" collapsed="false">
      <c r="A393" s="17"/>
      <c r="B393" s="38"/>
      <c r="C393" s="17"/>
      <c r="D393" s="17"/>
      <c r="E393" s="17"/>
      <c r="F393" s="17"/>
      <c r="G393" s="17"/>
      <c r="H393" s="40"/>
      <c r="I393" s="17"/>
      <c r="J393" s="17"/>
      <c r="K393" s="17"/>
      <c r="L393" s="17"/>
      <c r="M393" s="17"/>
      <c r="N393" s="17"/>
      <c r="O393" s="17"/>
      <c r="P393" s="38"/>
      <c r="Q393" s="17"/>
      <c r="R393" s="42" t="str">
        <f aca="false">IF(OR(D393="",P393="",OR(O393="Contract signed + paid",O393="Closed – No response",O393="Lost"),N(Q393)&gt;=Settings!$S$3),"",P393+Settings!$S$2)</f>
        <v/>
      </c>
      <c r="S393" s="38"/>
      <c r="T393" s="39"/>
      <c r="U393" s="17"/>
      <c r="V393" s="17"/>
      <c r="W393" s="17"/>
      <c r="X393" s="43" t="str">
        <f aca="true">IF(OR(D393="",B393=""),"",INT(TODAY()-B393))</f>
        <v/>
      </c>
      <c r="Y393" s="44" t="str">
        <f aca="true">IF(D393="","",IF(OR(COUNTIFS(Clients!$C$2:$C$501,D393,Clients!$S$2:$S$501,"Paid")&gt;0,AND(H393&lt;&gt;"",COUNTIFS(Clients!$E$2:$E$501,H393,Clients!$S$2:$S$501,"Paid")&gt;0)),"⚠ Refunded before – no free video",IF(OR(O393="Contract signed + paid",O393="Closed – No response",O393="Lost"),"",IF(O393="","Set a stage",IF(N(Q393)&gt;=Settings!$S$3,"Close – 4 follow-ups sent",IF(R393="",IF(P393="","Make first contact",""),IF(TODAY()&gt;R393,"OVERDUE follow-up",IF(TODAY()=R393,"Follow up today",""))))))))</f>
        <v/>
      </c>
    </row>
    <row r="394" customFormat="false" ht="15" hidden="false" customHeight="false" outlineLevel="0" collapsed="false">
      <c r="A394" s="17"/>
      <c r="B394" s="38"/>
      <c r="C394" s="17"/>
      <c r="D394" s="17"/>
      <c r="E394" s="17"/>
      <c r="F394" s="17"/>
      <c r="G394" s="17"/>
      <c r="H394" s="40"/>
      <c r="I394" s="17"/>
      <c r="J394" s="17"/>
      <c r="K394" s="17"/>
      <c r="L394" s="17"/>
      <c r="M394" s="17"/>
      <c r="N394" s="17"/>
      <c r="O394" s="17"/>
      <c r="P394" s="38"/>
      <c r="Q394" s="17"/>
      <c r="R394" s="42" t="str">
        <f aca="false">IF(OR(D394="",P394="",OR(O394="Contract signed + paid",O394="Closed – No response",O394="Lost"),N(Q394)&gt;=Settings!$S$3),"",P394+Settings!$S$2)</f>
        <v/>
      </c>
      <c r="S394" s="38"/>
      <c r="T394" s="39"/>
      <c r="U394" s="17"/>
      <c r="V394" s="17"/>
      <c r="W394" s="17"/>
      <c r="X394" s="43" t="str">
        <f aca="true">IF(OR(D394="",B394=""),"",INT(TODAY()-B394))</f>
        <v/>
      </c>
      <c r="Y394" s="44" t="str">
        <f aca="true">IF(D394="","",IF(OR(COUNTIFS(Clients!$C$2:$C$501,D394,Clients!$S$2:$S$501,"Paid")&gt;0,AND(H394&lt;&gt;"",COUNTIFS(Clients!$E$2:$E$501,H394,Clients!$S$2:$S$501,"Paid")&gt;0)),"⚠ Refunded before – no free video",IF(OR(O394="Contract signed + paid",O394="Closed – No response",O394="Lost"),"",IF(O394="","Set a stage",IF(N(Q394)&gt;=Settings!$S$3,"Close – 4 follow-ups sent",IF(R394="",IF(P394="","Make first contact",""),IF(TODAY()&gt;R394,"OVERDUE follow-up",IF(TODAY()=R394,"Follow up today",""))))))))</f>
        <v/>
      </c>
    </row>
    <row r="395" customFormat="false" ht="15" hidden="false" customHeight="false" outlineLevel="0" collapsed="false">
      <c r="A395" s="17"/>
      <c r="B395" s="38"/>
      <c r="C395" s="17"/>
      <c r="D395" s="17"/>
      <c r="E395" s="17"/>
      <c r="F395" s="17"/>
      <c r="G395" s="17"/>
      <c r="H395" s="40"/>
      <c r="I395" s="17"/>
      <c r="J395" s="17"/>
      <c r="K395" s="17"/>
      <c r="L395" s="17"/>
      <c r="M395" s="17"/>
      <c r="N395" s="17"/>
      <c r="O395" s="17"/>
      <c r="P395" s="38"/>
      <c r="Q395" s="17"/>
      <c r="R395" s="42" t="str">
        <f aca="false">IF(OR(D395="",P395="",OR(O395="Contract signed + paid",O395="Closed – No response",O395="Lost"),N(Q395)&gt;=Settings!$S$3),"",P395+Settings!$S$2)</f>
        <v/>
      </c>
      <c r="S395" s="38"/>
      <c r="T395" s="39"/>
      <c r="U395" s="17"/>
      <c r="V395" s="17"/>
      <c r="W395" s="17"/>
      <c r="X395" s="43" t="str">
        <f aca="true">IF(OR(D395="",B395=""),"",INT(TODAY()-B395))</f>
        <v/>
      </c>
      <c r="Y395" s="44" t="str">
        <f aca="true">IF(D395="","",IF(OR(COUNTIFS(Clients!$C$2:$C$501,D395,Clients!$S$2:$S$501,"Paid")&gt;0,AND(H395&lt;&gt;"",COUNTIFS(Clients!$E$2:$E$501,H395,Clients!$S$2:$S$501,"Paid")&gt;0)),"⚠ Refunded before – no free video",IF(OR(O395="Contract signed + paid",O395="Closed – No response",O395="Lost"),"",IF(O395="","Set a stage",IF(N(Q395)&gt;=Settings!$S$3,"Close – 4 follow-ups sent",IF(R395="",IF(P395="","Make first contact",""),IF(TODAY()&gt;R395,"OVERDUE follow-up",IF(TODAY()=R395,"Follow up today",""))))))))</f>
        <v/>
      </c>
    </row>
    <row r="396" customFormat="false" ht="15" hidden="false" customHeight="false" outlineLevel="0" collapsed="false">
      <c r="A396" s="17"/>
      <c r="B396" s="38"/>
      <c r="C396" s="17"/>
      <c r="D396" s="17"/>
      <c r="E396" s="17"/>
      <c r="F396" s="17"/>
      <c r="G396" s="17"/>
      <c r="H396" s="40"/>
      <c r="I396" s="17"/>
      <c r="J396" s="17"/>
      <c r="K396" s="17"/>
      <c r="L396" s="17"/>
      <c r="M396" s="17"/>
      <c r="N396" s="17"/>
      <c r="O396" s="17"/>
      <c r="P396" s="38"/>
      <c r="Q396" s="17"/>
      <c r="R396" s="42" t="str">
        <f aca="false">IF(OR(D396="",P396="",OR(O396="Contract signed + paid",O396="Closed – No response",O396="Lost"),N(Q396)&gt;=Settings!$S$3),"",P396+Settings!$S$2)</f>
        <v/>
      </c>
      <c r="S396" s="38"/>
      <c r="T396" s="39"/>
      <c r="U396" s="17"/>
      <c r="V396" s="17"/>
      <c r="W396" s="17"/>
      <c r="X396" s="43" t="str">
        <f aca="true">IF(OR(D396="",B396=""),"",INT(TODAY()-B396))</f>
        <v/>
      </c>
      <c r="Y396" s="44" t="str">
        <f aca="true">IF(D396="","",IF(OR(COUNTIFS(Clients!$C$2:$C$501,D396,Clients!$S$2:$S$501,"Paid")&gt;0,AND(H396&lt;&gt;"",COUNTIFS(Clients!$E$2:$E$501,H396,Clients!$S$2:$S$501,"Paid")&gt;0)),"⚠ Refunded before – no free video",IF(OR(O396="Contract signed + paid",O396="Closed – No response",O396="Lost"),"",IF(O396="","Set a stage",IF(N(Q396)&gt;=Settings!$S$3,"Close – 4 follow-ups sent",IF(R396="",IF(P396="","Make first contact",""),IF(TODAY()&gt;R396,"OVERDUE follow-up",IF(TODAY()=R396,"Follow up today",""))))))))</f>
        <v/>
      </c>
    </row>
    <row r="397" customFormat="false" ht="15" hidden="false" customHeight="false" outlineLevel="0" collapsed="false">
      <c r="A397" s="17"/>
      <c r="B397" s="38"/>
      <c r="C397" s="17"/>
      <c r="D397" s="17"/>
      <c r="E397" s="17"/>
      <c r="F397" s="17"/>
      <c r="G397" s="17"/>
      <c r="H397" s="40"/>
      <c r="I397" s="17"/>
      <c r="J397" s="17"/>
      <c r="K397" s="17"/>
      <c r="L397" s="17"/>
      <c r="M397" s="17"/>
      <c r="N397" s="17"/>
      <c r="O397" s="17"/>
      <c r="P397" s="38"/>
      <c r="Q397" s="17"/>
      <c r="R397" s="42" t="str">
        <f aca="false">IF(OR(D397="",P397="",OR(O397="Contract signed + paid",O397="Closed – No response",O397="Lost"),N(Q397)&gt;=Settings!$S$3),"",P397+Settings!$S$2)</f>
        <v/>
      </c>
      <c r="S397" s="38"/>
      <c r="T397" s="39"/>
      <c r="U397" s="17"/>
      <c r="V397" s="17"/>
      <c r="W397" s="17"/>
      <c r="X397" s="43" t="str">
        <f aca="true">IF(OR(D397="",B397=""),"",INT(TODAY()-B397))</f>
        <v/>
      </c>
      <c r="Y397" s="44" t="str">
        <f aca="true">IF(D397="","",IF(OR(COUNTIFS(Clients!$C$2:$C$501,D397,Clients!$S$2:$S$501,"Paid")&gt;0,AND(H397&lt;&gt;"",COUNTIFS(Clients!$E$2:$E$501,H397,Clients!$S$2:$S$501,"Paid")&gt;0)),"⚠ Refunded before – no free video",IF(OR(O397="Contract signed + paid",O397="Closed – No response",O397="Lost"),"",IF(O397="","Set a stage",IF(N(Q397)&gt;=Settings!$S$3,"Close – 4 follow-ups sent",IF(R397="",IF(P397="","Make first contact",""),IF(TODAY()&gt;R397,"OVERDUE follow-up",IF(TODAY()=R397,"Follow up today",""))))))))</f>
        <v/>
      </c>
    </row>
    <row r="398" customFormat="false" ht="15" hidden="false" customHeight="false" outlineLevel="0" collapsed="false">
      <c r="A398" s="17"/>
      <c r="B398" s="38"/>
      <c r="C398" s="17"/>
      <c r="D398" s="17"/>
      <c r="E398" s="17"/>
      <c r="F398" s="17"/>
      <c r="G398" s="17"/>
      <c r="H398" s="40"/>
      <c r="I398" s="17"/>
      <c r="J398" s="17"/>
      <c r="K398" s="17"/>
      <c r="L398" s="17"/>
      <c r="M398" s="17"/>
      <c r="N398" s="17"/>
      <c r="O398" s="17"/>
      <c r="P398" s="38"/>
      <c r="Q398" s="17"/>
      <c r="R398" s="42" t="str">
        <f aca="false">IF(OR(D398="",P398="",OR(O398="Contract signed + paid",O398="Closed – No response",O398="Lost"),N(Q398)&gt;=Settings!$S$3),"",P398+Settings!$S$2)</f>
        <v/>
      </c>
      <c r="S398" s="38"/>
      <c r="T398" s="39"/>
      <c r="U398" s="17"/>
      <c r="V398" s="17"/>
      <c r="W398" s="17"/>
      <c r="X398" s="43" t="str">
        <f aca="true">IF(OR(D398="",B398=""),"",INT(TODAY()-B398))</f>
        <v/>
      </c>
      <c r="Y398" s="44" t="str">
        <f aca="true">IF(D398="","",IF(OR(COUNTIFS(Clients!$C$2:$C$501,D398,Clients!$S$2:$S$501,"Paid")&gt;0,AND(H398&lt;&gt;"",COUNTIFS(Clients!$E$2:$E$501,H398,Clients!$S$2:$S$501,"Paid")&gt;0)),"⚠ Refunded before – no free video",IF(OR(O398="Contract signed + paid",O398="Closed – No response",O398="Lost"),"",IF(O398="","Set a stage",IF(N(Q398)&gt;=Settings!$S$3,"Close – 4 follow-ups sent",IF(R398="",IF(P398="","Make first contact",""),IF(TODAY()&gt;R398,"OVERDUE follow-up",IF(TODAY()=R398,"Follow up today",""))))))))</f>
        <v/>
      </c>
    </row>
    <row r="399" customFormat="false" ht="15" hidden="false" customHeight="false" outlineLevel="0" collapsed="false">
      <c r="A399" s="17"/>
      <c r="B399" s="38"/>
      <c r="C399" s="17"/>
      <c r="D399" s="17"/>
      <c r="E399" s="17"/>
      <c r="F399" s="17"/>
      <c r="G399" s="17"/>
      <c r="H399" s="40"/>
      <c r="I399" s="17"/>
      <c r="J399" s="17"/>
      <c r="K399" s="17"/>
      <c r="L399" s="17"/>
      <c r="M399" s="17"/>
      <c r="N399" s="17"/>
      <c r="O399" s="17"/>
      <c r="P399" s="38"/>
      <c r="Q399" s="17"/>
      <c r="R399" s="42" t="str">
        <f aca="false">IF(OR(D399="",P399="",OR(O399="Contract signed + paid",O399="Closed – No response",O399="Lost"),N(Q399)&gt;=Settings!$S$3),"",P399+Settings!$S$2)</f>
        <v/>
      </c>
      <c r="S399" s="38"/>
      <c r="T399" s="39"/>
      <c r="U399" s="17"/>
      <c r="V399" s="17"/>
      <c r="W399" s="17"/>
      <c r="X399" s="43" t="str">
        <f aca="true">IF(OR(D399="",B399=""),"",INT(TODAY()-B399))</f>
        <v/>
      </c>
      <c r="Y399" s="44" t="str">
        <f aca="true">IF(D399="","",IF(OR(COUNTIFS(Clients!$C$2:$C$501,D399,Clients!$S$2:$S$501,"Paid")&gt;0,AND(H399&lt;&gt;"",COUNTIFS(Clients!$E$2:$E$501,H399,Clients!$S$2:$S$501,"Paid")&gt;0)),"⚠ Refunded before – no free video",IF(OR(O399="Contract signed + paid",O399="Closed – No response",O399="Lost"),"",IF(O399="","Set a stage",IF(N(Q399)&gt;=Settings!$S$3,"Close – 4 follow-ups sent",IF(R399="",IF(P399="","Make first contact",""),IF(TODAY()&gt;R399,"OVERDUE follow-up",IF(TODAY()=R399,"Follow up today",""))))))))</f>
        <v/>
      </c>
    </row>
    <row r="400" customFormat="false" ht="15" hidden="false" customHeight="false" outlineLevel="0" collapsed="false">
      <c r="A400" s="17"/>
      <c r="B400" s="38"/>
      <c r="C400" s="17"/>
      <c r="D400" s="17"/>
      <c r="E400" s="17"/>
      <c r="F400" s="17"/>
      <c r="G400" s="17"/>
      <c r="H400" s="40"/>
      <c r="I400" s="17"/>
      <c r="J400" s="17"/>
      <c r="K400" s="17"/>
      <c r="L400" s="17"/>
      <c r="M400" s="17"/>
      <c r="N400" s="17"/>
      <c r="O400" s="17"/>
      <c r="P400" s="38"/>
      <c r="Q400" s="17"/>
      <c r="R400" s="42" t="str">
        <f aca="false">IF(OR(D400="",P400="",OR(O400="Contract signed + paid",O400="Closed – No response",O400="Lost"),N(Q400)&gt;=Settings!$S$3),"",P400+Settings!$S$2)</f>
        <v/>
      </c>
      <c r="S400" s="38"/>
      <c r="T400" s="39"/>
      <c r="U400" s="17"/>
      <c r="V400" s="17"/>
      <c r="W400" s="17"/>
      <c r="X400" s="43" t="str">
        <f aca="true">IF(OR(D400="",B400=""),"",INT(TODAY()-B400))</f>
        <v/>
      </c>
      <c r="Y400" s="44" t="str">
        <f aca="true">IF(D400="","",IF(OR(COUNTIFS(Clients!$C$2:$C$501,D400,Clients!$S$2:$S$501,"Paid")&gt;0,AND(H400&lt;&gt;"",COUNTIFS(Clients!$E$2:$E$501,H400,Clients!$S$2:$S$501,"Paid")&gt;0)),"⚠ Refunded before – no free video",IF(OR(O400="Contract signed + paid",O400="Closed – No response",O400="Lost"),"",IF(O400="","Set a stage",IF(N(Q400)&gt;=Settings!$S$3,"Close – 4 follow-ups sent",IF(R400="",IF(P400="","Make first contact",""),IF(TODAY()&gt;R400,"OVERDUE follow-up",IF(TODAY()=R400,"Follow up today",""))))))))</f>
        <v/>
      </c>
    </row>
    <row r="401" customFormat="false" ht="15" hidden="false" customHeight="false" outlineLevel="0" collapsed="false">
      <c r="A401" s="17"/>
      <c r="B401" s="38"/>
      <c r="C401" s="17"/>
      <c r="D401" s="17"/>
      <c r="E401" s="17"/>
      <c r="F401" s="17"/>
      <c r="G401" s="17"/>
      <c r="H401" s="40"/>
      <c r="I401" s="17"/>
      <c r="J401" s="17"/>
      <c r="K401" s="17"/>
      <c r="L401" s="17"/>
      <c r="M401" s="17"/>
      <c r="N401" s="17"/>
      <c r="O401" s="17"/>
      <c r="P401" s="38"/>
      <c r="Q401" s="17"/>
      <c r="R401" s="42" t="str">
        <f aca="false">IF(OR(D401="",P401="",OR(O401="Contract signed + paid",O401="Closed – No response",O401="Lost"),N(Q401)&gt;=Settings!$S$3),"",P401+Settings!$S$2)</f>
        <v/>
      </c>
      <c r="S401" s="38"/>
      <c r="T401" s="39"/>
      <c r="U401" s="17"/>
      <c r="V401" s="17"/>
      <c r="W401" s="17"/>
      <c r="X401" s="43" t="str">
        <f aca="true">IF(OR(D401="",B401=""),"",INT(TODAY()-B401))</f>
        <v/>
      </c>
      <c r="Y401" s="44" t="str">
        <f aca="true">IF(D401="","",IF(OR(COUNTIFS(Clients!$C$2:$C$501,D401,Clients!$S$2:$S$501,"Paid")&gt;0,AND(H401&lt;&gt;"",COUNTIFS(Clients!$E$2:$E$501,H401,Clients!$S$2:$S$501,"Paid")&gt;0)),"⚠ Refunded before – no free video",IF(OR(O401="Contract signed + paid",O401="Closed – No response",O401="Lost"),"",IF(O401="","Set a stage",IF(N(Q401)&gt;=Settings!$S$3,"Close – 4 follow-ups sent",IF(R401="",IF(P401="","Make first contact",""),IF(TODAY()&gt;R401,"OVERDUE follow-up",IF(TODAY()=R401,"Follow up today",""))))))))</f>
        <v/>
      </c>
    </row>
    <row r="402" customFormat="false" ht="15" hidden="false" customHeight="false" outlineLevel="0" collapsed="false">
      <c r="A402" s="17"/>
      <c r="B402" s="38"/>
      <c r="C402" s="17"/>
      <c r="D402" s="17"/>
      <c r="E402" s="17"/>
      <c r="F402" s="17"/>
      <c r="G402" s="17"/>
      <c r="H402" s="40"/>
      <c r="I402" s="17"/>
      <c r="J402" s="17"/>
      <c r="K402" s="17"/>
      <c r="L402" s="17"/>
      <c r="M402" s="17"/>
      <c r="N402" s="17"/>
      <c r="O402" s="17"/>
      <c r="P402" s="38"/>
      <c r="Q402" s="17"/>
      <c r="R402" s="42" t="str">
        <f aca="false">IF(OR(D402="",P402="",OR(O402="Contract signed + paid",O402="Closed – No response",O402="Lost"),N(Q402)&gt;=Settings!$S$3),"",P402+Settings!$S$2)</f>
        <v/>
      </c>
      <c r="S402" s="38"/>
      <c r="T402" s="39"/>
      <c r="U402" s="17"/>
      <c r="V402" s="17"/>
      <c r="W402" s="17"/>
      <c r="X402" s="43" t="str">
        <f aca="true">IF(OR(D402="",B402=""),"",INT(TODAY()-B402))</f>
        <v/>
      </c>
      <c r="Y402" s="44" t="str">
        <f aca="true">IF(D402="","",IF(OR(COUNTIFS(Clients!$C$2:$C$501,D402,Clients!$S$2:$S$501,"Paid")&gt;0,AND(H402&lt;&gt;"",COUNTIFS(Clients!$E$2:$E$501,H402,Clients!$S$2:$S$501,"Paid")&gt;0)),"⚠ Refunded before – no free video",IF(OR(O402="Contract signed + paid",O402="Closed – No response",O402="Lost"),"",IF(O402="","Set a stage",IF(N(Q402)&gt;=Settings!$S$3,"Close – 4 follow-ups sent",IF(R402="",IF(P402="","Make first contact",""),IF(TODAY()&gt;R402,"OVERDUE follow-up",IF(TODAY()=R402,"Follow up today",""))))))))</f>
        <v/>
      </c>
    </row>
    <row r="403" customFormat="false" ht="15" hidden="false" customHeight="false" outlineLevel="0" collapsed="false">
      <c r="A403" s="17"/>
      <c r="B403" s="38"/>
      <c r="C403" s="17"/>
      <c r="D403" s="17"/>
      <c r="E403" s="17"/>
      <c r="F403" s="17"/>
      <c r="G403" s="17"/>
      <c r="H403" s="40"/>
      <c r="I403" s="17"/>
      <c r="J403" s="17"/>
      <c r="K403" s="17"/>
      <c r="L403" s="17"/>
      <c r="M403" s="17"/>
      <c r="N403" s="17"/>
      <c r="O403" s="17"/>
      <c r="P403" s="38"/>
      <c r="Q403" s="17"/>
      <c r="R403" s="42" t="str">
        <f aca="false">IF(OR(D403="",P403="",OR(O403="Contract signed + paid",O403="Closed – No response",O403="Lost"),N(Q403)&gt;=Settings!$S$3),"",P403+Settings!$S$2)</f>
        <v/>
      </c>
      <c r="S403" s="38"/>
      <c r="T403" s="39"/>
      <c r="U403" s="17"/>
      <c r="V403" s="17"/>
      <c r="W403" s="17"/>
      <c r="X403" s="43" t="str">
        <f aca="true">IF(OR(D403="",B403=""),"",INT(TODAY()-B403))</f>
        <v/>
      </c>
      <c r="Y403" s="44" t="str">
        <f aca="true">IF(D403="","",IF(OR(COUNTIFS(Clients!$C$2:$C$501,D403,Clients!$S$2:$S$501,"Paid")&gt;0,AND(H403&lt;&gt;"",COUNTIFS(Clients!$E$2:$E$501,H403,Clients!$S$2:$S$501,"Paid")&gt;0)),"⚠ Refunded before – no free video",IF(OR(O403="Contract signed + paid",O403="Closed – No response",O403="Lost"),"",IF(O403="","Set a stage",IF(N(Q403)&gt;=Settings!$S$3,"Close – 4 follow-ups sent",IF(R403="",IF(P403="","Make first contact",""),IF(TODAY()&gt;R403,"OVERDUE follow-up",IF(TODAY()=R403,"Follow up today",""))))))))</f>
        <v/>
      </c>
    </row>
    <row r="404" customFormat="false" ht="15" hidden="false" customHeight="false" outlineLevel="0" collapsed="false">
      <c r="A404" s="17"/>
      <c r="B404" s="38"/>
      <c r="C404" s="17"/>
      <c r="D404" s="17"/>
      <c r="E404" s="17"/>
      <c r="F404" s="17"/>
      <c r="G404" s="17"/>
      <c r="H404" s="40"/>
      <c r="I404" s="17"/>
      <c r="J404" s="17"/>
      <c r="K404" s="17"/>
      <c r="L404" s="17"/>
      <c r="M404" s="17"/>
      <c r="N404" s="17"/>
      <c r="O404" s="17"/>
      <c r="P404" s="38"/>
      <c r="Q404" s="17"/>
      <c r="R404" s="42" t="str">
        <f aca="false">IF(OR(D404="",P404="",OR(O404="Contract signed + paid",O404="Closed – No response",O404="Lost"),N(Q404)&gt;=Settings!$S$3),"",P404+Settings!$S$2)</f>
        <v/>
      </c>
      <c r="S404" s="38"/>
      <c r="T404" s="39"/>
      <c r="U404" s="17"/>
      <c r="V404" s="17"/>
      <c r="W404" s="17"/>
      <c r="X404" s="43" t="str">
        <f aca="true">IF(OR(D404="",B404=""),"",INT(TODAY()-B404))</f>
        <v/>
      </c>
      <c r="Y404" s="44" t="str">
        <f aca="true">IF(D404="","",IF(OR(COUNTIFS(Clients!$C$2:$C$501,D404,Clients!$S$2:$S$501,"Paid")&gt;0,AND(H404&lt;&gt;"",COUNTIFS(Clients!$E$2:$E$501,H404,Clients!$S$2:$S$501,"Paid")&gt;0)),"⚠ Refunded before – no free video",IF(OR(O404="Contract signed + paid",O404="Closed – No response",O404="Lost"),"",IF(O404="","Set a stage",IF(N(Q404)&gt;=Settings!$S$3,"Close – 4 follow-ups sent",IF(R404="",IF(P404="","Make first contact",""),IF(TODAY()&gt;R404,"OVERDUE follow-up",IF(TODAY()=R404,"Follow up today",""))))))))</f>
        <v/>
      </c>
    </row>
    <row r="405" customFormat="false" ht="15" hidden="false" customHeight="false" outlineLevel="0" collapsed="false">
      <c r="A405" s="17"/>
      <c r="B405" s="38"/>
      <c r="C405" s="17"/>
      <c r="D405" s="17"/>
      <c r="E405" s="17"/>
      <c r="F405" s="17"/>
      <c r="G405" s="17"/>
      <c r="H405" s="40"/>
      <c r="I405" s="17"/>
      <c r="J405" s="17"/>
      <c r="K405" s="17"/>
      <c r="L405" s="17"/>
      <c r="M405" s="17"/>
      <c r="N405" s="17"/>
      <c r="O405" s="17"/>
      <c r="P405" s="38"/>
      <c r="Q405" s="17"/>
      <c r="R405" s="42" t="str">
        <f aca="false">IF(OR(D405="",P405="",OR(O405="Contract signed + paid",O405="Closed – No response",O405="Lost"),N(Q405)&gt;=Settings!$S$3),"",P405+Settings!$S$2)</f>
        <v/>
      </c>
      <c r="S405" s="38"/>
      <c r="T405" s="39"/>
      <c r="U405" s="17"/>
      <c r="V405" s="17"/>
      <c r="W405" s="17"/>
      <c r="X405" s="43" t="str">
        <f aca="true">IF(OR(D405="",B405=""),"",INT(TODAY()-B405))</f>
        <v/>
      </c>
      <c r="Y405" s="44" t="str">
        <f aca="true">IF(D405="","",IF(OR(COUNTIFS(Clients!$C$2:$C$501,D405,Clients!$S$2:$S$501,"Paid")&gt;0,AND(H405&lt;&gt;"",COUNTIFS(Clients!$E$2:$E$501,H405,Clients!$S$2:$S$501,"Paid")&gt;0)),"⚠ Refunded before – no free video",IF(OR(O405="Contract signed + paid",O405="Closed – No response",O405="Lost"),"",IF(O405="","Set a stage",IF(N(Q405)&gt;=Settings!$S$3,"Close – 4 follow-ups sent",IF(R405="",IF(P405="","Make first contact",""),IF(TODAY()&gt;R405,"OVERDUE follow-up",IF(TODAY()=R405,"Follow up today",""))))))))</f>
        <v/>
      </c>
    </row>
    <row r="406" customFormat="false" ht="15" hidden="false" customHeight="false" outlineLevel="0" collapsed="false">
      <c r="A406" s="17"/>
      <c r="B406" s="38"/>
      <c r="C406" s="17"/>
      <c r="D406" s="17"/>
      <c r="E406" s="17"/>
      <c r="F406" s="17"/>
      <c r="G406" s="17"/>
      <c r="H406" s="40"/>
      <c r="I406" s="17"/>
      <c r="J406" s="17"/>
      <c r="K406" s="17"/>
      <c r="L406" s="17"/>
      <c r="M406" s="17"/>
      <c r="N406" s="17"/>
      <c r="O406" s="17"/>
      <c r="P406" s="38"/>
      <c r="Q406" s="17"/>
      <c r="R406" s="42" t="str">
        <f aca="false">IF(OR(D406="",P406="",OR(O406="Contract signed + paid",O406="Closed – No response",O406="Lost"),N(Q406)&gt;=Settings!$S$3),"",P406+Settings!$S$2)</f>
        <v/>
      </c>
      <c r="S406" s="38"/>
      <c r="T406" s="39"/>
      <c r="U406" s="17"/>
      <c r="V406" s="17"/>
      <c r="W406" s="17"/>
      <c r="X406" s="43" t="str">
        <f aca="true">IF(OR(D406="",B406=""),"",INT(TODAY()-B406))</f>
        <v/>
      </c>
      <c r="Y406" s="44" t="str">
        <f aca="true">IF(D406="","",IF(OR(COUNTIFS(Clients!$C$2:$C$501,D406,Clients!$S$2:$S$501,"Paid")&gt;0,AND(H406&lt;&gt;"",COUNTIFS(Clients!$E$2:$E$501,H406,Clients!$S$2:$S$501,"Paid")&gt;0)),"⚠ Refunded before – no free video",IF(OR(O406="Contract signed + paid",O406="Closed – No response",O406="Lost"),"",IF(O406="","Set a stage",IF(N(Q406)&gt;=Settings!$S$3,"Close – 4 follow-ups sent",IF(R406="",IF(P406="","Make first contact",""),IF(TODAY()&gt;R406,"OVERDUE follow-up",IF(TODAY()=R406,"Follow up today",""))))))))</f>
        <v/>
      </c>
    </row>
    <row r="407" customFormat="false" ht="15" hidden="false" customHeight="false" outlineLevel="0" collapsed="false">
      <c r="A407" s="17"/>
      <c r="B407" s="38"/>
      <c r="C407" s="17"/>
      <c r="D407" s="17"/>
      <c r="E407" s="17"/>
      <c r="F407" s="17"/>
      <c r="G407" s="17"/>
      <c r="H407" s="40"/>
      <c r="I407" s="17"/>
      <c r="J407" s="17"/>
      <c r="K407" s="17"/>
      <c r="L407" s="17"/>
      <c r="M407" s="17"/>
      <c r="N407" s="17"/>
      <c r="O407" s="17"/>
      <c r="P407" s="38"/>
      <c r="Q407" s="17"/>
      <c r="R407" s="42" t="str">
        <f aca="false">IF(OR(D407="",P407="",OR(O407="Contract signed + paid",O407="Closed – No response",O407="Lost"),N(Q407)&gt;=Settings!$S$3),"",P407+Settings!$S$2)</f>
        <v/>
      </c>
      <c r="S407" s="38"/>
      <c r="T407" s="39"/>
      <c r="U407" s="17"/>
      <c r="V407" s="17"/>
      <c r="W407" s="17"/>
      <c r="X407" s="43" t="str">
        <f aca="true">IF(OR(D407="",B407=""),"",INT(TODAY()-B407))</f>
        <v/>
      </c>
      <c r="Y407" s="44" t="str">
        <f aca="true">IF(D407="","",IF(OR(COUNTIFS(Clients!$C$2:$C$501,D407,Clients!$S$2:$S$501,"Paid")&gt;0,AND(H407&lt;&gt;"",COUNTIFS(Clients!$E$2:$E$501,H407,Clients!$S$2:$S$501,"Paid")&gt;0)),"⚠ Refunded before – no free video",IF(OR(O407="Contract signed + paid",O407="Closed – No response",O407="Lost"),"",IF(O407="","Set a stage",IF(N(Q407)&gt;=Settings!$S$3,"Close – 4 follow-ups sent",IF(R407="",IF(P407="","Make first contact",""),IF(TODAY()&gt;R407,"OVERDUE follow-up",IF(TODAY()=R407,"Follow up today",""))))))))</f>
        <v/>
      </c>
    </row>
    <row r="408" customFormat="false" ht="15" hidden="false" customHeight="false" outlineLevel="0" collapsed="false">
      <c r="A408" s="17"/>
      <c r="B408" s="38"/>
      <c r="C408" s="17"/>
      <c r="D408" s="17"/>
      <c r="E408" s="17"/>
      <c r="F408" s="17"/>
      <c r="G408" s="17"/>
      <c r="H408" s="40"/>
      <c r="I408" s="17"/>
      <c r="J408" s="17"/>
      <c r="K408" s="17"/>
      <c r="L408" s="17"/>
      <c r="M408" s="17"/>
      <c r="N408" s="17"/>
      <c r="O408" s="17"/>
      <c r="P408" s="38"/>
      <c r="Q408" s="17"/>
      <c r="R408" s="42" t="str">
        <f aca="false">IF(OR(D408="",P408="",OR(O408="Contract signed + paid",O408="Closed – No response",O408="Lost"),N(Q408)&gt;=Settings!$S$3),"",P408+Settings!$S$2)</f>
        <v/>
      </c>
      <c r="S408" s="38"/>
      <c r="T408" s="39"/>
      <c r="U408" s="17"/>
      <c r="V408" s="17"/>
      <c r="W408" s="17"/>
      <c r="X408" s="43" t="str">
        <f aca="true">IF(OR(D408="",B408=""),"",INT(TODAY()-B408))</f>
        <v/>
      </c>
      <c r="Y408" s="44" t="str">
        <f aca="true">IF(D408="","",IF(OR(COUNTIFS(Clients!$C$2:$C$501,D408,Clients!$S$2:$S$501,"Paid")&gt;0,AND(H408&lt;&gt;"",COUNTIFS(Clients!$E$2:$E$501,H408,Clients!$S$2:$S$501,"Paid")&gt;0)),"⚠ Refunded before – no free video",IF(OR(O408="Contract signed + paid",O408="Closed – No response",O408="Lost"),"",IF(O408="","Set a stage",IF(N(Q408)&gt;=Settings!$S$3,"Close – 4 follow-ups sent",IF(R408="",IF(P408="","Make first contact",""),IF(TODAY()&gt;R408,"OVERDUE follow-up",IF(TODAY()=R408,"Follow up today",""))))))))</f>
        <v/>
      </c>
    </row>
    <row r="409" customFormat="false" ht="15" hidden="false" customHeight="false" outlineLevel="0" collapsed="false">
      <c r="A409" s="17"/>
      <c r="B409" s="38"/>
      <c r="C409" s="17"/>
      <c r="D409" s="17"/>
      <c r="E409" s="17"/>
      <c r="F409" s="17"/>
      <c r="G409" s="17"/>
      <c r="H409" s="40"/>
      <c r="I409" s="17"/>
      <c r="J409" s="17"/>
      <c r="K409" s="17"/>
      <c r="L409" s="17"/>
      <c r="M409" s="17"/>
      <c r="N409" s="17"/>
      <c r="O409" s="17"/>
      <c r="P409" s="38"/>
      <c r="Q409" s="17"/>
      <c r="R409" s="42" t="str">
        <f aca="false">IF(OR(D409="",P409="",OR(O409="Contract signed + paid",O409="Closed – No response",O409="Lost"),N(Q409)&gt;=Settings!$S$3),"",P409+Settings!$S$2)</f>
        <v/>
      </c>
      <c r="S409" s="38"/>
      <c r="T409" s="39"/>
      <c r="U409" s="17"/>
      <c r="V409" s="17"/>
      <c r="W409" s="17"/>
      <c r="X409" s="43" t="str">
        <f aca="true">IF(OR(D409="",B409=""),"",INT(TODAY()-B409))</f>
        <v/>
      </c>
      <c r="Y409" s="44" t="str">
        <f aca="true">IF(D409="","",IF(OR(COUNTIFS(Clients!$C$2:$C$501,D409,Clients!$S$2:$S$501,"Paid")&gt;0,AND(H409&lt;&gt;"",COUNTIFS(Clients!$E$2:$E$501,H409,Clients!$S$2:$S$501,"Paid")&gt;0)),"⚠ Refunded before – no free video",IF(OR(O409="Contract signed + paid",O409="Closed – No response",O409="Lost"),"",IF(O409="","Set a stage",IF(N(Q409)&gt;=Settings!$S$3,"Close – 4 follow-ups sent",IF(R409="",IF(P409="","Make first contact",""),IF(TODAY()&gt;R409,"OVERDUE follow-up",IF(TODAY()=R409,"Follow up today",""))))))))</f>
        <v/>
      </c>
    </row>
    <row r="410" customFormat="false" ht="15" hidden="false" customHeight="false" outlineLevel="0" collapsed="false">
      <c r="A410" s="17"/>
      <c r="B410" s="38"/>
      <c r="C410" s="17"/>
      <c r="D410" s="17"/>
      <c r="E410" s="17"/>
      <c r="F410" s="17"/>
      <c r="G410" s="17"/>
      <c r="H410" s="40"/>
      <c r="I410" s="17"/>
      <c r="J410" s="17"/>
      <c r="K410" s="17"/>
      <c r="L410" s="17"/>
      <c r="M410" s="17"/>
      <c r="N410" s="17"/>
      <c r="O410" s="17"/>
      <c r="P410" s="38"/>
      <c r="Q410" s="17"/>
      <c r="R410" s="42" t="str">
        <f aca="false">IF(OR(D410="",P410="",OR(O410="Contract signed + paid",O410="Closed – No response",O410="Lost"),N(Q410)&gt;=Settings!$S$3),"",P410+Settings!$S$2)</f>
        <v/>
      </c>
      <c r="S410" s="38"/>
      <c r="T410" s="39"/>
      <c r="U410" s="17"/>
      <c r="V410" s="17"/>
      <c r="W410" s="17"/>
      <c r="X410" s="43" t="str">
        <f aca="true">IF(OR(D410="",B410=""),"",INT(TODAY()-B410))</f>
        <v/>
      </c>
      <c r="Y410" s="44" t="str">
        <f aca="true">IF(D410="","",IF(OR(COUNTIFS(Clients!$C$2:$C$501,D410,Clients!$S$2:$S$501,"Paid")&gt;0,AND(H410&lt;&gt;"",COUNTIFS(Clients!$E$2:$E$501,H410,Clients!$S$2:$S$501,"Paid")&gt;0)),"⚠ Refunded before – no free video",IF(OR(O410="Contract signed + paid",O410="Closed – No response",O410="Lost"),"",IF(O410="","Set a stage",IF(N(Q410)&gt;=Settings!$S$3,"Close – 4 follow-ups sent",IF(R410="",IF(P410="","Make first contact",""),IF(TODAY()&gt;R410,"OVERDUE follow-up",IF(TODAY()=R410,"Follow up today",""))))))))</f>
        <v/>
      </c>
    </row>
    <row r="411" customFormat="false" ht="15" hidden="false" customHeight="false" outlineLevel="0" collapsed="false">
      <c r="A411" s="17"/>
      <c r="B411" s="38"/>
      <c r="C411" s="17"/>
      <c r="D411" s="17"/>
      <c r="E411" s="17"/>
      <c r="F411" s="17"/>
      <c r="G411" s="17"/>
      <c r="H411" s="40"/>
      <c r="I411" s="17"/>
      <c r="J411" s="17"/>
      <c r="K411" s="17"/>
      <c r="L411" s="17"/>
      <c r="M411" s="17"/>
      <c r="N411" s="17"/>
      <c r="O411" s="17"/>
      <c r="P411" s="38"/>
      <c r="Q411" s="17"/>
      <c r="R411" s="42" t="str">
        <f aca="false">IF(OR(D411="",P411="",OR(O411="Contract signed + paid",O411="Closed – No response",O411="Lost"),N(Q411)&gt;=Settings!$S$3),"",P411+Settings!$S$2)</f>
        <v/>
      </c>
      <c r="S411" s="38"/>
      <c r="T411" s="39"/>
      <c r="U411" s="17"/>
      <c r="V411" s="17"/>
      <c r="W411" s="17"/>
      <c r="X411" s="43" t="str">
        <f aca="true">IF(OR(D411="",B411=""),"",INT(TODAY()-B411))</f>
        <v/>
      </c>
      <c r="Y411" s="44" t="str">
        <f aca="true">IF(D411="","",IF(OR(COUNTIFS(Clients!$C$2:$C$501,D411,Clients!$S$2:$S$501,"Paid")&gt;0,AND(H411&lt;&gt;"",COUNTIFS(Clients!$E$2:$E$501,H411,Clients!$S$2:$S$501,"Paid")&gt;0)),"⚠ Refunded before – no free video",IF(OR(O411="Contract signed + paid",O411="Closed – No response",O411="Lost"),"",IF(O411="","Set a stage",IF(N(Q411)&gt;=Settings!$S$3,"Close – 4 follow-ups sent",IF(R411="",IF(P411="","Make first contact",""),IF(TODAY()&gt;R411,"OVERDUE follow-up",IF(TODAY()=R411,"Follow up today",""))))))))</f>
        <v/>
      </c>
    </row>
    <row r="412" customFormat="false" ht="15" hidden="false" customHeight="false" outlineLevel="0" collapsed="false">
      <c r="A412" s="17"/>
      <c r="B412" s="38"/>
      <c r="C412" s="17"/>
      <c r="D412" s="17"/>
      <c r="E412" s="17"/>
      <c r="F412" s="17"/>
      <c r="G412" s="17"/>
      <c r="H412" s="40"/>
      <c r="I412" s="17"/>
      <c r="J412" s="17"/>
      <c r="K412" s="17"/>
      <c r="L412" s="17"/>
      <c r="M412" s="17"/>
      <c r="N412" s="17"/>
      <c r="O412" s="17"/>
      <c r="P412" s="38"/>
      <c r="Q412" s="17"/>
      <c r="R412" s="42" t="str">
        <f aca="false">IF(OR(D412="",P412="",OR(O412="Contract signed + paid",O412="Closed – No response",O412="Lost"),N(Q412)&gt;=Settings!$S$3),"",P412+Settings!$S$2)</f>
        <v/>
      </c>
      <c r="S412" s="38"/>
      <c r="T412" s="39"/>
      <c r="U412" s="17"/>
      <c r="V412" s="17"/>
      <c r="W412" s="17"/>
      <c r="X412" s="43" t="str">
        <f aca="true">IF(OR(D412="",B412=""),"",INT(TODAY()-B412))</f>
        <v/>
      </c>
      <c r="Y412" s="44" t="str">
        <f aca="true">IF(D412="","",IF(OR(COUNTIFS(Clients!$C$2:$C$501,D412,Clients!$S$2:$S$501,"Paid")&gt;0,AND(H412&lt;&gt;"",COUNTIFS(Clients!$E$2:$E$501,H412,Clients!$S$2:$S$501,"Paid")&gt;0)),"⚠ Refunded before – no free video",IF(OR(O412="Contract signed + paid",O412="Closed – No response",O412="Lost"),"",IF(O412="","Set a stage",IF(N(Q412)&gt;=Settings!$S$3,"Close – 4 follow-ups sent",IF(R412="",IF(P412="","Make first contact",""),IF(TODAY()&gt;R412,"OVERDUE follow-up",IF(TODAY()=R412,"Follow up today",""))))))))</f>
        <v/>
      </c>
    </row>
    <row r="413" customFormat="false" ht="15" hidden="false" customHeight="false" outlineLevel="0" collapsed="false">
      <c r="A413" s="17"/>
      <c r="B413" s="38"/>
      <c r="C413" s="17"/>
      <c r="D413" s="17"/>
      <c r="E413" s="17"/>
      <c r="F413" s="17"/>
      <c r="G413" s="17"/>
      <c r="H413" s="40"/>
      <c r="I413" s="17"/>
      <c r="J413" s="17"/>
      <c r="K413" s="17"/>
      <c r="L413" s="17"/>
      <c r="M413" s="17"/>
      <c r="N413" s="17"/>
      <c r="O413" s="17"/>
      <c r="P413" s="38"/>
      <c r="Q413" s="17"/>
      <c r="R413" s="42" t="str">
        <f aca="false">IF(OR(D413="",P413="",OR(O413="Contract signed + paid",O413="Closed – No response",O413="Lost"),N(Q413)&gt;=Settings!$S$3),"",P413+Settings!$S$2)</f>
        <v/>
      </c>
      <c r="S413" s="38"/>
      <c r="T413" s="39"/>
      <c r="U413" s="17"/>
      <c r="V413" s="17"/>
      <c r="W413" s="17"/>
      <c r="X413" s="43" t="str">
        <f aca="true">IF(OR(D413="",B413=""),"",INT(TODAY()-B413))</f>
        <v/>
      </c>
      <c r="Y413" s="44" t="str">
        <f aca="true">IF(D413="","",IF(OR(COUNTIFS(Clients!$C$2:$C$501,D413,Clients!$S$2:$S$501,"Paid")&gt;0,AND(H413&lt;&gt;"",COUNTIFS(Clients!$E$2:$E$501,H413,Clients!$S$2:$S$501,"Paid")&gt;0)),"⚠ Refunded before – no free video",IF(OR(O413="Contract signed + paid",O413="Closed – No response",O413="Lost"),"",IF(O413="","Set a stage",IF(N(Q413)&gt;=Settings!$S$3,"Close – 4 follow-ups sent",IF(R413="",IF(P413="","Make first contact",""),IF(TODAY()&gt;R413,"OVERDUE follow-up",IF(TODAY()=R413,"Follow up today",""))))))))</f>
        <v/>
      </c>
    </row>
    <row r="414" customFormat="false" ht="15" hidden="false" customHeight="false" outlineLevel="0" collapsed="false">
      <c r="A414" s="17"/>
      <c r="B414" s="38"/>
      <c r="C414" s="17"/>
      <c r="D414" s="17"/>
      <c r="E414" s="17"/>
      <c r="F414" s="17"/>
      <c r="G414" s="17"/>
      <c r="H414" s="40"/>
      <c r="I414" s="17"/>
      <c r="J414" s="17"/>
      <c r="K414" s="17"/>
      <c r="L414" s="17"/>
      <c r="M414" s="17"/>
      <c r="N414" s="17"/>
      <c r="O414" s="17"/>
      <c r="P414" s="38"/>
      <c r="Q414" s="17"/>
      <c r="R414" s="42" t="str">
        <f aca="false">IF(OR(D414="",P414="",OR(O414="Contract signed + paid",O414="Closed – No response",O414="Lost"),N(Q414)&gt;=Settings!$S$3),"",P414+Settings!$S$2)</f>
        <v/>
      </c>
      <c r="S414" s="38"/>
      <c r="T414" s="39"/>
      <c r="U414" s="17"/>
      <c r="V414" s="17"/>
      <c r="W414" s="17"/>
      <c r="X414" s="43" t="str">
        <f aca="true">IF(OR(D414="",B414=""),"",INT(TODAY()-B414))</f>
        <v/>
      </c>
      <c r="Y414" s="44" t="str">
        <f aca="true">IF(D414="","",IF(OR(COUNTIFS(Clients!$C$2:$C$501,D414,Clients!$S$2:$S$501,"Paid")&gt;0,AND(H414&lt;&gt;"",COUNTIFS(Clients!$E$2:$E$501,H414,Clients!$S$2:$S$501,"Paid")&gt;0)),"⚠ Refunded before – no free video",IF(OR(O414="Contract signed + paid",O414="Closed – No response",O414="Lost"),"",IF(O414="","Set a stage",IF(N(Q414)&gt;=Settings!$S$3,"Close – 4 follow-ups sent",IF(R414="",IF(P414="","Make first contact",""),IF(TODAY()&gt;R414,"OVERDUE follow-up",IF(TODAY()=R414,"Follow up today",""))))))))</f>
        <v/>
      </c>
    </row>
    <row r="415" customFormat="false" ht="15" hidden="false" customHeight="false" outlineLevel="0" collapsed="false">
      <c r="A415" s="17"/>
      <c r="B415" s="38"/>
      <c r="C415" s="17"/>
      <c r="D415" s="17"/>
      <c r="E415" s="17"/>
      <c r="F415" s="17"/>
      <c r="G415" s="17"/>
      <c r="H415" s="40"/>
      <c r="I415" s="17"/>
      <c r="J415" s="17"/>
      <c r="K415" s="17"/>
      <c r="L415" s="17"/>
      <c r="M415" s="17"/>
      <c r="N415" s="17"/>
      <c r="O415" s="17"/>
      <c r="P415" s="38"/>
      <c r="Q415" s="17"/>
      <c r="R415" s="42" t="str">
        <f aca="false">IF(OR(D415="",P415="",OR(O415="Contract signed + paid",O415="Closed – No response",O415="Lost"),N(Q415)&gt;=Settings!$S$3),"",P415+Settings!$S$2)</f>
        <v/>
      </c>
      <c r="S415" s="38"/>
      <c r="T415" s="39"/>
      <c r="U415" s="17"/>
      <c r="V415" s="17"/>
      <c r="W415" s="17"/>
      <c r="X415" s="43" t="str">
        <f aca="true">IF(OR(D415="",B415=""),"",INT(TODAY()-B415))</f>
        <v/>
      </c>
      <c r="Y415" s="44" t="str">
        <f aca="true">IF(D415="","",IF(OR(COUNTIFS(Clients!$C$2:$C$501,D415,Clients!$S$2:$S$501,"Paid")&gt;0,AND(H415&lt;&gt;"",COUNTIFS(Clients!$E$2:$E$501,H415,Clients!$S$2:$S$501,"Paid")&gt;0)),"⚠ Refunded before – no free video",IF(OR(O415="Contract signed + paid",O415="Closed – No response",O415="Lost"),"",IF(O415="","Set a stage",IF(N(Q415)&gt;=Settings!$S$3,"Close – 4 follow-ups sent",IF(R415="",IF(P415="","Make first contact",""),IF(TODAY()&gt;R415,"OVERDUE follow-up",IF(TODAY()=R415,"Follow up today",""))))))))</f>
        <v/>
      </c>
    </row>
    <row r="416" customFormat="false" ht="15" hidden="false" customHeight="false" outlineLevel="0" collapsed="false">
      <c r="A416" s="17"/>
      <c r="B416" s="38"/>
      <c r="C416" s="17"/>
      <c r="D416" s="17"/>
      <c r="E416" s="17"/>
      <c r="F416" s="17"/>
      <c r="G416" s="17"/>
      <c r="H416" s="40"/>
      <c r="I416" s="17"/>
      <c r="J416" s="17"/>
      <c r="K416" s="17"/>
      <c r="L416" s="17"/>
      <c r="M416" s="17"/>
      <c r="N416" s="17"/>
      <c r="O416" s="17"/>
      <c r="P416" s="38"/>
      <c r="Q416" s="17"/>
      <c r="R416" s="42" t="str">
        <f aca="false">IF(OR(D416="",P416="",OR(O416="Contract signed + paid",O416="Closed – No response",O416="Lost"),N(Q416)&gt;=Settings!$S$3),"",P416+Settings!$S$2)</f>
        <v/>
      </c>
      <c r="S416" s="38"/>
      <c r="T416" s="39"/>
      <c r="U416" s="17"/>
      <c r="V416" s="17"/>
      <c r="W416" s="17"/>
      <c r="X416" s="43" t="str">
        <f aca="true">IF(OR(D416="",B416=""),"",INT(TODAY()-B416))</f>
        <v/>
      </c>
      <c r="Y416" s="44" t="str">
        <f aca="true">IF(D416="","",IF(OR(COUNTIFS(Clients!$C$2:$C$501,D416,Clients!$S$2:$S$501,"Paid")&gt;0,AND(H416&lt;&gt;"",COUNTIFS(Clients!$E$2:$E$501,H416,Clients!$S$2:$S$501,"Paid")&gt;0)),"⚠ Refunded before – no free video",IF(OR(O416="Contract signed + paid",O416="Closed – No response",O416="Lost"),"",IF(O416="","Set a stage",IF(N(Q416)&gt;=Settings!$S$3,"Close – 4 follow-ups sent",IF(R416="",IF(P416="","Make first contact",""),IF(TODAY()&gt;R416,"OVERDUE follow-up",IF(TODAY()=R416,"Follow up today",""))))))))</f>
        <v/>
      </c>
    </row>
    <row r="417" customFormat="false" ht="15" hidden="false" customHeight="false" outlineLevel="0" collapsed="false">
      <c r="A417" s="17"/>
      <c r="B417" s="38"/>
      <c r="C417" s="17"/>
      <c r="D417" s="17"/>
      <c r="E417" s="17"/>
      <c r="F417" s="17"/>
      <c r="G417" s="17"/>
      <c r="H417" s="40"/>
      <c r="I417" s="17"/>
      <c r="J417" s="17"/>
      <c r="K417" s="17"/>
      <c r="L417" s="17"/>
      <c r="M417" s="17"/>
      <c r="N417" s="17"/>
      <c r="O417" s="17"/>
      <c r="P417" s="38"/>
      <c r="Q417" s="17"/>
      <c r="R417" s="42" t="str">
        <f aca="false">IF(OR(D417="",P417="",OR(O417="Contract signed + paid",O417="Closed – No response",O417="Lost"),N(Q417)&gt;=Settings!$S$3),"",P417+Settings!$S$2)</f>
        <v/>
      </c>
      <c r="S417" s="38"/>
      <c r="T417" s="39"/>
      <c r="U417" s="17"/>
      <c r="V417" s="17"/>
      <c r="W417" s="17"/>
      <c r="X417" s="43" t="str">
        <f aca="true">IF(OR(D417="",B417=""),"",INT(TODAY()-B417))</f>
        <v/>
      </c>
      <c r="Y417" s="44" t="str">
        <f aca="true">IF(D417="","",IF(OR(COUNTIFS(Clients!$C$2:$C$501,D417,Clients!$S$2:$S$501,"Paid")&gt;0,AND(H417&lt;&gt;"",COUNTIFS(Clients!$E$2:$E$501,H417,Clients!$S$2:$S$501,"Paid")&gt;0)),"⚠ Refunded before – no free video",IF(OR(O417="Contract signed + paid",O417="Closed – No response",O417="Lost"),"",IF(O417="","Set a stage",IF(N(Q417)&gt;=Settings!$S$3,"Close – 4 follow-ups sent",IF(R417="",IF(P417="","Make first contact",""),IF(TODAY()&gt;R417,"OVERDUE follow-up",IF(TODAY()=R417,"Follow up today",""))))))))</f>
        <v/>
      </c>
    </row>
    <row r="418" customFormat="false" ht="15" hidden="false" customHeight="false" outlineLevel="0" collapsed="false">
      <c r="A418" s="17"/>
      <c r="B418" s="38"/>
      <c r="C418" s="17"/>
      <c r="D418" s="17"/>
      <c r="E418" s="17"/>
      <c r="F418" s="17"/>
      <c r="G418" s="17"/>
      <c r="H418" s="40"/>
      <c r="I418" s="17"/>
      <c r="J418" s="17"/>
      <c r="K418" s="17"/>
      <c r="L418" s="17"/>
      <c r="M418" s="17"/>
      <c r="N418" s="17"/>
      <c r="O418" s="17"/>
      <c r="P418" s="38"/>
      <c r="Q418" s="17"/>
      <c r="R418" s="42" t="str">
        <f aca="false">IF(OR(D418="",P418="",OR(O418="Contract signed + paid",O418="Closed – No response",O418="Lost"),N(Q418)&gt;=Settings!$S$3),"",P418+Settings!$S$2)</f>
        <v/>
      </c>
      <c r="S418" s="38"/>
      <c r="T418" s="39"/>
      <c r="U418" s="17"/>
      <c r="V418" s="17"/>
      <c r="W418" s="17"/>
      <c r="X418" s="43" t="str">
        <f aca="true">IF(OR(D418="",B418=""),"",INT(TODAY()-B418))</f>
        <v/>
      </c>
      <c r="Y418" s="44" t="str">
        <f aca="true">IF(D418="","",IF(OR(COUNTIFS(Clients!$C$2:$C$501,D418,Clients!$S$2:$S$501,"Paid")&gt;0,AND(H418&lt;&gt;"",COUNTIFS(Clients!$E$2:$E$501,H418,Clients!$S$2:$S$501,"Paid")&gt;0)),"⚠ Refunded before – no free video",IF(OR(O418="Contract signed + paid",O418="Closed – No response",O418="Lost"),"",IF(O418="","Set a stage",IF(N(Q418)&gt;=Settings!$S$3,"Close – 4 follow-ups sent",IF(R418="",IF(P418="","Make first contact",""),IF(TODAY()&gt;R418,"OVERDUE follow-up",IF(TODAY()=R418,"Follow up today",""))))))))</f>
        <v/>
      </c>
    </row>
    <row r="419" customFormat="false" ht="15" hidden="false" customHeight="false" outlineLevel="0" collapsed="false">
      <c r="A419" s="17"/>
      <c r="B419" s="38"/>
      <c r="C419" s="17"/>
      <c r="D419" s="17"/>
      <c r="E419" s="17"/>
      <c r="F419" s="17"/>
      <c r="G419" s="17"/>
      <c r="H419" s="40"/>
      <c r="I419" s="17"/>
      <c r="J419" s="17"/>
      <c r="K419" s="17"/>
      <c r="L419" s="17"/>
      <c r="M419" s="17"/>
      <c r="N419" s="17"/>
      <c r="O419" s="17"/>
      <c r="P419" s="38"/>
      <c r="Q419" s="17"/>
      <c r="R419" s="42" t="str">
        <f aca="false">IF(OR(D419="",P419="",OR(O419="Contract signed + paid",O419="Closed – No response",O419="Lost"),N(Q419)&gt;=Settings!$S$3),"",P419+Settings!$S$2)</f>
        <v/>
      </c>
      <c r="S419" s="38"/>
      <c r="T419" s="39"/>
      <c r="U419" s="17"/>
      <c r="V419" s="17"/>
      <c r="W419" s="17"/>
      <c r="X419" s="43" t="str">
        <f aca="true">IF(OR(D419="",B419=""),"",INT(TODAY()-B419))</f>
        <v/>
      </c>
      <c r="Y419" s="44" t="str">
        <f aca="true">IF(D419="","",IF(OR(COUNTIFS(Clients!$C$2:$C$501,D419,Clients!$S$2:$S$501,"Paid")&gt;0,AND(H419&lt;&gt;"",COUNTIFS(Clients!$E$2:$E$501,H419,Clients!$S$2:$S$501,"Paid")&gt;0)),"⚠ Refunded before – no free video",IF(OR(O419="Contract signed + paid",O419="Closed – No response",O419="Lost"),"",IF(O419="","Set a stage",IF(N(Q419)&gt;=Settings!$S$3,"Close – 4 follow-ups sent",IF(R419="",IF(P419="","Make first contact",""),IF(TODAY()&gt;R419,"OVERDUE follow-up",IF(TODAY()=R419,"Follow up today",""))))))))</f>
        <v/>
      </c>
    </row>
    <row r="420" customFormat="false" ht="15" hidden="false" customHeight="false" outlineLevel="0" collapsed="false">
      <c r="A420" s="17"/>
      <c r="B420" s="38"/>
      <c r="C420" s="17"/>
      <c r="D420" s="17"/>
      <c r="E420" s="17"/>
      <c r="F420" s="17"/>
      <c r="G420" s="17"/>
      <c r="H420" s="40"/>
      <c r="I420" s="17"/>
      <c r="J420" s="17"/>
      <c r="K420" s="17"/>
      <c r="L420" s="17"/>
      <c r="M420" s="17"/>
      <c r="N420" s="17"/>
      <c r="O420" s="17"/>
      <c r="P420" s="38"/>
      <c r="Q420" s="17"/>
      <c r="R420" s="42" t="str">
        <f aca="false">IF(OR(D420="",P420="",OR(O420="Contract signed + paid",O420="Closed – No response",O420="Lost"),N(Q420)&gt;=Settings!$S$3),"",P420+Settings!$S$2)</f>
        <v/>
      </c>
      <c r="S420" s="38"/>
      <c r="T420" s="39"/>
      <c r="U420" s="17"/>
      <c r="V420" s="17"/>
      <c r="W420" s="17"/>
      <c r="X420" s="43" t="str">
        <f aca="true">IF(OR(D420="",B420=""),"",INT(TODAY()-B420))</f>
        <v/>
      </c>
      <c r="Y420" s="44" t="str">
        <f aca="true">IF(D420="","",IF(OR(COUNTIFS(Clients!$C$2:$C$501,D420,Clients!$S$2:$S$501,"Paid")&gt;0,AND(H420&lt;&gt;"",COUNTIFS(Clients!$E$2:$E$501,H420,Clients!$S$2:$S$501,"Paid")&gt;0)),"⚠ Refunded before – no free video",IF(OR(O420="Contract signed + paid",O420="Closed – No response",O420="Lost"),"",IF(O420="","Set a stage",IF(N(Q420)&gt;=Settings!$S$3,"Close – 4 follow-ups sent",IF(R420="",IF(P420="","Make first contact",""),IF(TODAY()&gt;R420,"OVERDUE follow-up",IF(TODAY()=R420,"Follow up today",""))))))))</f>
        <v/>
      </c>
    </row>
    <row r="421" customFormat="false" ht="15" hidden="false" customHeight="false" outlineLevel="0" collapsed="false">
      <c r="A421" s="17"/>
      <c r="B421" s="38"/>
      <c r="C421" s="17"/>
      <c r="D421" s="17"/>
      <c r="E421" s="17"/>
      <c r="F421" s="17"/>
      <c r="G421" s="17"/>
      <c r="H421" s="40"/>
      <c r="I421" s="17"/>
      <c r="J421" s="17"/>
      <c r="K421" s="17"/>
      <c r="L421" s="17"/>
      <c r="M421" s="17"/>
      <c r="N421" s="17"/>
      <c r="O421" s="17"/>
      <c r="P421" s="38"/>
      <c r="Q421" s="17"/>
      <c r="R421" s="42" t="str">
        <f aca="false">IF(OR(D421="",P421="",OR(O421="Contract signed + paid",O421="Closed – No response",O421="Lost"),N(Q421)&gt;=Settings!$S$3),"",P421+Settings!$S$2)</f>
        <v/>
      </c>
      <c r="S421" s="38"/>
      <c r="T421" s="39"/>
      <c r="U421" s="17"/>
      <c r="V421" s="17"/>
      <c r="W421" s="17"/>
      <c r="X421" s="43" t="str">
        <f aca="true">IF(OR(D421="",B421=""),"",INT(TODAY()-B421))</f>
        <v/>
      </c>
      <c r="Y421" s="44" t="str">
        <f aca="true">IF(D421="","",IF(OR(COUNTIFS(Clients!$C$2:$C$501,D421,Clients!$S$2:$S$501,"Paid")&gt;0,AND(H421&lt;&gt;"",COUNTIFS(Clients!$E$2:$E$501,H421,Clients!$S$2:$S$501,"Paid")&gt;0)),"⚠ Refunded before – no free video",IF(OR(O421="Contract signed + paid",O421="Closed – No response",O421="Lost"),"",IF(O421="","Set a stage",IF(N(Q421)&gt;=Settings!$S$3,"Close – 4 follow-ups sent",IF(R421="",IF(P421="","Make first contact",""),IF(TODAY()&gt;R421,"OVERDUE follow-up",IF(TODAY()=R421,"Follow up today",""))))))))</f>
        <v/>
      </c>
    </row>
    <row r="422" customFormat="false" ht="15" hidden="false" customHeight="false" outlineLevel="0" collapsed="false">
      <c r="A422" s="17"/>
      <c r="B422" s="38"/>
      <c r="C422" s="17"/>
      <c r="D422" s="17"/>
      <c r="E422" s="17"/>
      <c r="F422" s="17"/>
      <c r="G422" s="17"/>
      <c r="H422" s="40"/>
      <c r="I422" s="17"/>
      <c r="J422" s="17"/>
      <c r="K422" s="17"/>
      <c r="L422" s="17"/>
      <c r="M422" s="17"/>
      <c r="N422" s="17"/>
      <c r="O422" s="17"/>
      <c r="P422" s="38"/>
      <c r="Q422" s="17"/>
      <c r="R422" s="42" t="str">
        <f aca="false">IF(OR(D422="",P422="",OR(O422="Contract signed + paid",O422="Closed – No response",O422="Lost"),N(Q422)&gt;=Settings!$S$3),"",P422+Settings!$S$2)</f>
        <v/>
      </c>
      <c r="S422" s="38"/>
      <c r="T422" s="39"/>
      <c r="U422" s="17"/>
      <c r="V422" s="17"/>
      <c r="W422" s="17"/>
      <c r="X422" s="43" t="str">
        <f aca="true">IF(OR(D422="",B422=""),"",INT(TODAY()-B422))</f>
        <v/>
      </c>
      <c r="Y422" s="44" t="str">
        <f aca="true">IF(D422="","",IF(OR(COUNTIFS(Clients!$C$2:$C$501,D422,Clients!$S$2:$S$501,"Paid")&gt;0,AND(H422&lt;&gt;"",COUNTIFS(Clients!$E$2:$E$501,H422,Clients!$S$2:$S$501,"Paid")&gt;0)),"⚠ Refunded before – no free video",IF(OR(O422="Contract signed + paid",O422="Closed – No response",O422="Lost"),"",IF(O422="","Set a stage",IF(N(Q422)&gt;=Settings!$S$3,"Close – 4 follow-ups sent",IF(R422="",IF(P422="","Make first contact",""),IF(TODAY()&gt;R422,"OVERDUE follow-up",IF(TODAY()=R422,"Follow up today",""))))))))</f>
        <v/>
      </c>
    </row>
    <row r="423" customFormat="false" ht="15" hidden="false" customHeight="false" outlineLevel="0" collapsed="false">
      <c r="A423" s="17"/>
      <c r="B423" s="38"/>
      <c r="C423" s="17"/>
      <c r="D423" s="17"/>
      <c r="E423" s="17"/>
      <c r="F423" s="17"/>
      <c r="G423" s="17"/>
      <c r="H423" s="40"/>
      <c r="I423" s="17"/>
      <c r="J423" s="17"/>
      <c r="K423" s="17"/>
      <c r="L423" s="17"/>
      <c r="M423" s="17"/>
      <c r="N423" s="17"/>
      <c r="O423" s="17"/>
      <c r="P423" s="38"/>
      <c r="Q423" s="17"/>
      <c r="R423" s="42" t="str">
        <f aca="false">IF(OR(D423="",P423="",OR(O423="Contract signed + paid",O423="Closed – No response",O423="Lost"),N(Q423)&gt;=Settings!$S$3),"",P423+Settings!$S$2)</f>
        <v/>
      </c>
      <c r="S423" s="38"/>
      <c r="T423" s="39"/>
      <c r="U423" s="17"/>
      <c r="V423" s="17"/>
      <c r="W423" s="17"/>
      <c r="X423" s="43" t="str">
        <f aca="true">IF(OR(D423="",B423=""),"",INT(TODAY()-B423))</f>
        <v/>
      </c>
      <c r="Y423" s="44" t="str">
        <f aca="true">IF(D423="","",IF(OR(COUNTIFS(Clients!$C$2:$C$501,D423,Clients!$S$2:$S$501,"Paid")&gt;0,AND(H423&lt;&gt;"",COUNTIFS(Clients!$E$2:$E$501,H423,Clients!$S$2:$S$501,"Paid")&gt;0)),"⚠ Refunded before – no free video",IF(OR(O423="Contract signed + paid",O423="Closed – No response",O423="Lost"),"",IF(O423="","Set a stage",IF(N(Q423)&gt;=Settings!$S$3,"Close – 4 follow-ups sent",IF(R423="",IF(P423="","Make first contact",""),IF(TODAY()&gt;R423,"OVERDUE follow-up",IF(TODAY()=R423,"Follow up today",""))))))))</f>
        <v/>
      </c>
    </row>
    <row r="424" customFormat="false" ht="15" hidden="false" customHeight="false" outlineLevel="0" collapsed="false">
      <c r="A424" s="17"/>
      <c r="B424" s="38"/>
      <c r="C424" s="17"/>
      <c r="D424" s="17"/>
      <c r="E424" s="17"/>
      <c r="F424" s="17"/>
      <c r="G424" s="17"/>
      <c r="H424" s="40"/>
      <c r="I424" s="17"/>
      <c r="J424" s="17"/>
      <c r="K424" s="17"/>
      <c r="L424" s="17"/>
      <c r="M424" s="17"/>
      <c r="N424" s="17"/>
      <c r="O424" s="17"/>
      <c r="P424" s="38"/>
      <c r="Q424" s="17"/>
      <c r="R424" s="42" t="str">
        <f aca="false">IF(OR(D424="",P424="",OR(O424="Contract signed + paid",O424="Closed – No response",O424="Lost"),N(Q424)&gt;=Settings!$S$3),"",P424+Settings!$S$2)</f>
        <v/>
      </c>
      <c r="S424" s="38"/>
      <c r="T424" s="39"/>
      <c r="U424" s="17"/>
      <c r="V424" s="17"/>
      <c r="W424" s="17"/>
      <c r="X424" s="43" t="str">
        <f aca="true">IF(OR(D424="",B424=""),"",INT(TODAY()-B424))</f>
        <v/>
      </c>
      <c r="Y424" s="44" t="str">
        <f aca="true">IF(D424="","",IF(OR(COUNTIFS(Clients!$C$2:$C$501,D424,Clients!$S$2:$S$501,"Paid")&gt;0,AND(H424&lt;&gt;"",COUNTIFS(Clients!$E$2:$E$501,H424,Clients!$S$2:$S$501,"Paid")&gt;0)),"⚠ Refunded before – no free video",IF(OR(O424="Contract signed + paid",O424="Closed – No response",O424="Lost"),"",IF(O424="","Set a stage",IF(N(Q424)&gt;=Settings!$S$3,"Close – 4 follow-ups sent",IF(R424="",IF(P424="","Make first contact",""),IF(TODAY()&gt;R424,"OVERDUE follow-up",IF(TODAY()=R424,"Follow up today",""))))))))</f>
        <v/>
      </c>
    </row>
    <row r="425" customFormat="false" ht="15" hidden="false" customHeight="false" outlineLevel="0" collapsed="false">
      <c r="A425" s="17"/>
      <c r="B425" s="38"/>
      <c r="C425" s="17"/>
      <c r="D425" s="17"/>
      <c r="E425" s="17"/>
      <c r="F425" s="17"/>
      <c r="G425" s="17"/>
      <c r="H425" s="40"/>
      <c r="I425" s="17"/>
      <c r="J425" s="17"/>
      <c r="K425" s="17"/>
      <c r="L425" s="17"/>
      <c r="M425" s="17"/>
      <c r="N425" s="17"/>
      <c r="O425" s="17"/>
      <c r="P425" s="38"/>
      <c r="Q425" s="17"/>
      <c r="R425" s="42" t="str">
        <f aca="false">IF(OR(D425="",P425="",OR(O425="Contract signed + paid",O425="Closed – No response",O425="Lost"),N(Q425)&gt;=Settings!$S$3),"",P425+Settings!$S$2)</f>
        <v/>
      </c>
      <c r="S425" s="38"/>
      <c r="T425" s="39"/>
      <c r="U425" s="17"/>
      <c r="V425" s="17"/>
      <c r="W425" s="17"/>
      <c r="X425" s="43" t="str">
        <f aca="true">IF(OR(D425="",B425=""),"",INT(TODAY()-B425))</f>
        <v/>
      </c>
      <c r="Y425" s="44" t="str">
        <f aca="true">IF(D425="","",IF(OR(COUNTIFS(Clients!$C$2:$C$501,D425,Clients!$S$2:$S$501,"Paid")&gt;0,AND(H425&lt;&gt;"",COUNTIFS(Clients!$E$2:$E$501,H425,Clients!$S$2:$S$501,"Paid")&gt;0)),"⚠ Refunded before – no free video",IF(OR(O425="Contract signed + paid",O425="Closed – No response",O425="Lost"),"",IF(O425="","Set a stage",IF(N(Q425)&gt;=Settings!$S$3,"Close – 4 follow-ups sent",IF(R425="",IF(P425="","Make first contact",""),IF(TODAY()&gt;R425,"OVERDUE follow-up",IF(TODAY()=R425,"Follow up today",""))))))))</f>
        <v/>
      </c>
    </row>
    <row r="426" customFormat="false" ht="15" hidden="false" customHeight="false" outlineLevel="0" collapsed="false">
      <c r="A426" s="17"/>
      <c r="B426" s="38"/>
      <c r="C426" s="17"/>
      <c r="D426" s="17"/>
      <c r="E426" s="17"/>
      <c r="F426" s="17"/>
      <c r="G426" s="17"/>
      <c r="H426" s="40"/>
      <c r="I426" s="17"/>
      <c r="J426" s="17"/>
      <c r="K426" s="17"/>
      <c r="L426" s="17"/>
      <c r="M426" s="17"/>
      <c r="N426" s="17"/>
      <c r="O426" s="17"/>
      <c r="P426" s="38"/>
      <c r="Q426" s="17"/>
      <c r="R426" s="42" t="str">
        <f aca="false">IF(OR(D426="",P426="",OR(O426="Contract signed + paid",O426="Closed – No response",O426="Lost"),N(Q426)&gt;=Settings!$S$3),"",P426+Settings!$S$2)</f>
        <v/>
      </c>
      <c r="S426" s="38"/>
      <c r="T426" s="39"/>
      <c r="U426" s="17"/>
      <c r="V426" s="17"/>
      <c r="W426" s="17"/>
      <c r="X426" s="43" t="str">
        <f aca="true">IF(OR(D426="",B426=""),"",INT(TODAY()-B426))</f>
        <v/>
      </c>
      <c r="Y426" s="44" t="str">
        <f aca="true">IF(D426="","",IF(OR(COUNTIFS(Clients!$C$2:$C$501,D426,Clients!$S$2:$S$501,"Paid")&gt;0,AND(H426&lt;&gt;"",COUNTIFS(Clients!$E$2:$E$501,H426,Clients!$S$2:$S$501,"Paid")&gt;0)),"⚠ Refunded before – no free video",IF(OR(O426="Contract signed + paid",O426="Closed – No response",O426="Lost"),"",IF(O426="","Set a stage",IF(N(Q426)&gt;=Settings!$S$3,"Close – 4 follow-ups sent",IF(R426="",IF(P426="","Make first contact",""),IF(TODAY()&gt;R426,"OVERDUE follow-up",IF(TODAY()=R426,"Follow up today",""))))))))</f>
        <v/>
      </c>
    </row>
    <row r="427" customFormat="false" ht="15" hidden="false" customHeight="false" outlineLevel="0" collapsed="false">
      <c r="A427" s="17"/>
      <c r="B427" s="38"/>
      <c r="C427" s="17"/>
      <c r="D427" s="17"/>
      <c r="E427" s="17"/>
      <c r="F427" s="17"/>
      <c r="G427" s="17"/>
      <c r="H427" s="40"/>
      <c r="I427" s="17"/>
      <c r="J427" s="17"/>
      <c r="K427" s="17"/>
      <c r="L427" s="17"/>
      <c r="M427" s="17"/>
      <c r="N427" s="17"/>
      <c r="O427" s="17"/>
      <c r="P427" s="38"/>
      <c r="Q427" s="17"/>
      <c r="R427" s="42" t="str">
        <f aca="false">IF(OR(D427="",P427="",OR(O427="Contract signed + paid",O427="Closed – No response",O427="Lost"),N(Q427)&gt;=Settings!$S$3),"",P427+Settings!$S$2)</f>
        <v/>
      </c>
      <c r="S427" s="38"/>
      <c r="T427" s="39"/>
      <c r="U427" s="17"/>
      <c r="V427" s="17"/>
      <c r="W427" s="17"/>
      <c r="X427" s="43" t="str">
        <f aca="true">IF(OR(D427="",B427=""),"",INT(TODAY()-B427))</f>
        <v/>
      </c>
      <c r="Y427" s="44" t="str">
        <f aca="true">IF(D427="","",IF(OR(COUNTIFS(Clients!$C$2:$C$501,D427,Clients!$S$2:$S$501,"Paid")&gt;0,AND(H427&lt;&gt;"",COUNTIFS(Clients!$E$2:$E$501,H427,Clients!$S$2:$S$501,"Paid")&gt;0)),"⚠ Refunded before – no free video",IF(OR(O427="Contract signed + paid",O427="Closed – No response",O427="Lost"),"",IF(O427="","Set a stage",IF(N(Q427)&gt;=Settings!$S$3,"Close – 4 follow-ups sent",IF(R427="",IF(P427="","Make first contact",""),IF(TODAY()&gt;R427,"OVERDUE follow-up",IF(TODAY()=R427,"Follow up today",""))))))))</f>
        <v/>
      </c>
    </row>
    <row r="428" customFormat="false" ht="15" hidden="false" customHeight="false" outlineLevel="0" collapsed="false">
      <c r="A428" s="17"/>
      <c r="B428" s="38"/>
      <c r="C428" s="17"/>
      <c r="D428" s="17"/>
      <c r="E428" s="17"/>
      <c r="F428" s="17"/>
      <c r="G428" s="17"/>
      <c r="H428" s="40"/>
      <c r="I428" s="17"/>
      <c r="J428" s="17"/>
      <c r="K428" s="17"/>
      <c r="L428" s="17"/>
      <c r="M428" s="17"/>
      <c r="N428" s="17"/>
      <c r="O428" s="17"/>
      <c r="P428" s="38"/>
      <c r="Q428" s="17"/>
      <c r="R428" s="42" t="str">
        <f aca="false">IF(OR(D428="",P428="",OR(O428="Contract signed + paid",O428="Closed – No response",O428="Lost"),N(Q428)&gt;=Settings!$S$3),"",P428+Settings!$S$2)</f>
        <v/>
      </c>
      <c r="S428" s="38"/>
      <c r="T428" s="39"/>
      <c r="U428" s="17"/>
      <c r="V428" s="17"/>
      <c r="W428" s="17"/>
      <c r="X428" s="43" t="str">
        <f aca="true">IF(OR(D428="",B428=""),"",INT(TODAY()-B428))</f>
        <v/>
      </c>
      <c r="Y428" s="44" t="str">
        <f aca="true">IF(D428="","",IF(OR(COUNTIFS(Clients!$C$2:$C$501,D428,Clients!$S$2:$S$501,"Paid")&gt;0,AND(H428&lt;&gt;"",COUNTIFS(Clients!$E$2:$E$501,H428,Clients!$S$2:$S$501,"Paid")&gt;0)),"⚠ Refunded before – no free video",IF(OR(O428="Contract signed + paid",O428="Closed – No response",O428="Lost"),"",IF(O428="","Set a stage",IF(N(Q428)&gt;=Settings!$S$3,"Close – 4 follow-ups sent",IF(R428="",IF(P428="","Make first contact",""),IF(TODAY()&gt;R428,"OVERDUE follow-up",IF(TODAY()=R428,"Follow up today",""))))))))</f>
        <v/>
      </c>
    </row>
    <row r="429" customFormat="false" ht="15" hidden="false" customHeight="false" outlineLevel="0" collapsed="false">
      <c r="A429" s="17"/>
      <c r="B429" s="38"/>
      <c r="C429" s="17"/>
      <c r="D429" s="17"/>
      <c r="E429" s="17"/>
      <c r="F429" s="17"/>
      <c r="G429" s="17"/>
      <c r="H429" s="40"/>
      <c r="I429" s="17"/>
      <c r="J429" s="17"/>
      <c r="K429" s="17"/>
      <c r="L429" s="17"/>
      <c r="M429" s="17"/>
      <c r="N429" s="17"/>
      <c r="O429" s="17"/>
      <c r="P429" s="38"/>
      <c r="Q429" s="17"/>
      <c r="R429" s="42" t="str">
        <f aca="false">IF(OR(D429="",P429="",OR(O429="Contract signed + paid",O429="Closed – No response",O429="Lost"),N(Q429)&gt;=Settings!$S$3),"",P429+Settings!$S$2)</f>
        <v/>
      </c>
      <c r="S429" s="38"/>
      <c r="T429" s="39"/>
      <c r="U429" s="17"/>
      <c r="V429" s="17"/>
      <c r="W429" s="17"/>
      <c r="X429" s="43" t="str">
        <f aca="true">IF(OR(D429="",B429=""),"",INT(TODAY()-B429))</f>
        <v/>
      </c>
      <c r="Y429" s="44" t="str">
        <f aca="true">IF(D429="","",IF(OR(COUNTIFS(Clients!$C$2:$C$501,D429,Clients!$S$2:$S$501,"Paid")&gt;0,AND(H429&lt;&gt;"",COUNTIFS(Clients!$E$2:$E$501,H429,Clients!$S$2:$S$501,"Paid")&gt;0)),"⚠ Refunded before – no free video",IF(OR(O429="Contract signed + paid",O429="Closed – No response",O429="Lost"),"",IF(O429="","Set a stage",IF(N(Q429)&gt;=Settings!$S$3,"Close – 4 follow-ups sent",IF(R429="",IF(P429="","Make first contact",""),IF(TODAY()&gt;R429,"OVERDUE follow-up",IF(TODAY()=R429,"Follow up today",""))))))))</f>
        <v/>
      </c>
    </row>
    <row r="430" customFormat="false" ht="15" hidden="false" customHeight="false" outlineLevel="0" collapsed="false">
      <c r="A430" s="17"/>
      <c r="B430" s="38"/>
      <c r="C430" s="17"/>
      <c r="D430" s="17"/>
      <c r="E430" s="17"/>
      <c r="F430" s="17"/>
      <c r="G430" s="17"/>
      <c r="H430" s="40"/>
      <c r="I430" s="17"/>
      <c r="J430" s="17"/>
      <c r="K430" s="17"/>
      <c r="L430" s="17"/>
      <c r="M430" s="17"/>
      <c r="N430" s="17"/>
      <c r="O430" s="17"/>
      <c r="P430" s="38"/>
      <c r="Q430" s="17"/>
      <c r="R430" s="42" t="str">
        <f aca="false">IF(OR(D430="",P430="",OR(O430="Contract signed + paid",O430="Closed – No response",O430="Lost"),N(Q430)&gt;=Settings!$S$3),"",P430+Settings!$S$2)</f>
        <v/>
      </c>
      <c r="S430" s="38"/>
      <c r="T430" s="39"/>
      <c r="U430" s="17"/>
      <c r="V430" s="17"/>
      <c r="W430" s="17"/>
      <c r="X430" s="43" t="str">
        <f aca="true">IF(OR(D430="",B430=""),"",INT(TODAY()-B430))</f>
        <v/>
      </c>
      <c r="Y430" s="44" t="str">
        <f aca="true">IF(D430="","",IF(OR(COUNTIFS(Clients!$C$2:$C$501,D430,Clients!$S$2:$S$501,"Paid")&gt;0,AND(H430&lt;&gt;"",COUNTIFS(Clients!$E$2:$E$501,H430,Clients!$S$2:$S$501,"Paid")&gt;0)),"⚠ Refunded before – no free video",IF(OR(O430="Contract signed + paid",O430="Closed – No response",O430="Lost"),"",IF(O430="","Set a stage",IF(N(Q430)&gt;=Settings!$S$3,"Close – 4 follow-ups sent",IF(R430="",IF(P430="","Make first contact",""),IF(TODAY()&gt;R430,"OVERDUE follow-up",IF(TODAY()=R430,"Follow up today",""))))))))</f>
        <v/>
      </c>
    </row>
    <row r="431" customFormat="false" ht="15" hidden="false" customHeight="false" outlineLevel="0" collapsed="false">
      <c r="A431" s="17"/>
      <c r="B431" s="38"/>
      <c r="C431" s="17"/>
      <c r="D431" s="17"/>
      <c r="E431" s="17"/>
      <c r="F431" s="17"/>
      <c r="G431" s="17"/>
      <c r="H431" s="40"/>
      <c r="I431" s="17"/>
      <c r="J431" s="17"/>
      <c r="K431" s="17"/>
      <c r="L431" s="17"/>
      <c r="M431" s="17"/>
      <c r="N431" s="17"/>
      <c r="O431" s="17"/>
      <c r="P431" s="38"/>
      <c r="Q431" s="17"/>
      <c r="R431" s="42" t="str">
        <f aca="false">IF(OR(D431="",P431="",OR(O431="Contract signed + paid",O431="Closed – No response",O431="Lost"),N(Q431)&gt;=Settings!$S$3),"",P431+Settings!$S$2)</f>
        <v/>
      </c>
      <c r="S431" s="38"/>
      <c r="T431" s="39"/>
      <c r="U431" s="17"/>
      <c r="V431" s="17"/>
      <c r="W431" s="17"/>
      <c r="X431" s="43" t="str">
        <f aca="true">IF(OR(D431="",B431=""),"",INT(TODAY()-B431))</f>
        <v/>
      </c>
      <c r="Y431" s="44" t="str">
        <f aca="true">IF(D431="","",IF(OR(COUNTIFS(Clients!$C$2:$C$501,D431,Clients!$S$2:$S$501,"Paid")&gt;0,AND(H431&lt;&gt;"",COUNTIFS(Clients!$E$2:$E$501,H431,Clients!$S$2:$S$501,"Paid")&gt;0)),"⚠ Refunded before – no free video",IF(OR(O431="Contract signed + paid",O431="Closed – No response",O431="Lost"),"",IF(O431="","Set a stage",IF(N(Q431)&gt;=Settings!$S$3,"Close – 4 follow-ups sent",IF(R431="",IF(P431="","Make first contact",""),IF(TODAY()&gt;R431,"OVERDUE follow-up",IF(TODAY()=R431,"Follow up today",""))))))))</f>
        <v/>
      </c>
    </row>
    <row r="432" customFormat="false" ht="15" hidden="false" customHeight="false" outlineLevel="0" collapsed="false">
      <c r="A432" s="17"/>
      <c r="B432" s="38"/>
      <c r="C432" s="17"/>
      <c r="D432" s="17"/>
      <c r="E432" s="17"/>
      <c r="F432" s="17"/>
      <c r="G432" s="17"/>
      <c r="H432" s="40"/>
      <c r="I432" s="17"/>
      <c r="J432" s="17"/>
      <c r="K432" s="17"/>
      <c r="L432" s="17"/>
      <c r="M432" s="17"/>
      <c r="N432" s="17"/>
      <c r="O432" s="17"/>
      <c r="P432" s="38"/>
      <c r="Q432" s="17"/>
      <c r="R432" s="42" t="str">
        <f aca="false">IF(OR(D432="",P432="",OR(O432="Contract signed + paid",O432="Closed – No response",O432="Lost"),N(Q432)&gt;=Settings!$S$3),"",P432+Settings!$S$2)</f>
        <v/>
      </c>
      <c r="S432" s="38"/>
      <c r="T432" s="39"/>
      <c r="U432" s="17"/>
      <c r="V432" s="17"/>
      <c r="W432" s="17"/>
      <c r="X432" s="43" t="str">
        <f aca="true">IF(OR(D432="",B432=""),"",INT(TODAY()-B432))</f>
        <v/>
      </c>
      <c r="Y432" s="44" t="str">
        <f aca="true">IF(D432="","",IF(OR(COUNTIFS(Clients!$C$2:$C$501,D432,Clients!$S$2:$S$501,"Paid")&gt;0,AND(H432&lt;&gt;"",COUNTIFS(Clients!$E$2:$E$501,H432,Clients!$S$2:$S$501,"Paid")&gt;0)),"⚠ Refunded before – no free video",IF(OR(O432="Contract signed + paid",O432="Closed – No response",O432="Lost"),"",IF(O432="","Set a stage",IF(N(Q432)&gt;=Settings!$S$3,"Close – 4 follow-ups sent",IF(R432="",IF(P432="","Make first contact",""),IF(TODAY()&gt;R432,"OVERDUE follow-up",IF(TODAY()=R432,"Follow up today",""))))))))</f>
        <v/>
      </c>
    </row>
    <row r="433" customFormat="false" ht="15" hidden="false" customHeight="false" outlineLevel="0" collapsed="false">
      <c r="A433" s="17"/>
      <c r="B433" s="38"/>
      <c r="C433" s="17"/>
      <c r="D433" s="17"/>
      <c r="E433" s="17"/>
      <c r="F433" s="17"/>
      <c r="G433" s="17"/>
      <c r="H433" s="40"/>
      <c r="I433" s="17"/>
      <c r="J433" s="17"/>
      <c r="K433" s="17"/>
      <c r="L433" s="17"/>
      <c r="M433" s="17"/>
      <c r="N433" s="17"/>
      <c r="O433" s="17"/>
      <c r="P433" s="38"/>
      <c r="Q433" s="17"/>
      <c r="R433" s="42" t="str">
        <f aca="false">IF(OR(D433="",P433="",OR(O433="Contract signed + paid",O433="Closed – No response",O433="Lost"),N(Q433)&gt;=Settings!$S$3),"",P433+Settings!$S$2)</f>
        <v/>
      </c>
      <c r="S433" s="38"/>
      <c r="T433" s="39"/>
      <c r="U433" s="17"/>
      <c r="V433" s="17"/>
      <c r="W433" s="17"/>
      <c r="X433" s="43" t="str">
        <f aca="true">IF(OR(D433="",B433=""),"",INT(TODAY()-B433))</f>
        <v/>
      </c>
      <c r="Y433" s="44" t="str">
        <f aca="true">IF(D433="","",IF(OR(COUNTIFS(Clients!$C$2:$C$501,D433,Clients!$S$2:$S$501,"Paid")&gt;0,AND(H433&lt;&gt;"",COUNTIFS(Clients!$E$2:$E$501,H433,Clients!$S$2:$S$501,"Paid")&gt;0)),"⚠ Refunded before – no free video",IF(OR(O433="Contract signed + paid",O433="Closed – No response",O433="Lost"),"",IF(O433="","Set a stage",IF(N(Q433)&gt;=Settings!$S$3,"Close – 4 follow-ups sent",IF(R433="",IF(P433="","Make first contact",""),IF(TODAY()&gt;R433,"OVERDUE follow-up",IF(TODAY()=R433,"Follow up today",""))))))))</f>
        <v/>
      </c>
    </row>
    <row r="434" customFormat="false" ht="15" hidden="false" customHeight="false" outlineLevel="0" collapsed="false">
      <c r="A434" s="17"/>
      <c r="B434" s="38"/>
      <c r="C434" s="17"/>
      <c r="D434" s="17"/>
      <c r="E434" s="17"/>
      <c r="F434" s="17"/>
      <c r="G434" s="17"/>
      <c r="H434" s="40"/>
      <c r="I434" s="17"/>
      <c r="J434" s="17"/>
      <c r="K434" s="17"/>
      <c r="L434" s="17"/>
      <c r="M434" s="17"/>
      <c r="N434" s="17"/>
      <c r="O434" s="17"/>
      <c r="P434" s="38"/>
      <c r="Q434" s="17"/>
      <c r="R434" s="42" t="str">
        <f aca="false">IF(OR(D434="",P434="",OR(O434="Contract signed + paid",O434="Closed – No response",O434="Lost"),N(Q434)&gt;=Settings!$S$3),"",P434+Settings!$S$2)</f>
        <v/>
      </c>
      <c r="S434" s="38"/>
      <c r="T434" s="39"/>
      <c r="U434" s="17"/>
      <c r="V434" s="17"/>
      <c r="W434" s="17"/>
      <c r="X434" s="43" t="str">
        <f aca="true">IF(OR(D434="",B434=""),"",INT(TODAY()-B434))</f>
        <v/>
      </c>
      <c r="Y434" s="44" t="str">
        <f aca="true">IF(D434="","",IF(OR(COUNTIFS(Clients!$C$2:$C$501,D434,Clients!$S$2:$S$501,"Paid")&gt;0,AND(H434&lt;&gt;"",COUNTIFS(Clients!$E$2:$E$501,H434,Clients!$S$2:$S$501,"Paid")&gt;0)),"⚠ Refunded before – no free video",IF(OR(O434="Contract signed + paid",O434="Closed – No response",O434="Lost"),"",IF(O434="","Set a stage",IF(N(Q434)&gt;=Settings!$S$3,"Close – 4 follow-ups sent",IF(R434="",IF(P434="","Make first contact",""),IF(TODAY()&gt;R434,"OVERDUE follow-up",IF(TODAY()=R434,"Follow up today",""))))))))</f>
        <v/>
      </c>
    </row>
    <row r="435" customFormat="false" ht="15" hidden="false" customHeight="false" outlineLevel="0" collapsed="false">
      <c r="A435" s="17"/>
      <c r="B435" s="38"/>
      <c r="C435" s="17"/>
      <c r="D435" s="17"/>
      <c r="E435" s="17"/>
      <c r="F435" s="17"/>
      <c r="G435" s="17"/>
      <c r="H435" s="40"/>
      <c r="I435" s="17"/>
      <c r="J435" s="17"/>
      <c r="K435" s="17"/>
      <c r="L435" s="17"/>
      <c r="M435" s="17"/>
      <c r="N435" s="17"/>
      <c r="O435" s="17"/>
      <c r="P435" s="38"/>
      <c r="Q435" s="17"/>
      <c r="R435" s="42" t="str">
        <f aca="false">IF(OR(D435="",P435="",OR(O435="Contract signed + paid",O435="Closed – No response",O435="Lost"),N(Q435)&gt;=Settings!$S$3),"",P435+Settings!$S$2)</f>
        <v/>
      </c>
      <c r="S435" s="38"/>
      <c r="T435" s="39"/>
      <c r="U435" s="17"/>
      <c r="V435" s="17"/>
      <c r="W435" s="17"/>
      <c r="X435" s="43" t="str">
        <f aca="true">IF(OR(D435="",B435=""),"",INT(TODAY()-B435))</f>
        <v/>
      </c>
      <c r="Y435" s="44" t="str">
        <f aca="true">IF(D435="","",IF(OR(COUNTIFS(Clients!$C$2:$C$501,D435,Clients!$S$2:$S$501,"Paid")&gt;0,AND(H435&lt;&gt;"",COUNTIFS(Clients!$E$2:$E$501,H435,Clients!$S$2:$S$501,"Paid")&gt;0)),"⚠ Refunded before – no free video",IF(OR(O435="Contract signed + paid",O435="Closed – No response",O435="Lost"),"",IF(O435="","Set a stage",IF(N(Q435)&gt;=Settings!$S$3,"Close – 4 follow-ups sent",IF(R435="",IF(P435="","Make first contact",""),IF(TODAY()&gt;R435,"OVERDUE follow-up",IF(TODAY()=R435,"Follow up today",""))))))))</f>
        <v/>
      </c>
    </row>
    <row r="436" customFormat="false" ht="15" hidden="false" customHeight="false" outlineLevel="0" collapsed="false">
      <c r="A436" s="17"/>
      <c r="B436" s="38"/>
      <c r="C436" s="17"/>
      <c r="D436" s="17"/>
      <c r="E436" s="17"/>
      <c r="F436" s="17"/>
      <c r="G436" s="17"/>
      <c r="H436" s="40"/>
      <c r="I436" s="17"/>
      <c r="J436" s="17"/>
      <c r="K436" s="17"/>
      <c r="L436" s="17"/>
      <c r="M436" s="17"/>
      <c r="N436" s="17"/>
      <c r="O436" s="17"/>
      <c r="P436" s="38"/>
      <c r="Q436" s="17"/>
      <c r="R436" s="42" t="str">
        <f aca="false">IF(OR(D436="",P436="",OR(O436="Contract signed + paid",O436="Closed – No response",O436="Lost"),N(Q436)&gt;=Settings!$S$3),"",P436+Settings!$S$2)</f>
        <v/>
      </c>
      <c r="S436" s="38"/>
      <c r="T436" s="39"/>
      <c r="U436" s="17"/>
      <c r="V436" s="17"/>
      <c r="W436" s="17"/>
      <c r="X436" s="43" t="str">
        <f aca="true">IF(OR(D436="",B436=""),"",INT(TODAY()-B436))</f>
        <v/>
      </c>
      <c r="Y436" s="44" t="str">
        <f aca="true">IF(D436="","",IF(OR(COUNTIFS(Clients!$C$2:$C$501,D436,Clients!$S$2:$S$501,"Paid")&gt;0,AND(H436&lt;&gt;"",COUNTIFS(Clients!$E$2:$E$501,H436,Clients!$S$2:$S$501,"Paid")&gt;0)),"⚠ Refunded before – no free video",IF(OR(O436="Contract signed + paid",O436="Closed – No response",O436="Lost"),"",IF(O436="","Set a stage",IF(N(Q436)&gt;=Settings!$S$3,"Close – 4 follow-ups sent",IF(R436="",IF(P436="","Make first contact",""),IF(TODAY()&gt;R436,"OVERDUE follow-up",IF(TODAY()=R436,"Follow up today",""))))))))</f>
        <v/>
      </c>
    </row>
    <row r="437" customFormat="false" ht="15" hidden="false" customHeight="false" outlineLevel="0" collapsed="false">
      <c r="A437" s="17"/>
      <c r="B437" s="38"/>
      <c r="C437" s="17"/>
      <c r="D437" s="17"/>
      <c r="E437" s="17"/>
      <c r="F437" s="17"/>
      <c r="G437" s="17"/>
      <c r="H437" s="40"/>
      <c r="I437" s="17"/>
      <c r="J437" s="17"/>
      <c r="K437" s="17"/>
      <c r="L437" s="17"/>
      <c r="M437" s="17"/>
      <c r="N437" s="17"/>
      <c r="O437" s="17"/>
      <c r="P437" s="38"/>
      <c r="Q437" s="17"/>
      <c r="R437" s="42" t="str">
        <f aca="false">IF(OR(D437="",P437="",OR(O437="Contract signed + paid",O437="Closed – No response",O437="Lost"),N(Q437)&gt;=Settings!$S$3),"",P437+Settings!$S$2)</f>
        <v/>
      </c>
      <c r="S437" s="38"/>
      <c r="T437" s="39"/>
      <c r="U437" s="17"/>
      <c r="V437" s="17"/>
      <c r="W437" s="17"/>
      <c r="X437" s="43" t="str">
        <f aca="true">IF(OR(D437="",B437=""),"",INT(TODAY()-B437))</f>
        <v/>
      </c>
      <c r="Y437" s="44" t="str">
        <f aca="true">IF(D437="","",IF(OR(COUNTIFS(Clients!$C$2:$C$501,D437,Clients!$S$2:$S$501,"Paid")&gt;0,AND(H437&lt;&gt;"",COUNTIFS(Clients!$E$2:$E$501,H437,Clients!$S$2:$S$501,"Paid")&gt;0)),"⚠ Refunded before – no free video",IF(OR(O437="Contract signed + paid",O437="Closed – No response",O437="Lost"),"",IF(O437="","Set a stage",IF(N(Q437)&gt;=Settings!$S$3,"Close – 4 follow-ups sent",IF(R437="",IF(P437="","Make first contact",""),IF(TODAY()&gt;R437,"OVERDUE follow-up",IF(TODAY()=R437,"Follow up today",""))))))))</f>
        <v/>
      </c>
    </row>
    <row r="438" customFormat="false" ht="15" hidden="false" customHeight="false" outlineLevel="0" collapsed="false">
      <c r="A438" s="17"/>
      <c r="B438" s="38"/>
      <c r="C438" s="17"/>
      <c r="D438" s="17"/>
      <c r="E438" s="17"/>
      <c r="F438" s="17"/>
      <c r="G438" s="17"/>
      <c r="H438" s="40"/>
      <c r="I438" s="17"/>
      <c r="J438" s="17"/>
      <c r="K438" s="17"/>
      <c r="L438" s="17"/>
      <c r="M438" s="17"/>
      <c r="N438" s="17"/>
      <c r="O438" s="17"/>
      <c r="P438" s="38"/>
      <c r="Q438" s="17"/>
      <c r="R438" s="42" t="str">
        <f aca="false">IF(OR(D438="",P438="",OR(O438="Contract signed + paid",O438="Closed – No response",O438="Lost"),N(Q438)&gt;=Settings!$S$3),"",P438+Settings!$S$2)</f>
        <v/>
      </c>
      <c r="S438" s="38"/>
      <c r="T438" s="39"/>
      <c r="U438" s="17"/>
      <c r="V438" s="17"/>
      <c r="W438" s="17"/>
      <c r="X438" s="43" t="str">
        <f aca="true">IF(OR(D438="",B438=""),"",INT(TODAY()-B438))</f>
        <v/>
      </c>
      <c r="Y438" s="44" t="str">
        <f aca="true">IF(D438="","",IF(OR(COUNTIFS(Clients!$C$2:$C$501,D438,Clients!$S$2:$S$501,"Paid")&gt;0,AND(H438&lt;&gt;"",COUNTIFS(Clients!$E$2:$E$501,H438,Clients!$S$2:$S$501,"Paid")&gt;0)),"⚠ Refunded before – no free video",IF(OR(O438="Contract signed + paid",O438="Closed – No response",O438="Lost"),"",IF(O438="","Set a stage",IF(N(Q438)&gt;=Settings!$S$3,"Close – 4 follow-ups sent",IF(R438="",IF(P438="","Make first contact",""),IF(TODAY()&gt;R438,"OVERDUE follow-up",IF(TODAY()=R438,"Follow up today",""))))))))</f>
        <v/>
      </c>
    </row>
    <row r="439" customFormat="false" ht="15" hidden="false" customHeight="false" outlineLevel="0" collapsed="false">
      <c r="A439" s="17"/>
      <c r="B439" s="38"/>
      <c r="C439" s="17"/>
      <c r="D439" s="17"/>
      <c r="E439" s="17"/>
      <c r="F439" s="17"/>
      <c r="G439" s="17"/>
      <c r="H439" s="40"/>
      <c r="I439" s="17"/>
      <c r="J439" s="17"/>
      <c r="K439" s="17"/>
      <c r="L439" s="17"/>
      <c r="M439" s="17"/>
      <c r="N439" s="17"/>
      <c r="O439" s="17"/>
      <c r="P439" s="38"/>
      <c r="Q439" s="17"/>
      <c r="R439" s="42" t="str">
        <f aca="false">IF(OR(D439="",P439="",OR(O439="Contract signed + paid",O439="Closed – No response",O439="Lost"),N(Q439)&gt;=Settings!$S$3),"",P439+Settings!$S$2)</f>
        <v/>
      </c>
      <c r="S439" s="38"/>
      <c r="T439" s="39"/>
      <c r="U439" s="17"/>
      <c r="V439" s="17"/>
      <c r="W439" s="17"/>
      <c r="X439" s="43" t="str">
        <f aca="true">IF(OR(D439="",B439=""),"",INT(TODAY()-B439))</f>
        <v/>
      </c>
      <c r="Y439" s="44" t="str">
        <f aca="true">IF(D439="","",IF(OR(COUNTIFS(Clients!$C$2:$C$501,D439,Clients!$S$2:$S$501,"Paid")&gt;0,AND(H439&lt;&gt;"",COUNTIFS(Clients!$E$2:$E$501,H439,Clients!$S$2:$S$501,"Paid")&gt;0)),"⚠ Refunded before – no free video",IF(OR(O439="Contract signed + paid",O439="Closed – No response",O439="Lost"),"",IF(O439="","Set a stage",IF(N(Q439)&gt;=Settings!$S$3,"Close – 4 follow-ups sent",IF(R439="",IF(P439="","Make first contact",""),IF(TODAY()&gt;R439,"OVERDUE follow-up",IF(TODAY()=R439,"Follow up today",""))))))))</f>
        <v/>
      </c>
    </row>
    <row r="440" customFormat="false" ht="15" hidden="false" customHeight="false" outlineLevel="0" collapsed="false">
      <c r="A440" s="17"/>
      <c r="B440" s="38"/>
      <c r="C440" s="17"/>
      <c r="D440" s="17"/>
      <c r="E440" s="17"/>
      <c r="F440" s="17"/>
      <c r="G440" s="17"/>
      <c r="H440" s="40"/>
      <c r="I440" s="17"/>
      <c r="J440" s="17"/>
      <c r="K440" s="17"/>
      <c r="L440" s="17"/>
      <c r="M440" s="17"/>
      <c r="N440" s="17"/>
      <c r="O440" s="17"/>
      <c r="P440" s="38"/>
      <c r="Q440" s="17"/>
      <c r="R440" s="42" t="str">
        <f aca="false">IF(OR(D440="",P440="",OR(O440="Contract signed + paid",O440="Closed – No response",O440="Lost"),N(Q440)&gt;=Settings!$S$3),"",P440+Settings!$S$2)</f>
        <v/>
      </c>
      <c r="S440" s="38"/>
      <c r="T440" s="39"/>
      <c r="U440" s="17"/>
      <c r="V440" s="17"/>
      <c r="W440" s="17"/>
      <c r="X440" s="43" t="str">
        <f aca="true">IF(OR(D440="",B440=""),"",INT(TODAY()-B440))</f>
        <v/>
      </c>
      <c r="Y440" s="44" t="str">
        <f aca="true">IF(D440="","",IF(OR(COUNTIFS(Clients!$C$2:$C$501,D440,Clients!$S$2:$S$501,"Paid")&gt;0,AND(H440&lt;&gt;"",COUNTIFS(Clients!$E$2:$E$501,H440,Clients!$S$2:$S$501,"Paid")&gt;0)),"⚠ Refunded before – no free video",IF(OR(O440="Contract signed + paid",O440="Closed – No response",O440="Lost"),"",IF(O440="","Set a stage",IF(N(Q440)&gt;=Settings!$S$3,"Close – 4 follow-ups sent",IF(R440="",IF(P440="","Make first contact",""),IF(TODAY()&gt;R440,"OVERDUE follow-up",IF(TODAY()=R440,"Follow up today",""))))))))</f>
        <v/>
      </c>
    </row>
    <row r="441" customFormat="false" ht="15" hidden="false" customHeight="false" outlineLevel="0" collapsed="false">
      <c r="A441" s="17"/>
      <c r="B441" s="38"/>
      <c r="C441" s="17"/>
      <c r="D441" s="17"/>
      <c r="E441" s="17"/>
      <c r="F441" s="17"/>
      <c r="G441" s="17"/>
      <c r="H441" s="40"/>
      <c r="I441" s="17"/>
      <c r="J441" s="17"/>
      <c r="K441" s="17"/>
      <c r="L441" s="17"/>
      <c r="M441" s="17"/>
      <c r="N441" s="17"/>
      <c r="O441" s="17"/>
      <c r="P441" s="38"/>
      <c r="Q441" s="17"/>
      <c r="R441" s="42" t="str">
        <f aca="false">IF(OR(D441="",P441="",OR(O441="Contract signed + paid",O441="Closed – No response",O441="Lost"),N(Q441)&gt;=Settings!$S$3),"",P441+Settings!$S$2)</f>
        <v/>
      </c>
      <c r="S441" s="38"/>
      <c r="T441" s="39"/>
      <c r="U441" s="17"/>
      <c r="V441" s="17"/>
      <c r="W441" s="17"/>
      <c r="X441" s="43" t="str">
        <f aca="true">IF(OR(D441="",B441=""),"",INT(TODAY()-B441))</f>
        <v/>
      </c>
      <c r="Y441" s="44" t="str">
        <f aca="true">IF(D441="","",IF(OR(COUNTIFS(Clients!$C$2:$C$501,D441,Clients!$S$2:$S$501,"Paid")&gt;0,AND(H441&lt;&gt;"",COUNTIFS(Clients!$E$2:$E$501,H441,Clients!$S$2:$S$501,"Paid")&gt;0)),"⚠ Refunded before – no free video",IF(OR(O441="Contract signed + paid",O441="Closed – No response",O441="Lost"),"",IF(O441="","Set a stage",IF(N(Q441)&gt;=Settings!$S$3,"Close – 4 follow-ups sent",IF(R441="",IF(P441="","Make first contact",""),IF(TODAY()&gt;R441,"OVERDUE follow-up",IF(TODAY()=R441,"Follow up today",""))))))))</f>
        <v/>
      </c>
    </row>
    <row r="442" customFormat="false" ht="15" hidden="false" customHeight="false" outlineLevel="0" collapsed="false">
      <c r="A442" s="17"/>
      <c r="B442" s="38"/>
      <c r="C442" s="17"/>
      <c r="D442" s="17"/>
      <c r="E442" s="17"/>
      <c r="F442" s="17"/>
      <c r="G442" s="17"/>
      <c r="H442" s="40"/>
      <c r="I442" s="17"/>
      <c r="J442" s="17"/>
      <c r="K442" s="17"/>
      <c r="L442" s="17"/>
      <c r="M442" s="17"/>
      <c r="N442" s="17"/>
      <c r="O442" s="17"/>
      <c r="P442" s="38"/>
      <c r="Q442" s="17"/>
      <c r="R442" s="42" t="str">
        <f aca="false">IF(OR(D442="",P442="",OR(O442="Contract signed + paid",O442="Closed – No response",O442="Lost"),N(Q442)&gt;=Settings!$S$3),"",P442+Settings!$S$2)</f>
        <v/>
      </c>
      <c r="S442" s="38"/>
      <c r="T442" s="39"/>
      <c r="U442" s="17"/>
      <c r="V442" s="17"/>
      <c r="W442" s="17"/>
      <c r="X442" s="43" t="str">
        <f aca="true">IF(OR(D442="",B442=""),"",INT(TODAY()-B442))</f>
        <v/>
      </c>
      <c r="Y442" s="44" t="str">
        <f aca="true">IF(D442="","",IF(OR(COUNTIFS(Clients!$C$2:$C$501,D442,Clients!$S$2:$S$501,"Paid")&gt;0,AND(H442&lt;&gt;"",COUNTIFS(Clients!$E$2:$E$501,H442,Clients!$S$2:$S$501,"Paid")&gt;0)),"⚠ Refunded before – no free video",IF(OR(O442="Contract signed + paid",O442="Closed – No response",O442="Lost"),"",IF(O442="","Set a stage",IF(N(Q442)&gt;=Settings!$S$3,"Close – 4 follow-ups sent",IF(R442="",IF(P442="","Make first contact",""),IF(TODAY()&gt;R442,"OVERDUE follow-up",IF(TODAY()=R442,"Follow up today",""))))))))</f>
        <v/>
      </c>
    </row>
    <row r="443" customFormat="false" ht="15" hidden="false" customHeight="false" outlineLevel="0" collapsed="false">
      <c r="A443" s="17"/>
      <c r="B443" s="38"/>
      <c r="C443" s="17"/>
      <c r="D443" s="17"/>
      <c r="E443" s="17"/>
      <c r="F443" s="17"/>
      <c r="G443" s="17"/>
      <c r="H443" s="40"/>
      <c r="I443" s="17"/>
      <c r="J443" s="17"/>
      <c r="K443" s="17"/>
      <c r="L443" s="17"/>
      <c r="M443" s="17"/>
      <c r="N443" s="17"/>
      <c r="O443" s="17"/>
      <c r="P443" s="38"/>
      <c r="Q443" s="17"/>
      <c r="R443" s="42" t="str">
        <f aca="false">IF(OR(D443="",P443="",OR(O443="Contract signed + paid",O443="Closed – No response",O443="Lost"),N(Q443)&gt;=Settings!$S$3),"",P443+Settings!$S$2)</f>
        <v/>
      </c>
      <c r="S443" s="38"/>
      <c r="T443" s="39"/>
      <c r="U443" s="17"/>
      <c r="V443" s="17"/>
      <c r="W443" s="17"/>
      <c r="X443" s="43" t="str">
        <f aca="true">IF(OR(D443="",B443=""),"",INT(TODAY()-B443))</f>
        <v/>
      </c>
      <c r="Y443" s="44" t="str">
        <f aca="true">IF(D443="","",IF(OR(COUNTIFS(Clients!$C$2:$C$501,D443,Clients!$S$2:$S$501,"Paid")&gt;0,AND(H443&lt;&gt;"",COUNTIFS(Clients!$E$2:$E$501,H443,Clients!$S$2:$S$501,"Paid")&gt;0)),"⚠ Refunded before – no free video",IF(OR(O443="Contract signed + paid",O443="Closed – No response",O443="Lost"),"",IF(O443="","Set a stage",IF(N(Q443)&gt;=Settings!$S$3,"Close – 4 follow-ups sent",IF(R443="",IF(P443="","Make first contact",""),IF(TODAY()&gt;R443,"OVERDUE follow-up",IF(TODAY()=R443,"Follow up today",""))))))))</f>
        <v/>
      </c>
    </row>
    <row r="444" customFormat="false" ht="15" hidden="false" customHeight="false" outlineLevel="0" collapsed="false">
      <c r="A444" s="17"/>
      <c r="B444" s="38"/>
      <c r="C444" s="17"/>
      <c r="D444" s="17"/>
      <c r="E444" s="17"/>
      <c r="F444" s="17"/>
      <c r="G444" s="17"/>
      <c r="H444" s="40"/>
      <c r="I444" s="17"/>
      <c r="J444" s="17"/>
      <c r="K444" s="17"/>
      <c r="L444" s="17"/>
      <c r="M444" s="17"/>
      <c r="N444" s="17"/>
      <c r="O444" s="17"/>
      <c r="P444" s="38"/>
      <c r="Q444" s="17"/>
      <c r="R444" s="42" t="str">
        <f aca="false">IF(OR(D444="",P444="",OR(O444="Contract signed + paid",O444="Closed – No response",O444="Lost"),N(Q444)&gt;=Settings!$S$3),"",P444+Settings!$S$2)</f>
        <v/>
      </c>
      <c r="S444" s="38"/>
      <c r="T444" s="39"/>
      <c r="U444" s="17"/>
      <c r="V444" s="17"/>
      <c r="W444" s="17"/>
      <c r="X444" s="43" t="str">
        <f aca="true">IF(OR(D444="",B444=""),"",INT(TODAY()-B444))</f>
        <v/>
      </c>
      <c r="Y444" s="44" t="str">
        <f aca="true">IF(D444="","",IF(OR(COUNTIFS(Clients!$C$2:$C$501,D444,Clients!$S$2:$S$501,"Paid")&gt;0,AND(H444&lt;&gt;"",COUNTIFS(Clients!$E$2:$E$501,H444,Clients!$S$2:$S$501,"Paid")&gt;0)),"⚠ Refunded before – no free video",IF(OR(O444="Contract signed + paid",O444="Closed – No response",O444="Lost"),"",IF(O444="","Set a stage",IF(N(Q444)&gt;=Settings!$S$3,"Close – 4 follow-ups sent",IF(R444="",IF(P444="","Make first contact",""),IF(TODAY()&gt;R444,"OVERDUE follow-up",IF(TODAY()=R444,"Follow up today",""))))))))</f>
        <v/>
      </c>
    </row>
    <row r="445" customFormat="false" ht="15" hidden="false" customHeight="false" outlineLevel="0" collapsed="false">
      <c r="A445" s="17"/>
      <c r="B445" s="38"/>
      <c r="C445" s="17"/>
      <c r="D445" s="17"/>
      <c r="E445" s="17"/>
      <c r="F445" s="17"/>
      <c r="G445" s="17"/>
      <c r="H445" s="40"/>
      <c r="I445" s="17"/>
      <c r="J445" s="17"/>
      <c r="K445" s="17"/>
      <c r="L445" s="17"/>
      <c r="M445" s="17"/>
      <c r="N445" s="17"/>
      <c r="O445" s="17"/>
      <c r="P445" s="38"/>
      <c r="Q445" s="17"/>
      <c r="R445" s="42" t="str">
        <f aca="false">IF(OR(D445="",P445="",OR(O445="Contract signed + paid",O445="Closed – No response",O445="Lost"),N(Q445)&gt;=Settings!$S$3),"",P445+Settings!$S$2)</f>
        <v/>
      </c>
      <c r="S445" s="38"/>
      <c r="T445" s="39"/>
      <c r="U445" s="17"/>
      <c r="V445" s="17"/>
      <c r="W445" s="17"/>
      <c r="X445" s="43" t="str">
        <f aca="true">IF(OR(D445="",B445=""),"",INT(TODAY()-B445))</f>
        <v/>
      </c>
      <c r="Y445" s="44" t="str">
        <f aca="true">IF(D445="","",IF(OR(COUNTIFS(Clients!$C$2:$C$501,D445,Clients!$S$2:$S$501,"Paid")&gt;0,AND(H445&lt;&gt;"",COUNTIFS(Clients!$E$2:$E$501,H445,Clients!$S$2:$S$501,"Paid")&gt;0)),"⚠ Refunded before – no free video",IF(OR(O445="Contract signed + paid",O445="Closed – No response",O445="Lost"),"",IF(O445="","Set a stage",IF(N(Q445)&gt;=Settings!$S$3,"Close – 4 follow-ups sent",IF(R445="",IF(P445="","Make first contact",""),IF(TODAY()&gt;R445,"OVERDUE follow-up",IF(TODAY()=R445,"Follow up today",""))))))))</f>
        <v/>
      </c>
    </row>
    <row r="446" customFormat="false" ht="15" hidden="false" customHeight="false" outlineLevel="0" collapsed="false">
      <c r="A446" s="17"/>
      <c r="B446" s="38"/>
      <c r="C446" s="17"/>
      <c r="D446" s="17"/>
      <c r="E446" s="17"/>
      <c r="F446" s="17"/>
      <c r="G446" s="17"/>
      <c r="H446" s="40"/>
      <c r="I446" s="17"/>
      <c r="J446" s="17"/>
      <c r="K446" s="17"/>
      <c r="L446" s="17"/>
      <c r="M446" s="17"/>
      <c r="N446" s="17"/>
      <c r="O446" s="17"/>
      <c r="P446" s="38"/>
      <c r="Q446" s="17"/>
      <c r="R446" s="42" t="str">
        <f aca="false">IF(OR(D446="",P446="",OR(O446="Contract signed + paid",O446="Closed – No response",O446="Lost"),N(Q446)&gt;=Settings!$S$3),"",P446+Settings!$S$2)</f>
        <v/>
      </c>
      <c r="S446" s="38"/>
      <c r="T446" s="39"/>
      <c r="U446" s="17"/>
      <c r="V446" s="17"/>
      <c r="W446" s="17"/>
      <c r="X446" s="43" t="str">
        <f aca="true">IF(OR(D446="",B446=""),"",INT(TODAY()-B446))</f>
        <v/>
      </c>
      <c r="Y446" s="44" t="str">
        <f aca="true">IF(D446="","",IF(OR(COUNTIFS(Clients!$C$2:$C$501,D446,Clients!$S$2:$S$501,"Paid")&gt;0,AND(H446&lt;&gt;"",COUNTIFS(Clients!$E$2:$E$501,H446,Clients!$S$2:$S$501,"Paid")&gt;0)),"⚠ Refunded before – no free video",IF(OR(O446="Contract signed + paid",O446="Closed – No response",O446="Lost"),"",IF(O446="","Set a stage",IF(N(Q446)&gt;=Settings!$S$3,"Close – 4 follow-ups sent",IF(R446="",IF(P446="","Make first contact",""),IF(TODAY()&gt;R446,"OVERDUE follow-up",IF(TODAY()=R446,"Follow up today",""))))))))</f>
        <v/>
      </c>
    </row>
    <row r="447" customFormat="false" ht="15" hidden="false" customHeight="false" outlineLevel="0" collapsed="false">
      <c r="A447" s="17"/>
      <c r="B447" s="38"/>
      <c r="C447" s="17"/>
      <c r="D447" s="17"/>
      <c r="E447" s="17"/>
      <c r="F447" s="17"/>
      <c r="G447" s="17"/>
      <c r="H447" s="40"/>
      <c r="I447" s="17"/>
      <c r="J447" s="17"/>
      <c r="K447" s="17"/>
      <c r="L447" s="17"/>
      <c r="M447" s="17"/>
      <c r="N447" s="17"/>
      <c r="O447" s="17"/>
      <c r="P447" s="38"/>
      <c r="Q447" s="17"/>
      <c r="R447" s="42" t="str">
        <f aca="false">IF(OR(D447="",P447="",OR(O447="Contract signed + paid",O447="Closed – No response",O447="Lost"),N(Q447)&gt;=Settings!$S$3),"",P447+Settings!$S$2)</f>
        <v/>
      </c>
      <c r="S447" s="38"/>
      <c r="T447" s="39"/>
      <c r="U447" s="17"/>
      <c r="V447" s="17"/>
      <c r="W447" s="17"/>
      <c r="X447" s="43" t="str">
        <f aca="true">IF(OR(D447="",B447=""),"",INT(TODAY()-B447))</f>
        <v/>
      </c>
      <c r="Y447" s="44" t="str">
        <f aca="true">IF(D447="","",IF(OR(COUNTIFS(Clients!$C$2:$C$501,D447,Clients!$S$2:$S$501,"Paid")&gt;0,AND(H447&lt;&gt;"",COUNTIFS(Clients!$E$2:$E$501,H447,Clients!$S$2:$S$501,"Paid")&gt;0)),"⚠ Refunded before – no free video",IF(OR(O447="Contract signed + paid",O447="Closed – No response",O447="Lost"),"",IF(O447="","Set a stage",IF(N(Q447)&gt;=Settings!$S$3,"Close – 4 follow-ups sent",IF(R447="",IF(P447="","Make first contact",""),IF(TODAY()&gt;R447,"OVERDUE follow-up",IF(TODAY()=R447,"Follow up today",""))))))))</f>
        <v/>
      </c>
    </row>
    <row r="448" customFormat="false" ht="15" hidden="false" customHeight="false" outlineLevel="0" collapsed="false">
      <c r="A448" s="17"/>
      <c r="B448" s="38"/>
      <c r="C448" s="17"/>
      <c r="D448" s="17"/>
      <c r="E448" s="17"/>
      <c r="F448" s="17"/>
      <c r="G448" s="17"/>
      <c r="H448" s="40"/>
      <c r="I448" s="17"/>
      <c r="J448" s="17"/>
      <c r="K448" s="17"/>
      <c r="L448" s="17"/>
      <c r="M448" s="17"/>
      <c r="N448" s="17"/>
      <c r="O448" s="17"/>
      <c r="P448" s="38"/>
      <c r="Q448" s="17"/>
      <c r="R448" s="42" t="str">
        <f aca="false">IF(OR(D448="",P448="",OR(O448="Contract signed + paid",O448="Closed – No response",O448="Lost"),N(Q448)&gt;=Settings!$S$3),"",P448+Settings!$S$2)</f>
        <v/>
      </c>
      <c r="S448" s="38"/>
      <c r="T448" s="39"/>
      <c r="U448" s="17"/>
      <c r="V448" s="17"/>
      <c r="W448" s="17"/>
      <c r="X448" s="43" t="str">
        <f aca="true">IF(OR(D448="",B448=""),"",INT(TODAY()-B448))</f>
        <v/>
      </c>
      <c r="Y448" s="44" t="str">
        <f aca="true">IF(D448="","",IF(OR(COUNTIFS(Clients!$C$2:$C$501,D448,Clients!$S$2:$S$501,"Paid")&gt;0,AND(H448&lt;&gt;"",COUNTIFS(Clients!$E$2:$E$501,H448,Clients!$S$2:$S$501,"Paid")&gt;0)),"⚠ Refunded before – no free video",IF(OR(O448="Contract signed + paid",O448="Closed – No response",O448="Lost"),"",IF(O448="","Set a stage",IF(N(Q448)&gt;=Settings!$S$3,"Close – 4 follow-ups sent",IF(R448="",IF(P448="","Make first contact",""),IF(TODAY()&gt;R448,"OVERDUE follow-up",IF(TODAY()=R448,"Follow up today",""))))))))</f>
        <v/>
      </c>
    </row>
    <row r="449" customFormat="false" ht="15" hidden="false" customHeight="false" outlineLevel="0" collapsed="false">
      <c r="A449" s="17"/>
      <c r="B449" s="38"/>
      <c r="C449" s="17"/>
      <c r="D449" s="17"/>
      <c r="E449" s="17"/>
      <c r="F449" s="17"/>
      <c r="G449" s="17"/>
      <c r="H449" s="40"/>
      <c r="I449" s="17"/>
      <c r="J449" s="17"/>
      <c r="K449" s="17"/>
      <c r="L449" s="17"/>
      <c r="M449" s="17"/>
      <c r="N449" s="17"/>
      <c r="O449" s="17"/>
      <c r="P449" s="38"/>
      <c r="Q449" s="17"/>
      <c r="R449" s="42" t="str">
        <f aca="false">IF(OR(D449="",P449="",OR(O449="Contract signed + paid",O449="Closed – No response",O449="Lost"),N(Q449)&gt;=Settings!$S$3),"",P449+Settings!$S$2)</f>
        <v/>
      </c>
      <c r="S449" s="38"/>
      <c r="T449" s="39"/>
      <c r="U449" s="17"/>
      <c r="V449" s="17"/>
      <c r="W449" s="17"/>
      <c r="X449" s="43" t="str">
        <f aca="true">IF(OR(D449="",B449=""),"",INT(TODAY()-B449))</f>
        <v/>
      </c>
      <c r="Y449" s="44" t="str">
        <f aca="true">IF(D449="","",IF(OR(COUNTIFS(Clients!$C$2:$C$501,D449,Clients!$S$2:$S$501,"Paid")&gt;0,AND(H449&lt;&gt;"",COUNTIFS(Clients!$E$2:$E$501,H449,Clients!$S$2:$S$501,"Paid")&gt;0)),"⚠ Refunded before – no free video",IF(OR(O449="Contract signed + paid",O449="Closed – No response",O449="Lost"),"",IF(O449="","Set a stage",IF(N(Q449)&gt;=Settings!$S$3,"Close – 4 follow-ups sent",IF(R449="",IF(P449="","Make first contact",""),IF(TODAY()&gt;R449,"OVERDUE follow-up",IF(TODAY()=R449,"Follow up today",""))))))))</f>
        <v/>
      </c>
    </row>
    <row r="450" customFormat="false" ht="15" hidden="false" customHeight="false" outlineLevel="0" collapsed="false">
      <c r="A450" s="17"/>
      <c r="B450" s="38"/>
      <c r="C450" s="17"/>
      <c r="D450" s="17"/>
      <c r="E450" s="17"/>
      <c r="F450" s="17"/>
      <c r="G450" s="17"/>
      <c r="H450" s="40"/>
      <c r="I450" s="17"/>
      <c r="J450" s="17"/>
      <c r="K450" s="17"/>
      <c r="L450" s="17"/>
      <c r="M450" s="17"/>
      <c r="N450" s="17"/>
      <c r="O450" s="17"/>
      <c r="P450" s="38"/>
      <c r="Q450" s="17"/>
      <c r="R450" s="42" t="str">
        <f aca="false">IF(OR(D450="",P450="",OR(O450="Contract signed + paid",O450="Closed – No response",O450="Lost"),N(Q450)&gt;=Settings!$S$3),"",P450+Settings!$S$2)</f>
        <v/>
      </c>
      <c r="S450" s="38"/>
      <c r="T450" s="39"/>
      <c r="U450" s="17"/>
      <c r="V450" s="17"/>
      <c r="W450" s="17"/>
      <c r="X450" s="43" t="str">
        <f aca="true">IF(OR(D450="",B450=""),"",INT(TODAY()-B450))</f>
        <v/>
      </c>
      <c r="Y450" s="44" t="str">
        <f aca="true">IF(D450="","",IF(OR(COUNTIFS(Clients!$C$2:$C$501,D450,Clients!$S$2:$S$501,"Paid")&gt;0,AND(H450&lt;&gt;"",COUNTIFS(Clients!$E$2:$E$501,H450,Clients!$S$2:$S$501,"Paid")&gt;0)),"⚠ Refunded before – no free video",IF(OR(O450="Contract signed + paid",O450="Closed – No response",O450="Lost"),"",IF(O450="","Set a stage",IF(N(Q450)&gt;=Settings!$S$3,"Close – 4 follow-ups sent",IF(R450="",IF(P450="","Make first contact",""),IF(TODAY()&gt;R450,"OVERDUE follow-up",IF(TODAY()=R450,"Follow up today",""))))))))</f>
        <v/>
      </c>
    </row>
    <row r="451" customFormat="false" ht="15" hidden="false" customHeight="false" outlineLevel="0" collapsed="false">
      <c r="A451" s="17"/>
      <c r="B451" s="38"/>
      <c r="C451" s="17"/>
      <c r="D451" s="17"/>
      <c r="E451" s="17"/>
      <c r="F451" s="17"/>
      <c r="G451" s="17"/>
      <c r="H451" s="40"/>
      <c r="I451" s="17"/>
      <c r="J451" s="17"/>
      <c r="K451" s="17"/>
      <c r="L451" s="17"/>
      <c r="M451" s="17"/>
      <c r="N451" s="17"/>
      <c r="O451" s="17"/>
      <c r="P451" s="38"/>
      <c r="Q451" s="17"/>
      <c r="R451" s="42" t="str">
        <f aca="false">IF(OR(D451="",P451="",OR(O451="Contract signed + paid",O451="Closed – No response",O451="Lost"),N(Q451)&gt;=Settings!$S$3),"",P451+Settings!$S$2)</f>
        <v/>
      </c>
      <c r="S451" s="38"/>
      <c r="T451" s="39"/>
      <c r="U451" s="17"/>
      <c r="V451" s="17"/>
      <c r="W451" s="17"/>
      <c r="X451" s="43" t="str">
        <f aca="true">IF(OR(D451="",B451=""),"",INT(TODAY()-B451))</f>
        <v/>
      </c>
      <c r="Y451" s="44" t="str">
        <f aca="true">IF(D451="","",IF(OR(COUNTIFS(Clients!$C$2:$C$501,D451,Clients!$S$2:$S$501,"Paid")&gt;0,AND(H451&lt;&gt;"",COUNTIFS(Clients!$E$2:$E$501,H451,Clients!$S$2:$S$501,"Paid")&gt;0)),"⚠ Refunded before – no free video",IF(OR(O451="Contract signed + paid",O451="Closed – No response",O451="Lost"),"",IF(O451="","Set a stage",IF(N(Q451)&gt;=Settings!$S$3,"Close – 4 follow-ups sent",IF(R451="",IF(P451="","Make first contact",""),IF(TODAY()&gt;R451,"OVERDUE follow-up",IF(TODAY()=R451,"Follow up today",""))))))))</f>
        <v/>
      </c>
    </row>
    <row r="452" customFormat="false" ht="15" hidden="false" customHeight="false" outlineLevel="0" collapsed="false">
      <c r="A452" s="17"/>
      <c r="B452" s="38"/>
      <c r="C452" s="17"/>
      <c r="D452" s="17"/>
      <c r="E452" s="17"/>
      <c r="F452" s="17"/>
      <c r="G452" s="17"/>
      <c r="H452" s="40"/>
      <c r="I452" s="17"/>
      <c r="J452" s="17"/>
      <c r="K452" s="17"/>
      <c r="L452" s="17"/>
      <c r="M452" s="17"/>
      <c r="N452" s="17"/>
      <c r="O452" s="17"/>
      <c r="P452" s="38"/>
      <c r="Q452" s="17"/>
      <c r="R452" s="42" t="str">
        <f aca="false">IF(OR(D452="",P452="",OR(O452="Contract signed + paid",O452="Closed – No response",O452="Lost"),N(Q452)&gt;=Settings!$S$3),"",P452+Settings!$S$2)</f>
        <v/>
      </c>
      <c r="S452" s="38"/>
      <c r="T452" s="39"/>
      <c r="U452" s="17"/>
      <c r="V452" s="17"/>
      <c r="W452" s="17"/>
      <c r="X452" s="43" t="str">
        <f aca="true">IF(OR(D452="",B452=""),"",INT(TODAY()-B452))</f>
        <v/>
      </c>
      <c r="Y452" s="44" t="str">
        <f aca="true">IF(D452="","",IF(OR(COUNTIFS(Clients!$C$2:$C$501,D452,Clients!$S$2:$S$501,"Paid")&gt;0,AND(H452&lt;&gt;"",COUNTIFS(Clients!$E$2:$E$501,H452,Clients!$S$2:$S$501,"Paid")&gt;0)),"⚠ Refunded before – no free video",IF(OR(O452="Contract signed + paid",O452="Closed – No response",O452="Lost"),"",IF(O452="","Set a stage",IF(N(Q452)&gt;=Settings!$S$3,"Close – 4 follow-ups sent",IF(R452="",IF(P452="","Make first contact",""),IF(TODAY()&gt;R452,"OVERDUE follow-up",IF(TODAY()=R452,"Follow up today",""))))))))</f>
        <v/>
      </c>
    </row>
    <row r="453" customFormat="false" ht="15" hidden="false" customHeight="false" outlineLevel="0" collapsed="false">
      <c r="A453" s="17"/>
      <c r="B453" s="38"/>
      <c r="C453" s="17"/>
      <c r="D453" s="17"/>
      <c r="E453" s="17"/>
      <c r="F453" s="17"/>
      <c r="G453" s="17"/>
      <c r="H453" s="40"/>
      <c r="I453" s="17"/>
      <c r="J453" s="17"/>
      <c r="K453" s="17"/>
      <c r="L453" s="17"/>
      <c r="M453" s="17"/>
      <c r="N453" s="17"/>
      <c r="O453" s="17"/>
      <c r="P453" s="38"/>
      <c r="Q453" s="17"/>
      <c r="R453" s="42" t="str">
        <f aca="false">IF(OR(D453="",P453="",OR(O453="Contract signed + paid",O453="Closed – No response",O453="Lost"),N(Q453)&gt;=Settings!$S$3),"",P453+Settings!$S$2)</f>
        <v/>
      </c>
      <c r="S453" s="38"/>
      <c r="T453" s="39"/>
      <c r="U453" s="17"/>
      <c r="V453" s="17"/>
      <c r="W453" s="17"/>
      <c r="X453" s="43" t="str">
        <f aca="true">IF(OR(D453="",B453=""),"",INT(TODAY()-B453))</f>
        <v/>
      </c>
      <c r="Y453" s="44" t="str">
        <f aca="true">IF(D453="","",IF(OR(COUNTIFS(Clients!$C$2:$C$501,D453,Clients!$S$2:$S$501,"Paid")&gt;0,AND(H453&lt;&gt;"",COUNTIFS(Clients!$E$2:$E$501,H453,Clients!$S$2:$S$501,"Paid")&gt;0)),"⚠ Refunded before – no free video",IF(OR(O453="Contract signed + paid",O453="Closed – No response",O453="Lost"),"",IF(O453="","Set a stage",IF(N(Q453)&gt;=Settings!$S$3,"Close – 4 follow-ups sent",IF(R453="",IF(P453="","Make first contact",""),IF(TODAY()&gt;R453,"OVERDUE follow-up",IF(TODAY()=R453,"Follow up today",""))))))))</f>
        <v/>
      </c>
    </row>
    <row r="454" customFormat="false" ht="15" hidden="false" customHeight="false" outlineLevel="0" collapsed="false">
      <c r="A454" s="17"/>
      <c r="B454" s="38"/>
      <c r="C454" s="17"/>
      <c r="D454" s="17"/>
      <c r="E454" s="17"/>
      <c r="F454" s="17"/>
      <c r="G454" s="17"/>
      <c r="H454" s="40"/>
      <c r="I454" s="17"/>
      <c r="J454" s="17"/>
      <c r="K454" s="17"/>
      <c r="L454" s="17"/>
      <c r="M454" s="17"/>
      <c r="N454" s="17"/>
      <c r="O454" s="17"/>
      <c r="P454" s="38"/>
      <c r="Q454" s="17"/>
      <c r="R454" s="42" t="str">
        <f aca="false">IF(OR(D454="",P454="",OR(O454="Contract signed + paid",O454="Closed – No response",O454="Lost"),N(Q454)&gt;=Settings!$S$3),"",P454+Settings!$S$2)</f>
        <v/>
      </c>
      <c r="S454" s="38"/>
      <c r="T454" s="39"/>
      <c r="U454" s="17"/>
      <c r="V454" s="17"/>
      <c r="W454" s="17"/>
      <c r="X454" s="43" t="str">
        <f aca="true">IF(OR(D454="",B454=""),"",INT(TODAY()-B454))</f>
        <v/>
      </c>
      <c r="Y454" s="44" t="str">
        <f aca="true">IF(D454="","",IF(OR(COUNTIFS(Clients!$C$2:$C$501,D454,Clients!$S$2:$S$501,"Paid")&gt;0,AND(H454&lt;&gt;"",COUNTIFS(Clients!$E$2:$E$501,H454,Clients!$S$2:$S$501,"Paid")&gt;0)),"⚠ Refunded before – no free video",IF(OR(O454="Contract signed + paid",O454="Closed – No response",O454="Lost"),"",IF(O454="","Set a stage",IF(N(Q454)&gt;=Settings!$S$3,"Close – 4 follow-ups sent",IF(R454="",IF(P454="","Make first contact",""),IF(TODAY()&gt;R454,"OVERDUE follow-up",IF(TODAY()=R454,"Follow up today",""))))))))</f>
        <v/>
      </c>
    </row>
    <row r="455" customFormat="false" ht="15" hidden="false" customHeight="false" outlineLevel="0" collapsed="false">
      <c r="A455" s="17"/>
      <c r="B455" s="38"/>
      <c r="C455" s="17"/>
      <c r="D455" s="17"/>
      <c r="E455" s="17"/>
      <c r="F455" s="17"/>
      <c r="G455" s="17"/>
      <c r="H455" s="40"/>
      <c r="I455" s="17"/>
      <c r="J455" s="17"/>
      <c r="K455" s="17"/>
      <c r="L455" s="17"/>
      <c r="M455" s="17"/>
      <c r="N455" s="17"/>
      <c r="O455" s="17"/>
      <c r="P455" s="38"/>
      <c r="Q455" s="17"/>
      <c r="R455" s="42" t="str">
        <f aca="false">IF(OR(D455="",P455="",OR(O455="Contract signed + paid",O455="Closed – No response",O455="Lost"),N(Q455)&gt;=Settings!$S$3),"",P455+Settings!$S$2)</f>
        <v/>
      </c>
      <c r="S455" s="38"/>
      <c r="T455" s="39"/>
      <c r="U455" s="17"/>
      <c r="V455" s="17"/>
      <c r="W455" s="17"/>
      <c r="X455" s="43" t="str">
        <f aca="true">IF(OR(D455="",B455=""),"",INT(TODAY()-B455))</f>
        <v/>
      </c>
      <c r="Y455" s="44" t="str">
        <f aca="true">IF(D455="","",IF(OR(COUNTIFS(Clients!$C$2:$C$501,D455,Clients!$S$2:$S$501,"Paid")&gt;0,AND(H455&lt;&gt;"",COUNTIFS(Clients!$E$2:$E$501,H455,Clients!$S$2:$S$501,"Paid")&gt;0)),"⚠ Refunded before – no free video",IF(OR(O455="Contract signed + paid",O455="Closed – No response",O455="Lost"),"",IF(O455="","Set a stage",IF(N(Q455)&gt;=Settings!$S$3,"Close – 4 follow-ups sent",IF(R455="",IF(P455="","Make first contact",""),IF(TODAY()&gt;R455,"OVERDUE follow-up",IF(TODAY()=R455,"Follow up today",""))))))))</f>
        <v/>
      </c>
    </row>
    <row r="456" customFormat="false" ht="15" hidden="false" customHeight="false" outlineLevel="0" collapsed="false">
      <c r="A456" s="17"/>
      <c r="B456" s="38"/>
      <c r="C456" s="17"/>
      <c r="D456" s="17"/>
      <c r="E456" s="17"/>
      <c r="F456" s="17"/>
      <c r="G456" s="17"/>
      <c r="H456" s="40"/>
      <c r="I456" s="17"/>
      <c r="J456" s="17"/>
      <c r="K456" s="17"/>
      <c r="L456" s="17"/>
      <c r="M456" s="17"/>
      <c r="N456" s="17"/>
      <c r="O456" s="17"/>
      <c r="P456" s="38"/>
      <c r="Q456" s="17"/>
      <c r="R456" s="42" t="str">
        <f aca="false">IF(OR(D456="",P456="",OR(O456="Contract signed + paid",O456="Closed – No response",O456="Lost"),N(Q456)&gt;=Settings!$S$3),"",P456+Settings!$S$2)</f>
        <v/>
      </c>
      <c r="S456" s="38"/>
      <c r="T456" s="39"/>
      <c r="U456" s="17"/>
      <c r="V456" s="17"/>
      <c r="W456" s="17"/>
      <c r="X456" s="43" t="str">
        <f aca="true">IF(OR(D456="",B456=""),"",INT(TODAY()-B456))</f>
        <v/>
      </c>
      <c r="Y456" s="44" t="str">
        <f aca="true">IF(D456="","",IF(OR(COUNTIFS(Clients!$C$2:$C$501,D456,Clients!$S$2:$S$501,"Paid")&gt;0,AND(H456&lt;&gt;"",COUNTIFS(Clients!$E$2:$E$501,H456,Clients!$S$2:$S$501,"Paid")&gt;0)),"⚠ Refunded before – no free video",IF(OR(O456="Contract signed + paid",O456="Closed – No response",O456="Lost"),"",IF(O456="","Set a stage",IF(N(Q456)&gt;=Settings!$S$3,"Close – 4 follow-ups sent",IF(R456="",IF(P456="","Make first contact",""),IF(TODAY()&gt;R456,"OVERDUE follow-up",IF(TODAY()=R456,"Follow up today",""))))))))</f>
        <v/>
      </c>
    </row>
    <row r="457" customFormat="false" ht="15" hidden="false" customHeight="false" outlineLevel="0" collapsed="false">
      <c r="A457" s="17"/>
      <c r="B457" s="38"/>
      <c r="C457" s="17"/>
      <c r="D457" s="17"/>
      <c r="E457" s="17"/>
      <c r="F457" s="17"/>
      <c r="G457" s="17"/>
      <c r="H457" s="40"/>
      <c r="I457" s="17"/>
      <c r="J457" s="17"/>
      <c r="K457" s="17"/>
      <c r="L457" s="17"/>
      <c r="M457" s="17"/>
      <c r="N457" s="17"/>
      <c r="O457" s="17"/>
      <c r="P457" s="38"/>
      <c r="Q457" s="17"/>
      <c r="R457" s="42" t="str">
        <f aca="false">IF(OR(D457="",P457="",OR(O457="Contract signed + paid",O457="Closed – No response",O457="Lost"),N(Q457)&gt;=Settings!$S$3),"",P457+Settings!$S$2)</f>
        <v/>
      </c>
      <c r="S457" s="38"/>
      <c r="T457" s="39"/>
      <c r="U457" s="17"/>
      <c r="V457" s="17"/>
      <c r="W457" s="17"/>
      <c r="X457" s="43" t="str">
        <f aca="true">IF(OR(D457="",B457=""),"",INT(TODAY()-B457))</f>
        <v/>
      </c>
      <c r="Y457" s="44" t="str">
        <f aca="true">IF(D457="","",IF(OR(COUNTIFS(Clients!$C$2:$C$501,D457,Clients!$S$2:$S$501,"Paid")&gt;0,AND(H457&lt;&gt;"",COUNTIFS(Clients!$E$2:$E$501,H457,Clients!$S$2:$S$501,"Paid")&gt;0)),"⚠ Refunded before – no free video",IF(OR(O457="Contract signed + paid",O457="Closed – No response",O457="Lost"),"",IF(O457="","Set a stage",IF(N(Q457)&gt;=Settings!$S$3,"Close – 4 follow-ups sent",IF(R457="",IF(P457="","Make first contact",""),IF(TODAY()&gt;R457,"OVERDUE follow-up",IF(TODAY()=R457,"Follow up today",""))))))))</f>
        <v/>
      </c>
    </row>
    <row r="458" customFormat="false" ht="15" hidden="false" customHeight="false" outlineLevel="0" collapsed="false">
      <c r="A458" s="17"/>
      <c r="B458" s="38"/>
      <c r="C458" s="17"/>
      <c r="D458" s="17"/>
      <c r="E458" s="17"/>
      <c r="F458" s="17"/>
      <c r="G458" s="17"/>
      <c r="H458" s="40"/>
      <c r="I458" s="17"/>
      <c r="J458" s="17"/>
      <c r="K458" s="17"/>
      <c r="L458" s="17"/>
      <c r="M458" s="17"/>
      <c r="N458" s="17"/>
      <c r="O458" s="17"/>
      <c r="P458" s="38"/>
      <c r="Q458" s="17"/>
      <c r="R458" s="42" t="str">
        <f aca="false">IF(OR(D458="",P458="",OR(O458="Contract signed + paid",O458="Closed – No response",O458="Lost"),N(Q458)&gt;=Settings!$S$3),"",P458+Settings!$S$2)</f>
        <v/>
      </c>
      <c r="S458" s="38"/>
      <c r="T458" s="39"/>
      <c r="U458" s="17"/>
      <c r="V458" s="17"/>
      <c r="W458" s="17"/>
      <c r="X458" s="43" t="str">
        <f aca="true">IF(OR(D458="",B458=""),"",INT(TODAY()-B458))</f>
        <v/>
      </c>
      <c r="Y458" s="44" t="str">
        <f aca="true">IF(D458="","",IF(OR(COUNTIFS(Clients!$C$2:$C$501,D458,Clients!$S$2:$S$501,"Paid")&gt;0,AND(H458&lt;&gt;"",COUNTIFS(Clients!$E$2:$E$501,H458,Clients!$S$2:$S$501,"Paid")&gt;0)),"⚠ Refunded before – no free video",IF(OR(O458="Contract signed + paid",O458="Closed – No response",O458="Lost"),"",IF(O458="","Set a stage",IF(N(Q458)&gt;=Settings!$S$3,"Close – 4 follow-ups sent",IF(R458="",IF(P458="","Make first contact",""),IF(TODAY()&gt;R458,"OVERDUE follow-up",IF(TODAY()=R458,"Follow up today",""))))))))</f>
        <v/>
      </c>
    </row>
    <row r="459" customFormat="false" ht="15" hidden="false" customHeight="false" outlineLevel="0" collapsed="false">
      <c r="A459" s="17"/>
      <c r="B459" s="38"/>
      <c r="C459" s="17"/>
      <c r="D459" s="17"/>
      <c r="E459" s="17"/>
      <c r="F459" s="17"/>
      <c r="G459" s="17"/>
      <c r="H459" s="40"/>
      <c r="I459" s="17"/>
      <c r="J459" s="17"/>
      <c r="K459" s="17"/>
      <c r="L459" s="17"/>
      <c r="M459" s="17"/>
      <c r="N459" s="17"/>
      <c r="O459" s="17"/>
      <c r="P459" s="38"/>
      <c r="Q459" s="17"/>
      <c r="R459" s="42" t="str">
        <f aca="false">IF(OR(D459="",P459="",OR(O459="Contract signed + paid",O459="Closed – No response",O459="Lost"),N(Q459)&gt;=Settings!$S$3),"",P459+Settings!$S$2)</f>
        <v/>
      </c>
      <c r="S459" s="38"/>
      <c r="T459" s="39"/>
      <c r="U459" s="17"/>
      <c r="V459" s="17"/>
      <c r="W459" s="17"/>
      <c r="X459" s="43" t="str">
        <f aca="true">IF(OR(D459="",B459=""),"",INT(TODAY()-B459))</f>
        <v/>
      </c>
      <c r="Y459" s="44" t="str">
        <f aca="true">IF(D459="","",IF(OR(COUNTIFS(Clients!$C$2:$C$501,D459,Clients!$S$2:$S$501,"Paid")&gt;0,AND(H459&lt;&gt;"",COUNTIFS(Clients!$E$2:$E$501,H459,Clients!$S$2:$S$501,"Paid")&gt;0)),"⚠ Refunded before – no free video",IF(OR(O459="Contract signed + paid",O459="Closed – No response",O459="Lost"),"",IF(O459="","Set a stage",IF(N(Q459)&gt;=Settings!$S$3,"Close – 4 follow-ups sent",IF(R459="",IF(P459="","Make first contact",""),IF(TODAY()&gt;R459,"OVERDUE follow-up",IF(TODAY()=R459,"Follow up today",""))))))))</f>
        <v/>
      </c>
    </row>
    <row r="460" customFormat="false" ht="15" hidden="false" customHeight="false" outlineLevel="0" collapsed="false">
      <c r="A460" s="17"/>
      <c r="B460" s="38"/>
      <c r="C460" s="17"/>
      <c r="D460" s="17"/>
      <c r="E460" s="17"/>
      <c r="F460" s="17"/>
      <c r="G460" s="17"/>
      <c r="H460" s="40"/>
      <c r="I460" s="17"/>
      <c r="J460" s="17"/>
      <c r="K460" s="17"/>
      <c r="L460" s="17"/>
      <c r="M460" s="17"/>
      <c r="N460" s="17"/>
      <c r="O460" s="17"/>
      <c r="P460" s="38"/>
      <c r="Q460" s="17"/>
      <c r="R460" s="42" t="str">
        <f aca="false">IF(OR(D460="",P460="",OR(O460="Contract signed + paid",O460="Closed – No response",O460="Lost"),N(Q460)&gt;=Settings!$S$3),"",P460+Settings!$S$2)</f>
        <v/>
      </c>
      <c r="S460" s="38"/>
      <c r="T460" s="39"/>
      <c r="U460" s="17"/>
      <c r="V460" s="17"/>
      <c r="W460" s="17"/>
      <c r="X460" s="43" t="str">
        <f aca="true">IF(OR(D460="",B460=""),"",INT(TODAY()-B460))</f>
        <v/>
      </c>
      <c r="Y460" s="44" t="str">
        <f aca="true">IF(D460="","",IF(OR(COUNTIFS(Clients!$C$2:$C$501,D460,Clients!$S$2:$S$501,"Paid")&gt;0,AND(H460&lt;&gt;"",COUNTIFS(Clients!$E$2:$E$501,H460,Clients!$S$2:$S$501,"Paid")&gt;0)),"⚠ Refunded before – no free video",IF(OR(O460="Contract signed + paid",O460="Closed – No response",O460="Lost"),"",IF(O460="","Set a stage",IF(N(Q460)&gt;=Settings!$S$3,"Close – 4 follow-ups sent",IF(R460="",IF(P460="","Make first contact",""),IF(TODAY()&gt;R460,"OVERDUE follow-up",IF(TODAY()=R460,"Follow up today",""))))))))</f>
        <v/>
      </c>
    </row>
    <row r="461" customFormat="false" ht="15" hidden="false" customHeight="false" outlineLevel="0" collapsed="false">
      <c r="A461" s="17"/>
      <c r="B461" s="38"/>
      <c r="C461" s="17"/>
      <c r="D461" s="17"/>
      <c r="E461" s="17"/>
      <c r="F461" s="17"/>
      <c r="G461" s="17"/>
      <c r="H461" s="40"/>
      <c r="I461" s="17"/>
      <c r="J461" s="17"/>
      <c r="K461" s="17"/>
      <c r="L461" s="17"/>
      <c r="M461" s="17"/>
      <c r="N461" s="17"/>
      <c r="O461" s="17"/>
      <c r="P461" s="38"/>
      <c r="Q461" s="17"/>
      <c r="R461" s="42" t="str">
        <f aca="false">IF(OR(D461="",P461="",OR(O461="Contract signed + paid",O461="Closed – No response",O461="Lost"),N(Q461)&gt;=Settings!$S$3),"",P461+Settings!$S$2)</f>
        <v/>
      </c>
      <c r="S461" s="38"/>
      <c r="T461" s="39"/>
      <c r="U461" s="17"/>
      <c r="V461" s="17"/>
      <c r="W461" s="17"/>
      <c r="X461" s="43" t="str">
        <f aca="true">IF(OR(D461="",B461=""),"",INT(TODAY()-B461))</f>
        <v/>
      </c>
      <c r="Y461" s="44" t="str">
        <f aca="true">IF(D461="","",IF(OR(COUNTIFS(Clients!$C$2:$C$501,D461,Clients!$S$2:$S$501,"Paid")&gt;0,AND(H461&lt;&gt;"",COUNTIFS(Clients!$E$2:$E$501,H461,Clients!$S$2:$S$501,"Paid")&gt;0)),"⚠ Refunded before – no free video",IF(OR(O461="Contract signed + paid",O461="Closed – No response",O461="Lost"),"",IF(O461="","Set a stage",IF(N(Q461)&gt;=Settings!$S$3,"Close – 4 follow-ups sent",IF(R461="",IF(P461="","Make first contact",""),IF(TODAY()&gt;R461,"OVERDUE follow-up",IF(TODAY()=R461,"Follow up today",""))))))))</f>
        <v/>
      </c>
    </row>
    <row r="462" customFormat="false" ht="15" hidden="false" customHeight="false" outlineLevel="0" collapsed="false">
      <c r="A462" s="17"/>
      <c r="B462" s="38"/>
      <c r="C462" s="17"/>
      <c r="D462" s="17"/>
      <c r="E462" s="17"/>
      <c r="F462" s="17"/>
      <c r="G462" s="17"/>
      <c r="H462" s="40"/>
      <c r="I462" s="17"/>
      <c r="J462" s="17"/>
      <c r="K462" s="17"/>
      <c r="L462" s="17"/>
      <c r="M462" s="17"/>
      <c r="N462" s="17"/>
      <c r="O462" s="17"/>
      <c r="P462" s="38"/>
      <c r="Q462" s="17"/>
      <c r="R462" s="42" t="str">
        <f aca="false">IF(OR(D462="",P462="",OR(O462="Contract signed + paid",O462="Closed – No response",O462="Lost"),N(Q462)&gt;=Settings!$S$3),"",P462+Settings!$S$2)</f>
        <v/>
      </c>
      <c r="S462" s="38"/>
      <c r="T462" s="39"/>
      <c r="U462" s="17"/>
      <c r="V462" s="17"/>
      <c r="W462" s="17"/>
      <c r="X462" s="43" t="str">
        <f aca="true">IF(OR(D462="",B462=""),"",INT(TODAY()-B462))</f>
        <v/>
      </c>
      <c r="Y462" s="44" t="str">
        <f aca="true">IF(D462="","",IF(OR(COUNTIFS(Clients!$C$2:$C$501,D462,Clients!$S$2:$S$501,"Paid")&gt;0,AND(H462&lt;&gt;"",COUNTIFS(Clients!$E$2:$E$501,H462,Clients!$S$2:$S$501,"Paid")&gt;0)),"⚠ Refunded before – no free video",IF(OR(O462="Contract signed + paid",O462="Closed – No response",O462="Lost"),"",IF(O462="","Set a stage",IF(N(Q462)&gt;=Settings!$S$3,"Close – 4 follow-ups sent",IF(R462="",IF(P462="","Make first contact",""),IF(TODAY()&gt;R462,"OVERDUE follow-up",IF(TODAY()=R462,"Follow up today",""))))))))</f>
        <v/>
      </c>
    </row>
    <row r="463" customFormat="false" ht="15" hidden="false" customHeight="false" outlineLevel="0" collapsed="false">
      <c r="A463" s="17"/>
      <c r="B463" s="38"/>
      <c r="C463" s="17"/>
      <c r="D463" s="17"/>
      <c r="E463" s="17"/>
      <c r="F463" s="17"/>
      <c r="G463" s="17"/>
      <c r="H463" s="40"/>
      <c r="I463" s="17"/>
      <c r="J463" s="17"/>
      <c r="K463" s="17"/>
      <c r="L463" s="17"/>
      <c r="M463" s="17"/>
      <c r="N463" s="17"/>
      <c r="O463" s="17"/>
      <c r="P463" s="38"/>
      <c r="Q463" s="17"/>
      <c r="R463" s="42" t="str">
        <f aca="false">IF(OR(D463="",P463="",OR(O463="Contract signed + paid",O463="Closed – No response",O463="Lost"),N(Q463)&gt;=Settings!$S$3),"",P463+Settings!$S$2)</f>
        <v/>
      </c>
      <c r="S463" s="38"/>
      <c r="T463" s="39"/>
      <c r="U463" s="17"/>
      <c r="V463" s="17"/>
      <c r="W463" s="17"/>
      <c r="X463" s="43" t="str">
        <f aca="true">IF(OR(D463="",B463=""),"",INT(TODAY()-B463))</f>
        <v/>
      </c>
      <c r="Y463" s="44" t="str">
        <f aca="true">IF(D463="","",IF(OR(COUNTIFS(Clients!$C$2:$C$501,D463,Clients!$S$2:$S$501,"Paid")&gt;0,AND(H463&lt;&gt;"",COUNTIFS(Clients!$E$2:$E$501,H463,Clients!$S$2:$S$501,"Paid")&gt;0)),"⚠ Refunded before – no free video",IF(OR(O463="Contract signed + paid",O463="Closed – No response",O463="Lost"),"",IF(O463="","Set a stage",IF(N(Q463)&gt;=Settings!$S$3,"Close – 4 follow-ups sent",IF(R463="",IF(P463="","Make first contact",""),IF(TODAY()&gt;R463,"OVERDUE follow-up",IF(TODAY()=R463,"Follow up today",""))))))))</f>
        <v/>
      </c>
    </row>
    <row r="464" customFormat="false" ht="15" hidden="false" customHeight="false" outlineLevel="0" collapsed="false">
      <c r="A464" s="17"/>
      <c r="B464" s="38"/>
      <c r="C464" s="17"/>
      <c r="D464" s="17"/>
      <c r="E464" s="17"/>
      <c r="F464" s="17"/>
      <c r="G464" s="17"/>
      <c r="H464" s="40"/>
      <c r="I464" s="17"/>
      <c r="J464" s="17"/>
      <c r="K464" s="17"/>
      <c r="L464" s="17"/>
      <c r="M464" s="17"/>
      <c r="N464" s="17"/>
      <c r="O464" s="17"/>
      <c r="P464" s="38"/>
      <c r="Q464" s="17"/>
      <c r="R464" s="42" t="str">
        <f aca="false">IF(OR(D464="",P464="",OR(O464="Contract signed + paid",O464="Closed – No response",O464="Lost"),N(Q464)&gt;=Settings!$S$3),"",P464+Settings!$S$2)</f>
        <v/>
      </c>
      <c r="S464" s="38"/>
      <c r="T464" s="39"/>
      <c r="U464" s="17"/>
      <c r="V464" s="17"/>
      <c r="W464" s="17"/>
      <c r="X464" s="43" t="str">
        <f aca="true">IF(OR(D464="",B464=""),"",INT(TODAY()-B464))</f>
        <v/>
      </c>
      <c r="Y464" s="44" t="str">
        <f aca="true">IF(D464="","",IF(OR(COUNTIFS(Clients!$C$2:$C$501,D464,Clients!$S$2:$S$501,"Paid")&gt;0,AND(H464&lt;&gt;"",COUNTIFS(Clients!$E$2:$E$501,H464,Clients!$S$2:$S$501,"Paid")&gt;0)),"⚠ Refunded before – no free video",IF(OR(O464="Contract signed + paid",O464="Closed – No response",O464="Lost"),"",IF(O464="","Set a stage",IF(N(Q464)&gt;=Settings!$S$3,"Close – 4 follow-ups sent",IF(R464="",IF(P464="","Make first contact",""),IF(TODAY()&gt;R464,"OVERDUE follow-up",IF(TODAY()=R464,"Follow up today",""))))))))</f>
        <v/>
      </c>
    </row>
    <row r="465" customFormat="false" ht="15" hidden="false" customHeight="false" outlineLevel="0" collapsed="false">
      <c r="A465" s="17"/>
      <c r="B465" s="38"/>
      <c r="C465" s="17"/>
      <c r="D465" s="17"/>
      <c r="E465" s="17"/>
      <c r="F465" s="17"/>
      <c r="G465" s="17"/>
      <c r="H465" s="40"/>
      <c r="I465" s="17"/>
      <c r="J465" s="17"/>
      <c r="K465" s="17"/>
      <c r="L465" s="17"/>
      <c r="M465" s="17"/>
      <c r="N465" s="17"/>
      <c r="O465" s="17"/>
      <c r="P465" s="38"/>
      <c r="Q465" s="17"/>
      <c r="R465" s="42" t="str">
        <f aca="false">IF(OR(D465="",P465="",OR(O465="Contract signed + paid",O465="Closed – No response",O465="Lost"),N(Q465)&gt;=Settings!$S$3),"",P465+Settings!$S$2)</f>
        <v/>
      </c>
      <c r="S465" s="38"/>
      <c r="T465" s="39"/>
      <c r="U465" s="17"/>
      <c r="V465" s="17"/>
      <c r="W465" s="17"/>
      <c r="X465" s="43" t="str">
        <f aca="true">IF(OR(D465="",B465=""),"",INT(TODAY()-B465))</f>
        <v/>
      </c>
      <c r="Y465" s="44" t="str">
        <f aca="true">IF(D465="","",IF(OR(COUNTIFS(Clients!$C$2:$C$501,D465,Clients!$S$2:$S$501,"Paid")&gt;0,AND(H465&lt;&gt;"",COUNTIFS(Clients!$E$2:$E$501,H465,Clients!$S$2:$S$501,"Paid")&gt;0)),"⚠ Refunded before – no free video",IF(OR(O465="Contract signed + paid",O465="Closed – No response",O465="Lost"),"",IF(O465="","Set a stage",IF(N(Q465)&gt;=Settings!$S$3,"Close – 4 follow-ups sent",IF(R465="",IF(P465="","Make first contact",""),IF(TODAY()&gt;R465,"OVERDUE follow-up",IF(TODAY()=R465,"Follow up today",""))))))))</f>
        <v/>
      </c>
    </row>
    <row r="466" customFormat="false" ht="15" hidden="false" customHeight="false" outlineLevel="0" collapsed="false">
      <c r="A466" s="17"/>
      <c r="B466" s="38"/>
      <c r="C466" s="17"/>
      <c r="D466" s="17"/>
      <c r="E466" s="17"/>
      <c r="F466" s="17"/>
      <c r="G466" s="17"/>
      <c r="H466" s="40"/>
      <c r="I466" s="17"/>
      <c r="J466" s="17"/>
      <c r="K466" s="17"/>
      <c r="L466" s="17"/>
      <c r="M466" s="17"/>
      <c r="N466" s="17"/>
      <c r="O466" s="17"/>
      <c r="P466" s="38"/>
      <c r="Q466" s="17"/>
      <c r="R466" s="42" t="str">
        <f aca="false">IF(OR(D466="",P466="",OR(O466="Contract signed + paid",O466="Closed – No response",O466="Lost"),N(Q466)&gt;=Settings!$S$3),"",P466+Settings!$S$2)</f>
        <v/>
      </c>
      <c r="S466" s="38"/>
      <c r="T466" s="39"/>
      <c r="U466" s="17"/>
      <c r="V466" s="17"/>
      <c r="W466" s="17"/>
      <c r="X466" s="43" t="str">
        <f aca="true">IF(OR(D466="",B466=""),"",INT(TODAY()-B466))</f>
        <v/>
      </c>
      <c r="Y466" s="44" t="str">
        <f aca="true">IF(D466="","",IF(OR(COUNTIFS(Clients!$C$2:$C$501,D466,Clients!$S$2:$S$501,"Paid")&gt;0,AND(H466&lt;&gt;"",COUNTIFS(Clients!$E$2:$E$501,H466,Clients!$S$2:$S$501,"Paid")&gt;0)),"⚠ Refunded before – no free video",IF(OR(O466="Contract signed + paid",O466="Closed – No response",O466="Lost"),"",IF(O466="","Set a stage",IF(N(Q466)&gt;=Settings!$S$3,"Close – 4 follow-ups sent",IF(R466="",IF(P466="","Make first contact",""),IF(TODAY()&gt;R466,"OVERDUE follow-up",IF(TODAY()=R466,"Follow up today",""))))))))</f>
        <v/>
      </c>
    </row>
    <row r="467" customFormat="false" ht="15" hidden="false" customHeight="false" outlineLevel="0" collapsed="false">
      <c r="A467" s="17"/>
      <c r="B467" s="38"/>
      <c r="C467" s="17"/>
      <c r="D467" s="17"/>
      <c r="E467" s="17"/>
      <c r="F467" s="17"/>
      <c r="G467" s="17"/>
      <c r="H467" s="40"/>
      <c r="I467" s="17"/>
      <c r="J467" s="17"/>
      <c r="K467" s="17"/>
      <c r="L467" s="17"/>
      <c r="M467" s="17"/>
      <c r="N467" s="17"/>
      <c r="O467" s="17"/>
      <c r="P467" s="38"/>
      <c r="Q467" s="17"/>
      <c r="R467" s="42" t="str">
        <f aca="false">IF(OR(D467="",P467="",OR(O467="Contract signed + paid",O467="Closed – No response",O467="Lost"),N(Q467)&gt;=Settings!$S$3),"",P467+Settings!$S$2)</f>
        <v/>
      </c>
      <c r="S467" s="38"/>
      <c r="T467" s="39"/>
      <c r="U467" s="17"/>
      <c r="V467" s="17"/>
      <c r="W467" s="17"/>
      <c r="X467" s="43" t="str">
        <f aca="true">IF(OR(D467="",B467=""),"",INT(TODAY()-B467))</f>
        <v/>
      </c>
      <c r="Y467" s="44" t="str">
        <f aca="true">IF(D467="","",IF(OR(COUNTIFS(Clients!$C$2:$C$501,D467,Clients!$S$2:$S$501,"Paid")&gt;0,AND(H467&lt;&gt;"",COUNTIFS(Clients!$E$2:$E$501,H467,Clients!$S$2:$S$501,"Paid")&gt;0)),"⚠ Refunded before – no free video",IF(OR(O467="Contract signed + paid",O467="Closed – No response",O467="Lost"),"",IF(O467="","Set a stage",IF(N(Q467)&gt;=Settings!$S$3,"Close – 4 follow-ups sent",IF(R467="",IF(P467="","Make first contact",""),IF(TODAY()&gt;R467,"OVERDUE follow-up",IF(TODAY()=R467,"Follow up today",""))))))))</f>
        <v/>
      </c>
    </row>
    <row r="468" customFormat="false" ht="15" hidden="false" customHeight="false" outlineLevel="0" collapsed="false">
      <c r="A468" s="17"/>
      <c r="B468" s="38"/>
      <c r="C468" s="17"/>
      <c r="D468" s="17"/>
      <c r="E468" s="17"/>
      <c r="F468" s="17"/>
      <c r="G468" s="17"/>
      <c r="H468" s="40"/>
      <c r="I468" s="17"/>
      <c r="J468" s="17"/>
      <c r="K468" s="17"/>
      <c r="L468" s="17"/>
      <c r="M468" s="17"/>
      <c r="N468" s="17"/>
      <c r="O468" s="17"/>
      <c r="P468" s="38"/>
      <c r="Q468" s="17"/>
      <c r="R468" s="42" t="str">
        <f aca="false">IF(OR(D468="",P468="",OR(O468="Contract signed + paid",O468="Closed – No response",O468="Lost"),N(Q468)&gt;=Settings!$S$3),"",P468+Settings!$S$2)</f>
        <v/>
      </c>
      <c r="S468" s="38"/>
      <c r="T468" s="39"/>
      <c r="U468" s="17"/>
      <c r="V468" s="17"/>
      <c r="W468" s="17"/>
      <c r="X468" s="43" t="str">
        <f aca="true">IF(OR(D468="",B468=""),"",INT(TODAY()-B468))</f>
        <v/>
      </c>
      <c r="Y468" s="44" t="str">
        <f aca="true">IF(D468="","",IF(OR(COUNTIFS(Clients!$C$2:$C$501,D468,Clients!$S$2:$S$501,"Paid")&gt;0,AND(H468&lt;&gt;"",COUNTIFS(Clients!$E$2:$E$501,H468,Clients!$S$2:$S$501,"Paid")&gt;0)),"⚠ Refunded before – no free video",IF(OR(O468="Contract signed + paid",O468="Closed – No response",O468="Lost"),"",IF(O468="","Set a stage",IF(N(Q468)&gt;=Settings!$S$3,"Close – 4 follow-ups sent",IF(R468="",IF(P468="","Make first contact",""),IF(TODAY()&gt;R468,"OVERDUE follow-up",IF(TODAY()=R468,"Follow up today",""))))))))</f>
        <v/>
      </c>
    </row>
    <row r="469" customFormat="false" ht="15" hidden="false" customHeight="false" outlineLevel="0" collapsed="false">
      <c r="A469" s="17"/>
      <c r="B469" s="38"/>
      <c r="C469" s="17"/>
      <c r="D469" s="17"/>
      <c r="E469" s="17"/>
      <c r="F469" s="17"/>
      <c r="G469" s="17"/>
      <c r="H469" s="40"/>
      <c r="I469" s="17"/>
      <c r="J469" s="17"/>
      <c r="K469" s="17"/>
      <c r="L469" s="17"/>
      <c r="M469" s="17"/>
      <c r="N469" s="17"/>
      <c r="O469" s="17"/>
      <c r="P469" s="38"/>
      <c r="Q469" s="17"/>
      <c r="R469" s="42" t="str">
        <f aca="false">IF(OR(D469="",P469="",OR(O469="Contract signed + paid",O469="Closed – No response",O469="Lost"),N(Q469)&gt;=Settings!$S$3),"",P469+Settings!$S$2)</f>
        <v/>
      </c>
      <c r="S469" s="38"/>
      <c r="T469" s="39"/>
      <c r="U469" s="17"/>
      <c r="V469" s="17"/>
      <c r="W469" s="17"/>
      <c r="X469" s="43" t="str">
        <f aca="true">IF(OR(D469="",B469=""),"",INT(TODAY()-B469))</f>
        <v/>
      </c>
      <c r="Y469" s="44" t="str">
        <f aca="true">IF(D469="","",IF(OR(COUNTIFS(Clients!$C$2:$C$501,D469,Clients!$S$2:$S$501,"Paid")&gt;0,AND(H469&lt;&gt;"",COUNTIFS(Clients!$E$2:$E$501,H469,Clients!$S$2:$S$501,"Paid")&gt;0)),"⚠ Refunded before – no free video",IF(OR(O469="Contract signed + paid",O469="Closed – No response",O469="Lost"),"",IF(O469="","Set a stage",IF(N(Q469)&gt;=Settings!$S$3,"Close – 4 follow-ups sent",IF(R469="",IF(P469="","Make first contact",""),IF(TODAY()&gt;R469,"OVERDUE follow-up",IF(TODAY()=R469,"Follow up today",""))))))))</f>
        <v/>
      </c>
    </row>
    <row r="470" customFormat="false" ht="15" hidden="false" customHeight="false" outlineLevel="0" collapsed="false">
      <c r="A470" s="17"/>
      <c r="B470" s="38"/>
      <c r="C470" s="17"/>
      <c r="D470" s="17"/>
      <c r="E470" s="17"/>
      <c r="F470" s="17"/>
      <c r="G470" s="17"/>
      <c r="H470" s="40"/>
      <c r="I470" s="17"/>
      <c r="J470" s="17"/>
      <c r="K470" s="17"/>
      <c r="L470" s="17"/>
      <c r="M470" s="17"/>
      <c r="N470" s="17"/>
      <c r="O470" s="17"/>
      <c r="P470" s="38"/>
      <c r="Q470" s="17"/>
      <c r="R470" s="42" t="str">
        <f aca="false">IF(OR(D470="",P470="",OR(O470="Contract signed + paid",O470="Closed – No response",O470="Lost"),N(Q470)&gt;=Settings!$S$3),"",P470+Settings!$S$2)</f>
        <v/>
      </c>
      <c r="S470" s="38"/>
      <c r="T470" s="39"/>
      <c r="U470" s="17"/>
      <c r="V470" s="17"/>
      <c r="W470" s="17"/>
      <c r="X470" s="43" t="str">
        <f aca="true">IF(OR(D470="",B470=""),"",INT(TODAY()-B470))</f>
        <v/>
      </c>
      <c r="Y470" s="44" t="str">
        <f aca="true">IF(D470="","",IF(OR(COUNTIFS(Clients!$C$2:$C$501,D470,Clients!$S$2:$S$501,"Paid")&gt;0,AND(H470&lt;&gt;"",COUNTIFS(Clients!$E$2:$E$501,H470,Clients!$S$2:$S$501,"Paid")&gt;0)),"⚠ Refunded before – no free video",IF(OR(O470="Contract signed + paid",O470="Closed – No response",O470="Lost"),"",IF(O470="","Set a stage",IF(N(Q470)&gt;=Settings!$S$3,"Close – 4 follow-ups sent",IF(R470="",IF(P470="","Make first contact",""),IF(TODAY()&gt;R470,"OVERDUE follow-up",IF(TODAY()=R470,"Follow up today",""))))))))</f>
        <v/>
      </c>
    </row>
    <row r="471" customFormat="false" ht="15" hidden="false" customHeight="false" outlineLevel="0" collapsed="false">
      <c r="A471" s="17"/>
      <c r="B471" s="38"/>
      <c r="C471" s="17"/>
      <c r="D471" s="17"/>
      <c r="E471" s="17"/>
      <c r="F471" s="17"/>
      <c r="G471" s="17"/>
      <c r="H471" s="40"/>
      <c r="I471" s="17"/>
      <c r="J471" s="17"/>
      <c r="K471" s="17"/>
      <c r="L471" s="17"/>
      <c r="M471" s="17"/>
      <c r="N471" s="17"/>
      <c r="O471" s="17"/>
      <c r="P471" s="38"/>
      <c r="Q471" s="17"/>
      <c r="R471" s="42" t="str">
        <f aca="false">IF(OR(D471="",P471="",OR(O471="Contract signed + paid",O471="Closed – No response",O471="Lost"),N(Q471)&gt;=Settings!$S$3),"",P471+Settings!$S$2)</f>
        <v/>
      </c>
      <c r="S471" s="38"/>
      <c r="T471" s="39"/>
      <c r="U471" s="17"/>
      <c r="V471" s="17"/>
      <c r="W471" s="17"/>
      <c r="X471" s="43" t="str">
        <f aca="true">IF(OR(D471="",B471=""),"",INT(TODAY()-B471))</f>
        <v/>
      </c>
      <c r="Y471" s="44" t="str">
        <f aca="true">IF(D471="","",IF(OR(COUNTIFS(Clients!$C$2:$C$501,D471,Clients!$S$2:$S$501,"Paid")&gt;0,AND(H471&lt;&gt;"",COUNTIFS(Clients!$E$2:$E$501,H471,Clients!$S$2:$S$501,"Paid")&gt;0)),"⚠ Refunded before – no free video",IF(OR(O471="Contract signed + paid",O471="Closed – No response",O471="Lost"),"",IF(O471="","Set a stage",IF(N(Q471)&gt;=Settings!$S$3,"Close – 4 follow-ups sent",IF(R471="",IF(P471="","Make first contact",""),IF(TODAY()&gt;R471,"OVERDUE follow-up",IF(TODAY()=R471,"Follow up today",""))))))))</f>
        <v/>
      </c>
    </row>
    <row r="472" customFormat="false" ht="15" hidden="false" customHeight="false" outlineLevel="0" collapsed="false">
      <c r="A472" s="17"/>
      <c r="B472" s="38"/>
      <c r="C472" s="17"/>
      <c r="D472" s="17"/>
      <c r="E472" s="17"/>
      <c r="F472" s="17"/>
      <c r="G472" s="17"/>
      <c r="H472" s="40"/>
      <c r="I472" s="17"/>
      <c r="J472" s="17"/>
      <c r="K472" s="17"/>
      <c r="L472" s="17"/>
      <c r="M472" s="17"/>
      <c r="N472" s="17"/>
      <c r="O472" s="17"/>
      <c r="P472" s="38"/>
      <c r="Q472" s="17"/>
      <c r="R472" s="42" t="str">
        <f aca="false">IF(OR(D472="",P472="",OR(O472="Contract signed + paid",O472="Closed – No response",O472="Lost"),N(Q472)&gt;=Settings!$S$3),"",P472+Settings!$S$2)</f>
        <v/>
      </c>
      <c r="S472" s="38"/>
      <c r="T472" s="39"/>
      <c r="U472" s="17"/>
      <c r="V472" s="17"/>
      <c r="W472" s="17"/>
      <c r="X472" s="43" t="str">
        <f aca="true">IF(OR(D472="",B472=""),"",INT(TODAY()-B472))</f>
        <v/>
      </c>
      <c r="Y472" s="44" t="str">
        <f aca="true">IF(D472="","",IF(OR(COUNTIFS(Clients!$C$2:$C$501,D472,Clients!$S$2:$S$501,"Paid")&gt;0,AND(H472&lt;&gt;"",COUNTIFS(Clients!$E$2:$E$501,H472,Clients!$S$2:$S$501,"Paid")&gt;0)),"⚠ Refunded before – no free video",IF(OR(O472="Contract signed + paid",O472="Closed – No response",O472="Lost"),"",IF(O472="","Set a stage",IF(N(Q472)&gt;=Settings!$S$3,"Close – 4 follow-ups sent",IF(R472="",IF(P472="","Make first contact",""),IF(TODAY()&gt;R472,"OVERDUE follow-up",IF(TODAY()=R472,"Follow up today",""))))))))</f>
        <v/>
      </c>
    </row>
    <row r="473" customFormat="false" ht="15" hidden="false" customHeight="false" outlineLevel="0" collapsed="false">
      <c r="A473" s="17"/>
      <c r="B473" s="38"/>
      <c r="C473" s="17"/>
      <c r="D473" s="17"/>
      <c r="E473" s="17"/>
      <c r="F473" s="17"/>
      <c r="G473" s="17"/>
      <c r="H473" s="40"/>
      <c r="I473" s="17"/>
      <c r="J473" s="17"/>
      <c r="K473" s="17"/>
      <c r="L473" s="17"/>
      <c r="M473" s="17"/>
      <c r="N473" s="17"/>
      <c r="O473" s="17"/>
      <c r="P473" s="38"/>
      <c r="Q473" s="17"/>
      <c r="R473" s="42" t="str">
        <f aca="false">IF(OR(D473="",P473="",OR(O473="Contract signed + paid",O473="Closed – No response",O473="Lost"),N(Q473)&gt;=Settings!$S$3),"",P473+Settings!$S$2)</f>
        <v/>
      </c>
      <c r="S473" s="38"/>
      <c r="T473" s="39"/>
      <c r="U473" s="17"/>
      <c r="V473" s="17"/>
      <c r="W473" s="17"/>
      <c r="X473" s="43" t="str">
        <f aca="true">IF(OR(D473="",B473=""),"",INT(TODAY()-B473))</f>
        <v/>
      </c>
      <c r="Y473" s="44" t="str">
        <f aca="true">IF(D473="","",IF(OR(COUNTIFS(Clients!$C$2:$C$501,D473,Clients!$S$2:$S$501,"Paid")&gt;0,AND(H473&lt;&gt;"",COUNTIFS(Clients!$E$2:$E$501,H473,Clients!$S$2:$S$501,"Paid")&gt;0)),"⚠ Refunded before – no free video",IF(OR(O473="Contract signed + paid",O473="Closed – No response",O473="Lost"),"",IF(O473="","Set a stage",IF(N(Q473)&gt;=Settings!$S$3,"Close – 4 follow-ups sent",IF(R473="",IF(P473="","Make first contact",""),IF(TODAY()&gt;R473,"OVERDUE follow-up",IF(TODAY()=R473,"Follow up today",""))))))))</f>
        <v/>
      </c>
    </row>
    <row r="474" customFormat="false" ht="15" hidden="false" customHeight="false" outlineLevel="0" collapsed="false">
      <c r="A474" s="17"/>
      <c r="B474" s="38"/>
      <c r="C474" s="17"/>
      <c r="D474" s="17"/>
      <c r="E474" s="17"/>
      <c r="F474" s="17"/>
      <c r="G474" s="17"/>
      <c r="H474" s="40"/>
      <c r="I474" s="17"/>
      <c r="J474" s="17"/>
      <c r="K474" s="17"/>
      <c r="L474" s="17"/>
      <c r="M474" s="17"/>
      <c r="N474" s="17"/>
      <c r="O474" s="17"/>
      <c r="P474" s="38"/>
      <c r="Q474" s="17"/>
      <c r="R474" s="42" t="str">
        <f aca="false">IF(OR(D474="",P474="",OR(O474="Contract signed + paid",O474="Closed – No response",O474="Lost"),N(Q474)&gt;=Settings!$S$3),"",P474+Settings!$S$2)</f>
        <v/>
      </c>
      <c r="S474" s="38"/>
      <c r="T474" s="39"/>
      <c r="U474" s="17"/>
      <c r="V474" s="17"/>
      <c r="W474" s="17"/>
      <c r="X474" s="43" t="str">
        <f aca="true">IF(OR(D474="",B474=""),"",INT(TODAY()-B474))</f>
        <v/>
      </c>
      <c r="Y474" s="44" t="str">
        <f aca="true">IF(D474="","",IF(OR(COUNTIFS(Clients!$C$2:$C$501,D474,Clients!$S$2:$S$501,"Paid")&gt;0,AND(H474&lt;&gt;"",COUNTIFS(Clients!$E$2:$E$501,H474,Clients!$S$2:$S$501,"Paid")&gt;0)),"⚠ Refunded before – no free video",IF(OR(O474="Contract signed + paid",O474="Closed – No response",O474="Lost"),"",IF(O474="","Set a stage",IF(N(Q474)&gt;=Settings!$S$3,"Close – 4 follow-ups sent",IF(R474="",IF(P474="","Make first contact",""),IF(TODAY()&gt;R474,"OVERDUE follow-up",IF(TODAY()=R474,"Follow up today",""))))))))</f>
        <v/>
      </c>
    </row>
    <row r="475" customFormat="false" ht="15" hidden="false" customHeight="false" outlineLevel="0" collapsed="false">
      <c r="A475" s="17"/>
      <c r="B475" s="38"/>
      <c r="C475" s="17"/>
      <c r="D475" s="17"/>
      <c r="E475" s="17"/>
      <c r="F475" s="17"/>
      <c r="G475" s="17"/>
      <c r="H475" s="40"/>
      <c r="I475" s="17"/>
      <c r="J475" s="17"/>
      <c r="K475" s="17"/>
      <c r="L475" s="17"/>
      <c r="M475" s="17"/>
      <c r="N475" s="17"/>
      <c r="O475" s="17"/>
      <c r="P475" s="38"/>
      <c r="Q475" s="17"/>
      <c r="R475" s="42" t="str">
        <f aca="false">IF(OR(D475="",P475="",OR(O475="Contract signed + paid",O475="Closed – No response",O475="Lost"),N(Q475)&gt;=Settings!$S$3),"",P475+Settings!$S$2)</f>
        <v/>
      </c>
      <c r="S475" s="38"/>
      <c r="T475" s="39"/>
      <c r="U475" s="17"/>
      <c r="V475" s="17"/>
      <c r="W475" s="17"/>
      <c r="X475" s="43" t="str">
        <f aca="true">IF(OR(D475="",B475=""),"",INT(TODAY()-B475))</f>
        <v/>
      </c>
      <c r="Y475" s="44" t="str">
        <f aca="true">IF(D475="","",IF(OR(COUNTIFS(Clients!$C$2:$C$501,D475,Clients!$S$2:$S$501,"Paid")&gt;0,AND(H475&lt;&gt;"",COUNTIFS(Clients!$E$2:$E$501,H475,Clients!$S$2:$S$501,"Paid")&gt;0)),"⚠ Refunded before – no free video",IF(OR(O475="Contract signed + paid",O475="Closed – No response",O475="Lost"),"",IF(O475="","Set a stage",IF(N(Q475)&gt;=Settings!$S$3,"Close – 4 follow-ups sent",IF(R475="",IF(P475="","Make first contact",""),IF(TODAY()&gt;R475,"OVERDUE follow-up",IF(TODAY()=R475,"Follow up today",""))))))))</f>
        <v/>
      </c>
    </row>
    <row r="476" customFormat="false" ht="15" hidden="false" customHeight="false" outlineLevel="0" collapsed="false">
      <c r="A476" s="17"/>
      <c r="B476" s="38"/>
      <c r="C476" s="17"/>
      <c r="D476" s="17"/>
      <c r="E476" s="17"/>
      <c r="F476" s="17"/>
      <c r="G476" s="17"/>
      <c r="H476" s="40"/>
      <c r="I476" s="17"/>
      <c r="J476" s="17"/>
      <c r="K476" s="17"/>
      <c r="L476" s="17"/>
      <c r="M476" s="17"/>
      <c r="N476" s="17"/>
      <c r="O476" s="17"/>
      <c r="P476" s="38"/>
      <c r="Q476" s="17"/>
      <c r="R476" s="42" t="str">
        <f aca="false">IF(OR(D476="",P476="",OR(O476="Contract signed + paid",O476="Closed – No response",O476="Lost"),N(Q476)&gt;=Settings!$S$3),"",P476+Settings!$S$2)</f>
        <v/>
      </c>
      <c r="S476" s="38"/>
      <c r="T476" s="39"/>
      <c r="U476" s="17"/>
      <c r="V476" s="17"/>
      <c r="W476" s="17"/>
      <c r="X476" s="43" t="str">
        <f aca="true">IF(OR(D476="",B476=""),"",INT(TODAY()-B476))</f>
        <v/>
      </c>
      <c r="Y476" s="44" t="str">
        <f aca="true">IF(D476="","",IF(OR(COUNTIFS(Clients!$C$2:$C$501,D476,Clients!$S$2:$S$501,"Paid")&gt;0,AND(H476&lt;&gt;"",COUNTIFS(Clients!$E$2:$E$501,H476,Clients!$S$2:$S$501,"Paid")&gt;0)),"⚠ Refunded before – no free video",IF(OR(O476="Contract signed + paid",O476="Closed – No response",O476="Lost"),"",IF(O476="","Set a stage",IF(N(Q476)&gt;=Settings!$S$3,"Close – 4 follow-ups sent",IF(R476="",IF(P476="","Make first contact",""),IF(TODAY()&gt;R476,"OVERDUE follow-up",IF(TODAY()=R476,"Follow up today",""))))))))</f>
        <v/>
      </c>
    </row>
    <row r="477" customFormat="false" ht="15" hidden="false" customHeight="false" outlineLevel="0" collapsed="false">
      <c r="A477" s="17"/>
      <c r="B477" s="38"/>
      <c r="C477" s="17"/>
      <c r="D477" s="17"/>
      <c r="E477" s="17"/>
      <c r="F477" s="17"/>
      <c r="G477" s="17"/>
      <c r="H477" s="40"/>
      <c r="I477" s="17"/>
      <c r="J477" s="17"/>
      <c r="K477" s="17"/>
      <c r="L477" s="17"/>
      <c r="M477" s="17"/>
      <c r="N477" s="17"/>
      <c r="O477" s="17"/>
      <c r="P477" s="38"/>
      <c r="Q477" s="17"/>
      <c r="R477" s="42" t="str">
        <f aca="false">IF(OR(D477="",P477="",OR(O477="Contract signed + paid",O477="Closed – No response",O477="Lost"),N(Q477)&gt;=Settings!$S$3),"",P477+Settings!$S$2)</f>
        <v/>
      </c>
      <c r="S477" s="38"/>
      <c r="T477" s="39"/>
      <c r="U477" s="17"/>
      <c r="V477" s="17"/>
      <c r="W477" s="17"/>
      <c r="X477" s="43" t="str">
        <f aca="true">IF(OR(D477="",B477=""),"",INT(TODAY()-B477))</f>
        <v/>
      </c>
      <c r="Y477" s="44" t="str">
        <f aca="true">IF(D477="","",IF(OR(COUNTIFS(Clients!$C$2:$C$501,D477,Clients!$S$2:$S$501,"Paid")&gt;0,AND(H477&lt;&gt;"",COUNTIFS(Clients!$E$2:$E$501,H477,Clients!$S$2:$S$501,"Paid")&gt;0)),"⚠ Refunded before – no free video",IF(OR(O477="Contract signed + paid",O477="Closed – No response",O477="Lost"),"",IF(O477="","Set a stage",IF(N(Q477)&gt;=Settings!$S$3,"Close – 4 follow-ups sent",IF(R477="",IF(P477="","Make first contact",""),IF(TODAY()&gt;R477,"OVERDUE follow-up",IF(TODAY()=R477,"Follow up today",""))))))))</f>
        <v/>
      </c>
    </row>
    <row r="478" customFormat="false" ht="15" hidden="false" customHeight="false" outlineLevel="0" collapsed="false">
      <c r="A478" s="17"/>
      <c r="B478" s="38"/>
      <c r="C478" s="17"/>
      <c r="D478" s="17"/>
      <c r="E478" s="17"/>
      <c r="F478" s="17"/>
      <c r="G478" s="17"/>
      <c r="H478" s="40"/>
      <c r="I478" s="17"/>
      <c r="J478" s="17"/>
      <c r="K478" s="17"/>
      <c r="L478" s="17"/>
      <c r="M478" s="17"/>
      <c r="N478" s="17"/>
      <c r="O478" s="17"/>
      <c r="P478" s="38"/>
      <c r="Q478" s="17"/>
      <c r="R478" s="42" t="str">
        <f aca="false">IF(OR(D478="",P478="",OR(O478="Contract signed + paid",O478="Closed – No response",O478="Lost"),N(Q478)&gt;=Settings!$S$3),"",P478+Settings!$S$2)</f>
        <v/>
      </c>
      <c r="S478" s="38"/>
      <c r="T478" s="39"/>
      <c r="U478" s="17"/>
      <c r="V478" s="17"/>
      <c r="W478" s="17"/>
      <c r="X478" s="43" t="str">
        <f aca="true">IF(OR(D478="",B478=""),"",INT(TODAY()-B478))</f>
        <v/>
      </c>
      <c r="Y478" s="44" t="str">
        <f aca="true">IF(D478="","",IF(OR(COUNTIFS(Clients!$C$2:$C$501,D478,Clients!$S$2:$S$501,"Paid")&gt;0,AND(H478&lt;&gt;"",COUNTIFS(Clients!$E$2:$E$501,H478,Clients!$S$2:$S$501,"Paid")&gt;0)),"⚠ Refunded before – no free video",IF(OR(O478="Contract signed + paid",O478="Closed – No response",O478="Lost"),"",IF(O478="","Set a stage",IF(N(Q478)&gt;=Settings!$S$3,"Close – 4 follow-ups sent",IF(R478="",IF(P478="","Make first contact",""),IF(TODAY()&gt;R478,"OVERDUE follow-up",IF(TODAY()=R478,"Follow up today",""))))))))</f>
        <v/>
      </c>
    </row>
    <row r="479" customFormat="false" ht="15" hidden="false" customHeight="false" outlineLevel="0" collapsed="false">
      <c r="A479" s="17"/>
      <c r="B479" s="38"/>
      <c r="C479" s="17"/>
      <c r="D479" s="17"/>
      <c r="E479" s="17"/>
      <c r="F479" s="17"/>
      <c r="G479" s="17"/>
      <c r="H479" s="40"/>
      <c r="I479" s="17"/>
      <c r="J479" s="17"/>
      <c r="K479" s="17"/>
      <c r="L479" s="17"/>
      <c r="M479" s="17"/>
      <c r="N479" s="17"/>
      <c r="O479" s="17"/>
      <c r="P479" s="38"/>
      <c r="Q479" s="17"/>
      <c r="R479" s="42" t="str">
        <f aca="false">IF(OR(D479="",P479="",OR(O479="Contract signed + paid",O479="Closed – No response",O479="Lost"),N(Q479)&gt;=Settings!$S$3),"",P479+Settings!$S$2)</f>
        <v/>
      </c>
      <c r="S479" s="38"/>
      <c r="T479" s="39"/>
      <c r="U479" s="17"/>
      <c r="V479" s="17"/>
      <c r="W479" s="17"/>
      <c r="X479" s="43" t="str">
        <f aca="true">IF(OR(D479="",B479=""),"",INT(TODAY()-B479))</f>
        <v/>
      </c>
      <c r="Y479" s="44" t="str">
        <f aca="true">IF(D479="","",IF(OR(COUNTIFS(Clients!$C$2:$C$501,D479,Clients!$S$2:$S$501,"Paid")&gt;0,AND(H479&lt;&gt;"",COUNTIFS(Clients!$E$2:$E$501,H479,Clients!$S$2:$S$501,"Paid")&gt;0)),"⚠ Refunded before – no free video",IF(OR(O479="Contract signed + paid",O479="Closed – No response",O479="Lost"),"",IF(O479="","Set a stage",IF(N(Q479)&gt;=Settings!$S$3,"Close – 4 follow-ups sent",IF(R479="",IF(P479="","Make first contact",""),IF(TODAY()&gt;R479,"OVERDUE follow-up",IF(TODAY()=R479,"Follow up today",""))))))))</f>
        <v/>
      </c>
    </row>
    <row r="480" customFormat="false" ht="15" hidden="false" customHeight="false" outlineLevel="0" collapsed="false">
      <c r="A480" s="17"/>
      <c r="B480" s="38"/>
      <c r="C480" s="17"/>
      <c r="D480" s="17"/>
      <c r="E480" s="17"/>
      <c r="F480" s="17"/>
      <c r="G480" s="17"/>
      <c r="H480" s="40"/>
      <c r="I480" s="17"/>
      <c r="J480" s="17"/>
      <c r="K480" s="17"/>
      <c r="L480" s="17"/>
      <c r="M480" s="17"/>
      <c r="N480" s="17"/>
      <c r="O480" s="17"/>
      <c r="P480" s="38"/>
      <c r="Q480" s="17"/>
      <c r="R480" s="42" t="str">
        <f aca="false">IF(OR(D480="",P480="",OR(O480="Contract signed + paid",O480="Closed – No response",O480="Lost"),N(Q480)&gt;=Settings!$S$3),"",P480+Settings!$S$2)</f>
        <v/>
      </c>
      <c r="S480" s="38"/>
      <c r="T480" s="39"/>
      <c r="U480" s="17"/>
      <c r="V480" s="17"/>
      <c r="W480" s="17"/>
      <c r="X480" s="43" t="str">
        <f aca="true">IF(OR(D480="",B480=""),"",INT(TODAY()-B480))</f>
        <v/>
      </c>
      <c r="Y480" s="44" t="str">
        <f aca="true">IF(D480="","",IF(OR(COUNTIFS(Clients!$C$2:$C$501,D480,Clients!$S$2:$S$501,"Paid")&gt;0,AND(H480&lt;&gt;"",COUNTIFS(Clients!$E$2:$E$501,H480,Clients!$S$2:$S$501,"Paid")&gt;0)),"⚠ Refunded before – no free video",IF(OR(O480="Contract signed + paid",O480="Closed – No response",O480="Lost"),"",IF(O480="","Set a stage",IF(N(Q480)&gt;=Settings!$S$3,"Close – 4 follow-ups sent",IF(R480="",IF(P480="","Make first contact",""),IF(TODAY()&gt;R480,"OVERDUE follow-up",IF(TODAY()=R480,"Follow up today",""))))))))</f>
        <v/>
      </c>
    </row>
    <row r="481" customFormat="false" ht="15" hidden="false" customHeight="false" outlineLevel="0" collapsed="false">
      <c r="A481" s="17"/>
      <c r="B481" s="38"/>
      <c r="C481" s="17"/>
      <c r="D481" s="17"/>
      <c r="E481" s="17"/>
      <c r="F481" s="17"/>
      <c r="G481" s="17"/>
      <c r="H481" s="40"/>
      <c r="I481" s="17"/>
      <c r="J481" s="17"/>
      <c r="K481" s="17"/>
      <c r="L481" s="17"/>
      <c r="M481" s="17"/>
      <c r="N481" s="17"/>
      <c r="O481" s="17"/>
      <c r="P481" s="38"/>
      <c r="Q481" s="17"/>
      <c r="R481" s="42" t="str">
        <f aca="false">IF(OR(D481="",P481="",OR(O481="Contract signed + paid",O481="Closed – No response",O481="Lost"),N(Q481)&gt;=Settings!$S$3),"",P481+Settings!$S$2)</f>
        <v/>
      </c>
      <c r="S481" s="38"/>
      <c r="T481" s="39"/>
      <c r="U481" s="17"/>
      <c r="V481" s="17"/>
      <c r="W481" s="17"/>
      <c r="X481" s="43" t="str">
        <f aca="true">IF(OR(D481="",B481=""),"",INT(TODAY()-B481))</f>
        <v/>
      </c>
      <c r="Y481" s="44" t="str">
        <f aca="true">IF(D481="","",IF(OR(COUNTIFS(Clients!$C$2:$C$501,D481,Clients!$S$2:$S$501,"Paid")&gt;0,AND(H481&lt;&gt;"",COUNTIFS(Clients!$E$2:$E$501,H481,Clients!$S$2:$S$501,"Paid")&gt;0)),"⚠ Refunded before – no free video",IF(OR(O481="Contract signed + paid",O481="Closed – No response",O481="Lost"),"",IF(O481="","Set a stage",IF(N(Q481)&gt;=Settings!$S$3,"Close – 4 follow-ups sent",IF(R481="",IF(P481="","Make first contact",""),IF(TODAY()&gt;R481,"OVERDUE follow-up",IF(TODAY()=R481,"Follow up today",""))))))))</f>
        <v/>
      </c>
    </row>
    <row r="482" customFormat="false" ht="15" hidden="false" customHeight="false" outlineLevel="0" collapsed="false">
      <c r="A482" s="17"/>
      <c r="B482" s="38"/>
      <c r="C482" s="17"/>
      <c r="D482" s="17"/>
      <c r="E482" s="17"/>
      <c r="F482" s="17"/>
      <c r="G482" s="17"/>
      <c r="H482" s="40"/>
      <c r="I482" s="17"/>
      <c r="J482" s="17"/>
      <c r="K482" s="17"/>
      <c r="L482" s="17"/>
      <c r="M482" s="17"/>
      <c r="N482" s="17"/>
      <c r="O482" s="17"/>
      <c r="P482" s="38"/>
      <c r="Q482" s="17"/>
      <c r="R482" s="42" t="str">
        <f aca="false">IF(OR(D482="",P482="",OR(O482="Contract signed + paid",O482="Closed – No response",O482="Lost"),N(Q482)&gt;=Settings!$S$3),"",P482+Settings!$S$2)</f>
        <v/>
      </c>
      <c r="S482" s="38"/>
      <c r="T482" s="39"/>
      <c r="U482" s="17"/>
      <c r="V482" s="17"/>
      <c r="W482" s="17"/>
      <c r="X482" s="43" t="str">
        <f aca="true">IF(OR(D482="",B482=""),"",INT(TODAY()-B482))</f>
        <v/>
      </c>
      <c r="Y482" s="44" t="str">
        <f aca="true">IF(D482="","",IF(OR(COUNTIFS(Clients!$C$2:$C$501,D482,Clients!$S$2:$S$501,"Paid")&gt;0,AND(H482&lt;&gt;"",COUNTIFS(Clients!$E$2:$E$501,H482,Clients!$S$2:$S$501,"Paid")&gt;0)),"⚠ Refunded before – no free video",IF(OR(O482="Contract signed + paid",O482="Closed – No response",O482="Lost"),"",IF(O482="","Set a stage",IF(N(Q482)&gt;=Settings!$S$3,"Close – 4 follow-ups sent",IF(R482="",IF(P482="","Make first contact",""),IF(TODAY()&gt;R482,"OVERDUE follow-up",IF(TODAY()=R482,"Follow up today",""))))))))</f>
        <v/>
      </c>
    </row>
    <row r="483" customFormat="false" ht="15" hidden="false" customHeight="false" outlineLevel="0" collapsed="false">
      <c r="A483" s="17"/>
      <c r="B483" s="38"/>
      <c r="C483" s="17"/>
      <c r="D483" s="17"/>
      <c r="E483" s="17"/>
      <c r="F483" s="17"/>
      <c r="G483" s="17"/>
      <c r="H483" s="40"/>
      <c r="I483" s="17"/>
      <c r="J483" s="17"/>
      <c r="K483" s="17"/>
      <c r="L483" s="17"/>
      <c r="M483" s="17"/>
      <c r="N483" s="17"/>
      <c r="O483" s="17"/>
      <c r="P483" s="38"/>
      <c r="Q483" s="17"/>
      <c r="R483" s="42" t="str">
        <f aca="false">IF(OR(D483="",P483="",OR(O483="Contract signed + paid",O483="Closed – No response",O483="Lost"),N(Q483)&gt;=Settings!$S$3),"",P483+Settings!$S$2)</f>
        <v/>
      </c>
      <c r="S483" s="38"/>
      <c r="T483" s="39"/>
      <c r="U483" s="17"/>
      <c r="V483" s="17"/>
      <c r="W483" s="17"/>
      <c r="X483" s="43" t="str">
        <f aca="true">IF(OR(D483="",B483=""),"",INT(TODAY()-B483))</f>
        <v/>
      </c>
      <c r="Y483" s="44" t="str">
        <f aca="true">IF(D483="","",IF(OR(COUNTIFS(Clients!$C$2:$C$501,D483,Clients!$S$2:$S$501,"Paid")&gt;0,AND(H483&lt;&gt;"",COUNTIFS(Clients!$E$2:$E$501,H483,Clients!$S$2:$S$501,"Paid")&gt;0)),"⚠ Refunded before – no free video",IF(OR(O483="Contract signed + paid",O483="Closed – No response",O483="Lost"),"",IF(O483="","Set a stage",IF(N(Q483)&gt;=Settings!$S$3,"Close – 4 follow-ups sent",IF(R483="",IF(P483="","Make first contact",""),IF(TODAY()&gt;R483,"OVERDUE follow-up",IF(TODAY()=R483,"Follow up today",""))))))))</f>
        <v/>
      </c>
    </row>
    <row r="484" customFormat="false" ht="15" hidden="false" customHeight="false" outlineLevel="0" collapsed="false">
      <c r="A484" s="17"/>
      <c r="B484" s="38"/>
      <c r="C484" s="17"/>
      <c r="D484" s="17"/>
      <c r="E484" s="17"/>
      <c r="F484" s="17"/>
      <c r="G484" s="17"/>
      <c r="H484" s="40"/>
      <c r="I484" s="17"/>
      <c r="J484" s="17"/>
      <c r="K484" s="17"/>
      <c r="L484" s="17"/>
      <c r="M484" s="17"/>
      <c r="N484" s="17"/>
      <c r="O484" s="17"/>
      <c r="P484" s="38"/>
      <c r="Q484" s="17"/>
      <c r="R484" s="42" t="str">
        <f aca="false">IF(OR(D484="",P484="",OR(O484="Contract signed + paid",O484="Closed – No response",O484="Lost"),N(Q484)&gt;=Settings!$S$3),"",P484+Settings!$S$2)</f>
        <v/>
      </c>
      <c r="S484" s="38"/>
      <c r="T484" s="39"/>
      <c r="U484" s="17"/>
      <c r="V484" s="17"/>
      <c r="W484" s="17"/>
      <c r="X484" s="43" t="str">
        <f aca="true">IF(OR(D484="",B484=""),"",INT(TODAY()-B484))</f>
        <v/>
      </c>
      <c r="Y484" s="44" t="str">
        <f aca="true">IF(D484="","",IF(OR(COUNTIFS(Clients!$C$2:$C$501,D484,Clients!$S$2:$S$501,"Paid")&gt;0,AND(H484&lt;&gt;"",COUNTIFS(Clients!$E$2:$E$501,H484,Clients!$S$2:$S$501,"Paid")&gt;0)),"⚠ Refunded before – no free video",IF(OR(O484="Contract signed + paid",O484="Closed – No response",O484="Lost"),"",IF(O484="","Set a stage",IF(N(Q484)&gt;=Settings!$S$3,"Close – 4 follow-ups sent",IF(R484="",IF(P484="","Make first contact",""),IF(TODAY()&gt;R484,"OVERDUE follow-up",IF(TODAY()=R484,"Follow up today",""))))))))</f>
        <v/>
      </c>
    </row>
    <row r="485" customFormat="false" ht="15" hidden="false" customHeight="false" outlineLevel="0" collapsed="false">
      <c r="A485" s="17"/>
      <c r="B485" s="38"/>
      <c r="C485" s="17"/>
      <c r="D485" s="17"/>
      <c r="E485" s="17"/>
      <c r="F485" s="17"/>
      <c r="G485" s="17"/>
      <c r="H485" s="40"/>
      <c r="I485" s="17"/>
      <c r="J485" s="17"/>
      <c r="K485" s="17"/>
      <c r="L485" s="17"/>
      <c r="M485" s="17"/>
      <c r="N485" s="17"/>
      <c r="O485" s="17"/>
      <c r="P485" s="38"/>
      <c r="Q485" s="17"/>
      <c r="R485" s="42" t="str">
        <f aca="false">IF(OR(D485="",P485="",OR(O485="Contract signed + paid",O485="Closed – No response",O485="Lost"),N(Q485)&gt;=Settings!$S$3),"",P485+Settings!$S$2)</f>
        <v/>
      </c>
      <c r="S485" s="38"/>
      <c r="T485" s="39"/>
      <c r="U485" s="17"/>
      <c r="V485" s="17"/>
      <c r="W485" s="17"/>
      <c r="X485" s="43" t="str">
        <f aca="true">IF(OR(D485="",B485=""),"",INT(TODAY()-B485))</f>
        <v/>
      </c>
      <c r="Y485" s="44" t="str">
        <f aca="true">IF(D485="","",IF(OR(COUNTIFS(Clients!$C$2:$C$501,D485,Clients!$S$2:$S$501,"Paid")&gt;0,AND(H485&lt;&gt;"",COUNTIFS(Clients!$E$2:$E$501,H485,Clients!$S$2:$S$501,"Paid")&gt;0)),"⚠ Refunded before – no free video",IF(OR(O485="Contract signed + paid",O485="Closed – No response",O485="Lost"),"",IF(O485="","Set a stage",IF(N(Q485)&gt;=Settings!$S$3,"Close – 4 follow-ups sent",IF(R485="",IF(P485="","Make first contact",""),IF(TODAY()&gt;R485,"OVERDUE follow-up",IF(TODAY()=R485,"Follow up today",""))))))))</f>
        <v/>
      </c>
    </row>
    <row r="486" customFormat="false" ht="15" hidden="false" customHeight="false" outlineLevel="0" collapsed="false">
      <c r="A486" s="17"/>
      <c r="B486" s="38"/>
      <c r="C486" s="17"/>
      <c r="D486" s="17"/>
      <c r="E486" s="17"/>
      <c r="F486" s="17"/>
      <c r="G486" s="17"/>
      <c r="H486" s="40"/>
      <c r="I486" s="17"/>
      <c r="J486" s="17"/>
      <c r="K486" s="17"/>
      <c r="L486" s="17"/>
      <c r="M486" s="17"/>
      <c r="N486" s="17"/>
      <c r="O486" s="17"/>
      <c r="P486" s="38"/>
      <c r="Q486" s="17"/>
      <c r="R486" s="42" t="str">
        <f aca="false">IF(OR(D486="",P486="",OR(O486="Contract signed + paid",O486="Closed – No response",O486="Lost"),N(Q486)&gt;=Settings!$S$3),"",P486+Settings!$S$2)</f>
        <v/>
      </c>
      <c r="S486" s="38"/>
      <c r="T486" s="39"/>
      <c r="U486" s="17"/>
      <c r="V486" s="17"/>
      <c r="W486" s="17"/>
      <c r="X486" s="43" t="str">
        <f aca="true">IF(OR(D486="",B486=""),"",INT(TODAY()-B486))</f>
        <v/>
      </c>
      <c r="Y486" s="44" t="str">
        <f aca="true">IF(D486="","",IF(OR(COUNTIFS(Clients!$C$2:$C$501,D486,Clients!$S$2:$S$501,"Paid")&gt;0,AND(H486&lt;&gt;"",COUNTIFS(Clients!$E$2:$E$501,H486,Clients!$S$2:$S$501,"Paid")&gt;0)),"⚠ Refunded before – no free video",IF(OR(O486="Contract signed + paid",O486="Closed – No response",O486="Lost"),"",IF(O486="","Set a stage",IF(N(Q486)&gt;=Settings!$S$3,"Close – 4 follow-ups sent",IF(R486="",IF(P486="","Make first contact",""),IF(TODAY()&gt;R486,"OVERDUE follow-up",IF(TODAY()=R486,"Follow up today",""))))))))</f>
        <v/>
      </c>
    </row>
    <row r="487" customFormat="false" ht="15" hidden="false" customHeight="false" outlineLevel="0" collapsed="false">
      <c r="A487" s="17"/>
      <c r="B487" s="38"/>
      <c r="C487" s="17"/>
      <c r="D487" s="17"/>
      <c r="E487" s="17"/>
      <c r="F487" s="17"/>
      <c r="G487" s="17"/>
      <c r="H487" s="40"/>
      <c r="I487" s="17"/>
      <c r="J487" s="17"/>
      <c r="K487" s="17"/>
      <c r="L487" s="17"/>
      <c r="M487" s="17"/>
      <c r="N487" s="17"/>
      <c r="O487" s="17"/>
      <c r="P487" s="38"/>
      <c r="Q487" s="17"/>
      <c r="R487" s="42" t="str">
        <f aca="false">IF(OR(D487="",P487="",OR(O487="Contract signed + paid",O487="Closed – No response",O487="Lost"),N(Q487)&gt;=Settings!$S$3),"",P487+Settings!$S$2)</f>
        <v/>
      </c>
      <c r="S487" s="38"/>
      <c r="T487" s="39"/>
      <c r="U487" s="17"/>
      <c r="V487" s="17"/>
      <c r="W487" s="17"/>
      <c r="X487" s="43" t="str">
        <f aca="true">IF(OR(D487="",B487=""),"",INT(TODAY()-B487))</f>
        <v/>
      </c>
      <c r="Y487" s="44" t="str">
        <f aca="true">IF(D487="","",IF(OR(COUNTIFS(Clients!$C$2:$C$501,D487,Clients!$S$2:$S$501,"Paid")&gt;0,AND(H487&lt;&gt;"",COUNTIFS(Clients!$E$2:$E$501,H487,Clients!$S$2:$S$501,"Paid")&gt;0)),"⚠ Refunded before – no free video",IF(OR(O487="Contract signed + paid",O487="Closed – No response",O487="Lost"),"",IF(O487="","Set a stage",IF(N(Q487)&gt;=Settings!$S$3,"Close – 4 follow-ups sent",IF(R487="",IF(P487="","Make first contact",""),IF(TODAY()&gt;R487,"OVERDUE follow-up",IF(TODAY()=R487,"Follow up today",""))))))))</f>
        <v/>
      </c>
    </row>
    <row r="488" customFormat="false" ht="15" hidden="false" customHeight="false" outlineLevel="0" collapsed="false">
      <c r="A488" s="17"/>
      <c r="B488" s="38"/>
      <c r="C488" s="17"/>
      <c r="D488" s="17"/>
      <c r="E488" s="17"/>
      <c r="F488" s="17"/>
      <c r="G488" s="17"/>
      <c r="H488" s="40"/>
      <c r="I488" s="17"/>
      <c r="J488" s="17"/>
      <c r="K488" s="17"/>
      <c r="L488" s="17"/>
      <c r="M488" s="17"/>
      <c r="N488" s="17"/>
      <c r="O488" s="17"/>
      <c r="P488" s="38"/>
      <c r="Q488" s="17"/>
      <c r="R488" s="42" t="str">
        <f aca="false">IF(OR(D488="",P488="",OR(O488="Contract signed + paid",O488="Closed – No response",O488="Lost"),N(Q488)&gt;=Settings!$S$3),"",P488+Settings!$S$2)</f>
        <v/>
      </c>
      <c r="S488" s="38"/>
      <c r="T488" s="39"/>
      <c r="U488" s="17"/>
      <c r="V488" s="17"/>
      <c r="W488" s="17"/>
      <c r="X488" s="43" t="str">
        <f aca="true">IF(OR(D488="",B488=""),"",INT(TODAY()-B488))</f>
        <v/>
      </c>
      <c r="Y488" s="44" t="str">
        <f aca="true">IF(D488="","",IF(OR(COUNTIFS(Clients!$C$2:$C$501,D488,Clients!$S$2:$S$501,"Paid")&gt;0,AND(H488&lt;&gt;"",COUNTIFS(Clients!$E$2:$E$501,H488,Clients!$S$2:$S$501,"Paid")&gt;0)),"⚠ Refunded before – no free video",IF(OR(O488="Contract signed + paid",O488="Closed – No response",O488="Lost"),"",IF(O488="","Set a stage",IF(N(Q488)&gt;=Settings!$S$3,"Close – 4 follow-ups sent",IF(R488="",IF(P488="","Make first contact",""),IF(TODAY()&gt;R488,"OVERDUE follow-up",IF(TODAY()=R488,"Follow up today",""))))))))</f>
        <v/>
      </c>
    </row>
    <row r="489" customFormat="false" ht="15" hidden="false" customHeight="false" outlineLevel="0" collapsed="false">
      <c r="A489" s="17"/>
      <c r="B489" s="38"/>
      <c r="C489" s="17"/>
      <c r="D489" s="17"/>
      <c r="E489" s="17"/>
      <c r="F489" s="17"/>
      <c r="G489" s="17"/>
      <c r="H489" s="40"/>
      <c r="I489" s="17"/>
      <c r="J489" s="17"/>
      <c r="K489" s="17"/>
      <c r="L489" s="17"/>
      <c r="M489" s="17"/>
      <c r="N489" s="17"/>
      <c r="O489" s="17"/>
      <c r="P489" s="38"/>
      <c r="Q489" s="17"/>
      <c r="R489" s="42" t="str">
        <f aca="false">IF(OR(D489="",P489="",OR(O489="Contract signed + paid",O489="Closed – No response",O489="Lost"),N(Q489)&gt;=Settings!$S$3),"",P489+Settings!$S$2)</f>
        <v/>
      </c>
      <c r="S489" s="38"/>
      <c r="T489" s="39"/>
      <c r="U489" s="17"/>
      <c r="V489" s="17"/>
      <c r="W489" s="17"/>
      <c r="X489" s="43" t="str">
        <f aca="true">IF(OR(D489="",B489=""),"",INT(TODAY()-B489))</f>
        <v/>
      </c>
      <c r="Y489" s="44" t="str">
        <f aca="true">IF(D489="","",IF(OR(COUNTIFS(Clients!$C$2:$C$501,D489,Clients!$S$2:$S$501,"Paid")&gt;0,AND(H489&lt;&gt;"",COUNTIFS(Clients!$E$2:$E$501,H489,Clients!$S$2:$S$501,"Paid")&gt;0)),"⚠ Refunded before – no free video",IF(OR(O489="Contract signed + paid",O489="Closed – No response",O489="Lost"),"",IF(O489="","Set a stage",IF(N(Q489)&gt;=Settings!$S$3,"Close – 4 follow-ups sent",IF(R489="",IF(P489="","Make first contact",""),IF(TODAY()&gt;R489,"OVERDUE follow-up",IF(TODAY()=R489,"Follow up today",""))))))))</f>
        <v/>
      </c>
    </row>
    <row r="490" customFormat="false" ht="15" hidden="false" customHeight="false" outlineLevel="0" collapsed="false">
      <c r="A490" s="17"/>
      <c r="B490" s="38"/>
      <c r="C490" s="17"/>
      <c r="D490" s="17"/>
      <c r="E490" s="17"/>
      <c r="F490" s="17"/>
      <c r="G490" s="17"/>
      <c r="H490" s="40"/>
      <c r="I490" s="17"/>
      <c r="J490" s="17"/>
      <c r="K490" s="17"/>
      <c r="L490" s="17"/>
      <c r="M490" s="17"/>
      <c r="N490" s="17"/>
      <c r="O490" s="17"/>
      <c r="P490" s="38"/>
      <c r="Q490" s="17"/>
      <c r="R490" s="42" t="str">
        <f aca="false">IF(OR(D490="",P490="",OR(O490="Contract signed + paid",O490="Closed – No response",O490="Lost"),N(Q490)&gt;=Settings!$S$3),"",P490+Settings!$S$2)</f>
        <v/>
      </c>
      <c r="S490" s="38"/>
      <c r="T490" s="39"/>
      <c r="U490" s="17"/>
      <c r="V490" s="17"/>
      <c r="W490" s="17"/>
      <c r="X490" s="43" t="str">
        <f aca="true">IF(OR(D490="",B490=""),"",INT(TODAY()-B490))</f>
        <v/>
      </c>
      <c r="Y490" s="44" t="str">
        <f aca="true">IF(D490="","",IF(OR(COUNTIFS(Clients!$C$2:$C$501,D490,Clients!$S$2:$S$501,"Paid")&gt;0,AND(H490&lt;&gt;"",COUNTIFS(Clients!$E$2:$E$501,H490,Clients!$S$2:$S$501,"Paid")&gt;0)),"⚠ Refunded before – no free video",IF(OR(O490="Contract signed + paid",O490="Closed – No response",O490="Lost"),"",IF(O490="","Set a stage",IF(N(Q490)&gt;=Settings!$S$3,"Close – 4 follow-ups sent",IF(R490="",IF(P490="","Make first contact",""),IF(TODAY()&gt;R490,"OVERDUE follow-up",IF(TODAY()=R490,"Follow up today",""))))))))</f>
        <v/>
      </c>
    </row>
    <row r="491" customFormat="false" ht="15" hidden="false" customHeight="false" outlineLevel="0" collapsed="false">
      <c r="A491" s="17"/>
      <c r="B491" s="38"/>
      <c r="C491" s="17"/>
      <c r="D491" s="17"/>
      <c r="E491" s="17"/>
      <c r="F491" s="17"/>
      <c r="G491" s="17"/>
      <c r="H491" s="40"/>
      <c r="I491" s="17"/>
      <c r="J491" s="17"/>
      <c r="K491" s="17"/>
      <c r="L491" s="17"/>
      <c r="M491" s="17"/>
      <c r="N491" s="17"/>
      <c r="O491" s="17"/>
      <c r="P491" s="38"/>
      <c r="Q491" s="17"/>
      <c r="R491" s="42" t="str">
        <f aca="false">IF(OR(D491="",P491="",OR(O491="Contract signed + paid",O491="Closed – No response",O491="Lost"),N(Q491)&gt;=Settings!$S$3),"",P491+Settings!$S$2)</f>
        <v/>
      </c>
      <c r="S491" s="38"/>
      <c r="T491" s="39"/>
      <c r="U491" s="17"/>
      <c r="V491" s="17"/>
      <c r="W491" s="17"/>
      <c r="X491" s="43" t="str">
        <f aca="true">IF(OR(D491="",B491=""),"",INT(TODAY()-B491))</f>
        <v/>
      </c>
      <c r="Y491" s="44" t="str">
        <f aca="true">IF(D491="","",IF(OR(COUNTIFS(Clients!$C$2:$C$501,D491,Clients!$S$2:$S$501,"Paid")&gt;0,AND(H491&lt;&gt;"",COUNTIFS(Clients!$E$2:$E$501,H491,Clients!$S$2:$S$501,"Paid")&gt;0)),"⚠ Refunded before – no free video",IF(OR(O491="Contract signed + paid",O491="Closed – No response",O491="Lost"),"",IF(O491="","Set a stage",IF(N(Q491)&gt;=Settings!$S$3,"Close – 4 follow-ups sent",IF(R491="",IF(P491="","Make first contact",""),IF(TODAY()&gt;R491,"OVERDUE follow-up",IF(TODAY()=R491,"Follow up today",""))))))))</f>
        <v/>
      </c>
    </row>
    <row r="492" customFormat="false" ht="15" hidden="false" customHeight="false" outlineLevel="0" collapsed="false">
      <c r="A492" s="17"/>
      <c r="B492" s="38"/>
      <c r="C492" s="17"/>
      <c r="D492" s="17"/>
      <c r="E492" s="17"/>
      <c r="F492" s="17"/>
      <c r="G492" s="17"/>
      <c r="H492" s="40"/>
      <c r="I492" s="17"/>
      <c r="J492" s="17"/>
      <c r="K492" s="17"/>
      <c r="L492" s="17"/>
      <c r="M492" s="17"/>
      <c r="N492" s="17"/>
      <c r="O492" s="17"/>
      <c r="P492" s="38"/>
      <c r="Q492" s="17"/>
      <c r="R492" s="42" t="str">
        <f aca="false">IF(OR(D492="",P492="",OR(O492="Contract signed + paid",O492="Closed – No response",O492="Lost"),N(Q492)&gt;=Settings!$S$3),"",P492+Settings!$S$2)</f>
        <v/>
      </c>
      <c r="S492" s="38"/>
      <c r="T492" s="39"/>
      <c r="U492" s="17"/>
      <c r="V492" s="17"/>
      <c r="W492" s="17"/>
      <c r="X492" s="43" t="str">
        <f aca="true">IF(OR(D492="",B492=""),"",INT(TODAY()-B492))</f>
        <v/>
      </c>
      <c r="Y492" s="44" t="str">
        <f aca="true">IF(D492="","",IF(OR(COUNTIFS(Clients!$C$2:$C$501,D492,Clients!$S$2:$S$501,"Paid")&gt;0,AND(H492&lt;&gt;"",COUNTIFS(Clients!$E$2:$E$501,H492,Clients!$S$2:$S$501,"Paid")&gt;0)),"⚠ Refunded before – no free video",IF(OR(O492="Contract signed + paid",O492="Closed – No response",O492="Lost"),"",IF(O492="","Set a stage",IF(N(Q492)&gt;=Settings!$S$3,"Close – 4 follow-ups sent",IF(R492="",IF(P492="","Make first contact",""),IF(TODAY()&gt;R492,"OVERDUE follow-up",IF(TODAY()=R492,"Follow up today",""))))))))</f>
        <v/>
      </c>
    </row>
    <row r="493" customFormat="false" ht="15" hidden="false" customHeight="false" outlineLevel="0" collapsed="false">
      <c r="A493" s="17"/>
      <c r="B493" s="38"/>
      <c r="C493" s="17"/>
      <c r="D493" s="17"/>
      <c r="E493" s="17"/>
      <c r="F493" s="17"/>
      <c r="G493" s="17"/>
      <c r="H493" s="40"/>
      <c r="I493" s="17"/>
      <c r="J493" s="17"/>
      <c r="K493" s="17"/>
      <c r="L493" s="17"/>
      <c r="M493" s="17"/>
      <c r="N493" s="17"/>
      <c r="O493" s="17"/>
      <c r="P493" s="38"/>
      <c r="Q493" s="17"/>
      <c r="R493" s="42" t="str">
        <f aca="false">IF(OR(D493="",P493="",OR(O493="Contract signed + paid",O493="Closed – No response",O493="Lost"),N(Q493)&gt;=Settings!$S$3),"",P493+Settings!$S$2)</f>
        <v/>
      </c>
      <c r="S493" s="38"/>
      <c r="T493" s="39"/>
      <c r="U493" s="17"/>
      <c r="V493" s="17"/>
      <c r="W493" s="17"/>
      <c r="X493" s="43" t="str">
        <f aca="true">IF(OR(D493="",B493=""),"",INT(TODAY()-B493))</f>
        <v/>
      </c>
      <c r="Y493" s="44" t="str">
        <f aca="true">IF(D493="","",IF(OR(COUNTIFS(Clients!$C$2:$C$501,D493,Clients!$S$2:$S$501,"Paid")&gt;0,AND(H493&lt;&gt;"",COUNTIFS(Clients!$E$2:$E$501,H493,Clients!$S$2:$S$501,"Paid")&gt;0)),"⚠ Refunded before – no free video",IF(OR(O493="Contract signed + paid",O493="Closed – No response",O493="Lost"),"",IF(O493="","Set a stage",IF(N(Q493)&gt;=Settings!$S$3,"Close – 4 follow-ups sent",IF(R493="",IF(P493="","Make first contact",""),IF(TODAY()&gt;R493,"OVERDUE follow-up",IF(TODAY()=R493,"Follow up today",""))))))))</f>
        <v/>
      </c>
    </row>
    <row r="494" customFormat="false" ht="15" hidden="false" customHeight="false" outlineLevel="0" collapsed="false">
      <c r="A494" s="17"/>
      <c r="B494" s="38"/>
      <c r="C494" s="17"/>
      <c r="D494" s="17"/>
      <c r="E494" s="17"/>
      <c r="F494" s="17"/>
      <c r="G494" s="17"/>
      <c r="H494" s="40"/>
      <c r="I494" s="17"/>
      <c r="J494" s="17"/>
      <c r="K494" s="17"/>
      <c r="L494" s="17"/>
      <c r="M494" s="17"/>
      <c r="N494" s="17"/>
      <c r="O494" s="17"/>
      <c r="P494" s="38"/>
      <c r="Q494" s="17"/>
      <c r="R494" s="42" t="str">
        <f aca="false">IF(OR(D494="",P494="",OR(O494="Contract signed + paid",O494="Closed – No response",O494="Lost"),N(Q494)&gt;=Settings!$S$3),"",P494+Settings!$S$2)</f>
        <v/>
      </c>
      <c r="S494" s="38"/>
      <c r="T494" s="39"/>
      <c r="U494" s="17"/>
      <c r="V494" s="17"/>
      <c r="W494" s="17"/>
      <c r="X494" s="43" t="str">
        <f aca="true">IF(OR(D494="",B494=""),"",INT(TODAY()-B494))</f>
        <v/>
      </c>
      <c r="Y494" s="44" t="str">
        <f aca="true">IF(D494="","",IF(OR(COUNTIFS(Clients!$C$2:$C$501,D494,Clients!$S$2:$S$501,"Paid")&gt;0,AND(H494&lt;&gt;"",COUNTIFS(Clients!$E$2:$E$501,H494,Clients!$S$2:$S$501,"Paid")&gt;0)),"⚠ Refunded before – no free video",IF(OR(O494="Contract signed + paid",O494="Closed – No response",O494="Lost"),"",IF(O494="","Set a stage",IF(N(Q494)&gt;=Settings!$S$3,"Close – 4 follow-ups sent",IF(R494="",IF(P494="","Make first contact",""),IF(TODAY()&gt;R494,"OVERDUE follow-up",IF(TODAY()=R494,"Follow up today",""))))))))</f>
        <v/>
      </c>
    </row>
    <row r="495" customFormat="false" ht="15" hidden="false" customHeight="false" outlineLevel="0" collapsed="false">
      <c r="A495" s="17"/>
      <c r="B495" s="38"/>
      <c r="C495" s="17"/>
      <c r="D495" s="17"/>
      <c r="E495" s="17"/>
      <c r="F495" s="17"/>
      <c r="G495" s="17"/>
      <c r="H495" s="40"/>
      <c r="I495" s="17"/>
      <c r="J495" s="17"/>
      <c r="K495" s="17"/>
      <c r="L495" s="17"/>
      <c r="M495" s="17"/>
      <c r="N495" s="17"/>
      <c r="O495" s="17"/>
      <c r="P495" s="38"/>
      <c r="Q495" s="17"/>
      <c r="R495" s="42" t="str">
        <f aca="false">IF(OR(D495="",P495="",OR(O495="Contract signed + paid",O495="Closed – No response",O495="Lost"),N(Q495)&gt;=Settings!$S$3),"",P495+Settings!$S$2)</f>
        <v/>
      </c>
      <c r="S495" s="38"/>
      <c r="T495" s="39"/>
      <c r="U495" s="17"/>
      <c r="V495" s="17"/>
      <c r="W495" s="17"/>
      <c r="X495" s="43" t="str">
        <f aca="true">IF(OR(D495="",B495=""),"",INT(TODAY()-B495))</f>
        <v/>
      </c>
      <c r="Y495" s="44" t="str">
        <f aca="true">IF(D495="","",IF(OR(COUNTIFS(Clients!$C$2:$C$501,D495,Clients!$S$2:$S$501,"Paid")&gt;0,AND(H495&lt;&gt;"",COUNTIFS(Clients!$E$2:$E$501,H495,Clients!$S$2:$S$501,"Paid")&gt;0)),"⚠ Refunded before – no free video",IF(OR(O495="Contract signed + paid",O495="Closed – No response",O495="Lost"),"",IF(O495="","Set a stage",IF(N(Q495)&gt;=Settings!$S$3,"Close – 4 follow-ups sent",IF(R495="",IF(P495="","Make first contact",""),IF(TODAY()&gt;R495,"OVERDUE follow-up",IF(TODAY()=R495,"Follow up today",""))))))))</f>
        <v/>
      </c>
    </row>
    <row r="496" customFormat="false" ht="15" hidden="false" customHeight="false" outlineLevel="0" collapsed="false">
      <c r="A496" s="17"/>
      <c r="B496" s="38"/>
      <c r="C496" s="17"/>
      <c r="D496" s="17"/>
      <c r="E496" s="17"/>
      <c r="F496" s="17"/>
      <c r="G496" s="17"/>
      <c r="H496" s="40"/>
      <c r="I496" s="17"/>
      <c r="J496" s="17"/>
      <c r="K496" s="17"/>
      <c r="L496" s="17"/>
      <c r="M496" s="17"/>
      <c r="N496" s="17"/>
      <c r="O496" s="17"/>
      <c r="P496" s="38"/>
      <c r="Q496" s="17"/>
      <c r="R496" s="42" t="str">
        <f aca="false">IF(OR(D496="",P496="",OR(O496="Contract signed + paid",O496="Closed – No response",O496="Lost"),N(Q496)&gt;=Settings!$S$3),"",P496+Settings!$S$2)</f>
        <v/>
      </c>
      <c r="S496" s="38"/>
      <c r="T496" s="39"/>
      <c r="U496" s="17"/>
      <c r="V496" s="17"/>
      <c r="W496" s="17"/>
      <c r="X496" s="43" t="str">
        <f aca="true">IF(OR(D496="",B496=""),"",INT(TODAY()-B496))</f>
        <v/>
      </c>
      <c r="Y496" s="44" t="str">
        <f aca="true">IF(D496="","",IF(OR(COUNTIFS(Clients!$C$2:$C$501,D496,Clients!$S$2:$S$501,"Paid")&gt;0,AND(H496&lt;&gt;"",COUNTIFS(Clients!$E$2:$E$501,H496,Clients!$S$2:$S$501,"Paid")&gt;0)),"⚠ Refunded before – no free video",IF(OR(O496="Contract signed + paid",O496="Closed – No response",O496="Lost"),"",IF(O496="","Set a stage",IF(N(Q496)&gt;=Settings!$S$3,"Close – 4 follow-ups sent",IF(R496="",IF(P496="","Make first contact",""),IF(TODAY()&gt;R496,"OVERDUE follow-up",IF(TODAY()=R496,"Follow up today",""))))))))</f>
        <v/>
      </c>
    </row>
    <row r="497" customFormat="false" ht="15" hidden="false" customHeight="false" outlineLevel="0" collapsed="false">
      <c r="A497" s="17"/>
      <c r="B497" s="38"/>
      <c r="C497" s="17"/>
      <c r="D497" s="17"/>
      <c r="E497" s="17"/>
      <c r="F497" s="17"/>
      <c r="G497" s="17"/>
      <c r="H497" s="40"/>
      <c r="I497" s="17"/>
      <c r="J497" s="17"/>
      <c r="K497" s="17"/>
      <c r="L497" s="17"/>
      <c r="M497" s="17"/>
      <c r="N497" s="17"/>
      <c r="O497" s="17"/>
      <c r="P497" s="38"/>
      <c r="Q497" s="17"/>
      <c r="R497" s="42" t="str">
        <f aca="false">IF(OR(D497="",P497="",OR(O497="Contract signed + paid",O497="Closed – No response",O497="Lost"),N(Q497)&gt;=Settings!$S$3),"",P497+Settings!$S$2)</f>
        <v/>
      </c>
      <c r="S497" s="38"/>
      <c r="T497" s="39"/>
      <c r="U497" s="17"/>
      <c r="V497" s="17"/>
      <c r="W497" s="17"/>
      <c r="X497" s="43" t="str">
        <f aca="true">IF(OR(D497="",B497=""),"",INT(TODAY()-B497))</f>
        <v/>
      </c>
      <c r="Y497" s="44" t="str">
        <f aca="true">IF(D497="","",IF(OR(COUNTIFS(Clients!$C$2:$C$501,D497,Clients!$S$2:$S$501,"Paid")&gt;0,AND(H497&lt;&gt;"",COUNTIFS(Clients!$E$2:$E$501,H497,Clients!$S$2:$S$501,"Paid")&gt;0)),"⚠ Refunded before – no free video",IF(OR(O497="Contract signed + paid",O497="Closed – No response",O497="Lost"),"",IF(O497="","Set a stage",IF(N(Q497)&gt;=Settings!$S$3,"Close – 4 follow-ups sent",IF(R497="",IF(P497="","Make first contact",""),IF(TODAY()&gt;R497,"OVERDUE follow-up",IF(TODAY()=R497,"Follow up today",""))))))))</f>
        <v/>
      </c>
    </row>
    <row r="498" customFormat="false" ht="15" hidden="false" customHeight="false" outlineLevel="0" collapsed="false">
      <c r="A498" s="17"/>
      <c r="B498" s="38"/>
      <c r="C498" s="17"/>
      <c r="D498" s="17"/>
      <c r="E498" s="17"/>
      <c r="F498" s="17"/>
      <c r="G498" s="17"/>
      <c r="H498" s="40"/>
      <c r="I498" s="17"/>
      <c r="J498" s="17"/>
      <c r="K498" s="17"/>
      <c r="L498" s="17"/>
      <c r="M498" s="17"/>
      <c r="N498" s="17"/>
      <c r="O498" s="17"/>
      <c r="P498" s="38"/>
      <c r="Q498" s="17"/>
      <c r="R498" s="42" t="str">
        <f aca="false">IF(OR(D498="",P498="",OR(O498="Contract signed + paid",O498="Closed – No response",O498="Lost"),N(Q498)&gt;=Settings!$S$3),"",P498+Settings!$S$2)</f>
        <v/>
      </c>
      <c r="S498" s="38"/>
      <c r="T498" s="39"/>
      <c r="U498" s="17"/>
      <c r="V498" s="17"/>
      <c r="W498" s="17"/>
      <c r="X498" s="43" t="str">
        <f aca="true">IF(OR(D498="",B498=""),"",INT(TODAY()-B498))</f>
        <v/>
      </c>
      <c r="Y498" s="44" t="str">
        <f aca="true">IF(D498="","",IF(OR(COUNTIFS(Clients!$C$2:$C$501,D498,Clients!$S$2:$S$501,"Paid")&gt;0,AND(H498&lt;&gt;"",COUNTIFS(Clients!$E$2:$E$501,H498,Clients!$S$2:$S$501,"Paid")&gt;0)),"⚠ Refunded before – no free video",IF(OR(O498="Contract signed + paid",O498="Closed – No response",O498="Lost"),"",IF(O498="","Set a stage",IF(N(Q498)&gt;=Settings!$S$3,"Close – 4 follow-ups sent",IF(R498="",IF(P498="","Make first contact",""),IF(TODAY()&gt;R498,"OVERDUE follow-up",IF(TODAY()=R498,"Follow up today",""))))))))</f>
        <v/>
      </c>
    </row>
    <row r="499" customFormat="false" ht="15" hidden="false" customHeight="false" outlineLevel="0" collapsed="false">
      <c r="A499" s="17"/>
      <c r="B499" s="38"/>
      <c r="C499" s="17"/>
      <c r="D499" s="17"/>
      <c r="E499" s="17"/>
      <c r="F499" s="17"/>
      <c r="G499" s="17"/>
      <c r="H499" s="40"/>
      <c r="I499" s="17"/>
      <c r="J499" s="17"/>
      <c r="K499" s="17"/>
      <c r="L499" s="17"/>
      <c r="M499" s="17"/>
      <c r="N499" s="17"/>
      <c r="O499" s="17"/>
      <c r="P499" s="38"/>
      <c r="Q499" s="17"/>
      <c r="R499" s="42" t="str">
        <f aca="false">IF(OR(D499="",P499="",OR(O499="Contract signed + paid",O499="Closed – No response",O499="Lost"),N(Q499)&gt;=Settings!$S$3),"",P499+Settings!$S$2)</f>
        <v/>
      </c>
      <c r="S499" s="38"/>
      <c r="T499" s="39"/>
      <c r="U499" s="17"/>
      <c r="V499" s="17"/>
      <c r="W499" s="17"/>
      <c r="X499" s="43" t="str">
        <f aca="true">IF(OR(D499="",B499=""),"",INT(TODAY()-B499))</f>
        <v/>
      </c>
      <c r="Y499" s="44" t="str">
        <f aca="true">IF(D499="","",IF(OR(COUNTIFS(Clients!$C$2:$C$501,D499,Clients!$S$2:$S$501,"Paid")&gt;0,AND(H499&lt;&gt;"",COUNTIFS(Clients!$E$2:$E$501,H499,Clients!$S$2:$S$501,"Paid")&gt;0)),"⚠ Refunded before – no free video",IF(OR(O499="Contract signed + paid",O499="Closed – No response",O499="Lost"),"",IF(O499="","Set a stage",IF(N(Q499)&gt;=Settings!$S$3,"Close – 4 follow-ups sent",IF(R499="",IF(P499="","Make first contact",""),IF(TODAY()&gt;R499,"OVERDUE follow-up",IF(TODAY()=R499,"Follow up today",""))))))))</f>
        <v/>
      </c>
    </row>
    <row r="500" customFormat="false" ht="15" hidden="false" customHeight="false" outlineLevel="0" collapsed="false">
      <c r="A500" s="17"/>
      <c r="B500" s="38"/>
      <c r="C500" s="17"/>
      <c r="D500" s="17"/>
      <c r="E500" s="17"/>
      <c r="F500" s="17"/>
      <c r="G500" s="17"/>
      <c r="H500" s="40"/>
      <c r="I500" s="17"/>
      <c r="J500" s="17"/>
      <c r="K500" s="17"/>
      <c r="L500" s="17"/>
      <c r="M500" s="17"/>
      <c r="N500" s="17"/>
      <c r="O500" s="17"/>
      <c r="P500" s="38"/>
      <c r="Q500" s="17"/>
      <c r="R500" s="42" t="str">
        <f aca="false">IF(OR(D500="",P500="",OR(O500="Contract signed + paid",O500="Closed – No response",O500="Lost"),N(Q500)&gt;=Settings!$S$3),"",P500+Settings!$S$2)</f>
        <v/>
      </c>
      <c r="S500" s="38"/>
      <c r="T500" s="39"/>
      <c r="U500" s="17"/>
      <c r="V500" s="17"/>
      <c r="W500" s="17"/>
      <c r="X500" s="43" t="str">
        <f aca="true">IF(OR(D500="",B500=""),"",INT(TODAY()-B500))</f>
        <v/>
      </c>
      <c r="Y500" s="44" t="str">
        <f aca="true">IF(D500="","",IF(OR(COUNTIFS(Clients!$C$2:$C$501,D500,Clients!$S$2:$S$501,"Paid")&gt;0,AND(H500&lt;&gt;"",COUNTIFS(Clients!$E$2:$E$501,H500,Clients!$S$2:$S$501,"Paid")&gt;0)),"⚠ Refunded before – no free video",IF(OR(O500="Contract signed + paid",O500="Closed – No response",O500="Lost"),"",IF(O500="","Set a stage",IF(N(Q500)&gt;=Settings!$S$3,"Close – 4 follow-ups sent",IF(R500="",IF(P500="","Make first contact",""),IF(TODAY()&gt;R500,"OVERDUE follow-up",IF(TODAY()=R500,"Follow up today",""))))))))</f>
        <v/>
      </c>
    </row>
    <row r="501" customFormat="false" ht="15" hidden="false" customHeight="false" outlineLevel="0" collapsed="false">
      <c r="A501" s="17"/>
      <c r="B501" s="38"/>
      <c r="C501" s="17"/>
      <c r="D501" s="17"/>
      <c r="E501" s="17"/>
      <c r="F501" s="17"/>
      <c r="G501" s="17"/>
      <c r="H501" s="40"/>
      <c r="I501" s="17"/>
      <c r="J501" s="17"/>
      <c r="K501" s="17"/>
      <c r="L501" s="17"/>
      <c r="M501" s="17"/>
      <c r="N501" s="17"/>
      <c r="O501" s="17"/>
      <c r="P501" s="38"/>
      <c r="Q501" s="17"/>
      <c r="R501" s="42" t="str">
        <f aca="false">IF(OR(D501="",P501="",OR(O501="Contract signed + paid",O501="Closed – No response",O501="Lost"),N(Q501)&gt;=Settings!$S$3),"",P501+Settings!$S$2)</f>
        <v/>
      </c>
      <c r="S501" s="38"/>
      <c r="T501" s="39"/>
      <c r="U501" s="17"/>
      <c r="V501" s="17"/>
      <c r="W501" s="17"/>
      <c r="X501" s="43" t="str">
        <f aca="true">IF(OR(D501="",B501=""),"",INT(TODAY()-B501))</f>
        <v/>
      </c>
      <c r="Y501" s="44" t="str">
        <f aca="true">IF(D501="","",IF(OR(COUNTIFS(Clients!$C$2:$C$501,D501,Clients!$S$2:$S$501,"Paid")&gt;0,AND(H501&lt;&gt;"",COUNTIFS(Clients!$E$2:$E$501,H501,Clients!$S$2:$S$501,"Paid")&gt;0)),"⚠ Refunded before – no free video",IF(OR(O501="Contract signed + paid",O501="Closed – No response",O501="Lost"),"",IF(O501="","Set a stage",IF(N(Q501)&gt;=Settings!$S$3,"Close – 4 follow-ups sent",IF(R501="",IF(P501="","Make first contact",""),IF(TODAY()&gt;R501,"OVERDUE follow-up",IF(TODAY()=R501,"Follow up today",""))))))))</f>
        <v/>
      </c>
    </row>
  </sheetData>
  <autoFilter ref="A1:Y501"/>
  <conditionalFormatting sqref="A2:Y501">
    <cfRule type="expression" priority="2" aboveAverage="0" equalAverage="0" bottom="0" percent="0" rank="0" text="" dxfId="7">
      <formula>$O2="Contract signed + paid"</formula>
    </cfRule>
    <cfRule type="expression" priority="3" aboveAverage="0" equalAverage="0" bottom="0" percent="0" rank="0" text="" dxfId="8">
      <formula>OR($O2="Closed – No response",$O2="Lost")</formula>
    </cfRule>
  </conditionalFormatting>
  <conditionalFormatting sqref="Y2:Y501">
    <cfRule type="expression" priority="4" aboveAverage="0" equalAverage="0" bottom="0" percent="0" rank="0" text="" dxfId="9">
      <formula>LEFT(Y2,1)="⚠"</formula>
    </cfRule>
    <cfRule type="expression" priority="5" aboveAverage="0" equalAverage="0" bottom="0" percent="0" rank="0" text="" dxfId="10">
      <formula>Y2="OVERDUE follow-up"</formula>
    </cfRule>
    <cfRule type="expression" priority="6" aboveAverage="0" equalAverage="0" bottom="0" percent="0" rank="0" text="" dxfId="11">
      <formula>Y2="Follow up today"</formula>
    </cfRule>
    <cfRule type="expression" priority="7" aboveAverage="0" equalAverage="0" bottom="0" percent="0" rank="0" text="" dxfId="12">
      <formula>Y2="Close – 4 follow-ups sent"</formula>
    </cfRule>
    <cfRule type="expression" priority="8" aboveAverage="0" equalAverage="0" bottom="0" percent="0" rank="0" text="" dxfId="13">
      <formula>OR(Y2="Make first contact",Y2="Set a stage")</formula>
    </cfRule>
  </conditionalFormatting>
  <dataValidations count="11">
    <dataValidation allowBlank="true" error="Enter a whole number from 0 to 4." errorStyle="stop" operator="between" showDropDown="false" showErrorMessage="false" showInputMessage="false" sqref="Q2:Q501" type="whole">
      <formula1>0</formula1>
      <formula2>4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C2:C501" type="list">
      <formula1>Settings!$C$2:$C$7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E2:E501" type="list">
      <formula1>Settings!$D$2:$D$11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N2:N501" type="list">
      <formula1>Settings!$E$2:$E$5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O2:O501" type="list">
      <formula1>Settings!$A$2:$A$10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U2:U501" type="list">
      <formula1>Settings!$F$2:$F$4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V2:V501" type="list">
      <formula1>Settings!$O$2:$O$8</formula1>
      <formula2>0</formula2>
    </dataValidation>
    <dataValidation allowBlank="true" error="Enter a date - double-click the cell for a calendar." errorStyle="stop" errorTitle="Not a date" operator="between" showDropDown="false" showErrorMessage="false" showInputMessage="false" sqref="B2:B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P2:P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S2:S501" type="date">
      <formula1>DATE(2020,1,1)</formula1>
      <formula2>DATE(2100,12,31)</formula2>
    </dataValidation>
    <dataValidation allowBlank="true" error="That time isn't in the list - keep it if it's correct." errorStyle="warning" errorTitle="Check the time" operator="between" showDropDown="false" showErrorMessage="false" showInputMessage="false" sqref="T2:T501" type="list">
      <formula1>Settings!$Q$2:$Q$26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Z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16" min="7" style="0" width="16"/>
    <col collapsed="false" customWidth="true" hidden="false" outlineLevel="0" max="17" min="17" style="0" width="34"/>
    <col collapsed="false" customWidth="true" hidden="false" outlineLevel="0" max="25" min="18" style="0" width="16"/>
    <col collapsed="false" customWidth="true" hidden="false" outlineLevel="0" max="26" min="26" style="0" width="34"/>
  </cols>
  <sheetData>
    <row r="1" customFormat="false" ht="31.5" hidden="false" customHeight="true" outlineLevel="0" collapsed="false">
      <c r="A1" s="28" t="s">
        <v>184</v>
      </c>
      <c r="B1" s="28" t="s">
        <v>127</v>
      </c>
      <c r="C1" s="28" t="s">
        <v>131</v>
      </c>
      <c r="D1" s="28" t="s">
        <v>133</v>
      </c>
      <c r="E1" s="28" t="s">
        <v>135</v>
      </c>
      <c r="F1" s="28" t="s">
        <v>136</v>
      </c>
      <c r="G1" s="28" t="s">
        <v>137</v>
      </c>
      <c r="H1" s="28" t="s">
        <v>185</v>
      </c>
      <c r="I1" s="29" t="s">
        <v>186</v>
      </c>
      <c r="J1" s="28" t="s">
        <v>187</v>
      </c>
      <c r="K1" s="28" t="s">
        <v>188</v>
      </c>
      <c r="L1" s="28" t="s">
        <v>189</v>
      </c>
      <c r="M1" s="28" t="s">
        <v>190</v>
      </c>
      <c r="N1" s="28" t="s">
        <v>191</v>
      </c>
      <c r="O1" s="29" t="s">
        <v>192</v>
      </c>
      <c r="P1" s="28" t="s">
        <v>193</v>
      </c>
      <c r="Q1" s="29" t="s">
        <v>194</v>
      </c>
      <c r="R1" s="28" t="s">
        <v>195</v>
      </c>
      <c r="S1" s="28" t="s">
        <v>196</v>
      </c>
      <c r="T1" s="28" t="s">
        <v>197</v>
      </c>
      <c r="U1" s="28" t="s">
        <v>198</v>
      </c>
      <c r="V1" s="28" t="s">
        <v>199</v>
      </c>
      <c r="W1" s="29" t="s">
        <v>200</v>
      </c>
      <c r="X1" s="28" t="s">
        <v>201</v>
      </c>
      <c r="Y1" s="28" t="s">
        <v>202</v>
      </c>
      <c r="Z1" s="28" t="s">
        <v>151</v>
      </c>
    </row>
    <row r="2" customFormat="false" ht="15" hidden="false" customHeight="false" outlineLevel="0" collapsed="false">
      <c r="A2" s="30" t="s">
        <v>203</v>
      </c>
      <c r="B2" s="30" t="s">
        <v>154</v>
      </c>
      <c r="C2" s="30" t="s">
        <v>204</v>
      </c>
      <c r="D2" s="30" t="s">
        <v>205</v>
      </c>
      <c r="E2" s="33" t="s">
        <v>206</v>
      </c>
      <c r="F2" s="30" t="s">
        <v>207</v>
      </c>
      <c r="G2" s="30" t="s">
        <v>208</v>
      </c>
      <c r="H2" s="30" t="s">
        <v>165</v>
      </c>
      <c r="I2" s="45" t="n">
        <f aca="false">IF(H2="","",IFERROR(INDEX(Settings!$G$2:$G$4,MATCH(H2,Settings!$F$2:$F$4,0)),""))</f>
        <v>7500</v>
      </c>
      <c r="J2" s="31" t="n">
        <v>46307</v>
      </c>
      <c r="K2" s="46" t="n">
        <v>7875</v>
      </c>
      <c r="L2" s="30" t="s">
        <v>209</v>
      </c>
      <c r="M2" s="31" t="n">
        <v>46309</v>
      </c>
      <c r="N2" s="31" t="n">
        <v>46314</v>
      </c>
      <c r="O2" s="35" t="n">
        <f aca="false">IF(N2="","",WORKDAY(N2,Settings!$S$4))</f>
        <v>46317</v>
      </c>
      <c r="P2" s="30" t="s">
        <v>210</v>
      </c>
      <c r="Q2" s="37" t="str">
        <f aca="true">IF(C2="","",IF(P2="Backed out",IF(S2="Paid","Refunded – closed",IF(R2="","Refund – log reason first","Refund in progress")),IF(K2="","Awaiting payment",IF(N2="",IF(M2="","Schedule free video","Free video in production"),IF(P2="Approved","Active",IF(TODAY()&gt;O2,"Active – plan went ahead","Decision pending – "&amp;NETWORKDAYS(TODAY(),O2)&amp;" working day(s) left"))))))</f>
        <v>Decision pending – 3 working day(s) left</v>
      </c>
      <c r="R2" s="30"/>
      <c r="S2" s="30"/>
      <c r="T2" s="46"/>
      <c r="U2" s="31"/>
      <c r="V2" s="31"/>
      <c r="W2" s="35" t="str">
        <f aca="false">IF(V2="","",EDATE(V2,Settings!$S$6))</f>
        <v/>
      </c>
      <c r="X2" s="30" t="s">
        <v>54</v>
      </c>
      <c r="Y2" s="30" t="s">
        <v>52</v>
      </c>
      <c r="Z2" s="30" t="s">
        <v>211</v>
      </c>
    </row>
    <row r="3" customFormat="false" ht="15" hidden="false" customHeight="false" outlineLevel="0" collapsed="false">
      <c r="A3" s="17"/>
      <c r="B3" s="17"/>
      <c r="C3" s="17"/>
      <c r="D3" s="17"/>
      <c r="E3" s="40"/>
      <c r="F3" s="17"/>
      <c r="G3" s="17"/>
      <c r="H3" s="17"/>
      <c r="I3" s="47" t="str">
        <f aca="false">IF(H3="","",IFERROR(INDEX(Settings!$G$2:$G$4,MATCH(H3,Settings!$F$2:$F$4,0)),""))</f>
        <v/>
      </c>
      <c r="J3" s="38"/>
      <c r="K3" s="48"/>
      <c r="L3" s="17"/>
      <c r="M3" s="38"/>
      <c r="N3" s="38"/>
      <c r="O3" s="42" t="str">
        <f aca="false">IF(N3="","",WORKDAY(N3,Settings!$S$4))</f>
        <v/>
      </c>
      <c r="P3" s="17"/>
      <c r="Q3" s="44" t="str">
        <f aca="true">IF(C3="","",IF(P3="Backed out",IF(S3="Paid","Refunded – closed",IF(R3="","Refund – log reason first","Refund in progress")),IF(K3="","Awaiting payment",IF(N3="",IF(M3="","Schedule free video","Free video in production"),IF(P3="Approved","Active",IF(TODAY()&gt;O3,"Active – plan went ahead","Decision pending – "&amp;NETWORKDAYS(TODAY(),O3)&amp;" working day(s) left"))))))</f>
        <v/>
      </c>
      <c r="R3" s="17"/>
      <c r="S3" s="17"/>
      <c r="T3" s="48"/>
      <c r="U3" s="38"/>
      <c r="V3" s="38"/>
      <c r="W3" s="42" t="str">
        <f aca="false">IF(V3="","",EDATE(V3,Settings!$S$6))</f>
        <v/>
      </c>
      <c r="X3" s="17"/>
      <c r="Y3" s="17"/>
      <c r="Z3" s="17"/>
    </row>
    <row r="4" customFormat="false" ht="15" hidden="false" customHeight="false" outlineLevel="0" collapsed="false">
      <c r="A4" s="17"/>
      <c r="B4" s="17"/>
      <c r="C4" s="17"/>
      <c r="D4" s="17"/>
      <c r="E4" s="40"/>
      <c r="F4" s="17"/>
      <c r="G4" s="17"/>
      <c r="H4" s="17"/>
      <c r="I4" s="47" t="str">
        <f aca="false">IF(H4="","",IFERROR(INDEX(Settings!$G$2:$G$4,MATCH(H4,Settings!$F$2:$F$4,0)),""))</f>
        <v/>
      </c>
      <c r="J4" s="38"/>
      <c r="K4" s="48"/>
      <c r="L4" s="17"/>
      <c r="M4" s="38"/>
      <c r="N4" s="38"/>
      <c r="O4" s="42" t="str">
        <f aca="false">IF(N4="","",WORKDAY(N4,Settings!$S$4))</f>
        <v/>
      </c>
      <c r="P4" s="17"/>
      <c r="Q4" s="44" t="str">
        <f aca="true">IF(C4="","",IF(P4="Backed out",IF(S4="Paid","Refunded – closed",IF(R4="","Refund – log reason first","Refund in progress")),IF(K4="","Awaiting payment",IF(N4="",IF(M4="","Schedule free video","Free video in production"),IF(P4="Approved","Active",IF(TODAY()&gt;O4,"Active – plan went ahead","Decision pending – "&amp;NETWORKDAYS(TODAY(),O4)&amp;" working day(s) left"))))))</f>
        <v/>
      </c>
      <c r="R4" s="17"/>
      <c r="S4" s="17"/>
      <c r="T4" s="48"/>
      <c r="U4" s="38"/>
      <c r="V4" s="38"/>
      <c r="W4" s="42" t="str">
        <f aca="false">IF(V4="","",EDATE(V4,Settings!$S$6))</f>
        <v/>
      </c>
      <c r="X4" s="17"/>
      <c r="Y4" s="17"/>
      <c r="Z4" s="17"/>
    </row>
    <row r="5" customFormat="false" ht="15" hidden="false" customHeight="false" outlineLevel="0" collapsed="false">
      <c r="A5" s="17"/>
      <c r="B5" s="17"/>
      <c r="C5" s="17"/>
      <c r="D5" s="17"/>
      <c r="E5" s="40"/>
      <c r="F5" s="17"/>
      <c r="G5" s="17"/>
      <c r="H5" s="17"/>
      <c r="I5" s="47" t="str">
        <f aca="false">IF(H5="","",IFERROR(INDEX(Settings!$G$2:$G$4,MATCH(H5,Settings!$F$2:$F$4,0)),""))</f>
        <v/>
      </c>
      <c r="J5" s="38"/>
      <c r="K5" s="48"/>
      <c r="L5" s="17"/>
      <c r="M5" s="38"/>
      <c r="N5" s="38"/>
      <c r="O5" s="42" t="str">
        <f aca="false">IF(N5="","",WORKDAY(N5,Settings!$S$4))</f>
        <v/>
      </c>
      <c r="P5" s="17"/>
      <c r="Q5" s="44" t="str">
        <f aca="true">IF(C5="","",IF(P5="Backed out",IF(S5="Paid","Refunded – closed",IF(R5="","Refund – log reason first","Refund in progress")),IF(K5="","Awaiting payment",IF(N5="",IF(M5="","Schedule free video","Free video in production"),IF(P5="Approved","Active",IF(TODAY()&gt;O5,"Active – plan went ahead","Decision pending – "&amp;NETWORKDAYS(TODAY(),O5)&amp;" working day(s) left"))))))</f>
        <v/>
      </c>
      <c r="R5" s="17"/>
      <c r="S5" s="17"/>
      <c r="T5" s="48"/>
      <c r="U5" s="38"/>
      <c r="V5" s="38"/>
      <c r="W5" s="42" t="str">
        <f aca="false">IF(V5="","",EDATE(V5,Settings!$S$6))</f>
        <v/>
      </c>
      <c r="X5" s="17"/>
      <c r="Y5" s="17"/>
      <c r="Z5" s="17"/>
    </row>
    <row r="6" customFormat="false" ht="15" hidden="false" customHeight="false" outlineLevel="0" collapsed="false">
      <c r="A6" s="17"/>
      <c r="B6" s="17"/>
      <c r="C6" s="17"/>
      <c r="D6" s="17"/>
      <c r="E6" s="40"/>
      <c r="F6" s="17"/>
      <c r="G6" s="17"/>
      <c r="H6" s="17"/>
      <c r="I6" s="47" t="str">
        <f aca="false">IF(H6="","",IFERROR(INDEX(Settings!$G$2:$G$4,MATCH(H6,Settings!$F$2:$F$4,0)),""))</f>
        <v/>
      </c>
      <c r="J6" s="38"/>
      <c r="K6" s="48"/>
      <c r="L6" s="17"/>
      <c r="M6" s="38"/>
      <c r="N6" s="38"/>
      <c r="O6" s="42" t="str">
        <f aca="false">IF(N6="","",WORKDAY(N6,Settings!$S$4))</f>
        <v/>
      </c>
      <c r="P6" s="17"/>
      <c r="Q6" s="44" t="str">
        <f aca="true">IF(C6="","",IF(P6="Backed out",IF(S6="Paid","Refunded – closed",IF(R6="","Refund – log reason first","Refund in progress")),IF(K6="","Awaiting payment",IF(N6="",IF(M6="","Schedule free video","Free video in production"),IF(P6="Approved","Active",IF(TODAY()&gt;O6,"Active – plan went ahead","Decision pending – "&amp;NETWORKDAYS(TODAY(),O6)&amp;" working day(s) left"))))))</f>
        <v/>
      </c>
      <c r="R6" s="17"/>
      <c r="S6" s="17"/>
      <c r="T6" s="48"/>
      <c r="U6" s="38"/>
      <c r="V6" s="38"/>
      <c r="W6" s="42" t="str">
        <f aca="false">IF(V6="","",EDATE(V6,Settings!$S$6))</f>
        <v/>
      </c>
      <c r="X6" s="17"/>
      <c r="Y6" s="17"/>
      <c r="Z6" s="17"/>
    </row>
    <row r="7" customFormat="false" ht="15" hidden="false" customHeight="false" outlineLevel="0" collapsed="false">
      <c r="A7" s="17"/>
      <c r="B7" s="17"/>
      <c r="C7" s="17"/>
      <c r="D7" s="17"/>
      <c r="E7" s="40"/>
      <c r="F7" s="17"/>
      <c r="G7" s="17"/>
      <c r="H7" s="17"/>
      <c r="I7" s="47" t="str">
        <f aca="false">IF(H7="","",IFERROR(INDEX(Settings!$G$2:$G$4,MATCH(H7,Settings!$F$2:$F$4,0)),""))</f>
        <v/>
      </c>
      <c r="J7" s="38"/>
      <c r="K7" s="48"/>
      <c r="L7" s="17"/>
      <c r="M7" s="38"/>
      <c r="N7" s="38"/>
      <c r="O7" s="42" t="str">
        <f aca="false">IF(N7="","",WORKDAY(N7,Settings!$S$4))</f>
        <v/>
      </c>
      <c r="P7" s="17"/>
      <c r="Q7" s="44" t="str">
        <f aca="true">IF(C7="","",IF(P7="Backed out",IF(S7="Paid","Refunded – closed",IF(R7="","Refund – log reason first","Refund in progress")),IF(K7="","Awaiting payment",IF(N7="",IF(M7="","Schedule free video","Free video in production"),IF(P7="Approved","Active",IF(TODAY()&gt;O7,"Active – plan went ahead","Decision pending – "&amp;NETWORKDAYS(TODAY(),O7)&amp;" working day(s) left"))))))</f>
        <v/>
      </c>
      <c r="R7" s="17"/>
      <c r="S7" s="17"/>
      <c r="T7" s="48"/>
      <c r="U7" s="38"/>
      <c r="V7" s="38"/>
      <c r="W7" s="42" t="str">
        <f aca="false">IF(V7="","",EDATE(V7,Settings!$S$6))</f>
        <v/>
      </c>
      <c r="X7" s="17"/>
      <c r="Y7" s="17"/>
      <c r="Z7" s="17"/>
    </row>
    <row r="8" customFormat="false" ht="15" hidden="false" customHeight="false" outlineLevel="0" collapsed="false">
      <c r="A8" s="17"/>
      <c r="B8" s="17"/>
      <c r="C8" s="17"/>
      <c r="D8" s="17"/>
      <c r="E8" s="40"/>
      <c r="F8" s="17"/>
      <c r="G8" s="17"/>
      <c r="H8" s="17"/>
      <c r="I8" s="47" t="str">
        <f aca="false">IF(H8="","",IFERROR(INDEX(Settings!$G$2:$G$4,MATCH(H8,Settings!$F$2:$F$4,0)),""))</f>
        <v/>
      </c>
      <c r="J8" s="38"/>
      <c r="K8" s="48"/>
      <c r="L8" s="17"/>
      <c r="M8" s="38"/>
      <c r="N8" s="38"/>
      <c r="O8" s="42" t="str">
        <f aca="false">IF(N8="","",WORKDAY(N8,Settings!$S$4))</f>
        <v/>
      </c>
      <c r="P8" s="17"/>
      <c r="Q8" s="44" t="str">
        <f aca="true">IF(C8="","",IF(P8="Backed out",IF(S8="Paid","Refunded – closed",IF(R8="","Refund – log reason first","Refund in progress")),IF(K8="","Awaiting payment",IF(N8="",IF(M8="","Schedule free video","Free video in production"),IF(P8="Approved","Active",IF(TODAY()&gt;O8,"Active – plan went ahead","Decision pending – "&amp;NETWORKDAYS(TODAY(),O8)&amp;" working day(s) left"))))))</f>
        <v/>
      </c>
      <c r="R8" s="17"/>
      <c r="S8" s="17"/>
      <c r="T8" s="48"/>
      <c r="U8" s="38"/>
      <c r="V8" s="38"/>
      <c r="W8" s="42" t="str">
        <f aca="false">IF(V8="","",EDATE(V8,Settings!$S$6))</f>
        <v/>
      </c>
      <c r="X8" s="17"/>
      <c r="Y8" s="17"/>
      <c r="Z8" s="17"/>
    </row>
    <row r="9" customFormat="false" ht="15" hidden="false" customHeight="false" outlineLevel="0" collapsed="false">
      <c r="A9" s="17"/>
      <c r="B9" s="17"/>
      <c r="C9" s="17"/>
      <c r="D9" s="17"/>
      <c r="E9" s="40"/>
      <c r="F9" s="17"/>
      <c r="G9" s="17"/>
      <c r="H9" s="17"/>
      <c r="I9" s="47" t="str">
        <f aca="false">IF(H9="","",IFERROR(INDEX(Settings!$G$2:$G$4,MATCH(H9,Settings!$F$2:$F$4,0)),""))</f>
        <v/>
      </c>
      <c r="J9" s="38"/>
      <c r="K9" s="48"/>
      <c r="L9" s="17"/>
      <c r="M9" s="38"/>
      <c r="N9" s="38"/>
      <c r="O9" s="42" t="str">
        <f aca="false">IF(N9="","",WORKDAY(N9,Settings!$S$4))</f>
        <v/>
      </c>
      <c r="P9" s="17"/>
      <c r="Q9" s="44" t="str">
        <f aca="true">IF(C9="","",IF(P9="Backed out",IF(S9="Paid","Refunded – closed",IF(R9="","Refund – log reason first","Refund in progress")),IF(K9="","Awaiting payment",IF(N9="",IF(M9="","Schedule free video","Free video in production"),IF(P9="Approved","Active",IF(TODAY()&gt;O9,"Active – plan went ahead","Decision pending – "&amp;NETWORKDAYS(TODAY(),O9)&amp;" working day(s) left"))))))</f>
        <v/>
      </c>
      <c r="R9" s="17"/>
      <c r="S9" s="17"/>
      <c r="T9" s="48"/>
      <c r="U9" s="38"/>
      <c r="V9" s="38"/>
      <c r="W9" s="42" t="str">
        <f aca="false">IF(V9="","",EDATE(V9,Settings!$S$6))</f>
        <v/>
      </c>
      <c r="X9" s="17"/>
      <c r="Y9" s="17"/>
      <c r="Z9" s="17"/>
    </row>
    <row r="10" customFormat="false" ht="15" hidden="false" customHeight="false" outlineLevel="0" collapsed="false">
      <c r="A10" s="17"/>
      <c r="B10" s="17"/>
      <c r="C10" s="17"/>
      <c r="D10" s="17"/>
      <c r="E10" s="40"/>
      <c r="F10" s="17"/>
      <c r="G10" s="17"/>
      <c r="H10" s="17"/>
      <c r="I10" s="47" t="str">
        <f aca="false">IF(H10="","",IFERROR(INDEX(Settings!$G$2:$G$4,MATCH(H10,Settings!$F$2:$F$4,0)),""))</f>
        <v/>
      </c>
      <c r="J10" s="38"/>
      <c r="K10" s="48"/>
      <c r="L10" s="17"/>
      <c r="M10" s="38"/>
      <c r="N10" s="38"/>
      <c r="O10" s="42" t="str">
        <f aca="false">IF(N10="","",WORKDAY(N10,Settings!$S$4))</f>
        <v/>
      </c>
      <c r="P10" s="17"/>
      <c r="Q10" s="44" t="str">
        <f aca="true">IF(C10="","",IF(P10="Backed out",IF(S10="Paid","Refunded – closed",IF(R10="","Refund – log reason first","Refund in progress")),IF(K10="","Awaiting payment",IF(N10="",IF(M10="","Schedule free video","Free video in production"),IF(P10="Approved","Active",IF(TODAY()&gt;O10,"Active – plan went ahead","Decision pending – "&amp;NETWORKDAYS(TODAY(),O10)&amp;" working day(s) left"))))))</f>
        <v/>
      </c>
      <c r="R10" s="17"/>
      <c r="S10" s="17"/>
      <c r="T10" s="48"/>
      <c r="U10" s="38"/>
      <c r="V10" s="38"/>
      <c r="W10" s="42" t="str">
        <f aca="false">IF(V10="","",EDATE(V10,Settings!$S$6))</f>
        <v/>
      </c>
      <c r="X10" s="17"/>
      <c r="Y10" s="17"/>
      <c r="Z10" s="17"/>
    </row>
    <row r="11" customFormat="false" ht="15" hidden="false" customHeight="false" outlineLevel="0" collapsed="false">
      <c r="A11" s="17"/>
      <c r="B11" s="17"/>
      <c r="C11" s="17"/>
      <c r="D11" s="17"/>
      <c r="E11" s="40"/>
      <c r="F11" s="17"/>
      <c r="G11" s="17"/>
      <c r="H11" s="17"/>
      <c r="I11" s="47" t="str">
        <f aca="false">IF(H11="","",IFERROR(INDEX(Settings!$G$2:$G$4,MATCH(H11,Settings!$F$2:$F$4,0)),""))</f>
        <v/>
      </c>
      <c r="J11" s="38"/>
      <c r="K11" s="48"/>
      <c r="L11" s="17"/>
      <c r="M11" s="38"/>
      <c r="N11" s="38"/>
      <c r="O11" s="42" t="str">
        <f aca="false">IF(N11="","",WORKDAY(N11,Settings!$S$4))</f>
        <v/>
      </c>
      <c r="P11" s="17"/>
      <c r="Q11" s="44" t="str">
        <f aca="true">IF(C11="","",IF(P11="Backed out",IF(S11="Paid","Refunded – closed",IF(R11="","Refund – log reason first","Refund in progress")),IF(K11="","Awaiting payment",IF(N11="",IF(M11="","Schedule free video","Free video in production"),IF(P11="Approved","Active",IF(TODAY()&gt;O11,"Active – plan went ahead","Decision pending – "&amp;NETWORKDAYS(TODAY(),O11)&amp;" working day(s) left"))))))</f>
        <v/>
      </c>
      <c r="R11" s="17"/>
      <c r="S11" s="17"/>
      <c r="T11" s="48"/>
      <c r="U11" s="38"/>
      <c r="V11" s="38"/>
      <c r="W11" s="42" t="str">
        <f aca="false">IF(V11="","",EDATE(V11,Settings!$S$6))</f>
        <v/>
      </c>
      <c r="X11" s="17"/>
      <c r="Y11" s="17"/>
      <c r="Z11" s="17"/>
    </row>
    <row r="12" customFormat="false" ht="15" hidden="false" customHeight="false" outlineLevel="0" collapsed="false">
      <c r="A12" s="17"/>
      <c r="B12" s="17"/>
      <c r="C12" s="17"/>
      <c r="D12" s="17"/>
      <c r="E12" s="40"/>
      <c r="F12" s="17"/>
      <c r="G12" s="17"/>
      <c r="H12" s="17"/>
      <c r="I12" s="47" t="str">
        <f aca="false">IF(H12="","",IFERROR(INDEX(Settings!$G$2:$G$4,MATCH(H12,Settings!$F$2:$F$4,0)),""))</f>
        <v/>
      </c>
      <c r="J12" s="38"/>
      <c r="K12" s="48"/>
      <c r="L12" s="17"/>
      <c r="M12" s="38"/>
      <c r="N12" s="38"/>
      <c r="O12" s="42" t="str">
        <f aca="false">IF(N12="","",WORKDAY(N12,Settings!$S$4))</f>
        <v/>
      </c>
      <c r="P12" s="17"/>
      <c r="Q12" s="44" t="str">
        <f aca="true">IF(C12="","",IF(P12="Backed out",IF(S12="Paid","Refunded – closed",IF(R12="","Refund – log reason first","Refund in progress")),IF(K12="","Awaiting payment",IF(N12="",IF(M12="","Schedule free video","Free video in production"),IF(P12="Approved","Active",IF(TODAY()&gt;O12,"Active – plan went ahead","Decision pending – "&amp;NETWORKDAYS(TODAY(),O12)&amp;" working day(s) left"))))))</f>
        <v/>
      </c>
      <c r="R12" s="17"/>
      <c r="S12" s="17"/>
      <c r="T12" s="48"/>
      <c r="U12" s="38"/>
      <c r="V12" s="38"/>
      <c r="W12" s="42" t="str">
        <f aca="false">IF(V12="","",EDATE(V12,Settings!$S$6))</f>
        <v/>
      </c>
      <c r="X12" s="17"/>
      <c r="Y12" s="17"/>
      <c r="Z12" s="17"/>
    </row>
    <row r="13" customFormat="false" ht="15" hidden="false" customHeight="false" outlineLevel="0" collapsed="false">
      <c r="A13" s="17"/>
      <c r="B13" s="17"/>
      <c r="C13" s="17"/>
      <c r="D13" s="17"/>
      <c r="E13" s="40"/>
      <c r="F13" s="17"/>
      <c r="G13" s="17"/>
      <c r="H13" s="17"/>
      <c r="I13" s="47" t="str">
        <f aca="false">IF(H13="","",IFERROR(INDEX(Settings!$G$2:$G$4,MATCH(H13,Settings!$F$2:$F$4,0)),""))</f>
        <v/>
      </c>
      <c r="J13" s="38"/>
      <c r="K13" s="48"/>
      <c r="L13" s="17"/>
      <c r="M13" s="38"/>
      <c r="N13" s="38"/>
      <c r="O13" s="42" t="str">
        <f aca="false">IF(N13="","",WORKDAY(N13,Settings!$S$4))</f>
        <v/>
      </c>
      <c r="P13" s="17"/>
      <c r="Q13" s="44" t="str">
        <f aca="true">IF(C13="","",IF(P13="Backed out",IF(S13="Paid","Refunded – closed",IF(R13="","Refund – log reason first","Refund in progress")),IF(K13="","Awaiting payment",IF(N13="",IF(M13="","Schedule free video","Free video in production"),IF(P13="Approved","Active",IF(TODAY()&gt;O13,"Active – plan went ahead","Decision pending – "&amp;NETWORKDAYS(TODAY(),O13)&amp;" working day(s) left"))))))</f>
        <v/>
      </c>
      <c r="R13" s="17"/>
      <c r="S13" s="17"/>
      <c r="T13" s="48"/>
      <c r="U13" s="38"/>
      <c r="V13" s="38"/>
      <c r="W13" s="42" t="str">
        <f aca="false">IF(V13="","",EDATE(V13,Settings!$S$6))</f>
        <v/>
      </c>
      <c r="X13" s="17"/>
      <c r="Y13" s="17"/>
      <c r="Z13" s="17"/>
    </row>
    <row r="14" customFormat="false" ht="15" hidden="false" customHeight="false" outlineLevel="0" collapsed="false">
      <c r="A14" s="17"/>
      <c r="B14" s="17"/>
      <c r="C14" s="17"/>
      <c r="D14" s="17"/>
      <c r="E14" s="40"/>
      <c r="F14" s="17"/>
      <c r="G14" s="17"/>
      <c r="H14" s="17"/>
      <c r="I14" s="47" t="str">
        <f aca="false">IF(H14="","",IFERROR(INDEX(Settings!$G$2:$G$4,MATCH(H14,Settings!$F$2:$F$4,0)),""))</f>
        <v/>
      </c>
      <c r="J14" s="38"/>
      <c r="K14" s="48"/>
      <c r="L14" s="17"/>
      <c r="M14" s="38"/>
      <c r="N14" s="38"/>
      <c r="O14" s="42" t="str">
        <f aca="false">IF(N14="","",WORKDAY(N14,Settings!$S$4))</f>
        <v/>
      </c>
      <c r="P14" s="17"/>
      <c r="Q14" s="44" t="str">
        <f aca="true">IF(C14="","",IF(P14="Backed out",IF(S14="Paid","Refunded – closed",IF(R14="","Refund – log reason first","Refund in progress")),IF(K14="","Awaiting payment",IF(N14="",IF(M14="","Schedule free video","Free video in production"),IF(P14="Approved","Active",IF(TODAY()&gt;O14,"Active – plan went ahead","Decision pending – "&amp;NETWORKDAYS(TODAY(),O14)&amp;" working day(s) left"))))))</f>
        <v/>
      </c>
      <c r="R14" s="17"/>
      <c r="S14" s="17"/>
      <c r="T14" s="48"/>
      <c r="U14" s="38"/>
      <c r="V14" s="38"/>
      <c r="W14" s="42" t="str">
        <f aca="false">IF(V14="","",EDATE(V14,Settings!$S$6))</f>
        <v/>
      </c>
      <c r="X14" s="17"/>
      <c r="Y14" s="17"/>
      <c r="Z14" s="17"/>
    </row>
    <row r="15" customFormat="false" ht="15" hidden="false" customHeight="false" outlineLevel="0" collapsed="false">
      <c r="A15" s="17"/>
      <c r="B15" s="17"/>
      <c r="C15" s="17"/>
      <c r="D15" s="17"/>
      <c r="E15" s="40"/>
      <c r="F15" s="17"/>
      <c r="G15" s="17"/>
      <c r="H15" s="17"/>
      <c r="I15" s="47" t="str">
        <f aca="false">IF(H15="","",IFERROR(INDEX(Settings!$G$2:$G$4,MATCH(H15,Settings!$F$2:$F$4,0)),""))</f>
        <v/>
      </c>
      <c r="J15" s="38"/>
      <c r="K15" s="48"/>
      <c r="L15" s="17"/>
      <c r="M15" s="38"/>
      <c r="N15" s="38"/>
      <c r="O15" s="42" t="str">
        <f aca="false">IF(N15="","",WORKDAY(N15,Settings!$S$4))</f>
        <v/>
      </c>
      <c r="P15" s="17"/>
      <c r="Q15" s="44" t="str">
        <f aca="true">IF(C15="","",IF(P15="Backed out",IF(S15="Paid","Refunded – closed",IF(R15="","Refund – log reason first","Refund in progress")),IF(K15="","Awaiting payment",IF(N15="",IF(M15="","Schedule free video","Free video in production"),IF(P15="Approved","Active",IF(TODAY()&gt;O15,"Active – plan went ahead","Decision pending – "&amp;NETWORKDAYS(TODAY(),O15)&amp;" working day(s) left"))))))</f>
        <v/>
      </c>
      <c r="R15" s="17"/>
      <c r="S15" s="17"/>
      <c r="T15" s="48"/>
      <c r="U15" s="38"/>
      <c r="V15" s="38"/>
      <c r="W15" s="42" t="str">
        <f aca="false">IF(V15="","",EDATE(V15,Settings!$S$6))</f>
        <v/>
      </c>
      <c r="X15" s="17"/>
      <c r="Y15" s="17"/>
      <c r="Z15" s="17"/>
    </row>
    <row r="16" customFormat="false" ht="15" hidden="false" customHeight="false" outlineLevel="0" collapsed="false">
      <c r="A16" s="17"/>
      <c r="B16" s="17"/>
      <c r="C16" s="17"/>
      <c r="D16" s="17"/>
      <c r="E16" s="40"/>
      <c r="F16" s="17"/>
      <c r="G16" s="17"/>
      <c r="H16" s="17"/>
      <c r="I16" s="47" t="str">
        <f aca="false">IF(H16="","",IFERROR(INDEX(Settings!$G$2:$G$4,MATCH(H16,Settings!$F$2:$F$4,0)),""))</f>
        <v/>
      </c>
      <c r="J16" s="38"/>
      <c r="K16" s="48"/>
      <c r="L16" s="17"/>
      <c r="M16" s="38"/>
      <c r="N16" s="38"/>
      <c r="O16" s="42" t="str">
        <f aca="false">IF(N16="","",WORKDAY(N16,Settings!$S$4))</f>
        <v/>
      </c>
      <c r="P16" s="17"/>
      <c r="Q16" s="44" t="str">
        <f aca="true">IF(C16="","",IF(P16="Backed out",IF(S16="Paid","Refunded – closed",IF(R16="","Refund – log reason first","Refund in progress")),IF(K16="","Awaiting payment",IF(N16="",IF(M16="","Schedule free video","Free video in production"),IF(P16="Approved","Active",IF(TODAY()&gt;O16,"Active – plan went ahead","Decision pending – "&amp;NETWORKDAYS(TODAY(),O16)&amp;" working day(s) left"))))))</f>
        <v/>
      </c>
      <c r="R16" s="17"/>
      <c r="S16" s="17"/>
      <c r="T16" s="48"/>
      <c r="U16" s="38"/>
      <c r="V16" s="38"/>
      <c r="W16" s="42" t="str">
        <f aca="false">IF(V16="","",EDATE(V16,Settings!$S$6))</f>
        <v/>
      </c>
      <c r="X16" s="17"/>
      <c r="Y16" s="17"/>
      <c r="Z16" s="17"/>
    </row>
    <row r="17" customFormat="false" ht="15" hidden="false" customHeight="false" outlineLevel="0" collapsed="false">
      <c r="A17" s="17"/>
      <c r="B17" s="17"/>
      <c r="C17" s="17"/>
      <c r="D17" s="17"/>
      <c r="E17" s="40"/>
      <c r="F17" s="17"/>
      <c r="G17" s="17"/>
      <c r="H17" s="17"/>
      <c r="I17" s="47" t="str">
        <f aca="false">IF(H17="","",IFERROR(INDEX(Settings!$G$2:$G$4,MATCH(H17,Settings!$F$2:$F$4,0)),""))</f>
        <v/>
      </c>
      <c r="J17" s="38"/>
      <c r="K17" s="48"/>
      <c r="L17" s="17"/>
      <c r="M17" s="38"/>
      <c r="N17" s="38"/>
      <c r="O17" s="42" t="str">
        <f aca="false">IF(N17="","",WORKDAY(N17,Settings!$S$4))</f>
        <v/>
      </c>
      <c r="P17" s="17"/>
      <c r="Q17" s="44" t="str">
        <f aca="true">IF(C17="","",IF(P17="Backed out",IF(S17="Paid","Refunded – closed",IF(R17="","Refund – log reason first","Refund in progress")),IF(K17="","Awaiting payment",IF(N17="",IF(M17="","Schedule free video","Free video in production"),IF(P17="Approved","Active",IF(TODAY()&gt;O17,"Active – plan went ahead","Decision pending – "&amp;NETWORKDAYS(TODAY(),O17)&amp;" working day(s) left"))))))</f>
        <v/>
      </c>
      <c r="R17" s="17"/>
      <c r="S17" s="17"/>
      <c r="T17" s="48"/>
      <c r="U17" s="38"/>
      <c r="V17" s="38"/>
      <c r="W17" s="42" t="str">
        <f aca="false">IF(V17="","",EDATE(V17,Settings!$S$6))</f>
        <v/>
      </c>
      <c r="X17" s="17"/>
      <c r="Y17" s="17"/>
      <c r="Z17" s="17"/>
    </row>
    <row r="18" customFormat="false" ht="15" hidden="false" customHeight="false" outlineLevel="0" collapsed="false">
      <c r="A18" s="17"/>
      <c r="B18" s="17"/>
      <c r="C18" s="17"/>
      <c r="D18" s="17"/>
      <c r="E18" s="40"/>
      <c r="F18" s="17"/>
      <c r="G18" s="17"/>
      <c r="H18" s="17"/>
      <c r="I18" s="47" t="str">
        <f aca="false">IF(H18="","",IFERROR(INDEX(Settings!$G$2:$G$4,MATCH(H18,Settings!$F$2:$F$4,0)),""))</f>
        <v/>
      </c>
      <c r="J18" s="38"/>
      <c r="K18" s="48"/>
      <c r="L18" s="17"/>
      <c r="M18" s="38"/>
      <c r="N18" s="38"/>
      <c r="O18" s="42" t="str">
        <f aca="false">IF(N18="","",WORKDAY(N18,Settings!$S$4))</f>
        <v/>
      </c>
      <c r="P18" s="17"/>
      <c r="Q18" s="44" t="str">
        <f aca="true">IF(C18="","",IF(P18="Backed out",IF(S18="Paid","Refunded – closed",IF(R18="","Refund – log reason first","Refund in progress")),IF(K18="","Awaiting payment",IF(N18="",IF(M18="","Schedule free video","Free video in production"),IF(P18="Approved","Active",IF(TODAY()&gt;O18,"Active – plan went ahead","Decision pending – "&amp;NETWORKDAYS(TODAY(),O18)&amp;" working day(s) left"))))))</f>
        <v/>
      </c>
      <c r="R18" s="17"/>
      <c r="S18" s="17"/>
      <c r="T18" s="48"/>
      <c r="U18" s="38"/>
      <c r="V18" s="38"/>
      <c r="W18" s="42" t="str">
        <f aca="false">IF(V18="","",EDATE(V18,Settings!$S$6))</f>
        <v/>
      </c>
      <c r="X18" s="17"/>
      <c r="Y18" s="17"/>
      <c r="Z18" s="17"/>
    </row>
    <row r="19" customFormat="false" ht="15" hidden="false" customHeight="false" outlineLevel="0" collapsed="false">
      <c r="A19" s="17"/>
      <c r="B19" s="17"/>
      <c r="C19" s="17"/>
      <c r="D19" s="17"/>
      <c r="E19" s="40"/>
      <c r="F19" s="17"/>
      <c r="G19" s="17"/>
      <c r="H19" s="17"/>
      <c r="I19" s="47" t="str">
        <f aca="false">IF(H19="","",IFERROR(INDEX(Settings!$G$2:$G$4,MATCH(H19,Settings!$F$2:$F$4,0)),""))</f>
        <v/>
      </c>
      <c r="J19" s="38"/>
      <c r="K19" s="48"/>
      <c r="L19" s="17"/>
      <c r="M19" s="38"/>
      <c r="N19" s="38"/>
      <c r="O19" s="42" t="str">
        <f aca="false">IF(N19="","",WORKDAY(N19,Settings!$S$4))</f>
        <v/>
      </c>
      <c r="P19" s="17"/>
      <c r="Q19" s="44" t="str">
        <f aca="true">IF(C19="","",IF(P19="Backed out",IF(S19="Paid","Refunded – closed",IF(R19="","Refund – log reason first","Refund in progress")),IF(K19="","Awaiting payment",IF(N19="",IF(M19="","Schedule free video","Free video in production"),IF(P19="Approved","Active",IF(TODAY()&gt;O19,"Active – plan went ahead","Decision pending – "&amp;NETWORKDAYS(TODAY(),O19)&amp;" working day(s) left"))))))</f>
        <v/>
      </c>
      <c r="R19" s="17"/>
      <c r="S19" s="17"/>
      <c r="T19" s="48"/>
      <c r="U19" s="38"/>
      <c r="V19" s="38"/>
      <c r="W19" s="42" t="str">
        <f aca="false">IF(V19="","",EDATE(V19,Settings!$S$6))</f>
        <v/>
      </c>
      <c r="X19" s="17"/>
      <c r="Y19" s="17"/>
      <c r="Z19" s="17"/>
    </row>
    <row r="20" customFormat="false" ht="15" hidden="false" customHeight="false" outlineLevel="0" collapsed="false">
      <c r="A20" s="17"/>
      <c r="B20" s="17"/>
      <c r="C20" s="17"/>
      <c r="D20" s="17"/>
      <c r="E20" s="40"/>
      <c r="F20" s="17"/>
      <c r="G20" s="17"/>
      <c r="H20" s="17"/>
      <c r="I20" s="47" t="str">
        <f aca="false">IF(H20="","",IFERROR(INDEX(Settings!$G$2:$G$4,MATCH(H20,Settings!$F$2:$F$4,0)),""))</f>
        <v/>
      </c>
      <c r="J20" s="38"/>
      <c r="K20" s="48"/>
      <c r="L20" s="17"/>
      <c r="M20" s="38"/>
      <c r="N20" s="38"/>
      <c r="O20" s="42" t="str">
        <f aca="false">IF(N20="","",WORKDAY(N20,Settings!$S$4))</f>
        <v/>
      </c>
      <c r="P20" s="17"/>
      <c r="Q20" s="44" t="str">
        <f aca="true">IF(C20="","",IF(P20="Backed out",IF(S20="Paid","Refunded – closed",IF(R20="","Refund – log reason first","Refund in progress")),IF(K20="","Awaiting payment",IF(N20="",IF(M20="","Schedule free video","Free video in production"),IF(P20="Approved","Active",IF(TODAY()&gt;O20,"Active – plan went ahead","Decision pending – "&amp;NETWORKDAYS(TODAY(),O20)&amp;" working day(s) left"))))))</f>
        <v/>
      </c>
      <c r="R20" s="17"/>
      <c r="S20" s="17"/>
      <c r="T20" s="48"/>
      <c r="U20" s="38"/>
      <c r="V20" s="38"/>
      <c r="W20" s="42" t="str">
        <f aca="false">IF(V20="","",EDATE(V20,Settings!$S$6))</f>
        <v/>
      </c>
      <c r="X20" s="17"/>
      <c r="Y20" s="17"/>
      <c r="Z20" s="17"/>
    </row>
    <row r="21" customFormat="false" ht="15" hidden="false" customHeight="false" outlineLevel="0" collapsed="false">
      <c r="A21" s="17"/>
      <c r="B21" s="17"/>
      <c r="C21" s="17"/>
      <c r="D21" s="17"/>
      <c r="E21" s="40"/>
      <c r="F21" s="17"/>
      <c r="G21" s="17"/>
      <c r="H21" s="17"/>
      <c r="I21" s="47" t="str">
        <f aca="false">IF(H21="","",IFERROR(INDEX(Settings!$G$2:$G$4,MATCH(H21,Settings!$F$2:$F$4,0)),""))</f>
        <v/>
      </c>
      <c r="J21" s="38"/>
      <c r="K21" s="48"/>
      <c r="L21" s="17"/>
      <c r="M21" s="38"/>
      <c r="N21" s="38"/>
      <c r="O21" s="42" t="str">
        <f aca="false">IF(N21="","",WORKDAY(N21,Settings!$S$4))</f>
        <v/>
      </c>
      <c r="P21" s="17"/>
      <c r="Q21" s="44" t="str">
        <f aca="true">IF(C21="","",IF(P21="Backed out",IF(S21="Paid","Refunded – closed",IF(R21="","Refund – log reason first","Refund in progress")),IF(K21="","Awaiting payment",IF(N21="",IF(M21="","Schedule free video","Free video in production"),IF(P21="Approved","Active",IF(TODAY()&gt;O21,"Active – plan went ahead","Decision pending – "&amp;NETWORKDAYS(TODAY(),O21)&amp;" working day(s) left"))))))</f>
        <v/>
      </c>
      <c r="R21" s="17"/>
      <c r="S21" s="17"/>
      <c r="T21" s="48"/>
      <c r="U21" s="38"/>
      <c r="V21" s="38"/>
      <c r="W21" s="42" t="str">
        <f aca="false">IF(V21="","",EDATE(V21,Settings!$S$6))</f>
        <v/>
      </c>
      <c r="X21" s="17"/>
      <c r="Y21" s="17"/>
      <c r="Z21" s="17"/>
    </row>
    <row r="22" customFormat="false" ht="15" hidden="false" customHeight="false" outlineLevel="0" collapsed="false">
      <c r="A22" s="17"/>
      <c r="B22" s="17"/>
      <c r="C22" s="17"/>
      <c r="D22" s="17"/>
      <c r="E22" s="40"/>
      <c r="F22" s="17"/>
      <c r="G22" s="17"/>
      <c r="H22" s="17"/>
      <c r="I22" s="47" t="str">
        <f aca="false">IF(H22="","",IFERROR(INDEX(Settings!$G$2:$G$4,MATCH(H22,Settings!$F$2:$F$4,0)),""))</f>
        <v/>
      </c>
      <c r="J22" s="38"/>
      <c r="K22" s="48"/>
      <c r="L22" s="17"/>
      <c r="M22" s="38"/>
      <c r="N22" s="38"/>
      <c r="O22" s="42" t="str">
        <f aca="false">IF(N22="","",WORKDAY(N22,Settings!$S$4))</f>
        <v/>
      </c>
      <c r="P22" s="17"/>
      <c r="Q22" s="44" t="str">
        <f aca="true">IF(C22="","",IF(P22="Backed out",IF(S22="Paid","Refunded – closed",IF(R22="","Refund – log reason first","Refund in progress")),IF(K22="","Awaiting payment",IF(N22="",IF(M22="","Schedule free video","Free video in production"),IF(P22="Approved","Active",IF(TODAY()&gt;O22,"Active – plan went ahead","Decision pending – "&amp;NETWORKDAYS(TODAY(),O22)&amp;" working day(s) left"))))))</f>
        <v/>
      </c>
      <c r="R22" s="17"/>
      <c r="S22" s="17"/>
      <c r="T22" s="48"/>
      <c r="U22" s="38"/>
      <c r="V22" s="38"/>
      <c r="W22" s="42" t="str">
        <f aca="false">IF(V22="","",EDATE(V22,Settings!$S$6))</f>
        <v/>
      </c>
      <c r="X22" s="17"/>
      <c r="Y22" s="17"/>
      <c r="Z22" s="17"/>
    </row>
    <row r="23" customFormat="false" ht="15" hidden="false" customHeight="false" outlineLevel="0" collapsed="false">
      <c r="A23" s="17"/>
      <c r="B23" s="17"/>
      <c r="C23" s="17"/>
      <c r="D23" s="17"/>
      <c r="E23" s="40"/>
      <c r="F23" s="17"/>
      <c r="G23" s="17"/>
      <c r="H23" s="17"/>
      <c r="I23" s="47" t="str">
        <f aca="false">IF(H23="","",IFERROR(INDEX(Settings!$G$2:$G$4,MATCH(H23,Settings!$F$2:$F$4,0)),""))</f>
        <v/>
      </c>
      <c r="J23" s="38"/>
      <c r="K23" s="48"/>
      <c r="L23" s="17"/>
      <c r="M23" s="38"/>
      <c r="N23" s="38"/>
      <c r="O23" s="42" t="str">
        <f aca="false">IF(N23="","",WORKDAY(N23,Settings!$S$4))</f>
        <v/>
      </c>
      <c r="P23" s="17"/>
      <c r="Q23" s="44" t="str">
        <f aca="true">IF(C23="","",IF(P23="Backed out",IF(S23="Paid","Refunded – closed",IF(R23="","Refund – log reason first","Refund in progress")),IF(K23="","Awaiting payment",IF(N23="",IF(M23="","Schedule free video","Free video in production"),IF(P23="Approved","Active",IF(TODAY()&gt;O23,"Active – plan went ahead","Decision pending – "&amp;NETWORKDAYS(TODAY(),O23)&amp;" working day(s) left"))))))</f>
        <v/>
      </c>
      <c r="R23" s="17"/>
      <c r="S23" s="17"/>
      <c r="T23" s="48"/>
      <c r="U23" s="38"/>
      <c r="V23" s="38"/>
      <c r="W23" s="42" t="str">
        <f aca="false">IF(V23="","",EDATE(V23,Settings!$S$6))</f>
        <v/>
      </c>
      <c r="X23" s="17"/>
      <c r="Y23" s="17"/>
      <c r="Z23" s="17"/>
    </row>
    <row r="24" customFormat="false" ht="15" hidden="false" customHeight="false" outlineLevel="0" collapsed="false">
      <c r="A24" s="17"/>
      <c r="B24" s="17"/>
      <c r="C24" s="17"/>
      <c r="D24" s="17"/>
      <c r="E24" s="40"/>
      <c r="F24" s="17"/>
      <c r="G24" s="17"/>
      <c r="H24" s="17"/>
      <c r="I24" s="47" t="str">
        <f aca="false">IF(H24="","",IFERROR(INDEX(Settings!$G$2:$G$4,MATCH(H24,Settings!$F$2:$F$4,0)),""))</f>
        <v/>
      </c>
      <c r="J24" s="38"/>
      <c r="K24" s="48"/>
      <c r="L24" s="17"/>
      <c r="M24" s="38"/>
      <c r="N24" s="38"/>
      <c r="O24" s="42" t="str">
        <f aca="false">IF(N24="","",WORKDAY(N24,Settings!$S$4))</f>
        <v/>
      </c>
      <c r="P24" s="17"/>
      <c r="Q24" s="44" t="str">
        <f aca="true">IF(C24="","",IF(P24="Backed out",IF(S24="Paid","Refunded – closed",IF(R24="","Refund – log reason first","Refund in progress")),IF(K24="","Awaiting payment",IF(N24="",IF(M24="","Schedule free video","Free video in production"),IF(P24="Approved","Active",IF(TODAY()&gt;O24,"Active – plan went ahead","Decision pending – "&amp;NETWORKDAYS(TODAY(),O24)&amp;" working day(s) left"))))))</f>
        <v/>
      </c>
      <c r="R24" s="17"/>
      <c r="S24" s="17"/>
      <c r="T24" s="48"/>
      <c r="U24" s="38"/>
      <c r="V24" s="38"/>
      <c r="W24" s="42" t="str">
        <f aca="false">IF(V24="","",EDATE(V24,Settings!$S$6))</f>
        <v/>
      </c>
      <c r="X24" s="17"/>
      <c r="Y24" s="17"/>
      <c r="Z24" s="17"/>
    </row>
    <row r="25" customFormat="false" ht="15" hidden="false" customHeight="false" outlineLevel="0" collapsed="false">
      <c r="A25" s="17"/>
      <c r="B25" s="17"/>
      <c r="C25" s="17"/>
      <c r="D25" s="17"/>
      <c r="E25" s="40"/>
      <c r="F25" s="17"/>
      <c r="G25" s="17"/>
      <c r="H25" s="17"/>
      <c r="I25" s="47" t="str">
        <f aca="false">IF(H25="","",IFERROR(INDEX(Settings!$G$2:$G$4,MATCH(H25,Settings!$F$2:$F$4,0)),""))</f>
        <v/>
      </c>
      <c r="J25" s="38"/>
      <c r="K25" s="48"/>
      <c r="L25" s="17"/>
      <c r="M25" s="38"/>
      <c r="N25" s="38"/>
      <c r="O25" s="42" t="str">
        <f aca="false">IF(N25="","",WORKDAY(N25,Settings!$S$4))</f>
        <v/>
      </c>
      <c r="P25" s="17"/>
      <c r="Q25" s="44" t="str">
        <f aca="true">IF(C25="","",IF(P25="Backed out",IF(S25="Paid","Refunded – closed",IF(R25="","Refund – log reason first","Refund in progress")),IF(K25="","Awaiting payment",IF(N25="",IF(M25="","Schedule free video","Free video in production"),IF(P25="Approved","Active",IF(TODAY()&gt;O25,"Active – plan went ahead","Decision pending – "&amp;NETWORKDAYS(TODAY(),O25)&amp;" working day(s) left"))))))</f>
        <v/>
      </c>
      <c r="R25" s="17"/>
      <c r="S25" s="17"/>
      <c r="T25" s="48"/>
      <c r="U25" s="38"/>
      <c r="V25" s="38"/>
      <c r="W25" s="42" t="str">
        <f aca="false">IF(V25="","",EDATE(V25,Settings!$S$6))</f>
        <v/>
      </c>
      <c r="X25" s="17"/>
      <c r="Y25" s="17"/>
      <c r="Z25" s="17"/>
    </row>
    <row r="26" customFormat="false" ht="15" hidden="false" customHeight="false" outlineLevel="0" collapsed="false">
      <c r="A26" s="17"/>
      <c r="B26" s="17"/>
      <c r="C26" s="17"/>
      <c r="D26" s="17"/>
      <c r="E26" s="40"/>
      <c r="F26" s="17"/>
      <c r="G26" s="17"/>
      <c r="H26" s="17"/>
      <c r="I26" s="47" t="str">
        <f aca="false">IF(H26="","",IFERROR(INDEX(Settings!$G$2:$G$4,MATCH(H26,Settings!$F$2:$F$4,0)),""))</f>
        <v/>
      </c>
      <c r="J26" s="38"/>
      <c r="K26" s="48"/>
      <c r="L26" s="17"/>
      <c r="M26" s="38"/>
      <c r="N26" s="38"/>
      <c r="O26" s="42" t="str">
        <f aca="false">IF(N26="","",WORKDAY(N26,Settings!$S$4))</f>
        <v/>
      </c>
      <c r="P26" s="17"/>
      <c r="Q26" s="44" t="str">
        <f aca="true">IF(C26="","",IF(P26="Backed out",IF(S26="Paid","Refunded – closed",IF(R26="","Refund – log reason first","Refund in progress")),IF(K26="","Awaiting payment",IF(N26="",IF(M26="","Schedule free video","Free video in production"),IF(P26="Approved","Active",IF(TODAY()&gt;O26,"Active – plan went ahead","Decision pending – "&amp;NETWORKDAYS(TODAY(),O26)&amp;" working day(s) left"))))))</f>
        <v/>
      </c>
      <c r="R26" s="17"/>
      <c r="S26" s="17"/>
      <c r="T26" s="48"/>
      <c r="U26" s="38"/>
      <c r="V26" s="38"/>
      <c r="W26" s="42" t="str">
        <f aca="false">IF(V26="","",EDATE(V26,Settings!$S$6))</f>
        <v/>
      </c>
      <c r="X26" s="17"/>
      <c r="Y26" s="17"/>
      <c r="Z26" s="17"/>
    </row>
    <row r="27" customFormat="false" ht="15" hidden="false" customHeight="false" outlineLevel="0" collapsed="false">
      <c r="A27" s="17"/>
      <c r="B27" s="17"/>
      <c r="C27" s="17"/>
      <c r="D27" s="17"/>
      <c r="E27" s="40"/>
      <c r="F27" s="17"/>
      <c r="G27" s="17"/>
      <c r="H27" s="17"/>
      <c r="I27" s="47" t="str">
        <f aca="false">IF(H27="","",IFERROR(INDEX(Settings!$G$2:$G$4,MATCH(H27,Settings!$F$2:$F$4,0)),""))</f>
        <v/>
      </c>
      <c r="J27" s="38"/>
      <c r="K27" s="48"/>
      <c r="L27" s="17"/>
      <c r="M27" s="38"/>
      <c r="N27" s="38"/>
      <c r="O27" s="42" t="str">
        <f aca="false">IF(N27="","",WORKDAY(N27,Settings!$S$4))</f>
        <v/>
      </c>
      <c r="P27" s="17"/>
      <c r="Q27" s="44" t="str">
        <f aca="true">IF(C27="","",IF(P27="Backed out",IF(S27="Paid","Refunded – closed",IF(R27="","Refund – log reason first","Refund in progress")),IF(K27="","Awaiting payment",IF(N27="",IF(M27="","Schedule free video","Free video in production"),IF(P27="Approved","Active",IF(TODAY()&gt;O27,"Active – plan went ahead","Decision pending – "&amp;NETWORKDAYS(TODAY(),O27)&amp;" working day(s) left"))))))</f>
        <v/>
      </c>
      <c r="R27" s="17"/>
      <c r="S27" s="17"/>
      <c r="T27" s="48"/>
      <c r="U27" s="38"/>
      <c r="V27" s="38"/>
      <c r="W27" s="42" t="str">
        <f aca="false">IF(V27="","",EDATE(V27,Settings!$S$6))</f>
        <v/>
      </c>
      <c r="X27" s="17"/>
      <c r="Y27" s="17"/>
      <c r="Z27" s="17"/>
    </row>
    <row r="28" customFormat="false" ht="15" hidden="false" customHeight="false" outlineLevel="0" collapsed="false">
      <c r="A28" s="17"/>
      <c r="B28" s="17"/>
      <c r="C28" s="17"/>
      <c r="D28" s="17"/>
      <c r="E28" s="40"/>
      <c r="F28" s="17"/>
      <c r="G28" s="17"/>
      <c r="H28" s="17"/>
      <c r="I28" s="47" t="str">
        <f aca="false">IF(H28="","",IFERROR(INDEX(Settings!$G$2:$G$4,MATCH(H28,Settings!$F$2:$F$4,0)),""))</f>
        <v/>
      </c>
      <c r="J28" s="38"/>
      <c r="K28" s="48"/>
      <c r="L28" s="17"/>
      <c r="M28" s="38"/>
      <c r="N28" s="38"/>
      <c r="O28" s="42" t="str">
        <f aca="false">IF(N28="","",WORKDAY(N28,Settings!$S$4))</f>
        <v/>
      </c>
      <c r="P28" s="17"/>
      <c r="Q28" s="44" t="str">
        <f aca="true">IF(C28="","",IF(P28="Backed out",IF(S28="Paid","Refunded – closed",IF(R28="","Refund – log reason first","Refund in progress")),IF(K28="","Awaiting payment",IF(N28="",IF(M28="","Schedule free video","Free video in production"),IF(P28="Approved","Active",IF(TODAY()&gt;O28,"Active – plan went ahead","Decision pending – "&amp;NETWORKDAYS(TODAY(),O28)&amp;" working day(s) left"))))))</f>
        <v/>
      </c>
      <c r="R28" s="17"/>
      <c r="S28" s="17"/>
      <c r="T28" s="48"/>
      <c r="U28" s="38"/>
      <c r="V28" s="38"/>
      <c r="W28" s="42" t="str">
        <f aca="false">IF(V28="","",EDATE(V28,Settings!$S$6))</f>
        <v/>
      </c>
      <c r="X28" s="17"/>
      <c r="Y28" s="17"/>
      <c r="Z28" s="17"/>
    </row>
    <row r="29" customFormat="false" ht="15" hidden="false" customHeight="false" outlineLevel="0" collapsed="false">
      <c r="A29" s="17"/>
      <c r="B29" s="17"/>
      <c r="C29" s="17"/>
      <c r="D29" s="17"/>
      <c r="E29" s="40"/>
      <c r="F29" s="17"/>
      <c r="G29" s="17"/>
      <c r="H29" s="17"/>
      <c r="I29" s="47" t="str">
        <f aca="false">IF(H29="","",IFERROR(INDEX(Settings!$G$2:$G$4,MATCH(H29,Settings!$F$2:$F$4,0)),""))</f>
        <v/>
      </c>
      <c r="J29" s="38"/>
      <c r="K29" s="48"/>
      <c r="L29" s="17"/>
      <c r="M29" s="38"/>
      <c r="N29" s="38"/>
      <c r="O29" s="42" t="str">
        <f aca="false">IF(N29="","",WORKDAY(N29,Settings!$S$4))</f>
        <v/>
      </c>
      <c r="P29" s="17"/>
      <c r="Q29" s="44" t="str">
        <f aca="true">IF(C29="","",IF(P29="Backed out",IF(S29="Paid","Refunded – closed",IF(R29="","Refund – log reason first","Refund in progress")),IF(K29="","Awaiting payment",IF(N29="",IF(M29="","Schedule free video","Free video in production"),IF(P29="Approved","Active",IF(TODAY()&gt;O29,"Active – plan went ahead","Decision pending – "&amp;NETWORKDAYS(TODAY(),O29)&amp;" working day(s) left"))))))</f>
        <v/>
      </c>
      <c r="R29" s="17"/>
      <c r="S29" s="17"/>
      <c r="T29" s="48"/>
      <c r="U29" s="38"/>
      <c r="V29" s="38"/>
      <c r="W29" s="42" t="str">
        <f aca="false">IF(V29="","",EDATE(V29,Settings!$S$6))</f>
        <v/>
      </c>
      <c r="X29" s="17"/>
      <c r="Y29" s="17"/>
      <c r="Z29" s="17"/>
    </row>
    <row r="30" customFormat="false" ht="15" hidden="false" customHeight="false" outlineLevel="0" collapsed="false">
      <c r="A30" s="17"/>
      <c r="B30" s="17"/>
      <c r="C30" s="17"/>
      <c r="D30" s="17"/>
      <c r="E30" s="40"/>
      <c r="F30" s="17"/>
      <c r="G30" s="17"/>
      <c r="H30" s="17"/>
      <c r="I30" s="47" t="str">
        <f aca="false">IF(H30="","",IFERROR(INDEX(Settings!$G$2:$G$4,MATCH(H30,Settings!$F$2:$F$4,0)),""))</f>
        <v/>
      </c>
      <c r="J30" s="38"/>
      <c r="K30" s="48"/>
      <c r="L30" s="17"/>
      <c r="M30" s="38"/>
      <c r="N30" s="38"/>
      <c r="O30" s="42" t="str">
        <f aca="false">IF(N30="","",WORKDAY(N30,Settings!$S$4))</f>
        <v/>
      </c>
      <c r="P30" s="17"/>
      <c r="Q30" s="44" t="str">
        <f aca="true">IF(C30="","",IF(P30="Backed out",IF(S30="Paid","Refunded – closed",IF(R30="","Refund – log reason first","Refund in progress")),IF(K30="","Awaiting payment",IF(N30="",IF(M30="","Schedule free video","Free video in production"),IF(P30="Approved","Active",IF(TODAY()&gt;O30,"Active – plan went ahead","Decision pending – "&amp;NETWORKDAYS(TODAY(),O30)&amp;" working day(s) left"))))))</f>
        <v/>
      </c>
      <c r="R30" s="17"/>
      <c r="S30" s="17"/>
      <c r="T30" s="48"/>
      <c r="U30" s="38"/>
      <c r="V30" s="38"/>
      <c r="W30" s="42" t="str">
        <f aca="false">IF(V30="","",EDATE(V30,Settings!$S$6))</f>
        <v/>
      </c>
      <c r="X30" s="17"/>
      <c r="Y30" s="17"/>
      <c r="Z30" s="17"/>
    </row>
    <row r="31" customFormat="false" ht="15" hidden="false" customHeight="false" outlineLevel="0" collapsed="false">
      <c r="A31" s="17"/>
      <c r="B31" s="17"/>
      <c r="C31" s="17"/>
      <c r="D31" s="17"/>
      <c r="E31" s="40"/>
      <c r="F31" s="17"/>
      <c r="G31" s="17"/>
      <c r="H31" s="17"/>
      <c r="I31" s="47" t="str">
        <f aca="false">IF(H31="","",IFERROR(INDEX(Settings!$G$2:$G$4,MATCH(H31,Settings!$F$2:$F$4,0)),""))</f>
        <v/>
      </c>
      <c r="J31" s="38"/>
      <c r="K31" s="48"/>
      <c r="L31" s="17"/>
      <c r="M31" s="38"/>
      <c r="N31" s="38"/>
      <c r="O31" s="42" t="str">
        <f aca="false">IF(N31="","",WORKDAY(N31,Settings!$S$4))</f>
        <v/>
      </c>
      <c r="P31" s="17"/>
      <c r="Q31" s="44" t="str">
        <f aca="true">IF(C31="","",IF(P31="Backed out",IF(S31="Paid","Refunded – closed",IF(R31="","Refund – log reason first","Refund in progress")),IF(K31="","Awaiting payment",IF(N31="",IF(M31="","Schedule free video","Free video in production"),IF(P31="Approved","Active",IF(TODAY()&gt;O31,"Active – plan went ahead","Decision pending – "&amp;NETWORKDAYS(TODAY(),O31)&amp;" working day(s) left"))))))</f>
        <v/>
      </c>
      <c r="R31" s="17"/>
      <c r="S31" s="17"/>
      <c r="T31" s="48"/>
      <c r="U31" s="38"/>
      <c r="V31" s="38"/>
      <c r="W31" s="42" t="str">
        <f aca="false">IF(V31="","",EDATE(V31,Settings!$S$6))</f>
        <v/>
      </c>
      <c r="X31" s="17"/>
      <c r="Y31" s="17"/>
      <c r="Z31" s="17"/>
    </row>
    <row r="32" customFormat="false" ht="15" hidden="false" customHeight="false" outlineLevel="0" collapsed="false">
      <c r="A32" s="17"/>
      <c r="B32" s="17"/>
      <c r="C32" s="17"/>
      <c r="D32" s="17"/>
      <c r="E32" s="40"/>
      <c r="F32" s="17"/>
      <c r="G32" s="17"/>
      <c r="H32" s="17"/>
      <c r="I32" s="47" t="str">
        <f aca="false">IF(H32="","",IFERROR(INDEX(Settings!$G$2:$G$4,MATCH(H32,Settings!$F$2:$F$4,0)),""))</f>
        <v/>
      </c>
      <c r="J32" s="38"/>
      <c r="K32" s="48"/>
      <c r="L32" s="17"/>
      <c r="M32" s="38"/>
      <c r="N32" s="38"/>
      <c r="O32" s="42" t="str">
        <f aca="false">IF(N32="","",WORKDAY(N32,Settings!$S$4))</f>
        <v/>
      </c>
      <c r="P32" s="17"/>
      <c r="Q32" s="44" t="str">
        <f aca="true">IF(C32="","",IF(P32="Backed out",IF(S32="Paid","Refunded – closed",IF(R32="","Refund – log reason first","Refund in progress")),IF(K32="","Awaiting payment",IF(N32="",IF(M32="","Schedule free video","Free video in production"),IF(P32="Approved","Active",IF(TODAY()&gt;O32,"Active – plan went ahead","Decision pending – "&amp;NETWORKDAYS(TODAY(),O32)&amp;" working day(s) left"))))))</f>
        <v/>
      </c>
      <c r="R32" s="17"/>
      <c r="S32" s="17"/>
      <c r="T32" s="48"/>
      <c r="U32" s="38"/>
      <c r="V32" s="38"/>
      <c r="W32" s="42" t="str">
        <f aca="false">IF(V32="","",EDATE(V32,Settings!$S$6))</f>
        <v/>
      </c>
      <c r="X32" s="17"/>
      <c r="Y32" s="17"/>
      <c r="Z32" s="17"/>
    </row>
    <row r="33" customFormat="false" ht="15" hidden="false" customHeight="false" outlineLevel="0" collapsed="false">
      <c r="A33" s="17"/>
      <c r="B33" s="17"/>
      <c r="C33" s="17"/>
      <c r="D33" s="17"/>
      <c r="E33" s="40"/>
      <c r="F33" s="17"/>
      <c r="G33" s="17"/>
      <c r="H33" s="17"/>
      <c r="I33" s="47" t="str">
        <f aca="false">IF(H33="","",IFERROR(INDEX(Settings!$G$2:$G$4,MATCH(H33,Settings!$F$2:$F$4,0)),""))</f>
        <v/>
      </c>
      <c r="J33" s="38"/>
      <c r="K33" s="48"/>
      <c r="L33" s="17"/>
      <c r="M33" s="38"/>
      <c r="N33" s="38"/>
      <c r="O33" s="42" t="str">
        <f aca="false">IF(N33="","",WORKDAY(N33,Settings!$S$4))</f>
        <v/>
      </c>
      <c r="P33" s="17"/>
      <c r="Q33" s="44" t="str">
        <f aca="true">IF(C33="","",IF(P33="Backed out",IF(S33="Paid","Refunded – closed",IF(R33="","Refund – log reason first","Refund in progress")),IF(K33="","Awaiting payment",IF(N33="",IF(M33="","Schedule free video","Free video in production"),IF(P33="Approved","Active",IF(TODAY()&gt;O33,"Active – plan went ahead","Decision pending – "&amp;NETWORKDAYS(TODAY(),O33)&amp;" working day(s) left"))))))</f>
        <v/>
      </c>
      <c r="R33" s="17"/>
      <c r="S33" s="17"/>
      <c r="T33" s="48"/>
      <c r="U33" s="38"/>
      <c r="V33" s="38"/>
      <c r="W33" s="42" t="str">
        <f aca="false">IF(V33="","",EDATE(V33,Settings!$S$6))</f>
        <v/>
      </c>
      <c r="X33" s="17"/>
      <c r="Y33" s="17"/>
      <c r="Z33" s="17"/>
    </row>
    <row r="34" customFormat="false" ht="15" hidden="false" customHeight="false" outlineLevel="0" collapsed="false">
      <c r="A34" s="17"/>
      <c r="B34" s="17"/>
      <c r="C34" s="17"/>
      <c r="D34" s="17"/>
      <c r="E34" s="40"/>
      <c r="F34" s="17"/>
      <c r="G34" s="17"/>
      <c r="H34" s="17"/>
      <c r="I34" s="47" t="str">
        <f aca="false">IF(H34="","",IFERROR(INDEX(Settings!$G$2:$G$4,MATCH(H34,Settings!$F$2:$F$4,0)),""))</f>
        <v/>
      </c>
      <c r="J34" s="38"/>
      <c r="K34" s="48"/>
      <c r="L34" s="17"/>
      <c r="M34" s="38"/>
      <c r="N34" s="38"/>
      <c r="O34" s="42" t="str">
        <f aca="false">IF(N34="","",WORKDAY(N34,Settings!$S$4))</f>
        <v/>
      </c>
      <c r="P34" s="17"/>
      <c r="Q34" s="44" t="str">
        <f aca="true">IF(C34="","",IF(P34="Backed out",IF(S34="Paid","Refunded – closed",IF(R34="","Refund – log reason first","Refund in progress")),IF(K34="","Awaiting payment",IF(N34="",IF(M34="","Schedule free video","Free video in production"),IF(P34="Approved","Active",IF(TODAY()&gt;O34,"Active – plan went ahead","Decision pending – "&amp;NETWORKDAYS(TODAY(),O34)&amp;" working day(s) left"))))))</f>
        <v/>
      </c>
      <c r="R34" s="17"/>
      <c r="S34" s="17"/>
      <c r="T34" s="48"/>
      <c r="U34" s="38"/>
      <c r="V34" s="38"/>
      <c r="W34" s="42" t="str">
        <f aca="false">IF(V34="","",EDATE(V34,Settings!$S$6))</f>
        <v/>
      </c>
      <c r="X34" s="17"/>
      <c r="Y34" s="17"/>
      <c r="Z34" s="17"/>
    </row>
    <row r="35" customFormat="false" ht="15" hidden="false" customHeight="false" outlineLevel="0" collapsed="false">
      <c r="A35" s="17"/>
      <c r="B35" s="17"/>
      <c r="C35" s="17"/>
      <c r="D35" s="17"/>
      <c r="E35" s="40"/>
      <c r="F35" s="17"/>
      <c r="G35" s="17"/>
      <c r="H35" s="17"/>
      <c r="I35" s="47" t="str">
        <f aca="false">IF(H35="","",IFERROR(INDEX(Settings!$G$2:$G$4,MATCH(H35,Settings!$F$2:$F$4,0)),""))</f>
        <v/>
      </c>
      <c r="J35" s="38"/>
      <c r="K35" s="48"/>
      <c r="L35" s="17"/>
      <c r="M35" s="38"/>
      <c r="N35" s="38"/>
      <c r="O35" s="42" t="str">
        <f aca="false">IF(N35="","",WORKDAY(N35,Settings!$S$4))</f>
        <v/>
      </c>
      <c r="P35" s="17"/>
      <c r="Q35" s="44" t="str">
        <f aca="true">IF(C35="","",IF(P35="Backed out",IF(S35="Paid","Refunded – closed",IF(R35="","Refund – log reason first","Refund in progress")),IF(K35="","Awaiting payment",IF(N35="",IF(M35="","Schedule free video","Free video in production"),IF(P35="Approved","Active",IF(TODAY()&gt;O35,"Active – plan went ahead","Decision pending – "&amp;NETWORKDAYS(TODAY(),O35)&amp;" working day(s) left"))))))</f>
        <v/>
      </c>
      <c r="R35" s="17"/>
      <c r="S35" s="17"/>
      <c r="T35" s="48"/>
      <c r="U35" s="38"/>
      <c r="V35" s="38"/>
      <c r="W35" s="42" t="str">
        <f aca="false">IF(V35="","",EDATE(V35,Settings!$S$6))</f>
        <v/>
      </c>
      <c r="X35" s="17"/>
      <c r="Y35" s="17"/>
      <c r="Z35" s="17"/>
    </row>
    <row r="36" customFormat="false" ht="15" hidden="false" customHeight="false" outlineLevel="0" collapsed="false">
      <c r="A36" s="17"/>
      <c r="B36" s="17"/>
      <c r="C36" s="17"/>
      <c r="D36" s="17"/>
      <c r="E36" s="40"/>
      <c r="F36" s="17"/>
      <c r="G36" s="17"/>
      <c r="H36" s="17"/>
      <c r="I36" s="47" t="str">
        <f aca="false">IF(H36="","",IFERROR(INDEX(Settings!$G$2:$G$4,MATCH(H36,Settings!$F$2:$F$4,0)),""))</f>
        <v/>
      </c>
      <c r="J36" s="38"/>
      <c r="K36" s="48"/>
      <c r="L36" s="17"/>
      <c r="M36" s="38"/>
      <c r="N36" s="38"/>
      <c r="O36" s="42" t="str">
        <f aca="false">IF(N36="","",WORKDAY(N36,Settings!$S$4))</f>
        <v/>
      </c>
      <c r="P36" s="17"/>
      <c r="Q36" s="44" t="str">
        <f aca="true">IF(C36="","",IF(P36="Backed out",IF(S36="Paid","Refunded – closed",IF(R36="","Refund – log reason first","Refund in progress")),IF(K36="","Awaiting payment",IF(N36="",IF(M36="","Schedule free video","Free video in production"),IF(P36="Approved","Active",IF(TODAY()&gt;O36,"Active – plan went ahead","Decision pending – "&amp;NETWORKDAYS(TODAY(),O36)&amp;" working day(s) left"))))))</f>
        <v/>
      </c>
      <c r="R36" s="17"/>
      <c r="S36" s="17"/>
      <c r="T36" s="48"/>
      <c r="U36" s="38"/>
      <c r="V36" s="38"/>
      <c r="W36" s="42" t="str">
        <f aca="false">IF(V36="","",EDATE(V36,Settings!$S$6))</f>
        <v/>
      </c>
      <c r="X36" s="17"/>
      <c r="Y36" s="17"/>
      <c r="Z36" s="17"/>
    </row>
    <row r="37" customFormat="false" ht="15" hidden="false" customHeight="false" outlineLevel="0" collapsed="false">
      <c r="A37" s="17"/>
      <c r="B37" s="17"/>
      <c r="C37" s="17"/>
      <c r="D37" s="17"/>
      <c r="E37" s="40"/>
      <c r="F37" s="17"/>
      <c r="G37" s="17"/>
      <c r="H37" s="17"/>
      <c r="I37" s="47" t="str">
        <f aca="false">IF(H37="","",IFERROR(INDEX(Settings!$G$2:$G$4,MATCH(H37,Settings!$F$2:$F$4,0)),""))</f>
        <v/>
      </c>
      <c r="J37" s="38"/>
      <c r="K37" s="48"/>
      <c r="L37" s="17"/>
      <c r="M37" s="38"/>
      <c r="N37" s="38"/>
      <c r="O37" s="42" t="str">
        <f aca="false">IF(N37="","",WORKDAY(N37,Settings!$S$4))</f>
        <v/>
      </c>
      <c r="P37" s="17"/>
      <c r="Q37" s="44" t="str">
        <f aca="true">IF(C37="","",IF(P37="Backed out",IF(S37="Paid","Refunded – closed",IF(R37="","Refund – log reason first","Refund in progress")),IF(K37="","Awaiting payment",IF(N37="",IF(M37="","Schedule free video","Free video in production"),IF(P37="Approved","Active",IF(TODAY()&gt;O37,"Active – plan went ahead","Decision pending – "&amp;NETWORKDAYS(TODAY(),O37)&amp;" working day(s) left"))))))</f>
        <v/>
      </c>
      <c r="R37" s="17"/>
      <c r="S37" s="17"/>
      <c r="T37" s="48"/>
      <c r="U37" s="38"/>
      <c r="V37" s="38"/>
      <c r="W37" s="42" t="str">
        <f aca="false">IF(V37="","",EDATE(V37,Settings!$S$6))</f>
        <v/>
      </c>
      <c r="X37" s="17"/>
      <c r="Y37" s="17"/>
      <c r="Z37" s="17"/>
    </row>
    <row r="38" customFormat="false" ht="15" hidden="false" customHeight="false" outlineLevel="0" collapsed="false">
      <c r="A38" s="17"/>
      <c r="B38" s="17"/>
      <c r="C38" s="17"/>
      <c r="D38" s="17"/>
      <c r="E38" s="40"/>
      <c r="F38" s="17"/>
      <c r="G38" s="17"/>
      <c r="H38" s="17"/>
      <c r="I38" s="47" t="str">
        <f aca="false">IF(H38="","",IFERROR(INDEX(Settings!$G$2:$G$4,MATCH(H38,Settings!$F$2:$F$4,0)),""))</f>
        <v/>
      </c>
      <c r="J38" s="38"/>
      <c r="K38" s="48"/>
      <c r="L38" s="17"/>
      <c r="M38" s="38"/>
      <c r="N38" s="38"/>
      <c r="O38" s="42" t="str">
        <f aca="false">IF(N38="","",WORKDAY(N38,Settings!$S$4))</f>
        <v/>
      </c>
      <c r="P38" s="17"/>
      <c r="Q38" s="44" t="str">
        <f aca="true">IF(C38="","",IF(P38="Backed out",IF(S38="Paid","Refunded – closed",IF(R38="","Refund – log reason first","Refund in progress")),IF(K38="","Awaiting payment",IF(N38="",IF(M38="","Schedule free video","Free video in production"),IF(P38="Approved","Active",IF(TODAY()&gt;O38,"Active – plan went ahead","Decision pending – "&amp;NETWORKDAYS(TODAY(),O38)&amp;" working day(s) left"))))))</f>
        <v/>
      </c>
      <c r="R38" s="17"/>
      <c r="S38" s="17"/>
      <c r="T38" s="48"/>
      <c r="U38" s="38"/>
      <c r="V38" s="38"/>
      <c r="W38" s="42" t="str">
        <f aca="false">IF(V38="","",EDATE(V38,Settings!$S$6))</f>
        <v/>
      </c>
      <c r="X38" s="17"/>
      <c r="Y38" s="17"/>
      <c r="Z38" s="17"/>
    </row>
    <row r="39" customFormat="false" ht="15" hidden="false" customHeight="false" outlineLevel="0" collapsed="false">
      <c r="A39" s="17"/>
      <c r="B39" s="17"/>
      <c r="C39" s="17"/>
      <c r="D39" s="17"/>
      <c r="E39" s="40"/>
      <c r="F39" s="17"/>
      <c r="G39" s="17"/>
      <c r="H39" s="17"/>
      <c r="I39" s="47" t="str">
        <f aca="false">IF(H39="","",IFERROR(INDEX(Settings!$G$2:$G$4,MATCH(H39,Settings!$F$2:$F$4,0)),""))</f>
        <v/>
      </c>
      <c r="J39" s="38"/>
      <c r="K39" s="48"/>
      <c r="L39" s="17"/>
      <c r="M39" s="38"/>
      <c r="N39" s="38"/>
      <c r="O39" s="42" t="str">
        <f aca="false">IF(N39="","",WORKDAY(N39,Settings!$S$4))</f>
        <v/>
      </c>
      <c r="P39" s="17"/>
      <c r="Q39" s="44" t="str">
        <f aca="true">IF(C39="","",IF(P39="Backed out",IF(S39="Paid","Refunded – closed",IF(R39="","Refund – log reason first","Refund in progress")),IF(K39="","Awaiting payment",IF(N39="",IF(M39="","Schedule free video","Free video in production"),IF(P39="Approved","Active",IF(TODAY()&gt;O39,"Active – plan went ahead","Decision pending – "&amp;NETWORKDAYS(TODAY(),O39)&amp;" working day(s) left"))))))</f>
        <v/>
      </c>
      <c r="R39" s="17"/>
      <c r="S39" s="17"/>
      <c r="T39" s="48"/>
      <c r="U39" s="38"/>
      <c r="V39" s="38"/>
      <c r="W39" s="42" t="str">
        <f aca="false">IF(V39="","",EDATE(V39,Settings!$S$6))</f>
        <v/>
      </c>
      <c r="X39" s="17"/>
      <c r="Y39" s="17"/>
      <c r="Z39" s="17"/>
    </row>
    <row r="40" customFormat="false" ht="15" hidden="false" customHeight="false" outlineLevel="0" collapsed="false">
      <c r="A40" s="17"/>
      <c r="B40" s="17"/>
      <c r="C40" s="17"/>
      <c r="D40" s="17"/>
      <c r="E40" s="40"/>
      <c r="F40" s="17"/>
      <c r="G40" s="17"/>
      <c r="H40" s="17"/>
      <c r="I40" s="47" t="str">
        <f aca="false">IF(H40="","",IFERROR(INDEX(Settings!$G$2:$G$4,MATCH(H40,Settings!$F$2:$F$4,0)),""))</f>
        <v/>
      </c>
      <c r="J40" s="38"/>
      <c r="K40" s="48"/>
      <c r="L40" s="17"/>
      <c r="M40" s="38"/>
      <c r="N40" s="38"/>
      <c r="O40" s="42" t="str">
        <f aca="false">IF(N40="","",WORKDAY(N40,Settings!$S$4))</f>
        <v/>
      </c>
      <c r="P40" s="17"/>
      <c r="Q40" s="44" t="str">
        <f aca="true">IF(C40="","",IF(P40="Backed out",IF(S40="Paid","Refunded – closed",IF(R40="","Refund – log reason first","Refund in progress")),IF(K40="","Awaiting payment",IF(N40="",IF(M40="","Schedule free video","Free video in production"),IF(P40="Approved","Active",IF(TODAY()&gt;O40,"Active – plan went ahead","Decision pending – "&amp;NETWORKDAYS(TODAY(),O40)&amp;" working day(s) left"))))))</f>
        <v/>
      </c>
      <c r="R40" s="17"/>
      <c r="S40" s="17"/>
      <c r="T40" s="48"/>
      <c r="U40" s="38"/>
      <c r="V40" s="38"/>
      <c r="W40" s="42" t="str">
        <f aca="false">IF(V40="","",EDATE(V40,Settings!$S$6))</f>
        <v/>
      </c>
      <c r="X40" s="17"/>
      <c r="Y40" s="17"/>
      <c r="Z40" s="17"/>
    </row>
    <row r="41" customFormat="false" ht="15" hidden="false" customHeight="false" outlineLevel="0" collapsed="false">
      <c r="A41" s="17"/>
      <c r="B41" s="17"/>
      <c r="C41" s="17"/>
      <c r="D41" s="17"/>
      <c r="E41" s="40"/>
      <c r="F41" s="17"/>
      <c r="G41" s="17"/>
      <c r="H41" s="17"/>
      <c r="I41" s="47" t="str">
        <f aca="false">IF(H41="","",IFERROR(INDEX(Settings!$G$2:$G$4,MATCH(H41,Settings!$F$2:$F$4,0)),""))</f>
        <v/>
      </c>
      <c r="J41" s="38"/>
      <c r="K41" s="48"/>
      <c r="L41" s="17"/>
      <c r="M41" s="38"/>
      <c r="N41" s="38"/>
      <c r="O41" s="42" t="str">
        <f aca="false">IF(N41="","",WORKDAY(N41,Settings!$S$4))</f>
        <v/>
      </c>
      <c r="P41" s="17"/>
      <c r="Q41" s="44" t="str">
        <f aca="true">IF(C41="","",IF(P41="Backed out",IF(S41="Paid","Refunded – closed",IF(R41="","Refund – log reason first","Refund in progress")),IF(K41="","Awaiting payment",IF(N41="",IF(M41="","Schedule free video","Free video in production"),IF(P41="Approved","Active",IF(TODAY()&gt;O41,"Active – plan went ahead","Decision pending – "&amp;NETWORKDAYS(TODAY(),O41)&amp;" working day(s) left"))))))</f>
        <v/>
      </c>
      <c r="R41" s="17"/>
      <c r="S41" s="17"/>
      <c r="T41" s="48"/>
      <c r="U41" s="38"/>
      <c r="V41" s="38"/>
      <c r="W41" s="42" t="str">
        <f aca="false">IF(V41="","",EDATE(V41,Settings!$S$6))</f>
        <v/>
      </c>
      <c r="X41" s="17"/>
      <c r="Y41" s="17"/>
      <c r="Z41" s="17"/>
    </row>
    <row r="42" customFormat="false" ht="15" hidden="false" customHeight="false" outlineLevel="0" collapsed="false">
      <c r="A42" s="17"/>
      <c r="B42" s="17"/>
      <c r="C42" s="17"/>
      <c r="D42" s="17"/>
      <c r="E42" s="40"/>
      <c r="F42" s="17"/>
      <c r="G42" s="17"/>
      <c r="H42" s="17"/>
      <c r="I42" s="47" t="str">
        <f aca="false">IF(H42="","",IFERROR(INDEX(Settings!$G$2:$G$4,MATCH(H42,Settings!$F$2:$F$4,0)),""))</f>
        <v/>
      </c>
      <c r="J42" s="38"/>
      <c r="K42" s="48"/>
      <c r="L42" s="17"/>
      <c r="M42" s="38"/>
      <c r="N42" s="38"/>
      <c r="O42" s="42" t="str">
        <f aca="false">IF(N42="","",WORKDAY(N42,Settings!$S$4))</f>
        <v/>
      </c>
      <c r="P42" s="17"/>
      <c r="Q42" s="44" t="str">
        <f aca="true">IF(C42="","",IF(P42="Backed out",IF(S42="Paid","Refunded – closed",IF(R42="","Refund – log reason first","Refund in progress")),IF(K42="","Awaiting payment",IF(N42="",IF(M42="","Schedule free video","Free video in production"),IF(P42="Approved","Active",IF(TODAY()&gt;O42,"Active – plan went ahead","Decision pending – "&amp;NETWORKDAYS(TODAY(),O42)&amp;" working day(s) left"))))))</f>
        <v/>
      </c>
      <c r="R42" s="17"/>
      <c r="S42" s="17"/>
      <c r="T42" s="48"/>
      <c r="U42" s="38"/>
      <c r="V42" s="38"/>
      <c r="W42" s="42" t="str">
        <f aca="false">IF(V42="","",EDATE(V42,Settings!$S$6))</f>
        <v/>
      </c>
      <c r="X42" s="17"/>
      <c r="Y42" s="17"/>
      <c r="Z42" s="17"/>
    </row>
    <row r="43" customFormat="false" ht="15" hidden="false" customHeight="false" outlineLevel="0" collapsed="false">
      <c r="A43" s="17"/>
      <c r="B43" s="17"/>
      <c r="C43" s="17"/>
      <c r="D43" s="17"/>
      <c r="E43" s="40"/>
      <c r="F43" s="17"/>
      <c r="G43" s="17"/>
      <c r="H43" s="17"/>
      <c r="I43" s="47" t="str">
        <f aca="false">IF(H43="","",IFERROR(INDEX(Settings!$G$2:$G$4,MATCH(H43,Settings!$F$2:$F$4,0)),""))</f>
        <v/>
      </c>
      <c r="J43" s="38"/>
      <c r="K43" s="48"/>
      <c r="L43" s="17"/>
      <c r="M43" s="38"/>
      <c r="N43" s="38"/>
      <c r="O43" s="42" t="str">
        <f aca="false">IF(N43="","",WORKDAY(N43,Settings!$S$4))</f>
        <v/>
      </c>
      <c r="P43" s="17"/>
      <c r="Q43" s="44" t="str">
        <f aca="true">IF(C43="","",IF(P43="Backed out",IF(S43="Paid","Refunded – closed",IF(R43="","Refund – log reason first","Refund in progress")),IF(K43="","Awaiting payment",IF(N43="",IF(M43="","Schedule free video","Free video in production"),IF(P43="Approved","Active",IF(TODAY()&gt;O43,"Active – plan went ahead","Decision pending – "&amp;NETWORKDAYS(TODAY(),O43)&amp;" working day(s) left"))))))</f>
        <v/>
      </c>
      <c r="R43" s="17"/>
      <c r="S43" s="17"/>
      <c r="T43" s="48"/>
      <c r="U43" s="38"/>
      <c r="V43" s="38"/>
      <c r="W43" s="42" t="str">
        <f aca="false">IF(V43="","",EDATE(V43,Settings!$S$6))</f>
        <v/>
      </c>
      <c r="X43" s="17"/>
      <c r="Y43" s="17"/>
      <c r="Z43" s="17"/>
    </row>
    <row r="44" customFormat="false" ht="15" hidden="false" customHeight="false" outlineLevel="0" collapsed="false">
      <c r="A44" s="17"/>
      <c r="B44" s="17"/>
      <c r="C44" s="17"/>
      <c r="D44" s="17"/>
      <c r="E44" s="40"/>
      <c r="F44" s="17"/>
      <c r="G44" s="17"/>
      <c r="H44" s="17"/>
      <c r="I44" s="47" t="str">
        <f aca="false">IF(H44="","",IFERROR(INDEX(Settings!$G$2:$G$4,MATCH(H44,Settings!$F$2:$F$4,0)),""))</f>
        <v/>
      </c>
      <c r="J44" s="38"/>
      <c r="K44" s="48"/>
      <c r="L44" s="17"/>
      <c r="M44" s="38"/>
      <c r="N44" s="38"/>
      <c r="O44" s="42" t="str">
        <f aca="false">IF(N44="","",WORKDAY(N44,Settings!$S$4))</f>
        <v/>
      </c>
      <c r="P44" s="17"/>
      <c r="Q44" s="44" t="str">
        <f aca="true">IF(C44="","",IF(P44="Backed out",IF(S44="Paid","Refunded – closed",IF(R44="","Refund – log reason first","Refund in progress")),IF(K44="","Awaiting payment",IF(N44="",IF(M44="","Schedule free video","Free video in production"),IF(P44="Approved","Active",IF(TODAY()&gt;O44,"Active – plan went ahead","Decision pending – "&amp;NETWORKDAYS(TODAY(),O44)&amp;" working day(s) left"))))))</f>
        <v/>
      </c>
      <c r="R44" s="17"/>
      <c r="S44" s="17"/>
      <c r="T44" s="48"/>
      <c r="U44" s="38"/>
      <c r="V44" s="38"/>
      <c r="W44" s="42" t="str">
        <f aca="false">IF(V44="","",EDATE(V44,Settings!$S$6))</f>
        <v/>
      </c>
      <c r="X44" s="17"/>
      <c r="Y44" s="17"/>
      <c r="Z44" s="17"/>
    </row>
    <row r="45" customFormat="false" ht="15" hidden="false" customHeight="false" outlineLevel="0" collapsed="false">
      <c r="A45" s="17"/>
      <c r="B45" s="17"/>
      <c r="C45" s="17"/>
      <c r="D45" s="17"/>
      <c r="E45" s="40"/>
      <c r="F45" s="17"/>
      <c r="G45" s="17"/>
      <c r="H45" s="17"/>
      <c r="I45" s="47" t="str">
        <f aca="false">IF(H45="","",IFERROR(INDEX(Settings!$G$2:$G$4,MATCH(H45,Settings!$F$2:$F$4,0)),""))</f>
        <v/>
      </c>
      <c r="J45" s="38"/>
      <c r="K45" s="48"/>
      <c r="L45" s="17"/>
      <c r="M45" s="38"/>
      <c r="N45" s="38"/>
      <c r="O45" s="42" t="str">
        <f aca="false">IF(N45="","",WORKDAY(N45,Settings!$S$4))</f>
        <v/>
      </c>
      <c r="P45" s="17"/>
      <c r="Q45" s="44" t="str">
        <f aca="true">IF(C45="","",IF(P45="Backed out",IF(S45="Paid","Refunded – closed",IF(R45="","Refund – log reason first","Refund in progress")),IF(K45="","Awaiting payment",IF(N45="",IF(M45="","Schedule free video","Free video in production"),IF(P45="Approved","Active",IF(TODAY()&gt;O45,"Active – plan went ahead","Decision pending – "&amp;NETWORKDAYS(TODAY(),O45)&amp;" working day(s) left"))))))</f>
        <v/>
      </c>
      <c r="R45" s="17"/>
      <c r="S45" s="17"/>
      <c r="T45" s="48"/>
      <c r="U45" s="38"/>
      <c r="V45" s="38"/>
      <c r="W45" s="42" t="str">
        <f aca="false">IF(V45="","",EDATE(V45,Settings!$S$6))</f>
        <v/>
      </c>
      <c r="X45" s="17"/>
      <c r="Y45" s="17"/>
      <c r="Z45" s="17"/>
    </row>
    <row r="46" customFormat="false" ht="15" hidden="false" customHeight="false" outlineLevel="0" collapsed="false">
      <c r="A46" s="17"/>
      <c r="B46" s="17"/>
      <c r="C46" s="17"/>
      <c r="D46" s="17"/>
      <c r="E46" s="40"/>
      <c r="F46" s="17"/>
      <c r="G46" s="17"/>
      <c r="H46" s="17"/>
      <c r="I46" s="47" t="str">
        <f aca="false">IF(H46="","",IFERROR(INDEX(Settings!$G$2:$G$4,MATCH(H46,Settings!$F$2:$F$4,0)),""))</f>
        <v/>
      </c>
      <c r="J46" s="38"/>
      <c r="K46" s="48"/>
      <c r="L46" s="17"/>
      <c r="M46" s="38"/>
      <c r="N46" s="38"/>
      <c r="O46" s="42" t="str">
        <f aca="false">IF(N46="","",WORKDAY(N46,Settings!$S$4))</f>
        <v/>
      </c>
      <c r="P46" s="17"/>
      <c r="Q46" s="44" t="str">
        <f aca="true">IF(C46="","",IF(P46="Backed out",IF(S46="Paid","Refunded – closed",IF(R46="","Refund – log reason first","Refund in progress")),IF(K46="","Awaiting payment",IF(N46="",IF(M46="","Schedule free video","Free video in production"),IF(P46="Approved","Active",IF(TODAY()&gt;O46,"Active – plan went ahead","Decision pending – "&amp;NETWORKDAYS(TODAY(),O46)&amp;" working day(s) left"))))))</f>
        <v/>
      </c>
      <c r="R46" s="17"/>
      <c r="S46" s="17"/>
      <c r="T46" s="48"/>
      <c r="U46" s="38"/>
      <c r="V46" s="38"/>
      <c r="W46" s="42" t="str">
        <f aca="false">IF(V46="","",EDATE(V46,Settings!$S$6))</f>
        <v/>
      </c>
      <c r="X46" s="17"/>
      <c r="Y46" s="17"/>
      <c r="Z46" s="17"/>
    </row>
    <row r="47" customFormat="false" ht="15" hidden="false" customHeight="false" outlineLevel="0" collapsed="false">
      <c r="A47" s="17"/>
      <c r="B47" s="17"/>
      <c r="C47" s="17"/>
      <c r="D47" s="17"/>
      <c r="E47" s="40"/>
      <c r="F47" s="17"/>
      <c r="G47" s="17"/>
      <c r="H47" s="17"/>
      <c r="I47" s="47" t="str">
        <f aca="false">IF(H47="","",IFERROR(INDEX(Settings!$G$2:$G$4,MATCH(H47,Settings!$F$2:$F$4,0)),""))</f>
        <v/>
      </c>
      <c r="J47" s="38"/>
      <c r="K47" s="48"/>
      <c r="L47" s="17"/>
      <c r="M47" s="38"/>
      <c r="N47" s="38"/>
      <c r="O47" s="42" t="str">
        <f aca="false">IF(N47="","",WORKDAY(N47,Settings!$S$4))</f>
        <v/>
      </c>
      <c r="P47" s="17"/>
      <c r="Q47" s="44" t="str">
        <f aca="true">IF(C47="","",IF(P47="Backed out",IF(S47="Paid","Refunded – closed",IF(R47="","Refund – log reason first","Refund in progress")),IF(K47="","Awaiting payment",IF(N47="",IF(M47="","Schedule free video","Free video in production"),IF(P47="Approved","Active",IF(TODAY()&gt;O47,"Active – plan went ahead","Decision pending – "&amp;NETWORKDAYS(TODAY(),O47)&amp;" working day(s) left"))))))</f>
        <v/>
      </c>
      <c r="R47" s="17"/>
      <c r="S47" s="17"/>
      <c r="T47" s="48"/>
      <c r="U47" s="38"/>
      <c r="V47" s="38"/>
      <c r="W47" s="42" t="str">
        <f aca="false">IF(V47="","",EDATE(V47,Settings!$S$6))</f>
        <v/>
      </c>
      <c r="X47" s="17"/>
      <c r="Y47" s="17"/>
      <c r="Z47" s="17"/>
    </row>
    <row r="48" customFormat="false" ht="15" hidden="false" customHeight="false" outlineLevel="0" collapsed="false">
      <c r="A48" s="17"/>
      <c r="B48" s="17"/>
      <c r="C48" s="17"/>
      <c r="D48" s="17"/>
      <c r="E48" s="40"/>
      <c r="F48" s="17"/>
      <c r="G48" s="17"/>
      <c r="H48" s="17"/>
      <c r="I48" s="47" t="str">
        <f aca="false">IF(H48="","",IFERROR(INDEX(Settings!$G$2:$G$4,MATCH(H48,Settings!$F$2:$F$4,0)),""))</f>
        <v/>
      </c>
      <c r="J48" s="38"/>
      <c r="K48" s="48"/>
      <c r="L48" s="17"/>
      <c r="M48" s="38"/>
      <c r="N48" s="38"/>
      <c r="O48" s="42" t="str">
        <f aca="false">IF(N48="","",WORKDAY(N48,Settings!$S$4))</f>
        <v/>
      </c>
      <c r="P48" s="17"/>
      <c r="Q48" s="44" t="str">
        <f aca="true">IF(C48="","",IF(P48="Backed out",IF(S48="Paid","Refunded – closed",IF(R48="","Refund – log reason first","Refund in progress")),IF(K48="","Awaiting payment",IF(N48="",IF(M48="","Schedule free video","Free video in production"),IF(P48="Approved","Active",IF(TODAY()&gt;O48,"Active – plan went ahead","Decision pending – "&amp;NETWORKDAYS(TODAY(),O48)&amp;" working day(s) left"))))))</f>
        <v/>
      </c>
      <c r="R48" s="17"/>
      <c r="S48" s="17"/>
      <c r="T48" s="48"/>
      <c r="U48" s="38"/>
      <c r="V48" s="38"/>
      <c r="W48" s="42" t="str">
        <f aca="false">IF(V48="","",EDATE(V48,Settings!$S$6))</f>
        <v/>
      </c>
      <c r="X48" s="17"/>
      <c r="Y48" s="17"/>
      <c r="Z48" s="17"/>
    </row>
    <row r="49" customFormat="false" ht="15" hidden="false" customHeight="false" outlineLevel="0" collapsed="false">
      <c r="A49" s="17"/>
      <c r="B49" s="17"/>
      <c r="C49" s="17"/>
      <c r="D49" s="17"/>
      <c r="E49" s="40"/>
      <c r="F49" s="17"/>
      <c r="G49" s="17"/>
      <c r="H49" s="17"/>
      <c r="I49" s="47" t="str">
        <f aca="false">IF(H49="","",IFERROR(INDEX(Settings!$G$2:$G$4,MATCH(H49,Settings!$F$2:$F$4,0)),""))</f>
        <v/>
      </c>
      <c r="J49" s="38"/>
      <c r="K49" s="48"/>
      <c r="L49" s="17"/>
      <c r="M49" s="38"/>
      <c r="N49" s="38"/>
      <c r="O49" s="42" t="str">
        <f aca="false">IF(N49="","",WORKDAY(N49,Settings!$S$4))</f>
        <v/>
      </c>
      <c r="P49" s="17"/>
      <c r="Q49" s="44" t="str">
        <f aca="true">IF(C49="","",IF(P49="Backed out",IF(S49="Paid","Refunded – closed",IF(R49="","Refund – log reason first","Refund in progress")),IF(K49="","Awaiting payment",IF(N49="",IF(M49="","Schedule free video","Free video in production"),IF(P49="Approved","Active",IF(TODAY()&gt;O49,"Active – plan went ahead","Decision pending – "&amp;NETWORKDAYS(TODAY(),O49)&amp;" working day(s) left"))))))</f>
        <v/>
      </c>
      <c r="R49" s="17"/>
      <c r="S49" s="17"/>
      <c r="T49" s="48"/>
      <c r="U49" s="38"/>
      <c r="V49" s="38"/>
      <c r="W49" s="42" t="str">
        <f aca="false">IF(V49="","",EDATE(V49,Settings!$S$6))</f>
        <v/>
      </c>
      <c r="X49" s="17"/>
      <c r="Y49" s="17"/>
      <c r="Z49" s="17"/>
    </row>
    <row r="50" customFormat="false" ht="15" hidden="false" customHeight="false" outlineLevel="0" collapsed="false">
      <c r="A50" s="17"/>
      <c r="B50" s="17"/>
      <c r="C50" s="17"/>
      <c r="D50" s="17"/>
      <c r="E50" s="40"/>
      <c r="F50" s="17"/>
      <c r="G50" s="17"/>
      <c r="H50" s="17"/>
      <c r="I50" s="47" t="str">
        <f aca="false">IF(H50="","",IFERROR(INDEX(Settings!$G$2:$G$4,MATCH(H50,Settings!$F$2:$F$4,0)),""))</f>
        <v/>
      </c>
      <c r="J50" s="38"/>
      <c r="K50" s="48"/>
      <c r="L50" s="17"/>
      <c r="M50" s="38"/>
      <c r="N50" s="38"/>
      <c r="O50" s="42" t="str">
        <f aca="false">IF(N50="","",WORKDAY(N50,Settings!$S$4))</f>
        <v/>
      </c>
      <c r="P50" s="17"/>
      <c r="Q50" s="44" t="str">
        <f aca="true">IF(C50="","",IF(P50="Backed out",IF(S50="Paid","Refunded – closed",IF(R50="","Refund – log reason first","Refund in progress")),IF(K50="","Awaiting payment",IF(N50="",IF(M50="","Schedule free video","Free video in production"),IF(P50="Approved","Active",IF(TODAY()&gt;O50,"Active – plan went ahead","Decision pending – "&amp;NETWORKDAYS(TODAY(),O50)&amp;" working day(s) left"))))))</f>
        <v/>
      </c>
      <c r="R50" s="17"/>
      <c r="S50" s="17"/>
      <c r="T50" s="48"/>
      <c r="U50" s="38"/>
      <c r="V50" s="38"/>
      <c r="W50" s="42" t="str">
        <f aca="false">IF(V50="","",EDATE(V50,Settings!$S$6))</f>
        <v/>
      </c>
      <c r="X50" s="17"/>
      <c r="Y50" s="17"/>
      <c r="Z50" s="17"/>
    </row>
    <row r="51" customFormat="false" ht="15" hidden="false" customHeight="false" outlineLevel="0" collapsed="false">
      <c r="A51" s="17"/>
      <c r="B51" s="17"/>
      <c r="C51" s="17"/>
      <c r="D51" s="17"/>
      <c r="E51" s="40"/>
      <c r="F51" s="17"/>
      <c r="G51" s="17"/>
      <c r="H51" s="17"/>
      <c r="I51" s="47" t="str">
        <f aca="false">IF(H51="","",IFERROR(INDEX(Settings!$G$2:$G$4,MATCH(H51,Settings!$F$2:$F$4,0)),""))</f>
        <v/>
      </c>
      <c r="J51" s="38"/>
      <c r="K51" s="48"/>
      <c r="L51" s="17"/>
      <c r="M51" s="38"/>
      <c r="N51" s="38"/>
      <c r="O51" s="42" t="str">
        <f aca="false">IF(N51="","",WORKDAY(N51,Settings!$S$4))</f>
        <v/>
      </c>
      <c r="P51" s="17"/>
      <c r="Q51" s="44" t="str">
        <f aca="true">IF(C51="","",IF(P51="Backed out",IF(S51="Paid","Refunded – closed",IF(R51="","Refund – log reason first","Refund in progress")),IF(K51="","Awaiting payment",IF(N51="",IF(M51="","Schedule free video","Free video in production"),IF(P51="Approved","Active",IF(TODAY()&gt;O51,"Active – plan went ahead","Decision pending – "&amp;NETWORKDAYS(TODAY(),O51)&amp;" working day(s) left"))))))</f>
        <v/>
      </c>
      <c r="R51" s="17"/>
      <c r="S51" s="17"/>
      <c r="T51" s="48"/>
      <c r="U51" s="38"/>
      <c r="V51" s="38"/>
      <c r="W51" s="42" t="str">
        <f aca="false">IF(V51="","",EDATE(V51,Settings!$S$6))</f>
        <v/>
      </c>
      <c r="X51" s="17"/>
      <c r="Y51" s="17"/>
      <c r="Z51" s="17"/>
    </row>
    <row r="52" customFormat="false" ht="15" hidden="false" customHeight="false" outlineLevel="0" collapsed="false">
      <c r="A52" s="17"/>
      <c r="B52" s="17"/>
      <c r="C52" s="17"/>
      <c r="D52" s="17"/>
      <c r="E52" s="40"/>
      <c r="F52" s="17"/>
      <c r="G52" s="17"/>
      <c r="H52" s="17"/>
      <c r="I52" s="47" t="str">
        <f aca="false">IF(H52="","",IFERROR(INDEX(Settings!$G$2:$G$4,MATCH(H52,Settings!$F$2:$F$4,0)),""))</f>
        <v/>
      </c>
      <c r="J52" s="38"/>
      <c r="K52" s="48"/>
      <c r="L52" s="17"/>
      <c r="M52" s="38"/>
      <c r="N52" s="38"/>
      <c r="O52" s="42" t="str">
        <f aca="false">IF(N52="","",WORKDAY(N52,Settings!$S$4))</f>
        <v/>
      </c>
      <c r="P52" s="17"/>
      <c r="Q52" s="44" t="str">
        <f aca="true">IF(C52="","",IF(P52="Backed out",IF(S52="Paid","Refunded – closed",IF(R52="","Refund – log reason first","Refund in progress")),IF(K52="","Awaiting payment",IF(N52="",IF(M52="","Schedule free video","Free video in production"),IF(P52="Approved","Active",IF(TODAY()&gt;O52,"Active – plan went ahead","Decision pending – "&amp;NETWORKDAYS(TODAY(),O52)&amp;" working day(s) left"))))))</f>
        <v/>
      </c>
      <c r="R52" s="17"/>
      <c r="S52" s="17"/>
      <c r="T52" s="48"/>
      <c r="U52" s="38"/>
      <c r="V52" s="38"/>
      <c r="W52" s="42" t="str">
        <f aca="false">IF(V52="","",EDATE(V52,Settings!$S$6))</f>
        <v/>
      </c>
      <c r="X52" s="17"/>
      <c r="Y52" s="17"/>
      <c r="Z52" s="17"/>
    </row>
    <row r="53" customFormat="false" ht="15" hidden="false" customHeight="false" outlineLevel="0" collapsed="false">
      <c r="A53" s="17"/>
      <c r="B53" s="17"/>
      <c r="C53" s="17"/>
      <c r="D53" s="17"/>
      <c r="E53" s="40"/>
      <c r="F53" s="17"/>
      <c r="G53" s="17"/>
      <c r="H53" s="17"/>
      <c r="I53" s="47" t="str">
        <f aca="false">IF(H53="","",IFERROR(INDEX(Settings!$G$2:$G$4,MATCH(H53,Settings!$F$2:$F$4,0)),""))</f>
        <v/>
      </c>
      <c r="J53" s="38"/>
      <c r="K53" s="48"/>
      <c r="L53" s="17"/>
      <c r="M53" s="38"/>
      <c r="N53" s="38"/>
      <c r="O53" s="42" t="str">
        <f aca="false">IF(N53="","",WORKDAY(N53,Settings!$S$4))</f>
        <v/>
      </c>
      <c r="P53" s="17"/>
      <c r="Q53" s="44" t="str">
        <f aca="true">IF(C53="","",IF(P53="Backed out",IF(S53="Paid","Refunded – closed",IF(R53="","Refund – log reason first","Refund in progress")),IF(K53="","Awaiting payment",IF(N53="",IF(M53="","Schedule free video","Free video in production"),IF(P53="Approved","Active",IF(TODAY()&gt;O53,"Active – plan went ahead","Decision pending – "&amp;NETWORKDAYS(TODAY(),O53)&amp;" working day(s) left"))))))</f>
        <v/>
      </c>
      <c r="R53" s="17"/>
      <c r="S53" s="17"/>
      <c r="T53" s="48"/>
      <c r="U53" s="38"/>
      <c r="V53" s="38"/>
      <c r="W53" s="42" t="str">
        <f aca="false">IF(V53="","",EDATE(V53,Settings!$S$6))</f>
        <v/>
      </c>
      <c r="X53" s="17"/>
      <c r="Y53" s="17"/>
      <c r="Z53" s="17"/>
    </row>
    <row r="54" customFormat="false" ht="15" hidden="false" customHeight="false" outlineLevel="0" collapsed="false">
      <c r="A54" s="17"/>
      <c r="B54" s="17"/>
      <c r="C54" s="17"/>
      <c r="D54" s="17"/>
      <c r="E54" s="40"/>
      <c r="F54" s="17"/>
      <c r="G54" s="17"/>
      <c r="H54" s="17"/>
      <c r="I54" s="47" t="str">
        <f aca="false">IF(H54="","",IFERROR(INDEX(Settings!$G$2:$G$4,MATCH(H54,Settings!$F$2:$F$4,0)),""))</f>
        <v/>
      </c>
      <c r="J54" s="38"/>
      <c r="K54" s="48"/>
      <c r="L54" s="17"/>
      <c r="M54" s="38"/>
      <c r="N54" s="38"/>
      <c r="O54" s="42" t="str">
        <f aca="false">IF(N54="","",WORKDAY(N54,Settings!$S$4))</f>
        <v/>
      </c>
      <c r="P54" s="17"/>
      <c r="Q54" s="44" t="str">
        <f aca="true">IF(C54="","",IF(P54="Backed out",IF(S54="Paid","Refunded – closed",IF(R54="","Refund – log reason first","Refund in progress")),IF(K54="","Awaiting payment",IF(N54="",IF(M54="","Schedule free video","Free video in production"),IF(P54="Approved","Active",IF(TODAY()&gt;O54,"Active – plan went ahead","Decision pending – "&amp;NETWORKDAYS(TODAY(),O54)&amp;" working day(s) left"))))))</f>
        <v/>
      </c>
      <c r="R54" s="17"/>
      <c r="S54" s="17"/>
      <c r="T54" s="48"/>
      <c r="U54" s="38"/>
      <c r="V54" s="38"/>
      <c r="W54" s="42" t="str">
        <f aca="false">IF(V54="","",EDATE(V54,Settings!$S$6))</f>
        <v/>
      </c>
      <c r="X54" s="17"/>
      <c r="Y54" s="17"/>
      <c r="Z54" s="17"/>
    </row>
    <row r="55" customFormat="false" ht="15" hidden="false" customHeight="false" outlineLevel="0" collapsed="false">
      <c r="A55" s="17"/>
      <c r="B55" s="17"/>
      <c r="C55" s="17"/>
      <c r="D55" s="17"/>
      <c r="E55" s="40"/>
      <c r="F55" s="17"/>
      <c r="G55" s="17"/>
      <c r="H55" s="17"/>
      <c r="I55" s="47" t="str">
        <f aca="false">IF(H55="","",IFERROR(INDEX(Settings!$G$2:$G$4,MATCH(H55,Settings!$F$2:$F$4,0)),""))</f>
        <v/>
      </c>
      <c r="J55" s="38"/>
      <c r="K55" s="48"/>
      <c r="L55" s="17"/>
      <c r="M55" s="38"/>
      <c r="N55" s="38"/>
      <c r="O55" s="42" t="str">
        <f aca="false">IF(N55="","",WORKDAY(N55,Settings!$S$4))</f>
        <v/>
      </c>
      <c r="P55" s="17"/>
      <c r="Q55" s="44" t="str">
        <f aca="true">IF(C55="","",IF(P55="Backed out",IF(S55="Paid","Refunded – closed",IF(R55="","Refund – log reason first","Refund in progress")),IF(K55="","Awaiting payment",IF(N55="",IF(M55="","Schedule free video","Free video in production"),IF(P55="Approved","Active",IF(TODAY()&gt;O55,"Active – plan went ahead","Decision pending – "&amp;NETWORKDAYS(TODAY(),O55)&amp;" working day(s) left"))))))</f>
        <v/>
      </c>
      <c r="R55" s="17"/>
      <c r="S55" s="17"/>
      <c r="T55" s="48"/>
      <c r="U55" s="38"/>
      <c r="V55" s="38"/>
      <c r="W55" s="42" t="str">
        <f aca="false">IF(V55="","",EDATE(V55,Settings!$S$6))</f>
        <v/>
      </c>
      <c r="X55" s="17"/>
      <c r="Y55" s="17"/>
      <c r="Z55" s="17"/>
    </row>
    <row r="56" customFormat="false" ht="15" hidden="false" customHeight="false" outlineLevel="0" collapsed="false">
      <c r="A56" s="17"/>
      <c r="B56" s="17"/>
      <c r="C56" s="17"/>
      <c r="D56" s="17"/>
      <c r="E56" s="40"/>
      <c r="F56" s="17"/>
      <c r="G56" s="17"/>
      <c r="H56" s="17"/>
      <c r="I56" s="47" t="str">
        <f aca="false">IF(H56="","",IFERROR(INDEX(Settings!$G$2:$G$4,MATCH(H56,Settings!$F$2:$F$4,0)),""))</f>
        <v/>
      </c>
      <c r="J56" s="38"/>
      <c r="K56" s="48"/>
      <c r="L56" s="17"/>
      <c r="M56" s="38"/>
      <c r="N56" s="38"/>
      <c r="O56" s="42" t="str">
        <f aca="false">IF(N56="","",WORKDAY(N56,Settings!$S$4))</f>
        <v/>
      </c>
      <c r="P56" s="17"/>
      <c r="Q56" s="44" t="str">
        <f aca="true">IF(C56="","",IF(P56="Backed out",IF(S56="Paid","Refunded – closed",IF(R56="","Refund – log reason first","Refund in progress")),IF(K56="","Awaiting payment",IF(N56="",IF(M56="","Schedule free video","Free video in production"),IF(P56="Approved","Active",IF(TODAY()&gt;O56,"Active – plan went ahead","Decision pending – "&amp;NETWORKDAYS(TODAY(),O56)&amp;" working day(s) left"))))))</f>
        <v/>
      </c>
      <c r="R56" s="17"/>
      <c r="S56" s="17"/>
      <c r="T56" s="48"/>
      <c r="U56" s="38"/>
      <c r="V56" s="38"/>
      <c r="W56" s="42" t="str">
        <f aca="false">IF(V56="","",EDATE(V56,Settings!$S$6))</f>
        <v/>
      </c>
      <c r="X56" s="17"/>
      <c r="Y56" s="17"/>
      <c r="Z56" s="17"/>
    </row>
    <row r="57" customFormat="false" ht="15" hidden="false" customHeight="false" outlineLevel="0" collapsed="false">
      <c r="A57" s="17"/>
      <c r="B57" s="17"/>
      <c r="C57" s="17"/>
      <c r="D57" s="17"/>
      <c r="E57" s="40"/>
      <c r="F57" s="17"/>
      <c r="G57" s="17"/>
      <c r="H57" s="17"/>
      <c r="I57" s="47" t="str">
        <f aca="false">IF(H57="","",IFERROR(INDEX(Settings!$G$2:$G$4,MATCH(H57,Settings!$F$2:$F$4,0)),""))</f>
        <v/>
      </c>
      <c r="J57" s="38"/>
      <c r="K57" s="48"/>
      <c r="L57" s="17"/>
      <c r="M57" s="38"/>
      <c r="N57" s="38"/>
      <c r="O57" s="42" t="str">
        <f aca="false">IF(N57="","",WORKDAY(N57,Settings!$S$4))</f>
        <v/>
      </c>
      <c r="P57" s="17"/>
      <c r="Q57" s="44" t="str">
        <f aca="true">IF(C57="","",IF(P57="Backed out",IF(S57="Paid","Refunded – closed",IF(R57="","Refund – log reason first","Refund in progress")),IF(K57="","Awaiting payment",IF(N57="",IF(M57="","Schedule free video","Free video in production"),IF(P57="Approved","Active",IF(TODAY()&gt;O57,"Active – plan went ahead","Decision pending – "&amp;NETWORKDAYS(TODAY(),O57)&amp;" working day(s) left"))))))</f>
        <v/>
      </c>
      <c r="R57" s="17"/>
      <c r="S57" s="17"/>
      <c r="T57" s="48"/>
      <c r="U57" s="38"/>
      <c r="V57" s="38"/>
      <c r="W57" s="42" t="str">
        <f aca="false">IF(V57="","",EDATE(V57,Settings!$S$6))</f>
        <v/>
      </c>
      <c r="X57" s="17"/>
      <c r="Y57" s="17"/>
      <c r="Z57" s="17"/>
    </row>
    <row r="58" customFormat="false" ht="15" hidden="false" customHeight="false" outlineLevel="0" collapsed="false">
      <c r="A58" s="17"/>
      <c r="B58" s="17"/>
      <c r="C58" s="17"/>
      <c r="D58" s="17"/>
      <c r="E58" s="40"/>
      <c r="F58" s="17"/>
      <c r="G58" s="17"/>
      <c r="H58" s="17"/>
      <c r="I58" s="47" t="str">
        <f aca="false">IF(H58="","",IFERROR(INDEX(Settings!$G$2:$G$4,MATCH(H58,Settings!$F$2:$F$4,0)),""))</f>
        <v/>
      </c>
      <c r="J58" s="38"/>
      <c r="K58" s="48"/>
      <c r="L58" s="17"/>
      <c r="M58" s="38"/>
      <c r="N58" s="38"/>
      <c r="O58" s="42" t="str">
        <f aca="false">IF(N58="","",WORKDAY(N58,Settings!$S$4))</f>
        <v/>
      </c>
      <c r="P58" s="17"/>
      <c r="Q58" s="44" t="str">
        <f aca="true">IF(C58="","",IF(P58="Backed out",IF(S58="Paid","Refunded – closed",IF(R58="","Refund – log reason first","Refund in progress")),IF(K58="","Awaiting payment",IF(N58="",IF(M58="","Schedule free video","Free video in production"),IF(P58="Approved","Active",IF(TODAY()&gt;O58,"Active – plan went ahead","Decision pending – "&amp;NETWORKDAYS(TODAY(),O58)&amp;" working day(s) left"))))))</f>
        <v/>
      </c>
      <c r="R58" s="17"/>
      <c r="S58" s="17"/>
      <c r="T58" s="48"/>
      <c r="U58" s="38"/>
      <c r="V58" s="38"/>
      <c r="W58" s="42" t="str">
        <f aca="false">IF(V58="","",EDATE(V58,Settings!$S$6))</f>
        <v/>
      </c>
      <c r="X58" s="17"/>
      <c r="Y58" s="17"/>
      <c r="Z58" s="17"/>
    </row>
    <row r="59" customFormat="false" ht="15" hidden="false" customHeight="false" outlineLevel="0" collapsed="false">
      <c r="A59" s="17"/>
      <c r="B59" s="17"/>
      <c r="C59" s="17"/>
      <c r="D59" s="17"/>
      <c r="E59" s="40"/>
      <c r="F59" s="17"/>
      <c r="G59" s="17"/>
      <c r="H59" s="17"/>
      <c r="I59" s="47" t="str">
        <f aca="false">IF(H59="","",IFERROR(INDEX(Settings!$G$2:$G$4,MATCH(H59,Settings!$F$2:$F$4,0)),""))</f>
        <v/>
      </c>
      <c r="J59" s="38"/>
      <c r="K59" s="48"/>
      <c r="L59" s="17"/>
      <c r="M59" s="38"/>
      <c r="N59" s="38"/>
      <c r="O59" s="42" t="str">
        <f aca="false">IF(N59="","",WORKDAY(N59,Settings!$S$4))</f>
        <v/>
      </c>
      <c r="P59" s="17"/>
      <c r="Q59" s="44" t="str">
        <f aca="true">IF(C59="","",IF(P59="Backed out",IF(S59="Paid","Refunded – closed",IF(R59="","Refund – log reason first","Refund in progress")),IF(K59="","Awaiting payment",IF(N59="",IF(M59="","Schedule free video","Free video in production"),IF(P59="Approved","Active",IF(TODAY()&gt;O59,"Active – plan went ahead","Decision pending – "&amp;NETWORKDAYS(TODAY(),O59)&amp;" working day(s) left"))))))</f>
        <v/>
      </c>
      <c r="R59" s="17"/>
      <c r="S59" s="17"/>
      <c r="T59" s="48"/>
      <c r="U59" s="38"/>
      <c r="V59" s="38"/>
      <c r="W59" s="42" t="str">
        <f aca="false">IF(V59="","",EDATE(V59,Settings!$S$6))</f>
        <v/>
      </c>
      <c r="X59" s="17"/>
      <c r="Y59" s="17"/>
      <c r="Z59" s="17"/>
    </row>
    <row r="60" customFormat="false" ht="15" hidden="false" customHeight="false" outlineLevel="0" collapsed="false">
      <c r="A60" s="17"/>
      <c r="B60" s="17"/>
      <c r="C60" s="17"/>
      <c r="D60" s="17"/>
      <c r="E60" s="40"/>
      <c r="F60" s="17"/>
      <c r="G60" s="17"/>
      <c r="H60" s="17"/>
      <c r="I60" s="47" t="str">
        <f aca="false">IF(H60="","",IFERROR(INDEX(Settings!$G$2:$G$4,MATCH(H60,Settings!$F$2:$F$4,0)),""))</f>
        <v/>
      </c>
      <c r="J60" s="38"/>
      <c r="K60" s="48"/>
      <c r="L60" s="17"/>
      <c r="M60" s="38"/>
      <c r="N60" s="38"/>
      <c r="O60" s="42" t="str">
        <f aca="false">IF(N60="","",WORKDAY(N60,Settings!$S$4))</f>
        <v/>
      </c>
      <c r="P60" s="17"/>
      <c r="Q60" s="44" t="str">
        <f aca="true">IF(C60="","",IF(P60="Backed out",IF(S60="Paid","Refunded – closed",IF(R60="","Refund – log reason first","Refund in progress")),IF(K60="","Awaiting payment",IF(N60="",IF(M60="","Schedule free video","Free video in production"),IF(P60="Approved","Active",IF(TODAY()&gt;O60,"Active – plan went ahead","Decision pending – "&amp;NETWORKDAYS(TODAY(),O60)&amp;" working day(s) left"))))))</f>
        <v/>
      </c>
      <c r="R60" s="17"/>
      <c r="S60" s="17"/>
      <c r="T60" s="48"/>
      <c r="U60" s="38"/>
      <c r="V60" s="38"/>
      <c r="W60" s="42" t="str">
        <f aca="false">IF(V60="","",EDATE(V60,Settings!$S$6))</f>
        <v/>
      </c>
      <c r="X60" s="17"/>
      <c r="Y60" s="17"/>
      <c r="Z60" s="17"/>
    </row>
    <row r="61" customFormat="false" ht="15" hidden="false" customHeight="false" outlineLevel="0" collapsed="false">
      <c r="A61" s="17"/>
      <c r="B61" s="17"/>
      <c r="C61" s="17"/>
      <c r="D61" s="17"/>
      <c r="E61" s="40"/>
      <c r="F61" s="17"/>
      <c r="G61" s="17"/>
      <c r="H61" s="17"/>
      <c r="I61" s="47" t="str">
        <f aca="false">IF(H61="","",IFERROR(INDEX(Settings!$G$2:$G$4,MATCH(H61,Settings!$F$2:$F$4,0)),""))</f>
        <v/>
      </c>
      <c r="J61" s="38"/>
      <c r="K61" s="48"/>
      <c r="L61" s="17"/>
      <c r="M61" s="38"/>
      <c r="N61" s="38"/>
      <c r="O61" s="42" t="str">
        <f aca="false">IF(N61="","",WORKDAY(N61,Settings!$S$4))</f>
        <v/>
      </c>
      <c r="P61" s="17"/>
      <c r="Q61" s="44" t="str">
        <f aca="true">IF(C61="","",IF(P61="Backed out",IF(S61="Paid","Refunded – closed",IF(R61="","Refund – log reason first","Refund in progress")),IF(K61="","Awaiting payment",IF(N61="",IF(M61="","Schedule free video","Free video in production"),IF(P61="Approved","Active",IF(TODAY()&gt;O61,"Active – plan went ahead","Decision pending – "&amp;NETWORKDAYS(TODAY(),O61)&amp;" working day(s) left"))))))</f>
        <v/>
      </c>
      <c r="R61" s="17"/>
      <c r="S61" s="17"/>
      <c r="T61" s="48"/>
      <c r="U61" s="38"/>
      <c r="V61" s="38"/>
      <c r="W61" s="42" t="str">
        <f aca="false">IF(V61="","",EDATE(V61,Settings!$S$6))</f>
        <v/>
      </c>
      <c r="X61" s="17"/>
      <c r="Y61" s="17"/>
      <c r="Z61" s="17"/>
    </row>
    <row r="62" customFormat="false" ht="15" hidden="false" customHeight="false" outlineLevel="0" collapsed="false">
      <c r="A62" s="17"/>
      <c r="B62" s="17"/>
      <c r="C62" s="17"/>
      <c r="D62" s="17"/>
      <c r="E62" s="40"/>
      <c r="F62" s="17"/>
      <c r="G62" s="17"/>
      <c r="H62" s="17"/>
      <c r="I62" s="47" t="str">
        <f aca="false">IF(H62="","",IFERROR(INDEX(Settings!$G$2:$G$4,MATCH(H62,Settings!$F$2:$F$4,0)),""))</f>
        <v/>
      </c>
      <c r="J62" s="38"/>
      <c r="K62" s="48"/>
      <c r="L62" s="17"/>
      <c r="M62" s="38"/>
      <c r="N62" s="38"/>
      <c r="O62" s="42" t="str">
        <f aca="false">IF(N62="","",WORKDAY(N62,Settings!$S$4))</f>
        <v/>
      </c>
      <c r="P62" s="17"/>
      <c r="Q62" s="44" t="str">
        <f aca="true">IF(C62="","",IF(P62="Backed out",IF(S62="Paid","Refunded – closed",IF(R62="","Refund – log reason first","Refund in progress")),IF(K62="","Awaiting payment",IF(N62="",IF(M62="","Schedule free video","Free video in production"),IF(P62="Approved","Active",IF(TODAY()&gt;O62,"Active – plan went ahead","Decision pending – "&amp;NETWORKDAYS(TODAY(),O62)&amp;" working day(s) left"))))))</f>
        <v/>
      </c>
      <c r="R62" s="17"/>
      <c r="S62" s="17"/>
      <c r="T62" s="48"/>
      <c r="U62" s="38"/>
      <c r="V62" s="38"/>
      <c r="W62" s="42" t="str">
        <f aca="false">IF(V62="","",EDATE(V62,Settings!$S$6))</f>
        <v/>
      </c>
      <c r="X62" s="17"/>
      <c r="Y62" s="17"/>
      <c r="Z62" s="17"/>
    </row>
    <row r="63" customFormat="false" ht="15" hidden="false" customHeight="false" outlineLevel="0" collapsed="false">
      <c r="A63" s="17"/>
      <c r="B63" s="17"/>
      <c r="C63" s="17"/>
      <c r="D63" s="17"/>
      <c r="E63" s="40"/>
      <c r="F63" s="17"/>
      <c r="G63" s="17"/>
      <c r="H63" s="17"/>
      <c r="I63" s="47" t="str">
        <f aca="false">IF(H63="","",IFERROR(INDEX(Settings!$G$2:$G$4,MATCH(H63,Settings!$F$2:$F$4,0)),""))</f>
        <v/>
      </c>
      <c r="J63" s="38"/>
      <c r="K63" s="48"/>
      <c r="L63" s="17"/>
      <c r="M63" s="38"/>
      <c r="N63" s="38"/>
      <c r="O63" s="42" t="str">
        <f aca="false">IF(N63="","",WORKDAY(N63,Settings!$S$4))</f>
        <v/>
      </c>
      <c r="P63" s="17"/>
      <c r="Q63" s="44" t="str">
        <f aca="true">IF(C63="","",IF(P63="Backed out",IF(S63="Paid","Refunded – closed",IF(R63="","Refund – log reason first","Refund in progress")),IF(K63="","Awaiting payment",IF(N63="",IF(M63="","Schedule free video","Free video in production"),IF(P63="Approved","Active",IF(TODAY()&gt;O63,"Active – plan went ahead","Decision pending – "&amp;NETWORKDAYS(TODAY(),O63)&amp;" working day(s) left"))))))</f>
        <v/>
      </c>
      <c r="R63" s="17"/>
      <c r="S63" s="17"/>
      <c r="T63" s="48"/>
      <c r="U63" s="38"/>
      <c r="V63" s="38"/>
      <c r="W63" s="42" t="str">
        <f aca="false">IF(V63="","",EDATE(V63,Settings!$S$6))</f>
        <v/>
      </c>
      <c r="X63" s="17"/>
      <c r="Y63" s="17"/>
      <c r="Z63" s="17"/>
    </row>
    <row r="64" customFormat="false" ht="15" hidden="false" customHeight="false" outlineLevel="0" collapsed="false">
      <c r="A64" s="17"/>
      <c r="B64" s="17"/>
      <c r="C64" s="17"/>
      <c r="D64" s="17"/>
      <c r="E64" s="40"/>
      <c r="F64" s="17"/>
      <c r="G64" s="17"/>
      <c r="H64" s="17"/>
      <c r="I64" s="47" t="str">
        <f aca="false">IF(H64="","",IFERROR(INDEX(Settings!$G$2:$G$4,MATCH(H64,Settings!$F$2:$F$4,0)),""))</f>
        <v/>
      </c>
      <c r="J64" s="38"/>
      <c r="K64" s="48"/>
      <c r="L64" s="17"/>
      <c r="M64" s="38"/>
      <c r="N64" s="38"/>
      <c r="O64" s="42" t="str">
        <f aca="false">IF(N64="","",WORKDAY(N64,Settings!$S$4))</f>
        <v/>
      </c>
      <c r="P64" s="17"/>
      <c r="Q64" s="44" t="str">
        <f aca="true">IF(C64="","",IF(P64="Backed out",IF(S64="Paid","Refunded – closed",IF(R64="","Refund – log reason first","Refund in progress")),IF(K64="","Awaiting payment",IF(N64="",IF(M64="","Schedule free video","Free video in production"),IF(P64="Approved","Active",IF(TODAY()&gt;O64,"Active – plan went ahead","Decision pending – "&amp;NETWORKDAYS(TODAY(),O64)&amp;" working day(s) left"))))))</f>
        <v/>
      </c>
      <c r="R64" s="17"/>
      <c r="S64" s="17"/>
      <c r="T64" s="48"/>
      <c r="U64" s="38"/>
      <c r="V64" s="38"/>
      <c r="W64" s="42" t="str">
        <f aca="false">IF(V64="","",EDATE(V64,Settings!$S$6))</f>
        <v/>
      </c>
      <c r="X64" s="17"/>
      <c r="Y64" s="17"/>
      <c r="Z64" s="17"/>
    </row>
    <row r="65" customFormat="false" ht="15" hidden="false" customHeight="false" outlineLevel="0" collapsed="false">
      <c r="A65" s="17"/>
      <c r="B65" s="17"/>
      <c r="C65" s="17"/>
      <c r="D65" s="17"/>
      <c r="E65" s="40"/>
      <c r="F65" s="17"/>
      <c r="G65" s="17"/>
      <c r="H65" s="17"/>
      <c r="I65" s="47" t="str">
        <f aca="false">IF(H65="","",IFERROR(INDEX(Settings!$G$2:$G$4,MATCH(H65,Settings!$F$2:$F$4,0)),""))</f>
        <v/>
      </c>
      <c r="J65" s="38"/>
      <c r="K65" s="48"/>
      <c r="L65" s="17"/>
      <c r="M65" s="38"/>
      <c r="N65" s="38"/>
      <c r="O65" s="42" t="str">
        <f aca="false">IF(N65="","",WORKDAY(N65,Settings!$S$4))</f>
        <v/>
      </c>
      <c r="P65" s="17"/>
      <c r="Q65" s="44" t="str">
        <f aca="true">IF(C65="","",IF(P65="Backed out",IF(S65="Paid","Refunded – closed",IF(R65="","Refund – log reason first","Refund in progress")),IF(K65="","Awaiting payment",IF(N65="",IF(M65="","Schedule free video","Free video in production"),IF(P65="Approved","Active",IF(TODAY()&gt;O65,"Active – plan went ahead","Decision pending – "&amp;NETWORKDAYS(TODAY(),O65)&amp;" working day(s) left"))))))</f>
        <v/>
      </c>
      <c r="R65" s="17"/>
      <c r="S65" s="17"/>
      <c r="T65" s="48"/>
      <c r="U65" s="38"/>
      <c r="V65" s="38"/>
      <c r="W65" s="42" t="str">
        <f aca="false">IF(V65="","",EDATE(V65,Settings!$S$6))</f>
        <v/>
      </c>
      <c r="X65" s="17"/>
      <c r="Y65" s="17"/>
      <c r="Z65" s="17"/>
    </row>
    <row r="66" customFormat="false" ht="15" hidden="false" customHeight="false" outlineLevel="0" collapsed="false">
      <c r="A66" s="17"/>
      <c r="B66" s="17"/>
      <c r="C66" s="17"/>
      <c r="D66" s="17"/>
      <c r="E66" s="40"/>
      <c r="F66" s="17"/>
      <c r="G66" s="17"/>
      <c r="H66" s="17"/>
      <c r="I66" s="47" t="str">
        <f aca="false">IF(H66="","",IFERROR(INDEX(Settings!$G$2:$G$4,MATCH(H66,Settings!$F$2:$F$4,0)),""))</f>
        <v/>
      </c>
      <c r="J66" s="38"/>
      <c r="K66" s="48"/>
      <c r="L66" s="17"/>
      <c r="M66" s="38"/>
      <c r="N66" s="38"/>
      <c r="O66" s="42" t="str">
        <f aca="false">IF(N66="","",WORKDAY(N66,Settings!$S$4))</f>
        <v/>
      </c>
      <c r="P66" s="17"/>
      <c r="Q66" s="44" t="str">
        <f aca="true">IF(C66="","",IF(P66="Backed out",IF(S66="Paid","Refunded – closed",IF(R66="","Refund – log reason first","Refund in progress")),IF(K66="","Awaiting payment",IF(N66="",IF(M66="","Schedule free video","Free video in production"),IF(P66="Approved","Active",IF(TODAY()&gt;O66,"Active – plan went ahead","Decision pending – "&amp;NETWORKDAYS(TODAY(),O66)&amp;" working day(s) left"))))))</f>
        <v/>
      </c>
      <c r="R66" s="17"/>
      <c r="S66" s="17"/>
      <c r="T66" s="48"/>
      <c r="U66" s="38"/>
      <c r="V66" s="38"/>
      <c r="W66" s="42" t="str">
        <f aca="false">IF(V66="","",EDATE(V66,Settings!$S$6))</f>
        <v/>
      </c>
      <c r="X66" s="17"/>
      <c r="Y66" s="17"/>
      <c r="Z66" s="17"/>
    </row>
    <row r="67" customFormat="false" ht="15" hidden="false" customHeight="false" outlineLevel="0" collapsed="false">
      <c r="A67" s="17"/>
      <c r="B67" s="17"/>
      <c r="C67" s="17"/>
      <c r="D67" s="17"/>
      <c r="E67" s="40"/>
      <c r="F67" s="17"/>
      <c r="G67" s="17"/>
      <c r="H67" s="17"/>
      <c r="I67" s="47" t="str">
        <f aca="false">IF(H67="","",IFERROR(INDEX(Settings!$G$2:$G$4,MATCH(H67,Settings!$F$2:$F$4,0)),""))</f>
        <v/>
      </c>
      <c r="J67" s="38"/>
      <c r="K67" s="48"/>
      <c r="L67" s="17"/>
      <c r="M67" s="38"/>
      <c r="N67" s="38"/>
      <c r="O67" s="42" t="str">
        <f aca="false">IF(N67="","",WORKDAY(N67,Settings!$S$4))</f>
        <v/>
      </c>
      <c r="P67" s="17"/>
      <c r="Q67" s="44" t="str">
        <f aca="true">IF(C67="","",IF(P67="Backed out",IF(S67="Paid","Refunded – closed",IF(R67="","Refund – log reason first","Refund in progress")),IF(K67="","Awaiting payment",IF(N67="",IF(M67="","Schedule free video","Free video in production"),IF(P67="Approved","Active",IF(TODAY()&gt;O67,"Active – plan went ahead","Decision pending – "&amp;NETWORKDAYS(TODAY(),O67)&amp;" working day(s) left"))))))</f>
        <v/>
      </c>
      <c r="R67" s="17"/>
      <c r="S67" s="17"/>
      <c r="T67" s="48"/>
      <c r="U67" s="38"/>
      <c r="V67" s="38"/>
      <c r="W67" s="42" t="str">
        <f aca="false">IF(V67="","",EDATE(V67,Settings!$S$6))</f>
        <v/>
      </c>
      <c r="X67" s="17"/>
      <c r="Y67" s="17"/>
      <c r="Z67" s="17"/>
    </row>
    <row r="68" customFormat="false" ht="15" hidden="false" customHeight="false" outlineLevel="0" collapsed="false">
      <c r="A68" s="17"/>
      <c r="B68" s="17"/>
      <c r="C68" s="17"/>
      <c r="D68" s="17"/>
      <c r="E68" s="40"/>
      <c r="F68" s="17"/>
      <c r="G68" s="17"/>
      <c r="H68" s="17"/>
      <c r="I68" s="47" t="str">
        <f aca="false">IF(H68="","",IFERROR(INDEX(Settings!$G$2:$G$4,MATCH(H68,Settings!$F$2:$F$4,0)),""))</f>
        <v/>
      </c>
      <c r="J68" s="38"/>
      <c r="K68" s="48"/>
      <c r="L68" s="17"/>
      <c r="M68" s="38"/>
      <c r="N68" s="38"/>
      <c r="O68" s="42" t="str">
        <f aca="false">IF(N68="","",WORKDAY(N68,Settings!$S$4))</f>
        <v/>
      </c>
      <c r="P68" s="17"/>
      <c r="Q68" s="44" t="str">
        <f aca="true">IF(C68="","",IF(P68="Backed out",IF(S68="Paid","Refunded – closed",IF(R68="","Refund – log reason first","Refund in progress")),IF(K68="","Awaiting payment",IF(N68="",IF(M68="","Schedule free video","Free video in production"),IF(P68="Approved","Active",IF(TODAY()&gt;O68,"Active – plan went ahead","Decision pending – "&amp;NETWORKDAYS(TODAY(),O68)&amp;" working day(s) left"))))))</f>
        <v/>
      </c>
      <c r="R68" s="17"/>
      <c r="S68" s="17"/>
      <c r="T68" s="48"/>
      <c r="U68" s="38"/>
      <c r="V68" s="38"/>
      <c r="W68" s="42" t="str">
        <f aca="false">IF(V68="","",EDATE(V68,Settings!$S$6))</f>
        <v/>
      </c>
      <c r="X68" s="17"/>
      <c r="Y68" s="17"/>
      <c r="Z68" s="17"/>
    </row>
    <row r="69" customFormat="false" ht="15" hidden="false" customHeight="false" outlineLevel="0" collapsed="false">
      <c r="A69" s="17"/>
      <c r="B69" s="17"/>
      <c r="C69" s="17"/>
      <c r="D69" s="17"/>
      <c r="E69" s="40"/>
      <c r="F69" s="17"/>
      <c r="G69" s="17"/>
      <c r="H69" s="17"/>
      <c r="I69" s="47" t="str">
        <f aca="false">IF(H69="","",IFERROR(INDEX(Settings!$G$2:$G$4,MATCH(H69,Settings!$F$2:$F$4,0)),""))</f>
        <v/>
      </c>
      <c r="J69" s="38"/>
      <c r="K69" s="48"/>
      <c r="L69" s="17"/>
      <c r="M69" s="38"/>
      <c r="N69" s="38"/>
      <c r="O69" s="42" t="str">
        <f aca="false">IF(N69="","",WORKDAY(N69,Settings!$S$4))</f>
        <v/>
      </c>
      <c r="P69" s="17"/>
      <c r="Q69" s="44" t="str">
        <f aca="true">IF(C69="","",IF(P69="Backed out",IF(S69="Paid","Refunded – closed",IF(R69="","Refund – log reason first","Refund in progress")),IF(K69="","Awaiting payment",IF(N69="",IF(M69="","Schedule free video","Free video in production"),IF(P69="Approved","Active",IF(TODAY()&gt;O69,"Active – plan went ahead","Decision pending – "&amp;NETWORKDAYS(TODAY(),O69)&amp;" working day(s) left"))))))</f>
        <v/>
      </c>
      <c r="R69" s="17"/>
      <c r="S69" s="17"/>
      <c r="T69" s="48"/>
      <c r="U69" s="38"/>
      <c r="V69" s="38"/>
      <c r="W69" s="42" t="str">
        <f aca="false">IF(V69="","",EDATE(V69,Settings!$S$6))</f>
        <v/>
      </c>
      <c r="X69" s="17"/>
      <c r="Y69" s="17"/>
      <c r="Z69" s="17"/>
    </row>
    <row r="70" customFormat="false" ht="15" hidden="false" customHeight="false" outlineLevel="0" collapsed="false">
      <c r="A70" s="17"/>
      <c r="B70" s="17"/>
      <c r="C70" s="17"/>
      <c r="D70" s="17"/>
      <c r="E70" s="40"/>
      <c r="F70" s="17"/>
      <c r="G70" s="17"/>
      <c r="H70" s="17"/>
      <c r="I70" s="47" t="str">
        <f aca="false">IF(H70="","",IFERROR(INDEX(Settings!$G$2:$G$4,MATCH(H70,Settings!$F$2:$F$4,0)),""))</f>
        <v/>
      </c>
      <c r="J70" s="38"/>
      <c r="K70" s="48"/>
      <c r="L70" s="17"/>
      <c r="M70" s="38"/>
      <c r="N70" s="38"/>
      <c r="O70" s="42" t="str">
        <f aca="false">IF(N70="","",WORKDAY(N70,Settings!$S$4))</f>
        <v/>
      </c>
      <c r="P70" s="17"/>
      <c r="Q70" s="44" t="str">
        <f aca="true">IF(C70="","",IF(P70="Backed out",IF(S70="Paid","Refunded – closed",IF(R70="","Refund – log reason first","Refund in progress")),IF(K70="","Awaiting payment",IF(N70="",IF(M70="","Schedule free video","Free video in production"),IF(P70="Approved","Active",IF(TODAY()&gt;O70,"Active – plan went ahead","Decision pending – "&amp;NETWORKDAYS(TODAY(),O70)&amp;" working day(s) left"))))))</f>
        <v/>
      </c>
      <c r="R70" s="17"/>
      <c r="S70" s="17"/>
      <c r="T70" s="48"/>
      <c r="U70" s="38"/>
      <c r="V70" s="38"/>
      <c r="W70" s="42" t="str">
        <f aca="false">IF(V70="","",EDATE(V70,Settings!$S$6))</f>
        <v/>
      </c>
      <c r="X70" s="17"/>
      <c r="Y70" s="17"/>
      <c r="Z70" s="17"/>
    </row>
    <row r="71" customFormat="false" ht="15" hidden="false" customHeight="false" outlineLevel="0" collapsed="false">
      <c r="A71" s="17"/>
      <c r="B71" s="17"/>
      <c r="C71" s="17"/>
      <c r="D71" s="17"/>
      <c r="E71" s="40"/>
      <c r="F71" s="17"/>
      <c r="G71" s="17"/>
      <c r="H71" s="17"/>
      <c r="I71" s="47" t="str">
        <f aca="false">IF(H71="","",IFERROR(INDEX(Settings!$G$2:$G$4,MATCH(H71,Settings!$F$2:$F$4,0)),""))</f>
        <v/>
      </c>
      <c r="J71" s="38"/>
      <c r="K71" s="48"/>
      <c r="L71" s="17"/>
      <c r="M71" s="38"/>
      <c r="N71" s="38"/>
      <c r="O71" s="42" t="str">
        <f aca="false">IF(N71="","",WORKDAY(N71,Settings!$S$4))</f>
        <v/>
      </c>
      <c r="P71" s="17"/>
      <c r="Q71" s="44" t="str">
        <f aca="true">IF(C71="","",IF(P71="Backed out",IF(S71="Paid","Refunded – closed",IF(R71="","Refund – log reason first","Refund in progress")),IF(K71="","Awaiting payment",IF(N71="",IF(M71="","Schedule free video","Free video in production"),IF(P71="Approved","Active",IF(TODAY()&gt;O71,"Active – plan went ahead","Decision pending – "&amp;NETWORKDAYS(TODAY(),O71)&amp;" working day(s) left"))))))</f>
        <v/>
      </c>
      <c r="R71" s="17"/>
      <c r="S71" s="17"/>
      <c r="T71" s="48"/>
      <c r="U71" s="38"/>
      <c r="V71" s="38"/>
      <c r="W71" s="42" t="str">
        <f aca="false">IF(V71="","",EDATE(V71,Settings!$S$6))</f>
        <v/>
      </c>
      <c r="X71" s="17"/>
      <c r="Y71" s="17"/>
      <c r="Z71" s="17"/>
    </row>
    <row r="72" customFormat="false" ht="15" hidden="false" customHeight="false" outlineLevel="0" collapsed="false">
      <c r="A72" s="17"/>
      <c r="B72" s="17"/>
      <c r="C72" s="17"/>
      <c r="D72" s="17"/>
      <c r="E72" s="40"/>
      <c r="F72" s="17"/>
      <c r="G72" s="17"/>
      <c r="H72" s="17"/>
      <c r="I72" s="47" t="str">
        <f aca="false">IF(H72="","",IFERROR(INDEX(Settings!$G$2:$G$4,MATCH(H72,Settings!$F$2:$F$4,0)),""))</f>
        <v/>
      </c>
      <c r="J72" s="38"/>
      <c r="K72" s="48"/>
      <c r="L72" s="17"/>
      <c r="M72" s="38"/>
      <c r="N72" s="38"/>
      <c r="O72" s="42" t="str">
        <f aca="false">IF(N72="","",WORKDAY(N72,Settings!$S$4))</f>
        <v/>
      </c>
      <c r="P72" s="17"/>
      <c r="Q72" s="44" t="str">
        <f aca="true">IF(C72="","",IF(P72="Backed out",IF(S72="Paid","Refunded – closed",IF(R72="","Refund – log reason first","Refund in progress")),IF(K72="","Awaiting payment",IF(N72="",IF(M72="","Schedule free video","Free video in production"),IF(P72="Approved","Active",IF(TODAY()&gt;O72,"Active – plan went ahead","Decision pending – "&amp;NETWORKDAYS(TODAY(),O72)&amp;" working day(s) left"))))))</f>
        <v/>
      </c>
      <c r="R72" s="17"/>
      <c r="S72" s="17"/>
      <c r="T72" s="48"/>
      <c r="U72" s="38"/>
      <c r="V72" s="38"/>
      <c r="W72" s="42" t="str">
        <f aca="false">IF(V72="","",EDATE(V72,Settings!$S$6))</f>
        <v/>
      </c>
      <c r="X72" s="17"/>
      <c r="Y72" s="17"/>
      <c r="Z72" s="17"/>
    </row>
    <row r="73" customFormat="false" ht="15" hidden="false" customHeight="false" outlineLevel="0" collapsed="false">
      <c r="A73" s="17"/>
      <c r="B73" s="17"/>
      <c r="C73" s="17"/>
      <c r="D73" s="17"/>
      <c r="E73" s="40"/>
      <c r="F73" s="17"/>
      <c r="G73" s="17"/>
      <c r="H73" s="17"/>
      <c r="I73" s="47" t="str">
        <f aca="false">IF(H73="","",IFERROR(INDEX(Settings!$G$2:$G$4,MATCH(H73,Settings!$F$2:$F$4,0)),""))</f>
        <v/>
      </c>
      <c r="J73" s="38"/>
      <c r="K73" s="48"/>
      <c r="L73" s="17"/>
      <c r="M73" s="38"/>
      <c r="N73" s="38"/>
      <c r="O73" s="42" t="str">
        <f aca="false">IF(N73="","",WORKDAY(N73,Settings!$S$4))</f>
        <v/>
      </c>
      <c r="P73" s="17"/>
      <c r="Q73" s="44" t="str">
        <f aca="true">IF(C73="","",IF(P73="Backed out",IF(S73="Paid","Refunded – closed",IF(R73="","Refund – log reason first","Refund in progress")),IF(K73="","Awaiting payment",IF(N73="",IF(M73="","Schedule free video","Free video in production"),IF(P73="Approved","Active",IF(TODAY()&gt;O73,"Active – plan went ahead","Decision pending – "&amp;NETWORKDAYS(TODAY(),O73)&amp;" working day(s) left"))))))</f>
        <v/>
      </c>
      <c r="R73" s="17"/>
      <c r="S73" s="17"/>
      <c r="T73" s="48"/>
      <c r="U73" s="38"/>
      <c r="V73" s="38"/>
      <c r="W73" s="42" t="str">
        <f aca="false">IF(V73="","",EDATE(V73,Settings!$S$6))</f>
        <v/>
      </c>
      <c r="X73" s="17"/>
      <c r="Y73" s="17"/>
      <c r="Z73" s="17"/>
    </row>
    <row r="74" customFormat="false" ht="15" hidden="false" customHeight="false" outlineLevel="0" collapsed="false">
      <c r="A74" s="17"/>
      <c r="B74" s="17"/>
      <c r="C74" s="17"/>
      <c r="D74" s="17"/>
      <c r="E74" s="40"/>
      <c r="F74" s="17"/>
      <c r="G74" s="17"/>
      <c r="H74" s="17"/>
      <c r="I74" s="47" t="str">
        <f aca="false">IF(H74="","",IFERROR(INDEX(Settings!$G$2:$G$4,MATCH(H74,Settings!$F$2:$F$4,0)),""))</f>
        <v/>
      </c>
      <c r="J74" s="38"/>
      <c r="K74" s="48"/>
      <c r="L74" s="17"/>
      <c r="M74" s="38"/>
      <c r="N74" s="38"/>
      <c r="O74" s="42" t="str">
        <f aca="false">IF(N74="","",WORKDAY(N74,Settings!$S$4))</f>
        <v/>
      </c>
      <c r="P74" s="17"/>
      <c r="Q74" s="44" t="str">
        <f aca="true">IF(C74="","",IF(P74="Backed out",IF(S74="Paid","Refunded – closed",IF(R74="","Refund – log reason first","Refund in progress")),IF(K74="","Awaiting payment",IF(N74="",IF(M74="","Schedule free video","Free video in production"),IF(P74="Approved","Active",IF(TODAY()&gt;O74,"Active – plan went ahead","Decision pending – "&amp;NETWORKDAYS(TODAY(),O74)&amp;" working day(s) left"))))))</f>
        <v/>
      </c>
      <c r="R74" s="17"/>
      <c r="S74" s="17"/>
      <c r="T74" s="48"/>
      <c r="U74" s="38"/>
      <c r="V74" s="38"/>
      <c r="W74" s="42" t="str">
        <f aca="false">IF(V74="","",EDATE(V74,Settings!$S$6))</f>
        <v/>
      </c>
      <c r="X74" s="17"/>
      <c r="Y74" s="17"/>
      <c r="Z74" s="17"/>
    </row>
    <row r="75" customFormat="false" ht="15" hidden="false" customHeight="false" outlineLevel="0" collapsed="false">
      <c r="A75" s="17"/>
      <c r="B75" s="17"/>
      <c r="C75" s="17"/>
      <c r="D75" s="17"/>
      <c r="E75" s="40"/>
      <c r="F75" s="17"/>
      <c r="G75" s="17"/>
      <c r="H75" s="17"/>
      <c r="I75" s="47" t="str">
        <f aca="false">IF(H75="","",IFERROR(INDEX(Settings!$G$2:$G$4,MATCH(H75,Settings!$F$2:$F$4,0)),""))</f>
        <v/>
      </c>
      <c r="J75" s="38"/>
      <c r="K75" s="48"/>
      <c r="L75" s="17"/>
      <c r="M75" s="38"/>
      <c r="N75" s="38"/>
      <c r="O75" s="42" t="str">
        <f aca="false">IF(N75="","",WORKDAY(N75,Settings!$S$4))</f>
        <v/>
      </c>
      <c r="P75" s="17"/>
      <c r="Q75" s="44" t="str">
        <f aca="true">IF(C75="","",IF(P75="Backed out",IF(S75="Paid","Refunded – closed",IF(R75="","Refund – log reason first","Refund in progress")),IF(K75="","Awaiting payment",IF(N75="",IF(M75="","Schedule free video","Free video in production"),IF(P75="Approved","Active",IF(TODAY()&gt;O75,"Active – plan went ahead","Decision pending – "&amp;NETWORKDAYS(TODAY(),O75)&amp;" working day(s) left"))))))</f>
        <v/>
      </c>
      <c r="R75" s="17"/>
      <c r="S75" s="17"/>
      <c r="T75" s="48"/>
      <c r="U75" s="38"/>
      <c r="V75" s="38"/>
      <c r="W75" s="42" t="str">
        <f aca="false">IF(V75="","",EDATE(V75,Settings!$S$6))</f>
        <v/>
      </c>
      <c r="X75" s="17"/>
      <c r="Y75" s="17"/>
      <c r="Z75" s="17"/>
    </row>
    <row r="76" customFormat="false" ht="15" hidden="false" customHeight="false" outlineLevel="0" collapsed="false">
      <c r="A76" s="17"/>
      <c r="B76" s="17"/>
      <c r="C76" s="17"/>
      <c r="D76" s="17"/>
      <c r="E76" s="40"/>
      <c r="F76" s="17"/>
      <c r="G76" s="17"/>
      <c r="H76" s="17"/>
      <c r="I76" s="47" t="str">
        <f aca="false">IF(H76="","",IFERROR(INDEX(Settings!$G$2:$G$4,MATCH(H76,Settings!$F$2:$F$4,0)),""))</f>
        <v/>
      </c>
      <c r="J76" s="38"/>
      <c r="K76" s="48"/>
      <c r="L76" s="17"/>
      <c r="M76" s="38"/>
      <c r="N76" s="38"/>
      <c r="O76" s="42" t="str">
        <f aca="false">IF(N76="","",WORKDAY(N76,Settings!$S$4))</f>
        <v/>
      </c>
      <c r="P76" s="17"/>
      <c r="Q76" s="44" t="str">
        <f aca="true">IF(C76="","",IF(P76="Backed out",IF(S76="Paid","Refunded – closed",IF(R76="","Refund – log reason first","Refund in progress")),IF(K76="","Awaiting payment",IF(N76="",IF(M76="","Schedule free video","Free video in production"),IF(P76="Approved","Active",IF(TODAY()&gt;O76,"Active – plan went ahead","Decision pending – "&amp;NETWORKDAYS(TODAY(),O76)&amp;" working day(s) left"))))))</f>
        <v/>
      </c>
      <c r="R76" s="17"/>
      <c r="S76" s="17"/>
      <c r="T76" s="48"/>
      <c r="U76" s="38"/>
      <c r="V76" s="38"/>
      <c r="W76" s="42" t="str">
        <f aca="false">IF(V76="","",EDATE(V76,Settings!$S$6))</f>
        <v/>
      </c>
      <c r="X76" s="17"/>
      <c r="Y76" s="17"/>
      <c r="Z76" s="17"/>
    </row>
    <row r="77" customFormat="false" ht="15" hidden="false" customHeight="false" outlineLevel="0" collapsed="false">
      <c r="A77" s="17"/>
      <c r="B77" s="17"/>
      <c r="C77" s="17"/>
      <c r="D77" s="17"/>
      <c r="E77" s="40"/>
      <c r="F77" s="17"/>
      <c r="G77" s="17"/>
      <c r="H77" s="17"/>
      <c r="I77" s="47" t="str">
        <f aca="false">IF(H77="","",IFERROR(INDEX(Settings!$G$2:$G$4,MATCH(H77,Settings!$F$2:$F$4,0)),""))</f>
        <v/>
      </c>
      <c r="J77" s="38"/>
      <c r="K77" s="48"/>
      <c r="L77" s="17"/>
      <c r="M77" s="38"/>
      <c r="N77" s="38"/>
      <c r="O77" s="42" t="str">
        <f aca="false">IF(N77="","",WORKDAY(N77,Settings!$S$4))</f>
        <v/>
      </c>
      <c r="P77" s="17"/>
      <c r="Q77" s="44" t="str">
        <f aca="true">IF(C77="","",IF(P77="Backed out",IF(S77="Paid","Refunded – closed",IF(R77="","Refund – log reason first","Refund in progress")),IF(K77="","Awaiting payment",IF(N77="",IF(M77="","Schedule free video","Free video in production"),IF(P77="Approved","Active",IF(TODAY()&gt;O77,"Active – plan went ahead","Decision pending – "&amp;NETWORKDAYS(TODAY(),O77)&amp;" working day(s) left"))))))</f>
        <v/>
      </c>
      <c r="R77" s="17"/>
      <c r="S77" s="17"/>
      <c r="T77" s="48"/>
      <c r="U77" s="38"/>
      <c r="V77" s="38"/>
      <c r="W77" s="42" t="str">
        <f aca="false">IF(V77="","",EDATE(V77,Settings!$S$6))</f>
        <v/>
      </c>
      <c r="X77" s="17"/>
      <c r="Y77" s="17"/>
      <c r="Z77" s="17"/>
    </row>
    <row r="78" customFormat="false" ht="15" hidden="false" customHeight="false" outlineLevel="0" collapsed="false">
      <c r="A78" s="17"/>
      <c r="B78" s="17"/>
      <c r="C78" s="17"/>
      <c r="D78" s="17"/>
      <c r="E78" s="40"/>
      <c r="F78" s="17"/>
      <c r="G78" s="17"/>
      <c r="H78" s="17"/>
      <c r="I78" s="47" t="str">
        <f aca="false">IF(H78="","",IFERROR(INDEX(Settings!$G$2:$G$4,MATCH(H78,Settings!$F$2:$F$4,0)),""))</f>
        <v/>
      </c>
      <c r="J78" s="38"/>
      <c r="K78" s="48"/>
      <c r="L78" s="17"/>
      <c r="M78" s="38"/>
      <c r="N78" s="38"/>
      <c r="O78" s="42" t="str">
        <f aca="false">IF(N78="","",WORKDAY(N78,Settings!$S$4))</f>
        <v/>
      </c>
      <c r="P78" s="17"/>
      <c r="Q78" s="44" t="str">
        <f aca="true">IF(C78="","",IF(P78="Backed out",IF(S78="Paid","Refunded – closed",IF(R78="","Refund – log reason first","Refund in progress")),IF(K78="","Awaiting payment",IF(N78="",IF(M78="","Schedule free video","Free video in production"),IF(P78="Approved","Active",IF(TODAY()&gt;O78,"Active – plan went ahead","Decision pending – "&amp;NETWORKDAYS(TODAY(),O78)&amp;" working day(s) left"))))))</f>
        <v/>
      </c>
      <c r="R78" s="17"/>
      <c r="S78" s="17"/>
      <c r="T78" s="48"/>
      <c r="U78" s="38"/>
      <c r="V78" s="38"/>
      <c r="W78" s="42" t="str">
        <f aca="false">IF(V78="","",EDATE(V78,Settings!$S$6))</f>
        <v/>
      </c>
      <c r="X78" s="17"/>
      <c r="Y78" s="17"/>
      <c r="Z78" s="17"/>
    </row>
    <row r="79" customFormat="false" ht="15" hidden="false" customHeight="false" outlineLevel="0" collapsed="false">
      <c r="A79" s="17"/>
      <c r="B79" s="17"/>
      <c r="C79" s="17"/>
      <c r="D79" s="17"/>
      <c r="E79" s="40"/>
      <c r="F79" s="17"/>
      <c r="G79" s="17"/>
      <c r="H79" s="17"/>
      <c r="I79" s="47" t="str">
        <f aca="false">IF(H79="","",IFERROR(INDEX(Settings!$G$2:$G$4,MATCH(H79,Settings!$F$2:$F$4,0)),""))</f>
        <v/>
      </c>
      <c r="J79" s="38"/>
      <c r="K79" s="48"/>
      <c r="L79" s="17"/>
      <c r="M79" s="38"/>
      <c r="N79" s="38"/>
      <c r="O79" s="42" t="str">
        <f aca="false">IF(N79="","",WORKDAY(N79,Settings!$S$4))</f>
        <v/>
      </c>
      <c r="P79" s="17"/>
      <c r="Q79" s="44" t="str">
        <f aca="true">IF(C79="","",IF(P79="Backed out",IF(S79="Paid","Refunded – closed",IF(R79="","Refund – log reason first","Refund in progress")),IF(K79="","Awaiting payment",IF(N79="",IF(M79="","Schedule free video","Free video in production"),IF(P79="Approved","Active",IF(TODAY()&gt;O79,"Active – plan went ahead","Decision pending – "&amp;NETWORKDAYS(TODAY(),O79)&amp;" working day(s) left"))))))</f>
        <v/>
      </c>
      <c r="R79" s="17"/>
      <c r="S79" s="17"/>
      <c r="T79" s="48"/>
      <c r="U79" s="38"/>
      <c r="V79" s="38"/>
      <c r="W79" s="42" t="str">
        <f aca="false">IF(V79="","",EDATE(V79,Settings!$S$6))</f>
        <v/>
      </c>
      <c r="X79" s="17"/>
      <c r="Y79" s="17"/>
      <c r="Z79" s="17"/>
    </row>
    <row r="80" customFormat="false" ht="15" hidden="false" customHeight="false" outlineLevel="0" collapsed="false">
      <c r="A80" s="17"/>
      <c r="B80" s="17"/>
      <c r="C80" s="17"/>
      <c r="D80" s="17"/>
      <c r="E80" s="40"/>
      <c r="F80" s="17"/>
      <c r="G80" s="17"/>
      <c r="H80" s="17"/>
      <c r="I80" s="47" t="str">
        <f aca="false">IF(H80="","",IFERROR(INDEX(Settings!$G$2:$G$4,MATCH(H80,Settings!$F$2:$F$4,0)),""))</f>
        <v/>
      </c>
      <c r="J80" s="38"/>
      <c r="K80" s="48"/>
      <c r="L80" s="17"/>
      <c r="M80" s="38"/>
      <c r="N80" s="38"/>
      <c r="O80" s="42" t="str">
        <f aca="false">IF(N80="","",WORKDAY(N80,Settings!$S$4))</f>
        <v/>
      </c>
      <c r="P80" s="17"/>
      <c r="Q80" s="44" t="str">
        <f aca="true">IF(C80="","",IF(P80="Backed out",IF(S80="Paid","Refunded – closed",IF(R80="","Refund – log reason first","Refund in progress")),IF(K80="","Awaiting payment",IF(N80="",IF(M80="","Schedule free video","Free video in production"),IF(P80="Approved","Active",IF(TODAY()&gt;O80,"Active – plan went ahead","Decision pending – "&amp;NETWORKDAYS(TODAY(),O80)&amp;" working day(s) left"))))))</f>
        <v/>
      </c>
      <c r="R80" s="17"/>
      <c r="S80" s="17"/>
      <c r="T80" s="48"/>
      <c r="U80" s="38"/>
      <c r="V80" s="38"/>
      <c r="W80" s="42" t="str">
        <f aca="false">IF(V80="","",EDATE(V80,Settings!$S$6))</f>
        <v/>
      </c>
      <c r="X80" s="17"/>
      <c r="Y80" s="17"/>
      <c r="Z80" s="17"/>
    </row>
    <row r="81" customFormat="false" ht="15" hidden="false" customHeight="false" outlineLevel="0" collapsed="false">
      <c r="A81" s="17"/>
      <c r="B81" s="17"/>
      <c r="C81" s="17"/>
      <c r="D81" s="17"/>
      <c r="E81" s="40"/>
      <c r="F81" s="17"/>
      <c r="G81" s="17"/>
      <c r="H81" s="17"/>
      <c r="I81" s="47" t="str">
        <f aca="false">IF(H81="","",IFERROR(INDEX(Settings!$G$2:$G$4,MATCH(H81,Settings!$F$2:$F$4,0)),""))</f>
        <v/>
      </c>
      <c r="J81" s="38"/>
      <c r="K81" s="48"/>
      <c r="L81" s="17"/>
      <c r="M81" s="38"/>
      <c r="N81" s="38"/>
      <c r="O81" s="42" t="str">
        <f aca="false">IF(N81="","",WORKDAY(N81,Settings!$S$4))</f>
        <v/>
      </c>
      <c r="P81" s="17"/>
      <c r="Q81" s="44" t="str">
        <f aca="true">IF(C81="","",IF(P81="Backed out",IF(S81="Paid","Refunded – closed",IF(R81="","Refund – log reason first","Refund in progress")),IF(K81="","Awaiting payment",IF(N81="",IF(M81="","Schedule free video","Free video in production"),IF(P81="Approved","Active",IF(TODAY()&gt;O81,"Active – plan went ahead","Decision pending – "&amp;NETWORKDAYS(TODAY(),O81)&amp;" working day(s) left"))))))</f>
        <v/>
      </c>
      <c r="R81" s="17"/>
      <c r="S81" s="17"/>
      <c r="T81" s="48"/>
      <c r="U81" s="38"/>
      <c r="V81" s="38"/>
      <c r="W81" s="42" t="str">
        <f aca="false">IF(V81="","",EDATE(V81,Settings!$S$6))</f>
        <v/>
      </c>
      <c r="X81" s="17"/>
      <c r="Y81" s="17"/>
      <c r="Z81" s="17"/>
    </row>
    <row r="82" customFormat="false" ht="15" hidden="false" customHeight="false" outlineLevel="0" collapsed="false">
      <c r="A82" s="17"/>
      <c r="B82" s="17"/>
      <c r="C82" s="17"/>
      <c r="D82" s="17"/>
      <c r="E82" s="40"/>
      <c r="F82" s="17"/>
      <c r="G82" s="17"/>
      <c r="H82" s="17"/>
      <c r="I82" s="47" t="str">
        <f aca="false">IF(H82="","",IFERROR(INDEX(Settings!$G$2:$G$4,MATCH(H82,Settings!$F$2:$F$4,0)),""))</f>
        <v/>
      </c>
      <c r="J82" s="38"/>
      <c r="K82" s="48"/>
      <c r="L82" s="17"/>
      <c r="M82" s="38"/>
      <c r="N82" s="38"/>
      <c r="O82" s="42" t="str">
        <f aca="false">IF(N82="","",WORKDAY(N82,Settings!$S$4))</f>
        <v/>
      </c>
      <c r="P82" s="17"/>
      <c r="Q82" s="44" t="str">
        <f aca="true">IF(C82="","",IF(P82="Backed out",IF(S82="Paid","Refunded – closed",IF(R82="","Refund – log reason first","Refund in progress")),IF(K82="","Awaiting payment",IF(N82="",IF(M82="","Schedule free video","Free video in production"),IF(P82="Approved","Active",IF(TODAY()&gt;O82,"Active – plan went ahead","Decision pending – "&amp;NETWORKDAYS(TODAY(),O82)&amp;" working day(s) left"))))))</f>
        <v/>
      </c>
      <c r="R82" s="17"/>
      <c r="S82" s="17"/>
      <c r="T82" s="48"/>
      <c r="U82" s="38"/>
      <c r="V82" s="38"/>
      <c r="W82" s="42" t="str">
        <f aca="false">IF(V82="","",EDATE(V82,Settings!$S$6))</f>
        <v/>
      </c>
      <c r="X82" s="17"/>
      <c r="Y82" s="17"/>
      <c r="Z82" s="17"/>
    </row>
    <row r="83" customFormat="false" ht="15" hidden="false" customHeight="false" outlineLevel="0" collapsed="false">
      <c r="A83" s="17"/>
      <c r="B83" s="17"/>
      <c r="C83" s="17"/>
      <c r="D83" s="17"/>
      <c r="E83" s="40"/>
      <c r="F83" s="17"/>
      <c r="G83" s="17"/>
      <c r="H83" s="17"/>
      <c r="I83" s="47" t="str">
        <f aca="false">IF(H83="","",IFERROR(INDEX(Settings!$G$2:$G$4,MATCH(H83,Settings!$F$2:$F$4,0)),""))</f>
        <v/>
      </c>
      <c r="J83" s="38"/>
      <c r="K83" s="48"/>
      <c r="L83" s="17"/>
      <c r="M83" s="38"/>
      <c r="N83" s="38"/>
      <c r="O83" s="42" t="str">
        <f aca="false">IF(N83="","",WORKDAY(N83,Settings!$S$4))</f>
        <v/>
      </c>
      <c r="P83" s="17"/>
      <c r="Q83" s="44" t="str">
        <f aca="true">IF(C83="","",IF(P83="Backed out",IF(S83="Paid","Refunded – closed",IF(R83="","Refund – log reason first","Refund in progress")),IF(K83="","Awaiting payment",IF(N83="",IF(M83="","Schedule free video","Free video in production"),IF(P83="Approved","Active",IF(TODAY()&gt;O83,"Active – plan went ahead","Decision pending – "&amp;NETWORKDAYS(TODAY(),O83)&amp;" working day(s) left"))))))</f>
        <v/>
      </c>
      <c r="R83" s="17"/>
      <c r="S83" s="17"/>
      <c r="T83" s="48"/>
      <c r="U83" s="38"/>
      <c r="V83" s="38"/>
      <c r="W83" s="42" t="str">
        <f aca="false">IF(V83="","",EDATE(V83,Settings!$S$6))</f>
        <v/>
      </c>
      <c r="X83" s="17"/>
      <c r="Y83" s="17"/>
      <c r="Z83" s="17"/>
    </row>
    <row r="84" customFormat="false" ht="15" hidden="false" customHeight="false" outlineLevel="0" collapsed="false">
      <c r="A84" s="17"/>
      <c r="B84" s="17"/>
      <c r="C84" s="17"/>
      <c r="D84" s="17"/>
      <c r="E84" s="40"/>
      <c r="F84" s="17"/>
      <c r="G84" s="17"/>
      <c r="H84" s="17"/>
      <c r="I84" s="47" t="str">
        <f aca="false">IF(H84="","",IFERROR(INDEX(Settings!$G$2:$G$4,MATCH(H84,Settings!$F$2:$F$4,0)),""))</f>
        <v/>
      </c>
      <c r="J84" s="38"/>
      <c r="K84" s="48"/>
      <c r="L84" s="17"/>
      <c r="M84" s="38"/>
      <c r="N84" s="38"/>
      <c r="O84" s="42" t="str">
        <f aca="false">IF(N84="","",WORKDAY(N84,Settings!$S$4))</f>
        <v/>
      </c>
      <c r="P84" s="17"/>
      <c r="Q84" s="44" t="str">
        <f aca="true">IF(C84="","",IF(P84="Backed out",IF(S84="Paid","Refunded – closed",IF(R84="","Refund – log reason first","Refund in progress")),IF(K84="","Awaiting payment",IF(N84="",IF(M84="","Schedule free video","Free video in production"),IF(P84="Approved","Active",IF(TODAY()&gt;O84,"Active – plan went ahead","Decision pending – "&amp;NETWORKDAYS(TODAY(),O84)&amp;" working day(s) left"))))))</f>
        <v/>
      </c>
      <c r="R84" s="17"/>
      <c r="S84" s="17"/>
      <c r="T84" s="48"/>
      <c r="U84" s="38"/>
      <c r="V84" s="38"/>
      <c r="W84" s="42" t="str">
        <f aca="false">IF(V84="","",EDATE(V84,Settings!$S$6))</f>
        <v/>
      </c>
      <c r="X84" s="17"/>
      <c r="Y84" s="17"/>
      <c r="Z84" s="17"/>
    </row>
    <row r="85" customFormat="false" ht="15" hidden="false" customHeight="false" outlineLevel="0" collapsed="false">
      <c r="A85" s="17"/>
      <c r="B85" s="17"/>
      <c r="C85" s="17"/>
      <c r="D85" s="17"/>
      <c r="E85" s="40"/>
      <c r="F85" s="17"/>
      <c r="G85" s="17"/>
      <c r="H85" s="17"/>
      <c r="I85" s="47" t="str">
        <f aca="false">IF(H85="","",IFERROR(INDEX(Settings!$G$2:$G$4,MATCH(H85,Settings!$F$2:$F$4,0)),""))</f>
        <v/>
      </c>
      <c r="J85" s="38"/>
      <c r="K85" s="48"/>
      <c r="L85" s="17"/>
      <c r="M85" s="38"/>
      <c r="N85" s="38"/>
      <c r="O85" s="42" t="str">
        <f aca="false">IF(N85="","",WORKDAY(N85,Settings!$S$4))</f>
        <v/>
      </c>
      <c r="P85" s="17"/>
      <c r="Q85" s="44" t="str">
        <f aca="true">IF(C85="","",IF(P85="Backed out",IF(S85="Paid","Refunded – closed",IF(R85="","Refund – log reason first","Refund in progress")),IF(K85="","Awaiting payment",IF(N85="",IF(M85="","Schedule free video","Free video in production"),IF(P85="Approved","Active",IF(TODAY()&gt;O85,"Active – plan went ahead","Decision pending – "&amp;NETWORKDAYS(TODAY(),O85)&amp;" working day(s) left"))))))</f>
        <v/>
      </c>
      <c r="R85" s="17"/>
      <c r="S85" s="17"/>
      <c r="T85" s="48"/>
      <c r="U85" s="38"/>
      <c r="V85" s="38"/>
      <c r="W85" s="42" t="str">
        <f aca="false">IF(V85="","",EDATE(V85,Settings!$S$6))</f>
        <v/>
      </c>
      <c r="X85" s="17"/>
      <c r="Y85" s="17"/>
      <c r="Z85" s="17"/>
    </row>
    <row r="86" customFormat="false" ht="15" hidden="false" customHeight="false" outlineLevel="0" collapsed="false">
      <c r="A86" s="17"/>
      <c r="B86" s="17"/>
      <c r="C86" s="17"/>
      <c r="D86" s="17"/>
      <c r="E86" s="40"/>
      <c r="F86" s="17"/>
      <c r="G86" s="17"/>
      <c r="H86" s="17"/>
      <c r="I86" s="47" t="str">
        <f aca="false">IF(H86="","",IFERROR(INDEX(Settings!$G$2:$G$4,MATCH(H86,Settings!$F$2:$F$4,0)),""))</f>
        <v/>
      </c>
      <c r="J86" s="38"/>
      <c r="K86" s="48"/>
      <c r="L86" s="17"/>
      <c r="M86" s="38"/>
      <c r="N86" s="38"/>
      <c r="O86" s="42" t="str">
        <f aca="false">IF(N86="","",WORKDAY(N86,Settings!$S$4))</f>
        <v/>
      </c>
      <c r="P86" s="17"/>
      <c r="Q86" s="44" t="str">
        <f aca="true">IF(C86="","",IF(P86="Backed out",IF(S86="Paid","Refunded – closed",IF(R86="","Refund – log reason first","Refund in progress")),IF(K86="","Awaiting payment",IF(N86="",IF(M86="","Schedule free video","Free video in production"),IF(P86="Approved","Active",IF(TODAY()&gt;O86,"Active – plan went ahead","Decision pending – "&amp;NETWORKDAYS(TODAY(),O86)&amp;" working day(s) left"))))))</f>
        <v/>
      </c>
      <c r="R86" s="17"/>
      <c r="S86" s="17"/>
      <c r="T86" s="48"/>
      <c r="U86" s="38"/>
      <c r="V86" s="38"/>
      <c r="W86" s="42" t="str">
        <f aca="false">IF(V86="","",EDATE(V86,Settings!$S$6))</f>
        <v/>
      </c>
      <c r="X86" s="17"/>
      <c r="Y86" s="17"/>
      <c r="Z86" s="17"/>
    </row>
    <row r="87" customFormat="false" ht="15" hidden="false" customHeight="false" outlineLevel="0" collapsed="false">
      <c r="A87" s="17"/>
      <c r="B87" s="17"/>
      <c r="C87" s="17"/>
      <c r="D87" s="17"/>
      <c r="E87" s="40"/>
      <c r="F87" s="17"/>
      <c r="G87" s="17"/>
      <c r="H87" s="17"/>
      <c r="I87" s="47" t="str">
        <f aca="false">IF(H87="","",IFERROR(INDEX(Settings!$G$2:$G$4,MATCH(H87,Settings!$F$2:$F$4,0)),""))</f>
        <v/>
      </c>
      <c r="J87" s="38"/>
      <c r="K87" s="48"/>
      <c r="L87" s="17"/>
      <c r="M87" s="38"/>
      <c r="N87" s="38"/>
      <c r="O87" s="42" t="str">
        <f aca="false">IF(N87="","",WORKDAY(N87,Settings!$S$4))</f>
        <v/>
      </c>
      <c r="P87" s="17"/>
      <c r="Q87" s="44" t="str">
        <f aca="true">IF(C87="","",IF(P87="Backed out",IF(S87="Paid","Refunded – closed",IF(R87="","Refund – log reason first","Refund in progress")),IF(K87="","Awaiting payment",IF(N87="",IF(M87="","Schedule free video","Free video in production"),IF(P87="Approved","Active",IF(TODAY()&gt;O87,"Active – plan went ahead","Decision pending – "&amp;NETWORKDAYS(TODAY(),O87)&amp;" working day(s) left"))))))</f>
        <v/>
      </c>
      <c r="R87" s="17"/>
      <c r="S87" s="17"/>
      <c r="T87" s="48"/>
      <c r="U87" s="38"/>
      <c r="V87" s="38"/>
      <c r="W87" s="42" t="str">
        <f aca="false">IF(V87="","",EDATE(V87,Settings!$S$6))</f>
        <v/>
      </c>
      <c r="X87" s="17"/>
      <c r="Y87" s="17"/>
      <c r="Z87" s="17"/>
    </row>
    <row r="88" customFormat="false" ht="15" hidden="false" customHeight="false" outlineLevel="0" collapsed="false">
      <c r="A88" s="17"/>
      <c r="B88" s="17"/>
      <c r="C88" s="17"/>
      <c r="D88" s="17"/>
      <c r="E88" s="40"/>
      <c r="F88" s="17"/>
      <c r="G88" s="17"/>
      <c r="H88" s="17"/>
      <c r="I88" s="47" t="str">
        <f aca="false">IF(H88="","",IFERROR(INDEX(Settings!$G$2:$G$4,MATCH(H88,Settings!$F$2:$F$4,0)),""))</f>
        <v/>
      </c>
      <c r="J88" s="38"/>
      <c r="K88" s="48"/>
      <c r="L88" s="17"/>
      <c r="M88" s="38"/>
      <c r="N88" s="38"/>
      <c r="O88" s="42" t="str">
        <f aca="false">IF(N88="","",WORKDAY(N88,Settings!$S$4))</f>
        <v/>
      </c>
      <c r="P88" s="17"/>
      <c r="Q88" s="44" t="str">
        <f aca="true">IF(C88="","",IF(P88="Backed out",IF(S88="Paid","Refunded – closed",IF(R88="","Refund – log reason first","Refund in progress")),IF(K88="","Awaiting payment",IF(N88="",IF(M88="","Schedule free video","Free video in production"),IF(P88="Approved","Active",IF(TODAY()&gt;O88,"Active – plan went ahead","Decision pending – "&amp;NETWORKDAYS(TODAY(),O88)&amp;" working day(s) left"))))))</f>
        <v/>
      </c>
      <c r="R88" s="17"/>
      <c r="S88" s="17"/>
      <c r="T88" s="48"/>
      <c r="U88" s="38"/>
      <c r="V88" s="38"/>
      <c r="W88" s="42" t="str">
        <f aca="false">IF(V88="","",EDATE(V88,Settings!$S$6))</f>
        <v/>
      </c>
      <c r="X88" s="17"/>
      <c r="Y88" s="17"/>
      <c r="Z88" s="17"/>
    </row>
    <row r="89" customFormat="false" ht="15" hidden="false" customHeight="false" outlineLevel="0" collapsed="false">
      <c r="A89" s="17"/>
      <c r="B89" s="17"/>
      <c r="C89" s="17"/>
      <c r="D89" s="17"/>
      <c r="E89" s="40"/>
      <c r="F89" s="17"/>
      <c r="G89" s="17"/>
      <c r="H89" s="17"/>
      <c r="I89" s="47" t="str">
        <f aca="false">IF(H89="","",IFERROR(INDEX(Settings!$G$2:$G$4,MATCH(H89,Settings!$F$2:$F$4,0)),""))</f>
        <v/>
      </c>
      <c r="J89" s="38"/>
      <c r="K89" s="48"/>
      <c r="L89" s="17"/>
      <c r="M89" s="38"/>
      <c r="N89" s="38"/>
      <c r="O89" s="42" t="str">
        <f aca="false">IF(N89="","",WORKDAY(N89,Settings!$S$4))</f>
        <v/>
      </c>
      <c r="P89" s="17"/>
      <c r="Q89" s="44" t="str">
        <f aca="true">IF(C89="","",IF(P89="Backed out",IF(S89="Paid","Refunded – closed",IF(R89="","Refund – log reason first","Refund in progress")),IF(K89="","Awaiting payment",IF(N89="",IF(M89="","Schedule free video","Free video in production"),IF(P89="Approved","Active",IF(TODAY()&gt;O89,"Active – plan went ahead","Decision pending – "&amp;NETWORKDAYS(TODAY(),O89)&amp;" working day(s) left"))))))</f>
        <v/>
      </c>
      <c r="R89" s="17"/>
      <c r="S89" s="17"/>
      <c r="T89" s="48"/>
      <c r="U89" s="38"/>
      <c r="V89" s="38"/>
      <c r="W89" s="42" t="str">
        <f aca="false">IF(V89="","",EDATE(V89,Settings!$S$6))</f>
        <v/>
      </c>
      <c r="X89" s="17"/>
      <c r="Y89" s="17"/>
      <c r="Z89" s="17"/>
    </row>
    <row r="90" customFormat="false" ht="15" hidden="false" customHeight="false" outlineLevel="0" collapsed="false">
      <c r="A90" s="17"/>
      <c r="B90" s="17"/>
      <c r="C90" s="17"/>
      <c r="D90" s="17"/>
      <c r="E90" s="40"/>
      <c r="F90" s="17"/>
      <c r="G90" s="17"/>
      <c r="H90" s="17"/>
      <c r="I90" s="47" t="str">
        <f aca="false">IF(H90="","",IFERROR(INDEX(Settings!$G$2:$G$4,MATCH(H90,Settings!$F$2:$F$4,0)),""))</f>
        <v/>
      </c>
      <c r="J90" s="38"/>
      <c r="K90" s="48"/>
      <c r="L90" s="17"/>
      <c r="M90" s="38"/>
      <c r="N90" s="38"/>
      <c r="O90" s="42" t="str">
        <f aca="false">IF(N90="","",WORKDAY(N90,Settings!$S$4))</f>
        <v/>
      </c>
      <c r="P90" s="17"/>
      <c r="Q90" s="44" t="str">
        <f aca="true">IF(C90="","",IF(P90="Backed out",IF(S90="Paid","Refunded – closed",IF(R90="","Refund – log reason first","Refund in progress")),IF(K90="","Awaiting payment",IF(N90="",IF(M90="","Schedule free video","Free video in production"),IF(P90="Approved","Active",IF(TODAY()&gt;O90,"Active – plan went ahead","Decision pending – "&amp;NETWORKDAYS(TODAY(),O90)&amp;" working day(s) left"))))))</f>
        <v/>
      </c>
      <c r="R90" s="17"/>
      <c r="S90" s="17"/>
      <c r="T90" s="48"/>
      <c r="U90" s="38"/>
      <c r="V90" s="38"/>
      <c r="W90" s="42" t="str">
        <f aca="false">IF(V90="","",EDATE(V90,Settings!$S$6))</f>
        <v/>
      </c>
      <c r="X90" s="17"/>
      <c r="Y90" s="17"/>
      <c r="Z90" s="17"/>
    </row>
    <row r="91" customFormat="false" ht="15" hidden="false" customHeight="false" outlineLevel="0" collapsed="false">
      <c r="A91" s="17"/>
      <c r="B91" s="17"/>
      <c r="C91" s="17"/>
      <c r="D91" s="17"/>
      <c r="E91" s="40"/>
      <c r="F91" s="17"/>
      <c r="G91" s="17"/>
      <c r="H91" s="17"/>
      <c r="I91" s="47" t="str">
        <f aca="false">IF(H91="","",IFERROR(INDEX(Settings!$G$2:$G$4,MATCH(H91,Settings!$F$2:$F$4,0)),""))</f>
        <v/>
      </c>
      <c r="J91" s="38"/>
      <c r="K91" s="48"/>
      <c r="L91" s="17"/>
      <c r="M91" s="38"/>
      <c r="N91" s="38"/>
      <c r="O91" s="42" t="str">
        <f aca="false">IF(N91="","",WORKDAY(N91,Settings!$S$4))</f>
        <v/>
      </c>
      <c r="P91" s="17"/>
      <c r="Q91" s="44" t="str">
        <f aca="true">IF(C91="","",IF(P91="Backed out",IF(S91="Paid","Refunded – closed",IF(R91="","Refund – log reason first","Refund in progress")),IF(K91="","Awaiting payment",IF(N91="",IF(M91="","Schedule free video","Free video in production"),IF(P91="Approved","Active",IF(TODAY()&gt;O91,"Active – plan went ahead","Decision pending – "&amp;NETWORKDAYS(TODAY(),O91)&amp;" working day(s) left"))))))</f>
        <v/>
      </c>
      <c r="R91" s="17"/>
      <c r="S91" s="17"/>
      <c r="T91" s="48"/>
      <c r="U91" s="38"/>
      <c r="V91" s="38"/>
      <c r="W91" s="42" t="str">
        <f aca="false">IF(V91="","",EDATE(V91,Settings!$S$6))</f>
        <v/>
      </c>
      <c r="X91" s="17"/>
      <c r="Y91" s="17"/>
      <c r="Z91" s="17"/>
    </row>
    <row r="92" customFormat="false" ht="15" hidden="false" customHeight="false" outlineLevel="0" collapsed="false">
      <c r="A92" s="17"/>
      <c r="B92" s="17"/>
      <c r="C92" s="17"/>
      <c r="D92" s="17"/>
      <c r="E92" s="40"/>
      <c r="F92" s="17"/>
      <c r="G92" s="17"/>
      <c r="H92" s="17"/>
      <c r="I92" s="47" t="str">
        <f aca="false">IF(H92="","",IFERROR(INDEX(Settings!$G$2:$G$4,MATCH(H92,Settings!$F$2:$F$4,0)),""))</f>
        <v/>
      </c>
      <c r="J92" s="38"/>
      <c r="K92" s="48"/>
      <c r="L92" s="17"/>
      <c r="M92" s="38"/>
      <c r="N92" s="38"/>
      <c r="O92" s="42" t="str">
        <f aca="false">IF(N92="","",WORKDAY(N92,Settings!$S$4))</f>
        <v/>
      </c>
      <c r="P92" s="17"/>
      <c r="Q92" s="44" t="str">
        <f aca="true">IF(C92="","",IF(P92="Backed out",IF(S92="Paid","Refunded – closed",IF(R92="","Refund – log reason first","Refund in progress")),IF(K92="","Awaiting payment",IF(N92="",IF(M92="","Schedule free video","Free video in production"),IF(P92="Approved","Active",IF(TODAY()&gt;O92,"Active – plan went ahead","Decision pending – "&amp;NETWORKDAYS(TODAY(),O92)&amp;" working day(s) left"))))))</f>
        <v/>
      </c>
      <c r="R92" s="17"/>
      <c r="S92" s="17"/>
      <c r="T92" s="48"/>
      <c r="U92" s="38"/>
      <c r="V92" s="38"/>
      <c r="W92" s="42" t="str">
        <f aca="false">IF(V92="","",EDATE(V92,Settings!$S$6))</f>
        <v/>
      </c>
      <c r="X92" s="17"/>
      <c r="Y92" s="17"/>
      <c r="Z92" s="17"/>
    </row>
    <row r="93" customFormat="false" ht="15" hidden="false" customHeight="false" outlineLevel="0" collapsed="false">
      <c r="A93" s="17"/>
      <c r="B93" s="17"/>
      <c r="C93" s="17"/>
      <c r="D93" s="17"/>
      <c r="E93" s="40"/>
      <c r="F93" s="17"/>
      <c r="G93" s="17"/>
      <c r="H93" s="17"/>
      <c r="I93" s="47" t="str">
        <f aca="false">IF(H93="","",IFERROR(INDEX(Settings!$G$2:$G$4,MATCH(H93,Settings!$F$2:$F$4,0)),""))</f>
        <v/>
      </c>
      <c r="J93" s="38"/>
      <c r="K93" s="48"/>
      <c r="L93" s="17"/>
      <c r="M93" s="38"/>
      <c r="N93" s="38"/>
      <c r="O93" s="42" t="str">
        <f aca="false">IF(N93="","",WORKDAY(N93,Settings!$S$4))</f>
        <v/>
      </c>
      <c r="P93" s="17"/>
      <c r="Q93" s="44" t="str">
        <f aca="true">IF(C93="","",IF(P93="Backed out",IF(S93="Paid","Refunded – closed",IF(R93="","Refund – log reason first","Refund in progress")),IF(K93="","Awaiting payment",IF(N93="",IF(M93="","Schedule free video","Free video in production"),IF(P93="Approved","Active",IF(TODAY()&gt;O93,"Active – plan went ahead","Decision pending – "&amp;NETWORKDAYS(TODAY(),O93)&amp;" working day(s) left"))))))</f>
        <v/>
      </c>
      <c r="R93" s="17"/>
      <c r="S93" s="17"/>
      <c r="T93" s="48"/>
      <c r="U93" s="38"/>
      <c r="V93" s="38"/>
      <c r="W93" s="42" t="str">
        <f aca="false">IF(V93="","",EDATE(V93,Settings!$S$6))</f>
        <v/>
      </c>
      <c r="X93" s="17"/>
      <c r="Y93" s="17"/>
      <c r="Z93" s="17"/>
    </row>
    <row r="94" customFormat="false" ht="15" hidden="false" customHeight="false" outlineLevel="0" collapsed="false">
      <c r="A94" s="17"/>
      <c r="B94" s="17"/>
      <c r="C94" s="17"/>
      <c r="D94" s="17"/>
      <c r="E94" s="40"/>
      <c r="F94" s="17"/>
      <c r="G94" s="17"/>
      <c r="H94" s="17"/>
      <c r="I94" s="47" t="str">
        <f aca="false">IF(H94="","",IFERROR(INDEX(Settings!$G$2:$G$4,MATCH(H94,Settings!$F$2:$F$4,0)),""))</f>
        <v/>
      </c>
      <c r="J94" s="38"/>
      <c r="K94" s="48"/>
      <c r="L94" s="17"/>
      <c r="M94" s="38"/>
      <c r="N94" s="38"/>
      <c r="O94" s="42" t="str">
        <f aca="false">IF(N94="","",WORKDAY(N94,Settings!$S$4))</f>
        <v/>
      </c>
      <c r="P94" s="17"/>
      <c r="Q94" s="44" t="str">
        <f aca="true">IF(C94="","",IF(P94="Backed out",IF(S94="Paid","Refunded – closed",IF(R94="","Refund – log reason first","Refund in progress")),IF(K94="","Awaiting payment",IF(N94="",IF(M94="","Schedule free video","Free video in production"),IF(P94="Approved","Active",IF(TODAY()&gt;O94,"Active – plan went ahead","Decision pending – "&amp;NETWORKDAYS(TODAY(),O94)&amp;" working day(s) left"))))))</f>
        <v/>
      </c>
      <c r="R94" s="17"/>
      <c r="S94" s="17"/>
      <c r="T94" s="48"/>
      <c r="U94" s="38"/>
      <c r="V94" s="38"/>
      <c r="W94" s="42" t="str">
        <f aca="false">IF(V94="","",EDATE(V94,Settings!$S$6))</f>
        <v/>
      </c>
      <c r="X94" s="17"/>
      <c r="Y94" s="17"/>
      <c r="Z94" s="17"/>
    </row>
    <row r="95" customFormat="false" ht="15" hidden="false" customHeight="false" outlineLevel="0" collapsed="false">
      <c r="A95" s="17"/>
      <c r="B95" s="17"/>
      <c r="C95" s="17"/>
      <c r="D95" s="17"/>
      <c r="E95" s="40"/>
      <c r="F95" s="17"/>
      <c r="G95" s="17"/>
      <c r="H95" s="17"/>
      <c r="I95" s="47" t="str">
        <f aca="false">IF(H95="","",IFERROR(INDEX(Settings!$G$2:$G$4,MATCH(H95,Settings!$F$2:$F$4,0)),""))</f>
        <v/>
      </c>
      <c r="J95" s="38"/>
      <c r="K95" s="48"/>
      <c r="L95" s="17"/>
      <c r="M95" s="38"/>
      <c r="N95" s="38"/>
      <c r="O95" s="42" t="str">
        <f aca="false">IF(N95="","",WORKDAY(N95,Settings!$S$4))</f>
        <v/>
      </c>
      <c r="P95" s="17"/>
      <c r="Q95" s="44" t="str">
        <f aca="true">IF(C95="","",IF(P95="Backed out",IF(S95="Paid","Refunded – closed",IF(R95="","Refund – log reason first","Refund in progress")),IF(K95="","Awaiting payment",IF(N95="",IF(M95="","Schedule free video","Free video in production"),IF(P95="Approved","Active",IF(TODAY()&gt;O95,"Active – plan went ahead","Decision pending – "&amp;NETWORKDAYS(TODAY(),O95)&amp;" working day(s) left"))))))</f>
        <v/>
      </c>
      <c r="R95" s="17"/>
      <c r="S95" s="17"/>
      <c r="T95" s="48"/>
      <c r="U95" s="38"/>
      <c r="V95" s="38"/>
      <c r="W95" s="42" t="str">
        <f aca="false">IF(V95="","",EDATE(V95,Settings!$S$6))</f>
        <v/>
      </c>
      <c r="X95" s="17"/>
      <c r="Y95" s="17"/>
      <c r="Z95" s="17"/>
    </row>
    <row r="96" customFormat="false" ht="15" hidden="false" customHeight="false" outlineLevel="0" collapsed="false">
      <c r="A96" s="17"/>
      <c r="B96" s="17"/>
      <c r="C96" s="17"/>
      <c r="D96" s="17"/>
      <c r="E96" s="40"/>
      <c r="F96" s="17"/>
      <c r="G96" s="17"/>
      <c r="H96" s="17"/>
      <c r="I96" s="47" t="str">
        <f aca="false">IF(H96="","",IFERROR(INDEX(Settings!$G$2:$G$4,MATCH(H96,Settings!$F$2:$F$4,0)),""))</f>
        <v/>
      </c>
      <c r="J96" s="38"/>
      <c r="K96" s="48"/>
      <c r="L96" s="17"/>
      <c r="M96" s="38"/>
      <c r="N96" s="38"/>
      <c r="O96" s="42" t="str">
        <f aca="false">IF(N96="","",WORKDAY(N96,Settings!$S$4))</f>
        <v/>
      </c>
      <c r="P96" s="17"/>
      <c r="Q96" s="44" t="str">
        <f aca="true">IF(C96="","",IF(P96="Backed out",IF(S96="Paid","Refunded – closed",IF(R96="","Refund – log reason first","Refund in progress")),IF(K96="","Awaiting payment",IF(N96="",IF(M96="","Schedule free video","Free video in production"),IF(P96="Approved","Active",IF(TODAY()&gt;O96,"Active – plan went ahead","Decision pending – "&amp;NETWORKDAYS(TODAY(),O96)&amp;" working day(s) left"))))))</f>
        <v/>
      </c>
      <c r="R96" s="17"/>
      <c r="S96" s="17"/>
      <c r="T96" s="48"/>
      <c r="U96" s="38"/>
      <c r="V96" s="38"/>
      <c r="W96" s="42" t="str">
        <f aca="false">IF(V96="","",EDATE(V96,Settings!$S$6))</f>
        <v/>
      </c>
      <c r="X96" s="17"/>
      <c r="Y96" s="17"/>
      <c r="Z96" s="17"/>
    </row>
    <row r="97" customFormat="false" ht="15" hidden="false" customHeight="false" outlineLevel="0" collapsed="false">
      <c r="A97" s="17"/>
      <c r="B97" s="17"/>
      <c r="C97" s="17"/>
      <c r="D97" s="17"/>
      <c r="E97" s="40"/>
      <c r="F97" s="17"/>
      <c r="G97" s="17"/>
      <c r="H97" s="17"/>
      <c r="I97" s="47" t="str">
        <f aca="false">IF(H97="","",IFERROR(INDEX(Settings!$G$2:$G$4,MATCH(H97,Settings!$F$2:$F$4,0)),""))</f>
        <v/>
      </c>
      <c r="J97" s="38"/>
      <c r="K97" s="48"/>
      <c r="L97" s="17"/>
      <c r="M97" s="38"/>
      <c r="N97" s="38"/>
      <c r="O97" s="42" t="str">
        <f aca="false">IF(N97="","",WORKDAY(N97,Settings!$S$4))</f>
        <v/>
      </c>
      <c r="P97" s="17"/>
      <c r="Q97" s="44" t="str">
        <f aca="true">IF(C97="","",IF(P97="Backed out",IF(S97="Paid","Refunded – closed",IF(R97="","Refund – log reason first","Refund in progress")),IF(K97="","Awaiting payment",IF(N97="",IF(M97="","Schedule free video","Free video in production"),IF(P97="Approved","Active",IF(TODAY()&gt;O97,"Active – plan went ahead","Decision pending – "&amp;NETWORKDAYS(TODAY(),O97)&amp;" working day(s) left"))))))</f>
        <v/>
      </c>
      <c r="R97" s="17"/>
      <c r="S97" s="17"/>
      <c r="T97" s="48"/>
      <c r="U97" s="38"/>
      <c r="V97" s="38"/>
      <c r="W97" s="42" t="str">
        <f aca="false">IF(V97="","",EDATE(V97,Settings!$S$6))</f>
        <v/>
      </c>
      <c r="X97" s="17"/>
      <c r="Y97" s="17"/>
      <c r="Z97" s="17"/>
    </row>
    <row r="98" customFormat="false" ht="15" hidden="false" customHeight="false" outlineLevel="0" collapsed="false">
      <c r="A98" s="17"/>
      <c r="B98" s="17"/>
      <c r="C98" s="17"/>
      <c r="D98" s="17"/>
      <c r="E98" s="40"/>
      <c r="F98" s="17"/>
      <c r="G98" s="17"/>
      <c r="H98" s="17"/>
      <c r="I98" s="47" t="str">
        <f aca="false">IF(H98="","",IFERROR(INDEX(Settings!$G$2:$G$4,MATCH(H98,Settings!$F$2:$F$4,0)),""))</f>
        <v/>
      </c>
      <c r="J98" s="38"/>
      <c r="K98" s="48"/>
      <c r="L98" s="17"/>
      <c r="M98" s="38"/>
      <c r="N98" s="38"/>
      <c r="O98" s="42" t="str">
        <f aca="false">IF(N98="","",WORKDAY(N98,Settings!$S$4))</f>
        <v/>
      </c>
      <c r="P98" s="17"/>
      <c r="Q98" s="44" t="str">
        <f aca="true">IF(C98="","",IF(P98="Backed out",IF(S98="Paid","Refunded – closed",IF(R98="","Refund – log reason first","Refund in progress")),IF(K98="","Awaiting payment",IF(N98="",IF(M98="","Schedule free video","Free video in production"),IF(P98="Approved","Active",IF(TODAY()&gt;O98,"Active – plan went ahead","Decision pending – "&amp;NETWORKDAYS(TODAY(),O98)&amp;" working day(s) left"))))))</f>
        <v/>
      </c>
      <c r="R98" s="17"/>
      <c r="S98" s="17"/>
      <c r="T98" s="48"/>
      <c r="U98" s="38"/>
      <c r="V98" s="38"/>
      <c r="W98" s="42" t="str">
        <f aca="false">IF(V98="","",EDATE(V98,Settings!$S$6))</f>
        <v/>
      </c>
      <c r="X98" s="17"/>
      <c r="Y98" s="17"/>
      <c r="Z98" s="17"/>
    </row>
    <row r="99" customFormat="false" ht="15" hidden="false" customHeight="false" outlineLevel="0" collapsed="false">
      <c r="A99" s="17"/>
      <c r="B99" s="17"/>
      <c r="C99" s="17"/>
      <c r="D99" s="17"/>
      <c r="E99" s="40"/>
      <c r="F99" s="17"/>
      <c r="G99" s="17"/>
      <c r="H99" s="17"/>
      <c r="I99" s="47" t="str">
        <f aca="false">IF(H99="","",IFERROR(INDEX(Settings!$G$2:$G$4,MATCH(H99,Settings!$F$2:$F$4,0)),""))</f>
        <v/>
      </c>
      <c r="J99" s="38"/>
      <c r="K99" s="48"/>
      <c r="L99" s="17"/>
      <c r="M99" s="38"/>
      <c r="N99" s="38"/>
      <c r="O99" s="42" t="str">
        <f aca="false">IF(N99="","",WORKDAY(N99,Settings!$S$4))</f>
        <v/>
      </c>
      <c r="P99" s="17"/>
      <c r="Q99" s="44" t="str">
        <f aca="true">IF(C99="","",IF(P99="Backed out",IF(S99="Paid","Refunded – closed",IF(R99="","Refund – log reason first","Refund in progress")),IF(K99="","Awaiting payment",IF(N99="",IF(M99="","Schedule free video","Free video in production"),IF(P99="Approved","Active",IF(TODAY()&gt;O99,"Active – plan went ahead","Decision pending – "&amp;NETWORKDAYS(TODAY(),O99)&amp;" working day(s) left"))))))</f>
        <v/>
      </c>
      <c r="R99" s="17"/>
      <c r="S99" s="17"/>
      <c r="T99" s="48"/>
      <c r="U99" s="38"/>
      <c r="V99" s="38"/>
      <c r="W99" s="42" t="str">
        <f aca="false">IF(V99="","",EDATE(V99,Settings!$S$6))</f>
        <v/>
      </c>
      <c r="X99" s="17"/>
      <c r="Y99" s="17"/>
      <c r="Z99" s="17"/>
    </row>
    <row r="100" customFormat="false" ht="15" hidden="false" customHeight="false" outlineLevel="0" collapsed="false">
      <c r="A100" s="17"/>
      <c r="B100" s="17"/>
      <c r="C100" s="17"/>
      <c r="D100" s="17"/>
      <c r="E100" s="40"/>
      <c r="F100" s="17"/>
      <c r="G100" s="17"/>
      <c r="H100" s="17"/>
      <c r="I100" s="47" t="str">
        <f aca="false">IF(H100="","",IFERROR(INDEX(Settings!$G$2:$G$4,MATCH(H100,Settings!$F$2:$F$4,0)),""))</f>
        <v/>
      </c>
      <c r="J100" s="38"/>
      <c r="K100" s="48"/>
      <c r="L100" s="17"/>
      <c r="M100" s="38"/>
      <c r="N100" s="38"/>
      <c r="O100" s="42" t="str">
        <f aca="false">IF(N100="","",WORKDAY(N100,Settings!$S$4))</f>
        <v/>
      </c>
      <c r="P100" s="17"/>
      <c r="Q100" s="44" t="str">
        <f aca="true">IF(C100="","",IF(P100="Backed out",IF(S100="Paid","Refunded – closed",IF(R100="","Refund – log reason first","Refund in progress")),IF(K100="","Awaiting payment",IF(N100="",IF(M100="","Schedule free video","Free video in production"),IF(P100="Approved","Active",IF(TODAY()&gt;O100,"Active – plan went ahead","Decision pending – "&amp;NETWORKDAYS(TODAY(),O100)&amp;" working day(s) left"))))))</f>
        <v/>
      </c>
      <c r="R100" s="17"/>
      <c r="S100" s="17"/>
      <c r="T100" s="48"/>
      <c r="U100" s="38"/>
      <c r="V100" s="38"/>
      <c r="W100" s="42" t="str">
        <f aca="false">IF(V100="","",EDATE(V100,Settings!$S$6))</f>
        <v/>
      </c>
      <c r="X100" s="17"/>
      <c r="Y100" s="17"/>
      <c r="Z100" s="17"/>
    </row>
    <row r="101" customFormat="false" ht="15" hidden="false" customHeight="false" outlineLevel="0" collapsed="false">
      <c r="A101" s="17"/>
      <c r="B101" s="17"/>
      <c r="C101" s="17"/>
      <c r="D101" s="17"/>
      <c r="E101" s="40"/>
      <c r="F101" s="17"/>
      <c r="G101" s="17"/>
      <c r="H101" s="17"/>
      <c r="I101" s="47" t="str">
        <f aca="false">IF(H101="","",IFERROR(INDEX(Settings!$G$2:$G$4,MATCH(H101,Settings!$F$2:$F$4,0)),""))</f>
        <v/>
      </c>
      <c r="J101" s="38"/>
      <c r="K101" s="48"/>
      <c r="L101" s="17"/>
      <c r="M101" s="38"/>
      <c r="N101" s="38"/>
      <c r="O101" s="42" t="str">
        <f aca="false">IF(N101="","",WORKDAY(N101,Settings!$S$4))</f>
        <v/>
      </c>
      <c r="P101" s="17"/>
      <c r="Q101" s="44" t="str">
        <f aca="true">IF(C101="","",IF(P101="Backed out",IF(S101="Paid","Refunded – closed",IF(R101="","Refund – log reason first","Refund in progress")),IF(K101="","Awaiting payment",IF(N101="",IF(M101="","Schedule free video","Free video in production"),IF(P101="Approved","Active",IF(TODAY()&gt;O101,"Active – plan went ahead","Decision pending – "&amp;NETWORKDAYS(TODAY(),O101)&amp;" working day(s) left"))))))</f>
        <v/>
      </c>
      <c r="R101" s="17"/>
      <c r="S101" s="17"/>
      <c r="T101" s="48"/>
      <c r="U101" s="38"/>
      <c r="V101" s="38"/>
      <c r="W101" s="42" t="str">
        <f aca="false">IF(V101="","",EDATE(V101,Settings!$S$6))</f>
        <v/>
      </c>
      <c r="X101" s="17"/>
      <c r="Y101" s="17"/>
      <c r="Z101" s="17"/>
    </row>
    <row r="102" customFormat="false" ht="15" hidden="false" customHeight="false" outlineLevel="0" collapsed="false">
      <c r="A102" s="17"/>
      <c r="B102" s="17"/>
      <c r="C102" s="17"/>
      <c r="D102" s="17"/>
      <c r="E102" s="40"/>
      <c r="F102" s="17"/>
      <c r="G102" s="17"/>
      <c r="H102" s="17"/>
      <c r="I102" s="47" t="str">
        <f aca="false">IF(H102="","",IFERROR(INDEX(Settings!$G$2:$G$4,MATCH(H102,Settings!$F$2:$F$4,0)),""))</f>
        <v/>
      </c>
      <c r="J102" s="38"/>
      <c r="K102" s="48"/>
      <c r="L102" s="17"/>
      <c r="M102" s="38"/>
      <c r="N102" s="38"/>
      <c r="O102" s="42" t="str">
        <f aca="false">IF(N102="","",WORKDAY(N102,Settings!$S$4))</f>
        <v/>
      </c>
      <c r="P102" s="17"/>
      <c r="Q102" s="44" t="str">
        <f aca="true">IF(C102="","",IF(P102="Backed out",IF(S102="Paid","Refunded – closed",IF(R102="","Refund – log reason first","Refund in progress")),IF(K102="","Awaiting payment",IF(N102="",IF(M102="","Schedule free video","Free video in production"),IF(P102="Approved","Active",IF(TODAY()&gt;O102,"Active – plan went ahead","Decision pending – "&amp;NETWORKDAYS(TODAY(),O102)&amp;" working day(s) left"))))))</f>
        <v/>
      </c>
      <c r="R102" s="17"/>
      <c r="S102" s="17"/>
      <c r="T102" s="48"/>
      <c r="U102" s="38"/>
      <c r="V102" s="38"/>
      <c r="W102" s="42" t="str">
        <f aca="false">IF(V102="","",EDATE(V102,Settings!$S$6))</f>
        <v/>
      </c>
      <c r="X102" s="17"/>
      <c r="Y102" s="17"/>
      <c r="Z102" s="17"/>
    </row>
    <row r="103" customFormat="false" ht="15" hidden="false" customHeight="false" outlineLevel="0" collapsed="false">
      <c r="A103" s="17"/>
      <c r="B103" s="17"/>
      <c r="C103" s="17"/>
      <c r="D103" s="17"/>
      <c r="E103" s="40"/>
      <c r="F103" s="17"/>
      <c r="G103" s="17"/>
      <c r="H103" s="17"/>
      <c r="I103" s="47" t="str">
        <f aca="false">IF(H103="","",IFERROR(INDEX(Settings!$G$2:$G$4,MATCH(H103,Settings!$F$2:$F$4,0)),""))</f>
        <v/>
      </c>
      <c r="J103" s="38"/>
      <c r="K103" s="48"/>
      <c r="L103" s="17"/>
      <c r="M103" s="38"/>
      <c r="N103" s="38"/>
      <c r="O103" s="42" t="str">
        <f aca="false">IF(N103="","",WORKDAY(N103,Settings!$S$4))</f>
        <v/>
      </c>
      <c r="P103" s="17"/>
      <c r="Q103" s="44" t="str">
        <f aca="true">IF(C103="","",IF(P103="Backed out",IF(S103="Paid","Refunded – closed",IF(R103="","Refund – log reason first","Refund in progress")),IF(K103="","Awaiting payment",IF(N103="",IF(M103="","Schedule free video","Free video in production"),IF(P103="Approved","Active",IF(TODAY()&gt;O103,"Active – plan went ahead","Decision pending – "&amp;NETWORKDAYS(TODAY(),O103)&amp;" working day(s) left"))))))</f>
        <v/>
      </c>
      <c r="R103" s="17"/>
      <c r="S103" s="17"/>
      <c r="T103" s="48"/>
      <c r="U103" s="38"/>
      <c r="V103" s="38"/>
      <c r="W103" s="42" t="str">
        <f aca="false">IF(V103="","",EDATE(V103,Settings!$S$6))</f>
        <v/>
      </c>
      <c r="X103" s="17"/>
      <c r="Y103" s="17"/>
      <c r="Z103" s="17"/>
    </row>
    <row r="104" customFormat="false" ht="15" hidden="false" customHeight="false" outlineLevel="0" collapsed="false">
      <c r="A104" s="17"/>
      <c r="B104" s="17"/>
      <c r="C104" s="17"/>
      <c r="D104" s="17"/>
      <c r="E104" s="40"/>
      <c r="F104" s="17"/>
      <c r="G104" s="17"/>
      <c r="H104" s="17"/>
      <c r="I104" s="47" t="str">
        <f aca="false">IF(H104="","",IFERROR(INDEX(Settings!$G$2:$G$4,MATCH(H104,Settings!$F$2:$F$4,0)),""))</f>
        <v/>
      </c>
      <c r="J104" s="38"/>
      <c r="K104" s="48"/>
      <c r="L104" s="17"/>
      <c r="M104" s="38"/>
      <c r="N104" s="38"/>
      <c r="O104" s="42" t="str">
        <f aca="false">IF(N104="","",WORKDAY(N104,Settings!$S$4))</f>
        <v/>
      </c>
      <c r="P104" s="17"/>
      <c r="Q104" s="44" t="str">
        <f aca="true">IF(C104="","",IF(P104="Backed out",IF(S104="Paid","Refunded – closed",IF(R104="","Refund – log reason first","Refund in progress")),IF(K104="","Awaiting payment",IF(N104="",IF(M104="","Schedule free video","Free video in production"),IF(P104="Approved","Active",IF(TODAY()&gt;O104,"Active – plan went ahead","Decision pending – "&amp;NETWORKDAYS(TODAY(),O104)&amp;" working day(s) left"))))))</f>
        <v/>
      </c>
      <c r="R104" s="17"/>
      <c r="S104" s="17"/>
      <c r="T104" s="48"/>
      <c r="U104" s="38"/>
      <c r="V104" s="38"/>
      <c r="W104" s="42" t="str">
        <f aca="false">IF(V104="","",EDATE(V104,Settings!$S$6))</f>
        <v/>
      </c>
      <c r="X104" s="17"/>
      <c r="Y104" s="17"/>
      <c r="Z104" s="17"/>
    </row>
    <row r="105" customFormat="false" ht="15" hidden="false" customHeight="false" outlineLevel="0" collapsed="false">
      <c r="A105" s="17"/>
      <c r="B105" s="17"/>
      <c r="C105" s="17"/>
      <c r="D105" s="17"/>
      <c r="E105" s="40"/>
      <c r="F105" s="17"/>
      <c r="G105" s="17"/>
      <c r="H105" s="17"/>
      <c r="I105" s="47" t="str">
        <f aca="false">IF(H105="","",IFERROR(INDEX(Settings!$G$2:$G$4,MATCH(H105,Settings!$F$2:$F$4,0)),""))</f>
        <v/>
      </c>
      <c r="J105" s="38"/>
      <c r="K105" s="48"/>
      <c r="L105" s="17"/>
      <c r="M105" s="38"/>
      <c r="N105" s="38"/>
      <c r="O105" s="42" t="str">
        <f aca="false">IF(N105="","",WORKDAY(N105,Settings!$S$4))</f>
        <v/>
      </c>
      <c r="P105" s="17"/>
      <c r="Q105" s="44" t="str">
        <f aca="true">IF(C105="","",IF(P105="Backed out",IF(S105="Paid","Refunded – closed",IF(R105="","Refund – log reason first","Refund in progress")),IF(K105="","Awaiting payment",IF(N105="",IF(M105="","Schedule free video","Free video in production"),IF(P105="Approved","Active",IF(TODAY()&gt;O105,"Active – plan went ahead","Decision pending – "&amp;NETWORKDAYS(TODAY(),O105)&amp;" working day(s) left"))))))</f>
        <v/>
      </c>
      <c r="R105" s="17"/>
      <c r="S105" s="17"/>
      <c r="T105" s="48"/>
      <c r="U105" s="38"/>
      <c r="V105" s="38"/>
      <c r="W105" s="42" t="str">
        <f aca="false">IF(V105="","",EDATE(V105,Settings!$S$6))</f>
        <v/>
      </c>
      <c r="X105" s="17"/>
      <c r="Y105" s="17"/>
      <c r="Z105" s="17"/>
    </row>
    <row r="106" customFormat="false" ht="15" hidden="false" customHeight="false" outlineLevel="0" collapsed="false">
      <c r="A106" s="17"/>
      <c r="B106" s="17"/>
      <c r="C106" s="17"/>
      <c r="D106" s="17"/>
      <c r="E106" s="40"/>
      <c r="F106" s="17"/>
      <c r="G106" s="17"/>
      <c r="H106" s="17"/>
      <c r="I106" s="47" t="str">
        <f aca="false">IF(H106="","",IFERROR(INDEX(Settings!$G$2:$G$4,MATCH(H106,Settings!$F$2:$F$4,0)),""))</f>
        <v/>
      </c>
      <c r="J106" s="38"/>
      <c r="K106" s="48"/>
      <c r="L106" s="17"/>
      <c r="M106" s="38"/>
      <c r="N106" s="38"/>
      <c r="O106" s="42" t="str">
        <f aca="false">IF(N106="","",WORKDAY(N106,Settings!$S$4))</f>
        <v/>
      </c>
      <c r="P106" s="17"/>
      <c r="Q106" s="44" t="str">
        <f aca="true">IF(C106="","",IF(P106="Backed out",IF(S106="Paid","Refunded – closed",IF(R106="","Refund – log reason first","Refund in progress")),IF(K106="","Awaiting payment",IF(N106="",IF(M106="","Schedule free video","Free video in production"),IF(P106="Approved","Active",IF(TODAY()&gt;O106,"Active – plan went ahead","Decision pending – "&amp;NETWORKDAYS(TODAY(),O106)&amp;" working day(s) left"))))))</f>
        <v/>
      </c>
      <c r="R106" s="17"/>
      <c r="S106" s="17"/>
      <c r="T106" s="48"/>
      <c r="U106" s="38"/>
      <c r="V106" s="38"/>
      <c r="W106" s="42" t="str">
        <f aca="false">IF(V106="","",EDATE(V106,Settings!$S$6))</f>
        <v/>
      </c>
      <c r="X106" s="17"/>
      <c r="Y106" s="17"/>
      <c r="Z106" s="17"/>
    </row>
    <row r="107" customFormat="false" ht="15" hidden="false" customHeight="false" outlineLevel="0" collapsed="false">
      <c r="A107" s="17"/>
      <c r="B107" s="17"/>
      <c r="C107" s="17"/>
      <c r="D107" s="17"/>
      <c r="E107" s="40"/>
      <c r="F107" s="17"/>
      <c r="G107" s="17"/>
      <c r="H107" s="17"/>
      <c r="I107" s="47" t="str">
        <f aca="false">IF(H107="","",IFERROR(INDEX(Settings!$G$2:$G$4,MATCH(H107,Settings!$F$2:$F$4,0)),""))</f>
        <v/>
      </c>
      <c r="J107" s="38"/>
      <c r="K107" s="48"/>
      <c r="L107" s="17"/>
      <c r="M107" s="38"/>
      <c r="N107" s="38"/>
      <c r="O107" s="42" t="str">
        <f aca="false">IF(N107="","",WORKDAY(N107,Settings!$S$4))</f>
        <v/>
      </c>
      <c r="P107" s="17"/>
      <c r="Q107" s="44" t="str">
        <f aca="true">IF(C107="","",IF(P107="Backed out",IF(S107="Paid","Refunded – closed",IF(R107="","Refund – log reason first","Refund in progress")),IF(K107="","Awaiting payment",IF(N107="",IF(M107="","Schedule free video","Free video in production"),IF(P107="Approved","Active",IF(TODAY()&gt;O107,"Active – plan went ahead","Decision pending – "&amp;NETWORKDAYS(TODAY(),O107)&amp;" working day(s) left"))))))</f>
        <v/>
      </c>
      <c r="R107" s="17"/>
      <c r="S107" s="17"/>
      <c r="T107" s="48"/>
      <c r="U107" s="38"/>
      <c r="V107" s="38"/>
      <c r="W107" s="42" t="str">
        <f aca="false">IF(V107="","",EDATE(V107,Settings!$S$6))</f>
        <v/>
      </c>
      <c r="X107" s="17"/>
      <c r="Y107" s="17"/>
      <c r="Z107" s="17"/>
    </row>
    <row r="108" customFormat="false" ht="15" hidden="false" customHeight="false" outlineLevel="0" collapsed="false">
      <c r="A108" s="17"/>
      <c r="B108" s="17"/>
      <c r="C108" s="17"/>
      <c r="D108" s="17"/>
      <c r="E108" s="40"/>
      <c r="F108" s="17"/>
      <c r="G108" s="17"/>
      <c r="H108" s="17"/>
      <c r="I108" s="47" t="str">
        <f aca="false">IF(H108="","",IFERROR(INDEX(Settings!$G$2:$G$4,MATCH(H108,Settings!$F$2:$F$4,0)),""))</f>
        <v/>
      </c>
      <c r="J108" s="38"/>
      <c r="K108" s="48"/>
      <c r="L108" s="17"/>
      <c r="M108" s="38"/>
      <c r="N108" s="38"/>
      <c r="O108" s="42" t="str">
        <f aca="false">IF(N108="","",WORKDAY(N108,Settings!$S$4))</f>
        <v/>
      </c>
      <c r="P108" s="17"/>
      <c r="Q108" s="44" t="str">
        <f aca="true">IF(C108="","",IF(P108="Backed out",IF(S108="Paid","Refunded – closed",IF(R108="","Refund – log reason first","Refund in progress")),IF(K108="","Awaiting payment",IF(N108="",IF(M108="","Schedule free video","Free video in production"),IF(P108="Approved","Active",IF(TODAY()&gt;O108,"Active – plan went ahead","Decision pending – "&amp;NETWORKDAYS(TODAY(),O108)&amp;" working day(s) left"))))))</f>
        <v/>
      </c>
      <c r="R108" s="17"/>
      <c r="S108" s="17"/>
      <c r="T108" s="48"/>
      <c r="U108" s="38"/>
      <c r="V108" s="38"/>
      <c r="W108" s="42" t="str">
        <f aca="false">IF(V108="","",EDATE(V108,Settings!$S$6))</f>
        <v/>
      </c>
      <c r="X108" s="17"/>
      <c r="Y108" s="17"/>
      <c r="Z108" s="17"/>
    </row>
    <row r="109" customFormat="false" ht="15" hidden="false" customHeight="false" outlineLevel="0" collapsed="false">
      <c r="A109" s="17"/>
      <c r="B109" s="17"/>
      <c r="C109" s="17"/>
      <c r="D109" s="17"/>
      <c r="E109" s="40"/>
      <c r="F109" s="17"/>
      <c r="G109" s="17"/>
      <c r="H109" s="17"/>
      <c r="I109" s="47" t="str">
        <f aca="false">IF(H109="","",IFERROR(INDEX(Settings!$G$2:$G$4,MATCH(H109,Settings!$F$2:$F$4,0)),""))</f>
        <v/>
      </c>
      <c r="J109" s="38"/>
      <c r="K109" s="48"/>
      <c r="L109" s="17"/>
      <c r="M109" s="38"/>
      <c r="N109" s="38"/>
      <c r="O109" s="42" t="str">
        <f aca="false">IF(N109="","",WORKDAY(N109,Settings!$S$4))</f>
        <v/>
      </c>
      <c r="P109" s="17"/>
      <c r="Q109" s="44" t="str">
        <f aca="true">IF(C109="","",IF(P109="Backed out",IF(S109="Paid","Refunded – closed",IF(R109="","Refund – log reason first","Refund in progress")),IF(K109="","Awaiting payment",IF(N109="",IF(M109="","Schedule free video","Free video in production"),IF(P109="Approved","Active",IF(TODAY()&gt;O109,"Active – plan went ahead","Decision pending – "&amp;NETWORKDAYS(TODAY(),O109)&amp;" working day(s) left"))))))</f>
        <v/>
      </c>
      <c r="R109" s="17"/>
      <c r="S109" s="17"/>
      <c r="T109" s="48"/>
      <c r="U109" s="38"/>
      <c r="V109" s="38"/>
      <c r="W109" s="42" t="str">
        <f aca="false">IF(V109="","",EDATE(V109,Settings!$S$6))</f>
        <v/>
      </c>
      <c r="X109" s="17"/>
      <c r="Y109" s="17"/>
      <c r="Z109" s="17"/>
    </row>
    <row r="110" customFormat="false" ht="15" hidden="false" customHeight="false" outlineLevel="0" collapsed="false">
      <c r="A110" s="17"/>
      <c r="B110" s="17"/>
      <c r="C110" s="17"/>
      <c r="D110" s="17"/>
      <c r="E110" s="40"/>
      <c r="F110" s="17"/>
      <c r="G110" s="17"/>
      <c r="H110" s="17"/>
      <c r="I110" s="47" t="str">
        <f aca="false">IF(H110="","",IFERROR(INDEX(Settings!$G$2:$G$4,MATCH(H110,Settings!$F$2:$F$4,0)),""))</f>
        <v/>
      </c>
      <c r="J110" s="38"/>
      <c r="K110" s="48"/>
      <c r="L110" s="17"/>
      <c r="M110" s="38"/>
      <c r="N110" s="38"/>
      <c r="O110" s="42" t="str">
        <f aca="false">IF(N110="","",WORKDAY(N110,Settings!$S$4))</f>
        <v/>
      </c>
      <c r="P110" s="17"/>
      <c r="Q110" s="44" t="str">
        <f aca="true">IF(C110="","",IF(P110="Backed out",IF(S110="Paid","Refunded – closed",IF(R110="","Refund – log reason first","Refund in progress")),IF(K110="","Awaiting payment",IF(N110="",IF(M110="","Schedule free video","Free video in production"),IF(P110="Approved","Active",IF(TODAY()&gt;O110,"Active – plan went ahead","Decision pending – "&amp;NETWORKDAYS(TODAY(),O110)&amp;" working day(s) left"))))))</f>
        <v/>
      </c>
      <c r="R110" s="17"/>
      <c r="S110" s="17"/>
      <c r="T110" s="48"/>
      <c r="U110" s="38"/>
      <c r="V110" s="38"/>
      <c r="W110" s="42" t="str">
        <f aca="false">IF(V110="","",EDATE(V110,Settings!$S$6))</f>
        <v/>
      </c>
      <c r="X110" s="17"/>
      <c r="Y110" s="17"/>
      <c r="Z110" s="17"/>
    </row>
    <row r="111" customFormat="false" ht="15" hidden="false" customHeight="false" outlineLevel="0" collapsed="false">
      <c r="A111" s="17"/>
      <c r="B111" s="17"/>
      <c r="C111" s="17"/>
      <c r="D111" s="17"/>
      <c r="E111" s="40"/>
      <c r="F111" s="17"/>
      <c r="G111" s="17"/>
      <c r="H111" s="17"/>
      <c r="I111" s="47" t="str">
        <f aca="false">IF(H111="","",IFERROR(INDEX(Settings!$G$2:$G$4,MATCH(H111,Settings!$F$2:$F$4,0)),""))</f>
        <v/>
      </c>
      <c r="J111" s="38"/>
      <c r="K111" s="48"/>
      <c r="L111" s="17"/>
      <c r="M111" s="38"/>
      <c r="N111" s="38"/>
      <c r="O111" s="42" t="str">
        <f aca="false">IF(N111="","",WORKDAY(N111,Settings!$S$4))</f>
        <v/>
      </c>
      <c r="P111" s="17"/>
      <c r="Q111" s="44" t="str">
        <f aca="true">IF(C111="","",IF(P111="Backed out",IF(S111="Paid","Refunded – closed",IF(R111="","Refund – log reason first","Refund in progress")),IF(K111="","Awaiting payment",IF(N111="",IF(M111="","Schedule free video","Free video in production"),IF(P111="Approved","Active",IF(TODAY()&gt;O111,"Active – plan went ahead","Decision pending – "&amp;NETWORKDAYS(TODAY(),O111)&amp;" working day(s) left"))))))</f>
        <v/>
      </c>
      <c r="R111" s="17"/>
      <c r="S111" s="17"/>
      <c r="T111" s="48"/>
      <c r="U111" s="38"/>
      <c r="V111" s="38"/>
      <c r="W111" s="42" t="str">
        <f aca="false">IF(V111="","",EDATE(V111,Settings!$S$6))</f>
        <v/>
      </c>
      <c r="X111" s="17"/>
      <c r="Y111" s="17"/>
      <c r="Z111" s="17"/>
    </row>
    <row r="112" customFormat="false" ht="15" hidden="false" customHeight="false" outlineLevel="0" collapsed="false">
      <c r="A112" s="17"/>
      <c r="B112" s="17"/>
      <c r="C112" s="17"/>
      <c r="D112" s="17"/>
      <c r="E112" s="40"/>
      <c r="F112" s="17"/>
      <c r="G112" s="17"/>
      <c r="H112" s="17"/>
      <c r="I112" s="47" t="str">
        <f aca="false">IF(H112="","",IFERROR(INDEX(Settings!$G$2:$G$4,MATCH(H112,Settings!$F$2:$F$4,0)),""))</f>
        <v/>
      </c>
      <c r="J112" s="38"/>
      <c r="K112" s="48"/>
      <c r="L112" s="17"/>
      <c r="M112" s="38"/>
      <c r="N112" s="38"/>
      <c r="O112" s="42" t="str">
        <f aca="false">IF(N112="","",WORKDAY(N112,Settings!$S$4))</f>
        <v/>
      </c>
      <c r="P112" s="17"/>
      <c r="Q112" s="44" t="str">
        <f aca="true">IF(C112="","",IF(P112="Backed out",IF(S112="Paid","Refunded – closed",IF(R112="","Refund – log reason first","Refund in progress")),IF(K112="","Awaiting payment",IF(N112="",IF(M112="","Schedule free video","Free video in production"),IF(P112="Approved","Active",IF(TODAY()&gt;O112,"Active – plan went ahead","Decision pending – "&amp;NETWORKDAYS(TODAY(),O112)&amp;" working day(s) left"))))))</f>
        <v/>
      </c>
      <c r="R112" s="17"/>
      <c r="S112" s="17"/>
      <c r="T112" s="48"/>
      <c r="U112" s="38"/>
      <c r="V112" s="38"/>
      <c r="W112" s="42" t="str">
        <f aca="false">IF(V112="","",EDATE(V112,Settings!$S$6))</f>
        <v/>
      </c>
      <c r="X112" s="17"/>
      <c r="Y112" s="17"/>
      <c r="Z112" s="17"/>
    </row>
    <row r="113" customFormat="false" ht="15" hidden="false" customHeight="false" outlineLevel="0" collapsed="false">
      <c r="A113" s="17"/>
      <c r="B113" s="17"/>
      <c r="C113" s="17"/>
      <c r="D113" s="17"/>
      <c r="E113" s="40"/>
      <c r="F113" s="17"/>
      <c r="G113" s="17"/>
      <c r="H113" s="17"/>
      <c r="I113" s="47" t="str">
        <f aca="false">IF(H113="","",IFERROR(INDEX(Settings!$G$2:$G$4,MATCH(H113,Settings!$F$2:$F$4,0)),""))</f>
        <v/>
      </c>
      <c r="J113" s="38"/>
      <c r="K113" s="48"/>
      <c r="L113" s="17"/>
      <c r="M113" s="38"/>
      <c r="N113" s="38"/>
      <c r="O113" s="42" t="str">
        <f aca="false">IF(N113="","",WORKDAY(N113,Settings!$S$4))</f>
        <v/>
      </c>
      <c r="P113" s="17"/>
      <c r="Q113" s="44" t="str">
        <f aca="true">IF(C113="","",IF(P113="Backed out",IF(S113="Paid","Refunded – closed",IF(R113="","Refund – log reason first","Refund in progress")),IF(K113="","Awaiting payment",IF(N113="",IF(M113="","Schedule free video","Free video in production"),IF(P113="Approved","Active",IF(TODAY()&gt;O113,"Active – plan went ahead","Decision pending – "&amp;NETWORKDAYS(TODAY(),O113)&amp;" working day(s) left"))))))</f>
        <v/>
      </c>
      <c r="R113" s="17"/>
      <c r="S113" s="17"/>
      <c r="T113" s="48"/>
      <c r="U113" s="38"/>
      <c r="V113" s="38"/>
      <c r="W113" s="42" t="str">
        <f aca="false">IF(V113="","",EDATE(V113,Settings!$S$6))</f>
        <v/>
      </c>
      <c r="X113" s="17"/>
      <c r="Y113" s="17"/>
      <c r="Z113" s="17"/>
    </row>
    <row r="114" customFormat="false" ht="15" hidden="false" customHeight="false" outlineLevel="0" collapsed="false">
      <c r="A114" s="17"/>
      <c r="B114" s="17"/>
      <c r="C114" s="17"/>
      <c r="D114" s="17"/>
      <c r="E114" s="40"/>
      <c r="F114" s="17"/>
      <c r="G114" s="17"/>
      <c r="H114" s="17"/>
      <c r="I114" s="47" t="str">
        <f aca="false">IF(H114="","",IFERROR(INDEX(Settings!$G$2:$G$4,MATCH(H114,Settings!$F$2:$F$4,0)),""))</f>
        <v/>
      </c>
      <c r="J114" s="38"/>
      <c r="K114" s="48"/>
      <c r="L114" s="17"/>
      <c r="M114" s="38"/>
      <c r="N114" s="38"/>
      <c r="O114" s="42" t="str">
        <f aca="false">IF(N114="","",WORKDAY(N114,Settings!$S$4))</f>
        <v/>
      </c>
      <c r="P114" s="17"/>
      <c r="Q114" s="44" t="str">
        <f aca="true">IF(C114="","",IF(P114="Backed out",IF(S114="Paid","Refunded – closed",IF(R114="","Refund – log reason first","Refund in progress")),IF(K114="","Awaiting payment",IF(N114="",IF(M114="","Schedule free video","Free video in production"),IF(P114="Approved","Active",IF(TODAY()&gt;O114,"Active – plan went ahead","Decision pending – "&amp;NETWORKDAYS(TODAY(),O114)&amp;" working day(s) left"))))))</f>
        <v/>
      </c>
      <c r="R114" s="17"/>
      <c r="S114" s="17"/>
      <c r="T114" s="48"/>
      <c r="U114" s="38"/>
      <c r="V114" s="38"/>
      <c r="W114" s="42" t="str">
        <f aca="false">IF(V114="","",EDATE(V114,Settings!$S$6))</f>
        <v/>
      </c>
      <c r="X114" s="17"/>
      <c r="Y114" s="17"/>
      <c r="Z114" s="17"/>
    </row>
    <row r="115" customFormat="false" ht="15" hidden="false" customHeight="false" outlineLevel="0" collapsed="false">
      <c r="A115" s="17"/>
      <c r="B115" s="17"/>
      <c r="C115" s="17"/>
      <c r="D115" s="17"/>
      <c r="E115" s="40"/>
      <c r="F115" s="17"/>
      <c r="G115" s="17"/>
      <c r="H115" s="17"/>
      <c r="I115" s="47" t="str">
        <f aca="false">IF(H115="","",IFERROR(INDEX(Settings!$G$2:$G$4,MATCH(H115,Settings!$F$2:$F$4,0)),""))</f>
        <v/>
      </c>
      <c r="J115" s="38"/>
      <c r="K115" s="48"/>
      <c r="L115" s="17"/>
      <c r="M115" s="38"/>
      <c r="N115" s="38"/>
      <c r="O115" s="42" t="str">
        <f aca="false">IF(N115="","",WORKDAY(N115,Settings!$S$4))</f>
        <v/>
      </c>
      <c r="P115" s="17"/>
      <c r="Q115" s="44" t="str">
        <f aca="true">IF(C115="","",IF(P115="Backed out",IF(S115="Paid","Refunded – closed",IF(R115="","Refund – log reason first","Refund in progress")),IF(K115="","Awaiting payment",IF(N115="",IF(M115="","Schedule free video","Free video in production"),IF(P115="Approved","Active",IF(TODAY()&gt;O115,"Active – plan went ahead","Decision pending – "&amp;NETWORKDAYS(TODAY(),O115)&amp;" working day(s) left"))))))</f>
        <v/>
      </c>
      <c r="R115" s="17"/>
      <c r="S115" s="17"/>
      <c r="T115" s="48"/>
      <c r="U115" s="38"/>
      <c r="V115" s="38"/>
      <c r="W115" s="42" t="str">
        <f aca="false">IF(V115="","",EDATE(V115,Settings!$S$6))</f>
        <v/>
      </c>
      <c r="X115" s="17"/>
      <c r="Y115" s="17"/>
      <c r="Z115" s="17"/>
    </row>
    <row r="116" customFormat="false" ht="15" hidden="false" customHeight="false" outlineLevel="0" collapsed="false">
      <c r="A116" s="17"/>
      <c r="B116" s="17"/>
      <c r="C116" s="17"/>
      <c r="D116" s="17"/>
      <c r="E116" s="40"/>
      <c r="F116" s="17"/>
      <c r="G116" s="17"/>
      <c r="H116" s="17"/>
      <c r="I116" s="47" t="str">
        <f aca="false">IF(H116="","",IFERROR(INDEX(Settings!$G$2:$G$4,MATCH(H116,Settings!$F$2:$F$4,0)),""))</f>
        <v/>
      </c>
      <c r="J116" s="38"/>
      <c r="K116" s="48"/>
      <c r="L116" s="17"/>
      <c r="M116" s="38"/>
      <c r="N116" s="38"/>
      <c r="O116" s="42" t="str">
        <f aca="false">IF(N116="","",WORKDAY(N116,Settings!$S$4))</f>
        <v/>
      </c>
      <c r="P116" s="17"/>
      <c r="Q116" s="44" t="str">
        <f aca="true">IF(C116="","",IF(P116="Backed out",IF(S116="Paid","Refunded – closed",IF(R116="","Refund – log reason first","Refund in progress")),IF(K116="","Awaiting payment",IF(N116="",IF(M116="","Schedule free video","Free video in production"),IF(P116="Approved","Active",IF(TODAY()&gt;O116,"Active – plan went ahead","Decision pending – "&amp;NETWORKDAYS(TODAY(),O116)&amp;" working day(s) left"))))))</f>
        <v/>
      </c>
      <c r="R116" s="17"/>
      <c r="S116" s="17"/>
      <c r="T116" s="48"/>
      <c r="U116" s="38"/>
      <c r="V116" s="38"/>
      <c r="W116" s="42" t="str">
        <f aca="false">IF(V116="","",EDATE(V116,Settings!$S$6))</f>
        <v/>
      </c>
      <c r="X116" s="17"/>
      <c r="Y116" s="17"/>
      <c r="Z116" s="17"/>
    </row>
    <row r="117" customFormat="false" ht="15" hidden="false" customHeight="false" outlineLevel="0" collapsed="false">
      <c r="A117" s="17"/>
      <c r="B117" s="17"/>
      <c r="C117" s="17"/>
      <c r="D117" s="17"/>
      <c r="E117" s="40"/>
      <c r="F117" s="17"/>
      <c r="G117" s="17"/>
      <c r="H117" s="17"/>
      <c r="I117" s="47" t="str">
        <f aca="false">IF(H117="","",IFERROR(INDEX(Settings!$G$2:$G$4,MATCH(H117,Settings!$F$2:$F$4,0)),""))</f>
        <v/>
      </c>
      <c r="J117" s="38"/>
      <c r="K117" s="48"/>
      <c r="L117" s="17"/>
      <c r="M117" s="38"/>
      <c r="N117" s="38"/>
      <c r="O117" s="42" t="str">
        <f aca="false">IF(N117="","",WORKDAY(N117,Settings!$S$4))</f>
        <v/>
      </c>
      <c r="P117" s="17"/>
      <c r="Q117" s="44" t="str">
        <f aca="true">IF(C117="","",IF(P117="Backed out",IF(S117="Paid","Refunded – closed",IF(R117="","Refund – log reason first","Refund in progress")),IF(K117="","Awaiting payment",IF(N117="",IF(M117="","Schedule free video","Free video in production"),IF(P117="Approved","Active",IF(TODAY()&gt;O117,"Active – plan went ahead","Decision pending – "&amp;NETWORKDAYS(TODAY(),O117)&amp;" working day(s) left"))))))</f>
        <v/>
      </c>
      <c r="R117" s="17"/>
      <c r="S117" s="17"/>
      <c r="T117" s="48"/>
      <c r="U117" s="38"/>
      <c r="V117" s="38"/>
      <c r="W117" s="42" t="str">
        <f aca="false">IF(V117="","",EDATE(V117,Settings!$S$6))</f>
        <v/>
      </c>
      <c r="X117" s="17"/>
      <c r="Y117" s="17"/>
      <c r="Z117" s="17"/>
    </row>
    <row r="118" customFormat="false" ht="15" hidden="false" customHeight="false" outlineLevel="0" collapsed="false">
      <c r="A118" s="17"/>
      <c r="B118" s="17"/>
      <c r="C118" s="17"/>
      <c r="D118" s="17"/>
      <c r="E118" s="40"/>
      <c r="F118" s="17"/>
      <c r="G118" s="17"/>
      <c r="H118" s="17"/>
      <c r="I118" s="47" t="str">
        <f aca="false">IF(H118="","",IFERROR(INDEX(Settings!$G$2:$G$4,MATCH(H118,Settings!$F$2:$F$4,0)),""))</f>
        <v/>
      </c>
      <c r="J118" s="38"/>
      <c r="K118" s="48"/>
      <c r="L118" s="17"/>
      <c r="M118" s="38"/>
      <c r="N118" s="38"/>
      <c r="O118" s="42" t="str">
        <f aca="false">IF(N118="","",WORKDAY(N118,Settings!$S$4))</f>
        <v/>
      </c>
      <c r="P118" s="17"/>
      <c r="Q118" s="44" t="str">
        <f aca="true">IF(C118="","",IF(P118="Backed out",IF(S118="Paid","Refunded – closed",IF(R118="","Refund – log reason first","Refund in progress")),IF(K118="","Awaiting payment",IF(N118="",IF(M118="","Schedule free video","Free video in production"),IF(P118="Approved","Active",IF(TODAY()&gt;O118,"Active – plan went ahead","Decision pending – "&amp;NETWORKDAYS(TODAY(),O118)&amp;" working day(s) left"))))))</f>
        <v/>
      </c>
      <c r="R118" s="17"/>
      <c r="S118" s="17"/>
      <c r="T118" s="48"/>
      <c r="U118" s="38"/>
      <c r="V118" s="38"/>
      <c r="W118" s="42" t="str">
        <f aca="false">IF(V118="","",EDATE(V118,Settings!$S$6))</f>
        <v/>
      </c>
      <c r="X118" s="17"/>
      <c r="Y118" s="17"/>
      <c r="Z118" s="17"/>
    </row>
    <row r="119" customFormat="false" ht="15" hidden="false" customHeight="false" outlineLevel="0" collapsed="false">
      <c r="A119" s="17"/>
      <c r="B119" s="17"/>
      <c r="C119" s="17"/>
      <c r="D119" s="17"/>
      <c r="E119" s="40"/>
      <c r="F119" s="17"/>
      <c r="G119" s="17"/>
      <c r="H119" s="17"/>
      <c r="I119" s="47" t="str">
        <f aca="false">IF(H119="","",IFERROR(INDEX(Settings!$G$2:$G$4,MATCH(H119,Settings!$F$2:$F$4,0)),""))</f>
        <v/>
      </c>
      <c r="J119" s="38"/>
      <c r="K119" s="48"/>
      <c r="L119" s="17"/>
      <c r="M119" s="38"/>
      <c r="N119" s="38"/>
      <c r="O119" s="42" t="str">
        <f aca="false">IF(N119="","",WORKDAY(N119,Settings!$S$4))</f>
        <v/>
      </c>
      <c r="P119" s="17"/>
      <c r="Q119" s="44" t="str">
        <f aca="true">IF(C119="","",IF(P119="Backed out",IF(S119="Paid","Refunded – closed",IF(R119="","Refund – log reason first","Refund in progress")),IF(K119="","Awaiting payment",IF(N119="",IF(M119="","Schedule free video","Free video in production"),IF(P119="Approved","Active",IF(TODAY()&gt;O119,"Active – plan went ahead","Decision pending – "&amp;NETWORKDAYS(TODAY(),O119)&amp;" working day(s) left"))))))</f>
        <v/>
      </c>
      <c r="R119" s="17"/>
      <c r="S119" s="17"/>
      <c r="T119" s="48"/>
      <c r="U119" s="38"/>
      <c r="V119" s="38"/>
      <c r="W119" s="42" t="str">
        <f aca="false">IF(V119="","",EDATE(V119,Settings!$S$6))</f>
        <v/>
      </c>
      <c r="X119" s="17"/>
      <c r="Y119" s="17"/>
      <c r="Z119" s="17"/>
    </row>
    <row r="120" customFormat="false" ht="15" hidden="false" customHeight="false" outlineLevel="0" collapsed="false">
      <c r="A120" s="17"/>
      <c r="B120" s="17"/>
      <c r="C120" s="17"/>
      <c r="D120" s="17"/>
      <c r="E120" s="40"/>
      <c r="F120" s="17"/>
      <c r="G120" s="17"/>
      <c r="H120" s="17"/>
      <c r="I120" s="47" t="str">
        <f aca="false">IF(H120="","",IFERROR(INDEX(Settings!$G$2:$G$4,MATCH(H120,Settings!$F$2:$F$4,0)),""))</f>
        <v/>
      </c>
      <c r="J120" s="38"/>
      <c r="K120" s="48"/>
      <c r="L120" s="17"/>
      <c r="M120" s="38"/>
      <c r="N120" s="38"/>
      <c r="O120" s="42" t="str">
        <f aca="false">IF(N120="","",WORKDAY(N120,Settings!$S$4))</f>
        <v/>
      </c>
      <c r="P120" s="17"/>
      <c r="Q120" s="44" t="str">
        <f aca="true">IF(C120="","",IF(P120="Backed out",IF(S120="Paid","Refunded – closed",IF(R120="","Refund – log reason first","Refund in progress")),IF(K120="","Awaiting payment",IF(N120="",IF(M120="","Schedule free video","Free video in production"),IF(P120="Approved","Active",IF(TODAY()&gt;O120,"Active – plan went ahead","Decision pending – "&amp;NETWORKDAYS(TODAY(),O120)&amp;" working day(s) left"))))))</f>
        <v/>
      </c>
      <c r="R120" s="17"/>
      <c r="S120" s="17"/>
      <c r="T120" s="48"/>
      <c r="U120" s="38"/>
      <c r="V120" s="38"/>
      <c r="W120" s="42" t="str">
        <f aca="false">IF(V120="","",EDATE(V120,Settings!$S$6))</f>
        <v/>
      </c>
      <c r="X120" s="17"/>
      <c r="Y120" s="17"/>
      <c r="Z120" s="17"/>
    </row>
    <row r="121" customFormat="false" ht="15" hidden="false" customHeight="false" outlineLevel="0" collapsed="false">
      <c r="A121" s="17"/>
      <c r="B121" s="17"/>
      <c r="C121" s="17"/>
      <c r="D121" s="17"/>
      <c r="E121" s="40"/>
      <c r="F121" s="17"/>
      <c r="G121" s="17"/>
      <c r="H121" s="17"/>
      <c r="I121" s="47" t="str">
        <f aca="false">IF(H121="","",IFERROR(INDEX(Settings!$G$2:$G$4,MATCH(H121,Settings!$F$2:$F$4,0)),""))</f>
        <v/>
      </c>
      <c r="J121" s="38"/>
      <c r="K121" s="48"/>
      <c r="L121" s="17"/>
      <c r="M121" s="38"/>
      <c r="N121" s="38"/>
      <c r="O121" s="42" t="str">
        <f aca="false">IF(N121="","",WORKDAY(N121,Settings!$S$4))</f>
        <v/>
      </c>
      <c r="P121" s="17"/>
      <c r="Q121" s="44" t="str">
        <f aca="true">IF(C121="","",IF(P121="Backed out",IF(S121="Paid","Refunded – closed",IF(R121="","Refund – log reason first","Refund in progress")),IF(K121="","Awaiting payment",IF(N121="",IF(M121="","Schedule free video","Free video in production"),IF(P121="Approved","Active",IF(TODAY()&gt;O121,"Active – plan went ahead","Decision pending – "&amp;NETWORKDAYS(TODAY(),O121)&amp;" working day(s) left"))))))</f>
        <v/>
      </c>
      <c r="R121" s="17"/>
      <c r="S121" s="17"/>
      <c r="T121" s="48"/>
      <c r="U121" s="38"/>
      <c r="V121" s="38"/>
      <c r="W121" s="42" t="str">
        <f aca="false">IF(V121="","",EDATE(V121,Settings!$S$6))</f>
        <v/>
      </c>
      <c r="X121" s="17"/>
      <c r="Y121" s="17"/>
      <c r="Z121" s="17"/>
    </row>
    <row r="122" customFormat="false" ht="15" hidden="false" customHeight="false" outlineLevel="0" collapsed="false">
      <c r="A122" s="17"/>
      <c r="B122" s="17"/>
      <c r="C122" s="17"/>
      <c r="D122" s="17"/>
      <c r="E122" s="40"/>
      <c r="F122" s="17"/>
      <c r="G122" s="17"/>
      <c r="H122" s="17"/>
      <c r="I122" s="47" t="str">
        <f aca="false">IF(H122="","",IFERROR(INDEX(Settings!$G$2:$G$4,MATCH(H122,Settings!$F$2:$F$4,0)),""))</f>
        <v/>
      </c>
      <c r="J122" s="38"/>
      <c r="K122" s="48"/>
      <c r="L122" s="17"/>
      <c r="M122" s="38"/>
      <c r="N122" s="38"/>
      <c r="O122" s="42" t="str">
        <f aca="false">IF(N122="","",WORKDAY(N122,Settings!$S$4))</f>
        <v/>
      </c>
      <c r="P122" s="17"/>
      <c r="Q122" s="44" t="str">
        <f aca="true">IF(C122="","",IF(P122="Backed out",IF(S122="Paid","Refunded – closed",IF(R122="","Refund – log reason first","Refund in progress")),IF(K122="","Awaiting payment",IF(N122="",IF(M122="","Schedule free video","Free video in production"),IF(P122="Approved","Active",IF(TODAY()&gt;O122,"Active – plan went ahead","Decision pending – "&amp;NETWORKDAYS(TODAY(),O122)&amp;" working day(s) left"))))))</f>
        <v/>
      </c>
      <c r="R122" s="17"/>
      <c r="S122" s="17"/>
      <c r="T122" s="48"/>
      <c r="U122" s="38"/>
      <c r="V122" s="38"/>
      <c r="W122" s="42" t="str">
        <f aca="false">IF(V122="","",EDATE(V122,Settings!$S$6))</f>
        <v/>
      </c>
      <c r="X122" s="17"/>
      <c r="Y122" s="17"/>
      <c r="Z122" s="17"/>
    </row>
    <row r="123" customFormat="false" ht="15" hidden="false" customHeight="false" outlineLevel="0" collapsed="false">
      <c r="A123" s="17"/>
      <c r="B123" s="17"/>
      <c r="C123" s="17"/>
      <c r="D123" s="17"/>
      <c r="E123" s="40"/>
      <c r="F123" s="17"/>
      <c r="G123" s="17"/>
      <c r="H123" s="17"/>
      <c r="I123" s="47" t="str">
        <f aca="false">IF(H123="","",IFERROR(INDEX(Settings!$G$2:$G$4,MATCH(H123,Settings!$F$2:$F$4,0)),""))</f>
        <v/>
      </c>
      <c r="J123" s="38"/>
      <c r="K123" s="48"/>
      <c r="L123" s="17"/>
      <c r="M123" s="38"/>
      <c r="N123" s="38"/>
      <c r="O123" s="42" t="str">
        <f aca="false">IF(N123="","",WORKDAY(N123,Settings!$S$4))</f>
        <v/>
      </c>
      <c r="P123" s="17"/>
      <c r="Q123" s="44" t="str">
        <f aca="true">IF(C123="","",IF(P123="Backed out",IF(S123="Paid","Refunded – closed",IF(R123="","Refund – log reason first","Refund in progress")),IF(K123="","Awaiting payment",IF(N123="",IF(M123="","Schedule free video","Free video in production"),IF(P123="Approved","Active",IF(TODAY()&gt;O123,"Active – plan went ahead","Decision pending – "&amp;NETWORKDAYS(TODAY(),O123)&amp;" working day(s) left"))))))</f>
        <v/>
      </c>
      <c r="R123" s="17"/>
      <c r="S123" s="17"/>
      <c r="T123" s="48"/>
      <c r="U123" s="38"/>
      <c r="V123" s="38"/>
      <c r="W123" s="42" t="str">
        <f aca="false">IF(V123="","",EDATE(V123,Settings!$S$6))</f>
        <v/>
      </c>
      <c r="X123" s="17"/>
      <c r="Y123" s="17"/>
      <c r="Z123" s="17"/>
    </row>
    <row r="124" customFormat="false" ht="15" hidden="false" customHeight="false" outlineLevel="0" collapsed="false">
      <c r="A124" s="17"/>
      <c r="B124" s="17"/>
      <c r="C124" s="17"/>
      <c r="D124" s="17"/>
      <c r="E124" s="40"/>
      <c r="F124" s="17"/>
      <c r="G124" s="17"/>
      <c r="H124" s="17"/>
      <c r="I124" s="47" t="str">
        <f aca="false">IF(H124="","",IFERROR(INDEX(Settings!$G$2:$G$4,MATCH(H124,Settings!$F$2:$F$4,0)),""))</f>
        <v/>
      </c>
      <c r="J124" s="38"/>
      <c r="K124" s="48"/>
      <c r="L124" s="17"/>
      <c r="M124" s="38"/>
      <c r="N124" s="38"/>
      <c r="O124" s="42" t="str">
        <f aca="false">IF(N124="","",WORKDAY(N124,Settings!$S$4))</f>
        <v/>
      </c>
      <c r="P124" s="17"/>
      <c r="Q124" s="44" t="str">
        <f aca="true">IF(C124="","",IF(P124="Backed out",IF(S124="Paid","Refunded – closed",IF(R124="","Refund – log reason first","Refund in progress")),IF(K124="","Awaiting payment",IF(N124="",IF(M124="","Schedule free video","Free video in production"),IF(P124="Approved","Active",IF(TODAY()&gt;O124,"Active – plan went ahead","Decision pending – "&amp;NETWORKDAYS(TODAY(),O124)&amp;" working day(s) left"))))))</f>
        <v/>
      </c>
      <c r="R124" s="17"/>
      <c r="S124" s="17"/>
      <c r="T124" s="48"/>
      <c r="U124" s="38"/>
      <c r="V124" s="38"/>
      <c r="W124" s="42" t="str">
        <f aca="false">IF(V124="","",EDATE(V124,Settings!$S$6))</f>
        <v/>
      </c>
      <c r="X124" s="17"/>
      <c r="Y124" s="17"/>
      <c r="Z124" s="17"/>
    </row>
    <row r="125" customFormat="false" ht="15" hidden="false" customHeight="false" outlineLevel="0" collapsed="false">
      <c r="A125" s="17"/>
      <c r="B125" s="17"/>
      <c r="C125" s="17"/>
      <c r="D125" s="17"/>
      <c r="E125" s="40"/>
      <c r="F125" s="17"/>
      <c r="G125" s="17"/>
      <c r="H125" s="17"/>
      <c r="I125" s="47" t="str">
        <f aca="false">IF(H125="","",IFERROR(INDEX(Settings!$G$2:$G$4,MATCH(H125,Settings!$F$2:$F$4,0)),""))</f>
        <v/>
      </c>
      <c r="J125" s="38"/>
      <c r="K125" s="48"/>
      <c r="L125" s="17"/>
      <c r="M125" s="38"/>
      <c r="N125" s="38"/>
      <c r="O125" s="42" t="str">
        <f aca="false">IF(N125="","",WORKDAY(N125,Settings!$S$4))</f>
        <v/>
      </c>
      <c r="P125" s="17"/>
      <c r="Q125" s="44" t="str">
        <f aca="true">IF(C125="","",IF(P125="Backed out",IF(S125="Paid","Refunded – closed",IF(R125="","Refund – log reason first","Refund in progress")),IF(K125="","Awaiting payment",IF(N125="",IF(M125="","Schedule free video","Free video in production"),IF(P125="Approved","Active",IF(TODAY()&gt;O125,"Active – plan went ahead","Decision pending – "&amp;NETWORKDAYS(TODAY(),O125)&amp;" working day(s) left"))))))</f>
        <v/>
      </c>
      <c r="R125" s="17"/>
      <c r="S125" s="17"/>
      <c r="T125" s="48"/>
      <c r="U125" s="38"/>
      <c r="V125" s="38"/>
      <c r="W125" s="42" t="str">
        <f aca="false">IF(V125="","",EDATE(V125,Settings!$S$6))</f>
        <v/>
      </c>
      <c r="X125" s="17"/>
      <c r="Y125" s="17"/>
      <c r="Z125" s="17"/>
    </row>
    <row r="126" customFormat="false" ht="15" hidden="false" customHeight="false" outlineLevel="0" collapsed="false">
      <c r="A126" s="17"/>
      <c r="B126" s="17"/>
      <c r="C126" s="17"/>
      <c r="D126" s="17"/>
      <c r="E126" s="40"/>
      <c r="F126" s="17"/>
      <c r="G126" s="17"/>
      <c r="H126" s="17"/>
      <c r="I126" s="47" t="str">
        <f aca="false">IF(H126="","",IFERROR(INDEX(Settings!$G$2:$G$4,MATCH(H126,Settings!$F$2:$F$4,0)),""))</f>
        <v/>
      </c>
      <c r="J126" s="38"/>
      <c r="K126" s="48"/>
      <c r="L126" s="17"/>
      <c r="M126" s="38"/>
      <c r="N126" s="38"/>
      <c r="O126" s="42" t="str">
        <f aca="false">IF(N126="","",WORKDAY(N126,Settings!$S$4))</f>
        <v/>
      </c>
      <c r="P126" s="17"/>
      <c r="Q126" s="44" t="str">
        <f aca="true">IF(C126="","",IF(P126="Backed out",IF(S126="Paid","Refunded – closed",IF(R126="","Refund – log reason first","Refund in progress")),IF(K126="","Awaiting payment",IF(N126="",IF(M126="","Schedule free video","Free video in production"),IF(P126="Approved","Active",IF(TODAY()&gt;O126,"Active – plan went ahead","Decision pending – "&amp;NETWORKDAYS(TODAY(),O126)&amp;" working day(s) left"))))))</f>
        <v/>
      </c>
      <c r="R126" s="17"/>
      <c r="S126" s="17"/>
      <c r="T126" s="48"/>
      <c r="U126" s="38"/>
      <c r="V126" s="38"/>
      <c r="W126" s="42" t="str">
        <f aca="false">IF(V126="","",EDATE(V126,Settings!$S$6))</f>
        <v/>
      </c>
      <c r="X126" s="17"/>
      <c r="Y126" s="17"/>
      <c r="Z126" s="17"/>
    </row>
    <row r="127" customFormat="false" ht="15" hidden="false" customHeight="false" outlineLevel="0" collapsed="false">
      <c r="A127" s="17"/>
      <c r="B127" s="17"/>
      <c r="C127" s="17"/>
      <c r="D127" s="17"/>
      <c r="E127" s="40"/>
      <c r="F127" s="17"/>
      <c r="G127" s="17"/>
      <c r="H127" s="17"/>
      <c r="I127" s="47" t="str">
        <f aca="false">IF(H127="","",IFERROR(INDEX(Settings!$G$2:$G$4,MATCH(H127,Settings!$F$2:$F$4,0)),""))</f>
        <v/>
      </c>
      <c r="J127" s="38"/>
      <c r="K127" s="48"/>
      <c r="L127" s="17"/>
      <c r="M127" s="38"/>
      <c r="N127" s="38"/>
      <c r="O127" s="42" t="str">
        <f aca="false">IF(N127="","",WORKDAY(N127,Settings!$S$4))</f>
        <v/>
      </c>
      <c r="P127" s="17"/>
      <c r="Q127" s="44" t="str">
        <f aca="true">IF(C127="","",IF(P127="Backed out",IF(S127="Paid","Refunded – closed",IF(R127="","Refund – log reason first","Refund in progress")),IF(K127="","Awaiting payment",IF(N127="",IF(M127="","Schedule free video","Free video in production"),IF(P127="Approved","Active",IF(TODAY()&gt;O127,"Active – plan went ahead","Decision pending – "&amp;NETWORKDAYS(TODAY(),O127)&amp;" working day(s) left"))))))</f>
        <v/>
      </c>
      <c r="R127" s="17"/>
      <c r="S127" s="17"/>
      <c r="T127" s="48"/>
      <c r="U127" s="38"/>
      <c r="V127" s="38"/>
      <c r="W127" s="42" t="str">
        <f aca="false">IF(V127="","",EDATE(V127,Settings!$S$6))</f>
        <v/>
      </c>
      <c r="X127" s="17"/>
      <c r="Y127" s="17"/>
      <c r="Z127" s="17"/>
    </row>
    <row r="128" customFormat="false" ht="15" hidden="false" customHeight="false" outlineLevel="0" collapsed="false">
      <c r="A128" s="17"/>
      <c r="B128" s="17"/>
      <c r="C128" s="17"/>
      <c r="D128" s="17"/>
      <c r="E128" s="40"/>
      <c r="F128" s="17"/>
      <c r="G128" s="17"/>
      <c r="H128" s="17"/>
      <c r="I128" s="47" t="str">
        <f aca="false">IF(H128="","",IFERROR(INDEX(Settings!$G$2:$G$4,MATCH(H128,Settings!$F$2:$F$4,0)),""))</f>
        <v/>
      </c>
      <c r="J128" s="38"/>
      <c r="K128" s="48"/>
      <c r="L128" s="17"/>
      <c r="M128" s="38"/>
      <c r="N128" s="38"/>
      <c r="O128" s="42" t="str">
        <f aca="false">IF(N128="","",WORKDAY(N128,Settings!$S$4))</f>
        <v/>
      </c>
      <c r="P128" s="17"/>
      <c r="Q128" s="44" t="str">
        <f aca="true">IF(C128="","",IF(P128="Backed out",IF(S128="Paid","Refunded – closed",IF(R128="","Refund – log reason first","Refund in progress")),IF(K128="","Awaiting payment",IF(N128="",IF(M128="","Schedule free video","Free video in production"),IF(P128="Approved","Active",IF(TODAY()&gt;O128,"Active – plan went ahead","Decision pending – "&amp;NETWORKDAYS(TODAY(),O128)&amp;" working day(s) left"))))))</f>
        <v/>
      </c>
      <c r="R128" s="17"/>
      <c r="S128" s="17"/>
      <c r="T128" s="48"/>
      <c r="U128" s="38"/>
      <c r="V128" s="38"/>
      <c r="W128" s="42" t="str">
        <f aca="false">IF(V128="","",EDATE(V128,Settings!$S$6))</f>
        <v/>
      </c>
      <c r="X128" s="17"/>
      <c r="Y128" s="17"/>
      <c r="Z128" s="17"/>
    </row>
    <row r="129" customFormat="false" ht="15" hidden="false" customHeight="false" outlineLevel="0" collapsed="false">
      <c r="A129" s="17"/>
      <c r="B129" s="17"/>
      <c r="C129" s="17"/>
      <c r="D129" s="17"/>
      <c r="E129" s="40"/>
      <c r="F129" s="17"/>
      <c r="G129" s="17"/>
      <c r="H129" s="17"/>
      <c r="I129" s="47" t="str">
        <f aca="false">IF(H129="","",IFERROR(INDEX(Settings!$G$2:$G$4,MATCH(H129,Settings!$F$2:$F$4,0)),""))</f>
        <v/>
      </c>
      <c r="J129" s="38"/>
      <c r="K129" s="48"/>
      <c r="L129" s="17"/>
      <c r="M129" s="38"/>
      <c r="N129" s="38"/>
      <c r="O129" s="42" t="str">
        <f aca="false">IF(N129="","",WORKDAY(N129,Settings!$S$4))</f>
        <v/>
      </c>
      <c r="P129" s="17"/>
      <c r="Q129" s="44" t="str">
        <f aca="true">IF(C129="","",IF(P129="Backed out",IF(S129="Paid","Refunded – closed",IF(R129="","Refund – log reason first","Refund in progress")),IF(K129="","Awaiting payment",IF(N129="",IF(M129="","Schedule free video","Free video in production"),IF(P129="Approved","Active",IF(TODAY()&gt;O129,"Active – plan went ahead","Decision pending – "&amp;NETWORKDAYS(TODAY(),O129)&amp;" working day(s) left"))))))</f>
        <v/>
      </c>
      <c r="R129" s="17"/>
      <c r="S129" s="17"/>
      <c r="T129" s="48"/>
      <c r="U129" s="38"/>
      <c r="V129" s="38"/>
      <c r="W129" s="42" t="str">
        <f aca="false">IF(V129="","",EDATE(V129,Settings!$S$6))</f>
        <v/>
      </c>
      <c r="X129" s="17"/>
      <c r="Y129" s="17"/>
      <c r="Z129" s="17"/>
    </row>
    <row r="130" customFormat="false" ht="15" hidden="false" customHeight="false" outlineLevel="0" collapsed="false">
      <c r="A130" s="17"/>
      <c r="B130" s="17"/>
      <c r="C130" s="17"/>
      <c r="D130" s="17"/>
      <c r="E130" s="40"/>
      <c r="F130" s="17"/>
      <c r="G130" s="17"/>
      <c r="H130" s="17"/>
      <c r="I130" s="47" t="str">
        <f aca="false">IF(H130="","",IFERROR(INDEX(Settings!$G$2:$G$4,MATCH(H130,Settings!$F$2:$F$4,0)),""))</f>
        <v/>
      </c>
      <c r="J130" s="38"/>
      <c r="K130" s="48"/>
      <c r="L130" s="17"/>
      <c r="M130" s="38"/>
      <c r="N130" s="38"/>
      <c r="O130" s="42" t="str">
        <f aca="false">IF(N130="","",WORKDAY(N130,Settings!$S$4))</f>
        <v/>
      </c>
      <c r="P130" s="17"/>
      <c r="Q130" s="44" t="str">
        <f aca="true">IF(C130="","",IF(P130="Backed out",IF(S130="Paid","Refunded – closed",IF(R130="","Refund – log reason first","Refund in progress")),IF(K130="","Awaiting payment",IF(N130="",IF(M130="","Schedule free video","Free video in production"),IF(P130="Approved","Active",IF(TODAY()&gt;O130,"Active – plan went ahead","Decision pending – "&amp;NETWORKDAYS(TODAY(),O130)&amp;" working day(s) left"))))))</f>
        <v/>
      </c>
      <c r="R130" s="17"/>
      <c r="S130" s="17"/>
      <c r="T130" s="48"/>
      <c r="U130" s="38"/>
      <c r="V130" s="38"/>
      <c r="W130" s="42" t="str">
        <f aca="false">IF(V130="","",EDATE(V130,Settings!$S$6))</f>
        <v/>
      </c>
      <c r="X130" s="17"/>
      <c r="Y130" s="17"/>
      <c r="Z130" s="17"/>
    </row>
    <row r="131" customFormat="false" ht="15" hidden="false" customHeight="false" outlineLevel="0" collapsed="false">
      <c r="A131" s="17"/>
      <c r="B131" s="17"/>
      <c r="C131" s="17"/>
      <c r="D131" s="17"/>
      <c r="E131" s="40"/>
      <c r="F131" s="17"/>
      <c r="G131" s="17"/>
      <c r="H131" s="17"/>
      <c r="I131" s="47" t="str">
        <f aca="false">IF(H131="","",IFERROR(INDEX(Settings!$G$2:$G$4,MATCH(H131,Settings!$F$2:$F$4,0)),""))</f>
        <v/>
      </c>
      <c r="J131" s="38"/>
      <c r="K131" s="48"/>
      <c r="L131" s="17"/>
      <c r="M131" s="38"/>
      <c r="N131" s="38"/>
      <c r="O131" s="42" t="str">
        <f aca="false">IF(N131="","",WORKDAY(N131,Settings!$S$4))</f>
        <v/>
      </c>
      <c r="P131" s="17"/>
      <c r="Q131" s="44" t="str">
        <f aca="true">IF(C131="","",IF(P131="Backed out",IF(S131="Paid","Refunded – closed",IF(R131="","Refund – log reason first","Refund in progress")),IF(K131="","Awaiting payment",IF(N131="",IF(M131="","Schedule free video","Free video in production"),IF(P131="Approved","Active",IF(TODAY()&gt;O131,"Active – plan went ahead","Decision pending – "&amp;NETWORKDAYS(TODAY(),O131)&amp;" working day(s) left"))))))</f>
        <v/>
      </c>
      <c r="R131" s="17"/>
      <c r="S131" s="17"/>
      <c r="T131" s="48"/>
      <c r="U131" s="38"/>
      <c r="V131" s="38"/>
      <c r="W131" s="42" t="str">
        <f aca="false">IF(V131="","",EDATE(V131,Settings!$S$6))</f>
        <v/>
      </c>
      <c r="X131" s="17"/>
      <c r="Y131" s="17"/>
      <c r="Z131" s="17"/>
    </row>
    <row r="132" customFormat="false" ht="15" hidden="false" customHeight="false" outlineLevel="0" collapsed="false">
      <c r="A132" s="17"/>
      <c r="B132" s="17"/>
      <c r="C132" s="17"/>
      <c r="D132" s="17"/>
      <c r="E132" s="40"/>
      <c r="F132" s="17"/>
      <c r="G132" s="17"/>
      <c r="H132" s="17"/>
      <c r="I132" s="47" t="str">
        <f aca="false">IF(H132="","",IFERROR(INDEX(Settings!$G$2:$G$4,MATCH(H132,Settings!$F$2:$F$4,0)),""))</f>
        <v/>
      </c>
      <c r="J132" s="38"/>
      <c r="K132" s="48"/>
      <c r="L132" s="17"/>
      <c r="M132" s="38"/>
      <c r="N132" s="38"/>
      <c r="O132" s="42" t="str">
        <f aca="false">IF(N132="","",WORKDAY(N132,Settings!$S$4))</f>
        <v/>
      </c>
      <c r="P132" s="17"/>
      <c r="Q132" s="44" t="str">
        <f aca="true">IF(C132="","",IF(P132="Backed out",IF(S132="Paid","Refunded – closed",IF(R132="","Refund – log reason first","Refund in progress")),IF(K132="","Awaiting payment",IF(N132="",IF(M132="","Schedule free video","Free video in production"),IF(P132="Approved","Active",IF(TODAY()&gt;O132,"Active – plan went ahead","Decision pending – "&amp;NETWORKDAYS(TODAY(),O132)&amp;" working day(s) left"))))))</f>
        <v/>
      </c>
      <c r="R132" s="17"/>
      <c r="S132" s="17"/>
      <c r="T132" s="48"/>
      <c r="U132" s="38"/>
      <c r="V132" s="38"/>
      <c r="W132" s="42" t="str">
        <f aca="false">IF(V132="","",EDATE(V132,Settings!$S$6))</f>
        <v/>
      </c>
      <c r="X132" s="17"/>
      <c r="Y132" s="17"/>
      <c r="Z132" s="17"/>
    </row>
    <row r="133" customFormat="false" ht="15" hidden="false" customHeight="false" outlineLevel="0" collapsed="false">
      <c r="A133" s="17"/>
      <c r="B133" s="17"/>
      <c r="C133" s="17"/>
      <c r="D133" s="17"/>
      <c r="E133" s="40"/>
      <c r="F133" s="17"/>
      <c r="G133" s="17"/>
      <c r="H133" s="17"/>
      <c r="I133" s="47" t="str">
        <f aca="false">IF(H133="","",IFERROR(INDEX(Settings!$G$2:$G$4,MATCH(H133,Settings!$F$2:$F$4,0)),""))</f>
        <v/>
      </c>
      <c r="J133" s="38"/>
      <c r="K133" s="48"/>
      <c r="L133" s="17"/>
      <c r="M133" s="38"/>
      <c r="N133" s="38"/>
      <c r="O133" s="42" t="str">
        <f aca="false">IF(N133="","",WORKDAY(N133,Settings!$S$4))</f>
        <v/>
      </c>
      <c r="P133" s="17"/>
      <c r="Q133" s="44" t="str">
        <f aca="true">IF(C133="","",IF(P133="Backed out",IF(S133="Paid","Refunded – closed",IF(R133="","Refund – log reason first","Refund in progress")),IF(K133="","Awaiting payment",IF(N133="",IF(M133="","Schedule free video","Free video in production"),IF(P133="Approved","Active",IF(TODAY()&gt;O133,"Active – plan went ahead","Decision pending – "&amp;NETWORKDAYS(TODAY(),O133)&amp;" working day(s) left"))))))</f>
        <v/>
      </c>
      <c r="R133" s="17"/>
      <c r="S133" s="17"/>
      <c r="T133" s="48"/>
      <c r="U133" s="38"/>
      <c r="V133" s="38"/>
      <c r="W133" s="42" t="str">
        <f aca="false">IF(V133="","",EDATE(V133,Settings!$S$6))</f>
        <v/>
      </c>
      <c r="X133" s="17"/>
      <c r="Y133" s="17"/>
      <c r="Z133" s="17"/>
    </row>
    <row r="134" customFormat="false" ht="15" hidden="false" customHeight="false" outlineLevel="0" collapsed="false">
      <c r="A134" s="17"/>
      <c r="B134" s="17"/>
      <c r="C134" s="17"/>
      <c r="D134" s="17"/>
      <c r="E134" s="40"/>
      <c r="F134" s="17"/>
      <c r="G134" s="17"/>
      <c r="H134" s="17"/>
      <c r="I134" s="47" t="str">
        <f aca="false">IF(H134="","",IFERROR(INDEX(Settings!$G$2:$G$4,MATCH(H134,Settings!$F$2:$F$4,0)),""))</f>
        <v/>
      </c>
      <c r="J134" s="38"/>
      <c r="K134" s="48"/>
      <c r="L134" s="17"/>
      <c r="M134" s="38"/>
      <c r="N134" s="38"/>
      <c r="O134" s="42" t="str">
        <f aca="false">IF(N134="","",WORKDAY(N134,Settings!$S$4))</f>
        <v/>
      </c>
      <c r="P134" s="17"/>
      <c r="Q134" s="44" t="str">
        <f aca="true">IF(C134="","",IF(P134="Backed out",IF(S134="Paid","Refunded – closed",IF(R134="","Refund – log reason first","Refund in progress")),IF(K134="","Awaiting payment",IF(N134="",IF(M134="","Schedule free video","Free video in production"),IF(P134="Approved","Active",IF(TODAY()&gt;O134,"Active – plan went ahead","Decision pending – "&amp;NETWORKDAYS(TODAY(),O134)&amp;" working day(s) left"))))))</f>
        <v/>
      </c>
      <c r="R134" s="17"/>
      <c r="S134" s="17"/>
      <c r="T134" s="48"/>
      <c r="U134" s="38"/>
      <c r="V134" s="38"/>
      <c r="W134" s="42" t="str">
        <f aca="false">IF(V134="","",EDATE(V134,Settings!$S$6))</f>
        <v/>
      </c>
      <c r="X134" s="17"/>
      <c r="Y134" s="17"/>
      <c r="Z134" s="17"/>
    </row>
    <row r="135" customFormat="false" ht="15" hidden="false" customHeight="false" outlineLevel="0" collapsed="false">
      <c r="A135" s="17"/>
      <c r="B135" s="17"/>
      <c r="C135" s="17"/>
      <c r="D135" s="17"/>
      <c r="E135" s="40"/>
      <c r="F135" s="17"/>
      <c r="G135" s="17"/>
      <c r="H135" s="17"/>
      <c r="I135" s="47" t="str">
        <f aca="false">IF(H135="","",IFERROR(INDEX(Settings!$G$2:$G$4,MATCH(H135,Settings!$F$2:$F$4,0)),""))</f>
        <v/>
      </c>
      <c r="J135" s="38"/>
      <c r="K135" s="48"/>
      <c r="L135" s="17"/>
      <c r="M135" s="38"/>
      <c r="N135" s="38"/>
      <c r="O135" s="42" t="str">
        <f aca="false">IF(N135="","",WORKDAY(N135,Settings!$S$4))</f>
        <v/>
      </c>
      <c r="P135" s="17"/>
      <c r="Q135" s="44" t="str">
        <f aca="true">IF(C135="","",IF(P135="Backed out",IF(S135="Paid","Refunded – closed",IF(R135="","Refund – log reason first","Refund in progress")),IF(K135="","Awaiting payment",IF(N135="",IF(M135="","Schedule free video","Free video in production"),IF(P135="Approved","Active",IF(TODAY()&gt;O135,"Active – plan went ahead","Decision pending – "&amp;NETWORKDAYS(TODAY(),O135)&amp;" working day(s) left"))))))</f>
        <v/>
      </c>
      <c r="R135" s="17"/>
      <c r="S135" s="17"/>
      <c r="T135" s="48"/>
      <c r="U135" s="38"/>
      <c r="V135" s="38"/>
      <c r="W135" s="42" t="str">
        <f aca="false">IF(V135="","",EDATE(V135,Settings!$S$6))</f>
        <v/>
      </c>
      <c r="X135" s="17"/>
      <c r="Y135" s="17"/>
      <c r="Z135" s="17"/>
    </row>
    <row r="136" customFormat="false" ht="15" hidden="false" customHeight="false" outlineLevel="0" collapsed="false">
      <c r="A136" s="17"/>
      <c r="B136" s="17"/>
      <c r="C136" s="17"/>
      <c r="D136" s="17"/>
      <c r="E136" s="40"/>
      <c r="F136" s="17"/>
      <c r="G136" s="17"/>
      <c r="H136" s="17"/>
      <c r="I136" s="47" t="str">
        <f aca="false">IF(H136="","",IFERROR(INDEX(Settings!$G$2:$G$4,MATCH(H136,Settings!$F$2:$F$4,0)),""))</f>
        <v/>
      </c>
      <c r="J136" s="38"/>
      <c r="K136" s="48"/>
      <c r="L136" s="17"/>
      <c r="M136" s="38"/>
      <c r="N136" s="38"/>
      <c r="O136" s="42" t="str">
        <f aca="false">IF(N136="","",WORKDAY(N136,Settings!$S$4))</f>
        <v/>
      </c>
      <c r="P136" s="17"/>
      <c r="Q136" s="44" t="str">
        <f aca="true">IF(C136="","",IF(P136="Backed out",IF(S136="Paid","Refunded – closed",IF(R136="","Refund – log reason first","Refund in progress")),IF(K136="","Awaiting payment",IF(N136="",IF(M136="","Schedule free video","Free video in production"),IF(P136="Approved","Active",IF(TODAY()&gt;O136,"Active – plan went ahead","Decision pending – "&amp;NETWORKDAYS(TODAY(),O136)&amp;" working day(s) left"))))))</f>
        <v/>
      </c>
      <c r="R136" s="17"/>
      <c r="S136" s="17"/>
      <c r="T136" s="48"/>
      <c r="U136" s="38"/>
      <c r="V136" s="38"/>
      <c r="W136" s="42" t="str">
        <f aca="false">IF(V136="","",EDATE(V136,Settings!$S$6))</f>
        <v/>
      </c>
      <c r="X136" s="17"/>
      <c r="Y136" s="17"/>
      <c r="Z136" s="17"/>
    </row>
    <row r="137" customFormat="false" ht="15" hidden="false" customHeight="false" outlineLevel="0" collapsed="false">
      <c r="A137" s="17"/>
      <c r="B137" s="17"/>
      <c r="C137" s="17"/>
      <c r="D137" s="17"/>
      <c r="E137" s="40"/>
      <c r="F137" s="17"/>
      <c r="G137" s="17"/>
      <c r="H137" s="17"/>
      <c r="I137" s="47" t="str">
        <f aca="false">IF(H137="","",IFERROR(INDEX(Settings!$G$2:$G$4,MATCH(H137,Settings!$F$2:$F$4,0)),""))</f>
        <v/>
      </c>
      <c r="J137" s="38"/>
      <c r="K137" s="48"/>
      <c r="L137" s="17"/>
      <c r="M137" s="38"/>
      <c r="N137" s="38"/>
      <c r="O137" s="42" t="str">
        <f aca="false">IF(N137="","",WORKDAY(N137,Settings!$S$4))</f>
        <v/>
      </c>
      <c r="P137" s="17"/>
      <c r="Q137" s="44" t="str">
        <f aca="true">IF(C137="","",IF(P137="Backed out",IF(S137="Paid","Refunded – closed",IF(R137="","Refund – log reason first","Refund in progress")),IF(K137="","Awaiting payment",IF(N137="",IF(M137="","Schedule free video","Free video in production"),IF(P137="Approved","Active",IF(TODAY()&gt;O137,"Active – plan went ahead","Decision pending – "&amp;NETWORKDAYS(TODAY(),O137)&amp;" working day(s) left"))))))</f>
        <v/>
      </c>
      <c r="R137" s="17"/>
      <c r="S137" s="17"/>
      <c r="T137" s="48"/>
      <c r="U137" s="38"/>
      <c r="V137" s="38"/>
      <c r="W137" s="42" t="str">
        <f aca="false">IF(V137="","",EDATE(V137,Settings!$S$6))</f>
        <v/>
      </c>
      <c r="X137" s="17"/>
      <c r="Y137" s="17"/>
      <c r="Z137" s="17"/>
    </row>
    <row r="138" customFormat="false" ht="15" hidden="false" customHeight="false" outlineLevel="0" collapsed="false">
      <c r="A138" s="17"/>
      <c r="B138" s="17"/>
      <c r="C138" s="17"/>
      <c r="D138" s="17"/>
      <c r="E138" s="40"/>
      <c r="F138" s="17"/>
      <c r="G138" s="17"/>
      <c r="H138" s="17"/>
      <c r="I138" s="47" t="str">
        <f aca="false">IF(H138="","",IFERROR(INDEX(Settings!$G$2:$G$4,MATCH(H138,Settings!$F$2:$F$4,0)),""))</f>
        <v/>
      </c>
      <c r="J138" s="38"/>
      <c r="K138" s="48"/>
      <c r="L138" s="17"/>
      <c r="M138" s="38"/>
      <c r="N138" s="38"/>
      <c r="O138" s="42" t="str">
        <f aca="false">IF(N138="","",WORKDAY(N138,Settings!$S$4))</f>
        <v/>
      </c>
      <c r="P138" s="17"/>
      <c r="Q138" s="44" t="str">
        <f aca="true">IF(C138="","",IF(P138="Backed out",IF(S138="Paid","Refunded – closed",IF(R138="","Refund – log reason first","Refund in progress")),IF(K138="","Awaiting payment",IF(N138="",IF(M138="","Schedule free video","Free video in production"),IF(P138="Approved","Active",IF(TODAY()&gt;O138,"Active – plan went ahead","Decision pending – "&amp;NETWORKDAYS(TODAY(),O138)&amp;" working day(s) left"))))))</f>
        <v/>
      </c>
      <c r="R138" s="17"/>
      <c r="S138" s="17"/>
      <c r="T138" s="48"/>
      <c r="U138" s="38"/>
      <c r="V138" s="38"/>
      <c r="W138" s="42" t="str">
        <f aca="false">IF(V138="","",EDATE(V138,Settings!$S$6))</f>
        <v/>
      </c>
      <c r="X138" s="17"/>
      <c r="Y138" s="17"/>
      <c r="Z138" s="17"/>
    </row>
    <row r="139" customFormat="false" ht="15" hidden="false" customHeight="false" outlineLevel="0" collapsed="false">
      <c r="A139" s="17"/>
      <c r="B139" s="17"/>
      <c r="C139" s="17"/>
      <c r="D139" s="17"/>
      <c r="E139" s="40"/>
      <c r="F139" s="17"/>
      <c r="G139" s="17"/>
      <c r="H139" s="17"/>
      <c r="I139" s="47" t="str">
        <f aca="false">IF(H139="","",IFERROR(INDEX(Settings!$G$2:$G$4,MATCH(H139,Settings!$F$2:$F$4,0)),""))</f>
        <v/>
      </c>
      <c r="J139" s="38"/>
      <c r="K139" s="48"/>
      <c r="L139" s="17"/>
      <c r="M139" s="38"/>
      <c r="N139" s="38"/>
      <c r="O139" s="42" t="str">
        <f aca="false">IF(N139="","",WORKDAY(N139,Settings!$S$4))</f>
        <v/>
      </c>
      <c r="P139" s="17"/>
      <c r="Q139" s="44" t="str">
        <f aca="true">IF(C139="","",IF(P139="Backed out",IF(S139="Paid","Refunded – closed",IF(R139="","Refund – log reason first","Refund in progress")),IF(K139="","Awaiting payment",IF(N139="",IF(M139="","Schedule free video","Free video in production"),IF(P139="Approved","Active",IF(TODAY()&gt;O139,"Active – plan went ahead","Decision pending – "&amp;NETWORKDAYS(TODAY(),O139)&amp;" working day(s) left"))))))</f>
        <v/>
      </c>
      <c r="R139" s="17"/>
      <c r="S139" s="17"/>
      <c r="T139" s="48"/>
      <c r="U139" s="38"/>
      <c r="V139" s="38"/>
      <c r="W139" s="42" t="str">
        <f aca="false">IF(V139="","",EDATE(V139,Settings!$S$6))</f>
        <v/>
      </c>
      <c r="X139" s="17"/>
      <c r="Y139" s="17"/>
      <c r="Z139" s="17"/>
    </row>
    <row r="140" customFormat="false" ht="15" hidden="false" customHeight="false" outlineLevel="0" collapsed="false">
      <c r="A140" s="17"/>
      <c r="B140" s="17"/>
      <c r="C140" s="17"/>
      <c r="D140" s="17"/>
      <c r="E140" s="40"/>
      <c r="F140" s="17"/>
      <c r="G140" s="17"/>
      <c r="H140" s="17"/>
      <c r="I140" s="47" t="str">
        <f aca="false">IF(H140="","",IFERROR(INDEX(Settings!$G$2:$G$4,MATCH(H140,Settings!$F$2:$F$4,0)),""))</f>
        <v/>
      </c>
      <c r="J140" s="38"/>
      <c r="K140" s="48"/>
      <c r="L140" s="17"/>
      <c r="M140" s="38"/>
      <c r="N140" s="38"/>
      <c r="O140" s="42" t="str">
        <f aca="false">IF(N140="","",WORKDAY(N140,Settings!$S$4))</f>
        <v/>
      </c>
      <c r="P140" s="17"/>
      <c r="Q140" s="44" t="str">
        <f aca="true">IF(C140="","",IF(P140="Backed out",IF(S140="Paid","Refunded – closed",IF(R140="","Refund – log reason first","Refund in progress")),IF(K140="","Awaiting payment",IF(N140="",IF(M140="","Schedule free video","Free video in production"),IF(P140="Approved","Active",IF(TODAY()&gt;O140,"Active – plan went ahead","Decision pending – "&amp;NETWORKDAYS(TODAY(),O140)&amp;" working day(s) left"))))))</f>
        <v/>
      </c>
      <c r="R140" s="17"/>
      <c r="S140" s="17"/>
      <c r="T140" s="48"/>
      <c r="U140" s="38"/>
      <c r="V140" s="38"/>
      <c r="W140" s="42" t="str">
        <f aca="false">IF(V140="","",EDATE(V140,Settings!$S$6))</f>
        <v/>
      </c>
      <c r="X140" s="17"/>
      <c r="Y140" s="17"/>
      <c r="Z140" s="17"/>
    </row>
    <row r="141" customFormat="false" ht="15" hidden="false" customHeight="false" outlineLevel="0" collapsed="false">
      <c r="A141" s="17"/>
      <c r="B141" s="17"/>
      <c r="C141" s="17"/>
      <c r="D141" s="17"/>
      <c r="E141" s="40"/>
      <c r="F141" s="17"/>
      <c r="G141" s="17"/>
      <c r="H141" s="17"/>
      <c r="I141" s="47" t="str">
        <f aca="false">IF(H141="","",IFERROR(INDEX(Settings!$G$2:$G$4,MATCH(H141,Settings!$F$2:$F$4,0)),""))</f>
        <v/>
      </c>
      <c r="J141" s="38"/>
      <c r="K141" s="48"/>
      <c r="L141" s="17"/>
      <c r="M141" s="38"/>
      <c r="N141" s="38"/>
      <c r="O141" s="42" t="str">
        <f aca="false">IF(N141="","",WORKDAY(N141,Settings!$S$4))</f>
        <v/>
      </c>
      <c r="P141" s="17"/>
      <c r="Q141" s="44" t="str">
        <f aca="true">IF(C141="","",IF(P141="Backed out",IF(S141="Paid","Refunded – closed",IF(R141="","Refund – log reason first","Refund in progress")),IF(K141="","Awaiting payment",IF(N141="",IF(M141="","Schedule free video","Free video in production"),IF(P141="Approved","Active",IF(TODAY()&gt;O141,"Active – plan went ahead","Decision pending – "&amp;NETWORKDAYS(TODAY(),O141)&amp;" working day(s) left"))))))</f>
        <v/>
      </c>
      <c r="R141" s="17"/>
      <c r="S141" s="17"/>
      <c r="T141" s="48"/>
      <c r="U141" s="38"/>
      <c r="V141" s="38"/>
      <c r="W141" s="42" t="str">
        <f aca="false">IF(V141="","",EDATE(V141,Settings!$S$6))</f>
        <v/>
      </c>
      <c r="X141" s="17"/>
      <c r="Y141" s="17"/>
      <c r="Z141" s="17"/>
    </row>
    <row r="142" customFormat="false" ht="15" hidden="false" customHeight="false" outlineLevel="0" collapsed="false">
      <c r="A142" s="17"/>
      <c r="B142" s="17"/>
      <c r="C142" s="17"/>
      <c r="D142" s="17"/>
      <c r="E142" s="40"/>
      <c r="F142" s="17"/>
      <c r="G142" s="17"/>
      <c r="H142" s="17"/>
      <c r="I142" s="47" t="str">
        <f aca="false">IF(H142="","",IFERROR(INDEX(Settings!$G$2:$G$4,MATCH(H142,Settings!$F$2:$F$4,0)),""))</f>
        <v/>
      </c>
      <c r="J142" s="38"/>
      <c r="K142" s="48"/>
      <c r="L142" s="17"/>
      <c r="M142" s="38"/>
      <c r="N142" s="38"/>
      <c r="O142" s="42" t="str">
        <f aca="false">IF(N142="","",WORKDAY(N142,Settings!$S$4))</f>
        <v/>
      </c>
      <c r="P142" s="17"/>
      <c r="Q142" s="44" t="str">
        <f aca="true">IF(C142="","",IF(P142="Backed out",IF(S142="Paid","Refunded – closed",IF(R142="","Refund – log reason first","Refund in progress")),IF(K142="","Awaiting payment",IF(N142="",IF(M142="","Schedule free video","Free video in production"),IF(P142="Approved","Active",IF(TODAY()&gt;O142,"Active – plan went ahead","Decision pending – "&amp;NETWORKDAYS(TODAY(),O142)&amp;" working day(s) left"))))))</f>
        <v/>
      </c>
      <c r="R142" s="17"/>
      <c r="S142" s="17"/>
      <c r="T142" s="48"/>
      <c r="U142" s="38"/>
      <c r="V142" s="38"/>
      <c r="W142" s="42" t="str">
        <f aca="false">IF(V142="","",EDATE(V142,Settings!$S$6))</f>
        <v/>
      </c>
      <c r="X142" s="17"/>
      <c r="Y142" s="17"/>
      <c r="Z142" s="17"/>
    </row>
    <row r="143" customFormat="false" ht="15" hidden="false" customHeight="false" outlineLevel="0" collapsed="false">
      <c r="A143" s="17"/>
      <c r="B143" s="17"/>
      <c r="C143" s="17"/>
      <c r="D143" s="17"/>
      <c r="E143" s="40"/>
      <c r="F143" s="17"/>
      <c r="G143" s="17"/>
      <c r="H143" s="17"/>
      <c r="I143" s="47" t="str">
        <f aca="false">IF(H143="","",IFERROR(INDEX(Settings!$G$2:$G$4,MATCH(H143,Settings!$F$2:$F$4,0)),""))</f>
        <v/>
      </c>
      <c r="J143" s="38"/>
      <c r="K143" s="48"/>
      <c r="L143" s="17"/>
      <c r="M143" s="38"/>
      <c r="N143" s="38"/>
      <c r="O143" s="42" t="str">
        <f aca="false">IF(N143="","",WORKDAY(N143,Settings!$S$4))</f>
        <v/>
      </c>
      <c r="P143" s="17"/>
      <c r="Q143" s="44" t="str">
        <f aca="true">IF(C143="","",IF(P143="Backed out",IF(S143="Paid","Refunded – closed",IF(R143="","Refund – log reason first","Refund in progress")),IF(K143="","Awaiting payment",IF(N143="",IF(M143="","Schedule free video","Free video in production"),IF(P143="Approved","Active",IF(TODAY()&gt;O143,"Active – plan went ahead","Decision pending – "&amp;NETWORKDAYS(TODAY(),O143)&amp;" working day(s) left"))))))</f>
        <v/>
      </c>
      <c r="R143" s="17"/>
      <c r="S143" s="17"/>
      <c r="T143" s="48"/>
      <c r="U143" s="38"/>
      <c r="V143" s="38"/>
      <c r="W143" s="42" t="str">
        <f aca="false">IF(V143="","",EDATE(V143,Settings!$S$6))</f>
        <v/>
      </c>
      <c r="X143" s="17"/>
      <c r="Y143" s="17"/>
      <c r="Z143" s="17"/>
    </row>
    <row r="144" customFormat="false" ht="15" hidden="false" customHeight="false" outlineLevel="0" collapsed="false">
      <c r="A144" s="17"/>
      <c r="B144" s="17"/>
      <c r="C144" s="17"/>
      <c r="D144" s="17"/>
      <c r="E144" s="40"/>
      <c r="F144" s="17"/>
      <c r="G144" s="17"/>
      <c r="H144" s="17"/>
      <c r="I144" s="47" t="str">
        <f aca="false">IF(H144="","",IFERROR(INDEX(Settings!$G$2:$G$4,MATCH(H144,Settings!$F$2:$F$4,0)),""))</f>
        <v/>
      </c>
      <c r="J144" s="38"/>
      <c r="K144" s="48"/>
      <c r="L144" s="17"/>
      <c r="M144" s="38"/>
      <c r="N144" s="38"/>
      <c r="O144" s="42" t="str">
        <f aca="false">IF(N144="","",WORKDAY(N144,Settings!$S$4))</f>
        <v/>
      </c>
      <c r="P144" s="17"/>
      <c r="Q144" s="44" t="str">
        <f aca="true">IF(C144="","",IF(P144="Backed out",IF(S144="Paid","Refunded – closed",IF(R144="","Refund – log reason first","Refund in progress")),IF(K144="","Awaiting payment",IF(N144="",IF(M144="","Schedule free video","Free video in production"),IF(P144="Approved","Active",IF(TODAY()&gt;O144,"Active – plan went ahead","Decision pending – "&amp;NETWORKDAYS(TODAY(),O144)&amp;" working day(s) left"))))))</f>
        <v/>
      </c>
      <c r="R144" s="17"/>
      <c r="S144" s="17"/>
      <c r="T144" s="48"/>
      <c r="U144" s="38"/>
      <c r="V144" s="38"/>
      <c r="W144" s="42" t="str">
        <f aca="false">IF(V144="","",EDATE(V144,Settings!$S$6))</f>
        <v/>
      </c>
      <c r="X144" s="17"/>
      <c r="Y144" s="17"/>
      <c r="Z144" s="17"/>
    </row>
    <row r="145" customFormat="false" ht="15" hidden="false" customHeight="false" outlineLevel="0" collapsed="false">
      <c r="A145" s="17"/>
      <c r="B145" s="17"/>
      <c r="C145" s="17"/>
      <c r="D145" s="17"/>
      <c r="E145" s="40"/>
      <c r="F145" s="17"/>
      <c r="G145" s="17"/>
      <c r="H145" s="17"/>
      <c r="I145" s="47" t="str">
        <f aca="false">IF(H145="","",IFERROR(INDEX(Settings!$G$2:$G$4,MATCH(H145,Settings!$F$2:$F$4,0)),""))</f>
        <v/>
      </c>
      <c r="J145" s="38"/>
      <c r="K145" s="48"/>
      <c r="L145" s="17"/>
      <c r="M145" s="38"/>
      <c r="N145" s="38"/>
      <c r="O145" s="42" t="str">
        <f aca="false">IF(N145="","",WORKDAY(N145,Settings!$S$4))</f>
        <v/>
      </c>
      <c r="P145" s="17"/>
      <c r="Q145" s="44" t="str">
        <f aca="true">IF(C145="","",IF(P145="Backed out",IF(S145="Paid","Refunded – closed",IF(R145="","Refund – log reason first","Refund in progress")),IF(K145="","Awaiting payment",IF(N145="",IF(M145="","Schedule free video","Free video in production"),IF(P145="Approved","Active",IF(TODAY()&gt;O145,"Active – plan went ahead","Decision pending – "&amp;NETWORKDAYS(TODAY(),O145)&amp;" working day(s) left"))))))</f>
        <v/>
      </c>
      <c r="R145" s="17"/>
      <c r="S145" s="17"/>
      <c r="T145" s="48"/>
      <c r="U145" s="38"/>
      <c r="V145" s="38"/>
      <c r="W145" s="42" t="str">
        <f aca="false">IF(V145="","",EDATE(V145,Settings!$S$6))</f>
        <v/>
      </c>
      <c r="X145" s="17"/>
      <c r="Y145" s="17"/>
      <c r="Z145" s="17"/>
    </row>
    <row r="146" customFormat="false" ht="15" hidden="false" customHeight="false" outlineLevel="0" collapsed="false">
      <c r="A146" s="17"/>
      <c r="B146" s="17"/>
      <c r="C146" s="17"/>
      <c r="D146" s="17"/>
      <c r="E146" s="40"/>
      <c r="F146" s="17"/>
      <c r="G146" s="17"/>
      <c r="H146" s="17"/>
      <c r="I146" s="47" t="str">
        <f aca="false">IF(H146="","",IFERROR(INDEX(Settings!$G$2:$G$4,MATCH(H146,Settings!$F$2:$F$4,0)),""))</f>
        <v/>
      </c>
      <c r="J146" s="38"/>
      <c r="K146" s="48"/>
      <c r="L146" s="17"/>
      <c r="M146" s="38"/>
      <c r="N146" s="38"/>
      <c r="O146" s="42" t="str">
        <f aca="false">IF(N146="","",WORKDAY(N146,Settings!$S$4))</f>
        <v/>
      </c>
      <c r="P146" s="17"/>
      <c r="Q146" s="44" t="str">
        <f aca="true">IF(C146="","",IF(P146="Backed out",IF(S146="Paid","Refunded – closed",IF(R146="","Refund – log reason first","Refund in progress")),IF(K146="","Awaiting payment",IF(N146="",IF(M146="","Schedule free video","Free video in production"),IF(P146="Approved","Active",IF(TODAY()&gt;O146,"Active – plan went ahead","Decision pending – "&amp;NETWORKDAYS(TODAY(),O146)&amp;" working day(s) left"))))))</f>
        <v/>
      </c>
      <c r="R146" s="17"/>
      <c r="S146" s="17"/>
      <c r="T146" s="48"/>
      <c r="U146" s="38"/>
      <c r="V146" s="38"/>
      <c r="W146" s="42" t="str">
        <f aca="false">IF(V146="","",EDATE(V146,Settings!$S$6))</f>
        <v/>
      </c>
      <c r="X146" s="17"/>
      <c r="Y146" s="17"/>
      <c r="Z146" s="17"/>
    </row>
    <row r="147" customFormat="false" ht="15" hidden="false" customHeight="false" outlineLevel="0" collapsed="false">
      <c r="A147" s="17"/>
      <c r="B147" s="17"/>
      <c r="C147" s="17"/>
      <c r="D147" s="17"/>
      <c r="E147" s="40"/>
      <c r="F147" s="17"/>
      <c r="G147" s="17"/>
      <c r="H147" s="17"/>
      <c r="I147" s="47" t="str">
        <f aca="false">IF(H147="","",IFERROR(INDEX(Settings!$G$2:$G$4,MATCH(H147,Settings!$F$2:$F$4,0)),""))</f>
        <v/>
      </c>
      <c r="J147" s="38"/>
      <c r="K147" s="48"/>
      <c r="L147" s="17"/>
      <c r="M147" s="38"/>
      <c r="N147" s="38"/>
      <c r="O147" s="42" t="str">
        <f aca="false">IF(N147="","",WORKDAY(N147,Settings!$S$4))</f>
        <v/>
      </c>
      <c r="P147" s="17"/>
      <c r="Q147" s="44" t="str">
        <f aca="true">IF(C147="","",IF(P147="Backed out",IF(S147="Paid","Refunded – closed",IF(R147="","Refund – log reason first","Refund in progress")),IF(K147="","Awaiting payment",IF(N147="",IF(M147="","Schedule free video","Free video in production"),IF(P147="Approved","Active",IF(TODAY()&gt;O147,"Active – plan went ahead","Decision pending – "&amp;NETWORKDAYS(TODAY(),O147)&amp;" working day(s) left"))))))</f>
        <v/>
      </c>
      <c r="R147" s="17"/>
      <c r="S147" s="17"/>
      <c r="T147" s="48"/>
      <c r="U147" s="38"/>
      <c r="V147" s="38"/>
      <c r="W147" s="42" t="str">
        <f aca="false">IF(V147="","",EDATE(V147,Settings!$S$6))</f>
        <v/>
      </c>
      <c r="X147" s="17"/>
      <c r="Y147" s="17"/>
      <c r="Z147" s="17"/>
    </row>
    <row r="148" customFormat="false" ht="15" hidden="false" customHeight="false" outlineLevel="0" collapsed="false">
      <c r="A148" s="17"/>
      <c r="B148" s="17"/>
      <c r="C148" s="17"/>
      <c r="D148" s="17"/>
      <c r="E148" s="40"/>
      <c r="F148" s="17"/>
      <c r="G148" s="17"/>
      <c r="H148" s="17"/>
      <c r="I148" s="47" t="str">
        <f aca="false">IF(H148="","",IFERROR(INDEX(Settings!$G$2:$G$4,MATCH(H148,Settings!$F$2:$F$4,0)),""))</f>
        <v/>
      </c>
      <c r="J148" s="38"/>
      <c r="K148" s="48"/>
      <c r="L148" s="17"/>
      <c r="M148" s="38"/>
      <c r="N148" s="38"/>
      <c r="O148" s="42" t="str">
        <f aca="false">IF(N148="","",WORKDAY(N148,Settings!$S$4))</f>
        <v/>
      </c>
      <c r="P148" s="17"/>
      <c r="Q148" s="44" t="str">
        <f aca="true">IF(C148="","",IF(P148="Backed out",IF(S148="Paid","Refunded – closed",IF(R148="","Refund – log reason first","Refund in progress")),IF(K148="","Awaiting payment",IF(N148="",IF(M148="","Schedule free video","Free video in production"),IF(P148="Approved","Active",IF(TODAY()&gt;O148,"Active – plan went ahead","Decision pending – "&amp;NETWORKDAYS(TODAY(),O148)&amp;" working day(s) left"))))))</f>
        <v/>
      </c>
      <c r="R148" s="17"/>
      <c r="S148" s="17"/>
      <c r="T148" s="48"/>
      <c r="U148" s="38"/>
      <c r="V148" s="38"/>
      <c r="W148" s="42" t="str">
        <f aca="false">IF(V148="","",EDATE(V148,Settings!$S$6))</f>
        <v/>
      </c>
      <c r="X148" s="17"/>
      <c r="Y148" s="17"/>
      <c r="Z148" s="17"/>
    </row>
    <row r="149" customFormat="false" ht="15" hidden="false" customHeight="false" outlineLevel="0" collapsed="false">
      <c r="A149" s="17"/>
      <c r="B149" s="17"/>
      <c r="C149" s="17"/>
      <c r="D149" s="17"/>
      <c r="E149" s="40"/>
      <c r="F149" s="17"/>
      <c r="G149" s="17"/>
      <c r="H149" s="17"/>
      <c r="I149" s="47" t="str">
        <f aca="false">IF(H149="","",IFERROR(INDEX(Settings!$G$2:$G$4,MATCH(H149,Settings!$F$2:$F$4,0)),""))</f>
        <v/>
      </c>
      <c r="J149" s="38"/>
      <c r="K149" s="48"/>
      <c r="L149" s="17"/>
      <c r="M149" s="38"/>
      <c r="N149" s="38"/>
      <c r="O149" s="42" t="str">
        <f aca="false">IF(N149="","",WORKDAY(N149,Settings!$S$4))</f>
        <v/>
      </c>
      <c r="P149" s="17"/>
      <c r="Q149" s="44" t="str">
        <f aca="true">IF(C149="","",IF(P149="Backed out",IF(S149="Paid","Refunded – closed",IF(R149="","Refund – log reason first","Refund in progress")),IF(K149="","Awaiting payment",IF(N149="",IF(M149="","Schedule free video","Free video in production"),IF(P149="Approved","Active",IF(TODAY()&gt;O149,"Active – plan went ahead","Decision pending – "&amp;NETWORKDAYS(TODAY(),O149)&amp;" working day(s) left"))))))</f>
        <v/>
      </c>
      <c r="R149" s="17"/>
      <c r="S149" s="17"/>
      <c r="T149" s="48"/>
      <c r="U149" s="38"/>
      <c r="V149" s="38"/>
      <c r="W149" s="42" t="str">
        <f aca="false">IF(V149="","",EDATE(V149,Settings!$S$6))</f>
        <v/>
      </c>
      <c r="X149" s="17"/>
      <c r="Y149" s="17"/>
      <c r="Z149" s="17"/>
    </row>
    <row r="150" customFormat="false" ht="15" hidden="false" customHeight="false" outlineLevel="0" collapsed="false">
      <c r="A150" s="17"/>
      <c r="B150" s="17"/>
      <c r="C150" s="17"/>
      <c r="D150" s="17"/>
      <c r="E150" s="40"/>
      <c r="F150" s="17"/>
      <c r="G150" s="17"/>
      <c r="H150" s="17"/>
      <c r="I150" s="47" t="str">
        <f aca="false">IF(H150="","",IFERROR(INDEX(Settings!$G$2:$G$4,MATCH(H150,Settings!$F$2:$F$4,0)),""))</f>
        <v/>
      </c>
      <c r="J150" s="38"/>
      <c r="K150" s="48"/>
      <c r="L150" s="17"/>
      <c r="M150" s="38"/>
      <c r="N150" s="38"/>
      <c r="O150" s="42" t="str">
        <f aca="false">IF(N150="","",WORKDAY(N150,Settings!$S$4))</f>
        <v/>
      </c>
      <c r="P150" s="17"/>
      <c r="Q150" s="44" t="str">
        <f aca="true">IF(C150="","",IF(P150="Backed out",IF(S150="Paid","Refunded – closed",IF(R150="","Refund – log reason first","Refund in progress")),IF(K150="","Awaiting payment",IF(N150="",IF(M150="","Schedule free video","Free video in production"),IF(P150="Approved","Active",IF(TODAY()&gt;O150,"Active – plan went ahead","Decision pending – "&amp;NETWORKDAYS(TODAY(),O150)&amp;" working day(s) left"))))))</f>
        <v/>
      </c>
      <c r="R150" s="17"/>
      <c r="S150" s="17"/>
      <c r="T150" s="48"/>
      <c r="U150" s="38"/>
      <c r="V150" s="38"/>
      <c r="W150" s="42" t="str">
        <f aca="false">IF(V150="","",EDATE(V150,Settings!$S$6))</f>
        <v/>
      </c>
      <c r="X150" s="17"/>
      <c r="Y150" s="17"/>
      <c r="Z150" s="17"/>
    </row>
    <row r="151" customFormat="false" ht="15" hidden="false" customHeight="false" outlineLevel="0" collapsed="false">
      <c r="A151" s="17"/>
      <c r="B151" s="17"/>
      <c r="C151" s="17"/>
      <c r="D151" s="17"/>
      <c r="E151" s="40"/>
      <c r="F151" s="17"/>
      <c r="G151" s="17"/>
      <c r="H151" s="17"/>
      <c r="I151" s="47" t="str">
        <f aca="false">IF(H151="","",IFERROR(INDEX(Settings!$G$2:$G$4,MATCH(H151,Settings!$F$2:$F$4,0)),""))</f>
        <v/>
      </c>
      <c r="J151" s="38"/>
      <c r="K151" s="48"/>
      <c r="L151" s="17"/>
      <c r="M151" s="38"/>
      <c r="N151" s="38"/>
      <c r="O151" s="42" t="str">
        <f aca="false">IF(N151="","",WORKDAY(N151,Settings!$S$4))</f>
        <v/>
      </c>
      <c r="P151" s="17"/>
      <c r="Q151" s="44" t="str">
        <f aca="true">IF(C151="","",IF(P151="Backed out",IF(S151="Paid","Refunded – closed",IF(R151="","Refund – log reason first","Refund in progress")),IF(K151="","Awaiting payment",IF(N151="",IF(M151="","Schedule free video","Free video in production"),IF(P151="Approved","Active",IF(TODAY()&gt;O151,"Active – plan went ahead","Decision pending – "&amp;NETWORKDAYS(TODAY(),O151)&amp;" working day(s) left"))))))</f>
        <v/>
      </c>
      <c r="R151" s="17"/>
      <c r="S151" s="17"/>
      <c r="T151" s="48"/>
      <c r="U151" s="38"/>
      <c r="V151" s="38"/>
      <c r="W151" s="42" t="str">
        <f aca="false">IF(V151="","",EDATE(V151,Settings!$S$6))</f>
        <v/>
      </c>
      <c r="X151" s="17"/>
      <c r="Y151" s="17"/>
      <c r="Z151" s="17"/>
    </row>
    <row r="152" customFormat="false" ht="15" hidden="false" customHeight="false" outlineLevel="0" collapsed="false">
      <c r="A152" s="17"/>
      <c r="B152" s="17"/>
      <c r="C152" s="17"/>
      <c r="D152" s="17"/>
      <c r="E152" s="40"/>
      <c r="F152" s="17"/>
      <c r="G152" s="17"/>
      <c r="H152" s="17"/>
      <c r="I152" s="47" t="str">
        <f aca="false">IF(H152="","",IFERROR(INDEX(Settings!$G$2:$G$4,MATCH(H152,Settings!$F$2:$F$4,0)),""))</f>
        <v/>
      </c>
      <c r="J152" s="38"/>
      <c r="K152" s="48"/>
      <c r="L152" s="17"/>
      <c r="M152" s="38"/>
      <c r="N152" s="38"/>
      <c r="O152" s="42" t="str">
        <f aca="false">IF(N152="","",WORKDAY(N152,Settings!$S$4))</f>
        <v/>
      </c>
      <c r="P152" s="17"/>
      <c r="Q152" s="44" t="str">
        <f aca="true">IF(C152="","",IF(P152="Backed out",IF(S152="Paid","Refunded – closed",IF(R152="","Refund – log reason first","Refund in progress")),IF(K152="","Awaiting payment",IF(N152="",IF(M152="","Schedule free video","Free video in production"),IF(P152="Approved","Active",IF(TODAY()&gt;O152,"Active – plan went ahead","Decision pending – "&amp;NETWORKDAYS(TODAY(),O152)&amp;" working day(s) left"))))))</f>
        <v/>
      </c>
      <c r="R152" s="17"/>
      <c r="S152" s="17"/>
      <c r="T152" s="48"/>
      <c r="U152" s="38"/>
      <c r="V152" s="38"/>
      <c r="W152" s="42" t="str">
        <f aca="false">IF(V152="","",EDATE(V152,Settings!$S$6))</f>
        <v/>
      </c>
      <c r="X152" s="17"/>
      <c r="Y152" s="17"/>
      <c r="Z152" s="17"/>
    </row>
    <row r="153" customFormat="false" ht="15" hidden="false" customHeight="false" outlineLevel="0" collapsed="false">
      <c r="A153" s="17"/>
      <c r="B153" s="17"/>
      <c r="C153" s="17"/>
      <c r="D153" s="17"/>
      <c r="E153" s="40"/>
      <c r="F153" s="17"/>
      <c r="G153" s="17"/>
      <c r="H153" s="17"/>
      <c r="I153" s="47" t="str">
        <f aca="false">IF(H153="","",IFERROR(INDEX(Settings!$G$2:$G$4,MATCH(H153,Settings!$F$2:$F$4,0)),""))</f>
        <v/>
      </c>
      <c r="J153" s="38"/>
      <c r="K153" s="48"/>
      <c r="L153" s="17"/>
      <c r="M153" s="38"/>
      <c r="N153" s="38"/>
      <c r="O153" s="42" t="str">
        <f aca="false">IF(N153="","",WORKDAY(N153,Settings!$S$4))</f>
        <v/>
      </c>
      <c r="P153" s="17"/>
      <c r="Q153" s="44" t="str">
        <f aca="true">IF(C153="","",IF(P153="Backed out",IF(S153="Paid","Refunded – closed",IF(R153="","Refund – log reason first","Refund in progress")),IF(K153="","Awaiting payment",IF(N153="",IF(M153="","Schedule free video","Free video in production"),IF(P153="Approved","Active",IF(TODAY()&gt;O153,"Active – plan went ahead","Decision pending – "&amp;NETWORKDAYS(TODAY(),O153)&amp;" working day(s) left"))))))</f>
        <v/>
      </c>
      <c r="R153" s="17"/>
      <c r="S153" s="17"/>
      <c r="T153" s="48"/>
      <c r="U153" s="38"/>
      <c r="V153" s="38"/>
      <c r="W153" s="42" t="str">
        <f aca="false">IF(V153="","",EDATE(V153,Settings!$S$6))</f>
        <v/>
      </c>
      <c r="X153" s="17"/>
      <c r="Y153" s="17"/>
      <c r="Z153" s="17"/>
    </row>
    <row r="154" customFormat="false" ht="15" hidden="false" customHeight="false" outlineLevel="0" collapsed="false">
      <c r="A154" s="17"/>
      <c r="B154" s="17"/>
      <c r="C154" s="17"/>
      <c r="D154" s="17"/>
      <c r="E154" s="40"/>
      <c r="F154" s="17"/>
      <c r="G154" s="17"/>
      <c r="H154" s="17"/>
      <c r="I154" s="47" t="str">
        <f aca="false">IF(H154="","",IFERROR(INDEX(Settings!$G$2:$G$4,MATCH(H154,Settings!$F$2:$F$4,0)),""))</f>
        <v/>
      </c>
      <c r="J154" s="38"/>
      <c r="K154" s="48"/>
      <c r="L154" s="17"/>
      <c r="M154" s="38"/>
      <c r="N154" s="38"/>
      <c r="O154" s="42" t="str">
        <f aca="false">IF(N154="","",WORKDAY(N154,Settings!$S$4))</f>
        <v/>
      </c>
      <c r="P154" s="17"/>
      <c r="Q154" s="44" t="str">
        <f aca="true">IF(C154="","",IF(P154="Backed out",IF(S154="Paid","Refunded – closed",IF(R154="","Refund – log reason first","Refund in progress")),IF(K154="","Awaiting payment",IF(N154="",IF(M154="","Schedule free video","Free video in production"),IF(P154="Approved","Active",IF(TODAY()&gt;O154,"Active – plan went ahead","Decision pending – "&amp;NETWORKDAYS(TODAY(),O154)&amp;" working day(s) left"))))))</f>
        <v/>
      </c>
      <c r="R154" s="17"/>
      <c r="S154" s="17"/>
      <c r="T154" s="48"/>
      <c r="U154" s="38"/>
      <c r="V154" s="38"/>
      <c r="W154" s="42" t="str">
        <f aca="false">IF(V154="","",EDATE(V154,Settings!$S$6))</f>
        <v/>
      </c>
      <c r="X154" s="17"/>
      <c r="Y154" s="17"/>
      <c r="Z154" s="17"/>
    </row>
    <row r="155" customFormat="false" ht="15" hidden="false" customHeight="false" outlineLevel="0" collapsed="false">
      <c r="A155" s="17"/>
      <c r="B155" s="17"/>
      <c r="C155" s="17"/>
      <c r="D155" s="17"/>
      <c r="E155" s="40"/>
      <c r="F155" s="17"/>
      <c r="G155" s="17"/>
      <c r="H155" s="17"/>
      <c r="I155" s="47" t="str">
        <f aca="false">IF(H155="","",IFERROR(INDEX(Settings!$G$2:$G$4,MATCH(H155,Settings!$F$2:$F$4,0)),""))</f>
        <v/>
      </c>
      <c r="J155" s="38"/>
      <c r="K155" s="48"/>
      <c r="L155" s="17"/>
      <c r="M155" s="38"/>
      <c r="N155" s="38"/>
      <c r="O155" s="42" t="str">
        <f aca="false">IF(N155="","",WORKDAY(N155,Settings!$S$4))</f>
        <v/>
      </c>
      <c r="P155" s="17"/>
      <c r="Q155" s="44" t="str">
        <f aca="true">IF(C155="","",IF(P155="Backed out",IF(S155="Paid","Refunded – closed",IF(R155="","Refund – log reason first","Refund in progress")),IF(K155="","Awaiting payment",IF(N155="",IF(M155="","Schedule free video","Free video in production"),IF(P155="Approved","Active",IF(TODAY()&gt;O155,"Active – plan went ahead","Decision pending – "&amp;NETWORKDAYS(TODAY(),O155)&amp;" working day(s) left"))))))</f>
        <v/>
      </c>
      <c r="R155" s="17"/>
      <c r="S155" s="17"/>
      <c r="T155" s="48"/>
      <c r="U155" s="38"/>
      <c r="V155" s="38"/>
      <c r="W155" s="42" t="str">
        <f aca="false">IF(V155="","",EDATE(V155,Settings!$S$6))</f>
        <v/>
      </c>
      <c r="X155" s="17"/>
      <c r="Y155" s="17"/>
      <c r="Z155" s="17"/>
    </row>
    <row r="156" customFormat="false" ht="15" hidden="false" customHeight="false" outlineLevel="0" collapsed="false">
      <c r="A156" s="17"/>
      <c r="B156" s="17"/>
      <c r="C156" s="17"/>
      <c r="D156" s="17"/>
      <c r="E156" s="40"/>
      <c r="F156" s="17"/>
      <c r="G156" s="17"/>
      <c r="H156" s="17"/>
      <c r="I156" s="47" t="str">
        <f aca="false">IF(H156="","",IFERROR(INDEX(Settings!$G$2:$G$4,MATCH(H156,Settings!$F$2:$F$4,0)),""))</f>
        <v/>
      </c>
      <c r="J156" s="38"/>
      <c r="K156" s="48"/>
      <c r="L156" s="17"/>
      <c r="M156" s="38"/>
      <c r="N156" s="38"/>
      <c r="O156" s="42" t="str">
        <f aca="false">IF(N156="","",WORKDAY(N156,Settings!$S$4))</f>
        <v/>
      </c>
      <c r="P156" s="17"/>
      <c r="Q156" s="44" t="str">
        <f aca="true">IF(C156="","",IF(P156="Backed out",IF(S156="Paid","Refunded – closed",IF(R156="","Refund – log reason first","Refund in progress")),IF(K156="","Awaiting payment",IF(N156="",IF(M156="","Schedule free video","Free video in production"),IF(P156="Approved","Active",IF(TODAY()&gt;O156,"Active – plan went ahead","Decision pending – "&amp;NETWORKDAYS(TODAY(),O156)&amp;" working day(s) left"))))))</f>
        <v/>
      </c>
      <c r="R156" s="17"/>
      <c r="S156" s="17"/>
      <c r="T156" s="48"/>
      <c r="U156" s="38"/>
      <c r="V156" s="38"/>
      <c r="W156" s="42" t="str">
        <f aca="false">IF(V156="","",EDATE(V156,Settings!$S$6))</f>
        <v/>
      </c>
      <c r="X156" s="17"/>
      <c r="Y156" s="17"/>
      <c r="Z156" s="17"/>
    </row>
    <row r="157" customFormat="false" ht="15" hidden="false" customHeight="false" outlineLevel="0" collapsed="false">
      <c r="A157" s="17"/>
      <c r="B157" s="17"/>
      <c r="C157" s="17"/>
      <c r="D157" s="17"/>
      <c r="E157" s="40"/>
      <c r="F157" s="17"/>
      <c r="G157" s="17"/>
      <c r="H157" s="17"/>
      <c r="I157" s="47" t="str">
        <f aca="false">IF(H157="","",IFERROR(INDEX(Settings!$G$2:$G$4,MATCH(H157,Settings!$F$2:$F$4,0)),""))</f>
        <v/>
      </c>
      <c r="J157" s="38"/>
      <c r="K157" s="48"/>
      <c r="L157" s="17"/>
      <c r="M157" s="38"/>
      <c r="N157" s="38"/>
      <c r="O157" s="42" t="str">
        <f aca="false">IF(N157="","",WORKDAY(N157,Settings!$S$4))</f>
        <v/>
      </c>
      <c r="P157" s="17"/>
      <c r="Q157" s="44" t="str">
        <f aca="true">IF(C157="","",IF(P157="Backed out",IF(S157="Paid","Refunded – closed",IF(R157="","Refund – log reason first","Refund in progress")),IF(K157="","Awaiting payment",IF(N157="",IF(M157="","Schedule free video","Free video in production"),IF(P157="Approved","Active",IF(TODAY()&gt;O157,"Active – plan went ahead","Decision pending – "&amp;NETWORKDAYS(TODAY(),O157)&amp;" working day(s) left"))))))</f>
        <v/>
      </c>
      <c r="R157" s="17"/>
      <c r="S157" s="17"/>
      <c r="T157" s="48"/>
      <c r="U157" s="38"/>
      <c r="V157" s="38"/>
      <c r="W157" s="42" t="str">
        <f aca="false">IF(V157="","",EDATE(V157,Settings!$S$6))</f>
        <v/>
      </c>
      <c r="X157" s="17"/>
      <c r="Y157" s="17"/>
      <c r="Z157" s="17"/>
    </row>
    <row r="158" customFormat="false" ht="15" hidden="false" customHeight="false" outlineLevel="0" collapsed="false">
      <c r="A158" s="17"/>
      <c r="B158" s="17"/>
      <c r="C158" s="17"/>
      <c r="D158" s="17"/>
      <c r="E158" s="40"/>
      <c r="F158" s="17"/>
      <c r="G158" s="17"/>
      <c r="H158" s="17"/>
      <c r="I158" s="47" t="str">
        <f aca="false">IF(H158="","",IFERROR(INDEX(Settings!$G$2:$G$4,MATCH(H158,Settings!$F$2:$F$4,0)),""))</f>
        <v/>
      </c>
      <c r="J158" s="38"/>
      <c r="K158" s="48"/>
      <c r="L158" s="17"/>
      <c r="M158" s="38"/>
      <c r="N158" s="38"/>
      <c r="O158" s="42" t="str">
        <f aca="false">IF(N158="","",WORKDAY(N158,Settings!$S$4))</f>
        <v/>
      </c>
      <c r="P158" s="17"/>
      <c r="Q158" s="44" t="str">
        <f aca="true">IF(C158="","",IF(P158="Backed out",IF(S158="Paid","Refunded – closed",IF(R158="","Refund – log reason first","Refund in progress")),IF(K158="","Awaiting payment",IF(N158="",IF(M158="","Schedule free video","Free video in production"),IF(P158="Approved","Active",IF(TODAY()&gt;O158,"Active – plan went ahead","Decision pending – "&amp;NETWORKDAYS(TODAY(),O158)&amp;" working day(s) left"))))))</f>
        <v/>
      </c>
      <c r="R158" s="17"/>
      <c r="S158" s="17"/>
      <c r="T158" s="48"/>
      <c r="U158" s="38"/>
      <c r="V158" s="38"/>
      <c r="W158" s="42" t="str">
        <f aca="false">IF(V158="","",EDATE(V158,Settings!$S$6))</f>
        <v/>
      </c>
      <c r="X158" s="17"/>
      <c r="Y158" s="17"/>
      <c r="Z158" s="17"/>
    </row>
    <row r="159" customFormat="false" ht="15" hidden="false" customHeight="false" outlineLevel="0" collapsed="false">
      <c r="A159" s="17"/>
      <c r="B159" s="17"/>
      <c r="C159" s="17"/>
      <c r="D159" s="17"/>
      <c r="E159" s="40"/>
      <c r="F159" s="17"/>
      <c r="G159" s="17"/>
      <c r="H159" s="17"/>
      <c r="I159" s="47" t="str">
        <f aca="false">IF(H159="","",IFERROR(INDEX(Settings!$G$2:$G$4,MATCH(H159,Settings!$F$2:$F$4,0)),""))</f>
        <v/>
      </c>
      <c r="J159" s="38"/>
      <c r="K159" s="48"/>
      <c r="L159" s="17"/>
      <c r="M159" s="38"/>
      <c r="N159" s="38"/>
      <c r="O159" s="42" t="str">
        <f aca="false">IF(N159="","",WORKDAY(N159,Settings!$S$4))</f>
        <v/>
      </c>
      <c r="P159" s="17"/>
      <c r="Q159" s="44" t="str">
        <f aca="true">IF(C159="","",IF(P159="Backed out",IF(S159="Paid","Refunded – closed",IF(R159="","Refund – log reason first","Refund in progress")),IF(K159="","Awaiting payment",IF(N159="",IF(M159="","Schedule free video","Free video in production"),IF(P159="Approved","Active",IF(TODAY()&gt;O159,"Active – plan went ahead","Decision pending – "&amp;NETWORKDAYS(TODAY(),O159)&amp;" working day(s) left"))))))</f>
        <v/>
      </c>
      <c r="R159" s="17"/>
      <c r="S159" s="17"/>
      <c r="T159" s="48"/>
      <c r="U159" s="38"/>
      <c r="V159" s="38"/>
      <c r="W159" s="42" t="str">
        <f aca="false">IF(V159="","",EDATE(V159,Settings!$S$6))</f>
        <v/>
      </c>
      <c r="X159" s="17"/>
      <c r="Y159" s="17"/>
      <c r="Z159" s="17"/>
    </row>
    <row r="160" customFormat="false" ht="15" hidden="false" customHeight="false" outlineLevel="0" collapsed="false">
      <c r="A160" s="17"/>
      <c r="B160" s="17"/>
      <c r="C160" s="17"/>
      <c r="D160" s="17"/>
      <c r="E160" s="40"/>
      <c r="F160" s="17"/>
      <c r="G160" s="17"/>
      <c r="H160" s="17"/>
      <c r="I160" s="47" t="str">
        <f aca="false">IF(H160="","",IFERROR(INDEX(Settings!$G$2:$G$4,MATCH(H160,Settings!$F$2:$F$4,0)),""))</f>
        <v/>
      </c>
      <c r="J160" s="38"/>
      <c r="K160" s="48"/>
      <c r="L160" s="17"/>
      <c r="M160" s="38"/>
      <c r="N160" s="38"/>
      <c r="O160" s="42" t="str">
        <f aca="false">IF(N160="","",WORKDAY(N160,Settings!$S$4))</f>
        <v/>
      </c>
      <c r="P160" s="17"/>
      <c r="Q160" s="44" t="str">
        <f aca="true">IF(C160="","",IF(P160="Backed out",IF(S160="Paid","Refunded – closed",IF(R160="","Refund – log reason first","Refund in progress")),IF(K160="","Awaiting payment",IF(N160="",IF(M160="","Schedule free video","Free video in production"),IF(P160="Approved","Active",IF(TODAY()&gt;O160,"Active – plan went ahead","Decision pending – "&amp;NETWORKDAYS(TODAY(),O160)&amp;" working day(s) left"))))))</f>
        <v/>
      </c>
      <c r="R160" s="17"/>
      <c r="S160" s="17"/>
      <c r="T160" s="48"/>
      <c r="U160" s="38"/>
      <c r="V160" s="38"/>
      <c r="W160" s="42" t="str">
        <f aca="false">IF(V160="","",EDATE(V160,Settings!$S$6))</f>
        <v/>
      </c>
      <c r="X160" s="17"/>
      <c r="Y160" s="17"/>
      <c r="Z160" s="17"/>
    </row>
    <row r="161" customFormat="false" ht="15" hidden="false" customHeight="false" outlineLevel="0" collapsed="false">
      <c r="A161" s="17"/>
      <c r="B161" s="17"/>
      <c r="C161" s="17"/>
      <c r="D161" s="17"/>
      <c r="E161" s="40"/>
      <c r="F161" s="17"/>
      <c r="G161" s="17"/>
      <c r="H161" s="17"/>
      <c r="I161" s="47" t="str">
        <f aca="false">IF(H161="","",IFERROR(INDEX(Settings!$G$2:$G$4,MATCH(H161,Settings!$F$2:$F$4,0)),""))</f>
        <v/>
      </c>
      <c r="J161" s="38"/>
      <c r="K161" s="48"/>
      <c r="L161" s="17"/>
      <c r="M161" s="38"/>
      <c r="N161" s="38"/>
      <c r="O161" s="42" t="str">
        <f aca="false">IF(N161="","",WORKDAY(N161,Settings!$S$4))</f>
        <v/>
      </c>
      <c r="P161" s="17"/>
      <c r="Q161" s="44" t="str">
        <f aca="true">IF(C161="","",IF(P161="Backed out",IF(S161="Paid","Refunded – closed",IF(R161="","Refund – log reason first","Refund in progress")),IF(K161="","Awaiting payment",IF(N161="",IF(M161="","Schedule free video","Free video in production"),IF(P161="Approved","Active",IF(TODAY()&gt;O161,"Active – plan went ahead","Decision pending – "&amp;NETWORKDAYS(TODAY(),O161)&amp;" working day(s) left"))))))</f>
        <v/>
      </c>
      <c r="R161" s="17"/>
      <c r="S161" s="17"/>
      <c r="T161" s="48"/>
      <c r="U161" s="38"/>
      <c r="V161" s="38"/>
      <c r="W161" s="42" t="str">
        <f aca="false">IF(V161="","",EDATE(V161,Settings!$S$6))</f>
        <v/>
      </c>
      <c r="X161" s="17"/>
      <c r="Y161" s="17"/>
      <c r="Z161" s="17"/>
    </row>
    <row r="162" customFormat="false" ht="15" hidden="false" customHeight="false" outlineLevel="0" collapsed="false">
      <c r="A162" s="17"/>
      <c r="B162" s="17"/>
      <c r="C162" s="17"/>
      <c r="D162" s="17"/>
      <c r="E162" s="40"/>
      <c r="F162" s="17"/>
      <c r="G162" s="17"/>
      <c r="H162" s="17"/>
      <c r="I162" s="47" t="str">
        <f aca="false">IF(H162="","",IFERROR(INDEX(Settings!$G$2:$G$4,MATCH(H162,Settings!$F$2:$F$4,0)),""))</f>
        <v/>
      </c>
      <c r="J162" s="38"/>
      <c r="K162" s="48"/>
      <c r="L162" s="17"/>
      <c r="M162" s="38"/>
      <c r="N162" s="38"/>
      <c r="O162" s="42" t="str">
        <f aca="false">IF(N162="","",WORKDAY(N162,Settings!$S$4))</f>
        <v/>
      </c>
      <c r="P162" s="17"/>
      <c r="Q162" s="44" t="str">
        <f aca="true">IF(C162="","",IF(P162="Backed out",IF(S162="Paid","Refunded – closed",IF(R162="","Refund – log reason first","Refund in progress")),IF(K162="","Awaiting payment",IF(N162="",IF(M162="","Schedule free video","Free video in production"),IF(P162="Approved","Active",IF(TODAY()&gt;O162,"Active – plan went ahead","Decision pending – "&amp;NETWORKDAYS(TODAY(),O162)&amp;" working day(s) left"))))))</f>
        <v/>
      </c>
      <c r="R162" s="17"/>
      <c r="S162" s="17"/>
      <c r="T162" s="48"/>
      <c r="U162" s="38"/>
      <c r="V162" s="38"/>
      <c r="W162" s="42" t="str">
        <f aca="false">IF(V162="","",EDATE(V162,Settings!$S$6))</f>
        <v/>
      </c>
      <c r="X162" s="17"/>
      <c r="Y162" s="17"/>
      <c r="Z162" s="17"/>
    </row>
    <row r="163" customFormat="false" ht="15" hidden="false" customHeight="false" outlineLevel="0" collapsed="false">
      <c r="A163" s="17"/>
      <c r="B163" s="17"/>
      <c r="C163" s="17"/>
      <c r="D163" s="17"/>
      <c r="E163" s="40"/>
      <c r="F163" s="17"/>
      <c r="G163" s="17"/>
      <c r="H163" s="17"/>
      <c r="I163" s="47" t="str">
        <f aca="false">IF(H163="","",IFERROR(INDEX(Settings!$G$2:$G$4,MATCH(H163,Settings!$F$2:$F$4,0)),""))</f>
        <v/>
      </c>
      <c r="J163" s="38"/>
      <c r="K163" s="48"/>
      <c r="L163" s="17"/>
      <c r="M163" s="38"/>
      <c r="N163" s="38"/>
      <c r="O163" s="42" t="str">
        <f aca="false">IF(N163="","",WORKDAY(N163,Settings!$S$4))</f>
        <v/>
      </c>
      <c r="P163" s="17"/>
      <c r="Q163" s="44" t="str">
        <f aca="true">IF(C163="","",IF(P163="Backed out",IF(S163="Paid","Refunded – closed",IF(R163="","Refund – log reason first","Refund in progress")),IF(K163="","Awaiting payment",IF(N163="",IF(M163="","Schedule free video","Free video in production"),IF(P163="Approved","Active",IF(TODAY()&gt;O163,"Active – plan went ahead","Decision pending – "&amp;NETWORKDAYS(TODAY(),O163)&amp;" working day(s) left"))))))</f>
        <v/>
      </c>
      <c r="R163" s="17"/>
      <c r="S163" s="17"/>
      <c r="T163" s="48"/>
      <c r="U163" s="38"/>
      <c r="V163" s="38"/>
      <c r="W163" s="42" t="str">
        <f aca="false">IF(V163="","",EDATE(V163,Settings!$S$6))</f>
        <v/>
      </c>
      <c r="X163" s="17"/>
      <c r="Y163" s="17"/>
      <c r="Z163" s="17"/>
    </row>
    <row r="164" customFormat="false" ht="15" hidden="false" customHeight="false" outlineLevel="0" collapsed="false">
      <c r="A164" s="17"/>
      <c r="B164" s="17"/>
      <c r="C164" s="17"/>
      <c r="D164" s="17"/>
      <c r="E164" s="40"/>
      <c r="F164" s="17"/>
      <c r="G164" s="17"/>
      <c r="H164" s="17"/>
      <c r="I164" s="47" t="str">
        <f aca="false">IF(H164="","",IFERROR(INDEX(Settings!$G$2:$G$4,MATCH(H164,Settings!$F$2:$F$4,0)),""))</f>
        <v/>
      </c>
      <c r="J164" s="38"/>
      <c r="K164" s="48"/>
      <c r="L164" s="17"/>
      <c r="M164" s="38"/>
      <c r="N164" s="38"/>
      <c r="O164" s="42" t="str">
        <f aca="false">IF(N164="","",WORKDAY(N164,Settings!$S$4))</f>
        <v/>
      </c>
      <c r="P164" s="17"/>
      <c r="Q164" s="44" t="str">
        <f aca="true">IF(C164="","",IF(P164="Backed out",IF(S164="Paid","Refunded – closed",IF(R164="","Refund – log reason first","Refund in progress")),IF(K164="","Awaiting payment",IF(N164="",IF(M164="","Schedule free video","Free video in production"),IF(P164="Approved","Active",IF(TODAY()&gt;O164,"Active – plan went ahead","Decision pending – "&amp;NETWORKDAYS(TODAY(),O164)&amp;" working day(s) left"))))))</f>
        <v/>
      </c>
      <c r="R164" s="17"/>
      <c r="S164" s="17"/>
      <c r="T164" s="48"/>
      <c r="U164" s="38"/>
      <c r="V164" s="38"/>
      <c r="W164" s="42" t="str">
        <f aca="false">IF(V164="","",EDATE(V164,Settings!$S$6))</f>
        <v/>
      </c>
      <c r="X164" s="17"/>
      <c r="Y164" s="17"/>
      <c r="Z164" s="17"/>
    </row>
    <row r="165" customFormat="false" ht="15" hidden="false" customHeight="false" outlineLevel="0" collapsed="false">
      <c r="A165" s="17"/>
      <c r="B165" s="17"/>
      <c r="C165" s="17"/>
      <c r="D165" s="17"/>
      <c r="E165" s="40"/>
      <c r="F165" s="17"/>
      <c r="G165" s="17"/>
      <c r="H165" s="17"/>
      <c r="I165" s="47" t="str">
        <f aca="false">IF(H165="","",IFERROR(INDEX(Settings!$G$2:$G$4,MATCH(H165,Settings!$F$2:$F$4,0)),""))</f>
        <v/>
      </c>
      <c r="J165" s="38"/>
      <c r="K165" s="48"/>
      <c r="L165" s="17"/>
      <c r="M165" s="38"/>
      <c r="N165" s="38"/>
      <c r="O165" s="42" t="str">
        <f aca="false">IF(N165="","",WORKDAY(N165,Settings!$S$4))</f>
        <v/>
      </c>
      <c r="P165" s="17"/>
      <c r="Q165" s="44" t="str">
        <f aca="true">IF(C165="","",IF(P165="Backed out",IF(S165="Paid","Refunded – closed",IF(R165="","Refund – log reason first","Refund in progress")),IF(K165="","Awaiting payment",IF(N165="",IF(M165="","Schedule free video","Free video in production"),IF(P165="Approved","Active",IF(TODAY()&gt;O165,"Active – plan went ahead","Decision pending – "&amp;NETWORKDAYS(TODAY(),O165)&amp;" working day(s) left"))))))</f>
        <v/>
      </c>
      <c r="R165" s="17"/>
      <c r="S165" s="17"/>
      <c r="T165" s="48"/>
      <c r="U165" s="38"/>
      <c r="V165" s="38"/>
      <c r="W165" s="42" t="str">
        <f aca="false">IF(V165="","",EDATE(V165,Settings!$S$6))</f>
        <v/>
      </c>
      <c r="X165" s="17"/>
      <c r="Y165" s="17"/>
      <c r="Z165" s="17"/>
    </row>
    <row r="166" customFormat="false" ht="15" hidden="false" customHeight="false" outlineLevel="0" collapsed="false">
      <c r="A166" s="17"/>
      <c r="B166" s="17"/>
      <c r="C166" s="17"/>
      <c r="D166" s="17"/>
      <c r="E166" s="40"/>
      <c r="F166" s="17"/>
      <c r="G166" s="17"/>
      <c r="H166" s="17"/>
      <c r="I166" s="47" t="str">
        <f aca="false">IF(H166="","",IFERROR(INDEX(Settings!$G$2:$G$4,MATCH(H166,Settings!$F$2:$F$4,0)),""))</f>
        <v/>
      </c>
      <c r="J166" s="38"/>
      <c r="K166" s="48"/>
      <c r="L166" s="17"/>
      <c r="M166" s="38"/>
      <c r="N166" s="38"/>
      <c r="O166" s="42" t="str">
        <f aca="false">IF(N166="","",WORKDAY(N166,Settings!$S$4))</f>
        <v/>
      </c>
      <c r="P166" s="17"/>
      <c r="Q166" s="44" t="str">
        <f aca="true">IF(C166="","",IF(P166="Backed out",IF(S166="Paid","Refunded – closed",IF(R166="","Refund – log reason first","Refund in progress")),IF(K166="","Awaiting payment",IF(N166="",IF(M166="","Schedule free video","Free video in production"),IF(P166="Approved","Active",IF(TODAY()&gt;O166,"Active – plan went ahead","Decision pending – "&amp;NETWORKDAYS(TODAY(),O166)&amp;" working day(s) left"))))))</f>
        <v/>
      </c>
      <c r="R166" s="17"/>
      <c r="S166" s="17"/>
      <c r="T166" s="48"/>
      <c r="U166" s="38"/>
      <c r="V166" s="38"/>
      <c r="W166" s="42" t="str">
        <f aca="false">IF(V166="","",EDATE(V166,Settings!$S$6))</f>
        <v/>
      </c>
      <c r="X166" s="17"/>
      <c r="Y166" s="17"/>
      <c r="Z166" s="17"/>
    </row>
    <row r="167" customFormat="false" ht="15" hidden="false" customHeight="false" outlineLevel="0" collapsed="false">
      <c r="A167" s="17"/>
      <c r="B167" s="17"/>
      <c r="C167" s="17"/>
      <c r="D167" s="17"/>
      <c r="E167" s="40"/>
      <c r="F167" s="17"/>
      <c r="G167" s="17"/>
      <c r="H167" s="17"/>
      <c r="I167" s="47" t="str">
        <f aca="false">IF(H167="","",IFERROR(INDEX(Settings!$G$2:$G$4,MATCH(H167,Settings!$F$2:$F$4,0)),""))</f>
        <v/>
      </c>
      <c r="J167" s="38"/>
      <c r="K167" s="48"/>
      <c r="L167" s="17"/>
      <c r="M167" s="38"/>
      <c r="N167" s="38"/>
      <c r="O167" s="42" t="str">
        <f aca="false">IF(N167="","",WORKDAY(N167,Settings!$S$4))</f>
        <v/>
      </c>
      <c r="P167" s="17"/>
      <c r="Q167" s="44" t="str">
        <f aca="true">IF(C167="","",IF(P167="Backed out",IF(S167="Paid","Refunded – closed",IF(R167="","Refund – log reason first","Refund in progress")),IF(K167="","Awaiting payment",IF(N167="",IF(M167="","Schedule free video","Free video in production"),IF(P167="Approved","Active",IF(TODAY()&gt;O167,"Active – plan went ahead","Decision pending – "&amp;NETWORKDAYS(TODAY(),O167)&amp;" working day(s) left"))))))</f>
        <v/>
      </c>
      <c r="R167" s="17"/>
      <c r="S167" s="17"/>
      <c r="T167" s="48"/>
      <c r="U167" s="38"/>
      <c r="V167" s="38"/>
      <c r="W167" s="42" t="str">
        <f aca="false">IF(V167="","",EDATE(V167,Settings!$S$6))</f>
        <v/>
      </c>
      <c r="X167" s="17"/>
      <c r="Y167" s="17"/>
      <c r="Z167" s="17"/>
    </row>
    <row r="168" customFormat="false" ht="15" hidden="false" customHeight="false" outlineLevel="0" collapsed="false">
      <c r="A168" s="17"/>
      <c r="B168" s="17"/>
      <c r="C168" s="17"/>
      <c r="D168" s="17"/>
      <c r="E168" s="40"/>
      <c r="F168" s="17"/>
      <c r="G168" s="17"/>
      <c r="H168" s="17"/>
      <c r="I168" s="47" t="str">
        <f aca="false">IF(H168="","",IFERROR(INDEX(Settings!$G$2:$G$4,MATCH(H168,Settings!$F$2:$F$4,0)),""))</f>
        <v/>
      </c>
      <c r="J168" s="38"/>
      <c r="K168" s="48"/>
      <c r="L168" s="17"/>
      <c r="M168" s="38"/>
      <c r="N168" s="38"/>
      <c r="O168" s="42" t="str">
        <f aca="false">IF(N168="","",WORKDAY(N168,Settings!$S$4))</f>
        <v/>
      </c>
      <c r="P168" s="17"/>
      <c r="Q168" s="44" t="str">
        <f aca="true">IF(C168="","",IF(P168="Backed out",IF(S168="Paid","Refunded – closed",IF(R168="","Refund – log reason first","Refund in progress")),IF(K168="","Awaiting payment",IF(N168="",IF(M168="","Schedule free video","Free video in production"),IF(P168="Approved","Active",IF(TODAY()&gt;O168,"Active – plan went ahead","Decision pending – "&amp;NETWORKDAYS(TODAY(),O168)&amp;" working day(s) left"))))))</f>
        <v/>
      </c>
      <c r="R168" s="17"/>
      <c r="S168" s="17"/>
      <c r="T168" s="48"/>
      <c r="U168" s="38"/>
      <c r="V168" s="38"/>
      <c r="W168" s="42" t="str">
        <f aca="false">IF(V168="","",EDATE(V168,Settings!$S$6))</f>
        <v/>
      </c>
      <c r="X168" s="17"/>
      <c r="Y168" s="17"/>
      <c r="Z168" s="17"/>
    </row>
    <row r="169" customFormat="false" ht="15" hidden="false" customHeight="false" outlineLevel="0" collapsed="false">
      <c r="A169" s="17"/>
      <c r="B169" s="17"/>
      <c r="C169" s="17"/>
      <c r="D169" s="17"/>
      <c r="E169" s="40"/>
      <c r="F169" s="17"/>
      <c r="G169" s="17"/>
      <c r="H169" s="17"/>
      <c r="I169" s="47" t="str">
        <f aca="false">IF(H169="","",IFERROR(INDEX(Settings!$G$2:$G$4,MATCH(H169,Settings!$F$2:$F$4,0)),""))</f>
        <v/>
      </c>
      <c r="J169" s="38"/>
      <c r="K169" s="48"/>
      <c r="L169" s="17"/>
      <c r="M169" s="38"/>
      <c r="N169" s="38"/>
      <c r="O169" s="42" t="str">
        <f aca="false">IF(N169="","",WORKDAY(N169,Settings!$S$4))</f>
        <v/>
      </c>
      <c r="P169" s="17"/>
      <c r="Q169" s="44" t="str">
        <f aca="true">IF(C169="","",IF(P169="Backed out",IF(S169="Paid","Refunded – closed",IF(R169="","Refund – log reason first","Refund in progress")),IF(K169="","Awaiting payment",IF(N169="",IF(M169="","Schedule free video","Free video in production"),IF(P169="Approved","Active",IF(TODAY()&gt;O169,"Active – plan went ahead","Decision pending – "&amp;NETWORKDAYS(TODAY(),O169)&amp;" working day(s) left"))))))</f>
        <v/>
      </c>
      <c r="R169" s="17"/>
      <c r="S169" s="17"/>
      <c r="T169" s="48"/>
      <c r="U169" s="38"/>
      <c r="V169" s="38"/>
      <c r="W169" s="42" t="str">
        <f aca="false">IF(V169="","",EDATE(V169,Settings!$S$6))</f>
        <v/>
      </c>
      <c r="X169" s="17"/>
      <c r="Y169" s="17"/>
      <c r="Z169" s="17"/>
    </row>
    <row r="170" customFormat="false" ht="15" hidden="false" customHeight="false" outlineLevel="0" collapsed="false">
      <c r="A170" s="17"/>
      <c r="B170" s="17"/>
      <c r="C170" s="17"/>
      <c r="D170" s="17"/>
      <c r="E170" s="40"/>
      <c r="F170" s="17"/>
      <c r="G170" s="17"/>
      <c r="H170" s="17"/>
      <c r="I170" s="47" t="str">
        <f aca="false">IF(H170="","",IFERROR(INDEX(Settings!$G$2:$G$4,MATCH(H170,Settings!$F$2:$F$4,0)),""))</f>
        <v/>
      </c>
      <c r="J170" s="38"/>
      <c r="K170" s="48"/>
      <c r="L170" s="17"/>
      <c r="M170" s="38"/>
      <c r="N170" s="38"/>
      <c r="O170" s="42" t="str">
        <f aca="false">IF(N170="","",WORKDAY(N170,Settings!$S$4))</f>
        <v/>
      </c>
      <c r="P170" s="17"/>
      <c r="Q170" s="44" t="str">
        <f aca="true">IF(C170="","",IF(P170="Backed out",IF(S170="Paid","Refunded – closed",IF(R170="","Refund – log reason first","Refund in progress")),IF(K170="","Awaiting payment",IF(N170="",IF(M170="","Schedule free video","Free video in production"),IF(P170="Approved","Active",IF(TODAY()&gt;O170,"Active – plan went ahead","Decision pending – "&amp;NETWORKDAYS(TODAY(),O170)&amp;" working day(s) left"))))))</f>
        <v/>
      </c>
      <c r="R170" s="17"/>
      <c r="S170" s="17"/>
      <c r="T170" s="48"/>
      <c r="U170" s="38"/>
      <c r="V170" s="38"/>
      <c r="W170" s="42" t="str">
        <f aca="false">IF(V170="","",EDATE(V170,Settings!$S$6))</f>
        <v/>
      </c>
      <c r="X170" s="17"/>
      <c r="Y170" s="17"/>
      <c r="Z170" s="17"/>
    </row>
    <row r="171" customFormat="false" ht="15" hidden="false" customHeight="false" outlineLevel="0" collapsed="false">
      <c r="A171" s="17"/>
      <c r="B171" s="17"/>
      <c r="C171" s="17"/>
      <c r="D171" s="17"/>
      <c r="E171" s="40"/>
      <c r="F171" s="17"/>
      <c r="G171" s="17"/>
      <c r="H171" s="17"/>
      <c r="I171" s="47" t="str">
        <f aca="false">IF(H171="","",IFERROR(INDEX(Settings!$G$2:$G$4,MATCH(H171,Settings!$F$2:$F$4,0)),""))</f>
        <v/>
      </c>
      <c r="J171" s="38"/>
      <c r="K171" s="48"/>
      <c r="L171" s="17"/>
      <c r="M171" s="38"/>
      <c r="N171" s="38"/>
      <c r="O171" s="42" t="str">
        <f aca="false">IF(N171="","",WORKDAY(N171,Settings!$S$4))</f>
        <v/>
      </c>
      <c r="P171" s="17"/>
      <c r="Q171" s="44" t="str">
        <f aca="true">IF(C171="","",IF(P171="Backed out",IF(S171="Paid","Refunded – closed",IF(R171="","Refund – log reason first","Refund in progress")),IF(K171="","Awaiting payment",IF(N171="",IF(M171="","Schedule free video","Free video in production"),IF(P171="Approved","Active",IF(TODAY()&gt;O171,"Active – plan went ahead","Decision pending – "&amp;NETWORKDAYS(TODAY(),O171)&amp;" working day(s) left"))))))</f>
        <v/>
      </c>
      <c r="R171" s="17"/>
      <c r="S171" s="17"/>
      <c r="T171" s="48"/>
      <c r="U171" s="38"/>
      <c r="V171" s="38"/>
      <c r="W171" s="42" t="str">
        <f aca="false">IF(V171="","",EDATE(V171,Settings!$S$6))</f>
        <v/>
      </c>
      <c r="X171" s="17"/>
      <c r="Y171" s="17"/>
      <c r="Z171" s="17"/>
    </row>
    <row r="172" customFormat="false" ht="15" hidden="false" customHeight="false" outlineLevel="0" collapsed="false">
      <c r="A172" s="17"/>
      <c r="B172" s="17"/>
      <c r="C172" s="17"/>
      <c r="D172" s="17"/>
      <c r="E172" s="40"/>
      <c r="F172" s="17"/>
      <c r="G172" s="17"/>
      <c r="H172" s="17"/>
      <c r="I172" s="47" t="str">
        <f aca="false">IF(H172="","",IFERROR(INDEX(Settings!$G$2:$G$4,MATCH(H172,Settings!$F$2:$F$4,0)),""))</f>
        <v/>
      </c>
      <c r="J172" s="38"/>
      <c r="K172" s="48"/>
      <c r="L172" s="17"/>
      <c r="M172" s="38"/>
      <c r="N172" s="38"/>
      <c r="O172" s="42" t="str">
        <f aca="false">IF(N172="","",WORKDAY(N172,Settings!$S$4))</f>
        <v/>
      </c>
      <c r="P172" s="17"/>
      <c r="Q172" s="44" t="str">
        <f aca="true">IF(C172="","",IF(P172="Backed out",IF(S172="Paid","Refunded – closed",IF(R172="","Refund – log reason first","Refund in progress")),IF(K172="","Awaiting payment",IF(N172="",IF(M172="","Schedule free video","Free video in production"),IF(P172="Approved","Active",IF(TODAY()&gt;O172,"Active – plan went ahead","Decision pending – "&amp;NETWORKDAYS(TODAY(),O172)&amp;" working day(s) left"))))))</f>
        <v/>
      </c>
      <c r="R172" s="17"/>
      <c r="S172" s="17"/>
      <c r="T172" s="48"/>
      <c r="U172" s="38"/>
      <c r="V172" s="38"/>
      <c r="W172" s="42" t="str">
        <f aca="false">IF(V172="","",EDATE(V172,Settings!$S$6))</f>
        <v/>
      </c>
      <c r="X172" s="17"/>
      <c r="Y172" s="17"/>
      <c r="Z172" s="17"/>
    </row>
    <row r="173" customFormat="false" ht="15" hidden="false" customHeight="false" outlineLevel="0" collapsed="false">
      <c r="A173" s="17"/>
      <c r="B173" s="17"/>
      <c r="C173" s="17"/>
      <c r="D173" s="17"/>
      <c r="E173" s="40"/>
      <c r="F173" s="17"/>
      <c r="G173" s="17"/>
      <c r="H173" s="17"/>
      <c r="I173" s="47" t="str">
        <f aca="false">IF(H173="","",IFERROR(INDEX(Settings!$G$2:$G$4,MATCH(H173,Settings!$F$2:$F$4,0)),""))</f>
        <v/>
      </c>
      <c r="J173" s="38"/>
      <c r="K173" s="48"/>
      <c r="L173" s="17"/>
      <c r="M173" s="38"/>
      <c r="N173" s="38"/>
      <c r="O173" s="42" t="str">
        <f aca="false">IF(N173="","",WORKDAY(N173,Settings!$S$4))</f>
        <v/>
      </c>
      <c r="P173" s="17"/>
      <c r="Q173" s="44" t="str">
        <f aca="true">IF(C173="","",IF(P173="Backed out",IF(S173="Paid","Refunded – closed",IF(R173="","Refund – log reason first","Refund in progress")),IF(K173="","Awaiting payment",IF(N173="",IF(M173="","Schedule free video","Free video in production"),IF(P173="Approved","Active",IF(TODAY()&gt;O173,"Active – plan went ahead","Decision pending – "&amp;NETWORKDAYS(TODAY(),O173)&amp;" working day(s) left"))))))</f>
        <v/>
      </c>
      <c r="R173" s="17"/>
      <c r="S173" s="17"/>
      <c r="T173" s="48"/>
      <c r="U173" s="38"/>
      <c r="V173" s="38"/>
      <c r="W173" s="42" t="str">
        <f aca="false">IF(V173="","",EDATE(V173,Settings!$S$6))</f>
        <v/>
      </c>
      <c r="X173" s="17"/>
      <c r="Y173" s="17"/>
      <c r="Z173" s="17"/>
    </row>
    <row r="174" customFormat="false" ht="15" hidden="false" customHeight="false" outlineLevel="0" collapsed="false">
      <c r="A174" s="17"/>
      <c r="B174" s="17"/>
      <c r="C174" s="17"/>
      <c r="D174" s="17"/>
      <c r="E174" s="40"/>
      <c r="F174" s="17"/>
      <c r="G174" s="17"/>
      <c r="H174" s="17"/>
      <c r="I174" s="47" t="str">
        <f aca="false">IF(H174="","",IFERROR(INDEX(Settings!$G$2:$G$4,MATCH(H174,Settings!$F$2:$F$4,0)),""))</f>
        <v/>
      </c>
      <c r="J174" s="38"/>
      <c r="K174" s="48"/>
      <c r="L174" s="17"/>
      <c r="M174" s="38"/>
      <c r="N174" s="38"/>
      <c r="O174" s="42" t="str">
        <f aca="false">IF(N174="","",WORKDAY(N174,Settings!$S$4))</f>
        <v/>
      </c>
      <c r="P174" s="17"/>
      <c r="Q174" s="44" t="str">
        <f aca="true">IF(C174="","",IF(P174="Backed out",IF(S174="Paid","Refunded – closed",IF(R174="","Refund – log reason first","Refund in progress")),IF(K174="","Awaiting payment",IF(N174="",IF(M174="","Schedule free video","Free video in production"),IF(P174="Approved","Active",IF(TODAY()&gt;O174,"Active – plan went ahead","Decision pending – "&amp;NETWORKDAYS(TODAY(),O174)&amp;" working day(s) left"))))))</f>
        <v/>
      </c>
      <c r="R174" s="17"/>
      <c r="S174" s="17"/>
      <c r="T174" s="48"/>
      <c r="U174" s="38"/>
      <c r="V174" s="38"/>
      <c r="W174" s="42" t="str">
        <f aca="false">IF(V174="","",EDATE(V174,Settings!$S$6))</f>
        <v/>
      </c>
      <c r="X174" s="17"/>
      <c r="Y174" s="17"/>
      <c r="Z174" s="17"/>
    </row>
    <row r="175" customFormat="false" ht="15" hidden="false" customHeight="false" outlineLevel="0" collapsed="false">
      <c r="A175" s="17"/>
      <c r="B175" s="17"/>
      <c r="C175" s="17"/>
      <c r="D175" s="17"/>
      <c r="E175" s="40"/>
      <c r="F175" s="17"/>
      <c r="G175" s="17"/>
      <c r="H175" s="17"/>
      <c r="I175" s="47" t="str">
        <f aca="false">IF(H175="","",IFERROR(INDEX(Settings!$G$2:$G$4,MATCH(H175,Settings!$F$2:$F$4,0)),""))</f>
        <v/>
      </c>
      <c r="J175" s="38"/>
      <c r="K175" s="48"/>
      <c r="L175" s="17"/>
      <c r="M175" s="38"/>
      <c r="N175" s="38"/>
      <c r="O175" s="42" t="str">
        <f aca="false">IF(N175="","",WORKDAY(N175,Settings!$S$4))</f>
        <v/>
      </c>
      <c r="P175" s="17"/>
      <c r="Q175" s="44" t="str">
        <f aca="true">IF(C175="","",IF(P175="Backed out",IF(S175="Paid","Refunded – closed",IF(R175="","Refund – log reason first","Refund in progress")),IF(K175="","Awaiting payment",IF(N175="",IF(M175="","Schedule free video","Free video in production"),IF(P175="Approved","Active",IF(TODAY()&gt;O175,"Active – plan went ahead","Decision pending – "&amp;NETWORKDAYS(TODAY(),O175)&amp;" working day(s) left"))))))</f>
        <v/>
      </c>
      <c r="R175" s="17"/>
      <c r="S175" s="17"/>
      <c r="T175" s="48"/>
      <c r="U175" s="38"/>
      <c r="V175" s="38"/>
      <c r="W175" s="42" t="str">
        <f aca="false">IF(V175="","",EDATE(V175,Settings!$S$6))</f>
        <v/>
      </c>
      <c r="X175" s="17"/>
      <c r="Y175" s="17"/>
      <c r="Z175" s="17"/>
    </row>
    <row r="176" customFormat="false" ht="15" hidden="false" customHeight="false" outlineLevel="0" collapsed="false">
      <c r="A176" s="17"/>
      <c r="B176" s="17"/>
      <c r="C176" s="17"/>
      <c r="D176" s="17"/>
      <c r="E176" s="40"/>
      <c r="F176" s="17"/>
      <c r="G176" s="17"/>
      <c r="H176" s="17"/>
      <c r="I176" s="47" t="str">
        <f aca="false">IF(H176="","",IFERROR(INDEX(Settings!$G$2:$G$4,MATCH(H176,Settings!$F$2:$F$4,0)),""))</f>
        <v/>
      </c>
      <c r="J176" s="38"/>
      <c r="K176" s="48"/>
      <c r="L176" s="17"/>
      <c r="M176" s="38"/>
      <c r="N176" s="38"/>
      <c r="O176" s="42" t="str">
        <f aca="false">IF(N176="","",WORKDAY(N176,Settings!$S$4))</f>
        <v/>
      </c>
      <c r="P176" s="17"/>
      <c r="Q176" s="44" t="str">
        <f aca="true">IF(C176="","",IF(P176="Backed out",IF(S176="Paid","Refunded – closed",IF(R176="","Refund – log reason first","Refund in progress")),IF(K176="","Awaiting payment",IF(N176="",IF(M176="","Schedule free video","Free video in production"),IF(P176="Approved","Active",IF(TODAY()&gt;O176,"Active – plan went ahead","Decision pending – "&amp;NETWORKDAYS(TODAY(),O176)&amp;" working day(s) left"))))))</f>
        <v/>
      </c>
      <c r="R176" s="17"/>
      <c r="S176" s="17"/>
      <c r="T176" s="48"/>
      <c r="U176" s="38"/>
      <c r="V176" s="38"/>
      <c r="W176" s="42" t="str">
        <f aca="false">IF(V176="","",EDATE(V176,Settings!$S$6))</f>
        <v/>
      </c>
      <c r="X176" s="17"/>
      <c r="Y176" s="17"/>
      <c r="Z176" s="17"/>
    </row>
    <row r="177" customFormat="false" ht="15" hidden="false" customHeight="false" outlineLevel="0" collapsed="false">
      <c r="A177" s="17"/>
      <c r="B177" s="17"/>
      <c r="C177" s="17"/>
      <c r="D177" s="17"/>
      <c r="E177" s="40"/>
      <c r="F177" s="17"/>
      <c r="G177" s="17"/>
      <c r="H177" s="17"/>
      <c r="I177" s="47" t="str">
        <f aca="false">IF(H177="","",IFERROR(INDEX(Settings!$G$2:$G$4,MATCH(H177,Settings!$F$2:$F$4,0)),""))</f>
        <v/>
      </c>
      <c r="J177" s="38"/>
      <c r="K177" s="48"/>
      <c r="L177" s="17"/>
      <c r="M177" s="38"/>
      <c r="N177" s="38"/>
      <c r="O177" s="42" t="str">
        <f aca="false">IF(N177="","",WORKDAY(N177,Settings!$S$4))</f>
        <v/>
      </c>
      <c r="P177" s="17"/>
      <c r="Q177" s="44" t="str">
        <f aca="true">IF(C177="","",IF(P177="Backed out",IF(S177="Paid","Refunded – closed",IF(R177="","Refund – log reason first","Refund in progress")),IF(K177="","Awaiting payment",IF(N177="",IF(M177="","Schedule free video","Free video in production"),IF(P177="Approved","Active",IF(TODAY()&gt;O177,"Active – plan went ahead","Decision pending – "&amp;NETWORKDAYS(TODAY(),O177)&amp;" working day(s) left"))))))</f>
        <v/>
      </c>
      <c r="R177" s="17"/>
      <c r="S177" s="17"/>
      <c r="T177" s="48"/>
      <c r="U177" s="38"/>
      <c r="V177" s="38"/>
      <c r="W177" s="42" t="str">
        <f aca="false">IF(V177="","",EDATE(V177,Settings!$S$6))</f>
        <v/>
      </c>
      <c r="X177" s="17"/>
      <c r="Y177" s="17"/>
      <c r="Z177" s="17"/>
    </row>
    <row r="178" customFormat="false" ht="15" hidden="false" customHeight="false" outlineLevel="0" collapsed="false">
      <c r="A178" s="17"/>
      <c r="B178" s="17"/>
      <c r="C178" s="17"/>
      <c r="D178" s="17"/>
      <c r="E178" s="40"/>
      <c r="F178" s="17"/>
      <c r="G178" s="17"/>
      <c r="H178" s="17"/>
      <c r="I178" s="47" t="str">
        <f aca="false">IF(H178="","",IFERROR(INDEX(Settings!$G$2:$G$4,MATCH(H178,Settings!$F$2:$F$4,0)),""))</f>
        <v/>
      </c>
      <c r="J178" s="38"/>
      <c r="K178" s="48"/>
      <c r="L178" s="17"/>
      <c r="M178" s="38"/>
      <c r="N178" s="38"/>
      <c r="O178" s="42" t="str">
        <f aca="false">IF(N178="","",WORKDAY(N178,Settings!$S$4))</f>
        <v/>
      </c>
      <c r="P178" s="17"/>
      <c r="Q178" s="44" t="str">
        <f aca="true">IF(C178="","",IF(P178="Backed out",IF(S178="Paid","Refunded – closed",IF(R178="","Refund – log reason first","Refund in progress")),IF(K178="","Awaiting payment",IF(N178="",IF(M178="","Schedule free video","Free video in production"),IF(P178="Approved","Active",IF(TODAY()&gt;O178,"Active – plan went ahead","Decision pending – "&amp;NETWORKDAYS(TODAY(),O178)&amp;" working day(s) left"))))))</f>
        <v/>
      </c>
      <c r="R178" s="17"/>
      <c r="S178" s="17"/>
      <c r="T178" s="48"/>
      <c r="U178" s="38"/>
      <c r="V178" s="38"/>
      <c r="W178" s="42" t="str">
        <f aca="false">IF(V178="","",EDATE(V178,Settings!$S$6))</f>
        <v/>
      </c>
      <c r="X178" s="17"/>
      <c r="Y178" s="17"/>
      <c r="Z178" s="17"/>
    </row>
    <row r="179" customFormat="false" ht="15" hidden="false" customHeight="false" outlineLevel="0" collapsed="false">
      <c r="A179" s="17"/>
      <c r="B179" s="17"/>
      <c r="C179" s="17"/>
      <c r="D179" s="17"/>
      <c r="E179" s="40"/>
      <c r="F179" s="17"/>
      <c r="G179" s="17"/>
      <c r="H179" s="17"/>
      <c r="I179" s="47" t="str">
        <f aca="false">IF(H179="","",IFERROR(INDEX(Settings!$G$2:$G$4,MATCH(H179,Settings!$F$2:$F$4,0)),""))</f>
        <v/>
      </c>
      <c r="J179" s="38"/>
      <c r="K179" s="48"/>
      <c r="L179" s="17"/>
      <c r="M179" s="38"/>
      <c r="N179" s="38"/>
      <c r="O179" s="42" t="str">
        <f aca="false">IF(N179="","",WORKDAY(N179,Settings!$S$4))</f>
        <v/>
      </c>
      <c r="P179" s="17"/>
      <c r="Q179" s="44" t="str">
        <f aca="true">IF(C179="","",IF(P179="Backed out",IF(S179="Paid","Refunded – closed",IF(R179="","Refund – log reason first","Refund in progress")),IF(K179="","Awaiting payment",IF(N179="",IF(M179="","Schedule free video","Free video in production"),IF(P179="Approved","Active",IF(TODAY()&gt;O179,"Active – plan went ahead","Decision pending – "&amp;NETWORKDAYS(TODAY(),O179)&amp;" working day(s) left"))))))</f>
        <v/>
      </c>
      <c r="R179" s="17"/>
      <c r="S179" s="17"/>
      <c r="T179" s="48"/>
      <c r="U179" s="38"/>
      <c r="V179" s="38"/>
      <c r="W179" s="42" t="str">
        <f aca="false">IF(V179="","",EDATE(V179,Settings!$S$6))</f>
        <v/>
      </c>
      <c r="X179" s="17"/>
      <c r="Y179" s="17"/>
      <c r="Z179" s="17"/>
    </row>
    <row r="180" customFormat="false" ht="15" hidden="false" customHeight="false" outlineLevel="0" collapsed="false">
      <c r="A180" s="17"/>
      <c r="B180" s="17"/>
      <c r="C180" s="17"/>
      <c r="D180" s="17"/>
      <c r="E180" s="40"/>
      <c r="F180" s="17"/>
      <c r="G180" s="17"/>
      <c r="H180" s="17"/>
      <c r="I180" s="47" t="str">
        <f aca="false">IF(H180="","",IFERROR(INDEX(Settings!$G$2:$G$4,MATCH(H180,Settings!$F$2:$F$4,0)),""))</f>
        <v/>
      </c>
      <c r="J180" s="38"/>
      <c r="K180" s="48"/>
      <c r="L180" s="17"/>
      <c r="M180" s="38"/>
      <c r="N180" s="38"/>
      <c r="O180" s="42" t="str">
        <f aca="false">IF(N180="","",WORKDAY(N180,Settings!$S$4))</f>
        <v/>
      </c>
      <c r="P180" s="17"/>
      <c r="Q180" s="44" t="str">
        <f aca="true">IF(C180="","",IF(P180="Backed out",IF(S180="Paid","Refunded – closed",IF(R180="","Refund – log reason first","Refund in progress")),IF(K180="","Awaiting payment",IF(N180="",IF(M180="","Schedule free video","Free video in production"),IF(P180="Approved","Active",IF(TODAY()&gt;O180,"Active – plan went ahead","Decision pending – "&amp;NETWORKDAYS(TODAY(),O180)&amp;" working day(s) left"))))))</f>
        <v/>
      </c>
      <c r="R180" s="17"/>
      <c r="S180" s="17"/>
      <c r="T180" s="48"/>
      <c r="U180" s="38"/>
      <c r="V180" s="38"/>
      <c r="W180" s="42" t="str">
        <f aca="false">IF(V180="","",EDATE(V180,Settings!$S$6))</f>
        <v/>
      </c>
      <c r="X180" s="17"/>
      <c r="Y180" s="17"/>
      <c r="Z180" s="17"/>
    </row>
    <row r="181" customFormat="false" ht="15" hidden="false" customHeight="false" outlineLevel="0" collapsed="false">
      <c r="A181" s="17"/>
      <c r="B181" s="17"/>
      <c r="C181" s="17"/>
      <c r="D181" s="17"/>
      <c r="E181" s="40"/>
      <c r="F181" s="17"/>
      <c r="G181" s="17"/>
      <c r="H181" s="17"/>
      <c r="I181" s="47" t="str">
        <f aca="false">IF(H181="","",IFERROR(INDEX(Settings!$G$2:$G$4,MATCH(H181,Settings!$F$2:$F$4,0)),""))</f>
        <v/>
      </c>
      <c r="J181" s="38"/>
      <c r="K181" s="48"/>
      <c r="L181" s="17"/>
      <c r="M181" s="38"/>
      <c r="N181" s="38"/>
      <c r="O181" s="42" t="str">
        <f aca="false">IF(N181="","",WORKDAY(N181,Settings!$S$4))</f>
        <v/>
      </c>
      <c r="P181" s="17"/>
      <c r="Q181" s="44" t="str">
        <f aca="true">IF(C181="","",IF(P181="Backed out",IF(S181="Paid","Refunded – closed",IF(R181="","Refund – log reason first","Refund in progress")),IF(K181="","Awaiting payment",IF(N181="",IF(M181="","Schedule free video","Free video in production"),IF(P181="Approved","Active",IF(TODAY()&gt;O181,"Active – plan went ahead","Decision pending – "&amp;NETWORKDAYS(TODAY(),O181)&amp;" working day(s) left"))))))</f>
        <v/>
      </c>
      <c r="R181" s="17"/>
      <c r="S181" s="17"/>
      <c r="T181" s="48"/>
      <c r="U181" s="38"/>
      <c r="V181" s="38"/>
      <c r="W181" s="42" t="str">
        <f aca="false">IF(V181="","",EDATE(V181,Settings!$S$6))</f>
        <v/>
      </c>
      <c r="X181" s="17"/>
      <c r="Y181" s="17"/>
      <c r="Z181" s="17"/>
    </row>
    <row r="182" customFormat="false" ht="15" hidden="false" customHeight="false" outlineLevel="0" collapsed="false">
      <c r="A182" s="17"/>
      <c r="B182" s="17"/>
      <c r="C182" s="17"/>
      <c r="D182" s="17"/>
      <c r="E182" s="40"/>
      <c r="F182" s="17"/>
      <c r="G182" s="17"/>
      <c r="H182" s="17"/>
      <c r="I182" s="47" t="str">
        <f aca="false">IF(H182="","",IFERROR(INDEX(Settings!$G$2:$G$4,MATCH(H182,Settings!$F$2:$F$4,0)),""))</f>
        <v/>
      </c>
      <c r="J182" s="38"/>
      <c r="K182" s="48"/>
      <c r="L182" s="17"/>
      <c r="M182" s="38"/>
      <c r="N182" s="38"/>
      <c r="O182" s="42" t="str">
        <f aca="false">IF(N182="","",WORKDAY(N182,Settings!$S$4))</f>
        <v/>
      </c>
      <c r="P182" s="17"/>
      <c r="Q182" s="44" t="str">
        <f aca="true">IF(C182="","",IF(P182="Backed out",IF(S182="Paid","Refunded – closed",IF(R182="","Refund – log reason first","Refund in progress")),IF(K182="","Awaiting payment",IF(N182="",IF(M182="","Schedule free video","Free video in production"),IF(P182="Approved","Active",IF(TODAY()&gt;O182,"Active – plan went ahead","Decision pending – "&amp;NETWORKDAYS(TODAY(),O182)&amp;" working day(s) left"))))))</f>
        <v/>
      </c>
      <c r="R182" s="17"/>
      <c r="S182" s="17"/>
      <c r="T182" s="48"/>
      <c r="U182" s="38"/>
      <c r="V182" s="38"/>
      <c r="W182" s="42" t="str">
        <f aca="false">IF(V182="","",EDATE(V182,Settings!$S$6))</f>
        <v/>
      </c>
      <c r="X182" s="17"/>
      <c r="Y182" s="17"/>
      <c r="Z182" s="17"/>
    </row>
    <row r="183" customFormat="false" ht="15" hidden="false" customHeight="false" outlineLevel="0" collapsed="false">
      <c r="A183" s="17"/>
      <c r="B183" s="17"/>
      <c r="C183" s="17"/>
      <c r="D183" s="17"/>
      <c r="E183" s="40"/>
      <c r="F183" s="17"/>
      <c r="G183" s="17"/>
      <c r="H183" s="17"/>
      <c r="I183" s="47" t="str">
        <f aca="false">IF(H183="","",IFERROR(INDEX(Settings!$G$2:$G$4,MATCH(H183,Settings!$F$2:$F$4,0)),""))</f>
        <v/>
      </c>
      <c r="J183" s="38"/>
      <c r="K183" s="48"/>
      <c r="L183" s="17"/>
      <c r="M183" s="38"/>
      <c r="N183" s="38"/>
      <c r="O183" s="42" t="str">
        <f aca="false">IF(N183="","",WORKDAY(N183,Settings!$S$4))</f>
        <v/>
      </c>
      <c r="P183" s="17"/>
      <c r="Q183" s="44" t="str">
        <f aca="true">IF(C183="","",IF(P183="Backed out",IF(S183="Paid","Refunded – closed",IF(R183="","Refund – log reason first","Refund in progress")),IF(K183="","Awaiting payment",IF(N183="",IF(M183="","Schedule free video","Free video in production"),IF(P183="Approved","Active",IF(TODAY()&gt;O183,"Active – plan went ahead","Decision pending – "&amp;NETWORKDAYS(TODAY(),O183)&amp;" working day(s) left"))))))</f>
        <v/>
      </c>
      <c r="R183" s="17"/>
      <c r="S183" s="17"/>
      <c r="T183" s="48"/>
      <c r="U183" s="38"/>
      <c r="V183" s="38"/>
      <c r="W183" s="42" t="str">
        <f aca="false">IF(V183="","",EDATE(V183,Settings!$S$6))</f>
        <v/>
      </c>
      <c r="X183" s="17"/>
      <c r="Y183" s="17"/>
      <c r="Z183" s="17"/>
    </row>
    <row r="184" customFormat="false" ht="15" hidden="false" customHeight="false" outlineLevel="0" collapsed="false">
      <c r="A184" s="17"/>
      <c r="B184" s="17"/>
      <c r="C184" s="17"/>
      <c r="D184" s="17"/>
      <c r="E184" s="40"/>
      <c r="F184" s="17"/>
      <c r="G184" s="17"/>
      <c r="H184" s="17"/>
      <c r="I184" s="47" t="str">
        <f aca="false">IF(H184="","",IFERROR(INDEX(Settings!$G$2:$G$4,MATCH(H184,Settings!$F$2:$F$4,0)),""))</f>
        <v/>
      </c>
      <c r="J184" s="38"/>
      <c r="K184" s="48"/>
      <c r="L184" s="17"/>
      <c r="M184" s="38"/>
      <c r="N184" s="38"/>
      <c r="O184" s="42" t="str">
        <f aca="false">IF(N184="","",WORKDAY(N184,Settings!$S$4))</f>
        <v/>
      </c>
      <c r="P184" s="17"/>
      <c r="Q184" s="44" t="str">
        <f aca="true">IF(C184="","",IF(P184="Backed out",IF(S184="Paid","Refunded – closed",IF(R184="","Refund – log reason first","Refund in progress")),IF(K184="","Awaiting payment",IF(N184="",IF(M184="","Schedule free video","Free video in production"),IF(P184="Approved","Active",IF(TODAY()&gt;O184,"Active – plan went ahead","Decision pending – "&amp;NETWORKDAYS(TODAY(),O184)&amp;" working day(s) left"))))))</f>
        <v/>
      </c>
      <c r="R184" s="17"/>
      <c r="S184" s="17"/>
      <c r="T184" s="48"/>
      <c r="U184" s="38"/>
      <c r="V184" s="38"/>
      <c r="W184" s="42" t="str">
        <f aca="false">IF(V184="","",EDATE(V184,Settings!$S$6))</f>
        <v/>
      </c>
      <c r="X184" s="17"/>
      <c r="Y184" s="17"/>
      <c r="Z184" s="17"/>
    </row>
    <row r="185" customFormat="false" ht="15" hidden="false" customHeight="false" outlineLevel="0" collapsed="false">
      <c r="A185" s="17"/>
      <c r="B185" s="17"/>
      <c r="C185" s="17"/>
      <c r="D185" s="17"/>
      <c r="E185" s="40"/>
      <c r="F185" s="17"/>
      <c r="G185" s="17"/>
      <c r="H185" s="17"/>
      <c r="I185" s="47" t="str">
        <f aca="false">IF(H185="","",IFERROR(INDEX(Settings!$G$2:$G$4,MATCH(H185,Settings!$F$2:$F$4,0)),""))</f>
        <v/>
      </c>
      <c r="J185" s="38"/>
      <c r="K185" s="48"/>
      <c r="L185" s="17"/>
      <c r="M185" s="38"/>
      <c r="N185" s="38"/>
      <c r="O185" s="42" t="str">
        <f aca="false">IF(N185="","",WORKDAY(N185,Settings!$S$4))</f>
        <v/>
      </c>
      <c r="P185" s="17"/>
      <c r="Q185" s="44" t="str">
        <f aca="true">IF(C185="","",IF(P185="Backed out",IF(S185="Paid","Refunded – closed",IF(R185="","Refund – log reason first","Refund in progress")),IF(K185="","Awaiting payment",IF(N185="",IF(M185="","Schedule free video","Free video in production"),IF(P185="Approved","Active",IF(TODAY()&gt;O185,"Active – plan went ahead","Decision pending – "&amp;NETWORKDAYS(TODAY(),O185)&amp;" working day(s) left"))))))</f>
        <v/>
      </c>
      <c r="R185" s="17"/>
      <c r="S185" s="17"/>
      <c r="T185" s="48"/>
      <c r="U185" s="38"/>
      <c r="V185" s="38"/>
      <c r="W185" s="42" t="str">
        <f aca="false">IF(V185="","",EDATE(V185,Settings!$S$6))</f>
        <v/>
      </c>
      <c r="X185" s="17"/>
      <c r="Y185" s="17"/>
      <c r="Z185" s="17"/>
    </row>
    <row r="186" customFormat="false" ht="15" hidden="false" customHeight="false" outlineLevel="0" collapsed="false">
      <c r="A186" s="17"/>
      <c r="B186" s="17"/>
      <c r="C186" s="17"/>
      <c r="D186" s="17"/>
      <c r="E186" s="40"/>
      <c r="F186" s="17"/>
      <c r="G186" s="17"/>
      <c r="H186" s="17"/>
      <c r="I186" s="47" t="str">
        <f aca="false">IF(H186="","",IFERROR(INDEX(Settings!$G$2:$G$4,MATCH(H186,Settings!$F$2:$F$4,0)),""))</f>
        <v/>
      </c>
      <c r="J186" s="38"/>
      <c r="K186" s="48"/>
      <c r="L186" s="17"/>
      <c r="M186" s="38"/>
      <c r="N186" s="38"/>
      <c r="O186" s="42" t="str">
        <f aca="false">IF(N186="","",WORKDAY(N186,Settings!$S$4))</f>
        <v/>
      </c>
      <c r="P186" s="17"/>
      <c r="Q186" s="44" t="str">
        <f aca="true">IF(C186="","",IF(P186="Backed out",IF(S186="Paid","Refunded – closed",IF(R186="","Refund – log reason first","Refund in progress")),IF(K186="","Awaiting payment",IF(N186="",IF(M186="","Schedule free video","Free video in production"),IF(P186="Approved","Active",IF(TODAY()&gt;O186,"Active – plan went ahead","Decision pending – "&amp;NETWORKDAYS(TODAY(),O186)&amp;" working day(s) left"))))))</f>
        <v/>
      </c>
      <c r="R186" s="17"/>
      <c r="S186" s="17"/>
      <c r="T186" s="48"/>
      <c r="U186" s="38"/>
      <c r="V186" s="38"/>
      <c r="W186" s="42" t="str">
        <f aca="false">IF(V186="","",EDATE(V186,Settings!$S$6))</f>
        <v/>
      </c>
      <c r="X186" s="17"/>
      <c r="Y186" s="17"/>
      <c r="Z186" s="17"/>
    </row>
    <row r="187" customFormat="false" ht="15" hidden="false" customHeight="false" outlineLevel="0" collapsed="false">
      <c r="A187" s="17"/>
      <c r="B187" s="17"/>
      <c r="C187" s="17"/>
      <c r="D187" s="17"/>
      <c r="E187" s="40"/>
      <c r="F187" s="17"/>
      <c r="G187" s="17"/>
      <c r="H187" s="17"/>
      <c r="I187" s="47" t="str">
        <f aca="false">IF(H187="","",IFERROR(INDEX(Settings!$G$2:$G$4,MATCH(H187,Settings!$F$2:$F$4,0)),""))</f>
        <v/>
      </c>
      <c r="J187" s="38"/>
      <c r="K187" s="48"/>
      <c r="L187" s="17"/>
      <c r="M187" s="38"/>
      <c r="N187" s="38"/>
      <c r="O187" s="42" t="str">
        <f aca="false">IF(N187="","",WORKDAY(N187,Settings!$S$4))</f>
        <v/>
      </c>
      <c r="P187" s="17"/>
      <c r="Q187" s="44" t="str">
        <f aca="true">IF(C187="","",IF(P187="Backed out",IF(S187="Paid","Refunded – closed",IF(R187="","Refund – log reason first","Refund in progress")),IF(K187="","Awaiting payment",IF(N187="",IF(M187="","Schedule free video","Free video in production"),IF(P187="Approved","Active",IF(TODAY()&gt;O187,"Active – plan went ahead","Decision pending – "&amp;NETWORKDAYS(TODAY(),O187)&amp;" working day(s) left"))))))</f>
        <v/>
      </c>
      <c r="R187" s="17"/>
      <c r="S187" s="17"/>
      <c r="T187" s="48"/>
      <c r="U187" s="38"/>
      <c r="V187" s="38"/>
      <c r="W187" s="42" t="str">
        <f aca="false">IF(V187="","",EDATE(V187,Settings!$S$6))</f>
        <v/>
      </c>
      <c r="X187" s="17"/>
      <c r="Y187" s="17"/>
      <c r="Z187" s="17"/>
    </row>
    <row r="188" customFormat="false" ht="15" hidden="false" customHeight="false" outlineLevel="0" collapsed="false">
      <c r="A188" s="17"/>
      <c r="B188" s="17"/>
      <c r="C188" s="17"/>
      <c r="D188" s="17"/>
      <c r="E188" s="40"/>
      <c r="F188" s="17"/>
      <c r="G188" s="17"/>
      <c r="H188" s="17"/>
      <c r="I188" s="47" t="str">
        <f aca="false">IF(H188="","",IFERROR(INDEX(Settings!$G$2:$G$4,MATCH(H188,Settings!$F$2:$F$4,0)),""))</f>
        <v/>
      </c>
      <c r="J188" s="38"/>
      <c r="K188" s="48"/>
      <c r="L188" s="17"/>
      <c r="M188" s="38"/>
      <c r="N188" s="38"/>
      <c r="O188" s="42" t="str">
        <f aca="false">IF(N188="","",WORKDAY(N188,Settings!$S$4))</f>
        <v/>
      </c>
      <c r="P188" s="17"/>
      <c r="Q188" s="44" t="str">
        <f aca="true">IF(C188="","",IF(P188="Backed out",IF(S188="Paid","Refunded – closed",IF(R188="","Refund – log reason first","Refund in progress")),IF(K188="","Awaiting payment",IF(N188="",IF(M188="","Schedule free video","Free video in production"),IF(P188="Approved","Active",IF(TODAY()&gt;O188,"Active – plan went ahead","Decision pending – "&amp;NETWORKDAYS(TODAY(),O188)&amp;" working day(s) left"))))))</f>
        <v/>
      </c>
      <c r="R188" s="17"/>
      <c r="S188" s="17"/>
      <c r="T188" s="48"/>
      <c r="U188" s="38"/>
      <c r="V188" s="38"/>
      <c r="W188" s="42" t="str">
        <f aca="false">IF(V188="","",EDATE(V188,Settings!$S$6))</f>
        <v/>
      </c>
      <c r="X188" s="17"/>
      <c r="Y188" s="17"/>
      <c r="Z188" s="17"/>
    </row>
    <row r="189" customFormat="false" ht="15" hidden="false" customHeight="false" outlineLevel="0" collapsed="false">
      <c r="A189" s="17"/>
      <c r="B189" s="17"/>
      <c r="C189" s="17"/>
      <c r="D189" s="17"/>
      <c r="E189" s="40"/>
      <c r="F189" s="17"/>
      <c r="G189" s="17"/>
      <c r="H189" s="17"/>
      <c r="I189" s="47" t="str">
        <f aca="false">IF(H189="","",IFERROR(INDEX(Settings!$G$2:$G$4,MATCH(H189,Settings!$F$2:$F$4,0)),""))</f>
        <v/>
      </c>
      <c r="J189" s="38"/>
      <c r="K189" s="48"/>
      <c r="L189" s="17"/>
      <c r="M189" s="38"/>
      <c r="N189" s="38"/>
      <c r="O189" s="42" t="str">
        <f aca="false">IF(N189="","",WORKDAY(N189,Settings!$S$4))</f>
        <v/>
      </c>
      <c r="P189" s="17"/>
      <c r="Q189" s="44" t="str">
        <f aca="true">IF(C189="","",IF(P189="Backed out",IF(S189="Paid","Refunded – closed",IF(R189="","Refund – log reason first","Refund in progress")),IF(K189="","Awaiting payment",IF(N189="",IF(M189="","Schedule free video","Free video in production"),IF(P189="Approved","Active",IF(TODAY()&gt;O189,"Active – plan went ahead","Decision pending – "&amp;NETWORKDAYS(TODAY(),O189)&amp;" working day(s) left"))))))</f>
        <v/>
      </c>
      <c r="R189" s="17"/>
      <c r="S189" s="17"/>
      <c r="T189" s="48"/>
      <c r="U189" s="38"/>
      <c r="V189" s="38"/>
      <c r="W189" s="42" t="str">
        <f aca="false">IF(V189="","",EDATE(V189,Settings!$S$6))</f>
        <v/>
      </c>
      <c r="X189" s="17"/>
      <c r="Y189" s="17"/>
      <c r="Z189" s="17"/>
    </row>
    <row r="190" customFormat="false" ht="15" hidden="false" customHeight="false" outlineLevel="0" collapsed="false">
      <c r="A190" s="17"/>
      <c r="B190" s="17"/>
      <c r="C190" s="17"/>
      <c r="D190" s="17"/>
      <c r="E190" s="40"/>
      <c r="F190" s="17"/>
      <c r="G190" s="17"/>
      <c r="H190" s="17"/>
      <c r="I190" s="47" t="str">
        <f aca="false">IF(H190="","",IFERROR(INDEX(Settings!$G$2:$G$4,MATCH(H190,Settings!$F$2:$F$4,0)),""))</f>
        <v/>
      </c>
      <c r="J190" s="38"/>
      <c r="K190" s="48"/>
      <c r="L190" s="17"/>
      <c r="M190" s="38"/>
      <c r="N190" s="38"/>
      <c r="O190" s="42" t="str">
        <f aca="false">IF(N190="","",WORKDAY(N190,Settings!$S$4))</f>
        <v/>
      </c>
      <c r="P190" s="17"/>
      <c r="Q190" s="44" t="str">
        <f aca="true">IF(C190="","",IF(P190="Backed out",IF(S190="Paid","Refunded – closed",IF(R190="","Refund – log reason first","Refund in progress")),IF(K190="","Awaiting payment",IF(N190="",IF(M190="","Schedule free video","Free video in production"),IF(P190="Approved","Active",IF(TODAY()&gt;O190,"Active – plan went ahead","Decision pending – "&amp;NETWORKDAYS(TODAY(),O190)&amp;" working day(s) left"))))))</f>
        <v/>
      </c>
      <c r="R190" s="17"/>
      <c r="S190" s="17"/>
      <c r="T190" s="48"/>
      <c r="U190" s="38"/>
      <c r="V190" s="38"/>
      <c r="W190" s="42" t="str">
        <f aca="false">IF(V190="","",EDATE(V190,Settings!$S$6))</f>
        <v/>
      </c>
      <c r="X190" s="17"/>
      <c r="Y190" s="17"/>
      <c r="Z190" s="17"/>
    </row>
    <row r="191" customFormat="false" ht="15" hidden="false" customHeight="false" outlineLevel="0" collapsed="false">
      <c r="A191" s="17"/>
      <c r="B191" s="17"/>
      <c r="C191" s="17"/>
      <c r="D191" s="17"/>
      <c r="E191" s="40"/>
      <c r="F191" s="17"/>
      <c r="G191" s="17"/>
      <c r="H191" s="17"/>
      <c r="I191" s="47" t="str">
        <f aca="false">IF(H191="","",IFERROR(INDEX(Settings!$G$2:$G$4,MATCH(H191,Settings!$F$2:$F$4,0)),""))</f>
        <v/>
      </c>
      <c r="J191" s="38"/>
      <c r="K191" s="48"/>
      <c r="L191" s="17"/>
      <c r="M191" s="38"/>
      <c r="N191" s="38"/>
      <c r="O191" s="42" t="str">
        <f aca="false">IF(N191="","",WORKDAY(N191,Settings!$S$4))</f>
        <v/>
      </c>
      <c r="P191" s="17"/>
      <c r="Q191" s="44" t="str">
        <f aca="true">IF(C191="","",IF(P191="Backed out",IF(S191="Paid","Refunded – closed",IF(R191="","Refund – log reason first","Refund in progress")),IF(K191="","Awaiting payment",IF(N191="",IF(M191="","Schedule free video","Free video in production"),IF(P191="Approved","Active",IF(TODAY()&gt;O191,"Active – plan went ahead","Decision pending – "&amp;NETWORKDAYS(TODAY(),O191)&amp;" working day(s) left"))))))</f>
        <v/>
      </c>
      <c r="R191" s="17"/>
      <c r="S191" s="17"/>
      <c r="T191" s="48"/>
      <c r="U191" s="38"/>
      <c r="V191" s="38"/>
      <c r="W191" s="42" t="str">
        <f aca="false">IF(V191="","",EDATE(V191,Settings!$S$6))</f>
        <v/>
      </c>
      <c r="X191" s="17"/>
      <c r="Y191" s="17"/>
      <c r="Z191" s="17"/>
    </row>
    <row r="192" customFormat="false" ht="15" hidden="false" customHeight="false" outlineLevel="0" collapsed="false">
      <c r="A192" s="17"/>
      <c r="B192" s="17"/>
      <c r="C192" s="17"/>
      <c r="D192" s="17"/>
      <c r="E192" s="40"/>
      <c r="F192" s="17"/>
      <c r="G192" s="17"/>
      <c r="H192" s="17"/>
      <c r="I192" s="47" t="str">
        <f aca="false">IF(H192="","",IFERROR(INDEX(Settings!$G$2:$G$4,MATCH(H192,Settings!$F$2:$F$4,0)),""))</f>
        <v/>
      </c>
      <c r="J192" s="38"/>
      <c r="K192" s="48"/>
      <c r="L192" s="17"/>
      <c r="M192" s="38"/>
      <c r="N192" s="38"/>
      <c r="O192" s="42" t="str">
        <f aca="false">IF(N192="","",WORKDAY(N192,Settings!$S$4))</f>
        <v/>
      </c>
      <c r="P192" s="17"/>
      <c r="Q192" s="44" t="str">
        <f aca="true">IF(C192="","",IF(P192="Backed out",IF(S192="Paid","Refunded – closed",IF(R192="","Refund – log reason first","Refund in progress")),IF(K192="","Awaiting payment",IF(N192="",IF(M192="","Schedule free video","Free video in production"),IF(P192="Approved","Active",IF(TODAY()&gt;O192,"Active – plan went ahead","Decision pending – "&amp;NETWORKDAYS(TODAY(),O192)&amp;" working day(s) left"))))))</f>
        <v/>
      </c>
      <c r="R192" s="17"/>
      <c r="S192" s="17"/>
      <c r="T192" s="48"/>
      <c r="U192" s="38"/>
      <c r="V192" s="38"/>
      <c r="W192" s="42" t="str">
        <f aca="false">IF(V192="","",EDATE(V192,Settings!$S$6))</f>
        <v/>
      </c>
      <c r="X192" s="17"/>
      <c r="Y192" s="17"/>
      <c r="Z192" s="17"/>
    </row>
    <row r="193" customFormat="false" ht="15" hidden="false" customHeight="false" outlineLevel="0" collapsed="false">
      <c r="A193" s="17"/>
      <c r="B193" s="17"/>
      <c r="C193" s="17"/>
      <c r="D193" s="17"/>
      <c r="E193" s="40"/>
      <c r="F193" s="17"/>
      <c r="G193" s="17"/>
      <c r="H193" s="17"/>
      <c r="I193" s="47" t="str">
        <f aca="false">IF(H193="","",IFERROR(INDEX(Settings!$G$2:$G$4,MATCH(H193,Settings!$F$2:$F$4,0)),""))</f>
        <v/>
      </c>
      <c r="J193" s="38"/>
      <c r="K193" s="48"/>
      <c r="L193" s="17"/>
      <c r="M193" s="38"/>
      <c r="N193" s="38"/>
      <c r="O193" s="42" t="str">
        <f aca="false">IF(N193="","",WORKDAY(N193,Settings!$S$4))</f>
        <v/>
      </c>
      <c r="P193" s="17"/>
      <c r="Q193" s="44" t="str">
        <f aca="true">IF(C193="","",IF(P193="Backed out",IF(S193="Paid","Refunded – closed",IF(R193="","Refund – log reason first","Refund in progress")),IF(K193="","Awaiting payment",IF(N193="",IF(M193="","Schedule free video","Free video in production"),IF(P193="Approved","Active",IF(TODAY()&gt;O193,"Active – plan went ahead","Decision pending – "&amp;NETWORKDAYS(TODAY(),O193)&amp;" working day(s) left"))))))</f>
        <v/>
      </c>
      <c r="R193" s="17"/>
      <c r="S193" s="17"/>
      <c r="T193" s="48"/>
      <c r="U193" s="38"/>
      <c r="V193" s="38"/>
      <c r="W193" s="42" t="str">
        <f aca="false">IF(V193="","",EDATE(V193,Settings!$S$6))</f>
        <v/>
      </c>
      <c r="X193" s="17"/>
      <c r="Y193" s="17"/>
      <c r="Z193" s="17"/>
    </row>
    <row r="194" customFormat="false" ht="15" hidden="false" customHeight="false" outlineLevel="0" collapsed="false">
      <c r="A194" s="17"/>
      <c r="B194" s="17"/>
      <c r="C194" s="17"/>
      <c r="D194" s="17"/>
      <c r="E194" s="40"/>
      <c r="F194" s="17"/>
      <c r="G194" s="17"/>
      <c r="H194" s="17"/>
      <c r="I194" s="47" t="str">
        <f aca="false">IF(H194="","",IFERROR(INDEX(Settings!$G$2:$G$4,MATCH(H194,Settings!$F$2:$F$4,0)),""))</f>
        <v/>
      </c>
      <c r="J194" s="38"/>
      <c r="K194" s="48"/>
      <c r="L194" s="17"/>
      <c r="M194" s="38"/>
      <c r="N194" s="38"/>
      <c r="O194" s="42" t="str">
        <f aca="false">IF(N194="","",WORKDAY(N194,Settings!$S$4))</f>
        <v/>
      </c>
      <c r="P194" s="17"/>
      <c r="Q194" s="44" t="str">
        <f aca="true">IF(C194="","",IF(P194="Backed out",IF(S194="Paid","Refunded – closed",IF(R194="","Refund – log reason first","Refund in progress")),IF(K194="","Awaiting payment",IF(N194="",IF(M194="","Schedule free video","Free video in production"),IF(P194="Approved","Active",IF(TODAY()&gt;O194,"Active – plan went ahead","Decision pending – "&amp;NETWORKDAYS(TODAY(),O194)&amp;" working day(s) left"))))))</f>
        <v/>
      </c>
      <c r="R194" s="17"/>
      <c r="S194" s="17"/>
      <c r="T194" s="48"/>
      <c r="U194" s="38"/>
      <c r="V194" s="38"/>
      <c r="W194" s="42" t="str">
        <f aca="false">IF(V194="","",EDATE(V194,Settings!$S$6))</f>
        <v/>
      </c>
      <c r="X194" s="17"/>
      <c r="Y194" s="17"/>
      <c r="Z194" s="17"/>
    </row>
    <row r="195" customFormat="false" ht="15" hidden="false" customHeight="false" outlineLevel="0" collapsed="false">
      <c r="A195" s="17"/>
      <c r="B195" s="17"/>
      <c r="C195" s="17"/>
      <c r="D195" s="17"/>
      <c r="E195" s="40"/>
      <c r="F195" s="17"/>
      <c r="G195" s="17"/>
      <c r="H195" s="17"/>
      <c r="I195" s="47" t="str">
        <f aca="false">IF(H195="","",IFERROR(INDEX(Settings!$G$2:$G$4,MATCH(H195,Settings!$F$2:$F$4,0)),""))</f>
        <v/>
      </c>
      <c r="J195" s="38"/>
      <c r="K195" s="48"/>
      <c r="L195" s="17"/>
      <c r="M195" s="38"/>
      <c r="N195" s="38"/>
      <c r="O195" s="42" t="str">
        <f aca="false">IF(N195="","",WORKDAY(N195,Settings!$S$4))</f>
        <v/>
      </c>
      <c r="P195" s="17"/>
      <c r="Q195" s="44" t="str">
        <f aca="true">IF(C195="","",IF(P195="Backed out",IF(S195="Paid","Refunded – closed",IF(R195="","Refund – log reason first","Refund in progress")),IF(K195="","Awaiting payment",IF(N195="",IF(M195="","Schedule free video","Free video in production"),IF(P195="Approved","Active",IF(TODAY()&gt;O195,"Active – plan went ahead","Decision pending – "&amp;NETWORKDAYS(TODAY(),O195)&amp;" working day(s) left"))))))</f>
        <v/>
      </c>
      <c r="R195" s="17"/>
      <c r="S195" s="17"/>
      <c r="T195" s="48"/>
      <c r="U195" s="38"/>
      <c r="V195" s="38"/>
      <c r="W195" s="42" t="str">
        <f aca="false">IF(V195="","",EDATE(V195,Settings!$S$6))</f>
        <v/>
      </c>
      <c r="X195" s="17"/>
      <c r="Y195" s="17"/>
      <c r="Z195" s="17"/>
    </row>
    <row r="196" customFormat="false" ht="15" hidden="false" customHeight="false" outlineLevel="0" collapsed="false">
      <c r="A196" s="17"/>
      <c r="B196" s="17"/>
      <c r="C196" s="17"/>
      <c r="D196" s="17"/>
      <c r="E196" s="40"/>
      <c r="F196" s="17"/>
      <c r="G196" s="17"/>
      <c r="H196" s="17"/>
      <c r="I196" s="47" t="str">
        <f aca="false">IF(H196="","",IFERROR(INDEX(Settings!$G$2:$G$4,MATCH(H196,Settings!$F$2:$F$4,0)),""))</f>
        <v/>
      </c>
      <c r="J196" s="38"/>
      <c r="K196" s="48"/>
      <c r="L196" s="17"/>
      <c r="M196" s="38"/>
      <c r="N196" s="38"/>
      <c r="O196" s="42" t="str">
        <f aca="false">IF(N196="","",WORKDAY(N196,Settings!$S$4))</f>
        <v/>
      </c>
      <c r="P196" s="17"/>
      <c r="Q196" s="44" t="str">
        <f aca="true">IF(C196="","",IF(P196="Backed out",IF(S196="Paid","Refunded – closed",IF(R196="","Refund – log reason first","Refund in progress")),IF(K196="","Awaiting payment",IF(N196="",IF(M196="","Schedule free video","Free video in production"),IF(P196="Approved","Active",IF(TODAY()&gt;O196,"Active – plan went ahead","Decision pending – "&amp;NETWORKDAYS(TODAY(),O196)&amp;" working day(s) left"))))))</f>
        <v/>
      </c>
      <c r="R196" s="17"/>
      <c r="S196" s="17"/>
      <c r="T196" s="48"/>
      <c r="U196" s="38"/>
      <c r="V196" s="38"/>
      <c r="W196" s="42" t="str">
        <f aca="false">IF(V196="","",EDATE(V196,Settings!$S$6))</f>
        <v/>
      </c>
      <c r="X196" s="17"/>
      <c r="Y196" s="17"/>
      <c r="Z196" s="17"/>
    </row>
    <row r="197" customFormat="false" ht="15" hidden="false" customHeight="false" outlineLevel="0" collapsed="false">
      <c r="A197" s="17"/>
      <c r="B197" s="17"/>
      <c r="C197" s="17"/>
      <c r="D197" s="17"/>
      <c r="E197" s="40"/>
      <c r="F197" s="17"/>
      <c r="G197" s="17"/>
      <c r="H197" s="17"/>
      <c r="I197" s="47" t="str">
        <f aca="false">IF(H197="","",IFERROR(INDEX(Settings!$G$2:$G$4,MATCH(H197,Settings!$F$2:$F$4,0)),""))</f>
        <v/>
      </c>
      <c r="J197" s="38"/>
      <c r="K197" s="48"/>
      <c r="L197" s="17"/>
      <c r="M197" s="38"/>
      <c r="N197" s="38"/>
      <c r="O197" s="42" t="str">
        <f aca="false">IF(N197="","",WORKDAY(N197,Settings!$S$4))</f>
        <v/>
      </c>
      <c r="P197" s="17"/>
      <c r="Q197" s="44" t="str">
        <f aca="true">IF(C197="","",IF(P197="Backed out",IF(S197="Paid","Refunded – closed",IF(R197="","Refund – log reason first","Refund in progress")),IF(K197="","Awaiting payment",IF(N197="",IF(M197="","Schedule free video","Free video in production"),IF(P197="Approved","Active",IF(TODAY()&gt;O197,"Active – plan went ahead","Decision pending – "&amp;NETWORKDAYS(TODAY(),O197)&amp;" working day(s) left"))))))</f>
        <v/>
      </c>
      <c r="R197" s="17"/>
      <c r="S197" s="17"/>
      <c r="T197" s="48"/>
      <c r="U197" s="38"/>
      <c r="V197" s="38"/>
      <c r="W197" s="42" t="str">
        <f aca="false">IF(V197="","",EDATE(V197,Settings!$S$6))</f>
        <v/>
      </c>
      <c r="X197" s="17"/>
      <c r="Y197" s="17"/>
      <c r="Z197" s="17"/>
    </row>
    <row r="198" customFormat="false" ht="15" hidden="false" customHeight="false" outlineLevel="0" collapsed="false">
      <c r="A198" s="17"/>
      <c r="B198" s="17"/>
      <c r="C198" s="17"/>
      <c r="D198" s="17"/>
      <c r="E198" s="40"/>
      <c r="F198" s="17"/>
      <c r="G198" s="17"/>
      <c r="H198" s="17"/>
      <c r="I198" s="47" t="str">
        <f aca="false">IF(H198="","",IFERROR(INDEX(Settings!$G$2:$G$4,MATCH(H198,Settings!$F$2:$F$4,0)),""))</f>
        <v/>
      </c>
      <c r="J198" s="38"/>
      <c r="K198" s="48"/>
      <c r="L198" s="17"/>
      <c r="M198" s="38"/>
      <c r="N198" s="38"/>
      <c r="O198" s="42" t="str">
        <f aca="false">IF(N198="","",WORKDAY(N198,Settings!$S$4))</f>
        <v/>
      </c>
      <c r="P198" s="17"/>
      <c r="Q198" s="44" t="str">
        <f aca="true">IF(C198="","",IF(P198="Backed out",IF(S198="Paid","Refunded – closed",IF(R198="","Refund – log reason first","Refund in progress")),IF(K198="","Awaiting payment",IF(N198="",IF(M198="","Schedule free video","Free video in production"),IF(P198="Approved","Active",IF(TODAY()&gt;O198,"Active – plan went ahead","Decision pending – "&amp;NETWORKDAYS(TODAY(),O198)&amp;" working day(s) left"))))))</f>
        <v/>
      </c>
      <c r="R198" s="17"/>
      <c r="S198" s="17"/>
      <c r="T198" s="48"/>
      <c r="U198" s="38"/>
      <c r="V198" s="38"/>
      <c r="W198" s="42" t="str">
        <f aca="false">IF(V198="","",EDATE(V198,Settings!$S$6))</f>
        <v/>
      </c>
      <c r="X198" s="17"/>
      <c r="Y198" s="17"/>
      <c r="Z198" s="17"/>
    </row>
    <row r="199" customFormat="false" ht="15" hidden="false" customHeight="false" outlineLevel="0" collapsed="false">
      <c r="A199" s="17"/>
      <c r="B199" s="17"/>
      <c r="C199" s="17"/>
      <c r="D199" s="17"/>
      <c r="E199" s="40"/>
      <c r="F199" s="17"/>
      <c r="G199" s="17"/>
      <c r="H199" s="17"/>
      <c r="I199" s="47" t="str">
        <f aca="false">IF(H199="","",IFERROR(INDEX(Settings!$G$2:$G$4,MATCH(H199,Settings!$F$2:$F$4,0)),""))</f>
        <v/>
      </c>
      <c r="J199" s="38"/>
      <c r="K199" s="48"/>
      <c r="L199" s="17"/>
      <c r="M199" s="38"/>
      <c r="N199" s="38"/>
      <c r="O199" s="42" t="str">
        <f aca="false">IF(N199="","",WORKDAY(N199,Settings!$S$4))</f>
        <v/>
      </c>
      <c r="P199" s="17"/>
      <c r="Q199" s="44" t="str">
        <f aca="true">IF(C199="","",IF(P199="Backed out",IF(S199="Paid","Refunded – closed",IF(R199="","Refund – log reason first","Refund in progress")),IF(K199="","Awaiting payment",IF(N199="",IF(M199="","Schedule free video","Free video in production"),IF(P199="Approved","Active",IF(TODAY()&gt;O199,"Active – plan went ahead","Decision pending – "&amp;NETWORKDAYS(TODAY(),O199)&amp;" working day(s) left"))))))</f>
        <v/>
      </c>
      <c r="R199" s="17"/>
      <c r="S199" s="17"/>
      <c r="T199" s="48"/>
      <c r="U199" s="38"/>
      <c r="V199" s="38"/>
      <c r="W199" s="42" t="str">
        <f aca="false">IF(V199="","",EDATE(V199,Settings!$S$6))</f>
        <v/>
      </c>
      <c r="X199" s="17"/>
      <c r="Y199" s="17"/>
      <c r="Z199" s="17"/>
    </row>
    <row r="200" customFormat="false" ht="15" hidden="false" customHeight="false" outlineLevel="0" collapsed="false">
      <c r="A200" s="17"/>
      <c r="B200" s="17"/>
      <c r="C200" s="17"/>
      <c r="D200" s="17"/>
      <c r="E200" s="40"/>
      <c r="F200" s="17"/>
      <c r="G200" s="17"/>
      <c r="H200" s="17"/>
      <c r="I200" s="47" t="str">
        <f aca="false">IF(H200="","",IFERROR(INDEX(Settings!$G$2:$G$4,MATCH(H200,Settings!$F$2:$F$4,0)),""))</f>
        <v/>
      </c>
      <c r="J200" s="38"/>
      <c r="K200" s="48"/>
      <c r="L200" s="17"/>
      <c r="M200" s="38"/>
      <c r="N200" s="38"/>
      <c r="O200" s="42" t="str">
        <f aca="false">IF(N200="","",WORKDAY(N200,Settings!$S$4))</f>
        <v/>
      </c>
      <c r="P200" s="17"/>
      <c r="Q200" s="44" t="str">
        <f aca="true">IF(C200="","",IF(P200="Backed out",IF(S200="Paid","Refunded – closed",IF(R200="","Refund – log reason first","Refund in progress")),IF(K200="","Awaiting payment",IF(N200="",IF(M200="","Schedule free video","Free video in production"),IF(P200="Approved","Active",IF(TODAY()&gt;O200,"Active – plan went ahead","Decision pending – "&amp;NETWORKDAYS(TODAY(),O200)&amp;" working day(s) left"))))))</f>
        <v/>
      </c>
      <c r="R200" s="17"/>
      <c r="S200" s="17"/>
      <c r="T200" s="48"/>
      <c r="U200" s="38"/>
      <c r="V200" s="38"/>
      <c r="W200" s="42" t="str">
        <f aca="false">IF(V200="","",EDATE(V200,Settings!$S$6))</f>
        <v/>
      </c>
      <c r="X200" s="17"/>
      <c r="Y200" s="17"/>
      <c r="Z200" s="17"/>
    </row>
    <row r="201" customFormat="false" ht="15" hidden="false" customHeight="false" outlineLevel="0" collapsed="false">
      <c r="A201" s="17"/>
      <c r="B201" s="17"/>
      <c r="C201" s="17"/>
      <c r="D201" s="17"/>
      <c r="E201" s="40"/>
      <c r="F201" s="17"/>
      <c r="G201" s="17"/>
      <c r="H201" s="17"/>
      <c r="I201" s="47" t="str">
        <f aca="false">IF(H201="","",IFERROR(INDEX(Settings!$G$2:$G$4,MATCH(H201,Settings!$F$2:$F$4,0)),""))</f>
        <v/>
      </c>
      <c r="J201" s="38"/>
      <c r="K201" s="48"/>
      <c r="L201" s="17"/>
      <c r="M201" s="38"/>
      <c r="N201" s="38"/>
      <c r="O201" s="42" t="str">
        <f aca="false">IF(N201="","",WORKDAY(N201,Settings!$S$4))</f>
        <v/>
      </c>
      <c r="P201" s="17"/>
      <c r="Q201" s="44" t="str">
        <f aca="true">IF(C201="","",IF(P201="Backed out",IF(S201="Paid","Refunded – closed",IF(R201="","Refund – log reason first","Refund in progress")),IF(K201="","Awaiting payment",IF(N201="",IF(M201="","Schedule free video","Free video in production"),IF(P201="Approved","Active",IF(TODAY()&gt;O201,"Active – plan went ahead","Decision pending – "&amp;NETWORKDAYS(TODAY(),O201)&amp;" working day(s) left"))))))</f>
        <v/>
      </c>
      <c r="R201" s="17"/>
      <c r="S201" s="17"/>
      <c r="T201" s="48"/>
      <c r="U201" s="38"/>
      <c r="V201" s="38"/>
      <c r="W201" s="42" t="str">
        <f aca="false">IF(V201="","",EDATE(V201,Settings!$S$6))</f>
        <v/>
      </c>
      <c r="X201" s="17"/>
      <c r="Y201" s="17"/>
      <c r="Z201" s="17"/>
    </row>
    <row r="202" customFormat="false" ht="15" hidden="false" customHeight="false" outlineLevel="0" collapsed="false">
      <c r="A202" s="17"/>
      <c r="B202" s="17"/>
      <c r="C202" s="17"/>
      <c r="D202" s="17"/>
      <c r="E202" s="40"/>
      <c r="F202" s="17"/>
      <c r="G202" s="17"/>
      <c r="H202" s="17"/>
      <c r="I202" s="47" t="str">
        <f aca="false">IF(H202="","",IFERROR(INDEX(Settings!$G$2:$G$4,MATCH(H202,Settings!$F$2:$F$4,0)),""))</f>
        <v/>
      </c>
      <c r="J202" s="38"/>
      <c r="K202" s="48"/>
      <c r="L202" s="17"/>
      <c r="M202" s="38"/>
      <c r="N202" s="38"/>
      <c r="O202" s="42" t="str">
        <f aca="false">IF(N202="","",WORKDAY(N202,Settings!$S$4))</f>
        <v/>
      </c>
      <c r="P202" s="17"/>
      <c r="Q202" s="44" t="str">
        <f aca="true">IF(C202="","",IF(P202="Backed out",IF(S202="Paid","Refunded – closed",IF(R202="","Refund – log reason first","Refund in progress")),IF(K202="","Awaiting payment",IF(N202="",IF(M202="","Schedule free video","Free video in production"),IF(P202="Approved","Active",IF(TODAY()&gt;O202,"Active – plan went ahead","Decision pending – "&amp;NETWORKDAYS(TODAY(),O202)&amp;" working day(s) left"))))))</f>
        <v/>
      </c>
      <c r="R202" s="17"/>
      <c r="S202" s="17"/>
      <c r="T202" s="48"/>
      <c r="U202" s="38"/>
      <c r="V202" s="38"/>
      <c r="W202" s="42" t="str">
        <f aca="false">IF(V202="","",EDATE(V202,Settings!$S$6))</f>
        <v/>
      </c>
      <c r="X202" s="17"/>
      <c r="Y202" s="17"/>
      <c r="Z202" s="17"/>
    </row>
    <row r="203" customFormat="false" ht="15" hidden="false" customHeight="false" outlineLevel="0" collapsed="false">
      <c r="A203" s="17"/>
      <c r="B203" s="17"/>
      <c r="C203" s="17"/>
      <c r="D203" s="17"/>
      <c r="E203" s="40"/>
      <c r="F203" s="17"/>
      <c r="G203" s="17"/>
      <c r="H203" s="17"/>
      <c r="I203" s="47" t="str">
        <f aca="false">IF(H203="","",IFERROR(INDEX(Settings!$G$2:$G$4,MATCH(H203,Settings!$F$2:$F$4,0)),""))</f>
        <v/>
      </c>
      <c r="J203" s="38"/>
      <c r="K203" s="48"/>
      <c r="L203" s="17"/>
      <c r="M203" s="38"/>
      <c r="N203" s="38"/>
      <c r="O203" s="42" t="str">
        <f aca="false">IF(N203="","",WORKDAY(N203,Settings!$S$4))</f>
        <v/>
      </c>
      <c r="P203" s="17"/>
      <c r="Q203" s="44" t="str">
        <f aca="true">IF(C203="","",IF(P203="Backed out",IF(S203="Paid","Refunded – closed",IF(R203="","Refund – log reason first","Refund in progress")),IF(K203="","Awaiting payment",IF(N203="",IF(M203="","Schedule free video","Free video in production"),IF(P203="Approved","Active",IF(TODAY()&gt;O203,"Active – plan went ahead","Decision pending – "&amp;NETWORKDAYS(TODAY(),O203)&amp;" working day(s) left"))))))</f>
        <v/>
      </c>
      <c r="R203" s="17"/>
      <c r="S203" s="17"/>
      <c r="T203" s="48"/>
      <c r="U203" s="38"/>
      <c r="V203" s="38"/>
      <c r="W203" s="42" t="str">
        <f aca="false">IF(V203="","",EDATE(V203,Settings!$S$6))</f>
        <v/>
      </c>
      <c r="X203" s="17"/>
      <c r="Y203" s="17"/>
      <c r="Z203" s="17"/>
    </row>
    <row r="204" customFormat="false" ht="15" hidden="false" customHeight="false" outlineLevel="0" collapsed="false">
      <c r="A204" s="17"/>
      <c r="B204" s="17"/>
      <c r="C204" s="17"/>
      <c r="D204" s="17"/>
      <c r="E204" s="40"/>
      <c r="F204" s="17"/>
      <c r="G204" s="17"/>
      <c r="H204" s="17"/>
      <c r="I204" s="47" t="str">
        <f aca="false">IF(H204="","",IFERROR(INDEX(Settings!$G$2:$G$4,MATCH(H204,Settings!$F$2:$F$4,0)),""))</f>
        <v/>
      </c>
      <c r="J204" s="38"/>
      <c r="K204" s="48"/>
      <c r="L204" s="17"/>
      <c r="M204" s="38"/>
      <c r="N204" s="38"/>
      <c r="O204" s="42" t="str">
        <f aca="false">IF(N204="","",WORKDAY(N204,Settings!$S$4))</f>
        <v/>
      </c>
      <c r="P204" s="17"/>
      <c r="Q204" s="44" t="str">
        <f aca="true">IF(C204="","",IF(P204="Backed out",IF(S204="Paid","Refunded – closed",IF(R204="","Refund – log reason first","Refund in progress")),IF(K204="","Awaiting payment",IF(N204="",IF(M204="","Schedule free video","Free video in production"),IF(P204="Approved","Active",IF(TODAY()&gt;O204,"Active – plan went ahead","Decision pending – "&amp;NETWORKDAYS(TODAY(),O204)&amp;" working day(s) left"))))))</f>
        <v/>
      </c>
      <c r="R204" s="17"/>
      <c r="S204" s="17"/>
      <c r="T204" s="48"/>
      <c r="U204" s="38"/>
      <c r="V204" s="38"/>
      <c r="W204" s="42" t="str">
        <f aca="false">IF(V204="","",EDATE(V204,Settings!$S$6))</f>
        <v/>
      </c>
      <c r="X204" s="17"/>
      <c r="Y204" s="17"/>
      <c r="Z204" s="17"/>
    </row>
    <row r="205" customFormat="false" ht="15" hidden="false" customHeight="false" outlineLevel="0" collapsed="false">
      <c r="A205" s="17"/>
      <c r="B205" s="17"/>
      <c r="C205" s="17"/>
      <c r="D205" s="17"/>
      <c r="E205" s="40"/>
      <c r="F205" s="17"/>
      <c r="G205" s="17"/>
      <c r="H205" s="17"/>
      <c r="I205" s="47" t="str">
        <f aca="false">IF(H205="","",IFERROR(INDEX(Settings!$G$2:$G$4,MATCH(H205,Settings!$F$2:$F$4,0)),""))</f>
        <v/>
      </c>
      <c r="J205" s="38"/>
      <c r="K205" s="48"/>
      <c r="L205" s="17"/>
      <c r="M205" s="38"/>
      <c r="N205" s="38"/>
      <c r="O205" s="42" t="str">
        <f aca="false">IF(N205="","",WORKDAY(N205,Settings!$S$4))</f>
        <v/>
      </c>
      <c r="P205" s="17"/>
      <c r="Q205" s="44" t="str">
        <f aca="true">IF(C205="","",IF(P205="Backed out",IF(S205="Paid","Refunded – closed",IF(R205="","Refund – log reason first","Refund in progress")),IF(K205="","Awaiting payment",IF(N205="",IF(M205="","Schedule free video","Free video in production"),IF(P205="Approved","Active",IF(TODAY()&gt;O205,"Active – plan went ahead","Decision pending – "&amp;NETWORKDAYS(TODAY(),O205)&amp;" working day(s) left"))))))</f>
        <v/>
      </c>
      <c r="R205" s="17"/>
      <c r="S205" s="17"/>
      <c r="T205" s="48"/>
      <c r="U205" s="38"/>
      <c r="V205" s="38"/>
      <c r="W205" s="42" t="str">
        <f aca="false">IF(V205="","",EDATE(V205,Settings!$S$6))</f>
        <v/>
      </c>
      <c r="X205" s="17"/>
      <c r="Y205" s="17"/>
      <c r="Z205" s="17"/>
    </row>
    <row r="206" customFormat="false" ht="15" hidden="false" customHeight="false" outlineLevel="0" collapsed="false">
      <c r="A206" s="17"/>
      <c r="B206" s="17"/>
      <c r="C206" s="17"/>
      <c r="D206" s="17"/>
      <c r="E206" s="40"/>
      <c r="F206" s="17"/>
      <c r="G206" s="17"/>
      <c r="H206" s="17"/>
      <c r="I206" s="47" t="str">
        <f aca="false">IF(H206="","",IFERROR(INDEX(Settings!$G$2:$G$4,MATCH(H206,Settings!$F$2:$F$4,0)),""))</f>
        <v/>
      </c>
      <c r="J206" s="38"/>
      <c r="K206" s="48"/>
      <c r="L206" s="17"/>
      <c r="M206" s="38"/>
      <c r="N206" s="38"/>
      <c r="O206" s="42" t="str">
        <f aca="false">IF(N206="","",WORKDAY(N206,Settings!$S$4))</f>
        <v/>
      </c>
      <c r="P206" s="17"/>
      <c r="Q206" s="44" t="str">
        <f aca="true">IF(C206="","",IF(P206="Backed out",IF(S206="Paid","Refunded – closed",IF(R206="","Refund – log reason first","Refund in progress")),IF(K206="","Awaiting payment",IF(N206="",IF(M206="","Schedule free video","Free video in production"),IF(P206="Approved","Active",IF(TODAY()&gt;O206,"Active – plan went ahead","Decision pending – "&amp;NETWORKDAYS(TODAY(),O206)&amp;" working day(s) left"))))))</f>
        <v/>
      </c>
      <c r="R206" s="17"/>
      <c r="S206" s="17"/>
      <c r="T206" s="48"/>
      <c r="U206" s="38"/>
      <c r="V206" s="38"/>
      <c r="W206" s="42" t="str">
        <f aca="false">IF(V206="","",EDATE(V206,Settings!$S$6))</f>
        <v/>
      </c>
      <c r="X206" s="17"/>
      <c r="Y206" s="17"/>
      <c r="Z206" s="17"/>
    </row>
    <row r="207" customFormat="false" ht="15" hidden="false" customHeight="false" outlineLevel="0" collapsed="false">
      <c r="A207" s="17"/>
      <c r="B207" s="17"/>
      <c r="C207" s="17"/>
      <c r="D207" s="17"/>
      <c r="E207" s="40"/>
      <c r="F207" s="17"/>
      <c r="G207" s="17"/>
      <c r="H207" s="17"/>
      <c r="I207" s="47" t="str">
        <f aca="false">IF(H207="","",IFERROR(INDEX(Settings!$G$2:$G$4,MATCH(H207,Settings!$F$2:$F$4,0)),""))</f>
        <v/>
      </c>
      <c r="J207" s="38"/>
      <c r="K207" s="48"/>
      <c r="L207" s="17"/>
      <c r="M207" s="38"/>
      <c r="N207" s="38"/>
      <c r="O207" s="42" t="str">
        <f aca="false">IF(N207="","",WORKDAY(N207,Settings!$S$4))</f>
        <v/>
      </c>
      <c r="P207" s="17"/>
      <c r="Q207" s="44" t="str">
        <f aca="true">IF(C207="","",IF(P207="Backed out",IF(S207="Paid","Refunded – closed",IF(R207="","Refund – log reason first","Refund in progress")),IF(K207="","Awaiting payment",IF(N207="",IF(M207="","Schedule free video","Free video in production"),IF(P207="Approved","Active",IF(TODAY()&gt;O207,"Active – plan went ahead","Decision pending – "&amp;NETWORKDAYS(TODAY(),O207)&amp;" working day(s) left"))))))</f>
        <v/>
      </c>
      <c r="R207" s="17"/>
      <c r="S207" s="17"/>
      <c r="T207" s="48"/>
      <c r="U207" s="38"/>
      <c r="V207" s="38"/>
      <c r="W207" s="42" t="str">
        <f aca="false">IF(V207="","",EDATE(V207,Settings!$S$6))</f>
        <v/>
      </c>
      <c r="X207" s="17"/>
      <c r="Y207" s="17"/>
      <c r="Z207" s="17"/>
    </row>
    <row r="208" customFormat="false" ht="15" hidden="false" customHeight="false" outlineLevel="0" collapsed="false">
      <c r="A208" s="17"/>
      <c r="B208" s="17"/>
      <c r="C208" s="17"/>
      <c r="D208" s="17"/>
      <c r="E208" s="40"/>
      <c r="F208" s="17"/>
      <c r="G208" s="17"/>
      <c r="H208" s="17"/>
      <c r="I208" s="47" t="str">
        <f aca="false">IF(H208="","",IFERROR(INDEX(Settings!$G$2:$G$4,MATCH(H208,Settings!$F$2:$F$4,0)),""))</f>
        <v/>
      </c>
      <c r="J208" s="38"/>
      <c r="K208" s="48"/>
      <c r="L208" s="17"/>
      <c r="M208" s="38"/>
      <c r="N208" s="38"/>
      <c r="O208" s="42" t="str">
        <f aca="false">IF(N208="","",WORKDAY(N208,Settings!$S$4))</f>
        <v/>
      </c>
      <c r="P208" s="17"/>
      <c r="Q208" s="44" t="str">
        <f aca="true">IF(C208="","",IF(P208="Backed out",IF(S208="Paid","Refunded – closed",IF(R208="","Refund – log reason first","Refund in progress")),IF(K208="","Awaiting payment",IF(N208="",IF(M208="","Schedule free video","Free video in production"),IF(P208="Approved","Active",IF(TODAY()&gt;O208,"Active – plan went ahead","Decision pending – "&amp;NETWORKDAYS(TODAY(),O208)&amp;" working day(s) left"))))))</f>
        <v/>
      </c>
      <c r="R208" s="17"/>
      <c r="S208" s="17"/>
      <c r="T208" s="48"/>
      <c r="U208" s="38"/>
      <c r="V208" s="38"/>
      <c r="W208" s="42" t="str">
        <f aca="false">IF(V208="","",EDATE(V208,Settings!$S$6))</f>
        <v/>
      </c>
      <c r="X208" s="17"/>
      <c r="Y208" s="17"/>
      <c r="Z208" s="17"/>
    </row>
    <row r="209" customFormat="false" ht="15" hidden="false" customHeight="false" outlineLevel="0" collapsed="false">
      <c r="A209" s="17"/>
      <c r="B209" s="17"/>
      <c r="C209" s="17"/>
      <c r="D209" s="17"/>
      <c r="E209" s="40"/>
      <c r="F209" s="17"/>
      <c r="G209" s="17"/>
      <c r="H209" s="17"/>
      <c r="I209" s="47" t="str">
        <f aca="false">IF(H209="","",IFERROR(INDEX(Settings!$G$2:$G$4,MATCH(H209,Settings!$F$2:$F$4,0)),""))</f>
        <v/>
      </c>
      <c r="J209" s="38"/>
      <c r="K209" s="48"/>
      <c r="L209" s="17"/>
      <c r="M209" s="38"/>
      <c r="N209" s="38"/>
      <c r="O209" s="42" t="str">
        <f aca="false">IF(N209="","",WORKDAY(N209,Settings!$S$4))</f>
        <v/>
      </c>
      <c r="P209" s="17"/>
      <c r="Q209" s="44" t="str">
        <f aca="true">IF(C209="","",IF(P209="Backed out",IF(S209="Paid","Refunded – closed",IF(R209="","Refund – log reason first","Refund in progress")),IF(K209="","Awaiting payment",IF(N209="",IF(M209="","Schedule free video","Free video in production"),IF(P209="Approved","Active",IF(TODAY()&gt;O209,"Active – plan went ahead","Decision pending – "&amp;NETWORKDAYS(TODAY(),O209)&amp;" working day(s) left"))))))</f>
        <v/>
      </c>
      <c r="R209" s="17"/>
      <c r="S209" s="17"/>
      <c r="T209" s="48"/>
      <c r="U209" s="38"/>
      <c r="V209" s="38"/>
      <c r="W209" s="42" t="str">
        <f aca="false">IF(V209="","",EDATE(V209,Settings!$S$6))</f>
        <v/>
      </c>
      <c r="X209" s="17"/>
      <c r="Y209" s="17"/>
      <c r="Z209" s="17"/>
    </row>
    <row r="210" customFormat="false" ht="15" hidden="false" customHeight="false" outlineLevel="0" collapsed="false">
      <c r="A210" s="17"/>
      <c r="B210" s="17"/>
      <c r="C210" s="17"/>
      <c r="D210" s="17"/>
      <c r="E210" s="40"/>
      <c r="F210" s="17"/>
      <c r="G210" s="17"/>
      <c r="H210" s="17"/>
      <c r="I210" s="47" t="str">
        <f aca="false">IF(H210="","",IFERROR(INDEX(Settings!$G$2:$G$4,MATCH(H210,Settings!$F$2:$F$4,0)),""))</f>
        <v/>
      </c>
      <c r="J210" s="38"/>
      <c r="K210" s="48"/>
      <c r="L210" s="17"/>
      <c r="M210" s="38"/>
      <c r="N210" s="38"/>
      <c r="O210" s="42" t="str">
        <f aca="false">IF(N210="","",WORKDAY(N210,Settings!$S$4))</f>
        <v/>
      </c>
      <c r="P210" s="17"/>
      <c r="Q210" s="44" t="str">
        <f aca="true">IF(C210="","",IF(P210="Backed out",IF(S210="Paid","Refunded – closed",IF(R210="","Refund – log reason first","Refund in progress")),IF(K210="","Awaiting payment",IF(N210="",IF(M210="","Schedule free video","Free video in production"),IF(P210="Approved","Active",IF(TODAY()&gt;O210,"Active – plan went ahead","Decision pending – "&amp;NETWORKDAYS(TODAY(),O210)&amp;" working day(s) left"))))))</f>
        <v/>
      </c>
      <c r="R210" s="17"/>
      <c r="S210" s="17"/>
      <c r="T210" s="48"/>
      <c r="U210" s="38"/>
      <c r="V210" s="38"/>
      <c r="W210" s="42" t="str">
        <f aca="false">IF(V210="","",EDATE(V210,Settings!$S$6))</f>
        <v/>
      </c>
      <c r="X210" s="17"/>
      <c r="Y210" s="17"/>
      <c r="Z210" s="17"/>
    </row>
    <row r="211" customFormat="false" ht="15" hidden="false" customHeight="false" outlineLevel="0" collapsed="false">
      <c r="A211" s="17"/>
      <c r="B211" s="17"/>
      <c r="C211" s="17"/>
      <c r="D211" s="17"/>
      <c r="E211" s="40"/>
      <c r="F211" s="17"/>
      <c r="G211" s="17"/>
      <c r="H211" s="17"/>
      <c r="I211" s="47" t="str">
        <f aca="false">IF(H211="","",IFERROR(INDEX(Settings!$G$2:$G$4,MATCH(H211,Settings!$F$2:$F$4,0)),""))</f>
        <v/>
      </c>
      <c r="J211" s="38"/>
      <c r="K211" s="48"/>
      <c r="L211" s="17"/>
      <c r="M211" s="38"/>
      <c r="N211" s="38"/>
      <c r="O211" s="42" t="str">
        <f aca="false">IF(N211="","",WORKDAY(N211,Settings!$S$4))</f>
        <v/>
      </c>
      <c r="P211" s="17"/>
      <c r="Q211" s="44" t="str">
        <f aca="true">IF(C211="","",IF(P211="Backed out",IF(S211="Paid","Refunded – closed",IF(R211="","Refund – log reason first","Refund in progress")),IF(K211="","Awaiting payment",IF(N211="",IF(M211="","Schedule free video","Free video in production"),IF(P211="Approved","Active",IF(TODAY()&gt;O211,"Active – plan went ahead","Decision pending – "&amp;NETWORKDAYS(TODAY(),O211)&amp;" working day(s) left"))))))</f>
        <v/>
      </c>
      <c r="R211" s="17"/>
      <c r="S211" s="17"/>
      <c r="T211" s="48"/>
      <c r="U211" s="38"/>
      <c r="V211" s="38"/>
      <c r="W211" s="42" t="str">
        <f aca="false">IF(V211="","",EDATE(V211,Settings!$S$6))</f>
        <v/>
      </c>
      <c r="X211" s="17"/>
      <c r="Y211" s="17"/>
      <c r="Z211" s="17"/>
    </row>
    <row r="212" customFormat="false" ht="15" hidden="false" customHeight="false" outlineLevel="0" collapsed="false">
      <c r="A212" s="17"/>
      <c r="B212" s="17"/>
      <c r="C212" s="17"/>
      <c r="D212" s="17"/>
      <c r="E212" s="40"/>
      <c r="F212" s="17"/>
      <c r="G212" s="17"/>
      <c r="H212" s="17"/>
      <c r="I212" s="47" t="str">
        <f aca="false">IF(H212="","",IFERROR(INDEX(Settings!$G$2:$G$4,MATCH(H212,Settings!$F$2:$F$4,0)),""))</f>
        <v/>
      </c>
      <c r="J212" s="38"/>
      <c r="K212" s="48"/>
      <c r="L212" s="17"/>
      <c r="M212" s="38"/>
      <c r="N212" s="38"/>
      <c r="O212" s="42" t="str">
        <f aca="false">IF(N212="","",WORKDAY(N212,Settings!$S$4))</f>
        <v/>
      </c>
      <c r="P212" s="17"/>
      <c r="Q212" s="44" t="str">
        <f aca="true">IF(C212="","",IF(P212="Backed out",IF(S212="Paid","Refunded – closed",IF(R212="","Refund – log reason first","Refund in progress")),IF(K212="","Awaiting payment",IF(N212="",IF(M212="","Schedule free video","Free video in production"),IF(P212="Approved","Active",IF(TODAY()&gt;O212,"Active – plan went ahead","Decision pending – "&amp;NETWORKDAYS(TODAY(),O212)&amp;" working day(s) left"))))))</f>
        <v/>
      </c>
      <c r="R212" s="17"/>
      <c r="S212" s="17"/>
      <c r="T212" s="48"/>
      <c r="U212" s="38"/>
      <c r="V212" s="38"/>
      <c r="W212" s="42" t="str">
        <f aca="false">IF(V212="","",EDATE(V212,Settings!$S$6))</f>
        <v/>
      </c>
      <c r="X212" s="17"/>
      <c r="Y212" s="17"/>
      <c r="Z212" s="17"/>
    </row>
    <row r="213" customFormat="false" ht="15" hidden="false" customHeight="false" outlineLevel="0" collapsed="false">
      <c r="A213" s="17"/>
      <c r="B213" s="17"/>
      <c r="C213" s="17"/>
      <c r="D213" s="17"/>
      <c r="E213" s="40"/>
      <c r="F213" s="17"/>
      <c r="G213" s="17"/>
      <c r="H213" s="17"/>
      <c r="I213" s="47" t="str">
        <f aca="false">IF(H213="","",IFERROR(INDEX(Settings!$G$2:$G$4,MATCH(H213,Settings!$F$2:$F$4,0)),""))</f>
        <v/>
      </c>
      <c r="J213" s="38"/>
      <c r="K213" s="48"/>
      <c r="L213" s="17"/>
      <c r="M213" s="38"/>
      <c r="N213" s="38"/>
      <c r="O213" s="42" t="str">
        <f aca="false">IF(N213="","",WORKDAY(N213,Settings!$S$4))</f>
        <v/>
      </c>
      <c r="P213" s="17"/>
      <c r="Q213" s="44" t="str">
        <f aca="true">IF(C213="","",IF(P213="Backed out",IF(S213="Paid","Refunded – closed",IF(R213="","Refund – log reason first","Refund in progress")),IF(K213="","Awaiting payment",IF(N213="",IF(M213="","Schedule free video","Free video in production"),IF(P213="Approved","Active",IF(TODAY()&gt;O213,"Active – plan went ahead","Decision pending – "&amp;NETWORKDAYS(TODAY(),O213)&amp;" working day(s) left"))))))</f>
        <v/>
      </c>
      <c r="R213" s="17"/>
      <c r="S213" s="17"/>
      <c r="T213" s="48"/>
      <c r="U213" s="38"/>
      <c r="V213" s="38"/>
      <c r="W213" s="42" t="str">
        <f aca="false">IF(V213="","",EDATE(V213,Settings!$S$6))</f>
        <v/>
      </c>
      <c r="X213" s="17"/>
      <c r="Y213" s="17"/>
      <c r="Z213" s="17"/>
    </row>
    <row r="214" customFormat="false" ht="15" hidden="false" customHeight="false" outlineLevel="0" collapsed="false">
      <c r="A214" s="17"/>
      <c r="B214" s="17"/>
      <c r="C214" s="17"/>
      <c r="D214" s="17"/>
      <c r="E214" s="40"/>
      <c r="F214" s="17"/>
      <c r="G214" s="17"/>
      <c r="H214" s="17"/>
      <c r="I214" s="47" t="str">
        <f aca="false">IF(H214="","",IFERROR(INDEX(Settings!$G$2:$G$4,MATCH(H214,Settings!$F$2:$F$4,0)),""))</f>
        <v/>
      </c>
      <c r="J214" s="38"/>
      <c r="K214" s="48"/>
      <c r="L214" s="17"/>
      <c r="M214" s="38"/>
      <c r="N214" s="38"/>
      <c r="O214" s="42" t="str">
        <f aca="false">IF(N214="","",WORKDAY(N214,Settings!$S$4))</f>
        <v/>
      </c>
      <c r="P214" s="17"/>
      <c r="Q214" s="44" t="str">
        <f aca="true">IF(C214="","",IF(P214="Backed out",IF(S214="Paid","Refunded – closed",IF(R214="","Refund – log reason first","Refund in progress")),IF(K214="","Awaiting payment",IF(N214="",IF(M214="","Schedule free video","Free video in production"),IF(P214="Approved","Active",IF(TODAY()&gt;O214,"Active – plan went ahead","Decision pending – "&amp;NETWORKDAYS(TODAY(),O214)&amp;" working day(s) left"))))))</f>
        <v/>
      </c>
      <c r="R214" s="17"/>
      <c r="S214" s="17"/>
      <c r="T214" s="48"/>
      <c r="U214" s="38"/>
      <c r="V214" s="38"/>
      <c r="W214" s="42" t="str">
        <f aca="false">IF(V214="","",EDATE(V214,Settings!$S$6))</f>
        <v/>
      </c>
      <c r="X214" s="17"/>
      <c r="Y214" s="17"/>
      <c r="Z214" s="17"/>
    </row>
    <row r="215" customFormat="false" ht="15" hidden="false" customHeight="false" outlineLevel="0" collapsed="false">
      <c r="A215" s="17"/>
      <c r="B215" s="17"/>
      <c r="C215" s="17"/>
      <c r="D215" s="17"/>
      <c r="E215" s="40"/>
      <c r="F215" s="17"/>
      <c r="G215" s="17"/>
      <c r="H215" s="17"/>
      <c r="I215" s="47" t="str">
        <f aca="false">IF(H215="","",IFERROR(INDEX(Settings!$G$2:$G$4,MATCH(H215,Settings!$F$2:$F$4,0)),""))</f>
        <v/>
      </c>
      <c r="J215" s="38"/>
      <c r="K215" s="48"/>
      <c r="L215" s="17"/>
      <c r="M215" s="38"/>
      <c r="N215" s="38"/>
      <c r="O215" s="42" t="str">
        <f aca="false">IF(N215="","",WORKDAY(N215,Settings!$S$4))</f>
        <v/>
      </c>
      <c r="P215" s="17"/>
      <c r="Q215" s="44" t="str">
        <f aca="true">IF(C215="","",IF(P215="Backed out",IF(S215="Paid","Refunded – closed",IF(R215="","Refund – log reason first","Refund in progress")),IF(K215="","Awaiting payment",IF(N215="",IF(M215="","Schedule free video","Free video in production"),IF(P215="Approved","Active",IF(TODAY()&gt;O215,"Active – plan went ahead","Decision pending – "&amp;NETWORKDAYS(TODAY(),O215)&amp;" working day(s) left"))))))</f>
        <v/>
      </c>
      <c r="R215" s="17"/>
      <c r="S215" s="17"/>
      <c r="T215" s="48"/>
      <c r="U215" s="38"/>
      <c r="V215" s="38"/>
      <c r="W215" s="42" t="str">
        <f aca="false">IF(V215="","",EDATE(V215,Settings!$S$6))</f>
        <v/>
      </c>
      <c r="X215" s="17"/>
      <c r="Y215" s="17"/>
      <c r="Z215" s="17"/>
    </row>
    <row r="216" customFormat="false" ht="15" hidden="false" customHeight="false" outlineLevel="0" collapsed="false">
      <c r="A216" s="17"/>
      <c r="B216" s="17"/>
      <c r="C216" s="17"/>
      <c r="D216" s="17"/>
      <c r="E216" s="40"/>
      <c r="F216" s="17"/>
      <c r="G216" s="17"/>
      <c r="H216" s="17"/>
      <c r="I216" s="47" t="str">
        <f aca="false">IF(H216="","",IFERROR(INDEX(Settings!$G$2:$G$4,MATCH(H216,Settings!$F$2:$F$4,0)),""))</f>
        <v/>
      </c>
      <c r="J216" s="38"/>
      <c r="K216" s="48"/>
      <c r="L216" s="17"/>
      <c r="M216" s="38"/>
      <c r="N216" s="38"/>
      <c r="O216" s="42" t="str">
        <f aca="false">IF(N216="","",WORKDAY(N216,Settings!$S$4))</f>
        <v/>
      </c>
      <c r="P216" s="17"/>
      <c r="Q216" s="44" t="str">
        <f aca="true">IF(C216="","",IF(P216="Backed out",IF(S216="Paid","Refunded – closed",IF(R216="","Refund – log reason first","Refund in progress")),IF(K216="","Awaiting payment",IF(N216="",IF(M216="","Schedule free video","Free video in production"),IF(P216="Approved","Active",IF(TODAY()&gt;O216,"Active – plan went ahead","Decision pending – "&amp;NETWORKDAYS(TODAY(),O216)&amp;" working day(s) left"))))))</f>
        <v/>
      </c>
      <c r="R216" s="17"/>
      <c r="S216" s="17"/>
      <c r="T216" s="48"/>
      <c r="U216" s="38"/>
      <c r="V216" s="38"/>
      <c r="W216" s="42" t="str">
        <f aca="false">IF(V216="","",EDATE(V216,Settings!$S$6))</f>
        <v/>
      </c>
      <c r="X216" s="17"/>
      <c r="Y216" s="17"/>
      <c r="Z216" s="17"/>
    </row>
    <row r="217" customFormat="false" ht="15" hidden="false" customHeight="false" outlineLevel="0" collapsed="false">
      <c r="A217" s="17"/>
      <c r="B217" s="17"/>
      <c r="C217" s="17"/>
      <c r="D217" s="17"/>
      <c r="E217" s="40"/>
      <c r="F217" s="17"/>
      <c r="G217" s="17"/>
      <c r="H217" s="17"/>
      <c r="I217" s="47" t="str">
        <f aca="false">IF(H217="","",IFERROR(INDEX(Settings!$G$2:$G$4,MATCH(H217,Settings!$F$2:$F$4,0)),""))</f>
        <v/>
      </c>
      <c r="J217" s="38"/>
      <c r="K217" s="48"/>
      <c r="L217" s="17"/>
      <c r="M217" s="38"/>
      <c r="N217" s="38"/>
      <c r="O217" s="42" t="str">
        <f aca="false">IF(N217="","",WORKDAY(N217,Settings!$S$4))</f>
        <v/>
      </c>
      <c r="P217" s="17"/>
      <c r="Q217" s="44" t="str">
        <f aca="true">IF(C217="","",IF(P217="Backed out",IF(S217="Paid","Refunded – closed",IF(R217="","Refund – log reason first","Refund in progress")),IF(K217="","Awaiting payment",IF(N217="",IF(M217="","Schedule free video","Free video in production"),IF(P217="Approved","Active",IF(TODAY()&gt;O217,"Active – plan went ahead","Decision pending – "&amp;NETWORKDAYS(TODAY(),O217)&amp;" working day(s) left"))))))</f>
        <v/>
      </c>
      <c r="R217" s="17"/>
      <c r="S217" s="17"/>
      <c r="T217" s="48"/>
      <c r="U217" s="38"/>
      <c r="V217" s="38"/>
      <c r="W217" s="42" t="str">
        <f aca="false">IF(V217="","",EDATE(V217,Settings!$S$6))</f>
        <v/>
      </c>
      <c r="X217" s="17"/>
      <c r="Y217" s="17"/>
      <c r="Z217" s="17"/>
    </row>
    <row r="218" customFormat="false" ht="15" hidden="false" customHeight="false" outlineLevel="0" collapsed="false">
      <c r="A218" s="17"/>
      <c r="B218" s="17"/>
      <c r="C218" s="17"/>
      <c r="D218" s="17"/>
      <c r="E218" s="40"/>
      <c r="F218" s="17"/>
      <c r="G218" s="17"/>
      <c r="H218" s="17"/>
      <c r="I218" s="47" t="str">
        <f aca="false">IF(H218="","",IFERROR(INDEX(Settings!$G$2:$G$4,MATCH(H218,Settings!$F$2:$F$4,0)),""))</f>
        <v/>
      </c>
      <c r="J218" s="38"/>
      <c r="K218" s="48"/>
      <c r="L218" s="17"/>
      <c r="M218" s="38"/>
      <c r="N218" s="38"/>
      <c r="O218" s="42" t="str">
        <f aca="false">IF(N218="","",WORKDAY(N218,Settings!$S$4))</f>
        <v/>
      </c>
      <c r="P218" s="17"/>
      <c r="Q218" s="44" t="str">
        <f aca="true">IF(C218="","",IF(P218="Backed out",IF(S218="Paid","Refunded – closed",IF(R218="","Refund – log reason first","Refund in progress")),IF(K218="","Awaiting payment",IF(N218="",IF(M218="","Schedule free video","Free video in production"),IF(P218="Approved","Active",IF(TODAY()&gt;O218,"Active – plan went ahead","Decision pending – "&amp;NETWORKDAYS(TODAY(),O218)&amp;" working day(s) left"))))))</f>
        <v/>
      </c>
      <c r="R218" s="17"/>
      <c r="S218" s="17"/>
      <c r="T218" s="48"/>
      <c r="U218" s="38"/>
      <c r="V218" s="38"/>
      <c r="W218" s="42" t="str">
        <f aca="false">IF(V218="","",EDATE(V218,Settings!$S$6))</f>
        <v/>
      </c>
      <c r="X218" s="17"/>
      <c r="Y218" s="17"/>
      <c r="Z218" s="17"/>
    </row>
    <row r="219" customFormat="false" ht="15" hidden="false" customHeight="false" outlineLevel="0" collapsed="false">
      <c r="A219" s="17"/>
      <c r="B219" s="17"/>
      <c r="C219" s="17"/>
      <c r="D219" s="17"/>
      <c r="E219" s="40"/>
      <c r="F219" s="17"/>
      <c r="G219" s="17"/>
      <c r="H219" s="17"/>
      <c r="I219" s="47" t="str">
        <f aca="false">IF(H219="","",IFERROR(INDEX(Settings!$G$2:$G$4,MATCH(H219,Settings!$F$2:$F$4,0)),""))</f>
        <v/>
      </c>
      <c r="J219" s="38"/>
      <c r="K219" s="48"/>
      <c r="L219" s="17"/>
      <c r="M219" s="38"/>
      <c r="N219" s="38"/>
      <c r="O219" s="42" t="str">
        <f aca="false">IF(N219="","",WORKDAY(N219,Settings!$S$4))</f>
        <v/>
      </c>
      <c r="P219" s="17"/>
      <c r="Q219" s="44" t="str">
        <f aca="true">IF(C219="","",IF(P219="Backed out",IF(S219="Paid","Refunded – closed",IF(R219="","Refund – log reason first","Refund in progress")),IF(K219="","Awaiting payment",IF(N219="",IF(M219="","Schedule free video","Free video in production"),IF(P219="Approved","Active",IF(TODAY()&gt;O219,"Active – plan went ahead","Decision pending – "&amp;NETWORKDAYS(TODAY(),O219)&amp;" working day(s) left"))))))</f>
        <v/>
      </c>
      <c r="R219" s="17"/>
      <c r="S219" s="17"/>
      <c r="T219" s="48"/>
      <c r="U219" s="38"/>
      <c r="V219" s="38"/>
      <c r="W219" s="42" t="str">
        <f aca="false">IF(V219="","",EDATE(V219,Settings!$S$6))</f>
        <v/>
      </c>
      <c r="X219" s="17"/>
      <c r="Y219" s="17"/>
      <c r="Z219" s="17"/>
    </row>
    <row r="220" customFormat="false" ht="15" hidden="false" customHeight="false" outlineLevel="0" collapsed="false">
      <c r="A220" s="17"/>
      <c r="B220" s="17"/>
      <c r="C220" s="17"/>
      <c r="D220" s="17"/>
      <c r="E220" s="40"/>
      <c r="F220" s="17"/>
      <c r="G220" s="17"/>
      <c r="H220" s="17"/>
      <c r="I220" s="47" t="str">
        <f aca="false">IF(H220="","",IFERROR(INDEX(Settings!$G$2:$G$4,MATCH(H220,Settings!$F$2:$F$4,0)),""))</f>
        <v/>
      </c>
      <c r="J220" s="38"/>
      <c r="K220" s="48"/>
      <c r="L220" s="17"/>
      <c r="M220" s="38"/>
      <c r="N220" s="38"/>
      <c r="O220" s="42" t="str">
        <f aca="false">IF(N220="","",WORKDAY(N220,Settings!$S$4))</f>
        <v/>
      </c>
      <c r="P220" s="17"/>
      <c r="Q220" s="44" t="str">
        <f aca="true">IF(C220="","",IF(P220="Backed out",IF(S220="Paid","Refunded – closed",IF(R220="","Refund – log reason first","Refund in progress")),IF(K220="","Awaiting payment",IF(N220="",IF(M220="","Schedule free video","Free video in production"),IF(P220="Approved","Active",IF(TODAY()&gt;O220,"Active – plan went ahead","Decision pending – "&amp;NETWORKDAYS(TODAY(),O220)&amp;" working day(s) left"))))))</f>
        <v/>
      </c>
      <c r="R220" s="17"/>
      <c r="S220" s="17"/>
      <c r="T220" s="48"/>
      <c r="U220" s="38"/>
      <c r="V220" s="38"/>
      <c r="W220" s="42" t="str">
        <f aca="false">IF(V220="","",EDATE(V220,Settings!$S$6))</f>
        <v/>
      </c>
      <c r="X220" s="17"/>
      <c r="Y220" s="17"/>
      <c r="Z220" s="17"/>
    </row>
    <row r="221" customFormat="false" ht="15" hidden="false" customHeight="false" outlineLevel="0" collapsed="false">
      <c r="A221" s="17"/>
      <c r="B221" s="17"/>
      <c r="C221" s="17"/>
      <c r="D221" s="17"/>
      <c r="E221" s="40"/>
      <c r="F221" s="17"/>
      <c r="G221" s="17"/>
      <c r="H221" s="17"/>
      <c r="I221" s="47" t="str">
        <f aca="false">IF(H221="","",IFERROR(INDEX(Settings!$G$2:$G$4,MATCH(H221,Settings!$F$2:$F$4,0)),""))</f>
        <v/>
      </c>
      <c r="J221" s="38"/>
      <c r="K221" s="48"/>
      <c r="L221" s="17"/>
      <c r="M221" s="38"/>
      <c r="N221" s="38"/>
      <c r="O221" s="42" t="str">
        <f aca="false">IF(N221="","",WORKDAY(N221,Settings!$S$4))</f>
        <v/>
      </c>
      <c r="P221" s="17"/>
      <c r="Q221" s="44" t="str">
        <f aca="true">IF(C221="","",IF(P221="Backed out",IF(S221="Paid","Refunded – closed",IF(R221="","Refund – log reason first","Refund in progress")),IF(K221="","Awaiting payment",IF(N221="",IF(M221="","Schedule free video","Free video in production"),IF(P221="Approved","Active",IF(TODAY()&gt;O221,"Active – plan went ahead","Decision pending – "&amp;NETWORKDAYS(TODAY(),O221)&amp;" working day(s) left"))))))</f>
        <v/>
      </c>
      <c r="R221" s="17"/>
      <c r="S221" s="17"/>
      <c r="T221" s="48"/>
      <c r="U221" s="38"/>
      <c r="V221" s="38"/>
      <c r="W221" s="42" t="str">
        <f aca="false">IF(V221="","",EDATE(V221,Settings!$S$6))</f>
        <v/>
      </c>
      <c r="X221" s="17"/>
      <c r="Y221" s="17"/>
      <c r="Z221" s="17"/>
    </row>
    <row r="222" customFormat="false" ht="15" hidden="false" customHeight="false" outlineLevel="0" collapsed="false">
      <c r="A222" s="17"/>
      <c r="B222" s="17"/>
      <c r="C222" s="17"/>
      <c r="D222" s="17"/>
      <c r="E222" s="40"/>
      <c r="F222" s="17"/>
      <c r="G222" s="17"/>
      <c r="H222" s="17"/>
      <c r="I222" s="47" t="str">
        <f aca="false">IF(H222="","",IFERROR(INDEX(Settings!$G$2:$G$4,MATCH(H222,Settings!$F$2:$F$4,0)),""))</f>
        <v/>
      </c>
      <c r="J222" s="38"/>
      <c r="K222" s="48"/>
      <c r="L222" s="17"/>
      <c r="M222" s="38"/>
      <c r="N222" s="38"/>
      <c r="O222" s="42" t="str">
        <f aca="false">IF(N222="","",WORKDAY(N222,Settings!$S$4))</f>
        <v/>
      </c>
      <c r="P222" s="17"/>
      <c r="Q222" s="44" t="str">
        <f aca="true">IF(C222="","",IF(P222="Backed out",IF(S222="Paid","Refunded – closed",IF(R222="","Refund – log reason first","Refund in progress")),IF(K222="","Awaiting payment",IF(N222="",IF(M222="","Schedule free video","Free video in production"),IF(P222="Approved","Active",IF(TODAY()&gt;O222,"Active – plan went ahead","Decision pending – "&amp;NETWORKDAYS(TODAY(),O222)&amp;" working day(s) left"))))))</f>
        <v/>
      </c>
      <c r="R222" s="17"/>
      <c r="S222" s="17"/>
      <c r="T222" s="48"/>
      <c r="U222" s="38"/>
      <c r="V222" s="38"/>
      <c r="W222" s="42" t="str">
        <f aca="false">IF(V222="","",EDATE(V222,Settings!$S$6))</f>
        <v/>
      </c>
      <c r="X222" s="17"/>
      <c r="Y222" s="17"/>
      <c r="Z222" s="17"/>
    </row>
    <row r="223" customFormat="false" ht="15" hidden="false" customHeight="false" outlineLevel="0" collapsed="false">
      <c r="A223" s="17"/>
      <c r="B223" s="17"/>
      <c r="C223" s="17"/>
      <c r="D223" s="17"/>
      <c r="E223" s="40"/>
      <c r="F223" s="17"/>
      <c r="G223" s="17"/>
      <c r="H223" s="17"/>
      <c r="I223" s="47" t="str">
        <f aca="false">IF(H223="","",IFERROR(INDEX(Settings!$G$2:$G$4,MATCH(H223,Settings!$F$2:$F$4,0)),""))</f>
        <v/>
      </c>
      <c r="J223" s="38"/>
      <c r="K223" s="48"/>
      <c r="L223" s="17"/>
      <c r="M223" s="38"/>
      <c r="N223" s="38"/>
      <c r="O223" s="42" t="str">
        <f aca="false">IF(N223="","",WORKDAY(N223,Settings!$S$4))</f>
        <v/>
      </c>
      <c r="P223" s="17"/>
      <c r="Q223" s="44" t="str">
        <f aca="true">IF(C223="","",IF(P223="Backed out",IF(S223="Paid","Refunded – closed",IF(R223="","Refund – log reason first","Refund in progress")),IF(K223="","Awaiting payment",IF(N223="",IF(M223="","Schedule free video","Free video in production"),IF(P223="Approved","Active",IF(TODAY()&gt;O223,"Active – plan went ahead","Decision pending – "&amp;NETWORKDAYS(TODAY(),O223)&amp;" working day(s) left"))))))</f>
        <v/>
      </c>
      <c r="R223" s="17"/>
      <c r="S223" s="17"/>
      <c r="T223" s="48"/>
      <c r="U223" s="38"/>
      <c r="V223" s="38"/>
      <c r="W223" s="42" t="str">
        <f aca="false">IF(V223="","",EDATE(V223,Settings!$S$6))</f>
        <v/>
      </c>
      <c r="X223" s="17"/>
      <c r="Y223" s="17"/>
      <c r="Z223" s="17"/>
    </row>
    <row r="224" customFormat="false" ht="15" hidden="false" customHeight="false" outlineLevel="0" collapsed="false">
      <c r="A224" s="17"/>
      <c r="B224" s="17"/>
      <c r="C224" s="17"/>
      <c r="D224" s="17"/>
      <c r="E224" s="40"/>
      <c r="F224" s="17"/>
      <c r="G224" s="17"/>
      <c r="H224" s="17"/>
      <c r="I224" s="47" t="str">
        <f aca="false">IF(H224="","",IFERROR(INDEX(Settings!$G$2:$G$4,MATCH(H224,Settings!$F$2:$F$4,0)),""))</f>
        <v/>
      </c>
      <c r="J224" s="38"/>
      <c r="K224" s="48"/>
      <c r="L224" s="17"/>
      <c r="M224" s="38"/>
      <c r="N224" s="38"/>
      <c r="O224" s="42" t="str">
        <f aca="false">IF(N224="","",WORKDAY(N224,Settings!$S$4))</f>
        <v/>
      </c>
      <c r="P224" s="17"/>
      <c r="Q224" s="44" t="str">
        <f aca="true">IF(C224="","",IF(P224="Backed out",IF(S224="Paid","Refunded – closed",IF(R224="","Refund – log reason first","Refund in progress")),IF(K224="","Awaiting payment",IF(N224="",IF(M224="","Schedule free video","Free video in production"),IF(P224="Approved","Active",IF(TODAY()&gt;O224,"Active – plan went ahead","Decision pending – "&amp;NETWORKDAYS(TODAY(),O224)&amp;" working day(s) left"))))))</f>
        <v/>
      </c>
      <c r="R224" s="17"/>
      <c r="S224" s="17"/>
      <c r="T224" s="48"/>
      <c r="U224" s="38"/>
      <c r="V224" s="38"/>
      <c r="W224" s="42" t="str">
        <f aca="false">IF(V224="","",EDATE(V224,Settings!$S$6))</f>
        <v/>
      </c>
      <c r="X224" s="17"/>
      <c r="Y224" s="17"/>
      <c r="Z224" s="17"/>
    </row>
    <row r="225" customFormat="false" ht="15" hidden="false" customHeight="false" outlineLevel="0" collapsed="false">
      <c r="A225" s="17"/>
      <c r="B225" s="17"/>
      <c r="C225" s="17"/>
      <c r="D225" s="17"/>
      <c r="E225" s="40"/>
      <c r="F225" s="17"/>
      <c r="G225" s="17"/>
      <c r="H225" s="17"/>
      <c r="I225" s="47" t="str">
        <f aca="false">IF(H225="","",IFERROR(INDEX(Settings!$G$2:$G$4,MATCH(H225,Settings!$F$2:$F$4,0)),""))</f>
        <v/>
      </c>
      <c r="J225" s="38"/>
      <c r="K225" s="48"/>
      <c r="L225" s="17"/>
      <c r="M225" s="38"/>
      <c r="N225" s="38"/>
      <c r="O225" s="42" t="str">
        <f aca="false">IF(N225="","",WORKDAY(N225,Settings!$S$4))</f>
        <v/>
      </c>
      <c r="P225" s="17"/>
      <c r="Q225" s="44" t="str">
        <f aca="true">IF(C225="","",IF(P225="Backed out",IF(S225="Paid","Refunded – closed",IF(R225="","Refund – log reason first","Refund in progress")),IF(K225="","Awaiting payment",IF(N225="",IF(M225="","Schedule free video","Free video in production"),IF(P225="Approved","Active",IF(TODAY()&gt;O225,"Active – plan went ahead","Decision pending – "&amp;NETWORKDAYS(TODAY(),O225)&amp;" working day(s) left"))))))</f>
        <v/>
      </c>
      <c r="R225" s="17"/>
      <c r="S225" s="17"/>
      <c r="T225" s="48"/>
      <c r="U225" s="38"/>
      <c r="V225" s="38"/>
      <c r="W225" s="42" t="str">
        <f aca="false">IF(V225="","",EDATE(V225,Settings!$S$6))</f>
        <v/>
      </c>
      <c r="X225" s="17"/>
      <c r="Y225" s="17"/>
      <c r="Z225" s="17"/>
    </row>
    <row r="226" customFormat="false" ht="15" hidden="false" customHeight="false" outlineLevel="0" collapsed="false">
      <c r="A226" s="17"/>
      <c r="B226" s="17"/>
      <c r="C226" s="17"/>
      <c r="D226" s="17"/>
      <c r="E226" s="40"/>
      <c r="F226" s="17"/>
      <c r="G226" s="17"/>
      <c r="H226" s="17"/>
      <c r="I226" s="47" t="str">
        <f aca="false">IF(H226="","",IFERROR(INDEX(Settings!$G$2:$G$4,MATCH(H226,Settings!$F$2:$F$4,0)),""))</f>
        <v/>
      </c>
      <c r="J226" s="38"/>
      <c r="K226" s="48"/>
      <c r="L226" s="17"/>
      <c r="M226" s="38"/>
      <c r="N226" s="38"/>
      <c r="O226" s="42" t="str">
        <f aca="false">IF(N226="","",WORKDAY(N226,Settings!$S$4))</f>
        <v/>
      </c>
      <c r="P226" s="17"/>
      <c r="Q226" s="44" t="str">
        <f aca="true">IF(C226="","",IF(P226="Backed out",IF(S226="Paid","Refunded – closed",IF(R226="","Refund – log reason first","Refund in progress")),IF(K226="","Awaiting payment",IF(N226="",IF(M226="","Schedule free video","Free video in production"),IF(P226="Approved","Active",IF(TODAY()&gt;O226,"Active – plan went ahead","Decision pending – "&amp;NETWORKDAYS(TODAY(),O226)&amp;" working day(s) left"))))))</f>
        <v/>
      </c>
      <c r="R226" s="17"/>
      <c r="S226" s="17"/>
      <c r="T226" s="48"/>
      <c r="U226" s="38"/>
      <c r="V226" s="38"/>
      <c r="W226" s="42" t="str">
        <f aca="false">IF(V226="","",EDATE(V226,Settings!$S$6))</f>
        <v/>
      </c>
      <c r="X226" s="17"/>
      <c r="Y226" s="17"/>
      <c r="Z226" s="17"/>
    </row>
    <row r="227" customFormat="false" ht="15" hidden="false" customHeight="false" outlineLevel="0" collapsed="false">
      <c r="A227" s="17"/>
      <c r="B227" s="17"/>
      <c r="C227" s="17"/>
      <c r="D227" s="17"/>
      <c r="E227" s="40"/>
      <c r="F227" s="17"/>
      <c r="G227" s="17"/>
      <c r="H227" s="17"/>
      <c r="I227" s="47" t="str">
        <f aca="false">IF(H227="","",IFERROR(INDEX(Settings!$G$2:$G$4,MATCH(H227,Settings!$F$2:$F$4,0)),""))</f>
        <v/>
      </c>
      <c r="J227" s="38"/>
      <c r="K227" s="48"/>
      <c r="L227" s="17"/>
      <c r="M227" s="38"/>
      <c r="N227" s="38"/>
      <c r="O227" s="42" t="str">
        <f aca="false">IF(N227="","",WORKDAY(N227,Settings!$S$4))</f>
        <v/>
      </c>
      <c r="P227" s="17"/>
      <c r="Q227" s="44" t="str">
        <f aca="true">IF(C227="","",IF(P227="Backed out",IF(S227="Paid","Refunded – closed",IF(R227="","Refund – log reason first","Refund in progress")),IF(K227="","Awaiting payment",IF(N227="",IF(M227="","Schedule free video","Free video in production"),IF(P227="Approved","Active",IF(TODAY()&gt;O227,"Active – plan went ahead","Decision pending – "&amp;NETWORKDAYS(TODAY(),O227)&amp;" working day(s) left"))))))</f>
        <v/>
      </c>
      <c r="R227" s="17"/>
      <c r="S227" s="17"/>
      <c r="T227" s="48"/>
      <c r="U227" s="38"/>
      <c r="V227" s="38"/>
      <c r="W227" s="42" t="str">
        <f aca="false">IF(V227="","",EDATE(V227,Settings!$S$6))</f>
        <v/>
      </c>
      <c r="X227" s="17"/>
      <c r="Y227" s="17"/>
      <c r="Z227" s="17"/>
    </row>
    <row r="228" customFormat="false" ht="15" hidden="false" customHeight="false" outlineLevel="0" collapsed="false">
      <c r="A228" s="17"/>
      <c r="B228" s="17"/>
      <c r="C228" s="17"/>
      <c r="D228" s="17"/>
      <c r="E228" s="40"/>
      <c r="F228" s="17"/>
      <c r="G228" s="17"/>
      <c r="H228" s="17"/>
      <c r="I228" s="47" t="str">
        <f aca="false">IF(H228="","",IFERROR(INDEX(Settings!$G$2:$G$4,MATCH(H228,Settings!$F$2:$F$4,0)),""))</f>
        <v/>
      </c>
      <c r="J228" s="38"/>
      <c r="K228" s="48"/>
      <c r="L228" s="17"/>
      <c r="M228" s="38"/>
      <c r="N228" s="38"/>
      <c r="O228" s="42" t="str">
        <f aca="false">IF(N228="","",WORKDAY(N228,Settings!$S$4))</f>
        <v/>
      </c>
      <c r="P228" s="17"/>
      <c r="Q228" s="44" t="str">
        <f aca="true">IF(C228="","",IF(P228="Backed out",IF(S228="Paid","Refunded – closed",IF(R228="","Refund – log reason first","Refund in progress")),IF(K228="","Awaiting payment",IF(N228="",IF(M228="","Schedule free video","Free video in production"),IF(P228="Approved","Active",IF(TODAY()&gt;O228,"Active – plan went ahead","Decision pending – "&amp;NETWORKDAYS(TODAY(),O228)&amp;" working day(s) left"))))))</f>
        <v/>
      </c>
      <c r="R228" s="17"/>
      <c r="S228" s="17"/>
      <c r="T228" s="48"/>
      <c r="U228" s="38"/>
      <c r="V228" s="38"/>
      <c r="W228" s="42" t="str">
        <f aca="false">IF(V228="","",EDATE(V228,Settings!$S$6))</f>
        <v/>
      </c>
      <c r="X228" s="17"/>
      <c r="Y228" s="17"/>
      <c r="Z228" s="17"/>
    </row>
    <row r="229" customFormat="false" ht="15" hidden="false" customHeight="false" outlineLevel="0" collapsed="false">
      <c r="A229" s="17"/>
      <c r="B229" s="17"/>
      <c r="C229" s="17"/>
      <c r="D229" s="17"/>
      <c r="E229" s="40"/>
      <c r="F229" s="17"/>
      <c r="G229" s="17"/>
      <c r="H229" s="17"/>
      <c r="I229" s="47" t="str">
        <f aca="false">IF(H229="","",IFERROR(INDEX(Settings!$G$2:$G$4,MATCH(H229,Settings!$F$2:$F$4,0)),""))</f>
        <v/>
      </c>
      <c r="J229" s="38"/>
      <c r="K229" s="48"/>
      <c r="L229" s="17"/>
      <c r="M229" s="38"/>
      <c r="N229" s="38"/>
      <c r="O229" s="42" t="str">
        <f aca="false">IF(N229="","",WORKDAY(N229,Settings!$S$4))</f>
        <v/>
      </c>
      <c r="P229" s="17"/>
      <c r="Q229" s="44" t="str">
        <f aca="true">IF(C229="","",IF(P229="Backed out",IF(S229="Paid","Refunded – closed",IF(R229="","Refund – log reason first","Refund in progress")),IF(K229="","Awaiting payment",IF(N229="",IF(M229="","Schedule free video","Free video in production"),IF(P229="Approved","Active",IF(TODAY()&gt;O229,"Active – plan went ahead","Decision pending – "&amp;NETWORKDAYS(TODAY(),O229)&amp;" working day(s) left"))))))</f>
        <v/>
      </c>
      <c r="R229" s="17"/>
      <c r="S229" s="17"/>
      <c r="T229" s="48"/>
      <c r="U229" s="38"/>
      <c r="V229" s="38"/>
      <c r="W229" s="42" t="str">
        <f aca="false">IF(V229="","",EDATE(V229,Settings!$S$6))</f>
        <v/>
      </c>
      <c r="X229" s="17"/>
      <c r="Y229" s="17"/>
      <c r="Z229" s="17"/>
    </row>
    <row r="230" customFormat="false" ht="15" hidden="false" customHeight="false" outlineLevel="0" collapsed="false">
      <c r="A230" s="17"/>
      <c r="B230" s="17"/>
      <c r="C230" s="17"/>
      <c r="D230" s="17"/>
      <c r="E230" s="40"/>
      <c r="F230" s="17"/>
      <c r="G230" s="17"/>
      <c r="H230" s="17"/>
      <c r="I230" s="47" t="str">
        <f aca="false">IF(H230="","",IFERROR(INDEX(Settings!$G$2:$G$4,MATCH(H230,Settings!$F$2:$F$4,0)),""))</f>
        <v/>
      </c>
      <c r="J230" s="38"/>
      <c r="K230" s="48"/>
      <c r="L230" s="17"/>
      <c r="M230" s="38"/>
      <c r="N230" s="38"/>
      <c r="O230" s="42" t="str">
        <f aca="false">IF(N230="","",WORKDAY(N230,Settings!$S$4))</f>
        <v/>
      </c>
      <c r="P230" s="17"/>
      <c r="Q230" s="44" t="str">
        <f aca="true">IF(C230="","",IF(P230="Backed out",IF(S230="Paid","Refunded – closed",IF(R230="","Refund – log reason first","Refund in progress")),IF(K230="","Awaiting payment",IF(N230="",IF(M230="","Schedule free video","Free video in production"),IF(P230="Approved","Active",IF(TODAY()&gt;O230,"Active – plan went ahead","Decision pending – "&amp;NETWORKDAYS(TODAY(),O230)&amp;" working day(s) left"))))))</f>
        <v/>
      </c>
      <c r="R230" s="17"/>
      <c r="S230" s="17"/>
      <c r="T230" s="48"/>
      <c r="U230" s="38"/>
      <c r="V230" s="38"/>
      <c r="W230" s="42" t="str">
        <f aca="false">IF(V230="","",EDATE(V230,Settings!$S$6))</f>
        <v/>
      </c>
      <c r="X230" s="17"/>
      <c r="Y230" s="17"/>
      <c r="Z230" s="17"/>
    </row>
    <row r="231" customFormat="false" ht="15" hidden="false" customHeight="false" outlineLevel="0" collapsed="false">
      <c r="A231" s="17"/>
      <c r="B231" s="17"/>
      <c r="C231" s="17"/>
      <c r="D231" s="17"/>
      <c r="E231" s="40"/>
      <c r="F231" s="17"/>
      <c r="G231" s="17"/>
      <c r="H231" s="17"/>
      <c r="I231" s="47" t="str">
        <f aca="false">IF(H231="","",IFERROR(INDEX(Settings!$G$2:$G$4,MATCH(H231,Settings!$F$2:$F$4,0)),""))</f>
        <v/>
      </c>
      <c r="J231" s="38"/>
      <c r="K231" s="48"/>
      <c r="L231" s="17"/>
      <c r="M231" s="38"/>
      <c r="N231" s="38"/>
      <c r="O231" s="42" t="str">
        <f aca="false">IF(N231="","",WORKDAY(N231,Settings!$S$4))</f>
        <v/>
      </c>
      <c r="P231" s="17"/>
      <c r="Q231" s="44" t="str">
        <f aca="true">IF(C231="","",IF(P231="Backed out",IF(S231="Paid","Refunded – closed",IF(R231="","Refund – log reason first","Refund in progress")),IF(K231="","Awaiting payment",IF(N231="",IF(M231="","Schedule free video","Free video in production"),IF(P231="Approved","Active",IF(TODAY()&gt;O231,"Active – plan went ahead","Decision pending – "&amp;NETWORKDAYS(TODAY(),O231)&amp;" working day(s) left"))))))</f>
        <v/>
      </c>
      <c r="R231" s="17"/>
      <c r="S231" s="17"/>
      <c r="T231" s="48"/>
      <c r="U231" s="38"/>
      <c r="V231" s="38"/>
      <c r="W231" s="42" t="str">
        <f aca="false">IF(V231="","",EDATE(V231,Settings!$S$6))</f>
        <v/>
      </c>
      <c r="X231" s="17"/>
      <c r="Y231" s="17"/>
      <c r="Z231" s="17"/>
    </row>
    <row r="232" customFormat="false" ht="15" hidden="false" customHeight="false" outlineLevel="0" collapsed="false">
      <c r="A232" s="17"/>
      <c r="B232" s="17"/>
      <c r="C232" s="17"/>
      <c r="D232" s="17"/>
      <c r="E232" s="40"/>
      <c r="F232" s="17"/>
      <c r="G232" s="17"/>
      <c r="H232" s="17"/>
      <c r="I232" s="47" t="str">
        <f aca="false">IF(H232="","",IFERROR(INDEX(Settings!$G$2:$G$4,MATCH(H232,Settings!$F$2:$F$4,0)),""))</f>
        <v/>
      </c>
      <c r="J232" s="38"/>
      <c r="K232" s="48"/>
      <c r="L232" s="17"/>
      <c r="M232" s="38"/>
      <c r="N232" s="38"/>
      <c r="O232" s="42" t="str">
        <f aca="false">IF(N232="","",WORKDAY(N232,Settings!$S$4))</f>
        <v/>
      </c>
      <c r="P232" s="17"/>
      <c r="Q232" s="44" t="str">
        <f aca="true">IF(C232="","",IF(P232="Backed out",IF(S232="Paid","Refunded – closed",IF(R232="","Refund – log reason first","Refund in progress")),IF(K232="","Awaiting payment",IF(N232="",IF(M232="","Schedule free video","Free video in production"),IF(P232="Approved","Active",IF(TODAY()&gt;O232,"Active – plan went ahead","Decision pending – "&amp;NETWORKDAYS(TODAY(),O232)&amp;" working day(s) left"))))))</f>
        <v/>
      </c>
      <c r="R232" s="17"/>
      <c r="S232" s="17"/>
      <c r="T232" s="48"/>
      <c r="U232" s="38"/>
      <c r="V232" s="38"/>
      <c r="W232" s="42" t="str">
        <f aca="false">IF(V232="","",EDATE(V232,Settings!$S$6))</f>
        <v/>
      </c>
      <c r="X232" s="17"/>
      <c r="Y232" s="17"/>
      <c r="Z232" s="17"/>
    </row>
    <row r="233" customFormat="false" ht="15" hidden="false" customHeight="false" outlineLevel="0" collapsed="false">
      <c r="A233" s="17"/>
      <c r="B233" s="17"/>
      <c r="C233" s="17"/>
      <c r="D233" s="17"/>
      <c r="E233" s="40"/>
      <c r="F233" s="17"/>
      <c r="G233" s="17"/>
      <c r="H233" s="17"/>
      <c r="I233" s="47" t="str">
        <f aca="false">IF(H233="","",IFERROR(INDEX(Settings!$G$2:$G$4,MATCH(H233,Settings!$F$2:$F$4,0)),""))</f>
        <v/>
      </c>
      <c r="J233" s="38"/>
      <c r="K233" s="48"/>
      <c r="L233" s="17"/>
      <c r="M233" s="38"/>
      <c r="N233" s="38"/>
      <c r="O233" s="42" t="str">
        <f aca="false">IF(N233="","",WORKDAY(N233,Settings!$S$4))</f>
        <v/>
      </c>
      <c r="P233" s="17"/>
      <c r="Q233" s="44" t="str">
        <f aca="true">IF(C233="","",IF(P233="Backed out",IF(S233="Paid","Refunded – closed",IF(R233="","Refund – log reason first","Refund in progress")),IF(K233="","Awaiting payment",IF(N233="",IF(M233="","Schedule free video","Free video in production"),IF(P233="Approved","Active",IF(TODAY()&gt;O233,"Active – plan went ahead","Decision pending – "&amp;NETWORKDAYS(TODAY(),O233)&amp;" working day(s) left"))))))</f>
        <v/>
      </c>
      <c r="R233" s="17"/>
      <c r="S233" s="17"/>
      <c r="T233" s="48"/>
      <c r="U233" s="38"/>
      <c r="V233" s="38"/>
      <c r="W233" s="42" t="str">
        <f aca="false">IF(V233="","",EDATE(V233,Settings!$S$6))</f>
        <v/>
      </c>
      <c r="X233" s="17"/>
      <c r="Y233" s="17"/>
      <c r="Z233" s="17"/>
    </row>
    <row r="234" customFormat="false" ht="15" hidden="false" customHeight="false" outlineLevel="0" collapsed="false">
      <c r="A234" s="17"/>
      <c r="B234" s="17"/>
      <c r="C234" s="17"/>
      <c r="D234" s="17"/>
      <c r="E234" s="40"/>
      <c r="F234" s="17"/>
      <c r="G234" s="17"/>
      <c r="H234" s="17"/>
      <c r="I234" s="47" t="str">
        <f aca="false">IF(H234="","",IFERROR(INDEX(Settings!$G$2:$G$4,MATCH(H234,Settings!$F$2:$F$4,0)),""))</f>
        <v/>
      </c>
      <c r="J234" s="38"/>
      <c r="K234" s="48"/>
      <c r="L234" s="17"/>
      <c r="M234" s="38"/>
      <c r="N234" s="38"/>
      <c r="O234" s="42" t="str">
        <f aca="false">IF(N234="","",WORKDAY(N234,Settings!$S$4))</f>
        <v/>
      </c>
      <c r="P234" s="17"/>
      <c r="Q234" s="44" t="str">
        <f aca="true">IF(C234="","",IF(P234="Backed out",IF(S234="Paid","Refunded – closed",IF(R234="","Refund – log reason first","Refund in progress")),IF(K234="","Awaiting payment",IF(N234="",IF(M234="","Schedule free video","Free video in production"),IF(P234="Approved","Active",IF(TODAY()&gt;O234,"Active – plan went ahead","Decision pending – "&amp;NETWORKDAYS(TODAY(),O234)&amp;" working day(s) left"))))))</f>
        <v/>
      </c>
      <c r="R234" s="17"/>
      <c r="S234" s="17"/>
      <c r="T234" s="48"/>
      <c r="U234" s="38"/>
      <c r="V234" s="38"/>
      <c r="W234" s="42" t="str">
        <f aca="false">IF(V234="","",EDATE(V234,Settings!$S$6))</f>
        <v/>
      </c>
      <c r="X234" s="17"/>
      <c r="Y234" s="17"/>
      <c r="Z234" s="17"/>
    </row>
    <row r="235" customFormat="false" ht="15" hidden="false" customHeight="false" outlineLevel="0" collapsed="false">
      <c r="A235" s="17"/>
      <c r="B235" s="17"/>
      <c r="C235" s="17"/>
      <c r="D235" s="17"/>
      <c r="E235" s="40"/>
      <c r="F235" s="17"/>
      <c r="G235" s="17"/>
      <c r="H235" s="17"/>
      <c r="I235" s="47" t="str">
        <f aca="false">IF(H235="","",IFERROR(INDEX(Settings!$G$2:$G$4,MATCH(H235,Settings!$F$2:$F$4,0)),""))</f>
        <v/>
      </c>
      <c r="J235" s="38"/>
      <c r="K235" s="48"/>
      <c r="L235" s="17"/>
      <c r="M235" s="38"/>
      <c r="N235" s="38"/>
      <c r="O235" s="42" t="str">
        <f aca="false">IF(N235="","",WORKDAY(N235,Settings!$S$4))</f>
        <v/>
      </c>
      <c r="P235" s="17"/>
      <c r="Q235" s="44" t="str">
        <f aca="true">IF(C235="","",IF(P235="Backed out",IF(S235="Paid","Refunded – closed",IF(R235="","Refund – log reason first","Refund in progress")),IF(K235="","Awaiting payment",IF(N235="",IF(M235="","Schedule free video","Free video in production"),IF(P235="Approved","Active",IF(TODAY()&gt;O235,"Active – plan went ahead","Decision pending – "&amp;NETWORKDAYS(TODAY(),O235)&amp;" working day(s) left"))))))</f>
        <v/>
      </c>
      <c r="R235" s="17"/>
      <c r="S235" s="17"/>
      <c r="T235" s="48"/>
      <c r="U235" s="38"/>
      <c r="V235" s="38"/>
      <c r="W235" s="42" t="str">
        <f aca="false">IF(V235="","",EDATE(V235,Settings!$S$6))</f>
        <v/>
      </c>
      <c r="X235" s="17"/>
      <c r="Y235" s="17"/>
      <c r="Z235" s="17"/>
    </row>
    <row r="236" customFormat="false" ht="15" hidden="false" customHeight="false" outlineLevel="0" collapsed="false">
      <c r="A236" s="17"/>
      <c r="B236" s="17"/>
      <c r="C236" s="17"/>
      <c r="D236" s="17"/>
      <c r="E236" s="40"/>
      <c r="F236" s="17"/>
      <c r="G236" s="17"/>
      <c r="H236" s="17"/>
      <c r="I236" s="47" t="str">
        <f aca="false">IF(H236="","",IFERROR(INDEX(Settings!$G$2:$G$4,MATCH(H236,Settings!$F$2:$F$4,0)),""))</f>
        <v/>
      </c>
      <c r="J236" s="38"/>
      <c r="K236" s="48"/>
      <c r="L236" s="17"/>
      <c r="M236" s="38"/>
      <c r="N236" s="38"/>
      <c r="O236" s="42" t="str">
        <f aca="false">IF(N236="","",WORKDAY(N236,Settings!$S$4))</f>
        <v/>
      </c>
      <c r="P236" s="17"/>
      <c r="Q236" s="44" t="str">
        <f aca="true">IF(C236="","",IF(P236="Backed out",IF(S236="Paid","Refunded – closed",IF(R236="","Refund – log reason first","Refund in progress")),IF(K236="","Awaiting payment",IF(N236="",IF(M236="","Schedule free video","Free video in production"),IF(P236="Approved","Active",IF(TODAY()&gt;O236,"Active – plan went ahead","Decision pending – "&amp;NETWORKDAYS(TODAY(),O236)&amp;" working day(s) left"))))))</f>
        <v/>
      </c>
      <c r="R236" s="17"/>
      <c r="S236" s="17"/>
      <c r="T236" s="48"/>
      <c r="U236" s="38"/>
      <c r="V236" s="38"/>
      <c r="W236" s="42" t="str">
        <f aca="false">IF(V236="","",EDATE(V236,Settings!$S$6))</f>
        <v/>
      </c>
      <c r="X236" s="17"/>
      <c r="Y236" s="17"/>
      <c r="Z236" s="17"/>
    </row>
    <row r="237" customFormat="false" ht="15" hidden="false" customHeight="false" outlineLevel="0" collapsed="false">
      <c r="A237" s="17"/>
      <c r="B237" s="17"/>
      <c r="C237" s="17"/>
      <c r="D237" s="17"/>
      <c r="E237" s="40"/>
      <c r="F237" s="17"/>
      <c r="G237" s="17"/>
      <c r="H237" s="17"/>
      <c r="I237" s="47" t="str">
        <f aca="false">IF(H237="","",IFERROR(INDEX(Settings!$G$2:$G$4,MATCH(H237,Settings!$F$2:$F$4,0)),""))</f>
        <v/>
      </c>
      <c r="J237" s="38"/>
      <c r="K237" s="48"/>
      <c r="L237" s="17"/>
      <c r="M237" s="38"/>
      <c r="N237" s="38"/>
      <c r="O237" s="42" t="str">
        <f aca="false">IF(N237="","",WORKDAY(N237,Settings!$S$4))</f>
        <v/>
      </c>
      <c r="P237" s="17"/>
      <c r="Q237" s="44" t="str">
        <f aca="true">IF(C237="","",IF(P237="Backed out",IF(S237="Paid","Refunded – closed",IF(R237="","Refund – log reason first","Refund in progress")),IF(K237="","Awaiting payment",IF(N237="",IF(M237="","Schedule free video","Free video in production"),IF(P237="Approved","Active",IF(TODAY()&gt;O237,"Active – plan went ahead","Decision pending – "&amp;NETWORKDAYS(TODAY(),O237)&amp;" working day(s) left"))))))</f>
        <v/>
      </c>
      <c r="R237" s="17"/>
      <c r="S237" s="17"/>
      <c r="T237" s="48"/>
      <c r="U237" s="38"/>
      <c r="V237" s="38"/>
      <c r="W237" s="42" t="str">
        <f aca="false">IF(V237="","",EDATE(V237,Settings!$S$6))</f>
        <v/>
      </c>
      <c r="X237" s="17"/>
      <c r="Y237" s="17"/>
      <c r="Z237" s="17"/>
    </row>
    <row r="238" customFormat="false" ht="15" hidden="false" customHeight="false" outlineLevel="0" collapsed="false">
      <c r="A238" s="17"/>
      <c r="B238" s="17"/>
      <c r="C238" s="17"/>
      <c r="D238" s="17"/>
      <c r="E238" s="40"/>
      <c r="F238" s="17"/>
      <c r="G238" s="17"/>
      <c r="H238" s="17"/>
      <c r="I238" s="47" t="str">
        <f aca="false">IF(H238="","",IFERROR(INDEX(Settings!$G$2:$G$4,MATCH(H238,Settings!$F$2:$F$4,0)),""))</f>
        <v/>
      </c>
      <c r="J238" s="38"/>
      <c r="K238" s="48"/>
      <c r="L238" s="17"/>
      <c r="M238" s="38"/>
      <c r="N238" s="38"/>
      <c r="O238" s="42" t="str">
        <f aca="false">IF(N238="","",WORKDAY(N238,Settings!$S$4))</f>
        <v/>
      </c>
      <c r="P238" s="17"/>
      <c r="Q238" s="44" t="str">
        <f aca="true">IF(C238="","",IF(P238="Backed out",IF(S238="Paid","Refunded – closed",IF(R238="","Refund – log reason first","Refund in progress")),IF(K238="","Awaiting payment",IF(N238="",IF(M238="","Schedule free video","Free video in production"),IF(P238="Approved","Active",IF(TODAY()&gt;O238,"Active – plan went ahead","Decision pending – "&amp;NETWORKDAYS(TODAY(),O238)&amp;" working day(s) left"))))))</f>
        <v/>
      </c>
      <c r="R238" s="17"/>
      <c r="S238" s="17"/>
      <c r="T238" s="48"/>
      <c r="U238" s="38"/>
      <c r="V238" s="38"/>
      <c r="W238" s="42" t="str">
        <f aca="false">IF(V238="","",EDATE(V238,Settings!$S$6))</f>
        <v/>
      </c>
      <c r="X238" s="17"/>
      <c r="Y238" s="17"/>
      <c r="Z238" s="17"/>
    </row>
    <row r="239" customFormat="false" ht="15" hidden="false" customHeight="false" outlineLevel="0" collapsed="false">
      <c r="A239" s="17"/>
      <c r="B239" s="17"/>
      <c r="C239" s="17"/>
      <c r="D239" s="17"/>
      <c r="E239" s="40"/>
      <c r="F239" s="17"/>
      <c r="G239" s="17"/>
      <c r="H239" s="17"/>
      <c r="I239" s="47" t="str">
        <f aca="false">IF(H239="","",IFERROR(INDEX(Settings!$G$2:$G$4,MATCH(H239,Settings!$F$2:$F$4,0)),""))</f>
        <v/>
      </c>
      <c r="J239" s="38"/>
      <c r="K239" s="48"/>
      <c r="L239" s="17"/>
      <c r="M239" s="38"/>
      <c r="N239" s="38"/>
      <c r="O239" s="42" t="str">
        <f aca="false">IF(N239="","",WORKDAY(N239,Settings!$S$4))</f>
        <v/>
      </c>
      <c r="P239" s="17"/>
      <c r="Q239" s="44" t="str">
        <f aca="true">IF(C239="","",IF(P239="Backed out",IF(S239="Paid","Refunded – closed",IF(R239="","Refund – log reason first","Refund in progress")),IF(K239="","Awaiting payment",IF(N239="",IF(M239="","Schedule free video","Free video in production"),IF(P239="Approved","Active",IF(TODAY()&gt;O239,"Active – plan went ahead","Decision pending – "&amp;NETWORKDAYS(TODAY(),O239)&amp;" working day(s) left"))))))</f>
        <v/>
      </c>
      <c r="R239" s="17"/>
      <c r="S239" s="17"/>
      <c r="T239" s="48"/>
      <c r="U239" s="38"/>
      <c r="V239" s="38"/>
      <c r="W239" s="42" t="str">
        <f aca="false">IF(V239="","",EDATE(V239,Settings!$S$6))</f>
        <v/>
      </c>
      <c r="X239" s="17"/>
      <c r="Y239" s="17"/>
      <c r="Z239" s="17"/>
    </row>
    <row r="240" customFormat="false" ht="15" hidden="false" customHeight="false" outlineLevel="0" collapsed="false">
      <c r="A240" s="17"/>
      <c r="B240" s="17"/>
      <c r="C240" s="17"/>
      <c r="D240" s="17"/>
      <c r="E240" s="40"/>
      <c r="F240" s="17"/>
      <c r="G240" s="17"/>
      <c r="H240" s="17"/>
      <c r="I240" s="47" t="str">
        <f aca="false">IF(H240="","",IFERROR(INDEX(Settings!$G$2:$G$4,MATCH(H240,Settings!$F$2:$F$4,0)),""))</f>
        <v/>
      </c>
      <c r="J240" s="38"/>
      <c r="K240" s="48"/>
      <c r="L240" s="17"/>
      <c r="M240" s="38"/>
      <c r="N240" s="38"/>
      <c r="O240" s="42" t="str">
        <f aca="false">IF(N240="","",WORKDAY(N240,Settings!$S$4))</f>
        <v/>
      </c>
      <c r="P240" s="17"/>
      <c r="Q240" s="44" t="str">
        <f aca="true">IF(C240="","",IF(P240="Backed out",IF(S240="Paid","Refunded – closed",IF(R240="","Refund – log reason first","Refund in progress")),IF(K240="","Awaiting payment",IF(N240="",IF(M240="","Schedule free video","Free video in production"),IF(P240="Approved","Active",IF(TODAY()&gt;O240,"Active – plan went ahead","Decision pending – "&amp;NETWORKDAYS(TODAY(),O240)&amp;" working day(s) left"))))))</f>
        <v/>
      </c>
      <c r="R240" s="17"/>
      <c r="S240" s="17"/>
      <c r="T240" s="48"/>
      <c r="U240" s="38"/>
      <c r="V240" s="38"/>
      <c r="W240" s="42" t="str">
        <f aca="false">IF(V240="","",EDATE(V240,Settings!$S$6))</f>
        <v/>
      </c>
      <c r="X240" s="17"/>
      <c r="Y240" s="17"/>
      <c r="Z240" s="17"/>
    </row>
    <row r="241" customFormat="false" ht="15" hidden="false" customHeight="false" outlineLevel="0" collapsed="false">
      <c r="A241" s="17"/>
      <c r="B241" s="17"/>
      <c r="C241" s="17"/>
      <c r="D241" s="17"/>
      <c r="E241" s="40"/>
      <c r="F241" s="17"/>
      <c r="G241" s="17"/>
      <c r="H241" s="17"/>
      <c r="I241" s="47" t="str">
        <f aca="false">IF(H241="","",IFERROR(INDEX(Settings!$G$2:$G$4,MATCH(H241,Settings!$F$2:$F$4,0)),""))</f>
        <v/>
      </c>
      <c r="J241" s="38"/>
      <c r="K241" s="48"/>
      <c r="L241" s="17"/>
      <c r="M241" s="38"/>
      <c r="N241" s="38"/>
      <c r="O241" s="42" t="str">
        <f aca="false">IF(N241="","",WORKDAY(N241,Settings!$S$4))</f>
        <v/>
      </c>
      <c r="P241" s="17"/>
      <c r="Q241" s="44" t="str">
        <f aca="true">IF(C241="","",IF(P241="Backed out",IF(S241="Paid","Refunded – closed",IF(R241="","Refund – log reason first","Refund in progress")),IF(K241="","Awaiting payment",IF(N241="",IF(M241="","Schedule free video","Free video in production"),IF(P241="Approved","Active",IF(TODAY()&gt;O241,"Active – plan went ahead","Decision pending – "&amp;NETWORKDAYS(TODAY(),O241)&amp;" working day(s) left"))))))</f>
        <v/>
      </c>
      <c r="R241" s="17"/>
      <c r="S241" s="17"/>
      <c r="T241" s="48"/>
      <c r="U241" s="38"/>
      <c r="V241" s="38"/>
      <c r="W241" s="42" t="str">
        <f aca="false">IF(V241="","",EDATE(V241,Settings!$S$6))</f>
        <v/>
      </c>
      <c r="X241" s="17"/>
      <c r="Y241" s="17"/>
      <c r="Z241" s="17"/>
    </row>
    <row r="242" customFormat="false" ht="15" hidden="false" customHeight="false" outlineLevel="0" collapsed="false">
      <c r="A242" s="17"/>
      <c r="B242" s="17"/>
      <c r="C242" s="17"/>
      <c r="D242" s="17"/>
      <c r="E242" s="40"/>
      <c r="F242" s="17"/>
      <c r="G242" s="17"/>
      <c r="H242" s="17"/>
      <c r="I242" s="47" t="str">
        <f aca="false">IF(H242="","",IFERROR(INDEX(Settings!$G$2:$G$4,MATCH(H242,Settings!$F$2:$F$4,0)),""))</f>
        <v/>
      </c>
      <c r="J242" s="38"/>
      <c r="K242" s="48"/>
      <c r="L242" s="17"/>
      <c r="M242" s="38"/>
      <c r="N242" s="38"/>
      <c r="O242" s="42" t="str">
        <f aca="false">IF(N242="","",WORKDAY(N242,Settings!$S$4))</f>
        <v/>
      </c>
      <c r="P242" s="17"/>
      <c r="Q242" s="44" t="str">
        <f aca="true">IF(C242="","",IF(P242="Backed out",IF(S242="Paid","Refunded – closed",IF(R242="","Refund – log reason first","Refund in progress")),IF(K242="","Awaiting payment",IF(N242="",IF(M242="","Schedule free video","Free video in production"),IF(P242="Approved","Active",IF(TODAY()&gt;O242,"Active – plan went ahead","Decision pending – "&amp;NETWORKDAYS(TODAY(),O242)&amp;" working day(s) left"))))))</f>
        <v/>
      </c>
      <c r="R242" s="17"/>
      <c r="S242" s="17"/>
      <c r="T242" s="48"/>
      <c r="U242" s="38"/>
      <c r="V242" s="38"/>
      <c r="W242" s="42" t="str">
        <f aca="false">IF(V242="","",EDATE(V242,Settings!$S$6))</f>
        <v/>
      </c>
      <c r="X242" s="17"/>
      <c r="Y242" s="17"/>
      <c r="Z242" s="17"/>
    </row>
    <row r="243" customFormat="false" ht="15" hidden="false" customHeight="false" outlineLevel="0" collapsed="false">
      <c r="A243" s="17"/>
      <c r="B243" s="17"/>
      <c r="C243" s="17"/>
      <c r="D243" s="17"/>
      <c r="E243" s="40"/>
      <c r="F243" s="17"/>
      <c r="G243" s="17"/>
      <c r="H243" s="17"/>
      <c r="I243" s="47" t="str">
        <f aca="false">IF(H243="","",IFERROR(INDEX(Settings!$G$2:$G$4,MATCH(H243,Settings!$F$2:$F$4,0)),""))</f>
        <v/>
      </c>
      <c r="J243" s="38"/>
      <c r="K243" s="48"/>
      <c r="L243" s="17"/>
      <c r="M243" s="38"/>
      <c r="N243" s="38"/>
      <c r="O243" s="42" t="str">
        <f aca="false">IF(N243="","",WORKDAY(N243,Settings!$S$4))</f>
        <v/>
      </c>
      <c r="P243" s="17"/>
      <c r="Q243" s="44" t="str">
        <f aca="true">IF(C243="","",IF(P243="Backed out",IF(S243="Paid","Refunded – closed",IF(R243="","Refund – log reason first","Refund in progress")),IF(K243="","Awaiting payment",IF(N243="",IF(M243="","Schedule free video","Free video in production"),IF(P243="Approved","Active",IF(TODAY()&gt;O243,"Active – plan went ahead","Decision pending – "&amp;NETWORKDAYS(TODAY(),O243)&amp;" working day(s) left"))))))</f>
        <v/>
      </c>
      <c r="R243" s="17"/>
      <c r="S243" s="17"/>
      <c r="T243" s="48"/>
      <c r="U243" s="38"/>
      <c r="V243" s="38"/>
      <c r="W243" s="42" t="str">
        <f aca="false">IF(V243="","",EDATE(V243,Settings!$S$6))</f>
        <v/>
      </c>
      <c r="X243" s="17"/>
      <c r="Y243" s="17"/>
      <c r="Z243" s="17"/>
    </row>
    <row r="244" customFormat="false" ht="15" hidden="false" customHeight="false" outlineLevel="0" collapsed="false">
      <c r="A244" s="17"/>
      <c r="B244" s="17"/>
      <c r="C244" s="17"/>
      <c r="D244" s="17"/>
      <c r="E244" s="40"/>
      <c r="F244" s="17"/>
      <c r="G244" s="17"/>
      <c r="H244" s="17"/>
      <c r="I244" s="47" t="str">
        <f aca="false">IF(H244="","",IFERROR(INDEX(Settings!$G$2:$G$4,MATCH(H244,Settings!$F$2:$F$4,0)),""))</f>
        <v/>
      </c>
      <c r="J244" s="38"/>
      <c r="K244" s="48"/>
      <c r="L244" s="17"/>
      <c r="M244" s="38"/>
      <c r="N244" s="38"/>
      <c r="O244" s="42" t="str">
        <f aca="false">IF(N244="","",WORKDAY(N244,Settings!$S$4))</f>
        <v/>
      </c>
      <c r="P244" s="17"/>
      <c r="Q244" s="44" t="str">
        <f aca="true">IF(C244="","",IF(P244="Backed out",IF(S244="Paid","Refunded – closed",IF(R244="","Refund – log reason first","Refund in progress")),IF(K244="","Awaiting payment",IF(N244="",IF(M244="","Schedule free video","Free video in production"),IF(P244="Approved","Active",IF(TODAY()&gt;O244,"Active – plan went ahead","Decision pending – "&amp;NETWORKDAYS(TODAY(),O244)&amp;" working day(s) left"))))))</f>
        <v/>
      </c>
      <c r="R244" s="17"/>
      <c r="S244" s="17"/>
      <c r="T244" s="48"/>
      <c r="U244" s="38"/>
      <c r="V244" s="38"/>
      <c r="W244" s="42" t="str">
        <f aca="false">IF(V244="","",EDATE(V244,Settings!$S$6))</f>
        <v/>
      </c>
      <c r="X244" s="17"/>
      <c r="Y244" s="17"/>
      <c r="Z244" s="17"/>
    </row>
    <row r="245" customFormat="false" ht="15" hidden="false" customHeight="false" outlineLevel="0" collapsed="false">
      <c r="A245" s="17"/>
      <c r="B245" s="17"/>
      <c r="C245" s="17"/>
      <c r="D245" s="17"/>
      <c r="E245" s="40"/>
      <c r="F245" s="17"/>
      <c r="G245" s="17"/>
      <c r="H245" s="17"/>
      <c r="I245" s="47" t="str">
        <f aca="false">IF(H245="","",IFERROR(INDEX(Settings!$G$2:$G$4,MATCH(H245,Settings!$F$2:$F$4,0)),""))</f>
        <v/>
      </c>
      <c r="J245" s="38"/>
      <c r="K245" s="48"/>
      <c r="L245" s="17"/>
      <c r="M245" s="38"/>
      <c r="N245" s="38"/>
      <c r="O245" s="42" t="str">
        <f aca="false">IF(N245="","",WORKDAY(N245,Settings!$S$4))</f>
        <v/>
      </c>
      <c r="P245" s="17"/>
      <c r="Q245" s="44" t="str">
        <f aca="true">IF(C245="","",IF(P245="Backed out",IF(S245="Paid","Refunded – closed",IF(R245="","Refund – log reason first","Refund in progress")),IF(K245="","Awaiting payment",IF(N245="",IF(M245="","Schedule free video","Free video in production"),IF(P245="Approved","Active",IF(TODAY()&gt;O245,"Active – plan went ahead","Decision pending – "&amp;NETWORKDAYS(TODAY(),O245)&amp;" working day(s) left"))))))</f>
        <v/>
      </c>
      <c r="R245" s="17"/>
      <c r="S245" s="17"/>
      <c r="T245" s="48"/>
      <c r="U245" s="38"/>
      <c r="V245" s="38"/>
      <c r="W245" s="42" t="str">
        <f aca="false">IF(V245="","",EDATE(V245,Settings!$S$6))</f>
        <v/>
      </c>
      <c r="X245" s="17"/>
      <c r="Y245" s="17"/>
      <c r="Z245" s="17"/>
    </row>
    <row r="246" customFormat="false" ht="15" hidden="false" customHeight="false" outlineLevel="0" collapsed="false">
      <c r="A246" s="17"/>
      <c r="B246" s="17"/>
      <c r="C246" s="17"/>
      <c r="D246" s="17"/>
      <c r="E246" s="40"/>
      <c r="F246" s="17"/>
      <c r="G246" s="17"/>
      <c r="H246" s="17"/>
      <c r="I246" s="47" t="str">
        <f aca="false">IF(H246="","",IFERROR(INDEX(Settings!$G$2:$G$4,MATCH(H246,Settings!$F$2:$F$4,0)),""))</f>
        <v/>
      </c>
      <c r="J246" s="38"/>
      <c r="K246" s="48"/>
      <c r="L246" s="17"/>
      <c r="M246" s="38"/>
      <c r="N246" s="38"/>
      <c r="O246" s="42" t="str">
        <f aca="false">IF(N246="","",WORKDAY(N246,Settings!$S$4))</f>
        <v/>
      </c>
      <c r="P246" s="17"/>
      <c r="Q246" s="44" t="str">
        <f aca="true">IF(C246="","",IF(P246="Backed out",IF(S246="Paid","Refunded – closed",IF(R246="","Refund – log reason first","Refund in progress")),IF(K246="","Awaiting payment",IF(N246="",IF(M246="","Schedule free video","Free video in production"),IF(P246="Approved","Active",IF(TODAY()&gt;O246,"Active – plan went ahead","Decision pending – "&amp;NETWORKDAYS(TODAY(),O246)&amp;" working day(s) left"))))))</f>
        <v/>
      </c>
      <c r="R246" s="17"/>
      <c r="S246" s="17"/>
      <c r="T246" s="48"/>
      <c r="U246" s="38"/>
      <c r="V246" s="38"/>
      <c r="W246" s="42" t="str">
        <f aca="false">IF(V246="","",EDATE(V246,Settings!$S$6))</f>
        <v/>
      </c>
      <c r="X246" s="17"/>
      <c r="Y246" s="17"/>
      <c r="Z246" s="17"/>
    </row>
    <row r="247" customFormat="false" ht="15" hidden="false" customHeight="false" outlineLevel="0" collapsed="false">
      <c r="A247" s="17"/>
      <c r="B247" s="17"/>
      <c r="C247" s="17"/>
      <c r="D247" s="17"/>
      <c r="E247" s="40"/>
      <c r="F247" s="17"/>
      <c r="G247" s="17"/>
      <c r="H247" s="17"/>
      <c r="I247" s="47" t="str">
        <f aca="false">IF(H247="","",IFERROR(INDEX(Settings!$G$2:$G$4,MATCH(H247,Settings!$F$2:$F$4,0)),""))</f>
        <v/>
      </c>
      <c r="J247" s="38"/>
      <c r="K247" s="48"/>
      <c r="L247" s="17"/>
      <c r="M247" s="38"/>
      <c r="N247" s="38"/>
      <c r="O247" s="42" t="str">
        <f aca="false">IF(N247="","",WORKDAY(N247,Settings!$S$4))</f>
        <v/>
      </c>
      <c r="P247" s="17"/>
      <c r="Q247" s="44" t="str">
        <f aca="true">IF(C247="","",IF(P247="Backed out",IF(S247="Paid","Refunded – closed",IF(R247="","Refund – log reason first","Refund in progress")),IF(K247="","Awaiting payment",IF(N247="",IF(M247="","Schedule free video","Free video in production"),IF(P247="Approved","Active",IF(TODAY()&gt;O247,"Active – plan went ahead","Decision pending – "&amp;NETWORKDAYS(TODAY(),O247)&amp;" working day(s) left"))))))</f>
        <v/>
      </c>
      <c r="R247" s="17"/>
      <c r="S247" s="17"/>
      <c r="T247" s="48"/>
      <c r="U247" s="38"/>
      <c r="V247" s="38"/>
      <c r="W247" s="42" t="str">
        <f aca="false">IF(V247="","",EDATE(V247,Settings!$S$6))</f>
        <v/>
      </c>
      <c r="X247" s="17"/>
      <c r="Y247" s="17"/>
      <c r="Z247" s="17"/>
    </row>
    <row r="248" customFormat="false" ht="15" hidden="false" customHeight="false" outlineLevel="0" collapsed="false">
      <c r="A248" s="17"/>
      <c r="B248" s="17"/>
      <c r="C248" s="17"/>
      <c r="D248" s="17"/>
      <c r="E248" s="40"/>
      <c r="F248" s="17"/>
      <c r="G248" s="17"/>
      <c r="H248" s="17"/>
      <c r="I248" s="47" t="str">
        <f aca="false">IF(H248="","",IFERROR(INDEX(Settings!$G$2:$G$4,MATCH(H248,Settings!$F$2:$F$4,0)),""))</f>
        <v/>
      </c>
      <c r="J248" s="38"/>
      <c r="K248" s="48"/>
      <c r="L248" s="17"/>
      <c r="M248" s="38"/>
      <c r="N248" s="38"/>
      <c r="O248" s="42" t="str">
        <f aca="false">IF(N248="","",WORKDAY(N248,Settings!$S$4))</f>
        <v/>
      </c>
      <c r="P248" s="17"/>
      <c r="Q248" s="44" t="str">
        <f aca="true">IF(C248="","",IF(P248="Backed out",IF(S248="Paid","Refunded – closed",IF(R248="","Refund – log reason first","Refund in progress")),IF(K248="","Awaiting payment",IF(N248="",IF(M248="","Schedule free video","Free video in production"),IF(P248="Approved","Active",IF(TODAY()&gt;O248,"Active – plan went ahead","Decision pending – "&amp;NETWORKDAYS(TODAY(),O248)&amp;" working day(s) left"))))))</f>
        <v/>
      </c>
      <c r="R248" s="17"/>
      <c r="S248" s="17"/>
      <c r="T248" s="48"/>
      <c r="U248" s="38"/>
      <c r="V248" s="38"/>
      <c r="W248" s="42" t="str">
        <f aca="false">IF(V248="","",EDATE(V248,Settings!$S$6))</f>
        <v/>
      </c>
      <c r="X248" s="17"/>
      <c r="Y248" s="17"/>
      <c r="Z248" s="17"/>
    </row>
    <row r="249" customFormat="false" ht="15" hidden="false" customHeight="false" outlineLevel="0" collapsed="false">
      <c r="A249" s="17"/>
      <c r="B249" s="17"/>
      <c r="C249" s="17"/>
      <c r="D249" s="17"/>
      <c r="E249" s="40"/>
      <c r="F249" s="17"/>
      <c r="G249" s="17"/>
      <c r="H249" s="17"/>
      <c r="I249" s="47" t="str">
        <f aca="false">IF(H249="","",IFERROR(INDEX(Settings!$G$2:$G$4,MATCH(H249,Settings!$F$2:$F$4,0)),""))</f>
        <v/>
      </c>
      <c r="J249" s="38"/>
      <c r="K249" s="48"/>
      <c r="L249" s="17"/>
      <c r="M249" s="38"/>
      <c r="N249" s="38"/>
      <c r="O249" s="42" t="str">
        <f aca="false">IF(N249="","",WORKDAY(N249,Settings!$S$4))</f>
        <v/>
      </c>
      <c r="P249" s="17"/>
      <c r="Q249" s="44" t="str">
        <f aca="true">IF(C249="","",IF(P249="Backed out",IF(S249="Paid","Refunded – closed",IF(R249="","Refund – log reason first","Refund in progress")),IF(K249="","Awaiting payment",IF(N249="",IF(M249="","Schedule free video","Free video in production"),IF(P249="Approved","Active",IF(TODAY()&gt;O249,"Active – plan went ahead","Decision pending – "&amp;NETWORKDAYS(TODAY(),O249)&amp;" working day(s) left"))))))</f>
        <v/>
      </c>
      <c r="R249" s="17"/>
      <c r="S249" s="17"/>
      <c r="T249" s="48"/>
      <c r="U249" s="38"/>
      <c r="V249" s="38"/>
      <c r="W249" s="42" t="str">
        <f aca="false">IF(V249="","",EDATE(V249,Settings!$S$6))</f>
        <v/>
      </c>
      <c r="X249" s="17"/>
      <c r="Y249" s="17"/>
      <c r="Z249" s="17"/>
    </row>
    <row r="250" customFormat="false" ht="15" hidden="false" customHeight="false" outlineLevel="0" collapsed="false">
      <c r="A250" s="17"/>
      <c r="B250" s="17"/>
      <c r="C250" s="17"/>
      <c r="D250" s="17"/>
      <c r="E250" s="40"/>
      <c r="F250" s="17"/>
      <c r="G250" s="17"/>
      <c r="H250" s="17"/>
      <c r="I250" s="47" t="str">
        <f aca="false">IF(H250="","",IFERROR(INDEX(Settings!$G$2:$G$4,MATCH(H250,Settings!$F$2:$F$4,0)),""))</f>
        <v/>
      </c>
      <c r="J250" s="38"/>
      <c r="K250" s="48"/>
      <c r="L250" s="17"/>
      <c r="M250" s="38"/>
      <c r="N250" s="38"/>
      <c r="O250" s="42" t="str">
        <f aca="false">IF(N250="","",WORKDAY(N250,Settings!$S$4))</f>
        <v/>
      </c>
      <c r="P250" s="17"/>
      <c r="Q250" s="44" t="str">
        <f aca="true">IF(C250="","",IF(P250="Backed out",IF(S250="Paid","Refunded – closed",IF(R250="","Refund – log reason first","Refund in progress")),IF(K250="","Awaiting payment",IF(N250="",IF(M250="","Schedule free video","Free video in production"),IF(P250="Approved","Active",IF(TODAY()&gt;O250,"Active – plan went ahead","Decision pending – "&amp;NETWORKDAYS(TODAY(),O250)&amp;" working day(s) left"))))))</f>
        <v/>
      </c>
      <c r="R250" s="17"/>
      <c r="S250" s="17"/>
      <c r="T250" s="48"/>
      <c r="U250" s="38"/>
      <c r="V250" s="38"/>
      <c r="W250" s="42" t="str">
        <f aca="false">IF(V250="","",EDATE(V250,Settings!$S$6))</f>
        <v/>
      </c>
      <c r="X250" s="17"/>
      <c r="Y250" s="17"/>
      <c r="Z250" s="17"/>
    </row>
    <row r="251" customFormat="false" ht="15" hidden="false" customHeight="false" outlineLevel="0" collapsed="false">
      <c r="A251" s="17"/>
      <c r="B251" s="17"/>
      <c r="C251" s="17"/>
      <c r="D251" s="17"/>
      <c r="E251" s="40"/>
      <c r="F251" s="17"/>
      <c r="G251" s="17"/>
      <c r="H251" s="17"/>
      <c r="I251" s="47" t="str">
        <f aca="false">IF(H251="","",IFERROR(INDEX(Settings!$G$2:$G$4,MATCH(H251,Settings!$F$2:$F$4,0)),""))</f>
        <v/>
      </c>
      <c r="J251" s="38"/>
      <c r="K251" s="48"/>
      <c r="L251" s="17"/>
      <c r="M251" s="38"/>
      <c r="N251" s="38"/>
      <c r="O251" s="42" t="str">
        <f aca="false">IF(N251="","",WORKDAY(N251,Settings!$S$4))</f>
        <v/>
      </c>
      <c r="P251" s="17"/>
      <c r="Q251" s="44" t="str">
        <f aca="true">IF(C251="","",IF(P251="Backed out",IF(S251="Paid","Refunded – closed",IF(R251="","Refund – log reason first","Refund in progress")),IF(K251="","Awaiting payment",IF(N251="",IF(M251="","Schedule free video","Free video in production"),IF(P251="Approved","Active",IF(TODAY()&gt;O251,"Active – plan went ahead","Decision pending – "&amp;NETWORKDAYS(TODAY(),O251)&amp;" working day(s) left"))))))</f>
        <v/>
      </c>
      <c r="R251" s="17"/>
      <c r="S251" s="17"/>
      <c r="T251" s="48"/>
      <c r="U251" s="38"/>
      <c r="V251" s="38"/>
      <c r="W251" s="42" t="str">
        <f aca="false">IF(V251="","",EDATE(V251,Settings!$S$6))</f>
        <v/>
      </c>
      <c r="X251" s="17"/>
      <c r="Y251" s="17"/>
      <c r="Z251" s="17"/>
    </row>
    <row r="252" customFormat="false" ht="15" hidden="false" customHeight="false" outlineLevel="0" collapsed="false">
      <c r="A252" s="17"/>
      <c r="B252" s="17"/>
      <c r="C252" s="17"/>
      <c r="D252" s="17"/>
      <c r="E252" s="40"/>
      <c r="F252" s="17"/>
      <c r="G252" s="17"/>
      <c r="H252" s="17"/>
      <c r="I252" s="47" t="str">
        <f aca="false">IF(H252="","",IFERROR(INDEX(Settings!$G$2:$G$4,MATCH(H252,Settings!$F$2:$F$4,0)),""))</f>
        <v/>
      </c>
      <c r="J252" s="38"/>
      <c r="K252" s="48"/>
      <c r="L252" s="17"/>
      <c r="M252" s="38"/>
      <c r="N252" s="38"/>
      <c r="O252" s="42" t="str">
        <f aca="false">IF(N252="","",WORKDAY(N252,Settings!$S$4))</f>
        <v/>
      </c>
      <c r="P252" s="17"/>
      <c r="Q252" s="44" t="str">
        <f aca="true">IF(C252="","",IF(P252="Backed out",IF(S252="Paid","Refunded – closed",IF(R252="","Refund – log reason first","Refund in progress")),IF(K252="","Awaiting payment",IF(N252="",IF(M252="","Schedule free video","Free video in production"),IF(P252="Approved","Active",IF(TODAY()&gt;O252,"Active – plan went ahead","Decision pending – "&amp;NETWORKDAYS(TODAY(),O252)&amp;" working day(s) left"))))))</f>
        <v/>
      </c>
      <c r="R252" s="17"/>
      <c r="S252" s="17"/>
      <c r="T252" s="48"/>
      <c r="U252" s="38"/>
      <c r="V252" s="38"/>
      <c r="W252" s="42" t="str">
        <f aca="false">IF(V252="","",EDATE(V252,Settings!$S$6))</f>
        <v/>
      </c>
      <c r="X252" s="17"/>
      <c r="Y252" s="17"/>
      <c r="Z252" s="17"/>
    </row>
    <row r="253" customFormat="false" ht="15" hidden="false" customHeight="false" outlineLevel="0" collapsed="false">
      <c r="A253" s="17"/>
      <c r="B253" s="17"/>
      <c r="C253" s="17"/>
      <c r="D253" s="17"/>
      <c r="E253" s="40"/>
      <c r="F253" s="17"/>
      <c r="G253" s="17"/>
      <c r="H253" s="17"/>
      <c r="I253" s="47" t="str">
        <f aca="false">IF(H253="","",IFERROR(INDEX(Settings!$G$2:$G$4,MATCH(H253,Settings!$F$2:$F$4,0)),""))</f>
        <v/>
      </c>
      <c r="J253" s="38"/>
      <c r="K253" s="48"/>
      <c r="L253" s="17"/>
      <c r="M253" s="38"/>
      <c r="N253" s="38"/>
      <c r="O253" s="42" t="str">
        <f aca="false">IF(N253="","",WORKDAY(N253,Settings!$S$4))</f>
        <v/>
      </c>
      <c r="P253" s="17"/>
      <c r="Q253" s="44" t="str">
        <f aca="true">IF(C253="","",IF(P253="Backed out",IF(S253="Paid","Refunded – closed",IF(R253="","Refund – log reason first","Refund in progress")),IF(K253="","Awaiting payment",IF(N253="",IF(M253="","Schedule free video","Free video in production"),IF(P253="Approved","Active",IF(TODAY()&gt;O253,"Active – plan went ahead","Decision pending – "&amp;NETWORKDAYS(TODAY(),O253)&amp;" working day(s) left"))))))</f>
        <v/>
      </c>
      <c r="R253" s="17"/>
      <c r="S253" s="17"/>
      <c r="T253" s="48"/>
      <c r="U253" s="38"/>
      <c r="V253" s="38"/>
      <c r="W253" s="42" t="str">
        <f aca="false">IF(V253="","",EDATE(V253,Settings!$S$6))</f>
        <v/>
      </c>
      <c r="X253" s="17"/>
      <c r="Y253" s="17"/>
      <c r="Z253" s="17"/>
    </row>
    <row r="254" customFormat="false" ht="15" hidden="false" customHeight="false" outlineLevel="0" collapsed="false">
      <c r="A254" s="17"/>
      <c r="B254" s="17"/>
      <c r="C254" s="17"/>
      <c r="D254" s="17"/>
      <c r="E254" s="40"/>
      <c r="F254" s="17"/>
      <c r="G254" s="17"/>
      <c r="H254" s="17"/>
      <c r="I254" s="47" t="str">
        <f aca="false">IF(H254="","",IFERROR(INDEX(Settings!$G$2:$G$4,MATCH(H254,Settings!$F$2:$F$4,0)),""))</f>
        <v/>
      </c>
      <c r="J254" s="38"/>
      <c r="K254" s="48"/>
      <c r="L254" s="17"/>
      <c r="M254" s="38"/>
      <c r="N254" s="38"/>
      <c r="O254" s="42" t="str">
        <f aca="false">IF(N254="","",WORKDAY(N254,Settings!$S$4))</f>
        <v/>
      </c>
      <c r="P254" s="17"/>
      <c r="Q254" s="44" t="str">
        <f aca="true">IF(C254="","",IF(P254="Backed out",IF(S254="Paid","Refunded – closed",IF(R254="","Refund – log reason first","Refund in progress")),IF(K254="","Awaiting payment",IF(N254="",IF(M254="","Schedule free video","Free video in production"),IF(P254="Approved","Active",IF(TODAY()&gt;O254,"Active – plan went ahead","Decision pending – "&amp;NETWORKDAYS(TODAY(),O254)&amp;" working day(s) left"))))))</f>
        <v/>
      </c>
      <c r="R254" s="17"/>
      <c r="S254" s="17"/>
      <c r="T254" s="48"/>
      <c r="U254" s="38"/>
      <c r="V254" s="38"/>
      <c r="W254" s="42" t="str">
        <f aca="false">IF(V254="","",EDATE(V254,Settings!$S$6))</f>
        <v/>
      </c>
      <c r="X254" s="17"/>
      <c r="Y254" s="17"/>
      <c r="Z254" s="17"/>
    </row>
    <row r="255" customFormat="false" ht="15" hidden="false" customHeight="false" outlineLevel="0" collapsed="false">
      <c r="A255" s="17"/>
      <c r="B255" s="17"/>
      <c r="C255" s="17"/>
      <c r="D255" s="17"/>
      <c r="E255" s="40"/>
      <c r="F255" s="17"/>
      <c r="G255" s="17"/>
      <c r="H255" s="17"/>
      <c r="I255" s="47" t="str">
        <f aca="false">IF(H255="","",IFERROR(INDEX(Settings!$G$2:$G$4,MATCH(H255,Settings!$F$2:$F$4,0)),""))</f>
        <v/>
      </c>
      <c r="J255" s="38"/>
      <c r="K255" s="48"/>
      <c r="L255" s="17"/>
      <c r="M255" s="38"/>
      <c r="N255" s="38"/>
      <c r="O255" s="42" t="str">
        <f aca="false">IF(N255="","",WORKDAY(N255,Settings!$S$4))</f>
        <v/>
      </c>
      <c r="P255" s="17"/>
      <c r="Q255" s="44" t="str">
        <f aca="true">IF(C255="","",IF(P255="Backed out",IF(S255="Paid","Refunded – closed",IF(R255="","Refund – log reason first","Refund in progress")),IF(K255="","Awaiting payment",IF(N255="",IF(M255="","Schedule free video","Free video in production"),IF(P255="Approved","Active",IF(TODAY()&gt;O255,"Active – plan went ahead","Decision pending – "&amp;NETWORKDAYS(TODAY(),O255)&amp;" working day(s) left"))))))</f>
        <v/>
      </c>
      <c r="R255" s="17"/>
      <c r="S255" s="17"/>
      <c r="T255" s="48"/>
      <c r="U255" s="38"/>
      <c r="V255" s="38"/>
      <c r="W255" s="42" t="str">
        <f aca="false">IF(V255="","",EDATE(V255,Settings!$S$6))</f>
        <v/>
      </c>
      <c r="X255" s="17"/>
      <c r="Y255" s="17"/>
      <c r="Z255" s="17"/>
    </row>
    <row r="256" customFormat="false" ht="15" hidden="false" customHeight="false" outlineLevel="0" collapsed="false">
      <c r="A256" s="17"/>
      <c r="B256" s="17"/>
      <c r="C256" s="17"/>
      <c r="D256" s="17"/>
      <c r="E256" s="40"/>
      <c r="F256" s="17"/>
      <c r="G256" s="17"/>
      <c r="H256" s="17"/>
      <c r="I256" s="47" t="str">
        <f aca="false">IF(H256="","",IFERROR(INDEX(Settings!$G$2:$G$4,MATCH(H256,Settings!$F$2:$F$4,0)),""))</f>
        <v/>
      </c>
      <c r="J256" s="38"/>
      <c r="K256" s="48"/>
      <c r="L256" s="17"/>
      <c r="M256" s="38"/>
      <c r="N256" s="38"/>
      <c r="O256" s="42" t="str">
        <f aca="false">IF(N256="","",WORKDAY(N256,Settings!$S$4))</f>
        <v/>
      </c>
      <c r="P256" s="17"/>
      <c r="Q256" s="44" t="str">
        <f aca="true">IF(C256="","",IF(P256="Backed out",IF(S256="Paid","Refunded – closed",IF(R256="","Refund – log reason first","Refund in progress")),IF(K256="","Awaiting payment",IF(N256="",IF(M256="","Schedule free video","Free video in production"),IF(P256="Approved","Active",IF(TODAY()&gt;O256,"Active – plan went ahead","Decision pending – "&amp;NETWORKDAYS(TODAY(),O256)&amp;" working day(s) left"))))))</f>
        <v/>
      </c>
      <c r="R256" s="17"/>
      <c r="S256" s="17"/>
      <c r="T256" s="48"/>
      <c r="U256" s="38"/>
      <c r="V256" s="38"/>
      <c r="W256" s="42" t="str">
        <f aca="false">IF(V256="","",EDATE(V256,Settings!$S$6))</f>
        <v/>
      </c>
      <c r="X256" s="17"/>
      <c r="Y256" s="17"/>
      <c r="Z256" s="17"/>
    </row>
    <row r="257" customFormat="false" ht="15" hidden="false" customHeight="false" outlineLevel="0" collapsed="false">
      <c r="A257" s="17"/>
      <c r="B257" s="17"/>
      <c r="C257" s="17"/>
      <c r="D257" s="17"/>
      <c r="E257" s="40"/>
      <c r="F257" s="17"/>
      <c r="G257" s="17"/>
      <c r="H257" s="17"/>
      <c r="I257" s="47" t="str">
        <f aca="false">IF(H257="","",IFERROR(INDEX(Settings!$G$2:$G$4,MATCH(H257,Settings!$F$2:$F$4,0)),""))</f>
        <v/>
      </c>
      <c r="J257" s="38"/>
      <c r="K257" s="48"/>
      <c r="L257" s="17"/>
      <c r="M257" s="38"/>
      <c r="N257" s="38"/>
      <c r="O257" s="42" t="str">
        <f aca="false">IF(N257="","",WORKDAY(N257,Settings!$S$4))</f>
        <v/>
      </c>
      <c r="P257" s="17"/>
      <c r="Q257" s="44" t="str">
        <f aca="true">IF(C257="","",IF(P257="Backed out",IF(S257="Paid","Refunded – closed",IF(R257="","Refund – log reason first","Refund in progress")),IF(K257="","Awaiting payment",IF(N257="",IF(M257="","Schedule free video","Free video in production"),IF(P257="Approved","Active",IF(TODAY()&gt;O257,"Active – plan went ahead","Decision pending – "&amp;NETWORKDAYS(TODAY(),O257)&amp;" working day(s) left"))))))</f>
        <v/>
      </c>
      <c r="R257" s="17"/>
      <c r="S257" s="17"/>
      <c r="T257" s="48"/>
      <c r="U257" s="38"/>
      <c r="V257" s="38"/>
      <c r="W257" s="42" t="str">
        <f aca="false">IF(V257="","",EDATE(V257,Settings!$S$6))</f>
        <v/>
      </c>
      <c r="X257" s="17"/>
      <c r="Y257" s="17"/>
      <c r="Z257" s="17"/>
    </row>
    <row r="258" customFormat="false" ht="15" hidden="false" customHeight="false" outlineLevel="0" collapsed="false">
      <c r="A258" s="17"/>
      <c r="B258" s="17"/>
      <c r="C258" s="17"/>
      <c r="D258" s="17"/>
      <c r="E258" s="40"/>
      <c r="F258" s="17"/>
      <c r="G258" s="17"/>
      <c r="H258" s="17"/>
      <c r="I258" s="47" t="str">
        <f aca="false">IF(H258="","",IFERROR(INDEX(Settings!$G$2:$G$4,MATCH(H258,Settings!$F$2:$F$4,0)),""))</f>
        <v/>
      </c>
      <c r="J258" s="38"/>
      <c r="K258" s="48"/>
      <c r="L258" s="17"/>
      <c r="M258" s="38"/>
      <c r="N258" s="38"/>
      <c r="O258" s="42" t="str">
        <f aca="false">IF(N258="","",WORKDAY(N258,Settings!$S$4))</f>
        <v/>
      </c>
      <c r="P258" s="17"/>
      <c r="Q258" s="44" t="str">
        <f aca="true">IF(C258="","",IF(P258="Backed out",IF(S258="Paid","Refunded – closed",IF(R258="","Refund – log reason first","Refund in progress")),IF(K258="","Awaiting payment",IF(N258="",IF(M258="","Schedule free video","Free video in production"),IF(P258="Approved","Active",IF(TODAY()&gt;O258,"Active – plan went ahead","Decision pending – "&amp;NETWORKDAYS(TODAY(),O258)&amp;" working day(s) left"))))))</f>
        <v/>
      </c>
      <c r="R258" s="17"/>
      <c r="S258" s="17"/>
      <c r="T258" s="48"/>
      <c r="U258" s="38"/>
      <c r="V258" s="38"/>
      <c r="W258" s="42" t="str">
        <f aca="false">IF(V258="","",EDATE(V258,Settings!$S$6))</f>
        <v/>
      </c>
      <c r="X258" s="17"/>
      <c r="Y258" s="17"/>
      <c r="Z258" s="17"/>
    </row>
    <row r="259" customFormat="false" ht="15" hidden="false" customHeight="false" outlineLevel="0" collapsed="false">
      <c r="A259" s="17"/>
      <c r="B259" s="17"/>
      <c r="C259" s="17"/>
      <c r="D259" s="17"/>
      <c r="E259" s="40"/>
      <c r="F259" s="17"/>
      <c r="G259" s="17"/>
      <c r="H259" s="17"/>
      <c r="I259" s="47" t="str">
        <f aca="false">IF(H259="","",IFERROR(INDEX(Settings!$G$2:$G$4,MATCH(H259,Settings!$F$2:$F$4,0)),""))</f>
        <v/>
      </c>
      <c r="J259" s="38"/>
      <c r="K259" s="48"/>
      <c r="L259" s="17"/>
      <c r="M259" s="38"/>
      <c r="N259" s="38"/>
      <c r="O259" s="42" t="str">
        <f aca="false">IF(N259="","",WORKDAY(N259,Settings!$S$4))</f>
        <v/>
      </c>
      <c r="P259" s="17"/>
      <c r="Q259" s="44" t="str">
        <f aca="true">IF(C259="","",IF(P259="Backed out",IF(S259="Paid","Refunded – closed",IF(R259="","Refund – log reason first","Refund in progress")),IF(K259="","Awaiting payment",IF(N259="",IF(M259="","Schedule free video","Free video in production"),IF(P259="Approved","Active",IF(TODAY()&gt;O259,"Active – plan went ahead","Decision pending – "&amp;NETWORKDAYS(TODAY(),O259)&amp;" working day(s) left"))))))</f>
        <v/>
      </c>
      <c r="R259" s="17"/>
      <c r="S259" s="17"/>
      <c r="T259" s="48"/>
      <c r="U259" s="38"/>
      <c r="V259" s="38"/>
      <c r="W259" s="42" t="str">
        <f aca="false">IF(V259="","",EDATE(V259,Settings!$S$6))</f>
        <v/>
      </c>
      <c r="X259" s="17"/>
      <c r="Y259" s="17"/>
      <c r="Z259" s="17"/>
    </row>
    <row r="260" customFormat="false" ht="15" hidden="false" customHeight="false" outlineLevel="0" collapsed="false">
      <c r="A260" s="17"/>
      <c r="B260" s="17"/>
      <c r="C260" s="17"/>
      <c r="D260" s="17"/>
      <c r="E260" s="40"/>
      <c r="F260" s="17"/>
      <c r="G260" s="17"/>
      <c r="H260" s="17"/>
      <c r="I260" s="47" t="str">
        <f aca="false">IF(H260="","",IFERROR(INDEX(Settings!$G$2:$G$4,MATCH(H260,Settings!$F$2:$F$4,0)),""))</f>
        <v/>
      </c>
      <c r="J260" s="38"/>
      <c r="K260" s="48"/>
      <c r="L260" s="17"/>
      <c r="M260" s="38"/>
      <c r="N260" s="38"/>
      <c r="O260" s="42" t="str">
        <f aca="false">IF(N260="","",WORKDAY(N260,Settings!$S$4))</f>
        <v/>
      </c>
      <c r="P260" s="17"/>
      <c r="Q260" s="44" t="str">
        <f aca="true">IF(C260="","",IF(P260="Backed out",IF(S260="Paid","Refunded – closed",IF(R260="","Refund – log reason first","Refund in progress")),IF(K260="","Awaiting payment",IF(N260="",IF(M260="","Schedule free video","Free video in production"),IF(P260="Approved","Active",IF(TODAY()&gt;O260,"Active – plan went ahead","Decision pending – "&amp;NETWORKDAYS(TODAY(),O260)&amp;" working day(s) left"))))))</f>
        <v/>
      </c>
      <c r="R260" s="17"/>
      <c r="S260" s="17"/>
      <c r="T260" s="48"/>
      <c r="U260" s="38"/>
      <c r="V260" s="38"/>
      <c r="W260" s="42" t="str">
        <f aca="false">IF(V260="","",EDATE(V260,Settings!$S$6))</f>
        <v/>
      </c>
      <c r="X260" s="17"/>
      <c r="Y260" s="17"/>
      <c r="Z260" s="17"/>
    </row>
    <row r="261" customFormat="false" ht="15" hidden="false" customHeight="false" outlineLevel="0" collapsed="false">
      <c r="A261" s="17"/>
      <c r="B261" s="17"/>
      <c r="C261" s="17"/>
      <c r="D261" s="17"/>
      <c r="E261" s="40"/>
      <c r="F261" s="17"/>
      <c r="G261" s="17"/>
      <c r="H261" s="17"/>
      <c r="I261" s="47" t="str">
        <f aca="false">IF(H261="","",IFERROR(INDEX(Settings!$G$2:$G$4,MATCH(H261,Settings!$F$2:$F$4,0)),""))</f>
        <v/>
      </c>
      <c r="J261" s="38"/>
      <c r="K261" s="48"/>
      <c r="L261" s="17"/>
      <c r="M261" s="38"/>
      <c r="N261" s="38"/>
      <c r="O261" s="42" t="str">
        <f aca="false">IF(N261="","",WORKDAY(N261,Settings!$S$4))</f>
        <v/>
      </c>
      <c r="P261" s="17"/>
      <c r="Q261" s="44" t="str">
        <f aca="true">IF(C261="","",IF(P261="Backed out",IF(S261="Paid","Refunded – closed",IF(R261="","Refund – log reason first","Refund in progress")),IF(K261="","Awaiting payment",IF(N261="",IF(M261="","Schedule free video","Free video in production"),IF(P261="Approved","Active",IF(TODAY()&gt;O261,"Active – plan went ahead","Decision pending – "&amp;NETWORKDAYS(TODAY(),O261)&amp;" working day(s) left"))))))</f>
        <v/>
      </c>
      <c r="R261" s="17"/>
      <c r="S261" s="17"/>
      <c r="T261" s="48"/>
      <c r="U261" s="38"/>
      <c r="V261" s="38"/>
      <c r="W261" s="42" t="str">
        <f aca="false">IF(V261="","",EDATE(V261,Settings!$S$6))</f>
        <v/>
      </c>
      <c r="X261" s="17"/>
      <c r="Y261" s="17"/>
      <c r="Z261" s="17"/>
    </row>
    <row r="262" customFormat="false" ht="15" hidden="false" customHeight="false" outlineLevel="0" collapsed="false">
      <c r="A262" s="17"/>
      <c r="B262" s="17"/>
      <c r="C262" s="17"/>
      <c r="D262" s="17"/>
      <c r="E262" s="40"/>
      <c r="F262" s="17"/>
      <c r="G262" s="17"/>
      <c r="H262" s="17"/>
      <c r="I262" s="47" t="str">
        <f aca="false">IF(H262="","",IFERROR(INDEX(Settings!$G$2:$G$4,MATCH(H262,Settings!$F$2:$F$4,0)),""))</f>
        <v/>
      </c>
      <c r="J262" s="38"/>
      <c r="K262" s="48"/>
      <c r="L262" s="17"/>
      <c r="M262" s="38"/>
      <c r="N262" s="38"/>
      <c r="O262" s="42" t="str">
        <f aca="false">IF(N262="","",WORKDAY(N262,Settings!$S$4))</f>
        <v/>
      </c>
      <c r="P262" s="17"/>
      <c r="Q262" s="44" t="str">
        <f aca="true">IF(C262="","",IF(P262="Backed out",IF(S262="Paid","Refunded – closed",IF(R262="","Refund – log reason first","Refund in progress")),IF(K262="","Awaiting payment",IF(N262="",IF(M262="","Schedule free video","Free video in production"),IF(P262="Approved","Active",IF(TODAY()&gt;O262,"Active – plan went ahead","Decision pending – "&amp;NETWORKDAYS(TODAY(),O262)&amp;" working day(s) left"))))))</f>
        <v/>
      </c>
      <c r="R262" s="17"/>
      <c r="S262" s="17"/>
      <c r="T262" s="48"/>
      <c r="U262" s="38"/>
      <c r="V262" s="38"/>
      <c r="W262" s="42" t="str">
        <f aca="false">IF(V262="","",EDATE(V262,Settings!$S$6))</f>
        <v/>
      </c>
      <c r="X262" s="17"/>
      <c r="Y262" s="17"/>
      <c r="Z262" s="17"/>
    </row>
    <row r="263" customFormat="false" ht="15" hidden="false" customHeight="false" outlineLevel="0" collapsed="false">
      <c r="A263" s="17"/>
      <c r="B263" s="17"/>
      <c r="C263" s="17"/>
      <c r="D263" s="17"/>
      <c r="E263" s="40"/>
      <c r="F263" s="17"/>
      <c r="G263" s="17"/>
      <c r="H263" s="17"/>
      <c r="I263" s="47" t="str">
        <f aca="false">IF(H263="","",IFERROR(INDEX(Settings!$G$2:$G$4,MATCH(H263,Settings!$F$2:$F$4,0)),""))</f>
        <v/>
      </c>
      <c r="J263" s="38"/>
      <c r="K263" s="48"/>
      <c r="L263" s="17"/>
      <c r="M263" s="38"/>
      <c r="N263" s="38"/>
      <c r="O263" s="42" t="str">
        <f aca="false">IF(N263="","",WORKDAY(N263,Settings!$S$4))</f>
        <v/>
      </c>
      <c r="P263" s="17"/>
      <c r="Q263" s="44" t="str">
        <f aca="true">IF(C263="","",IF(P263="Backed out",IF(S263="Paid","Refunded – closed",IF(R263="","Refund – log reason first","Refund in progress")),IF(K263="","Awaiting payment",IF(N263="",IF(M263="","Schedule free video","Free video in production"),IF(P263="Approved","Active",IF(TODAY()&gt;O263,"Active – plan went ahead","Decision pending – "&amp;NETWORKDAYS(TODAY(),O263)&amp;" working day(s) left"))))))</f>
        <v/>
      </c>
      <c r="R263" s="17"/>
      <c r="S263" s="17"/>
      <c r="T263" s="48"/>
      <c r="U263" s="38"/>
      <c r="V263" s="38"/>
      <c r="W263" s="42" t="str">
        <f aca="false">IF(V263="","",EDATE(V263,Settings!$S$6))</f>
        <v/>
      </c>
      <c r="X263" s="17"/>
      <c r="Y263" s="17"/>
      <c r="Z263" s="17"/>
    </row>
    <row r="264" customFormat="false" ht="15" hidden="false" customHeight="false" outlineLevel="0" collapsed="false">
      <c r="A264" s="17"/>
      <c r="B264" s="17"/>
      <c r="C264" s="17"/>
      <c r="D264" s="17"/>
      <c r="E264" s="40"/>
      <c r="F264" s="17"/>
      <c r="G264" s="17"/>
      <c r="H264" s="17"/>
      <c r="I264" s="47" t="str">
        <f aca="false">IF(H264="","",IFERROR(INDEX(Settings!$G$2:$G$4,MATCH(H264,Settings!$F$2:$F$4,0)),""))</f>
        <v/>
      </c>
      <c r="J264" s="38"/>
      <c r="K264" s="48"/>
      <c r="L264" s="17"/>
      <c r="M264" s="38"/>
      <c r="N264" s="38"/>
      <c r="O264" s="42" t="str">
        <f aca="false">IF(N264="","",WORKDAY(N264,Settings!$S$4))</f>
        <v/>
      </c>
      <c r="P264" s="17"/>
      <c r="Q264" s="44" t="str">
        <f aca="true">IF(C264="","",IF(P264="Backed out",IF(S264="Paid","Refunded – closed",IF(R264="","Refund – log reason first","Refund in progress")),IF(K264="","Awaiting payment",IF(N264="",IF(M264="","Schedule free video","Free video in production"),IF(P264="Approved","Active",IF(TODAY()&gt;O264,"Active – plan went ahead","Decision pending – "&amp;NETWORKDAYS(TODAY(),O264)&amp;" working day(s) left"))))))</f>
        <v/>
      </c>
      <c r="R264" s="17"/>
      <c r="S264" s="17"/>
      <c r="T264" s="48"/>
      <c r="U264" s="38"/>
      <c r="V264" s="38"/>
      <c r="W264" s="42" t="str">
        <f aca="false">IF(V264="","",EDATE(V264,Settings!$S$6))</f>
        <v/>
      </c>
      <c r="X264" s="17"/>
      <c r="Y264" s="17"/>
      <c r="Z264" s="17"/>
    </row>
    <row r="265" customFormat="false" ht="15" hidden="false" customHeight="false" outlineLevel="0" collapsed="false">
      <c r="A265" s="17"/>
      <c r="B265" s="17"/>
      <c r="C265" s="17"/>
      <c r="D265" s="17"/>
      <c r="E265" s="40"/>
      <c r="F265" s="17"/>
      <c r="G265" s="17"/>
      <c r="H265" s="17"/>
      <c r="I265" s="47" t="str">
        <f aca="false">IF(H265="","",IFERROR(INDEX(Settings!$G$2:$G$4,MATCH(H265,Settings!$F$2:$F$4,0)),""))</f>
        <v/>
      </c>
      <c r="J265" s="38"/>
      <c r="K265" s="48"/>
      <c r="L265" s="17"/>
      <c r="M265" s="38"/>
      <c r="N265" s="38"/>
      <c r="O265" s="42" t="str">
        <f aca="false">IF(N265="","",WORKDAY(N265,Settings!$S$4))</f>
        <v/>
      </c>
      <c r="P265" s="17"/>
      <c r="Q265" s="44" t="str">
        <f aca="true">IF(C265="","",IF(P265="Backed out",IF(S265="Paid","Refunded – closed",IF(R265="","Refund – log reason first","Refund in progress")),IF(K265="","Awaiting payment",IF(N265="",IF(M265="","Schedule free video","Free video in production"),IF(P265="Approved","Active",IF(TODAY()&gt;O265,"Active – plan went ahead","Decision pending – "&amp;NETWORKDAYS(TODAY(),O265)&amp;" working day(s) left"))))))</f>
        <v/>
      </c>
      <c r="R265" s="17"/>
      <c r="S265" s="17"/>
      <c r="T265" s="48"/>
      <c r="U265" s="38"/>
      <c r="V265" s="38"/>
      <c r="W265" s="42" t="str">
        <f aca="false">IF(V265="","",EDATE(V265,Settings!$S$6))</f>
        <v/>
      </c>
      <c r="X265" s="17"/>
      <c r="Y265" s="17"/>
      <c r="Z265" s="17"/>
    </row>
    <row r="266" customFormat="false" ht="15" hidden="false" customHeight="false" outlineLevel="0" collapsed="false">
      <c r="A266" s="17"/>
      <c r="B266" s="17"/>
      <c r="C266" s="17"/>
      <c r="D266" s="17"/>
      <c r="E266" s="40"/>
      <c r="F266" s="17"/>
      <c r="G266" s="17"/>
      <c r="H266" s="17"/>
      <c r="I266" s="47" t="str">
        <f aca="false">IF(H266="","",IFERROR(INDEX(Settings!$G$2:$G$4,MATCH(H266,Settings!$F$2:$F$4,0)),""))</f>
        <v/>
      </c>
      <c r="J266" s="38"/>
      <c r="K266" s="48"/>
      <c r="L266" s="17"/>
      <c r="M266" s="38"/>
      <c r="N266" s="38"/>
      <c r="O266" s="42" t="str">
        <f aca="false">IF(N266="","",WORKDAY(N266,Settings!$S$4))</f>
        <v/>
      </c>
      <c r="P266" s="17"/>
      <c r="Q266" s="44" t="str">
        <f aca="true">IF(C266="","",IF(P266="Backed out",IF(S266="Paid","Refunded – closed",IF(R266="","Refund – log reason first","Refund in progress")),IF(K266="","Awaiting payment",IF(N266="",IF(M266="","Schedule free video","Free video in production"),IF(P266="Approved","Active",IF(TODAY()&gt;O266,"Active – plan went ahead","Decision pending – "&amp;NETWORKDAYS(TODAY(),O266)&amp;" working day(s) left"))))))</f>
        <v/>
      </c>
      <c r="R266" s="17"/>
      <c r="S266" s="17"/>
      <c r="T266" s="48"/>
      <c r="U266" s="38"/>
      <c r="V266" s="38"/>
      <c r="W266" s="42" t="str">
        <f aca="false">IF(V266="","",EDATE(V266,Settings!$S$6))</f>
        <v/>
      </c>
      <c r="X266" s="17"/>
      <c r="Y266" s="17"/>
      <c r="Z266" s="17"/>
    </row>
    <row r="267" customFormat="false" ht="15" hidden="false" customHeight="false" outlineLevel="0" collapsed="false">
      <c r="A267" s="17"/>
      <c r="B267" s="17"/>
      <c r="C267" s="17"/>
      <c r="D267" s="17"/>
      <c r="E267" s="40"/>
      <c r="F267" s="17"/>
      <c r="G267" s="17"/>
      <c r="H267" s="17"/>
      <c r="I267" s="47" t="str">
        <f aca="false">IF(H267="","",IFERROR(INDEX(Settings!$G$2:$G$4,MATCH(H267,Settings!$F$2:$F$4,0)),""))</f>
        <v/>
      </c>
      <c r="J267" s="38"/>
      <c r="K267" s="48"/>
      <c r="L267" s="17"/>
      <c r="M267" s="38"/>
      <c r="N267" s="38"/>
      <c r="O267" s="42" t="str">
        <f aca="false">IF(N267="","",WORKDAY(N267,Settings!$S$4))</f>
        <v/>
      </c>
      <c r="P267" s="17"/>
      <c r="Q267" s="44" t="str">
        <f aca="true">IF(C267="","",IF(P267="Backed out",IF(S267="Paid","Refunded – closed",IF(R267="","Refund – log reason first","Refund in progress")),IF(K267="","Awaiting payment",IF(N267="",IF(M267="","Schedule free video","Free video in production"),IF(P267="Approved","Active",IF(TODAY()&gt;O267,"Active – plan went ahead","Decision pending – "&amp;NETWORKDAYS(TODAY(),O267)&amp;" working day(s) left"))))))</f>
        <v/>
      </c>
      <c r="R267" s="17"/>
      <c r="S267" s="17"/>
      <c r="T267" s="48"/>
      <c r="U267" s="38"/>
      <c r="V267" s="38"/>
      <c r="W267" s="42" t="str">
        <f aca="false">IF(V267="","",EDATE(V267,Settings!$S$6))</f>
        <v/>
      </c>
      <c r="X267" s="17"/>
      <c r="Y267" s="17"/>
      <c r="Z267" s="17"/>
    </row>
    <row r="268" customFormat="false" ht="15" hidden="false" customHeight="false" outlineLevel="0" collapsed="false">
      <c r="A268" s="17"/>
      <c r="B268" s="17"/>
      <c r="C268" s="17"/>
      <c r="D268" s="17"/>
      <c r="E268" s="40"/>
      <c r="F268" s="17"/>
      <c r="G268" s="17"/>
      <c r="H268" s="17"/>
      <c r="I268" s="47" t="str">
        <f aca="false">IF(H268="","",IFERROR(INDEX(Settings!$G$2:$G$4,MATCH(H268,Settings!$F$2:$F$4,0)),""))</f>
        <v/>
      </c>
      <c r="J268" s="38"/>
      <c r="K268" s="48"/>
      <c r="L268" s="17"/>
      <c r="M268" s="38"/>
      <c r="N268" s="38"/>
      <c r="O268" s="42" t="str">
        <f aca="false">IF(N268="","",WORKDAY(N268,Settings!$S$4))</f>
        <v/>
      </c>
      <c r="P268" s="17"/>
      <c r="Q268" s="44" t="str">
        <f aca="true">IF(C268="","",IF(P268="Backed out",IF(S268="Paid","Refunded – closed",IF(R268="","Refund – log reason first","Refund in progress")),IF(K268="","Awaiting payment",IF(N268="",IF(M268="","Schedule free video","Free video in production"),IF(P268="Approved","Active",IF(TODAY()&gt;O268,"Active – plan went ahead","Decision pending – "&amp;NETWORKDAYS(TODAY(),O268)&amp;" working day(s) left"))))))</f>
        <v/>
      </c>
      <c r="R268" s="17"/>
      <c r="S268" s="17"/>
      <c r="T268" s="48"/>
      <c r="U268" s="38"/>
      <c r="V268" s="38"/>
      <c r="W268" s="42" t="str">
        <f aca="false">IF(V268="","",EDATE(V268,Settings!$S$6))</f>
        <v/>
      </c>
      <c r="X268" s="17"/>
      <c r="Y268" s="17"/>
      <c r="Z268" s="17"/>
    </row>
    <row r="269" customFormat="false" ht="15" hidden="false" customHeight="false" outlineLevel="0" collapsed="false">
      <c r="A269" s="17"/>
      <c r="B269" s="17"/>
      <c r="C269" s="17"/>
      <c r="D269" s="17"/>
      <c r="E269" s="40"/>
      <c r="F269" s="17"/>
      <c r="G269" s="17"/>
      <c r="H269" s="17"/>
      <c r="I269" s="47" t="str">
        <f aca="false">IF(H269="","",IFERROR(INDEX(Settings!$G$2:$G$4,MATCH(H269,Settings!$F$2:$F$4,0)),""))</f>
        <v/>
      </c>
      <c r="J269" s="38"/>
      <c r="K269" s="48"/>
      <c r="L269" s="17"/>
      <c r="M269" s="38"/>
      <c r="N269" s="38"/>
      <c r="O269" s="42" t="str">
        <f aca="false">IF(N269="","",WORKDAY(N269,Settings!$S$4))</f>
        <v/>
      </c>
      <c r="P269" s="17"/>
      <c r="Q269" s="44" t="str">
        <f aca="true">IF(C269="","",IF(P269="Backed out",IF(S269="Paid","Refunded – closed",IF(R269="","Refund – log reason first","Refund in progress")),IF(K269="","Awaiting payment",IF(N269="",IF(M269="","Schedule free video","Free video in production"),IF(P269="Approved","Active",IF(TODAY()&gt;O269,"Active – plan went ahead","Decision pending – "&amp;NETWORKDAYS(TODAY(),O269)&amp;" working day(s) left"))))))</f>
        <v/>
      </c>
      <c r="R269" s="17"/>
      <c r="S269" s="17"/>
      <c r="T269" s="48"/>
      <c r="U269" s="38"/>
      <c r="V269" s="38"/>
      <c r="W269" s="42" t="str">
        <f aca="false">IF(V269="","",EDATE(V269,Settings!$S$6))</f>
        <v/>
      </c>
      <c r="X269" s="17"/>
      <c r="Y269" s="17"/>
      <c r="Z269" s="17"/>
    </row>
    <row r="270" customFormat="false" ht="15" hidden="false" customHeight="false" outlineLevel="0" collapsed="false">
      <c r="A270" s="17"/>
      <c r="B270" s="17"/>
      <c r="C270" s="17"/>
      <c r="D270" s="17"/>
      <c r="E270" s="40"/>
      <c r="F270" s="17"/>
      <c r="G270" s="17"/>
      <c r="H270" s="17"/>
      <c r="I270" s="47" t="str">
        <f aca="false">IF(H270="","",IFERROR(INDEX(Settings!$G$2:$G$4,MATCH(H270,Settings!$F$2:$F$4,0)),""))</f>
        <v/>
      </c>
      <c r="J270" s="38"/>
      <c r="K270" s="48"/>
      <c r="L270" s="17"/>
      <c r="M270" s="38"/>
      <c r="N270" s="38"/>
      <c r="O270" s="42" t="str">
        <f aca="false">IF(N270="","",WORKDAY(N270,Settings!$S$4))</f>
        <v/>
      </c>
      <c r="P270" s="17"/>
      <c r="Q270" s="44" t="str">
        <f aca="true">IF(C270="","",IF(P270="Backed out",IF(S270="Paid","Refunded – closed",IF(R270="","Refund – log reason first","Refund in progress")),IF(K270="","Awaiting payment",IF(N270="",IF(M270="","Schedule free video","Free video in production"),IF(P270="Approved","Active",IF(TODAY()&gt;O270,"Active – plan went ahead","Decision pending – "&amp;NETWORKDAYS(TODAY(),O270)&amp;" working day(s) left"))))))</f>
        <v/>
      </c>
      <c r="R270" s="17"/>
      <c r="S270" s="17"/>
      <c r="T270" s="48"/>
      <c r="U270" s="38"/>
      <c r="V270" s="38"/>
      <c r="W270" s="42" t="str">
        <f aca="false">IF(V270="","",EDATE(V270,Settings!$S$6))</f>
        <v/>
      </c>
      <c r="X270" s="17"/>
      <c r="Y270" s="17"/>
      <c r="Z270" s="17"/>
    </row>
    <row r="271" customFormat="false" ht="15" hidden="false" customHeight="false" outlineLevel="0" collapsed="false">
      <c r="A271" s="17"/>
      <c r="B271" s="17"/>
      <c r="C271" s="17"/>
      <c r="D271" s="17"/>
      <c r="E271" s="40"/>
      <c r="F271" s="17"/>
      <c r="G271" s="17"/>
      <c r="H271" s="17"/>
      <c r="I271" s="47" t="str">
        <f aca="false">IF(H271="","",IFERROR(INDEX(Settings!$G$2:$G$4,MATCH(H271,Settings!$F$2:$F$4,0)),""))</f>
        <v/>
      </c>
      <c r="J271" s="38"/>
      <c r="K271" s="48"/>
      <c r="L271" s="17"/>
      <c r="M271" s="38"/>
      <c r="N271" s="38"/>
      <c r="O271" s="42" t="str">
        <f aca="false">IF(N271="","",WORKDAY(N271,Settings!$S$4))</f>
        <v/>
      </c>
      <c r="P271" s="17"/>
      <c r="Q271" s="44" t="str">
        <f aca="true">IF(C271="","",IF(P271="Backed out",IF(S271="Paid","Refunded – closed",IF(R271="","Refund – log reason first","Refund in progress")),IF(K271="","Awaiting payment",IF(N271="",IF(M271="","Schedule free video","Free video in production"),IF(P271="Approved","Active",IF(TODAY()&gt;O271,"Active – plan went ahead","Decision pending – "&amp;NETWORKDAYS(TODAY(),O271)&amp;" working day(s) left"))))))</f>
        <v/>
      </c>
      <c r="R271" s="17"/>
      <c r="S271" s="17"/>
      <c r="T271" s="48"/>
      <c r="U271" s="38"/>
      <c r="V271" s="38"/>
      <c r="W271" s="42" t="str">
        <f aca="false">IF(V271="","",EDATE(V271,Settings!$S$6))</f>
        <v/>
      </c>
      <c r="X271" s="17"/>
      <c r="Y271" s="17"/>
      <c r="Z271" s="17"/>
    </row>
    <row r="272" customFormat="false" ht="15" hidden="false" customHeight="false" outlineLevel="0" collapsed="false">
      <c r="A272" s="17"/>
      <c r="B272" s="17"/>
      <c r="C272" s="17"/>
      <c r="D272" s="17"/>
      <c r="E272" s="40"/>
      <c r="F272" s="17"/>
      <c r="G272" s="17"/>
      <c r="H272" s="17"/>
      <c r="I272" s="47" t="str">
        <f aca="false">IF(H272="","",IFERROR(INDEX(Settings!$G$2:$G$4,MATCH(H272,Settings!$F$2:$F$4,0)),""))</f>
        <v/>
      </c>
      <c r="J272" s="38"/>
      <c r="K272" s="48"/>
      <c r="L272" s="17"/>
      <c r="M272" s="38"/>
      <c r="N272" s="38"/>
      <c r="O272" s="42" t="str">
        <f aca="false">IF(N272="","",WORKDAY(N272,Settings!$S$4))</f>
        <v/>
      </c>
      <c r="P272" s="17"/>
      <c r="Q272" s="44" t="str">
        <f aca="true">IF(C272="","",IF(P272="Backed out",IF(S272="Paid","Refunded – closed",IF(R272="","Refund – log reason first","Refund in progress")),IF(K272="","Awaiting payment",IF(N272="",IF(M272="","Schedule free video","Free video in production"),IF(P272="Approved","Active",IF(TODAY()&gt;O272,"Active – plan went ahead","Decision pending – "&amp;NETWORKDAYS(TODAY(),O272)&amp;" working day(s) left"))))))</f>
        <v/>
      </c>
      <c r="R272" s="17"/>
      <c r="S272" s="17"/>
      <c r="T272" s="48"/>
      <c r="U272" s="38"/>
      <c r="V272" s="38"/>
      <c r="W272" s="42" t="str">
        <f aca="false">IF(V272="","",EDATE(V272,Settings!$S$6))</f>
        <v/>
      </c>
      <c r="X272" s="17"/>
      <c r="Y272" s="17"/>
      <c r="Z272" s="17"/>
    </row>
    <row r="273" customFormat="false" ht="15" hidden="false" customHeight="false" outlineLevel="0" collapsed="false">
      <c r="A273" s="17"/>
      <c r="B273" s="17"/>
      <c r="C273" s="17"/>
      <c r="D273" s="17"/>
      <c r="E273" s="40"/>
      <c r="F273" s="17"/>
      <c r="G273" s="17"/>
      <c r="H273" s="17"/>
      <c r="I273" s="47" t="str">
        <f aca="false">IF(H273="","",IFERROR(INDEX(Settings!$G$2:$G$4,MATCH(H273,Settings!$F$2:$F$4,0)),""))</f>
        <v/>
      </c>
      <c r="J273" s="38"/>
      <c r="K273" s="48"/>
      <c r="L273" s="17"/>
      <c r="M273" s="38"/>
      <c r="N273" s="38"/>
      <c r="O273" s="42" t="str">
        <f aca="false">IF(N273="","",WORKDAY(N273,Settings!$S$4))</f>
        <v/>
      </c>
      <c r="P273" s="17"/>
      <c r="Q273" s="44" t="str">
        <f aca="true">IF(C273="","",IF(P273="Backed out",IF(S273="Paid","Refunded – closed",IF(R273="","Refund – log reason first","Refund in progress")),IF(K273="","Awaiting payment",IF(N273="",IF(M273="","Schedule free video","Free video in production"),IF(P273="Approved","Active",IF(TODAY()&gt;O273,"Active – plan went ahead","Decision pending – "&amp;NETWORKDAYS(TODAY(),O273)&amp;" working day(s) left"))))))</f>
        <v/>
      </c>
      <c r="R273" s="17"/>
      <c r="S273" s="17"/>
      <c r="T273" s="48"/>
      <c r="U273" s="38"/>
      <c r="V273" s="38"/>
      <c r="W273" s="42" t="str">
        <f aca="false">IF(V273="","",EDATE(V273,Settings!$S$6))</f>
        <v/>
      </c>
      <c r="X273" s="17"/>
      <c r="Y273" s="17"/>
      <c r="Z273" s="17"/>
    </row>
    <row r="274" customFormat="false" ht="15" hidden="false" customHeight="false" outlineLevel="0" collapsed="false">
      <c r="A274" s="17"/>
      <c r="B274" s="17"/>
      <c r="C274" s="17"/>
      <c r="D274" s="17"/>
      <c r="E274" s="40"/>
      <c r="F274" s="17"/>
      <c r="G274" s="17"/>
      <c r="H274" s="17"/>
      <c r="I274" s="47" t="str">
        <f aca="false">IF(H274="","",IFERROR(INDEX(Settings!$G$2:$G$4,MATCH(H274,Settings!$F$2:$F$4,0)),""))</f>
        <v/>
      </c>
      <c r="J274" s="38"/>
      <c r="K274" s="48"/>
      <c r="L274" s="17"/>
      <c r="M274" s="38"/>
      <c r="N274" s="38"/>
      <c r="O274" s="42" t="str">
        <f aca="false">IF(N274="","",WORKDAY(N274,Settings!$S$4))</f>
        <v/>
      </c>
      <c r="P274" s="17"/>
      <c r="Q274" s="44" t="str">
        <f aca="true">IF(C274="","",IF(P274="Backed out",IF(S274="Paid","Refunded – closed",IF(R274="","Refund – log reason first","Refund in progress")),IF(K274="","Awaiting payment",IF(N274="",IF(M274="","Schedule free video","Free video in production"),IF(P274="Approved","Active",IF(TODAY()&gt;O274,"Active – plan went ahead","Decision pending – "&amp;NETWORKDAYS(TODAY(),O274)&amp;" working day(s) left"))))))</f>
        <v/>
      </c>
      <c r="R274" s="17"/>
      <c r="S274" s="17"/>
      <c r="T274" s="48"/>
      <c r="U274" s="38"/>
      <c r="V274" s="38"/>
      <c r="W274" s="42" t="str">
        <f aca="false">IF(V274="","",EDATE(V274,Settings!$S$6))</f>
        <v/>
      </c>
      <c r="X274" s="17"/>
      <c r="Y274" s="17"/>
      <c r="Z274" s="17"/>
    </row>
    <row r="275" customFormat="false" ht="15" hidden="false" customHeight="false" outlineLevel="0" collapsed="false">
      <c r="A275" s="17"/>
      <c r="B275" s="17"/>
      <c r="C275" s="17"/>
      <c r="D275" s="17"/>
      <c r="E275" s="40"/>
      <c r="F275" s="17"/>
      <c r="G275" s="17"/>
      <c r="H275" s="17"/>
      <c r="I275" s="47" t="str">
        <f aca="false">IF(H275="","",IFERROR(INDEX(Settings!$G$2:$G$4,MATCH(H275,Settings!$F$2:$F$4,0)),""))</f>
        <v/>
      </c>
      <c r="J275" s="38"/>
      <c r="K275" s="48"/>
      <c r="L275" s="17"/>
      <c r="M275" s="38"/>
      <c r="N275" s="38"/>
      <c r="O275" s="42" t="str">
        <f aca="false">IF(N275="","",WORKDAY(N275,Settings!$S$4))</f>
        <v/>
      </c>
      <c r="P275" s="17"/>
      <c r="Q275" s="44" t="str">
        <f aca="true">IF(C275="","",IF(P275="Backed out",IF(S275="Paid","Refunded – closed",IF(R275="","Refund – log reason first","Refund in progress")),IF(K275="","Awaiting payment",IF(N275="",IF(M275="","Schedule free video","Free video in production"),IF(P275="Approved","Active",IF(TODAY()&gt;O275,"Active – plan went ahead","Decision pending – "&amp;NETWORKDAYS(TODAY(),O275)&amp;" working day(s) left"))))))</f>
        <v/>
      </c>
      <c r="R275" s="17"/>
      <c r="S275" s="17"/>
      <c r="T275" s="48"/>
      <c r="U275" s="38"/>
      <c r="V275" s="38"/>
      <c r="W275" s="42" t="str">
        <f aca="false">IF(V275="","",EDATE(V275,Settings!$S$6))</f>
        <v/>
      </c>
      <c r="X275" s="17"/>
      <c r="Y275" s="17"/>
      <c r="Z275" s="17"/>
    </row>
    <row r="276" customFormat="false" ht="15" hidden="false" customHeight="false" outlineLevel="0" collapsed="false">
      <c r="A276" s="17"/>
      <c r="B276" s="17"/>
      <c r="C276" s="17"/>
      <c r="D276" s="17"/>
      <c r="E276" s="40"/>
      <c r="F276" s="17"/>
      <c r="G276" s="17"/>
      <c r="H276" s="17"/>
      <c r="I276" s="47" t="str">
        <f aca="false">IF(H276="","",IFERROR(INDEX(Settings!$G$2:$G$4,MATCH(H276,Settings!$F$2:$F$4,0)),""))</f>
        <v/>
      </c>
      <c r="J276" s="38"/>
      <c r="K276" s="48"/>
      <c r="L276" s="17"/>
      <c r="M276" s="38"/>
      <c r="N276" s="38"/>
      <c r="O276" s="42" t="str">
        <f aca="false">IF(N276="","",WORKDAY(N276,Settings!$S$4))</f>
        <v/>
      </c>
      <c r="P276" s="17"/>
      <c r="Q276" s="44" t="str">
        <f aca="true">IF(C276="","",IF(P276="Backed out",IF(S276="Paid","Refunded – closed",IF(R276="","Refund – log reason first","Refund in progress")),IF(K276="","Awaiting payment",IF(N276="",IF(M276="","Schedule free video","Free video in production"),IF(P276="Approved","Active",IF(TODAY()&gt;O276,"Active – plan went ahead","Decision pending – "&amp;NETWORKDAYS(TODAY(),O276)&amp;" working day(s) left"))))))</f>
        <v/>
      </c>
      <c r="R276" s="17"/>
      <c r="S276" s="17"/>
      <c r="T276" s="48"/>
      <c r="U276" s="38"/>
      <c r="V276" s="38"/>
      <c r="W276" s="42" t="str">
        <f aca="false">IF(V276="","",EDATE(V276,Settings!$S$6))</f>
        <v/>
      </c>
      <c r="X276" s="17"/>
      <c r="Y276" s="17"/>
      <c r="Z276" s="17"/>
    </row>
    <row r="277" customFormat="false" ht="15" hidden="false" customHeight="false" outlineLevel="0" collapsed="false">
      <c r="A277" s="17"/>
      <c r="B277" s="17"/>
      <c r="C277" s="17"/>
      <c r="D277" s="17"/>
      <c r="E277" s="40"/>
      <c r="F277" s="17"/>
      <c r="G277" s="17"/>
      <c r="H277" s="17"/>
      <c r="I277" s="47" t="str">
        <f aca="false">IF(H277="","",IFERROR(INDEX(Settings!$G$2:$G$4,MATCH(H277,Settings!$F$2:$F$4,0)),""))</f>
        <v/>
      </c>
      <c r="J277" s="38"/>
      <c r="K277" s="48"/>
      <c r="L277" s="17"/>
      <c r="M277" s="38"/>
      <c r="N277" s="38"/>
      <c r="O277" s="42" t="str">
        <f aca="false">IF(N277="","",WORKDAY(N277,Settings!$S$4))</f>
        <v/>
      </c>
      <c r="P277" s="17"/>
      <c r="Q277" s="44" t="str">
        <f aca="true">IF(C277="","",IF(P277="Backed out",IF(S277="Paid","Refunded – closed",IF(R277="","Refund – log reason first","Refund in progress")),IF(K277="","Awaiting payment",IF(N277="",IF(M277="","Schedule free video","Free video in production"),IF(P277="Approved","Active",IF(TODAY()&gt;O277,"Active – plan went ahead","Decision pending – "&amp;NETWORKDAYS(TODAY(),O277)&amp;" working day(s) left"))))))</f>
        <v/>
      </c>
      <c r="R277" s="17"/>
      <c r="S277" s="17"/>
      <c r="T277" s="48"/>
      <c r="U277" s="38"/>
      <c r="V277" s="38"/>
      <c r="W277" s="42" t="str">
        <f aca="false">IF(V277="","",EDATE(V277,Settings!$S$6))</f>
        <v/>
      </c>
      <c r="X277" s="17"/>
      <c r="Y277" s="17"/>
      <c r="Z277" s="17"/>
    </row>
    <row r="278" customFormat="false" ht="15" hidden="false" customHeight="false" outlineLevel="0" collapsed="false">
      <c r="A278" s="17"/>
      <c r="B278" s="17"/>
      <c r="C278" s="17"/>
      <c r="D278" s="17"/>
      <c r="E278" s="40"/>
      <c r="F278" s="17"/>
      <c r="G278" s="17"/>
      <c r="H278" s="17"/>
      <c r="I278" s="47" t="str">
        <f aca="false">IF(H278="","",IFERROR(INDEX(Settings!$G$2:$G$4,MATCH(H278,Settings!$F$2:$F$4,0)),""))</f>
        <v/>
      </c>
      <c r="J278" s="38"/>
      <c r="K278" s="48"/>
      <c r="L278" s="17"/>
      <c r="M278" s="38"/>
      <c r="N278" s="38"/>
      <c r="O278" s="42" t="str">
        <f aca="false">IF(N278="","",WORKDAY(N278,Settings!$S$4))</f>
        <v/>
      </c>
      <c r="P278" s="17"/>
      <c r="Q278" s="44" t="str">
        <f aca="true">IF(C278="","",IF(P278="Backed out",IF(S278="Paid","Refunded – closed",IF(R278="","Refund – log reason first","Refund in progress")),IF(K278="","Awaiting payment",IF(N278="",IF(M278="","Schedule free video","Free video in production"),IF(P278="Approved","Active",IF(TODAY()&gt;O278,"Active – plan went ahead","Decision pending – "&amp;NETWORKDAYS(TODAY(),O278)&amp;" working day(s) left"))))))</f>
        <v/>
      </c>
      <c r="R278" s="17"/>
      <c r="S278" s="17"/>
      <c r="T278" s="48"/>
      <c r="U278" s="38"/>
      <c r="V278" s="38"/>
      <c r="W278" s="42" t="str">
        <f aca="false">IF(V278="","",EDATE(V278,Settings!$S$6))</f>
        <v/>
      </c>
      <c r="X278" s="17"/>
      <c r="Y278" s="17"/>
      <c r="Z278" s="17"/>
    </row>
    <row r="279" customFormat="false" ht="15" hidden="false" customHeight="false" outlineLevel="0" collapsed="false">
      <c r="A279" s="17"/>
      <c r="B279" s="17"/>
      <c r="C279" s="17"/>
      <c r="D279" s="17"/>
      <c r="E279" s="40"/>
      <c r="F279" s="17"/>
      <c r="G279" s="17"/>
      <c r="H279" s="17"/>
      <c r="I279" s="47" t="str">
        <f aca="false">IF(H279="","",IFERROR(INDEX(Settings!$G$2:$G$4,MATCH(H279,Settings!$F$2:$F$4,0)),""))</f>
        <v/>
      </c>
      <c r="J279" s="38"/>
      <c r="K279" s="48"/>
      <c r="L279" s="17"/>
      <c r="M279" s="38"/>
      <c r="N279" s="38"/>
      <c r="O279" s="42" t="str">
        <f aca="false">IF(N279="","",WORKDAY(N279,Settings!$S$4))</f>
        <v/>
      </c>
      <c r="P279" s="17"/>
      <c r="Q279" s="44" t="str">
        <f aca="true">IF(C279="","",IF(P279="Backed out",IF(S279="Paid","Refunded – closed",IF(R279="","Refund – log reason first","Refund in progress")),IF(K279="","Awaiting payment",IF(N279="",IF(M279="","Schedule free video","Free video in production"),IF(P279="Approved","Active",IF(TODAY()&gt;O279,"Active – plan went ahead","Decision pending – "&amp;NETWORKDAYS(TODAY(),O279)&amp;" working day(s) left"))))))</f>
        <v/>
      </c>
      <c r="R279" s="17"/>
      <c r="S279" s="17"/>
      <c r="T279" s="48"/>
      <c r="U279" s="38"/>
      <c r="V279" s="38"/>
      <c r="W279" s="42" t="str">
        <f aca="false">IF(V279="","",EDATE(V279,Settings!$S$6))</f>
        <v/>
      </c>
      <c r="X279" s="17"/>
      <c r="Y279" s="17"/>
      <c r="Z279" s="17"/>
    </row>
    <row r="280" customFormat="false" ht="15" hidden="false" customHeight="false" outlineLevel="0" collapsed="false">
      <c r="A280" s="17"/>
      <c r="B280" s="17"/>
      <c r="C280" s="17"/>
      <c r="D280" s="17"/>
      <c r="E280" s="40"/>
      <c r="F280" s="17"/>
      <c r="G280" s="17"/>
      <c r="H280" s="17"/>
      <c r="I280" s="47" t="str">
        <f aca="false">IF(H280="","",IFERROR(INDEX(Settings!$G$2:$G$4,MATCH(H280,Settings!$F$2:$F$4,0)),""))</f>
        <v/>
      </c>
      <c r="J280" s="38"/>
      <c r="K280" s="48"/>
      <c r="L280" s="17"/>
      <c r="M280" s="38"/>
      <c r="N280" s="38"/>
      <c r="O280" s="42" t="str">
        <f aca="false">IF(N280="","",WORKDAY(N280,Settings!$S$4))</f>
        <v/>
      </c>
      <c r="P280" s="17"/>
      <c r="Q280" s="44" t="str">
        <f aca="true">IF(C280="","",IF(P280="Backed out",IF(S280="Paid","Refunded – closed",IF(R280="","Refund – log reason first","Refund in progress")),IF(K280="","Awaiting payment",IF(N280="",IF(M280="","Schedule free video","Free video in production"),IF(P280="Approved","Active",IF(TODAY()&gt;O280,"Active – plan went ahead","Decision pending – "&amp;NETWORKDAYS(TODAY(),O280)&amp;" working day(s) left"))))))</f>
        <v/>
      </c>
      <c r="R280" s="17"/>
      <c r="S280" s="17"/>
      <c r="T280" s="48"/>
      <c r="U280" s="38"/>
      <c r="V280" s="38"/>
      <c r="W280" s="42" t="str">
        <f aca="false">IF(V280="","",EDATE(V280,Settings!$S$6))</f>
        <v/>
      </c>
      <c r="X280" s="17"/>
      <c r="Y280" s="17"/>
      <c r="Z280" s="17"/>
    </row>
    <row r="281" customFormat="false" ht="15" hidden="false" customHeight="false" outlineLevel="0" collapsed="false">
      <c r="A281" s="17"/>
      <c r="B281" s="17"/>
      <c r="C281" s="17"/>
      <c r="D281" s="17"/>
      <c r="E281" s="40"/>
      <c r="F281" s="17"/>
      <c r="G281" s="17"/>
      <c r="H281" s="17"/>
      <c r="I281" s="47" t="str">
        <f aca="false">IF(H281="","",IFERROR(INDEX(Settings!$G$2:$G$4,MATCH(H281,Settings!$F$2:$F$4,0)),""))</f>
        <v/>
      </c>
      <c r="J281" s="38"/>
      <c r="K281" s="48"/>
      <c r="L281" s="17"/>
      <c r="M281" s="38"/>
      <c r="N281" s="38"/>
      <c r="O281" s="42" t="str">
        <f aca="false">IF(N281="","",WORKDAY(N281,Settings!$S$4))</f>
        <v/>
      </c>
      <c r="P281" s="17"/>
      <c r="Q281" s="44" t="str">
        <f aca="true">IF(C281="","",IF(P281="Backed out",IF(S281="Paid","Refunded – closed",IF(R281="","Refund – log reason first","Refund in progress")),IF(K281="","Awaiting payment",IF(N281="",IF(M281="","Schedule free video","Free video in production"),IF(P281="Approved","Active",IF(TODAY()&gt;O281,"Active – plan went ahead","Decision pending – "&amp;NETWORKDAYS(TODAY(),O281)&amp;" working day(s) left"))))))</f>
        <v/>
      </c>
      <c r="R281" s="17"/>
      <c r="S281" s="17"/>
      <c r="T281" s="48"/>
      <c r="U281" s="38"/>
      <c r="V281" s="38"/>
      <c r="W281" s="42" t="str">
        <f aca="false">IF(V281="","",EDATE(V281,Settings!$S$6))</f>
        <v/>
      </c>
      <c r="X281" s="17"/>
      <c r="Y281" s="17"/>
      <c r="Z281" s="17"/>
    </row>
    <row r="282" customFormat="false" ht="15" hidden="false" customHeight="false" outlineLevel="0" collapsed="false">
      <c r="A282" s="17"/>
      <c r="B282" s="17"/>
      <c r="C282" s="17"/>
      <c r="D282" s="17"/>
      <c r="E282" s="40"/>
      <c r="F282" s="17"/>
      <c r="G282" s="17"/>
      <c r="H282" s="17"/>
      <c r="I282" s="47" t="str">
        <f aca="false">IF(H282="","",IFERROR(INDEX(Settings!$G$2:$G$4,MATCH(H282,Settings!$F$2:$F$4,0)),""))</f>
        <v/>
      </c>
      <c r="J282" s="38"/>
      <c r="K282" s="48"/>
      <c r="L282" s="17"/>
      <c r="M282" s="38"/>
      <c r="N282" s="38"/>
      <c r="O282" s="42" t="str">
        <f aca="false">IF(N282="","",WORKDAY(N282,Settings!$S$4))</f>
        <v/>
      </c>
      <c r="P282" s="17"/>
      <c r="Q282" s="44" t="str">
        <f aca="true">IF(C282="","",IF(P282="Backed out",IF(S282="Paid","Refunded – closed",IF(R282="","Refund – log reason first","Refund in progress")),IF(K282="","Awaiting payment",IF(N282="",IF(M282="","Schedule free video","Free video in production"),IF(P282="Approved","Active",IF(TODAY()&gt;O282,"Active – plan went ahead","Decision pending – "&amp;NETWORKDAYS(TODAY(),O282)&amp;" working day(s) left"))))))</f>
        <v/>
      </c>
      <c r="R282" s="17"/>
      <c r="S282" s="17"/>
      <c r="T282" s="48"/>
      <c r="U282" s="38"/>
      <c r="V282" s="38"/>
      <c r="W282" s="42" t="str">
        <f aca="false">IF(V282="","",EDATE(V282,Settings!$S$6))</f>
        <v/>
      </c>
      <c r="X282" s="17"/>
      <c r="Y282" s="17"/>
      <c r="Z282" s="17"/>
    </row>
    <row r="283" customFormat="false" ht="15" hidden="false" customHeight="false" outlineLevel="0" collapsed="false">
      <c r="A283" s="17"/>
      <c r="B283" s="17"/>
      <c r="C283" s="17"/>
      <c r="D283" s="17"/>
      <c r="E283" s="40"/>
      <c r="F283" s="17"/>
      <c r="G283" s="17"/>
      <c r="H283" s="17"/>
      <c r="I283" s="47" t="str">
        <f aca="false">IF(H283="","",IFERROR(INDEX(Settings!$G$2:$G$4,MATCH(H283,Settings!$F$2:$F$4,0)),""))</f>
        <v/>
      </c>
      <c r="J283" s="38"/>
      <c r="K283" s="48"/>
      <c r="L283" s="17"/>
      <c r="M283" s="38"/>
      <c r="N283" s="38"/>
      <c r="O283" s="42" t="str">
        <f aca="false">IF(N283="","",WORKDAY(N283,Settings!$S$4))</f>
        <v/>
      </c>
      <c r="P283" s="17"/>
      <c r="Q283" s="44" t="str">
        <f aca="true">IF(C283="","",IF(P283="Backed out",IF(S283="Paid","Refunded – closed",IF(R283="","Refund – log reason first","Refund in progress")),IF(K283="","Awaiting payment",IF(N283="",IF(M283="","Schedule free video","Free video in production"),IF(P283="Approved","Active",IF(TODAY()&gt;O283,"Active – plan went ahead","Decision pending – "&amp;NETWORKDAYS(TODAY(),O283)&amp;" working day(s) left"))))))</f>
        <v/>
      </c>
      <c r="R283" s="17"/>
      <c r="S283" s="17"/>
      <c r="T283" s="48"/>
      <c r="U283" s="38"/>
      <c r="V283" s="38"/>
      <c r="W283" s="42" t="str">
        <f aca="false">IF(V283="","",EDATE(V283,Settings!$S$6))</f>
        <v/>
      </c>
      <c r="X283" s="17"/>
      <c r="Y283" s="17"/>
      <c r="Z283" s="17"/>
    </row>
    <row r="284" customFormat="false" ht="15" hidden="false" customHeight="false" outlineLevel="0" collapsed="false">
      <c r="A284" s="17"/>
      <c r="B284" s="17"/>
      <c r="C284" s="17"/>
      <c r="D284" s="17"/>
      <c r="E284" s="40"/>
      <c r="F284" s="17"/>
      <c r="G284" s="17"/>
      <c r="H284" s="17"/>
      <c r="I284" s="47" t="str">
        <f aca="false">IF(H284="","",IFERROR(INDEX(Settings!$G$2:$G$4,MATCH(H284,Settings!$F$2:$F$4,0)),""))</f>
        <v/>
      </c>
      <c r="J284" s="38"/>
      <c r="K284" s="48"/>
      <c r="L284" s="17"/>
      <c r="M284" s="38"/>
      <c r="N284" s="38"/>
      <c r="O284" s="42" t="str">
        <f aca="false">IF(N284="","",WORKDAY(N284,Settings!$S$4))</f>
        <v/>
      </c>
      <c r="P284" s="17"/>
      <c r="Q284" s="44" t="str">
        <f aca="true">IF(C284="","",IF(P284="Backed out",IF(S284="Paid","Refunded – closed",IF(R284="","Refund – log reason first","Refund in progress")),IF(K284="","Awaiting payment",IF(N284="",IF(M284="","Schedule free video","Free video in production"),IF(P284="Approved","Active",IF(TODAY()&gt;O284,"Active – plan went ahead","Decision pending – "&amp;NETWORKDAYS(TODAY(),O284)&amp;" working day(s) left"))))))</f>
        <v/>
      </c>
      <c r="R284" s="17"/>
      <c r="S284" s="17"/>
      <c r="T284" s="48"/>
      <c r="U284" s="38"/>
      <c r="V284" s="38"/>
      <c r="W284" s="42" t="str">
        <f aca="false">IF(V284="","",EDATE(V284,Settings!$S$6))</f>
        <v/>
      </c>
      <c r="X284" s="17"/>
      <c r="Y284" s="17"/>
      <c r="Z284" s="17"/>
    </row>
    <row r="285" customFormat="false" ht="15" hidden="false" customHeight="false" outlineLevel="0" collapsed="false">
      <c r="A285" s="17"/>
      <c r="B285" s="17"/>
      <c r="C285" s="17"/>
      <c r="D285" s="17"/>
      <c r="E285" s="40"/>
      <c r="F285" s="17"/>
      <c r="G285" s="17"/>
      <c r="H285" s="17"/>
      <c r="I285" s="47" t="str">
        <f aca="false">IF(H285="","",IFERROR(INDEX(Settings!$G$2:$G$4,MATCH(H285,Settings!$F$2:$F$4,0)),""))</f>
        <v/>
      </c>
      <c r="J285" s="38"/>
      <c r="K285" s="48"/>
      <c r="L285" s="17"/>
      <c r="M285" s="38"/>
      <c r="N285" s="38"/>
      <c r="O285" s="42" t="str">
        <f aca="false">IF(N285="","",WORKDAY(N285,Settings!$S$4))</f>
        <v/>
      </c>
      <c r="P285" s="17"/>
      <c r="Q285" s="44" t="str">
        <f aca="true">IF(C285="","",IF(P285="Backed out",IF(S285="Paid","Refunded – closed",IF(R285="","Refund – log reason first","Refund in progress")),IF(K285="","Awaiting payment",IF(N285="",IF(M285="","Schedule free video","Free video in production"),IF(P285="Approved","Active",IF(TODAY()&gt;O285,"Active – plan went ahead","Decision pending – "&amp;NETWORKDAYS(TODAY(),O285)&amp;" working day(s) left"))))))</f>
        <v/>
      </c>
      <c r="R285" s="17"/>
      <c r="S285" s="17"/>
      <c r="T285" s="48"/>
      <c r="U285" s="38"/>
      <c r="V285" s="38"/>
      <c r="W285" s="42" t="str">
        <f aca="false">IF(V285="","",EDATE(V285,Settings!$S$6))</f>
        <v/>
      </c>
      <c r="X285" s="17"/>
      <c r="Y285" s="17"/>
      <c r="Z285" s="17"/>
    </row>
    <row r="286" customFormat="false" ht="15" hidden="false" customHeight="false" outlineLevel="0" collapsed="false">
      <c r="A286" s="17"/>
      <c r="B286" s="17"/>
      <c r="C286" s="17"/>
      <c r="D286" s="17"/>
      <c r="E286" s="40"/>
      <c r="F286" s="17"/>
      <c r="G286" s="17"/>
      <c r="H286" s="17"/>
      <c r="I286" s="47" t="str">
        <f aca="false">IF(H286="","",IFERROR(INDEX(Settings!$G$2:$G$4,MATCH(H286,Settings!$F$2:$F$4,0)),""))</f>
        <v/>
      </c>
      <c r="J286" s="38"/>
      <c r="K286" s="48"/>
      <c r="L286" s="17"/>
      <c r="M286" s="38"/>
      <c r="N286" s="38"/>
      <c r="O286" s="42" t="str">
        <f aca="false">IF(N286="","",WORKDAY(N286,Settings!$S$4))</f>
        <v/>
      </c>
      <c r="P286" s="17"/>
      <c r="Q286" s="44" t="str">
        <f aca="true">IF(C286="","",IF(P286="Backed out",IF(S286="Paid","Refunded – closed",IF(R286="","Refund – log reason first","Refund in progress")),IF(K286="","Awaiting payment",IF(N286="",IF(M286="","Schedule free video","Free video in production"),IF(P286="Approved","Active",IF(TODAY()&gt;O286,"Active – plan went ahead","Decision pending – "&amp;NETWORKDAYS(TODAY(),O286)&amp;" working day(s) left"))))))</f>
        <v/>
      </c>
      <c r="R286" s="17"/>
      <c r="S286" s="17"/>
      <c r="T286" s="48"/>
      <c r="U286" s="38"/>
      <c r="V286" s="38"/>
      <c r="W286" s="42" t="str">
        <f aca="false">IF(V286="","",EDATE(V286,Settings!$S$6))</f>
        <v/>
      </c>
      <c r="X286" s="17"/>
      <c r="Y286" s="17"/>
      <c r="Z286" s="17"/>
    </row>
    <row r="287" customFormat="false" ht="15" hidden="false" customHeight="false" outlineLevel="0" collapsed="false">
      <c r="A287" s="17"/>
      <c r="B287" s="17"/>
      <c r="C287" s="17"/>
      <c r="D287" s="17"/>
      <c r="E287" s="40"/>
      <c r="F287" s="17"/>
      <c r="G287" s="17"/>
      <c r="H287" s="17"/>
      <c r="I287" s="47" t="str">
        <f aca="false">IF(H287="","",IFERROR(INDEX(Settings!$G$2:$G$4,MATCH(H287,Settings!$F$2:$F$4,0)),""))</f>
        <v/>
      </c>
      <c r="J287" s="38"/>
      <c r="K287" s="48"/>
      <c r="L287" s="17"/>
      <c r="M287" s="38"/>
      <c r="N287" s="38"/>
      <c r="O287" s="42" t="str">
        <f aca="false">IF(N287="","",WORKDAY(N287,Settings!$S$4))</f>
        <v/>
      </c>
      <c r="P287" s="17"/>
      <c r="Q287" s="44" t="str">
        <f aca="true">IF(C287="","",IF(P287="Backed out",IF(S287="Paid","Refunded – closed",IF(R287="","Refund – log reason first","Refund in progress")),IF(K287="","Awaiting payment",IF(N287="",IF(M287="","Schedule free video","Free video in production"),IF(P287="Approved","Active",IF(TODAY()&gt;O287,"Active – plan went ahead","Decision pending – "&amp;NETWORKDAYS(TODAY(),O287)&amp;" working day(s) left"))))))</f>
        <v/>
      </c>
      <c r="R287" s="17"/>
      <c r="S287" s="17"/>
      <c r="T287" s="48"/>
      <c r="U287" s="38"/>
      <c r="V287" s="38"/>
      <c r="W287" s="42" t="str">
        <f aca="false">IF(V287="","",EDATE(V287,Settings!$S$6))</f>
        <v/>
      </c>
      <c r="X287" s="17"/>
      <c r="Y287" s="17"/>
      <c r="Z287" s="17"/>
    </row>
    <row r="288" customFormat="false" ht="15" hidden="false" customHeight="false" outlineLevel="0" collapsed="false">
      <c r="A288" s="17"/>
      <c r="B288" s="17"/>
      <c r="C288" s="17"/>
      <c r="D288" s="17"/>
      <c r="E288" s="40"/>
      <c r="F288" s="17"/>
      <c r="G288" s="17"/>
      <c r="H288" s="17"/>
      <c r="I288" s="47" t="str">
        <f aca="false">IF(H288="","",IFERROR(INDEX(Settings!$G$2:$G$4,MATCH(H288,Settings!$F$2:$F$4,0)),""))</f>
        <v/>
      </c>
      <c r="J288" s="38"/>
      <c r="K288" s="48"/>
      <c r="L288" s="17"/>
      <c r="M288" s="38"/>
      <c r="N288" s="38"/>
      <c r="O288" s="42" t="str">
        <f aca="false">IF(N288="","",WORKDAY(N288,Settings!$S$4))</f>
        <v/>
      </c>
      <c r="P288" s="17"/>
      <c r="Q288" s="44" t="str">
        <f aca="true">IF(C288="","",IF(P288="Backed out",IF(S288="Paid","Refunded – closed",IF(R288="","Refund – log reason first","Refund in progress")),IF(K288="","Awaiting payment",IF(N288="",IF(M288="","Schedule free video","Free video in production"),IF(P288="Approved","Active",IF(TODAY()&gt;O288,"Active – plan went ahead","Decision pending – "&amp;NETWORKDAYS(TODAY(),O288)&amp;" working day(s) left"))))))</f>
        <v/>
      </c>
      <c r="R288" s="17"/>
      <c r="S288" s="17"/>
      <c r="T288" s="48"/>
      <c r="U288" s="38"/>
      <c r="V288" s="38"/>
      <c r="W288" s="42" t="str">
        <f aca="false">IF(V288="","",EDATE(V288,Settings!$S$6))</f>
        <v/>
      </c>
      <c r="X288" s="17"/>
      <c r="Y288" s="17"/>
      <c r="Z288" s="17"/>
    </row>
    <row r="289" customFormat="false" ht="15" hidden="false" customHeight="false" outlineLevel="0" collapsed="false">
      <c r="A289" s="17"/>
      <c r="B289" s="17"/>
      <c r="C289" s="17"/>
      <c r="D289" s="17"/>
      <c r="E289" s="40"/>
      <c r="F289" s="17"/>
      <c r="G289" s="17"/>
      <c r="H289" s="17"/>
      <c r="I289" s="47" t="str">
        <f aca="false">IF(H289="","",IFERROR(INDEX(Settings!$G$2:$G$4,MATCH(H289,Settings!$F$2:$F$4,0)),""))</f>
        <v/>
      </c>
      <c r="J289" s="38"/>
      <c r="K289" s="48"/>
      <c r="L289" s="17"/>
      <c r="M289" s="38"/>
      <c r="N289" s="38"/>
      <c r="O289" s="42" t="str">
        <f aca="false">IF(N289="","",WORKDAY(N289,Settings!$S$4))</f>
        <v/>
      </c>
      <c r="P289" s="17"/>
      <c r="Q289" s="44" t="str">
        <f aca="true">IF(C289="","",IF(P289="Backed out",IF(S289="Paid","Refunded – closed",IF(R289="","Refund – log reason first","Refund in progress")),IF(K289="","Awaiting payment",IF(N289="",IF(M289="","Schedule free video","Free video in production"),IF(P289="Approved","Active",IF(TODAY()&gt;O289,"Active – plan went ahead","Decision pending – "&amp;NETWORKDAYS(TODAY(),O289)&amp;" working day(s) left"))))))</f>
        <v/>
      </c>
      <c r="R289" s="17"/>
      <c r="S289" s="17"/>
      <c r="T289" s="48"/>
      <c r="U289" s="38"/>
      <c r="V289" s="38"/>
      <c r="W289" s="42" t="str">
        <f aca="false">IF(V289="","",EDATE(V289,Settings!$S$6))</f>
        <v/>
      </c>
      <c r="X289" s="17"/>
      <c r="Y289" s="17"/>
      <c r="Z289" s="17"/>
    </row>
    <row r="290" customFormat="false" ht="15" hidden="false" customHeight="false" outlineLevel="0" collapsed="false">
      <c r="A290" s="17"/>
      <c r="B290" s="17"/>
      <c r="C290" s="17"/>
      <c r="D290" s="17"/>
      <c r="E290" s="40"/>
      <c r="F290" s="17"/>
      <c r="G290" s="17"/>
      <c r="H290" s="17"/>
      <c r="I290" s="47" t="str">
        <f aca="false">IF(H290="","",IFERROR(INDEX(Settings!$G$2:$G$4,MATCH(H290,Settings!$F$2:$F$4,0)),""))</f>
        <v/>
      </c>
      <c r="J290" s="38"/>
      <c r="K290" s="48"/>
      <c r="L290" s="17"/>
      <c r="M290" s="38"/>
      <c r="N290" s="38"/>
      <c r="O290" s="42" t="str">
        <f aca="false">IF(N290="","",WORKDAY(N290,Settings!$S$4))</f>
        <v/>
      </c>
      <c r="P290" s="17"/>
      <c r="Q290" s="44" t="str">
        <f aca="true">IF(C290="","",IF(P290="Backed out",IF(S290="Paid","Refunded – closed",IF(R290="","Refund – log reason first","Refund in progress")),IF(K290="","Awaiting payment",IF(N290="",IF(M290="","Schedule free video","Free video in production"),IF(P290="Approved","Active",IF(TODAY()&gt;O290,"Active – plan went ahead","Decision pending – "&amp;NETWORKDAYS(TODAY(),O290)&amp;" working day(s) left"))))))</f>
        <v/>
      </c>
      <c r="R290" s="17"/>
      <c r="S290" s="17"/>
      <c r="T290" s="48"/>
      <c r="U290" s="38"/>
      <c r="V290" s="38"/>
      <c r="W290" s="42" t="str">
        <f aca="false">IF(V290="","",EDATE(V290,Settings!$S$6))</f>
        <v/>
      </c>
      <c r="X290" s="17"/>
      <c r="Y290" s="17"/>
      <c r="Z290" s="17"/>
    </row>
    <row r="291" customFormat="false" ht="15" hidden="false" customHeight="false" outlineLevel="0" collapsed="false">
      <c r="A291" s="17"/>
      <c r="B291" s="17"/>
      <c r="C291" s="17"/>
      <c r="D291" s="17"/>
      <c r="E291" s="40"/>
      <c r="F291" s="17"/>
      <c r="G291" s="17"/>
      <c r="H291" s="17"/>
      <c r="I291" s="47" t="str">
        <f aca="false">IF(H291="","",IFERROR(INDEX(Settings!$G$2:$G$4,MATCH(H291,Settings!$F$2:$F$4,0)),""))</f>
        <v/>
      </c>
      <c r="J291" s="38"/>
      <c r="K291" s="48"/>
      <c r="L291" s="17"/>
      <c r="M291" s="38"/>
      <c r="N291" s="38"/>
      <c r="O291" s="42" t="str">
        <f aca="false">IF(N291="","",WORKDAY(N291,Settings!$S$4))</f>
        <v/>
      </c>
      <c r="P291" s="17"/>
      <c r="Q291" s="44" t="str">
        <f aca="true">IF(C291="","",IF(P291="Backed out",IF(S291="Paid","Refunded – closed",IF(R291="","Refund – log reason first","Refund in progress")),IF(K291="","Awaiting payment",IF(N291="",IF(M291="","Schedule free video","Free video in production"),IF(P291="Approved","Active",IF(TODAY()&gt;O291,"Active – plan went ahead","Decision pending – "&amp;NETWORKDAYS(TODAY(),O291)&amp;" working day(s) left"))))))</f>
        <v/>
      </c>
      <c r="R291" s="17"/>
      <c r="S291" s="17"/>
      <c r="T291" s="48"/>
      <c r="U291" s="38"/>
      <c r="V291" s="38"/>
      <c r="W291" s="42" t="str">
        <f aca="false">IF(V291="","",EDATE(V291,Settings!$S$6))</f>
        <v/>
      </c>
      <c r="X291" s="17"/>
      <c r="Y291" s="17"/>
      <c r="Z291" s="17"/>
    </row>
    <row r="292" customFormat="false" ht="15" hidden="false" customHeight="false" outlineLevel="0" collapsed="false">
      <c r="A292" s="17"/>
      <c r="B292" s="17"/>
      <c r="C292" s="17"/>
      <c r="D292" s="17"/>
      <c r="E292" s="40"/>
      <c r="F292" s="17"/>
      <c r="G292" s="17"/>
      <c r="H292" s="17"/>
      <c r="I292" s="47" t="str">
        <f aca="false">IF(H292="","",IFERROR(INDEX(Settings!$G$2:$G$4,MATCH(H292,Settings!$F$2:$F$4,0)),""))</f>
        <v/>
      </c>
      <c r="J292" s="38"/>
      <c r="K292" s="48"/>
      <c r="L292" s="17"/>
      <c r="M292" s="38"/>
      <c r="N292" s="38"/>
      <c r="O292" s="42" t="str">
        <f aca="false">IF(N292="","",WORKDAY(N292,Settings!$S$4))</f>
        <v/>
      </c>
      <c r="P292" s="17"/>
      <c r="Q292" s="44" t="str">
        <f aca="true">IF(C292="","",IF(P292="Backed out",IF(S292="Paid","Refunded – closed",IF(R292="","Refund – log reason first","Refund in progress")),IF(K292="","Awaiting payment",IF(N292="",IF(M292="","Schedule free video","Free video in production"),IF(P292="Approved","Active",IF(TODAY()&gt;O292,"Active – plan went ahead","Decision pending – "&amp;NETWORKDAYS(TODAY(),O292)&amp;" working day(s) left"))))))</f>
        <v/>
      </c>
      <c r="R292" s="17"/>
      <c r="S292" s="17"/>
      <c r="T292" s="48"/>
      <c r="U292" s="38"/>
      <c r="V292" s="38"/>
      <c r="W292" s="42" t="str">
        <f aca="false">IF(V292="","",EDATE(V292,Settings!$S$6))</f>
        <v/>
      </c>
      <c r="X292" s="17"/>
      <c r="Y292" s="17"/>
      <c r="Z292" s="17"/>
    </row>
    <row r="293" customFormat="false" ht="15" hidden="false" customHeight="false" outlineLevel="0" collapsed="false">
      <c r="A293" s="17"/>
      <c r="B293" s="17"/>
      <c r="C293" s="17"/>
      <c r="D293" s="17"/>
      <c r="E293" s="40"/>
      <c r="F293" s="17"/>
      <c r="G293" s="17"/>
      <c r="H293" s="17"/>
      <c r="I293" s="47" t="str">
        <f aca="false">IF(H293="","",IFERROR(INDEX(Settings!$G$2:$G$4,MATCH(H293,Settings!$F$2:$F$4,0)),""))</f>
        <v/>
      </c>
      <c r="J293" s="38"/>
      <c r="K293" s="48"/>
      <c r="L293" s="17"/>
      <c r="M293" s="38"/>
      <c r="N293" s="38"/>
      <c r="O293" s="42" t="str">
        <f aca="false">IF(N293="","",WORKDAY(N293,Settings!$S$4))</f>
        <v/>
      </c>
      <c r="P293" s="17"/>
      <c r="Q293" s="44" t="str">
        <f aca="true">IF(C293="","",IF(P293="Backed out",IF(S293="Paid","Refunded – closed",IF(R293="","Refund – log reason first","Refund in progress")),IF(K293="","Awaiting payment",IF(N293="",IF(M293="","Schedule free video","Free video in production"),IF(P293="Approved","Active",IF(TODAY()&gt;O293,"Active – plan went ahead","Decision pending – "&amp;NETWORKDAYS(TODAY(),O293)&amp;" working day(s) left"))))))</f>
        <v/>
      </c>
      <c r="R293" s="17"/>
      <c r="S293" s="17"/>
      <c r="T293" s="48"/>
      <c r="U293" s="38"/>
      <c r="V293" s="38"/>
      <c r="W293" s="42" t="str">
        <f aca="false">IF(V293="","",EDATE(V293,Settings!$S$6))</f>
        <v/>
      </c>
      <c r="X293" s="17"/>
      <c r="Y293" s="17"/>
      <c r="Z293" s="17"/>
    </row>
    <row r="294" customFormat="false" ht="15" hidden="false" customHeight="false" outlineLevel="0" collapsed="false">
      <c r="A294" s="17"/>
      <c r="B294" s="17"/>
      <c r="C294" s="17"/>
      <c r="D294" s="17"/>
      <c r="E294" s="40"/>
      <c r="F294" s="17"/>
      <c r="G294" s="17"/>
      <c r="H294" s="17"/>
      <c r="I294" s="47" t="str">
        <f aca="false">IF(H294="","",IFERROR(INDEX(Settings!$G$2:$G$4,MATCH(H294,Settings!$F$2:$F$4,0)),""))</f>
        <v/>
      </c>
      <c r="J294" s="38"/>
      <c r="K294" s="48"/>
      <c r="L294" s="17"/>
      <c r="M294" s="38"/>
      <c r="N294" s="38"/>
      <c r="O294" s="42" t="str">
        <f aca="false">IF(N294="","",WORKDAY(N294,Settings!$S$4))</f>
        <v/>
      </c>
      <c r="P294" s="17"/>
      <c r="Q294" s="44" t="str">
        <f aca="true">IF(C294="","",IF(P294="Backed out",IF(S294="Paid","Refunded – closed",IF(R294="","Refund – log reason first","Refund in progress")),IF(K294="","Awaiting payment",IF(N294="",IF(M294="","Schedule free video","Free video in production"),IF(P294="Approved","Active",IF(TODAY()&gt;O294,"Active – plan went ahead","Decision pending – "&amp;NETWORKDAYS(TODAY(),O294)&amp;" working day(s) left"))))))</f>
        <v/>
      </c>
      <c r="R294" s="17"/>
      <c r="S294" s="17"/>
      <c r="T294" s="48"/>
      <c r="U294" s="38"/>
      <c r="V294" s="38"/>
      <c r="W294" s="42" t="str">
        <f aca="false">IF(V294="","",EDATE(V294,Settings!$S$6))</f>
        <v/>
      </c>
      <c r="X294" s="17"/>
      <c r="Y294" s="17"/>
      <c r="Z294" s="17"/>
    </row>
    <row r="295" customFormat="false" ht="15" hidden="false" customHeight="false" outlineLevel="0" collapsed="false">
      <c r="A295" s="17"/>
      <c r="B295" s="17"/>
      <c r="C295" s="17"/>
      <c r="D295" s="17"/>
      <c r="E295" s="40"/>
      <c r="F295" s="17"/>
      <c r="G295" s="17"/>
      <c r="H295" s="17"/>
      <c r="I295" s="47" t="str">
        <f aca="false">IF(H295="","",IFERROR(INDEX(Settings!$G$2:$G$4,MATCH(H295,Settings!$F$2:$F$4,0)),""))</f>
        <v/>
      </c>
      <c r="J295" s="38"/>
      <c r="K295" s="48"/>
      <c r="L295" s="17"/>
      <c r="M295" s="38"/>
      <c r="N295" s="38"/>
      <c r="O295" s="42" t="str">
        <f aca="false">IF(N295="","",WORKDAY(N295,Settings!$S$4))</f>
        <v/>
      </c>
      <c r="P295" s="17"/>
      <c r="Q295" s="44" t="str">
        <f aca="true">IF(C295="","",IF(P295="Backed out",IF(S295="Paid","Refunded – closed",IF(R295="","Refund – log reason first","Refund in progress")),IF(K295="","Awaiting payment",IF(N295="",IF(M295="","Schedule free video","Free video in production"),IF(P295="Approved","Active",IF(TODAY()&gt;O295,"Active – plan went ahead","Decision pending – "&amp;NETWORKDAYS(TODAY(),O295)&amp;" working day(s) left"))))))</f>
        <v/>
      </c>
      <c r="R295" s="17"/>
      <c r="S295" s="17"/>
      <c r="T295" s="48"/>
      <c r="U295" s="38"/>
      <c r="V295" s="38"/>
      <c r="W295" s="42" t="str">
        <f aca="false">IF(V295="","",EDATE(V295,Settings!$S$6))</f>
        <v/>
      </c>
      <c r="X295" s="17"/>
      <c r="Y295" s="17"/>
      <c r="Z295" s="17"/>
    </row>
    <row r="296" customFormat="false" ht="15" hidden="false" customHeight="false" outlineLevel="0" collapsed="false">
      <c r="A296" s="17"/>
      <c r="B296" s="17"/>
      <c r="C296" s="17"/>
      <c r="D296" s="17"/>
      <c r="E296" s="40"/>
      <c r="F296" s="17"/>
      <c r="G296" s="17"/>
      <c r="H296" s="17"/>
      <c r="I296" s="47" t="str">
        <f aca="false">IF(H296="","",IFERROR(INDEX(Settings!$G$2:$G$4,MATCH(H296,Settings!$F$2:$F$4,0)),""))</f>
        <v/>
      </c>
      <c r="J296" s="38"/>
      <c r="K296" s="48"/>
      <c r="L296" s="17"/>
      <c r="M296" s="38"/>
      <c r="N296" s="38"/>
      <c r="O296" s="42" t="str">
        <f aca="false">IF(N296="","",WORKDAY(N296,Settings!$S$4))</f>
        <v/>
      </c>
      <c r="P296" s="17"/>
      <c r="Q296" s="44" t="str">
        <f aca="true">IF(C296="","",IF(P296="Backed out",IF(S296="Paid","Refunded – closed",IF(R296="","Refund – log reason first","Refund in progress")),IF(K296="","Awaiting payment",IF(N296="",IF(M296="","Schedule free video","Free video in production"),IF(P296="Approved","Active",IF(TODAY()&gt;O296,"Active – plan went ahead","Decision pending – "&amp;NETWORKDAYS(TODAY(),O296)&amp;" working day(s) left"))))))</f>
        <v/>
      </c>
      <c r="R296" s="17"/>
      <c r="S296" s="17"/>
      <c r="T296" s="48"/>
      <c r="U296" s="38"/>
      <c r="V296" s="38"/>
      <c r="W296" s="42" t="str">
        <f aca="false">IF(V296="","",EDATE(V296,Settings!$S$6))</f>
        <v/>
      </c>
      <c r="X296" s="17"/>
      <c r="Y296" s="17"/>
      <c r="Z296" s="17"/>
    </row>
    <row r="297" customFormat="false" ht="15" hidden="false" customHeight="false" outlineLevel="0" collapsed="false">
      <c r="A297" s="17"/>
      <c r="B297" s="17"/>
      <c r="C297" s="17"/>
      <c r="D297" s="17"/>
      <c r="E297" s="40"/>
      <c r="F297" s="17"/>
      <c r="G297" s="17"/>
      <c r="H297" s="17"/>
      <c r="I297" s="47" t="str">
        <f aca="false">IF(H297="","",IFERROR(INDEX(Settings!$G$2:$G$4,MATCH(H297,Settings!$F$2:$F$4,0)),""))</f>
        <v/>
      </c>
      <c r="J297" s="38"/>
      <c r="K297" s="48"/>
      <c r="L297" s="17"/>
      <c r="M297" s="38"/>
      <c r="N297" s="38"/>
      <c r="O297" s="42" t="str">
        <f aca="false">IF(N297="","",WORKDAY(N297,Settings!$S$4))</f>
        <v/>
      </c>
      <c r="P297" s="17"/>
      <c r="Q297" s="44" t="str">
        <f aca="true">IF(C297="","",IF(P297="Backed out",IF(S297="Paid","Refunded – closed",IF(R297="","Refund – log reason first","Refund in progress")),IF(K297="","Awaiting payment",IF(N297="",IF(M297="","Schedule free video","Free video in production"),IF(P297="Approved","Active",IF(TODAY()&gt;O297,"Active – plan went ahead","Decision pending – "&amp;NETWORKDAYS(TODAY(),O297)&amp;" working day(s) left"))))))</f>
        <v/>
      </c>
      <c r="R297" s="17"/>
      <c r="S297" s="17"/>
      <c r="T297" s="48"/>
      <c r="U297" s="38"/>
      <c r="V297" s="38"/>
      <c r="W297" s="42" t="str">
        <f aca="false">IF(V297="","",EDATE(V297,Settings!$S$6))</f>
        <v/>
      </c>
      <c r="X297" s="17"/>
      <c r="Y297" s="17"/>
      <c r="Z297" s="17"/>
    </row>
    <row r="298" customFormat="false" ht="15" hidden="false" customHeight="false" outlineLevel="0" collapsed="false">
      <c r="A298" s="17"/>
      <c r="B298" s="17"/>
      <c r="C298" s="17"/>
      <c r="D298" s="17"/>
      <c r="E298" s="40"/>
      <c r="F298" s="17"/>
      <c r="G298" s="17"/>
      <c r="H298" s="17"/>
      <c r="I298" s="47" t="str">
        <f aca="false">IF(H298="","",IFERROR(INDEX(Settings!$G$2:$G$4,MATCH(H298,Settings!$F$2:$F$4,0)),""))</f>
        <v/>
      </c>
      <c r="J298" s="38"/>
      <c r="K298" s="48"/>
      <c r="L298" s="17"/>
      <c r="M298" s="38"/>
      <c r="N298" s="38"/>
      <c r="O298" s="42" t="str">
        <f aca="false">IF(N298="","",WORKDAY(N298,Settings!$S$4))</f>
        <v/>
      </c>
      <c r="P298" s="17"/>
      <c r="Q298" s="44" t="str">
        <f aca="true">IF(C298="","",IF(P298="Backed out",IF(S298="Paid","Refunded – closed",IF(R298="","Refund – log reason first","Refund in progress")),IF(K298="","Awaiting payment",IF(N298="",IF(M298="","Schedule free video","Free video in production"),IF(P298="Approved","Active",IF(TODAY()&gt;O298,"Active – plan went ahead","Decision pending – "&amp;NETWORKDAYS(TODAY(),O298)&amp;" working day(s) left"))))))</f>
        <v/>
      </c>
      <c r="R298" s="17"/>
      <c r="S298" s="17"/>
      <c r="T298" s="48"/>
      <c r="U298" s="38"/>
      <c r="V298" s="38"/>
      <c r="W298" s="42" t="str">
        <f aca="false">IF(V298="","",EDATE(V298,Settings!$S$6))</f>
        <v/>
      </c>
      <c r="X298" s="17"/>
      <c r="Y298" s="17"/>
      <c r="Z298" s="17"/>
    </row>
    <row r="299" customFormat="false" ht="15" hidden="false" customHeight="false" outlineLevel="0" collapsed="false">
      <c r="A299" s="17"/>
      <c r="B299" s="17"/>
      <c r="C299" s="17"/>
      <c r="D299" s="17"/>
      <c r="E299" s="40"/>
      <c r="F299" s="17"/>
      <c r="G299" s="17"/>
      <c r="H299" s="17"/>
      <c r="I299" s="47" t="str">
        <f aca="false">IF(H299="","",IFERROR(INDEX(Settings!$G$2:$G$4,MATCH(H299,Settings!$F$2:$F$4,0)),""))</f>
        <v/>
      </c>
      <c r="J299" s="38"/>
      <c r="K299" s="48"/>
      <c r="L299" s="17"/>
      <c r="M299" s="38"/>
      <c r="N299" s="38"/>
      <c r="O299" s="42" t="str">
        <f aca="false">IF(N299="","",WORKDAY(N299,Settings!$S$4))</f>
        <v/>
      </c>
      <c r="P299" s="17"/>
      <c r="Q299" s="44" t="str">
        <f aca="true">IF(C299="","",IF(P299="Backed out",IF(S299="Paid","Refunded – closed",IF(R299="","Refund – log reason first","Refund in progress")),IF(K299="","Awaiting payment",IF(N299="",IF(M299="","Schedule free video","Free video in production"),IF(P299="Approved","Active",IF(TODAY()&gt;O299,"Active – plan went ahead","Decision pending – "&amp;NETWORKDAYS(TODAY(),O299)&amp;" working day(s) left"))))))</f>
        <v/>
      </c>
      <c r="R299" s="17"/>
      <c r="S299" s="17"/>
      <c r="T299" s="48"/>
      <c r="U299" s="38"/>
      <c r="V299" s="38"/>
      <c r="W299" s="42" t="str">
        <f aca="false">IF(V299="","",EDATE(V299,Settings!$S$6))</f>
        <v/>
      </c>
      <c r="X299" s="17"/>
      <c r="Y299" s="17"/>
      <c r="Z299" s="17"/>
    </row>
    <row r="300" customFormat="false" ht="15" hidden="false" customHeight="false" outlineLevel="0" collapsed="false">
      <c r="A300" s="17"/>
      <c r="B300" s="17"/>
      <c r="C300" s="17"/>
      <c r="D300" s="17"/>
      <c r="E300" s="40"/>
      <c r="F300" s="17"/>
      <c r="G300" s="17"/>
      <c r="H300" s="17"/>
      <c r="I300" s="47" t="str">
        <f aca="false">IF(H300="","",IFERROR(INDEX(Settings!$G$2:$G$4,MATCH(H300,Settings!$F$2:$F$4,0)),""))</f>
        <v/>
      </c>
      <c r="J300" s="38"/>
      <c r="K300" s="48"/>
      <c r="L300" s="17"/>
      <c r="M300" s="38"/>
      <c r="N300" s="38"/>
      <c r="O300" s="42" t="str">
        <f aca="false">IF(N300="","",WORKDAY(N300,Settings!$S$4))</f>
        <v/>
      </c>
      <c r="P300" s="17"/>
      <c r="Q300" s="44" t="str">
        <f aca="true">IF(C300="","",IF(P300="Backed out",IF(S300="Paid","Refunded – closed",IF(R300="","Refund – log reason first","Refund in progress")),IF(K300="","Awaiting payment",IF(N300="",IF(M300="","Schedule free video","Free video in production"),IF(P300="Approved","Active",IF(TODAY()&gt;O300,"Active – plan went ahead","Decision pending – "&amp;NETWORKDAYS(TODAY(),O300)&amp;" working day(s) left"))))))</f>
        <v/>
      </c>
      <c r="R300" s="17"/>
      <c r="S300" s="17"/>
      <c r="T300" s="48"/>
      <c r="U300" s="38"/>
      <c r="V300" s="38"/>
      <c r="W300" s="42" t="str">
        <f aca="false">IF(V300="","",EDATE(V300,Settings!$S$6))</f>
        <v/>
      </c>
      <c r="X300" s="17"/>
      <c r="Y300" s="17"/>
      <c r="Z300" s="17"/>
    </row>
    <row r="301" customFormat="false" ht="15" hidden="false" customHeight="false" outlineLevel="0" collapsed="false">
      <c r="A301" s="17"/>
      <c r="B301" s="17"/>
      <c r="C301" s="17"/>
      <c r="D301" s="17"/>
      <c r="E301" s="40"/>
      <c r="F301" s="17"/>
      <c r="G301" s="17"/>
      <c r="H301" s="17"/>
      <c r="I301" s="47" t="str">
        <f aca="false">IF(H301="","",IFERROR(INDEX(Settings!$G$2:$G$4,MATCH(H301,Settings!$F$2:$F$4,0)),""))</f>
        <v/>
      </c>
      <c r="J301" s="38"/>
      <c r="K301" s="48"/>
      <c r="L301" s="17"/>
      <c r="M301" s="38"/>
      <c r="N301" s="38"/>
      <c r="O301" s="42" t="str">
        <f aca="false">IF(N301="","",WORKDAY(N301,Settings!$S$4))</f>
        <v/>
      </c>
      <c r="P301" s="17"/>
      <c r="Q301" s="44" t="str">
        <f aca="true">IF(C301="","",IF(P301="Backed out",IF(S301="Paid","Refunded – closed",IF(R301="","Refund – log reason first","Refund in progress")),IF(K301="","Awaiting payment",IF(N301="",IF(M301="","Schedule free video","Free video in production"),IF(P301="Approved","Active",IF(TODAY()&gt;O301,"Active – plan went ahead","Decision pending – "&amp;NETWORKDAYS(TODAY(),O301)&amp;" working day(s) left"))))))</f>
        <v/>
      </c>
      <c r="R301" s="17"/>
      <c r="S301" s="17"/>
      <c r="T301" s="48"/>
      <c r="U301" s="38"/>
      <c r="V301" s="38"/>
      <c r="W301" s="42" t="str">
        <f aca="false">IF(V301="","",EDATE(V301,Settings!$S$6))</f>
        <v/>
      </c>
      <c r="X301" s="17"/>
      <c r="Y301" s="17"/>
      <c r="Z301" s="17"/>
    </row>
    <row r="302" customFormat="false" ht="15" hidden="false" customHeight="false" outlineLevel="0" collapsed="false">
      <c r="A302" s="17"/>
      <c r="B302" s="17"/>
      <c r="C302" s="17"/>
      <c r="D302" s="17"/>
      <c r="E302" s="40"/>
      <c r="F302" s="17"/>
      <c r="G302" s="17"/>
      <c r="H302" s="17"/>
      <c r="I302" s="47" t="str">
        <f aca="false">IF(H302="","",IFERROR(INDEX(Settings!$G$2:$G$4,MATCH(H302,Settings!$F$2:$F$4,0)),""))</f>
        <v/>
      </c>
      <c r="J302" s="38"/>
      <c r="K302" s="48"/>
      <c r="L302" s="17"/>
      <c r="M302" s="38"/>
      <c r="N302" s="38"/>
      <c r="O302" s="42" t="str">
        <f aca="false">IF(N302="","",WORKDAY(N302,Settings!$S$4))</f>
        <v/>
      </c>
      <c r="P302" s="17"/>
      <c r="Q302" s="44" t="str">
        <f aca="true">IF(C302="","",IF(P302="Backed out",IF(S302="Paid","Refunded – closed",IF(R302="","Refund – log reason first","Refund in progress")),IF(K302="","Awaiting payment",IF(N302="",IF(M302="","Schedule free video","Free video in production"),IF(P302="Approved","Active",IF(TODAY()&gt;O302,"Active – plan went ahead","Decision pending – "&amp;NETWORKDAYS(TODAY(),O302)&amp;" working day(s) left"))))))</f>
        <v/>
      </c>
      <c r="R302" s="17"/>
      <c r="S302" s="17"/>
      <c r="T302" s="48"/>
      <c r="U302" s="38"/>
      <c r="V302" s="38"/>
      <c r="W302" s="42" t="str">
        <f aca="false">IF(V302="","",EDATE(V302,Settings!$S$6))</f>
        <v/>
      </c>
      <c r="X302" s="17"/>
      <c r="Y302" s="17"/>
      <c r="Z302" s="17"/>
    </row>
    <row r="303" customFormat="false" ht="15" hidden="false" customHeight="false" outlineLevel="0" collapsed="false">
      <c r="A303" s="17"/>
      <c r="B303" s="17"/>
      <c r="C303" s="17"/>
      <c r="D303" s="17"/>
      <c r="E303" s="40"/>
      <c r="F303" s="17"/>
      <c r="G303" s="17"/>
      <c r="H303" s="17"/>
      <c r="I303" s="47" t="str">
        <f aca="false">IF(H303="","",IFERROR(INDEX(Settings!$G$2:$G$4,MATCH(H303,Settings!$F$2:$F$4,0)),""))</f>
        <v/>
      </c>
      <c r="J303" s="38"/>
      <c r="K303" s="48"/>
      <c r="L303" s="17"/>
      <c r="M303" s="38"/>
      <c r="N303" s="38"/>
      <c r="O303" s="42" t="str">
        <f aca="false">IF(N303="","",WORKDAY(N303,Settings!$S$4))</f>
        <v/>
      </c>
      <c r="P303" s="17"/>
      <c r="Q303" s="44" t="str">
        <f aca="true">IF(C303="","",IF(P303="Backed out",IF(S303="Paid","Refunded – closed",IF(R303="","Refund – log reason first","Refund in progress")),IF(K303="","Awaiting payment",IF(N303="",IF(M303="","Schedule free video","Free video in production"),IF(P303="Approved","Active",IF(TODAY()&gt;O303,"Active – plan went ahead","Decision pending – "&amp;NETWORKDAYS(TODAY(),O303)&amp;" working day(s) left"))))))</f>
        <v/>
      </c>
      <c r="R303" s="17"/>
      <c r="S303" s="17"/>
      <c r="T303" s="48"/>
      <c r="U303" s="38"/>
      <c r="V303" s="38"/>
      <c r="W303" s="42" t="str">
        <f aca="false">IF(V303="","",EDATE(V303,Settings!$S$6))</f>
        <v/>
      </c>
      <c r="X303" s="17"/>
      <c r="Y303" s="17"/>
      <c r="Z303" s="17"/>
    </row>
    <row r="304" customFormat="false" ht="15" hidden="false" customHeight="false" outlineLevel="0" collapsed="false">
      <c r="A304" s="17"/>
      <c r="B304" s="17"/>
      <c r="C304" s="17"/>
      <c r="D304" s="17"/>
      <c r="E304" s="40"/>
      <c r="F304" s="17"/>
      <c r="G304" s="17"/>
      <c r="H304" s="17"/>
      <c r="I304" s="47" t="str">
        <f aca="false">IF(H304="","",IFERROR(INDEX(Settings!$G$2:$G$4,MATCH(H304,Settings!$F$2:$F$4,0)),""))</f>
        <v/>
      </c>
      <c r="J304" s="38"/>
      <c r="K304" s="48"/>
      <c r="L304" s="17"/>
      <c r="M304" s="38"/>
      <c r="N304" s="38"/>
      <c r="O304" s="42" t="str">
        <f aca="false">IF(N304="","",WORKDAY(N304,Settings!$S$4))</f>
        <v/>
      </c>
      <c r="P304" s="17"/>
      <c r="Q304" s="44" t="str">
        <f aca="true">IF(C304="","",IF(P304="Backed out",IF(S304="Paid","Refunded – closed",IF(R304="","Refund – log reason first","Refund in progress")),IF(K304="","Awaiting payment",IF(N304="",IF(M304="","Schedule free video","Free video in production"),IF(P304="Approved","Active",IF(TODAY()&gt;O304,"Active – plan went ahead","Decision pending – "&amp;NETWORKDAYS(TODAY(),O304)&amp;" working day(s) left"))))))</f>
        <v/>
      </c>
      <c r="R304" s="17"/>
      <c r="S304" s="17"/>
      <c r="T304" s="48"/>
      <c r="U304" s="38"/>
      <c r="V304" s="38"/>
      <c r="W304" s="42" t="str">
        <f aca="false">IF(V304="","",EDATE(V304,Settings!$S$6))</f>
        <v/>
      </c>
      <c r="X304" s="17"/>
      <c r="Y304" s="17"/>
      <c r="Z304" s="17"/>
    </row>
    <row r="305" customFormat="false" ht="15" hidden="false" customHeight="false" outlineLevel="0" collapsed="false">
      <c r="A305" s="17"/>
      <c r="B305" s="17"/>
      <c r="C305" s="17"/>
      <c r="D305" s="17"/>
      <c r="E305" s="40"/>
      <c r="F305" s="17"/>
      <c r="G305" s="17"/>
      <c r="H305" s="17"/>
      <c r="I305" s="47" t="str">
        <f aca="false">IF(H305="","",IFERROR(INDEX(Settings!$G$2:$G$4,MATCH(H305,Settings!$F$2:$F$4,0)),""))</f>
        <v/>
      </c>
      <c r="J305" s="38"/>
      <c r="K305" s="48"/>
      <c r="L305" s="17"/>
      <c r="M305" s="38"/>
      <c r="N305" s="38"/>
      <c r="O305" s="42" t="str">
        <f aca="false">IF(N305="","",WORKDAY(N305,Settings!$S$4))</f>
        <v/>
      </c>
      <c r="P305" s="17"/>
      <c r="Q305" s="44" t="str">
        <f aca="true">IF(C305="","",IF(P305="Backed out",IF(S305="Paid","Refunded – closed",IF(R305="","Refund – log reason first","Refund in progress")),IF(K305="","Awaiting payment",IF(N305="",IF(M305="","Schedule free video","Free video in production"),IF(P305="Approved","Active",IF(TODAY()&gt;O305,"Active – plan went ahead","Decision pending – "&amp;NETWORKDAYS(TODAY(),O305)&amp;" working day(s) left"))))))</f>
        <v/>
      </c>
      <c r="R305" s="17"/>
      <c r="S305" s="17"/>
      <c r="T305" s="48"/>
      <c r="U305" s="38"/>
      <c r="V305" s="38"/>
      <c r="W305" s="42" t="str">
        <f aca="false">IF(V305="","",EDATE(V305,Settings!$S$6))</f>
        <v/>
      </c>
      <c r="X305" s="17"/>
      <c r="Y305" s="17"/>
      <c r="Z305" s="17"/>
    </row>
    <row r="306" customFormat="false" ht="15" hidden="false" customHeight="false" outlineLevel="0" collapsed="false">
      <c r="A306" s="17"/>
      <c r="B306" s="17"/>
      <c r="C306" s="17"/>
      <c r="D306" s="17"/>
      <c r="E306" s="40"/>
      <c r="F306" s="17"/>
      <c r="G306" s="17"/>
      <c r="H306" s="17"/>
      <c r="I306" s="47" t="str">
        <f aca="false">IF(H306="","",IFERROR(INDEX(Settings!$G$2:$G$4,MATCH(H306,Settings!$F$2:$F$4,0)),""))</f>
        <v/>
      </c>
      <c r="J306" s="38"/>
      <c r="K306" s="48"/>
      <c r="L306" s="17"/>
      <c r="M306" s="38"/>
      <c r="N306" s="38"/>
      <c r="O306" s="42" t="str">
        <f aca="false">IF(N306="","",WORKDAY(N306,Settings!$S$4))</f>
        <v/>
      </c>
      <c r="P306" s="17"/>
      <c r="Q306" s="44" t="str">
        <f aca="true">IF(C306="","",IF(P306="Backed out",IF(S306="Paid","Refunded – closed",IF(R306="","Refund – log reason first","Refund in progress")),IF(K306="","Awaiting payment",IF(N306="",IF(M306="","Schedule free video","Free video in production"),IF(P306="Approved","Active",IF(TODAY()&gt;O306,"Active – plan went ahead","Decision pending – "&amp;NETWORKDAYS(TODAY(),O306)&amp;" working day(s) left"))))))</f>
        <v/>
      </c>
      <c r="R306" s="17"/>
      <c r="S306" s="17"/>
      <c r="T306" s="48"/>
      <c r="U306" s="38"/>
      <c r="V306" s="38"/>
      <c r="W306" s="42" t="str">
        <f aca="false">IF(V306="","",EDATE(V306,Settings!$S$6))</f>
        <v/>
      </c>
      <c r="X306" s="17"/>
      <c r="Y306" s="17"/>
      <c r="Z306" s="17"/>
    </row>
    <row r="307" customFormat="false" ht="15" hidden="false" customHeight="false" outlineLevel="0" collapsed="false">
      <c r="A307" s="17"/>
      <c r="B307" s="17"/>
      <c r="C307" s="17"/>
      <c r="D307" s="17"/>
      <c r="E307" s="40"/>
      <c r="F307" s="17"/>
      <c r="G307" s="17"/>
      <c r="H307" s="17"/>
      <c r="I307" s="47" t="str">
        <f aca="false">IF(H307="","",IFERROR(INDEX(Settings!$G$2:$G$4,MATCH(H307,Settings!$F$2:$F$4,0)),""))</f>
        <v/>
      </c>
      <c r="J307" s="38"/>
      <c r="K307" s="48"/>
      <c r="L307" s="17"/>
      <c r="M307" s="38"/>
      <c r="N307" s="38"/>
      <c r="O307" s="42" t="str">
        <f aca="false">IF(N307="","",WORKDAY(N307,Settings!$S$4))</f>
        <v/>
      </c>
      <c r="P307" s="17"/>
      <c r="Q307" s="44" t="str">
        <f aca="true">IF(C307="","",IF(P307="Backed out",IF(S307="Paid","Refunded – closed",IF(R307="","Refund – log reason first","Refund in progress")),IF(K307="","Awaiting payment",IF(N307="",IF(M307="","Schedule free video","Free video in production"),IF(P307="Approved","Active",IF(TODAY()&gt;O307,"Active – plan went ahead","Decision pending – "&amp;NETWORKDAYS(TODAY(),O307)&amp;" working day(s) left"))))))</f>
        <v/>
      </c>
      <c r="R307" s="17"/>
      <c r="S307" s="17"/>
      <c r="T307" s="48"/>
      <c r="U307" s="38"/>
      <c r="V307" s="38"/>
      <c r="W307" s="42" t="str">
        <f aca="false">IF(V307="","",EDATE(V307,Settings!$S$6))</f>
        <v/>
      </c>
      <c r="X307" s="17"/>
      <c r="Y307" s="17"/>
      <c r="Z307" s="17"/>
    </row>
    <row r="308" customFormat="false" ht="15" hidden="false" customHeight="false" outlineLevel="0" collapsed="false">
      <c r="A308" s="17"/>
      <c r="B308" s="17"/>
      <c r="C308" s="17"/>
      <c r="D308" s="17"/>
      <c r="E308" s="40"/>
      <c r="F308" s="17"/>
      <c r="G308" s="17"/>
      <c r="H308" s="17"/>
      <c r="I308" s="47" t="str">
        <f aca="false">IF(H308="","",IFERROR(INDEX(Settings!$G$2:$G$4,MATCH(H308,Settings!$F$2:$F$4,0)),""))</f>
        <v/>
      </c>
      <c r="J308" s="38"/>
      <c r="K308" s="48"/>
      <c r="L308" s="17"/>
      <c r="M308" s="38"/>
      <c r="N308" s="38"/>
      <c r="O308" s="42" t="str">
        <f aca="false">IF(N308="","",WORKDAY(N308,Settings!$S$4))</f>
        <v/>
      </c>
      <c r="P308" s="17"/>
      <c r="Q308" s="44" t="str">
        <f aca="true">IF(C308="","",IF(P308="Backed out",IF(S308="Paid","Refunded – closed",IF(R308="","Refund – log reason first","Refund in progress")),IF(K308="","Awaiting payment",IF(N308="",IF(M308="","Schedule free video","Free video in production"),IF(P308="Approved","Active",IF(TODAY()&gt;O308,"Active – plan went ahead","Decision pending – "&amp;NETWORKDAYS(TODAY(),O308)&amp;" working day(s) left"))))))</f>
        <v/>
      </c>
      <c r="R308" s="17"/>
      <c r="S308" s="17"/>
      <c r="T308" s="48"/>
      <c r="U308" s="38"/>
      <c r="V308" s="38"/>
      <c r="W308" s="42" t="str">
        <f aca="false">IF(V308="","",EDATE(V308,Settings!$S$6))</f>
        <v/>
      </c>
      <c r="X308" s="17"/>
      <c r="Y308" s="17"/>
      <c r="Z308" s="17"/>
    </row>
    <row r="309" customFormat="false" ht="15" hidden="false" customHeight="false" outlineLevel="0" collapsed="false">
      <c r="A309" s="17"/>
      <c r="B309" s="17"/>
      <c r="C309" s="17"/>
      <c r="D309" s="17"/>
      <c r="E309" s="40"/>
      <c r="F309" s="17"/>
      <c r="G309" s="17"/>
      <c r="H309" s="17"/>
      <c r="I309" s="47" t="str">
        <f aca="false">IF(H309="","",IFERROR(INDEX(Settings!$G$2:$G$4,MATCH(H309,Settings!$F$2:$F$4,0)),""))</f>
        <v/>
      </c>
      <c r="J309" s="38"/>
      <c r="K309" s="48"/>
      <c r="L309" s="17"/>
      <c r="M309" s="38"/>
      <c r="N309" s="38"/>
      <c r="O309" s="42" t="str">
        <f aca="false">IF(N309="","",WORKDAY(N309,Settings!$S$4))</f>
        <v/>
      </c>
      <c r="P309" s="17"/>
      <c r="Q309" s="44" t="str">
        <f aca="true">IF(C309="","",IF(P309="Backed out",IF(S309="Paid","Refunded – closed",IF(R309="","Refund – log reason first","Refund in progress")),IF(K309="","Awaiting payment",IF(N309="",IF(M309="","Schedule free video","Free video in production"),IF(P309="Approved","Active",IF(TODAY()&gt;O309,"Active – plan went ahead","Decision pending – "&amp;NETWORKDAYS(TODAY(),O309)&amp;" working day(s) left"))))))</f>
        <v/>
      </c>
      <c r="R309" s="17"/>
      <c r="S309" s="17"/>
      <c r="T309" s="48"/>
      <c r="U309" s="38"/>
      <c r="V309" s="38"/>
      <c r="W309" s="42" t="str">
        <f aca="false">IF(V309="","",EDATE(V309,Settings!$S$6))</f>
        <v/>
      </c>
      <c r="X309" s="17"/>
      <c r="Y309" s="17"/>
      <c r="Z309" s="17"/>
    </row>
    <row r="310" customFormat="false" ht="15" hidden="false" customHeight="false" outlineLevel="0" collapsed="false">
      <c r="A310" s="17"/>
      <c r="B310" s="17"/>
      <c r="C310" s="17"/>
      <c r="D310" s="17"/>
      <c r="E310" s="40"/>
      <c r="F310" s="17"/>
      <c r="G310" s="17"/>
      <c r="H310" s="17"/>
      <c r="I310" s="47" t="str">
        <f aca="false">IF(H310="","",IFERROR(INDEX(Settings!$G$2:$G$4,MATCH(H310,Settings!$F$2:$F$4,0)),""))</f>
        <v/>
      </c>
      <c r="J310" s="38"/>
      <c r="K310" s="48"/>
      <c r="L310" s="17"/>
      <c r="M310" s="38"/>
      <c r="N310" s="38"/>
      <c r="O310" s="42" t="str">
        <f aca="false">IF(N310="","",WORKDAY(N310,Settings!$S$4))</f>
        <v/>
      </c>
      <c r="P310" s="17"/>
      <c r="Q310" s="44" t="str">
        <f aca="true">IF(C310="","",IF(P310="Backed out",IF(S310="Paid","Refunded – closed",IF(R310="","Refund – log reason first","Refund in progress")),IF(K310="","Awaiting payment",IF(N310="",IF(M310="","Schedule free video","Free video in production"),IF(P310="Approved","Active",IF(TODAY()&gt;O310,"Active – plan went ahead","Decision pending – "&amp;NETWORKDAYS(TODAY(),O310)&amp;" working day(s) left"))))))</f>
        <v/>
      </c>
      <c r="R310" s="17"/>
      <c r="S310" s="17"/>
      <c r="T310" s="48"/>
      <c r="U310" s="38"/>
      <c r="V310" s="38"/>
      <c r="W310" s="42" t="str">
        <f aca="false">IF(V310="","",EDATE(V310,Settings!$S$6))</f>
        <v/>
      </c>
      <c r="X310" s="17"/>
      <c r="Y310" s="17"/>
      <c r="Z310" s="17"/>
    </row>
    <row r="311" customFormat="false" ht="15" hidden="false" customHeight="false" outlineLevel="0" collapsed="false">
      <c r="A311" s="17"/>
      <c r="B311" s="17"/>
      <c r="C311" s="17"/>
      <c r="D311" s="17"/>
      <c r="E311" s="40"/>
      <c r="F311" s="17"/>
      <c r="G311" s="17"/>
      <c r="H311" s="17"/>
      <c r="I311" s="47" t="str">
        <f aca="false">IF(H311="","",IFERROR(INDEX(Settings!$G$2:$G$4,MATCH(H311,Settings!$F$2:$F$4,0)),""))</f>
        <v/>
      </c>
      <c r="J311" s="38"/>
      <c r="K311" s="48"/>
      <c r="L311" s="17"/>
      <c r="M311" s="38"/>
      <c r="N311" s="38"/>
      <c r="O311" s="42" t="str">
        <f aca="false">IF(N311="","",WORKDAY(N311,Settings!$S$4))</f>
        <v/>
      </c>
      <c r="P311" s="17"/>
      <c r="Q311" s="44" t="str">
        <f aca="true">IF(C311="","",IF(P311="Backed out",IF(S311="Paid","Refunded – closed",IF(R311="","Refund – log reason first","Refund in progress")),IF(K311="","Awaiting payment",IF(N311="",IF(M311="","Schedule free video","Free video in production"),IF(P311="Approved","Active",IF(TODAY()&gt;O311,"Active – plan went ahead","Decision pending – "&amp;NETWORKDAYS(TODAY(),O311)&amp;" working day(s) left"))))))</f>
        <v/>
      </c>
      <c r="R311" s="17"/>
      <c r="S311" s="17"/>
      <c r="T311" s="48"/>
      <c r="U311" s="38"/>
      <c r="V311" s="38"/>
      <c r="W311" s="42" t="str">
        <f aca="false">IF(V311="","",EDATE(V311,Settings!$S$6))</f>
        <v/>
      </c>
      <c r="X311" s="17"/>
      <c r="Y311" s="17"/>
      <c r="Z311" s="17"/>
    </row>
    <row r="312" customFormat="false" ht="15" hidden="false" customHeight="false" outlineLevel="0" collapsed="false">
      <c r="A312" s="17"/>
      <c r="B312" s="17"/>
      <c r="C312" s="17"/>
      <c r="D312" s="17"/>
      <c r="E312" s="40"/>
      <c r="F312" s="17"/>
      <c r="G312" s="17"/>
      <c r="H312" s="17"/>
      <c r="I312" s="47" t="str">
        <f aca="false">IF(H312="","",IFERROR(INDEX(Settings!$G$2:$G$4,MATCH(H312,Settings!$F$2:$F$4,0)),""))</f>
        <v/>
      </c>
      <c r="J312" s="38"/>
      <c r="K312" s="48"/>
      <c r="L312" s="17"/>
      <c r="M312" s="38"/>
      <c r="N312" s="38"/>
      <c r="O312" s="42" t="str">
        <f aca="false">IF(N312="","",WORKDAY(N312,Settings!$S$4))</f>
        <v/>
      </c>
      <c r="P312" s="17"/>
      <c r="Q312" s="44" t="str">
        <f aca="true">IF(C312="","",IF(P312="Backed out",IF(S312="Paid","Refunded – closed",IF(R312="","Refund – log reason first","Refund in progress")),IF(K312="","Awaiting payment",IF(N312="",IF(M312="","Schedule free video","Free video in production"),IF(P312="Approved","Active",IF(TODAY()&gt;O312,"Active – plan went ahead","Decision pending – "&amp;NETWORKDAYS(TODAY(),O312)&amp;" working day(s) left"))))))</f>
        <v/>
      </c>
      <c r="R312" s="17"/>
      <c r="S312" s="17"/>
      <c r="T312" s="48"/>
      <c r="U312" s="38"/>
      <c r="V312" s="38"/>
      <c r="W312" s="42" t="str">
        <f aca="false">IF(V312="","",EDATE(V312,Settings!$S$6))</f>
        <v/>
      </c>
      <c r="X312" s="17"/>
      <c r="Y312" s="17"/>
      <c r="Z312" s="17"/>
    </row>
    <row r="313" customFormat="false" ht="15" hidden="false" customHeight="false" outlineLevel="0" collapsed="false">
      <c r="A313" s="17"/>
      <c r="B313" s="17"/>
      <c r="C313" s="17"/>
      <c r="D313" s="17"/>
      <c r="E313" s="40"/>
      <c r="F313" s="17"/>
      <c r="G313" s="17"/>
      <c r="H313" s="17"/>
      <c r="I313" s="47" t="str">
        <f aca="false">IF(H313="","",IFERROR(INDEX(Settings!$G$2:$G$4,MATCH(H313,Settings!$F$2:$F$4,0)),""))</f>
        <v/>
      </c>
      <c r="J313" s="38"/>
      <c r="K313" s="48"/>
      <c r="L313" s="17"/>
      <c r="M313" s="38"/>
      <c r="N313" s="38"/>
      <c r="O313" s="42" t="str">
        <f aca="false">IF(N313="","",WORKDAY(N313,Settings!$S$4))</f>
        <v/>
      </c>
      <c r="P313" s="17"/>
      <c r="Q313" s="44" t="str">
        <f aca="true">IF(C313="","",IF(P313="Backed out",IF(S313="Paid","Refunded – closed",IF(R313="","Refund – log reason first","Refund in progress")),IF(K313="","Awaiting payment",IF(N313="",IF(M313="","Schedule free video","Free video in production"),IF(P313="Approved","Active",IF(TODAY()&gt;O313,"Active – plan went ahead","Decision pending – "&amp;NETWORKDAYS(TODAY(),O313)&amp;" working day(s) left"))))))</f>
        <v/>
      </c>
      <c r="R313" s="17"/>
      <c r="S313" s="17"/>
      <c r="T313" s="48"/>
      <c r="U313" s="38"/>
      <c r="V313" s="38"/>
      <c r="W313" s="42" t="str">
        <f aca="false">IF(V313="","",EDATE(V313,Settings!$S$6))</f>
        <v/>
      </c>
      <c r="X313" s="17"/>
      <c r="Y313" s="17"/>
      <c r="Z313" s="17"/>
    </row>
    <row r="314" customFormat="false" ht="15" hidden="false" customHeight="false" outlineLevel="0" collapsed="false">
      <c r="A314" s="17"/>
      <c r="B314" s="17"/>
      <c r="C314" s="17"/>
      <c r="D314" s="17"/>
      <c r="E314" s="40"/>
      <c r="F314" s="17"/>
      <c r="G314" s="17"/>
      <c r="H314" s="17"/>
      <c r="I314" s="47" t="str">
        <f aca="false">IF(H314="","",IFERROR(INDEX(Settings!$G$2:$G$4,MATCH(H314,Settings!$F$2:$F$4,0)),""))</f>
        <v/>
      </c>
      <c r="J314" s="38"/>
      <c r="K314" s="48"/>
      <c r="L314" s="17"/>
      <c r="M314" s="38"/>
      <c r="N314" s="38"/>
      <c r="O314" s="42" t="str">
        <f aca="false">IF(N314="","",WORKDAY(N314,Settings!$S$4))</f>
        <v/>
      </c>
      <c r="P314" s="17"/>
      <c r="Q314" s="44" t="str">
        <f aca="true">IF(C314="","",IF(P314="Backed out",IF(S314="Paid","Refunded – closed",IF(R314="","Refund – log reason first","Refund in progress")),IF(K314="","Awaiting payment",IF(N314="",IF(M314="","Schedule free video","Free video in production"),IF(P314="Approved","Active",IF(TODAY()&gt;O314,"Active – plan went ahead","Decision pending – "&amp;NETWORKDAYS(TODAY(),O314)&amp;" working day(s) left"))))))</f>
        <v/>
      </c>
      <c r="R314" s="17"/>
      <c r="S314" s="17"/>
      <c r="T314" s="48"/>
      <c r="U314" s="38"/>
      <c r="V314" s="38"/>
      <c r="W314" s="42" t="str">
        <f aca="false">IF(V314="","",EDATE(V314,Settings!$S$6))</f>
        <v/>
      </c>
      <c r="X314" s="17"/>
      <c r="Y314" s="17"/>
      <c r="Z314" s="17"/>
    </row>
    <row r="315" customFormat="false" ht="15" hidden="false" customHeight="false" outlineLevel="0" collapsed="false">
      <c r="A315" s="17"/>
      <c r="B315" s="17"/>
      <c r="C315" s="17"/>
      <c r="D315" s="17"/>
      <c r="E315" s="40"/>
      <c r="F315" s="17"/>
      <c r="G315" s="17"/>
      <c r="H315" s="17"/>
      <c r="I315" s="47" t="str">
        <f aca="false">IF(H315="","",IFERROR(INDEX(Settings!$G$2:$G$4,MATCH(H315,Settings!$F$2:$F$4,0)),""))</f>
        <v/>
      </c>
      <c r="J315" s="38"/>
      <c r="K315" s="48"/>
      <c r="L315" s="17"/>
      <c r="M315" s="38"/>
      <c r="N315" s="38"/>
      <c r="O315" s="42" t="str">
        <f aca="false">IF(N315="","",WORKDAY(N315,Settings!$S$4))</f>
        <v/>
      </c>
      <c r="P315" s="17"/>
      <c r="Q315" s="44" t="str">
        <f aca="true">IF(C315="","",IF(P315="Backed out",IF(S315="Paid","Refunded – closed",IF(R315="","Refund – log reason first","Refund in progress")),IF(K315="","Awaiting payment",IF(N315="",IF(M315="","Schedule free video","Free video in production"),IF(P315="Approved","Active",IF(TODAY()&gt;O315,"Active – plan went ahead","Decision pending – "&amp;NETWORKDAYS(TODAY(),O315)&amp;" working day(s) left"))))))</f>
        <v/>
      </c>
      <c r="R315" s="17"/>
      <c r="S315" s="17"/>
      <c r="T315" s="48"/>
      <c r="U315" s="38"/>
      <c r="V315" s="38"/>
      <c r="W315" s="42" t="str">
        <f aca="false">IF(V315="","",EDATE(V315,Settings!$S$6))</f>
        <v/>
      </c>
      <c r="X315" s="17"/>
      <c r="Y315" s="17"/>
      <c r="Z315" s="17"/>
    </row>
    <row r="316" customFormat="false" ht="15" hidden="false" customHeight="false" outlineLevel="0" collapsed="false">
      <c r="A316" s="17"/>
      <c r="B316" s="17"/>
      <c r="C316" s="17"/>
      <c r="D316" s="17"/>
      <c r="E316" s="40"/>
      <c r="F316" s="17"/>
      <c r="G316" s="17"/>
      <c r="H316" s="17"/>
      <c r="I316" s="47" t="str">
        <f aca="false">IF(H316="","",IFERROR(INDEX(Settings!$G$2:$G$4,MATCH(H316,Settings!$F$2:$F$4,0)),""))</f>
        <v/>
      </c>
      <c r="J316" s="38"/>
      <c r="K316" s="48"/>
      <c r="L316" s="17"/>
      <c r="M316" s="38"/>
      <c r="N316" s="38"/>
      <c r="O316" s="42" t="str">
        <f aca="false">IF(N316="","",WORKDAY(N316,Settings!$S$4))</f>
        <v/>
      </c>
      <c r="P316" s="17"/>
      <c r="Q316" s="44" t="str">
        <f aca="true">IF(C316="","",IF(P316="Backed out",IF(S316="Paid","Refunded – closed",IF(R316="","Refund – log reason first","Refund in progress")),IF(K316="","Awaiting payment",IF(N316="",IF(M316="","Schedule free video","Free video in production"),IF(P316="Approved","Active",IF(TODAY()&gt;O316,"Active – plan went ahead","Decision pending – "&amp;NETWORKDAYS(TODAY(),O316)&amp;" working day(s) left"))))))</f>
        <v/>
      </c>
      <c r="R316" s="17"/>
      <c r="S316" s="17"/>
      <c r="T316" s="48"/>
      <c r="U316" s="38"/>
      <c r="V316" s="38"/>
      <c r="W316" s="42" t="str">
        <f aca="false">IF(V316="","",EDATE(V316,Settings!$S$6))</f>
        <v/>
      </c>
      <c r="X316" s="17"/>
      <c r="Y316" s="17"/>
      <c r="Z316" s="17"/>
    </row>
    <row r="317" customFormat="false" ht="15" hidden="false" customHeight="false" outlineLevel="0" collapsed="false">
      <c r="A317" s="17"/>
      <c r="B317" s="17"/>
      <c r="C317" s="17"/>
      <c r="D317" s="17"/>
      <c r="E317" s="40"/>
      <c r="F317" s="17"/>
      <c r="G317" s="17"/>
      <c r="H317" s="17"/>
      <c r="I317" s="47" t="str">
        <f aca="false">IF(H317="","",IFERROR(INDEX(Settings!$G$2:$G$4,MATCH(H317,Settings!$F$2:$F$4,0)),""))</f>
        <v/>
      </c>
      <c r="J317" s="38"/>
      <c r="K317" s="48"/>
      <c r="L317" s="17"/>
      <c r="M317" s="38"/>
      <c r="N317" s="38"/>
      <c r="O317" s="42" t="str">
        <f aca="false">IF(N317="","",WORKDAY(N317,Settings!$S$4))</f>
        <v/>
      </c>
      <c r="P317" s="17"/>
      <c r="Q317" s="44" t="str">
        <f aca="true">IF(C317="","",IF(P317="Backed out",IF(S317="Paid","Refunded – closed",IF(R317="","Refund – log reason first","Refund in progress")),IF(K317="","Awaiting payment",IF(N317="",IF(M317="","Schedule free video","Free video in production"),IF(P317="Approved","Active",IF(TODAY()&gt;O317,"Active – plan went ahead","Decision pending – "&amp;NETWORKDAYS(TODAY(),O317)&amp;" working day(s) left"))))))</f>
        <v/>
      </c>
      <c r="R317" s="17"/>
      <c r="S317" s="17"/>
      <c r="T317" s="48"/>
      <c r="U317" s="38"/>
      <c r="V317" s="38"/>
      <c r="W317" s="42" t="str">
        <f aca="false">IF(V317="","",EDATE(V317,Settings!$S$6))</f>
        <v/>
      </c>
      <c r="X317" s="17"/>
      <c r="Y317" s="17"/>
      <c r="Z317" s="17"/>
    </row>
    <row r="318" customFormat="false" ht="15" hidden="false" customHeight="false" outlineLevel="0" collapsed="false">
      <c r="A318" s="17"/>
      <c r="B318" s="17"/>
      <c r="C318" s="17"/>
      <c r="D318" s="17"/>
      <c r="E318" s="40"/>
      <c r="F318" s="17"/>
      <c r="G318" s="17"/>
      <c r="H318" s="17"/>
      <c r="I318" s="47" t="str">
        <f aca="false">IF(H318="","",IFERROR(INDEX(Settings!$G$2:$G$4,MATCH(H318,Settings!$F$2:$F$4,0)),""))</f>
        <v/>
      </c>
      <c r="J318" s="38"/>
      <c r="K318" s="48"/>
      <c r="L318" s="17"/>
      <c r="M318" s="38"/>
      <c r="N318" s="38"/>
      <c r="O318" s="42" t="str">
        <f aca="false">IF(N318="","",WORKDAY(N318,Settings!$S$4))</f>
        <v/>
      </c>
      <c r="P318" s="17"/>
      <c r="Q318" s="44" t="str">
        <f aca="true">IF(C318="","",IF(P318="Backed out",IF(S318="Paid","Refunded – closed",IF(R318="","Refund – log reason first","Refund in progress")),IF(K318="","Awaiting payment",IF(N318="",IF(M318="","Schedule free video","Free video in production"),IF(P318="Approved","Active",IF(TODAY()&gt;O318,"Active – plan went ahead","Decision pending – "&amp;NETWORKDAYS(TODAY(),O318)&amp;" working day(s) left"))))))</f>
        <v/>
      </c>
      <c r="R318" s="17"/>
      <c r="S318" s="17"/>
      <c r="T318" s="48"/>
      <c r="U318" s="38"/>
      <c r="V318" s="38"/>
      <c r="W318" s="42" t="str">
        <f aca="false">IF(V318="","",EDATE(V318,Settings!$S$6))</f>
        <v/>
      </c>
      <c r="X318" s="17"/>
      <c r="Y318" s="17"/>
      <c r="Z318" s="17"/>
    </row>
    <row r="319" customFormat="false" ht="15" hidden="false" customHeight="false" outlineLevel="0" collapsed="false">
      <c r="A319" s="17"/>
      <c r="B319" s="17"/>
      <c r="C319" s="17"/>
      <c r="D319" s="17"/>
      <c r="E319" s="40"/>
      <c r="F319" s="17"/>
      <c r="G319" s="17"/>
      <c r="H319" s="17"/>
      <c r="I319" s="47" t="str">
        <f aca="false">IF(H319="","",IFERROR(INDEX(Settings!$G$2:$G$4,MATCH(H319,Settings!$F$2:$F$4,0)),""))</f>
        <v/>
      </c>
      <c r="J319" s="38"/>
      <c r="K319" s="48"/>
      <c r="L319" s="17"/>
      <c r="M319" s="38"/>
      <c r="N319" s="38"/>
      <c r="O319" s="42" t="str">
        <f aca="false">IF(N319="","",WORKDAY(N319,Settings!$S$4))</f>
        <v/>
      </c>
      <c r="P319" s="17"/>
      <c r="Q319" s="44" t="str">
        <f aca="true">IF(C319="","",IF(P319="Backed out",IF(S319="Paid","Refunded – closed",IF(R319="","Refund – log reason first","Refund in progress")),IF(K319="","Awaiting payment",IF(N319="",IF(M319="","Schedule free video","Free video in production"),IF(P319="Approved","Active",IF(TODAY()&gt;O319,"Active – plan went ahead","Decision pending – "&amp;NETWORKDAYS(TODAY(),O319)&amp;" working day(s) left"))))))</f>
        <v/>
      </c>
      <c r="R319" s="17"/>
      <c r="S319" s="17"/>
      <c r="T319" s="48"/>
      <c r="U319" s="38"/>
      <c r="V319" s="38"/>
      <c r="W319" s="42" t="str">
        <f aca="false">IF(V319="","",EDATE(V319,Settings!$S$6))</f>
        <v/>
      </c>
      <c r="X319" s="17"/>
      <c r="Y319" s="17"/>
      <c r="Z319" s="17"/>
    </row>
    <row r="320" customFormat="false" ht="15" hidden="false" customHeight="false" outlineLevel="0" collapsed="false">
      <c r="A320" s="17"/>
      <c r="B320" s="17"/>
      <c r="C320" s="17"/>
      <c r="D320" s="17"/>
      <c r="E320" s="40"/>
      <c r="F320" s="17"/>
      <c r="G320" s="17"/>
      <c r="H320" s="17"/>
      <c r="I320" s="47" t="str">
        <f aca="false">IF(H320="","",IFERROR(INDEX(Settings!$G$2:$G$4,MATCH(H320,Settings!$F$2:$F$4,0)),""))</f>
        <v/>
      </c>
      <c r="J320" s="38"/>
      <c r="K320" s="48"/>
      <c r="L320" s="17"/>
      <c r="M320" s="38"/>
      <c r="N320" s="38"/>
      <c r="O320" s="42" t="str">
        <f aca="false">IF(N320="","",WORKDAY(N320,Settings!$S$4))</f>
        <v/>
      </c>
      <c r="P320" s="17"/>
      <c r="Q320" s="44" t="str">
        <f aca="true">IF(C320="","",IF(P320="Backed out",IF(S320="Paid","Refunded – closed",IF(R320="","Refund – log reason first","Refund in progress")),IF(K320="","Awaiting payment",IF(N320="",IF(M320="","Schedule free video","Free video in production"),IF(P320="Approved","Active",IF(TODAY()&gt;O320,"Active – plan went ahead","Decision pending – "&amp;NETWORKDAYS(TODAY(),O320)&amp;" working day(s) left"))))))</f>
        <v/>
      </c>
      <c r="R320" s="17"/>
      <c r="S320" s="17"/>
      <c r="T320" s="48"/>
      <c r="U320" s="38"/>
      <c r="V320" s="38"/>
      <c r="W320" s="42" t="str">
        <f aca="false">IF(V320="","",EDATE(V320,Settings!$S$6))</f>
        <v/>
      </c>
      <c r="X320" s="17"/>
      <c r="Y320" s="17"/>
      <c r="Z320" s="17"/>
    </row>
    <row r="321" customFormat="false" ht="15" hidden="false" customHeight="false" outlineLevel="0" collapsed="false">
      <c r="A321" s="17"/>
      <c r="B321" s="17"/>
      <c r="C321" s="17"/>
      <c r="D321" s="17"/>
      <c r="E321" s="40"/>
      <c r="F321" s="17"/>
      <c r="G321" s="17"/>
      <c r="H321" s="17"/>
      <c r="I321" s="47" t="str">
        <f aca="false">IF(H321="","",IFERROR(INDEX(Settings!$G$2:$G$4,MATCH(H321,Settings!$F$2:$F$4,0)),""))</f>
        <v/>
      </c>
      <c r="J321" s="38"/>
      <c r="K321" s="48"/>
      <c r="L321" s="17"/>
      <c r="M321" s="38"/>
      <c r="N321" s="38"/>
      <c r="O321" s="42" t="str">
        <f aca="false">IF(N321="","",WORKDAY(N321,Settings!$S$4))</f>
        <v/>
      </c>
      <c r="P321" s="17"/>
      <c r="Q321" s="44" t="str">
        <f aca="true">IF(C321="","",IF(P321="Backed out",IF(S321="Paid","Refunded – closed",IF(R321="","Refund – log reason first","Refund in progress")),IF(K321="","Awaiting payment",IF(N321="",IF(M321="","Schedule free video","Free video in production"),IF(P321="Approved","Active",IF(TODAY()&gt;O321,"Active – plan went ahead","Decision pending – "&amp;NETWORKDAYS(TODAY(),O321)&amp;" working day(s) left"))))))</f>
        <v/>
      </c>
      <c r="R321" s="17"/>
      <c r="S321" s="17"/>
      <c r="T321" s="48"/>
      <c r="U321" s="38"/>
      <c r="V321" s="38"/>
      <c r="W321" s="42" t="str">
        <f aca="false">IF(V321="","",EDATE(V321,Settings!$S$6))</f>
        <v/>
      </c>
      <c r="X321" s="17"/>
      <c r="Y321" s="17"/>
      <c r="Z321" s="17"/>
    </row>
    <row r="322" customFormat="false" ht="15" hidden="false" customHeight="false" outlineLevel="0" collapsed="false">
      <c r="A322" s="17"/>
      <c r="B322" s="17"/>
      <c r="C322" s="17"/>
      <c r="D322" s="17"/>
      <c r="E322" s="40"/>
      <c r="F322" s="17"/>
      <c r="G322" s="17"/>
      <c r="H322" s="17"/>
      <c r="I322" s="47" t="str">
        <f aca="false">IF(H322="","",IFERROR(INDEX(Settings!$G$2:$G$4,MATCH(H322,Settings!$F$2:$F$4,0)),""))</f>
        <v/>
      </c>
      <c r="J322" s="38"/>
      <c r="K322" s="48"/>
      <c r="L322" s="17"/>
      <c r="M322" s="38"/>
      <c r="N322" s="38"/>
      <c r="O322" s="42" t="str">
        <f aca="false">IF(N322="","",WORKDAY(N322,Settings!$S$4))</f>
        <v/>
      </c>
      <c r="P322" s="17"/>
      <c r="Q322" s="44" t="str">
        <f aca="true">IF(C322="","",IF(P322="Backed out",IF(S322="Paid","Refunded – closed",IF(R322="","Refund – log reason first","Refund in progress")),IF(K322="","Awaiting payment",IF(N322="",IF(M322="","Schedule free video","Free video in production"),IF(P322="Approved","Active",IF(TODAY()&gt;O322,"Active – plan went ahead","Decision pending – "&amp;NETWORKDAYS(TODAY(),O322)&amp;" working day(s) left"))))))</f>
        <v/>
      </c>
      <c r="R322" s="17"/>
      <c r="S322" s="17"/>
      <c r="T322" s="48"/>
      <c r="U322" s="38"/>
      <c r="V322" s="38"/>
      <c r="W322" s="42" t="str">
        <f aca="false">IF(V322="","",EDATE(V322,Settings!$S$6))</f>
        <v/>
      </c>
      <c r="X322" s="17"/>
      <c r="Y322" s="17"/>
      <c r="Z322" s="17"/>
    </row>
    <row r="323" customFormat="false" ht="15" hidden="false" customHeight="false" outlineLevel="0" collapsed="false">
      <c r="A323" s="17"/>
      <c r="B323" s="17"/>
      <c r="C323" s="17"/>
      <c r="D323" s="17"/>
      <c r="E323" s="40"/>
      <c r="F323" s="17"/>
      <c r="G323" s="17"/>
      <c r="H323" s="17"/>
      <c r="I323" s="47" t="str">
        <f aca="false">IF(H323="","",IFERROR(INDEX(Settings!$G$2:$G$4,MATCH(H323,Settings!$F$2:$F$4,0)),""))</f>
        <v/>
      </c>
      <c r="J323" s="38"/>
      <c r="K323" s="48"/>
      <c r="L323" s="17"/>
      <c r="M323" s="38"/>
      <c r="N323" s="38"/>
      <c r="O323" s="42" t="str">
        <f aca="false">IF(N323="","",WORKDAY(N323,Settings!$S$4))</f>
        <v/>
      </c>
      <c r="P323" s="17"/>
      <c r="Q323" s="44" t="str">
        <f aca="true">IF(C323="","",IF(P323="Backed out",IF(S323="Paid","Refunded – closed",IF(R323="","Refund – log reason first","Refund in progress")),IF(K323="","Awaiting payment",IF(N323="",IF(M323="","Schedule free video","Free video in production"),IF(P323="Approved","Active",IF(TODAY()&gt;O323,"Active – plan went ahead","Decision pending – "&amp;NETWORKDAYS(TODAY(),O323)&amp;" working day(s) left"))))))</f>
        <v/>
      </c>
      <c r="R323" s="17"/>
      <c r="S323" s="17"/>
      <c r="T323" s="48"/>
      <c r="U323" s="38"/>
      <c r="V323" s="38"/>
      <c r="W323" s="42" t="str">
        <f aca="false">IF(V323="","",EDATE(V323,Settings!$S$6))</f>
        <v/>
      </c>
      <c r="X323" s="17"/>
      <c r="Y323" s="17"/>
      <c r="Z323" s="17"/>
    </row>
    <row r="324" customFormat="false" ht="15" hidden="false" customHeight="false" outlineLevel="0" collapsed="false">
      <c r="A324" s="17"/>
      <c r="B324" s="17"/>
      <c r="C324" s="17"/>
      <c r="D324" s="17"/>
      <c r="E324" s="40"/>
      <c r="F324" s="17"/>
      <c r="G324" s="17"/>
      <c r="H324" s="17"/>
      <c r="I324" s="47" t="str">
        <f aca="false">IF(H324="","",IFERROR(INDEX(Settings!$G$2:$G$4,MATCH(H324,Settings!$F$2:$F$4,0)),""))</f>
        <v/>
      </c>
      <c r="J324" s="38"/>
      <c r="K324" s="48"/>
      <c r="L324" s="17"/>
      <c r="M324" s="38"/>
      <c r="N324" s="38"/>
      <c r="O324" s="42" t="str">
        <f aca="false">IF(N324="","",WORKDAY(N324,Settings!$S$4))</f>
        <v/>
      </c>
      <c r="P324" s="17"/>
      <c r="Q324" s="44" t="str">
        <f aca="true">IF(C324="","",IF(P324="Backed out",IF(S324="Paid","Refunded – closed",IF(R324="","Refund – log reason first","Refund in progress")),IF(K324="","Awaiting payment",IF(N324="",IF(M324="","Schedule free video","Free video in production"),IF(P324="Approved","Active",IF(TODAY()&gt;O324,"Active – plan went ahead","Decision pending – "&amp;NETWORKDAYS(TODAY(),O324)&amp;" working day(s) left"))))))</f>
        <v/>
      </c>
      <c r="R324" s="17"/>
      <c r="S324" s="17"/>
      <c r="T324" s="48"/>
      <c r="U324" s="38"/>
      <c r="V324" s="38"/>
      <c r="W324" s="42" t="str">
        <f aca="false">IF(V324="","",EDATE(V324,Settings!$S$6))</f>
        <v/>
      </c>
      <c r="X324" s="17"/>
      <c r="Y324" s="17"/>
      <c r="Z324" s="17"/>
    </row>
    <row r="325" customFormat="false" ht="15" hidden="false" customHeight="false" outlineLevel="0" collapsed="false">
      <c r="A325" s="17"/>
      <c r="B325" s="17"/>
      <c r="C325" s="17"/>
      <c r="D325" s="17"/>
      <c r="E325" s="40"/>
      <c r="F325" s="17"/>
      <c r="G325" s="17"/>
      <c r="H325" s="17"/>
      <c r="I325" s="47" t="str">
        <f aca="false">IF(H325="","",IFERROR(INDEX(Settings!$G$2:$G$4,MATCH(H325,Settings!$F$2:$F$4,0)),""))</f>
        <v/>
      </c>
      <c r="J325" s="38"/>
      <c r="K325" s="48"/>
      <c r="L325" s="17"/>
      <c r="M325" s="38"/>
      <c r="N325" s="38"/>
      <c r="O325" s="42" t="str">
        <f aca="false">IF(N325="","",WORKDAY(N325,Settings!$S$4))</f>
        <v/>
      </c>
      <c r="P325" s="17"/>
      <c r="Q325" s="44" t="str">
        <f aca="true">IF(C325="","",IF(P325="Backed out",IF(S325="Paid","Refunded – closed",IF(R325="","Refund – log reason first","Refund in progress")),IF(K325="","Awaiting payment",IF(N325="",IF(M325="","Schedule free video","Free video in production"),IF(P325="Approved","Active",IF(TODAY()&gt;O325,"Active – plan went ahead","Decision pending – "&amp;NETWORKDAYS(TODAY(),O325)&amp;" working day(s) left"))))))</f>
        <v/>
      </c>
      <c r="R325" s="17"/>
      <c r="S325" s="17"/>
      <c r="T325" s="48"/>
      <c r="U325" s="38"/>
      <c r="V325" s="38"/>
      <c r="W325" s="42" t="str">
        <f aca="false">IF(V325="","",EDATE(V325,Settings!$S$6))</f>
        <v/>
      </c>
      <c r="X325" s="17"/>
      <c r="Y325" s="17"/>
      <c r="Z325" s="17"/>
    </row>
    <row r="326" customFormat="false" ht="15" hidden="false" customHeight="false" outlineLevel="0" collapsed="false">
      <c r="A326" s="17"/>
      <c r="B326" s="17"/>
      <c r="C326" s="17"/>
      <c r="D326" s="17"/>
      <c r="E326" s="40"/>
      <c r="F326" s="17"/>
      <c r="G326" s="17"/>
      <c r="H326" s="17"/>
      <c r="I326" s="47" t="str">
        <f aca="false">IF(H326="","",IFERROR(INDEX(Settings!$G$2:$G$4,MATCH(H326,Settings!$F$2:$F$4,0)),""))</f>
        <v/>
      </c>
      <c r="J326" s="38"/>
      <c r="K326" s="48"/>
      <c r="L326" s="17"/>
      <c r="M326" s="38"/>
      <c r="N326" s="38"/>
      <c r="O326" s="42" t="str">
        <f aca="false">IF(N326="","",WORKDAY(N326,Settings!$S$4))</f>
        <v/>
      </c>
      <c r="P326" s="17"/>
      <c r="Q326" s="44" t="str">
        <f aca="true">IF(C326="","",IF(P326="Backed out",IF(S326="Paid","Refunded – closed",IF(R326="","Refund – log reason first","Refund in progress")),IF(K326="","Awaiting payment",IF(N326="",IF(M326="","Schedule free video","Free video in production"),IF(P326="Approved","Active",IF(TODAY()&gt;O326,"Active – plan went ahead","Decision pending – "&amp;NETWORKDAYS(TODAY(),O326)&amp;" working day(s) left"))))))</f>
        <v/>
      </c>
      <c r="R326" s="17"/>
      <c r="S326" s="17"/>
      <c r="T326" s="48"/>
      <c r="U326" s="38"/>
      <c r="V326" s="38"/>
      <c r="W326" s="42" t="str">
        <f aca="false">IF(V326="","",EDATE(V326,Settings!$S$6))</f>
        <v/>
      </c>
      <c r="X326" s="17"/>
      <c r="Y326" s="17"/>
      <c r="Z326" s="17"/>
    </row>
    <row r="327" customFormat="false" ht="15" hidden="false" customHeight="false" outlineLevel="0" collapsed="false">
      <c r="A327" s="17"/>
      <c r="B327" s="17"/>
      <c r="C327" s="17"/>
      <c r="D327" s="17"/>
      <c r="E327" s="40"/>
      <c r="F327" s="17"/>
      <c r="G327" s="17"/>
      <c r="H327" s="17"/>
      <c r="I327" s="47" t="str">
        <f aca="false">IF(H327="","",IFERROR(INDEX(Settings!$G$2:$G$4,MATCH(H327,Settings!$F$2:$F$4,0)),""))</f>
        <v/>
      </c>
      <c r="J327" s="38"/>
      <c r="K327" s="48"/>
      <c r="L327" s="17"/>
      <c r="M327" s="38"/>
      <c r="N327" s="38"/>
      <c r="O327" s="42" t="str">
        <f aca="false">IF(N327="","",WORKDAY(N327,Settings!$S$4))</f>
        <v/>
      </c>
      <c r="P327" s="17"/>
      <c r="Q327" s="44" t="str">
        <f aca="true">IF(C327="","",IF(P327="Backed out",IF(S327="Paid","Refunded – closed",IF(R327="","Refund – log reason first","Refund in progress")),IF(K327="","Awaiting payment",IF(N327="",IF(M327="","Schedule free video","Free video in production"),IF(P327="Approved","Active",IF(TODAY()&gt;O327,"Active – plan went ahead","Decision pending – "&amp;NETWORKDAYS(TODAY(),O327)&amp;" working day(s) left"))))))</f>
        <v/>
      </c>
      <c r="R327" s="17"/>
      <c r="S327" s="17"/>
      <c r="T327" s="48"/>
      <c r="U327" s="38"/>
      <c r="V327" s="38"/>
      <c r="W327" s="42" t="str">
        <f aca="false">IF(V327="","",EDATE(V327,Settings!$S$6))</f>
        <v/>
      </c>
      <c r="X327" s="17"/>
      <c r="Y327" s="17"/>
      <c r="Z327" s="17"/>
    </row>
    <row r="328" customFormat="false" ht="15" hidden="false" customHeight="false" outlineLevel="0" collapsed="false">
      <c r="A328" s="17"/>
      <c r="B328" s="17"/>
      <c r="C328" s="17"/>
      <c r="D328" s="17"/>
      <c r="E328" s="40"/>
      <c r="F328" s="17"/>
      <c r="G328" s="17"/>
      <c r="H328" s="17"/>
      <c r="I328" s="47" t="str">
        <f aca="false">IF(H328="","",IFERROR(INDEX(Settings!$G$2:$G$4,MATCH(H328,Settings!$F$2:$F$4,0)),""))</f>
        <v/>
      </c>
      <c r="J328" s="38"/>
      <c r="K328" s="48"/>
      <c r="L328" s="17"/>
      <c r="M328" s="38"/>
      <c r="N328" s="38"/>
      <c r="O328" s="42" t="str">
        <f aca="false">IF(N328="","",WORKDAY(N328,Settings!$S$4))</f>
        <v/>
      </c>
      <c r="P328" s="17"/>
      <c r="Q328" s="44" t="str">
        <f aca="true">IF(C328="","",IF(P328="Backed out",IF(S328="Paid","Refunded – closed",IF(R328="","Refund – log reason first","Refund in progress")),IF(K328="","Awaiting payment",IF(N328="",IF(M328="","Schedule free video","Free video in production"),IF(P328="Approved","Active",IF(TODAY()&gt;O328,"Active – plan went ahead","Decision pending – "&amp;NETWORKDAYS(TODAY(),O328)&amp;" working day(s) left"))))))</f>
        <v/>
      </c>
      <c r="R328" s="17"/>
      <c r="S328" s="17"/>
      <c r="T328" s="48"/>
      <c r="U328" s="38"/>
      <c r="V328" s="38"/>
      <c r="W328" s="42" t="str">
        <f aca="false">IF(V328="","",EDATE(V328,Settings!$S$6))</f>
        <v/>
      </c>
      <c r="X328" s="17"/>
      <c r="Y328" s="17"/>
      <c r="Z328" s="17"/>
    </row>
    <row r="329" customFormat="false" ht="15" hidden="false" customHeight="false" outlineLevel="0" collapsed="false">
      <c r="A329" s="17"/>
      <c r="B329" s="17"/>
      <c r="C329" s="17"/>
      <c r="D329" s="17"/>
      <c r="E329" s="40"/>
      <c r="F329" s="17"/>
      <c r="G329" s="17"/>
      <c r="H329" s="17"/>
      <c r="I329" s="47" t="str">
        <f aca="false">IF(H329="","",IFERROR(INDEX(Settings!$G$2:$G$4,MATCH(H329,Settings!$F$2:$F$4,0)),""))</f>
        <v/>
      </c>
      <c r="J329" s="38"/>
      <c r="K329" s="48"/>
      <c r="L329" s="17"/>
      <c r="M329" s="38"/>
      <c r="N329" s="38"/>
      <c r="O329" s="42" t="str">
        <f aca="false">IF(N329="","",WORKDAY(N329,Settings!$S$4))</f>
        <v/>
      </c>
      <c r="P329" s="17"/>
      <c r="Q329" s="44" t="str">
        <f aca="true">IF(C329="","",IF(P329="Backed out",IF(S329="Paid","Refunded – closed",IF(R329="","Refund – log reason first","Refund in progress")),IF(K329="","Awaiting payment",IF(N329="",IF(M329="","Schedule free video","Free video in production"),IF(P329="Approved","Active",IF(TODAY()&gt;O329,"Active – plan went ahead","Decision pending – "&amp;NETWORKDAYS(TODAY(),O329)&amp;" working day(s) left"))))))</f>
        <v/>
      </c>
      <c r="R329" s="17"/>
      <c r="S329" s="17"/>
      <c r="T329" s="48"/>
      <c r="U329" s="38"/>
      <c r="V329" s="38"/>
      <c r="W329" s="42" t="str">
        <f aca="false">IF(V329="","",EDATE(V329,Settings!$S$6))</f>
        <v/>
      </c>
      <c r="X329" s="17"/>
      <c r="Y329" s="17"/>
      <c r="Z329" s="17"/>
    </row>
    <row r="330" customFormat="false" ht="15" hidden="false" customHeight="false" outlineLevel="0" collapsed="false">
      <c r="A330" s="17"/>
      <c r="B330" s="17"/>
      <c r="C330" s="17"/>
      <c r="D330" s="17"/>
      <c r="E330" s="40"/>
      <c r="F330" s="17"/>
      <c r="G330" s="17"/>
      <c r="H330" s="17"/>
      <c r="I330" s="47" t="str">
        <f aca="false">IF(H330="","",IFERROR(INDEX(Settings!$G$2:$G$4,MATCH(H330,Settings!$F$2:$F$4,0)),""))</f>
        <v/>
      </c>
      <c r="J330" s="38"/>
      <c r="K330" s="48"/>
      <c r="L330" s="17"/>
      <c r="M330" s="38"/>
      <c r="N330" s="38"/>
      <c r="O330" s="42" t="str">
        <f aca="false">IF(N330="","",WORKDAY(N330,Settings!$S$4))</f>
        <v/>
      </c>
      <c r="P330" s="17"/>
      <c r="Q330" s="44" t="str">
        <f aca="true">IF(C330="","",IF(P330="Backed out",IF(S330="Paid","Refunded – closed",IF(R330="","Refund – log reason first","Refund in progress")),IF(K330="","Awaiting payment",IF(N330="",IF(M330="","Schedule free video","Free video in production"),IF(P330="Approved","Active",IF(TODAY()&gt;O330,"Active – plan went ahead","Decision pending – "&amp;NETWORKDAYS(TODAY(),O330)&amp;" working day(s) left"))))))</f>
        <v/>
      </c>
      <c r="R330" s="17"/>
      <c r="S330" s="17"/>
      <c r="T330" s="48"/>
      <c r="U330" s="38"/>
      <c r="V330" s="38"/>
      <c r="W330" s="42" t="str">
        <f aca="false">IF(V330="","",EDATE(V330,Settings!$S$6))</f>
        <v/>
      </c>
      <c r="X330" s="17"/>
      <c r="Y330" s="17"/>
      <c r="Z330" s="17"/>
    </row>
    <row r="331" customFormat="false" ht="15" hidden="false" customHeight="false" outlineLevel="0" collapsed="false">
      <c r="A331" s="17"/>
      <c r="B331" s="17"/>
      <c r="C331" s="17"/>
      <c r="D331" s="17"/>
      <c r="E331" s="40"/>
      <c r="F331" s="17"/>
      <c r="G331" s="17"/>
      <c r="H331" s="17"/>
      <c r="I331" s="47" t="str">
        <f aca="false">IF(H331="","",IFERROR(INDEX(Settings!$G$2:$G$4,MATCH(H331,Settings!$F$2:$F$4,0)),""))</f>
        <v/>
      </c>
      <c r="J331" s="38"/>
      <c r="K331" s="48"/>
      <c r="L331" s="17"/>
      <c r="M331" s="38"/>
      <c r="N331" s="38"/>
      <c r="O331" s="42" t="str">
        <f aca="false">IF(N331="","",WORKDAY(N331,Settings!$S$4))</f>
        <v/>
      </c>
      <c r="P331" s="17"/>
      <c r="Q331" s="44" t="str">
        <f aca="true">IF(C331="","",IF(P331="Backed out",IF(S331="Paid","Refunded – closed",IF(R331="","Refund – log reason first","Refund in progress")),IF(K331="","Awaiting payment",IF(N331="",IF(M331="","Schedule free video","Free video in production"),IF(P331="Approved","Active",IF(TODAY()&gt;O331,"Active – plan went ahead","Decision pending – "&amp;NETWORKDAYS(TODAY(),O331)&amp;" working day(s) left"))))))</f>
        <v/>
      </c>
      <c r="R331" s="17"/>
      <c r="S331" s="17"/>
      <c r="T331" s="48"/>
      <c r="U331" s="38"/>
      <c r="V331" s="38"/>
      <c r="W331" s="42" t="str">
        <f aca="false">IF(V331="","",EDATE(V331,Settings!$S$6))</f>
        <v/>
      </c>
      <c r="X331" s="17"/>
      <c r="Y331" s="17"/>
      <c r="Z331" s="17"/>
    </row>
    <row r="332" customFormat="false" ht="15" hidden="false" customHeight="false" outlineLevel="0" collapsed="false">
      <c r="A332" s="17"/>
      <c r="B332" s="17"/>
      <c r="C332" s="17"/>
      <c r="D332" s="17"/>
      <c r="E332" s="40"/>
      <c r="F332" s="17"/>
      <c r="G332" s="17"/>
      <c r="H332" s="17"/>
      <c r="I332" s="47" t="str">
        <f aca="false">IF(H332="","",IFERROR(INDEX(Settings!$G$2:$G$4,MATCH(H332,Settings!$F$2:$F$4,0)),""))</f>
        <v/>
      </c>
      <c r="J332" s="38"/>
      <c r="K332" s="48"/>
      <c r="L332" s="17"/>
      <c r="M332" s="38"/>
      <c r="N332" s="38"/>
      <c r="O332" s="42" t="str">
        <f aca="false">IF(N332="","",WORKDAY(N332,Settings!$S$4))</f>
        <v/>
      </c>
      <c r="P332" s="17"/>
      <c r="Q332" s="44" t="str">
        <f aca="true">IF(C332="","",IF(P332="Backed out",IF(S332="Paid","Refunded – closed",IF(R332="","Refund – log reason first","Refund in progress")),IF(K332="","Awaiting payment",IF(N332="",IF(M332="","Schedule free video","Free video in production"),IF(P332="Approved","Active",IF(TODAY()&gt;O332,"Active – plan went ahead","Decision pending – "&amp;NETWORKDAYS(TODAY(),O332)&amp;" working day(s) left"))))))</f>
        <v/>
      </c>
      <c r="R332" s="17"/>
      <c r="S332" s="17"/>
      <c r="T332" s="48"/>
      <c r="U332" s="38"/>
      <c r="V332" s="38"/>
      <c r="W332" s="42" t="str">
        <f aca="false">IF(V332="","",EDATE(V332,Settings!$S$6))</f>
        <v/>
      </c>
      <c r="X332" s="17"/>
      <c r="Y332" s="17"/>
      <c r="Z332" s="17"/>
    </row>
    <row r="333" customFormat="false" ht="15" hidden="false" customHeight="false" outlineLevel="0" collapsed="false">
      <c r="A333" s="17"/>
      <c r="B333" s="17"/>
      <c r="C333" s="17"/>
      <c r="D333" s="17"/>
      <c r="E333" s="40"/>
      <c r="F333" s="17"/>
      <c r="G333" s="17"/>
      <c r="H333" s="17"/>
      <c r="I333" s="47" t="str">
        <f aca="false">IF(H333="","",IFERROR(INDEX(Settings!$G$2:$G$4,MATCH(H333,Settings!$F$2:$F$4,0)),""))</f>
        <v/>
      </c>
      <c r="J333" s="38"/>
      <c r="K333" s="48"/>
      <c r="L333" s="17"/>
      <c r="M333" s="38"/>
      <c r="N333" s="38"/>
      <c r="O333" s="42" t="str">
        <f aca="false">IF(N333="","",WORKDAY(N333,Settings!$S$4))</f>
        <v/>
      </c>
      <c r="P333" s="17"/>
      <c r="Q333" s="44" t="str">
        <f aca="true">IF(C333="","",IF(P333="Backed out",IF(S333="Paid","Refunded – closed",IF(R333="","Refund – log reason first","Refund in progress")),IF(K333="","Awaiting payment",IF(N333="",IF(M333="","Schedule free video","Free video in production"),IF(P333="Approved","Active",IF(TODAY()&gt;O333,"Active – plan went ahead","Decision pending – "&amp;NETWORKDAYS(TODAY(),O333)&amp;" working day(s) left"))))))</f>
        <v/>
      </c>
      <c r="R333" s="17"/>
      <c r="S333" s="17"/>
      <c r="T333" s="48"/>
      <c r="U333" s="38"/>
      <c r="V333" s="38"/>
      <c r="W333" s="42" t="str">
        <f aca="false">IF(V333="","",EDATE(V333,Settings!$S$6))</f>
        <v/>
      </c>
      <c r="X333" s="17"/>
      <c r="Y333" s="17"/>
      <c r="Z333" s="17"/>
    </row>
    <row r="334" customFormat="false" ht="15" hidden="false" customHeight="false" outlineLevel="0" collapsed="false">
      <c r="A334" s="17"/>
      <c r="B334" s="17"/>
      <c r="C334" s="17"/>
      <c r="D334" s="17"/>
      <c r="E334" s="40"/>
      <c r="F334" s="17"/>
      <c r="G334" s="17"/>
      <c r="H334" s="17"/>
      <c r="I334" s="47" t="str">
        <f aca="false">IF(H334="","",IFERROR(INDEX(Settings!$G$2:$G$4,MATCH(H334,Settings!$F$2:$F$4,0)),""))</f>
        <v/>
      </c>
      <c r="J334" s="38"/>
      <c r="K334" s="48"/>
      <c r="L334" s="17"/>
      <c r="M334" s="38"/>
      <c r="N334" s="38"/>
      <c r="O334" s="42" t="str">
        <f aca="false">IF(N334="","",WORKDAY(N334,Settings!$S$4))</f>
        <v/>
      </c>
      <c r="P334" s="17"/>
      <c r="Q334" s="44" t="str">
        <f aca="true">IF(C334="","",IF(P334="Backed out",IF(S334="Paid","Refunded – closed",IF(R334="","Refund – log reason first","Refund in progress")),IF(K334="","Awaiting payment",IF(N334="",IF(M334="","Schedule free video","Free video in production"),IF(P334="Approved","Active",IF(TODAY()&gt;O334,"Active – plan went ahead","Decision pending – "&amp;NETWORKDAYS(TODAY(),O334)&amp;" working day(s) left"))))))</f>
        <v/>
      </c>
      <c r="R334" s="17"/>
      <c r="S334" s="17"/>
      <c r="T334" s="48"/>
      <c r="U334" s="38"/>
      <c r="V334" s="38"/>
      <c r="W334" s="42" t="str">
        <f aca="false">IF(V334="","",EDATE(V334,Settings!$S$6))</f>
        <v/>
      </c>
      <c r="X334" s="17"/>
      <c r="Y334" s="17"/>
      <c r="Z334" s="17"/>
    </row>
    <row r="335" customFormat="false" ht="15" hidden="false" customHeight="false" outlineLevel="0" collapsed="false">
      <c r="A335" s="17"/>
      <c r="B335" s="17"/>
      <c r="C335" s="17"/>
      <c r="D335" s="17"/>
      <c r="E335" s="40"/>
      <c r="F335" s="17"/>
      <c r="G335" s="17"/>
      <c r="H335" s="17"/>
      <c r="I335" s="47" t="str">
        <f aca="false">IF(H335="","",IFERROR(INDEX(Settings!$G$2:$G$4,MATCH(H335,Settings!$F$2:$F$4,0)),""))</f>
        <v/>
      </c>
      <c r="J335" s="38"/>
      <c r="K335" s="48"/>
      <c r="L335" s="17"/>
      <c r="M335" s="38"/>
      <c r="N335" s="38"/>
      <c r="O335" s="42" t="str">
        <f aca="false">IF(N335="","",WORKDAY(N335,Settings!$S$4))</f>
        <v/>
      </c>
      <c r="P335" s="17"/>
      <c r="Q335" s="44" t="str">
        <f aca="true">IF(C335="","",IF(P335="Backed out",IF(S335="Paid","Refunded – closed",IF(R335="","Refund – log reason first","Refund in progress")),IF(K335="","Awaiting payment",IF(N335="",IF(M335="","Schedule free video","Free video in production"),IF(P335="Approved","Active",IF(TODAY()&gt;O335,"Active – plan went ahead","Decision pending – "&amp;NETWORKDAYS(TODAY(),O335)&amp;" working day(s) left"))))))</f>
        <v/>
      </c>
      <c r="R335" s="17"/>
      <c r="S335" s="17"/>
      <c r="T335" s="48"/>
      <c r="U335" s="38"/>
      <c r="V335" s="38"/>
      <c r="W335" s="42" t="str">
        <f aca="false">IF(V335="","",EDATE(V335,Settings!$S$6))</f>
        <v/>
      </c>
      <c r="X335" s="17"/>
      <c r="Y335" s="17"/>
      <c r="Z335" s="17"/>
    </row>
    <row r="336" customFormat="false" ht="15" hidden="false" customHeight="false" outlineLevel="0" collapsed="false">
      <c r="A336" s="17"/>
      <c r="B336" s="17"/>
      <c r="C336" s="17"/>
      <c r="D336" s="17"/>
      <c r="E336" s="40"/>
      <c r="F336" s="17"/>
      <c r="G336" s="17"/>
      <c r="H336" s="17"/>
      <c r="I336" s="47" t="str">
        <f aca="false">IF(H336="","",IFERROR(INDEX(Settings!$G$2:$G$4,MATCH(H336,Settings!$F$2:$F$4,0)),""))</f>
        <v/>
      </c>
      <c r="J336" s="38"/>
      <c r="K336" s="48"/>
      <c r="L336" s="17"/>
      <c r="M336" s="38"/>
      <c r="N336" s="38"/>
      <c r="O336" s="42" t="str">
        <f aca="false">IF(N336="","",WORKDAY(N336,Settings!$S$4))</f>
        <v/>
      </c>
      <c r="P336" s="17"/>
      <c r="Q336" s="44" t="str">
        <f aca="true">IF(C336="","",IF(P336="Backed out",IF(S336="Paid","Refunded – closed",IF(R336="","Refund – log reason first","Refund in progress")),IF(K336="","Awaiting payment",IF(N336="",IF(M336="","Schedule free video","Free video in production"),IF(P336="Approved","Active",IF(TODAY()&gt;O336,"Active – plan went ahead","Decision pending – "&amp;NETWORKDAYS(TODAY(),O336)&amp;" working day(s) left"))))))</f>
        <v/>
      </c>
      <c r="R336" s="17"/>
      <c r="S336" s="17"/>
      <c r="T336" s="48"/>
      <c r="U336" s="38"/>
      <c r="V336" s="38"/>
      <c r="W336" s="42" t="str">
        <f aca="false">IF(V336="","",EDATE(V336,Settings!$S$6))</f>
        <v/>
      </c>
      <c r="X336" s="17"/>
      <c r="Y336" s="17"/>
      <c r="Z336" s="17"/>
    </row>
    <row r="337" customFormat="false" ht="15" hidden="false" customHeight="false" outlineLevel="0" collapsed="false">
      <c r="A337" s="17"/>
      <c r="B337" s="17"/>
      <c r="C337" s="17"/>
      <c r="D337" s="17"/>
      <c r="E337" s="40"/>
      <c r="F337" s="17"/>
      <c r="G337" s="17"/>
      <c r="H337" s="17"/>
      <c r="I337" s="47" t="str">
        <f aca="false">IF(H337="","",IFERROR(INDEX(Settings!$G$2:$G$4,MATCH(H337,Settings!$F$2:$F$4,0)),""))</f>
        <v/>
      </c>
      <c r="J337" s="38"/>
      <c r="K337" s="48"/>
      <c r="L337" s="17"/>
      <c r="M337" s="38"/>
      <c r="N337" s="38"/>
      <c r="O337" s="42" t="str">
        <f aca="false">IF(N337="","",WORKDAY(N337,Settings!$S$4))</f>
        <v/>
      </c>
      <c r="P337" s="17"/>
      <c r="Q337" s="44" t="str">
        <f aca="true">IF(C337="","",IF(P337="Backed out",IF(S337="Paid","Refunded – closed",IF(R337="","Refund – log reason first","Refund in progress")),IF(K337="","Awaiting payment",IF(N337="",IF(M337="","Schedule free video","Free video in production"),IF(P337="Approved","Active",IF(TODAY()&gt;O337,"Active – plan went ahead","Decision pending – "&amp;NETWORKDAYS(TODAY(),O337)&amp;" working day(s) left"))))))</f>
        <v/>
      </c>
      <c r="R337" s="17"/>
      <c r="S337" s="17"/>
      <c r="T337" s="48"/>
      <c r="U337" s="38"/>
      <c r="V337" s="38"/>
      <c r="W337" s="42" t="str">
        <f aca="false">IF(V337="","",EDATE(V337,Settings!$S$6))</f>
        <v/>
      </c>
      <c r="X337" s="17"/>
      <c r="Y337" s="17"/>
      <c r="Z337" s="17"/>
    </row>
    <row r="338" customFormat="false" ht="15" hidden="false" customHeight="false" outlineLevel="0" collapsed="false">
      <c r="A338" s="17"/>
      <c r="B338" s="17"/>
      <c r="C338" s="17"/>
      <c r="D338" s="17"/>
      <c r="E338" s="40"/>
      <c r="F338" s="17"/>
      <c r="G338" s="17"/>
      <c r="H338" s="17"/>
      <c r="I338" s="47" t="str">
        <f aca="false">IF(H338="","",IFERROR(INDEX(Settings!$G$2:$G$4,MATCH(H338,Settings!$F$2:$F$4,0)),""))</f>
        <v/>
      </c>
      <c r="J338" s="38"/>
      <c r="K338" s="48"/>
      <c r="L338" s="17"/>
      <c r="M338" s="38"/>
      <c r="N338" s="38"/>
      <c r="O338" s="42" t="str">
        <f aca="false">IF(N338="","",WORKDAY(N338,Settings!$S$4))</f>
        <v/>
      </c>
      <c r="P338" s="17"/>
      <c r="Q338" s="44" t="str">
        <f aca="true">IF(C338="","",IF(P338="Backed out",IF(S338="Paid","Refunded – closed",IF(R338="","Refund – log reason first","Refund in progress")),IF(K338="","Awaiting payment",IF(N338="",IF(M338="","Schedule free video","Free video in production"),IF(P338="Approved","Active",IF(TODAY()&gt;O338,"Active – plan went ahead","Decision pending – "&amp;NETWORKDAYS(TODAY(),O338)&amp;" working day(s) left"))))))</f>
        <v/>
      </c>
      <c r="R338" s="17"/>
      <c r="S338" s="17"/>
      <c r="T338" s="48"/>
      <c r="U338" s="38"/>
      <c r="V338" s="38"/>
      <c r="W338" s="42" t="str">
        <f aca="false">IF(V338="","",EDATE(V338,Settings!$S$6))</f>
        <v/>
      </c>
      <c r="X338" s="17"/>
      <c r="Y338" s="17"/>
      <c r="Z338" s="17"/>
    </row>
    <row r="339" customFormat="false" ht="15" hidden="false" customHeight="false" outlineLevel="0" collapsed="false">
      <c r="A339" s="17"/>
      <c r="B339" s="17"/>
      <c r="C339" s="17"/>
      <c r="D339" s="17"/>
      <c r="E339" s="40"/>
      <c r="F339" s="17"/>
      <c r="G339" s="17"/>
      <c r="H339" s="17"/>
      <c r="I339" s="47" t="str">
        <f aca="false">IF(H339="","",IFERROR(INDEX(Settings!$G$2:$G$4,MATCH(H339,Settings!$F$2:$F$4,0)),""))</f>
        <v/>
      </c>
      <c r="J339" s="38"/>
      <c r="K339" s="48"/>
      <c r="L339" s="17"/>
      <c r="M339" s="38"/>
      <c r="N339" s="38"/>
      <c r="O339" s="42" t="str">
        <f aca="false">IF(N339="","",WORKDAY(N339,Settings!$S$4))</f>
        <v/>
      </c>
      <c r="P339" s="17"/>
      <c r="Q339" s="44" t="str">
        <f aca="true">IF(C339="","",IF(P339="Backed out",IF(S339="Paid","Refunded – closed",IF(R339="","Refund – log reason first","Refund in progress")),IF(K339="","Awaiting payment",IF(N339="",IF(M339="","Schedule free video","Free video in production"),IF(P339="Approved","Active",IF(TODAY()&gt;O339,"Active – plan went ahead","Decision pending – "&amp;NETWORKDAYS(TODAY(),O339)&amp;" working day(s) left"))))))</f>
        <v/>
      </c>
      <c r="R339" s="17"/>
      <c r="S339" s="17"/>
      <c r="T339" s="48"/>
      <c r="U339" s="38"/>
      <c r="V339" s="38"/>
      <c r="W339" s="42" t="str">
        <f aca="false">IF(V339="","",EDATE(V339,Settings!$S$6))</f>
        <v/>
      </c>
      <c r="X339" s="17"/>
      <c r="Y339" s="17"/>
      <c r="Z339" s="17"/>
    </row>
    <row r="340" customFormat="false" ht="15" hidden="false" customHeight="false" outlineLevel="0" collapsed="false">
      <c r="A340" s="17"/>
      <c r="B340" s="17"/>
      <c r="C340" s="17"/>
      <c r="D340" s="17"/>
      <c r="E340" s="40"/>
      <c r="F340" s="17"/>
      <c r="G340" s="17"/>
      <c r="H340" s="17"/>
      <c r="I340" s="47" t="str">
        <f aca="false">IF(H340="","",IFERROR(INDEX(Settings!$G$2:$G$4,MATCH(H340,Settings!$F$2:$F$4,0)),""))</f>
        <v/>
      </c>
      <c r="J340" s="38"/>
      <c r="K340" s="48"/>
      <c r="L340" s="17"/>
      <c r="M340" s="38"/>
      <c r="N340" s="38"/>
      <c r="O340" s="42" t="str">
        <f aca="false">IF(N340="","",WORKDAY(N340,Settings!$S$4))</f>
        <v/>
      </c>
      <c r="P340" s="17"/>
      <c r="Q340" s="44" t="str">
        <f aca="true">IF(C340="","",IF(P340="Backed out",IF(S340="Paid","Refunded – closed",IF(R340="","Refund – log reason first","Refund in progress")),IF(K340="","Awaiting payment",IF(N340="",IF(M340="","Schedule free video","Free video in production"),IF(P340="Approved","Active",IF(TODAY()&gt;O340,"Active – plan went ahead","Decision pending – "&amp;NETWORKDAYS(TODAY(),O340)&amp;" working day(s) left"))))))</f>
        <v/>
      </c>
      <c r="R340" s="17"/>
      <c r="S340" s="17"/>
      <c r="T340" s="48"/>
      <c r="U340" s="38"/>
      <c r="V340" s="38"/>
      <c r="W340" s="42" t="str">
        <f aca="false">IF(V340="","",EDATE(V340,Settings!$S$6))</f>
        <v/>
      </c>
      <c r="X340" s="17"/>
      <c r="Y340" s="17"/>
      <c r="Z340" s="17"/>
    </row>
    <row r="341" customFormat="false" ht="15" hidden="false" customHeight="false" outlineLevel="0" collapsed="false">
      <c r="A341" s="17"/>
      <c r="B341" s="17"/>
      <c r="C341" s="17"/>
      <c r="D341" s="17"/>
      <c r="E341" s="40"/>
      <c r="F341" s="17"/>
      <c r="G341" s="17"/>
      <c r="H341" s="17"/>
      <c r="I341" s="47" t="str">
        <f aca="false">IF(H341="","",IFERROR(INDEX(Settings!$G$2:$G$4,MATCH(H341,Settings!$F$2:$F$4,0)),""))</f>
        <v/>
      </c>
      <c r="J341" s="38"/>
      <c r="K341" s="48"/>
      <c r="L341" s="17"/>
      <c r="M341" s="38"/>
      <c r="N341" s="38"/>
      <c r="O341" s="42" t="str">
        <f aca="false">IF(N341="","",WORKDAY(N341,Settings!$S$4))</f>
        <v/>
      </c>
      <c r="P341" s="17"/>
      <c r="Q341" s="44" t="str">
        <f aca="true">IF(C341="","",IF(P341="Backed out",IF(S341="Paid","Refunded – closed",IF(R341="","Refund – log reason first","Refund in progress")),IF(K341="","Awaiting payment",IF(N341="",IF(M341="","Schedule free video","Free video in production"),IF(P341="Approved","Active",IF(TODAY()&gt;O341,"Active – plan went ahead","Decision pending – "&amp;NETWORKDAYS(TODAY(),O341)&amp;" working day(s) left"))))))</f>
        <v/>
      </c>
      <c r="R341" s="17"/>
      <c r="S341" s="17"/>
      <c r="T341" s="48"/>
      <c r="U341" s="38"/>
      <c r="V341" s="38"/>
      <c r="W341" s="42" t="str">
        <f aca="false">IF(V341="","",EDATE(V341,Settings!$S$6))</f>
        <v/>
      </c>
      <c r="X341" s="17"/>
      <c r="Y341" s="17"/>
      <c r="Z341" s="17"/>
    </row>
    <row r="342" customFormat="false" ht="15" hidden="false" customHeight="false" outlineLevel="0" collapsed="false">
      <c r="A342" s="17"/>
      <c r="B342" s="17"/>
      <c r="C342" s="17"/>
      <c r="D342" s="17"/>
      <c r="E342" s="40"/>
      <c r="F342" s="17"/>
      <c r="G342" s="17"/>
      <c r="H342" s="17"/>
      <c r="I342" s="47" t="str">
        <f aca="false">IF(H342="","",IFERROR(INDEX(Settings!$G$2:$G$4,MATCH(H342,Settings!$F$2:$F$4,0)),""))</f>
        <v/>
      </c>
      <c r="J342" s="38"/>
      <c r="K342" s="48"/>
      <c r="L342" s="17"/>
      <c r="M342" s="38"/>
      <c r="N342" s="38"/>
      <c r="O342" s="42" t="str">
        <f aca="false">IF(N342="","",WORKDAY(N342,Settings!$S$4))</f>
        <v/>
      </c>
      <c r="P342" s="17"/>
      <c r="Q342" s="44" t="str">
        <f aca="true">IF(C342="","",IF(P342="Backed out",IF(S342="Paid","Refunded – closed",IF(R342="","Refund – log reason first","Refund in progress")),IF(K342="","Awaiting payment",IF(N342="",IF(M342="","Schedule free video","Free video in production"),IF(P342="Approved","Active",IF(TODAY()&gt;O342,"Active – plan went ahead","Decision pending – "&amp;NETWORKDAYS(TODAY(),O342)&amp;" working day(s) left"))))))</f>
        <v/>
      </c>
      <c r="R342" s="17"/>
      <c r="S342" s="17"/>
      <c r="T342" s="48"/>
      <c r="U342" s="38"/>
      <c r="V342" s="38"/>
      <c r="W342" s="42" t="str">
        <f aca="false">IF(V342="","",EDATE(V342,Settings!$S$6))</f>
        <v/>
      </c>
      <c r="X342" s="17"/>
      <c r="Y342" s="17"/>
      <c r="Z342" s="17"/>
    </row>
    <row r="343" customFormat="false" ht="15" hidden="false" customHeight="false" outlineLevel="0" collapsed="false">
      <c r="A343" s="17"/>
      <c r="B343" s="17"/>
      <c r="C343" s="17"/>
      <c r="D343" s="17"/>
      <c r="E343" s="40"/>
      <c r="F343" s="17"/>
      <c r="G343" s="17"/>
      <c r="H343" s="17"/>
      <c r="I343" s="47" t="str">
        <f aca="false">IF(H343="","",IFERROR(INDEX(Settings!$G$2:$G$4,MATCH(H343,Settings!$F$2:$F$4,0)),""))</f>
        <v/>
      </c>
      <c r="J343" s="38"/>
      <c r="K343" s="48"/>
      <c r="L343" s="17"/>
      <c r="M343" s="38"/>
      <c r="N343" s="38"/>
      <c r="O343" s="42" t="str">
        <f aca="false">IF(N343="","",WORKDAY(N343,Settings!$S$4))</f>
        <v/>
      </c>
      <c r="P343" s="17"/>
      <c r="Q343" s="44" t="str">
        <f aca="true">IF(C343="","",IF(P343="Backed out",IF(S343="Paid","Refunded – closed",IF(R343="","Refund – log reason first","Refund in progress")),IF(K343="","Awaiting payment",IF(N343="",IF(M343="","Schedule free video","Free video in production"),IF(P343="Approved","Active",IF(TODAY()&gt;O343,"Active – plan went ahead","Decision pending – "&amp;NETWORKDAYS(TODAY(),O343)&amp;" working day(s) left"))))))</f>
        <v/>
      </c>
      <c r="R343" s="17"/>
      <c r="S343" s="17"/>
      <c r="T343" s="48"/>
      <c r="U343" s="38"/>
      <c r="V343" s="38"/>
      <c r="W343" s="42" t="str">
        <f aca="false">IF(V343="","",EDATE(V343,Settings!$S$6))</f>
        <v/>
      </c>
      <c r="X343" s="17"/>
      <c r="Y343" s="17"/>
      <c r="Z343" s="17"/>
    </row>
    <row r="344" customFormat="false" ht="15" hidden="false" customHeight="false" outlineLevel="0" collapsed="false">
      <c r="A344" s="17"/>
      <c r="B344" s="17"/>
      <c r="C344" s="17"/>
      <c r="D344" s="17"/>
      <c r="E344" s="40"/>
      <c r="F344" s="17"/>
      <c r="G344" s="17"/>
      <c r="H344" s="17"/>
      <c r="I344" s="47" t="str">
        <f aca="false">IF(H344="","",IFERROR(INDEX(Settings!$G$2:$G$4,MATCH(H344,Settings!$F$2:$F$4,0)),""))</f>
        <v/>
      </c>
      <c r="J344" s="38"/>
      <c r="K344" s="48"/>
      <c r="L344" s="17"/>
      <c r="M344" s="38"/>
      <c r="N344" s="38"/>
      <c r="O344" s="42" t="str">
        <f aca="false">IF(N344="","",WORKDAY(N344,Settings!$S$4))</f>
        <v/>
      </c>
      <c r="P344" s="17"/>
      <c r="Q344" s="44" t="str">
        <f aca="true">IF(C344="","",IF(P344="Backed out",IF(S344="Paid","Refunded – closed",IF(R344="","Refund – log reason first","Refund in progress")),IF(K344="","Awaiting payment",IF(N344="",IF(M344="","Schedule free video","Free video in production"),IF(P344="Approved","Active",IF(TODAY()&gt;O344,"Active – plan went ahead","Decision pending – "&amp;NETWORKDAYS(TODAY(),O344)&amp;" working day(s) left"))))))</f>
        <v/>
      </c>
      <c r="R344" s="17"/>
      <c r="S344" s="17"/>
      <c r="T344" s="48"/>
      <c r="U344" s="38"/>
      <c r="V344" s="38"/>
      <c r="W344" s="42" t="str">
        <f aca="false">IF(V344="","",EDATE(V344,Settings!$S$6))</f>
        <v/>
      </c>
      <c r="X344" s="17"/>
      <c r="Y344" s="17"/>
      <c r="Z344" s="17"/>
    </row>
    <row r="345" customFormat="false" ht="15" hidden="false" customHeight="false" outlineLevel="0" collapsed="false">
      <c r="A345" s="17"/>
      <c r="B345" s="17"/>
      <c r="C345" s="17"/>
      <c r="D345" s="17"/>
      <c r="E345" s="40"/>
      <c r="F345" s="17"/>
      <c r="G345" s="17"/>
      <c r="H345" s="17"/>
      <c r="I345" s="47" t="str">
        <f aca="false">IF(H345="","",IFERROR(INDEX(Settings!$G$2:$G$4,MATCH(H345,Settings!$F$2:$F$4,0)),""))</f>
        <v/>
      </c>
      <c r="J345" s="38"/>
      <c r="K345" s="48"/>
      <c r="L345" s="17"/>
      <c r="M345" s="38"/>
      <c r="N345" s="38"/>
      <c r="O345" s="42" t="str">
        <f aca="false">IF(N345="","",WORKDAY(N345,Settings!$S$4))</f>
        <v/>
      </c>
      <c r="P345" s="17"/>
      <c r="Q345" s="44" t="str">
        <f aca="true">IF(C345="","",IF(P345="Backed out",IF(S345="Paid","Refunded – closed",IF(R345="","Refund – log reason first","Refund in progress")),IF(K345="","Awaiting payment",IF(N345="",IF(M345="","Schedule free video","Free video in production"),IF(P345="Approved","Active",IF(TODAY()&gt;O345,"Active – plan went ahead","Decision pending – "&amp;NETWORKDAYS(TODAY(),O345)&amp;" working day(s) left"))))))</f>
        <v/>
      </c>
      <c r="R345" s="17"/>
      <c r="S345" s="17"/>
      <c r="T345" s="48"/>
      <c r="U345" s="38"/>
      <c r="V345" s="38"/>
      <c r="W345" s="42" t="str">
        <f aca="false">IF(V345="","",EDATE(V345,Settings!$S$6))</f>
        <v/>
      </c>
      <c r="X345" s="17"/>
      <c r="Y345" s="17"/>
      <c r="Z345" s="17"/>
    </row>
    <row r="346" customFormat="false" ht="15" hidden="false" customHeight="false" outlineLevel="0" collapsed="false">
      <c r="A346" s="17"/>
      <c r="B346" s="17"/>
      <c r="C346" s="17"/>
      <c r="D346" s="17"/>
      <c r="E346" s="40"/>
      <c r="F346" s="17"/>
      <c r="G346" s="17"/>
      <c r="H346" s="17"/>
      <c r="I346" s="47" t="str">
        <f aca="false">IF(H346="","",IFERROR(INDEX(Settings!$G$2:$G$4,MATCH(H346,Settings!$F$2:$F$4,0)),""))</f>
        <v/>
      </c>
      <c r="J346" s="38"/>
      <c r="K346" s="48"/>
      <c r="L346" s="17"/>
      <c r="M346" s="38"/>
      <c r="N346" s="38"/>
      <c r="O346" s="42" t="str">
        <f aca="false">IF(N346="","",WORKDAY(N346,Settings!$S$4))</f>
        <v/>
      </c>
      <c r="P346" s="17"/>
      <c r="Q346" s="44" t="str">
        <f aca="true">IF(C346="","",IF(P346="Backed out",IF(S346="Paid","Refunded – closed",IF(R346="","Refund – log reason first","Refund in progress")),IF(K346="","Awaiting payment",IF(N346="",IF(M346="","Schedule free video","Free video in production"),IF(P346="Approved","Active",IF(TODAY()&gt;O346,"Active – plan went ahead","Decision pending – "&amp;NETWORKDAYS(TODAY(),O346)&amp;" working day(s) left"))))))</f>
        <v/>
      </c>
      <c r="R346" s="17"/>
      <c r="S346" s="17"/>
      <c r="T346" s="48"/>
      <c r="U346" s="38"/>
      <c r="V346" s="38"/>
      <c r="W346" s="42" t="str">
        <f aca="false">IF(V346="","",EDATE(V346,Settings!$S$6))</f>
        <v/>
      </c>
      <c r="X346" s="17"/>
      <c r="Y346" s="17"/>
      <c r="Z346" s="17"/>
    </row>
    <row r="347" customFormat="false" ht="15" hidden="false" customHeight="false" outlineLevel="0" collapsed="false">
      <c r="A347" s="17"/>
      <c r="B347" s="17"/>
      <c r="C347" s="17"/>
      <c r="D347" s="17"/>
      <c r="E347" s="40"/>
      <c r="F347" s="17"/>
      <c r="G347" s="17"/>
      <c r="H347" s="17"/>
      <c r="I347" s="47" t="str">
        <f aca="false">IF(H347="","",IFERROR(INDEX(Settings!$G$2:$G$4,MATCH(H347,Settings!$F$2:$F$4,0)),""))</f>
        <v/>
      </c>
      <c r="J347" s="38"/>
      <c r="K347" s="48"/>
      <c r="L347" s="17"/>
      <c r="M347" s="38"/>
      <c r="N347" s="38"/>
      <c r="O347" s="42" t="str">
        <f aca="false">IF(N347="","",WORKDAY(N347,Settings!$S$4))</f>
        <v/>
      </c>
      <c r="P347" s="17"/>
      <c r="Q347" s="44" t="str">
        <f aca="true">IF(C347="","",IF(P347="Backed out",IF(S347="Paid","Refunded – closed",IF(R347="","Refund – log reason first","Refund in progress")),IF(K347="","Awaiting payment",IF(N347="",IF(M347="","Schedule free video","Free video in production"),IF(P347="Approved","Active",IF(TODAY()&gt;O347,"Active – plan went ahead","Decision pending – "&amp;NETWORKDAYS(TODAY(),O347)&amp;" working day(s) left"))))))</f>
        <v/>
      </c>
      <c r="R347" s="17"/>
      <c r="S347" s="17"/>
      <c r="T347" s="48"/>
      <c r="U347" s="38"/>
      <c r="V347" s="38"/>
      <c r="W347" s="42" t="str">
        <f aca="false">IF(V347="","",EDATE(V347,Settings!$S$6))</f>
        <v/>
      </c>
      <c r="X347" s="17"/>
      <c r="Y347" s="17"/>
      <c r="Z347" s="17"/>
    </row>
    <row r="348" customFormat="false" ht="15" hidden="false" customHeight="false" outlineLevel="0" collapsed="false">
      <c r="A348" s="17"/>
      <c r="B348" s="17"/>
      <c r="C348" s="17"/>
      <c r="D348" s="17"/>
      <c r="E348" s="40"/>
      <c r="F348" s="17"/>
      <c r="G348" s="17"/>
      <c r="H348" s="17"/>
      <c r="I348" s="47" t="str">
        <f aca="false">IF(H348="","",IFERROR(INDEX(Settings!$G$2:$G$4,MATCH(H348,Settings!$F$2:$F$4,0)),""))</f>
        <v/>
      </c>
      <c r="J348" s="38"/>
      <c r="K348" s="48"/>
      <c r="L348" s="17"/>
      <c r="M348" s="38"/>
      <c r="N348" s="38"/>
      <c r="O348" s="42" t="str">
        <f aca="false">IF(N348="","",WORKDAY(N348,Settings!$S$4))</f>
        <v/>
      </c>
      <c r="P348" s="17"/>
      <c r="Q348" s="44" t="str">
        <f aca="true">IF(C348="","",IF(P348="Backed out",IF(S348="Paid","Refunded – closed",IF(R348="","Refund – log reason first","Refund in progress")),IF(K348="","Awaiting payment",IF(N348="",IF(M348="","Schedule free video","Free video in production"),IF(P348="Approved","Active",IF(TODAY()&gt;O348,"Active – plan went ahead","Decision pending – "&amp;NETWORKDAYS(TODAY(),O348)&amp;" working day(s) left"))))))</f>
        <v/>
      </c>
      <c r="R348" s="17"/>
      <c r="S348" s="17"/>
      <c r="T348" s="48"/>
      <c r="U348" s="38"/>
      <c r="V348" s="38"/>
      <c r="W348" s="42" t="str">
        <f aca="false">IF(V348="","",EDATE(V348,Settings!$S$6))</f>
        <v/>
      </c>
      <c r="X348" s="17"/>
      <c r="Y348" s="17"/>
      <c r="Z348" s="17"/>
    </row>
    <row r="349" customFormat="false" ht="15" hidden="false" customHeight="false" outlineLevel="0" collapsed="false">
      <c r="A349" s="17"/>
      <c r="B349" s="17"/>
      <c r="C349" s="17"/>
      <c r="D349" s="17"/>
      <c r="E349" s="40"/>
      <c r="F349" s="17"/>
      <c r="G349" s="17"/>
      <c r="H349" s="17"/>
      <c r="I349" s="47" t="str">
        <f aca="false">IF(H349="","",IFERROR(INDEX(Settings!$G$2:$G$4,MATCH(H349,Settings!$F$2:$F$4,0)),""))</f>
        <v/>
      </c>
      <c r="J349" s="38"/>
      <c r="K349" s="48"/>
      <c r="L349" s="17"/>
      <c r="M349" s="38"/>
      <c r="N349" s="38"/>
      <c r="O349" s="42" t="str">
        <f aca="false">IF(N349="","",WORKDAY(N349,Settings!$S$4))</f>
        <v/>
      </c>
      <c r="P349" s="17"/>
      <c r="Q349" s="44" t="str">
        <f aca="true">IF(C349="","",IF(P349="Backed out",IF(S349="Paid","Refunded – closed",IF(R349="","Refund – log reason first","Refund in progress")),IF(K349="","Awaiting payment",IF(N349="",IF(M349="","Schedule free video","Free video in production"),IF(P349="Approved","Active",IF(TODAY()&gt;O349,"Active – plan went ahead","Decision pending – "&amp;NETWORKDAYS(TODAY(),O349)&amp;" working day(s) left"))))))</f>
        <v/>
      </c>
      <c r="R349" s="17"/>
      <c r="S349" s="17"/>
      <c r="T349" s="48"/>
      <c r="U349" s="38"/>
      <c r="V349" s="38"/>
      <c r="W349" s="42" t="str">
        <f aca="false">IF(V349="","",EDATE(V349,Settings!$S$6))</f>
        <v/>
      </c>
      <c r="X349" s="17"/>
      <c r="Y349" s="17"/>
      <c r="Z349" s="17"/>
    </row>
    <row r="350" customFormat="false" ht="15" hidden="false" customHeight="false" outlineLevel="0" collapsed="false">
      <c r="A350" s="17"/>
      <c r="B350" s="17"/>
      <c r="C350" s="17"/>
      <c r="D350" s="17"/>
      <c r="E350" s="40"/>
      <c r="F350" s="17"/>
      <c r="G350" s="17"/>
      <c r="H350" s="17"/>
      <c r="I350" s="47" t="str">
        <f aca="false">IF(H350="","",IFERROR(INDEX(Settings!$G$2:$G$4,MATCH(H350,Settings!$F$2:$F$4,0)),""))</f>
        <v/>
      </c>
      <c r="J350" s="38"/>
      <c r="K350" s="48"/>
      <c r="L350" s="17"/>
      <c r="M350" s="38"/>
      <c r="N350" s="38"/>
      <c r="O350" s="42" t="str">
        <f aca="false">IF(N350="","",WORKDAY(N350,Settings!$S$4))</f>
        <v/>
      </c>
      <c r="P350" s="17"/>
      <c r="Q350" s="44" t="str">
        <f aca="true">IF(C350="","",IF(P350="Backed out",IF(S350="Paid","Refunded – closed",IF(R350="","Refund – log reason first","Refund in progress")),IF(K350="","Awaiting payment",IF(N350="",IF(M350="","Schedule free video","Free video in production"),IF(P350="Approved","Active",IF(TODAY()&gt;O350,"Active – plan went ahead","Decision pending – "&amp;NETWORKDAYS(TODAY(),O350)&amp;" working day(s) left"))))))</f>
        <v/>
      </c>
      <c r="R350" s="17"/>
      <c r="S350" s="17"/>
      <c r="T350" s="48"/>
      <c r="U350" s="38"/>
      <c r="V350" s="38"/>
      <c r="W350" s="42" t="str">
        <f aca="false">IF(V350="","",EDATE(V350,Settings!$S$6))</f>
        <v/>
      </c>
      <c r="X350" s="17"/>
      <c r="Y350" s="17"/>
      <c r="Z350" s="17"/>
    </row>
    <row r="351" customFormat="false" ht="15" hidden="false" customHeight="false" outlineLevel="0" collapsed="false">
      <c r="A351" s="17"/>
      <c r="B351" s="17"/>
      <c r="C351" s="17"/>
      <c r="D351" s="17"/>
      <c r="E351" s="40"/>
      <c r="F351" s="17"/>
      <c r="G351" s="17"/>
      <c r="H351" s="17"/>
      <c r="I351" s="47" t="str">
        <f aca="false">IF(H351="","",IFERROR(INDEX(Settings!$G$2:$G$4,MATCH(H351,Settings!$F$2:$F$4,0)),""))</f>
        <v/>
      </c>
      <c r="J351" s="38"/>
      <c r="K351" s="48"/>
      <c r="L351" s="17"/>
      <c r="M351" s="38"/>
      <c r="N351" s="38"/>
      <c r="O351" s="42" t="str">
        <f aca="false">IF(N351="","",WORKDAY(N351,Settings!$S$4))</f>
        <v/>
      </c>
      <c r="P351" s="17"/>
      <c r="Q351" s="44" t="str">
        <f aca="true">IF(C351="","",IF(P351="Backed out",IF(S351="Paid","Refunded – closed",IF(R351="","Refund – log reason first","Refund in progress")),IF(K351="","Awaiting payment",IF(N351="",IF(M351="","Schedule free video","Free video in production"),IF(P351="Approved","Active",IF(TODAY()&gt;O351,"Active – plan went ahead","Decision pending – "&amp;NETWORKDAYS(TODAY(),O351)&amp;" working day(s) left"))))))</f>
        <v/>
      </c>
      <c r="R351" s="17"/>
      <c r="S351" s="17"/>
      <c r="T351" s="48"/>
      <c r="U351" s="38"/>
      <c r="V351" s="38"/>
      <c r="W351" s="42" t="str">
        <f aca="false">IF(V351="","",EDATE(V351,Settings!$S$6))</f>
        <v/>
      </c>
      <c r="X351" s="17"/>
      <c r="Y351" s="17"/>
      <c r="Z351" s="17"/>
    </row>
    <row r="352" customFormat="false" ht="15" hidden="false" customHeight="false" outlineLevel="0" collapsed="false">
      <c r="A352" s="17"/>
      <c r="B352" s="17"/>
      <c r="C352" s="17"/>
      <c r="D352" s="17"/>
      <c r="E352" s="40"/>
      <c r="F352" s="17"/>
      <c r="G352" s="17"/>
      <c r="H352" s="17"/>
      <c r="I352" s="47" t="str">
        <f aca="false">IF(H352="","",IFERROR(INDEX(Settings!$G$2:$G$4,MATCH(H352,Settings!$F$2:$F$4,0)),""))</f>
        <v/>
      </c>
      <c r="J352" s="38"/>
      <c r="K352" s="48"/>
      <c r="L352" s="17"/>
      <c r="M352" s="38"/>
      <c r="N352" s="38"/>
      <c r="O352" s="42" t="str">
        <f aca="false">IF(N352="","",WORKDAY(N352,Settings!$S$4))</f>
        <v/>
      </c>
      <c r="P352" s="17"/>
      <c r="Q352" s="44" t="str">
        <f aca="true">IF(C352="","",IF(P352="Backed out",IF(S352="Paid","Refunded – closed",IF(R352="","Refund – log reason first","Refund in progress")),IF(K352="","Awaiting payment",IF(N352="",IF(M352="","Schedule free video","Free video in production"),IF(P352="Approved","Active",IF(TODAY()&gt;O352,"Active – plan went ahead","Decision pending – "&amp;NETWORKDAYS(TODAY(),O352)&amp;" working day(s) left"))))))</f>
        <v/>
      </c>
      <c r="R352" s="17"/>
      <c r="S352" s="17"/>
      <c r="T352" s="48"/>
      <c r="U352" s="38"/>
      <c r="V352" s="38"/>
      <c r="W352" s="42" t="str">
        <f aca="false">IF(V352="","",EDATE(V352,Settings!$S$6))</f>
        <v/>
      </c>
      <c r="X352" s="17"/>
      <c r="Y352" s="17"/>
      <c r="Z352" s="17"/>
    </row>
    <row r="353" customFormat="false" ht="15" hidden="false" customHeight="false" outlineLevel="0" collapsed="false">
      <c r="A353" s="17"/>
      <c r="B353" s="17"/>
      <c r="C353" s="17"/>
      <c r="D353" s="17"/>
      <c r="E353" s="40"/>
      <c r="F353" s="17"/>
      <c r="G353" s="17"/>
      <c r="H353" s="17"/>
      <c r="I353" s="47" t="str">
        <f aca="false">IF(H353="","",IFERROR(INDEX(Settings!$G$2:$G$4,MATCH(H353,Settings!$F$2:$F$4,0)),""))</f>
        <v/>
      </c>
      <c r="J353" s="38"/>
      <c r="K353" s="48"/>
      <c r="L353" s="17"/>
      <c r="M353" s="38"/>
      <c r="N353" s="38"/>
      <c r="O353" s="42" t="str">
        <f aca="false">IF(N353="","",WORKDAY(N353,Settings!$S$4))</f>
        <v/>
      </c>
      <c r="P353" s="17"/>
      <c r="Q353" s="44" t="str">
        <f aca="true">IF(C353="","",IF(P353="Backed out",IF(S353="Paid","Refunded – closed",IF(R353="","Refund – log reason first","Refund in progress")),IF(K353="","Awaiting payment",IF(N353="",IF(M353="","Schedule free video","Free video in production"),IF(P353="Approved","Active",IF(TODAY()&gt;O353,"Active – plan went ahead","Decision pending – "&amp;NETWORKDAYS(TODAY(),O353)&amp;" working day(s) left"))))))</f>
        <v/>
      </c>
      <c r="R353" s="17"/>
      <c r="S353" s="17"/>
      <c r="T353" s="48"/>
      <c r="U353" s="38"/>
      <c r="V353" s="38"/>
      <c r="W353" s="42" t="str">
        <f aca="false">IF(V353="","",EDATE(V353,Settings!$S$6))</f>
        <v/>
      </c>
      <c r="X353" s="17"/>
      <c r="Y353" s="17"/>
      <c r="Z353" s="17"/>
    </row>
    <row r="354" customFormat="false" ht="15" hidden="false" customHeight="false" outlineLevel="0" collapsed="false">
      <c r="A354" s="17"/>
      <c r="B354" s="17"/>
      <c r="C354" s="17"/>
      <c r="D354" s="17"/>
      <c r="E354" s="40"/>
      <c r="F354" s="17"/>
      <c r="G354" s="17"/>
      <c r="H354" s="17"/>
      <c r="I354" s="47" t="str">
        <f aca="false">IF(H354="","",IFERROR(INDEX(Settings!$G$2:$G$4,MATCH(H354,Settings!$F$2:$F$4,0)),""))</f>
        <v/>
      </c>
      <c r="J354" s="38"/>
      <c r="K354" s="48"/>
      <c r="L354" s="17"/>
      <c r="M354" s="38"/>
      <c r="N354" s="38"/>
      <c r="O354" s="42" t="str">
        <f aca="false">IF(N354="","",WORKDAY(N354,Settings!$S$4))</f>
        <v/>
      </c>
      <c r="P354" s="17"/>
      <c r="Q354" s="44" t="str">
        <f aca="true">IF(C354="","",IF(P354="Backed out",IF(S354="Paid","Refunded – closed",IF(R354="","Refund – log reason first","Refund in progress")),IF(K354="","Awaiting payment",IF(N354="",IF(M354="","Schedule free video","Free video in production"),IF(P354="Approved","Active",IF(TODAY()&gt;O354,"Active – plan went ahead","Decision pending – "&amp;NETWORKDAYS(TODAY(),O354)&amp;" working day(s) left"))))))</f>
        <v/>
      </c>
      <c r="R354" s="17"/>
      <c r="S354" s="17"/>
      <c r="T354" s="48"/>
      <c r="U354" s="38"/>
      <c r="V354" s="38"/>
      <c r="W354" s="42" t="str">
        <f aca="false">IF(V354="","",EDATE(V354,Settings!$S$6))</f>
        <v/>
      </c>
      <c r="X354" s="17"/>
      <c r="Y354" s="17"/>
      <c r="Z354" s="17"/>
    </row>
    <row r="355" customFormat="false" ht="15" hidden="false" customHeight="false" outlineLevel="0" collapsed="false">
      <c r="A355" s="17"/>
      <c r="B355" s="17"/>
      <c r="C355" s="17"/>
      <c r="D355" s="17"/>
      <c r="E355" s="40"/>
      <c r="F355" s="17"/>
      <c r="G355" s="17"/>
      <c r="H355" s="17"/>
      <c r="I355" s="47" t="str">
        <f aca="false">IF(H355="","",IFERROR(INDEX(Settings!$G$2:$G$4,MATCH(H355,Settings!$F$2:$F$4,0)),""))</f>
        <v/>
      </c>
      <c r="J355" s="38"/>
      <c r="K355" s="48"/>
      <c r="L355" s="17"/>
      <c r="M355" s="38"/>
      <c r="N355" s="38"/>
      <c r="O355" s="42" t="str">
        <f aca="false">IF(N355="","",WORKDAY(N355,Settings!$S$4))</f>
        <v/>
      </c>
      <c r="P355" s="17"/>
      <c r="Q355" s="44" t="str">
        <f aca="true">IF(C355="","",IF(P355="Backed out",IF(S355="Paid","Refunded – closed",IF(R355="","Refund – log reason first","Refund in progress")),IF(K355="","Awaiting payment",IF(N355="",IF(M355="","Schedule free video","Free video in production"),IF(P355="Approved","Active",IF(TODAY()&gt;O355,"Active – plan went ahead","Decision pending – "&amp;NETWORKDAYS(TODAY(),O355)&amp;" working day(s) left"))))))</f>
        <v/>
      </c>
      <c r="R355" s="17"/>
      <c r="S355" s="17"/>
      <c r="T355" s="48"/>
      <c r="U355" s="38"/>
      <c r="V355" s="38"/>
      <c r="W355" s="42" t="str">
        <f aca="false">IF(V355="","",EDATE(V355,Settings!$S$6))</f>
        <v/>
      </c>
      <c r="X355" s="17"/>
      <c r="Y355" s="17"/>
      <c r="Z355" s="17"/>
    </row>
    <row r="356" customFormat="false" ht="15" hidden="false" customHeight="false" outlineLevel="0" collapsed="false">
      <c r="A356" s="17"/>
      <c r="B356" s="17"/>
      <c r="C356" s="17"/>
      <c r="D356" s="17"/>
      <c r="E356" s="40"/>
      <c r="F356" s="17"/>
      <c r="G356" s="17"/>
      <c r="H356" s="17"/>
      <c r="I356" s="47" t="str">
        <f aca="false">IF(H356="","",IFERROR(INDEX(Settings!$G$2:$G$4,MATCH(H356,Settings!$F$2:$F$4,0)),""))</f>
        <v/>
      </c>
      <c r="J356" s="38"/>
      <c r="K356" s="48"/>
      <c r="L356" s="17"/>
      <c r="M356" s="38"/>
      <c r="N356" s="38"/>
      <c r="O356" s="42" t="str">
        <f aca="false">IF(N356="","",WORKDAY(N356,Settings!$S$4))</f>
        <v/>
      </c>
      <c r="P356" s="17"/>
      <c r="Q356" s="44" t="str">
        <f aca="true">IF(C356="","",IF(P356="Backed out",IF(S356="Paid","Refunded – closed",IF(R356="","Refund – log reason first","Refund in progress")),IF(K356="","Awaiting payment",IF(N356="",IF(M356="","Schedule free video","Free video in production"),IF(P356="Approved","Active",IF(TODAY()&gt;O356,"Active – plan went ahead","Decision pending – "&amp;NETWORKDAYS(TODAY(),O356)&amp;" working day(s) left"))))))</f>
        <v/>
      </c>
      <c r="R356" s="17"/>
      <c r="S356" s="17"/>
      <c r="T356" s="48"/>
      <c r="U356" s="38"/>
      <c r="V356" s="38"/>
      <c r="W356" s="42" t="str">
        <f aca="false">IF(V356="","",EDATE(V356,Settings!$S$6))</f>
        <v/>
      </c>
      <c r="X356" s="17"/>
      <c r="Y356" s="17"/>
      <c r="Z356" s="17"/>
    </row>
    <row r="357" customFormat="false" ht="15" hidden="false" customHeight="false" outlineLevel="0" collapsed="false">
      <c r="A357" s="17"/>
      <c r="B357" s="17"/>
      <c r="C357" s="17"/>
      <c r="D357" s="17"/>
      <c r="E357" s="40"/>
      <c r="F357" s="17"/>
      <c r="G357" s="17"/>
      <c r="H357" s="17"/>
      <c r="I357" s="47" t="str">
        <f aca="false">IF(H357="","",IFERROR(INDEX(Settings!$G$2:$G$4,MATCH(H357,Settings!$F$2:$F$4,0)),""))</f>
        <v/>
      </c>
      <c r="J357" s="38"/>
      <c r="K357" s="48"/>
      <c r="L357" s="17"/>
      <c r="M357" s="38"/>
      <c r="N357" s="38"/>
      <c r="O357" s="42" t="str">
        <f aca="false">IF(N357="","",WORKDAY(N357,Settings!$S$4))</f>
        <v/>
      </c>
      <c r="P357" s="17"/>
      <c r="Q357" s="44" t="str">
        <f aca="true">IF(C357="","",IF(P357="Backed out",IF(S357="Paid","Refunded – closed",IF(R357="","Refund – log reason first","Refund in progress")),IF(K357="","Awaiting payment",IF(N357="",IF(M357="","Schedule free video","Free video in production"),IF(P357="Approved","Active",IF(TODAY()&gt;O357,"Active – plan went ahead","Decision pending – "&amp;NETWORKDAYS(TODAY(),O357)&amp;" working day(s) left"))))))</f>
        <v/>
      </c>
      <c r="R357" s="17"/>
      <c r="S357" s="17"/>
      <c r="T357" s="48"/>
      <c r="U357" s="38"/>
      <c r="V357" s="38"/>
      <c r="W357" s="42" t="str">
        <f aca="false">IF(V357="","",EDATE(V357,Settings!$S$6))</f>
        <v/>
      </c>
      <c r="X357" s="17"/>
      <c r="Y357" s="17"/>
      <c r="Z357" s="17"/>
    </row>
    <row r="358" customFormat="false" ht="15" hidden="false" customHeight="false" outlineLevel="0" collapsed="false">
      <c r="A358" s="17"/>
      <c r="B358" s="17"/>
      <c r="C358" s="17"/>
      <c r="D358" s="17"/>
      <c r="E358" s="40"/>
      <c r="F358" s="17"/>
      <c r="G358" s="17"/>
      <c r="H358" s="17"/>
      <c r="I358" s="47" t="str">
        <f aca="false">IF(H358="","",IFERROR(INDEX(Settings!$G$2:$G$4,MATCH(H358,Settings!$F$2:$F$4,0)),""))</f>
        <v/>
      </c>
      <c r="J358" s="38"/>
      <c r="K358" s="48"/>
      <c r="L358" s="17"/>
      <c r="M358" s="38"/>
      <c r="N358" s="38"/>
      <c r="O358" s="42" t="str">
        <f aca="false">IF(N358="","",WORKDAY(N358,Settings!$S$4))</f>
        <v/>
      </c>
      <c r="P358" s="17"/>
      <c r="Q358" s="44" t="str">
        <f aca="true">IF(C358="","",IF(P358="Backed out",IF(S358="Paid","Refunded – closed",IF(R358="","Refund – log reason first","Refund in progress")),IF(K358="","Awaiting payment",IF(N358="",IF(M358="","Schedule free video","Free video in production"),IF(P358="Approved","Active",IF(TODAY()&gt;O358,"Active – plan went ahead","Decision pending – "&amp;NETWORKDAYS(TODAY(),O358)&amp;" working day(s) left"))))))</f>
        <v/>
      </c>
      <c r="R358" s="17"/>
      <c r="S358" s="17"/>
      <c r="T358" s="48"/>
      <c r="U358" s="38"/>
      <c r="V358" s="38"/>
      <c r="W358" s="42" t="str">
        <f aca="false">IF(V358="","",EDATE(V358,Settings!$S$6))</f>
        <v/>
      </c>
      <c r="X358" s="17"/>
      <c r="Y358" s="17"/>
      <c r="Z358" s="17"/>
    </row>
    <row r="359" customFormat="false" ht="15" hidden="false" customHeight="false" outlineLevel="0" collapsed="false">
      <c r="A359" s="17"/>
      <c r="B359" s="17"/>
      <c r="C359" s="17"/>
      <c r="D359" s="17"/>
      <c r="E359" s="40"/>
      <c r="F359" s="17"/>
      <c r="G359" s="17"/>
      <c r="H359" s="17"/>
      <c r="I359" s="47" t="str">
        <f aca="false">IF(H359="","",IFERROR(INDEX(Settings!$G$2:$G$4,MATCH(H359,Settings!$F$2:$F$4,0)),""))</f>
        <v/>
      </c>
      <c r="J359" s="38"/>
      <c r="K359" s="48"/>
      <c r="L359" s="17"/>
      <c r="M359" s="38"/>
      <c r="N359" s="38"/>
      <c r="O359" s="42" t="str">
        <f aca="false">IF(N359="","",WORKDAY(N359,Settings!$S$4))</f>
        <v/>
      </c>
      <c r="P359" s="17"/>
      <c r="Q359" s="44" t="str">
        <f aca="true">IF(C359="","",IF(P359="Backed out",IF(S359="Paid","Refunded – closed",IF(R359="","Refund – log reason first","Refund in progress")),IF(K359="","Awaiting payment",IF(N359="",IF(M359="","Schedule free video","Free video in production"),IF(P359="Approved","Active",IF(TODAY()&gt;O359,"Active – plan went ahead","Decision pending – "&amp;NETWORKDAYS(TODAY(),O359)&amp;" working day(s) left"))))))</f>
        <v/>
      </c>
      <c r="R359" s="17"/>
      <c r="S359" s="17"/>
      <c r="T359" s="48"/>
      <c r="U359" s="38"/>
      <c r="V359" s="38"/>
      <c r="W359" s="42" t="str">
        <f aca="false">IF(V359="","",EDATE(V359,Settings!$S$6))</f>
        <v/>
      </c>
      <c r="X359" s="17"/>
      <c r="Y359" s="17"/>
      <c r="Z359" s="17"/>
    </row>
    <row r="360" customFormat="false" ht="15" hidden="false" customHeight="false" outlineLevel="0" collapsed="false">
      <c r="A360" s="17"/>
      <c r="B360" s="17"/>
      <c r="C360" s="17"/>
      <c r="D360" s="17"/>
      <c r="E360" s="40"/>
      <c r="F360" s="17"/>
      <c r="G360" s="17"/>
      <c r="H360" s="17"/>
      <c r="I360" s="47" t="str">
        <f aca="false">IF(H360="","",IFERROR(INDEX(Settings!$G$2:$G$4,MATCH(H360,Settings!$F$2:$F$4,0)),""))</f>
        <v/>
      </c>
      <c r="J360" s="38"/>
      <c r="K360" s="48"/>
      <c r="L360" s="17"/>
      <c r="M360" s="38"/>
      <c r="N360" s="38"/>
      <c r="O360" s="42" t="str">
        <f aca="false">IF(N360="","",WORKDAY(N360,Settings!$S$4))</f>
        <v/>
      </c>
      <c r="P360" s="17"/>
      <c r="Q360" s="44" t="str">
        <f aca="true">IF(C360="","",IF(P360="Backed out",IF(S360="Paid","Refunded – closed",IF(R360="","Refund – log reason first","Refund in progress")),IF(K360="","Awaiting payment",IF(N360="",IF(M360="","Schedule free video","Free video in production"),IF(P360="Approved","Active",IF(TODAY()&gt;O360,"Active – plan went ahead","Decision pending – "&amp;NETWORKDAYS(TODAY(),O360)&amp;" working day(s) left"))))))</f>
        <v/>
      </c>
      <c r="R360" s="17"/>
      <c r="S360" s="17"/>
      <c r="T360" s="48"/>
      <c r="U360" s="38"/>
      <c r="V360" s="38"/>
      <c r="W360" s="42" t="str">
        <f aca="false">IF(V360="","",EDATE(V360,Settings!$S$6))</f>
        <v/>
      </c>
      <c r="X360" s="17"/>
      <c r="Y360" s="17"/>
      <c r="Z360" s="17"/>
    </row>
    <row r="361" customFormat="false" ht="15" hidden="false" customHeight="false" outlineLevel="0" collapsed="false">
      <c r="A361" s="17"/>
      <c r="B361" s="17"/>
      <c r="C361" s="17"/>
      <c r="D361" s="17"/>
      <c r="E361" s="40"/>
      <c r="F361" s="17"/>
      <c r="G361" s="17"/>
      <c r="H361" s="17"/>
      <c r="I361" s="47" t="str">
        <f aca="false">IF(H361="","",IFERROR(INDEX(Settings!$G$2:$G$4,MATCH(H361,Settings!$F$2:$F$4,0)),""))</f>
        <v/>
      </c>
      <c r="J361" s="38"/>
      <c r="K361" s="48"/>
      <c r="L361" s="17"/>
      <c r="M361" s="38"/>
      <c r="N361" s="38"/>
      <c r="O361" s="42" t="str">
        <f aca="false">IF(N361="","",WORKDAY(N361,Settings!$S$4))</f>
        <v/>
      </c>
      <c r="P361" s="17"/>
      <c r="Q361" s="44" t="str">
        <f aca="true">IF(C361="","",IF(P361="Backed out",IF(S361="Paid","Refunded – closed",IF(R361="","Refund – log reason first","Refund in progress")),IF(K361="","Awaiting payment",IF(N361="",IF(M361="","Schedule free video","Free video in production"),IF(P361="Approved","Active",IF(TODAY()&gt;O361,"Active – plan went ahead","Decision pending – "&amp;NETWORKDAYS(TODAY(),O361)&amp;" working day(s) left"))))))</f>
        <v/>
      </c>
      <c r="R361" s="17"/>
      <c r="S361" s="17"/>
      <c r="T361" s="48"/>
      <c r="U361" s="38"/>
      <c r="V361" s="38"/>
      <c r="W361" s="42" t="str">
        <f aca="false">IF(V361="","",EDATE(V361,Settings!$S$6))</f>
        <v/>
      </c>
      <c r="X361" s="17"/>
      <c r="Y361" s="17"/>
      <c r="Z361" s="17"/>
    </row>
    <row r="362" customFormat="false" ht="15" hidden="false" customHeight="false" outlineLevel="0" collapsed="false">
      <c r="A362" s="17"/>
      <c r="B362" s="17"/>
      <c r="C362" s="17"/>
      <c r="D362" s="17"/>
      <c r="E362" s="40"/>
      <c r="F362" s="17"/>
      <c r="G362" s="17"/>
      <c r="H362" s="17"/>
      <c r="I362" s="47" t="str">
        <f aca="false">IF(H362="","",IFERROR(INDEX(Settings!$G$2:$G$4,MATCH(H362,Settings!$F$2:$F$4,0)),""))</f>
        <v/>
      </c>
      <c r="J362" s="38"/>
      <c r="K362" s="48"/>
      <c r="L362" s="17"/>
      <c r="M362" s="38"/>
      <c r="N362" s="38"/>
      <c r="O362" s="42" t="str">
        <f aca="false">IF(N362="","",WORKDAY(N362,Settings!$S$4))</f>
        <v/>
      </c>
      <c r="P362" s="17"/>
      <c r="Q362" s="44" t="str">
        <f aca="true">IF(C362="","",IF(P362="Backed out",IF(S362="Paid","Refunded – closed",IF(R362="","Refund – log reason first","Refund in progress")),IF(K362="","Awaiting payment",IF(N362="",IF(M362="","Schedule free video","Free video in production"),IF(P362="Approved","Active",IF(TODAY()&gt;O362,"Active – plan went ahead","Decision pending – "&amp;NETWORKDAYS(TODAY(),O362)&amp;" working day(s) left"))))))</f>
        <v/>
      </c>
      <c r="R362" s="17"/>
      <c r="S362" s="17"/>
      <c r="T362" s="48"/>
      <c r="U362" s="38"/>
      <c r="V362" s="38"/>
      <c r="W362" s="42" t="str">
        <f aca="false">IF(V362="","",EDATE(V362,Settings!$S$6))</f>
        <v/>
      </c>
      <c r="X362" s="17"/>
      <c r="Y362" s="17"/>
      <c r="Z362" s="17"/>
    </row>
    <row r="363" customFormat="false" ht="15" hidden="false" customHeight="false" outlineLevel="0" collapsed="false">
      <c r="A363" s="17"/>
      <c r="B363" s="17"/>
      <c r="C363" s="17"/>
      <c r="D363" s="17"/>
      <c r="E363" s="40"/>
      <c r="F363" s="17"/>
      <c r="G363" s="17"/>
      <c r="H363" s="17"/>
      <c r="I363" s="47" t="str">
        <f aca="false">IF(H363="","",IFERROR(INDEX(Settings!$G$2:$G$4,MATCH(H363,Settings!$F$2:$F$4,0)),""))</f>
        <v/>
      </c>
      <c r="J363" s="38"/>
      <c r="K363" s="48"/>
      <c r="L363" s="17"/>
      <c r="M363" s="38"/>
      <c r="N363" s="38"/>
      <c r="O363" s="42" t="str">
        <f aca="false">IF(N363="","",WORKDAY(N363,Settings!$S$4))</f>
        <v/>
      </c>
      <c r="P363" s="17"/>
      <c r="Q363" s="44" t="str">
        <f aca="true">IF(C363="","",IF(P363="Backed out",IF(S363="Paid","Refunded – closed",IF(R363="","Refund – log reason first","Refund in progress")),IF(K363="","Awaiting payment",IF(N363="",IF(M363="","Schedule free video","Free video in production"),IF(P363="Approved","Active",IF(TODAY()&gt;O363,"Active – plan went ahead","Decision pending – "&amp;NETWORKDAYS(TODAY(),O363)&amp;" working day(s) left"))))))</f>
        <v/>
      </c>
      <c r="R363" s="17"/>
      <c r="S363" s="17"/>
      <c r="T363" s="48"/>
      <c r="U363" s="38"/>
      <c r="V363" s="38"/>
      <c r="W363" s="42" t="str">
        <f aca="false">IF(V363="","",EDATE(V363,Settings!$S$6))</f>
        <v/>
      </c>
      <c r="X363" s="17"/>
      <c r="Y363" s="17"/>
      <c r="Z363" s="17"/>
    </row>
    <row r="364" customFormat="false" ht="15" hidden="false" customHeight="false" outlineLevel="0" collapsed="false">
      <c r="A364" s="17"/>
      <c r="B364" s="17"/>
      <c r="C364" s="17"/>
      <c r="D364" s="17"/>
      <c r="E364" s="40"/>
      <c r="F364" s="17"/>
      <c r="G364" s="17"/>
      <c r="H364" s="17"/>
      <c r="I364" s="47" t="str">
        <f aca="false">IF(H364="","",IFERROR(INDEX(Settings!$G$2:$G$4,MATCH(H364,Settings!$F$2:$F$4,0)),""))</f>
        <v/>
      </c>
      <c r="J364" s="38"/>
      <c r="K364" s="48"/>
      <c r="L364" s="17"/>
      <c r="M364" s="38"/>
      <c r="N364" s="38"/>
      <c r="O364" s="42" t="str">
        <f aca="false">IF(N364="","",WORKDAY(N364,Settings!$S$4))</f>
        <v/>
      </c>
      <c r="P364" s="17"/>
      <c r="Q364" s="44" t="str">
        <f aca="true">IF(C364="","",IF(P364="Backed out",IF(S364="Paid","Refunded – closed",IF(R364="","Refund – log reason first","Refund in progress")),IF(K364="","Awaiting payment",IF(N364="",IF(M364="","Schedule free video","Free video in production"),IF(P364="Approved","Active",IF(TODAY()&gt;O364,"Active – plan went ahead","Decision pending – "&amp;NETWORKDAYS(TODAY(),O364)&amp;" working day(s) left"))))))</f>
        <v/>
      </c>
      <c r="R364" s="17"/>
      <c r="S364" s="17"/>
      <c r="T364" s="48"/>
      <c r="U364" s="38"/>
      <c r="V364" s="38"/>
      <c r="W364" s="42" t="str">
        <f aca="false">IF(V364="","",EDATE(V364,Settings!$S$6))</f>
        <v/>
      </c>
      <c r="X364" s="17"/>
      <c r="Y364" s="17"/>
      <c r="Z364" s="17"/>
    </row>
    <row r="365" customFormat="false" ht="15" hidden="false" customHeight="false" outlineLevel="0" collapsed="false">
      <c r="A365" s="17"/>
      <c r="B365" s="17"/>
      <c r="C365" s="17"/>
      <c r="D365" s="17"/>
      <c r="E365" s="40"/>
      <c r="F365" s="17"/>
      <c r="G365" s="17"/>
      <c r="H365" s="17"/>
      <c r="I365" s="47" t="str">
        <f aca="false">IF(H365="","",IFERROR(INDEX(Settings!$G$2:$G$4,MATCH(H365,Settings!$F$2:$F$4,0)),""))</f>
        <v/>
      </c>
      <c r="J365" s="38"/>
      <c r="K365" s="48"/>
      <c r="L365" s="17"/>
      <c r="M365" s="38"/>
      <c r="N365" s="38"/>
      <c r="O365" s="42" t="str">
        <f aca="false">IF(N365="","",WORKDAY(N365,Settings!$S$4))</f>
        <v/>
      </c>
      <c r="P365" s="17"/>
      <c r="Q365" s="44" t="str">
        <f aca="true">IF(C365="","",IF(P365="Backed out",IF(S365="Paid","Refunded – closed",IF(R365="","Refund – log reason first","Refund in progress")),IF(K365="","Awaiting payment",IF(N365="",IF(M365="","Schedule free video","Free video in production"),IF(P365="Approved","Active",IF(TODAY()&gt;O365,"Active – plan went ahead","Decision pending – "&amp;NETWORKDAYS(TODAY(),O365)&amp;" working day(s) left"))))))</f>
        <v/>
      </c>
      <c r="R365" s="17"/>
      <c r="S365" s="17"/>
      <c r="T365" s="48"/>
      <c r="U365" s="38"/>
      <c r="V365" s="38"/>
      <c r="W365" s="42" t="str">
        <f aca="false">IF(V365="","",EDATE(V365,Settings!$S$6))</f>
        <v/>
      </c>
      <c r="X365" s="17"/>
      <c r="Y365" s="17"/>
      <c r="Z365" s="17"/>
    </row>
    <row r="366" customFormat="false" ht="15" hidden="false" customHeight="false" outlineLevel="0" collapsed="false">
      <c r="A366" s="17"/>
      <c r="B366" s="17"/>
      <c r="C366" s="17"/>
      <c r="D366" s="17"/>
      <c r="E366" s="40"/>
      <c r="F366" s="17"/>
      <c r="G366" s="17"/>
      <c r="H366" s="17"/>
      <c r="I366" s="47" t="str">
        <f aca="false">IF(H366="","",IFERROR(INDEX(Settings!$G$2:$G$4,MATCH(H366,Settings!$F$2:$F$4,0)),""))</f>
        <v/>
      </c>
      <c r="J366" s="38"/>
      <c r="K366" s="48"/>
      <c r="L366" s="17"/>
      <c r="M366" s="38"/>
      <c r="N366" s="38"/>
      <c r="O366" s="42" t="str">
        <f aca="false">IF(N366="","",WORKDAY(N366,Settings!$S$4))</f>
        <v/>
      </c>
      <c r="P366" s="17"/>
      <c r="Q366" s="44" t="str">
        <f aca="true">IF(C366="","",IF(P366="Backed out",IF(S366="Paid","Refunded – closed",IF(R366="","Refund – log reason first","Refund in progress")),IF(K366="","Awaiting payment",IF(N366="",IF(M366="","Schedule free video","Free video in production"),IF(P366="Approved","Active",IF(TODAY()&gt;O366,"Active – plan went ahead","Decision pending – "&amp;NETWORKDAYS(TODAY(),O366)&amp;" working day(s) left"))))))</f>
        <v/>
      </c>
      <c r="R366" s="17"/>
      <c r="S366" s="17"/>
      <c r="T366" s="48"/>
      <c r="U366" s="38"/>
      <c r="V366" s="38"/>
      <c r="W366" s="42" t="str">
        <f aca="false">IF(V366="","",EDATE(V366,Settings!$S$6))</f>
        <v/>
      </c>
      <c r="X366" s="17"/>
      <c r="Y366" s="17"/>
      <c r="Z366" s="17"/>
    </row>
    <row r="367" customFormat="false" ht="15" hidden="false" customHeight="false" outlineLevel="0" collapsed="false">
      <c r="A367" s="17"/>
      <c r="B367" s="17"/>
      <c r="C367" s="17"/>
      <c r="D367" s="17"/>
      <c r="E367" s="40"/>
      <c r="F367" s="17"/>
      <c r="G367" s="17"/>
      <c r="H367" s="17"/>
      <c r="I367" s="47" t="str">
        <f aca="false">IF(H367="","",IFERROR(INDEX(Settings!$G$2:$G$4,MATCH(H367,Settings!$F$2:$F$4,0)),""))</f>
        <v/>
      </c>
      <c r="J367" s="38"/>
      <c r="K367" s="48"/>
      <c r="L367" s="17"/>
      <c r="M367" s="38"/>
      <c r="N367" s="38"/>
      <c r="O367" s="42" t="str">
        <f aca="false">IF(N367="","",WORKDAY(N367,Settings!$S$4))</f>
        <v/>
      </c>
      <c r="P367" s="17"/>
      <c r="Q367" s="44" t="str">
        <f aca="true">IF(C367="","",IF(P367="Backed out",IF(S367="Paid","Refunded – closed",IF(R367="","Refund – log reason first","Refund in progress")),IF(K367="","Awaiting payment",IF(N367="",IF(M367="","Schedule free video","Free video in production"),IF(P367="Approved","Active",IF(TODAY()&gt;O367,"Active – plan went ahead","Decision pending – "&amp;NETWORKDAYS(TODAY(),O367)&amp;" working day(s) left"))))))</f>
        <v/>
      </c>
      <c r="R367" s="17"/>
      <c r="S367" s="17"/>
      <c r="T367" s="48"/>
      <c r="U367" s="38"/>
      <c r="V367" s="38"/>
      <c r="W367" s="42" t="str">
        <f aca="false">IF(V367="","",EDATE(V367,Settings!$S$6))</f>
        <v/>
      </c>
      <c r="X367" s="17"/>
      <c r="Y367" s="17"/>
      <c r="Z367" s="17"/>
    </row>
    <row r="368" customFormat="false" ht="15" hidden="false" customHeight="false" outlineLevel="0" collapsed="false">
      <c r="A368" s="17"/>
      <c r="B368" s="17"/>
      <c r="C368" s="17"/>
      <c r="D368" s="17"/>
      <c r="E368" s="40"/>
      <c r="F368" s="17"/>
      <c r="G368" s="17"/>
      <c r="H368" s="17"/>
      <c r="I368" s="47" t="str">
        <f aca="false">IF(H368="","",IFERROR(INDEX(Settings!$G$2:$G$4,MATCH(H368,Settings!$F$2:$F$4,0)),""))</f>
        <v/>
      </c>
      <c r="J368" s="38"/>
      <c r="K368" s="48"/>
      <c r="L368" s="17"/>
      <c r="M368" s="38"/>
      <c r="N368" s="38"/>
      <c r="O368" s="42" t="str">
        <f aca="false">IF(N368="","",WORKDAY(N368,Settings!$S$4))</f>
        <v/>
      </c>
      <c r="P368" s="17"/>
      <c r="Q368" s="44" t="str">
        <f aca="true">IF(C368="","",IF(P368="Backed out",IF(S368="Paid","Refunded – closed",IF(R368="","Refund – log reason first","Refund in progress")),IF(K368="","Awaiting payment",IF(N368="",IF(M368="","Schedule free video","Free video in production"),IF(P368="Approved","Active",IF(TODAY()&gt;O368,"Active – plan went ahead","Decision pending – "&amp;NETWORKDAYS(TODAY(),O368)&amp;" working day(s) left"))))))</f>
        <v/>
      </c>
      <c r="R368" s="17"/>
      <c r="S368" s="17"/>
      <c r="T368" s="48"/>
      <c r="U368" s="38"/>
      <c r="V368" s="38"/>
      <c r="W368" s="42" t="str">
        <f aca="false">IF(V368="","",EDATE(V368,Settings!$S$6))</f>
        <v/>
      </c>
      <c r="X368" s="17"/>
      <c r="Y368" s="17"/>
      <c r="Z368" s="17"/>
    </row>
    <row r="369" customFormat="false" ht="15" hidden="false" customHeight="false" outlineLevel="0" collapsed="false">
      <c r="A369" s="17"/>
      <c r="B369" s="17"/>
      <c r="C369" s="17"/>
      <c r="D369" s="17"/>
      <c r="E369" s="40"/>
      <c r="F369" s="17"/>
      <c r="G369" s="17"/>
      <c r="H369" s="17"/>
      <c r="I369" s="47" t="str">
        <f aca="false">IF(H369="","",IFERROR(INDEX(Settings!$G$2:$G$4,MATCH(H369,Settings!$F$2:$F$4,0)),""))</f>
        <v/>
      </c>
      <c r="J369" s="38"/>
      <c r="K369" s="48"/>
      <c r="L369" s="17"/>
      <c r="M369" s="38"/>
      <c r="N369" s="38"/>
      <c r="O369" s="42" t="str">
        <f aca="false">IF(N369="","",WORKDAY(N369,Settings!$S$4))</f>
        <v/>
      </c>
      <c r="P369" s="17"/>
      <c r="Q369" s="44" t="str">
        <f aca="true">IF(C369="","",IF(P369="Backed out",IF(S369="Paid","Refunded – closed",IF(R369="","Refund – log reason first","Refund in progress")),IF(K369="","Awaiting payment",IF(N369="",IF(M369="","Schedule free video","Free video in production"),IF(P369="Approved","Active",IF(TODAY()&gt;O369,"Active – plan went ahead","Decision pending – "&amp;NETWORKDAYS(TODAY(),O369)&amp;" working day(s) left"))))))</f>
        <v/>
      </c>
      <c r="R369" s="17"/>
      <c r="S369" s="17"/>
      <c r="T369" s="48"/>
      <c r="U369" s="38"/>
      <c r="V369" s="38"/>
      <c r="W369" s="42" t="str">
        <f aca="false">IF(V369="","",EDATE(V369,Settings!$S$6))</f>
        <v/>
      </c>
      <c r="X369" s="17"/>
      <c r="Y369" s="17"/>
      <c r="Z369" s="17"/>
    </row>
    <row r="370" customFormat="false" ht="15" hidden="false" customHeight="false" outlineLevel="0" collapsed="false">
      <c r="A370" s="17"/>
      <c r="B370" s="17"/>
      <c r="C370" s="17"/>
      <c r="D370" s="17"/>
      <c r="E370" s="40"/>
      <c r="F370" s="17"/>
      <c r="G370" s="17"/>
      <c r="H370" s="17"/>
      <c r="I370" s="47" t="str">
        <f aca="false">IF(H370="","",IFERROR(INDEX(Settings!$G$2:$G$4,MATCH(H370,Settings!$F$2:$F$4,0)),""))</f>
        <v/>
      </c>
      <c r="J370" s="38"/>
      <c r="K370" s="48"/>
      <c r="L370" s="17"/>
      <c r="M370" s="38"/>
      <c r="N370" s="38"/>
      <c r="O370" s="42" t="str">
        <f aca="false">IF(N370="","",WORKDAY(N370,Settings!$S$4))</f>
        <v/>
      </c>
      <c r="P370" s="17"/>
      <c r="Q370" s="44" t="str">
        <f aca="true">IF(C370="","",IF(P370="Backed out",IF(S370="Paid","Refunded – closed",IF(R370="","Refund – log reason first","Refund in progress")),IF(K370="","Awaiting payment",IF(N370="",IF(M370="","Schedule free video","Free video in production"),IF(P370="Approved","Active",IF(TODAY()&gt;O370,"Active – plan went ahead","Decision pending – "&amp;NETWORKDAYS(TODAY(),O370)&amp;" working day(s) left"))))))</f>
        <v/>
      </c>
      <c r="R370" s="17"/>
      <c r="S370" s="17"/>
      <c r="T370" s="48"/>
      <c r="U370" s="38"/>
      <c r="V370" s="38"/>
      <c r="W370" s="42" t="str">
        <f aca="false">IF(V370="","",EDATE(V370,Settings!$S$6))</f>
        <v/>
      </c>
      <c r="X370" s="17"/>
      <c r="Y370" s="17"/>
      <c r="Z370" s="17"/>
    </row>
    <row r="371" customFormat="false" ht="15" hidden="false" customHeight="false" outlineLevel="0" collapsed="false">
      <c r="A371" s="17"/>
      <c r="B371" s="17"/>
      <c r="C371" s="17"/>
      <c r="D371" s="17"/>
      <c r="E371" s="40"/>
      <c r="F371" s="17"/>
      <c r="G371" s="17"/>
      <c r="H371" s="17"/>
      <c r="I371" s="47" t="str">
        <f aca="false">IF(H371="","",IFERROR(INDEX(Settings!$G$2:$G$4,MATCH(H371,Settings!$F$2:$F$4,0)),""))</f>
        <v/>
      </c>
      <c r="J371" s="38"/>
      <c r="K371" s="48"/>
      <c r="L371" s="17"/>
      <c r="M371" s="38"/>
      <c r="N371" s="38"/>
      <c r="O371" s="42" t="str">
        <f aca="false">IF(N371="","",WORKDAY(N371,Settings!$S$4))</f>
        <v/>
      </c>
      <c r="P371" s="17"/>
      <c r="Q371" s="44" t="str">
        <f aca="true">IF(C371="","",IF(P371="Backed out",IF(S371="Paid","Refunded – closed",IF(R371="","Refund – log reason first","Refund in progress")),IF(K371="","Awaiting payment",IF(N371="",IF(M371="","Schedule free video","Free video in production"),IF(P371="Approved","Active",IF(TODAY()&gt;O371,"Active – plan went ahead","Decision pending – "&amp;NETWORKDAYS(TODAY(),O371)&amp;" working day(s) left"))))))</f>
        <v/>
      </c>
      <c r="R371" s="17"/>
      <c r="S371" s="17"/>
      <c r="T371" s="48"/>
      <c r="U371" s="38"/>
      <c r="V371" s="38"/>
      <c r="W371" s="42" t="str">
        <f aca="false">IF(V371="","",EDATE(V371,Settings!$S$6))</f>
        <v/>
      </c>
      <c r="X371" s="17"/>
      <c r="Y371" s="17"/>
      <c r="Z371" s="17"/>
    </row>
    <row r="372" customFormat="false" ht="15" hidden="false" customHeight="false" outlineLevel="0" collapsed="false">
      <c r="A372" s="17"/>
      <c r="B372" s="17"/>
      <c r="C372" s="17"/>
      <c r="D372" s="17"/>
      <c r="E372" s="40"/>
      <c r="F372" s="17"/>
      <c r="G372" s="17"/>
      <c r="H372" s="17"/>
      <c r="I372" s="47" t="str">
        <f aca="false">IF(H372="","",IFERROR(INDEX(Settings!$G$2:$G$4,MATCH(H372,Settings!$F$2:$F$4,0)),""))</f>
        <v/>
      </c>
      <c r="J372" s="38"/>
      <c r="K372" s="48"/>
      <c r="L372" s="17"/>
      <c r="M372" s="38"/>
      <c r="N372" s="38"/>
      <c r="O372" s="42" t="str">
        <f aca="false">IF(N372="","",WORKDAY(N372,Settings!$S$4))</f>
        <v/>
      </c>
      <c r="P372" s="17"/>
      <c r="Q372" s="44" t="str">
        <f aca="true">IF(C372="","",IF(P372="Backed out",IF(S372="Paid","Refunded – closed",IF(R372="","Refund – log reason first","Refund in progress")),IF(K372="","Awaiting payment",IF(N372="",IF(M372="","Schedule free video","Free video in production"),IF(P372="Approved","Active",IF(TODAY()&gt;O372,"Active – plan went ahead","Decision pending – "&amp;NETWORKDAYS(TODAY(),O372)&amp;" working day(s) left"))))))</f>
        <v/>
      </c>
      <c r="R372" s="17"/>
      <c r="S372" s="17"/>
      <c r="T372" s="48"/>
      <c r="U372" s="38"/>
      <c r="V372" s="38"/>
      <c r="W372" s="42" t="str">
        <f aca="false">IF(V372="","",EDATE(V372,Settings!$S$6))</f>
        <v/>
      </c>
      <c r="X372" s="17"/>
      <c r="Y372" s="17"/>
      <c r="Z372" s="17"/>
    </row>
    <row r="373" customFormat="false" ht="15" hidden="false" customHeight="false" outlineLevel="0" collapsed="false">
      <c r="A373" s="17"/>
      <c r="B373" s="17"/>
      <c r="C373" s="17"/>
      <c r="D373" s="17"/>
      <c r="E373" s="40"/>
      <c r="F373" s="17"/>
      <c r="G373" s="17"/>
      <c r="H373" s="17"/>
      <c r="I373" s="47" t="str">
        <f aca="false">IF(H373="","",IFERROR(INDEX(Settings!$G$2:$G$4,MATCH(H373,Settings!$F$2:$F$4,0)),""))</f>
        <v/>
      </c>
      <c r="J373" s="38"/>
      <c r="K373" s="48"/>
      <c r="L373" s="17"/>
      <c r="M373" s="38"/>
      <c r="N373" s="38"/>
      <c r="O373" s="42" t="str">
        <f aca="false">IF(N373="","",WORKDAY(N373,Settings!$S$4))</f>
        <v/>
      </c>
      <c r="P373" s="17"/>
      <c r="Q373" s="44" t="str">
        <f aca="true">IF(C373="","",IF(P373="Backed out",IF(S373="Paid","Refunded – closed",IF(R373="","Refund – log reason first","Refund in progress")),IF(K373="","Awaiting payment",IF(N373="",IF(M373="","Schedule free video","Free video in production"),IF(P373="Approved","Active",IF(TODAY()&gt;O373,"Active – plan went ahead","Decision pending – "&amp;NETWORKDAYS(TODAY(),O373)&amp;" working day(s) left"))))))</f>
        <v/>
      </c>
      <c r="R373" s="17"/>
      <c r="S373" s="17"/>
      <c r="T373" s="48"/>
      <c r="U373" s="38"/>
      <c r="V373" s="38"/>
      <c r="W373" s="42" t="str">
        <f aca="false">IF(V373="","",EDATE(V373,Settings!$S$6))</f>
        <v/>
      </c>
      <c r="X373" s="17"/>
      <c r="Y373" s="17"/>
      <c r="Z373" s="17"/>
    </row>
    <row r="374" customFormat="false" ht="15" hidden="false" customHeight="false" outlineLevel="0" collapsed="false">
      <c r="A374" s="17"/>
      <c r="B374" s="17"/>
      <c r="C374" s="17"/>
      <c r="D374" s="17"/>
      <c r="E374" s="40"/>
      <c r="F374" s="17"/>
      <c r="G374" s="17"/>
      <c r="H374" s="17"/>
      <c r="I374" s="47" t="str">
        <f aca="false">IF(H374="","",IFERROR(INDEX(Settings!$G$2:$G$4,MATCH(H374,Settings!$F$2:$F$4,0)),""))</f>
        <v/>
      </c>
      <c r="J374" s="38"/>
      <c r="K374" s="48"/>
      <c r="L374" s="17"/>
      <c r="M374" s="38"/>
      <c r="N374" s="38"/>
      <c r="O374" s="42" t="str">
        <f aca="false">IF(N374="","",WORKDAY(N374,Settings!$S$4))</f>
        <v/>
      </c>
      <c r="P374" s="17"/>
      <c r="Q374" s="44" t="str">
        <f aca="true">IF(C374="","",IF(P374="Backed out",IF(S374="Paid","Refunded – closed",IF(R374="","Refund – log reason first","Refund in progress")),IF(K374="","Awaiting payment",IF(N374="",IF(M374="","Schedule free video","Free video in production"),IF(P374="Approved","Active",IF(TODAY()&gt;O374,"Active – plan went ahead","Decision pending – "&amp;NETWORKDAYS(TODAY(),O374)&amp;" working day(s) left"))))))</f>
        <v/>
      </c>
      <c r="R374" s="17"/>
      <c r="S374" s="17"/>
      <c r="T374" s="48"/>
      <c r="U374" s="38"/>
      <c r="V374" s="38"/>
      <c r="W374" s="42" t="str">
        <f aca="false">IF(V374="","",EDATE(V374,Settings!$S$6))</f>
        <v/>
      </c>
      <c r="X374" s="17"/>
      <c r="Y374" s="17"/>
      <c r="Z374" s="17"/>
    </row>
    <row r="375" customFormat="false" ht="15" hidden="false" customHeight="false" outlineLevel="0" collapsed="false">
      <c r="A375" s="17"/>
      <c r="B375" s="17"/>
      <c r="C375" s="17"/>
      <c r="D375" s="17"/>
      <c r="E375" s="40"/>
      <c r="F375" s="17"/>
      <c r="G375" s="17"/>
      <c r="H375" s="17"/>
      <c r="I375" s="47" t="str">
        <f aca="false">IF(H375="","",IFERROR(INDEX(Settings!$G$2:$G$4,MATCH(H375,Settings!$F$2:$F$4,0)),""))</f>
        <v/>
      </c>
      <c r="J375" s="38"/>
      <c r="K375" s="48"/>
      <c r="L375" s="17"/>
      <c r="M375" s="38"/>
      <c r="N375" s="38"/>
      <c r="O375" s="42" t="str">
        <f aca="false">IF(N375="","",WORKDAY(N375,Settings!$S$4))</f>
        <v/>
      </c>
      <c r="P375" s="17"/>
      <c r="Q375" s="44" t="str">
        <f aca="true">IF(C375="","",IF(P375="Backed out",IF(S375="Paid","Refunded – closed",IF(R375="","Refund – log reason first","Refund in progress")),IF(K375="","Awaiting payment",IF(N375="",IF(M375="","Schedule free video","Free video in production"),IF(P375="Approved","Active",IF(TODAY()&gt;O375,"Active – plan went ahead","Decision pending – "&amp;NETWORKDAYS(TODAY(),O375)&amp;" working day(s) left"))))))</f>
        <v/>
      </c>
      <c r="R375" s="17"/>
      <c r="S375" s="17"/>
      <c r="T375" s="48"/>
      <c r="U375" s="38"/>
      <c r="V375" s="38"/>
      <c r="W375" s="42" t="str">
        <f aca="false">IF(V375="","",EDATE(V375,Settings!$S$6))</f>
        <v/>
      </c>
      <c r="X375" s="17"/>
      <c r="Y375" s="17"/>
      <c r="Z375" s="17"/>
    </row>
    <row r="376" customFormat="false" ht="15" hidden="false" customHeight="false" outlineLevel="0" collapsed="false">
      <c r="A376" s="17"/>
      <c r="B376" s="17"/>
      <c r="C376" s="17"/>
      <c r="D376" s="17"/>
      <c r="E376" s="40"/>
      <c r="F376" s="17"/>
      <c r="G376" s="17"/>
      <c r="H376" s="17"/>
      <c r="I376" s="47" t="str">
        <f aca="false">IF(H376="","",IFERROR(INDEX(Settings!$G$2:$G$4,MATCH(H376,Settings!$F$2:$F$4,0)),""))</f>
        <v/>
      </c>
      <c r="J376" s="38"/>
      <c r="K376" s="48"/>
      <c r="L376" s="17"/>
      <c r="M376" s="38"/>
      <c r="N376" s="38"/>
      <c r="O376" s="42" t="str">
        <f aca="false">IF(N376="","",WORKDAY(N376,Settings!$S$4))</f>
        <v/>
      </c>
      <c r="P376" s="17"/>
      <c r="Q376" s="44" t="str">
        <f aca="true">IF(C376="","",IF(P376="Backed out",IF(S376="Paid","Refunded – closed",IF(R376="","Refund – log reason first","Refund in progress")),IF(K376="","Awaiting payment",IF(N376="",IF(M376="","Schedule free video","Free video in production"),IF(P376="Approved","Active",IF(TODAY()&gt;O376,"Active – plan went ahead","Decision pending – "&amp;NETWORKDAYS(TODAY(),O376)&amp;" working day(s) left"))))))</f>
        <v/>
      </c>
      <c r="R376" s="17"/>
      <c r="S376" s="17"/>
      <c r="T376" s="48"/>
      <c r="U376" s="38"/>
      <c r="V376" s="38"/>
      <c r="W376" s="42" t="str">
        <f aca="false">IF(V376="","",EDATE(V376,Settings!$S$6))</f>
        <v/>
      </c>
      <c r="X376" s="17"/>
      <c r="Y376" s="17"/>
      <c r="Z376" s="17"/>
    </row>
    <row r="377" customFormat="false" ht="15" hidden="false" customHeight="false" outlineLevel="0" collapsed="false">
      <c r="A377" s="17"/>
      <c r="B377" s="17"/>
      <c r="C377" s="17"/>
      <c r="D377" s="17"/>
      <c r="E377" s="40"/>
      <c r="F377" s="17"/>
      <c r="G377" s="17"/>
      <c r="H377" s="17"/>
      <c r="I377" s="47" t="str">
        <f aca="false">IF(H377="","",IFERROR(INDEX(Settings!$G$2:$G$4,MATCH(H377,Settings!$F$2:$F$4,0)),""))</f>
        <v/>
      </c>
      <c r="J377" s="38"/>
      <c r="K377" s="48"/>
      <c r="L377" s="17"/>
      <c r="M377" s="38"/>
      <c r="N377" s="38"/>
      <c r="O377" s="42" t="str">
        <f aca="false">IF(N377="","",WORKDAY(N377,Settings!$S$4))</f>
        <v/>
      </c>
      <c r="P377" s="17"/>
      <c r="Q377" s="44" t="str">
        <f aca="true">IF(C377="","",IF(P377="Backed out",IF(S377="Paid","Refunded – closed",IF(R377="","Refund – log reason first","Refund in progress")),IF(K377="","Awaiting payment",IF(N377="",IF(M377="","Schedule free video","Free video in production"),IF(P377="Approved","Active",IF(TODAY()&gt;O377,"Active – plan went ahead","Decision pending – "&amp;NETWORKDAYS(TODAY(),O377)&amp;" working day(s) left"))))))</f>
        <v/>
      </c>
      <c r="R377" s="17"/>
      <c r="S377" s="17"/>
      <c r="T377" s="48"/>
      <c r="U377" s="38"/>
      <c r="V377" s="38"/>
      <c r="W377" s="42" t="str">
        <f aca="false">IF(V377="","",EDATE(V377,Settings!$S$6))</f>
        <v/>
      </c>
      <c r="X377" s="17"/>
      <c r="Y377" s="17"/>
      <c r="Z377" s="17"/>
    </row>
    <row r="378" customFormat="false" ht="15" hidden="false" customHeight="false" outlineLevel="0" collapsed="false">
      <c r="A378" s="17"/>
      <c r="B378" s="17"/>
      <c r="C378" s="17"/>
      <c r="D378" s="17"/>
      <c r="E378" s="40"/>
      <c r="F378" s="17"/>
      <c r="G378" s="17"/>
      <c r="H378" s="17"/>
      <c r="I378" s="47" t="str">
        <f aca="false">IF(H378="","",IFERROR(INDEX(Settings!$G$2:$G$4,MATCH(H378,Settings!$F$2:$F$4,0)),""))</f>
        <v/>
      </c>
      <c r="J378" s="38"/>
      <c r="K378" s="48"/>
      <c r="L378" s="17"/>
      <c r="M378" s="38"/>
      <c r="N378" s="38"/>
      <c r="O378" s="42" t="str">
        <f aca="false">IF(N378="","",WORKDAY(N378,Settings!$S$4))</f>
        <v/>
      </c>
      <c r="P378" s="17"/>
      <c r="Q378" s="44" t="str">
        <f aca="true">IF(C378="","",IF(P378="Backed out",IF(S378="Paid","Refunded – closed",IF(R378="","Refund – log reason first","Refund in progress")),IF(K378="","Awaiting payment",IF(N378="",IF(M378="","Schedule free video","Free video in production"),IF(P378="Approved","Active",IF(TODAY()&gt;O378,"Active – plan went ahead","Decision pending – "&amp;NETWORKDAYS(TODAY(),O378)&amp;" working day(s) left"))))))</f>
        <v/>
      </c>
      <c r="R378" s="17"/>
      <c r="S378" s="17"/>
      <c r="T378" s="48"/>
      <c r="U378" s="38"/>
      <c r="V378" s="38"/>
      <c r="W378" s="42" t="str">
        <f aca="false">IF(V378="","",EDATE(V378,Settings!$S$6))</f>
        <v/>
      </c>
      <c r="X378" s="17"/>
      <c r="Y378" s="17"/>
      <c r="Z378" s="17"/>
    </row>
    <row r="379" customFormat="false" ht="15" hidden="false" customHeight="false" outlineLevel="0" collapsed="false">
      <c r="A379" s="17"/>
      <c r="B379" s="17"/>
      <c r="C379" s="17"/>
      <c r="D379" s="17"/>
      <c r="E379" s="40"/>
      <c r="F379" s="17"/>
      <c r="G379" s="17"/>
      <c r="H379" s="17"/>
      <c r="I379" s="47" t="str">
        <f aca="false">IF(H379="","",IFERROR(INDEX(Settings!$G$2:$G$4,MATCH(H379,Settings!$F$2:$F$4,0)),""))</f>
        <v/>
      </c>
      <c r="J379" s="38"/>
      <c r="K379" s="48"/>
      <c r="L379" s="17"/>
      <c r="M379" s="38"/>
      <c r="N379" s="38"/>
      <c r="O379" s="42" t="str">
        <f aca="false">IF(N379="","",WORKDAY(N379,Settings!$S$4))</f>
        <v/>
      </c>
      <c r="P379" s="17"/>
      <c r="Q379" s="44" t="str">
        <f aca="true">IF(C379="","",IF(P379="Backed out",IF(S379="Paid","Refunded – closed",IF(R379="","Refund – log reason first","Refund in progress")),IF(K379="","Awaiting payment",IF(N379="",IF(M379="","Schedule free video","Free video in production"),IF(P379="Approved","Active",IF(TODAY()&gt;O379,"Active – plan went ahead","Decision pending – "&amp;NETWORKDAYS(TODAY(),O379)&amp;" working day(s) left"))))))</f>
        <v/>
      </c>
      <c r="R379" s="17"/>
      <c r="S379" s="17"/>
      <c r="T379" s="48"/>
      <c r="U379" s="38"/>
      <c r="V379" s="38"/>
      <c r="W379" s="42" t="str">
        <f aca="false">IF(V379="","",EDATE(V379,Settings!$S$6))</f>
        <v/>
      </c>
      <c r="X379" s="17"/>
      <c r="Y379" s="17"/>
      <c r="Z379" s="17"/>
    </row>
    <row r="380" customFormat="false" ht="15" hidden="false" customHeight="false" outlineLevel="0" collapsed="false">
      <c r="A380" s="17"/>
      <c r="B380" s="17"/>
      <c r="C380" s="17"/>
      <c r="D380" s="17"/>
      <c r="E380" s="40"/>
      <c r="F380" s="17"/>
      <c r="G380" s="17"/>
      <c r="H380" s="17"/>
      <c r="I380" s="47" t="str">
        <f aca="false">IF(H380="","",IFERROR(INDEX(Settings!$G$2:$G$4,MATCH(H380,Settings!$F$2:$F$4,0)),""))</f>
        <v/>
      </c>
      <c r="J380" s="38"/>
      <c r="K380" s="48"/>
      <c r="L380" s="17"/>
      <c r="M380" s="38"/>
      <c r="N380" s="38"/>
      <c r="O380" s="42" t="str">
        <f aca="false">IF(N380="","",WORKDAY(N380,Settings!$S$4))</f>
        <v/>
      </c>
      <c r="P380" s="17"/>
      <c r="Q380" s="44" t="str">
        <f aca="true">IF(C380="","",IF(P380="Backed out",IF(S380="Paid","Refunded – closed",IF(R380="","Refund – log reason first","Refund in progress")),IF(K380="","Awaiting payment",IF(N380="",IF(M380="","Schedule free video","Free video in production"),IF(P380="Approved","Active",IF(TODAY()&gt;O380,"Active – plan went ahead","Decision pending – "&amp;NETWORKDAYS(TODAY(),O380)&amp;" working day(s) left"))))))</f>
        <v/>
      </c>
      <c r="R380" s="17"/>
      <c r="S380" s="17"/>
      <c r="T380" s="48"/>
      <c r="U380" s="38"/>
      <c r="V380" s="38"/>
      <c r="W380" s="42" t="str">
        <f aca="false">IF(V380="","",EDATE(V380,Settings!$S$6))</f>
        <v/>
      </c>
      <c r="X380" s="17"/>
      <c r="Y380" s="17"/>
      <c r="Z380" s="17"/>
    </row>
    <row r="381" customFormat="false" ht="15" hidden="false" customHeight="false" outlineLevel="0" collapsed="false">
      <c r="A381" s="17"/>
      <c r="B381" s="17"/>
      <c r="C381" s="17"/>
      <c r="D381" s="17"/>
      <c r="E381" s="40"/>
      <c r="F381" s="17"/>
      <c r="G381" s="17"/>
      <c r="H381" s="17"/>
      <c r="I381" s="47" t="str">
        <f aca="false">IF(H381="","",IFERROR(INDEX(Settings!$G$2:$G$4,MATCH(H381,Settings!$F$2:$F$4,0)),""))</f>
        <v/>
      </c>
      <c r="J381" s="38"/>
      <c r="K381" s="48"/>
      <c r="L381" s="17"/>
      <c r="M381" s="38"/>
      <c r="N381" s="38"/>
      <c r="O381" s="42" t="str">
        <f aca="false">IF(N381="","",WORKDAY(N381,Settings!$S$4))</f>
        <v/>
      </c>
      <c r="P381" s="17"/>
      <c r="Q381" s="44" t="str">
        <f aca="true">IF(C381="","",IF(P381="Backed out",IF(S381="Paid","Refunded – closed",IF(R381="","Refund – log reason first","Refund in progress")),IF(K381="","Awaiting payment",IF(N381="",IF(M381="","Schedule free video","Free video in production"),IF(P381="Approved","Active",IF(TODAY()&gt;O381,"Active – plan went ahead","Decision pending – "&amp;NETWORKDAYS(TODAY(),O381)&amp;" working day(s) left"))))))</f>
        <v/>
      </c>
      <c r="R381" s="17"/>
      <c r="S381" s="17"/>
      <c r="T381" s="48"/>
      <c r="U381" s="38"/>
      <c r="V381" s="38"/>
      <c r="W381" s="42" t="str">
        <f aca="false">IF(V381="","",EDATE(V381,Settings!$S$6))</f>
        <v/>
      </c>
      <c r="X381" s="17"/>
      <c r="Y381" s="17"/>
      <c r="Z381" s="17"/>
    </row>
    <row r="382" customFormat="false" ht="15" hidden="false" customHeight="false" outlineLevel="0" collapsed="false">
      <c r="A382" s="17"/>
      <c r="B382" s="17"/>
      <c r="C382" s="17"/>
      <c r="D382" s="17"/>
      <c r="E382" s="40"/>
      <c r="F382" s="17"/>
      <c r="G382" s="17"/>
      <c r="H382" s="17"/>
      <c r="I382" s="47" t="str">
        <f aca="false">IF(H382="","",IFERROR(INDEX(Settings!$G$2:$G$4,MATCH(H382,Settings!$F$2:$F$4,0)),""))</f>
        <v/>
      </c>
      <c r="J382" s="38"/>
      <c r="K382" s="48"/>
      <c r="L382" s="17"/>
      <c r="M382" s="38"/>
      <c r="N382" s="38"/>
      <c r="O382" s="42" t="str">
        <f aca="false">IF(N382="","",WORKDAY(N382,Settings!$S$4))</f>
        <v/>
      </c>
      <c r="P382" s="17"/>
      <c r="Q382" s="44" t="str">
        <f aca="true">IF(C382="","",IF(P382="Backed out",IF(S382="Paid","Refunded – closed",IF(R382="","Refund – log reason first","Refund in progress")),IF(K382="","Awaiting payment",IF(N382="",IF(M382="","Schedule free video","Free video in production"),IF(P382="Approved","Active",IF(TODAY()&gt;O382,"Active – plan went ahead","Decision pending – "&amp;NETWORKDAYS(TODAY(),O382)&amp;" working day(s) left"))))))</f>
        <v/>
      </c>
      <c r="R382" s="17"/>
      <c r="S382" s="17"/>
      <c r="T382" s="48"/>
      <c r="U382" s="38"/>
      <c r="V382" s="38"/>
      <c r="W382" s="42" t="str">
        <f aca="false">IF(V382="","",EDATE(V382,Settings!$S$6))</f>
        <v/>
      </c>
      <c r="X382" s="17"/>
      <c r="Y382" s="17"/>
      <c r="Z382" s="17"/>
    </row>
    <row r="383" customFormat="false" ht="15" hidden="false" customHeight="false" outlineLevel="0" collapsed="false">
      <c r="A383" s="17"/>
      <c r="B383" s="17"/>
      <c r="C383" s="17"/>
      <c r="D383" s="17"/>
      <c r="E383" s="40"/>
      <c r="F383" s="17"/>
      <c r="G383" s="17"/>
      <c r="H383" s="17"/>
      <c r="I383" s="47" t="str">
        <f aca="false">IF(H383="","",IFERROR(INDEX(Settings!$G$2:$G$4,MATCH(H383,Settings!$F$2:$F$4,0)),""))</f>
        <v/>
      </c>
      <c r="J383" s="38"/>
      <c r="K383" s="48"/>
      <c r="L383" s="17"/>
      <c r="M383" s="38"/>
      <c r="N383" s="38"/>
      <c r="O383" s="42" t="str">
        <f aca="false">IF(N383="","",WORKDAY(N383,Settings!$S$4))</f>
        <v/>
      </c>
      <c r="P383" s="17"/>
      <c r="Q383" s="44" t="str">
        <f aca="true">IF(C383="","",IF(P383="Backed out",IF(S383="Paid","Refunded – closed",IF(R383="","Refund – log reason first","Refund in progress")),IF(K383="","Awaiting payment",IF(N383="",IF(M383="","Schedule free video","Free video in production"),IF(P383="Approved","Active",IF(TODAY()&gt;O383,"Active – plan went ahead","Decision pending – "&amp;NETWORKDAYS(TODAY(),O383)&amp;" working day(s) left"))))))</f>
        <v/>
      </c>
      <c r="R383" s="17"/>
      <c r="S383" s="17"/>
      <c r="T383" s="48"/>
      <c r="U383" s="38"/>
      <c r="V383" s="38"/>
      <c r="W383" s="42" t="str">
        <f aca="false">IF(V383="","",EDATE(V383,Settings!$S$6))</f>
        <v/>
      </c>
      <c r="X383" s="17"/>
      <c r="Y383" s="17"/>
      <c r="Z383" s="17"/>
    </row>
    <row r="384" customFormat="false" ht="15" hidden="false" customHeight="false" outlineLevel="0" collapsed="false">
      <c r="A384" s="17"/>
      <c r="B384" s="17"/>
      <c r="C384" s="17"/>
      <c r="D384" s="17"/>
      <c r="E384" s="40"/>
      <c r="F384" s="17"/>
      <c r="G384" s="17"/>
      <c r="H384" s="17"/>
      <c r="I384" s="47" t="str">
        <f aca="false">IF(H384="","",IFERROR(INDEX(Settings!$G$2:$G$4,MATCH(H384,Settings!$F$2:$F$4,0)),""))</f>
        <v/>
      </c>
      <c r="J384" s="38"/>
      <c r="K384" s="48"/>
      <c r="L384" s="17"/>
      <c r="M384" s="38"/>
      <c r="N384" s="38"/>
      <c r="O384" s="42" t="str">
        <f aca="false">IF(N384="","",WORKDAY(N384,Settings!$S$4))</f>
        <v/>
      </c>
      <c r="P384" s="17"/>
      <c r="Q384" s="44" t="str">
        <f aca="true">IF(C384="","",IF(P384="Backed out",IF(S384="Paid","Refunded – closed",IF(R384="","Refund – log reason first","Refund in progress")),IF(K384="","Awaiting payment",IF(N384="",IF(M384="","Schedule free video","Free video in production"),IF(P384="Approved","Active",IF(TODAY()&gt;O384,"Active – plan went ahead","Decision pending – "&amp;NETWORKDAYS(TODAY(),O384)&amp;" working day(s) left"))))))</f>
        <v/>
      </c>
      <c r="R384" s="17"/>
      <c r="S384" s="17"/>
      <c r="T384" s="48"/>
      <c r="U384" s="38"/>
      <c r="V384" s="38"/>
      <c r="W384" s="42" t="str">
        <f aca="false">IF(V384="","",EDATE(V384,Settings!$S$6))</f>
        <v/>
      </c>
      <c r="X384" s="17"/>
      <c r="Y384" s="17"/>
      <c r="Z384" s="17"/>
    </row>
    <row r="385" customFormat="false" ht="15" hidden="false" customHeight="false" outlineLevel="0" collapsed="false">
      <c r="A385" s="17"/>
      <c r="B385" s="17"/>
      <c r="C385" s="17"/>
      <c r="D385" s="17"/>
      <c r="E385" s="40"/>
      <c r="F385" s="17"/>
      <c r="G385" s="17"/>
      <c r="H385" s="17"/>
      <c r="I385" s="47" t="str">
        <f aca="false">IF(H385="","",IFERROR(INDEX(Settings!$G$2:$G$4,MATCH(H385,Settings!$F$2:$F$4,0)),""))</f>
        <v/>
      </c>
      <c r="J385" s="38"/>
      <c r="K385" s="48"/>
      <c r="L385" s="17"/>
      <c r="M385" s="38"/>
      <c r="N385" s="38"/>
      <c r="O385" s="42" t="str">
        <f aca="false">IF(N385="","",WORKDAY(N385,Settings!$S$4))</f>
        <v/>
      </c>
      <c r="P385" s="17"/>
      <c r="Q385" s="44" t="str">
        <f aca="true">IF(C385="","",IF(P385="Backed out",IF(S385="Paid","Refunded – closed",IF(R385="","Refund – log reason first","Refund in progress")),IF(K385="","Awaiting payment",IF(N385="",IF(M385="","Schedule free video","Free video in production"),IF(P385="Approved","Active",IF(TODAY()&gt;O385,"Active – plan went ahead","Decision pending – "&amp;NETWORKDAYS(TODAY(),O385)&amp;" working day(s) left"))))))</f>
        <v/>
      </c>
      <c r="R385" s="17"/>
      <c r="S385" s="17"/>
      <c r="T385" s="48"/>
      <c r="U385" s="38"/>
      <c r="V385" s="38"/>
      <c r="W385" s="42" t="str">
        <f aca="false">IF(V385="","",EDATE(V385,Settings!$S$6))</f>
        <v/>
      </c>
      <c r="X385" s="17"/>
      <c r="Y385" s="17"/>
      <c r="Z385" s="17"/>
    </row>
    <row r="386" customFormat="false" ht="15" hidden="false" customHeight="false" outlineLevel="0" collapsed="false">
      <c r="A386" s="17"/>
      <c r="B386" s="17"/>
      <c r="C386" s="17"/>
      <c r="D386" s="17"/>
      <c r="E386" s="40"/>
      <c r="F386" s="17"/>
      <c r="G386" s="17"/>
      <c r="H386" s="17"/>
      <c r="I386" s="47" t="str">
        <f aca="false">IF(H386="","",IFERROR(INDEX(Settings!$G$2:$G$4,MATCH(H386,Settings!$F$2:$F$4,0)),""))</f>
        <v/>
      </c>
      <c r="J386" s="38"/>
      <c r="K386" s="48"/>
      <c r="L386" s="17"/>
      <c r="M386" s="38"/>
      <c r="N386" s="38"/>
      <c r="O386" s="42" t="str">
        <f aca="false">IF(N386="","",WORKDAY(N386,Settings!$S$4))</f>
        <v/>
      </c>
      <c r="P386" s="17"/>
      <c r="Q386" s="44" t="str">
        <f aca="true">IF(C386="","",IF(P386="Backed out",IF(S386="Paid","Refunded – closed",IF(R386="","Refund – log reason first","Refund in progress")),IF(K386="","Awaiting payment",IF(N386="",IF(M386="","Schedule free video","Free video in production"),IF(P386="Approved","Active",IF(TODAY()&gt;O386,"Active – plan went ahead","Decision pending – "&amp;NETWORKDAYS(TODAY(),O386)&amp;" working day(s) left"))))))</f>
        <v/>
      </c>
      <c r="R386" s="17"/>
      <c r="S386" s="17"/>
      <c r="T386" s="48"/>
      <c r="U386" s="38"/>
      <c r="V386" s="38"/>
      <c r="W386" s="42" t="str">
        <f aca="false">IF(V386="","",EDATE(V386,Settings!$S$6))</f>
        <v/>
      </c>
      <c r="X386" s="17"/>
      <c r="Y386" s="17"/>
      <c r="Z386" s="17"/>
    </row>
    <row r="387" customFormat="false" ht="15" hidden="false" customHeight="false" outlineLevel="0" collapsed="false">
      <c r="A387" s="17"/>
      <c r="B387" s="17"/>
      <c r="C387" s="17"/>
      <c r="D387" s="17"/>
      <c r="E387" s="40"/>
      <c r="F387" s="17"/>
      <c r="G387" s="17"/>
      <c r="H387" s="17"/>
      <c r="I387" s="47" t="str">
        <f aca="false">IF(H387="","",IFERROR(INDEX(Settings!$G$2:$G$4,MATCH(H387,Settings!$F$2:$F$4,0)),""))</f>
        <v/>
      </c>
      <c r="J387" s="38"/>
      <c r="K387" s="48"/>
      <c r="L387" s="17"/>
      <c r="M387" s="38"/>
      <c r="N387" s="38"/>
      <c r="O387" s="42" t="str">
        <f aca="false">IF(N387="","",WORKDAY(N387,Settings!$S$4))</f>
        <v/>
      </c>
      <c r="P387" s="17"/>
      <c r="Q387" s="44" t="str">
        <f aca="true">IF(C387="","",IF(P387="Backed out",IF(S387="Paid","Refunded – closed",IF(R387="","Refund – log reason first","Refund in progress")),IF(K387="","Awaiting payment",IF(N387="",IF(M387="","Schedule free video","Free video in production"),IF(P387="Approved","Active",IF(TODAY()&gt;O387,"Active – plan went ahead","Decision pending – "&amp;NETWORKDAYS(TODAY(),O387)&amp;" working day(s) left"))))))</f>
        <v/>
      </c>
      <c r="R387" s="17"/>
      <c r="S387" s="17"/>
      <c r="T387" s="48"/>
      <c r="U387" s="38"/>
      <c r="V387" s="38"/>
      <c r="W387" s="42" t="str">
        <f aca="false">IF(V387="","",EDATE(V387,Settings!$S$6))</f>
        <v/>
      </c>
      <c r="X387" s="17"/>
      <c r="Y387" s="17"/>
      <c r="Z387" s="17"/>
    </row>
    <row r="388" customFormat="false" ht="15" hidden="false" customHeight="false" outlineLevel="0" collapsed="false">
      <c r="A388" s="17"/>
      <c r="B388" s="17"/>
      <c r="C388" s="17"/>
      <c r="D388" s="17"/>
      <c r="E388" s="40"/>
      <c r="F388" s="17"/>
      <c r="G388" s="17"/>
      <c r="H388" s="17"/>
      <c r="I388" s="47" t="str">
        <f aca="false">IF(H388="","",IFERROR(INDEX(Settings!$G$2:$G$4,MATCH(H388,Settings!$F$2:$F$4,0)),""))</f>
        <v/>
      </c>
      <c r="J388" s="38"/>
      <c r="K388" s="48"/>
      <c r="L388" s="17"/>
      <c r="M388" s="38"/>
      <c r="N388" s="38"/>
      <c r="O388" s="42" t="str">
        <f aca="false">IF(N388="","",WORKDAY(N388,Settings!$S$4))</f>
        <v/>
      </c>
      <c r="P388" s="17"/>
      <c r="Q388" s="44" t="str">
        <f aca="true">IF(C388="","",IF(P388="Backed out",IF(S388="Paid","Refunded – closed",IF(R388="","Refund – log reason first","Refund in progress")),IF(K388="","Awaiting payment",IF(N388="",IF(M388="","Schedule free video","Free video in production"),IF(P388="Approved","Active",IF(TODAY()&gt;O388,"Active – plan went ahead","Decision pending – "&amp;NETWORKDAYS(TODAY(),O388)&amp;" working day(s) left"))))))</f>
        <v/>
      </c>
      <c r="R388" s="17"/>
      <c r="S388" s="17"/>
      <c r="T388" s="48"/>
      <c r="U388" s="38"/>
      <c r="V388" s="38"/>
      <c r="W388" s="42" t="str">
        <f aca="false">IF(V388="","",EDATE(V388,Settings!$S$6))</f>
        <v/>
      </c>
      <c r="X388" s="17"/>
      <c r="Y388" s="17"/>
      <c r="Z388" s="17"/>
    </row>
    <row r="389" customFormat="false" ht="15" hidden="false" customHeight="false" outlineLevel="0" collapsed="false">
      <c r="A389" s="17"/>
      <c r="B389" s="17"/>
      <c r="C389" s="17"/>
      <c r="D389" s="17"/>
      <c r="E389" s="40"/>
      <c r="F389" s="17"/>
      <c r="G389" s="17"/>
      <c r="H389" s="17"/>
      <c r="I389" s="47" t="str">
        <f aca="false">IF(H389="","",IFERROR(INDEX(Settings!$G$2:$G$4,MATCH(H389,Settings!$F$2:$F$4,0)),""))</f>
        <v/>
      </c>
      <c r="J389" s="38"/>
      <c r="K389" s="48"/>
      <c r="L389" s="17"/>
      <c r="M389" s="38"/>
      <c r="N389" s="38"/>
      <c r="O389" s="42" t="str">
        <f aca="false">IF(N389="","",WORKDAY(N389,Settings!$S$4))</f>
        <v/>
      </c>
      <c r="P389" s="17"/>
      <c r="Q389" s="44" t="str">
        <f aca="true">IF(C389="","",IF(P389="Backed out",IF(S389="Paid","Refunded – closed",IF(R389="","Refund – log reason first","Refund in progress")),IF(K389="","Awaiting payment",IF(N389="",IF(M389="","Schedule free video","Free video in production"),IF(P389="Approved","Active",IF(TODAY()&gt;O389,"Active – plan went ahead","Decision pending – "&amp;NETWORKDAYS(TODAY(),O389)&amp;" working day(s) left"))))))</f>
        <v/>
      </c>
      <c r="R389" s="17"/>
      <c r="S389" s="17"/>
      <c r="T389" s="48"/>
      <c r="U389" s="38"/>
      <c r="V389" s="38"/>
      <c r="W389" s="42" t="str">
        <f aca="false">IF(V389="","",EDATE(V389,Settings!$S$6))</f>
        <v/>
      </c>
      <c r="X389" s="17"/>
      <c r="Y389" s="17"/>
      <c r="Z389" s="17"/>
    </row>
    <row r="390" customFormat="false" ht="15" hidden="false" customHeight="false" outlineLevel="0" collapsed="false">
      <c r="A390" s="17"/>
      <c r="B390" s="17"/>
      <c r="C390" s="17"/>
      <c r="D390" s="17"/>
      <c r="E390" s="40"/>
      <c r="F390" s="17"/>
      <c r="G390" s="17"/>
      <c r="H390" s="17"/>
      <c r="I390" s="47" t="str">
        <f aca="false">IF(H390="","",IFERROR(INDEX(Settings!$G$2:$G$4,MATCH(H390,Settings!$F$2:$F$4,0)),""))</f>
        <v/>
      </c>
      <c r="J390" s="38"/>
      <c r="K390" s="48"/>
      <c r="L390" s="17"/>
      <c r="M390" s="38"/>
      <c r="N390" s="38"/>
      <c r="O390" s="42" t="str">
        <f aca="false">IF(N390="","",WORKDAY(N390,Settings!$S$4))</f>
        <v/>
      </c>
      <c r="P390" s="17"/>
      <c r="Q390" s="44" t="str">
        <f aca="true">IF(C390="","",IF(P390="Backed out",IF(S390="Paid","Refunded – closed",IF(R390="","Refund – log reason first","Refund in progress")),IF(K390="","Awaiting payment",IF(N390="",IF(M390="","Schedule free video","Free video in production"),IF(P390="Approved","Active",IF(TODAY()&gt;O390,"Active – plan went ahead","Decision pending – "&amp;NETWORKDAYS(TODAY(),O390)&amp;" working day(s) left"))))))</f>
        <v/>
      </c>
      <c r="R390" s="17"/>
      <c r="S390" s="17"/>
      <c r="T390" s="48"/>
      <c r="U390" s="38"/>
      <c r="V390" s="38"/>
      <c r="W390" s="42" t="str">
        <f aca="false">IF(V390="","",EDATE(V390,Settings!$S$6))</f>
        <v/>
      </c>
      <c r="X390" s="17"/>
      <c r="Y390" s="17"/>
      <c r="Z390" s="17"/>
    </row>
    <row r="391" customFormat="false" ht="15" hidden="false" customHeight="false" outlineLevel="0" collapsed="false">
      <c r="A391" s="17"/>
      <c r="B391" s="17"/>
      <c r="C391" s="17"/>
      <c r="D391" s="17"/>
      <c r="E391" s="40"/>
      <c r="F391" s="17"/>
      <c r="G391" s="17"/>
      <c r="H391" s="17"/>
      <c r="I391" s="47" t="str">
        <f aca="false">IF(H391="","",IFERROR(INDEX(Settings!$G$2:$G$4,MATCH(H391,Settings!$F$2:$F$4,0)),""))</f>
        <v/>
      </c>
      <c r="J391" s="38"/>
      <c r="K391" s="48"/>
      <c r="L391" s="17"/>
      <c r="M391" s="38"/>
      <c r="N391" s="38"/>
      <c r="O391" s="42" t="str">
        <f aca="false">IF(N391="","",WORKDAY(N391,Settings!$S$4))</f>
        <v/>
      </c>
      <c r="P391" s="17"/>
      <c r="Q391" s="44" t="str">
        <f aca="true">IF(C391="","",IF(P391="Backed out",IF(S391="Paid","Refunded – closed",IF(R391="","Refund – log reason first","Refund in progress")),IF(K391="","Awaiting payment",IF(N391="",IF(M391="","Schedule free video","Free video in production"),IF(P391="Approved","Active",IF(TODAY()&gt;O391,"Active – plan went ahead","Decision pending – "&amp;NETWORKDAYS(TODAY(),O391)&amp;" working day(s) left"))))))</f>
        <v/>
      </c>
      <c r="R391" s="17"/>
      <c r="S391" s="17"/>
      <c r="T391" s="48"/>
      <c r="U391" s="38"/>
      <c r="V391" s="38"/>
      <c r="W391" s="42" t="str">
        <f aca="false">IF(V391="","",EDATE(V391,Settings!$S$6))</f>
        <v/>
      </c>
      <c r="X391" s="17"/>
      <c r="Y391" s="17"/>
      <c r="Z391" s="17"/>
    </row>
    <row r="392" customFormat="false" ht="15" hidden="false" customHeight="false" outlineLevel="0" collapsed="false">
      <c r="A392" s="17"/>
      <c r="B392" s="17"/>
      <c r="C392" s="17"/>
      <c r="D392" s="17"/>
      <c r="E392" s="40"/>
      <c r="F392" s="17"/>
      <c r="G392" s="17"/>
      <c r="H392" s="17"/>
      <c r="I392" s="47" t="str">
        <f aca="false">IF(H392="","",IFERROR(INDEX(Settings!$G$2:$G$4,MATCH(H392,Settings!$F$2:$F$4,0)),""))</f>
        <v/>
      </c>
      <c r="J392" s="38"/>
      <c r="K392" s="48"/>
      <c r="L392" s="17"/>
      <c r="M392" s="38"/>
      <c r="N392" s="38"/>
      <c r="O392" s="42" t="str">
        <f aca="false">IF(N392="","",WORKDAY(N392,Settings!$S$4))</f>
        <v/>
      </c>
      <c r="P392" s="17"/>
      <c r="Q392" s="44" t="str">
        <f aca="true">IF(C392="","",IF(P392="Backed out",IF(S392="Paid","Refunded – closed",IF(R392="","Refund – log reason first","Refund in progress")),IF(K392="","Awaiting payment",IF(N392="",IF(M392="","Schedule free video","Free video in production"),IF(P392="Approved","Active",IF(TODAY()&gt;O392,"Active – plan went ahead","Decision pending – "&amp;NETWORKDAYS(TODAY(),O392)&amp;" working day(s) left"))))))</f>
        <v/>
      </c>
      <c r="R392" s="17"/>
      <c r="S392" s="17"/>
      <c r="T392" s="48"/>
      <c r="U392" s="38"/>
      <c r="V392" s="38"/>
      <c r="W392" s="42" t="str">
        <f aca="false">IF(V392="","",EDATE(V392,Settings!$S$6))</f>
        <v/>
      </c>
      <c r="X392" s="17"/>
      <c r="Y392" s="17"/>
      <c r="Z392" s="17"/>
    </row>
    <row r="393" customFormat="false" ht="15" hidden="false" customHeight="false" outlineLevel="0" collapsed="false">
      <c r="A393" s="17"/>
      <c r="B393" s="17"/>
      <c r="C393" s="17"/>
      <c r="D393" s="17"/>
      <c r="E393" s="40"/>
      <c r="F393" s="17"/>
      <c r="G393" s="17"/>
      <c r="H393" s="17"/>
      <c r="I393" s="47" t="str">
        <f aca="false">IF(H393="","",IFERROR(INDEX(Settings!$G$2:$G$4,MATCH(H393,Settings!$F$2:$F$4,0)),""))</f>
        <v/>
      </c>
      <c r="J393" s="38"/>
      <c r="K393" s="48"/>
      <c r="L393" s="17"/>
      <c r="M393" s="38"/>
      <c r="N393" s="38"/>
      <c r="O393" s="42" t="str">
        <f aca="false">IF(N393="","",WORKDAY(N393,Settings!$S$4))</f>
        <v/>
      </c>
      <c r="P393" s="17"/>
      <c r="Q393" s="44" t="str">
        <f aca="true">IF(C393="","",IF(P393="Backed out",IF(S393="Paid","Refunded – closed",IF(R393="","Refund – log reason first","Refund in progress")),IF(K393="","Awaiting payment",IF(N393="",IF(M393="","Schedule free video","Free video in production"),IF(P393="Approved","Active",IF(TODAY()&gt;O393,"Active – plan went ahead","Decision pending – "&amp;NETWORKDAYS(TODAY(),O393)&amp;" working day(s) left"))))))</f>
        <v/>
      </c>
      <c r="R393" s="17"/>
      <c r="S393" s="17"/>
      <c r="T393" s="48"/>
      <c r="U393" s="38"/>
      <c r="V393" s="38"/>
      <c r="W393" s="42" t="str">
        <f aca="false">IF(V393="","",EDATE(V393,Settings!$S$6))</f>
        <v/>
      </c>
      <c r="X393" s="17"/>
      <c r="Y393" s="17"/>
      <c r="Z393" s="17"/>
    </row>
    <row r="394" customFormat="false" ht="15" hidden="false" customHeight="false" outlineLevel="0" collapsed="false">
      <c r="A394" s="17"/>
      <c r="B394" s="17"/>
      <c r="C394" s="17"/>
      <c r="D394" s="17"/>
      <c r="E394" s="40"/>
      <c r="F394" s="17"/>
      <c r="G394" s="17"/>
      <c r="H394" s="17"/>
      <c r="I394" s="47" t="str">
        <f aca="false">IF(H394="","",IFERROR(INDEX(Settings!$G$2:$G$4,MATCH(H394,Settings!$F$2:$F$4,0)),""))</f>
        <v/>
      </c>
      <c r="J394" s="38"/>
      <c r="K394" s="48"/>
      <c r="L394" s="17"/>
      <c r="M394" s="38"/>
      <c r="N394" s="38"/>
      <c r="O394" s="42" t="str">
        <f aca="false">IF(N394="","",WORKDAY(N394,Settings!$S$4))</f>
        <v/>
      </c>
      <c r="P394" s="17"/>
      <c r="Q394" s="44" t="str">
        <f aca="true">IF(C394="","",IF(P394="Backed out",IF(S394="Paid","Refunded – closed",IF(R394="","Refund – log reason first","Refund in progress")),IF(K394="","Awaiting payment",IF(N394="",IF(M394="","Schedule free video","Free video in production"),IF(P394="Approved","Active",IF(TODAY()&gt;O394,"Active – plan went ahead","Decision pending – "&amp;NETWORKDAYS(TODAY(),O394)&amp;" working day(s) left"))))))</f>
        <v/>
      </c>
      <c r="R394" s="17"/>
      <c r="S394" s="17"/>
      <c r="T394" s="48"/>
      <c r="U394" s="38"/>
      <c r="V394" s="38"/>
      <c r="W394" s="42" t="str">
        <f aca="false">IF(V394="","",EDATE(V394,Settings!$S$6))</f>
        <v/>
      </c>
      <c r="X394" s="17"/>
      <c r="Y394" s="17"/>
      <c r="Z394" s="17"/>
    </row>
    <row r="395" customFormat="false" ht="15" hidden="false" customHeight="false" outlineLevel="0" collapsed="false">
      <c r="A395" s="17"/>
      <c r="B395" s="17"/>
      <c r="C395" s="17"/>
      <c r="D395" s="17"/>
      <c r="E395" s="40"/>
      <c r="F395" s="17"/>
      <c r="G395" s="17"/>
      <c r="H395" s="17"/>
      <c r="I395" s="47" t="str">
        <f aca="false">IF(H395="","",IFERROR(INDEX(Settings!$G$2:$G$4,MATCH(H395,Settings!$F$2:$F$4,0)),""))</f>
        <v/>
      </c>
      <c r="J395" s="38"/>
      <c r="K395" s="48"/>
      <c r="L395" s="17"/>
      <c r="M395" s="38"/>
      <c r="N395" s="38"/>
      <c r="O395" s="42" t="str">
        <f aca="false">IF(N395="","",WORKDAY(N395,Settings!$S$4))</f>
        <v/>
      </c>
      <c r="P395" s="17"/>
      <c r="Q395" s="44" t="str">
        <f aca="true">IF(C395="","",IF(P395="Backed out",IF(S395="Paid","Refunded – closed",IF(R395="","Refund – log reason first","Refund in progress")),IF(K395="","Awaiting payment",IF(N395="",IF(M395="","Schedule free video","Free video in production"),IF(P395="Approved","Active",IF(TODAY()&gt;O395,"Active – plan went ahead","Decision pending – "&amp;NETWORKDAYS(TODAY(),O395)&amp;" working day(s) left"))))))</f>
        <v/>
      </c>
      <c r="R395" s="17"/>
      <c r="S395" s="17"/>
      <c r="T395" s="48"/>
      <c r="U395" s="38"/>
      <c r="V395" s="38"/>
      <c r="W395" s="42" t="str">
        <f aca="false">IF(V395="","",EDATE(V395,Settings!$S$6))</f>
        <v/>
      </c>
      <c r="X395" s="17"/>
      <c r="Y395" s="17"/>
      <c r="Z395" s="17"/>
    </row>
    <row r="396" customFormat="false" ht="15" hidden="false" customHeight="false" outlineLevel="0" collapsed="false">
      <c r="A396" s="17"/>
      <c r="B396" s="17"/>
      <c r="C396" s="17"/>
      <c r="D396" s="17"/>
      <c r="E396" s="40"/>
      <c r="F396" s="17"/>
      <c r="G396" s="17"/>
      <c r="H396" s="17"/>
      <c r="I396" s="47" t="str">
        <f aca="false">IF(H396="","",IFERROR(INDEX(Settings!$G$2:$G$4,MATCH(H396,Settings!$F$2:$F$4,0)),""))</f>
        <v/>
      </c>
      <c r="J396" s="38"/>
      <c r="K396" s="48"/>
      <c r="L396" s="17"/>
      <c r="M396" s="38"/>
      <c r="N396" s="38"/>
      <c r="O396" s="42" t="str">
        <f aca="false">IF(N396="","",WORKDAY(N396,Settings!$S$4))</f>
        <v/>
      </c>
      <c r="P396" s="17"/>
      <c r="Q396" s="44" t="str">
        <f aca="true">IF(C396="","",IF(P396="Backed out",IF(S396="Paid","Refunded – closed",IF(R396="","Refund – log reason first","Refund in progress")),IF(K396="","Awaiting payment",IF(N396="",IF(M396="","Schedule free video","Free video in production"),IF(P396="Approved","Active",IF(TODAY()&gt;O396,"Active – plan went ahead","Decision pending – "&amp;NETWORKDAYS(TODAY(),O396)&amp;" working day(s) left"))))))</f>
        <v/>
      </c>
      <c r="R396" s="17"/>
      <c r="S396" s="17"/>
      <c r="T396" s="48"/>
      <c r="U396" s="38"/>
      <c r="V396" s="38"/>
      <c r="W396" s="42" t="str">
        <f aca="false">IF(V396="","",EDATE(V396,Settings!$S$6))</f>
        <v/>
      </c>
      <c r="X396" s="17"/>
      <c r="Y396" s="17"/>
      <c r="Z396" s="17"/>
    </row>
    <row r="397" customFormat="false" ht="15" hidden="false" customHeight="false" outlineLevel="0" collapsed="false">
      <c r="A397" s="17"/>
      <c r="B397" s="17"/>
      <c r="C397" s="17"/>
      <c r="D397" s="17"/>
      <c r="E397" s="40"/>
      <c r="F397" s="17"/>
      <c r="G397" s="17"/>
      <c r="H397" s="17"/>
      <c r="I397" s="47" t="str">
        <f aca="false">IF(H397="","",IFERROR(INDEX(Settings!$G$2:$G$4,MATCH(H397,Settings!$F$2:$F$4,0)),""))</f>
        <v/>
      </c>
      <c r="J397" s="38"/>
      <c r="K397" s="48"/>
      <c r="L397" s="17"/>
      <c r="M397" s="38"/>
      <c r="N397" s="38"/>
      <c r="O397" s="42" t="str">
        <f aca="false">IF(N397="","",WORKDAY(N397,Settings!$S$4))</f>
        <v/>
      </c>
      <c r="P397" s="17"/>
      <c r="Q397" s="44" t="str">
        <f aca="true">IF(C397="","",IF(P397="Backed out",IF(S397="Paid","Refunded – closed",IF(R397="","Refund – log reason first","Refund in progress")),IF(K397="","Awaiting payment",IF(N397="",IF(M397="","Schedule free video","Free video in production"),IF(P397="Approved","Active",IF(TODAY()&gt;O397,"Active – plan went ahead","Decision pending – "&amp;NETWORKDAYS(TODAY(),O397)&amp;" working day(s) left"))))))</f>
        <v/>
      </c>
      <c r="R397" s="17"/>
      <c r="S397" s="17"/>
      <c r="T397" s="48"/>
      <c r="U397" s="38"/>
      <c r="V397" s="38"/>
      <c r="W397" s="42" t="str">
        <f aca="false">IF(V397="","",EDATE(V397,Settings!$S$6))</f>
        <v/>
      </c>
      <c r="X397" s="17"/>
      <c r="Y397" s="17"/>
      <c r="Z397" s="17"/>
    </row>
    <row r="398" customFormat="false" ht="15" hidden="false" customHeight="false" outlineLevel="0" collapsed="false">
      <c r="A398" s="17"/>
      <c r="B398" s="17"/>
      <c r="C398" s="17"/>
      <c r="D398" s="17"/>
      <c r="E398" s="40"/>
      <c r="F398" s="17"/>
      <c r="G398" s="17"/>
      <c r="H398" s="17"/>
      <c r="I398" s="47" t="str">
        <f aca="false">IF(H398="","",IFERROR(INDEX(Settings!$G$2:$G$4,MATCH(H398,Settings!$F$2:$F$4,0)),""))</f>
        <v/>
      </c>
      <c r="J398" s="38"/>
      <c r="K398" s="48"/>
      <c r="L398" s="17"/>
      <c r="M398" s="38"/>
      <c r="N398" s="38"/>
      <c r="O398" s="42" t="str">
        <f aca="false">IF(N398="","",WORKDAY(N398,Settings!$S$4))</f>
        <v/>
      </c>
      <c r="P398" s="17"/>
      <c r="Q398" s="44" t="str">
        <f aca="true">IF(C398="","",IF(P398="Backed out",IF(S398="Paid","Refunded – closed",IF(R398="","Refund – log reason first","Refund in progress")),IF(K398="","Awaiting payment",IF(N398="",IF(M398="","Schedule free video","Free video in production"),IF(P398="Approved","Active",IF(TODAY()&gt;O398,"Active – plan went ahead","Decision pending – "&amp;NETWORKDAYS(TODAY(),O398)&amp;" working day(s) left"))))))</f>
        <v/>
      </c>
      <c r="R398" s="17"/>
      <c r="S398" s="17"/>
      <c r="T398" s="48"/>
      <c r="U398" s="38"/>
      <c r="V398" s="38"/>
      <c r="W398" s="42" t="str">
        <f aca="false">IF(V398="","",EDATE(V398,Settings!$S$6))</f>
        <v/>
      </c>
      <c r="X398" s="17"/>
      <c r="Y398" s="17"/>
      <c r="Z398" s="17"/>
    </row>
    <row r="399" customFormat="false" ht="15" hidden="false" customHeight="false" outlineLevel="0" collapsed="false">
      <c r="A399" s="17"/>
      <c r="B399" s="17"/>
      <c r="C399" s="17"/>
      <c r="D399" s="17"/>
      <c r="E399" s="40"/>
      <c r="F399" s="17"/>
      <c r="G399" s="17"/>
      <c r="H399" s="17"/>
      <c r="I399" s="47" t="str">
        <f aca="false">IF(H399="","",IFERROR(INDEX(Settings!$G$2:$G$4,MATCH(H399,Settings!$F$2:$F$4,0)),""))</f>
        <v/>
      </c>
      <c r="J399" s="38"/>
      <c r="K399" s="48"/>
      <c r="L399" s="17"/>
      <c r="M399" s="38"/>
      <c r="N399" s="38"/>
      <c r="O399" s="42" t="str">
        <f aca="false">IF(N399="","",WORKDAY(N399,Settings!$S$4))</f>
        <v/>
      </c>
      <c r="P399" s="17"/>
      <c r="Q399" s="44" t="str">
        <f aca="true">IF(C399="","",IF(P399="Backed out",IF(S399="Paid","Refunded – closed",IF(R399="","Refund – log reason first","Refund in progress")),IF(K399="","Awaiting payment",IF(N399="",IF(M399="","Schedule free video","Free video in production"),IF(P399="Approved","Active",IF(TODAY()&gt;O399,"Active – plan went ahead","Decision pending – "&amp;NETWORKDAYS(TODAY(),O399)&amp;" working day(s) left"))))))</f>
        <v/>
      </c>
      <c r="R399" s="17"/>
      <c r="S399" s="17"/>
      <c r="T399" s="48"/>
      <c r="U399" s="38"/>
      <c r="V399" s="38"/>
      <c r="W399" s="42" t="str">
        <f aca="false">IF(V399="","",EDATE(V399,Settings!$S$6))</f>
        <v/>
      </c>
      <c r="X399" s="17"/>
      <c r="Y399" s="17"/>
      <c r="Z399" s="17"/>
    </row>
    <row r="400" customFormat="false" ht="15" hidden="false" customHeight="false" outlineLevel="0" collapsed="false">
      <c r="A400" s="17"/>
      <c r="B400" s="17"/>
      <c r="C400" s="17"/>
      <c r="D400" s="17"/>
      <c r="E400" s="40"/>
      <c r="F400" s="17"/>
      <c r="G400" s="17"/>
      <c r="H400" s="17"/>
      <c r="I400" s="47" t="str">
        <f aca="false">IF(H400="","",IFERROR(INDEX(Settings!$G$2:$G$4,MATCH(H400,Settings!$F$2:$F$4,0)),""))</f>
        <v/>
      </c>
      <c r="J400" s="38"/>
      <c r="K400" s="48"/>
      <c r="L400" s="17"/>
      <c r="M400" s="38"/>
      <c r="N400" s="38"/>
      <c r="O400" s="42" t="str">
        <f aca="false">IF(N400="","",WORKDAY(N400,Settings!$S$4))</f>
        <v/>
      </c>
      <c r="P400" s="17"/>
      <c r="Q400" s="44" t="str">
        <f aca="true">IF(C400="","",IF(P400="Backed out",IF(S400="Paid","Refunded – closed",IF(R400="","Refund – log reason first","Refund in progress")),IF(K400="","Awaiting payment",IF(N400="",IF(M400="","Schedule free video","Free video in production"),IF(P400="Approved","Active",IF(TODAY()&gt;O400,"Active – plan went ahead","Decision pending – "&amp;NETWORKDAYS(TODAY(),O400)&amp;" working day(s) left"))))))</f>
        <v/>
      </c>
      <c r="R400" s="17"/>
      <c r="S400" s="17"/>
      <c r="T400" s="48"/>
      <c r="U400" s="38"/>
      <c r="V400" s="38"/>
      <c r="W400" s="42" t="str">
        <f aca="false">IF(V400="","",EDATE(V400,Settings!$S$6))</f>
        <v/>
      </c>
      <c r="X400" s="17"/>
      <c r="Y400" s="17"/>
      <c r="Z400" s="17"/>
    </row>
    <row r="401" customFormat="false" ht="15" hidden="false" customHeight="false" outlineLevel="0" collapsed="false">
      <c r="A401" s="17"/>
      <c r="B401" s="17"/>
      <c r="C401" s="17"/>
      <c r="D401" s="17"/>
      <c r="E401" s="40"/>
      <c r="F401" s="17"/>
      <c r="G401" s="17"/>
      <c r="H401" s="17"/>
      <c r="I401" s="47" t="str">
        <f aca="false">IF(H401="","",IFERROR(INDEX(Settings!$G$2:$G$4,MATCH(H401,Settings!$F$2:$F$4,0)),""))</f>
        <v/>
      </c>
      <c r="J401" s="38"/>
      <c r="K401" s="48"/>
      <c r="L401" s="17"/>
      <c r="M401" s="38"/>
      <c r="N401" s="38"/>
      <c r="O401" s="42" t="str">
        <f aca="false">IF(N401="","",WORKDAY(N401,Settings!$S$4))</f>
        <v/>
      </c>
      <c r="P401" s="17"/>
      <c r="Q401" s="44" t="str">
        <f aca="true">IF(C401="","",IF(P401="Backed out",IF(S401="Paid","Refunded – closed",IF(R401="","Refund – log reason first","Refund in progress")),IF(K401="","Awaiting payment",IF(N401="",IF(M401="","Schedule free video","Free video in production"),IF(P401="Approved","Active",IF(TODAY()&gt;O401,"Active – plan went ahead","Decision pending – "&amp;NETWORKDAYS(TODAY(),O401)&amp;" working day(s) left"))))))</f>
        <v/>
      </c>
      <c r="R401" s="17"/>
      <c r="S401" s="17"/>
      <c r="T401" s="48"/>
      <c r="U401" s="38"/>
      <c r="V401" s="38"/>
      <c r="W401" s="42" t="str">
        <f aca="false">IF(V401="","",EDATE(V401,Settings!$S$6))</f>
        <v/>
      </c>
      <c r="X401" s="17"/>
      <c r="Y401" s="17"/>
      <c r="Z401" s="17"/>
    </row>
    <row r="402" customFormat="false" ht="15" hidden="false" customHeight="false" outlineLevel="0" collapsed="false">
      <c r="A402" s="17"/>
      <c r="B402" s="17"/>
      <c r="C402" s="17"/>
      <c r="D402" s="17"/>
      <c r="E402" s="40"/>
      <c r="F402" s="17"/>
      <c r="G402" s="17"/>
      <c r="H402" s="17"/>
      <c r="I402" s="47" t="str">
        <f aca="false">IF(H402="","",IFERROR(INDEX(Settings!$G$2:$G$4,MATCH(H402,Settings!$F$2:$F$4,0)),""))</f>
        <v/>
      </c>
      <c r="J402" s="38"/>
      <c r="K402" s="48"/>
      <c r="L402" s="17"/>
      <c r="M402" s="38"/>
      <c r="N402" s="38"/>
      <c r="O402" s="42" t="str">
        <f aca="false">IF(N402="","",WORKDAY(N402,Settings!$S$4))</f>
        <v/>
      </c>
      <c r="P402" s="17"/>
      <c r="Q402" s="44" t="str">
        <f aca="true">IF(C402="","",IF(P402="Backed out",IF(S402="Paid","Refunded – closed",IF(R402="","Refund – log reason first","Refund in progress")),IF(K402="","Awaiting payment",IF(N402="",IF(M402="","Schedule free video","Free video in production"),IF(P402="Approved","Active",IF(TODAY()&gt;O402,"Active – plan went ahead","Decision pending – "&amp;NETWORKDAYS(TODAY(),O402)&amp;" working day(s) left"))))))</f>
        <v/>
      </c>
      <c r="R402" s="17"/>
      <c r="S402" s="17"/>
      <c r="T402" s="48"/>
      <c r="U402" s="38"/>
      <c r="V402" s="38"/>
      <c r="W402" s="42" t="str">
        <f aca="false">IF(V402="","",EDATE(V402,Settings!$S$6))</f>
        <v/>
      </c>
      <c r="X402" s="17"/>
      <c r="Y402" s="17"/>
      <c r="Z402" s="17"/>
    </row>
    <row r="403" customFormat="false" ht="15" hidden="false" customHeight="false" outlineLevel="0" collapsed="false">
      <c r="A403" s="17"/>
      <c r="B403" s="17"/>
      <c r="C403" s="17"/>
      <c r="D403" s="17"/>
      <c r="E403" s="40"/>
      <c r="F403" s="17"/>
      <c r="G403" s="17"/>
      <c r="H403" s="17"/>
      <c r="I403" s="47" t="str">
        <f aca="false">IF(H403="","",IFERROR(INDEX(Settings!$G$2:$G$4,MATCH(H403,Settings!$F$2:$F$4,0)),""))</f>
        <v/>
      </c>
      <c r="J403" s="38"/>
      <c r="K403" s="48"/>
      <c r="L403" s="17"/>
      <c r="M403" s="38"/>
      <c r="N403" s="38"/>
      <c r="O403" s="42" t="str">
        <f aca="false">IF(N403="","",WORKDAY(N403,Settings!$S$4))</f>
        <v/>
      </c>
      <c r="P403" s="17"/>
      <c r="Q403" s="44" t="str">
        <f aca="true">IF(C403="","",IF(P403="Backed out",IF(S403="Paid","Refunded – closed",IF(R403="","Refund – log reason first","Refund in progress")),IF(K403="","Awaiting payment",IF(N403="",IF(M403="","Schedule free video","Free video in production"),IF(P403="Approved","Active",IF(TODAY()&gt;O403,"Active – plan went ahead","Decision pending – "&amp;NETWORKDAYS(TODAY(),O403)&amp;" working day(s) left"))))))</f>
        <v/>
      </c>
      <c r="R403" s="17"/>
      <c r="S403" s="17"/>
      <c r="T403" s="48"/>
      <c r="U403" s="38"/>
      <c r="V403" s="38"/>
      <c r="W403" s="42" t="str">
        <f aca="false">IF(V403="","",EDATE(V403,Settings!$S$6))</f>
        <v/>
      </c>
      <c r="X403" s="17"/>
      <c r="Y403" s="17"/>
      <c r="Z403" s="17"/>
    </row>
    <row r="404" customFormat="false" ht="15" hidden="false" customHeight="false" outlineLevel="0" collapsed="false">
      <c r="A404" s="17"/>
      <c r="B404" s="17"/>
      <c r="C404" s="17"/>
      <c r="D404" s="17"/>
      <c r="E404" s="40"/>
      <c r="F404" s="17"/>
      <c r="G404" s="17"/>
      <c r="H404" s="17"/>
      <c r="I404" s="47" t="str">
        <f aca="false">IF(H404="","",IFERROR(INDEX(Settings!$G$2:$G$4,MATCH(H404,Settings!$F$2:$F$4,0)),""))</f>
        <v/>
      </c>
      <c r="J404" s="38"/>
      <c r="K404" s="48"/>
      <c r="L404" s="17"/>
      <c r="M404" s="38"/>
      <c r="N404" s="38"/>
      <c r="O404" s="42" t="str">
        <f aca="false">IF(N404="","",WORKDAY(N404,Settings!$S$4))</f>
        <v/>
      </c>
      <c r="P404" s="17"/>
      <c r="Q404" s="44" t="str">
        <f aca="true">IF(C404="","",IF(P404="Backed out",IF(S404="Paid","Refunded – closed",IF(R404="","Refund – log reason first","Refund in progress")),IF(K404="","Awaiting payment",IF(N404="",IF(M404="","Schedule free video","Free video in production"),IF(P404="Approved","Active",IF(TODAY()&gt;O404,"Active – plan went ahead","Decision pending – "&amp;NETWORKDAYS(TODAY(),O404)&amp;" working day(s) left"))))))</f>
        <v/>
      </c>
      <c r="R404" s="17"/>
      <c r="S404" s="17"/>
      <c r="T404" s="48"/>
      <c r="U404" s="38"/>
      <c r="V404" s="38"/>
      <c r="W404" s="42" t="str">
        <f aca="false">IF(V404="","",EDATE(V404,Settings!$S$6))</f>
        <v/>
      </c>
      <c r="X404" s="17"/>
      <c r="Y404" s="17"/>
      <c r="Z404" s="17"/>
    </row>
    <row r="405" customFormat="false" ht="15" hidden="false" customHeight="false" outlineLevel="0" collapsed="false">
      <c r="A405" s="17"/>
      <c r="B405" s="17"/>
      <c r="C405" s="17"/>
      <c r="D405" s="17"/>
      <c r="E405" s="40"/>
      <c r="F405" s="17"/>
      <c r="G405" s="17"/>
      <c r="H405" s="17"/>
      <c r="I405" s="47" t="str">
        <f aca="false">IF(H405="","",IFERROR(INDEX(Settings!$G$2:$G$4,MATCH(H405,Settings!$F$2:$F$4,0)),""))</f>
        <v/>
      </c>
      <c r="J405" s="38"/>
      <c r="K405" s="48"/>
      <c r="L405" s="17"/>
      <c r="M405" s="38"/>
      <c r="N405" s="38"/>
      <c r="O405" s="42" t="str">
        <f aca="false">IF(N405="","",WORKDAY(N405,Settings!$S$4))</f>
        <v/>
      </c>
      <c r="P405" s="17"/>
      <c r="Q405" s="44" t="str">
        <f aca="true">IF(C405="","",IF(P405="Backed out",IF(S405="Paid","Refunded – closed",IF(R405="","Refund – log reason first","Refund in progress")),IF(K405="","Awaiting payment",IF(N405="",IF(M405="","Schedule free video","Free video in production"),IF(P405="Approved","Active",IF(TODAY()&gt;O405,"Active – plan went ahead","Decision pending – "&amp;NETWORKDAYS(TODAY(),O405)&amp;" working day(s) left"))))))</f>
        <v/>
      </c>
      <c r="R405" s="17"/>
      <c r="S405" s="17"/>
      <c r="T405" s="48"/>
      <c r="U405" s="38"/>
      <c r="V405" s="38"/>
      <c r="W405" s="42" t="str">
        <f aca="false">IF(V405="","",EDATE(V405,Settings!$S$6))</f>
        <v/>
      </c>
      <c r="X405" s="17"/>
      <c r="Y405" s="17"/>
      <c r="Z405" s="17"/>
    </row>
    <row r="406" customFormat="false" ht="15" hidden="false" customHeight="false" outlineLevel="0" collapsed="false">
      <c r="A406" s="17"/>
      <c r="B406" s="17"/>
      <c r="C406" s="17"/>
      <c r="D406" s="17"/>
      <c r="E406" s="40"/>
      <c r="F406" s="17"/>
      <c r="G406" s="17"/>
      <c r="H406" s="17"/>
      <c r="I406" s="47" t="str">
        <f aca="false">IF(H406="","",IFERROR(INDEX(Settings!$G$2:$G$4,MATCH(H406,Settings!$F$2:$F$4,0)),""))</f>
        <v/>
      </c>
      <c r="J406" s="38"/>
      <c r="K406" s="48"/>
      <c r="L406" s="17"/>
      <c r="M406" s="38"/>
      <c r="N406" s="38"/>
      <c r="O406" s="42" t="str">
        <f aca="false">IF(N406="","",WORKDAY(N406,Settings!$S$4))</f>
        <v/>
      </c>
      <c r="P406" s="17"/>
      <c r="Q406" s="44" t="str">
        <f aca="true">IF(C406="","",IF(P406="Backed out",IF(S406="Paid","Refunded – closed",IF(R406="","Refund – log reason first","Refund in progress")),IF(K406="","Awaiting payment",IF(N406="",IF(M406="","Schedule free video","Free video in production"),IF(P406="Approved","Active",IF(TODAY()&gt;O406,"Active – plan went ahead","Decision pending – "&amp;NETWORKDAYS(TODAY(),O406)&amp;" working day(s) left"))))))</f>
        <v/>
      </c>
      <c r="R406" s="17"/>
      <c r="S406" s="17"/>
      <c r="T406" s="48"/>
      <c r="U406" s="38"/>
      <c r="V406" s="38"/>
      <c r="W406" s="42" t="str">
        <f aca="false">IF(V406="","",EDATE(V406,Settings!$S$6))</f>
        <v/>
      </c>
      <c r="X406" s="17"/>
      <c r="Y406" s="17"/>
      <c r="Z406" s="17"/>
    </row>
    <row r="407" customFormat="false" ht="15" hidden="false" customHeight="false" outlineLevel="0" collapsed="false">
      <c r="A407" s="17"/>
      <c r="B407" s="17"/>
      <c r="C407" s="17"/>
      <c r="D407" s="17"/>
      <c r="E407" s="40"/>
      <c r="F407" s="17"/>
      <c r="G407" s="17"/>
      <c r="H407" s="17"/>
      <c r="I407" s="47" t="str">
        <f aca="false">IF(H407="","",IFERROR(INDEX(Settings!$G$2:$G$4,MATCH(H407,Settings!$F$2:$F$4,0)),""))</f>
        <v/>
      </c>
      <c r="J407" s="38"/>
      <c r="K407" s="48"/>
      <c r="L407" s="17"/>
      <c r="M407" s="38"/>
      <c r="N407" s="38"/>
      <c r="O407" s="42" t="str">
        <f aca="false">IF(N407="","",WORKDAY(N407,Settings!$S$4))</f>
        <v/>
      </c>
      <c r="P407" s="17"/>
      <c r="Q407" s="44" t="str">
        <f aca="true">IF(C407="","",IF(P407="Backed out",IF(S407="Paid","Refunded – closed",IF(R407="","Refund – log reason first","Refund in progress")),IF(K407="","Awaiting payment",IF(N407="",IF(M407="","Schedule free video","Free video in production"),IF(P407="Approved","Active",IF(TODAY()&gt;O407,"Active – plan went ahead","Decision pending – "&amp;NETWORKDAYS(TODAY(),O407)&amp;" working day(s) left"))))))</f>
        <v/>
      </c>
      <c r="R407" s="17"/>
      <c r="S407" s="17"/>
      <c r="T407" s="48"/>
      <c r="U407" s="38"/>
      <c r="V407" s="38"/>
      <c r="W407" s="42" t="str">
        <f aca="false">IF(V407="","",EDATE(V407,Settings!$S$6))</f>
        <v/>
      </c>
      <c r="X407" s="17"/>
      <c r="Y407" s="17"/>
      <c r="Z407" s="17"/>
    </row>
    <row r="408" customFormat="false" ht="15" hidden="false" customHeight="false" outlineLevel="0" collapsed="false">
      <c r="A408" s="17"/>
      <c r="B408" s="17"/>
      <c r="C408" s="17"/>
      <c r="D408" s="17"/>
      <c r="E408" s="40"/>
      <c r="F408" s="17"/>
      <c r="G408" s="17"/>
      <c r="H408" s="17"/>
      <c r="I408" s="47" t="str">
        <f aca="false">IF(H408="","",IFERROR(INDEX(Settings!$G$2:$G$4,MATCH(H408,Settings!$F$2:$F$4,0)),""))</f>
        <v/>
      </c>
      <c r="J408" s="38"/>
      <c r="K408" s="48"/>
      <c r="L408" s="17"/>
      <c r="M408" s="38"/>
      <c r="N408" s="38"/>
      <c r="O408" s="42" t="str">
        <f aca="false">IF(N408="","",WORKDAY(N408,Settings!$S$4))</f>
        <v/>
      </c>
      <c r="P408" s="17"/>
      <c r="Q408" s="44" t="str">
        <f aca="true">IF(C408="","",IF(P408="Backed out",IF(S408="Paid","Refunded – closed",IF(R408="","Refund – log reason first","Refund in progress")),IF(K408="","Awaiting payment",IF(N408="",IF(M408="","Schedule free video","Free video in production"),IF(P408="Approved","Active",IF(TODAY()&gt;O408,"Active – plan went ahead","Decision pending – "&amp;NETWORKDAYS(TODAY(),O408)&amp;" working day(s) left"))))))</f>
        <v/>
      </c>
      <c r="R408" s="17"/>
      <c r="S408" s="17"/>
      <c r="T408" s="48"/>
      <c r="U408" s="38"/>
      <c r="V408" s="38"/>
      <c r="W408" s="42" t="str">
        <f aca="false">IF(V408="","",EDATE(V408,Settings!$S$6))</f>
        <v/>
      </c>
      <c r="X408" s="17"/>
      <c r="Y408" s="17"/>
      <c r="Z408" s="17"/>
    </row>
    <row r="409" customFormat="false" ht="15" hidden="false" customHeight="false" outlineLevel="0" collapsed="false">
      <c r="A409" s="17"/>
      <c r="B409" s="17"/>
      <c r="C409" s="17"/>
      <c r="D409" s="17"/>
      <c r="E409" s="40"/>
      <c r="F409" s="17"/>
      <c r="G409" s="17"/>
      <c r="H409" s="17"/>
      <c r="I409" s="47" t="str">
        <f aca="false">IF(H409="","",IFERROR(INDEX(Settings!$G$2:$G$4,MATCH(H409,Settings!$F$2:$F$4,0)),""))</f>
        <v/>
      </c>
      <c r="J409" s="38"/>
      <c r="K409" s="48"/>
      <c r="L409" s="17"/>
      <c r="M409" s="38"/>
      <c r="N409" s="38"/>
      <c r="O409" s="42" t="str">
        <f aca="false">IF(N409="","",WORKDAY(N409,Settings!$S$4))</f>
        <v/>
      </c>
      <c r="P409" s="17"/>
      <c r="Q409" s="44" t="str">
        <f aca="true">IF(C409="","",IF(P409="Backed out",IF(S409="Paid","Refunded – closed",IF(R409="","Refund – log reason first","Refund in progress")),IF(K409="","Awaiting payment",IF(N409="",IF(M409="","Schedule free video","Free video in production"),IF(P409="Approved","Active",IF(TODAY()&gt;O409,"Active – plan went ahead","Decision pending – "&amp;NETWORKDAYS(TODAY(),O409)&amp;" working day(s) left"))))))</f>
        <v/>
      </c>
      <c r="R409" s="17"/>
      <c r="S409" s="17"/>
      <c r="T409" s="48"/>
      <c r="U409" s="38"/>
      <c r="V409" s="38"/>
      <c r="W409" s="42" t="str">
        <f aca="false">IF(V409="","",EDATE(V409,Settings!$S$6))</f>
        <v/>
      </c>
      <c r="X409" s="17"/>
      <c r="Y409" s="17"/>
      <c r="Z409" s="17"/>
    </row>
    <row r="410" customFormat="false" ht="15" hidden="false" customHeight="false" outlineLevel="0" collapsed="false">
      <c r="A410" s="17"/>
      <c r="B410" s="17"/>
      <c r="C410" s="17"/>
      <c r="D410" s="17"/>
      <c r="E410" s="40"/>
      <c r="F410" s="17"/>
      <c r="G410" s="17"/>
      <c r="H410" s="17"/>
      <c r="I410" s="47" t="str">
        <f aca="false">IF(H410="","",IFERROR(INDEX(Settings!$G$2:$G$4,MATCH(H410,Settings!$F$2:$F$4,0)),""))</f>
        <v/>
      </c>
      <c r="J410" s="38"/>
      <c r="K410" s="48"/>
      <c r="L410" s="17"/>
      <c r="M410" s="38"/>
      <c r="N410" s="38"/>
      <c r="O410" s="42" t="str">
        <f aca="false">IF(N410="","",WORKDAY(N410,Settings!$S$4))</f>
        <v/>
      </c>
      <c r="P410" s="17"/>
      <c r="Q410" s="44" t="str">
        <f aca="true">IF(C410="","",IF(P410="Backed out",IF(S410="Paid","Refunded – closed",IF(R410="","Refund – log reason first","Refund in progress")),IF(K410="","Awaiting payment",IF(N410="",IF(M410="","Schedule free video","Free video in production"),IF(P410="Approved","Active",IF(TODAY()&gt;O410,"Active – plan went ahead","Decision pending – "&amp;NETWORKDAYS(TODAY(),O410)&amp;" working day(s) left"))))))</f>
        <v/>
      </c>
      <c r="R410" s="17"/>
      <c r="S410" s="17"/>
      <c r="T410" s="48"/>
      <c r="U410" s="38"/>
      <c r="V410" s="38"/>
      <c r="W410" s="42" t="str">
        <f aca="false">IF(V410="","",EDATE(V410,Settings!$S$6))</f>
        <v/>
      </c>
      <c r="X410" s="17"/>
      <c r="Y410" s="17"/>
      <c r="Z410" s="17"/>
    </row>
    <row r="411" customFormat="false" ht="15" hidden="false" customHeight="false" outlineLevel="0" collapsed="false">
      <c r="A411" s="17"/>
      <c r="B411" s="17"/>
      <c r="C411" s="17"/>
      <c r="D411" s="17"/>
      <c r="E411" s="40"/>
      <c r="F411" s="17"/>
      <c r="G411" s="17"/>
      <c r="H411" s="17"/>
      <c r="I411" s="47" t="str">
        <f aca="false">IF(H411="","",IFERROR(INDEX(Settings!$G$2:$G$4,MATCH(H411,Settings!$F$2:$F$4,0)),""))</f>
        <v/>
      </c>
      <c r="J411" s="38"/>
      <c r="K411" s="48"/>
      <c r="L411" s="17"/>
      <c r="M411" s="38"/>
      <c r="N411" s="38"/>
      <c r="O411" s="42" t="str">
        <f aca="false">IF(N411="","",WORKDAY(N411,Settings!$S$4))</f>
        <v/>
      </c>
      <c r="P411" s="17"/>
      <c r="Q411" s="44" t="str">
        <f aca="true">IF(C411="","",IF(P411="Backed out",IF(S411="Paid","Refunded – closed",IF(R411="","Refund – log reason first","Refund in progress")),IF(K411="","Awaiting payment",IF(N411="",IF(M411="","Schedule free video","Free video in production"),IF(P411="Approved","Active",IF(TODAY()&gt;O411,"Active – plan went ahead","Decision pending – "&amp;NETWORKDAYS(TODAY(),O411)&amp;" working day(s) left"))))))</f>
        <v/>
      </c>
      <c r="R411" s="17"/>
      <c r="S411" s="17"/>
      <c r="T411" s="48"/>
      <c r="U411" s="38"/>
      <c r="V411" s="38"/>
      <c r="W411" s="42" t="str">
        <f aca="false">IF(V411="","",EDATE(V411,Settings!$S$6))</f>
        <v/>
      </c>
      <c r="X411" s="17"/>
      <c r="Y411" s="17"/>
      <c r="Z411" s="17"/>
    </row>
    <row r="412" customFormat="false" ht="15" hidden="false" customHeight="false" outlineLevel="0" collapsed="false">
      <c r="A412" s="17"/>
      <c r="B412" s="17"/>
      <c r="C412" s="17"/>
      <c r="D412" s="17"/>
      <c r="E412" s="40"/>
      <c r="F412" s="17"/>
      <c r="G412" s="17"/>
      <c r="H412" s="17"/>
      <c r="I412" s="47" t="str">
        <f aca="false">IF(H412="","",IFERROR(INDEX(Settings!$G$2:$G$4,MATCH(H412,Settings!$F$2:$F$4,0)),""))</f>
        <v/>
      </c>
      <c r="J412" s="38"/>
      <c r="K412" s="48"/>
      <c r="L412" s="17"/>
      <c r="M412" s="38"/>
      <c r="N412" s="38"/>
      <c r="O412" s="42" t="str">
        <f aca="false">IF(N412="","",WORKDAY(N412,Settings!$S$4))</f>
        <v/>
      </c>
      <c r="P412" s="17"/>
      <c r="Q412" s="44" t="str">
        <f aca="true">IF(C412="","",IF(P412="Backed out",IF(S412="Paid","Refunded – closed",IF(R412="","Refund – log reason first","Refund in progress")),IF(K412="","Awaiting payment",IF(N412="",IF(M412="","Schedule free video","Free video in production"),IF(P412="Approved","Active",IF(TODAY()&gt;O412,"Active – plan went ahead","Decision pending – "&amp;NETWORKDAYS(TODAY(),O412)&amp;" working day(s) left"))))))</f>
        <v/>
      </c>
      <c r="R412" s="17"/>
      <c r="S412" s="17"/>
      <c r="T412" s="48"/>
      <c r="U412" s="38"/>
      <c r="V412" s="38"/>
      <c r="W412" s="42" t="str">
        <f aca="false">IF(V412="","",EDATE(V412,Settings!$S$6))</f>
        <v/>
      </c>
      <c r="X412" s="17"/>
      <c r="Y412" s="17"/>
      <c r="Z412" s="17"/>
    </row>
    <row r="413" customFormat="false" ht="15" hidden="false" customHeight="false" outlineLevel="0" collapsed="false">
      <c r="A413" s="17"/>
      <c r="B413" s="17"/>
      <c r="C413" s="17"/>
      <c r="D413" s="17"/>
      <c r="E413" s="40"/>
      <c r="F413" s="17"/>
      <c r="G413" s="17"/>
      <c r="H413" s="17"/>
      <c r="I413" s="47" t="str">
        <f aca="false">IF(H413="","",IFERROR(INDEX(Settings!$G$2:$G$4,MATCH(H413,Settings!$F$2:$F$4,0)),""))</f>
        <v/>
      </c>
      <c r="J413" s="38"/>
      <c r="K413" s="48"/>
      <c r="L413" s="17"/>
      <c r="M413" s="38"/>
      <c r="N413" s="38"/>
      <c r="O413" s="42" t="str">
        <f aca="false">IF(N413="","",WORKDAY(N413,Settings!$S$4))</f>
        <v/>
      </c>
      <c r="P413" s="17"/>
      <c r="Q413" s="44" t="str">
        <f aca="true">IF(C413="","",IF(P413="Backed out",IF(S413="Paid","Refunded – closed",IF(R413="","Refund – log reason first","Refund in progress")),IF(K413="","Awaiting payment",IF(N413="",IF(M413="","Schedule free video","Free video in production"),IF(P413="Approved","Active",IF(TODAY()&gt;O413,"Active – plan went ahead","Decision pending – "&amp;NETWORKDAYS(TODAY(),O413)&amp;" working day(s) left"))))))</f>
        <v/>
      </c>
      <c r="R413" s="17"/>
      <c r="S413" s="17"/>
      <c r="T413" s="48"/>
      <c r="U413" s="38"/>
      <c r="V413" s="38"/>
      <c r="W413" s="42" t="str">
        <f aca="false">IF(V413="","",EDATE(V413,Settings!$S$6))</f>
        <v/>
      </c>
      <c r="X413" s="17"/>
      <c r="Y413" s="17"/>
      <c r="Z413" s="17"/>
    </row>
    <row r="414" customFormat="false" ht="15" hidden="false" customHeight="false" outlineLevel="0" collapsed="false">
      <c r="A414" s="17"/>
      <c r="B414" s="17"/>
      <c r="C414" s="17"/>
      <c r="D414" s="17"/>
      <c r="E414" s="40"/>
      <c r="F414" s="17"/>
      <c r="G414" s="17"/>
      <c r="H414" s="17"/>
      <c r="I414" s="47" t="str">
        <f aca="false">IF(H414="","",IFERROR(INDEX(Settings!$G$2:$G$4,MATCH(H414,Settings!$F$2:$F$4,0)),""))</f>
        <v/>
      </c>
      <c r="J414" s="38"/>
      <c r="K414" s="48"/>
      <c r="L414" s="17"/>
      <c r="M414" s="38"/>
      <c r="N414" s="38"/>
      <c r="O414" s="42" t="str">
        <f aca="false">IF(N414="","",WORKDAY(N414,Settings!$S$4))</f>
        <v/>
      </c>
      <c r="P414" s="17"/>
      <c r="Q414" s="44" t="str">
        <f aca="true">IF(C414="","",IF(P414="Backed out",IF(S414="Paid","Refunded – closed",IF(R414="","Refund – log reason first","Refund in progress")),IF(K414="","Awaiting payment",IF(N414="",IF(M414="","Schedule free video","Free video in production"),IF(P414="Approved","Active",IF(TODAY()&gt;O414,"Active – plan went ahead","Decision pending – "&amp;NETWORKDAYS(TODAY(),O414)&amp;" working day(s) left"))))))</f>
        <v/>
      </c>
      <c r="R414" s="17"/>
      <c r="S414" s="17"/>
      <c r="T414" s="48"/>
      <c r="U414" s="38"/>
      <c r="V414" s="38"/>
      <c r="W414" s="42" t="str">
        <f aca="false">IF(V414="","",EDATE(V414,Settings!$S$6))</f>
        <v/>
      </c>
      <c r="X414" s="17"/>
      <c r="Y414" s="17"/>
      <c r="Z414" s="17"/>
    </row>
    <row r="415" customFormat="false" ht="15" hidden="false" customHeight="false" outlineLevel="0" collapsed="false">
      <c r="A415" s="17"/>
      <c r="B415" s="17"/>
      <c r="C415" s="17"/>
      <c r="D415" s="17"/>
      <c r="E415" s="40"/>
      <c r="F415" s="17"/>
      <c r="G415" s="17"/>
      <c r="H415" s="17"/>
      <c r="I415" s="47" t="str">
        <f aca="false">IF(H415="","",IFERROR(INDEX(Settings!$G$2:$G$4,MATCH(H415,Settings!$F$2:$F$4,0)),""))</f>
        <v/>
      </c>
      <c r="J415" s="38"/>
      <c r="K415" s="48"/>
      <c r="L415" s="17"/>
      <c r="M415" s="38"/>
      <c r="N415" s="38"/>
      <c r="O415" s="42" t="str">
        <f aca="false">IF(N415="","",WORKDAY(N415,Settings!$S$4))</f>
        <v/>
      </c>
      <c r="P415" s="17"/>
      <c r="Q415" s="44" t="str">
        <f aca="true">IF(C415="","",IF(P415="Backed out",IF(S415="Paid","Refunded – closed",IF(R415="","Refund – log reason first","Refund in progress")),IF(K415="","Awaiting payment",IF(N415="",IF(M415="","Schedule free video","Free video in production"),IF(P415="Approved","Active",IF(TODAY()&gt;O415,"Active – plan went ahead","Decision pending – "&amp;NETWORKDAYS(TODAY(),O415)&amp;" working day(s) left"))))))</f>
        <v/>
      </c>
      <c r="R415" s="17"/>
      <c r="S415" s="17"/>
      <c r="T415" s="48"/>
      <c r="U415" s="38"/>
      <c r="V415" s="38"/>
      <c r="W415" s="42" t="str">
        <f aca="false">IF(V415="","",EDATE(V415,Settings!$S$6))</f>
        <v/>
      </c>
      <c r="X415" s="17"/>
      <c r="Y415" s="17"/>
      <c r="Z415" s="17"/>
    </row>
    <row r="416" customFormat="false" ht="15" hidden="false" customHeight="false" outlineLevel="0" collapsed="false">
      <c r="A416" s="17"/>
      <c r="B416" s="17"/>
      <c r="C416" s="17"/>
      <c r="D416" s="17"/>
      <c r="E416" s="40"/>
      <c r="F416" s="17"/>
      <c r="G416" s="17"/>
      <c r="H416" s="17"/>
      <c r="I416" s="47" t="str">
        <f aca="false">IF(H416="","",IFERROR(INDEX(Settings!$G$2:$G$4,MATCH(H416,Settings!$F$2:$F$4,0)),""))</f>
        <v/>
      </c>
      <c r="J416" s="38"/>
      <c r="K416" s="48"/>
      <c r="L416" s="17"/>
      <c r="M416" s="38"/>
      <c r="N416" s="38"/>
      <c r="O416" s="42" t="str">
        <f aca="false">IF(N416="","",WORKDAY(N416,Settings!$S$4))</f>
        <v/>
      </c>
      <c r="P416" s="17"/>
      <c r="Q416" s="44" t="str">
        <f aca="true">IF(C416="","",IF(P416="Backed out",IF(S416="Paid","Refunded – closed",IF(R416="","Refund – log reason first","Refund in progress")),IF(K416="","Awaiting payment",IF(N416="",IF(M416="","Schedule free video","Free video in production"),IF(P416="Approved","Active",IF(TODAY()&gt;O416,"Active – plan went ahead","Decision pending – "&amp;NETWORKDAYS(TODAY(),O416)&amp;" working day(s) left"))))))</f>
        <v/>
      </c>
      <c r="R416" s="17"/>
      <c r="S416" s="17"/>
      <c r="T416" s="48"/>
      <c r="U416" s="38"/>
      <c r="V416" s="38"/>
      <c r="W416" s="42" t="str">
        <f aca="false">IF(V416="","",EDATE(V416,Settings!$S$6))</f>
        <v/>
      </c>
      <c r="X416" s="17"/>
      <c r="Y416" s="17"/>
      <c r="Z416" s="17"/>
    </row>
    <row r="417" customFormat="false" ht="15" hidden="false" customHeight="false" outlineLevel="0" collapsed="false">
      <c r="A417" s="17"/>
      <c r="B417" s="17"/>
      <c r="C417" s="17"/>
      <c r="D417" s="17"/>
      <c r="E417" s="40"/>
      <c r="F417" s="17"/>
      <c r="G417" s="17"/>
      <c r="H417" s="17"/>
      <c r="I417" s="47" t="str">
        <f aca="false">IF(H417="","",IFERROR(INDEX(Settings!$G$2:$G$4,MATCH(H417,Settings!$F$2:$F$4,0)),""))</f>
        <v/>
      </c>
      <c r="J417" s="38"/>
      <c r="K417" s="48"/>
      <c r="L417" s="17"/>
      <c r="M417" s="38"/>
      <c r="N417" s="38"/>
      <c r="O417" s="42" t="str">
        <f aca="false">IF(N417="","",WORKDAY(N417,Settings!$S$4))</f>
        <v/>
      </c>
      <c r="P417" s="17"/>
      <c r="Q417" s="44" t="str">
        <f aca="true">IF(C417="","",IF(P417="Backed out",IF(S417="Paid","Refunded – closed",IF(R417="","Refund – log reason first","Refund in progress")),IF(K417="","Awaiting payment",IF(N417="",IF(M417="","Schedule free video","Free video in production"),IF(P417="Approved","Active",IF(TODAY()&gt;O417,"Active – plan went ahead","Decision pending – "&amp;NETWORKDAYS(TODAY(),O417)&amp;" working day(s) left"))))))</f>
        <v/>
      </c>
      <c r="R417" s="17"/>
      <c r="S417" s="17"/>
      <c r="T417" s="48"/>
      <c r="U417" s="38"/>
      <c r="V417" s="38"/>
      <c r="W417" s="42" t="str">
        <f aca="false">IF(V417="","",EDATE(V417,Settings!$S$6))</f>
        <v/>
      </c>
      <c r="X417" s="17"/>
      <c r="Y417" s="17"/>
      <c r="Z417" s="17"/>
    </row>
    <row r="418" customFormat="false" ht="15" hidden="false" customHeight="false" outlineLevel="0" collapsed="false">
      <c r="A418" s="17"/>
      <c r="B418" s="17"/>
      <c r="C418" s="17"/>
      <c r="D418" s="17"/>
      <c r="E418" s="40"/>
      <c r="F418" s="17"/>
      <c r="G418" s="17"/>
      <c r="H418" s="17"/>
      <c r="I418" s="47" t="str">
        <f aca="false">IF(H418="","",IFERROR(INDEX(Settings!$G$2:$G$4,MATCH(H418,Settings!$F$2:$F$4,0)),""))</f>
        <v/>
      </c>
      <c r="J418" s="38"/>
      <c r="K418" s="48"/>
      <c r="L418" s="17"/>
      <c r="M418" s="38"/>
      <c r="N418" s="38"/>
      <c r="O418" s="42" t="str">
        <f aca="false">IF(N418="","",WORKDAY(N418,Settings!$S$4))</f>
        <v/>
      </c>
      <c r="P418" s="17"/>
      <c r="Q418" s="44" t="str">
        <f aca="true">IF(C418="","",IF(P418="Backed out",IF(S418="Paid","Refunded – closed",IF(R418="","Refund – log reason first","Refund in progress")),IF(K418="","Awaiting payment",IF(N418="",IF(M418="","Schedule free video","Free video in production"),IF(P418="Approved","Active",IF(TODAY()&gt;O418,"Active – plan went ahead","Decision pending – "&amp;NETWORKDAYS(TODAY(),O418)&amp;" working day(s) left"))))))</f>
        <v/>
      </c>
      <c r="R418" s="17"/>
      <c r="S418" s="17"/>
      <c r="T418" s="48"/>
      <c r="U418" s="38"/>
      <c r="V418" s="38"/>
      <c r="W418" s="42" t="str">
        <f aca="false">IF(V418="","",EDATE(V418,Settings!$S$6))</f>
        <v/>
      </c>
      <c r="X418" s="17"/>
      <c r="Y418" s="17"/>
      <c r="Z418" s="17"/>
    </row>
    <row r="419" customFormat="false" ht="15" hidden="false" customHeight="false" outlineLevel="0" collapsed="false">
      <c r="A419" s="17"/>
      <c r="B419" s="17"/>
      <c r="C419" s="17"/>
      <c r="D419" s="17"/>
      <c r="E419" s="40"/>
      <c r="F419" s="17"/>
      <c r="G419" s="17"/>
      <c r="H419" s="17"/>
      <c r="I419" s="47" t="str">
        <f aca="false">IF(H419="","",IFERROR(INDEX(Settings!$G$2:$G$4,MATCH(H419,Settings!$F$2:$F$4,0)),""))</f>
        <v/>
      </c>
      <c r="J419" s="38"/>
      <c r="K419" s="48"/>
      <c r="L419" s="17"/>
      <c r="M419" s="38"/>
      <c r="N419" s="38"/>
      <c r="O419" s="42" t="str">
        <f aca="false">IF(N419="","",WORKDAY(N419,Settings!$S$4))</f>
        <v/>
      </c>
      <c r="P419" s="17"/>
      <c r="Q419" s="44" t="str">
        <f aca="true">IF(C419="","",IF(P419="Backed out",IF(S419="Paid","Refunded – closed",IF(R419="","Refund – log reason first","Refund in progress")),IF(K419="","Awaiting payment",IF(N419="",IF(M419="","Schedule free video","Free video in production"),IF(P419="Approved","Active",IF(TODAY()&gt;O419,"Active – plan went ahead","Decision pending – "&amp;NETWORKDAYS(TODAY(),O419)&amp;" working day(s) left"))))))</f>
        <v/>
      </c>
      <c r="R419" s="17"/>
      <c r="S419" s="17"/>
      <c r="T419" s="48"/>
      <c r="U419" s="38"/>
      <c r="V419" s="38"/>
      <c r="W419" s="42" t="str">
        <f aca="false">IF(V419="","",EDATE(V419,Settings!$S$6))</f>
        <v/>
      </c>
      <c r="X419" s="17"/>
      <c r="Y419" s="17"/>
      <c r="Z419" s="17"/>
    </row>
    <row r="420" customFormat="false" ht="15" hidden="false" customHeight="false" outlineLevel="0" collapsed="false">
      <c r="A420" s="17"/>
      <c r="B420" s="17"/>
      <c r="C420" s="17"/>
      <c r="D420" s="17"/>
      <c r="E420" s="40"/>
      <c r="F420" s="17"/>
      <c r="G420" s="17"/>
      <c r="H420" s="17"/>
      <c r="I420" s="47" t="str">
        <f aca="false">IF(H420="","",IFERROR(INDEX(Settings!$G$2:$G$4,MATCH(H420,Settings!$F$2:$F$4,0)),""))</f>
        <v/>
      </c>
      <c r="J420" s="38"/>
      <c r="K420" s="48"/>
      <c r="L420" s="17"/>
      <c r="M420" s="38"/>
      <c r="N420" s="38"/>
      <c r="O420" s="42" t="str">
        <f aca="false">IF(N420="","",WORKDAY(N420,Settings!$S$4))</f>
        <v/>
      </c>
      <c r="P420" s="17"/>
      <c r="Q420" s="44" t="str">
        <f aca="true">IF(C420="","",IF(P420="Backed out",IF(S420="Paid","Refunded – closed",IF(R420="","Refund – log reason first","Refund in progress")),IF(K420="","Awaiting payment",IF(N420="",IF(M420="","Schedule free video","Free video in production"),IF(P420="Approved","Active",IF(TODAY()&gt;O420,"Active – plan went ahead","Decision pending – "&amp;NETWORKDAYS(TODAY(),O420)&amp;" working day(s) left"))))))</f>
        <v/>
      </c>
      <c r="R420" s="17"/>
      <c r="S420" s="17"/>
      <c r="T420" s="48"/>
      <c r="U420" s="38"/>
      <c r="V420" s="38"/>
      <c r="W420" s="42" t="str">
        <f aca="false">IF(V420="","",EDATE(V420,Settings!$S$6))</f>
        <v/>
      </c>
      <c r="X420" s="17"/>
      <c r="Y420" s="17"/>
      <c r="Z420" s="17"/>
    </row>
    <row r="421" customFormat="false" ht="15" hidden="false" customHeight="false" outlineLevel="0" collapsed="false">
      <c r="A421" s="17"/>
      <c r="B421" s="17"/>
      <c r="C421" s="17"/>
      <c r="D421" s="17"/>
      <c r="E421" s="40"/>
      <c r="F421" s="17"/>
      <c r="G421" s="17"/>
      <c r="H421" s="17"/>
      <c r="I421" s="47" t="str">
        <f aca="false">IF(H421="","",IFERROR(INDEX(Settings!$G$2:$G$4,MATCH(H421,Settings!$F$2:$F$4,0)),""))</f>
        <v/>
      </c>
      <c r="J421" s="38"/>
      <c r="K421" s="48"/>
      <c r="L421" s="17"/>
      <c r="M421" s="38"/>
      <c r="N421" s="38"/>
      <c r="O421" s="42" t="str">
        <f aca="false">IF(N421="","",WORKDAY(N421,Settings!$S$4))</f>
        <v/>
      </c>
      <c r="P421" s="17"/>
      <c r="Q421" s="44" t="str">
        <f aca="true">IF(C421="","",IF(P421="Backed out",IF(S421="Paid","Refunded – closed",IF(R421="","Refund – log reason first","Refund in progress")),IF(K421="","Awaiting payment",IF(N421="",IF(M421="","Schedule free video","Free video in production"),IF(P421="Approved","Active",IF(TODAY()&gt;O421,"Active – plan went ahead","Decision pending – "&amp;NETWORKDAYS(TODAY(),O421)&amp;" working day(s) left"))))))</f>
        <v/>
      </c>
      <c r="R421" s="17"/>
      <c r="S421" s="17"/>
      <c r="T421" s="48"/>
      <c r="U421" s="38"/>
      <c r="V421" s="38"/>
      <c r="W421" s="42" t="str">
        <f aca="false">IF(V421="","",EDATE(V421,Settings!$S$6))</f>
        <v/>
      </c>
      <c r="X421" s="17"/>
      <c r="Y421" s="17"/>
      <c r="Z421" s="17"/>
    </row>
    <row r="422" customFormat="false" ht="15" hidden="false" customHeight="false" outlineLevel="0" collapsed="false">
      <c r="A422" s="17"/>
      <c r="B422" s="17"/>
      <c r="C422" s="17"/>
      <c r="D422" s="17"/>
      <c r="E422" s="40"/>
      <c r="F422" s="17"/>
      <c r="G422" s="17"/>
      <c r="H422" s="17"/>
      <c r="I422" s="47" t="str">
        <f aca="false">IF(H422="","",IFERROR(INDEX(Settings!$G$2:$G$4,MATCH(H422,Settings!$F$2:$F$4,0)),""))</f>
        <v/>
      </c>
      <c r="J422" s="38"/>
      <c r="K422" s="48"/>
      <c r="L422" s="17"/>
      <c r="M422" s="38"/>
      <c r="N422" s="38"/>
      <c r="O422" s="42" t="str">
        <f aca="false">IF(N422="","",WORKDAY(N422,Settings!$S$4))</f>
        <v/>
      </c>
      <c r="P422" s="17"/>
      <c r="Q422" s="44" t="str">
        <f aca="true">IF(C422="","",IF(P422="Backed out",IF(S422="Paid","Refunded – closed",IF(R422="","Refund – log reason first","Refund in progress")),IF(K422="","Awaiting payment",IF(N422="",IF(M422="","Schedule free video","Free video in production"),IF(P422="Approved","Active",IF(TODAY()&gt;O422,"Active – plan went ahead","Decision pending – "&amp;NETWORKDAYS(TODAY(),O422)&amp;" working day(s) left"))))))</f>
        <v/>
      </c>
      <c r="R422" s="17"/>
      <c r="S422" s="17"/>
      <c r="T422" s="48"/>
      <c r="U422" s="38"/>
      <c r="V422" s="38"/>
      <c r="W422" s="42" t="str">
        <f aca="false">IF(V422="","",EDATE(V422,Settings!$S$6))</f>
        <v/>
      </c>
      <c r="X422" s="17"/>
      <c r="Y422" s="17"/>
      <c r="Z422" s="17"/>
    </row>
    <row r="423" customFormat="false" ht="15" hidden="false" customHeight="false" outlineLevel="0" collapsed="false">
      <c r="A423" s="17"/>
      <c r="B423" s="17"/>
      <c r="C423" s="17"/>
      <c r="D423" s="17"/>
      <c r="E423" s="40"/>
      <c r="F423" s="17"/>
      <c r="G423" s="17"/>
      <c r="H423" s="17"/>
      <c r="I423" s="47" t="str">
        <f aca="false">IF(H423="","",IFERROR(INDEX(Settings!$G$2:$G$4,MATCH(H423,Settings!$F$2:$F$4,0)),""))</f>
        <v/>
      </c>
      <c r="J423" s="38"/>
      <c r="K423" s="48"/>
      <c r="L423" s="17"/>
      <c r="M423" s="38"/>
      <c r="N423" s="38"/>
      <c r="O423" s="42" t="str">
        <f aca="false">IF(N423="","",WORKDAY(N423,Settings!$S$4))</f>
        <v/>
      </c>
      <c r="P423" s="17"/>
      <c r="Q423" s="44" t="str">
        <f aca="true">IF(C423="","",IF(P423="Backed out",IF(S423="Paid","Refunded – closed",IF(R423="","Refund – log reason first","Refund in progress")),IF(K423="","Awaiting payment",IF(N423="",IF(M423="","Schedule free video","Free video in production"),IF(P423="Approved","Active",IF(TODAY()&gt;O423,"Active – plan went ahead","Decision pending – "&amp;NETWORKDAYS(TODAY(),O423)&amp;" working day(s) left"))))))</f>
        <v/>
      </c>
      <c r="R423" s="17"/>
      <c r="S423" s="17"/>
      <c r="T423" s="48"/>
      <c r="U423" s="38"/>
      <c r="V423" s="38"/>
      <c r="W423" s="42" t="str">
        <f aca="false">IF(V423="","",EDATE(V423,Settings!$S$6))</f>
        <v/>
      </c>
      <c r="X423" s="17"/>
      <c r="Y423" s="17"/>
      <c r="Z423" s="17"/>
    </row>
    <row r="424" customFormat="false" ht="15" hidden="false" customHeight="false" outlineLevel="0" collapsed="false">
      <c r="A424" s="17"/>
      <c r="B424" s="17"/>
      <c r="C424" s="17"/>
      <c r="D424" s="17"/>
      <c r="E424" s="40"/>
      <c r="F424" s="17"/>
      <c r="G424" s="17"/>
      <c r="H424" s="17"/>
      <c r="I424" s="47" t="str">
        <f aca="false">IF(H424="","",IFERROR(INDEX(Settings!$G$2:$G$4,MATCH(H424,Settings!$F$2:$F$4,0)),""))</f>
        <v/>
      </c>
      <c r="J424" s="38"/>
      <c r="K424" s="48"/>
      <c r="L424" s="17"/>
      <c r="M424" s="38"/>
      <c r="N424" s="38"/>
      <c r="O424" s="42" t="str">
        <f aca="false">IF(N424="","",WORKDAY(N424,Settings!$S$4))</f>
        <v/>
      </c>
      <c r="P424" s="17"/>
      <c r="Q424" s="44" t="str">
        <f aca="true">IF(C424="","",IF(P424="Backed out",IF(S424="Paid","Refunded – closed",IF(R424="","Refund – log reason first","Refund in progress")),IF(K424="","Awaiting payment",IF(N424="",IF(M424="","Schedule free video","Free video in production"),IF(P424="Approved","Active",IF(TODAY()&gt;O424,"Active – plan went ahead","Decision pending – "&amp;NETWORKDAYS(TODAY(),O424)&amp;" working day(s) left"))))))</f>
        <v/>
      </c>
      <c r="R424" s="17"/>
      <c r="S424" s="17"/>
      <c r="T424" s="48"/>
      <c r="U424" s="38"/>
      <c r="V424" s="38"/>
      <c r="W424" s="42" t="str">
        <f aca="false">IF(V424="","",EDATE(V424,Settings!$S$6))</f>
        <v/>
      </c>
      <c r="X424" s="17"/>
      <c r="Y424" s="17"/>
      <c r="Z424" s="17"/>
    </row>
    <row r="425" customFormat="false" ht="15" hidden="false" customHeight="false" outlineLevel="0" collapsed="false">
      <c r="A425" s="17"/>
      <c r="B425" s="17"/>
      <c r="C425" s="17"/>
      <c r="D425" s="17"/>
      <c r="E425" s="40"/>
      <c r="F425" s="17"/>
      <c r="G425" s="17"/>
      <c r="H425" s="17"/>
      <c r="I425" s="47" t="str">
        <f aca="false">IF(H425="","",IFERROR(INDEX(Settings!$G$2:$G$4,MATCH(H425,Settings!$F$2:$F$4,0)),""))</f>
        <v/>
      </c>
      <c r="J425" s="38"/>
      <c r="K425" s="48"/>
      <c r="L425" s="17"/>
      <c r="M425" s="38"/>
      <c r="N425" s="38"/>
      <c r="O425" s="42" t="str">
        <f aca="false">IF(N425="","",WORKDAY(N425,Settings!$S$4))</f>
        <v/>
      </c>
      <c r="P425" s="17"/>
      <c r="Q425" s="44" t="str">
        <f aca="true">IF(C425="","",IF(P425="Backed out",IF(S425="Paid","Refunded – closed",IF(R425="","Refund – log reason first","Refund in progress")),IF(K425="","Awaiting payment",IF(N425="",IF(M425="","Schedule free video","Free video in production"),IF(P425="Approved","Active",IF(TODAY()&gt;O425,"Active – plan went ahead","Decision pending – "&amp;NETWORKDAYS(TODAY(),O425)&amp;" working day(s) left"))))))</f>
        <v/>
      </c>
      <c r="R425" s="17"/>
      <c r="S425" s="17"/>
      <c r="T425" s="48"/>
      <c r="U425" s="38"/>
      <c r="V425" s="38"/>
      <c r="W425" s="42" t="str">
        <f aca="false">IF(V425="","",EDATE(V425,Settings!$S$6))</f>
        <v/>
      </c>
      <c r="X425" s="17"/>
      <c r="Y425" s="17"/>
      <c r="Z425" s="17"/>
    </row>
    <row r="426" customFormat="false" ht="15" hidden="false" customHeight="false" outlineLevel="0" collapsed="false">
      <c r="A426" s="17"/>
      <c r="B426" s="17"/>
      <c r="C426" s="17"/>
      <c r="D426" s="17"/>
      <c r="E426" s="40"/>
      <c r="F426" s="17"/>
      <c r="G426" s="17"/>
      <c r="H426" s="17"/>
      <c r="I426" s="47" t="str">
        <f aca="false">IF(H426="","",IFERROR(INDEX(Settings!$G$2:$G$4,MATCH(H426,Settings!$F$2:$F$4,0)),""))</f>
        <v/>
      </c>
      <c r="J426" s="38"/>
      <c r="K426" s="48"/>
      <c r="L426" s="17"/>
      <c r="M426" s="38"/>
      <c r="N426" s="38"/>
      <c r="O426" s="42" t="str">
        <f aca="false">IF(N426="","",WORKDAY(N426,Settings!$S$4))</f>
        <v/>
      </c>
      <c r="P426" s="17"/>
      <c r="Q426" s="44" t="str">
        <f aca="true">IF(C426="","",IF(P426="Backed out",IF(S426="Paid","Refunded – closed",IF(R426="","Refund – log reason first","Refund in progress")),IF(K426="","Awaiting payment",IF(N426="",IF(M426="","Schedule free video","Free video in production"),IF(P426="Approved","Active",IF(TODAY()&gt;O426,"Active – plan went ahead","Decision pending – "&amp;NETWORKDAYS(TODAY(),O426)&amp;" working day(s) left"))))))</f>
        <v/>
      </c>
      <c r="R426" s="17"/>
      <c r="S426" s="17"/>
      <c r="T426" s="48"/>
      <c r="U426" s="38"/>
      <c r="V426" s="38"/>
      <c r="W426" s="42" t="str">
        <f aca="false">IF(V426="","",EDATE(V426,Settings!$S$6))</f>
        <v/>
      </c>
      <c r="X426" s="17"/>
      <c r="Y426" s="17"/>
      <c r="Z426" s="17"/>
    </row>
    <row r="427" customFormat="false" ht="15" hidden="false" customHeight="false" outlineLevel="0" collapsed="false">
      <c r="A427" s="17"/>
      <c r="B427" s="17"/>
      <c r="C427" s="17"/>
      <c r="D427" s="17"/>
      <c r="E427" s="40"/>
      <c r="F427" s="17"/>
      <c r="G427" s="17"/>
      <c r="H427" s="17"/>
      <c r="I427" s="47" t="str">
        <f aca="false">IF(H427="","",IFERROR(INDEX(Settings!$G$2:$G$4,MATCH(H427,Settings!$F$2:$F$4,0)),""))</f>
        <v/>
      </c>
      <c r="J427" s="38"/>
      <c r="K427" s="48"/>
      <c r="L427" s="17"/>
      <c r="M427" s="38"/>
      <c r="N427" s="38"/>
      <c r="O427" s="42" t="str">
        <f aca="false">IF(N427="","",WORKDAY(N427,Settings!$S$4))</f>
        <v/>
      </c>
      <c r="P427" s="17"/>
      <c r="Q427" s="44" t="str">
        <f aca="true">IF(C427="","",IF(P427="Backed out",IF(S427="Paid","Refunded – closed",IF(R427="","Refund – log reason first","Refund in progress")),IF(K427="","Awaiting payment",IF(N427="",IF(M427="","Schedule free video","Free video in production"),IF(P427="Approved","Active",IF(TODAY()&gt;O427,"Active – plan went ahead","Decision pending – "&amp;NETWORKDAYS(TODAY(),O427)&amp;" working day(s) left"))))))</f>
        <v/>
      </c>
      <c r="R427" s="17"/>
      <c r="S427" s="17"/>
      <c r="T427" s="48"/>
      <c r="U427" s="38"/>
      <c r="V427" s="38"/>
      <c r="W427" s="42" t="str">
        <f aca="false">IF(V427="","",EDATE(V427,Settings!$S$6))</f>
        <v/>
      </c>
      <c r="X427" s="17"/>
      <c r="Y427" s="17"/>
      <c r="Z427" s="17"/>
    </row>
    <row r="428" customFormat="false" ht="15" hidden="false" customHeight="false" outlineLevel="0" collapsed="false">
      <c r="A428" s="17"/>
      <c r="B428" s="17"/>
      <c r="C428" s="17"/>
      <c r="D428" s="17"/>
      <c r="E428" s="40"/>
      <c r="F428" s="17"/>
      <c r="G428" s="17"/>
      <c r="H428" s="17"/>
      <c r="I428" s="47" t="str">
        <f aca="false">IF(H428="","",IFERROR(INDEX(Settings!$G$2:$G$4,MATCH(H428,Settings!$F$2:$F$4,0)),""))</f>
        <v/>
      </c>
      <c r="J428" s="38"/>
      <c r="K428" s="48"/>
      <c r="L428" s="17"/>
      <c r="M428" s="38"/>
      <c r="N428" s="38"/>
      <c r="O428" s="42" t="str">
        <f aca="false">IF(N428="","",WORKDAY(N428,Settings!$S$4))</f>
        <v/>
      </c>
      <c r="P428" s="17"/>
      <c r="Q428" s="44" t="str">
        <f aca="true">IF(C428="","",IF(P428="Backed out",IF(S428="Paid","Refunded – closed",IF(R428="","Refund – log reason first","Refund in progress")),IF(K428="","Awaiting payment",IF(N428="",IF(M428="","Schedule free video","Free video in production"),IF(P428="Approved","Active",IF(TODAY()&gt;O428,"Active – plan went ahead","Decision pending – "&amp;NETWORKDAYS(TODAY(),O428)&amp;" working day(s) left"))))))</f>
        <v/>
      </c>
      <c r="R428" s="17"/>
      <c r="S428" s="17"/>
      <c r="T428" s="48"/>
      <c r="U428" s="38"/>
      <c r="V428" s="38"/>
      <c r="W428" s="42" t="str">
        <f aca="false">IF(V428="","",EDATE(V428,Settings!$S$6))</f>
        <v/>
      </c>
      <c r="X428" s="17"/>
      <c r="Y428" s="17"/>
      <c r="Z428" s="17"/>
    </row>
    <row r="429" customFormat="false" ht="15" hidden="false" customHeight="false" outlineLevel="0" collapsed="false">
      <c r="A429" s="17"/>
      <c r="B429" s="17"/>
      <c r="C429" s="17"/>
      <c r="D429" s="17"/>
      <c r="E429" s="40"/>
      <c r="F429" s="17"/>
      <c r="G429" s="17"/>
      <c r="H429" s="17"/>
      <c r="I429" s="47" t="str">
        <f aca="false">IF(H429="","",IFERROR(INDEX(Settings!$G$2:$G$4,MATCH(H429,Settings!$F$2:$F$4,0)),""))</f>
        <v/>
      </c>
      <c r="J429" s="38"/>
      <c r="K429" s="48"/>
      <c r="L429" s="17"/>
      <c r="M429" s="38"/>
      <c r="N429" s="38"/>
      <c r="O429" s="42" t="str">
        <f aca="false">IF(N429="","",WORKDAY(N429,Settings!$S$4))</f>
        <v/>
      </c>
      <c r="P429" s="17"/>
      <c r="Q429" s="44" t="str">
        <f aca="true">IF(C429="","",IF(P429="Backed out",IF(S429="Paid","Refunded – closed",IF(R429="","Refund – log reason first","Refund in progress")),IF(K429="","Awaiting payment",IF(N429="",IF(M429="","Schedule free video","Free video in production"),IF(P429="Approved","Active",IF(TODAY()&gt;O429,"Active – plan went ahead","Decision pending – "&amp;NETWORKDAYS(TODAY(),O429)&amp;" working day(s) left"))))))</f>
        <v/>
      </c>
      <c r="R429" s="17"/>
      <c r="S429" s="17"/>
      <c r="T429" s="48"/>
      <c r="U429" s="38"/>
      <c r="V429" s="38"/>
      <c r="W429" s="42" t="str">
        <f aca="false">IF(V429="","",EDATE(V429,Settings!$S$6))</f>
        <v/>
      </c>
      <c r="X429" s="17"/>
      <c r="Y429" s="17"/>
      <c r="Z429" s="17"/>
    </row>
    <row r="430" customFormat="false" ht="15" hidden="false" customHeight="false" outlineLevel="0" collapsed="false">
      <c r="A430" s="17"/>
      <c r="B430" s="17"/>
      <c r="C430" s="17"/>
      <c r="D430" s="17"/>
      <c r="E430" s="40"/>
      <c r="F430" s="17"/>
      <c r="G430" s="17"/>
      <c r="H430" s="17"/>
      <c r="I430" s="47" t="str">
        <f aca="false">IF(H430="","",IFERROR(INDEX(Settings!$G$2:$G$4,MATCH(H430,Settings!$F$2:$F$4,0)),""))</f>
        <v/>
      </c>
      <c r="J430" s="38"/>
      <c r="K430" s="48"/>
      <c r="L430" s="17"/>
      <c r="M430" s="38"/>
      <c r="N430" s="38"/>
      <c r="O430" s="42" t="str">
        <f aca="false">IF(N430="","",WORKDAY(N430,Settings!$S$4))</f>
        <v/>
      </c>
      <c r="P430" s="17"/>
      <c r="Q430" s="44" t="str">
        <f aca="true">IF(C430="","",IF(P430="Backed out",IF(S430="Paid","Refunded – closed",IF(R430="","Refund – log reason first","Refund in progress")),IF(K430="","Awaiting payment",IF(N430="",IF(M430="","Schedule free video","Free video in production"),IF(P430="Approved","Active",IF(TODAY()&gt;O430,"Active – plan went ahead","Decision pending – "&amp;NETWORKDAYS(TODAY(),O430)&amp;" working day(s) left"))))))</f>
        <v/>
      </c>
      <c r="R430" s="17"/>
      <c r="S430" s="17"/>
      <c r="T430" s="48"/>
      <c r="U430" s="38"/>
      <c r="V430" s="38"/>
      <c r="W430" s="42" t="str">
        <f aca="false">IF(V430="","",EDATE(V430,Settings!$S$6))</f>
        <v/>
      </c>
      <c r="X430" s="17"/>
      <c r="Y430" s="17"/>
      <c r="Z430" s="17"/>
    </row>
    <row r="431" customFormat="false" ht="15" hidden="false" customHeight="false" outlineLevel="0" collapsed="false">
      <c r="A431" s="17"/>
      <c r="B431" s="17"/>
      <c r="C431" s="17"/>
      <c r="D431" s="17"/>
      <c r="E431" s="40"/>
      <c r="F431" s="17"/>
      <c r="G431" s="17"/>
      <c r="H431" s="17"/>
      <c r="I431" s="47" t="str">
        <f aca="false">IF(H431="","",IFERROR(INDEX(Settings!$G$2:$G$4,MATCH(H431,Settings!$F$2:$F$4,0)),""))</f>
        <v/>
      </c>
      <c r="J431" s="38"/>
      <c r="K431" s="48"/>
      <c r="L431" s="17"/>
      <c r="M431" s="38"/>
      <c r="N431" s="38"/>
      <c r="O431" s="42" t="str">
        <f aca="false">IF(N431="","",WORKDAY(N431,Settings!$S$4))</f>
        <v/>
      </c>
      <c r="P431" s="17"/>
      <c r="Q431" s="44" t="str">
        <f aca="true">IF(C431="","",IF(P431="Backed out",IF(S431="Paid","Refunded – closed",IF(R431="","Refund – log reason first","Refund in progress")),IF(K431="","Awaiting payment",IF(N431="",IF(M431="","Schedule free video","Free video in production"),IF(P431="Approved","Active",IF(TODAY()&gt;O431,"Active – plan went ahead","Decision pending – "&amp;NETWORKDAYS(TODAY(),O431)&amp;" working day(s) left"))))))</f>
        <v/>
      </c>
      <c r="R431" s="17"/>
      <c r="S431" s="17"/>
      <c r="T431" s="48"/>
      <c r="U431" s="38"/>
      <c r="V431" s="38"/>
      <c r="W431" s="42" t="str">
        <f aca="false">IF(V431="","",EDATE(V431,Settings!$S$6))</f>
        <v/>
      </c>
      <c r="X431" s="17"/>
      <c r="Y431" s="17"/>
      <c r="Z431" s="17"/>
    </row>
    <row r="432" customFormat="false" ht="15" hidden="false" customHeight="false" outlineLevel="0" collapsed="false">
      <c r="A432" s="17"/>
      <c r="B432" s="17"/>
      <c r="C432" s="17"/>
      <c r="D432" s="17"/>
      <c r="E432" s="40"/>
      <c r="F432" s="17"/>
      <c r="G432" s="17"/>
      <c r="H432" s="17"/>
      <c r="I432" s="47" t="str">
        <f aca="false">IF(H432="","",IFERROR(INDEX(Settings!$G$2:$G$4,MATCH(H432,Settings!$F$2:$F$4,0)),""))</f>
        <v/>
      </c>
      <c r="J432" s="38"/>
      <c r="K432" s="48"/>
      <c r="L432" s="17"/>
      <c r="M432" s="38"/>
      <c r="N432" s="38"/>
      <c r="O432" s="42" t="str">
        <f aca="false">IF(N432="","",WORKDAY(N432,Settings!$S$4))</f>
        <v/>
      </c>
      <c r="P432" s="17"/>
      <c r="Q432" s="44" t="str">
        <f aca="true">IF(C432="","",IF(P432="Backed out",IF(S432="Paid","Refunded – closed",IF(R432="","Refund – log reason first","Refund in progress")),IF(K432="","Awaiting payment",IF(N432="",IF(M432="","Schedule free video","Free video in production"),IF(P432="Approved","Active",IF(TODAY()&gt;O432,"Active – plan went ahead","Decision pending – "&amp;NETWORKDAYS(TODAY(),O432)&amp;" working day(s) left"))))))</f>
        <v/>
      </c>
      <c r="R432" s="17"/>
      <c r="S432" s="17"/>
      <c r="T432" s="48"/>
      <c r="U432" s="38"/>
      <c r="V432" s="38"/>
      <c r="W432" s="42" t="str">
        <f aca="false">IF(V432="","",EDATE(V432,Settings!$S$6))</f>
        <v/>
      </c>
      <c r="X432" s="17"/>
      <c r="Y432" s="17"/>
      <c r="Z432" s="17"/>
    </row>
    <row r="433" customFormat="false" ht="15" hidden="false" customHeight="false" outlineLevel="0" collapsed="false">
      <c r="A433" s="17"/>
      <c r="B433" s="17"/>
      <c r="C433" s="17"/>
      <c r="D433" s="17"/>
      <c r="E433" s="40"/>
      <c r="F433" s="17"/>
      <c r="G433" s="17"/>
      <c r="H433" s="17"/>
      <c r="I433" s="47" t="str">
        <f aca="false">IF(H433="","",IFERROR(INDEX(Settings!$G$2:$G$4,MATCH(H433,Settings!$F$2:$F$4,0)),""))</f>
        <v/>
      </c>
      <c r="J433" s="38"/>
      <c r="K433" s="48"/>
      <c r="L433" s="17"/>
      <c r="M433" s="38"/>
      <c r="N433" s="38"/>
      <c r="O433" s="42" t="str">
        <f aca="false">IF(N433="","",WORKDAY(N433,Settings!$S$4))</f>
        <v/>
      </c>
      <c r="P433" s="17"/>
      <c r="Q433" s="44" t="str">
        <f aca="true">IF(C433="","",IF(P433="Backed out",IF(S433="Paid","Refunded – closed",IF(R433="","Refund – log reason first","Refund in progress")),IF(K433="","Awaiting payment",IF(N433="",IF(M433="","Schedule free video","Free video in production"),IF(P433="Approved","Active",IF(TODAY()&gt;O433,"Active – plan went ahead","Decision pending – "&amp;NETWORKDAYS(TODAY(),O433)&amp;" working day(s) left"))))))</f>
        <v/>
      </c>
      <c r="R433" s="17"/>
      <c r="S433" s="17"/>
      <c r="T433" s="48"/>
      <c r="U433" s="38"/>
      <c r="V433" s="38"/>
      <c r="W433" s="42" t="str">
        <f aca="false">IF(V433="","",EDATE(V433,Settings!$S$6))</f>
        <v/>
      </c>
      <c r="X433" s="17"/>
      <c r="Y433" s="17"/>
      <c r="Z433" s="17"/>
    </row>
    <row r="434" customFormat="false" ht="15" hidden="false" customHeight="false" outlineLevel="0" collapsed="false">
      <c r="A434" s="17"/>
      <c r="B434" s="17"/>
      <c r="C434" s="17"/>
      <c r="D434" s="17"/>
      <c r="E434" s="40"/>
      <c r="F434" s="17"/>
      <c r="G434" s="17"/>
      <c r="H434" s="17"/>
      <c r="I434" s="47" t="str">
        <f aca="false">IF(H434="","",IFERROR(INDEX(Settings!$G$2:$G$4,MATCH(H434,Settings!$F$2:$F$4,0)),""))</f>
        <v/>
      </c>
      <c r="J434" s="38"/>
      <c r="K434" s="48"/>
      <c r="L434" s="17"/>
      <c r="M434" s="38"/>
      <c r="N434" s="38"/>
      <c r="O434" s="42" t="str">
        <f aca="false">IF(N434="","",WORKDAY(N434,Settings!$S$4))</f>
        <v/>
      </c>
      <c r="P434" s="17"/>
      <c r="Q434" s="44" t="str">
        <f aca="true">IF(C434="","",IF(P434="Backed out",IF(S434="Paid","Refunded – closed",IF(R434="","Refund – log reason first","Refund in progress")),IF(K434="","Awaiting payment",IF(N434="",IF(M434="","Schedule free video","Free video in production"),IF(P434="Approved","Active",IF(TODAY()&gt;O434,"Active – plan went ahead","Decision pending – "&amp;NETWORKDAYS(TODAY(),O434)&amp;" working day(s) left"))))))</f>
        <v/>
      </c>
      <c r="R434" s="17"/>
      <c r="S434" s="17"/>
      <c r="T434" s="48"/>
      <c r="U434" s="38"/>
      <c r="V434" s="38"/>
      <c r="W434" s="42" t="str">
        <f aca="false">IF(V434="","",EDATE(V434,Settings!$S$6))</f>
        <v/>
      </c>
      <c r="X434" s="17"/>
      <c r="Y434" s="17"/>
      <c r="Z434" s="17"/>
    </row>
    <row r="435" customFormat="false" ht="15" hidden="false" customHeight="false" outlineLevel="0" collapsed="false">
      <c r="A435" s="17"/>
      <c r="B435" s="17"/>
      <c r="C435" s="17"/>
      <c r="D435" s="17"/>
      <c r="E435" s="40"/>
      <c r="F435" s="17"/>
      <c r="G435" s="17"/>
      <c r="H435" s="17"/>
      <c r="I435" s="47" t="str">
        <f aca="false">IF(H435="","",IFERROR(INDEX(Settings!$G$2:$G$4,MATCH(H435,Settings!$F$2:$F$4,0)),""))</f>
        <v/>
      </c>
      <c r="J435" s="38"/>
      <c r="K435" s="48"/>
      <c r="L435" s="17"/>
      <c r="M435" s="38"/>
      <c r="N435" s="38"/>
      <c r="O435" s="42" t="str">
        <f aca="false">IF(N435="","",WORKDAY(N435,Settings!$S$4))</f>
        <v/>
      </c>
      <c r="P435" s="17"/>
      <c r="Q435" s="44" t="str">
        <f aca="true">IF(C435="","",IF(P435="Backed out",IF(S435="Paid","Refunded – closed",IF(R435="","Refund – log reason first","Refund in progress")),IF(K435="","Awaiting payment",IF(N435="",IF(M435="","Schedule free video","Free video in production"),IF(P435="Approved","Active",IF(TODAY()&gt;O435,"Active – plan went ahead","Decision pending – "&amp;NETWORKDAYS(TODAY(),O435)&amp;" working day(s) left"))))))</f>
        <v/>
      </c>
      <c r="R435" s="17"/>
      <c r="S435" s="17"/>
      <c r="T435" s="48"/>
      <c r="U435" s="38"/>
      <c r="V435" s="38"/>
      <c r="W435" s="42" t="str">
        <f aca="false">IF(V435="","",EDATE(V435,Settings!$S$6))</f>
        <v/>
      </c>
      <c r="X435" s="17"/>
      <c r="Y435" s="17"/>
      <c r="Z435" s="17"/>
    </row>
    <row r="436" customFormat="false" ht="15" hidden="false" customHeight="false" outlineLevel="0" collapsed="false">
      <c r="A436" s="17"/>
      <c r="B436" s="17"/>
      <c r="C436" s="17"/>
      <c r="D436" s="17"/>
      <c r="E436" s="40"/>
      <c r="F436" s="17"/>
      <c r="G436" s="17"/>
      <c r="H436" s="17"/>
      <c r="I436" s="47" t="str">
        <f aca="false">IF(H436="","",IFERROR(INDEX(Settings!$G$2:$G$4,MATCH(H436,Settings!$F$2:$F$4,0)),""))</f>
        <v/>
      </c>
      <c r="J436" s="38"/>
      <c r="K436" s="48"/>
      <c r="L436" s="17"/>
      <c r="M436" s="38"/>
      <c r="N436" s="38"/>
      <c r="O436" s="42" t="str">
        <f aca="false">IF(N436="","",WORKDAY(N436,Settings!$S$4))</f>
        <v/>
      </c>
      <c r="P436" s="17"/>
      <c r="Q436" s="44" t="str">
        <f aca="true">IF(C436="","",IF(P436="Backed out",IF(S436="Paid","Refunded – closed",IF(R436="","Refund – log reason first","Refund in progress")),IF(K436="","Awaiting payment",IF(N436="",IF(M436="","Schedule free video","Free video in production"),IF(P436="Approved","Active",IF(TODAY()&gt;O436,"Active – plan went ahead","Decision pending – "&amp;NETWORKDAYS(TODAY(),O436)&amp;" working day(s) left"))))))</f>
        <v/>
      </c>
      <c r="R436" s="17"/>
      <c r="S436" s="17"/>
      <c r="T436" s="48"/>
      <c r="U436" s="38"/>
      <c r="V436" s="38"/>
      <c r="W436" s="42" t="str">
        <f aca="false">IF(V436="","",EDATE(V436,Settings!$S$6))</f>
        <v/>
      </c>
      <c r="X436" s="17"/>
      <c r="Y436" s="17"/>
      <c r="Z436" s="17"/>
    </row>
    <row r="437" customFormat="false" ht="15" hidden="false" customHeight="false" outlineLevel="0" collapsed="false">
      <c r="A437" s="17"/>
      <c r="B437" s="17"/>
      <c r="C437" s="17"/>
      <c r="D437" s="17"/>
      <c r="E437" s="40"/>
      <c r="F437" s="17"/>
      <c r="G437" s="17"/>
      <c r="H437" s="17"/>
      <c r="I437" s="47" t="str">
        <f aca="false">IF(H437="","",IFERROR(INDEX(Settings!$G$2:$G$4,MATCH(H437,Settings!$F$2:$F$4,0)),""))</f>
        <v/>
      </c>
      <c r="J437" s="38"/>
      <c r="K437" s="48"/>
      <c r="L437" s="17"/>
      <c r="M437" s="38"/>
      <c r="N437" s="38"/>
      <c r="O437" s="42" t="str">
        <f aca="false">IF(N437="","",WORKDAY(N437,Settings!$S$4))</f>
        <v/>
      </c>
      <c r="P437" s="17"/>
      <c r="Q437" s="44" t="str">
        <f aca="true">IF(C437="","",IF(P437="Backed out",IF(S437="Paid","Refunded – closed",IF(R437="","Refund – log reason first","Refund in progress")),IF(K437="","Awaiting payment",IF(N437="",IF(M437="","Schedule free video","Free video in production"),IF(P437="Approved","Active",IF(TODAY()&gt;O437,"Active – plan went ahead","Decision pending – "&amp;NETWORKDAYS(TODAY(),O437)&amp;" working day(s) left"))))))</f>
        <v/>
      </c>
      <c r="R437" s="17"/>
      <c r="S437" s="17"/>
      <c r="T437" s="48"/>
      <c r="U437" s="38"/>
      <c r="V437" s="38"/>
      <c r="W437" s="42" t="str">
        <f aca="false">IF(V437="","",EDATE(V437,Settings!$S$6))</f>
        <v/>
      </c>
      <c r="X437" s="17"/>
      <c r="Y437" s="17"/>
      <c r="Z437" s="17"/>
    </row>
    <row r="438" customFormat="false" ht="15" hidden="false" customHeight="false" outlineLevel="0" collapsed="false">
      <c r="A438" s="17"/>
      <c r="B438" s="17"/>
      <c r="C438" s="17"/>
      <c r="D438" s="17"/>
      <c r="E438" s="40"/>
      <c r="F438" s="17"/>
      <c r="G438" s="17"/>
      <c r="H438" s="17"/>
      <c r="I438" s="47" t="str">
        <f aca="false">IF(H438="","",IFERROR(INDEX(Settings!$G$2:$G$4,MATCH(H438,Settings!$F$2:$F$4,0)),""))</f>
        <v/>
      </c>
      <c r="J438" s="38"/>
      <c r="K438" s="48"/>
      <c r="L438" s="17"/>
      <c r="M438" s="38"/>
      <c r="N438" s="38"/>
      <c r="O438" s="42" t="str">
        <f aca="false">IF(N438="","",WORKDAY(N438,Settings!$S$4))</f>
        <v/>
      </c>
      <c r="P438" s="17"/>
      <c r="Q438" s="44" t="str">
        <f aca="true">IF(C438="","",IF(P438="Backed out",IF(S438="Paid","Refunded – closed",IF(R438="","Refund – log reason first","Refund in progress")),IF(K438="","Awaiting payment",IF(N438="",IF(M438="","Schedule free video","Free video in production"),IF(P438="Approved","Active",IF(TODAY()&gt;O438,"Active – plan went ahead","Decision pending – "&amp;NETWORKDAYS(TODAY(),O438)&amp;" working day(s) left"))))))</f>
        <v/>
      </c>
      <c r="R438" s="17"/>
      <c r="S438" s="17"/>
      <c r="T438" s="48"/>
      <c r="U438" s="38"/>
      <c r="V438" s="38"/>
      <c r="W438" s="42" t="str">
        <f aca="false">IF(V438="","",EDATE(V438,Settings!$S$6))</f>
        <v/>
      </c>
      <c r="X438" s="17"/>
      <c r="Y438" s="17"/>
      <c r="Z438" s="17"/>
    </row>
    <row r="439" customFormat="false" ht="15" hidden="false" customHeight="false" outlineLevel="0" collapsed="false">
      <c r="A439" s="17"/>
      <c r="B439" s="17"/>
      <c r="C439" s="17"/>
      <c r="D439" s="17"/>
      <c r="E439" s="40"/>
      <c r="F439" s="17"/>
      <c r="G439" s="17"/>
      <c r="H439" s="17"/>
      <c r="I439" s="47" t="str">
        <f aca="false">IF(H439="","",IFERROR(INDEX(Settings!$G$2:$G$4,MATCH(H439,Settings!$F$2:$F$4,0)),""))</f>
        <v/>
      </c>
      <c r="J439" s="38"/>
      <c r="K439" s="48"/>
      <c r="L439" s="17"/>
      <c r="M439" s="38"/>
      <c r="N439" s="38"/>
      <c r="O439" s="42" t="str">
        <f aca="false">IF(N439="","",WORKDAY(N439,Settings!$S$4))</f>
        <v/>
      </c>
      <c r="P439" s="17"/>
      <c r="Q439" s="44" t="str">
        <f aca="true">IF(C439="","",IF(P439="Backed out",IF(S439="Paid","Refunded – closed",IF(R439="","Refund – log reason first","Refund in progress")),IF(K439="","Awaiting payment",IF(N439="",IF(M439="","Schedule free video","Free video in production"),IF(P439="Approved","Active",IF(TODAY()&gt;O439,"Active – plan went ahead","Decision pending – "&amp;NETWORKDAYS(TODAY(),O439)&amp;" working day(s) left"))))))</f>
        <v/>
      </c>
      <c r="R439" s="17"/>
      <c r="S439" s="17"/>
      <c r="T439" s="48"/>
      <c r="U439" s="38"/>
      <c r="V439" s="38"/>
      <c r="W439" s="42" t="str">
        <f aca="false">IF(V439="","",EDATE(V439,Settings!$S$6))</f>
        <v/>
      </c>
      <c r="X439" s="17"/>
      <c r="Y439" s="17"/>
      <c r="Z439" s="17"/>
    </row>
    <row r="440" customFormat="false" ht="15" hidden="false" customHeight="false" outlineLevel="0" collapsed="false">
      <c r="A440" s="17"/>
      <c r="B440" s="17"/>
      <c r="C440" s="17"/>
      <c r="D440" s="17"/>
      <c r="E440" s="40"/>
      <c r="F440" s="17"/>
      <c r="G440" s="17"/>
      <c r="H440" s="17"/>
      <c r="I440" s="47" t="str">
        <f aca="false">IF(H440="","",IFERROR(INDEX(Settings!$G$2:$G$4,MATCH(H440,Settings!$F$2:$F$4,0)),""))</f>
        <v/>
      </c>
      <c r="J440" s="38"/>
      <c r="K440" s="48"/>
      <c r="L440" s="17"/>
      <c r="M440" s="38"/>
      <c r="N440" s="38"/>
      <c r="O440" s="42" t="str">
        <f aca="false">IF(N440="","",WORKDAY(N440,Settings!$S$4))</f>
        <v/>
      </c>
      <c r="P440" s="17"/>
      <c r="Q440" s="44" t="str">
        <f aca="true">IF(C440="","",IF(P440="Backed out",IF(S440="Paid","Refunded – closed",IF(R440="","Refund – log reason first","Refund in progress")),IF(K440="","Awaiting payment",IF(N440="",IF(M440="","Schedule free video","Free video in production"),IF(P440="Approved","Active",IF(TODAY()&gt;O440,"Active – plan went ahead","Decision pending – "&amp;NETWORKDAYS(TODAY(),O440)&amp;" working day(s) left"))))))</f>
        <v/>
      </c>
      <c r="R440" s="17"/>
      <c r="S440" s="17"/>
      <c r="T440" s="48"/>
      <c r="U440" s="38"/>
      <c r="V440" s="38"/>
      <c r="W440" s="42" t="str">
        <f aca="false">IF(V440="","",EDATE(V440,Settings!$S$6))</f>
        <v/>
      </c>
      <c r="X440" s="17"/>
      <c r="Y440" s="17"/>
      <c r="Z440" s="17"/>
    </row>
    <row r="441" customFormat="false" ht="15" hidden="false" customHeight="false" outlineLevel="0" collapsed="false">
      <c r="A441" s="17"/>
      <c r="B441" s="17"/>
      <c r="C441" s="17"/>
      <c r="D441" s="17"/>
      <c r="E441" s="40"/>
      <c r="F441" s="17"/>
      <c r="G441" s="17"/>
      <c r="H441" s="17"/>
      <c r="I441" s="47" t="str">
        <f aca="false">IF(H441="","",IFERROR(INDEX(Settings!$G$2:$G$4,MATCH(H441,Settings!$F$2:$F$4,0)),""))</f>
        <v/>
      </c>
      <c r="J441" s="38"/>
      <c r="K441" s="48"/>
      <c r="L441" s="17"/>
      <c r="M441" s="38"/>
      <c r="N441" s="38"/>
      <c r="O441" s="42" t="str">
        <f aca="false">IF(N441="","",WORKDAY(N441,Settings!$S$4))</f>
        <v/>
      </c>
      <c r="P441" s="17"/>
      <c r="Q441" s="44" t="str">
        <f aca="true">IF(C441="","",IF(P441="Backed out",IF(S441="Paid","Refunded – closed",IF(R441="","Refund – log reason first","Refund in progress")),IF(K441="","Awaiting payment",IF(N441="",IF(M441="","Schedule free video","Free video in production"),IF(P441="Approved","Active",IF(TODAY()&gt;O441,"Active – plan went ahead","Decision pending – "&amp;NETWORKDAYS(TODAY(),O441)&amp;" working day(s) left"))))))</f>
        <v/>
      </c>
      <c r="R441" s="17"/>
      <c r="S441" s="17"/>
      <c r="T441" s="48"/>
      <c r="U441" s="38"/>
      <c r="V441" s="38"/>
      <c r="W441" s="42" t="str">
        <f aca="false">IF(V441="","",EDATE(V441,Settings!$S$6))</f>
        <v/>
      </c>
      <c r="X441" s="17"/>
      <c r="Y441" s="17"/>
      <c r="Z441" s="17"/>
    </row>
    <row r="442" customFormat="false" ht="15" hidden="false" customHeight="false" outlineLevel="0" collapsed="false">
      <c r="A442" s="17"/>
      <c r="B442" s="17"/>
      <c r="C442" s="17"/>
      <c r="D442" s="17"/>
      <c r="E442" s="40"/>
      <c r="F442" s="17"/>
      <c r="G442" s="17"/>
      <c r="H442" s="17"/>
      <c r="I442" s="47" t="str">
        <f aca="false">IF(H442="","",IFERROR(INDEX(Settings!$G$2:$G$4,MATCH(H442,Settings!$F$2:$F$4,0)),""))</f>
        <v/>
      </c>
      <c r="J442" s="38"/>
      <c r="K442" s="48"/>
      <c r="L442" s="17"/>
      <c r="M442" s="38"/>
      <c r="N442" s="38"/>
      <c r="O442" s="42" t="str">
        <f aca="false">IF(N442="","",WORKDAY(N442,Settings!$S$4))</f>
        <v/>
      </c>
      <c r="P442" s="17"/>
      <c r="Q442" s="44" t="str">
        <f aca="true">IF(C442="","",IF(P442="Backed out",IF(S442="Paid","Refunded – closed",IF(R442="","Refund – log reason first","Refund in progress")),IF(K442="","Awaiting payment",IF(N442="",IF(M442="","Schedule free video","Free video in production"),IF(P442="Approved","Active",IF(TODAY()&gt;O442,"Active – plan went ahead","Decision pending – "&amp;NETWORKDAYS(TODAY(),O442)&amp;" working day(s) left"))))))</f>
        <v/>
      </c>
      <c r="R442" s="17"/>
      <c r="S442" s="17"/>
      <c r="T442" s="48"/>
      <c r="U442" s="38"/>
      <c r="V442" s="38"/>
      <c r="W442" s="42" t="str">
        <f aca="false">IF(V442="","",EDATE(V442,Settings!$S$6))</f>
        <v/>
      </c>
      <c r="X442" s="17"/>
      <c r="Y442" s="17"/>
      <c r="Z442" s="17"/>
    </row>
    <row r="443" customFormat="false" ht="15" hidden="false" customHeight="false" outlineLevel="0" collapsed="false">
      <c r="A443" s="17"/>
      <c r="B443" s="17"/>
      <c r="C443" s="17"/>
      <c r="D443" s="17"/>
      <c r="E443" s="40"/>
      <c r="F443" s="17"/>
      <c r="G443" s="17"/>
      <c r="H443" s="17"/>
      <c r="I443" s="47" t="str">
        <f aca="false">IF(H443="","",IFERROR(INDEX(Settings!$G$2:$G$4,MATCH(H443,Settings!$F$2:$F$4,0)),""))</f>
        <v/>
      </c>
      <c r="J443" s="38"/>
      <c r="K443" s="48"/>
      <c r="L443" s="17"/>
      <c r="M443" s="38"/>
      <c r="N443" s="38"/>
      <c r="O443" s="42" t="str">
        <f aca="false">IF(N443="","",WORKDAY(N443,Settings!$S$4))</f>
        <v/>
      </c>
      <c r="P443" s="17"/>
      <c r="Q443" s="44" t="str">
        <f aca="true">IF(C443="","",IF(P443="Backed out",IF(S443="Paid","Refunded – closed",IF(R443="","Refund – log reason first","Refund in progress")),IF(K443="","Awaiting payment",IF(N443="",IF(M443="","Schedule free video","Free video in production"),IF(P443="Approved","Active",IF(TODAY()&gt;O443,"Active – plan went ahead","Decision pending – "&amp;NETWORKDAYS(TODAY(),O443)&amp;" working day(s) left"))))))</f>
        <v/>
      </c>
      <c r="R443" s="17"/>
      <c r="S443" s="17"/>
      <c r="T443" s="48"/>
      <c r="U443" s="38"/>
      <c r="V443" s="38"/>
      <c r="W443" s="42" t="str">
        <f aca="false">IF(V443="","",EDATE(V443,Settings!$S$6))</f>
        <v/>
      </c>
      <c r="X443" s="17"/>
      <c r="Y443" s="17"/>
      <c r="Z443" s="17"/>
    </row>
    <row r="444" customFormat="false" ht="15" hidden="false" customHeight="false" outlineLevel="0" collapsed="false">
      <c r="A444" s="17"/>
      <c r="B444" s="17"/>
      <c r="C444" s="17"/>
      <c r="D444" s="17"/>
      <c r="E444" s="40"/>
      <c r="F444" s="17"/>
      <c r="G444" s="17"/>
      <c r="H444" s="17"/>
      <c r="I444" s="47" t="str">
        <f aca="false">IF(H444="","",IFERROR(INDEX(Settings!$G$2:$G$4,MATCH(H444,Settings!$F$2:$F$4,0)),""))</f>
        <v/>
      </c>
      <c r="J444" s="38"/>
      <c r="K444" s="48"/>
      <c r="L444" s="17"/>
      <c r="M444" s="38"/>
      <c r="N444" s="38"/>
      <c r="O444" s="42" t="str">
        <f aca="false">IF(N444="","",WORKDAY(N444,Settings!$S$4))</f>
        <v/>
      </c>
      <c r="P444" s="17"/>
      <c r="Q444" s="44" t="str">
        <f aca="true">IF(C444="","",IF(P444="Backed out",IF(S444="Paid","Refunded – closed",IF(R444="","Refund – log reason first","Refund in progress")),IF(K444="","Awaiting payment",IF(N444="",IF(M444="","Schedule free video","Free video in production"),IF(P444="Approved","Active",IF(TODAY()&gt;O444,"Active – plan went ahead","Decision pending – "&amp;NETWORKDAYS(TODAY(),O444)&amp;" working day(s) left"))))))</f>
        <v/>
      </c>
      <c r="R444" s="17"/>
      <c r="S444" s="17"/>
      <c r="T444" s="48"/>
      <c r="U444" s="38"/>
      <c r="V444" s="38"/>
      <c r="W444" s="42" t="str">
        <f aca="false">IF(V444="","",EDATE(V444,Settings!$S$6))</f>
        <v/>
      </c>
      <c r="X444" s="17"/>
      <c r="Y444" s="17"/>
      <c r="Z444" s="17"/>
    </row>
    <row r="445" customFormat="false" ht="15" hidden="false" customHeight="false" outlineLevel="0" collapsed="false">
      <c r="A445" s="17"/>
      <c r="B445" s="17"/>
      <c r="C445" s="17"/>
      <c r="D445" s="17"/>
      <c r="E445" s="40"/>
      <c r="F445" s="17"/>
      <c r="G445" s="17"/>
      <c r="H445" s="17"/>
      <c r="I445" s="47" t="str">
        <f aca="false">IF(H445="","",IFERROR(INDEX(Settings!$G$2:$G$4,MATCH(H445,Settings!$F$2:$F$4,0)),""))</f>
        <v/>
      </c>
      <c r="J445" s="38"/>
      <c r="K445" s="48"/>
      <c r="L445" s="17"/>
      <c r="M445" s="38"/>
      <c r="N445" s="38"/>
      <c r="O445" s="42" t="str">
        <f aca="false">IF(N445="","",WORKDAY(N445,Settings!$S$4))</f>
        <v/>
      </c>
      <c r="P445" s="17"/>
      <c r="Q445" s="44" t="str">
        <f aca="true">IF(C445="","",IF(P445="Backed out",IF(S445="Paid","Refunded – closed",IF(R445="","Refund – log reason first","Refund in progress")),IF(K445="","Awaiting payment",IF(N445="",IF(M445="","Schedule free video","Free video in production"),IF(P445="Approved","Active",IF(TODAY()&gt;O445,"Active – plan went ahead","Decision pending – "&amp;NETWORKDAYS(TODAY(),O445)&amp;" working day(s) left"))))))</f>
        <v/>
      </c>
      <c r="R445" s="17"/>
      <c r="S445" s="17"/>
      <c r="T445" s="48"/>
      <c r="U445" s="38"/>
      <c r="V445" s="38"/>
      <c r="W445" s="42" t="str">
        <f aca="false">IF(V445="","",EDATE(V445,Settings!$S$6))</f>
        <v/>
      </c>
      <c r="X445" s="17"/>
      <c r="Y445" s="17"/>
      <c r="Z445" s="17"/>
    </row>
    <row r="446" customFormat="false" ht="15" hidden="false" customHeight="false" outlineLevel="0" collapsed="false">
      <c r="A446" s="17"/>
      <c r="B446" s="17"/>
      <c r="C446" s="17"/>
      <c r="D446" s="17"/>
      <c r="E446" s="40"/>
      <c r="F446" s="17"/>
      <c r="G446" s="17"/>
      <c r="H446" s="17"/>
      <c r="I446" s="47" t="str">
        <f aca="false">IF(H446="","",IFERROR(INDEX(Settings!$G$2:$G$4,MATCH(H446,Settings!$F$2:$F$4,0)),""))</f>
        <v/>
      </c>
      <c r="J446" s="38"/>
      <c r="K446" s="48"/>
      <c r="L446" s="17"/>
      <c r="M446" s="38"/>
      <c r="N446" s="38"/>
      <c r="O446" s="42" t="str">
        <f aca="false">IF(N446="","",WORKDAY(N446,Settings!$S$4))</f>
        <v/>
      </c>
      <c r="P446" s="17"/>
      <c r="Q446" s="44" t="str">
        <f aca="true">IF(C446="","",IF(P446="Backed out",IF(S446="Paid","Refunded – closed",IF(R446="","Refund – log reason first","Refund in progress")),IF(K446="","Awaiting payment",IF(N446="",IF(M446="","Schedule free video","Free video in production"),IF(P446="Approved","Active",IF(TODAY()&gt;O446,"Active – plan went ahead","Decision pending – "&amp;NETWORKDAYS(TODAY(),O446)&amp;" working day(s) left"))))))</f>
        <v/>
      </c>
      <c r="R446" s="17"/>
      <c r="S446" s="17"/>
      <c r="T446" s="48"/>
      <c r="U446" s="38"/>
      <c r="V446" s="38"/>
      <c r="W446" s="42" t="str">
        <f aca="false">IF(V446="","",EDATE(V446,Settings!$S$6))</f>
        <v/>
      </c>
      <c r="X446" s="17"/>
      <c r="Y446" s="17"/>
      <c r="Z446" s="17"/>
    </row>
    <row r="447" customFormat="false" ht="15" hidden="false" customHeight="false" outlineLevel="0" collapsed="false">
      <c r="A447" s="17"/>
      <c r="B447" s="17"/>
      <c r="C447" s="17"/>
      <c r="D447" s="17"/>
      <c r="E447" s="40"/>
      <c r="F447" s="17"/>
      <c r="G447" s="17"/>
      <c r="H447" s="17"/>
      <c r="I447" s="47" t="str">
        <f aca="false">IF(H447="","",IFERROR(INDEX(Settings!$G$2:$G$4,MATCH(H447,Settings!$F$2:$F$4,0)),""))</f>
        <v/>
      </c>
      <c r="J447" s="38"/>
      <c r="K447" s="48"/>
      <c r="L447" s="17"/>
      <c r="M447" s="38"/>
      <c r="N447" s="38"/>
      <c r="O447" s="42" t="str">
        <f aca="false">IF(N447="","",WORKDAY(N447,Settings!$S$4))</f>
        <v/>
      </c>
      <c r="P447" s="17"/>
      <c r="Q447" s="44" t="str">
        <f aca="true">IF(C447="","",IF(P447="Backed out",IF(S447="Paid","Refunded – closed",IF(R447="","Refund – log reason first","Refund in progress")),IF(K447="","Awaiting payment",IF(N447="",IF(M447="","Schedule free video","Free video in production"),IF(P447="Approved","Active",IF(TODAY()&gt;O447,"Active – plan went ahead","Decision pending – "&amp;NETWORKDAYS(TODAY(),O447)&amp;" working day(s) left"))))))</f>
        <v/>
      </c>
      <c r="R447" s="17"/>
      <c r="S447" s="17"/>
      <c r="T447" s="48"/>
      <c r="U447" s="38"/>
      <c r="V447" s="38"/>
      <c r="W447" s="42" t="str">
        <f aca="false">IF(V447="","",EDATE(V447,Settings!$S$6))</f>
        <v/>
      </c>
      <c r="X447" s="17"/>
      <c r="Y447" s="17"/>
      <c r="Z447" s="17"/>
    </row>
    <row r="448" customFormat="false" ht="15" hidden="false" customHeight="false" outlineLevel="0" collapsed="false">
      <c r="A448" s="17"/>
      <c r="B448" s="17"/>
      <c r="C448" s="17"/>
      <c r="D448" s="17"/>
      <c r="E448" s="40"/>
      <c r="F448" s="17"/>
      <c r="G448" s="17"/>
      <c r="H448" s="17"/>
      <c r="I448" s="47" t="str">
        <f aca="false">IF(H448="","",IFERROR(INDEX(Settings!$G$2:$G$4,MATCH(H448,Settings!$F$2:$F$4,0)),""))</f>
        <v/>
      </c>
      <c r="J448" s="38"/>
      <c r="K448" s="48"/>
      <c r="L448" s="17"/>
      <c r="M448" s="38"/>
      <c r="N448" s="38"/>
      <c r="O448" s="42" t="str">
        <f aca="false">IF(N448="","",WORKDAY(N448,Settings!$S$4))</f>
        <v/>
      </c>
      <c r="P448" s="17"/>
      <c r="Q448" s="44" t="str">
        <f aca="true">IF(C448="","",IF(P448="Backed out",IF(S448="Paid","Refunded – closed",IF(R448="","Refund – log reason first","Refund in progress")),IF(K448="","Awaiting payment",IF(N448="",IF(M448="","Schedule free video","Free video in production"),IF(P448="Approved","Active",IF(TODAY()&gt;O448,"Active – plan went ahead","Decision pending – "&amp;NETWORKDAYS(TODAY(),O448)&amp;" working day(s) left"))))))</f>
        <v/>
      </c>
      <c r="R448" s="17"/>
      <c r="S448" s="17"/>
      <c r="T448" s="48"/>
      <c r="U448" s="38"/>
      <c r="V448" s="38"/>
      <c r="W448" s="42" t="str">
        <f aca="false">IF(V448="","",EDATE(V448,Settings!$S$6))</f>
        <v/>
      </c>
      <c r="X448" s="17"/>
      <c r="Y448" s="17"/>
      <c r="Z448" s="17"/>
    </row>
    <row r="449" customFormat="false" ht="15" hidden="false" customHeight="false" outlineLevel="0" collapsed="false">
      <c r="A449" s="17"/>
      <c r="B449" s="17"/>
      <c r="C449" s="17"/>
      <c r="D449" s="17"/>
      <c r="E449" s="40"/>
      <c r="F449" s="17"/>
      <c r="G449" s="17"/>
      <c r="H449" s="17"/>
      <c r="I449" s="47" t="str">
        <f aca="false">IF(H449="","",IFERROR(INDEX(Settings!$G$2:$G$4,MATCH(H449,Settings!$F$2:$F$4,0)),""))</f>
        <v/>
      </c>
      <c r="J449" s="38"/>
      <c r="K449" s="48"/>
      <c r="L449" s="17"/>
      <c r="M449" s="38"/>
      <c r="N449" s="38"/>
      <c r="O449" s="42" t="str">
        <f aca="false">IF(N449="","",WORKDAY(N449,Settings!$S$4))</f>
        <v/>
      </c>
      <c r="P449" s="17"/>
      <c r="Q449" s="44" t="str">
        <f aca="true">IF(C449="","",IF(P449="Backed out",IF(S449="Paid","Refunded – closed",IF(R449="","Refund – log reason first","Refund in progress")),IF(K449="","Awaiting payment",IF(N449="",IF(M449="","Schedule free video","Free video in production"),IF(P449="Approved","Active",IF(TODAY()&gt;O449,"Active – plan went ahead","Decision pending – "&amp;NETWORKDAYS(TODAY(),O449)&amp;" working day(s) left"))))))</f>
        <v/>
      </c>
      <c r="R449" s="17"/>
      <c r="S449" s="17"/>
      <c r="T449" s="48"/>
      <c r="U449" s="38"/>
      <c r="V449" s="38"/>
      <c r="W449" s="42" t="str">
        <f aca="false">IF(V449="","",EDATE(V449,Settings!$S$6))</f>
        <v/>
      </c>
      <c r="X449" s="17"/>
      <c r="Y449" s="17"/>
      <c r="Z449" s="17"/>
    </row>
    <row r="450" customFormat="false" ht="15" hidden="false" customHeight="false" outlineLevel="0" collapsed="false">
      <c r="A450" s="17"/>
      <c r="B450" s="17"/>
      <c r="C450" s="17"/>
      <c r="D450" s="17"/>
      <c r="E450" s="40"/>
      <c r="F450" s="17"/>
      <c r="G450" s="17"/>
      <c r="H450" s="17"/>
      <c r="I450" s="47" t="str">
        <f aca="false">IF(H450="","",IFERROR(INDEX(Settings!$G$2:$G$4,MATCH(H450,Settings!$F$2:$F$4,0)),""))</f>
        <v/>
      </c>
      <c r="J450" s="38"/>
      <c r="K450" s="48"/>
      <c r="L450" s="17"/>
      <c r="M450" s="38"/>
      <c r="N450" s="38"/>
      <c r="O450" s="42" t="str">
        <f aca="false">IF(N450="","",WORKDAY(N450,Settings!$S$4))</f>
        <v/>
      </c>
      <c r="P450" s="17"/>
      <c r="Q450" s="44" t="str">
        <f aca="true">IF(C450="","",IF(P450="Backed out",IF(S450="Paid","Refunded – closed",IF(R450="","Refund – log reason first","Refund in progress")),IF(K450="","Awaiting payment",IF(N450="",IF(M450="","Schedule free video","Free video in production"),IF(P450="Approved","Active",IF(TODAY()&gt;O450,"Active – plan went ahead","Decision pending – "&amp;NETWORKDAYS(TODAY(),O450)&amp;" working day(s) left"))))))</f>
        <v/>
      </c>
      <c r="R450" s="17"/>
      <c r="S450" s="17"/>
      <c r="T450" s="48"/>
      <c r="U450" s="38"/>
      <c r="V450" s="38"/>
      <c r="W450" s="42" t="str">
        <f aca="false">IF(V450="","",EDATE(V450,Settings!$S$6))</f>
        <v/>
      </c>
      <c r="X450" s="17"/>
      <c r="Y450" s="17"/>
      <c r="Z450" s="17"/>
    </row>
    <row r="451" customFormat="false" ht="15" hidden="false" customHeight="false" outlineLevel="0" collapsed="false">
      <c r="A451" s="17"/>
      <c r="B451" s="17"/>
      <c r="C451" s="17"/>
      <c r="D451" s="17"/>
      <c r="E451" s="40"/>
      <c r="F451" s="17"/>
      <c r="G451" s="17"/>
      <c r="H451" s="17"/>
      <c r="I451" s="47" t="str">
        <f aca="false">IF(H451="","",IFERROR(INDEX(Settings!$G$2:$G$4,MATCH(H451,Settings!$F$2:$F$4,0)),""))</f>
        <v/>
      </c>
      <c r="J451" s="38"/>
      <c r="K451" s="48"/>
      <c r="L451" s="17"/>
      <c r="M451" s="38"/>
      <c r="N451" s="38"/>
      <c r="O451" s="42" t="str">
        <f aca="false">IF(N451="","",WORKDAY(N451,Settings!$S$4))</f>
        <v/>
      </c>
      <c r="P451" s="17"/>
      <c r="Q451" s="44" t="str">
        <f aca="true">IF(C451="","",IF(P451="Backed out",IF(S451="Paid","Refunded – closed",IF(R451="","Refund – log reason first","Refund in progress")),IF(K451="","Awaiting payment",IF(N451="",IF(M451="","Schedule free video","Free video in production"),IF(P451="Approved","Active",IF(TODAY()&gt;O451,"Active – plan went ahead","Decision pending – "&amp;NETWORKDAYS(TODAY(),O451)&amp;" working day(s) left"))))))</f>
        <v/>
      </c>
      <c r="R451" s="17"/>
      <c r="S451" s="17"/>
      <c r="T451" s="48"/>
      <c r="U451" s="38"/>
      <c r="V451" s="38"/>
      <c r="W451" s="42" t="str">
        <f aca="false">IF(V451="","",EDATE(V451,Settings!$S$6))</f>
        <v/>
      </c>
      <c r="X451" s="17"/>
      <c r="Y451" s="17"/>
      <c r="Z451" s="17"/>
    </row>
    <row r="452" customFormat="false" ht="15" hidden="false" customHeight="false" outlineLevel="0" collapsed="false">
      <c r="A452" s="17"/>
      <c r="B452" s="17"/>
      <c r="C452" s="17"/>
      <c r="D452" s="17"/>
      <c r="E452" s="40"/>
      <c r="F452" s="17"/>
      <c r="G452" s="17"/>
      <c r="H452" s="17"/>
      <c r="I452" s="47" t="str">
        <f aca="false">IF(H452="","",IFERROR(INDEX(Settings!$G$2:$G$4,MATCH(H452,Settings!$F$2:$F$4,0)),""))</f>
        <v/>
      </c>
      <c r="J452" s="38"/>
      <c r="K452" s="48"/>
      <c r="L452" s="17"/>
      <c r="M452" s="38"/>
      <c r="N452" s="38"/>
      <c r="O452" s="42" t="str">
        <f aca="false">IF(N452="","",WORKDAY(N452,Settings!$S$4))</f>
        <v/>
      </c>
      <c r="P452" s="17"/>
      <c r="Q452" s="44" t="str">
        <f aca="true">IF(C452="","",IF(P452="Backed out",IF(S452="Paid","Refunded – closed",IF(R452="","Refund – log reason first","Refund in progress")),IF(K452="","Awaiting payment",IF(N452="",IF(M452="","Schedule free video","Free video in production"),IF(P452="Approved","Active",IF(TODAY()&gt;O452,"Active – plan went ahead","Decision pending – "&amp;NETWORKDAYS(TODAY(),O452)&amp;" working day(s) left"))))))</f>
        <v/>
      </c>
      <c r="R452" s="17"/>
      <c r="S452" s="17"/>
      <c r="T452" s="48"/>
      <c r="U452" s="38"/>
      <c r="V452" s="38"/>
      <c r="W452" s="42" t="str">
        <f aca="false">IF(V452="","",EDATE(V452,Settings!$S$6))</f>
        <v/>
      </c>
      <c r="X452" s="17"/>
      <c r="Y452" s="17"/>
      <c r="Z452" s="17"/>
    </row>
    <row r="453" customFormat="false" ht="15" hidden="false" customHeight="false" outlineLevel="0" collapsed="false">
      <c r="A453" s="17"/>
      <c r="B453" s="17"/>
      <c r="C453" s="17"/>
      <c r="D453" s="17"/>
      <c r="E453" s="40"/>
      <c r="F453" s="17"/>
      <c r="G453" s="17"/>
      <c r="H453" s="17"/>
      <c r="I453" s="47" t="str">
        <f aca="false">IF(H453="","",IFERROR(INDEX(Settings!$G$2:$G$4,MATCH(H453,Settings!$F$2:$F$4,0)),""))</f>
        <v/>
      </c>
      <c r="J453" s="38"/>
      <c r="K453" s="48"/>
      <c r="L453" s="17"/>
      <c r="M453" s="38"/>
      <c r="N453" s="38"/>
      <c r="O453" s="42" t="str">
        <f aca="false">IF(N453="","",WORKDAY(N453,Settings!$S$4))</f>
        <v/>
      </c>
      <c r="P453" s="17"/>
      <c r="Q453" s="44" t="str">
        <f aca="true">IF(C453="","",IF(P453="Backed out",IF(S453="Paid","Refunded – closed",IF(R453="","Refund – log reason first","Refund in progress")),IF(K453="","Awaiting payment",IF(N453="",IF(M453="","Schedule free video","Free video in production"),IF(P453="Approved","Active",IF(TODAY()&gt;O453,"Active – plan went ahead","Decision pending – "&amp;NETWORKDAYS(TODAY(),O453)&amp;" working day(s) left"))))))</f>
        <v/>
      </c>
      <c r="R453" s="17"/>
      <c r="S453" s="17"/>
      <c r="T453" s="48"/>
      <c r="U453" s="38"/>
      <c r="V453" s="38"/>
      <c r="W453" s="42" t="str">
        <f aca="false">IF(V453="","",EDATE(V453,Settings!$S$6))</f>
        <v/>
      </c>
      <c r="X453" s="17"/>
      <c r="Y453" s="17"/>
      <c r="Z453" s="17"/>
    </row>
    <row r="454" customFormat="false" ht="15" hidden="false" customHeight="false" outlineLevel="0" collapsed="false">
      <c r="A454" s="17"/>
      <c r="B454" s="17"/>
      <c r="C454" s="17"/>
      <c r="D454" s="17"/>
      <c r="E454" s="40"/>
      <c r="F454" s="17"/>
      <c r="G454" s="17"/>
      <c r="H454" s="17"/>
      <c r="I454" s="47" t="str">
        <f aca="false">IF(H454="","",IFERROR(INDEX(Settings!$G$2:$G$4,MATCH(H454,Settings!$F$2:$F$4,0)),""))</f>
        <v/>
      </c>
      <c r="J454" s="38"/>
      <c r="K454" s="48"/>
      <c r="L454" s="17"/>
      <c r="M454" s="38"/>
      <c r="N454" s="38"/>
      <c r="O454" s="42" t="str">
        <f aca="false">IF(N454="","",WORKDAY(N454,Settings!$S$4))</f>
        <v/>
      </c>
      <c r="P454" s="17"/>
      <c r="Q454" s="44" t="str">
        <f aca="true">IF(C454="","",IF(P454="Backed out",IF(S454="Paid","Refunded – closed",IF(R454="","Refund – log reason first","Refund in progress")),IF(K454="","Awaiting payment",IF(N454="",IF(M454="","Schedule free video","Free video in production"),IF(P454="Approved","Active",IF(TODAY()&gt;O454,"Active – plan went ahead","Decision pending – "&amp;NETWORKDAYS(TODAY(),O454)&amp;" working day(s) left"))))))</f>
        <v/>
      </c>
      <c r="R454" s="17"/>
      <c r="S454" s="17"/>
      <c r="T454" s="48"/>
      <c r="U454" s="38"/>
      <c r="V454" s="38"/>
      <c r="W454" s="42" t="str">
        <f aca="false">IF(V454="","",EDATE(V454,Settings!$S$6))</f>
        <v/>
      </c>
      <c r="X454" s="17"/>
      <c r="Y454" s="17"/>
      <c r="Z454" s="17"/>
    </row>
    <row r="455" customFormat="false" ht="15" hidden="false" customHeight="false" outlineLevel="0" collapsed="false">
      <c r="A455" s="17"/>
      <c r="B455" s="17"/>
      <c r="C455" s="17"/>
      <c r="D455" s="17"/>
      <c r="E455" s="40"/>
      <c r="F455" s="17"/>
      <c r="G455" s="17"/>
      <c r="H455" s="17"/>
      <c r="I455" s="47" t="str">
        <f aca="false">IF(H455="","",IFERROR(INDEX(Settings!$G$2:$G$4,MATCH(H455,Settings!$F$2:$F$4,0)),""))</f>
        <v/>
      </c>
      <c r="J455" s="38"/>
      <c r="K455" s="48"/>
      <c r="L455" s="17"/>
      <c r="M455" s="38"/>
      <c r="N455" s="38"/>
      <c r="O455" s="42" t="str">
        <f aca="false">IF(N455="","",WORKDAY(N455,Settings!$S$4))</f>
        <v/>
      </c>
      <c r="P455" s="17"/>
      <c r="Q455" s="44" t="str">
        <f aca="true">IF(C455="","",IF(P455="Backed out",IF(S455="Paid","Refunded – closed",IF(R455="","Refund – log reason first","Refund in progress")),IF(K455="","Awaiting payment",IF(N455="",IF(M455="","Schedule free video","Free video in production"),IF(P455="Approved","Active",IF(TODAY()&gt;O455,"Active – plan went ahead","Decision pending – "&amp;NETWORKDAYS(TODAY(),O455)&amp;" working day(s) left"))))))</f>
        <v/>
      </c>
      <c r="R455" s="17"/>
      <c r="S455" s="17"/>
      <c r="T455" s="48"/>
      <c r="U455" s="38"/>
      <c r="V455" s="38"/>
      <c r="W455" s="42" t="str">
        <f aca="false">IF(V455="","",EDATE(V455,Settings!$S$6))</f>
        <v/>
      </c>
      <c r="X455" s="17"/>
      <c r="Y455" s="17"/>
      <c r="Z455" s="17"/>
    </row>
    <row r="456" customFormat="false" ht="15" hidden="false" customHeight="false" outlineLevel="0" collapsed="false">
      <c r="A456" s="17"/>
      <c r="B456" s="17"/>
      <c r="C456" s="17"/>
      <c r="D456" s="17"/>
      <c r="E456" s="40"/>
      <c r="F456" s="17"/>
      <c r="G456" s="17"/>
      <c r="H456" s="17"/>
      <c r="I456" s="47" t="str">
        <f aca="false">IF(H456="","",IFERROR(INDEX(Settings!$G$2:$G$4,MATCH(H456,Settings!$F$2:$F$4,0)),""))</f>
        <v/>
      </c>
      <c r="J456" s="38"/>
      <c r="K456" s="48"/>
      <c r="L456" s="17"/>
      <c r="M456" s="38"/>
      <c r="N456" s="38"/>
      <c r="O456" s="42" t="str">
        <f aca="false">IF(N456="","",WORKDAY(N456,Settings!$S$4))</f>
        <v/>
      </c>
      <c r="P456" s="17"/>
      <c r="Q456" s="44" t="str">
        <f aca="true">IF(C456="","",IF(P456="Backed out",IF(S456="Paid","Refunded – closed",IF(R456="","Refund – log reason first","Refund in progress")),IF(K456="","Awaiting payment",IF(N456="",IF(M456="","Schedule free video","Free video in production"),IF(P456="Approved","Active",IF(TODAY()&gt;O456,"Active – plan went ahead","Decision pending – "&amp;NETWORKDAYS(TODAY(),O456)&amp;" working day(s) left"))))))</f>
        <v/>
      </c>
      <c r="R456" s="17"/>
      <c r="S456" s="17"/>
      <c r="T456" s="48"/>
      <c r="U456" s="38"/>
      <c r="V456" s="38"/>
      <c r="W456" s="42" t="str">
        <f aca="false">IF(V456="","",EDATE(V456,Settings!$S$6))</f>
        <v/>
      </c>
      <c r="X456" s="17"/>
      <c r="Y456" s="17"/>
      <c r="Z456" s="17"/>
    </row>
    <row r="457" customFormat="false" ht="15" hidden="false" customHeight="false" outlineLevel="0" collapsed="false">
      <c r="A457" s="17"/>
      <c r="B457" s="17"/>
      <c r="C457" s="17"/>
      <c r="D457" s="17"/>
      <c r="E457" s="40"/>
      <c r="F457" s="17"/>
      <c r="G457" s="17"/>
      <c r="H457" s="17"/>
      <c r="I457" s="47" t="str">
        <f aca="false">IF(H457="","",IFERROR(INDEX(Settings!$G$2:$G$4,MATCH(H457,Settings!$F$2:$F$4,0)),""))</f>
        <v/>
      </c>
      <c r="J457" s="38"/>
      <c r="K457" s="48"/>
      <c r="L457" s="17"/>
      <c r="M457" s="38"/>
      <c r="N457" s="38"/>
      <c r="O457" s="42" t="str">
        <f aca="false">IF(N457="","",WORKDAY(N457,Settings!$S$4))</f>
        <v/>
      </c>
      <c r="P457" s="17"/>
      <c r="Q457" s="44" t="str">
        <f aca="true">IF(C457="","",IF(P457="Backed out",IF(S457="Paid","Refunded – closed",IF(R457="","Refund – log reason first","Refund in progress")),IF(K457="","Awaiting payment",IF(N457="",IF(M457="","Schedule free video","Free video in production"),IF(P457="Approved","Active",IF(TODAY()&gt;O457,"Active – plan went ahead","Decision pending – "&amp;NETWORKDAYS(TODAY(),O457)&amp;" working day(s) left"))))))</f>
        <v/>
      </c>
      <c r="R457" s="17"/>
      <c r="S457" s="17"/>
      <c r="T457" s="48"/>
      <c r="U457" s="38"/>
      <c r="V457" s="38"/>
      <c r="W457" s="42" t="str">
        <f aca="false">IF(V457="","",EDATE(V457,Settings!$S$6))</f>
        <v/>
      </c>
      <c r="X457" s="17"/>
      <c r="Y457" s="17"/>
      <c r="Z457" s="17"/>
    </row>
    <row r="458" customFormat="false" ht="15" hidden="false" customHeight="false" outlineLevel="0" collapsed="false">
      <c r="A458" s="17"/>
      <c r="B458" s="17"/>
      <c r="C458" s="17"/>
      <c r="D458" s="17"/>
      <c r="E458" s="40"/>
      <c r="F458" s="17"/>
      <c r="G458" s="17"/>
      <c r="H458" s="17"/>
      <c r="I458" s="47" t="str">
        <f aca="false">IF(H458="","",IFERROR(INDEX(Settings!$G$2:$G$4,MATCH(H458,Settings!$F$2:$F$4,0)),""))</f>
        <v/>
      </c>
      <c r="J458" s="38"/>
      <c r="K458" s="48"/>
      <c r="L458" s="17"/>
      <c r="M458" s="38"/>
      <c r="N458" s="38"/>
      <c r="O458" s="42" t="str">
        <f aca="false">IF(N458="","",WORKDAY(N458,Settings!$S$4))</f>
        <v/>
      </c>
      <c r="P458" s="17"/>
      <c r="Q458" s="44" t="str">
        <f aca="true">IF(C458="","",IF(P458="Backed out",IF(S458="Paid","Refunded – closed",IF(R458="","Refund – log reason first","Refund in progress")),IF(K458="","Awaiting payment",IF(N458="",IF(M458="","Schedule free video","Free video in production"),IF(P458="Approved","Active",IF(TODAY()&gt;O458,"Active – plan went ahead","Decision pending – "&amp;NETWORKDAYS(TODAY(),O458)&amp;" working day(s) left"))))))</f>
        <v/>
      </c>
      <c r="R458" s="17"/>
      <c r="S458" s="17"/>
      <c r="T458" s="48"/>
      <c r="U458" s="38"/>
      <c r="V458" s="38"/>
      <c r="W458" s="42" t="str">
        <f aca="false">IF(V458="","",EDATE(V458,Settings!$S$6))</f>
        <v/>
      </c>
      <c r="X458" s="17"/>
      <c r="Y458" s="17"/>
      <c r="Z458" s="17"/>
    </row>
    <row r="459" customFormat="false" ht="15" hidden="false" customHeight="false" outlineLevel="0" collapsed="false">
      <c r="A459" s="17"/>
      <c r="B459" s="17"/>
      <c r="C459" s="17"/>
      <c r="D459" s="17"/>
      <c r="E459" s="40"/>
      <c r="F459" s="17"/>
      <c r="G459" s="17"/>
      <c r="H459" s="17"/>
      <c r="I459" s="47" t="str">
        <f aca="false">IF(H459="","",IFERROR(INDEX(Settings!$G$2:$G$4,MATCH(H459,Settings!$F$2:$F$4,0)),""))</f>
        <v/>
      </c>
      <c r="J459" s="38"/>
      <c r="K459" s="48"/>
      <c r="L459" s="17"/>
      <c r="M459" s="38"/>
      <c r="N459" s="38"/>
      <c r="O459" s="42" t="str">
        <f aca="false">IF(N459="","",WORKDAY(N459,Settings!$S$4))</f>
        <v/>
      </c>
      <c r="P459" s="17"/>
      <c r="Q459" s="44" t="str">
        <f aca="true">IF(C459="","",IF(P459="Backed out",IF(S459="Paid","Refunded – closed",IF(R459="","Refund – log reason first","Refund in progress")),IF(K459="","Awaiting payment",IF(N459="",IF(M459="","Schedule free video","Free video in production"),IF(P459="Approved","Active",IF(TODAY()&gt;O459,"Active – plan went ahead","Decision pending – "&amp;NETWORKDAYS(TODAY(),O459)&amp;" working day(s) left"))))))</f>
        <v/>
      </c>
      <c r="R459" s="17"/>
      <c r="S459" s="17"/>
      <c r="T459" s="48"/>
      <c r="U459" s="38"/>
      <c r="V459" s="38"/>
      <c r="W459" s="42" t="str">
        <f aca="false">IF(V459="","",EDATE(V459,Settings!$S$6))</f>
        <v/>
      </c>
      <c r="X459" s="17"/>
      <c r="Y459" s="17"/>
      <c r="Z459" s="17"/>
    </row>
    <row r="460" customFormat="false" ht="15" hidden="false" customHeight="false" outlineLevel="0" collapsed="false">
      <c r="A460" s="17"/>
      <c r="B460" s="17"/>
      <c r="C460" s="17"/>
      <c r="D460" s="17"/>
      <c r="E460" s="40"/>
      <c r="F460" s="17"/>
      <c r="G460" s="17"/>
      <c r="H460" s="17"/>
      <c r="I460" s="47" t="str">
        <f aca="false">IF(H460="","",IFERROR(INDEX(Settings!$G$2:$G$4,MATCH(H460,Settings!$F$2:$F$4,0)),""))</f>
        <v/>
      </c>
      <c r="J460" s="38"/>
      <c r="K460" s="48"/>
      <c r="L460" s="17"/>
      <c r="M460" s="38"/>
      <c r="N460" s="38"/>
      <c r="O460" s="42" t="str">
        <f aca="false">IF(N460="","",WORKDAY(N460,Settings!$S$4))</f>
        <v/>
      </c>
      <c r="P460" s="17"/>
      <c r="Q460" s="44" t="str">
        <f aca="true">IF(C460="","",IF(P460="Backed out",IF(S460="Paid","Refunded – closed",IF(R460="","Refund – log reason first","Refund in progress")),IF(K460="","Awaiting payment",IF(N460="",IF(M460="","Schedule free video","Free video in production"),IF(P460="Approved","Active",IF(TODAY()&gt;O460,"Active – plan went ahead","Decision pending – "&amp;NETWORKDAYS(TODAY(),O460)&amp;" working day(s) left"))))))</f>
        <v/>
      </c>
      <c r="R460" s="17"/>
      <c r="S460" s="17"/>
      <c r="T460" s="48"/>
      <c r="U460" s="38"/>
      <c r="V460" s="38"/>
      <c r="W460" s="42" t="str">
        <f aca="false">IF(V460="","",EDATE(V460,Settings!$S$6))</f>
        <v/>
      </c>
      <c r="X460" s="17"/>
      <c r="Y460" s="17"/>
      <c r="Z460" s="17"/>
    </row>
    <row r="461" customFormat="false" ht="15" hidden="false" customHeight="false" outlineLevel="0" collapsed="false">
      <c r="A461" s="17"/>
      <c r="B461" s="17"/>
      <c r="C461" s="17"/>
      <c r="D461" s="17"/>
      <c r="E461" s="40"/>
      <c r="F461" s="17"/>
      <c r="G461" s="17"/>
      <c r="H461" s="17"/>
      <c r="I461" s="47" t="str">
        <f aca="false">IF(H461="","",IFERROR(INDEX(Settings!$G$2:$G$4,MATCH(H461,Settings!$F$2:$F$4,0)),""))</f>
        <v/>
      </c>
      <c r="J461" s="38"/>
      <c r="K461" s="48"/>
      <c r="L461" s="17"/>
      <c r="M461" s="38"/>
      <c r="N461" s="38"/>
      <c r="O461" s="42" t="str">
        <f aca="false">IF(N461="","",WORKDAY(N461,Settings!$S$4))</f>
        <v/>
      </c>
      <c r="P461" s="17"/>
      <c r="Q461" s="44" t="str">
        <f aca="true">IF(C461="","",IF(P461="Backed out",IF(S461="Paid","Refunded – closed",IF(R461="","Refund – log reason first","Refund in progress")),IF(K461="","Awaiting payment",IF(N461="",IF(M461="","Schedule free video","Free video in production"),IF(P461="Approved","Active",IF(TODAY()&gt;O461,"Active – plan went ahead","Decision pending – "&amp;NETWORKDAYS(TODAY(),O461)&amp;" working day(s) left"))))))</f>
        <v/>
      </c>
      <c r="R461" s="17"/>
      <c r="S461" s="17"/>
      <c r="T461" s="48"/>
      <c r="U461" s="38"/>
      <c r="V461" s="38"/>
      <c r="W461" s="42" t="str">
        <f aca="false">IF(V461="","",EDATE(V461,Settings!$S$6))</f>
        <v/>
      </c>
      <c r="X461" s="17"/>
      <c r="Y461" s="17"/>
      <c r="Z461" s="17"/>
    </row>
    <row r="462" customFormat="false" ht="15" hidden="false" customHeight="false" outlineLevel="0" collapsed="false">
      <c r="A462" s="17"/>
      <c r="B462" s="17"/>
      <c r="C462" s="17"/>
      <c r="D462" s="17"/>
      <c r="E462" s="40"/>
      <c r="F462" s="17"/>
      <c r="G462" s="17"/>
      <c r="H462" s="17"/>
      <c r="I462" s="47" t="str">
        <f aca="false">IF(H462="","",IFERROR(INDEX(Settings!$G$2:$G$4,MATCH(H462,Settings!$F$2:$F$4,0)),""))</f>
        <v/>
      </c>
      <c r="J462" s="38"/>
      <c r="K462" s="48"/>
      <c r="L462" s="17"/>
      <c r="M462" s="38"/>
      <c r="N462" s="38"/>
      <c r="O462" s="42" t="str">
        <f aca="false">IF(N462="","",WORKDAY(N462,Settings!$S$4))</f>
        <v/>
      </c>
      <c r="P462" s="17"/>
      <c r="Q462" s="44" t="str">
        <f aca="true">IF(C462="","",IF(P462="Backed out",IF(S462="Paid","Refunded – closed",IF(R462="","Refund – log reason first","Refund in progress")),IF(K462="","Awaiting payment",IF(N462="",IF(M462="","Schedule free video","Free video in production"),IF(P462="Approved","Active",IF(TODAY()&gt;O462,"Active – plan went ahead","Decision pending – "&amp;NETWORKDAYS(TODAY(),O462)&amp;" working day(s) left"))))))</f>
        <v/>
      </c>
      <c r="R462" s="17"/>
      <c r="S462" s="17"/>
      <c r="T462" s="48"/>
      <c r="U462" s="38"/>
      <c r="V462" s="38"/>
      <c r="W462" s="42" t="str">
        <f aca="false">IF(V462="","",EDATE(V462,Settings!$S$6))</f>
        <v/>
      </c>
      <c r="X462" s="17"/>
      <c r="Y462" s="17"/>
      <c r="Z462" s="17"/>
    </row>
    <row r="463" customFormat="false" ht="15" hidden="false" customHeight="false" outlineLevel="0" collapsed="false">
      <c r="A463" s="17"/>
      <c r="B463" s="17"/>
      <c r="C463" s="17"/>
      <c r="D463" s="17"/>
      <c r="E463" s="40"/>
      <c r="F463" s="17"/>
      <c r="G463" s="17"/>
      <c r="H463" s="17"/>
      <c r="I463" s="47" t="str">
        <f aca="false">IF(H463="","",IFERROR(INDEX(Settings!$G$2:$G$4,MATCH(H463,Settings!$F$2:$F$4,0)),""))</f>
        <v/>
      </c>
      <c r="J463" s="38"/>
      <c r="K463" s="48"/>
      <c r="L463" s="17"/>
      <c r="M463" s="38"/>
      <c r="N463" s="38"/>
      <c r="O463" s="42" t="str">
        <f aca="false">IF(N463="","",WORKDAY(N463,Settings!$S$4))</f>
        <v/>
      </c>
      <c r="P463" s="17"/>
      <c r="Q463" s="44" t="str">
        <f aca="true">IF(C463="","",IF(P463="Backed out",IF(S463="Paid","Refunded – closed",IF(R463="","Refund – log reason first","Refund in progress")),IF(K463="","Awaiting payment",IF(N463="",IF(M463="","Schedule free video","Free video in production"),IF(P463="Approved","Active",IF(TODAY()&gt;O463,"Active – plan went ahead","Decision pending – "&amp;NETWORKDAYS(TODAY(),O463)&amp;" working day(s) left"))))))</f>
        <v/>
      </c>
      <c r="R463" s="17"/>
      <c r="S463" s="17"/>
      <c r="T463" s="48"/>
      <c r="U463" s="38"/>
      <c r="V463" s="38"/>
      <c r="W463" s="42" t="str">
        <f aca="false">IF(V463="","",EDATE(V463,Settings!$S$6))</f>
        <v/>
      </c>
      <c r="X463" s="17"/>
      <c r="Y463" s="17"/>
      <c r="Z463" s="17"/>
    </row>
    <row r="464" customFormat="false" ht="15" hidden="false" customHeight="false" outlineLevel="0" collapsed="false">
      <c r="A464" s="17"/>
      <c r="B464" s="17"/>
      <c r="C464" s="17"/>
      <c r="D464" s="17"/>
      <c r="E464" s="40"/>
      <c r="F464" s="17"/>
      <c r="G464" s="17"/>
      <c r="H464" s="17"/>
      <c r="I464" s="47" t="str">
        <f aca="false">IF(H464="","",IFERROR(INDEX(Settings!$G$2:$G$4,MATCH(H464,Settings!$F$2:$F$4,0)),""))</f>
        <v/>
      </c>
      <c r="J464" s="38"/>
      <c r="K464" s="48"/>
      <c r="L464" s="17"/>
      <c r="M464" s="38"/>
      <c r="N464" s="38"/>
      <c r="O464" s="42" t="str">
        <f aca="false">IF(N464="","",WORKDAY(N464,Settings!$S$4))</f>
        <v/>
      </c>
      <c r="P464" s="17"/>
      <c r="Q464" s="44" t="str">
        <f aca="true">IF(C464="","",IF(P464="Backed out",IF(S464="Paid","Refunded – closed",IF(R464="","Refund – log reason first","Refund in progress")),IF(K464="","Awaiting payment",IF(N464="",IF(M464="","Schedule free video","Free video in production"),IF(P464="Approved","Active",IF(TODAY()&gt;O464,"Active – plan went ahead","Decision pending – "&amp;NETWORKDAYS(TODAY(),O464)&amp;" working day(s) left"))))))</f>
        <v/>
      </c>
      <c r="R464" s="17"/>
      <c r="S464" s="17"/>
      <c r="T464" s="48"/>
      <c r="U464" s="38"/>
      <c r="V464" s="38"/>
      <c r="W464" s="42" t="str">
        <f aca="false">IF(V464="","",EDATE(V464,Settings!$S$6))</f>
        <v/>
      </c>
      <c r="X464" s="17"/>
      <c r="Y464" s="17"/>
      <c r="Z464" s="17"/>
    </row>
    <row r="465" customFormat="false" ht="15" hidden="false" customHeight="false" outlineLevel="0" collapsed="false">
      <c r="A465" s="17"/>
      <c r="B465" s="17"/>
      <c r="C465" s="17"/>
      <c r="D465" s="17"/>
      <c r="E465" s="40"/>
      <c r="F465" s="17"/>
      <c r="G465" s="17"/>
      <c r="H465" s="17"/>
      <c r="I465" s="47" t="str">
        <f aca="false">IF(H465="","",IFERROR(INDEX(Settings!$G$2:$G$4,MATCH(H465,Settings!$F$2:$F$4,0)),""))</f>
        <v/>
      </c>
      <c r="J465" s="38"/>
      <c r="K465" s="48"/>
      <c r="L465" s="17"/>
      <c r="M465" s="38"/>
      <c r="N465" s="38"/>
      <c r="O465" s="42" t="str">
        <f aca="false">IF(N465="","",WORKDAY(N465,Settings!$S$4))</f>
        <v/>
      </c>
      <c r="P465" s="17"/>
      <c r="Q465" s="44" t="str">
        <f aca="true">IF(C465="","",IF(P465="Backed out",IF(S465="Paid","Refunded – closed",IF(R465="","Refund – log reason first","Refund in progress")),IF(K465="","Awaiting payment",IF(N465="",IF(M465="","Schedule free video","Free video in production"),IF(P465="Approved","Active",IF(TODAY()&gt;O465,"Active – plan went ahead","Decision pending – "&amp;NETWORKDAYS(TODAY(),O465)&amp;" working day(s) left"))))))</f>
        <v/>
      </c>
      <c r="R465" s="17"/>
      <c r="S465" s="17"/>
      <c r="T465" s="48"/>
      <c r="U465" s="38"/>
      <c r="V465" s="38"/>
      <c r="W465" s="42" t="str">
        <f aca="false">IF(V465="","",EDATE(V465,Settings!$S$6))</f>
        <v/>
      </c>
      <c r="X465" s="17"/>
      <c r="Y465" s="17"/>
      <c r="Z465" s="17"/>
    </row>
    <row r="466" customFormat="false" ht="15" hidden="false" customHeight="false" outlineLevel="0" collapsed="false">
      <c r="A466" s="17"/>
      <c r="B466" s="17"/>
      <c r="C466" s="17"/>
      <c r="D466" s="17"/>
      <c r="E466" s="40"/>
      <c r="F466" s="17"/>
      <c r="G466" s="17"/>
      <c r="H466" s="17"/>
      <c r="I466" s="47" t="str">
        <f aca="false">IF(H466="","",IFERROR(INDEX(Settings!$G$2:$G$4,MATCH(H466,Settings!$F$2:$F$4,0)),""))</f>
        <v/>
      </c>
      <c r="J466" s="38"/>
      <c r="K466" s="48"/>
      <c r="L466" s="17"/>
      <c r="M466" s="38"/>
      <c r="N466" s="38"/>
      <c r="O466" s="42" t="str">
        <f aca="false">IF(N466="","",WORKDAY(N466,Settings!$S$4))</f>
        <v/>
      </c>
      <c r="P466" s="17"/>
      <c r="Q466" s="44" t="str">
        <f aca="true">IF(C466="","",IF(P466="Backed out",IF(S466="Paid","Refunded – closed",IF(R466="","Refund – log reason first","Refund in progress")),IF(K466="","Awaiting payment",IF(N466="",IF(M466="","Schedule free video","Free video in production"),IF(P466="Approved","Active",IF(TODAY()&gt;O466,"Active – plan went ahead","Decision pending – "&amp;NETWORKDAYS(TODAY(),O466)&amp;" working day(s) left"))))))</f>
        <v/>
      </c>
      <c r="R466" s="17"/>
      <c r="S466" s="17"/>
      <c r="T466" s="48"/>
      <c r="U466" s="38"/>
      <c r="V466" s="38"/>
      <c r="W466" s="42" t="str">
        <f aca="false">IF(V466="","",EDATE(V466,Settings!$S$6))</f>
        <v/>
      </c>
      <c r="X466" s="17"/>
      <c r="Y466" s="17"/>
      <c r="Z466" s="17"/>
    </row>
    <row r="467" customFormat="false" ht="15" hidden="false" customHeight="false" outlineLevel="0" collapsed="false">
      <c r="A467" s="17"/>
      <c r="B467" s="17"/>
      <c r="C467" s="17"/>
      <c r="D467" s="17"/>
      <c r="E467" s="40"/>
      <c r="F467" s="17"/>
      <c r="G467" s="17"/>
      <c r="H467" s="17"/>
      <c r="I467" s="47" t="str">
        <f aca="false">IF(H467="","",IFERROR(INDEX(Settings!$G$2:$G$4,MATCH(H467,Settings!$F$2:$F$4,0)),""))</f>
        <v/>
      </c>
      <c r="J467" s="38"/>
      <c r="K467" s="48"/>
      <c r="L467" s="17"/>
      <c r="M467" s="38"/>
      <c r="N467" s="38"/>
      <c r="O467" s="42" t="str">
        <f aca="false">IF(N467="","",WORKDAY(N467,Settings!$S$4))</f>
        <v/>
      </c>
      <c r="P467" s="17"/>
      <c r="Q467" s="44" t="str">
        <f aca="true">IF(C467="","",IF(P467="Backed out",IF(S467="Paid","Refunded – closed",IF(R467="","Refund – log reason first","Refund in progress")),IF(K467="","Awaiting payment",IF(N467="",IF(M467="","Schedule free video","Free video in production"),IF(P467="Approved","Active",IF(TODAY()&gt;O467,"Active – plan went ahead","Decision pending – "&amp;NETWORKDAYS(TODAY(),O467)&amp;" working day(s) left"))))))</f>
        <v/>
      </c>
      <c r="R467" s="17"/>
      <c r="S467" s="17"/>
      <c r="T467" s="48"/>
      <c r="U467" s="38"/>
      <c r="V467" s="38"/>
      <c r="W467" s="42" t="str">
        <f aca="false">IF(V467="","",EDATE(V467,Settings!$S$6))</f>
        <v/>
      </c>
      <c r="X467" s="17"/>
      <c r="Y467" s="17"/>
      <c r="Z467" s="17"/>
    </row>
    <row r="468" customFormat="false" ht="15" hidden="false" customHeight="false" outlineLevel="0" collapsed="false">
      <c r="A468" s="17"/>
      <c r="B468" s="17"/>
      <c r="C468" s="17"/>
      <c r="D468" s="17"/>
      <c r="E468" s="40"/>
      <c r="F468" s="17"/>
      <c r="G468" s="17"/>
      <c r="H468" s="17"/>
      <c r="I468" s="47" t="str">
        <f aca="false">IF(H468="","",IFERROR(INDEX(Settings!$G$2:$G$4,MATCH(H468,Settings!$F$2:$F$4,0)),""))</f>
        <v/>
      </c>
      <c r="J468" s="38"/>
      <c r="K468" s="48"/>
      <c r="L468" s="17"/>
      <c r="M468" s="38"/>
      <c r="N468" s="38"/>
      <c r="O468" s="42" t="str">
        <f aca="false">IF(N468="","",WORKDAY(N468,Settings!$S$4))</f>
        <v/>
      </c>
      <c r="P468" s="17"/>
      <c r="Q468" s="44" t="str">
        <f aca="true">IF(C468="","",IF(P468="Backed out",IF(S468="Paid","Refunded – closed",IF(R468="","Refund – log reason first","Refund in progress")),IF(K468="","Awaiting payment",IF(N468="",IF(M468="","Schedule free video","Free video in production"),IF(P468="Approved","Active",IF(TODAY()&gt;O468,"Active – plan went ahead","Decision pending – "&amp;NETWORKDAYS(TODAY(),O468)&amp;" working day(s) left"))))))</f>
        <v/>
      </c>
      <c r="R468" s="17"/>
      <c r="S468" s="17"/>
      <c r="T468" s="48"/>
      <c r="U468" s="38"/>
      <c r="V468" s="38"/>
      <c r="W468" s="42" t="str">
        <f aca="false">IF(V468="","",EDATE(V468,Settings!$S$6))</f>
        <v/>
      </c>
      <c r="X468" s="17"/>
      <c r="Y468" s="17"/>
      <c r="Z468" s="17"/>
    </row>
    <row r="469" customFormat="false" ht="15" hidden="false" customHeight="false" outlineLevel="0" collapsed="false">
      <c r="A469" s="17"/>
      <c r="B469" s="17"/>
      <c r="C469" s="17"/>
      <c r="D469" s="17"/>
      <c r="E469" s="40"/>
      <c r="F469" s="17"/>
      <c r="G469" s="17"/>
      <c r="H469" s="17"/>
      <c r="I469" s="47" t="str">
        <f aca="false">IF(H469="","",IFERROR(INDEX(Settings!$G$2:$G$4,MATCH(H469,Settings!$F$2:$F$4,0)),""))</f>
        <v/>
      </c>
      <c r="J469" s="38"/>
      <c r="K469" s="48"/>
      <c r="L469" s="17"/>
      <c r="M469" s="38"/>
      <c r="N469" s="38"/>
      <c r="O469" s="42" t="str">
        <f aca="false">IF(N469="","",WORKDAY(N469,Settings!$S$4))</f>
        <v/>
      </c>
      <c r="P469" s="17"/>
      <c r="Q469" s="44" t="str">
        <f aca="true">IF(C469="","",IF(P469="Backed out",IF(S469="Paid","Refunded – closed",IF(R469="","Refund – log reason first","Refund in progress")),IF(K469="","Awaiting payment",IF(N469="",IF(M469="","Schedule free video","Free video in production"),IF(P469="Approved","Active",IF(TODAY()&gt;O469,"Active – plan went ahead","Decision pending – "&amp;NETWORKDAYS(TODAY(),O469)&amp;" working day(s) left"))))))</f>
        <v/>
      </c>
      <c r="R469" s="17"/>
      <c r="S469" s="17"/>
      <c r="T469" s="48"/>
      <c r="U469" s="38"/>
      <c r="V469" s="38"/>
      <c r="W469" s="42" t="str">
        <f aca="false">IF(V469="","",EDATE(V469,Settings!$S$6))</f>
        <v/>
      </c>
      <c r="X469" s="17"/>
      <c r="Y469" s="17"/>
      <c r="Z469" s="17"/>
    </row>
    <row r="470" customFormat="false" ht="15" hidden="false" customHeight="false" outlineLevel="0" collapsed="false">
      <c r="A470" s="17"/>
      <c r="B470" s="17"/>
      <c r="C470" s="17"/>
      <c r="D470" s="17"/>
      <c r="E470" s="40"/>
      <c r="F470" s="17"/>
      <c r="G470" s="17"/>
      <c r="H470" s="17"/>
      <c r="I470" s="47" t="str">
        <f aca="false">IF(H470="","",IFERROR(INDEX(Settings!$G$2:$G$4,MATCH(H470,Settings!$F$2:$F$4,0)),""))</f>
        <v/>
      </c>
      <c r="J470" s="38"/>
      <c r="K470" s="48"/>
      <c r="L470" s="17"/>
      <c r="M470" s="38"/>
      <c r="N470" s="38"/>
      <c r="O470" s="42" t="str">
        <f aca="false">IF(N470="","",WORKDAY(N470,Settings!$S$4))</f>
        <v/>
      </c>
      <c r="P470" s="17"/>
      <c r="Q470" s="44" t="str">
        <f aca="true">IF(C470="","",IF(P470="Backed out",IF(S470="Paid","Refunded – closed",IF(R470="","Refund – log reason first","Refund in progress")),IF(K470="","Awaiting payment",IF(N470="",IF(M470="","Schedule free video","Free video in production"),IF(P470="Approved","Active",IF(TODAY()&gt;O470,"Active – plan went ahead","Decision pending – "&amp;NETWORKDAYS(TODAY(),O470)&amp;" working day(s) left"))))))</f>
        <v/>
      </c>
      <c r="R470" s="17"/>
      <c r="S470" s="17"/>
      <c r="T470" s="48"/>
      <c r="U470" s="38"/>
      <c r="V470" s="38"/>
      <c r="W470" s="42" t="str">
        <f aca="false">IF(V470="","",EDATE(V470,Settings!$S$6))</f>
        <v/>
      </c>
      <c r="X470" s="17"/>
      <c r="Y470" s="17"/>
      <c r="Z470" s="17"/>
    </row>
    <row r="471" customFormat="false" ht="15" hidden="false" customHeight="false" outlineLevel="0" collapsed="false">
      <c r="A471" s="17"/>
      <c r="B471" s="17"/>
      <c r="C471" s="17"/>
      <c r="D471" s="17"/>
      <c r="E471" s="40"/>
      <c r="F471" s="17"/>
      <c r="G471" s="17"/>
      <c r="H471" s="17"/>
      <c r="I471" s="47" t="str">
        <f aca="false">IF(H471="","",IFERROR(INDEX(Settings!$G$2:$G$4,MATCH(H471,Settings!$F$2:$F$4,0)),""))</f>
        <v/>
      </c>
      <c r="J471" s="38"/>
      <c r="K471" s="48"/>
      <c r="L471" s="17"/>
      <c r="M471" s="38"/>
      <c r="N471" s="38"/>
      <c r="O471" s="42" t="str">
        <f aca="false">IF(N471="","",WORKDAY(N471,Settings!$S$4))</f>
        <v/>
      </c>
      <c r="P471" s="17"/>
      <c r="Q471" s="44" t="str">
        <f aca="true">IF(C471="","",IF(P471="Backed out",IF(S471="Paid","Refunded – closed",IF(R471="","Refund – log reason first","Refund in progress")),IF(K471="","Awaiting payment",IF(N471="",IF(M471="","Schedule free video","Free video in production"),IF(P471="Approved","Active",IF(TODAY()&gt;O471,"Active – plan went ahead","Decision pending – "&amp;NETWORKDAYS(TODAY(),O471)&amp;" working day(s) left"))))))</f>
        <v/>
      </c>
      <c r="R471" s="17"/>
      <c r="S471" s="17"/>
      <c r="T471" s="48"/>
      <c r="U471" s="38"/>
      <c r="V471" s="38"/>
      <c r="W471" s="42" t="str">
        <f aca="false">IF(V471="","",EDATE(V471,Settings!$S$6))</f>
        <v/>
      </c>
      <c r="X471" s="17"/>
      <c r="Y471" s="17"/>
      <c r="Z471" s="17"/>
    </row>
    <row r="472" customFormat="false" ht="15" hidden="false" customHeight="false" outlineLevel="0" collapsed="false">
      <c r="A472" s="17"/>
      <c r="B472" s="17"/>
      <c r="C472" s="17"/>
      <c r="D472" s="17"/>
      <c r="E472" s="40"/>
      <c r="F472" s="17"/>
      <c r="G472" s="17"/>
      <c r="H472" s="17"/>
      <c r="I472" s="47" t="str">
        <f aca="false">IF(H472="","",IFERROR(INDEX(Settings!$G$2:$G$4,MATCH(H472,Settings!$F$2:$F$4,0)),""))</f>
        <v/>
      </c>
      <c r="J472" s="38"/>
      <c r="K472" s="48"/>
      <c r="L472" s="17"/>
      <c r="M472" s="38"/>
      <c r="N472" s="38"/>
      <c r="O472" s="42" t="str">
        <f aca="false">IF(N472="","",WORKDAY(N472,Settings!$S$4))</f>
        <v/>
      </c>
      <c r="P472" s="17"/>
      <c r="Q472" s="44" t="str">
        <f aca="true">IF(C472="","",IF(P472="Backed out",IF(S472="Paid","Refunded – closed",IF(R472="","Refund – log reason first","Refund in progress")),IF(K472="","Awaiting payment",IF(N472="",IF(M472="","Schedule free video","Free video in production"),IF(P472="Approved","Active",IF(TODAY()&gt;O472,"Active – plan went ahead","Decision pending – "&amp;NETWORKDAYS(TODAY(),O472)&amp;" working day(s) left"))))))</f>
        <v/>
      </c>
      <c r="R472" s="17"/>
      <c r="S472" s="17"/>
      <c r="T472" s="48"/>
      <c r="U472" s="38"/>
      <c r="V472" s="38"/>
      <c r="W472" s="42" t="str">
        <f aca="false">IF(V472="","",EDATE(V472,Settings!$S$6))</f>
        <v/>
      </c>
      <c r="X472" s="17"/>
      <c r="Y472" s="17"/>
      <c r="Z472" s="17"/>
    </row>
    <row r="473" customFormat="false" ht="15" hidden="false" customHeight="false" outlineLevel="0" collapsed="false">
      <c r="A473" s="17"/>
      <c r="B473" s="17"/>
      <c r="C473" s="17"/>
      <c r="D473" s="17"/>
      <c r="E473" s="40"/>
      <c r="F473" s="17"/>
      <c r="G473" s="17"/>
      <c r="H473" s="17"/>
      <c r="I473" s="47" t="str">
        <f aca="false">IF(H473="","",IFERROR(INDEX(Settings!$G$2:$G$4,MATCH(H473,Settings!$F$2:$F$4,0)),""))</f>
        <v/>
      </c>
      <c r="J473" s="38"/>
      <c r="K473" s="48"/>
      <c r="L473" s="17"/>
      <c r="M473" s="38"/>
      <c r="N473" s="38"/>
      <c r="O473" s="42" t="str">
        <f aca="false">IF(N473="","",WORKDAY(N473,Settings!$S$4))</f>
        <v/>
      </c>
      <c r="P473" s="17"/>
      <c r="Q473" s="44" t="str">
        <f aca="true">IF(C473="","",IF(P473="Backed out",IF(S473="Paid","Refunded – closed",IF(R473="","Refund – log reason first","Refund in progress")),IF(K473="","Awaiting payment",IF(N473="",IF(M473="","Schedule free video","Free video in production"),IF(P473="Approved","Active",IF(TODAY()&gt;O473,"Active – plan went ahead","Decision pending – "&amp;NETWORKDAYS(TODAY(),O473)&amp;" working day(s) left"))))))</f>
        <v/>
      </c>
      <c r="R473" s="17"/>
      <c r="S473" s="17"/>
      <c r="T473" s="48"/>
      <c r="U473" s="38"/>
      <c r="V473" s="38"/>
      <c r="W473" s="42" t="str">
        <f aca="false">IF(V473="","",EDATE(V473,Settings!$S$6))</f>
        <v/>
      </c>
      <c r="X473" s="17"/>
      <c r="Y473" s="17"/>
      <c r="Z473" s="17"/>
    </row>
    <row r="474" customFormat="false" ht="15" hidden="false" customHeight="false" outlineLevel="0" collapsed="false">
      <c r="A474" s="17"/>
      <c r="B474" s="17"/>
      <c r="C474" s="17"/>
      <c r="D474" s="17"/>
      <c r="E474" s="40"/>
      <c r="F474" s="17"/>
      <c r="G474" s="17"/>
      <c r="H474" s="17"/>
      <c r="I474" s="47" t="str">
        <f aca="false">IF(H474="","",IFERROR(INDEX(Settings!$G$2:$G$4,MATCH(H474,Settings!$F$2:$F$4,0)),""))</f>
        <v/>
      </c>
      <c r="J474" s="38"/>
      <c r="K474" s="48"/>
      <c r="L474" s="17"/>
      <c r="M474" s="38"/>
      <c r="N474" s="38"/>
      <c r="O474" s="42" t="str">
        <f aca="false">IF(N474="","",WORKDAY(N474,Settings!$S$4))</f>
        <v/>
      </c>
      <c r="P474" s="17"/>
      <c r="Q474" s="44" t="str">
        <f aca="true">IF(C474="","",IF(P474="Backed out",IF(S474="Paid","Refunded – closed",IF(R474="","Refund – log reason first","Refund in progress")),IF(K474="","Awaiting payment",IF(N474="",IF(M474="","Schedule free video","Free video in production"),IF(P474="Approved","Active",IF(TODAY()&gt;O474,"Active – plan went ahead","Decision pending – "&amp;NETWORKDAYS(TODAY(),O474)&amp;" working day(s) left"))))))</f>
        <v/>
      </c>
      <c r="R474" s="17"/>
      <c r="S474" s="17"/>
      <c r="T474" s="48"/>
      <c r="U474" s="38"/>
      <c r="V474" s="38"/>
      <c r="W474" s="42" t="str">
        <f aca="false">IF(V474="","",EDATE(V474,Settings!$S$6))</f>
        <v/>
      </c>
      <c r="X474" s="17"/>
      <c r="Y474" s="17"/>
      <c r="Z474" s="17"/>
    </row>
    <row r="475" customFormat="false" ht="15" hidden="false" customHeight="false" outlineLevel="0" collapsed="false">
      <c r="A475" s="17"/>
      <c r="B475" s="17"/>
      <c r="C475" s="17"/>
      <c r="D475" s="17"/>
      <c r="E475" s="40"/>
      <c r="F475" s="17"/>
      <c r="G475" s="17"/>
      <c r="H475" s="17"/>
      <c r="I475" s="47" t="str">
        <f aca="false">IF(H475="","",IFERROR(INDEX(Settings!$G$2:$G$4,MATCH(H475,Settings!$F$2:$F$4,0)),""))</f>
        <v/>
      </c>
      <c r="J475" s="38"/>
      <c r="K475" s="48"/>
      <c r="L475" s="17"/>
      <c r="M475" s="38"/>
      <c r="N475" s="38"/>
      <c r="O475" s="42" t="str">
        <f aca="false">IF(N475="","",WORKDAY(N475,Settings!$S$4))</f>
        <v/>
      </c>
      <c r="P475" s="17"/>
      <c r="Q475" s="44" t="str">
        <f aca="true">IF(C475="","",IF(P475="Backed out",IF(S475="Paid","Refunded – closed",IF(R475="","Refund – log reason first","Refund in progress")),IF(K475="","Awaiting payment",IF(N475="",IF(M475="","Schedule free video","Free video in production"),IF(P475="Approved","Active",IF(TODAY()&gt;O475,"Active – plan went ahead","Decision pending – "&amp;NETWORKDAYS(TODAY(),O475)&amp;" working day(s) left"))))))</f>
        <v/>
      </c>
      <c r="R475" s="17"/>
      <c r="S475" s="17"/>
      <c r="T475" s="48"/>
      <c r="U475" s="38"/>
      <c r="V475" s="38"/>
      <c r="W475" s="42" t="str">
        <f aca="false">IF(V475="","",EDATE(V475,Settings!$S$6))</f>
        <v/>
      </c>
      <c r="X475" s="17"/>
      <c r="Y475" s="17"/>
      <c r="Z475" s="17"/>
    </row>
    <row r="476" customFormat="false" ht="15" hidden="false" customHeight="false" outlineLevel="0" collapsed="false">
      <c r="A476" s="17"/>
      <c r="B476" s="17"/>
      <c r="C476" s="17"/>
      <c r="D476" s="17"/>
      <c r="E476" s="40"/>
      <c r="F476" s="17"/>
      <c r="G476" s="17"/>
      <c r="H476" s="17"/>
      <c r="I476" s="47" t="str">
        <f aca="false">IF(H476="","",IFERROR(INDEX(Settings!$G$2:$G$4,MATCH(H476,Settings!$F$2:$F$4,0)),""))</f>
        <v/>
      </c>
      <c r="J476" s="38"/>
      <c r="K476" s="48"/>
      <c r="L476" s="17"/>
      <c r="M476" s="38"/>
      <c r="N476" s="38"/>
      <c r="O476" s="42" t="str">
        <f aca="false">IF(N476="","",WORKDAY(N476,Settings!$S$4))</f>
        <v/>
      </c>
      <c r="P476" s="17"/>
      <c r="Q476" s="44" t="str">
        <f aca="true">IF(C476="","",IF(P476="Backed out",IF(S476="Paid","Refunded – closed",IF(R476="","Refund – log reason first","Refund in progress")),IF(K476="","Awaiting payment",IF(N476="",IF(M476="","Schedule free video","Free video in production"),IF(P476="Approved","Active",IF(TODAY()&gt;O476,"Active – plan went ahead","Decision pending – "&amp;NETWORKDAYS(TODAY(),O476)&amp;" working day(s) left"))))))</f>
        <v/>
      </c>
      <c r="R476" s="17"/>
      <c r="S476" s="17"/>
      <c r="T476" s="48"/>
      <c r="U476" s="38"/>
      <c r="V476" s="38"/>
      <c r="W476" s="42" t="str">
        <f aca="false">IF(V476="","",EDATE(V476,Settings!$S$6))</f>
        <v/>
      </c>
      <c r="X476" s="17"/>
      <c r="Y476" s="17"/>
      <c r="Z476" s="17"/>
    </row>
    <row r="477" customFormat="false" ht="15" hidden="false" customHeight="false" outlineLevel="0" collapsed="false">
      <c r="A477" s="17"/>
      <c r="B477" s="17"/>
      <c r="C477" s="17"/>
      <c r="D477" s="17"/>
      <c r="E477" s="40"/>
      <c r="F477" s="17"/>
      <c r="G477" s="17"/>
      <c r="H477" s="17"/>
      <c r="I477" s="47" t="str">
        <f aca="false">IF(H477="","",IFERROR(INDEX(Settings!$G$2:$G$4,MATCH(H477,Settings!$F$2:$F$4,0)),""))</f>
        <v/>
      </c>
      <c r="J477" s="38"/>
      <c r="K477" s="48"/>
      <c r="L477" s="17"/>
      <c r="M477" s="38"/>
      <c r="N477" s="38"/>
      <c r="O477" s="42" t="str">
        <f aca="false">IF(N477="","",WORKDAY(N477,Settings!$S$4))</f>
        <v/>
      </c>
      <c r="P477" s="17"/>
      <c r="Q477" s="44" t="str">
        <f aca="true">IF(C477="","",IF(P477="Backed out",IF(S477="Paid","Refunded – closed",IF(R477="","Refund – log reason first","Refund in progress")),IF(K477="","Awaiting payment",IF(N477="",IF(M477="","Schedule free video","Free video in production"),IF(P477="Approved","Active",IF(TODAY()&gt;O477,"Active – plan went ahead","Decision pending – "&amp;NETWORKDAYS(TODAY(),O477)&amp;" working day(s) left"))))))</f>
        <v/>
      </c>
      <c r="R477" s="17"/>
      <c r="S477" s="17"/>
      <c r="T477" s="48"/>
      <c r="U477" s="38"/>
      <c r="V477" s="38"/>
      <c r="W477" s="42" t="str">
        <f aca="false">IF(V477="","",EDATE(V477,Settings!$S$6))</f>
        <v/>
      </c>
      <c r="X477" s="17"/>
      <c r="Y477" s="17"/>
      <c r="Z477" s="17"/>
    </row>
    <row r="478" customFormat="false" ht="15" hidden="false" customHeight="false" outlineLevel="0" collapsed="false">
      <c r="A478" s="17"/>
      <c r="B478" s="17"/>
      <c r="C478" s="17"/>
      <c r="D478" s="17"/>
      <c r="E478" s="40"/>
      <c r="F478" s="17"/>
      <c r="G478" s="17"/>
      <c r="H478" s="17"/>
      <c r="I478" s="47" t="str">
        <f aca="false">IF(H478="","",IFERROR(INDEX(Settings!$G$2:$G$4,MATCH(H478,Settings!$F$2:$F$4,0)),""))</f>
        <v/>
      </c>
      <c r="J478" s="38"/>
      <c r="K478" s="48"/>
      <c r="L478" s="17"/>
      <c r="M478" s="38"/>
      <c r="N478" s="38"/>
      <c r="O478" s="42" t="str">
        <f aca="false">IF(N478="","",WORKDAY(N478,Settings!$S$4))</f>
        <v/>
      </c>
      <c r="P478" s="17"/>
      <c r="Q478" s="44" t="str">
        <f aca="true">IF(C478="","",IF(P478="Backed out",IF(S478="Paid","Refunded – closed",IF(R478="","Refund – log reason first","Refund in progress")),IF(K478="","Awaiting payment",IF(N478="",IF(M478="","Schedule free video","Free video in production"),IF(P478="Approved","Active",IF(TODAY()&gt;O478,"Active – plan went ahead","Decision pending – "&amp;NETWORKDAYS(TODAY(),O478)&amp;" working day(s) left"))))))</f>
        <v/>
      </c>
      <c r="R478" s="17"/>
      <c r="S478" s="17"/>
      <c r="T478" s="48"/>
      <c r="U478" s="38"/>
      <c r="V478" s="38"/>
      <c r="W478" s="42" t="str">
        <f aca="false">IF(V478="","",EDATE(V478,Settings!$S$6))</f>
        <v/>
      </c>
      <c r="X478" s="17"/>
      <c r="Y478" s="17"/>
      <c r="Z478" s="17"/>
    </row>
    <row r="479" customFormat="false" ht="15" hidden="false" customHeight="false" outlineLevel="0" collapsed="false">
      <c r="A479" s="17"/>
      <c r="B479" s="17"/>
      <c r="C479" s="17"/>
      <c r="D479" s="17"/>
      <c r="E479" s="40"/>
      <c r="F479" s="17"/>
      <c r="G479" s="17"/>
      <c r="H479" s="17"/>
      <c r="I479" s="47" t="str">
        <f aca="false">IF(H479="","",IFERROR(INDEX(Settings!$G$2:$G$4,MATCH(H479,Settings!$F$2:$F$4,0)),""))</f>
        <v/>
      </c>
      <c r="J479" s="38"/>
      <c r="K479" s="48"/>
      <c r="L479" s="17"/>
      <c r="M479" s="38"/>
      <c r="N479" s="38"/>
      <c r="O479" s="42" t="str">
        <f aca="false">IF(N479="","",WORKDAY(N479,Settings!$S$4))</f>
        <v/>
      </c>
      <c r="P479" s="17"/>
      <c r="Q479" s="44" t="str">
        <f aca="true">IF(C479="","",IF(P479="Backed out",IF(S479="Paid","Refunded – closed",IF(R479="","Refund – log reason first","Refund in progress")),IF(K479="","Awaiting payment",IF(N479="",IF(M479="","Schedule free video","Free video in production"),IF(P479="Approved","Active",IF(TODAY()&gt;O479,"Active – plan went ahead","Decision pending – "&amp;NETWORKDAYS(TODAY(),O479)&amp;" working day(s) left"))))))</f>
        <v/>
      </c>
      <c r="R479" s="17"/>
      <c r="S479" s="17"/>
      <c r="T479" s="48"/>
      <c r="U479" s="38"/>
      <c r="V479" s="38"/>
      <c r="W479" s="42" t="str">
        <f aca="false">IF(V479="","",EDATE(V479,Settings!$S$6))</f>
        <v/>
      </c>
      <c r="X479" s="17"/>
      <c r="Y479" s="17"/>
      <c r="Z479" s="17"/>
    </row>
    <row r="480" customFormat="false" ht="15" hidden="false" customHeight="false" outlineLevel="0" collapsed="false">
      <c r="A480" s="17"/>
      <c r="B480" s="17"/>
      <c r="C480" s="17"/>
      <c r="D480" s="17"/>
      <c r="E480" s="40"/>
      <c r="F480" s="17"/>
      <c r="G480" s="17"/>
      <c r="H480" s="17"/>
      <c r="I480" s="47" t="str">
        <f aca="false">IF(H480="","",IFERROR(INDEX(Settings!$G$2:$G$4,MATCH(H480,Settings!$F$2:$F$4,0)),""))</f>
        <v/>
      </c>
      <c r="J480" s="38"/>
      <c r="K480" s="48"/>
      <c r="L480" s="17"/>
      <c r="M480" s="38"/>
      <c r="N480" s="38"/>
      <c r="O480" s="42" t="str">
        <f aca="false">IF(N480="","",WORKDAY(N480,Settings!$S$4))</f>
        <v/>
      </c>
      <c r="P480" s="17"/>
      <c r="Q480" s="44" t="str">
        <f aca="true">IF(C480="","",IF(P480="Backed out",IF(S480="Paid","Refunded – closed",IF(R480="","Refund – log reason first","Refund in progress")),IF(K480="","Awaiting payment",IF(N480="",IF(M480="","Schedule free video","Free video in production"),IF(P480="Approved","Active",IF(TODAY()&gt;O480,"Active – plan went ahead","Decision pending – "&amp;NETWORKDAYS(TODAY(),O480)&amp;" working day(s) left"))))))</f>
        <v/>
      </c>
      <c r="R480" s="17"/>
      <c r="S480" s="17"/>
      <c r="T480" s="48"/>
      <c r="U480" s="38"/>
      <c r="V480" s="38"/>
      <c r="W480" s="42" t="str">
        <f aca="false">IF(V480="","",EDATE(V480,Settings!$S$6))</f>
        <v/>
      </c>
      <c r="X480" s="17"/>
      <c r="Y480" s="17"/>
      <c r="Z480" s="17"/>
    </row>
    <row r="481" customFormat="false" ht="15" hidden="false" customHeight="false" outlineLevel="0" collapsed="false">
      <c r="A481" s="17"/>
      <c r="B481" s="17"/>
      <c r="C481" s="17"/>
      <c r="D481" s="17"/>
      <c r="E481" s="40"/>
      <c r="F481" s="17"/>
      <c r="G481" s="17"/>
      <c r="H481" s="17"/>
      <c r="I481" s="47" t="str">
        <f aca="false">IF(H481="","",IFERROR(INDEX(Settings!$G$2:$G$4,MATCH(H481,Settings!$F$2:$F$4,0)),""))</f>
        <v/>
      </c>
      <c r="J481" s="38"/>
      <c r="K481" s="48"/>
      <c r="L481" s="17"/>
      <c r="M481" s="38"/>
      <c r="N481" s="38"/>
      <c r="O481" s="42" t="str">
        <f aca="false">IF(N481="","",WORKDAY(N481,Settings!$S$4))</f>
        <v/>
      </c>
      <c r="P481" s="17"/>
      <c r="Q481" s="44" t="str">
        <f aca="true">IF(C481="","",IF(P481="Backed out",IF(S481="Paid","Refunded – closed",IF(R481="","Refund – log reason first","Refund in progress")),IF(K481="","Awaiting payment",IF(N481="",IF(M481="","Schedule free video","Free video in production"),IF(P481="Approved","Active",IF(TODAY()&gt;O481,"Active – plan went ahead","Decision pending – "&amp;NETWORKDAYS(TODAY(),O481)&amp;" working day(s) left"))))))</f>
        <v/>
      </c>
      <c r="R481" s="17"/>
      <c r="S481" s="17"/>
      <c r="T481" s="48"/>
      <c r="U481" s="38"/>
      <c r="V481" s="38"/>
      <c r="W481" s="42" t="str">
        <f aca="false">IF(V481="","",EDATE(V481,Settings!$S$6))</f>
        <v/>
      </c>
      <c r="X481" s="17"/>
      <c r="Y481" s="17"/>
      <c r="Z481" s="17"/>
    </row>
    <row r="482" customFormat="false" ht="15" hidden="false" customHeight="false" outlineLevel="0" collapsed="false">
      <c r="A482" s="17"/>
      <c r="B482" s="17"/>
      <c r="C482" s="17"/>
      <c r="D482" s="17"/>
      <c r="E482" s="40"/>
      <c r="F482" s="17"/>
      <c r="G482" s="17"/>
      <c r="H482" s="17"/>
      <c r="I482" s="47" t="str">
        <f aca="false">IF(H482="","",IFERROR(INDEX(Settings!$G$2:$G$4,MATCH(H482,Settings!$F$2:$F$4,0)),""))</f>
        <v/>
      </c>
      <c r="J482" s="38"/>
      <c r="K482" s="48"/>
      <c r="L482" s="17"/>
      <c r="M482" s="38"/>
      <c r="N482" s="38"/>
      <c r="O482" s="42" t="str">
        <f aca="false">IF(N482="","",WORKDAY(N482,Settings!$S$4))</f>
        <v/>
      </c>
      <c r="P482" s="17"/>
      <c r="Q482" s="44" t="str">
        <f aca="true">IF(C482="","",IF(P482="Backed out",IF(S482="Paid","Refunded – closed",IF(R482="","Refund – log reason first","Refund in progress")),IF(K482="","Awaiting payment",IF(N482="",IF(M482="","Schedule free video","Free video in production"),IF(P482="Approved","Active",IF(TODAY()&gt;O482,"Active – plan went ahead","Decision pending – "&amp;NETWORKDAYS(TODAY(),O482)&amp;" working day(s) left"))))))</f>
        <v/>
      </c>
      <c r="R482" s="17"/>
      <c r="S482" s="17"/>
      <c r="T482" s="48"/>
      <c r="U482" s="38"/>
      <c r="V482" s="38"/>
      <c r="W482" s="42" t="str">
        <f aca="false">IF(V482="","",EDATE(V482,Settings!$S$6))</f>
        <v/>
      </c>
      <c r="X482" s="17"/>
      <c r="Y482" s="17"/>
      <c r="Z482" s="17"/>
    </row>
    <row r="483" customFormat="false" ht="15" hidden="false" customHeight="false" outlineLevel="0" collapsed="false">
      <c r="A483" s="17"/>
      <c r="B483" s="17"/>
      <c r="C483" s="17"/>
      <c r="D483" s="17"/>
      <c r="E483" s="40"/>
      <c r="F483" s="17"/>
      <c r="G483" s="17"/>
      <c r="H483" s="17"/>
      <c r="I483" s="47" t="str">
        <f aca="false">IF(H483="","",IFERROR(INDEX(Settings!$G$2:$G$4,MATCH(H483,Settings!$F$2:$F$4,0)),""))</f>
        <v/>
      </c>
      <c r="J483" s="38"/>
      <c r="K483" s="48"/>
      <c r="L483" s="17"/>
      <c r="M483" s="38"/>
      <c r="N483" s="38"/>
      <c r="O483" s="42" t="str">
        <f aca="false">IF(N483="","",WORKDAY(N483,Settings!$S$4))</f>
        <v/>
      </c>
      <c r="P483" s="17"/>
      <c r="Q483" s="44" t="str">
        <f aca="true">IF(C483="","",IF(P483="Backed out",IF(S483="Paid","Refunded – closed",IF(R483="","Refund – log reason first","Refund in progress")),IF(K483="","Awaiting payment",IF(N483="",IF(M483="","Schedule free video","Free video in production"),IF(P483="Approved","Active",IF(TODAY()&gt;O483,"Active – plan went ahead","Decision pending – "&amp;NETWORKDAYS(TODAY(),O483)&amp;" working day(s) left"))))))</f>
        <v/>
      </c>
      <c r="R483" s="17"/>
      <c r="S483" s="17"/>
      <c r="T483" s="48"/>
      <c r="U483" s="38"/>
      <c r="V483" s="38"/>
      <c r="W483" s="42" t="str">
        <f aca="false">IF(V483="","",EDATE(V483,Settings!$S$6))</f>
        <v/>
      </c>
      <c r="X483" s="17"/>
      <c r="Y483" s="17"/>
      <c r="Z483" s="17"/>
    </row>
    <row r="484" customFormat="false" ht="15" hidden="false" customHeight="false" outlineLevel="0" collapsed="false">
      <c r="A484" s="17"/>
      <c r="B484" s="17"/>
      <c r="C484" s="17"/>
      <c r="D484" s="17"/>
      <c r="E484" s="40"/>
      <c r="F484" s="17"/>
      <c r="G484" s="17"/>
      <c r="H484" s="17"/>
      <c r="I484" s="47" t="str">
        <f aca="false">IF(H484="","",IFERROR(INDEX(Settings!$G$2:$G$4,MATCH(H484,Settings!$F$2:$F$4,0)),""))</f>
        <v/>
      </c>
      <c r="J484" s="38"/>
      <c r="K484" s="48"/>
      <c r="L484" s="17"/>
      <c r="M484" s="38"/>
      <c r="N484" s="38"/>
      <c r="O484" s="42" t="str">
        <f aca="false">IF(N484="","",WORKDAY(N484,Settings!$S$4))</f>
        <v/>
      </c>
      <c r="P484" s="17"/>
      <c r="Q484" s="44" t="str">
        <f aca="true">IF(C484="","",IF(P484="Backed out",IF(S484="Paid","Refunded – closed",IF(R484="","Refund – log reason first","Refund in progress")),IF(K484="","Awaiting payment",IF(N484="",IF(M484="","Schedule free video","Free video in production"),IF(P484="Approved","Active",IF(TODAY()&gt;O484,"Active – plan went ahead","Decision pending – "&amp;NETWORKDAYS(TODAY(),O484)&amp;" working day(s) left"))))))</f>
        <v/>
      </c>
      <c r="R484" s="17"/>
      <c r="S484" s="17"/>
      <c r="T484" s="48"/>
      <c r="U484" s="38"/>
      <c r="V484" s="38"/>
      <c r="W484" s="42" t="str">
        <f aca="false">IF(V484="","",EDATE(V484,Settings!$S$6))</f>
        <v/>
      </c>
      <c r="X484" s="17"/>
      <c r="Y484" s="17"/>
      <c r="Z484" s="17"/>
    </row>
    <row r="485" customFormat="false" ht="15" hidden="false" customHeight="false" outlineLevel="0" collapsed="false">
      <c r="A485" s="17"/>
      <c r="B485" s="17"/>
      <c r="C485" s="17"/>
      <c r="D485" s="17"/>
      <c r="E485" s="40"/>
      <c r="F485" s="17"/>
      <c r="G485" s="17"/>
      <c r="H485" s="17"/>
      <c r="I485" s="47" t="str">
        <f aca="false">IF(H485="","",IFERROR(INDEX(Settings!$G$2:$G$4,MATCH(H485,Settings!$F$2:$F$4,0)),""))</f>
        <v/>
      </c>
      <c r="J485" s="38"/>
      <c r="K485" s="48"/>
      <c r="L485" s="17"/>
      <c r="M485" s="38"/>
      <c r="N485" s="38"/>
      <c r="O485" s="42" t="str">
        <f aca="false">IF(N485="","",WORKDAY(N485,Settings!$S$4))</f>
        <v/>
      </c>
      <c r="P485" s="17"/>
      <c r="Q485" s="44" t="str">
        <f aca="true">IF(C485="","",IF(P485="Backed out",IF(S485="Paid","Refunded – closed",IF(R485="","Refund – log reason first","Refund in progress")),IF(K485="","Awaiting payment",IF(N485="",IF(M485="","Schedule free video","Free video in production"),IF(P485="Approved","Active",IF(TODAY()&gt;O485,"Active – plan went ahead","Decision pending – "&amp;NETWORKDAYS(TODAY(),O485)&amp;" working day(s) left"))))))</f>
        <v/>
      </c>
      <c r="R485" s="17"/>
      <c r="S485" s="17"/>
      <c r="T485" s="48"/>
      <c r="U485" s="38"/>
      <c r="V485" s="38"/>
      <c r="W485" s="42" t="str">
        <f aca="false">IF(V485="","",EDATE(V485,Settings!$S$6))</f>
        <v/>
      </c>
      <c r="X485" s="17"/>
      <c r="Y485" s="17"/>
      <c r="Z485" s="17"/>
    </row>
    <row r="486" customFormat="false" ht="15" hidden="false" customHeight="false" outlineLevel="0" collapsed="false">
      <c r="A486" s="17"/>
      <c r="B486" s="17"/>
      <c r="C486" s="17"/>
      <c r="D486" s="17"/>
      <c r="E486" s="40"/>
      <c r="F486" s="17"/>
      <c r="G486" s="17"/>
      <c r="H486" s="17"/>
      <c r="I486" s="47" t="str">
        <f aca="false">IF(H486="","",IFERROR(INDEX(Settings!$G$2:$G$4,MATCH(H486,Settings!$F$2:$F$4,0)),""))</f>
        <v/>
      </c>
      <c r="J486" s="38"/>
      <c r="K486" s="48"/>
      <c r="L486" s="17"/>
      <c r="M486" s="38"/>
      <c r="N486" s="38"/>
      <c r="O486" s="42" t="str">
        <f aca="false">IF(N486="","",WORKDAY(N486,Settings!$S$4))</f>
        <v/>
      </c>
      <c r="P486" s="17"/>
      <c r="Q486" s="44" t="str">
        <f aca="true">IF(C486="","",IF(P486="Backed out",IF(S486="Paid","Refunded – closed",IF(R486="","Refund – log reason first","Refund in progress")),IF(K486="","Awaiting payment",IF(N486="",IF(M486="","Schedule free video","Free video in production"),IF(P486="Approved","Active",IF(TODAY()&gt;O486,"Active – plan went ahead","Decision pending – "&amp;NETWORKDAYS(TODAY(),O486)&amp;" working day(s) left"))))))</f>
        <v/>
      </c>
      <c r="R486" s="17"/>
      <c r="S486" s="17"/>
      <c r="T486" s="48"/>
      <c r="U486" s="38"/>
      <c r="V486" s="38"/>
      <c r="W486" s="42" t="str">
        <f aca="false">IF(V486="","",EDATE(V486,Settings!$S$6))</f>
        <v/>
      </c>
      <c r="X486" s="17"/>
      <c r="Y486" s="17"/>
      <c r="Z486" s="17"/>
    </row>
    <row r="487" customFormat="false" ht="15" hidden="false" customHeight="false" outlineLevel="0" collapsed="false">
      <c r="A487" s="17"/>
      <c r="B487" s="17"/>
      <c r="C487" s="17"/>
      <c r="D487" s="17"/>
      <c r="E487" s="40"/>
      <c r="F487" s="17"/>
      <c r="G487" s="17"/>
      <c r="H487" s="17"/>
      <c r="I487" s="47" t="str">
        <f aca="false">IF(H487="","",IFERROR(INDEX(Settings!$G$2:$G$4,MATCH(H487,Settings!$F$2:$F$4,0)),""))</f>
        <v/>
      </c>
      <c r="J487" s="38"/>
      <c r="K487" s="48"/>
      <c r="L487" s="17"/>
      <c r="M487" s="38"/>
      <c r="N487" s="38"/>
      <c r="O487" s="42" t="str">
        <f aca="false">IF(N487="","",WORKDAY(N487,Settings!$S$4))</f>
        <v/>
      </c>
      <c r="P487" s="17"/>
      <c r="Q487" s="44" t="str">
        <f aca="true">IF(C487="","",IF(P487="Backed out",IF(S487="Paid","Refunded – closed",IF(R487="","Refund – log reason first","Refund in progress")),IF(K487="","Awaiting payment",IF(N487="",IF(M487="","Schedule free video","Free video in production"),IF(P487="Approved","Active",IF(TODAY()&gt;O487,"Active – plan went ahead","Decision pending – "&amp;NETWORKDAYS(TODAY(),O487)&amp;" working day(s) left"))))))</f>
        <v/>
      </c>
      <c r="R487" s="17"/>
      <c r="S487" s="17"/>
      <c r="T487" s="48"/>
      <c r="U487" s="38"/>
      <c r="V487" s="38"/>
      <c r="W487" s="42" t="str">
        <f aca="false">IF(V487="","",EDATE(V487,Settings!$S$6))</f>
        <v/>
      </c>
      <c r="X487" s="17"/>
      <c r="Y487" s="17"/>
      <c r="Z487" s="17"/>
    </row>
    <row r="488" customFormat="false" ht="15" hidden="false" customHeight="false" outlineLevel="0" collapsed="false">
      <c r="A488" s="17"/>
      <c r="B488" s="17"/>
      <c r="C488" s="17"/>
      <c r="D488" s="17"/>
      <c r="E488" s="40"/>
      <c r="F488" s="17"/>
      <c r="G488" s="17"/>
      <c r="H488" s="17"/>
      <c r="I488" s="47" t="str">
        <f aca="false">IF(H488="","",IFERROR(INDEX(Settings!$G$2:$G$4,MATCH(H488,Settings!$F$2:$F$4,0)),""))</f>
        <v/>
      </c>
      <c r="J488" s="38"/>
      <c r="K488" s="48"/>
      <c r="L488" s="17"/>
      <c r="M488" s="38"/>
      <c r="N488" s="38"/>
      <c r="O488" s="42" t="str">
        <f aca="false">IF(N488="","",WORKDAY(N488,Settings!$S$4))</f>
        <v/>
      </c>
      <c r="P488" s="17"/>
      <c r="Q488" s="44" t="str">
        <f aca="true">IF(C488="","",IF(P488="Backed out",IF(S488="Paid","Refunded – closed",IF(R488="","Refund – log reason first","Refund in progress")),IF(K488="","Awaiting payment",IF(N488="",IF(M488="","Schedule free video","Free video in production"),IF(P488="Approved","Active",IF(TODAY()&gt;O488,"Active – plan went ahead","Decision pending – "&amp;NETWORKDAYS(TODAY(),O488)&amp;" working day(s) left"))))))</f>
        <v/>
      </c>
      <c r="R488" s="17"/>
      <c r="S488" s="17"/>
      <c r="T488" s="48"/>
      <c r="U488" s="38"/>
      <c r="V488" s="38"/>
      <c r="W488" s="42" t="str">
        <f aca="false">IF(V488="","",EDATE(V488,Settings!$S$6))</f>
        <v/>
      </c>
      <c r="X488" s="17"/>
      <c r="Y488" s="17"/>
      <c r="Z488" s="17"/>
    </row>
    <row r="489" customFormat="false" ht="15" hidden="false" customHeight="false" outlineLevel="0" collapsed="false">
      <c r="A489" s="17"/>
      <c r="B489" s="17"/>
      <c r="C489" s="17"/>
      <c r="D489" s="17"/>
      <c r="E489" s="40"/>
      <c r="F489" s="17"/>
      <c r="G489" s="17"/>
      <c r="H489" s="17"/>
      <c r="I489" s="47" t="str">
        <f aca="false">IF(H489="","",IFERROR(INDEX(Settings!$G$2:$G$4,MATCH(H489,Settings!$F$2:$F$4,0)),""))</f>
        <v/>
      </c>
      <c r="J489" s="38"/>
      <c r="K489" s="48"/>
      <c r="L489" s="17"/>
      <c r="M489" s="38"/>
      <c r="N489" s="38"/>
      <c r="O489" s="42" t="str">
        <f aca="false">IF(N489="","",WORKDAY(N489,Settings!$S$4))</f>
        <v/>
      </c>
      <c r="P489" s="17"/>
      <c r="Q489" s="44" t="str">
        <f aca="true">IF(C489="","",IF(P489="Backed out",IF(S489="Paid","Refunded – closed",IF(R489="","Refund – log reason first","Refund in progress")),IF(K489="","Awaiting payment",IF(N489="",IF(M489="","Schedule free video","Free video in production"),IF(P489="Approved","Active",IF(TODAY()&gt;O489,"Active – plan went ahead","Decision pending – "&amp;NETWORKDAYS(TODAY(),O489)&amp;" working day(s) left"))))))</f>
        <v/>
      </c>
      <c r="R489" s="17"/>
      <c r="S489" s="17"/>
      <c r="T489" s="48"/>
      <c r="U489" s="38"/>
      <c r="V489" s="38"/>
      <c r="W489" s="42" t="str">
        <f aca="false">IF(V489="","",EDATE(V489,Settings!$S$6))</f>
        <v/>
      </c>
      <c r="X489" s="17"/>
      <c r="Y489" s="17"/>
      <c r="Z489" s="17"/>
    </row>
    <row r="490" customFormat="false" ht="15" hidden="false" customHeight="false" outlineLevel="0" collapsed="false">
      <c r="A490" s="17"/>
      <c r="B490" s="17"/>
      <c r="C490" s="17"/>
      <c r="D490" s="17"/>
      <c r="E490" s="40"/>
      <c r="F490" s="17"/>
      <c r="G490" s="17"/>
      <c r="H490" s="17"/>
      <c r="I490" s="47" t="str">
        <f aca="false">IF(H490="","",IFERROR(INDEX(Settings!$G$2:$G$4,MATCH(H490,Settings!$F$2:$F$4,0)),""))</f>
        <v/>
      </c>
      <c r="J490" s="38"/>
      <c r="K490" s="48"/>
      <c r="L490" s="17"/>
      <c r="M490" s="38"/>
      <c r="N490" s="38"/>
      <c r="O490" s="42" t="str">
        <f aca="false">IF(N490="","",WORKDAY(N490,Settings!$S$4))</f>
        <v/>
      </c>
      <c r="P490" s="17"/>
      <c r="Q490" s="44" t="str">
        <f aca="true">IF(C490="","",IF(P490="Backed out",IF(S490="Paid","Refunded – closed",IF(R490="","Refund – log reason first","Refund in progress")),IF(K490="","Awaiting payment",IF(N490="",IF(M490="","Schedule free video","Free video in production"),IF(P490="Approved","Active",IF(TODAY()&gt;O490,"Active – plan went ahead","Decision pending – "&amp;NETWORKDAYS(TODAY(),O490)&amp;" working day(s) left"))))))</f>
        <v/>
      </c>
      <c r="R490" s="17"/>
      <c r="S490" s="17"/>
      <c r="T490" s="48"/>
      <c r="U490" s="38"/>
      <c r="V490" s="38"/>
      <c r="W490" s="42" t="str">
        <f aca="false">IF(V490="","",EDATE(V490,Settings!$S$6))</f>
        <v/>
      </c>
      <c r="X490" s="17"/>
      <c r="Y490" s="17"/>
      <c r="Z490" s="17"/>
    </row>
    <row r="491" customFormat="false" ht="15" hidden="false" customHeight="false" outlineLevel="0" collapsed="false">
      <c r="A491" s="17"/>
      <c r="B491" s="17"/>
      <c r="C491" s="17"/>
      <c r="D491" s="17"/>
      <c r="E491" s="40"/>
      <c r="F491" s="17"/>
      <c r="G491" s="17"/>
      <c r="H491" s="17"/>
      <c r="I491" s="47" t="str">
        <f aca="false">IF(H491="","",IFERROR(INDEX(Settings!$G$2:$G$4,MATCH(H491,Settings!$F$2:$F$4,0)),""))</f>
        <v/>
      </c>
      <c r="J491" s="38"/>
      <c r="K491" s="48"/>
      <c r="L491" s="17"/>
      <c r="M491" s="38"/>
      <c r="N491" s="38"/>
      <c r="O491" s="42" t="str">
        <f aca="false">IF(N491="","",WORKDAY(N491,Settings!$S$4))</f>
        <v/>
      </c>
      <c r="P491" s="17"/>
      <c r="Q491" s="44" t="str">
        <f aca="true">IF(C491="","",IF(P491="Backed out",IF(S491="Paid","Refunded – closed",IF(R491="","Refund – log reason first","Refund in progress")),IF(K491="","Awaiting payment",IF(N491="",IF(M491="","Schedule free video","Free video in production"),IF(P491="Approved","Active",IF(TODAY()&gt;O491,"Active – plan went ahead","Decision pending – "&amp;NETWORKDAYS(TODAY(),O491)&amp;" working day(s) left"))))))</f>
        <v/>
      </c>
      <c r="R491" s="17"/>
      <c r="S491" s="17"/>
      <c r="T491" s="48"/>
      <c r="U491" s="38"/>
      <c r="V491" s="38"/>
      <c r="W491" s="42" t="str">
        <f aca="false">IF(V491="","",EDATE(V491,Settings!$S$6))</f>
        <v/>
      </c>
      <c r="X491" s="17"/>
      <c r="Y491" s="17"/>
      <c r="Z491" s="17"/>
    </row>
    <row r="492" customFormat="false" ht="15" hidden="false" customHeight="false" outlineLevel="0" collapsed="false">
      <c r="A492" s="17"/>
      <c r="B492" s="17"/>
      <c r="C492" s="17"/>
      <c r="D492" s="17"/>
      <c r="E492" s="40"/>
      <c r="F492" s="17"/>
      <c r="G492" s="17"/>
      <c r="H492" s="17"/>
      <c r="I492" s="47" t="str">
        <f aca="false">IF(H492="","",IFERROR(INDEX(Settings!$G$2:$G$4,MATCH(H492,Settings!$F$2:$F$4,0)),""))</f>
        <v/>
      </c>
      <c r="J492" s="38"/>
      <c r="K492" s="48"/>
      <c r="L492" s="17"/>
      <c r="M492" s="38"/>
      <c r="N492" s="38"/>
      <c r="O492" s="42" t="str">
        <f aca="false">IF(N492="","",WORKDAY(N492,Settings!$S$4))</f>
        <v/>
      </c>
      <c r="P492" s="17"/>
      <c r="Q492" s="44" t="str">
        <f aca="true">IF(C492="","",IF(P492="Backed out",IF(S492="Paid","Refunded – closed",IF(R492="","Refund – log reason first","Refund in progress")),IF(K492="","Awaiting payment",IF(N492="",IF(M492="","Schedule free video","Free video in production"),IF(P492="Approved","Active",IF(TODAY()&gt;O492,"Active – plan went ahead","Decision pending – "&amp;NETWORKDAYS(TODAY(),O492)&amp;" working day(s) left"))))))</f>
        <v/>
      </c>
      <c r="R492" s="17"/>
      <c r="S492" s="17"/>
      <c r="T492" s="48"/>
      <c r="U492" s="38"/>
      <c r="V492" s="38"/>
      <c r="W492" s="42" t="str">
        <f aca="false">IF(V492="","",EDATE(V492,Settings!$S$6))</f>
        <v/>
      </c>
      <c r="X492" s="17"/>
      <c r="Y492" s="17"/>
      <c r="Z492" s="17"/>
    </row>
    <row r="493" customFormat="false" ht="15" hidden="false" customHeight="false" outlineLevel="0" collapsed="false">
      <c r="A493" s="17"/>
      <c r="B493" s="17"/>
      <c r="C493" s="17"/>
      <c r="D493" s="17"/>
      <c r="E493" s="40"/>
      <c r="F493" s="17"/>
      <c r="G493" s="17"/>
      <c r="H493" s="17"/>
      <c r="I493" s="47" t="str">
        <f aca="false">IF(H493="","",IFERROR(INDEX(Settings!$G$2:$G$4,MATCH(H493,Settings!$F$2:$F$4,0)),""))</f>
        <v/>
      </c>
      <c r="J493" s="38"/>
      <c r="K493" s="48"/>
      <c r="L493" s="17"/>
      <c r="M493" s="38"/>
      <c r="N493" s="38"/>
      <c r="O493" s="42" t="str">
        <f aca="false">IF(N493="","",WORKDAY(N493,Settings!$S$4))</f>
        <v/>
      </c>
      <c r="P493" s="17"/>
      <c r="Q493" s="44" t="str">
        <f aca="true">IF(C493="","",IF(P493="Backed out",IF(S493="Paid","Refunded – closed",IF(R493="","Refund – log reason first","Refund in progress")),IF(K493="","Awaiting payment",IF(N493="",IF(M493="","Schedule free video","Free video in production"),IF(P493="Approved","Active",IF(TODAY()&gt;O493,"Active – plan went ahead","Decision pending – "&amp;NETWORKDAYS(TODAY(),O493)&amp;" working day(s) left"))))))</f>
        <v/>
      </c>
      <c r="R493" s="17"/>
      <c r="S493" s="17"/>
      <c r="T493" s="48"/>
      <c r="U493" s="38"/>
      <c r="V493" s="38"/>
      <c r="W493" s="42" t="str">
        <f aca="false">IF(V493="","",EDATE(V493,Settings!$S$6))</f>
        <v/>
      </c>
      <c r="X493" s="17"/>
      <c r="Y493" s="17"/>
      <c r="Z493" s="17"/>
    </row>
    <row r="494" customFormat="false" ht="15" hidden="false" customHeight="false" outlineLevel="0" collapsed="false">
      <c r="A494" s="17"/>
      <c r="B494" s="17"/>
      <c r="C494" s="17"/>
      <c r="D494" s="17"/>
      <c r="E494" s="40"/>
      <c r="F494" s="17"/>
      <c r="G494" s="17"/>
      <c r="H494" s="17"/>
      <c r="I494" s="47" t="str">
        <f aca="false">IF(H494="","",IFERROR(INDEX(Settings!$G$2:$G$4,MATCH(H494,Settings!$F$2:$F$4,0)),""))</f>
        <v/>
      </c>
      <c r="J494" s="38"/>
      <c r="K494" s="48"/>
      <c r="L494" s="17"/>
      <c r="M494" s="38"/>
      <c r="N494" s="38"/>
      <c r="O494" s="42" t="str">
        <f aca="false">IF(N494="","",WORKDAY(N494,Settings!$S$4))</f>
        <v/>
      </c>
      <c r="P494" s="17"/>
      <c r="Q494" s="44" t="str">
        <f aca="true">IF(C494="","",IF(P494="Backed out",IF(S494="Paid","Refunded – closed",IF(R494="","Refund – log reason first","Refund in progress")),IF(K494="","Awaiting payment",IF(N494="",IF(M494="","Schedule free video","Free video in production"),IF(P494="Approved","Active",IF(TODAY()&gt;O494,"Active – plan went ahead","Decision pending – "&amp;NETWORKDAYS(TODAY(),O494)&amp;" working day(s) left"))))))</f>
        <v/>
      </c>
      <c r="R494" s="17"/>
      <c r="S494" s="17"/>
      <c r="T494" s="48"/>
      <c r="U494" s="38"/>
      <c r="V494" s="38"/>
      <c r="W494" s="42" t="str">
        <f aca="false">IF(V494="","",EDATE(V494,Settings!$S$6))</f>
        <v/>
      </c>
      <c r="X494" s="17"/>
      <c r="Y494" s="17"/>
      <c r="Z494" s="17"/>
    </row>
    <row r="495" customFormat="false" ht="15" hidden="false" customHeight="false" outlineLevel="0" collapsed="false">
      <c r="A495" s="17"/>
      <c r="B495" s="17"/>
      <c r="C495" s="17"/>
      <c r="D495" s="17"/>
      <c r="E495" s="40"/>
      <c r="F495" s="17"/>
      <c r="G495" s="17"/>
      <c r="H495" s="17"/>
      <c r="I495" s="47" t="str">
        <f aca="false">IF(H495="","",IFERROR(INDEX(Settings!$G$2:$G$4,MATCH(H495,Settings!$F$2:$F$4,0)),""))</f>
        <v/>
      </c>
      <c r="J495" s="38"/>
      <c r="K495" s="48"/>
      <c r="L495" s="17"/>
      <c r="M495" s="38"/>
      <c r="N495" s="38"/>
      <c r="O495" s="42" t="str">
        <f aca="false">IF(N495="","",WORKDAY(N495,Settings!$S$4))</f>
        <v/>
      </c>
      <c r="P495" s="17"/>
      <c r="Q495" s="44" t="str">
        <f aca="true">IF(C495="","",IF(P495="Backed out",IF(S495="Paid","Refunded – closed",IF(R495="","Refund – log reason first","Refund in progress")),IF(K495="","Awaiting payment",IF(N495="",IF(M495="","Schedule free video","Free video in production"),IF(P495="Approved","Active",IF(TODAY()&gt;O495,"Active – plan went ahead","Decision pending – "&amp;NETWORKDAYS(TODAY(),O495)&amp;" working day(s) left"))))))</f>
        <v/>
      </c>
      <c r="R495" s="17"/>
      <c r="S495" s="17"/>
      <c r="T495" s="48"/>
      <c r="U495" s="38"/>
      <c r="V495" s="38"/>
      <c r="W495" s="42" t="str">
        <f aca="false">IF(V495="","",EDATE(V495,Settings!$S$6))</f>
        <v/>
      </c>
      <c r="X495" s="17"/>
      <c r="Y495" s="17"/>
      <c r="Z495" s="17"/>
    </row>
    <row r="496" customFormat="false" ht="15" hidden="false" customHeight="false" outlineLevel="0" collapsed="false">
      <c r="A496" s="17"/>
      <c r="B496" s="17"/>
      <c r="C496" s="17"/>
      <c r="D496" s="17"/>
      <c r="E496" s="40"/>
      <c r="F496" s="17"/>
      <c r="G496" s="17"/>
      <c r="H496" s="17"/>
      <c r="I496" s="47" t="str">
        <f aca="false">IF(H496="","",IFERROR(INDEX(Settings!$G$2:$G$4,MATCH(H496,Settings!$F$2:$F$4,0)),""))</f>
        <v/>
      </c>
      <c r="J496" s="38"/>
      <c r="K496" s="48"/>
      <c r="L496" s="17"/>
      <c r="M496" s="38"/>
      <c r="N496" s="38"/>
      <c r="O496" s="42" t="str">
        <f aca="false">IF(N496="","",WORKDAY(N496,Settings!$S$4))</f>
        <v/>
      </c>
      <c r="P496" s="17"/>
      <c r="Q496" s="44" t="str">
        <f aca="true">IF(C496="","",IF(P496="Backed out",IF(S496="Paid","Refunded – closed",IF(R496="","Refund – log reason first","Refund in progress")),IF(K496="","Awaiting payment",IF(N496="",IF(M496="","Schedule free video","Free video in production"),IF(P496="Approved","Active",IF(TODAY()&gt;O496,"Active – plan went ahead","Decision pending – "&amp;NETWORKDAYS(TODAY(),O496)&amp;" working day(s) left"))))))</f>
        <v/>
      </c>
      <c r="R496" s="17"/>
      <c r="S496" s="17"/>
      <c r="T496" s="48"/>
      <c r="U496" s="38"/>
      <c r="V496" s="38"/>
      <c r="W496" s="42" t="str">
        <f aca="false">IF(V496="","",EDATE(V496,Settings!$S$6))</f>
        <v/>
      </c>
      <c r="X496" s="17"/>
      <c r="Y496" s="17"/>
      <c r="Z496" s="17"/>
    </row>
    <row r="497" customFormat="false" ht="15" hidden="false" customHeight="false" outlineLevel="0" collapsed="false">
      <c r="A497" s="17"/>
      <c r="B497" s="17"/>
      <c r="C497" s="17"/>
      <c r="D497" s="17"/>
      <c r="E497" s="40"/>
      <c r="F497" s="17"/>
      <c r="G497" s="17"/>
      <c r="H497" s="17"/>
      <c r="I497" s="47" t="str">
        <f aca="false">IF(H497="","",IFERROR(INDEX(Settings!$G$2:$G$4,MATCH(H497,Settings!$F$2:$F$4,0)),""))</f>
        <v/>
      </c>
      <c r="J497" s="38"/>
      <c r="K497" s="48"/>
      <c r="L497" s="17"/>
      <c r="M497" s="38"/>
      <c r="N497" s="38"/>
      <c r="O497" s="42" t="str">
        <f aca="false">IF(N497="","",WORKDAY(N497,Settings!$S$4))</f>
        <v/>
      </c>
      <c r="P497" s="17"/>
      <c r="Q497" s="44" t="str">
        <f aca="true">IF(C497="","",IF(P497="Backed out",IF(S497="Paid","Refunded – closed",IF(R497="","Refund – log reason first","Refund in progress")),IF(K497="","Awaiting payment",IF(N497="",IF(M497="","Schedule free video","Free video in production"),IF(P497="Approved","Active",IF(TODAY()&gt;O497,"Active – plan went ahead","Decision pending – "&amp;NETWORKDAYS(TODAY(),O497)&amp;" working day(s) left"))))))</f>
        <v/>
      </c>
      <c r="R497" s="17"/>
      <c r="S497" s="17"/>
      <c r="T497" s="48"/>
      <c r="U497" s="38"/>
      <c r="V497" s="38"/>
      <c r="W497" s="42" t="str">
        <f aca="false">IF(V497="","",EDATE(V497,Settings!$S$6))</f>
        <v/>
      </c>
      <c r="X497" s="17"/>
      <c r="Y497" s="17"/>
      <c r="Z497" s="17"/>
    </row>
    <row r="498" customFormat="false" ht="15" hidden="false" customHeight="false" outlineLevel="0" collapsed="false">
      <c r="A498" s="17"/>
      <c r="B498" s="17"/>
      <c r="C498" s="17"/>
      <c r="D498" s="17"/>
      <c r="E498" s="40"/>
      <c r="F498" s="17"/>
      <c r="G498" s="17"/>
      <c r="H498" s="17"/>
      <c r="I498" s="47" t="str">
        <f aca="false">IF(H498="","",IFERROR(INDEX(Settings!$G$2:$G$4,MATCH(H498,Settings!$F$2:$F$4,0)),""))</f>
        <v/>
      </c>
      <c r="J498" s="38"/>
      <c r="K498" s="48"/>
      <c r="L498" s="17"/>
      <c r="M498" s="38"/>
      <c r="N498" s="38"/>
      <c r="O498" s="42" t="str">
        <f aca="false">IF(N498="","",WORKDAY(N498,Settings!$S$4))</f>
        <v/>
      </c>
      <c r="P498" s="17"/>
      <c r="Q498" s="44" t="str">
        <f aca="true">IF(C498="","",IF(P498="Backed out",IF(S498="Paid","Refunded – closed",IF(R498="","Refund – log reason first","Refund in progress")),IF(K498="","Awaiting payment",IF(N498="",IF(M498="","Schedule free video","Free video in production"),IF(P498="Approved","Active",IF(TODAY()&gt;O498,"Active – plan went ahead","Decision pending – "&amp;NETWORKDAYS(TODAY(),O498)&amp;" working day(s) left"))))))</f>
        <v/>
      </c>
      <c r="R498" s="17"/>
      <c r="S498" s="17"/>
      <c r="T498" s="48"/>
      <c r="U498" s="38"/>
      <c r="V498" s="38"/>
      <c r="W498" s="42" t="str">
        <f aca="false">IF(V498="","",EDATE(V498,Settings!$S$6))</f>
        <v/>
      </c>
      <c r="X498" s="17"/>
      <c r="Y498" s="17"/>
      <c r="Z498" s="17"/>
    </row>
    <row r="499" customFormat="false" ht="15" hidden="false" customHeight="false" outlineLevel="0" collapsed="false">
      <c r="A499" s="17"/>
      <c r="B499" s="17"/>
      <c r="C499" s="17"/>
      <c r="D499" s="17"/>
      <c r="E499" s="40"/>
      <c r="F499" s="17"/>
      <c r="G499" s="17"/>
      <c r="H499" s="17"/>
      <c r="I499" s="47" t="str">
        <f aca="false">IF(H499="","",IFERROR(INDEX(Settings!$G$2:$G$4,MATCH(H499,Settings!$F$2:$F$4,0)),""))</f>
        <v/>
      </c>
      <c r="J499" s="38"/>
      <c r="K499" s="48"/>
      <c r="L499" s="17"/>
      <c r="M499" s="38"/>
      <c r="N499" s="38"/>
      <c r="O499" s="42" t="str">
        <f aca="false">IF(N499="","",WORKDAY(N499,Settings!$S$4))</f>
        <v/>
      </c>
      <c r="P499" s="17"/>
      <c r="Q499" s="44" t="str">
        <f aca="true">IF(C499="","",IF(P499="Backed out",IF(S499="Paid","Refunded – closed",IF(R499="","Refund – log reason first","Refund in progress")),IF(K499="","Awaiting payment",IF(N499="",IF(M499="","Schedule free video","Free video in production"),IF(P499="Approved","Active",IF(TODAY()&gt;O499,"Active – plan went ahead","Decision pending – "&amp;NETWORKDAYS(TODAY(),O499)&amp;" working day(s) left"))))))</f>
        <v/>
      </c>
      <c r="R499" s="17"/>
      <c r="S499" s="17"/>
      <c r="T499" s="48"/>
      <c r="U499" s="38"/>
      <c r="V499" s="38"/>
      <c r="W499" s="42" t="str">
        <f aca="false">IF(V499="","",EDATE(V499,Settings!$S$6))</f>
        <v/>
      </c>
      <c r="X499" s="17"/>
      <c r="Y499" s="17"/>
      <c r="Z499" s="17"/>
    </row>
    <row r="500" customFormat="false" ht="15" hidden="false" customHeight="false" outlineLevel="0" collapsed="false">
      <c r="A500" s="17"/>
      <c r="B500" s="17"/>
      <c r="C500" s="17"/>
      <c r="D500" s="17"/>
      <c r="E500" s="40"/>
      <c r="F500" s="17"/>
      <c r="G500" s="17"/>
      <c r="H500" s="17"/>
      <c r="I500" s="47" t="str">
        <f aca="false">IF(H500="","",IFERROR(INDEX(Settings!$G$2:$G$4,MATCH(H500,Settings!$F$2:$F$4,0)),""))</f>
        <v/>
      </c>
      <c r="J500" s="38"/>
      <c r="K500" s="48"/>
      <c r="L500" s="17"/>
      <c r="M500" s="38"/>
      <c r="N500" s="38"/>
      <c r="O500" s="42" t="str">
        <f aca="false">IF(N500="","",WORKDAY(N500,Settings!$S$4))</f>
        <v/>
      </c>
      <c r="P500" s="17"/>
      <c r="Q500" s="44" t="str">
        <f aca="true">IF(C500="","",IF(P500="Backed out",IF(S500="Paid","Refunded – closed",IF(R500="","Refund – log reason first","Refund in progress")),IF(K500="","Awaiting payment",IF(N500="",IF(M500="","Schedule free video","Free video in production"),IF(P500="Approved","Active",IF(TODAY()&gt;O500,"Active – plan went ahead","Decision pending – "&amp;NETWORKDAYS(TODAY(),O500)&amp;" working day(s) left"))))))</f>
        <v/>
      </c>
      <c r="R500" s="17"/>
      <c r="S500" s="17"/>
      <c r="T500" s="48"/>
      <c r="U500" s="38"/>
      <c r="V500" s="38"/>
      <c r="W500" s="42" t="str">
        <f aca="false">IF(V500="","",EDATE(V500,Settings!$S$6))</f>
        <v/>
      </c>
      <c r="X500" s="17"/>
      <c r="Y500" s="17"/>
      <c r="Z500" s="17"/>
    </row>
    <row r="501" customFormat="false" ht="15" hidden="false" customHeight="false" outlineLevel="0" collapsed="false">
      <c r="A501" s="17"/>
      <c r="B501" s="17"/>
      <c r="C501" s="17"/>
      <c r="D501" s="17"/>
      <c r="E501" s="40"/>
      <c r="F501" s="17"/>
      <c r="G501" s="17"/>
      <c r="H501" s="17"/>
      <c r="I501" s="47" t="str">
        <f aca="false">IF(H501="","",IFERROR(INDEX(Settings!$G$2:$G$4,MATCH(H501,Settings!$F$2:$F$4,0)),""))</f>
        <v/>
      </c>
      <c r="J501" s="38"/>
      <c r="K501" s="48"/>
      <c r="L501" s="17"/>
      <c r="M501" s="38"/>
      <c r="N501" s="38"/>
      <c r="O501" s="42" t="str">
        <f aca="false">IF(N501="","",WORKDAY(N501,Settings!$S$4))</f>
        <v/>
      </c>
      <c r="P501" s="17"/>
      <c r="Q501" s="44" t="str">
        <f aca="true">IF(C501="","",IF(P501="Backed out",IF(S501="Paid","Refunded – closed",IF(R501="","Refund – log reason first","Refund in progress")),IF(K501="","Awaiting payment",IF(N501="",IF(M501="","Schedule free video","Free video in production"),IF(P501="Approved","Active",IF(TODAY()&gt;O501,"Active – plan went ahead","Decision pending – "&amp;NETWORKDAYS(TODAY(),O501)&amp;" working day(s) left"))))))</f>
        <v/>
      </c>
      <c r="R501" s="17"/>
      <c r="S501" s="17"/>
      <c r="T501" s="48"/>
      <c r="U501" s="38"/>
      <c r="V501" s="38"/>
      <c r="W501" s="42" t="str">
        <f aca="false">IF(V501="","",EDATE(V501,Settings!$S$6))</f>
        <v/>
      </c>
      <c r="X501" s="17"/>
      <c r="Y501" s="17"/>
      <c r="Z501" s="17"/>
    </row>
  </sheetData>
  <autoFilter ref="A1:Z501"/>
  <conditionalFormatting sqref="Q2:Q501">
    <cfRule type="expression" priority="2" aboveAverage="0" equalAverage="0" bottom="0" percent="0" rank="0" text="" dxfId="15">
      <formula>LEFT(Q2,6)="Active"</formula>
    </cfRule>
    <cfRule type="expression" priority="3" aboveAverage="0" equalAverage="0" bottom="0" percent="0" rank="0" text="" dxfId="11">
      <formula>LEFT(Q2,8)="Decision"</formula>
    </cfRule>
    <cfRule type="expression" priority="4" aboveAverage="0" equalAverage="0" bottom="0" percent="0" rank="0" text="" dxfId="9">
      <formula>LEFT(Q2,6)="Refund"</formula>
    </cfRule>
    <cfRule type="expression" priority="5" aboveAverage="0" equalAverage="0" bottom="0" percent="0" rank="0" text="" dxfId="10">
      <formula>Q2="Awaiting payment"</formula>
    </cfRule>
  </conditionalFormatting>
  <dataValidations count="12">
    <dataValidation allowBlank="true" error="Pick a value from the list (edit lists on the Settings tab)." errorStyle="stop" errorTitle="Not on the list" operator="between" showDropDown="false" showErrorMessage="false" showInputMessage="false" sqref="H2:H501" type="list">
      <formula1>Settings!$F$2:$F$4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L2:L501" type="list">
      <formula1>Settings!$I$2:$I$6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P2:P501" type="list">
      <formula1>Settings!$J$2:$J$4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R2:R501" type="list">
      <formula1>Settings!$K$2:$K$7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S2:S501" type="list">
      <formula1>Settings!$L$2:$L$4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X2:X501" type="list">
      <formula1>Settings!$E$2:$E$5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Y2:Y501" type="list">
      <formula1>Settings!$E$2:$E$5</formula1>
      <formula2>0</formula2>
    </dataValidation>
    <dataValidation allowBlank="true" error="Enter a date - double-click the cell for a calendar." errorStyle="stop" errorTitle="Not a date" operator="between" showDropDown="false" showErrorMessage="false" showInputMessage="false" sqref="J2:J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M2:M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N2:N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U2:U501" type="date">
      <formula1>DATE(2020,1,1)</formula1>
      <formula2>DATE(2100,12,31)</formula2>
    </dataValidation>
    <dataValidation allowBlank="true" error="Enter a date - double-click the cell for a calendar." errorStyle="stop" errorTitle="Not a date" operator="between" showDropDown="false" showErrorMessage="false" showInputMessage="false" sqref="V2:V501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6C00"/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11" min="8" style="0" width="16"/>
    <col collapsed="false" customWidth="true" hidden="false" outlineLevel="0" max="12" min="12" style="0" width="26"/>
    <col collapsed="false" customWidth="true" hidden="false" outlineLevel="0" max="14" min="13" style="0" width="30"/>
  </cols>
  <sheetData>
    <row r="1" customFormat="false" ht="31.5" hidden="false" customHeight="true" outlineLevel="0" collapsed="false">
      <c r="A1" s="28" t="s">
        <v>212</v>
      </c>
      <c r="B1" s="28" t="s">
        <v>184</v>
      </c>
      <c r="C1" s="29" t="s">
        <v>131</v>
      </c>
      <c r="D1" s="28" t="s">
        <v>213</v>
      </c>
      <c r="E1" s="28" t="s">
        <v>214</v>
      </c>
      <c r="F1" s="28" t="s">
        <v>215</v>
      </c>
      <c r="G1" s="28" t="s">
        <v>216</v>
      </c>
      <c r="H1" s="28" t="s">
        <v>202</v>
      </c>
      <c r="I1" s="28" t="s">
        <v>194</v>
      </c>
      <c r="J1" s="28" t="s">
        <v>217</v>
      </c>
      <c r="K1" s="28" t="s">
        <v>218</v>
      </c>
      <c r="L1" s="28" t="s">
        <v>219</v>
      </c>
      <c r="M1" s="28" t="s">
        <v>151</v>
      </c>
      <c r="N1" s="29" t="s">
        <v>220</v>
      </c>
    </row>
    <row r="2" customFormat="false" ht="15" hidden="false" customHeight="false" outlineLevel="0" collapsed="false">
      <c r="A2" s="30" t="s">
        <v>221</v>
      </c>
      <c r="B2" s="30" t="s">
        <v>203</v>
      </c>
      <c r="C2" s="37" t="str">
        <f aca="false">IF(B2="","",IFERROR(INDEX(Clients!$C$2:$C$501,MATCH(B2,Clients!$A$2:$A$501,0)),"Client ID not found"))</f>
        <v>Example Salon (EXAMPLE)</v>
      </c>
      <c r="D2" s="30" t="s">
        <v>35</v>
      </c>
      <c r="E2" s="31" t="n">
        <v>46309</v>
      </c>
      <c r="F2" s="32" t="n">
        <v>0.416666666666667</v>
      </c>
      <c r="G2" s="30" t="s">
        <v>222</v>
      </c>
      <c r="H2" s="30" t="s">
        <v>52</v>
      </c>
      <c r="I2" s="30" t="s">
        <v>223</v>
      </c>
      <c r="J2" s="31" t="n">
        <v>46314</v>
      </c>
      <c r="K2" s="30" t="n">
        <v>1</v>
      </c>
      <c r="L2" s="30"/>
      <c r="M2" s="30" t="s">
        <v>166</v>
      </c>
      <c r="N2" s="37" t="str">
        <f aca="true">IF(A2="","",IF(N(K2)&gt;Settings!$S$7,"Over revision limit",IF(AND(D2="Free video",J2="",E2&lt;&gt;"",TODAY()&gt;WORKDAY(E2,Settings!$S$5)),"LATE – free video promised in 5 working days",IF(AND(E2&lt;&gt;"",E2=TODAY()),"Shooting today",""))))</f>
        <v/>
      </c>
    </row>
    <row r="3" customFormat="false" ht="15" hidden="false" customHeight="false" outlineLevel="0" collapsed="false">
      <c r="A3" s="17"/>
      <c r="B3" s="17"/>
      <c r="C3" s="44" t="str">
        <f aca="false">IF(B3="","",IFERROR(INDEX(Clients!$C$2:$C$501,MATCH(B3,Clients!$A$2:$A$501,0)),"Client ID not found"))</f>
        <v/>
      </c>
      <c r="D3" s="17"/>
      <c r="E3" s="38"/>
      <c r="F3" s="39"/>
      <c r="G3" s="17"/>
      <c r="H3" s="17"/>
      <c r="I3" s="17"/>
      <c r="J3" s="38"/>
      <c r="K3" s="17"/>
      <c r="L3" s="17"/>
      <c r="M3" s="17"/>
      <c r="N3" s="44" t="str">
        <f aca="true">IF(A3="","",IF(N(K3)&gt;Settings!$S$7,"Over revision limit",IF(AND(D3="Free video",J3="",E3&lt;&gt;"",TODAY()&gt;WORKDAY(E3,Settings!$S$5)),"LATE – free video promised in 5 working days",IF(AND(E3&lt;&gt;"",E3=TODAY()),"Shooting today",""))))</f>
        <v/>
      </c>
    </row>
    <row r="4" customFormat="false" ht="15" hidden="false" customHeight="false" outlineLevel="0" collapsed="false">
      <c r="A4" s="17"/>
      <c r="B4" s="17"/>
      <c r="C4" s="44" t="str">
        <f aca="false">IF(B4="","",IFERROR(INDEX(Clients!$C$2:$C$501,MATCH(B4,Clients!$A$2:$A$501,0)),"Client ID not found"))</f>
        <v/>
      </c>
      <c r="D4" s="17"/>
      <c r="E4" s="38"/>
      <c r="F4" s="39"/>
      <c r="G4" s="17"/>
      <c r="H4" s="17"/>
      <c r="I4" s="17"/>
      <c r="J4" s="38"/>
      <c r="K4" s="17"/>
      <c r="L4" s="17"/>
      <c r="M4" s="17"/>
      <c r="N4" s="44" t="str">
        <f aca="true">IF(A4="","",IF(N(K4)&gt;Settings!$S$7,"Over revision limit",IF(AND(D4="Free video",J4="",E4&lt;&gt;"",TODAY()&gt;WORKDAY(E4,Settings!$S$5)),"LATE – free video promised in 5 working days",IF(AND(E4&lt;&gt;"",E4=TODAY()),"Shooting today",""))))</f>
        <v/>
      </c>
    </row>
    <row r="5" customFormat="false" ht="15" hidden="false" customHeight="false" outlineLevel="0" collapsed="false">
      <c r="A5" s="17"/>
      <c r="B5" s="17"/>
      <c r="C5" s="44" t="str">
        <f aca="false">IF(B5="","",IFERROR(INDEX(Clients!$C$2:$C$501,MATCH(B5,Clients!$A$2:$A$501,0)),"Client ID not found"))</f>
        <v/>
      </c>
      <c r="D5" s="17"/>
      <c r="E5" s="38"/>
      <c r="F5" s="39"/>
      <c r="G5" s="17"/>
      <c r="H5" s="17"/>
      <c r="I5" s="17"/>
      <c r="J5" s="38"/>
      <c r="K5" s="17"/>
      <c r="L5" s="17"/>
      <c r="M5" s="17"/>
      <c r="N5" s="44" t="str">
        <f aca="true">IF(A5="","",IF(N(K5)&gt;Settings!$S$7,"Over revision limit",IF(AND(D5="Free video",J5="",E5&lt;&gt;"",TODAY()&gt;WORKDAY(E5,Settings!$S$5)),"LATE – free video promised in 5 working days",IF(AND(E5&lt;&gt;"",E5=TODAY()),"Shooting today",""))))</f>
        <v/>
      </c>
    </row>
    <row r="6" customFormat="false" ht="15" hidden="false" customHeight="false" outlineLevel="0" collapsed="false">
      <c r="A6" s="17"/>
      <c r="B6" s="17"/>
      <c r="C6" s="44" t="str">
        <f aca="false">IF(B6="","",IFERROR(INDEX(Clients!$C$2:$C$501,MATCH(B6,Clients!$A$2:$A$501,0)),"Client ID not found"))</f>
        <v/>
      </c>
      <c r="D6" s="17"/>
      <c r="E6" s="38"/>
      <c r="F6" s="39"/>
      <c r="G6" s="17"/>
      <c r="H6" s="17"/>
      <c r="I6" s="17"/>
      <c r="J6" s="38"/>
      <c r="K6" s="17"/>
      <c r="L6" s="17"/>
      <c r="M6" s="17"/>
      <c r="N6" s="44" t="str">
        <f aca="true">IF(A6="","",IF(N(K6)&gt;Settings!$S$7,"Over revision limit",IF(AND(D6="Free video",J6="",E6&lt;&gt;"",TODAY()&gt;WORKDAY(E6,Settings!$S$5)),"LATE – free video promised in 5 working days",IF(AND(E6&lt;&gt;"",E6=TODAY()),"Shooting today",""))))</f>
        <v/>
      </c>
    </row>
    <row r="7" customFormat="false" ht="15" hidden="false" customHeight="false" outlineLevel="0" collapsed="false">
      <c r="A7" s="17"/>
      <c r="B7" s="17"/>
      <c r="C7" s="44" t="str">
        <f aca="false">IF(B7="","",IFERROR(INDEX(Clients!$C$2:$C$501,MATCH(B7,Clients!$A$2:$A$501,0)),"Client ID not found"))</f>
        <v/>
      </c>
      <c r="D7" s="17"/>
      <c r="E7" s="38"/>
      <c r="F7" s="39"/>
      <c r="G7" s="17"/>
      <c r="H7" s="17"/>
      <c r="I7" s="17"/>
      <c r="J7" s="38"/>
      <c r="K7" s="17"/>
      <c r="L7" s="17"/>
      <c r="M7" s="17"/>
      <c r="N7" s="44" t="str">
        <f aca="true">IF(A7="","",IF(N(K7)&gt;Settings!$S$7,"Over revision limit",IF(AND(D7="Free video",J7="",E7&lt;&gt;"",TODAY()&gt;WORKDAY(E7,Settings!$S$5)),"LATE – free video promised in 5 working days",IF(AND(E7&lt;&gt;"",E7=TODAY()),"Shooting today",""))))</f>
        <v/>
      </c>
    </row>
    <row r="8" customFormat="false" ht="15" hidden="false" customHeight="false" outlineLevel="0" collapsed="false">
      <c r="A8" s="17"/>
      <c r="B8" s="17"/>
      <c r="C8" s="44" t="str">
        <f aca="false">IF(B8="","",IFERROR(INDEX(Clients!$C$2:$C$501,MATCH(B8,Clients!$A$2:$A$501,0)),"Client ID not found"))</f>
        <v/>
      </c>
      <c r="D8" s="17"/>
      <c r="E8" s="38"/>
      <c r="F8" s="39"/>
      <c r="G8" s="17"/>
      <c r="H8" s="17"/>
      <c r="I8" s="17"/>
      <c r="J8" s="38"/>
      <c r="K8" s="17"/>
      <c r="L8" s="17"/>
      <c r="M8" s="17"/>
      <c r="N8" s="44" t="str">
        <f aca="true">IF(A8="","",IF(N(K8)&gt;Settings!$S$7,"Over revision limit",IF(AND(D8="Free video",J8="",E8&lt;&gt;"",TODAY()&gt;WORKDAY(E8,Settings!$S$5)),"LATE – free video promised in 5 working days",IF(AND(E8&lt;&gt;"",E8=TODAY()),"Shooting today",""))))</f>
        <v/>
      </c>
    </row>
    <row r="9" customFormat="false" ht="15" hidden="false" customHeight="false" outlineLevel="0" collapsed="false">
      <c r="A9" s="17"/>
      <c r="B9" s="17"/>
      <c r="C9" s="44" t="str">
        <f aca="false">IF(B9="","",IFERROR(INDEX(Clients!$C$2:$C$501,MATCH(B9,Clients!$A$2:$A$501,0)),"Client ID not found"))</f>
        <v/>
      </c>
      <c r="D9" s="17"/>
      <c r="E9" s="38"/>
      <c r="F9" s="39"/>
      <c r="G9" s="17"/>
      <c r="H9" s="17"/>
      <c r="I9" s="17"/>
      <c r="J9" s="38"/>
      <c r="K9" s="17"/>
      <c r="L9" s="17"/>
      <c r="M9" s="17"/>
      <c r="N9" s="44" t="str">
        <f aca="true">IF(A9="","",IF(N(K9)&gt;Settings!$S$7,"Over revision limit",IF(AND(D9="Free video",J9="",E9&lt;&gt;"",TODAY()&gt;WORKDAY(E9,Settings!$S$5)),"LATE – free video promised in 5 working days",IF(AND(E9&lt;&gt;"",E9=TODAY()),"Shooting today",""))))</f>
        <v/>
      </c>
    </row>
    <row r="10" customFormat="false" ht="15" hidden="false" customHeight="false" outlineLevel="0" collapsed="false">
      <c r="A10" s="17"/>
      <c r="B10" s="17"/>
      <c r="C10" s="44" t="str">
        <f aca="false">IF(B10="","",IFERROR(INDEX(Clients!$C$2:$C$501,MATCH(B10,Clients!$A$2:$A$501,0)),"Client ID not found"))</f>
        <v/>
      </c>
      <c r="D10" s="17"/>
      <c r="E10" s="38"/>
      <c r="F10" s="39"/>
      <c r="G10" s="17"/>
      <c r="H10" s="17"/>
      <c r="I10" s="17"/>
      <c r="J10" s="38"/>
      <c r="K10" s="17"/>
      <c r="L10" s="17"/>
      <c r="M10" s="17"/>
      <c r="N10" s="44" t="str">
        <f aca="true">IF(A10="","",IF(N(K10)&gt;Settings!$S$7,"Over revision limit",IF(AND(D10="Free video",J10="",E10&lt;&gt;"",TODAY()&gt;WORKDAY(E10,Settings!$S$5)),"LATE – free video promised in 5 working days",IF(AND(E10&lt;&gt;"",E10=TODAY()),"Shooting today",""))))</f>
        <v/>
      </c>
    </row>
    <row r="11" customFormat="false" ht="15" hidden="false" customHeight="false" outlineLevel="0" collapsed="false">
      <c r="A11" s="17"/>
      <c r="B11" s="17"/>
      <c r="C11" s="44" t="str">
        <f aca="false">IF(B11="","",IFERROR(INDEX(Clients!$C$2:$C$501,MATCH(B11,Clients!$A$2:$A$501,0)),"Client ID not found"))</f>
        <v/>
      </c>
      <c r="D11" s="17"/>
      <c r="E11" s="38"/>
      <c r="F11" s="39"/>
      <c r="G11" s="17"/>
      <c r="H11" s="17"/>
      <c r="I11" s="17"/>
      <c r="J11" s="38"/>
      <c r="K11" s="17"/>
      <c r="L11" s="17"/>
      <c r="M11" s="17"/>
      <c r="N11" s="44" t="str">
        <f aca="true">IF(A11="","",IF(N(K11)&gt;Settings!$S$7,"Over revision limit",IF(AND(D11="Free video",J11="",E11&lt;&gt;"",TODAY()&gt;WORKDAY(E11,Settings!$S$5)),"LATE – free video promised in 5 working days",IF(AND(E11&lt;&gt;"",E11=TODAY()),"Shooting today",""))))</f>
        <v/>
      </c>
    </row>
    <row r="12" customFormat="false" ht="15" hidden="false" customHeight="false" outlineLevel="0" collapsed="false">
      <c r="A12" s="17"/>
      <c r="B12" s="17"/>
      <c r="C12" s="44" t="str">
        <f aca="false">IF(B12="","",IFERROR(INDEX(Clients!$C$2:$C$501,MATCH(B12,Clients!$A$2:$A$501,0)),"Client ID not found"))</f>
        <v/>
      </c>
      <c r="D12" s="17"/>
      <c r="E12" s="38"/>
      <c r="F12" s="39"/>
      <c r="G12" s="17"/>
      <c r="H12" s="17"/>
      <c r="I12" s="17"/>
      <c r="J12" s="38"/>
      <c r="K12" s="17"/>
      <c r="L12" s="17"/>
      <c r="M12" s="17"/>
      <c r="N12" s="44" t="str">
        <f aca="true">IF(A12="","",IF(N(K12)&gt;Settings!$S$7,"Over revision limit",IF(AND(D12="Free video",J12="",E12&lt;&gt;"",TODAY()&gt;WORKDAY(E12,Settings!$S$5)),"LATE – free video promised in 5 working days",IF(AND(E12&lt;&gt;"",E12=TODAY()),"Shooting today",""))))</f>
        <v/>
      </c>
    </row>
    <row r="13" customFormat="false" ht="15" hidden="false" customHeight="false" outlineLevel="0" collapsed="false">
      <c r="A13" s="17"/>
      <c r="B13" s="17"/>
      <c r="C13" s="44" t="str">
        <f aca="false">IF(B13="","",IFERROR(INDEX(Clients!$C$2:$C$501,MATCH(B13,Clients!$A$2:$A$501,0)),"Client ID not found"))</f>
        <v/>
      </c>
      <c r="D13" s="17"/>
      <c r="E13" s="38"/>
      <c r="F13" s="39"/>
      <c r="G13" s="17"/>
      <c r="H13" s="17"/>
      <c r="I13" s="17"/>
      <c r="J13" s="38"/>
      <c r="K13" s="17"/>
      <c r="L13" s="17"/>
      <c r="M13" s="17"/>
      <c r="N13" s="44" t="str">
        <f aca="true">IF(A13="","",IF(N(K13)&gt;Settings!$S$7,"Over revision limit",IF(AND(D13="Free video",J13="",E13&lt;&gt;"",TODAY()&gt;WORKDAY(E13,Settings!$S$5)),"LATE – free video promised in 5 working days",IF(AND(E13&lt;&gt;"",E13=TODAY()),"Shooting today",""))))</f>
        <v/>
      </c>
    </row>
    <row r="14" customFormat="false" ht="15" hidden="false" customHeight="false" outlineLevel="0" collapsed="false">
      <c r="A14" s="17"/>
      <c r="B14" s="17"/>
      <c r="C14" s="44" t="str">
        <f aca="false">IF(B14="","",IFERROR(INDEX(Clients!$C$2:$C$501,MATCH(B14,Clients!$A$2:$A$501,0)),"Client ID not found"))</f>
        <v/>
      </c>
      <c r="D14" s="17"/>
      <c r="E14" s="38"/>
      <c r="F14" s="39"/>
      <c r="G14" s="17"/>
      <c r="H14" s="17"/>
      <c r="I14" s="17"/>
      <c r="J14" s="38"/>
      <c r="K14" s="17"/>
      <c r="L14" s="17"/>
      <c r="M14" s="17"/>
      <c r="N14" s="44" t="str">
        <f aca="true">IF(A14="","",IF(N(K14)&gt;Settings!$S$7,"Over revision limit",IF(AND(D14="Free video",J14="",E14&lt;&gt;"",TODAY()&gt;WORKDAY(E14,Settings!$S$5)),"LATE – free video promised in 5 working days",IF(AND(E14&lt;&gt;"",E14=TODAY()),"Shooting today",""))))</f>
        <v/>
      </c>
    </row>
    <row r="15" customFormat="false" ht="15" hidden="false" customHeight="false" outlineLevel="0" collapsed="false">
      <c r="A15" s="17"/>
      <c r="B15" s="17"/>
      <c r="C15" s="44" t="str">
        <f aca="false">IF(B15="","",IFERROR(INDEX(Clients!$C$2:$C$501,MATCH(B15,Clients!$A$2:$A$501,0)),"Client ID not found"))</f>
        <v/>
      </c>
      <c r="D15" s="17"/>
      <c r="E15" s="38"/>
      <c r="F15" s="39"/>
      <c r="G15" s="17"/>
      <c r="H15" s="17"/>
      <c r="I15" s="17"/>
      <c r="J15" s="38"/>
      <c r="K15" s="17"/>
      <c r="L15" s="17"/>
      <c r="M15" s="17"/>
      <c r="N15" s="44" t="str">
        <f aca="true">IF(A15="","",IF(N(K15)&gt;Settings!$S$7,"Over revision limit",IF(AND(D15="Free video",J15="",E15&lt;&gt;"",TODAY()&gt;WORKDAY(E15,Settings!$S$5)),"LATE – free video promised in 5 working days",IF(AND(E15&lt;&gt;"",E15=TODAY()),"Shooting today",""))))</f>
        <v/>
      </c>
    </row>
    <row r="16" customFormat="false" ht="15" hidden="false" customHeight="false" outlineLevel="0" collapsed="false">
      <c r="A16" s="17"/>
      <c r="B16" s="17"/>
      <c r="C16" s="44" t="str">
        <f aca="false">IF(B16="","",IFERROR(INDEX(Clients!$C$2:$C$501,MATCH(B16,Clients!$A$2:$A$501,0)),"Client ID not found"))</f>
        <v/>
      </c>
      <c r="D16" s="17"/>
      <c r="E16" s="38"/>
      <c r="F16" s="39"/>
      <c r="G16" s="17"/>
      <c r="H16" s="17"/>
      <c r="I16" s="17"/>
      <c r="J16" s="38"/>
      <c r="K16" s="17"/>
      <c r="L16" s="17"/>
      <c r="M16" s="17"/>
      <c r="N16" s="44" t="str">
        <f aca="true">IF(A16="","",IF(N(K16)&gt;Settings!$S$7,"Over revision limit",IF(AND(D16="Free video",J16="",E16&lt;&gt;"",TODAY()&gt;WORKDAY(E16,Settings!$S$5)),"LATE – free video promised in 5 working days",IF(AND(E16&lt;&gt;"",E16=TODAY()),"Shooting today",""))))</f>
        <v/>
      </c>
    </row>
    <row r="17" customFormat="false" ht="15" hidden="false" customHeight="false" outlineLevel="0" collapsed="false">
      <c r="A17" s="17"/>
      <c r="B17" s="17"/>
      <c r="C17" s="44" t="str">
        <f aca="false">IF(B17="","",IFERROR(INDEX(Clients!$C$2:$C$501,MATCH(B17,Clients!$A$2:$A$501,0)),"Client ID not found"))</f>
        <v/>
      </c>
      <c r="D17" s="17"/>
      <c r="E17" s="38"/>
      <c r="F17" s="39"/>
      <c r="G17" s="17"/>
      <c r="H17" s="17"/>
      <c r="I17" s="17"/>
      <c r="J17" s="38"/>
      <c r="K17" s="17"/>
      <c r="L17" s="17"/>
      <c r="M17" s="17"/>
      <c r="N17" s="44" t="str">
        <f aca="true">IF(A17="","",IF(N(K17)&gt;Settings!$S$7,"Over revision limit",IF(AND(D17="Free video",J17="",E17&lt;&gt;"",TODAY()&gt;WORKDAY(E17,Settings!$S$5)),"LATE – free video promised in 5 working days",IF(AND(E17&lt;&gt;"",E17=TODAY()),"Shooting today",""))))</f>
        <v/>
      </c>
    </row>
    <row r="18" customFormat="false" ht="15" hidden="false" customHeight="false" outlineLevel="0" collapsed="false">
      <c r="A18" s="17"/>
      <c r="B18" s="17"/>
      <c r="C18" s="44" t="str">
        <f aca="false">IF(B18="","",IFERROR(INDEX(Clients!$C$2:$C$501,MATCH(B18,Clients!$A$2:$A$501,0)),"Client ID not found"))</f>
        <v/>
      </c>
      <c r="D18" s="17"/>
      <c r="E18" s="38"/>
      <c r="F18" s="39"/>
      <c r="G18" s="17"/>
      <c r="H18" s="17"/>
      <c r="I18" s="17"/>
      <c r="J18" s="38"/>
      <c r="K18" s="17"/>
      <c r="L18" s="17"/>
      <c r="M18" s="17"/>
      <c r="N18" s="44" t="str">
        <f aca="true">IF(A18="","",IF(N(K18)&gt;Settings!$S$7,"Over revision limit",IF(AND(D18="Free video",J18="",E18&lt;&gt;"",TODAY()&gt;WORKDAY(E18,Settings!$S$5)),"LATE – free video promised in 5 working days",IF(AND(E18&lt;&gt;"",E18=TODAY()),"Shooting today",""))))</f>
        <v/>
      </c>
    </row>
    <row r="19" customFormat="false" ht="15" hidden="false" customHeight="false" outlineLevel="0" collapsed="false">
      <c r="A19" s="17"/>
      <c r="B19" s="17"/>
      <c r="C19" s="44" t="str">
        <f aca="false">IF(B19="","",IFERROR(INDEX(Clients!$C$2:$C$501,MATCH(B19,Clients!$A$2:$A$501,0)),"Client ID not found"))</f>
        <v/>
      </c>
      <c r="D19" s="17"/>
      <c r="E19" s="38"/>
      <c r="F19" s="39"/>
      <c r="G19" s="17"/>
      <c r="H19" s="17"/>
      <c r="I19" s="17"/>
      <c r="J19" s="38"/>
      <c r="K19" s="17"/>
      <c r="L19" s="17"/>
      <c r="M19" s="17"/>
      <c r="N19" s="44" t="str">
        <f aca="true">IF(A19="","",IF(N(K19)&gt;Settings!$S$7,"Over revision limit",IF(AND(D19="Free video",J19="",E19&lt;&gt;"",TODAY()&gt;WORKDAY(E19,Settings!$S$5)),"LATE – free video promised in 5 working days",IF(AND(E19&lt;&gt;"",E19=TODAY()),"Shooting today",""))))</f>
        <v/>
      </c>
    </row>
    <row r="20" customFormat="false" ht="15" hidden="false" customHeight="false" outlineLevel="0" collapsed="false">
      <c r="A20" s="17"/>
      <c r="B20" s="17"/>
      <c r="C20" s="44" t="str">
        <f aca="false">IF(B20="","",IFERROR(INDEX(Clients!$C$2:$C$501,MATCH(B20,Clients!$A$2:$A$501,0)),"Client ID not found"))</f>
        <v/>
      </c>
      <c r="D20" s="17"/>
      <c r="E20" s="38"/>
      <c r="F20" s="39"/>
      <c r="G20" s="17"/>
      <c r="H20" s="17"/>
      <c r="I20" s="17"/>
      <c r="J20" s="38"/>
      <c r="K20" s="17"/>
      <c r="L20" s="17"/>
      <c r="M20" s="17"/>
      <c r="N20" s="44" t="str">
        <f aca="true">IF(A20="","",IF(N(K20)&gt;Settings!$S$7,"Over revision limit",IF(AND(D20="Free video",J20="",E20&lt;&gt;"",TODAY()&gt;WORKDAY(E20,Settings!$S$5)),"LATE – free video promised in 5 working days",IF(AND(E20&lt;&gt;"",E20=TODAY()),"Shooting today",""))))</f>
        <v/>
      </c>
    </row>
    <row r="21" customFormat="false" ht="15" hidden="false" customHeight="false" outlineLevel="0" collapsed="false">
      <c r="A21" s="17"/>
      <c r="B21" s="17"/>
      <c r="C21" s="44" t="str">
        <f aca="false">IF(B21="","",IFERROR(INDEX(Clients!$C$2:$C$501,MATCH(B21,Clients!$A$2:$A$501,0)),"Client ID not found"))</f>
        <v/>
      </c>
      <c r="D21" s="17"/>
      <c r="E21" s="38"/>
      <c r="F21" s="39"/>
      <c r="G21" s="17"/>
      <c r="H21" s="17"/>
      <c r="I21" s="17"/>
      <c r="J21" s="38"/>
      <c r="K21" s="17"/>
      <c r="L21" s="17"/>
      <c r="M21" s="17"/>
      <c r="N21" s="44" t="str">
        <f aca="true">IF(A21="","",IF(N(K21)&gt;Settings!$S$7,"Over revision limit",IF(AND(D21="Free video",J21="",E21&lt;&gt;"",TODAY()&gt;WORKDAY(E21,Settings!$S$5)),"LATE – free video promised in 5 working days",IF(AND(E21&lt;&gt;"",E21=TODAY()),"Shooting today",""))))</f>
        <v/>
      </c>
    </row>
    <row r="22" customFormat="false" ht="15" hidden="false" customHeight="false" outlineLevel="0" collapsed="false">
      <c r="A22" s="17"/>
      <c r="B22" s="17"/>
      <c r="C22" s="44" t="str">
        <f aca="false">IF(B22="","",IFERROR(INDEX(Clients!$C$2:$C$501,MATCH(B22,Clients!$A$2:$A$501,0)),"Client ID not found"))</f>
        <v/>
      </c>
      <c r="D22" s="17"/>
      <c r="E22" s="38"/>
      <c r="F22" s="39"/>
      <c r="G22" s="17"/>
      <c r="H22" s="17"/>
      <c r="I22" s="17"/>
      <c r="J22" s="38"/>
      <c r="K22" s="17"/>
      <c r="L22" s="17"/>
      <c r="M22" s="17"/>
      <c r="N22" s="44" t="str">
        <f aca="true">IF(A22="","",IF(N(K22)&gt;Settings!$S$7,"Over revision limit",IF(AND(D22="Free video",J22="",E22&lt;&gt;"",TODAY()&gt;WORKDAY(E22,Settings!$S$5)),"LATE – free video promised in 5 working days",IF(AND(E22&lt;&gt;"",E22=TODAY()),"Shooting today",""))))</f>
        <v/>
      </c>
    </row>
    <row r="23" customFormat="false" ht="15" hidden="false" customHeight="false" outlineLevel="0" collapsed="false">
      <c r="A23" s="17"/>
      <c r="B23" s="17"/>
      <c r="C23" s="44" t="str">
        <f aca="false">IF(B23="","",IFERROR(INDEX(Clients!$C$2:$C$501,MATCH(B23,Clients!$A$2:$A$501,0)),"Client ID not found"))</f>
        <v/>
      </c>
      <c r="D23" s="17"/>
      <c r="E23" s="38"/>
      <c r="F23" s="39"/>
      <c r="G23" s="17"/>
      <c r="H23" s="17"/>
      <c r="I23" s="17"/>
      <c r="J23" s="38"/>
      <c r="K23" s="17"/>
      <c r="L23" s="17"/>
      <c r="M23" s="17"/>
      <c r="N23" s="44" t="str">
        <f aca="true">IF(A23="","",IF(N(K23)&gt;Settings!$S$7,"Over revision limit",IF(AND(D23="Free video",J23="",E23&lt;&gt;"",TODAY()&gt;WORKDAY(E23,Settings!$S$5)),"LATE – free video promised in 5 working days",IF(AND(E23&lt;&gt;"",E23=TODAY()),"Shooting today",""))))</f>
        <v/>
      </c>
    </row>
    <row r="24" customFormat="false" ht="15" hidden="false" customHeight="false" outlineLevel="0" collapsed="false">
      <c r="A24" s="17"/>
      <c r="B24" s="17"/>
      <c r="C24" s="44" t="str">
        <f aca="false">IF(B24="","",IFERROR(INDEX(Clients!$C$2:$C$501,MATCH(B24,Clients!$A$2:$A$501,0)),"Client ID not found"))</f>
        <v/>
      </c>
      <c r="D24" s="17"/>
      <c r="E24" s="38"/>
      <c r="F24" s="39"/>
      <c r="G24" s="17"/>
      <c r="H24" s="17"/>
      <c r="I24" s="17"/>
      <c r="J24" s="38"/>
      <c r="K24" s="17"/>
      <c r="L24" s="17"/>
      <c r="M24" s="17"/>
      <c r="N24" s="44" t="str">
        <f aca="true">IF(A24="","",IF(N(K24)&gt;Settings!$S$7,"Over revision limit",IF(AND(D24="Free video",J24="",E24&lt;&gt;"",TODAY()&gt;WORKDAY(E24,Settings!$S$5)),"LATE – free video promised in 5 working days",IF(AND(E24&lt;&gt;"",E24=TODAY()),"Shooting today",""))))</f>
        <v/>
      </c>
    </row>
    <row r="25" customFormat="false" ht="15" hidden="false" customHeight="false" outlineLevel="0" collapsed="false">
      <c r="A25" s="17"/>
      <c r="B25" s="17"/>
      <c r="C25" s="44" t="str">
        <f aca="false">IF(B25="","",IFERROR(INDEX(Clients!$C$2:$C$501,MATCH(B25,Clients!$A$2:$A$501,0)),"Client ID not found"))</f>
        <v/>
      </c>
      <c r="D25" s="17"/>
      <c r="E25" s="38"/>
      <c r="F25" s="39"/>
      <c r="G25" s="17"/>
      <c r="H25" s="17"/>
      <c r="I25" s="17"/>
      <c r="J25" s="38"/>
      <c r="K25" s="17"/>
      <c r="L25" s="17"/>
      <c r="M25" s="17"/>
      <c r="N25" s="44" t="str">
        <f aca="true">IF(A25="","",IF(N(K25)&gt;Settings!$S$7,"Over revision limit",IF(AND(D25="Free video",J25="",E25&lt;&gt;"",TODAY()&gt;WORKDAY(E25,Settings!$S$5)),"LATE – free video promised in 5 working days",IF(AND(E25&lt;&gt;"",E25=TODAY()),"Shooting today",""))))</f>
        <v/>
      </c>
    </row>
    <row r="26" customFormat="false" ht="15" hidden="false" customHeight="false" outlineLevel="0" collapsed="false">
      <c r="A26" s="17"/>
      <c r="B26" s="17"/>
      <c r="C26" s="44" t="str">
        <f aca="false">IF(B26="","",IFERROR(INDEX(Clients!$C$2:$C$501,MATCH(B26,Clients!$A$2:$A$501,0)),"Client ID not found"))</f>
        <v/>
      </c>
      <c r="D26" s="17"/>
      <c r="E26" s="38"/>
      <c r="F26" s="39"/>
      <c r="G26" s="17"/>
      <c r="H26" s="17"/>
      <c r="I26" s="17"/>
      <c r="J26" s="38"/>
      <c r="K26" s="17"/>
      <c r="L26" s="17"/>
      <c r="M26" s="17"/>
      <c r="N26" s="44" t="str">
        <f aca="true">IF(A26="","",IF(N(K26)&gt;Settings!$S$7,"Over revision limit",IF(AND(D26="Free video",J26="",E26&lt;&gt;"",TODAY()&gt;WORKDAY(E26,Settings!$S$5)),"LATE – free video promised in 5 working days",IF(AND(E26&lt;&gt;"",E26=TODAY()),"Shooting today",""))))</f>
        <v/>
      </c>
    </row>
    <row r="27" customFormat="false" ht="15" hidden="false" customHeight="false" outlineLevel="0" collapsed="false">
      <c r="A27" s="17"/>
      <c r="B27" s="17"/>
      <c r="C27" s="44" t="str">
        <f aca="false">IF(B27="","",IFERROR(INDEX(Clients!$C$2:$C$501,MATCH(B27,Clients!$A$2:$A$501,0)),"Client ID not found"))</f>
        <v/>
      </c>
      <c r="D27" s="17"/>
      <c r="E27" s="38"/>
      <c r="F27" s="39"/>
      <c r="G27" s="17"/>
      <c r="H27" s="17"/>
      <c r="I27" s="17"/>
      <c r="J27" s="38"/>
      <c r="K27" s="17"/>
      <c r="L27" s="17"/>
      <c r="M27" s="17"/>
      <c r="N27" s="44" t="str">
        <f aca="true">IF(A27="","",IF(N(K27)&gt;Settings!$S$7,"Over revision limit",IF(AND(D27="Free video",J27="",E27&lt;&gt;"",TODAY()&gt;WORKDAY(E27,Settings!$S$5)),"LATE – free video promised in 5 working days",IF(AND(E27&lt;&gt;"",E27=TODAY()),"Shooting today",""))))</f>
        <v/>
      </c>
    </row>
    <row r="28" customFormat="false" ht="15" hidden="false" customHeight="false" outlineLevel="0" collapsed="false">
      <c r="A28" s="17"/>
      <c r="B28" s="17"/>
      <c r="C28" s="44" t="str">
        <f aca="false">IF(B28="","",IFERROR(INDEX(Clients!$C$2:$C$501,MATCH(B28,Clients!$A$2:$A$501,0)),"Client ID not found"))</f>
        <v/>
      </c>
      <c r="D28" s="17"/>
      <c r="E28" s="38"/>
      <c r="F28" s="39"/>
      <c r="G28" s="17"/>
      <c r="H28" s="17"/>
      <c r="I28" s="17"/>
      <c r="J28" s="38"/>
      <c r="K28" s="17"/>
      <c r="L28" s="17"/>
      <c r="M28" s="17"/>
      <c r="N28" s="44" t="str">
        <f aca="true">IF(A28="","",IF(N(K28)&gt;Settings!$S$7,"Over revision limit",IF(AND(D28="Free video",J28="",E28&lt;&gt;"",TODAY()&gt;WORKDAY(E28,Settings!$S$5)),"LATE – free video promised in 5 working days",IF(AND(E28&lt;&gt;"",E28=TODAY()),"Shooting today",""))))</f>
        <v/>
      </c>
    </row>
    <row r="29" customFormat="false" ht="15" hidden="false" customHeight="false" outlineLevel="0" collapsed="false">
      <c r="A29" s="17"/>
      <c r="B29" s="17"/>
      <c r="C29" s="44" t="str">
        <f aca="false">IF(B29="","",IFERROR(INDEX(Clients!$C$2:$C$501,MATCH(B29,Clients!$A$2:$A$501,0)),"Client ID not found"))</f>
        <v/>
      </c>
      <c r="D29" s="17"/>
      <c r="E29" s="38"/>
      <c r="F29" s="39"/>
      <c r="G29" s="17"/>
      <c r="H29" s="17"/>
      <c r="I29" s="17"/>
      <c r="J29" s="38"/>
      <c r="K29" s="17"/>
      <c r="L29" s="17"/>
      <c r="M29" s="17"/>
      <c r="N29" s="44" t="str">
        <f aca="true">IF(A29="","",IF(N(K29)&gt;Settings!$S$7,"Over revision limit",IF(AND(D29="Free video",J29="",E29&lt;&gt;"",TODAY()&gt;WORKDAY(E29,Settings!$S$5)),"LATE – free video promised in 5 working days",IF(AND(E29&lt;&gt;"",E29=TODAY()),"Shooting today",""))))</f>
        <v/>
      </c>
    </row>
    <row r="30" customFormat="false" ht="15" hidden="false" customHeight="false" outlineLevel="0" collapsed="false">
      <c r="A30" s="17"/>
      <c r="B30" s="17"/>
      <c r="C30" s="44" t="str">
        <f aca="false">IF(B30="","",IFERROR(INDEX(Clients!$C$2:$C$501,MATCH(B30,Clients!$A$2:$A$501,0)),"Client ID not found"))</f>
        <v/>
      </c>
      <c r="D30" s="17"/>
      <c r="E30" s="38"/>
      <c r="F30" s="39"/>
      <c r="G30" s="17"/>
      <c r="H30" s="17"/>
      <c r="I30" s="17"/>
      <c r="J30" s="38"/>
      <c r="K30" s="17"/>
      <c r="L30" s="17"/>
      <c r="M30" s="17"/>
      <c r="N30" s="44" t="str">
        <f aca="true">IF(A30="","",IF(N(K30)&gt;Settings!$S$7,"Over revision limit",IF(AND(D30="Free video",J30="",E30&lt;&gt;"",TODAY()&gt;WORKDAY(E30,Settings!$S$5)),"LATE – free video promised in 5 working days",IF(AND(E30&lt;&gt;"",E30=TODAY()),"Shooting today",""))))</f>
        <v/>
      </c>
    </row>
    <row r="31" customFormat="false" ht="15" hidden="false" customHeight="false" outlineLevel="0" collapsed="false">
      <c r="A31" s="17"/>
      <c r="B31" s="17"/>
      <c r="C31" s="44" t="str">
        <f aca="false">IF(B31="","",IFERROR(INDEX(Clients!$C$2:$C$501,MATCH(B31,Clients!$A$2:$A$501,0)),"Client ID not found"))</f>
        <v/>
      </c>
      <c r="D31" s="17"/>
      <c r="E31" s="38"/>
      <c r="F31" s="39"/>
      <c r="G31" s="17"/>
      <c r="H31" s="17"/>
      <c r="I31" s="17"/>
      <c r="J31" s="38"/>
      <c r="K31" s="17"/>
      <c r="L31" s="17"/>
      <c r="M31" s="17"/>
      <c r="N31" s="44" t="str">
        <f aca="true">IF(A31="","",IF(N(K31)&gt;Settings!$S$7,"Over revision limit",IF(AND(D31="Free video",J31="",E31&lt;&gt;"",TODAY()&gt;WORKDAY(E31,Settings!$S$5)),"LATE – free video promised in 5 working days",IF(AND(E31&lt;&gt;"",E31=TODAY()),"Shooting today",""))))</f>
        <v/>
      </c>
    </row>
    <row r="32" customFormat="false" ht="15" hidden="false" customHeight="false" outlineLevel="0" collapsed="false">
      <c r="A32" s="17"/>
      <c r="B32" s="17"/>
      <c r="C32" s="44" t="str">
        <f aca="false">IF(B32="","",IFERROR(INDEX(Clients!$C$2:$C$501,MATCH(B32,Clients!$A$2:$A$501,0)),"Client ID not found"))</f>
        <v/>
      </c>
      <c r="D32" s="17"/>
      <c r="E32" s="38"/>
      <c r="F32" s="39"/>
      <c r="G32" s="17"/>
      <c r="H32" s="17"/>
      <c r="I32" s="17"/>
      <c r="J32" s="38"/>
      <c r="K32" s="17"/>
      <c r="L32" s="17"/>
      <c r="M32" s="17"/>
      <c r="N32" s="44" t="str">
        <f aca="true">IF(A32="","",IF(N(K32)&gt;Settings!$S$7,"Over revision limit",IF(AND(D32="Free video",J32="",E32&lt;&gt;"",TODAY()&gt;WORKDAY(E32,Settings!$S$5)),"LATE – free video promised in 5 working days",IF(AND(E32&lt;&gt;"",E32=TODAY()),"Shooting today",""))))</f>
        <v/>
      </c>
    </row>
    <row r="33" customFormat="false" ht="15" hidden="false" customHeight="false" outlineLevel="0" collapsed="false">
      <c r="A33" s="17"/>
      <c r="B33" s="17"/>
      <c r="C33" s="44" t="str">
        <f aca="false">IF(B33="","",IFERROR(INDEX(Clients!$C$2:$C$501,MATCH(B33,Clients!$A$2:$A$501,0)),"Client ID not found"))</f>
        <v/>
      </c>
      <c r="D33" s="17"/>
      <c r="E33" s="38"/>
      <c r="F33" s="39"/>
      <c r="G33" s="17"/>
      <c r="H33" s="17"/>
      <c r="I33" s="17"/>
      <c r="J33" s="38"/>
      <c r="K33" s="17"/>
      <c r="L33" s="17"/>
      <c r="M33" s="17"/>
      <c r="N33" s="44" t="str">
        <f aca="true">IF(A33="","",IF(N(K33)&gt;Settings!$S$7,"Over revision limit",IF(AND(D33="Free video",J33="",E33&lt;&gt;"",TODAY()&gt;WORKDAY(E33,Settings!$S$5)),"LATE – free video promised in 5 working days",IF(AND(E33&lt;&gt;"",E33=TODAY()),"Shooting today",""))))</f>
        <v/>
      </c>
    </row>
    <row r="34" customFormat="false" ht="15" hidden="false" customHeight="false" outlineLevel="0" collapsed="false">
      <c r="A34" s="17"/>
      <c r="B34" s="17"/>
      <c r="C34" s="44" t="str">
        <f aca="false">IF(B34="","",IFERROR(INDEX(Clients!$C$2:$C$501,MATCH(B34,Clients!$A$2:$A$501,0)),"Client ID not found"))</f>
        <v/>
      </c>
      <c r="D34" s="17"/>
      <c r="E34" s="38"/>
      <c r="F34" s="39"/>
      <c r="G34" s="17"/>
      <c r="H34" s="17"/>
      <c r="I34" s="17"/>
      <c r="J34" s="38"/>
      <c r="K34" s="17"/>
      <c r="L34" s="17"/>
      <c r="M34" s="17"/>
      <c r="N34" s="44" t="str">
        <f aca="true">IF(A34="","",IF(N(K34)&gt;Settings!$S$7,"Over revision limit",IF(AND(D34="Free video",J34="",E34&lt;&gt;"",TODAY()&gt;WORKDAY(E34,Settings!$S$5)),"LATE – free video promised in 5 working days",IF(AND(E34&lt;&gt;"",E34=TODAY()),"Shooting today",""))))</f>
        <v/>
      </c>
    </row>
    <row r="35" customFormat="false" ht="15" hidden="false" customHeight="false" outlineLevel="0" collapsed="false">
      <c r="A35" s="17"/>
      <c r="B35" s="17"/>
      <c r="C35" s="44" t="str">
        <f aca="false">IF(B35="","",IFERROR(INDEX(Clients!$C$2:$C$501,MATCH(B35,Clients!$A$2:$A$501,0)),"Client ID not found"))</f>
        <v/>
      </c>
      <c r="D35" s="17"/>
      <c r="E35" s="38"/>
      <c r="F35" s="39"/>
      <c r="G35" s="17"/>
      <c r="H35" s="17"/>
      <c r="I35" s="17"/>
      <c r="J35" s="38"/>
      <c r="K35" s="17"/>
      <c r="L35" s="17"/>
      <c r="M35" s="17"/>
      <c r="N35" s="44" t="str">
        <f aca="true">IF(A35="","",IF(N(K35)&gt;Settings!$S$7,"Over revision limit",IF(AND(D35="Free video",J35="",E35&lt;&gt;"",TODAY()&gt;WORKDAY(E35,Settings!$S$5)),"LATE – free video promised in 5 working days",IF(AND(E35&lt;&gt;"",E35=TODAY()),"Shooting today",""))))</f>
        <v/>
      </c>
    </row>
    <row r="36" customFormat="false" ht="15" hidden="false" customHeight="false" outlineLevel="0" collapsed="false">
      <c r="A36" s="17"/>
      <c r="B36" s="17"/>
      <c r="C36" s="44" t="str">
        <f aca="false">IF(B36="","",IFERROR(INDEX(Clients!$C$2:$C$501,MATCH(B36,Clients!$A$2:$A$501,0)),"Client ID not found"))</f>
        <v/>
      </c>
      <c r="D36" s="17"/>
      <c r="E36" s="38"/>
      <c r="F36" s="39"/>
      <c r="G36" s="17"/>
      <c r="H36" s="17"/>
      <c r="I36" s="17"/>
      <c r="J36" s="38"/>
      <c r="K36" s="17"/>
      <c r="L36" s="17"/>
      <c r="M36" s="17"/>
      <c r="N36" s="44" t="str">
        <f aca="true">IF(A36="","",IF(N(K36)&gt;Settings!$S$7,"Over revision limit",IF(AND(D36="Free video",J36="",E36&lt;&gt;"",TODAY()&gt;WORKDAY(E36,Settings!$S$5)),"LATE – free video promised in 5 working days",IF(AND(E36&lt;&gt;"",E36=TODAY()),"Shooting today",""))))</f>
        <v/>
      </c>
    </row>
    <row r="37" customFormat="false" ht="15" hidden="false" customHeight="false" outlineLevel="0" collapsed="false">
      <c r="A37" s="17"/>
      <c r="B37" s="17"/>
      <c r="C37" s="44" t="str">
        <f aca="false">IF(B37="","",IFERROR(INDEX(Clients!$C$2:$C$501,MATCH(B37,Clients!$A$2:$A$501,0)),"Client ID not found"))</f>
        <v/>
      </c>
      <c r="D37" s="17"/>
      <c r="E37" s="38"/>
      <c r="F37" s="39"/>
      <c r="G37" s="17"/>
      <c r="H37" s="17"/>
      <c r="I37" s="17"/>
      <c r="J37" s="38"/>
      <c r="K37" s="17"/>
      <c r="L37" s="17"/>
      <c r="M37" s="17"/>
      <c r="N37" s="44" t="str">
        <f aca="true">IF(A37="","",IF(N(K37)&gt;Settings!$S$7,"Over revision limit",IF(AND(D37="Free video",J37="",E37&lt;&gt;"",TODAY()&gt;WORKDAY(E37,Settings!$S$5)),"LATE – free video promised in 5 working days",IF(AND(E37&lt;&gt;"",E37=TODAY()),"Shooting today",""))))</f>
        <v/>
      </c>
    </row>
    <row r="38" customFormat="false" ht="15" hidden="false" customHeight="false" outlineLevel="0" collapsed="false">
      <c r="A38" s="17"/>
      <c r="B38" s="17"/>
      <c r="C38" s="44" t="str">
        <f aca="false">IF(B38="","",IFERROR(INDEX(Clients!$C$2:$C$501,MATCH(B38,Clients!$A$2:$A$501,0)),"Client ID not found"))</f>
        <v/>
      </c>
      <c r="D38" s="17"/>
      <c r="E38" s="38"/>
      <c r="F38" s="39"/>
      <c r="G38" s="17"/>
      <c r="H38" s="17"/>
      <c r="I38" s="17"/>
      <c r="J38" s="38"/>
      <c r="K38" s="17"/>
      <c r="L38" s="17"/>
      <c r="M38" s="17"/>
      <c r="N38" s="44" t="str">
        <f aca="true">IF(A38="","",IF(N(K38)&gt;Settings!$S$7,"Over revision limit",IF(AND(D38="Free video",J38="",E38&lt;&gt;"",TODAY()&gt;WORKDAY(E38,Settings!$S$5)),"LATE – free video promised in 5 working days",IF(AND(E38&lt;&gt;"",E38=TODAY()),"Shooting today",""))))</f>
        <v/>
      </c>
    </row>
    <row r="39" customFormat="false" ht="15" hidden="false" customHeight="false" outlineLevel="0" collapsed="false">
      <c r="A39" s="17"/>
      <c r="B39" s="17"/>
      <c r="C39" s="44" t="str">
        <f aca="false">IF(B39="","",IFERROR(INDEX(Clients!$C$2:$C$501,MATCH(B39,Clients!$A$2:$A$501,0)),"Client ID not found"))</f>
        <v/>
      </c>
      <c r="D39" s="17"/>
      <c r="E39" s="38"/>
      <c r="F39" s="39"/>
      <c r="G39" s="17"/>
      <c r="H39" s="17"/>
      <c r="I39" s="17"/>
      <c r="J39" s="38"/>
      <c r="K39" s="17"/>
      <c r="L39" s="17"/>
      <c r="M39" s="17"/>
      <c r="N39" s="44" t="str">
        <f aca="true">IF(A39="","",IF(N(K39)&gt;Settings!$S$7,"Over revision limit",IF(AND(D39="Free video",J39="",E39&lt;&gt;"",TODAY()&gt;WORKDAY(E39,Settings!$S$5)),"LATE – free video promised in 5 working days",IF(AND(E39&lt;&gt;"",E39=TODAY()),"Shooting today",""))))</f>
        <v/>
      </c>
    </row>
    <row r="40" customFormat="false" ht="15" hidden="false" customHeight="false" outlineLevel="0" collapsed="false">
      <c r="A40" s="17"/>
      <c r="B40" s="17"/>
      <c r="C40" s="44" t="str">
        <f aca="false">IF(B40="","",IFERROR(INDEX(Clients!$C$2:$C$501,MATCH(B40,Clients!$A$2:$A$501,0)),"Client ID not found"))</f>
        <v/>
      </c>
      <c r="D40" s="17"/>
      <c r="E40" s="38"/>
      <c r="F40" s="39"/>
      <c r="G40" s="17"/>
      <c r="H40" s="17"/>
      <c r="I40" s="17"/>
      <c r="J40" s="38"/>
      <c r="K40" s="17"/>
      <c r="L40" s="17"/>
      <c r="M40" s="17"/>
      <c r="N40" s="44" t="str">
        <f aca="true">IF(A40="","",IF(N(K40)&gt;Settings!$S$7,"Over revision limit",IF(AND(D40="Free video",J40="",E40&lt;&gt;"",TODAY()&gt;WORKDAY(E40,Settings!$S$5)),"LATE – free video promised in 5 working days",IF(AND(E40&lt;&gt;"",E40=TODAY()),"Shooting today",""))))</f>
        <v/>
      </c>
    </row>
    <row r="41" customFormat="false" ht="15" hidden="false" customHeight="false" outlineLevel="0" collapsed="false">
      <c r="A41" s="17"/>
      <c r="B41" s="17"/>
      <c r="C41" s="44" t="str">
        <f aca="false">IF(B41="","",IFERROR(INDEX(Clients!$C$2:$C$501,MATCH(B41,Clients!$A$2:$A$501,0)),"Client ID not found"))</f>
        <v/>
      </c>
      <c r="D41" s="17"/>
      <c r="E41" s="38"/>
      <c r="F41" s="39"/>
      <c r="G41" s="17"/>
      <c r="H41" s="17"/>
      <c r="I41" s="17"/>
      <c r="J41" s="38"/>
      <c r="K41" s="17"/>
      <c r="L41" s="17"/>
      <c r="M41" s="17"/>
      <c r="N41" s="44" t="str">
        <f aca="true">IF(A41="","",IF(N(K41)&gt;Settings!$S$7,"Over revision limit",IF(AND(D41="Free video",J41="",E41&lt;&gt;"",TODAY()&gt;WORKDAY(E41,Settings!$S$5)),"LATE – free video promised in 5 working days",IF(AND(E41&lt;&gt;"",E41=TODAY()),"Shooting today",""))))</f>
        <v/>
      </c>
    </row>
    <row r="42" customFormat="false" ht="15" hidden="false" customHeight="false" outlineLevel="0" collapsed="false">
      <c r="A42" s="17"/>
      <c r="B42" s="17"/>
      <c r="C42" s="44" t="str">
        <f aca="false">IF(B42="","",IFERROR(INDEX(Clients!$C$2:$C$501,MATCH(B42,Clients!$A$2:$A$501,0)),"Client ID not found"))</f>
        <v/>
      </c>
      <c r="D42" s="17"/>
      <c r="E42" s="38"/>
      <c r="F42" s="39"/>
      <c r="G42" s="17"/>
      <c r="H42" s="17"/>
      <c r="I42" s="17"/>
      <c r="J42" s="38"/>
      <c r="K42" s="17"/>
      <c r="L42" s="17"/>
      <c r="M42" s="17"/>
      <c r="N42" s="44" t="str">
        <f aca="true">IF(A42="","",IF(N(K42)&gt;Settings!$S$7,"Over revision limit",IF(AND(D42="Free video",J42="",E42&lt;&gt;"",TODAY()&gt;WORKDAY(E42,Settings!$S$5)),"LATE – free video promised in 5 working days",IF(AND(E42&lt;&gt;"",E42=TODAY()),"Shooting today",""))))</f>
        <v/>
      </c>
    </row>
    <row r="43" customFormat="false" ht="15" hidden="false" customHeight="false" outlineLevel="0" collapsed="false">
      <c r="A43" s="17"/>
      <c r="B43" s="17"/>
      <c r="C43" s="44" t="str">
        <f aca="false">IF(B43="","",IFERROR(INDEX(Clients!$C$2:$C$501,MATCH(B43,Clients!$A$2:$A$501,0)),"Client ID not found"))</f>
        <v/>
      </c>
      <c r="D43" s="17"/>
      <c r="E43" s="38"/>
      <c r="F43" s="39"/>
      <c r="G43" s="17"/>
      <c r="H43" s="17"/>
      <c r="I43" s="17"/>
      <c r="J43" s="38"/>
      <c r="K43" s="17"/>
      <c r="L43" s="17"/>
      <c r="M43" s="17"/>
      <c r="N43" s="44" t="str">
        <f aca="true">IF(A43="","",IF(N(K43)&gt;Settings!$S$7,"Over revision limit",IF(AND(D43="Free video",J43="",E43&lt;&gt;"",TODAY()&gt;WORKDAY(E43,Settings!$S$5)),"LATE – free video promised in 5 working days",IF(AND(E43&lt;&gt;"",E43=TODAY()),"Shooting today",""))))</f>
        <v/>
      </c>
    </row>
    <row r="44" customFormat="false" ht="15" hidden="false" customHeight="false" outlineLevel="0" collapsed="false">
      <c r="A44" s="17"/>
      <c r="B44" s="17"/>
      <c r="C44" s="44" t="str">
        <f aca="false">IF(B44="","",IFERROR(INDEX(Clients!$C$2:$C$501,MATCH(B44,Clients!$A$2:$A$501,0)),"Client ID not found"))</f>
        <v/>
      </c>
      <c r="D44" s="17"/>
      <c r="E44" s="38"/>
      <c r="F44" s="39"/>
      <c r="G44" s="17"/>
      <c r="H44" s="17"/>
      <c r="I44" s="17"/>
      <c r="J44" s="38"/>
      <c r="K44" s="17"/>
      <c r="L44" s="17"/>
      <c r="M44" s="17"/>
      <c r="N44" s="44" t="str">
        <f aca="true">IF(A44="","",IF(N(K44)&gt;Settings!$S$7,"Over revision limit",IF(AND(D44="Free video",J44="",E44&lt;&gt;"",TODAY()&gt;WORKDAY(E44,Settings!$S$5)),"LATE – free video promised in 5 working days",IF(AND(E44&lt;&gt;"",E44=TODAY()),"Shooting today",""))))</f>
        <v/>
      </c>
    </row>
    <row r="45" customFormat="false" ht="15" hidden="false" customHeight="false" outlineLevel="0" collapsed="false">
      <c r="A45" s="17"/>
      <c r="B45" s="17"/>
      <c r="C45" s="44" t="str">
        <f aca="false">IF(B45="","",IFERROR(INDEX(Clients!$C$2:$C$501,MATCH(B45,Clients!$A$2:$A$501,0)),"Client ID not found"))</f>
        <v/>
      </c>
      <c r="D45" s="17"/>
      <c r="E45" s="38"/>
      <c r="F45" s="39"/>
      <c r="G45" s="17"/>
      <c r="H45" s="17"/>
      <c r="I45" s="17"/>
      <c r="J45" s="38"/>
      <c r="K45" s="17"/>
      <c r="L45" s="17"/>
      <c r="M45" s="17"/>
      <c r="N45" s="44" t="str">
        <f aca="true">IF(A45="","",IF(N(K45)&gt;Settings!$S$7,"Over revision limit",IF(AND(D45="Free video",J45="",E45&lt;&gt;"",TODAY()&gt;WORKDAY(E45,Settings!$S$5)),"LATE – free video promised in 5 working days",IF(AND(E45&lt;&gt;"",E45=TODAY()),"Shooting today",""))))</f>
        <v/>
      </c>
    </row>
    <row r="46" customFormat="false" ht="15" hidden="false" customHeight="false" outlineLevel="0" collapsed="false">
      <c r="A46" s="17"/>
      <c r="B46" s="17"/>
      <c r="C46" s="44" t="str">
        <f aca="false">IF(B46="","",IFERROR(INDEX(Clients!$C$2:$C$501,MATCH(B46,Clients!$A$2:$A$501,0)),"Client ID not found"))</f>
        <v/>
      </c>
      <c r="D46" s="17"/>
      <c r="E46" s="38"/>
      <c r="F46" s="39"/>
      <c r="G46" s="17"/>
      <c r="H46" s="17"/>
      <c r="I46" s="17"/>
      <c r="J46" s="38"/>
      <c r="K46" s="17"/>
      <c r="L46" s="17"/>
      <c r="M46" s="17"/>
      <c r="N46" s="44" t="str">
        <f aca="true">IF(A46="","",IF(N(K46)&gt;Settings!$S$7,"Over revision limit",IF(AND(D46="Free video",J46="",E46&lt;&gt;"",TODAY()&gt;WORKDAY(E46,Settings!$S$5)),"LATE – free video promised in 5 working days",IF(AND(E46&lt;&gt;"",E46=TODAY()),"Shooting today",""))))</f>
        <v/>
      </c>
    </row>
    <row r="47" customFormat="false" ht="15" hidden="false" customHeight="false" outlineLevel="0" collapsed="false">
      <c r="A47" s="17"/>
      <c r="B47" s="17"/>
      <c r="C47" s="44" t="str">
        <f aca="false">IF(B47="","",IFERROR(INDEX(Clients!$C$2:$C$501,MATCH(B47,Clients!$A$2:$A$501,0)),"Client ID not found"))</f>
        <v/>
      </c>
      <c r="D47" s="17"/>
      <c r="E47" s="38"/>
      <c r="F47" s="39"/>
      <c r="G47" s="17"/>
      <c r="H47" s="17"/>
      <c r="I47" s="17"/>
      <c r="J47" s="38"/>
      <c r="K47" s="17"/>
      <c r="L47" s="17"/>
      <c r="M47" s="17"/>
      <c r="N47" s="44" t="str">
        <f aca="true">IF(A47="","",IF(N(K47)&gt;Settings!$S$7,"Over revision limit",IF(AND(D47="Free video",J47="",E47&lt;&gt;"",TODAY()&gt;WORKDAY(E47,Settings!$S$5)),"LATE – free video promised in 5 working days",IF(AND(E47&lt;&gt;"",E47=TODAY()),"Shooting today",""))))</f>
        <v/>
      </c>
    </row>
    <row r="48" customFormat="false" ht="15" hidden="false" customHeight="false" outlineLevel="0" collapsed="false">
      <c r="A48" s="17"/>
      <c r="B48" s="17"/>
      <c r="C48" s="44" t="str">
        <f aca="false">IF(B48="","",IFERROR(INDEX(Clients!$C$2:$C$501,MATCH(B48,Clients!$A$2:$A$501,0)),"Client ID not found"))</f>
        <v/>
      </c>
      <c r="D48" s="17"/>
      <c r="E48" s="38"/>
      <c r="F48" s="39"/>
      <c r="G48" s="17"/>
      <c r="H48" s="17"/>
      <c r="I48" s="17"/>
      <c r="J48" s="38"/>
      <c r="K48" s="17"/>
      <c r="L48" s="17"/>
      <c r="M48" s="17"/>
      <c r="N48" s="44" t="str">
        <f aca="true">IF(A48="","",IF(N(K48)&gt;Settings!$S$7,"Over revision limit",IF(AND(D48="Free video",J48="",E48&lt;&gt;"",TODAY()&gt;WORKDAY(E48,Settings!$S$5)),"LATE – free video promised in 5 working days",IF(AND(E48&lt;&gt;"",E48=TODAY()),"Shooting today",""))))</f>
        <v/>
      </c>
    </row>
    <row r="49" customFormat="false" ht="15" hidden="false" customHeight="false" outlineLevel="0" collapsed="false">
      <c r="A49" s="17"/>
      <c r="B49" s="17"/>
      <c r="C49" s="44" t="str">
        <f aca="false">IF(B49="","",IFERROR(INDEX(Clients!$C$2:$C$501,MATCH(B49,Clients!$A$2:$A$501,0)),"Client ID not found"))</f>
        <v/>
      </c>
      <c r="D49" s="17"/>
      <c r="E49" s="38"/>
      <c r="F49" s="39"/>
      <c r="G49" s="17"/>
      <c r="H49" s="17"/>
      <c r="I49" s="17"/>
      <c r="J49" s="38"/>
      <c r="K49" s="17"/>
      <c r="L49" s="17"/>
      <c r="M49" s="17"/>
      <c r="N49" s="44" t="str">
        <f aca="true">IF(A49="","",IF(N(K49)&gt;Settings!$S$7,"Over revision limit",IF(AND(D49="Free video",J49="",E49&lt;&gt;"",TODAY()&gt;WORKDAY(E49,Settings!$S$5)),"LATE – free video promised in 5 working days",IF(AND(E49&lt;&gt;"",E49=TODAY()),"Shooting today",""))))</f>
        <v/>
      </c>
    </row>
    <row r="50" customFormat="false" ht="15" hidden="false" customHeight="false" outlineLevel="0" collapsed="false">
      <c r="A50" s="17"/>
      <c r="B50" s="17"/>
      <c r="C50" s="44" t="str">
        <f aca="false">IF(B50="","",IFERROR(INDEX(Clients!$C$2:$C$501,MATCH(B50,Clients!$A$2:$A$501,0)),"Client ID not found"))</f>
        <v/>
      </c>
      <c r="D50" s="17"/>
      <c r="E50" s="38"/>
      <c r="F50" s="39"/>
      <c r="G50" s="17"/>
      <c r="H50" s="17"/>
      <c r="I50" s="17"/>
      <c r="J50" s="38"/>
      <c r="K50" s="17"/>
      <c r="L50" s="17"/>
      <c r="M50" s="17"/>
      <c r="N50" s="44" t="str">
        <f aca="true">IF(A50="","",IF(N(K50)&gt;Settings!$S$7,"Over revision limit",IF(AND(D50="Free video",J50="",E50&lt;&gt;"",TODAY()&gt;WORKDAY(E50,Settings!$S$5)),"LATE – free video promised in 5 working days",IF(AND(E50&lt;&gt;"",E50=TODAY()),"Shooting today",""))))</f>
        <v/>
      </c>
    </row>
    <row r="51" customFormat="false" ht="15" hidden="false" customHeight="false" outlineLevel="0" collapsed="false">
      <c r="A51" s="17"/>
      <c r="B51" s="17"/>
      <c r="C51" s="44" t="str">
        <f aca="false">IF(B51="","",IFERROR(INDEX(Clients!$C$2:$C$501,MATCH(B51,Clients!$A$2:$A$501,0)),"Client ID not found"))</f>
        <v/>
      </c>
      <c r="D51" s="17"/>
      <c r="E51" s="38"/>
      <c r="F51" s="39"/>
      <c r="G51" s="17"/>
      <c r="H51" s="17"/>
      <c r="I51" s="17"/>
      <c r="J51" s="38"/>
      <c r="K51" s="17"/>
      <c r="L51" s="17"/>
      <c r="M51" s="17"/>
      <c r="N51" s="44" t="str">
        <f aca="true">IF(A51="","",IF(N(K51)&gt;Settings!$S$7,"Over revision limit",IF(AND(D51="Free video",J51="",E51&lt;&gt;"",TODAY()&gt;WORKDAY(E51,Settings!$S$5)),"LATE – free video promised in 5 working days",IF(AND(E51&lt;&gt;"",E51=TODAY()),"Shooting today",""))))</f>
        <v/>
      </c>
    </row>
    <row r="52" customFormat="false" ht="15" hidden="false" customHeight="false" outlineLevel="0" collapsed="false">
      <c r="A52" s="17"/>
      <c r="B52" s="17"/>
      <c r="C52" s="44" t="str">
        <f aca="false">IF(B52="","",IFERROR(INDEX(Clients!$C$2:$C$501,MATCH(B52,Clients!$A$2:$A$501,0)),"Client ID not found"))</f>
        <v/>
      </c>
      <c r="D52" s="17"/>
      <c r="E52" s="38"/>
      <c r="F52" s="39"/>
      <c r="G52" s="17"/>
      <c r="H52" s="17"/>
      <c r="I52" s="17"/>
      <c r="J52" s="38"/>
      <c r="K52" s="17"/>
      <c r="L52" s="17"/>
      <c r="M52" s="17"/>
      <c r="N52" s="44" t="str">
        <f aca="true">IF(A52="","",IF(N(K52)&gt;Settings!$S$7,"Over revision limit",IF(AND(D52="Free video",J52="",E52&lt;&gt;"",TODAY()&gt;WORKDAY(E52,Settings!$S$5)),"LATE – free video promised in 5 working days",IF(AND(E52&lt;&gt;"",E52=TODAY()),"Shooting today",""))))</f>
        <v/>
      </c>
    </row>
    <row r="53" customFormat="false" ht="15" hidden="false" customHeight="false" outlineLevel="0" collapsed="false">
      <c r="A53" s="17"/>
      <c r="B53" s="17"/>
      <c r="C53" s="44" t="str">
        <f aca="false">IF(B53="","",IFERROR(INDEX(Clients!$C$2:$C$501,MATCH(B53,Clients!$A$2:$A$501,0)),"Client ID not found"))</f>
        <v/>
      </c>
      <c r="D53" s="17"/>
      <c r="E53" s="38"/>
      <c r="F53" s="39"/>
      <c r="G53" s="17"/>
      <c r="H53" s="17"/>
      <c r="I53" s="17"/>
      <c r="J53" s="38"/>
      <c r="K53" s="17"/>
      <c r="L53" s="17"/>
      <c r="M53" s="17"/>
      <c r="N53" s="44" t="str">
        <f aca="true">IF(A53="","",IF(N(K53)&gt;Settings!$S$7,"Over revision limit",IF(AND(D53="Free video",J53="",E53&lt;&gt;"",TODAY()&gt;WORKDAY(E53,Settings!$S$5)),"LATE – free video promised in 5 working days",IF(AND(E53&lt;&gt;"",E53=TODAY()),"Shooting today",""))))</f>
        <v/>
      </c>
    </row>
    <row r="54" customFormat="false" ht="15" hidden="false" customHeight="false" outlineLevel="0" collapsed="false">
      <c r="A54" s="17"/>
      <c r="B54" s="17"/>
      <c r="C54" s="44" t="str">
        <f aca="false">IF(B54="","",IFERROR(INDEX(Clients!$C$2:$C$501,MATCH(B54,Clients!$A$2:$A$501,0)),"Client ID not found"))</f>
        <v/>
      </c>
      <c r="D54" s="17"/>
      <c r="E54" s="38"/>
      <c r="F54" s="39"/>
      <c r="G54" s="17"/>
      <c r="H54" s="17"/>
      <c r="I54" s="17"/>
      <c r="J54" s="38"/>
      <c r="K54" s="17"/>
      <c r="L54" s="17"/>
      <c r="M54" s="17"/>
      <c r="N54" s="44" t="str">
        <f aca="true">IF(A54="","",IF(N(K54)&gt;Settings!$S$7,"Over revision limit",IF(AND(D54="Free video",J54="",E54&lt;&gt;"",TODAY()&gt;WORKDAY(E54,Settings!$S$5)),"LATE – free video promised in 5 working days",IF(AND(E54&lt;&gt;"",E54=TODAY()),"Shooting today",""))))</f>
        <v/>
      </c>
    </row>
    <row r="55" customFormat="false" ht="15" hidden="false" customHeight="false" outlineLevel="0" collapsed="false">
      <c r="A55" s="17"/>
      <c r="B55" s="17"/>
      <c r="C55" s="44" t="str">
        <f aca="false">IF(B55="","",IFERROR(INDEX(Clients!$C$2:$C$501,MATCH(B55,Clients!$A$2:$A$501,0)),"Client ID not found"))</f>
        <v/>
      </c>
      <c r="D55" s="17"/>
      <c r="E55" s="38"/>
      <c r="F55" s="39"/>
      <c r="G55" s="17"/>
      <c r="H55" s="17"/>
      <c r="I55" s="17"/>
      <c r="J55" s="38"/>
      <c r="K55" s="17"/>
      <c r="L55" s="17"/>
      <c r="M55" s="17"/>
      <c r="N55" s="44" t="str">
        <f aca="true">IF(A55="","",IF(N(K55)&gt;Settings!$S$7,"Over revision limit",IF(AND(D55="Free video",J55="",E55&lt;&gt;"",TODAY()&gt;WORKDAY(E55,Settings!$S$5)),"LATE – free video promised in 5 working days",IF(AND(E55&lt;&gt;"",E55=TODAY()),"Shooting today",""))))</f>
        <v/>
      </c>
    </row>
    <row r="56" customFormat="false" ht="15" hidden="false" customHeight="false" outlineLevel="0" collapsed="false">
      <c r="A56" s="17"/>
      <c r="B56" s="17"/>
      <c r="C56" s="44" t="str">
        <f aca="false">IF(B56="","",IFERROR(INDEX(Clients!$C$2:$C$501,MATCH(B56,Clients!$A$2:$A$501,0)),"Client ID not found"))</f>
        <v/>
      </c>
      <c r="D56" s="17"/>
      <c r="E56" s="38"/>
      <c r="F56" s="39"/>
      <c r="G56" s="17"/>
      <c r="H56" s="17"/>
      <c r="I56" s="17"/>
      <c r="J56" s="38"/>
      <c r="K56" s="17"/>
      <c r="L56" s="17"/>
      <c r="M56" s="17"/>
      <c r="N56" s="44" t="str">
        <f aca="true">IF(A56="","",IF(N(K56)&gt;Settings!$S$7,"Over revision limit",IF(AND(D56="Free video",J56="",E56&lt;&gt;"",TODAY()&gt;WORKDAY(E56,Settings!$S$5)),"LATE – free video promised in 5 working days",IF(AND(E56&lt;&gt;"",E56=TODAY()),"Shooting today",""))))</f>
        <v/>
      </c>
    </row>
    <row r="57" customFormat="false" ht="15" hidden="false" customHeight="false" outlineLevel="0" collapsed="false">
      <c r="A57" s="17"/>
      <c r="B57" s="17"/>
      <c r="C57" s="44" t="str">
        <f aca="false">IF(B57="","",IFERROR(INDEX(Clients!$C$2:$C$501,MATCH(B57,Clients!$A$2:$A$501,0)),"Client ID not found"))</f>
        <v/>
      </c>
      <c r="D57" s="17"/>
      <c r="E57" s="38"/>
      <c r="F57" s="39"/>
      <c r="G57" s="17"/>
      <c r="H57" s="17"/>
      <c r="I57" s="17"/>
      <c r="J57" s="38"/>
      <c r="K57" s="17"/>
      <c r="L57" s="17"/>
      <c r="M57" s="17"/>
      <c r="N57" s="44" t="str">
        <f aca="true">IF(A57="","",IF(N(K57)&gt;Settings!$S$7,"Over revision limit",IF(AND(D57="Free video",J57="",E57&lt;&gt;"",TODAY()&gt;WORKDAY(E57,Settings!$S$5)),"LATE – free video promised in 5 working days",IF(AND(E57&lt;&gt;"",E57=TODAY()),"Shooting today",""))))</f>
        <v/>
      </c>
    </row>
    <row r="58" customFormat="false" ht="15" hidden="false" customHeight="false" outlineLevel="0" collapsed="false">
      <c r="A58" s="17"/>
      <c r="B58" s="17"/>
      <c r="C58" s="44" t="str">
        <f aca="false">IF(B58="","",IFERROR(INDEX(Clients!$C$2:$C$501,MATCH(B58,Clients!$A$2:$A$501,0)),"Client ID not found"))</f>
        <v/>
      </c>
      <c r="D58" s="17"/>
      <c r="E58" s="38"/>
      <c r="F58" s="39"/>
      <c r="G58" s="17"/>
      <c r="H58" s="17"/>
      <c r="I58" s="17"/>
      <c r="J58" s="38"/>
      <c r="K58" s="17"/>
      <c r="L58" s="17"/>
      <c r="M58" s="17"/>
      <c r="N58" s="44" t="str">
        <f aca="true">IF(A58="","",IF(N(K58)&gt;Settings!$S$7,"Over revision limit",IF(AND(D58="Free video",J58="",E58&lt;&gt;"",TODAY()&gt;WORKDAY(E58,Settings!$S$5)),"LATE – free video promised in 5 working days",IF(AND(E58&lt;&gt;"",E58=TODAY()),"Shooting today",""))))</f>
        <v/>
      </c>
    </row>
    <row r="59" customFormat="false" ht="15" hidden="false" customHeight="false" outlineLevel="0" collapsed="false">
      <c r="A59" s="17"/>
      <c r="B59" s="17"/>
      <c r="C59" s="44" t="str">
        <f aca="false">IF(B59="","",IFERROR(INDEX(Clients!$C$2:$C$501,MATCH(B59,Clients!$A$2:$A$501,0)),"Client ID not found"))</f>
        <v/>
      </c>
      <c r="D59" s="17"/>
      <c r="E59" s="38"/>
      <c r="F59" s="39"/>
      <c r="G59" s="17"/>
      <c r="H59" s="17"/>
      <c r="I59" s="17"/>
      <c r="J59" s="38"/>
      <c r="K59" s="17"/>
      <c r="L59" s="17"/>
      <c r="M59" s="17"/>
      <c r="N59" s="44" t="str">
        <f aca="true">IF(A59="","",IF(N(K59)&gt;Settings!$S$7,"Over revision limit",IF(AND(D59="Free video",J59="",E59&lt;&gt;"",TODAY()&gt;WORKDAY(E59,Settings!$S$5)),"LATE – free video promised in 5 working days",IF(AND(E59&lt;&gt;"",E59=TODAY()),"Shooting today",""))))</f>
        <v/>
      </c>
    </row>
    <row r="60" customFormat="false" ht="15" hidden="false" customHeight="false" outlineLevel="0" collapsed="false">
      <c r="A60" s="17"/>
      <c r="B60" s="17"/>
      <c r="C60" s="44" t="str">
        <f aca="false">IF(B60="","",IFERROR(INDEX(Clients!$C$2:$C$501,MATCH(B60,Clients!$A$2:$A$501,0)),"Client ID not found"))</f>
        <v/>
      </c>
      <c r="D60" s="17"/>
      <c r="E60" s="38"/>
      <c r="F60" s="39"/>
      <c r="G60" s="17"/>
      <c r="H60" s="17"/>
      <c r="I60" s="17"/>
      <c r="J60" s="38"/>
      <c r="K60" s="17"/>
      <c r="L60" s="17"/>
      <c r="M60" s="17"/>
      <c r="N60" s="44" t="str">
        <f aca="true">IF(A60="","",IF(N(K60)&gt;Settings!$S$7,"Over revision limit",IF(AND(D60="Free video",J60="",E60&lt;&gt;"",TODAY()&gt;WORKDAY(E60,Settings!$S$5)),"LATE – free video promised in 5 working days",IF(AND(E60&lt;&gt;"",E60=TODAY()),"Shooting today",""))))</f>
        <v/>
      </c>
    </row>
    <row r="61" customFormat="false" ht="15" hidden="false" customHeight="false" outlineLevel="0" collapsed="false">
      <c r="A61" s="17"/>
      <c r="B61" s="17"/>
      <c r="C61" s="44" t="str">
        <f aca="false">IF(B61="","",IFERROR(INDEX(Clients!$C$2:$C$501,MATCH(B61,Clients!$A$2:$A$501,0)),"Client ID not found"))</f>
        <v/>
      </c>
      <c r="D61" s="17"/>
      <c r="E61" s="38"/>
      <c r="F61" s="39"/>
      <c r="G61" s="17"/>
      <c r="H61" s="17"/>
      <c r="I61" s="17"/>
      <c r="J61" s="38"/>
      <c r="K61" s="17"/>
      <c r="L61" s="17"/>
      <c r="M61" s="17"/>
      <c r="N61" s="44" t="str">
        <f aca="true">IF(A61="","",IF(N(K61)&gt;Settings!$S$7,"Over revision limit",IF(AND(D61="Free video",J61="",E61&lt;&gt;"",TODAY()&gt;WORKDAY(E61,Settings!$S$5)),"LATE – free video promised in 5 working days",IF(AND(E61&lt;&gt;"",E61=TODAY()),"Shooting today",""))))</f>
        <v/>
      </c>
    </row>
    <row r="62" customFormat="false" ht="15" hidden="false" customHeight="false" outlineLevel="0" collapsed="false">
      <c r="A62" s="17"/>
      <c r="B62" s="17"/>
      <c r="C62" s="44" t="str">
        <f aca="false">IF(B62="","",IFERROR(INDEX(Clients!$C$2:$C$501,MATCH(B62,Clients!$A$2:$A$501,0)),"Client ID not found"))</f>
        <v/>
      </c>
      <c r="D62" s="17"/>
      <c r="E62" s="38"/>
      <c r="F62" s="39"/>
      <c r="G62" s="17"/>
      <c r="H62" s="17"/>
      <c r="I62" s="17"/>
      <c r="J62" s="38"/>
      <c r="K62" s="17"/>
      <c r="L62" s="17"/>
      <c r="M62" s="17"/>
      <c r="N62" s="44" t="str">
        <f aca="true">IF(A62="","",IF(N(K62)&gt;Settings!$S$7,"Over revision limit",IF(AND(D62="Free video",J62="",E62&lt;&gt;"",TODAY()&gt;WORKDAY(E62,Settings!$S$5)),"LATE – free video promised in 5 working days",IF(AND(E62&lt;&gt;"",E62=TODAY()),"Shooting today",""))))</f>
        <v/>
      </c>
    </row>
    <row r="63" customFormat="false" ht="15" hidden="false" customHeight="false" outlineLevel="0" collapsed="false">
      <c r="A63" s="17"/>
      <c r="B63" s="17"/>
      <c r="C63" s="44" t="str">
        <f aca="false">IF(B63="","",IFERROR(INDEX(Clients!$C$2:$C$501,MATCH(B63,Clients!$A$2:$A$501,0)),"Client ID not found"))</f>
        <v/>
      </c>
      <c r="D63" s="17"/>
      <c r="E63" s="38"/>
      <c r="F63" s="39"/>
      <c r="G63" s="17"/>
      <c r="H63" s="17"/>
      <c r="I63" s="17"/>
      <c r="J63" s="38"/>
      <c r="K63" s="17"/>
      <c r="L63" s="17"/>
      <c r="M63" s="17"/>
      <c r="N63" s="44" t="str">
        <f aca="true">IF(A63="","",IF(N(K63)&gt;Settings!$S$7,"Over revision limit",IF(AND(D63="Free video",J63="",E63&lt;&gt;"",TODAY()&gt;WORKDAY(E63,Settings!$S$5)),"LATE – free video promised in 5 working days",IF(AND(E63&lt;&gt;"",E63=TODAY()),"Shooting today",""))))</f>
        <v/>
      </c>
    </row>
    <row r="64" customFormat="false" ht="15" hidden="false" customHeight="false" outlineLevel="0" collapsed="false">
      <c r="A64" s="17"/>
      <c r="B64" s="17"/>
      <c r="C64" s="44" t="str">
        <f aca="false">IF(B64="","",IFERROR(INDEX(Clients!$C$2:$C$501,MATCH(B64,Clients!$A$2:$A$501,0)),"Client ID not found"))</f>
        <v/>
      </c>
      <c r="D64" s="17"/>
      <c r="E64" s="38"/>
      <c r="F64" s="39"/>
      <c r="G64" s="17"/>
      <c r="H64" s="17"/>
      <c r="I64" s="17"/>
      <c r="J64" s="38"/>
      <c r="K64" s="17"/>
      <c r="L64" s="17"/>
      <c r="M64" s="17"/>
      <c r="N64" s="44" t="str">
        <f aca="true">IF(A64="","",IF(N(K64)&gt;Settings!$S$7,"Over revision limit",IF(AND(D64="Free video",J64="",E64&lt;&gt;"",TODAY()&gt;WORKDAY(E64,Settings!$S$5)),"LATE – free video promised in 5 working days",IF(AND(E64&lt;&gt;"",E64=TODAY()),"Shooting today",""))))</f>
        <v/>
      </c>
    </row>
    <row r="65" customFormat="false" ht="15" hidden="false" customHeight="false" outlineLevel="0" collapsed="false">
      <c r="A65" s="17"/>
      <c r="B65" s="17"/>
      <c r="C65" s="44" t="str">
        <f aca="false">IF(B65="","",IFERROR(INDEX(Clients!$C$2:$C$501,MATCH(B65,Clients!$A$2:$A$501,0)),"Client ID not found"))</f>
        <v/>
      </c>
      <c r="D65" s="17"/>
      <c r="E65" s="38"/>
      <c r="F65" s="39"/>
      <c r="G65" s="17"/>
      <c r="H65" s="17"/>
      <c r="I65" s="17"/>
      <c r="J65" s="38"/>
      <c r="K65" s="17"/>
      <c r="L65" s="17"/>
      <c r="M65" s="17"/>
      <c r="N65" s="44" t="str">
        <f aca="true">IF(A65="","",IF(N(K65)&gt;Settings!$S$7,"Over revision limit",IF(AND(D65="Free video",J65="",E65&lt;&gt;"",TODAY()&gt;WORKDAY(E65,Settings!$S$5)),"LATE – free video promised in 5 working days",IF(AND(E65&lt;&gt;"",E65=TODAY()),"Shooting today",""))))</f>
        <v/>
      </c>
    </row>
    <row r="66" customFormat="false" ht="15" hidden="false" customHeight="false" outlineLevel="0" collapsed="false">
      <c r="A66" s="17"/>
      <c r="B66" s="17"/>
      <c r="C66" s="44" t="str">
        <f aca="false">IF(B66="","",IFERROR(INDEX(Clients!$C$2:$C$501,MATCH(B66,Clients!$A$2:$A$501,0)),"Client ID not found"))</f>
        <v/>
      </c>
      <c r="D66" s="17"/>
      <c r="E66" s="38"/>
      <c r="F66" s="39"/>
      <c r="G66" s="17"/>
      <c r="H66" s="17"/>
      <c r="I66" s="17"/>
      <c r="J66" s="38"/>
      <c r="K66" s="17"/>
      <c r="L66" s="17"/>
      <c r="M66" s="17"/>
      <c r="N66" s="44" t="str">
        <f aca="true">IF(A66="","",IF(N(K66)&gt;Settings!$S$7,"Over revision limit",IF(AND(D66="Free video",J66="",E66&lt;&gt;"",TODAY()&gt;WORKDAY(E66,Settings!$S$5)),"LATE – free video promised in 5 working days",IF(AND(E66&lt;&gt;"",E66=TODAY()),"Shooting today",""))))</f>
        <v/>
      </c>
    </row>
    <row r="67" customFormat="false" ht="15" hidden="false" customHeight="false" outlineLevel="0" collapsed="false">
      <c r="A67" s="17"/>
      <c r="B67" s="17"/>
      <c r="C67" s="44" t="str">
        <f aca="false">IF(B67="","",IFERROR(INDEX(Clients!$C$2:$C$501,MATCH(B67,Clients!$A$2:$A$501,0)),"Client ID not found"))</f>
        <v/>
      </c>
      <c r="D67" s="17"/>
      <c r="E67" s="38"/>
      <c r="F67" s="39"/>
      <c r="G67" s="17"/>
      <c r="H67" s="17"/>
      <c r="I67" s="17"/>
      <c r="J67" s="38"/>
      <c r="K67" s="17"/>
      <c r="L67" s="17"/>
      <c r="M67" s="17"/>
      <c r="N67" s="44" t="str">
        <f aca="true">IF(A67="","",IF(N(K67)&gt;Settings!$S$7,"Over revision limit",IF(AND(D67="Free video",J67="",E67&lt;&gt;"",TODAY()&gt;WORKDAY(E67,Settings!$S$5)),"LATE – free video promised in 5 working days",IF(AND(E67&lt;&gt;"",E67=TODAY()),"Shooting today",""))))</f>
        <v/>
      </c>
    </row>
    <row r="68" customFormat="false" ht="15" hidden="false" customHeight="false" outlineLevel="0" collapsed="false">
      <c r="A68" s="17"/>
      <c r="B68" s="17"/>
      <c r="C68" s="44" t="str">
        <f aca="false">IF(B68="","",IFERROR(INDEX(Clients!$C$2:$C$501,MATCH(B68,Clients!$A$2:$A$501,0)),"Client ID not found"))</f>
        <v/>
      </c>
      <c r="D68" s="17"/>
      <c r="E68" s="38"/>
      <c r="F68" s="39"/>
      <c r="G68" s="17"/>
      <c r="H68" s="17"/>
      <c r="I68" s="17"/>
      <c r="J68" s="38"/>
      <c r="K68" s="17"/>
      <c r="L68" s="17"/>
      <c r="M68" s="17"/>
      <c r="N68" s="44" t="str">
        <f aca="true">IF(A68="","",IF(N(K68)&gt;Settings!$S$7,"Over revision limit",IF(AND(D68="Free video",J68="",E68&lt;&gt;"",TODAY()&gt;WORKDAY(E68,Settings!$S$5)),"LATE – free video promised in 5 working days",IF(AND(E68&lt;&gt;"",E68=TODAY()),"Shooting today",""))))</f>
        <v/>
      </c>
    </row>
    <row r="69" customFormat="false" ht="15" hidden="false" customHeight="false" outlineLevel="0" collapsed="false">
      <c r="A69" s="17"/>
      <c r="B69" s="17"/>
      <c r="C69" s="44" t="str">
        <f aca="false">IF(B69="","",IFERROR(INDEX(Clients!$C$2:$C$501,MATCH(B69,Clients!$A$2:$A$501,0)),"Client ID not found"))</f>
        <v/>
      </c>
      <c r="D69" s="17"/>
      <c r="E69" s="38"/>
      <c r="F69" s="39"/>
      <c r="G69" s="17"/>
      <c r="H69" s="17"/>
      <c r="I69" s="17"/>
      <c r="J69" s="38"/>
      <c r="K69" s="17"/>
      <c r="L69" s="17"/>
      <c r="M69" s="17"/>
      <c r="N69" s="44" t="str">
        <f aca="true">IF(A69="","",IF(N(K69)&gt;Settings!$S$7,"Over revision limit",IF(AND(D69="Free video",J69="",E69&lt;&gt;"",TODAY()&gt;WORKDAY(E69,Settings!$S$5)),"LATE – free video promised in 5 working days",IF(AND(E69&lt;&gt;"",E69=TODAY()),"Shooting today",""))))</f>
        <v/>
      </c>
    </row>
    <row r="70" customFormat="false" ht="15" hidden="false" customHeight="false" outlineLevel="0" collapsed="false">
      <c r="A70" s="17"/>
      <c r="B70" s="17"/>
      <c r="C70" s="44" t="str">
        <f aca="false">IF(B70="","",IFERROR(INDEX(Clients!$C$2:$C$501,MATCH(B70,Clients!$A$2:$A$501,0)),"Client ID not found"))</f>
        <v/>
      </c>
      <c r="D70" s="17"/>
      <c r="E70" s="38"/>
      <c r="F70" s="39"/>
      <c r="G70" s="17"/>
      <c r="H70" s="17"/>
      <c r="I70" s="17"/>
      <c r="J70" s="38"/>
      <c r="K70" s="17"/>
      <c r="L70" s="17"/>
      <c r="M70" s="17"/>
      <c r="N70" s="44" t="str">
        <f aca="true">IF(A70="","",IF(N(K70)&gt;Settings!$S$7,"Over revision limit",IF(AND(D70="Free video",J70="",E70&lt;&gt;"",TODAY()&gt;WORKDAY(E70,Settings!$S$5)),"LATE – free video promised in 5 working days",IF(AND(E70&lt;&gt;"",E70=TODAY()),"Shooting today",""))))</f>
        <v/>
      </c>
    </row>
    <row r="71" customFormat="false" ht="15" hidden="false" customHeight="false" outlineLevel="0" collapsed="false">
      <c r="A71" s="17"/>
      <c r="B71" s="17"/>
      <c r="C71" s="44" t="str">
        <f aca="false">IF(B71="","",IFERROR(INDEX(Clients!$C$2:$C$501,MATCH(B71,Clients!$A$2:$A$501,0)),"Client ID not found"))</f>
        <v/>
      </c>
      <c r="D71" s="17"/>
      <c r="E71" s="38"/>
      <c r="F71" s="39"/>
      <c r="G71" s="17"/>
      <c r="H71" s="17"/>
      <c r="I71" s="17"/>
      <c r="J71" s="38"/>
      <c r="K71" s="17"/>
      <c r="L71" s="17"/>
      <c r="M71" s="17"/>
      <c r="N71" s="44" t="str">
        <f aca="true">IF(A71="","",IF(N(K71)&gt;Settings!$S$7,"Over revision limit",IF(AND(D71="Free video",J71="",E71&lt;&gt;"",TODAY()&gt;WORKDAY(E71,Settings!$S$5)),"LATE – free video promised in 5 working days",IF(AND(E71&lt;&gt;"",E71=TODAY()),"Shooting today",""))))</f>
        <v/>
      </c>
    </row>
    <row r="72" customFormat="false" ht="15" hidden="false" customHeight="false" outlineLevel="0" collapsed="false">
      <c r="A72" s="17"/>
      <c r="B72" s="17"/>
      <c r="C72" s="44" t="str">
        <f aca="false">IF(B72="","",IFERROR(INDEX(Clients!$C$2:$C$501,MATCH(B72,Clients!$A$2:$A$501,0)),"Client ID not found"))</f>
        <v/>
      </c>
      <c r="D72" s="17"/>
      <c r="E72" s="38"/>
      <c r="F72" s="39"/>
      <c r="G72" s="17"/>
      <c r="H72" s="17"/>
      <c r="I72" s="17"/>
      <c r="J72" s="38"/>
      <c r="K72" s="17"/>
      <c r="L72" s="17"/>
      <c r="M72" s="17"/>
      <c r="N72" s="44" t="str">
        <f aca="true">IF(A72="","",IF(N(K72)&gt;Settings!$S$7,"Over revision limit",IF(AND(D72="Free video",J72="",E72&lt;&gt;"",TODAY()&gt;WORKDAY(E72,Settings!$S$5)),"LATE – free video promised in 5 working days",IF(AND(E72&lt;&gt;"",E72=TODAY()),"Shooting today",""))))</f>
        <v/>
      </c>
    </row>
    <row r="73" customFormat="false" ht="15" hidden="false" customHeight="false" outlineLevel="0" collapsed="false">
      <c r="A73" s="17"/>
      <c r="B73" s="17"/>
      <c r="C73" s="44" t="str">
        <f aca="false">IF(B73="","",IFERROR(INDEX(Clients!$C$2:$C$501,MATCH(B73,Clients!$A$2:$A$501,0)),"Client ID not found"))</f>
        <v/>
      </c>
      <c r="D73" s="17"/>
      <c r="E73" s="38"/>
      <c r="F73" s="39"/>
      <c r="G73" s="17"/>
      <c r="H73" s="17"/>
      <c r="I73" s="17"/>
      <c r="J73" s="38"/>
      <c r="K73" s="17"/>
      <c r="L73" s="17"/>
      <c r="M73" s="17"/>
      <c r="N73" s="44" t="str">
        <f aca="true">IF(A73="","",IF(N(K73)&gt;Settings!$S$7,"Over revision limit",IF(AND(D73="Free video",J73="",E73&lt;&gt;"",TODAY()&gt;WORKDAY(E73,Settings!$S$5)),"LATE – free video promised in 5 working days",IF(AND(E73&lt;&gt;"",E73=TODAY()),"Shooting today",""))))</f>
        <v/>
      </c>
    </row>
    <row r="74" customFormat="false" ht="15" hidden="false" customHeight="false" outlineLevel="0" collapsed="false">
      <c r="A74" s="17"/>
      <c r="B74" s="17"/>
      <c r="C74" s="44" t="str">
        <f aca="false">IF(B74="","",IFERROR(INDEX(Clients!$C$2:$C$501,MATCH(B74,Clients!$A$2:$A$501,0)),"Client ID not found"))</f>
        <v/>
      </c>
      <c r="D74" s="17"/>
      <c r="E74" s="38"/>
      <c r="F74" s="39"/>
      <c r="G74" s="17"/>
      <c r="H74" s="17"/>
      <c r="I74" s="17"/>
      <c r="J74" s="38"/>
      <c r="K74" s="17"/>
      <c r="L74" s="17"/>
      <c r="M74" s="17"/>
      <c r="N74" s="44" t="str">
        <f aca="true">IF(A74="","",IF(N(K74)&gt;Settings!$S$7,"Over revision limit",IF(AND(D74="Free video",J74="",E74&lt;&gt;"",TODAY()&gt;WORKDAY(E74,Settings!$S$5)),"LATE – free video promised in 5 working days",IF(AND(E74&lt;&gt;"",E74=TODAY()),"Shooting today",""))))</f>
        <v/>
      </c>
    </row>
    <row r="75" customFormat="false" ht="15" hidden="false" customHeight="false" outlineLevel="0" collapsed="false">
      <c r="A75" s="17"/>
      <c r="B75" s="17"/>
      <c r="C75" s="44" t="str">
        <f aca="false">IF(B75="","",IFERROR(INDEX(Clients!$C$2:$C$501,MATCH(B75,Clients!$A$2:$A$501,0)),"Client ID not found"))</f>
        <v/>
      </c>
      <c r="D75" s="17"/>
      <c r="E75" s="38"/>
      <c r="F75" s="39"/>
      <c r="G75" s="17"/>
      <c r="H75" s="17"/>
      <c r="I75" s="17"/>
      <c r="J75" s="38"/>
      <c r="K75" s="17"/>
      <c r="L75" s="17"/>
      <c r="M75" s="17"/>
      <c r="N75" s="44" t="str">
        <f aca="true">IF(A75="","",IF(N(K75)&gt;Settings!$S$7,"Over revision limit",IF(AND(D75="Free video",J75="",E75&lt;&gt;"",TODAY()&gt;WORKDAY(E75,Settings!$S$5)),"LATE – free video promised in 5 working days",IF(AND(E75&lt;&gt;"",E75=TODAY()),"Shooting today",""))))</f>
        <v/>
      </c>
    </row>
    <row r="76" customFormat="false" ht="15" hidden="false" customHeight="false" outlineLevel="0" collapsed="false">
      <c r="A76" s="17"/>
      <c r="B76" s="17"/>
      <c r="C76" s="44" t="str">
        <f aca="false">IF(B76="","",IFERROR(INDEX(Clients!$C$2:$C$501,MATCH(B76,Clients!$A$2:$A$501,0)),"Client ID not found"))</f>
        <v/>
      </c>
      <c r="D76" s="17"/>
      <c r="E76" s="38"/>
      <c r="F76" s="39"/>
      <c r="G76" s="17"/>
      <c r="H76" s="17"/>
      <c r="I76" s="17"/>
      <c r="J76" s="38"/>
      <c r="K76" s="17"/>
      <c r="L76" s="17"/>
      <c r="M76" s="17"/>
      <c r="N76" s="44" t="str">
        <f aca="true">IF(A76="","",IF(N(K76)&gt;Settings!$S$7,"Over revision limit",IF(AND(D76="Free video",J76="",E76&lt;&gt;"",TODAY()&gt;WORKDAY(E76,Settings!$S$5)),"LATE – free video promised in 5 working days",IF(AND(E76&lt;&gt;"",E76=TODAY()),"Shooting today",""))))</f>
        <v/>
      </c>
    </row>
    <row r="77" customFormat="false" ht="15" hidden="false" customHeight="false" outlineLevel="0" collapsed="false">
      <c r="A77" s="17"/>
      <c r="B77" s="17"/>
      <c r="C77" s="44" t="str">
        <f aca="false">IF(B77="","",IFERROR(INDEX(Clients!$C$2:$C$501,MATCH(B77,Clients!$A$2:$A$501,0)),"Client ID not found"))</f>
        <v/>
      </c>
      <c r="D77" s="17"/>
      <c r="E77" s="38"/>
      <c r="F77" s="39"/>
      <c r="G77" s="17"/>
      <c r="H77" s="17"/>
      <c r="I77" s="17"/>
      <c r="J77" s="38"/>
      <c r="K77" s="17"/>
      <c r="L77" s="17"/>
      <c r="M77" s="17"/>
      <c r="N77" s="44" t="str">
        <f aca="true">IF(A77="","",IF(N(K77)&gt;Settings!$S$7,"Over revision limit",IF(AND(D77="Free video",J77="",E77&lt;&gt;"",TODAY()&gt;WORKDAY(E77,Settings!$S$5)),"LATE – free video promised in 5 working days",IF(AND(E77&lt;&gt;"",E77=TODAY()),"Shooting today",""))))</f>
        <v/>
      </c>
    </row>
    <row r="78" customFormat="false" ht="15" hidden="false" customHeight="false" outlineLevel="0" collapsed="false">
      <c r="A78" s="17"/>
      <c r="B78" s="17"/>
      <c r="C78" s="44" t="str">
        <f aca="false">IF(B78="","",IFERROR(INDEX(Clients!$C$2:$C$501,MATCH(B78,Clients!$A$2:$A$501,0)),"Client ID not found"))</f>
        <v/>
      </c>
      <c r="D78" s="17"/>
      <c r="E78" s="38"/>
      <c r="F78" s="39"/>
      <c r="G78" s="17"/>
      <c r="H78" s="17"/>
      <c r="I78" s="17"/>
      <c r="J78" s="38"/>
      <c r="K78" s="17"/>
      <c r="L78" s="17"/>
      <c r="M78" s="17"/>
      <c r="N78" s="44" t="str">
        <f aca="true">IF(A78="","",IF(N(K78)&gt;Settings!$S$7,"Over revision limit",IF(AND(D78="Free video",J78="",E78&lt;&gt;"",TODAY()&gt;WORKDAY(E78,Settings!$S$5)),"LATE – free video promised in 5 working days",IF(AND(E78&lt;&gt;"",E78=TODAY()),"Shooting today",""))))</f>
        <v/>
      </c>
    </row>
    <row r="79" customFormat="false" ht="15" hidden="false" customHeight="false" outlineLevel="0" collapsed="false">
      <c r="A79" s="17"/>
      <c r="B79" s="17"/>
      <c r="C79" s="44" t="str">
        <f aca="false">IF(B79="","",IFERROR(INDEX(Clients!$C$2:$C$501,MATCH(B79,Clients!$A$2:$A$501,0)),"Client ID not found"))</f>
        <v/>
      </c>
      <c r="D79" s="17"/>
      <c r="E79" s="38"/>
      <c r="F79" s="39"/>
      <c r="G79" s="17"/>
      <c r="H79" s="17"/>
      <c r="I79" s="17"/>
      <c r="J79" s="38"/>
      <c r="K79" s="17"/>
      <c r="L79" s="17"/>
      <c r="M79" s="17"/>
      <c r="N79" s="44" t="str">
        <f aca="true">IF(A79="","",IF(N(K79)&gt;Settings!$S$7,"Over revision limit",IF(AND(D79="Free video",J79="",E79&lt;&gt;"",TODAY()&gt;WORKDAY(E79,Settings!$S$5)),"LATE – free video promised in 5 working days",IF(AND(E79&lt;&gt;"",E79=TODAY()),"Shooting today",""))))</f>
        <v/>
      </c>
    </row>
    <row r="80" customFormat="false" ht="15" hidden="false" customHeight="false" outlineLevel="0" collapsed="false">
      <c r="A80" s="17"/>
      <c r="B80" s="17"/>
      <c r="C80" s="44" t="str">
        <f aca="false">IF(B80="","",IFERROR(INDEX(Clients!$C$2:$C$501,MATCH(B80,Clients!$A$2:$A$501,0)),"Client ID not found"))</f>
        <v/>
      </c>
      <c r="D80" s="17"/>
      <c r="E80" s="38"/>
      <c r="F80" s="39"/>
      <c r="G80" s="17"/>
      <c r="H80" s="17"/>
      <c r="I80" s="17"/>
      <c r="J80" s="38"/>
      <c r="K80" s="17"/>
      <c r="L80" s="17"/>
      <c r="M80" s="17"/>
      <c r="N80" s="44" t="str">
        <f aca="true">IF(A80="","",IF(N(K80)&gt;Settings!$S$7,"Over revision limit",IF(AND(D80="Free video",J80="",E80&lt;&gt;"",TODAY()&gt;WORKDAY(E80,Settings!$S$5)),"LATE – free video promised in 5 working days",IF(AND(E80&lt;&gt;"",E80=TODAY()),"Shooting today",""))))</f>
        <v/>
      </c>
    </row>
    <row r="81" customFormat="false" ht="15" hidden="false" customHeight="false" outlineLevel="0" collapsed="false">
      <c r="A81" s="17"/>
      <c r="B81" s="17"/>
      <c r="C81" s="44" t="str">
        <f aca="false">IF(B81="","",IFERROR(INDEX(Clients!$C$2:$C$501,MATCH(B81,Clients!$A$2:$A$501,0)),"Client ID not found"))</f>
        <v/>
      </c>
      <c r="D81" s="17"/>
      <c r="E81" s="38"/>
      <c r="F81" s="39"/>
      <c r="G81" s="17"/>
      <c r="H81" s="17"/>
      <c r="I81" s="17"/>
      <c r="J81" s="38"/>
      <c r="K81" s="17"/>
      <c r="L81" s="17"/>
      <c r="M81" s="17"/>
      <c r="N81" s="44" t="str">
        <f aca="true">IF(A81="","",IF(N(K81)&gt;Settings!$S$7,"Over revision limit",IF(AND(D81="Free video",J81="",E81&lt;&gt;"",TODAY()&gt;WORKDAY(E81,Settings!$S$5)),"LATE – free video promised in 5 working days",IF(AND(E81&lt;&gt;"",E81=TODAY()),"Shooting today",""))))</f>
        <v/>
      </c>
    </row>
    <row r="82" customFormat="false" ht="15" hidden="false" customHeight="false" outlineLevel="0" collapsed="false">
      <c r="A82" s="17"/>
      <c r="B82" s="17"/>
      <c r="C82" s="44" t="str">
        <f aca="false">IF(B82="","",IFERROR(INDEX(Clients!$C$2:$C$501,MATCH(B82,Clients!$A$2:$A$501,0)),"Client ID not found"))</f>
        <v/>
      </c>
      <c r="D82" s="17"/>
      <c r="E82" s="38"/>
      <c r="F82" s="39"/>
      <c r="G82" s="17"/>
      <c r="H82" s="17"/>
      <c r="I82" s="17"/>
      <c r="J82" s="38"/>
      <c r="K82" s="17"/>
      <c r="L82" s="17"/>
      <c r="M82" s="17"/>
      <c r="N82" s="44" t="str">
        <f aca="true">IF(A82="","",IF(N(K82)&gt;Settings!$S$7,"Over revision limit",IF(AND(D82="Free video",J82="",E82&lt;&gt;"",TODAY()&gt;WORKDAY(E82,Settings!$S$5)),"LATE – free video promised in 5 working days",IF(AND(E82&lt;&gt;"",E82=TODAY()),"Shooting today",""))))</f>
        <v/>
      </c>
    </row>
    <row r="83" customFormat="false" ht="15" hidden="false" customHeight="false" outlineLevel="0" collapsed="false">
      <c r="A83" s="17"/>
      <c r="B83" s="17"/>
      <c r="C83" s="44" t="str">
        <f aca="false">IF(B83="","",IFERROR(INDEX(Clients!$C$2:$C$501,MATCH(B83,Clients!$A$2:$A$501,0)),"Client ID not found"))</f>
        <v/>
      </c>
      <c r="D83" s="17"/>
      <c r="E83" s="38"/>
      <c r="F83" s="39"/>
      <c r="G83" s="17"/>
      <c r="H83" s="17"/>
      <c r="I83" s="17"/>
      <c r="J83" s="38"/>
      <c r="K83" s="17"/>
      <c r="L83" s="17"/>
      <c r="M83" s="17"/>
      <c r="N83" s="44" t="str">
        <f aca="true">IF(A83="","",IF(N(K83)&gt;Settings!$S$7,"Over revision limit",IF(AND(D83="Free video",J83="",E83&lt;&gt;"",TODAY()&gt;WORKDAY(E83,Settings!$S$5)),"LATE – free video promised in 5 working days",IF(AND(E83&lt;&gt;"",E83=TODAY()),"Shooting today",""))))</f>
        <v/>
      </c>
    </row>
    <row r="84" customFormat="false" ht="15" hidden="false" customHeight="false" outlineLevel="0" collapsed="false">
      <c r="A84" s="17"/>
      <c r="B84" s="17"/>
      <c r="C84" s="44" t="str">
        <f aca="false">IF(B84="","",IFERROR(INDEX(Clients!$C$2:$C$501,MATCH(B84,Clients!$A$2:$A$501,0)),"Client ID not found"))</f>
        <v/>
      </c>
      <c r="D84" s="17"/>
      <c r="E84" s="38"/>
      <c r="F84" s="39"/>
      <c r="G84" s="17"/>
      <c r="H84" s="17"/>
      <c r="I84" s="17"/>
      <c r="J84" s="38"/>
      <c r="K84" s="17"/>
      <c r="L84" s="17"/>
      <c r="M84" s="17"/>
      <c r="N84" s="44" t="str">
        <f aca="true">IF(A84="","",IF(N(K84)&gt;Settings!$S$7,"Over revision limit",IF(AND(D84="Free video",J84="",E84&lt;&gt;"",TODAY()&gt;WORKDAY(E84,Settings!$S$5)),"LATE – free video promised in 5 working days",IF(AND(E84&lt;&gt;"",E84=TODAY()),"Shooting today",""))))</f>
        <v/>
      </c>
    </row>
    <row r="85" customFormat="false" ht="15" hidden="false" customHeight="false" outlineLevel="0" collapsed="false">
      <c r="A85" s="17"/>
      <c r="B85" s="17"/>
      <c r="C85" s="44" t="str">
        <f aca="false">IF(B85="","",IFERROR(INDEX(Clients!$C$2:$C$501,MATCH(B85,Clients!$A$2:$A$501,0)),"Client ID not found"))</f>
        <v/>
      </c>
      <c r="D85" s="17"/>
      <c r="E85" s="38"/>
      <c r="F85" s="39"/>
      <c r="G85" s="17"/>
      <c r="H85" s="17"/>
      <c r="I85" s="17"/>
      <c r="J85" s="38"/>
      <c r="K85" s="17"/>
      <c r="L85" s="17"/>
      <c r="M85" s="17"/>
      <c r="N85" s="44" t="str">
        <f aca="true">IF(A85="","",IF(N(K85)&gt;Settings!$S$7,"Over revision limit",IF(AND(D85="Free video",J85="",E85&lt;&gt;"",TODAY()&gt;WORKDAY(E85,Settings!$S$5)),"LATE – free video promised in 5 working days",IF(AND(E85&lt;&gt;"",E85=TODAY()),"Shooting today",""))))</f>
        <v/>
      </c>
    </row>
    <row r="86" customFormat="false" ht="15" hidden="false" customHeight="false" outlineLevel="0" collapsed="false">
      <c r="A86" s="17"/>
      <c r="B86" s="17"/>
      <c r="C86" s="44" t="str">
        <f aca="false">IF(B86="","",IFERROR(INDEX(Clients!$C$2:$C$501,MATCH(B86,Clients!$A$2:$A$501,0)),"Client ID not found"))</f>
        <v/>
      </c>
      <c r="D86" s="17"/>
      <c r="E86" s="38"/>
      <c r="F86" s="39"/>
      <c r="G86" s="17"/>
      <c r="H86" s="17"/>
      <c r="I86" s="17"/>
      <c r="J86" s="38"/>
      <c r="K86" s="17"/>
      <c r="L86" s="17"/>
      <c r="M86" s="17"/>
      <c r="N86" s="44" t="str">
        <f aca="true">IF(A86="","",IF(N(K86)&gt;Settings!$S$7,"Over revision limit",IF(AND(D86="Free video",J86="",E86&lt;&gt;"",TODAY()&gt;WORKDAY(E86,Settings!$S$5)),"LATE – free video promised in 5 working days",IF(AND(E86&lt;&gt;"",E86=TODAY()),"Shooting today",""))))</f>
        <v/>
      </c>
    </row>
    <row r="87" customFormat="false" ht="15" hidden="false" customHeight="false" outlineLevel="0" collapsed="false">
      <c r="A87" s="17"/>
      <c r="B87" s="17"/>
      <c r="C87" s="44" t="str">
        <f aca="false">IF(B87="","",IFERROR(INDEX(Clients!$C$2:$C$501,MATCH(B87,Clients!$A$2:$A$501,0)),"Client ID not found"))</f>
        <v/>
      </c>
      <c r="D87" s="17"/>
      <c r="E87" s="38"/>
      <c r="F87" s="39"/>
      <c r="G87" s="17"/>
      <c r="H87" s="17"/>
      <c r="I87" s="17"/>
      <c r="J87" s="38"/>
      <c r="K87" s="17"/>
      <c r="L87" s="17"/>
      <c r="M87" s="17"/>
      <c r="N87" s="44" t="str">
        <f aca="true">IF(A87="","",IF(N(K87)&gt;Settings!$S$7,"Over revision limit",IF(AND(D87="Free video",J87="",E87&lt;&gt;"",TODAY()&gt;WORKDAY(E87,Settings!$S$5)),"LATE – free video promised in 5 working days",IF(AND(E87&lt;&gt;"",E87=TODAY()),"Shooting today",""))))</f>
        <v/>
      </c>
    </row>
    <row r="88" customFormat="false" ht="15" hidden="false" customHeight="false" outlineLevel="0" collapsed="false">
      <c r="A88" s="17"/>
      <c r="B88" s="17"/>
      <c r="C88" s="44" t="str">
        <f aca="false">IF(B88="","",IFERROR(INDEX(Clients!$C$2:$C$501,MATCH(B88,Clients!$A$2:$A$501,0)),"Client ID not found"))</f>
        <v/>
      </c>
      <c r="D88" s="17"/>
      <c r="E88" s="38"/>
      <c r="F88" s="39"/>
      <c r="G88" s="17"/>
      <c r="H88" s="17"/>
      <c r="I88" s="17"/>
      <c r="J88" s="38"/>
      <c r="K88" s="17"/>
      <c r="L88" s="17"/>
      <c r="M88" s="17"/>
      <c r="N88" s="44" t="str">
        <f aca="true">IF(A88="","",IF(N(K88)&gt;Settings!$S$7,"Over revision limit",IF(AND(D88="Free video",J88="",E88&lt;&gt;"",TODAY()&gt;WORKDAY(E88,Settings!$S$5)),"LATE – free video promised in 5 working days",IF(AND(E88&lt;&gt;"",E88=TODAY()),"Shooting today",""))))</f>
        <v/>
      </c>
    </row>
    <row r="89" customFormat="false" ht="15" hidden="false" customHeight="false" outlineLevel="0" collapsed="false">
      <c r="A89" s="17"/>
      <c r="B89" s="17"/>
      <c r="C89" s="44" t="str">
        <f aca="false">IF(B89="","",IFERROR(INDEX(Clients!$C$2:$C$501,MATCH(B89,Clients!$A$2:$A$501,0)),"Client ID not found"))</f>
        <v/>
      </c>
      <c r="D89" s="17"/>
      <c r="E89" s="38"/>
      <c r="F89" s="39"/>
      <c r="G89" s="17"/>
      <c r="H89" s="17"/>
      <c r="I89" s="17"/>
      <c r="J89" s="38"/>
      <c r="K89" s="17"/>
      <c r="L89" s="17"/>
      <c r="M89" s="17"/>
      <c r="N89" s="44" t="str">
        <f aca="true">IF(A89="","",IF(N(K89)&gt;Settings!$S$7,"Over revision limit",IF(AND(D89="Free video",J89="",E89&lt;&gt;"",TODAY()&gt;WORKDAY(E89,Settings!$S$5)),"LATE – free video promised in 5 working days",IF(AND(E89&lt;&gt;"",E89=TODAY()),"Shooting today",""))))</f>
        <v/>
      </c>
    </row>
    <row r="90" customFormat="false" ht="15" hidden="false" customHeight="false" outlineLevel="0" collapsed="false">
      <c r="A90" s="17"/>
      <c r="B90" s="17"/>
      <c r="C90" s="44" t="str">
        <f aca="false">IF(B90="","",IFERROR(INDEX(Clients!$C$2:$C$501,MATCH(B90,Clients!$A$2:$A$501,0)),"Client ID not found"))</f>
        <v/>
      </c>
      <c r="D90" s="17"/>
      <c r="E90" s="38"/>
      <c r="F90" s="39"/>
      <c r="G90" s="17"/>
      <c r="H90" s="17"/>
      <c r="I90" s="17"/>
      <c r="J90" s="38"/>
      <c r="K90" s="17"/>
      <c r="L90" s="17"/>
      <c r="M90" s="17"/>
      <c r="N90" s="44" t="str">
        <f aca="true">IF(A90="","",IF(N(K90)&gt;Settings!$S$7,"Over revision limit",IF(AND(D90="Free video",J90="",E90&lt;&gt;"",TODAY()&gt;WORKDAY(E90,Settings!$S$5)),"LATE – free video promised in 5 working days",IF(AND(E90&lt;&gt;"",E90=TODAY()),"Shooting today",""))))</f>
        <v/>
      </c>
    </row>
    <row r="91" customFormat="false" ht="15" hidden="false" customHeight="false" outlineLevel="0" collapsed="false">
      <c r="A91" s="17"/>
      <c r="B91" s="17"/>
      <c r="C91" s="44" t="str">
        <f aca="false">IF(B91="","",IFERROR(INDEX(Clients!$C$2:$C$501,MATCH(B91,Clients!$A$2:$A$501,0)),"Client ID not found"))</f>
        <v/>
      </c>
      <c r="D91" s="17"/>
      <c r="E91" s="38"/>
      <c r="F91" s="39"/>
      <c r="G91" s="17"/>
      <c r="H91" s="17"/>
      <c r="I91" s="17"/>
      <c r="J91" s="38"/>
      <c r="K91" s="17"/>
      <c r="L91" s="17"/>
      <c r="M91" s="17"/>
      <c r="N91" s="44" t="str">
        <f aca="true">IF(A91="","",IF(N(K91)&gt;Settings!$S$7,"Over revision limit",IF(AND(D91="Free video",J91="",E91&lt;&gt;"",TODAY()&gt;WORKDAY(E91,Settings!$S$5)),"LATE – free video promised in 5 working days",IF(AND(E91&lt;&gt;"",E91=TODAY()),"Shooting today",""))))</f>
        <v/>
      </c>
    </row>
    <row r="92" customFormat="false" ht="15" hidden="false" customHeight="false" outlineLevel="0" collapsed="false">
      <c r="A92" s="17"/>
      <c r="B92" s="17"/>
      <c r="C92" s="44" t="str">
        <f aca="false">IF(B92="","",IFERROR(INDEX(Clients!$C$2:$C$501,MATCH(B92,Clients!$A$2:$A$501,0)),"Client ID not found"))</f>
        <v/>
      </c>
      <c r="D92" s="17"/>
      <c r="E92" s="38"/>
      <c r="F92" s="39"/>
      <c r="G92" s="17"/>
      <c r="H92" s="17"/>
      <c r="I92" s="17"/>
      <c r="J92" s="38"/>
      <c r="K92" s="17"/>
      <c r="L92" s="17"/>
      <c r="M92" s="17"/>
      <c r="N92" s="44" t="str">
        <f aca="true">IF(A92="","",IF(N(K92)&gt;Settings!$S$7,"Over revision limit",IF(AND(D92="Free video",J92="",E92&lt;&gt;"",TODAY()&gt;WORKDAY(E92,Settings!$S$5)),"LATE – free video promised in 5 working days",IF(AND(E92&lt;&gt;"",E92=TODAY()),"Shooting today",""))))</f>
        <v/>
      </c>
    </row>
    <row r="93" customFormat="false" ht="15" hidden="false" customHeight="false" outlineLevel="0" collapsed="false">
      <c r="A93" s="17"/>
      <c r="B93" s="17"/>
      <c r="C93" s="44" t="str">
        <f aca="false">IF(B93="","",IFERROR(INDEX(Clients!$C$2:$C$501,MATCH(B93,Clients!$A$2:$A$501,0)),"Client ID not found"))</f>
        <v/>
      </c>
      <c r="D93" s="17"/>
      <c r="E93" s="38"/>
      <c r="F93" s="39"/>
      <c r="G93" s="17"/>
      <c r="H93" s="17"/>
      <c r="I93" s="17"/>
      <c r="J93" s="38"/>
      <c r="K93" s="17"/>
      <c r="L93" s="17"/>
      <c r="M93" s="17"/>
      <c r="N93" s="44" t="str">
        <f aca="true">IF(A93="","",IF(N(K93)&gt;Settings!$S$7,"Over revision limit",IF(AND(D93="Free video",J93="",E93&lt;&gt;"",TODAY()&gt;WORKDAY(E93,Settings!$S$5)),"LATE – free video promised in 5 working days",IF(AND(E93&lt;&gt;"",E93=TODAY()),"Shooting today",""))))</f>
        <v/>
      </c>
    </row>
    <row r="94" customFormat="false" ht="15" hidden="false" customHeight="false" outlineLevel="0" collapsed="false">
      <c r="A94" s="17"/>
      <c r="B94" s="17"/>
      <c r="C94" s="44" t="str">
        <f aca="false">IF(B94="","",IFERROR(INDEX(Clients!$C$2:$C$501,MATCH(B94,Clients!$A$2:$A$501,0)),"Client ID not found"))</f>
        <v/>
      </c>
      <c r="D94" s="17"/>
      <c r="E94" s="38"/>
      <c r="F94" s="39"/>
      <c r="G94" s="17"/>
      <c r="H94" s="17"/>
      <c r="I94" s="17"/>
      <c r="J94" s="38"/>
      <c r="K94" s="17"/>
      <c r="L94" s="17"/>
      <c r="M94" s="17"/>
      <c r="N94" s="44" t="str">
        <f aca="true">IF(A94="","",IF(N(K94)&gt;Settings!$S$7,"Over revision limit",IF(AND(D94="Free video",J94="",E94&lt;&gt;"",TODAY()&gt;WORKDAY(E94,Settings!$S$5)),"LATE – free video promised in 5 working days",IF(AND(E94&lt;&gt;"",E94=TODAY()),"Shooting today",""))))</f>
        <v/>
      </c>
    </row>
    <row r="95" customFormat="false" ht="15" hidden="false" customHeight="false" outlineLevel="0" collapsed="false">
      <c r="A95" s="17"/>
      <c r="B95" s="17"/>
      <c r="C95" s="44" t="str">
        <f aca="false">IF(B95="","",IFERROR(INDEX(Clients!$C$2:$C$501,MATCH(B95,Clients!$A$2:$A$501,0)),"Client ID not found"))</f>
        <v/>
      </c>
      <c r="D95" s="17"/>
      <c r="E95" s="38"/>
      <c r="F95" s="39"/>
      <c r="G95" s="17"/>
      <c r="H95" s="17"/>
      <c r="I95" s="17"/>
      <c r="J95" s="38"/>
      <c r="K95" s="17"/>
      <c r="L95" s="17"/>
      <c r="M95" s="17"/>
      <c r="N95" s="44" t="str">
        <f aca="true">IF(A95="","",IF(N(K95)&gt;Settings!$S$7,"Over revision limit",IF(AND(D95="Free video",J95="",E95&lt;&gt;"",TODAY()&gt;WORKDAY(E95,Settings!$S$5)),"LATE – free video promised in 5 working days",IF(AND(E95&lt;&gt;"",E95=TODAY()),"Shooting today",""))))</f>
        <v/>
      </c>
    </row>
    <row r="96" customFormat="false" ht="15" hidden="false" customHeight="false" outlineLevel="0" collapsed="false">
      <c r="A96" s="17"/>
      <c r="B96" s="17"/>
      <c r="C96" s="44" t="str">
        <f aca="false">IF(B96="","",IFERROR(INDEX(Clients!$C$2:$C$501,MATCH(B96,Clients!$A$2:$A$501,0)),"Client ID not found"))</f>
        <v/>
      </c>
      <c r="D96" s="17"/>
      <c r="E96" s="38"/>
      <c r="F96" s="39"/>
      <c r="G96" s="17"/>
      <c r="H96" s="17"/>
      <c r="I96" s="17"/>
      <c r="J96" s="38"/>
      <c r="K96" s="17"/>
      <c r="L96" s="17"/>
      <c r="M96" s="17"/>
      <c r="N96" s="44" t="str">
        <f aca="true">IF(A96="","",IF(N(K96)&gt;Settings!$S$7,"Over revision limit",IF(AND(D96="Free video",J96="",E96&lt;&gt;"",TODAY()&gt;WORKDAY(E96,Settings!$S$5)),"LATE – free video promised in 5 working days",IF(AND(E96&lt;&gt;"",E96=TODAY()),"Shooting today",""))))</f>
        <v/>
      </c>
    </row>
    <row r="97" customFormat="false" ht="15" hidden="false" customHeight="false" outlineLevel="0" collapsed="false">
      <c r="A97" s="17"/>
      <c r="B97" s="17"/>
      <c r="C97" s="44" t="str">
        <f aca="false">IF(B97="","",IFERROR(INDEX(Clients!$C$2:$C$501,MATCH(B97,Clients!$A$2:$A$501,0)),"Client ID not found"))</f>
        <v/>
      </c>
      <c r="D97" s="17"/>
      <c r="E97" s="38"/>
      <c r="F97" s="39"/>
      <c r="G97" s="17"/>
      <c r="H97" s="17"/>
      <c r="I97" s="17"/>
      <c r="J97" s="38"/>
      <c r="K97" s="17"/>
      <c r="L97" s="17"/>
      <c r="M97" s="17"/>
      <c r="N97" s="44" t="str">
        <f aca="true">IF(A97="","",IF(N(K97)&gt;Settings!$S$7,"Over revision limit",IF(AND(D97="Free video",J97="",E97&lt;&gt;"",TODAY()&gt;WORKDAY(E97,Settings!$S$5)),"LATE – free video promised in 5 working days",IF(AND(E97&lt;&gt;"",E97=TODAY()),"Shooting today",""))))</f>
        <v/>
      </c>
    </row>
    <row r="98" customFormat="false" ht="15" hidden="false" customHeight="false" outlineLevel="0" collapsed="false">
      <c r="A98" s="17"/>
      <c r="B98" s="17"/>
      <c r="C98" s="44" t="str">
        <f aca="false">IF(B98="","",IFERROR(INDEX(Clients!$C$2:$C$501,MATCH(B98,Clients!$A$2:$A$501,0)),"Client ID not found"))</f>
        <v/>
      </c>
      <c r="D98" s="17"/>
      <c r="E98" s="38"/>
      <c r="F98" s="39"/>
      <c r="G98" s="17"/>
      <c r="H98" s="17"/>
      <c r="I98" s="17"/>
      <c r="J98" s="38"/>
      <c r="K98" s="17"/>
      <c r="L98" s="17"/>
      <c r="M98" s="17"/>
      <c r="N98" s="44" t="str">
        <f aca="true">IF(A98="","",IF(N(K98)&gt;Settings!$S$7,"Over revision limit",IF(AND(D98="Free video",J98="",E98&lt;&gt;"",TODAY()&gt;WORKDAY(E98,Settings!$S$5)),"LATE – free video promised in 5 working days",IF(AND(E98&lt;&gt;"",E98=TODAY()),"Shooting today",""))))</f>
        <v/>
      </c>
    </row>
    <row r="99" customFormat="false" ht="15" hidden="false" customHeight="false" outlineLevel="0" collapsed="false">
      <c r="A99" s="17"/>
      <c r="B99" s="17"/>
      <c r="C99" s="44" t="str">
        <f aca="false">IF(B99="","",IFERROR(INDEX(Clients!$C$2:$C$501,MATCH(B99,Clients!$A$2:$A$501,0)),"Client ID not found"))</f>
        <v/>
      </c>
      <c r="D99" s="17"/>
      <c r="E99" s="38"/>
      <c r="F99" s="39"/>
      <c r="G99" s="17"/>
      <c r="H99" s="17"/>
      <c r="I99" s="17"/>
      <c r="J99" s="38"/>
      <c r="K99" s="17"/>
      <c r="L99" s="17"/>
      <c r="M99" s="17"/>
      <c r="N99" s="44" t="str">
        <f aca="true">IF(A99="","",IF(N(K99)&gt;Settings!$S$7,"Over revision limit",IF(AND(D99="Free video",J99="",E99&lt;&gt;"",TODAY()&gt;WORKDAY(E99,Settings!$S$5)),"LATE – free video promised in 5 working days",IF(AND(E99&lt;&gt;"",E99=TODAY()),"Shooting today",""))))</f>
        <v/>
      </c>
    </row>
    <row r="100" customFormat="false" ht="15" hidden="false" customHeight="false" outlineLevel="0" collapsed="false">
      <c r="A100" s="17"/>
      <c r="B100" s="17"/>
      <c r="C100" s="44" t="str">
        <f aca="false">IF(B100="","",IFERROR(INDEX(Clients!$C$2:$C$501,MATCH(B100,Clients!$A$2:$A$501,0)),"Client ID not found"))</f>
        <v/>
      </c>
      <c r="D100" s="17"/>
      <c r="E100" s="38"/>
      <c r="F100" s="39"/>
      <c r="G100" s="17"/>
      <c r="H100" s="17"/>
      <c r="I100" s="17"/>
      <c r="J100" s="38"/>
      <c r="K100" s="17"/>
      <c r="L100" s="17"/>
      <c r="M100" s="17"/>
      <c r="N100" s="44" t="str">
        <f aca="true">IF(A100="","",IF(N(K100)&gt;Settings!$S$7,"Over revision limit",IF(AND(D100="Free video",J100="",E100&lt;&gt;"",TODAY()&gt;WORKDAY(E100,Settings!$S$5)),"LATE – free video promised in 5 working days",IF(AND(E100&lt;&gt;"",E100=TODAY()),"Shooting today",""))))</f>
        <v/>
      </c>
    </row>
    <row r="101" customFormat="false" ht="15" hidden="false" customHeight="false" outlineLevel="0" collapsed="false">
      <c r="A101" s="17"/>
      <c r="B101" s="17"/>
      <c r="C101" s="44" t="str">
        <f aca="false">IF(B101="","",IFERROR(INDEX(Clients!$C$2:$C$501,MATCH(B101,Clients!$A$2:$A$501,0)),"Client ID not found"))</f>
        <v/>
      </c>
      <c r="D101" s="17"/>
      <c r="E101" s="38"/>
      <c r="F101" s="39"/>
      <c r="G101" s="17"/>
      <c r="H101" s="17"/>
      <c r="I101" s="17"/>
      <c r="J101" s="38"/>
      <c r="K101" s="17"/>
      <c r="L101" s="17"/>
      <c r="M101" s="17"/>
      <c r="N101" s="44" t="str">
        <f aca="true">IF(A101="","",IF(N(K101)&gt;Settings!$S$7,"Over revision limit",IF(AND(D101="Free video",J101="",E101&lt;&gt;"",TODAY()&gt;WORKDAY(E101,Settings!$S$5)),"LATE – free video promised in 5 working days",IF(AND(E101&lt;&gt;"",E101=TODAY()),"Shooting today",""))))</f>
        <v/>
      </c>
    </row>
    <row r="102" customFormat="false" ht="15" hidden="false" customHeight="false" outlineLevel="0" collapsed="false">
      <c r="A102" s="17"/>
      <c r="B102" s="17"/>
      <c r="C102" s="44" t="str">
        <f aca="false">IF(B102="","",IFERROR(INDEX(Clients!$C$2:$C$501,MATCH(B102,Clients!$A$2:$A$501,0)),"Client ID not found"))</f>
        <v/>
      </c>
      <c r="D102" s="17"/>
      <c r="E102" s="38"/>
      <c r="F102" s="39"/>
      <c r="G102" s="17"/>
      <c r="H102" s="17"/>
      <c r="I102" s="17"/>
      <c r="J102" s="38"/>
      <c r="K102" s="17"/>
      <c r="L102" s="17"/>
      <c r="M102" s="17"/>
      <c r="N102" s="44" t="str">
        <f aca="true">IF(A102="","",IF(N(K102)&gt;Settings!$S$7,"Over revision limit",IF(AND(D102="Free video",J102="",E102&lt;&gt;"",TODAY()&gt;WORKDAY(E102,Settings!$S$5)),"LATE – free video promised in 5 working days",IF(AND(E102&lt;&gt;"",E102=TODAY()),"Shooting today",""))))</f>
        <v/>
      </c>
    </row>
    <row r="103" customFormat="false" ht="15" hidden="false" customHeight="false" outlineLevel="0" collapsed="false">
      <c r="A103" s="17"/>
      <c r="B103" s="17"/>
      <c r="C103" s="44" t="str">
        <f aca="false">IF(B103="","",IFERROR(INDEX(Clients!$C$2:$C$501,MATCH(B103,Clients!$A$2:$A$501,0)),"Client ID not found"))</f>
        <v/>
      </c>
      <c r="D103" s="17"/>
      <c r="E103" s="38"/>
      <c r="F103" s="39"/>
      <c r="G103" s="17"/>
      <c r="H103" s="17"/>
      <c r="I103" s="17"/>
      <c r="J103" s="38"/>
      <c r="K103" s="17"/>
      <c r="L103" s="17"/>
      <c r="M103" s="17"/>
      <c r="N103" s="44" t="str">
        <f aca="true">IF(A103="","",IF(N(K103)&gt;Settings!$S$7,"Over revision limit",IF(AND(D103="Free video",J103="",E103&lt;&gt;"",TODAY()&gt;WORKDAY(E103,Settings!$S$5)),"LATE – free video promised in 5 working days",IF(AND(E103&lt;&gt;"",E103=TODAY()),"Shooting today",""))))</f>
        <v/>
      </c>
    </row>
    <row r="104" customFormat="false" ht="15" hidden="false" customHeight="false" outlineLevel="0" collapsed="false">
      <c r="A104" s="17"/>
      <c r="B104" s="17"/>
      <c r="C104" s="44" t="str">
        <f aca="false">IF(B104="","",IFERROR(INDEX(Clients!$C$2:$C$501,MATCH(B104,Clients!$A$2:$A$501,0)),"Client ID not found"))</f>
        <v/>
      </c>
      <c r="D104" s="17"/>
      <c r="E104" s="38"/>
      <c r="F104" s="39"/>
      <c r="G104" s="17"/>
      <c r="H104" s="17"/>
      <c r="I104" s="17"/>
      <c r="J104" s="38"/>
      <c r="K104" s="17"/>
      <c r="L104" s="17"/>
      <c r="M104" s="17"/>
      <c r="N104" s="44" t="str">
        <f aca="true">IF(A104="","",IF(N(K104)&gt;Settings!$S$7,"Over revision limit",IF(AND(D104="Free video",J104="",E104&lt;&gt;"",TODAY()&gt;WORKDAY(E104,Settings!$S$5)),"LATE – free video promised in 5 working days",IF(AND(E104&lt;&gt;"",E104=TODAY()),"Shooting today",""))))</f>
        <v/>
      </c>
    </row>
    <row r="105" customFormat="false" ht="15" hidden="false" customHeight="false" outlineLevel="0" collapsed="false">
      <c r="A105" s="17"/>
      <c r="B105" s="17"/>
      <c r="C105" s="44" t="str">
        <f aca="false">IF(B105="","",IFERROR(INDEX(Clients!$C$2:$C$501,MATCH(B105,Clients!$A$2:$A$501,0)),"Client ID not found"))</f>
        <v/>
      </c>
      <c r="D105" s="17"/>
      <c r="E105" s="38"/>
      <c r="F105" s="39"/>
      <c r="G105" s="17"/>
      <c r="H105" s="17"/>
      <c r="I105" s="17"/>
      <c r="J105" s="38"/>
      <c r="K105" s="17"/>
      <c r="L105" s="17"/>
      <c r="M105" s="17"/>
      <c r="N105" s="44" t="str">
        <f aca="true">IF(A105="","",IF(N(K105)&gt;Settings!$S$7,"Over revision limit",IF(AND(D105="Free video",J105="",E105&lt;&gt;"",TODAY()&gt;WORKDAY(E105,Settings!$S$5)),"LATE – free video promised in 5 working days",IF(AND(E105&lt;&gt;"",E105=TODAY()),"Shooting today",""))))</f>
        <v/>
      </c>
    </row>
    <row r="106" customFormat="false" ht="15" hidden="false" customHeight="false" outlineLevel="0" collapsed="false">
      <c r="A106" s="17"/>
      <c r="B106" s="17"/>
      <c r="C106" s="44" t="str">
        <f aca="false">IF(B106="","",IFERROR(INDEX(Clients!$C$2:$C$501,MATCH(B106,Clients!$A$2:$A$501,0)),"Client ID not found"))</f>
        <v/>
      </c>
      <c r="D106" s="17"/>
      <c r="E106" s="38"/>
      <c r="F106" s="39"/>
      <c r="G106" s="17"/>
      <c r="H106" s="17"/>
      <c r="I106" s="17"/>
      <c r="J106" s="38"/>
      <c r="K106" s="17"/>
      <c r="L106" s="17"/>
      <c r="M106" s="17"/>
      <c r="N106" s="44" t="str">
        <f aca="true">IF(A106="","",IF(N(K106)&gt;Settings!$S$7,"Over revision limit",IF(AND(D106="Free video",J106="",E106&lt;&gt;"",TODAY()&gt;WORKDAY(E106,Settings!$S$5)),"LATE – free video promised in 5 working days",IF(AND(E106&lt;&gt;"",E106=TODAY()),"Shooting today",""))))</f>
        <v/>
      </c>
    </row>
    <row r="107" customFormat="false" ht="15" hidden="false" customHeight="false" outlineLevel="0" collapsed="false">
      <c r="A107" s="17"/>
      <c r="B107" s="17"/>
      <c r="C107" s="44" t="str">
        <f aca="false">IF(B107="","",IFERROR(INDEX(Clients!$C$2:$C$501,MATCH(B107,Clients!$A$2:$A$501,0)),"Client ID not found"))</f>
        <v/>
      </c>
      <c r="D107" s="17"/>
      <c r="E107" s="38"/>
      <c r="F107" s="39"/>
      <c r="G107" s="17"/>
      <c r="H107" s="17"/>
      <c r="I107" s="17"/>
      <c r="J107" s="38"/>
      <c r="K107" s="17"/>
      <c r="L107" s="17"/>
      <c r="M107" s="17"/>
      <c r="N107" s="44" t="str">
        <f aca="true">IF(A107="","",IF(N(K107)&gt;Settings!$S$7,"Over revision limit",IF(AND(D107="Free video",J107="",E107&lt;&gt;"",TODAY()&gt;WORKDAY(E107,Settings!$S$5)),"LATE – free video promised in 5 working days",IF(AND(E107&lt;&gt;"",E107=TODAY()),"Shooting today",""))))</f>
        <v/>
      </c>
    </row>
    <row r="108" customFormat="false" ht="15" hidden="false" customHeight="false" outlineLevel="0" collapsed="false">
      <c r="A108" s="17"/>
      <c r="B108" s="17"/>
      <c r="C108" s="44" t="str">
        <f aca="false">IF(B108="","",IFERROR(INDEX(Clients!$C$2:$C$501,MATCH(B108,Clients!$A$2:$A$501,0)),"Client ID not found"))</f>
        <v/>
      </c>
      <c r="D108" s="17"/>
      <c r="E108" s="38"/>
      <c r="F108" s="39"/>
      <c r="G108" s="17"/>
      <c r="H108" s="17"/>
      <c r="I108" s="17"/>
      <c r="J108" s="38"/>
      <c r="K108" s="17"/>
      <c r="L108" s="17"/>
      <c r="M108" s="17"/>
      <c r="N108" s="44" t="str">
        <f aca="true">IF(A108="","",IF(N(K108)&gt;Settings!$S$7,"Over revision limit",IF(AND(D108="Free video",J108="",E108&lt;&gt;"",TODAY()&gt;WORKDAY(E108,Settings!$S$5)),"LATE – free video promised in 5 working days",IF(AND(E108&lt;&gt;"",E108=TODAY()),"Shooting today",""))))</f>
        <v/>
      </c>
    </row>
    <row r="109" customFormat="false" ht="15" hidden="false" customHeight="false" outlineLevel="0" collapsed="false">
      <c r="A109" s="17"/>
      <c r="B109" s="17"/>
      <c r="C109" s="44" t="str">
        <f aca="false">IF(B109="","",IFERROR(INDEX(Clients!$C$2:$C$501,MATCH(B109,Clients!$A$2:$A$501,0)),"Client ID not found"))</f>
        <v/>
      </c>
      <c r="D109" s="17"/>
      <c r="E109" s="38"/>
      <c r="F109" s="39"/>
      <c r="G109" s="17"/>
      <c r="H109" s="17"/>
      <c r="I109" s="17"/>
      <c r="J109" s="38"/>
      <c r="K109" s="17"/>
      <c r="L109" s="17"/>
      <c r="M109" s="17"/>
      <c r="N109" s="44" t="str">
        <f aca="true">IF(A109="","",IF(N(K109)&gt;Settings!$S$7,"Over revision limit",IF(AND(D109="Free video",J109="",E109&lt;&gt;"",TODAY()&gt;WORKDAY(E109,Settings!$S$5)),"LATE – free video promised in 5 working days",IF(AND(E109&lt;&gt;"",E109=TODAY()),"Shooting today",""))))</f>
        <v/>
      </c>
    </row>
    <row r="110" customFormat="false" ht="15" hidden="false" customHeight="false" outlineLevel="0" collapsed="false">
      <c r="A110" s="17"/>
      <c r="B110" s="17"/>
      <c r="C110" s="44" t="str">
        <f aca="false">IF(B110="","",IFERROR(INDEX(Clients!$C$2:$C$501,MATCH(B110,Clients!$A$2:$A$501,0)),"Client ID not found"))</f>
        <v/>
      </c>
      <c r="D110" s="17"/>
      <c r="E110" s="38"/>
      <c r="F110" s="39"/>
      <c r="G110" s="17"/>
      <c r="H110" s="17"/>
      <c r="I110" s="17"/>
      <c r="J110" s="38"/>
      <c r="K110" s="17"/>
      <c r="L110" s="17"/>
      <c r="M110" s="17"/>
      <c r="N110" s="44" t="str">
        <f aca="true">IF(A110="","",IF(N(K110)&gt;Settings!$S$7,"Over revision limit",IF(AND(D110="Free video",J110="",E110&lt;&gt;"",TODAY()&gt;WORKDAY(E110,Settings!$S$5)),"LATE – free video promised in 5 working days",IF(AND(E110&lt;&gt;"",E110=TODAY()),"Shooting today",""))))</f>
        <v/>
      </c>
    </row>
    <row r="111" customFormat="false" ht="15" hidden="false" customHeight="false" outlineLevel="0" collapsed="false">
      <c r="A111" s="17"/>
      <c r="B111" s="17"/>
      <c r="C111" s="44" t="str">
        <f aca="false">IF(B111="","",IFERROR(INDEX(Clients!$C$2:$C$501,MATCH(B111,Clients!$A$2:$A$501,0)),"Client ID not found"))</f>
        <v/>
      </c>
      <c r="D111" s="17"/>
      <c r="E111" s="38"/>
      <c r="F111" s="39"/>
      <c r="G111" s="17"/>
      <c r="H111" s="17"/>
      <c r="I111" s="17"/>
      <c r="J111" s="38"/>
      <c r="K111" s="17"/>
      <c r="L111" s="17"/>
      <c r="M111" s="17"/>
      <c r="N111" s="44" t="str">
        <f aca="true">IF(A111="","",IF(N(K111)&gt;Settings!$S$7,"Over revision limit",IF(AND(D111="Free video",J111="",E111&lt;&gt;"",TODAY()&gt;WORKDAY(E111,Settings!$S$5)),"LATE – free video promised in 5 working days",IF(AND(E111&lt;&gt;"",E111=TODAY()),"Shooting today",""))))</f>
        <v/>
      </c>
    </row>
    <row r="112" customFormat="false" ht="15" hidden="false" customHeight="false" outlineLevel="0" collapsed="false">
      <c r="A112" s="17"/>
      <c r="B112" s="17"/>
      <c r="C112" s="44" t="str">
        <f aca="false">IF(B112="","",IFERROR(INDEX(Clients!$C$2:$C$501,MATCH(B112,Clients!$A$2:$A$501,0)),"Client ID not found"))</f>
        <v/>
      </c>
      <c r="D112" s="17"/>
      <c r="E112" s="38"/>
      <c r="F112" s="39"/>
      <c r="G112" s="17"/>
      <c r="H112" s="17"/>
      <c r="I112" s="17"/>
      <c r="J112" s="38"/>
      <c r="K112" s="17"/>
      <c r="L112" s="17"/>
      <c r="M112" s="17"/>
      <c r="N112" s="44" t="str">
        <f aca="true">IF(A112="","",IF(N(K112)&gt;Settings!$S$7,"Over revision limit",IF(AND(D112="Free video",J112="",E112&lt;&gt;"",TODAY()&gt;WORKDAY(E112,Settings!$S$5)),"LATE – free video promised in 5 working days",IF(AND(E112&lt;&gt;"",E112=TODAY()),"Shooting today",""))))</f>
        <v/>
      </c>
    </row>
    <row r="113" customFormat="false" ht="15" hidden="false" customHeight="false" outlineLevel="0" collapsed="false">
      <c r="A113" s="17"/>
      <c r="B113" s="17"/>
      <c r="C113" s="44" t="str">
        <f aca="false">IF(B113="","",IFERROR(INDEX(Clients!$C$2:$C$501,MATCH(B113,Clients!$A$2:$A$501,0)),"Client ID not found"))</f>
        <v/>
      </c>
      <c r="D113" s="17"/>
      <c r="E113" s="38"/>
      <c r="F113" s="39"/>
      <c r="G113" s="17"/>
      <c r="H113" s="17"/>
      <c r="I113" s="17"/>
      <c r="J113" s="38"/>
      <c r="K113" s="17"/>
      <c r="L113" s="17"/>
      <c r="M113" s="17"/>
      <c r="N113" s="44" t="str">
        <f aca="true">IF(A113="","",IF(N(K113)&gt;Settings!$S$7,"Over revision limit",IF(AND(D113="Free video",J113="",E113&lt;&gt;"",TODAY()&gt;WORKDAY(E113,Settings!$S$5)),"LATE – free video promised in 5 working days",IF(AND(E113&lt;&gt;"",E113=TODAY()),"Shooting today",""))))</f>
        <v/>
      </c>
    </row>
    <row r="114" customFormat="false" ht="15" hidden="false" customHeight="false" outlineLevel="0" collapsed="false">
      <c r="A114" s="17"/>
      <c r="B114" s="17"/>
      <c r="C114" s="44" t="str">
        <f aca="false">IF(B114="","",IFERROR(INDEX(Clients!$C$2:$C$501,MATCH(B114,Clients!$A$2:$A$501,0)),"Client ID not found"))</f>
        <v/>
      </c>
      <c r="D114" s="17"/>
      <c r="E114" s="38"/>
      <c r="F114" s="39"/>
      <c r="G114" s="17"/>
      <c r="H114" s="17"/>
      <c r="I114" s="17"/>
      <c r="J114" s="38"/>
      <c r="K114" s="17"/>
      <c r="L114" s="17"/>
      <c r="M114" s="17"/>
      <c r="N114" s="44" t="str">
        <f aca="true">IF(A114="","",IF(N(K114)&gt;Settings!$S$7,"Over revision limit",IF(AND(D114="Free video",J114="",E114&lt;&gt;"",TODAY()&gt;WORKDAY(E114,Settings!$S$5)),"LATE – free video promised in 5 working days",IF(AND(E114&lt;&gt;"",E114=TODAY()),"Shooting today",""))))</f>
        <v/>
      </c>
    </row>
    <row r="115" customFormat="false" ht="15" hidden="false" customHeight="false" outlineLevel="0" collapsed="false">
      <c r="A115" s="17"/>
      <c r="B115" s="17"/>
      <c r="C115" s="44" t="str">
        <f aca="false">IF(B115="","",IFERROR(INDEX(Clients!$C$2:$C$501,MATCH(B115,Clients!$A$2:$A$501,0)),"Client ID not found"))</f>
        <v/>
      </c>
      <c r="D115" s="17"/>
      <c r="E115" s="38"/>
      <c r="F115" s="39"/>
      <c r="G115" s="17"/>
      <c r="H115" s="17"/>
      <c r="I115" s="17"/>
      <c r="J115" s="38"/>
      <c r="K115" s="17"/>
      <c r="L115" s="17"/>
      <c r="M115" s="17"/>
      <c r="N115" s="44" t="str">
        <f aca="true">IF(A115="","",IF(N(K115)&gt;Settings!$S$7,"Over revision limit",IF(AND(D115="Free video",J115="",E115&lt;&gt;"",TODAY()&gt;WORKDAY(E115,Settings!$S$5)),"LATE – free video promised in 5 working days",IF(AND(E115&lt;&gt;"",E115=TODAY()),"Shooting today",""))))</f>
        <v/>
      </c>
    </row>
    <row r="116" customFormat="false" ht="15" hidden="false" customHeight="false" outlineLevel="0" collapsed="false">
      <c r="A116" s="17"/>
      <c r="B116" s="17"/>
      <c r="C116" s="44" t="str">
        <f aca="false">IF(B116="","",IFERROR(INDEX(Clients!$C$2:$C$501,MATCH(B116,Clients!$A$2:$A$501,0)),"Client ID not found"))</f>
        <v/>
      </c>
      <c r="D116" s="17"/>
      <c r="E116" s="38"/>
      <c r="F116" s="39"/>
      <c r="G116" s="17"/>
      <c r="H116" s="17"/>
      <c r="I116" s="17"/>
      <c r="J116" s="38"/>
      <c r="K116" s="17"/>
      <c r="L116" s="17"/>
      <c r="M116" s="17"/>
      <c r="N116" s="44" t="str">
        <f aca="true">IF(A116="","",IF(N(K116)&gt;Settings!$S$7,"Over revision limit",IF(AND(D116="Free video",J116="",E116&lt;&gt;"",TODAY()&gt;WORKDAY(E116,Settings!$S$5)),"LATE – free video promised in 5 working days",IF(AND(E116&lt;&gt;"",E116=TODAY()),"Shooting today",""))))</f>
        <v/>
      </c>
    </row>
    <row r="117" customFormat="false" ht="15" hidden="false" customHeight="false" outlineLevel="0" collapsed="false">
      <c r="A117" s="17"/>
      <c r="B117" s="17"/>
      <c r="C117" s="44" t="str">
        <f aca="false">IF(B117="","",IFERROR(INDEX(Clients!$C$2:$C$501,MATCH(B117,Clients!$A$2:$A$501,0)),"Client ID not found"))</f>
        <v/>
      </c>
      <c r="D117" s="17"/>
      <c r="E117" s="38"/>
      <c r="F117" s="39"/>
      <c r="G117" s="17"/>
      <c r="H117" s="17"/>
      <c r="I117" s="17"/>
      <c r="J117" s="38"/>
      <c r="K117" s="17"/>
      <c r="L117" s="17"/>
      <c r="M117" s="17"/>
      <c r="N117" s="44" t="str">
        <f aca="true">IF(A117="","",IF(N(K117)&gt;Settings!$S$7,"Over revision limit",IF(AND(D117="Free video",J117="",E117&lt;&gt;"",TODAY()&gt;WORKDAY(E117,Settings!$S$5)),"LATE – free video promised in 5 working days",IF(AND(E117&lt;&gt;"",E117=TODAY()),"Shooting today",""))))</f>
        <v/>
      </c>
    </row>
    <row r="118" customFormat="false" ht="15" hidden="false" customHeight="false" outlineLevel="0" collapsed="false">
      <c r="A118" s="17"/>
      <c r="B118" s="17"/>
      <c r="C118" s="44" t="str">
        <f aca="false">IF(B118="","",IFERROR(INDEX(Clients!$C$2:$C$501,MATCH(B118,Clients!$A$2:$A$501,0)),"Client ID not found"))</f>
        <v/>
      </c>
      <c r="D118" s="17"/>
      <c r="E118" s="38"/>
      <c r="F118" s="39"/>
      <c r="G118" s="17"/>
      <c r="H118" s="17"/>
      <c r="I118" s="17"/>
      <c r="J118" s="38"/>
      <c r="K118" s="17"/>
      <c r="L118" s="17"/>
      <c r="M118" s="17"/>
      <c r="N118" s="44" t="str">
        <f aca="true">IF(A118="","",IF(N(K118)&gt;Settings!$S$7,"Over revision limit",IF(AND(D118="Free video",J118="",E118&lt;&gt;"",TODAY()&gt;WORKDAY(E118,Settings!$S$5)),"LATE – free video promised in 5 working days",IF(AND(E118&lt;&gt;"",E118=TODAY()),"Shooting today",""))))</f>
        <v/>
      </c>
    </row>
    <row r="119" customFormat="false" ht="15" hidden="false" customHeight="false" outlineLevel="0" collapsed="false">
      <c r="A119" s="17"/>
      <c r="B119" s="17"/>
      <c r="C119" s="44" t="str">
        <f aca="false">IF(B119="","",IFERROR(INDEX(Clients!$C$2:$C$501,MATCH(B119,Clients!$A$2:$A$501,0)),"Client ID not found"))</f>
        <v/>
      </c>
      <c r="D119" s="17"/>
      <c r="E119" s="38"/>
      <c r="F119" s="39"/>
      <c r="G119" s="17"/>
      <c r="H119" s="17"/>
      <c r="I119" s="17"/>
      <c r="J119" s="38"/>
      <c r="K119" s="17"/>
      <c r="L119" s="17"/>
      <c r="M119" s="17"/>
      <c r="N119" s="44" t="str">
        <f aca="true">IF(A119="","",IF(N(K119)&gt;Settings!$S$7,"Over revision limit",IF(AND(D119="Free video",J119="",E119&lt;&gt;"",TODAY()&gt;WORKDAY(E119,Settings!$S$5)),"LATE – free video promised in 5 working days",IF(AND(E119&lt;&gt;"",E119=TODAY()),"Shooting today",""))))</f>
        <v/>
      </c>
    </row>
    <row r="120" customFormat="false" ht="15" hidden="false" customHeight="false" outlineLevel="0" collapsed="false">
      <c r="A120" s="17"/>
      <c r="B120" s="17"/>
      <c r="C120" s="44" t="str">
        <f aca="false">IF(B120="","",IFERROR(INDEX(Clients!$C$2:$C$501,MATCH(B120,Clients!$A$2:$A$501,0)),"Client ID not found"))</f>
        <v/>
      </c>
      <c r="D120" s="17"/>
      <c r="E120" s="38"/>
      <c r="F120" s="39"/>
      <c r="G120" s="17"/>
      <c r="H120" s="17"/>
      <c r="I120" s="17"/>
      <c r="J120" s="38"/>
      <c r="K120" s="17"/>
      <c r="L120" s="17"/>
      <c r="M120" s="17"/>
      <c r="N120" s="44" t="str">
        <f aca="true">IF(A120="","",IF(N(K120)&gt;Settings!$S$7,"Over revision limit",IF(AND(D120="Free video",J120="",E120&lt;&gt;"",TODAY()&gt;WORKDAY(E120,Settings!$S$5)),"LATE – free video promised in 5 working days",IF(AND(E120&lt;&gt;"",E120=TODAY()),"Shooting today",""))))</f>
        <v/>
      </c>
    </row>
    <row r="121" customFormat="false" ht="15" hidden="false" customHeight="false" outlineLevel="0" collapsed="false">
      <c r="A121" s="17"/>
      <c r="B121" s="17"/>
      <c r="C121" s="44" t="str">
        <f aca="false">IF(B121="","",IFERROR(INDEX(Clients!$C$2:$C$501,MATCH(B121,Clients!$A$2:$A$501,0)),"Client ID not found"))</f>
        <v/>
      </c>
      <c r="D121" s="17"/>
      <c r="E121" s="38"/>
      <c r="F121" s="39"/>
      <c r="G121" s="17"/>
      <c r="H121" s="17"/>
      <c r="I121" s="17"/>
      <c r="J121" s="38"/>
      <c r="K121" s="17"/>
      <c r="L121" s="17"/>
      <c r="M121" s="17"/>
      <c r="N121" s="44" t="str">
        <f aca="true">IF(A121="","",IF(N(K121)&gt;Settings!$S$7,"Over revision limit",IF(AND(D121="Free video",J121="",E121&lt;&gt;"",TODAY()&gt;WORKDAY(E121,Settings!$S$5)),"LATE – free video promised in 5 working days",IF(AND(E121&lt;&gt;"",E121=TODAY()),"Shooting today",""))))</f>
        <v/>
      </c>
    </row>
    <row r="122" customFormat="false" ht="15" hidden="false" customHeight="false" outlineLevel="0" collapsed="false">
      <c r="A122" s="17"/>
      <c r="B122" s="17"/>
      <c r="C122" s="44" t="str">
        <f aca="false">IF(B122="","",IFERROR(INDEX(Clients!$C$2:$C$501,MATCH(B122,Clients!$A$2:$A$501,0)),"Client ID not found"))</f>
        <v/>
      </c>
      <c r="D122" s="17"/>
      <c r="E122" s="38"/>
      <c r="F122" s="39"/>
      <c r="G122" s="17"/>
      <c r="H122" s="17"/>
      <c r="I122" s="17"/>
      <c r="J122" s="38"/>
      <c r="K122" s="17"/>
      <c r="L122" s="17"/>
      <c r="M122" s="17"/>
      <c r="N122" s="44" t="str">
        <f aca="true">IF(A122="","",IF(N(K122)&gt;Settings!$S$7,"Over revision limit",IF(AND(D122="Free video",J122="",E122&lt;&gt;"",TODAY()&gt;WORKDAY(E122,Settings!$S$5)),"LATE – free video promised in 5 working days",IF(AND(E122&lt;&gt;"",E122=TODAY()),"Shooting today",""))))</f>
        <v/>
      </c>
    </row>
    <row r="123" customFormat="false" ht="15" hidden="false" customHeight="false" outlineLevel="0" collapsed="false">
      <c r="A123" s="17"/>
      <c r="B123" s="17"/>
      <c r="C123" s="44" t="str">
        <f aca="false">IF(B123="","",IFERROR(INDEX(Clients!$C$2:$C$501,MATCH(B123,Clients!$A$2:$A$501,0)),"Client ID not found"))</f>
        <v/>
      </c>
      <c r="D123" s="17"/>
      <c r="E123" s="38"/>
      <c r="F123" s="39"/>
      <c r="G123" s="17"/>
      <c r="H123" s="17"/>
      <c r="I123" s="17"/>
      <c r="J123" s="38"/>
      <c r="K123" s="17"/>
      <c r="L123" s="17"/>
      <c r="M123" s="17"/>
      <c r="N123" s="44" t="str">
        <f aca="true">IF(A123="","",IF(N(K123)&gt;Settings!$S$7,"Over revision limit",IF(AND(D123="Free video",J123="",E123&lt;&gt;"",TODAY()&gt;WORKDAY(E123,Settings!$S$5)),"LATE – free video promised in 5 working days",IF(AND(E123&lt;&gt;"",E123=TODAY()),"Shooting today",""))))</f>
        <v/>
      </c>
    </row>
    <row r="124" customFormat="false" ht="15" hidden="false" customHeight="false" outlineLevel="0" collapsed="false">
      <c r="A124" s="17"/>
      <c r="B124" s="17"/>
      <c r="C124" s="44" t="str">
        <f aca="false">IF(B124="","",IFERROR(INDEX(Clients!$C$2:$C$501,MATCH(B124,Clients!$A$2:$A$501,0)),"Client ID not found"))</f>
        <v/>
      </c>
      <c r="D124" s="17"/>
      <c r="E124" s="38"/>
      <c r="F124" s="39"/>
      <c r="G124" s="17"/>
      <c r="H124" s="17"/>
      <c r="I124" s="17"/>
      <c r="J124" s="38"/>
      <c r="K124" s="17"/>
      <c r="L124" s="17"/>
      <c r="M124" s="17"/>
      <c r="N124" s="44" t="str">
        <f aca="true">IF(A124="","",IF(N(K124)&gt;Settings!$S$7,"Over revision limit",IF(AND(D124="Free video",J124="",E124&lt;&gt;"",TODAY()&gt;WORKDAY(E124,Settings!$S$5)),"LATE – free video promised in 5 working days",IF(AND(E124&lt;&gt;"",E124=TODAY()),"Shooting today",""))))</f>
        <v/>
      </c>
    </row>
    <row r="125" customFormat="false" ht="15" hidden="false" customHeight="false" outlineLevel="0" collapsed="false">
      <c r="A125" s="17"/>
      <c r="B125" s="17"/>
      <c r="C125" s="44" t="str">
        <f aca="false">IF(B125="","",IFERROR(INDEX(Clients!$C$2:$C$501,MATCH(B125,Clients!$A$2:$A$501,0)),"Client ID not found"))</f>
        <v/>
      </c>
      <c r="D125" s="17"/>
      <c r="E125" s="38"/>
      <c r="F125" s="39"/>
      <c r="G125" s="17"/>
      <c r="H125" s="17"/>
      <c r="I125" s="17"/>
      <c r="J125" s="38"/>
      <c r="K125" s="17"/>
      <c r="L125" s="17"/>
      <c r="M125" s="17"/>
      <c r="N125" s="44" t="str">
        <f aca="true">IF(A125="","",IF(N(K125)&gt;Settings!$S$7,"Over revision limit",IF(AND(D125="Free video",J125="",E125&lt;&gt;"",TODAY()&gt;WORKDAY(E125,Settings!$S$5)),"LATE – free video promised in 5 working days",IF(AND(E125&lt;&gt;"",E125=TODAY()),"Shooting today",""))))</f>
        <v/>
      </c>
    </row>
    <row r="126" customFormat="false" ht="15" hidden="false" customHeight="false" outlineLevel="0" collapsed="false">
      <c r="A126" s="17"/>
      <c r="B126" s="17"/>
      <c r="C126" s="44" t="str">
        <f aca="false">IF(B126="","",IFERROR(INDEX(Clients!$C$2:$C$501,MATCH(B126,Clients!$A$2:$A$501,0)),"Client ID not found"))</f>
        <v/>
      </c>
      <c r="D126" s="17"/>
      <c r="E126" s="38"/>
      <c r="F126" s="39"/>
      <c r="G126" s="17"/>
      <c r="H126" s="17"/>
      <c r="I126" s="17"/>
      <c r="J126" s="38"/>
      <c r="K126" s="17"/>
      <c r="L126" s="17"/>
      <c r="M126" s="17"/>
      <c r="N126" s="44" t="str">
        <f aca="true">IF(A126="","",IF(N(K126)&gt;Settings!$S$7,"Over revision limit",IF(AND(D126="Free video",J126="",E126&lt;&gt;"",TODAY()&gt;WORKDAY(E126,Settings!$S$5)),"LATE – free video promised in 5 working days",IF(AND(E126&lt;&gt;"",E126=TODAY()),"Shooting today",""))))</f>
        <v/>
      </c>
    </row>
    <row r="127" customFormat="false" ht="15" hidden="false" customHeight="false" outlineLevel="0" collapsed="false">
      <c r="A127" s="17"/>
      <c r="B127" s="17"/>
      <c r="C127" s="44" t="str">
        <f aca="false">IF(B127="","",IFERROR(INDEX(Clients!$C$2:$C$501,MATCH(B127,Clients!$A$2:$A$501,0)),"Client ID not found"))</f>
        <v/>
      </c>
      <c r="D127" s="17"/>
      <c r="E127" s="38"/>
      <c r="F127" s="39"/>
      <c r="G127" s="17"/>
      <c r="H127" s="17"/>
      <c r="I127" s="17"/>
      <c r="J127" s="38"/>
      <c r="K127" s="17"/>
      <c r="L127" s="17"/>
      <c r="M127" s="17"/>
      <c r="N127" s="44" t="str">
        <f aca="true">IF(A127="","",IF(N(K127)&gt;Settings!$S$7,"Over revision limit",IF(AND(D127="Free video",J127="",E127&lt;&gt;"",TODAY()&gt;WORKDAY(E127,Settings!$S$5)),"LATE – free video promised in 5 working days",IF(AND(E127&lt;&gt;"",E127=TODAY()),"Shooting today",""))))</f>
        <v/>
      </c>
    </row>
    <row r="128" customFormat="false" ht="15" hidden="false" customHeight="false" outlineLevel="0" collapsed="false">
      <c r="A128" s="17"/>
      <c r="B128" s="17"/>
      <c r="C128" s="44" t="str">
        <f aca="false">IF(B128="","",IFERROR(INDEX(Clients!$C$2:$C$501,MATCH(B128,Clients!$A$2:$A$501,0)),"Client ID not found"))</f>
        <v/>
      </c>
      <c r="D128" s="17"/>
      <c r="E128" s="38"/>
      <c r="F128" s="39"/>
      <c r="G128" s="17"/>
      <c r="H128" s="17"/>
      <c r="I128" s="17"/>
      <c r="J128" s="38"/>
      <c r="K128" s="17"/>
      <c r="L128" s="17"/>
      <c r="M128" s="17"/>
      <c r="N128" s="44" t="str">
        <f aca="true">IF(A128="","",IF(N(K128)&gt;Settings!$S$7,"Over revision limit",IF(AND(D128="Free video",J128="",E128&lt;&gt;"",TODAY()&gt;WORKDAY(E128,Settings!$S$5)),"LATE – free video promised in 5 working days",IF(AND(E128&lt;&gt;"",E128=TODAY()),"Shooting today",""))))</f>
        <v/>
      </c>
    </row>
    <row r="129" customFormat="false" ht="15" hidden="false" customHeight="false" outlineLevel="0" collapsed="false">
      <c r="A129" s="17"/>
      <c r="B129" s="17"/>
      <c r="C129" s="44" t="str">
        <f aca="false">IF(B129="","",IFERROR(INDEX(Clients!$C$2:$C$501,MATCH(B129,Clients!$A$2:$A$501,0)),"Client ID not found"))</f>
        <v/>
      </c>
      <c r="D129" s="17"/>
      <c r="E129" s="38"/>
      <c r="F129" s="39"/>
      <c r="G129" s="17"/>
      <c r="H129" s="17"/>
      <c r="I129" s="17"/>
      <c r="J129" s="38"/>
      <c r="K129" s="17"/>
      <c r="L129" s="17"/>
      <c r="M129" s="17"/>
      <c r="N129" s="44" t="str">
        <f aca="true">IF(A129="","",IF(N(K129)&gt;Settings!$S$7,"Over revision limit",IF(AND(D129="Free video",J129="",E129&lt;&gt;"",TODAY()&gt;WORKDAY(E129,Settings!$S$5)),"LATE – free video promised in 5 working days",IF(AND(E129&lt;&gt;"",E129=TODAY()),"Shooting today",""))))</f>
        <v/>
      </c>
    </row>
    <row r="130" customFormat="false" ht="15" hidden="false" customHeight="false" outlineLevel="0" collapsed="false">
      <c r="A130" s="17"/>
      <c r="B130" s="17"/>
      <c r="C130" s="44" t="str">
        <f aca="false">IF(B130="","",IFERROR(INDEX(Clients!$C$2:$C$501,MATCH(B130,Clients!$A$2:$A$501,0)),"Client ID not found"))</f>
        <v/>
      </c>
      <c r="D130" s="17"/>
      <c r="E130" s="38"/>
      <c r="F130" s="39"/>
      <c r="G130" s="17"/>
      <c r="H130" s="17"/>
      <c r="I130" s="17"/>
      <c r="J130" s="38"/>
      <c r="K130" s="17"/>
      <c r="L130" s="17"/>
      <c r="M130" s="17"/>
      <c r="N130" s="44" t="str">
        <f aca="true">IF(A130="","",IF(N(K130)&gt;Settings!$S$7,"Over revision limit",IF(AND(D130="Free video",J130="",E130&lt;&gt;"",TODAY()&gt;WORKDAY(E130,Settings!$S$5)),"LATE – free video promised in 5 working days",IF(AND(E130&lt;&gt;"",E130=TODAY()),"Shooting today",""))))</f>
        <v/>
      </c>
    </row>
    <row r="131" customFormat="false" ht="15" hidden="false" customHeight="false" outlineLevel="0" collapsed="false">
      <c r="A131" s="17"/>
      <c r="B131" s="17"/>
      <c r="C131" s="44" t="str">
        <f aca="false">IF(B131="","",IFERROR(INDEX(Clients!$C$2:$C$501,MATCH(B131,Clients!$A$2:$A$501,0)),"Client ID not found"))</f>
        <v/>
      </c>
      <c r="D131" s="17"/>
      <c r="E131" s="38"/>
      <c r="F131" s="39"/>
      <c r="G131" s="17"/>
      <c r="H131" s="17"/>
      <c r="I131" s="17"/>
      <c r="J131" s="38"/>
      <c r="K131" s="17"/>
      <c r="L131" s="17"/>
      <c r="M131" s="17"/>
      <c r="N131" s="44" t="str">
        <f aca="true">IF(A131="","",IF(N(K131)&gt;Settings!$S$7,"Over revision limit",IF(AND(D131="Free video",J131="",E131&lt;&gt;"",TODAY()&gt;WORKDAY(E131,Settings!$S$5)),"LATE – free video promised in 5 working days",IF(AND(E131&lt;&gt;"",E131=TODAY()),"Shooting today",""))))</f>
        <v/>
      </c>
    </row>
    <row r="132" customFormat="false" ht="15" hidden="false" customHeight="false" outlineLevel="0" collapsed="false">
      <c r="A132" s="17"/>
      <c r="B132" s="17"/>
      <c r="C132" s="44" t="str">
        <f aca="false">IF(B132="","",IFERROR(INDEX(Clients!$C$2:$C$501,MATCH(B132,Clients!$A$2:$A$501,0)),"Client ID not found"))</f>
        <v/>
      </c>
      <c r="D132" s="17"/>
      <c r="E132" s="38"/>
      <c r="F132" s="39"/>
      <c r="G132" s="17"/>
      <c r="H132" s="17"/>
      <c r="I132" s="17"/>
      <c r="J132" s="38"/>
      <c r="K132" s="17"/>
      <c r="L132" s="17"/>
      <c r="M132" s="17"/>
      <c r="N132" s="44" t="str">
        <f aca="true">IF(A132="","",IF(N(K132)&gt;Settings!$S$7,"Over revision limit",IF(AND(D132="Free video",J132="",E132&lt;&gt;"",TODAY()&gt;WORKDAY(E132,Settings!$S$5)),"LATE – free video promised in 5 working days",IF(AND(E132&lt;&gt;"",E132=TODAY()),"Shooting today",""))))</f>
        <v/>
      </c>
    </row>
    <row r="133" customFormat="false" ht="15" hidden="false" customHeight="false" outlineLevel="0" collapsed="false">
      <c r="A133" s="17"/>
      <c r="B133" s="17"/>
      <c r="C133" s="44" t="str">
        <f aca="false">IF(B133="","",IFERROR(INDEX(Clients!$C$2:$C$501,MATCH(B133,Clients!$A$2:$A$501,0)),"Client ID not found"))</f>
        <v/>
      </c>
      <c r="D133" s="17"/>
      <c r="E133" s="38"/>
      <c r="F133" s="39"/>
      <c r="G133" s="17"/>
      <c r="H133" s="17"/>
      <c r="I133" s="17"/>
      <c r="J133" s="38"/>
      <c r="K133" s="17"/>
      <c r="L133" s="17"/>
      <c r="M133" s="17"/>
      <c r="N133" s="44" t="str">
        <f aca="true">IF(A133="","",IF(N(K133)&gt;Settings!$S$7,"Over revision limit",IF(AND(D133="Free video",J133="",E133&lt;&gt;"",TODAY()&gt;WORKDAY(E133,Settings!$S$5)),"LATE – free video promised in 5 working days",IF(AND(E133&lt;&gt;"",E133=TODAY()),"Shooting today",""))))</f>
        <v/>
      </c>
    </row>
    <row r="134" customFormat="false" ht="15" hidden="false" customHeight="false" outlineLevel="0" collapsed="false">
      <c r="A134" s="17"/>
      <c r="B134" s="17"/>
      <c r="C134" s="44" t="str">
        <f aca="false">IF(B134="","",IFERROR(INDEX(Clients!$C$2:$C$501,MATCH(B134,Clients!$A$2:$A$501,0)),"Client ID not found"))</f>
        <v/>
      </c>
      <c r="D134" s="17"/>
      <c r="E134" s="38"/>
      <c r="F134" s="39"/>
      <c r="G134" s="17"/>
      <c r="H134" s="17"/>
      <c r="I134" s="17"/>
      <c r="J134" s="38"/>
      <c r="K134" s="17"/>
      <c r="L134" s="17"/>
      <c r="M134" s="17"/>
      <c r="N134" s="44" t="str">
        <f aca="true">IF(A134="","",IF(N(K134)&gt;Settings!$S$7,"Over revision limit",IF(AND(D134="Free video",J134="",E134&lt;&gt;"",TODAY()&gt;WORKDAY(E134,Settings!$S$5)),"LATE – free video promised in 5 working days",IF(AND(E134&lt;&gt;"",E134=TODAY()),"Shooting today",""))))</f>
        <v/>
      </c>
    </row>
    <row r="135" customFormat="false" ht="15" hidden="false" customHeight="false" outlineLevel="0" collapsed="false">
      <c r="A135" s="17"/>
      <c r="B135" s="17"/>
      <c r="C135" s="44" t="str">
        <f aca="false">IF(B135="","",IFERROR(INDEX(Clients!$C$2:$C$501,MATCH(B135,Clients!$A$2:$A$501,0)),"Client ID not found"))</f>
        <v/>
      </c>
      <c r="D135" s="17"/>
      <c r="E135" s="38"/>
      <c r="F135" s="39"/>
      <c r="G135" s="17"/>
      <c r="H135" s="17"/>
      <c r="I135" s="17"/>
      <c r="J135" s="38"/>
      <c r="K135" s="17"/>
      <c r="L135" s="17"/>
      <c r="M135" s="17"/>
      <c r="N135" s="44" t="str">
        <f aca="true">IF(A135="","",IF(N(K135)&gt;Settings!$S$7,"Over revision limit",IF(AND(D135="Free video",J135="",E135&lt;&gt;"",TODAY()&gt;WORKDAY(E135,Settings!$S$5)),"LATE – free video promised in 5 working days",IF(AND(E135&lt;&gt;"",E135=TODAY()),"Shooting today",""))))</f>
        <v/>
      </c>
    </row>
    <row r="136" customFormat="false" ht="15" hidden="false" customHeight="false" outlineLevel="0" collapsed="false">
      <c r="A136" s="17"/>
      <c r="B136" s="17"/>
      <c r="C136" s="44" t="str">
        <f aca="false">IF(B136="","",IFERROR(INDEX(Clients!$C$2:$C$501,MATCH(B136,Clients!$A$2:$A$501,0)),"Client ID not found"))</f>
        <v/>
      </c>
      <c r="D136" s="17"/>
      <c r="E136" s="38"/>
      <c r="F136" s="39"/>
      <c r="G136" s="17"/>
      <c r="H136" s="17"/>
      <c r="I136" s="17"/>
      <c r="J136" s="38"/>
      <c r="K136" s="17"/>
      <c r="L136" s="17"/>
      <c r="M136" s="17"/>
      <c r="N136" s="44" t="str">
        <f aca="true">IF(A136="","",IF(N(K136)&gt;Settings!$S$7,"Over revision limit",IF(AND(D136="Free video",J136="",E136&lt;&gt;"",TODAY()&gt;WORKDAY(E136,Settings!$S$5)),"LATE – free video promised in 5 working days",IF(AND(E136&lt;&gt;"",E136=TODAY()),"Shooting today",""))))</f>
        <v/>
      </c>
    </row>
    <row r="137" customFormat="false" ht="15" hidden="false" customHeight="false" outlineLevel="0" collapsed="false">
      <c r="A137" s="17"/>
      <c r="B137" s="17"/>
      <c r="C137" s="44" t="str">
        <f aca="false">IF(B137="","",IFERROR(INDEX(Clients!$C$2:$C$501,MATCH(B137,Clients!$A$2:$A$501,0)),"Client ID not found"))</f>
        <v/>
      </c>
      <c r="D137" s="17"/>
      <c r="E137" s="38"/>
      <c r="F137" s="39"/>
      <c r="G137" s="17"/>
      <c r="H137" s="17"/>
      <c r="I137" s="17"/>
      <c r="J137" s="38"/>
      <c r="K137" s="17"/>
      <c r="L137" s="17"/>
      <c r="M137" s="17"/>
      <c r="N137" s="44" t="str">
        <f aca="true">IF(A137="","",IF(N(K137)&gt;Settings!$S$7,"Over revision limit",IF(AND(D137="Free video",J137="",E137&lt;&gt;"",TODAY()&gt;WORKDAY(E137,Settings!$S$5)),"LATE – free video promised in 5 working days",IF(AND(E137&lt;&gt;"",E137=TODAY()),"Shooting today",""))))</f>
        <v/>
      </c>
    </row>
    <row r="138" customFormat="false" ht="15" hidden="false" customHeight="false" outlineLevel="0" collapsed="false">
      <c r="A138" s="17"/>
      <c r="B138" s="17"/>
      <c r="C138" s="44" t="str">
        <f aca="false">IF(B138="","",IFERROR(INDEX(Clients!$C$2:$C$501,MATCH(B138,Clients!$A$2:$A$501,0)),"Client ID not found"))</f>
        <v/>
      </c>
      <c r="D138" s="17"/>
      <c r="E138" s="38"/>
      <c r="F138" s="39"/>
      <c r="G138" s="17"/>
      <c r="H138" s="17"/>
      <c r="I138" s="17"/>
      <c r="J138" s="38"/>
      <c r="K138" s="17"/>
      <c r="L138" s="17"/>
      <c r="M138" s="17"/>
      <c r="N138" s="44" t="str">
        <f aca="true">IF(A138="","",IF(N(K138)&gt;Settings!$S$7,"Over revision limit",IF(AND(D138="Free video",J138="",E138&lt;&gt;"",TODAY()&gt;WORKDAY(E138,Settings!$S$5)),"LATE – free video promised in 5 working days",IF(AND(E138&lt;&gt;"",E138=TODAY()),"Shooting today",""))))</f>
        <v/>
      </c>
    </row>
    <row r="139" customFormat="false" ht="15" hidden="false" customHeight="false" outlineLevel="0" collapsed="false">
      <c r="A139" s="17"/>
      <c r="B139" s="17"/>
      <c r="C139" s="44" t="str">
        <f aca="false">IF(B139="","",IFERROR(INDEX(Clients!$C$2:$C$501,MATCH(B139,Clients!$A$2:$A$501,0)),"Client ID not found"))</f>
        <v/>
      </c>
      <c r="D139" s="17"/>
      <c r="E139" s="38"/>
      <c r="F139" s="39"/>
      <c r="G139" s="17"/>
      <c r="H139" s="17"/>
      <c r="I139" s="17"/>
      <c r="J139" s="38"/>
      <c r="K139" s="17"/>
      <c r="L139" s="17"/>
      <c r="M139" s="17"/>
      <c r="N139" s="44" t="str">
        <f aca="true">IF(A139="","",IF(N(K139)&gt;Settings!$S$7,"Over revision limit",IF(AND(D139="Free video",J139="",E139&lt;&gt;"",TODAY()&gt;WORKDAY(E139,Settings!$S$5)),"LATE – free video promised in 5 working days",IF(AND(E139&lt;&gt;"",E139=TODAY()),"Shooting today",""))))</f>
        <v/>
      </c>
    </row>
    <row r="140" customFormat="false" ht="15" hidden="false" customHeight="false" outlineLevel="0" collapsed="false">
      <c r="A140" s="17"/>
      <c r="B140" s="17"/>
      <c r="C140" s="44" t="str">
        <f aca="false">IF(B140="","",IFERROR(INDEX(Clients!$C$2:$C$501,MATCH(B140,Clients!$A$2:$A$501,0)),"Client ID not found"))</f>
        <v/>
      </c>
      <c r="D140" s="17"/>
      <c r="E140" s="38"/>
      <c r="F140" s="39"/>
      <c r="G140" s="17"/>
      <c r="H140" s="17"/>
      <c r="I140" s="17"/>
      <c r="J140" s="38"/>
      <c r="K140" s="17"/>
      <c r="L140" s="17"/>
      <c r="M140" s="17"/>
      <c r="N140" s="44" t="str">
        <f aca="true">IF(A140="","",IF(N(K140)&gt;Settings!$S$7,"Over revision limit",IF(AND(D140="Free video",J140="",E140&lt;&gt;"",TODAY()&gt;WORKDAY(E140,Settings!$S$5)),"LATE – free video promised in 5 working days",IF(AND(E140&lt;&gt;"",E140=TODAY()),"Shooting today",""))))</f>
        <v/>
      </c>
    </row>
    <row r="141" customFormat="false" ht="15" hidden="false" customHeight="false" outlineLevel="0" collapsed="false">
      <c r="A141" s="17"/>
      <c r="B141" s="17"/>
      <c r="C141" s="44" t="str">
        <f aca="false">IF(B141="","",IFERROR(INDEX(Clients!$C$2:$C$501,MATCH(B141,Clients!$A$2:$A$501,0)),"Client ID not found"))</f>
        <v/>
      </c>
      <c r="D141" s="17"/>
      <c r="E141" s="38"/>
      <c r="F141" s="39"/>
      <c r="G141" s="17"/>
      <c r="H141" s="17"/>
      <c r="I141" s="17"/>
      <c r="J141" s="38"/>
      <c r="K141" s="17"/>
      <c r="L141" s="17"/>
      <c r="M141" s="17"/>
      <c r="N141" s="44" t="str">
        <f aca="true">IF(A141="","",IF(N(K141)&gt;Settings!$S$7,"Over revision limit",IF(AND(D141="Free video",J141="",E141&lt;&gt;"",TODAY()&gt;WORKDAY(E141,Settings!$S$5)),"LATE – free video promised in 5 working days",IF(AND(E141&lt;&gt;"",E141=TODAY()),"Shooting today",""))))</f>
        <v/>
      </c>
    </row>
    <row r="142" customFormat="false" ht="15" hidden="false" customHeight="false" outlineLevel="0" collapsed="false">
      <c r="A142" s="17"/>
      <c r="B142" s="17"/>
      <c r="C142" s="44" t="str">
        <f aca="false">IF(B142="","",IFERROR(INDEX(Clients!$C$2:$C$501,MATCH(B142,Clients!$A$2:$A$501,0)),"Client ID not found"))</f>
        <v/>
      </c>
      <c r="D142" s="17"/>
      <c r="E142" s="38"/>
      <c r="F142" s="39"/>
      <c r="G142" s="17"/>
      <c r="H142" s="17"/>
      <c r="I142" s="17"/>
      <c r="J142" s="38"/>
      <c r="K142" s="17"/>
      <c r="L142" s="17"/>
      <c r="M142" s="17"/>
      <c r="N142" s="44" t="str">
        <f aca="true">IF(A142="","",IF(N(K142)&gt;Settings!$S$7,"Over revision limit",IF(AND(D142="Free video",J142="",E142&lt;&gt;"",TODAY()&gt;WORKDAY(E142,Settings!$S$5)),"LATE – free video promised in 5 working days",IF(AND(E142&lt;&gt;"",E142=TODAY()),"Shooting today",""))))</f>
        <v/>
      </c>
    </row>
    <row r="143" customFormat="false" ht="15" hidden="false" customHeight="false" outlineLevel="0" collapsed="false">
      <c r="A143" s="17"/>
      <c r="B143" s="17"/>
      <c r="C143" s="44" t="str">
        <f aca="false">IF(B143="","",IFERROR(INDEX(Clients!$C$2:$C$501,MATCH(B143,Clients!$A$2:$A$501,0)),"Client ID not found"))</f>
        <v/>
      </c>
      <c r="D143" s="17"/>
      <c r="E143" s="38"/>
      <c r="F143" s="39"/>
      <c r="G143" s="17"/>
      <c r="H143" s="17"/>
      <c r="I143" s="17"/>
      <c r="J143" s="38"/>
      <c r="K143" s="17"/>
      <c r="L143" s="17"/>
      <c r="M143" s="17"/>
      <c r="N143" s="44" t="str">
        <f aca="true">IF(A143="","",IF(N(K143)&gt;Settings!$S$7,"Over revision limit",IF(AND(D143="Free video",J143="",E143&lt;&gt;"",TODAY()&gt;WORKDAY(E143,Settings!$S$5)),"LATE – free video promised in 5 working days",IF(AND(E143&lt;&gt;"",E143=TODAY()),"Shooting today",""))))</f>
        <v/>
      </c>
    </row>
    <row r="144" customFormat="false" ht="15" hidden="false" customHeight="false" outlineLevel="0" collapsed="false">
      <c r="A144" s="17"/>
      <c r="B144" s="17"/>
      <c r="C144" s="44" t="str">
        <f aca="false">IF(B144="","",IFERROR(INDEX(Clients!$C$2:$C$501,MATCH(B144,Clients!$A$2:$A$501,0)),"Client ID not found"))</f>
        <v/>
      </c>
      <c r="D144" s="17"/>
      <c r="E144" s="38"/>
      <c r="F144" s="39"/>
      <c r="G144" s="17"/>
      <c r="H144" s="17"/>
      <c r="I144" s="17"/>
      <c r="J144" s="38"/>
      <c r="K144" s="17"/>
      <c r="L144" s="17"/>
      <c r="M144" s="17"/>
      <c r="N144" s="44" t="str">
        <f aca="true">IF(A144="","",IF(N(K144)&gt;Settings!$S$7,"Over revision limit",IF(AND(D144="Free video",J144="",E144&lt;&gt;"",TODAY()&gt;WORKDAY(E144,Settings!$S$5)),"LATE – free video promised in 5 working days",IF(AND(E144&lt;&gt;"",E144=TODAY()),"Shooting today",""))))</f>
        <v/>
      </c>
    </row>
    <row r="145" customFormat="false" ht="15" hidden="false" customHeight="false" outlineLevel="0" collapsed="false">
      <c r="A145" s="17"/>
      <c r="B145" s="17"/>
      <c r="C145" s="44" t="str">
        <f aca="false">IF(B145="","",IFERROR(INDEX(Clients!$C$2:$C$501,MATCH(B145,Clients!$A$2:$A$501,0)),"Client ID not found"))</f>
        <v/>
      </c>
      <c r="D145" s="17"/>
      <c r="E145" s="38"/>
      <c r="F145" s="39"/>
      <c r="G145" s="17"/>
      <c r="H145" s="17"/>
      <c r="I145" s="17"/>
      <c r="J145" s="38"/>
      <c r="K145" s="17"/>
      <c r="L145" s="17"/>
      <c r="M145" s="17"/>
      <c r="N145" s="44" t="str">
        <f aca="true">IF(A145="","",IF(N(K145)&gt;Settings!$S$7,"Over revision limit",IF(AND(D145="Free video",J145="",E145&lt;&gt;"",TODAY()&gt;WORKDAY(E145,Settings!$S$5)),"LATE – free video promised in 5 working days",IF(AND(E145&lt;&gt;"",E145=TODAY()),"Shooting today",""))))</f>
        <v/>
      </c>
    </row>
    <row r="146" customFormat="false" ht="15" hidden="false" customHeight="false" outlineLevel="0" collapsed="false">
      <c r="A146" s="17"/>
      <c r="B146" s="17"/>
      <c r="C146" s="44" t="str">
        <f aca="false">IF(B146="","",IFERROR(INDEX(Clients!$C$2:$C$501,MATCH(B146,Clients!$A$2:$A$501,0)),"Client ID not found"))</f>
        <v/>
      </c>
      <c r="D146" s="17"/>
      <c r="E146" s="38"/>
      <c r="F146" s="39"/>
      <c r="G146" s="17"/>
      <c r="H146" s="17"/>
      <c r="I146" s="17"/>
      <c r="J146" s="38"/>
      <c r="K146" s="17"/>
      <c r="L146" s="17"/>
      <c r="M146" s="17"/>
      <c r="N146" s="44" t="str">
        <f aca="true">IF(A146="","",IF(N(K146)&gt;Settings!$S$7,"Over revision limit",IF(AND(D146="Free video",J146="",E146&lt;&gt;"",TODAY()&gt;WORKDAY(E146,Settings!$S$5)),"LATE – free video promised in 5 working days",IF(AND(E146&lt;&gt;"",E146=TODAY()),"Shooting today",""))))</f>
        <v/>
      </c>
    </row>
    <row r="147" customFormat="false" ht="15" hidden="false" customHeight="false" outlineLevel="0" collapsed="false">
      <c r="A147" s="17"/>
      <c r="B147" s="17"/>
      <c r="C147" s="44" t="str">
        <f aca="false">IF(B147="","",IFERROR(INDEX(Clients!$C$2:$C$501,MATCH(B147,Clients!$A$2:$A$501,0)),"Client ID not found"))</f>
        <v/>
      </c>
      <c r="D147" s="17"/>
      <c r="E147" s="38"/>
      <c r="F147" s="39"/>
      <c r="G147" s="17"/>
      <c r="H147" s="17"/>
      <c r="I147" s="17"/>
      <c r="J147" s="38"/>
      <c r="K147" s="17"/>
      <c r="L147" s="17"/>
      <c r="M147" s="17"/>
      <c r="N147" s="44" t="str">
        <f aca="true">IF(A147="","",IF(N(K147)&gt;Settings!$S$7,"Over revision limit",IF(AND(D147="Free video",J147="",E147&lt;&gt;"",TODAY()&gt;WORKDAY(E147,Settings!$S$5)),"LATE – free video promised in 5 working days",IF(AND(E147&lt;&gt;"",E147=TODAY()),"Shooting today",""))))</f>
        <v/>
      </c>
    </row>
    <row r="148" customFormat="false" ht="15" hidden="false" customHeight="false" outlineLevel="0" collapsed="false">
      <c r="A148" s="17"/>
      <c r="B148" s="17"/>
      <c r="C148" s="44" t="str">
        <f aca="false">IF(B148="","",IFERROR(INDEX(Clients!$C$2:$C$501,MATCH(B148,Clients!$A$2:$A$501,0)),"Client ID not found"))</f>
        <v/>
      </c>
      <c r="D148" s="17"/>
      <c r="E148" s="38"/>
      <c r="F148" s="39"/>
      <c r="G148" s="17"/>
      <c r="H148" s="17"/>
      <c r="I148" s="17"/>
      <c r="J148" s="38"/>
      <c r="K148" s="17"/>
      <c r="L148" s="17"/>
      <c r="M148" s="17"/>
      <c r="N148" s="44" t="str">
        <f aca="true">IF(A148="","",IF(N(K148)&gt;Settings!$S$7,"Over revision limit",IF(AND(D148="Free video",J148="",E148&lt;&gt;"",TODAY()&gt;WORKDAY(E148,Settings!$S$5)),"LATE – free video promised in 5 working days",IF(AND(E148&lt;&gt;"",E148=TODAY()),"Shooting today",""))))</f>
        <v/>
      </c>
    </row>
    <row r="149" customFormat="false" ht="15" hidden="false" customHeight="false" outlineLevel="0" collapsed="false">
      <c r="A149" s="17"/>
      <c r="B149" s="17"/>
      <c r="C149" s="44" t="str">
        <f aca="false">IF(B149="","",IFERROR(INDEX(Clients!$C$2:$C$501,MATCH(B149,Clients!$A$2:$A$501,0)),"Client ID not found"))</f>
        <v/>
      </c>
      <c r="D149" s="17"/>
      <c r="E149" s="38"/>
      <c r="F149" s="39"/>
      <c r="G149" s="17"/>
      <c r="H149" s="17"/>
      <c r="I149" s="17"/>
      <c r="J149" s="38"/>
      <c r="K149" s="17"/>
      <c r="L149" s="17"/>
      <c r="M149" s="17"/>
      <c r="N149" s="44" t="str">
        <f aca="true">IF(A149="","",IF(N(K149)&gt;Settings!$S$7,"Over revision limit",IF(AND(D149="Free video",J149="",E149&lt;&gt;"",TODAY()&gt;WORKDAY(E149,Settings!$S$5)),"LATE – free video promised in 5 working days",IF(AND(E149&lt;&gt;"",E149=TODAY()),"Shooting today",""))))</f>
        <v/>
      </c>
    </row>
    <row r="150" customFormat="false" ht="15" hidden="false" customHeight="false" outlineLevel="0" collapsed="false">
      <c r="A150" s="17"/>
      <c r="B150" s="17"/>
      <c r="C150" s="44" t="str">
        <f aca="false">IF(B150="","",IFERROR(INDEX(Clients!$C$2:$C$501,MATCH(B150,Clients!$A$2:$A$501,0)),"Client ID not found"))</f>
        <v/>
      </c>
      <c r="D150" s="17"/>
      <c r="E150" s="38"/>
      <c r="F150" s="39"/>
      <c r="G150" s="17"/>
      <c r="H150" s="17"/>
      <c r="I150" s="17"/>
      <c r="J150" s="38"/>
      <c r="K150" s="17"/>
      <c r="L150" s="17"/>
      <c r="M150" s="17"/>
      <c r="N150" s="44" t="str">
        <f aca="true">IF(A150="","",IF(N(K150)&gt;Settings!$S$7,"Over revision limit",IF(AND(D150="Free video",J150="",E150&lt;&gt;"",TODAY()&gt;WORKDAY(E150,Settings!$S$5)),"LATE – free video promised in 5 working days",IF(AND(E150&lt;&gt;"",E150=TODAY()),"Shooting today",""))))</f>
        <v/>
      </c>
    </row>
    <row r="151" customFormat="false" ht="15" hidden="false" customHeight="false" outlineLevel="0" collapsed="false">
      <c r="A151" s="17"/>
      <c r="B151" s="17"/>
      <c r="C151" s="44" t="str">
        <f aca="false">IF(B151="","",IFERROR(INDEX(Clients!$C$2:$C$501,MATCH(B151,Clients!$A$2:$A$501,0)),"Client ID not found"))</f>
        <v/>
      </c>
      <c r="D151" s="17"/>
      <c r="E151" s="38"/>
      <c r="F151" s="39"/>
      <c r="G151" s="17"/>
      <c r="H151" s="17"/>
      <c r="I151" s="17"/>
      <c r="J151" s="38"/>
      <c r="K151" s="17"/>
      <c r="L151" s="17"/>
      <c r="M151" s="17"/>
      <c r="N151" s="44" t="str">
        <f aca="true">IF(A151="","",IF(N(K151)&gt;Settings!$S$7,"Over revision limit",IF(AND(D151="Free video",J151="",E151&lt;&gt;"",TODAY()&gt;WORKDAY(E151,Settings!$S$5)),"LATE – free video promised in 5 working days",IF(AND(E151&lt;&gt;"",E151=TODAY()),"Shooting today",""))))</f>
        <v/>
      </c>
    </row>
    <row r="152" customFormat="false" ht="15" hidden="false" customHeight="false" outlineLevel="0" collapsed="false">
      <c r="A152" s="17"/>
      <c r="B152" s="17"/>
      <c r="C152" s="44" t="str">
        <f aca="false">IF(B152="","",IFERROR(INDEX(Clients!$C$2:$C$501,MATCH(B152,Clients!$A$2:$A$501,0)),"Client ID not found"))</f>
        <v/>
      </c>
      <c r="D152" s="17"/>
      <c r="E152" s="38"/>
      <c r="F152" s="39"/>
      <c r="G152" s="17"/>
      <c r="H152" s="17"/>
      <c r="I152" s="17"/>
      <c r="J152" s="38"/>
      <c r="K152" s="17"/>
      <c r="L152" s="17"/>
      <c r="M152" s="17"/>
      <c r="N152" s="44" t="str">
        <f aca="true">IF(A152="","",IF(N(K152)&gt;Settings!$S$7,"Over revision limit",IF(AND(D152="Free video",J152="",E152&lt;&gt;"",TODAY()&gt;WORKDAY(E152,Settings!$S$5)),"LATE – free video promised in 5 working days",IF(AND(E152&lt;&gt;"",E152=TODAY()),"Shooting today",""))))</f>
        <v/>
      </c>
    </row>
    <row r="153" customFormat="false" ht="15" hidden="false" customHeight="false" outlineLevel="0" collapsed="false">
      <c r="A153" s="17"/>
      <c r="B153" s="17"/>
      <c r="C153" s="44" t="str">
        <f aca="false">IF(B153="","",IFERROR(INDEX(Clients!$C$2:$C$501,MATCH(B153,Clients!$A$2:$A$501,0)),"Client ID not found"))</f>
        <v/>
      </c>
      <c r="D153" s="17"/>
      <c r="E153" s="38"/>
      <c r="F153" s="39"/>
      <c r="G153" s="17"/>
      <c r="H153" s="17"/>
      <c r="I153" s="17"/>
      <c r="J153" s="38"/>
      <c r="K153" s="17"/>
      <c r="L153" s="17"/>
      <c r="M153" s="17"/>
      <c r="N153" s="44" t="str">
        <f aca="true">IF(A153="","",IF(N(K153)&gt;Settings!$S$7,"Over revision limit",IF(AND(D153="Free video",J153="",E153&lt;&gt;"",TODAY()&gt;WORKDAY(E153,Settings!$S$5)),"LATE – free video promised in 5 working days",IF(AND(E153&lt;&gt;"",E153=TODAY()),"Shooting today",""))))</f>
        <v/>
      </c>
    </row>
    <row r="154" customFormat="false" ht="15" hidden="false" customHeight="false" outlineLevel="0" collapsed="false">
      <c r="A154" s="17"/>
      <c r="B154" s="17"/>
      <c r="C154" s="44" t="str">
        <f aca="false">IF(B154="","",IFERROR(INDEX(Clients!$C$2:$C$501,MATCH(B154,Clients!$A$2:$A$501,0)),"Client ID not found"))</f>
        <v/>
      </c>
      <c r="D154" s="17"/>
      <c r="E154" s="38"/>
      <c r="F154" s="39"/>
      <c r="G154" s="17"/>
      <c r="H154" s="17"/>
      <c r="I154" s="17"/>
      <c r="J154" s="38"/>
      <c r="K154" s="17"/>
      <c r="L154" s="17"/>
      <c r="M154" s="17"/>
      <c r="N154" s="44" t="str">
        <f aca="true">IF(A154="","",IF(N(K154)&gt;Settings!$S$7,"Over revision limit",IF(AND(D154="Free video",J154="",E154&lt;&gt;"",TODAY()&gt;WORKDAY(E154,Settings!$S$5)),"LATE – free video promised in 5 working days",IF(AND(E154&lt;&gt;"",E154=TODAY()),"Shooting today",""))))</f>
        <v/>
      </c>
    </row>
    <row r="155" customFormat="false" ht="15" hidden="false" customHeight="false" outlineLevel="0" collapsed="false">
      <c r="A155" s="17"/>
      <c r="B155" s="17"/>
      <c r="C155" s="44" t="str">
        <f aca="false">IF(B155="","",IFERROR(INDEX(Clients!$C$2:$C$501,MATCH(B155,Clients!$A$2:$A$501,0)),"Client ID not found"))</f>
        <v/>
      </c>
      <c r="D155" s="17"/>
      <c r="E155" s="38"/>
      <c r="F155" s="39"/>
      <c r="G155" s="17"/>
      <c r="H155" s="17"/>
      <c r="I155" s="17"/>
      <c r="J155" s="38"/>
      <c r="K155" s="17"/>
      <c r="L155" s="17"/>
      <c r="M155" s="17"/>
      <c r="N155" s="44" t="str">
        <f aca="true">IF(A155="","",IF(N(K155)&gt;Settings!$S$7,"Over revision limit",IF(AND(D155="Free video",J155="",E155&lt;&gt;"",TODAY()&gt;WORKDAY(E155,Settings!$S$5)),"LATE – free video promised in 5 working days",IF(AND(E155&lt;&gt;"",E155=TODAY()),"Shooting today",""))))</f>
        <v/>
      </c>
    </row>
    <row r="156" customFormat="false" ht="15" hidden="false" customHeight="false" outlineLevel="0" collapsed="false">
      <c r="A156" s="17"/>
      <c r="B156" s="17"/>
      <c r="C156" s="44" t="str">
        <f aca="false">IF(B156="","",IFERROR(INDEX(Clients!$C$2:$C$501,MATCH(B156,Clients!$A$2:$A$501,0)),"Client ID not found"))</f>
        <v/>
      </c>
      <c r="D156" s="17"/>
      <c r="E156" s="38"/>
      <c r="F156" s="39"/>
      <c r="G156" s="17"/>
      <c r="H156" s="17"/>
      <c r="I156" s="17"/>
      <c r="J156" s="38"/>
      <c r="K156" s="17"/>
      <c r="L156" s="17"/>
      <c r="M156" s="17"/>
      <c r="N156" s="44" t="str">
        <f aca="true">IF(A156="","",IF(N(K156)&gt;Settings!$S$7,"Over revision limit",IF(AND(D156="Free video",J156="",E156&lt;&gt;"",TODAY()&gt;WORKDAY(E156,Settings!$S$5)),"LATE – free video promised in 5 working days",IF(AND(E156&lt;&gt;"",E156=TODAY()),"Shooting today",""))))</f>
        <v/>
      </c>
    </row>
    <row r="157" customFormat="false" ht="15" hidden="false" customHeight="false" outlineLevel="0" collapsed="false">
      <c r="A157" s="17"/>
      <c r="B157" s="17"/>
      <c r="C157" s="44" t="str">
        <f aca="false">IF(B157="","",IFERROR(INDEX(Clients!$C$2:$C$501,MATCH(B157,Clients!$A$2:$A$501,0)),"Client ID not found"))</f>
        <v/>
      </c>
      <c r="D157" s="17"/>
      <c r="E157" s="38"/>
      <c r="F157" s="39"/>
      <c r="G157" s="17"/>
      <c r="H157" s="17"/>
      <c r="I157" s="17"/>
      <c r="J157" s="38"/>
      <c r="K157" s="17"/>
      <c r="L157" s="17"/>
      <c r="M157" s="17"/>
      <c r="N157" s="44" t="str">
        <f aca="true">IF(A157="","",IF(N(K157)&gt;Settings!$S$7,"Over revision limit",IF(AND(D157="Free video",J157="",E157&lt;&gt;"",TODAY()&gt;WORKDAY(E157,Settings!$S$5)),"LATE – free video promised in 5 working days",IF(AND(E157&lt;&gt;"",E157=TODAY()),"Shooting today",""))))</f>
        <v/>
      </c>
    </row>
    <row r="158" customFormat="false" ht="15" hidden="false" customHeight="false" outlineLevel="0" collapsed="false">
      <c r="A158" s="17"/>
      <c r="B158" s="17"/>
      <c r="C158" s="44" t="str">
        <f aca="false">IF(B158="","",IFERROR(INDEX(Clients!$C$2:$C$501,MATCH(B158,Clients!$A$2:$A$501,0)),"Client ID not found"))</f>
        <v/>
      </c>
      <c r="D158" s="17"/>
      <c r="E158" s="38"/>
      <c r="F158" s="39"/>
      <c r="G158" s="17"/>
      <c r="H158" s="17"/>
      <c r="I158" s="17"/>
      <c r="J158" s="38"/>
      <c r="K158" s="17"/>
      <c r="L158" s="17"/>
      <c r="M158" s="17"/>
      <c r="N158" s="44" t="str">
        <f aca="true">IF(A158="","",IF(N(K158)&gt;Settings!$S$7,"Over revision limit",IF(AND(D158="Free video",J158="",E158&lt;&gt;"",TODAY()&gt;WORKDAY(E158,Settings!$S$5)),"LATE – free video promised in 5 working days",IF(AND(E158&lt;&gt;"",E158=TODAY()),"Shooting today",""))))</f>
        <v/>
      </c>
    </row>
    <row r="159" customFormat="false" ht="15" hidden="false" customHeight="false" outlineLevel="0" collapsed="false">
      <c r="A159" s="17"/>
      <c r="B159" s="17"/>
      <c r="C159" s="44" t="str">
        <f aca="false">IF(B159="","",IFERROR(INDEX(Clients!$C$2:$C$501,MATCH(B159,Clients!$A$2:$A$501,0)),"Client ID not found"))</f>
        <v/>
      </c>
      <c r="D159" s="17"/>
      <c r="E159" s="38"/>
      <c r="F159" s="39"/>
      <c r="G159" s="17"/>
      <c r="H159" s="17"/>
      <c r="I159" s="17"/>
      <c r="J159" s="38"/>
      <c r="K159" s="17"/>
      <c r="L159" s="17"/>
      <c r="M159" s="17"/>
      <c r="N159" s="44" t="str">
        <f aca="true">IF(A159="","",IF(N(K159)&gt;Settings!$S$7,"Over revision limit",IF(AND(D159="Free video",J159="",E159&lt;&gt;"",TODAY()&gt;WORKDAY(E159,Settings!$S$5)),"LATE – free video promised in 5 working days",IF(AND(E159&lt;&gt;"",E159=TODAY()),"Shooting today",""))))</f>
        <v/>
      </c>
    </row>
    <row r="160" customFormat="false" ht="15" hidden="false" customHeight="false" outlineLevel="0" collapsed="false">
      <c r="A160" s="17"/>
      <c r="B160" s="17"/>
      <c r="C160" s="44" t="str">
        <f aca="false">IF(B160="","",IFERROR(INDEX(Clients!$C$2:$C$501,MATCH(B160,Clients!$A$2:$A$501,0)),"Client ID not found"))</f>
        <v/>
      </c>
      <c r="D160" s="17"/>
      <c r="E160" s="38"/>
      <c r="F160" s="39"/>
      <c r="G160" s="17"/>
      <c r="H160" s="17"/>
      <c r="I160" s="17"/>
      <c r="J160" s="38"/>
      <c r="K160" s="17"/>
      <c r="L160" s="17"/>
      <c r="M160" s="17"/>
      <c r="N160" s="44" t="str">
        <f aca="true">IF(A160="","",IF(N(K160)&gt;Settings!$S$7,"Over revision limit",IF(AND(D160="Free video",J160="",E160&lt;&gt;"",TODAY()&gt;WORKDAY(E160,Settings!$S$5)),"LATE – free video promised in 5 working days",IF(AND(E160&lt;&gt;"",E160=TODAY()),"Shooting today",""))))</f>
        <v/>
      </c>
    </row>
    <row r="161" customFormat="false" ht="15" hidden="false" customHeight="false" outlineLevel="0" collapsed="false">
      <c r="A161" s="17"/>
      <c r="B161" s="17"/>
      <c r="C161" s="44" t="str">
        <f aca="false">IF(B161="","",IFERROR(INDEX(Clients!$C$2:$C$501,MATCH(B161,Clients!$A$2:$A$501,0)),"Client ID not found"))</f>
        <v/>
      </c>
      <c r="D161" s="17"/>
      <c r="E161" s="38"/>
      <c r="F161" s="39"/>
      <c r="G161" s="17"/>
      <c r="H161" s="17"/>
      <c r="I161" s="17"/>
      <c r="J161" s="38"/>
      <c r="K161" s="17"/>
      <c r="L161" s="17"/>
      <c r="M161" s="17"/>
      <c r="N161" s="44" t="str">
        <f aca="true">IF(A161="","",IF(N(K161)&gt;Settings!$S$7,"Over revision limit",IF(AND(D161="Free video",J161="",E161&lt;&gt;"",TODAY()&gt;WORKDAY(E161,Settings!$S$5)),"LATE – free video promised in 5 working days",IF(AND(E161&lt;&gt;"",E161=TODAY()),"Shooting today",""))))</f>
        <v/>
      </c>
    </row>
    <row r="162" customFormat="false" ht="15" hidden="false" customHeight="false" outlineLevel="0" collapsed="false">
      <c r="A162" s="17"/>
      <c r="B162" s="17"/>
      <c r="C162" s="44" t="str">
        <f aca="false">IF(B162="","",IFERROR(INDEX(Clients!$C$2:$C$501,MATCH(B162,Clients!$A$2:$A$501,0)),"Client ID not found"))</f>
        <v/>
      </c>
      <c r="D162" s="17"/>
      <c r="E162" s="38"/>
      <c r="F162" s="39"/>
      <c r="G162" s="17"/>
      <c r="H162" s="17"/>
      <c r="I162" s="17"/>
      <c r="J162" s="38"/>
      <c r="K162" s="17"/>
      <c r="L162" s="17"/>
      <c r="M162" s="17"/>
      <c r="N162" s="44" t="str">
        <f aca="true">IF(A162="","",IF(N(K162)&gt;Settings!$S$7,"Over revision limit",IF(AND(D162="Free video",J162="",E162&lt;&gt;"",TODAY()&gt;WORKDAY(E162,Settings!$S$5)),"LATE – free video promised in 5 working days",IF(AND(E162&lt;&gt;"",E162=TODAY()),"Shooting today",""))))</f>
        <v/>
      </c>
    </row>
    <row r="163" customFormat="false" ht="15" hidden="false" customHeight="false" outlineLevel="0" collapsed="false">
      <c r="A163" s="17"/>
      <c r="B163" s="17"/>
      <c r="C163" s="44" t="str">
        <f aca="false">IF(B163="","",IFERROR(INDEX(Clients!$C$2:$C$501,MATCH(B163,Clients!$A$2:$A$501,0)),"Client ID not found"))</f>
        <v/>
      </c>
      <c r="D163" s="17"/>
      <c r="E163" s="38"/>
      <c r="F163" s="39"/>
      <c r="G163" s="17"/>
      <c r="H163" s="17"/>
      <c r="I163" s="17"/>
      <c r="J163" s="38"/>
      <c r="K163" s="17"/>
      <c r="L163" s="17"/>
      <c r="M163" s="17"/>
      <c r="N163" s="44" t="str">
        <f aca="true">IF(A163="","",IF(N(K163)&gt;Settings!$S$7,"Over revision limit",IF(AND(D163="Free video",J163="",E163&lt;&gt;"",TODAY()&gt;WORKDAY(E163,Settings!$S$5)),"LATE – free video promised in 5 working days",IF(AND(E163&lt;&gt;"",E163=TODAY()),"Shooting today",""))))</f>
        <v/>
      </c>
    </row>
    <row r="164" customFormat="false" ht="15" hidden="false" customHeight="false" outlineLevel="0" collapsed="false">
      <c r="A164" s="17"/>
      <c r="B164" s="17"/>
      <c r="C164" s="44" t="str">
        <f aca="false">IF(B164="","",IFERROR(INDEX(Clients!$C$2:$C$501,MATCH(B164,Clients!$A$2:$A$501,0)),"Client ID not found"))</f>
        <v/>
      </c>
      <c r="D164" s="17"/>
      <c r="E164" s="38"/>
      <c r="F164" s="39"/>
      <c r="G164" s="17"/>
      <c r="H164" s="17"/>
      <c r="I164" s="17"/>
      <c r="J164" s="38"/>
      <c r="K164" s="17"/>
      <c r="L164" s="17"/>
      <c r="M164" s="17"/>
      <c r="N164" s="44" t="str">
        <f aca="true">IF(A164="","",IF(N(K164)&gt;Settings!$S$7,"Over revision limit",IF(AND(D164="Free video",J164="",E164&lt;&gt;"",TODAY()&gt;WORKDAY(E164,Settings!$S$5)),"LATE – free video promised in 5 working days",IF(AND(E164&lt;&gt;"",E164=TODAY()),"Shooting today",""))))</f>
        <v/>
      </c>
    </row>
    <row r="165" customFormat="false" ht="15" hidden="false" customHeight="false" outlineLevel="0" collapsed="false">
      <c r="A165" s="17"/>
      <c r="B165" s="17"/>
      <c r="C165" s="44" t="str">
        <f aca="false">IF(B165="","",IFERROR(INDEX(Clients!$C$2:$C$501,MATCH(B165,Clients!$A$2:$A$501,0)),"Client ID not found"))</f>
        <v/>
      </c>
      <c r="D165" s="17"/>
      <c r="E165" s="38"/>
      <c r="F165" s="39"/>
      <c r="G165" s="17"/>
      <c r="H165" s="17"/>
      <c r="I165" s="17"/>
      <c r="J165" s="38"/>
      <c r="K165" s="17"/>
      <c r="L165" s="17"/>
      <c r="M165" s="17"/>
      <c r="N165" s="44" t="str">
        <f aca="true">IF(A165="","",IF(N(K165)&gt;Settings!$S$7,"Over revision limit",IF(AND(D165="Free video",J165="",E165&lt;&gt;"",TODAY()&gt;WORKDAY(E165,Settings!$S$5)),"LATE – free video promised in 5 working days",IF(AND(E165&lt;&gt;"",E165=TODAY()),"Shooting today",""))))</f>
        <v/>
      </c>
    </row>
    <row r="166" customFormat="false" ht="15" hidden="false" customHeight="false" outlineLevel="0" collapsed="false">
      <c r="A166" s="17"/>
      <c r="B166" s="17"/>
      <c r="C166" s="44" t="str">
        <f aca="false">IF(B166="","",IFERROR(INDEX(Clients!$C$2:$C$501,MATCH(B166,Clients!$A$2:$A$501,0)),"Client ID not found"))</f>
        <v/>
      </c>
      <c r="D166" s="17"/>
      <c r="E166" s="38"/>
      <c r="F166" s="39"/>
      <c r="G166" s="17"/>
      <c r="H166" s="17"/>
      <c r="I166" s="17"/>
      <c r="J166" s="38"/>
      <c r="K166" s="17"/>
      <c r="L166" s="17"/>
      <c r="M166" s="17"/>
      <c r="N166" s="44" t="str">
        <f aca="true">IF(A166="","",IF(N(K166)&gt;Settings!$S$7,"Over revision limit",IF(AND(D166="Free video",J166="",E166&lt;&gt;"",TODAY()&gt;WORKDAY(E166,Settings!$S$5)),"LATE – free video promised in 5 working days",IF(AND(E166&lt;&gt;"",E166=TODAY()),"Shooting today",""))))</f>
        <v/>
      </c>
    </row>
    <row r="167" customFormat="false" ht="15" hidden="false" customHeight="false" outlineLevel="0" collapsed="false">
      <c r="A167" s="17"/>
      <c r="B167" s="17"/>
      <c r="C167" s="44" t="str">
        <f aca="false">IF(B167="","",IFERROR(INDEX(Clients!$C$2:$C$501,MATCH(B167,Clients!$A$2:$A$501,0)),"Client ID not found"))</f>
        <v/>
      </c>
      <c r="D167" s="17"/>
      <c r="E167" s="38"/>
      <c r="F167" s="39"/>
      <c r="G167" s="17"/>
      <c r="H167" s="17"/>
      <c r="I167" s="17"/>
      <c r="J167" s="38"/>
      <c r="K167" s="17"/>
      <c r="L167" s="17"/>
      <c r="M167" s="17"/>
      <c r="N167" s="44" t="str">
        <f aca="true">IF(A167="","",IF(N(K167)&gt;Settings!$S$7,"Over revision limit",IF(AND(D167="Free video",J167="",E167&lt;&gt;"",TODAY()&gt;WORKDAY(E167,Settings!$S$5)),"LATE – free video promised in 5 working days",IF(AND(E167&lt;&gt;"",E167=TODAY()),"Shooting today",""))))</f>
        <v/>
      </c>
    </row>
    <row r="168" customFormat="false" ht="15" hidden="false" customHeight="false" outlineLevel="0" collapsed="false">
      <c r="A168" s="17"/>
      <c r="B168" s="17"/>
      <c r="C168" s="44" t="str">
        <f aca="false">IF(B168="","",IFERROR(INDEX(Clients!$C$2:$C$501,MATCH(B168,Clients!$A$2:$A$501,0)),"Client ID not found"))</f>
        <v/>
      </c>
      <c r="D168" s="17"/>
      <c r="E168" s="38"/>
      <c r="F168" s="39"/>
      <c r="G168" s="17"/>
      <c r="H168" s="17"/>
      <c r="I168" s="17"/>
      <c r="J168" s="38"/>
      <c r="K168" s="17"/>
      <c r="L168" s="17"/>
      <c r="M168" s="17"/>
      <c r="N168" s="44" t="str">
        <f aca="true">IF(A168="","",IF(N(K168)&gt;Settings!$S$7,"Over revision limit",IF(AND(D168="Free video",J168="",E168&lt;&gt;"",TODAY()&gt;WORKDAY(E168,Settings!$S$5)),"LATE – free video promised in 5 working days",IF(AND(E168&lt;&gt;"",E168=TODAY()),"Shooting today",""))))</f>
        <v/>
      </c>
    </row>
    <row r="169" customFormat="false" ht="15" hidden="false" customHeight="false" outlineLevel="0" collapsed="false">
      <c r="A169" s="17"/>
      <c r="B169" s="17"/>
      <c r="C169" s="44" t="str">
        <f aca="false">IF(B169="","",IFERROR(INDEX(Clients!$C$2:$C$501,MATCH(B169,Clients!$A$2:$A$501,0)),"Client ID not found"))</f>
        <v/>
      </c>
      <c r="D169" s="17"/>
      <c r="E169" s="38"/>
      <c r="F169" s="39"/>
      <c r="G169" s="17"/>
      <c r="H169" s="17"/>
      <c r="I169" s="17"/>
      <c r="J169" s="38"/>
      <c r="K169" s="17"/>
      <c r="L169" s="17"/>
      <c r="M169" s="17"/>
      <c r="N169" s="44" t="str">
        <f aca="true">IF(A169="","",IF(N(K169)&gt;Settings!$S$7,"Over revision limit",IF(AND(D169="Free video",J169="",E169&lt;&gt;"",TODAY()&gt;WORKDAY(E169,Settings!$S$5)),"LATE – free video promised in 5 working days",IF(AND(E169&lt;&gt;"",E169=TODAY()),"Shooting today",""))))</f>
        <v/>
      </c>
    </row>
    <row r="170" customFormat="false" ht="15" hidden="false" customHeight="false" outlineLevel="0" collapsed="false">
      <c r="A170" s="17"/>
      <c r="B170" s="17"/>
      <c r="C170" s="44" t="str">
        <f aca="false">IF(B170="","",IFERROR(INDEX(Clients!$C$2:$C$501,MATCH(B170,Clients!$A$2:$A$501,0)),"Client ID not found"))</f>
        <v/>
      </c>
      <c r="D170" s="17"/>
      <c r="E170" s="38"/>
      <c r="F170" s="39"/>
      <c r="G170" s="17"/>
      <c r="H170" s="17"/>
      <c r="I170" s="17"/>
      <c r="J170" s="38"/>
      <c r="K170" s="17"/>
      <c r="L170" s="17"/>
      <c r="M170" s="17"/>
      <c r="N170" s="44" t="str">
        <f aca="true">IF(A170="","",IF(N(K170)&gt;Settings!$S$7,"Over revision limit",IF(AND(D170="Free video",J170="",E170&lt;&gt;"",TODAY()&gt;WORKDAY(E170,Settings!$S$5)),"LATE – free video promised in 5 working days",IF(AND(E170&lt;&gt;"",E170=TODAY()),"Shooting today",""))))</f>
        <v/>
      </c>
    </row>
    <row r="171" customFormat="false" ht="15" hidden="false" customHeight="false" outlineLevel="0" collapsed="false">
      <c r="A171" s="17"/>
      <c r="B171" s="17"/>
      <c r="C171" s="44" t="str">
        <f aca="false">IF(B171="","",IFERROR(INDEX(Clients!$C$2:$C$501,MATCH(B171,Clients!$A$2:$A$501,0)),"Client ID not found"))</f>
        <v/>
      </c>
      <c r="D171" s="17"/>
      <c r="E171" s="38"/>
      <c r="F171" s="39"/>
      <c r="G171" s="17"/>
      <c r="H171" s="17"/>
      <c r="I171" s="17"/>
      <c r="J171" s="38"/>
      <c r="K171" s="17"/>
      <c r="L171" s="17"/>
      <c r="M171" s="17"/>
      <c r="N171" s="44" t="str">
        <f aca="true">IF(A171="","",IF(N(K171)&gt;Settings!$S$7,"Over revision limit",IF(AND(D171="Free video",J171="",E171&lt;&gt;"",TODAY()&gt;WORKDAY(E171,Settings!$S$5)),"LATE – free video promised in 5 working days",IF(AND(E171&lt;&gt;"",E171=TODAY()),"Shooting today",""))))</f>
        <v/>
      </c>
    </row>
    <row r="172" customFormat="false" ht="15" hidden="false" customHeight="false" outlineLevel="0" collapsed="false">
      <c r="A172" s="17"/>
      <c r="B172" s="17"/>
      <c r="C172" s="44" t="str">
        <f aca="false">IF(B172="","",IFERROR(INDEX(Clients!$C$2:$C$501,MATCH(B172,Clients!$A$2:$A$501,0)),"Client ID not found"))</f>
        <v/>
      </c>
      <c r="D172" s="17"/>
      <c r="E172" s="38"/>
      <c r="F172" s="39"/>
      <c r="G172" s="17"/>
      <c r="H172" s="17"/>
      <c r="I172" s="17"/>
      <c r="J172" s="38"/>
      <c r="K172" s="17"/>
      <c r="L172" s="17"/>
      <c r="M172" s="17"/>
      <c r="N172" s="44" t="str">
        <f aca="true">IF(A172="","",IF(N(K172)&gt;Settings!$S$7,"Over revision limit",IF(AND(D172="Free video",J172="",E172&lt;&gt;"",TODAY()&gt;WORKDAY(E172,Settings!$S$5)),"LATE – free video promised in 5 working days",IF(AND(E172&lt;&gt;"",E172=TODAY()),"Shooting today",""))))</f>
        <v/>
      </c>
    </row>
    <row r="173" customFormat="false" ht="15" hidden="false" customHeight="false" outlineLevel="0" collapsed="false">
      <c r="A173" s="17"/>
      <c r="B173" s="17"/>
      <c r="C173" s="44" t="str">
        <f aca="false">IF(B173="","",IFERROR(INDEX(Clients!$C$2:$C$501,MATCH(B173,Clients!$A$2:$A$501,0)),"Client ID not found"))</f>
        <v/>
      </c>
      <c r="D173" s="17"/>
      <c r="E173" s="38"/>
      <c r="F173" s="39"/>
      <c r="G173" s="17"/>
      <c r="H173" s="17"/>
      <c r="I173" s="17"/>
      <c r="J173" s="38"/>
      <c r="K173" s="17"/>
      <c r="L173" s="17"/>
      <c r="M173" s="17"/>
      <c r="N173" s="44" t="str">
        <f aca="true">IF(A173="","",IF(N(K173)&gt;Settings!$S$7,"Over revision limit",IF(AND(D173="Free video",J173="",E173&lt;&gt;"",TODAY()&gt;WORKDAY(E173,Settings!$S$5)),"LATE – free video promised in 5 working days",IF(AND(E173&lt;&gt;"",E173=TODAY()),"Shooting today",""))))</f>
        <v/>
      </c>
    </row>
    <row r="174" customFormat="false" ht="15" hidden="false" customHeight="false" outlineLevel="0" collapsed="false">
      <c r="A174" s="17"/>
      <c r="B174" s="17"/>
      <c r="C174" s="44" t="str">
        <f aca="false">IF(B174="","",IFERROR(INDEX(Clients!$C$2:$C$501,MATCH(B174,Clients!$A$2:$A$501,0)),"Client ID not found"))</f>
        <v/>
      </c>
      <c r="D174" s="17"/>
      <c r="E174" s="38"/>
      <c r="F174" s="39"/>
      <c r="G174" s="17"/>
      <c r="H174" s="17"/>
      <c r="I174" s="17"/>
      <c r="J174" s="38"/>
      <c r="K174" s="17"/>
      <c r="L174" s="17"/>
      <c r="M174" s="17"/>
      <c r="N174" s="44" t="str">
        <f aca="true">IF(A174="","",IF(N(K174)&gt;Settings!$S$7,"Over revision limit",IF(AND(D174="Free video",J174="",E174&lt;&gt;"",TODAY()&gt;WORKDAY(E174,Settings!$S$5)),"LATE – free video promised in 5 working days",IF(AND(E174&lt;&gt;"",E174=TODAY()),"Shooting today",""))))</f>
        <v/>
      </c>
    </row>
    <row r="175" customFormat="false" ht="15" hidden="false" customHeight="false" outlineLevel="0" collapsed="false">
      <c r="A175" s="17"/>
      <c r="B175" s="17"/>
      <c r="C175" s="44" t="str">
        <f aca="false">IF(B175="","",IFERROR(INDEX(Clients!$C$2:$C$501,MATCH(B175,Clients!$A$2:$A$501,0)),"Client ID not found"))</f>
        <v/>
      </c>
      <c r="D175" s="17"/>
      <c r="E175" s="38"/>
      <c r="F175" s="39"/>
      <c r="G175" s="17"/>
      <c r="H175" s="17"/>
      <c r="I175" s="17"/>
      <c r="J175" s="38"/>
      <c r="K175" s="17"/>
      <c r="L175" s="17"/>
      <c r="M175" s="17"/>
      <c r="N175" s="44" t="str">
        <f aca="true">IF(A175="","",IF(N(K175)&gt;Settings!$S$7,"Over revision limit",IF(AND(D175="Free video",J175="",E175&lt;&gt;"",TODAY()&gt;WORKDAY(E175,Settings!$S$5)),"LATE – free video promised in 5 working days",IF(AND(E175&lt;&gt;"",E175=TODAY()),"Shooting today",""))))</f>
        <v/>
      </c>
    </row>
    <row r="176" customFormat="false" ht="15" hidden="false" customHeight="false" outlineLevel="0" collapsed="false">
      <c r="A176" s="17"/>
      <c r="B176" s="17"/>
      <c r="C176" s="44" t="str">
        <f aca="false">IF(B176="","",IFERROR(INDEX(Clients!$C$2:$C$501,MATCH(B176,Clients!$A$2:$A$501,0)),"Client ID not found"))</f>
        <v/>
      </c>
      <c r="D176" s="17"/>
      <c r="E176" s="38"/>
      <c r="F176" s="39"/>
      <c r="G176" s="17"/>
      <c r="H176" s="17"/>
      <c r="I176" s="17"/>
      <c r="J176" s="38"/>
      <c r="K176" s="17"/>
      <c r="L176" s="17"/>
      <c r="M176" s="17"/>
      <c r="N176" s="44" t="str">
        <f aca="true">IF(A176="","",IF(N(K176)&gt;Settings!$S$7,"Over revision limit",IF(AND(D176="Free video",J176="",E176&lt;&gt;"",TODAY()&gt;WORKDAY(E176,Settings!$S$5)),"LATE – free video promised in 5 working days",IF(AND(E176&lt;&gt;"",E176=TODAY()),"Shooting today",""))))</f>
        <v/>
      </c>
    </row>
    <row r="177" customFormat="false" ht="15" hidden="false" customHeight="false" outlineLevel="0" collapsed="false">
      <c r="A177" s="17"/>
      <c r="B177" s="17"/>
      <c r="C177" s="44" t="str">
        <f aca="false">IF(B177="","",IFERROR(INDEX(Clients!$C$2:$C$501,MATCH(B177,Clients!$A$2:$A$501,0)),"Client ID not found"))</f>
        <v/>
      </c>
      <c r="D177" s="17"/>
      <c r="E177" s="38"/>
      <c r="F177" s="39"/>
      <c r="G177" s="17"/>
      <c r="H177" s="17"/>
      <c r="I177" s="17"/>
      <c r="J177" s="38"/>
      <c r="K177" s="17"/>
      <c r="L177" s="17"/>
      <c r="M177" s="17"/>
      <c r="N177" s="44" t="str">
        <f aca="true">IF(A177="","",IF(N(K177)&gt;Settings!$S$7,"Over revision limit",IF(AND(D177="Free video",J177="",E177&lt;&gt;"",TODAY()&gt;WORKDAY(E177,Settings!$S$5)),"LATE – free video promised in 5 working days",IF(AND(E177&lt;&gt;"",E177=TODAY()),"Shooting today",""))))</f>
        <v/>
      </c>
    </row>
    <row r="178" customFormat="false" ht="15" hidden="false" customHeight="false" outlineLevel="0" collapsed="false">
      <c r="A178" s="17"/>
      <c r="B178" s="17"/>
      <c r="C178" s="44" t="str">
        <f aca="false">IF(B178="","",IFERROR(INDEX(Clients!$C$2:$C$501,MATCH(B178,Clients!$A$2:$A$501,0)),"Client ID not found"))</f>
        <v/>
      </c>
      <c r="D178" s="17"/>
      <c r="E178" s="38"/>
      <c r="F178" s="39"/>
      <c r="G178" s="17"/>
      <c r="H178" s="17"/>
      <c r="I178" s="17"/>
      <c r="J178" s="38"/>
      <c r="K178" s="17"/>
      <c r="L178" s="17"/>
      <c r="M178" s="17"/>
      <c r="N178" s="44" t="str">
        <f aca="true">IF(A178="","",IF(N(K178)&gt;Settings!$S$7,"Over revision limit",IF(AND(D178="Free video",J178="",E178&lt;&gt;"",TODAY()&gt;WORKDAY(E178,Settings!$S$5)),"LATE – free video promised in 5 working days",IF(AND(E178&lt;&gt;"",E178=TODAY()),"Shooting today",""))))</f>
        <v/>
      </c>
    </row>
    <row r="179" customFormat="false" ht="15" hidden="false" customHeight="false" outlineLevel="0" collapsed="false">
      <c r="A179" s="17"/>
      <c r="B179" s="17"/>
      <c r="C179" s="44" t="str">
        <f aca="false">IF(B179="","",IFERROR(INDEX(Clients!$C$2:$C$501,MATCH(B179,Clients!$A$2:$A$501,0)),"Client ID not found"))</f>
        <v/>
      </c>
      <c r="D179" s="17"/>
      <c r="E179" s="38"/>
      <c r="F179" s="39"/>
      <c r="G179" s="17"/>
      <c r="H179" s="17"/>
      <c r="I179" s="17"/>
      <c r="J179" s="38"/>
      <c r="K179" s="17"/>
      <c r="L179" s="17"/>
      <c r="M179" s="17"/>
      <c r="N179" s="44" t="str">
        <f aca="true">IF(A179="","",IF(N(K179)&gt;Settings!$S$7,"Over revision limit",IF(AND(D179="Free video",J179="",E179&lt;&gt;"",TODAY()&gt;WORKDAY(E179,Settings!$S$5)),"LATE – free video promised in 5 working days",IF(AND(E179&lt;&gt;"",E179=TODAY()),"Shooting today",""))))</f>
        <v/>
      </c>
    </row>
    <row r="180" customFormat="false" ht="15" hidden="false" customHeight="false" outlineLevel="0" collapsed="false">
      <c r="A180" s="17"/>
      <c r="B180" s="17"/>
      <c r="C180" s="44" t="str">
        <f aca="false">IF(B180="","",IFERROR(INDEX(Clients!$C$2:$C$501,MATCH(B180,Clients!$A$2:$A$501,0)),"Client ID not found"))</f>
        <v/>
      </c>
      <c r="D180" s="17"/>
      <c r="E180" s="38"/>
      <c r="F180" s="39"/>
      <c r="G180" s="17"/>
      <c r="H180" s="17"/>
      <c r="I180" s="17"/>
      <c r="J180" s="38"/>
      <c r="K180" s="17"/>
      <c r="L180" s="17"/>
      <c r="M180" s="17"/>
      <c r="N180" s="44" t="str">
        <f aca="true">IF(A180="","",IF(N(K180)&gt;Settings!$S$7,"Over revision limit",IF(AND(D180="Free video",J180="",E180&lt;&gt;"",TODAY()&gt;WORKDAY(E180,Settings!$S$5)),"LATE – free video promised in 5 working days",IF(AND(E180&lt;&gt;"",E180=TODAY()),"Shooting today",""))))</f>
        <v/>
      </c>
    </row>
    <row r="181" customFormat="false" ht="15" hidden="false" customHeight="false" outlineLevel="0" collapsed="false">
      <c r="A181" s="17"/>
      <c r="B181" s="17"/>
      <c r="C181" s="44" t="str">
        <f aca="false">IF(B181="","",IFERROR(INDEX(Clients!$C$2:$C$501,MATCH(B181,Clients!$A$2:$A$501,0)),"Client ID not found"))</f>
        <v/>
      </c>
      <c r="D181" s="17"/>
      <c r="E181" s="38"/>
      <c r="F181" s="39"/>
      <c r="G181" s="17"/>
      <c r="H181" s="17"/>
      <c r="I181" s="17"/>
      <c r="J181" s="38"/>
      <c r="K181" s="17"/>
      <c r="L181" s="17"/>
      <c r="M181" s="17"/>
      <c r="N181" s="44" t="str">
        <f aca="true">IF(A181="","",IF(N(K181)&gt;Settings!$S$7,"Over revision limit",IF(AND(D181="Free video",J181="",E181&lt;&gt;"",TODAY()&gt;WORKDAY(E181,Settings!$S$5)),"LATE – free video promised in 5 working days",IF(AND(E181&lt;&gt;"",E181=TODAY()),"Shooting today",""))))</f>
        <v/>
      </c>
    </row>
    <row r="182" customFormat="false" ht="15" hidden="false" customHeight="false" outlineLevel="0" collapsed="false">
      <c r="A182" s="17"/>
      <c r="B182" s="17"/>
      <c r="C182" s="44" t="str">
        <f aca="false">IF(B182="","",IFERROR(INDEX(Clients!$C$2:$C$501,MATCH(B182,Clients!$A$2:$A$501,0)),"Client ID not found"))</f>
        <v/>
      </c>
      <c r="D182" s="17"/>
      <c r="E182" s="38"/>
      <c r="F182" s="39"/>
      <c r="G182" s="17"/>
      <c r="H182" s="17"/>
      <c r="I182" s="17"/>
      <c r="J182" s="38"/>
      <c r="K182" s="17"/>
      <c r="L182" s="17"/>
      <c r="M182" s="17"/>
      <c r="N182" s="44" t="str">
        <f aca="true">IF(A182="","",IF(N(K182)&gt;Settings!$S$7,"Over revision limit",IF(AND(D182="Free video",J182="",E182&lt;&gt;"",TODAY()&gt;WORKDAY(E182,Settings!$S$5)),"LATE – free video promised in 5 working days",IF(AND(E182&lt;&gt;"",E182=TODAY()),"Shooting today",""))))</f>
        <v/>
      </c>
    </row>
    <row r="183" customFormat="false" ht="15" hidden="false" customHeight="false" outlineLevel="0" collapsed="false">
      <c r="A183" s="17"/>
      <c r="B183" s="17"/>
      <c r="C183" s="44" t="str">
        <f aca="false">IF(B183="","",IFERROR(INDEX(Clients!$C$2:$C$501,MATCH(B183,Clients!$A$2:$A$501,0)),"Client ID not found"))</f>
        <v/>
      </c>
      <c r="D183" s="17"/>
      <c r="E183" s="38"/>
      <c r="F183" s="39"/>
      <c r="G183" s="17"/>
      <c r="H183" s="17"/>
      <c r="I183" s="17"/>
      <c r="J183" s="38"/>
      <c r="K183" s="17"/>
      <c r="L183" s="17"/>
      <c r="M183" s="17"/>
      <c r="N183" s="44" t="str">
        <f aca="true">IF(A183="","",IF(N(K183)&gt;Settings!$S$7,"Over revision limit",IF(AND(D183="Free video",J183="",E183&lt;&gt;"",TODAY()&gt;WORKDAY(E183,Settings!$S$5)),"LATE – free video promised in 5 working days",IF(AND(E183&lt;&gt;"",E183=TODAY()),"Shooting today",""))))</f>
        <v/>
      </c>
    </row>
    <row r="184" customFormat="false" ht="15" hidden="false" customHeight="false" outlineLevel="0" collapsed="false">
      <c r="A184" s="17"/>
      <c r="B184" s="17"/>
      <c r="C184" s="44" t="str">
        <f aca="false">IF(B184="","",IFERROR(INDEX(Clients!$C$2:$C$501,MATCH(B184,Clients!$A$2:$A$501,0)),"Client ID not found"))</f>
        <v/>
      </c>
      <c r="D184" s="17"/>
      <c r="E184" s="38"/>
      <c r="F184" s="39"/>
      <c r="G184" s="17"/>
      <c r="H184" s="17"/>
      <c r="I184" s="17"/>
      <c r="J184" s="38"/>
      <c r="K184" s="17"/>
      <c r="L184" s="17"/>
      <c r="M184" s="17"/>
      <c r="N184" s="44" t="str">
        <f aca="true">IF(A184="","",IF(N(K184)&gt;Settings!$S$7,"Over revision limit",IF(AND(D184="Free video",J184="",E184&lt;&gt;"",TODAY()&gt;WORKDAY(E184,Settings!$S$5)),"LATE – free video promised in 5 working days",IF(AND(E184&lt;&gt;"",E184=TODAY()),"Shooting today",""))))</f>
        <v/>
      </c>
    </row>
    <row r="185" customFormat="false" ht="15" hidden="false" customHeight="false" outlineLevel="0" collapsed="false">
      <c r="A185" s="17"/>
      <c r="B185" s="17"/>
      <c r="C185" s="44" t="str">
        <f aca="false">IF(B185="","",IFERROR(INDEX(Clients!$C$2:$C$501,MATCH(B185,Clients!$A$2:$A$501,0)),"Client ID not found"))</f>
        <v/>
      </c>
      <c r="D185" s="17"/>
      <c r="E185" s="38"/>
      <c r="F185" s="39"/>
      <c r="G185" s="17"/>
      <c r="H185" s="17"/>
      <c r="I185" s="17"/>
      <c r="J185" s="38"/>
      <c r="K185" s="17"/>
      <c r="L185" s="17"/>
      <c r="M185" s="17"/>
      <c r="N185" s="44" t="str">
        <f aca="true">IF(A185="","",IF(N(K185)&gt;Settings!$S$7,"Over revision limit",IF(AND(D185="Free video",J185="",E185&lt;&gt;"",TODAY()&gt;WORKDAY(E185,Settings!$S$5)),"LATE – free video promised in 5 working days",IF(AND(E185&lt;&gt;"",E185=TODAY()),"Shooting today",""))))</f>
        <v/>
      </c>
    </row>
    <row r="186" customFormat="false" ht="15" hidden="false" customHeight="false" outlineLevel="0" collapsed="false">
      <c r="A186" s="17"/>
      <c r="B186" s="17"/>
      <c r="C186" s="44" t="str">
        <f aca="false">IF(B186="","",IFERROR(INDEX(Clients!$C$2:$C$501,MATCH(B186,Clients!$A$2:$A$501,0)),"Client ID not found"))</f>
        <v/>
      </c>
      <c r="D186" s="17"/>
      <c r="E186" s="38"/>
      <c r="F186" s="39"/>
      <c r="G186" s="17"/>
      <c r="H186" s="17"/>
      <c r="I186" s="17"/>
      <c r="J186" s="38"/>
      <c r="K186" s="17"/>
      <c r="L186" s="17"/>
      <c r="M186" s="17"/>
      <c r="N186" s="44" t="str">
        <f aca="true">IF(A186="","",IF(N(K186)&gt;Settings!$S$7,"Over revision limit",IF(AND(D186="Free video",J186="",E186&lt;&gt;"",TODAY()&gt;WORKDAY(E186,Settings!$S$5)),"LATE – free video promised in 5 working days",IF(AND(E186&lt;&gt;"",E186=TODAY()),"Shooting today",""))))</f>
        <v/>
      </c>
    </row>
    <row r="187" customFormat="false" ht="15" hidden="false" customHeight="false" outlineLevel="0" collapsed="false">
      <c r="A187" s="17"/>
      <c r="B187" s="17"/>
      <c r="C187" s="44" t="str">
        <f aca="false">IF(B187="","",IFERROR(INDEX(Clients!$C$2:$C$501,MATCH(B187,Clients!$A$2:$A$501,0)),"Client ID not found"))</f>
        <v/>
      </c>
      <c r="D187" s="17"/>
      <c r="E187" s="38"/>
      <c r="F187" s="39"/>
      <c r="G187" s="17"/>
      <c r="H187" s="17"/>
      <c r="I187" s="17"/>
      <c r="J187" s="38"/>
      <c r="K187" s="17"/>
      <c r="L187" s="17"/>
      <c r="M187" s="17"/>
      <c r="N187" s="44" t="str">
        <f aca="true">IF(A187="","",IF(N(K187)&gt;Settings!$S$7,"Over revision limit",IF(AND(D187="Free video",J187="",E187&lt;&gt;"",TODAY()&gt;WORKDAY(E187,Settings!$S$5)),"LATE – free video promised in 5 working days",IF(AND(E187&lt;&gt;"",E187=TODAY()),"Shooting today",""))))</f>
        <v/>
      </c>
    </row>
    <row r="188" customFormat="false" ht="15" hidden="false" customHeight="false" outlineLevel="0" collapsed="false">
      <c r="A188" s="17"/>
      <c r="B188" s="17"/>
      <c r="C188" s="44" t="str">
        <f aca="false">IF(B188="","",IFERROR(INDEX(Clients!$C$2:$C$501,MATCH(B188,Clients!$A$2:$A$501,0)),"Client ID not found"))</f>
        <v/>
      </c>
      <c r="D188" s="17"/>
      <c r="E188" s="38"/>
      <c r="F188" s="39"/>
      <c r="G188" s="17"/>
      <c r="H188" s="17"/>
      <c r="I188" s="17"/>
      <c r="J188" s="38"/>
      <c r="K188" s="17"/>
      <c r="L188" s="17"/>
      <c r="M188" s="17"/>
      <c r="N188" s="44" t="str">
        <f aca="true">IF(A188="","",IF(N(K188)&gt;Settings!$S$7,"Over revision limit",IF(AND(D188="Free video",J188="",E188&lt;&gt;"",TODAY()&gt;WORKDAY(E188,Settings!$S$5)),"LATE – free video promised in 5 working days",IF(AND(E188&lt;&gt;"",E188=TODAY()),"Shooting today",""))))</f>
        <v/>
      </c>
    </row>
    <row r="189" customFormat="false" ht="15" hidden="false" customHeight="false" outlineLevel="0" collapsed="false">
      <c r="A189" s="17"/>
      <c r="B189" s="17"/>
      <c r="C189" s="44" t="str">
        <f aca="false">IF(B189="","",IFERROR(INDEX(Clients!$C$2:$C$501,MATCH(B189,Clients!$A$2:$A$501,0)),"Client ID not found"))</f>
        <v/>
      </c>
      <c r="D189" s="17"/>
      <c r="E189" s="38"/>
      <c r="F189" s="39"/>
      <c r="G189" s="17"/>
      <c r="H189" s="17"/>
      <c r="I189" s="17"/>
      <c r="J189" s="38"/>
      <c r="K189" s="17"/>
      <c r="L189" s="17"/>
      <c r="M189" s="17"/>
      <c r="N189" s="44" t="str">
        <f aca="true">IF(A189="","",IF(N(K189)&gt;Settings!$S$7,"Over revision limit",IF(AND(D189="Free video",J189="",E189&lt;&gt;"",TODAY()&gt;WORKDAY(E189,Settings!$S$5)),"LATE – free video promised in 5 working days",IF(AND(E189&lt;&gt;"",E189=TODAY()),"Shooting today",""))))</f>
        <v/>
      </c>
    </row>
    <row r="190" customFormat="false" ht="15" hidden="false" customHeight="false" outlineLevel="0" collapsed="false">
      <c r="A190" s="17"/>
      <c r="B190" s="17"/>
      <c r="C190" s="44" t="str">
        <f aca="false">IF(B190="","",IFERROR(INDEX(Clients!$C$2:$C$501,MATCH(B190,Clients!$A$2:$A$501,0)),"Client ID not found"))</f>
        <v/>
      </c>
      <c r="D190" s="17"/>
      <c r="E190" s="38"/>
      <c r="F190" s="39"/>
      <c r="G190" s="17"/>
      <c r="H190" s="17"/>
      <c r="I190" s="17"/>
      <c r="J190" s="38"/>
      <c r="K190" s="17"/>
      <c r="L190" s="17"/>
      <c r="M190" s="17"/>
      <c r="N190" s="44" t="str">
        <f aca="true">IF(A190="","",IF(N(K190)&gt;Settings!$S$7,"Over revision limit",IF(AND(D190="Free video",J190="",E190&lt;&gt;"",TODAY()&gt;WORKDAY(E190,Settings!$S$5)),"LATE – free video promised in 5 working days",IF(AND(E190&lt;&gt;"",E190=TODAY()),"Shooting today",""))))</f>
        <v/>
      </c>
    </row>
    <row r="191" customFormat="false" ht="15" hidden="false" customHeight="false" outlineLevel="0" collapsed="false">
      <c r="A191" s="17"/>
      <c r="B191" s="17"/>
      <c r="C191" s="44" t="str">
        <f aca="false">IF(B191="","",IFERROR(INDEX(Clients!$C$2:$C$501,MATCH(B191,Clients!$A$2:$A$501,0)),"Client ID not found"))</f>
        <v/>
      </c>
      <c r="D191" s="17"/>
      <c r="E191" s="38"/>
      <c r="F191" s="39"/>
      <c r="G191" s="17"/>
      <c r="H191" s="17"/>
      <c r="I191" s="17"/>
      <c r="J191" s="38"/>
      <c r="K191" s="17"/>
      <c r="L191" s="17"/>
      <c r="M191" s="17"/>
      <c r="N191" s="44" t="str">
        <f aca="true">IF(A191="","",IF(N(K191)&gt;Settings!$S$7,"Over revision limit",IF(AND(D191="Free video",J191="",E191&lt;&gt;"",TODAY()&gt;WORKDAY(E191,Settings!$S$5)),"LATE – free video promised in 5 working days",IF(AND(E191&lt;&gt;"",E191=TODAY()),"Shooting today",""))))</f>
        <v/>
      </c>
    </row>
    <row r="192" customFormat="false" ht="15" hidden="false" customHeight="false" outlineLevel="0" collapsed="false">
      <c r="A192" s="17"/>
      <c r="B192" s="17"/>
      <c r="C192" s="44" t="str">
        <f aca="false">IF(B192="","",IFERROR(INDEX(Clients!$C$2:$C$501,MATCH(B192,Clients!$A$2:$A$501,0)),"Client ID not found"))</f>
        <v/>
      </c>
      <c r="D192" s="17"/>
      <c r="E192" s="38"/>
      <c r="F192" s="39"/>
      <c r="G192" s="17"/>
      <c r="H192" s="17"/>
      <c r="I192" s="17"/>
      <c r="J192" s="38"/>
      <c r="K192" s="17"/>
      <c r="L192" s="17"/>
      <c r="M192" s="17"/>
      <c r="N192" s="44" t="str">
        <f aca="true">IF(A192="","",IF(N(K192)&gt;Settings!$S$7,"Over revision limit",IF(AND(D192="Free video",J192="",E192&lt;&gt;"",TODAY()&gt;WORKDAY(E192,Settings!$S$5)),"LATE – free video promised in 5 working days",IF(AND(E192&lt;&gt;"",E192=TODAY()),"Shooting today",""))))</f>
        <v/>
      </c>
    </row>
    <row r="193" customFormat="false" ht="15" hidden="false" customHeight="false" outlineLevel="0" collapsed="false">
      <c r="A193" s="17"/>
      <c r="B193" s="17"/>
      <c r="C193" s="44" t="str">
        <f aca="false">IF(B193="","",IFERROR(INDEX(Clients!$C$2:$C$501,MATCH(B193,Clients!$A$2:$A$501,0)),"Client ID not found"))</f>
        <v/>
      </c>
      <c r="D193" s="17"/>
      <c r="E193" s="38"/>
      <c r="F193" s="39"/>
      <c r="G193" s="17"/>
      <c r="H193" s="17"/>
      <c r="I193" s="17"/>
      <c r="J193" s="38"/>
      <c r="K193" s="17"/>
      <c r="L193" s="17"/>
      <c r="M193" s="17"/>
      <c r="N193" s="44" t="str">
        <f aca="true">IF(A193="","",IF(N(K193)&gt;Settings!$S$7,"Over revision limit",IF(AND(D193="Free video",J193="",E193&lt;&gt;"",TODAY()&gt;WORKDAY(E193,Settings!$S$5)),"LATE – free video promised in 5 working days",IF(AND(E193&lt;&gt;"",E193=TODAY()),"Shooting today",""))))</f>
        <v/>
      </c>
    </row>
    <row r="194" customFormat="false" ht="15" hidden="false" customHeight="false" outlineLevel="0" collapsed="false">
      <c r="A194" s="17"/>
      <c r="B194" s="17"/>
      <c r="C194" s="44" t="str">
        <f aca="false">IF(B194="","",IFERROR(INDEX(Clients!$C$2:$C$501,MATCH(B194,Clients!$A$2:$A$501,0)),"Client ID not found"))</f>
        <v/>
      </c>
      <c r="D194" s="17"/>
      <c r="E194" s="38"/>
      <c r="F194" s="39"/>
      <c r="G194" s="17"/>
      <c r="H194" s="17"/>
      <c r="I194" s="17"/>
      <c r="J194" s="38"/>
      <c r="K194" s="17"/>
      <c r="L194" s="17"/>
      <c r="M194" s="17"/>
      <c r="N194" s="44" t="str">
        <f aca="true">IF(A194="","",IF(N(K194)&gt;Settings!$S$7,"Over revision limit",IF(AND(D194="Free video",J194="",E194&lt;&gt;"",TODAY()&gt;WORKDAY(E194,Settings!$S$5)),"LATE – free video promised in 5 working days",IF(AND(E194&lt;&gt;"",E194=TODAY()),"Shooting today",""))))</f>
        <v/>
      </c>
    </row>
    <row r="195" customFormat="false" ht="15" hidden="false" customHeight="false" outlineLevel="0" collapsed="false">
      <c r="A195" s="17"/>
      <c r="B195" s="17"/>
      <c r="C195" s="44" t="str">
        <f aca="false">IF(B195="","",IFERROR(INDEX(Clients!$C$2:$C$501,MATCH(B195,Clients!$A$2:$A$501,0)),"Client ID not found"))</f>
        <v/>
      </c>
      <c r="D195" s="17"/>
      <c r="E195" s="38"/>
      <c r="F195" s="39"/>
      <c r="G195" s="17"/>
      <c r="H195" s="17"/>
      <c r="I195" s="17"/>
      <c r="J195" s="38"/>
      <c r="K195" s="17"/>
      <c r="L195" s="17"/>
      <c r="M195" s="17"/>
      <c r="N195" s="44" t="str">
        <f aca="true">IF(A195="","",IF(N(K195)&gt;Settings!$S$7,"Over revision limit",IF(AND(D195="Free video",J195="",E195&lt;&gt;"",TODAY()&gt;WORKDAY(E195,Settings!$S$5)),"LATE – free video promised in 5 working days",IF(AND(E195&lt;&gt;"",E195=TODAY()),"Shooting today",""))))</f>
        <v/>
      </c>
    </row>
    <row r="196" customFormat="false" ht="15" hidden="false" customHeight="false" outlineLevel="0" collapsed="false">
      <c r="A196" s="17"/>
      <c r="B196" s="17"/>
      <c r="C196" s="44" t="str">
        <f aca="false">IF(B196="","",IFERROR(INDEX(Clients!$C$2:$C$501,MATCH(B196,Clients!$A$2:$A$501,0)),"Client ID not found"))</f>
        <v/>
      </c>
      <c r="D196" s="17"/>
      <c r="E196" s="38"/>
      <c r="F196" s="39"/>
      <c r="G196" s="17"/>
      <c r="H196" s="17"/>
      <c r="I196" s="17"/>
      <c r="J196" s="38"/>
      <c r="K196" s="17"/>
      <c r="L196" s="17"/>
      <c r="M196" s="17"/>
      <c r="N196" s="44" t="str">
        <f aca="true">IF(A196="","",IF(N(K196)&gt;Settings!$S$7,"Over revision limit",IF(AND(D196="Free video",J196="",E196&lt;&gt;"",TODAY()&gt;WORKDAY(E196,Settings!$S$5)),"LATE – free video promised in 5 working days",IF(AND(E196&lt;&gt;"",E196=TODAY()),"Shooting today",""))))</f>
        <v/>
      </c>
    </row>
    <row r="197" customFormat="false" ht="15" hidden="false" customHeight="false" outlineLevel="0" collapsed="false">
      <c r="A197" s="17"/>
      <c r="B197" s="17"/>
      <c r="C197" s="44" t="str">
        <f aca="false">IF(B197="","",IFERROR(INDEX(Clients!$C$2:$C$501,MATCH(B197,Clients!$A$2:$A$501,0)),"Client ID not found"))</f>
        <v/>
      </c>
      <c r="D197" s="17"/>
      <c r="E197" s="38"/>
      <c r="F197" s="39"/>
      <c r="G197" s="17"/>
      <c r="H197" s="17"/>
      <c r="I197" s="17"/>
      <c r="J197" s="38"/>
      <c r="K197" s="17"/>
      <c r="L197" s="17"/>
      <c r="M197" s="17"/>
      <c r="N197" s="44" t="str">
        <f aca="true">IF(A197="","",IF(N(K197)&gt;Settings!$S$7,"Over revision limit",IF(AND(D197="Free video",J197="",E197&lt;&gt;"",TODAY()&gt;WORKDAY(E197,Settings!$S$5)),"LATE – free video promised in 5 working days",IF(AND(E197&lt;&gt;"",E197=TODAY()),"Shooting today",""))))</f>
        <v/>
      </c>
    </row>
    <row r="198" customFormat="false" ht="15" hidden="false" customHeight="false" outlineLevel="0" collapsed="false">
      <c r="A198" s="17"/>
      <c r="B198" s="17"/>
      <c r="C198" s="44" t="str">
        <f aca="false">IF(B198="","",IFERROR(INDEX(Clients!$C$2:$C$501,MATCH(B198,Clients!$A$2:$A$501,0)),"Client ID not found"))</f>
        <v/>
      </c>
      <c r="D198" s="17"/>
      <c r="E198" s="38"/>
      <c r="F198" s="39"/>
      <c r="G198" s="17"/>
      <c r="H198" s="17"/>
      <c r="I198" s="17"/>
      <c r="J198" s="38"/>
      <c r="K198" s="17"/>
      <c r="L198" s="17"/>
      <c r="M198" s="17"/>
      <c r="N198" s="44" t="str">
        <f aca="true">IF(A198="","",IF(N(K198)&gt;Settings!$S$7,"Over revision limit",IF(AND(D198="Free video",J198="",E198&lt;&gt;"",TODAY()&gt;WORKDAY(E198,Settings!$S$5)),"LATE – free video promised in 5 working days",IF(AND(E198&lt;&gt;"",E198=TODAY()),"Shooting today",""))))</f>
        <v/>
      </c>
    </row>
    <row r="199" customFormat="false" ht="15" hidden="false" customHeight="false" outlineLevel="0" collapsed="false">
      <c r="A199" s="17"/>
      <c r="B199" s="17"/>
      <c r="C199" s="44" t="str">
        <f aca="false">IF(B199="","",IFERROR(INDEX(Clients!$C$2:$C$501,MATCH(B199,Clients!$A$2:$A$501,0)),"Client ID not found"))</f>
        <v/>
      </c>
      <c r="D199" s="17"/>
      <c r="E199" s="38"/>
      <c r="F199" s="39"/>
      <c r="G199" s="17"/>
      <c r="H199" s="17"/>
      <c r="I199" s="17"/>
      <c r="J199" s="38"/>
      <c r="K199" s="17"/>
      <c r="L199" s="17"/>
      <c r="M199" s="17"/>
      <c r="N199" s="44" t="str">
        <f aca="true">IF(A199="","",IF(N(K199)&gt;Settings!$S$7,"Over revision limit",IF(AND(D199="Free video",J199="",E199&lt;&gt;"",TODAY()&gt;WORKDAY(E199,Settings!$S$5)),"LATE – free video promised in 5 working days",IF(AND(E199&lt;&gt;"",E199=TODAY()),"Shooting today",""))))</f>
        <v/>
      </c>
    </row>
    <row r="200" customFormat="false" ht="15" hidden="false" customHeight="false" outlineLevel="0" collapsed="false">
      <c r="A200" s="17"/>
      <c r="B200" s="17"/>
      <c r="C200" s="44" t="str">
        <f aca="false">IF(B200="","",IFERROR(INDEX(Clients!$C$2:$C$501,MATCH(B200,Clients!$A$2:$A$501,0)),"Client ID not found"))</f>
        <v/>
      </c>
      <c r="D200" s="17"/>
      <c r="E200" s="38"/>
      <c r="F200" s="39"/>
      <c r="G200" s="17"/>
      <c r="H200" s="17"/>
      <c r="I200" s="17"/>
      <c r="J200" s="38"/>
      <c r="K200" s="17"/>
      <c r="L200" s="17"/>
      <c r="M200" s="17"/>
      <c r="N200" s="44" t="str">
        <f aca="true">IF(A200="","",IF(N(K200)&gt;Settings!$S$7,"Over revision limit",IF(AND(D200="Free video",J200="",E200&lt;&gt;"",TODAY()&gt;WORKDAY(E200,Settings!$S$5)),"LATE – free video promised in 5 working days",IF(AND(E200&lt;&gt;"",E200=TODAY()),"Shooting today",""))))</f>
        <v/>
      </c>
    </row>
    <row r="201" customFormat="false" ht="15" hidden="false" customHeight="false" outlineLevel="0" collapsed="false">
      <c r="A201" s="17"/>
      <c r="B201" s="17"/>
      <c r="C201" s="44" t="str">
        <f aca="false">IF(B201="","",IFERROR(INDEX(Clients!$C$2:$C$501,MATCH(B201,Clients!$A$2:$A$501,0)),"Client ID not found"))</f>
        <v/>
      </c>
      <c r="D201" s="17"/>
      <c r="E201" s="38"/>
      <c r="F201" s="39"/>
      <c r="G201" s="17"/>
      <c r="H201" s="17"/>
      <c r="I201" s="17"/>
      <c r="J201" s="38"/>
      <c r="K201" s="17"/>
      <c r="L201" s="17"/>
      <c r="M201" s="17"/>
      <c r="N201" s="44" t="str">
        <f aca="true">IF(A201="","",IF(N(K201)&gt;Settings!$S$7,"Over revision limit",IF(AND(D201="Free video",J201="",E201&lt;&gt;"",TODAY()&gt;WORKDAY(E201,Settings!$S$5)),"LATE – free video promised in 5 working days",IF(AND(E201&lt;&gt;"",E201=TODAY()),"Shooting today",""))))</f>
        <v/>
      </c>
    </row>
    <row r="202" customFormat="false" ht="15" hidden="false" customHeight="false" outlineLevel="0" collapsed="false">
      <c r="A202" s="17"/>
      <c r="B202" s="17"/>
      <c r="C202" s="44" t="str">
        <f aca="false">IF(B202="","",IFERROR(INDEX(Clients!$C$2:$C$501,MATCH(B202,Clients!$A$2:$A$501,0)),"Client ID not found"))</f>
        <v/>
      </c>
      <c r="D202" s="17"/>
      <c r="E202" s="38"/>
      <c r="F202" s="39"/>
      <c r="G202" s="17"/>
      <c r="H202" s="17"/>
      <c r="I202" s="17"/>
      <c r="J202" s="38"/>
      <c r="K202" s="17"/>
      <c r="L202" s="17"/>
      <c r="M202" s="17"/>
      <c r="N202" s="44" t="str">
        <f aca="true">IF(A202="","",IF(N(K202)&gt;Settings!$S$7,"Over revision limit",IF(AND(D202="Free video",J202="",E202&lt;&gt;"",TODAY()&gt;WORKDAY(E202,Settings!$S$5)),"LATE – free video promised in 5 working days",IF(AND(E202&lt;&gt;"",E202=TODAY()),"Shooting today",""))))</f>
        <v/>
      </c>
    </row>
    <row r="203" customFormat="false" ht="15" hidden="false" customHeight="false" outlineLevel="0" collapsed="false">
      <c r="A203" s="17"/>
      <c r="B203" s="17"/>
      <c r="C203" s="44" t="str">
        <f aca="false">IF(B203="","",IFERROR(INDEX(Clients!$C$2:$C$501,MATCH(B203,Clients!$A$2:$A$501,0)),"Client ID not found"))</f>
        <v/>
      </c>
      <c r="D203" s="17"/>
      <c r="E203" s="38"/>
      <c r="F203" s="39"/>
      <c r="G203" s="17"/>
      <c r="H203" s="17"/>
      <c r="I203" s="17"/>
      <c r="J203" s="38"/>
      <c r="K203" s="17"/>
      <c r="L203" s="17"/>
      <c r="M203" s="17"/>
      <c r="N203" s="44" t="str">
        <f aca="true">IF(A203="","",IF(N(K203)&gt;Settings!$S$7,"Over revision limit",IF(AND(D203="Free video",J203="",E203&lt;&gt;"",TODAY()&gt;WORKDAY(E203,Settings!$S$5)),"LATE – free video promised in 5 working days",IF(AND(E203&lt;&gt;"",E203=TODAY()),"Shooting today",""))))</f>
        <v/>
      </c>
    </row>
    <row r="204" customFormat="false" ht="15" hidden="false" customHeight="false" outlineLevel="0" collapsed="false">
      <c r="A204" s="17"/>
      <c r="B204" s="17"/>
      <c r="C204" s="44" t="str">
        <f aca="false">IF(B204="","",IFERROR(INDEX(Clients!$C$2:$C$501,MATCH(B204,Clients!$A$2:$A$501,0)),"Client ID not found"))</f>
        <v/>
      </c>
      <c r="D204" s="17"/>
      <c r="E204" s="38"/>
      <c r="F204" s="39"/>
      <c r="G204" s="17"/>
      <c r="H204" s="17"/>
      <c r="I204" s="17"/>
      <c r="J204" s="38"/>
      <c r="K204" s="17"/>
      <c r="L204" s="17"/>
      <c r="M204" s="17"/>
      <c r="N204" s="44" t="str">
        <f aca="true">IF(A204="","",IF(N(K204)&gt;Settings!$S$7,"Over revision limit",IF(AND(D204="Free video",J204="",E204&lt;&gt;"",TODAY()&gt;WORKDAY(E204,Settings!$S$5)),"LATE – free video promised in 5 working days",IF(AND(E204&lt;&gt;"",E204=TODAY()),"Shooting today",""))))</f>
        <v/>
      </c>
    </row>
    <row r="205" customFormat="false" ht="15" hidden="false" customHeight="false" outlineLevel="0" collapsed="false">
      <c r="A205" s="17"/>
      <c r="B205" s="17"/>
      <c r="C205" s="44" t="str">
        <f aca="false">IF(B205="","",IFERROR(INDEX(Clients!$C$2:$C$501,MATCH(B205,Clients!$A$2:$A$501,0)),"Client ID not found"))</f>
        <v/>
      </c>
      <c r="D205" s="17"/>
      <c r="E205" s="38"/>
      <c r="F205" s="39"/>
      <c r="G205" s="17"/>
      <c r="H205" s="17"/>
      <c r="I205" s="17"/>
      <c r="J205" s="38"/>
      <c r="K205" s="17"/>
      <c r="L205" s="17"/>
      <c r="M205" s="17"/>
      <c r="N205" s="44" t="str">
        <f aca="true">IF(A205="","",IF(N(K205)&gt;Settings!$S$7,"Over revision limit",IF(AND(D205="Free video",J205="",E205&lt;&gt;"",TODAY()&gt;WORKDAY(E205,Settings!$S$5)),"LATE – free video promised in 5 working days",IF(AND(E205&lt;&gt;"",E205=TODAY()),"Shooting today",""))))</f>
        <v/>
      </c>
    </row>
    <row r="206" customFormat="false" ht="15" hidden="false" customHeight="false" outlineLevel="0" collapsed="false">
      <c r="A206" s="17"/>
      <c r="B206" s="17"/>
      <c r="C206" s="44" t="str">
        <f aca="false">IF(B206="","",IFERROR(INDEX(Clients!$C$2:$C$501,MATCH(B206,Clients!$A$2:$A$501,0)),"Client ID not found"))</f>
        <v/>
      </c>
      <c r="D206" s="17"/>
      <c r="E206" s="38"/>
      <c r="F206" s="39"/>
      <c r="G206" s="17"/>
      <c r="H206" s="17"/>
      <c r="I206" s="17"/>
      <c r="J206" s="38"/>
      <c r="K206" s="17"/>
      <c r="L206" s="17"/>
      <c r="M206" s="17"/>
      <c r="N206" s="44" t="str">
        <f aca="true">IF(A206="","",IF(N(K206)&gt;Settings!$S$7,"Over revision limit",IF(AND(D206="Free video",J206="",E206&lt;&gt;"",TODAY()&gt;WORKDAY(E206,Settings!$S$5)),"LATE – free video promised in 5 working days",IF(AND(E206&lt;&gt;"",E206=TODAY()),"Shooting today",""))))</f>
        <v/>
      </c>
    </row>
    <row r="207" customFormat="false" ht="15" hidden="false" customHeight="false" outlineLevel="0" collapsed="false">
      <c r="A207" s="17"/>
      <c r="B207" s="17"/>
      <c r="C207" s="44" t="str">
        <f aca="false">IF(B207="","",IFERROR(INDEX(Clients!$C$2:$C$501,MATCH(B207,Clients!$A$2:$A$501,0)),"Client ID not found"))</f>
        <v/>
      </c>
      <c r="D207" s="17"/>
      <c r="E207" s="38"/>
      <c r="F207" s="39"/>
      <c r="G207" s="17"/>
      <c r="H207" s="17"/>
      <c r="I207" s="17"/>
      <c r="J207" s="38"/>
      <c r="K207" s="17"/>
      <c r="L207" s="17"/>
      <c r="M207" s="17"/>
      <c r="N207" s="44" t="str">
        <f aca="true">IF(A207="","",IF(N(K207)&gt;Settings!$S$7,"Over revision limit",IF(AND(D207="Free video",J207="",E207&lt;&gt;"",TODAY()&gt;WORKDAY(E207,Settings!$S$5)),"LATE – free video promised in 5 working days",IF(AND(E207&lt;&gt;"",E207=TODAY()),"Shooting today",""))))</f>
        <v/>
      </c>
    </row>
    <row r="208" customFormat="false" ht="15" hidden="false" customHeight="false" outlineLevel="0" collapsed="false">
      <c r="A208" s="17"/>
      <c r="B208" s="17"/>
      <c r="C208" s="44" t="str">
        <f aca="false">IF(B208="","",IFERROR(INDEX(Clients!$C$2:$C$501,MATCH(B208,Clients!$A$2:$A$501,0)),"Client ID not found"))</f>
        <v/>
      </c>
      <c r="D208" s="17"/>
      <c r="E208" s="38"/>
      <c r="F208" s="39"/>
      <c r="G208" s="17"/>
      <c r="H208" s="17"/>
      <c r="I208" s="17"/>
      <c r="J208" s="38"/>
      <c r="K208" s="17"/>
      <c r="L208" s="17"/>
      <c r="M208" s="17"/>
      <c r="N208" s="44" t="str">
        <f aca="true">IF(A208="","",IF(N(K208)&gt;Settings!$S$7,"Over revision limit",IF(AND(D208="Free video",J208="",E208&lt;&gt;"",TODAY()&gt;WORKDAY(E208,Settings!$S$5)),"LATE – free video promised in 5 working days",IF(AND(E208&lt;&gt;"",E208=TODAY()),"Shooting today",""))))</f>
        <v/>
      </c>
    </row>
    <row r="209" customFormat="false" ht="15" hidden="false" customHeight="false" outlineLevel="0" collapsed="false">
      <c r="A209" s="17"/>
      <c r="B209" s="17"/>
      <c r="C209" s="44" t="str">
        <f aca="false">IF(B209="","",IFERROR(INDEX(Clients!$C$2:$C$501,MATCH(B209,Clients!$A$2:$A$501,0)),"Client ID not found"))</f>
        <v/>
      </c>
      <c r="D209" s="17"/>
      <c r="E209" s="38"/>
      <c r="F209" s="39"/>
      <c r="G209" s="17"/>
      <c r="H209" s="17"/>
      <c r="I209" s="17"/>
      <c r="J209" s="38"/>
      <c r="K209" s="17"/>
      <c r="L209" s="17"/>
      <c r="M209" s="17"/>
      <c r="N209" s="44" t="str">
        <f aca="true">IF(A209="","",IF(N(K209)&gt;Settings!$S$7,"Over revision limit",IF(AND(D209="Free video",J209="",E209&lt;&gt;"",TODAY()&gt;WORKDAY(E209,Settings!$S$5)),"LATE – free video promised in 5 working days",IF(AND(E209&lt;&gt;"",E209=TODAY()),"Shooting today",""))))</f>
        <v/>
      </c>
    </row>
    <row r="210" customFormat="false" ht="15" hidden="false" customHeight="false" outlineLevel="0" collapsed="false">
      <c r="A210" s="17"/>
      <c r="B210" s="17"/>
      <c r="C210" s="44" t="str">
        <f aca="false">IF(B210="","",IFERROR(INDEX(Clients!$C$2:$C$501,MATCH(B210,Clients!$A$2:$A$501,0)),"Client ID not found"))</f>
        <v/>
      </c>
      <c r="D210" s="17"/>
      <c r="E210" s="38"/>
      <c r="F210" s="39"/>
      <c r="G210" s="17"/>
      <c r="H210" s="17"/>
      <c r="I210" s="17"/>
      <c r="J210" s="38"/>
      <c r="K210" s="17"/>
      <c r="L210" s="17"/>
      <c r="M210" s="17"/>
      <c r="N210" s="44" t="str">
        <f aca="true">IF(A210="","",IF(N(K210)&gt;Settings!$S$7,"Over revision limit",IF(AND(D210="Free video",J210="",E210&lt;&gt;"",TODAY()&gt;WORKDAY(E210,Settings!$S$5)),"LATE – free video promised in 5 working days",IF(AND(E210&lt;&gt;"",E210=TODAY()),"Shooting today",""))))</f>
        <v/>
      </c>
    </row>
    <row r="211" customFormat="false" ht="15" hidden="false" customHeight="false" outlineLevel="0" collapsed="false">
      <c r="A211" s="17"/>
      <c r="B211" s="17"/>
      <c r="C211" s="44" t="str">
        <f aca="false">IF(B211="","",IFERROR(INDEX(Clients!$C$2:$C$501,MATCH(B211,Clients!$A$2:$A$501,0)),"Client ID not found"))</f>
        <v/>
      </c>
      <c r="D211" s="17"/>
      <c r="E211" s="38"/>
      <c r="F211" s="39"/>
      <c r="G211" s="17"/>
      <c r="H211" s="17"/>
      <c r="I211" s="17"/>
      <c r="J211" s="38"/>
      <c r="K211" s="17"/>
      <c r="L211" s="17"/>
      <c r="M211" s="17"/>
      <c r="N211" s="44" t="str">
        <f aca="true">IF(A211="","",IF(N(K211)&gt;Settings!$S$7,"Over revision limit",IF(AND(D211="Free video",J211="",E211&lt;&gt;"",TODAY()&gt;WORKDAY(E211,Settings!$S$5)),"LATE – free video promised in 5 working days",IF(AND(E211&lt;&gt;"",E211=TODAY()),"Shooting today",""))))</f>
        <v/>
      </c>
    </row>
    <row r="212" customFormat="false" ht="15" hidden="false" customHeight="false" outlineLevel="0" collapsed="false">
      <c r="A212" s="17"/>
      <c r="B212" s="17"/>
      <c r="C212" s="44" t="str">
        <f aca="false">IF(B212="","",IFERROR(INDEX(Clients!$C$2:$C$501,MATCH(B212,Clients!$A$2:$A$501,0)),"Client ID not found"))</f>
        <v/>
      </c>
      <c r="D212" s="17"/>
      <c r="E212" s="38"/>
      <c r="F212" s="39"/>
      <c r="G212" s="17"/>
      <c r="H212" s="17"/>
      <c r="I212" s="17"/>
      <c r="J212" s="38"/>
      <c r="K212" s="17"/>
      <c r="L212" s="17"/>
      <c r="M212" s="17"/>
      <c r="N212" s="44" t="str">
        <f aca="true">IF(A212="","",IF(N(K212)&gt;Settings!$S$7,"Over revision limit",IF(AND(D212="Free video",J212="",E212&lt;&gt;"",TODAY()&gt;WORKDAY(E212,Settings!$S$5)),"LATE – free video promised in 5 working days",IF(AND(E212&lt;&gt;"",E212=TODAY()),"Shooting today",""))))</f>
        <v/>
      </c>
    </row>
    <row r="213" customFormat="false" ht="15" hidden="false" customHeight="false" outlineLevel="0" collapsed="false">
      <c r="A213" s="17"/>
      <c r="B213" s="17"/>
      <c r="C213" s="44" t="str">
        <f aca="false">IF(B213="","",IFERROR(INDEX(Clients!$C$2:$C$501,MATCH(B213,Clients!$A$2:$A$501,0)),"Client ID not found"))</f>
        <v/>
      </c>
      <c r="D213" s="17"/>
      <c r="E213" s="38"/>
      <c r="F213" s="39"/>
      <c r="G213" s="17"/>
      <c r="H213" s="17"/>
      <c r="I213" s="17"/>
      <c r="J213" s="38"/>
      <c r="K213" s="17"/>
      <c r="L213" s="17"/>
      <c r="M213" s="17"/>
      <c r="N213" s="44" t="str">
        <f aca="true">IF(A213="","",IF(N(K213)&gt;Settings!$S$7,"Over revision limit",IF(AND(D213="Free video",J213="",E213&lt;&gt;"",TODAY()&gt;WORKDAY(E213,Settings!$S$5)),"LATE – free video promised in 5 working days",IF(AND(E213&lt;&gt;"",E213=TODAY()),"Shooting today",""))))</f>
        <v/>
      </c>
    </row>
    <row r="214" customFormat="false" ht="15" hidden="false" customHeight="false" outlineLevel="0" collapsed="false">
      <c r="A214" s="17"/>
      <c r="B214" s="17"/>
      <c r="C214" s="44" t="str">
        <f aca="false">IF(B214="","",IFERROR(INDEX(Clients!$C$2:$C$501,MATCH(B214,Clients!$A$2:$A$501,0)),"Client ID not found"))</f>
        <v/>
      </c>
      <c r="D214" s="17"/>
      <c r="E214" s="38"/>
      <c r="F214" s="39"/>
      <c r="G214" s="17"/>
      <c r="H214" s="17"/>
      <c r="I214" s="17"/>
      <c r="J214" s="38"/>
      <c r="K214" s="17"/>
      <c r="L214" s="17"/>
      <c r="M214" s="17"/>
      <c r="N214" s="44" t="str">
        <f aca="true">IF(A214="","",IF(N(K214)&gt;Settings!$S$7,"Over revision limit",IF(AND(D214="Free video",J214="",E214&lt;&gt;"",TODAY()&gt;WORKDAY(E214,Settings!$S$5)),"LATE – free video promised in 5 working days",IF(AND(E214&lt;&gt;"",E214=TODAY()),"Shooting today",""))))</f>
        <v/>
      </c>
    </row>
    <row r="215" customFormat="false" ht="15" hidden="false" customHeight="false" outlineLevel="0" collapsed="false">
      <c r="A215" s="17"/>
      <c r="B215" s="17"/>
      <c r="C215" s="44" t="str">
        <f aca="false">IF(B215="","",IFERROR(INDEX(Clients!$C$2:$C$501,MATCH(B215,Clients!$A$2:$A$501,0)),"Client ID not found"))</f>
        <v/>
      </c>
      <c r="D215" s="17"/>
      <c r="E215" s="38"/>
      <c r="F215" s="39"/>
      <c r="G215" s="17"/>
      <c r="H215" s="17"/>
      <c r="I215" s="17"/>
      <c r="J215" s="38"/>
      <c r="K215" s="17"/>
      <c r="L215" s="17"/>
      <c r="M215" s="17"/>
      <c r="N215" s="44" t="str">
        <f aca="true">IF(A215="","",IF(N(K215)&gt;Settings!$S$7,"Over revision limit",IF(AND(D215="Free video",J215="",E215&lt;&gt;"",TODAY()&gt;WORKDAY(E215,Settings!$S$5)),"LATE – free video promised in 5 working days",IF(AND(E215&lt;&gt;"",E215=TODAY()),"Shooting today",""))))</f>
        <v/>
      </c>
    </row>
    <row r="216" customFormat="false" ht="15" hidden="false" customHeight="false" outlineLevel="0" collapsed="false">
      <c r="A216" s="17"/>
      <c r="B216" s="17"/>
      <c r="C216" s="44" t="str">
        <f aca="false">IF(B216="","",IFERROR(INDEX(Clients!$C$2:$C$501,MATCH(B216,Clients!$A$2:$A$501,0)),"Client ID not found"))</f>
        <v/>
      </c>
      <c r="D216" s="17"/>
      <c r="E216" s="38"/>
      <c r="F216" s="39"/>
      <c r="G216" s="17"/>
      <c r="H216" s="17"/>
      <c r="I216" s="17"/>
      <c r="J216" s="38"/>
      <c r="K216" s="17"/>
      <c r="L216" s="17"/>
      <c r="M216" s="17"/>
      <c r="N216" s="44" t="str">
        <f aca="true">IF(A216="","",IF(N(K216)&gt;Settings!$S$7,"Over revision limit",IF(AND(D216="Free video",J216="",E216&lt;&gt;"",TODAY()&gt;WORKDAY(E216,Settings!$S$5)),"LATE – free video promised in 5 working days",IF(AND(E216&lt;&gt;"",E216=TODAY()),"Shooting today",""))))</f>
        <v/>
      </c>
    </row>
    <row r="217" customFormat="false" ht="15" hidden="false" customHeight="false" outlineLevel="0" collapsed="false">
      <c r="A217" s="17"/>
      <c r="B217" s="17"/>
      <c r="C217" s="44" t="str">
        <f aca="false">IF(B217="","",IFERROR(INDEX(Clients!$C$2:$C$501,MATCH(B217,Clients!$A$2:$A$501,0)),"Client ID not found"))</f>
        <v/>
      </c>
      <c r="D217" s="17"/>
      <c r="E217" s="38"/>
      <c r="F217" s="39"/>
      <c r="G217" s="17"/>
      <c r="H217" s="17"/>
      <c r="I217" s="17"/>
      <c r="J217" s="38"/>
      <c r="K217" s="17"/>
      <c r="L217" s="17"/>
      <c r="M217" s="17"/>
      <c r="N217" s="44" t="str">
        <f aca="true">IF(A217="","",IF(N(K217)&gt;Settings!$S$7,"Over revision limit",IF(AND(D217="Free video",J217="",E217&lt;&gt;"",TODAY()&gt;WORKDAY(E217,Settings!$S$5)),"LATE – free video promised in 5 working days",IF(AND(E217&lt;&gt;"",E217=TODAY()),"Shooting today",""))))</f>
        <v/>
      </c>
    </row>
    <row r="218" customFormat="false" ht="15" hidden="false" customHeight="false" outlineLevel="0" collapsed="false">
      <c r="A218" s="17"/>
      <c r="B218" s="17"/>
      <c r="C218" s="44" t="str">
        <f aca="false">IF(B218="","",IFERROR(INDEX(Clients!$C$2:$C$501,MATCH(B218,Clients!$A$2:$A$501,0)),"Client ID not found"))</f>
        <v/>
      </c>
      <c r="D218" s="17"/>
      <c r="E218" s="38"/>
      <c r="F218" s="39"/>
      <c r="G218" s="17"/>
      <c r="H218" s="17"/>
      <c r="I218" s="17"/>
      <c r="J218" s="38"/>
      <c r="K218" s="17"/>
      <c r="L218" s="17"/>
      <c r="M218" s="17"/>
      <c r="N218" s="44" t="str">
        <f aca="true">IF(A218="","",IF(N(K218)&gt;Settings!$S$7,"Over revision limit",IF(AND(D218="Free video",J218="",E218&lt;&gt;"",TODAY()&gt;WORKDAY(E218,Settings!$S$5)),"LATE – free video promised in 5 working days",IF(AND(E218&lt;&gt;"",E218=TODAY()),"Shooting today",""))))</f>
        <v/>
      </c>
    </row>
    <row r="219" customFormat="false" ht="15" hidden="false" customHeight="false" outlineLevel="0" collapsed="false">
      <c r="A219" s="17"/>
      <c r="B219" s="17"/>
      <c r="C219" s="44" t="str">
        <f aca="false">IF(B219="","",IFERROR(INDEX(Clients!$C$2:$C$501,MATCH(B219,Clients!$A$2:$A$501,0)),"Client ID not found"))</f>
        <v/>
      </c>
      <c r="D219" s="17"/>
      <c r="E219" s="38"/>
      <c r="F219" s="39"/>
      <c r="G219" s="17"/>
      <c r="H219" s="17"/>
      <c r="I219" s="17"/>
      <c r="J219" s="38"/>
      <c r="K219" s="17"/>
      <c r="L219" s="17"/>
      <c r="M219" s="17"/>
      <c r="N219" s="44" t="str">
        <f aca="true">IF(A219="","",IF(N(K219)&gt;Settings!$S$7,"Over revision limit",IF(AND(D219="Free video",J219="",E219&lt;&gt;"",TODAY()&gt;WORKDAY(E219,Settings!$S$5)),"LATE – free video promised in 5 working days",IF(AND(E219&lt;&gt;"",E219=TODAY()),"Shooting today",""))))</f>
        <v/>
      </c>
    </row>
    <row r="220" customFormat="false" ht="15" hidden="false" customHeight="false" outlineLevel="0" collapsed="false">
      <c r="A220" s="17"/>
      <c r="B220" s="17"/>
      <c r="C220" s="44" t="str">
        <f aca="false">IF(B220="","",IFERROR(INDEX(Clients!$C$2:$C$501,MATCH(B220,Clients!$A$2:$A$501,0)),"Client ID not found"))</f>
        <v/>
      </c>
      <c r="D220" s="17"/>
      <c r="E220" s="38"/>
      <c r="F220" s="39"/>
      <c r="G220" s="17"/>
      <c r="H220" s="17"/>
      <c r="I220" s="17"/>
      <c r="J220" s="38"/>
      <c r="K220" s="17"/>
      <c r="L220" s="17"/>
      <c r="M220" s="17"/>
      <c r="N220" s="44" t="str">
        <f aca="true">IF(A220="","",IF(N(K220)&gt;Settings!$S$7,"Over revision limit",IF(AND(D220="Free video",J220="",E220&lt;&gt;"",TODAY()&gt;WORKDAY(E220,Settings!$S$5)),"LATE – free video promised in 5 working days",IF(AND(E220&lt;&gt;"",E220=TODAY()),"Shooting today",""))))</f>
        <v/>
      </c>
    </row>
    <row r="221" customFormat="false" ht="15" hidden="false" customHeight="false" outlineLevel="0" collapsed="false">
      <c r="A221" s="17"/>
      <c r="B221" s="17"/>
      <c r="C221" s="44" t="str">
        <f aca="false">IF(B221="","",IFERROR(INDEX(Clients!$C$2:$C$501,MATCH(B221,Clients!$A$2:$A$501,0)),"Client ID not found"))</f>
        <v/>
      </c>
      <c r="D221" s="17"/>
      <c r="E221" s="38"/>
      <c r="F221" s="39"/>
      <c r="G221" s="17"/>
      <c r="H221" s="17"/>
      <c r="I221" s="17"/>
      <c r="J221" s="38"/>
      <c r="K221" s="17"/>
      <c r="L221" s="17"/>
      <c r="M221" s="17"/>
      <c r="N221" s="44" t="str">
        <f aca="true">IF(A221="","",IF(N(K221)&gt;Settings!$S$7,"Over revision limit",IF(AND(D221="Free video",J221="",E221&lt;&gt;"",TODAY()&gt;WORKDAY(E221,Settings!$S$5)),"LATE – free video promised in 5 working days",IF(AND(E221&lt;&gt;"",E221=TODAY()),"Shooting today",""))))</f>
        <v/>
      </c>
    </row>
    <row r="222" customFormat="false" ht="15" hidden="false" customHeight="false" outlineLevel="0" collapsed="false">
      <c r="A222" s="17"/>
      <c r="B222" s="17"/>
      <c r="C222" s="44" t="str">
        <f aca="false">IF(B222="","",IFERROR(INDEX(Clients!$C$2:$C$501,MATCH(B222,Clients!$A$2:$A$501,0)),"Client ID not found"))</f>
        <v/>
      </c>
      <c r="D222" s="17"/>
      <c r="E222" s="38"/>
      <c r="F222" s="39"/>
      <c r="G222" s="17"/>
      <c r="H222" s="17"/>
      <c r="I222" s="17"/>
      <c r="J222" s="38"/>
      <c r="K222" s="17"/>
      <c r="L222" s="17"/>
      <c r="M222" s="17"/>
      <c r="N222" s="44" t="str">
        <f aca="true">IF(A222="","",IF(N(K222)&gt;Settings!$S$7,"Over revision limit",IF(AND(D222="Free video",J222="",E222&lt;&gt;"",TODAY()&gt;WORKDAY(E222,Settings!$S$5)),"LATE – free video promised in 5 working days",IF(AND(E222&lt;&gt;"",E222=TODAY()),"Shooting today",""))))</f>
        <v/>
      </c>
    </row>
    <row r="223" customFormat="false" ht="15" hidden="false" customHeight="false" outlineLevel="0" collapsed="false">
      <c r="A223" s="17"/>
      <c r="B223" s="17"/>
      <c r="C223" s="44" t="str">
        <f aca="false">IF(B223="","",IFERROR(INDEX(Clients!$C$2:$C$501,MATCH(B223,Clients!$A$2:$A$501,0)),"Client ID not found"))</f>
        <v/>
      </c>
      <c r="D223" s="17"/>
      <c r="E223" s="38"/>
      <c r="F223" s="39"/>
      <c r="G223" s="17"/>
      <c r="H223" s="17"/>
      <c r="I223" s="17"/>
      <c r="J223" s="38"/>
      <c r="K223" s="17"/>
      <c r="L223" s="17"/>
      <c r="M223" s="17"/>
      <c r="N223" s="44" t="str">
        <f aca="true">IF(A223="","",IF(N(K223)&gt;Settings!$S$7,"Over revision limit",IF(AND(D223="Free video",J223="",E223&lt;&gt;"",TODAY()&gt;WORKDAY(E223,Settings!$S$5)),"LATE – free video promised in 5 working days",IF(AND(E223&lt;&gt;"",E223=TODAY()),"Shooting today",""))))</f>
        <v/>
      </c>
    </row>
    <row r="224" customFormat="false" ht="15" hidden="false" customHeight="false" outlineLevel="0" collapsed="false">
      <c r="A224" s="17"/>
      <c r="B224" s="17"/>
      <c r="C224" s="44" t="str">
        <f aca="false">IF(B224="","",IFERROR(INDEX(Clients!$C$2:$C$501,MATCH(B224,Clients!$A$2:$A$501,0)),"Client ID not found"))</f>
        <v/>
      </c>
      <c r="D224" s="17"/>
      <c r="E224" s="38"/>
      <c r="F224" s="39"/>
      <c r="G224" s="17"/>
      <c r="H224" s="17"/>
      <c r="I224" s="17"/>
      <c r="J224" s="38"/>
      <c r="K224" s="17"/>
      <c r="L224" s="17"/>
      <c r="M224" s="17"/>
      <c r="N224" s="44" t="str">
        <f aca="true">IF(A224="","",IF(N(K224)&gt;Settings!$S$7,"Over revision limit",IF(AND(D224="Free video",J224="",E224&lt;&gt;"",TODAY()&gt;WORKDAY(E224,Settings!$S$5)),"LATE – free video promised in 5 working days",IF(AND(E224&lt;&gt;"",E224=TODAY()),"Shooting today",""))))</f>
        <v/>
      </c>
    </row>
    <row r="225" customFormat="false" ht="15" hidden="false" customHeight="false" outlineLevel="0" collapsed="false">
      <c r="A225" s="17"/>
      <c r="B225" s="17"/>
      <c r="C225" s="44" t="str">
        <f aca="false">IF(B225="","",IFERROR(INDEX(Clients!$C$2:$C$501,MATCH(B225,Clients!$A$2:$A$501,0)),"Client ID not found"))</f>
        <v/>
      </c>
      <c r="D225" s="17"/>
      <c r="E225" s="38"/>
      <c r="F225" s="39"/>
      <c r="G225" s="17"/>
      <c r="H225" s="17"/>
      <c r="I225" s="17"/>
      <c r="J225" s="38"/>
      <c r="K225" s="17"/>
      <c r="L225" s="17"/>
      <c r="M225" s="17"/>
      <c r="N225" s="44" t="str">
        <f aca="true">IF(A225="","",IF(N(K225)&gt;Settings!$S$7,"Over revision limit",IF(AND(D225="Free video",J225="",E225&lt;&gt;"",TODAY()&gt;WORKDAY(E225,Settings!$S$5)),"LATE – free video promised in 5 working days",IF(AND(E225&lt;&gt;"",E225=TODAY()),"Shooting today",""))))</f>
        <v/>
      </c>
    </row>
    <row r="226" customFormat="false" ht="15" hidden="false" customHeight="false" outlineLevel="0" collapsed="false">
      <c r="A226" s="17"/>
      <c r="B226" s="17"/>
      <c r="C226" s="44" t="str">
        <f aca="false">IF(B226="","",IFERROR(INDEX(Clients!$C$2:$C$501,MATCH(B226,Clients!$A$2:$A$501,0)),"Client ID not found"))</f>
        <v/>
      </c>
      <c r="D226" s="17"/>
      <c r="E226" s="38"/>
      <c r="F226" s="39"/>
      <c r="G226" s="17"/>
      <c r="H226" s="17"/>
      <c r="I226" s="17"/>
      <c r="J226" s="38"/>
      <c r="K226" s="17"/>
      <c r="L226" s="17"/>
      <c r="M226" s="17"/>
      <c r="N226" s="44" t="str">
        <f aca="true">IF(A226="","",IF(N(K226)&gt;Settings!$S$7,"Over revision limit",IF(AND(D226="Free video",J226="",E226&lt;&gt;"",TODAY()&gt;WORKDAY(E226,Settings!$S$5)),"LATE – free video promised in 5 working days",IF(AND(E226&lt;&gt;"",E226=TODAY()),"Shooting today",""))))</f>
        <v/>
      </c>
    </row>
    <row r="227" customFormat="false" ht="15" hidden="false" customHeight="false" outlineLevel="0" collapsed="false">
      <c r="A227" s="17"/>
      <c r="B227" s="17"/>
      <c r="C227" s="44" t="str">
        <f aca="false">IF(B227="","",IFERROR(INDEX(Clients!$C$2:$C$501,MATCH(B227,Clients!$A$2:$A$501,0)),"Client ID not found"))</f>
        <v/>
      </c>
      <c r="D227" s="17"/>
      <c r="E227" s="38"/>
      <c r="F227" s="39"/>
      <c r="G227" s="17"/>
      <c r="H227" s="17"/>
      <c r="I227" s="17"/>
      <c r="J227" s="38"/>
      <c r="K227" s="17"/>
      <c r="L227" s="17"/>
      <c r="M227" s="17"/>
      <c r="N227" s="44" t="str">
        <f aca="true">IF(A227="","",IF(N(K227)&gt;Settings!$S$7,"Over revision limit",IF(AND(D227="Free video",J227="",E227&lt;&gt;"",TODAY()&gt;WORKDAY(E227,Settings!$S$5)),"LATE – free video promised in 5 working days",IF(AND(E227&lt;&gt;"",E227=TODAY()),"Shooting today",""))))</f>
        <v/>
      </c>
    </row>
    <row r="228" customFormat="false" ht="15" hidden="false" customHeight="false" outlineLevel="0" collapsed="false">
      <c r="A228" s="17"/>
      <c r="B228" s="17"/>
      <c r="C228" s="44" t="str">
        <f aca="false">IF(B228="","",IFERROR(INDEX(Clients!$C$2:$C$501,MATCH(B228,Clients!$A$2:$A$501,0)),"Client ID not found"))</f>
        <v/>
      </c>
      <c r="D228" s="17"/>
      <c r="E228" s="38"/>
      <c r="F228" s="39"/>
      <c r="G228" s="17"/>
      <c r="H228" s="17"/>
      <c r="I228" s="17"/>
      <c r="J228" s="38"/>
      <c r="K228" s="17"/>
      <c r="L228" s="17"/>
      <c r="M228" s="17"/>
      <c r="N228" s="44" t="str">
        <f aca="true">IF(A228="","",IF(N(K228)&gt;Settings!$S$7,"Over revision limit",IF(AND(D228="Free video",J228="",E228&lt;&gt;"",TODAY()&gt;WORKDAY(E228,Settings!$S$5)),"LATE – free video promised in 5 working days",IF(AND(E228&lt;&gt;"",E228=TODAY()),"Shooting today",""))))</f>
        <v/>
      </c>
    </row>
    <row r="229" customFormat="false" ht="15" hidden="false" customHeight="false" outlineLevel="0" collapsed="false">
      <c r="A229" s="17"/>
      <c r="B229" s="17"/>
      <c r="C229" s="44" t="str">
        <f aca="false">IF(B229="","",IFERROR(INDEX(Clients!$C$2:$C$501,MATCH(B229,Clients!$A$2:$A$501,0)),"Client ID not found"))</f>
        <v/>
      </c>
      <c r="D229" s="17"/>
      <c r="E229" s="38"/>
      <c r="F229" s="39"/>
      <c r="G229" s="17"/>
      <c r="H229" s="17"/>
      <c r="I229" s="17"/>
      <c r="J229" s="38"/>
      <c r="K229" s="17"/>
      <c r="L229" s="17"/>
      <c r="M229" s="17"/>
      <c r="N229" s="44" t="str">
        <f aca="true">IF(A229="","",IF(N(K229)&gt;Settings!$S$7,"Over revision limit",IF(AND(D229="Free video",J229="",E229&lt;&gt;"",TODAY()&gt;WORKDAY(E229,Settings!$S$5)),"LATE – free video promised in 5 working days",IF(AND(E229&lt;&gt;"",E229=TODAY()),"Shooting today",""))))</f>
        <v/>
      </c>
    </row>
    <row r="230" customFormat="false" ht="15" hidden="false" customHeight="false" outlineLevel="0" collapsed="false">
      <c r="A230" s="17"/>
      <c r="B230" s="17"/>
      <c r="C230" s="44" t="str">
        <f aca="false">IF(B230="","",IFERROR(INDEX(Clients!$C$2:$C$501,MATCH(B230,Clients!$A$2:$A$501,0)),"Client ID not found"))</f>
        <v/>
      </c>
      <c r="D230" s="17"/>
      <c r="E230" s="38"/>
      <c r="F230" s="39"/>
      <c r="G230" s="17"/>
      <c r="H230" s="17"/>
      <c r="I230" s="17"/>
      <c r="J230" s="38"/>
      <c r="K230" s="17"/>
      <c r="L230" s="17"/>
      <c r="M230" s="17"/>
      <c r="N230" s="44" t="str">
        <f aca="true">IF(A230="","",IF(N(K230)&gt;Settings!$S$7,"Over revision limit",IF(AND(D230="Free video",J230="",E230&lt;&gt;"",TODAY()&gt;WORKDAY(E230,Settings!$S$5)),"LATE – free video promised in 5 working days",IF(AND(E230&lt;&gt;"",E230=TODAY()),"Shooting today",""))))</f>
        <v/>
      </c>
    </row>
    <row r="231" customFormat="false" ht="15" hidden="false" customHeight="false" outlineLevel="0" collapsed="false">
      <c r="A231" s="17"/>
      <c r="B231" s="17"/>
      <c r="C231" s="44" t="str">
        <f aca="false">IF(B231="","",IFERROR(INDEX(Clients!$C$2:$C$501,MATCH(B231,Clients!$A$2:$A$501,0)),"Client ID not found"))</f>
        <v/>
      </c>
      <c r="D231" s="17"/>
      <c r="E231" s="38"/>
      <c r="F231" s="39"/>
      <c r="G231" s="17"/>
      <c r="H231" s="17"/>
      <c r="I231" s="17"/>
      <c r="J231" s="38"/>
      <c r="K231" s="17"/>
      <c r="L231" s="17"/>
      <c r="M231" s="17"/>
      <c r="N231" s="44" t="str">
        <f aca="true">IF(A231="","",IF(N(K231)&gt;Settings!$S$7,"Over revision limit",IF(AND(D231="Free video",J231="",E231&lt;&gt;"",TODAY()&gt;WORKDAY(E231,Settings!$S$5)),"LATE – free video promised in 5 working days",IF(AND(E231&lt;&gt;"",E231=TODAY()),"Shooting today",""))))</f>
        <v/>
      </c>
    </row>
    <row r="232" customFormat="false" ht="15" hidden="false" customHeight="false" outlineLevel="0" collapsed="false">
      <c r="A232" s="17"/>
      <c r="B232" s="17"/>
      <c r="C232" s="44" t="str">
        <f aca="false">IF(B232="","",IFERROR(INDEX(Clients!$C$2:$C$501,MATCH(B232,Clients!$A$2:$A$501,0)),"Client ID not found"))</f>
        <v/>
      </c>
      <c r="D232" s="17"/>
      <c r="E232" s="38"/>
      <c r="F232" s="39"/>
      <c r="G232" s="17"/>
      <c r="H232" s="17"/>
      <c r="I232" s="17"/>
      <c r="J232" s="38"/>
      <c r="K232" s="17"/>
      <c r="L232" s="17"/>
      <c r="M232" s="17"/>
      <c r="N232" s="44" t="str">
        <f aca="true">IF(A232="","",IF(N(K232)&gt;Settings!$S$7,"Over revision limit",IF(AND(D232="Free video",J232="",E232&lt;&gt;"",TODAY()&gt;WORKDAY(E232,Settings!$S$5)),"LATE – free video promised in 5 working days",IF(AND(E232&lt;&gt;"",E232=TODAY()),"Shooting today",""))))</f>
        <v/>
      </c>
    </row>
    <row r="233" customFormat="false" ht="15" hidden="false" customHeight="false" outlineLevel="0" collapsed="false">
      <c r="A233" s="17"/>
      <c r="B233" s="17"/>
      <c r="C233" s="44" t="str">
        <f aca="false">IF(B233="","",IFERROR(INDEX(Clients!$C$2:$C$501,MATCH(B233,Clients!$A$2:$A$501,0)),"Client ID not found"))</f>
        <v/>
      </c>
      <c r="D233" s="17"/>
      <c r="E233" s="38"/>
      <c r="F233" s="39"/>
      <c r="G233" s="17"/>
      <c r="H233" s="17"/>
      <c r="I233" s="17"/>
      <c r="J233" s="38"/>
      <c r="K233" s="17"/>
      <c r="L233" s="17"/>
      <c r="M233" s="17"/>
      <c r="N233" s="44" t="str">
        <f aca="true">IF(A233="","",IF(N(K233)&gt;Settings!$S$7,"Over revision limit",IF(AND(D233="Free video",J233="",E233&lt;&gt;"",TODAY()&gt;WORKDAY(E233,Settings!$S$5)),"LATE – free video promised in 5 working days",IF(AND(E233&lt;&gt;"",E233=TODAY()),"Shooting today",""))))</f>
        <v/>
      </c>
    </row>
    <row r="234" customFormat="false" ht="15" hidden="false" customHeight="false" outlineLevel="0" collapsed="false">
      <c r="A234" s="17"/>
      <c r="B234" s="17"/>
      <c r="C234" s="44" t="str">
        <f aca="false">IF(B234="","",IFERROR(INDEX(Clients!$C$2:$C$501,MATCH(B234,Clients!$A$2:$A$501,0)),"Client ID not found"))</f>
        <v/>
      </c>
      <c r="D234" s="17"/>
      <c r="E234" s="38"/>
      <c r="F234" s="39"/>
      <c r="G234" s="17"/>
      <c r="H234" s="17"/>
      <c r="I234" s="17"/>
      <c r="J234" s="38"/>
      <c r="K234" s="17"/>
      <c r="L234" s="17"/>
      <c r="M234" s="17"/>
      <c r="N234" s="44" t="str">
        <f aca="true">IF(A234="","",IF(N(K234)&gt;Settings!$S$7,"Over revision limit",IF(AND(D234="Free video",J234="",E234&lt;&gt;"",TODAY()&gt;WORKDAY(E234,Settings!$S$5)),"LATE – free video promised in 5 working days",IF(AND(E234&lt;&gt;"",E234=TODAY()),"Shooting today",""))))</f>
        <v/>
      </c>
    </row>
    <row r="235" customFormat="false" ht="15" hidden="false" customHeight="false" outlineLevel="0" collapsed="false">
      <c r="A235" s="17"/>
      <c r="B235" s="17"/>
      <c r="C235" s="44" t="str">
        <f aca="false">IF(B235="","",IFERROR(INDEX(Clients!$C$2:$C$501,MATCH(B235,Clients!$A$2:$A$501,0)),"Client ID not found"))</f>
        <v/>
      </c>
      <c r="D235" s="17"/>
      <c r="E235" s="38"/>
      <c r="F235" s="39"/>
      <c r="G235" s="17"/>
      <c r="H235" s="17"/>
      <c r="I235" s="17"/>
      <c r="J235" s="38"/>
      <c r="K235" s="17"/>
      <c r="L235" s="17"/>
      <c r="M235" s="17"/>
      <c r="N235" s="44" t="str">
        <f aca="true">IF(A235="","",IF(N(K235)&gt;Settings!$S$7,"Over revision limit",IF(AND(D235="Free video",J235="",E235&lt;&gt;"",TODAY()&gt;WORKDAY(E235,Settings!$S$5)),"LATE – free video promised in 5 working days",IF(AND(E235&lt;&gt;"",E235=TODAY()),"Shooting today",""))))</f>
        <v/>
      </c>
    </row>
    <row r="236" customFormat="false" ht="15" hidden="false" customHeight="false" outlineLevel="0" collapsed="false">
      <c r="A236" s="17"/>
      <c r="B236" s="17"/>
      <c r="C236" s="44" t="str">
        <f aca="false">IF(B236="","",IFERROR(INDEX(Clients!$C$2:$C$501,MATCH(B236,Clients!$A$2:$A$501,0)),"Client ID not found"))</f>
        <v/>
      </c>
      <c r="D236" s="17"/>
      <c r="E236" s="38"/>
      <c r="F236" s="39"/>
      <c r="G236" s="17"/>
      <c r="H236" s="17"/>
      <c r="I236" s="17"/>
      <c r="J236" s="38"/>
      <c r="K236" s="17"/>
      <c r="L236" s="17"/>
      <c r="M236" s="17"/>
      <c r="N236" s="44" t="str">
        <f aca="true">IF(A236="","",IF(N(K236)&gt;Settings!$S$7,"Over revision limit",IF(AND(D236="Free video",J236="",E236&lt;&gt;"",TODAY()&gt;WORKDAY(E236,Settings!$S$5)),"LATE – free video promised in 5 working days",IF(AND(E236&lt;&gt;"",E236=TODAY()),"Shooting today",""))))</f>
        <v/>
      </c>
    </row>
    <row r="237" customFormat="false" ht="15" hidden="false" customHeight="false" outlineLevel="0" collapsed="false">
      <c r="A237" s="17"/>
      <c r="B237" s="17"/>
      <c r="C237" s="44" t="str">
        <f aca="false">IF(B237="","",IFERROR(INDEX(Clients!$C$2:$C$501,MATCH(B237,Clients!$A$2:$A$501,0)),"Client ID not found"))</f>
        <v/>
      </c>
      <c r="D237" s="17"/>
      <c r="E237" s="38"/>
      <c r="F237" s="39"/>
      <c r="G237" s="17"/>
      <c r="H237" s="17"/>
      <c r="I237" s="17"/>
      <c r="J237" s="38"/>
      <c r="K237" s="17"/>
      <c r="L237" s="17"/>
      <c r="M237" s="17"/>
      <c r="N237" s="44" t="str">
        <f aca="true">IF(A237="","",IF(N(K237)&gt;Settings!$S$7,"Over revision limit",IF(AND(D237="Free video",J237="",E237&lt;&gt;"",TODAY()&gt;WORKDAY(E237,Settings!$S$5)),"LATE – free video promised in 5 working days",IF(AND(E237&lt;&gt;"",E237=TODAY()),"Shooting today",""))))</f>
        <v/>
      </c>
    </row>
    <row r="238" customFormat="false" ht="15" hidden="false" customHeight="false" outlineLevel="0" collapsed="false">
      <c r="A238" s="17"/>
      <c r="B238" s="17"/>
      <c r="C238" s="44" t="str">
        <f aca="false">IF(B238="","",IFERROR(INDEX(Clients!$C$2:$C$501,MATCH(B238,Clients!$A$2:$A$501,0)),"Client ID not found"))</f>
        <v/>
      </c>
      <c r="D238" s="17"/>
      <c r="E238" s="38"/>
      <c r="F238" s="39"/>
      <c r="G238" s="17"/>
      <c r="H238" s="17"/>
      <c r="I238" s="17"/>
      <c r="J238" s="38"/>
      <c r="K238" s="17"/>
      <c r="L238" s="17"/>
      <c r="M238" s="17"/>
      <c r="N238" s="44" t="str">
        <f aca="true">IF(A238="","",IF(N(K238)&gt;Settings!$S$7,"Over revision limit",IF(AND(D238="Free video",J238="",E238&lt;&gt;"",TODAY()&gt;WORKDAY(E238,Settings!$S$5)),"LATE – free video promised in 5 working days",IF(AND(E238&lt;&gt;"",E238=TODAY()),"Shooting today",""))))</f>
        <v/>
      </c>
    </row>
    <row r="239" customFormat="false" ht="15" hidden="false" customHeight="false" outlineLevel="0" collapsed="false">
      <c r="A239" s="17"/>
      <c r="B239" s="17"/>
      <c r="C239" s="44" t="str">
        <f aca="false">IF(B239="","",IFERROR(INDEX(Clients!$C$2:$C$501,MATCH(B239,Clients!$A$2:$A$501,0)),"Client ID not found"))</f>
        <v/>
      </c>
      <c r="D239" s="17"/>
      <c r="E239" s="38"/>
      <c r="F239" s="39"/>
      <c r="G239" s="17"/>
      <c r="H239" s="17"/>
      <c r="I239" s="17"/>
      <c r="J239" s="38"/>
      <c r="K239" s="17"/>
      <c r="L239" s="17"/>
      <c r="M239" s="17"/>
      <c r="N239" s="44" t="str">
        <f aca="true">IF(A239="","",IF(N(K239)&gt;Settings!$S$7,"Over revision limit",IF(AND(D239="Free video",J239="",E239&lt;&gt;"",TODAY()&gt;WORKDAY(E239,Settings!$S$5)),"LATE – free video promised in 5 working days",IF(AND(E239&lt;&gt;"",E239=TODAY()),"Shooting today",""))))</f>
        <v/>
      </c>
    </row>
    <row r="240" customFormat="false" ht="15" hidden="false" customHeight="false" outlineLevel="0" collapsed="false">
      <c r="A240" s="17"/>
      <c r="B240" s="17"/>
      <c r="C240" s="44" t="str">
        <f aca="false">IF(B240="","",IFERROR(INDEX(Clients!$C$2:$C$501,MATCH(B240,Clients!$A$2:$A$501,0)),"Client ID not found"))</f>
        <v/>
      </c>
      <c r="D240" s="17"/>
      <c r="E240" s="38"/>
      <c r="F240" s="39"/>
      <c r="G240" s="17"/>
      <c r="H240" s="17"/>
      <c r="I240" s="17"/>
      <c r="J240" s="38"/>
      <c r="K240" s="17"/>
      <c r="L240" s="17"/>
      <c r="M240" s="17"/>
      <c r="N240" s="44" t="str">
        <f aca="true">IF(A240="","",IF(N(K240)&gt;Settings!$S$7,"Over revision limit",IF(AND(D240="Free video",J240="",E240&lt;&gt;"",TODAY()&gt;WORKDAY(E240,Settings!$S$5)),"LATE – free video promised in 5 working days",IF(AND(E240&lt;&gt;"",E240=TODAY()),"Shooting today",""))))</f>
        <v/>
      </c>
    </row>
    <row r="241" customFormat="false" ht="15" hidden="false" customHeight="false" outlineLevel="0" collapsed="false">
      <c r="A241" s="17"/>
      <c r="B241" s="17"/>
      <c r="C241" s="44" t="str">
        <f aca="false">IF(B241="","",IFERROR(INDEX(Clients!$C$2:$C$501,MATCH(B241,Clients!$A$2:$A$501,0)),"Client ID not found"))</f>
        <v/>
      </c>
      <c r="D241" s="17"/>
      <c r="E241" s="38"/>
      <c r="F241" s="39"/>
      <c r="G241" s="17"/>
      <c r="H241" s="17"/>
      <c r="I241" s="17"/>
      <c r="J241" s="38"/>
      <c r="K241" s="17"/>
      <c r="L241" s="17"/>
      <c r="M241" s="17"/>
      <c r="N241" s="44" t="str">
        <f aca="true">IF(A241="","",IF(N(K241)&gt;Settings!$S$7,"Over revision limit",IF(AND(D241="Free video",J241="",E241&lt;&gt;"",TODAY()&gt;WORKDAY(E241,Settings!$S$5)),"LATE – free video promised in 5 working days",IF(AND(E241&lt;&gt;"",E241=TODAY()),"Shooting today",""))))</f>
        <v/>
      </c>
    </row>
    <row r="242" customFormat="false" ht="15" hidden="false" customHeight="false" outlineLevel="0" collapsed="false">
      <c r="A242" s="17"/>
      <c r="B242" s="17"/>
      <c r="C242" s="44" t="str">
        <f aca="false">IF(B242="","",IFERROR(INDEX(Clients!$C$2:$C$501,MATCH(B242,Clients!$A$2:$A$501,0)),"Client ID not found"))</f>
        <v/>
      </c>
      <c r="D242" s="17"/>
      <c r="E242" s="38"/>
      <c r="F242" s="39"/>
      <c r="G242" s="17"/>
      <c r="H242" s="17"/>
      <c r="I242" s="17"/>
      <c r="J242" s="38"/>
      <c r="K242" s="17"/>
      <c r="L242" s="17"/>
      <c r="M242" s="17"/>
      <c r="N242" s="44" t="str">
        <f aca="true">IF(A242="","",IF(N(K242)&gt;Settings!$S$7,"Over revision limit",IF(AND(D242="Free video",J242="",E242&lt;&gt;"",TODAY()&gt;WORKDAY(E242,Settings!$S$5)),"LATE – free video promised in 5 working days",IF(AND(E242&lt;&gt;"",E242=TODAY()),"Shooting today",""))))</f>
        <v/>
      </c>
    </row>
    <row r="243" customFormat="false" ht="15" hidden="false" customHeight="false" outlineLevel="0" collapsed="false">
      <c r="A243" s="17"/>
      <c r="B243" s="17"/>
      <c r="C243" s="44" t="str">
        <f aca="false">IF(B243="","",IFERROR(INDEX(Clients!$C$2:$C$501,MATCH(B243,Clients!$A$2:$A$501,0)),"Client ID not found"))</f>
        <v/>
      </c>
      <c r="D243" s="17"/>
      <c r="E243" s="38"/>
      <c r="F243" s="39"/>
      <c r="G243" s="17"/>
      <c r="H243" s="17"/>
      <c r="I243" s="17"/>
      <c r="J243" s="38"/>
      <c r="K243" s="17"/>
      <c r="L243" s="17"/>
      <c r="M243" s="17"/>
      <c r="N243" s="44" t="str">
        <f aca="true">IF(A243="","",IF(N(K243)&gt;Settings!$S$7,"Over revision limit",IF(AND(D243="Free video",J243="",E243&lt;&gt;"",TODAY()&gt;WORKDAY(E243,Settings!$S$5)),"LATE – free video promised in 5 working days",IF(AND(E243&lt;&gt;"",E243=TODAY()),"Shooting today",""))))</f>
        <v/>
      </c>
    </row>
    <row r="244" customFormat="false" ht="15" hidden="false" customHeight="false" outlineLevel="0" collapsed="false">
      <c r="A244" s="17"/>
      <c r="B244" s="17"/>
      <c r="C244" s="44" t="str">
        <f aca="false">IF(B244="","",IFERROR(INDEX(Clients!$C$2:$C$501,MATCH(B244,Clients!$A$2:$A$501,0)),"Client ID not found"))</f>
        <v/>
      </c>
      <c r="D244" s="17"/>
      <c r="E244" s="38"/>
      <c r="F244" s="39"/>
      <c r="G244" s="17"/>
      <c r="H244" s="17"/>
      <c r="I244" s="17"/>
      <c r="J244" s="38"/>
      <c r="K244" s="17"/>
      <c r="L244" s="17"/>
      <c r="M244" s="17"/>
      <c r="N244" s="44" t="str">
        <f aca="true">IF(A244="","",IF(N(K244)&gt;Settings!$S$7,"Over revision limit",IF(AND(D244="Free video",J244="",E244&lt;&gt;"",TODAY()&gt;WORKDAY(E244,Settings!$S$5)),"LATE – free video promised in 5 working days",IF(AND(E244&lt;&gt;"",E244=TODAY()),"Shooting today",""))))</f>
        <v/>
      </c>
    </row>
    <row r="245" customFormat="false" ht="15" hidden="false" customHeight="false" outlineLevel="0" collapsed="false">
      <c r="A245" s="17"/>
      <c r="B245" s="17"/>
      <c r="C245" s="44" t="str">
        <f aca="false">IF(B245="","",IFERROR(INDEX(Clients!$C$2:$C$501,MATCH(B245,Clients!$A$2:$A$501,0)),"Client ID not found"))</f>
        <v/>
      </c>
      <c r="D245" s="17"/>
      <c r="E245" s="38"/>
      <c r="F245" s="39"/>
      <c r="G245" s="17"/>
      <c r="H245" s="17"/>
      <c r="I245" s="17"/>
      <c r="J245" s="38"/>
      <c r="K245" s="17"/>
      <c r="L245" s="17"/>
      <c r="M245" s="17"/>
      <c r="N245" s="44" t="str">
        <f aca="true">IF(A245="","",IF(N(K245)&gt;Settings!$S$7,"Over revision limit",IF(AND(D245="Free video",J245="",E245&lt;&gt;"",TODAY()&gt;WORKDAY(E245,Settings!$S$5)),"LATE – free video promised in 5 working days",IF(AND(E245&lt;&gt;"",E245=TODAY()),"Shooting today",""))))</f>
        <v/>
      </c>
    </row>
    <row r="246" customFormat="false" ht="15" hidden="false" customHeight="false" outlineLevel="0" collapsed="false">
      <c r="A246" s="17"/>
      <c r="B246" s="17"/>
      <c r="C246" s="44" t="str">
        <f aca="false">IF(B246="","",IFERROR(INDEX(Clients!$C$2:$C$501,MATCH(B246,Clients!$A$2:$A$501,0)),"Client ID not found"))</f>
        <v/>
      </c>
      <c r="D246" s="17"/>
      <c r="E246" s="38"/>
      <c r="F246" s="39"/>
      <c r="G246" s="17"/>
      <c r="H246" s="17"/>
      <c r="I246" s="17"/>
      <c r="J246" s="38"/>
      <c r="K246" s="17"/>
      <c r="L246" s="17"/>
      <c r="M246" s="17"/>
      <c r="N246" s="44" t="str">
        <f aca="true">IF(A246="","",IF(N(K246)&gt;Settings!$S$7,"Over revision limit",IF(AND(D246="Free video",J246="",E246&lt;&gt;"",TODAY()&gt;WORKDAY(E246,Settings!$S$5)),"LATE – free video promised in 5 working days",IF(AND(E246&lt;&gt;"",E246=TODAY()),"Shooting today",""))))</f>
        <v/>
      </c>
    </row>
    <row r="247" customFormat="false" ht="15" hidden="false" customHeight="false" outlineLevel="0" collapsed="false">
      <c r="A247" s="17"/>
      <c r="B247" s="17"/>
      <c r="C247" s="44" t="str">
        <f aca="false">IF(B247="","",IFERROR(INDEX(Clients!$C$2:$C$501,MATCH(B247,Clients!$A$2:$A$501,0)),"Client ID not found"))</f>
        <v/>
      </c>
      <c r="D247" s="17"/>
      <c r="E247" s="38"/>
      <c r="F247" s="39"/>
      <c r="G247" s="17"/>
      <c r="H247" s="17"/>
      <c r="I247" s="17"/>
      <c r="J247" s="38"/>
      <c r="K247" s="17"/>
      <c r="L247" s="17"/>
      <c r="M247" s="17"/>
      <c r="N247" s="44" t="str">
        <f aca="true">IF(A247="","",IF(N(K247)&gt;Settings!$S$7,"Over revision limit",IF(AND(D247="Free video",J247="",E247&lt;&gt;"",TODAY()&gt;WORKDAY(E247,Settings!$S$5)),"LATE – free video promised in 5 working days",IF(AND(E247&lt;&gt;"",E247=TODAY()),"Shooting today",""))))</f>
        <v/>
      </c>
    </row>
    <row r="248" customFormat="false" ht="15" hidden="false" customHeight="false" outlineLevel="0" collapsed="false">
      <c r="A248" s="17"/>
      <c r="B248" s="17"/>
      <c r="C248" s="44" t="str">
        <f aca="false">IF(B248="","",IFERROR(INDEX(Clients!$C$2:$C$501,MATCH(B248,Clients!$A$2:$A$501,0)),"Client ID not found"))</f>
        <v/>
      </c>
      <c r="D248" s="17"/>
      <c r="E248" s="38"/>
      <c r="F248" s="39"/>
      <c r="G248" s="17"/>
      <c r="H248" s="17"/>
      <c r="I248" s="17"/>
      <c r="J248" s="38"/>
      <c r="K248" s="17"/>
      <c r="L248" s="17"/>
      <c r="M248" s="17"/>
      <c r="N248" s="44" t="str">
        <f aca="true">IF(A248="","",IF(N(K248)&gt;Settings!$S$7,"Over revision limit",IF(AND(D248="Free video",J248="",E248&lt;&gt;"",TODAY()&gt;WORKDAY(E248,Settings!$S$5)),"LATE – free video promised in 5 working days",IF(AND(E248&lt;&gt;"",E248=TODAY()),"Shooting today",""))))</f>
        <v/>
      </c>
    </row>
    <row r="249" customFormat="false" ht="15" hidden="false" customHeight="false" outlineLevel="0" collapsed="false">
      <c r="A249" s="17"/>
      <c r="B249" s="17"/>
      <c r="C249" s="44" t="str">
        <f aca="false">IF(B249="","",IFERROR(INDEX(Clients!$C$2:$C$501,MATCH(B249,Clients!$A$2:$A$501,0)),"Client ID not found"))</f>
        <v/>
      </c>
      <c r="D249" s="17"/>
      <c r="E249" s="38"/>
      <c r="F249" s="39"/>
      <c r="G249" s="17"/>
      <c r="H249" s="17"/>
      <c r="I249" s="17"/>
      <c r="J249" s="38"/>
      <c r="K249" s="17"/>
      <c r="L249" s="17"/>
      <c r="M249" s="17"/>
      <c r="N249" s="44" t="str">
        <f aca="true">IF(A249="","",IF(N(K249)&gt;Settings!$S$7,"Over revision limit",IF(AND(D249="Free video",J249="",E249&lt;&gt;"",TODAY()&gt;WORKDAY(E249,Settings!$S$5)),"LATE – free video promised in 5 working days",IF(AND(E249&lt;&gt;"",E249=TODAY()),"Shooting today",""))))</f>
        <v/>
      </c>
    </row>
    <row r="250" customFormat="false" ht="15" hidden="false" customHeight="false" outlineLevel="0" collapsed="false">
      <c r="A250" s="17"/>
      <c r="B250" s="17"/>
      <c r="C250" s="44" t="str">
        <f aca="false">IF(B250="","",IFERROR(INDEX(Clients!$C$2:$C$501,MATCH(B250,Clients!$A$2:$A$501,0)),"Client ID not found"))</f>
        <v/>
      </c>
      <c r="D250" s="17"/>
      <c r="E250" s="38"/>
      <c r="F250" s="39"/>
      <c r="G250" s="17"/>
      <c r="H250" s="17"/>
      <c r="I250" s="17"/>
      <c r="J250" s="38"/>
      <c r="K250" s="17"/>
      <c r="L250" s="17"/>
      <c r="M250" s="17"/>
      <c r="N250" s="44" t="str">
        <f aca="true">IF(A250="","",IF(N(K250)&gt;Settings!$S$7,"Over revision limit",IF(AND(D250="Free video",J250="",E250&lt;&gt;"",TODAY()&gt;WORKDAY(E250,Settings!$S$5)),"LATE – free video promised in 5 working days",IF(AND(E250&lt;&gt;"",E250=TODAY()),"Shooting today",""))))</f>
        <v/>
      </c>
    </row>
    <row r="251" customFormat="false" ht="15" hidden="false" customHeight="false" outlineLevel="0" collapsed="false">
      <c r="A251" s="17"/>
      <c r="B251" s="17"/>
      <c r="C251" s="44" t="str">
        <f aca="false">IF(B251="","",IFERROR(INDEX(Clients!$C$2:$C$501,MATCH(B251,Clients!$A$2:$A$501,0)),"Client ID not found"))</f>
        <v/>
      </c>
      <c r="D251" s="17"/>
      <c r="E251" s="38"/>
      <c r="F251" s="39"/>
      <c r="G251" s="17"/>
      <c r="H251" s="17"/>
      <c r="I251" s="17"/>
      <c r="J251" s="38"/>
      <c r="K251" s="17"/>
      <c r="L251" s="17"/>
      <c r="M251" s="17"/>
      <c r="N251" s="44" t="str">
        <f aca="true">IF(A251="","",IF(N(K251)&gt;Settings!$S$7,"Over revision limit",IF(AND(D251="Free video",J251="",E251&lt;&gt;"",TODAY()&gt;WORKDAY(E251,Settings!$S$5)),"LATE – free video promised in 5 working days",IF(AND(E251&lt;&gt;"",E251=TODAY()),"Shooting today",""))))</f>
        <v/>
      </c>
    </row>
    <row r="252" customFormat="false" ht="15" hidden="false" customHeight="false" outlineLevel="0" collapsed="false">
      <c r="A252" s="17"/>
      <c r="B252" s="17"/>
      <c r="C252" s="44" t="str">
        <f aca="false">IF(B252="","",IFERROR(INDEX(Clients!$C$2:$C$501,MATCH(B252,Clients!$A$2:$A$501,0)),"Client ID not found"))</f>
        <v/>
      </c>
      <c r="D252" s="17"/>
      <c r="E252" s="38"/>
      <c r="F252" s="39"/>
      <c r="G252" s="17"/>
      <c r="H252" s="17"/>
      <c r="I252" s="17"/>
      <c r="J252" s="38"/>
      <c r="K252" s="17"/>
      <c r="L252" s="17"/>
      <c r="M252" s="17"/>
      <c r="N252" s="44" t="str">
        <f aca="true">IF(A252="","",IF(N(K252)&gt;Settings!$S$7,"Over revision limit",IF(AND(D252="Free video",J252="",E252&lt;&gt;"",TODAY()&gt;WORKDAY(E252,Settings!$S$5)),"LATE – free video promised in 5 working days",IF(AND(E252&lt;&gt;"",E252=TODAY()),"Shooting today",""))))</f>
        <v/>
      </c>
    </row>
    <row r="253" customFormat="false" ht="15" hidden="false" customHeight="false" outlineLevel="0" collapsed="false">
      <c r="A253" s="17"/>
      <c r="B253" s="17"/>
      <c r="C253" s="44" t="str">
        <f aca="false">IF(B253="","",IFERROR(INDEX(Clients!$C$2:$C$501,MATCH(B253,Clients!$A$2:$A$501,0)),"Client ID not found"))</f>
        <v/>
      </c>
      <c r="D253" s="17"/>
      <c r="E253" s="38"/>
      <c r="F253" s="39"/>
      <c r="G253" s="17"/>
      <c r="H253" s="17"/>
      <c r="I253" s="17"/>
      <c r="J253" s="38"/>
      <c r="K253" s="17"/>
      <c r="L253" s="17"/>
      <c r="M253" s="17"/>
      <c r="N253" s="44" t="str">
        <f aca="true">IF(A253="","",IF(N(K253)&gt;Settings!$S$7,"Over revision limit",IF(AND(D253="Free video",J253="",E253&lt;&gt;"",TODAY()&gt;WORKDAY(E253,Settings!$S$5)),"LATE – free video promised in 5 working days",IF(AND(E253&lt;&gt;"",E253=TODAY()),"Shooting today",""))))</f>
        <v/>
      </c>
    </row>
    <row r="254" customFormat="false" ht="15" hidden="false" customHeight="false" outlineLevel="0" collapsed="false">
      <c r="A254" s="17"/>
      <c r="B254" s="17"/>
      <c r="C254" s="44" t="str">
        <f aca="false">IF(B254="","",IFERROR(INDEX(Clients!$C$2:$C$501,MATCH(B254,Clients!$A$2:$A$501,0)),"Client ID not found"))</f>
        <v/>
      </c>
      <c r="D254" s="17"/>
      <c r="E254" s="38"/>
      <c r="F254" s="39"/>
      <c r="G254" s="17"/>
      <c r="H254" s="17"/>
      <c r="I254" s="17"/>
      <c r="J254" s="38"/>
      <c r="K254" s="17"/>
      <c r="L254" s="17"/>
      <c r="M254" s="17"/>
      <c r="N254" s="44" t="str">
        <f aca="true">IF(A254="","",IF(N(K254)&gt;Settings!$S$7,"Over revision limit",IF(AND(D254="Free video",J254="",E254&lt;&gt;"",TODAY()&gt;WORKDAY(E254,Settings!$S$5)),"LATE – free video promised in 5 working days",IF(AND(E254&lt;&gt;"",E254=TODAY()),"Shooting today",""))))</f>
        <v/>
      </c>
    </row>
    <row r="255" customFormat="false" ht="15" hidden="false" customHeight="false" outlineLevel="0" collapsed="false">
      <c r="A255" s="17"/>
      <c r="B255" s="17"/>
      <c r="C255" s="44" t="str">
        <f aca="false">IF(B255="","",IFERROR(INDEX(Clients!$C$2:$C$501,MATCH(B255,Clients!$A$2:$A$501,0)),"Client ID not found"))</f>
        <v/>
      </c>
      <c r="D255" s="17"/>
      <c r="E255" s="38"/>
      <c r="F255" s="39"/>
      <c r="G255" s="17"/>
      <c r="H255" s="17"/>
      <c r="I255" s="17"/>
      <c r="J255" s="38"/>
      <c r="K255" s="17"/>
      <c r="L255" s="17"/>
      <c r="M255" s="17"/>
      <c r="N255" s="44" t="str">
        <f aca="true">IF(A255="","",IF(N(K255)&gt;Settings!$S$7,"Over revision limit",IF(AND(D255="Free video",J255="",E255&lt;&gt;"",TODAY()&gt;WORKDAY(E255,Settings!$S$5)),"LATE – free video promised in 5 working days",IF(AND(E255&lt;&gt;"",E255=TODAY()),"Shooting today",""))))</f>
        <v/>
      </c>
    </row>
    <row r="256" customFormat="false" ht="15" hidden="false" customHeight="false" outlineLevel="0" collapsed="false">
      <c r="A256" s="17"/>
      <c r="B256" s="17"/>
      <c r="C256" s="44" t="str">
        <f aca="false">IF(B256="","",IFERROR(INDEX(Clients!$C$2:$C$501,MATCH(B256,Clients!$A$2:$A$501,0)),"Client ID not found"))</f>
        <v/>
      </c>
      <c r="D256" s="17"/>
      <c r="E256" s="38"/>
      <c r="F256" s="39"/>
      <c r="G256" s="17"/>
      <c r="H256" s="17"/>
      <c r="I256" s="17"/>
      <c r="J256" s="38"/>
      <c r="K256" s="17"/>
      <c r="L256" s="17"/>
      <c r="M256" s="17"/>
      <c r="N256" s="44" t="str">
        <f aca="true">IF(A256="","",IF(N(K256)&gt;Settings!$S$7,"Over revision limit",IF(AND(D256="Free video",J256="",E256&lt;&gt;"",TODAY()&gt;WORKDAY(E256,Settings!$S$5)),"LATE – free video promised in 5 working days",IF(AND(E256&lt;&gt;"",E256=TODAY()),"Shooting today",""))))</f>
        <v/>
      </c>
    </row>
    <row r="257" customFormat="false" ht="15" hidden="false" customHeight="false" outlineLevel="0" collapsed="false">
      <c r="A257" s="17"/>
      <c r="B257" s="17"/>
      <c r="C257" s="44" t="str">
        <f aca="false">IF(B257="","",IFERROR(INDEX(Clients!$C$2:$C$501,MATCH(B257,Clients!$A$2:$A$501,0)),"Client ID not found"))</f>
        <v/>
      </c>
      <c r="D257" s="17"/>
      <c r="E257" s="38"/>
      <c r="F257" s="39"/>
      <c r="G257" s="17"/>
      <c r="H257" s="17"/>
      <c r="I257" s="17"/>
      <c r="J257" s="38"/>
      <c r="K257" s="17"/>
      <c r="L257" s="17"/>
      <c r="M257" s="17"/>
      <c r="N257" s="44" t="str">
        <f aca="true">IF(A257="","",IF(N(K257)&gt;Settings!$S$7,"Over revision limit",IF(AND(D257="Free video",J257="",E257&lt;&gt;"",TODAY()&gt;WORKDAY(E257,Settings!$S$5)),"LATE – free video promised in 5 working days",IF(AND(E257&lt;&gt;"",E257=TODAY()),"Shooting today",""))))</f>
        <v/>
      </c>
    </row>
    <row r="258" customFormat="false" ht="15" hidden="false" customHeight="false" outlineLevel="0" collapsed="false">
      <c r="A258" s="17"/>
      <c r="B258" s="17"/>
      <c r="C258" s="44" t="str">
        <f aca="false">IF(B258="","",IFERROR(INDEX(Clients!$C$2:$C$501,MATCH(B258,Clients!$A$2:$A$501,0)),"Client ID not found"))</f>
        <v/>
      </c>
      <c r="D258" s="17"/>
      <c r="E258" s="38"/>
      <c r="F258" s="39"/>
      <c r="G258" s="17"/>
      <c r="H258" s="17"/>
      <c r="I258" s="17"/>
      <c r="J258" s="38"/>
      <c r="K258" s="17"/>
      <c r="L258" s="17"/>
      <c r="M258" s="17"/>
      <c r="N258" s="44" t="str">
        <f aca="true">IF(A258="","",IF(N(K258)&gt;Settings!$S$7,"Over revision limit",IF(AND(D258="Free video",J258="",E258&lt;&gt;"",TODAY()&gt;WORKDAY(E258,Settings!$S$5)),"LATE – free video promised in 5 working days",IF(AND(E258&lt;&gt;"",E258=TODAY()),"Shooting today",""))))</f>
        <v/>
      </c>
    </row>
    <row r="259" customFormat="false" ht="15" hidden="false" customHeight="false" outlineLevel="0" collapsed="false">
      <c r="A259" s="17"/>
      <c r="B259" s="17"/>
      <c r="C259" s="44" t="str">
        <f aca="false">IF(B259="","",IFERROR(INDEX(Clients!$C$2:$C$501,MATCH(B259,Clients!$A$2:$A$501,0)),"Client ID not found"))</f>
        <v/>
      </c>
      <c r="D259" s="17"/>
      <c r="E259" s="38"/>
      <c r="F259" s="39"/>
      <c r="G259" s="17"/>
      <c r="H259" s="17"/>
      <c r="I259" s="17"/>
      <c r="J259" s="38"/>
      <c r="K259" s="17"/>
      <c r="L259" s="17"/>
      <c r="M259" s="17"/>
      <c r="N259" s="44" t="str">
        <f aca="true">IF(A259="","",IF(N(K259)&gt;Settings!$S$7,"Over revision limit",IF(AND(D259="Free video",J259="",E259&lt;&gt;"",TODAY()&gt;WORKDAY(E259,Settings!$S$5)),"LATE – free video promised in 5 working days",IF(AND(E259&lt;&gt;"",E259=TODAY()),"Shooting today",""))))</f>
        <v/>
      </c>
    </row>
    <row r="260" customFormat="false" ht="15" hidden="false" customHeight="false" outlineLevel="0" collapsed="false">
      <c r="A260" s="17"/>
      <c r="B260" s="17"/>
      <c r="C260" s="44" t="str">
        <f aca="false">IF(B260="","",IFERROR(INDEX(Clients!$C$2:$C$501,MATCH(B260,Clients!$A$2:$A$501,0)),"Client ID not found"))</f>
        <v/>
      </c>
      <c r="D260" s="17"/>
      <c r="E260" s="38"/>
      <c r="F260" s="39"/>
      <c r="G260" s="17"/>
      <c r="H260" s="17"/>
      <c r="I260" s="17"/>
      <c r="J260" s="38"/>
      <c r="K260" s="17"/>
      <c r="L260" s="17"/>
      <c r="M260" s="17"/>
      <c r="N260" s="44" t="str">
        <f aca="true">IF(A260="","",IF(N(K260)&gt;Settings!$S$7,"Over revision limit",IF(AND(D260="Free video",J260="",E260&lt;&gt;"",TODAY()&gt;WORKDAY(E260,Settings!$S$5)),"LATE – free video promised in 5 working days",IF(AND(E260&lt;&gt;"",E260=TODAY()),"Shooting today",""))))</f>
        <v/>
      </c>
    </row>
    <row r="261" customFormat="false" ht="15" hidden="false" customHeight="false" outlineLevel="0" collapsed="false">
      <c r="A261" s="17"/>
      <c r="B261" s="17"/>
      <c r="C261" s="44" t="str">
        <f aca="false">IF(B261="","",IFERROR(INDEX(Clients!$C$2:$C$501,MATCH(B261,Clients!$A$2:$A$501,0)),"Client ID not found"))</f>
        <v/>
      </c>
      <c r="D261" s="17"/>
      <c r="E261" s="38"/>
      <c r="F261" s="39"/>
      <c r="G261" s="17"/>
      <c r="H261" s="17"/>
      <c r="I261" s="17"/>
      <c r="J261" s="38"/>
      <c r="K261" s="17"/>
      <c r="L261" s="17"/>
      <c r="M261" s="17"/>
      <c r="N261" s="44" t="str">
        <f aca="true">IF(A261="","",IF(N(K261)&gt;Settings!$S$7,"Over revision limit",IF(AND(D261="Free video",J261="",E261&lt;&gt;"",TODAY()&gt;WORKDAY(E261,Settings!$S$5)),"LATE – free video promised in 5 working days",IF(AND(E261&lt;&gt;"",E261=TODAY()),"Shooting today",""))))</f>
        <v/>
      </c>
    </row>
    <row r="262" customFormat="false" ht="15" hidden="false" customHeight="false" outlineLevel="0" collapsed="false">
      <c r="A262" s="17"/>
      <c r="B262" s="17"/>
      <c r="C262" s="44" t="str">
        <f aca="false">IF(B262="","",IFERROR(INDEX(Clients!$C$2:$C$501,MATCH(B262,Clients!$A$2:$A$501,0)),"Client ID not found"))</f>
        <v/>
      </c>
      <c r="D262" s="17"/>
      <c r="E262" s="38"/>
      <c r="F262" s="39"/>
      <c r="G262" s="17"/>
      <c r="H262" s="17"/>
      <c r="I262" s="17"/>
      <c r="J262" s="38"/>
      <c r="K262" s="17"/>
      <c r="L262" s="17"/>
      <c r="M262" s="17"/>
      <c r="N262" s="44" t="str">
        <f aca="true">IF(A262="","",IF(N(K262)&gt;Settings!$S$7,"Over revision limit",IF(AND(D262="Free video",J262="",E262&lt;&gt;"",TODAY()&gt;WORKDAY(E262,Settings!$S$5)),"LATE – free video promised in 5 working days",IF(AND(E262&lt;&gt;"",E262=TODAY()),"Shooting today",""))))</f>
        <v/>
      </c>
    </row>
    <row r="263" customFormat="false" ht="15" hidden="false" customHeight="false" outlineLevel="0" collapsed="false">
      <c r="A263" s="17"/>
      <c r="B263" s="17"/>
      <c r="C263" s="44" t="str">
        <f aca="false">IF(B263="","",IFERROR(INDEX(Clients!$C$2:$C$501,MATCH(B263,Clients!$A$2:$A$501,0)),"Client ID not found"))</f>
        <v/>
      </c>
      <c r="D263" s="17"/>
      <c r="E263" s="38"/>
      <c r="F263" s="39"/>
      <c r="G263" s="17"/>
      <c r="H263" s="17"/>
      <c r="I263" s="17"/>
      <c r="J263" s="38"/>
      <c r="K263" s="17"/>
      <c r="L263" s="17"/>
      <c r="M263" s="17"/>
      <c r="N263" s="44" t="str">
        <f aca="true">IF(A263="","",IF(N(K263)&gt;Settings!$S$7,"Over revision limit",IF(AND(D263="Free video",J263="",E263&lt;&gt;"",TODAY()&gt;WORKDAY(E263,Settings!$S$5)),"LATE – free video promised in 5 working days",IF(AND(E263&lt;&gt;"",E263=TODAY()),"Shooting today",""))))</f>
        <v/>
      </c>
    </row>
    <row r="264" customFormat="false" ht="15" hidden="false" customHeight="false" outlineLevel="0" collapsed="false">
      <c r="A264" s="17"/>
      <c r="B264" s="17"/>
      <c r="C264" s="44" t="str">
        <f aca="false">IF(B264="","",IFERROR(INDEX(Clients!$C$2:$C$501,MATCH(B264,Clients!$A$2:$A$501,0)),"Client ID not found"))</f>
        <v/>
      </c>
      <c r="D264" s="17"/>
      <c r="E264" s="38"/>
      <c r="F264" s="39"/>
      <c r="G264" s="17"/>
      <c r="H264" s="17"/>
      <c r="I264" s="17"/>
      <c r="J264" s="38"/>
      <c r="K264" s="17"/>
      <c r="L264" s="17"/>
      <c r="M264" s="17"/>
      <c r="N264" s="44" t="str">
        <f aca="true">IF(A264="","",IF(N(K264)&gt;Settings!$S$7,"Over revision limit",IF(AND(D264="Free video",J264="",E264&lt;&gt;"",TODAY()&gt;WORKDAY(E264,Settings!$S$5)),"LATE – free video promised in 5 working days",IF(AND(E264&lt;&gt;"",E264=TODAY()),"Shooting today",""))))</f>
        <v/>
      </c>
    </row>
    <row r="265" customFormat="false" ht="15" hidden="false" customHeight="false" outlineLevel="0" collapsed="false">
      <c r="A265" s="17"/>
      <c r="B265" s="17"/>
      <c r="C265" s="44" t="str">
        <f aca="false">IF(B265="","",IFERROR(INDEX(Clients!$C$2:$C$501,MATCH(B265,Clients!$A$2:$A$501,0)),"Client ID not found"))</f>
        <v/>
      </c>
      <c r="D265" s="17"/>
      <c r="E265" s="38"/>
      <c r="F265" s="39"/>
      <c r="G265" s="17"/>
      <c r="H265" s="17"/>
      <c r="I265" s="17"/>
      <c r="J265" s="38"/>
      <c r="K265" s="17"/>
      <c r="L265" s="17"/>
      <c r="M265" s="17"/>
      <c r="N265" s="44" t="str">
        <f aca="true">IF(A265="","",IF(N(K265)&gt;Settings!$S$7,"Over revision limit",IF(AND(D265="Free video",J265="",E265&lt;&gt;"",TODAY()&gt;WORKDAY(E265,Settings!$S$5)),"LATE – free video promised in 5 working days",IF(AND(E265&lt;&gt;"",E265=TODAY()),"Shooting today",""))))</f>
        <v/>
      </c>
    </row>
    <row r="266" customFormat="false" ht="15" hidden="false" customHeight="false" outlineLevel="0" collapsed="false">
      <c r="A266" s="17"/>
      <c r="B266" s="17"/>
      <c r="C266" s="44" t="str">
        <f aca="false">IF(B266="","",IFERROR(INDEX(Clients!$C$2:$C$501,MATCH(B266,Clients!$A$2:$A$501,0)),"Client ID not found"))</f>
        <v/>
      </c>
      <c r="D266" s="17"/>
      <c r="E266" s="38"/>
      <c r="F266" s="39"/>
      <c r="G266" s="17"/>
      <c r="H266" s="17"/>
      <c r="I266" s="17"/>
      <c r="J266" s="38"/>
      <c r="K266" s="17"/>
      <c r="L266" s="17"/>
      <c r="M266" s="17"/>
      <c r="N266" s="44" t="str">
        <f aca="true">IF(A266="","",IF(N(K266)&gt;Settings!$S$7,"Over revision limit",IF(AND(D266="Free video",J266="",E266&lt;&gt;"",TODAY()&gt;WORKDAY(E266,Settings!$S$5)),"LATE – free video promised in 5 working days",IF(AND(E266&lt;&gt;"",E266=TODAY()),"Shooting today",""))))</f>
        <v/>
      </c>
    </row>
    <row r="267" customFormat="false" ht="15" hidden="false" customHeight="false" outlineLevel="0" collapsed="false">
      <c r="A267" s="17"/>
      <c r="B267" s="17"/>
      <c r="C267" s="44" t="str">
        <f aca="false">IF(B267="","",IFERROR(INDEX(Clients!$C$2:$C$501,MATCH(B267,Clients!$A$2:$A$501,0)),"Client ID not found"))</f>
        <v/>
      </c>
      <c r="D267" s="17"/>
      <c r="E267" s="38"/>
      <c r="F267" s="39"/>
      <c r="G267" s="17"/>
      <c r="H267" s="17"/>
      <c r="I267" s="17"/>
      <c r="J267" s="38"/>
      <c r="K267" s="17"/>
      <c r="L267" s="17"/>
      <c r="M267" s="17"/>
      <c r="N267" s="44" t="str">
        <f aca="true">IF(A267="","",IF(N(K267)&gt;Settings!$S$7,"Over revision limit",IF(AND(D267="Free video",J267="",E267&lt;&gt;"",TODAY()&gt;WORKDAY(E267,Settings!$S$5)),"LATE – free video promised in 5 working days",IF(AND(E267&lt;&gt;"",E267=TODAY()),"Shooting today",""))))</f>
        <v/>
      </c>
    </row>
    <row r="268" customFormat="false" ht="15" hidden="false" customHeight="false" outlineLevel="0" collapsed="false">
      <c r="A268" s="17"/>
      <c r="B268" s="17"/>
      <c r="C268" s="44" t="str">
        <f aca="false">IF(B268="","",IFERROR(INDEX(Clients!$C$2:$C$501,MATCH(B268,Clients!$A$2:$A$501,0)),"Client ID not found"))</f>
        <v/>
      </c>
      <c r="D268" s="17"/>
      <c r="E268" s="38"/>
      <c r="F268" s="39"/>
      <c r="G268" s="17"/>
      <c r="H268" s="17"/>
      <c r="I268" s="17"/>
      <c r="J268" s="38"/>
      <c r="K268" s="17"/>
      <c r="L268" s="17"/>
      <c r="M268" s="17"/>
      <c r="N268" s="44" t="str">
        <f aca="true">IF(A268="","",IF(N(K268)&gt;Settings!$S$7,"Over revision limit",IF(AND(D268="Free video",J268="",E268&lt;&gt;"",TODAY()&gt;WORKDAY(E268,Settings!$S$5)),"LATE – free video promised in 5 working days",IF(AND(E268&lt;&gt;"",E268=TODAY()),"Shooting today",""))))</f>
        <v/>
      </c>
    </row>
    <row r="269" customFormat="false" ht="15" hidden="false" customHeight="false" outlineLevel="0" collapsed="false">
      <c r="A269" s="17"/>
      <c r="B269" s="17"/>
      <c r="C269" s="44" t="str">
        <f aca="false">IF(B269="","",IFERROR(INDEX(Clients!$C$2:$C$501,MATCH(B269,Clients!$A$2:$A$501,0)),"Client ID not found"))</f>
        <v/>
      </c>
      <c r="D269" s="17"/>
      <c r="E269" s="38"/>
      <c r="F269" s="39"/>
      <c r="G269" s="17"/>
      <c r="H269" s="17"/>
      <c r="I269" s="17"/>
      <c r="J269" s="38"/>
      <c r="K269" s="17"/>
      <c r="L269" s="17"/>
      <c r="M269" s="17"/>
      <c r="N269" s="44" t="str">
        <f aca="true">IF(A269="","",IF(N(K269)&gt;Settings!$S$7,"Over revision limit",IF(AND(D269="Free video",J269="",E269&lt;&gt;"",TODAY()&gt;WORKDAY(E269,Settings!$S$5)),"LATE – free video promised in 5 working days",IF(AND(E269&lt;&gt;"",E269=TODAY()),"Shooting today",""))))</f>
        <v/>
      </c>
    </row>
    <row r="270" customFormat="false" ht="15" hidden="false" customHeight="false" outlineLevel="0" collapsed="false">
      <c r="A270" s="17"/>
      <c r="B270" s="17"/>
      <c r="C270" s="44" t="str">
        <f aca="false">IF(B270="","",IFERROR(INDEX(Clients!$C$2:$C$501,MATCH(B270,Clients!$A$2:$A$501,0)),"Client ID not found"))</f>
        <v/>
      </c>
      <c r="D270" s="17"/>
      <c r="E270" s="38"/>
      <c r="F270" s="39"/>
      <c r="G270" s="17"/>
      <c r="H270" s="17"/>
      <c r="I270" s="17"/>
      <c r="J270" s="38"/>
      <c r="K270" s="17"/>
      <c r="L270" s="17"/>
      <c r="M270" s="17"/>
      <c r="N270" s="44" t="str">
        <f aca="true">IF(A270="","",IF(N(K270)&gt;Settings!$S$7,"Over revision limit",IF(AND(D270="Free video",J270="",E270&lt;&gt;"",TODAY()&gt;WORKDAY(E270,Settings!$S$5)),"LATE – free video promised in 5 working days",IF(AND(E270&lt;&gt;"",E270=TODAY()),"Shooting today",""))))</f>
        <v/>
      </c>
    </row>
    <row r="271" customFormat="false" ht="15" hidden="false" customHeight="false" outlineLevel="0" collapsed="false">
      <c r="A271" s="17"/>
      <c r="B271" s="17"/>
      <c r="C271" s="44" t="str">
        <f aca="false">IF(B271="","",IFERROR(INDEX(Clients!$C$2:$C$501,MATCH(B271,Clients!$A$2:$A$501,0)),"Client ID not found"))</f>
        <v/>
      </c>
      <c r="D271" s="17"/>
      <c r="E271" s="38"/>
      <c r="F271" s="39"/>
      <c r="G271" s="17"/>
      <c r="H271" s="17"/>
      <c r="I271" s="17"/>
      <c r="J271" s="38"/>
      <c r="K271" s="17"/>
      <c r="L271" s="17"/>
      <c r="M271" s="17"/>
      <c r="N271" s="44" t="str">
        <f aca="true">IF(A271="","",IF(N(K271)&gt;Settings!$S$7,"Over revision limit",IF(AND(D271="Free video",J271="",E271&lt;&gt;"",TODAY()&gt;WORKDAY(E271,Settings!$S$5)),"LATE – free video promised in 5 working days",IF(AND(E271&lt;&gt;"",E271=TODAY()),"Shooting today",""))))</f>
        <v/>
      </c>
    </row>
    <row r="272" customFormat="false" ht="15" hidden="false" customHeight="false" outlineLevel="0" collapsed="false">
      <c r="A272" s="17"/>
      <c r="B272" s="17"/>
      <c r="C272" s="44" t="str">
        <f aca="false">IF(B272="","",IFERROR(INDEX(Clients!$C$2:$C$501,MATCH(B272,Clients!$A$2:$A$501,0)),"Client ID not found"))</f>
        <v/>
      </c>
      <c r="D272" s="17"/>
      <c r="E272" s="38"/>
      <c r="F272" s="39"/>
      <c r="G272" s="17"/>
      <c r="H272" s="17"/>
      <c r="I272" s="17"/>
      <c r="J272" s="38"/>
      <c r="K272" s="17"/>
      <c r="L272" s="17"/>
      <c r="M272" s="17"/>
      <c r="N272" s="44" t="str">
        <f aca="true">IF(A272="","",IF(N(K272)&gt;Settings!$S$7,"Over revision limit",IF(AND(D272="Free video",J272="",E272&lt;&gt;"",TODAY()&gt;WORKDAY(E272,Settings!$S$5)),"LATE – free video promised in 5 working days",IF(AND(E272&lt;&gt;"",E272=TODAY()),"Shooting today",""))))</f>
        <v/>
      </c>
    </row>
    <row r="273" customFormat="false" ht="15" hidden="false" customHeight="false" outlineLevel="0" collapsed="false">
      <c r="A273" s="17"/>
      <c r="B273" s="17"/>
      <c r="C273" s="44" t="str">
        <f aca="false">IF(B273="","",IFERROR(INDEX(Clients!$C$2:$C$501,MATCH(B273,Clients!$A$2:$A$501,0)),"Client ID not found"))</f>
        <v/>
      </c>
      <c r="D273" s="17"/>
      <c r="E273" s="38"/>
      <c r="F273" s="39"/>
      <c r="G273" s="17"/>
      <c r="H273" s="17"/>
      <c r="I273" s="17"/>
      <c r="J273" s="38"/>
      <c r="K273" s="17"/>
      <c r="L273" s="17"/>
      <c r="M273" s="17"/>
      <c r="N273" s="44" t="str">
        <f aca="true">IF(A273="","",IF(N(K273)&gt;Settings!$S$7,"Over revision limit",IF(AND(D273="Free video",J273="",E273&lt;&gt;"",TODAY()&gt;WORKDAY(E273,Settings!$S$5)),"LATE – free video promised in 5 working days",IF(AND(E273&lt;&gt;"",E273=TODAY()),"Shooting today",""))))</f>
        <v/>
      </c>
    </row>
    <row r="274" customFormat="false" ht="15" hidden="false" customHeight="false" outlineLevel="0" collapsed="false">
      <c r="A274" s="17"/>
      <c r="B274" s="17"/>
      <c r="C274" s="44" t="str">
        <f aca="false">IF(B274="","",IFERROR(INDEX(Clients!$C$2:$C$501,MATCH(B274,Clients!$A$2:$A$501,0)),"Client ID not found"))</f>
        <v/>
      </c>
      <c r="D274" s="17"/>
      <c r="E274" s="38"/>
      <c r="F274" s="39"/>
      <c r="G274" s="17"/>
      <c r="H274" s="17"/>
      <c r="I274" s="17"/>
      <c r="J274" s="38"/>
      <c r="K274" s="17"/>
      <c r="L274" s="17"/>
      <c r="M274" s="17"/>
      <c r="N274" s="44" t="str">
        <f aca="true">IF(A274="","",IF(N(K274)&gt;Settings!$S$7,"Over revision limit",IF(AND(D274="Free video",J274="",E274&lt;&gt;"",TODAY()&gt;WORKDAY(E274,Settings!$S$5)),"LATE – free video promised in 5 working days",IF(AND(E274&lt;&gt;"",E274=TODAY()),"Shooting today",""))))</f>
        <v/>
      </c>
    </row>
    <row r="275" customFormat="false" ht="15" hidden="false" customHeight="false" outlineLevel="0" collapsed="false">
      <c r="A275" s="17"/>
      <c r="B275" s="17"/>
      <c r="C275" s="44" t="str">
        <f aca="false">IF(B275="","",IFERROR(INDEX(Clients!$C$2:$C$501,MATCH(B275,Clients!$A$2:$A$501,0)),"Client ID not found"))</f>
        <v/>
      </c>
      <c r="D275" s="17"/>
      <c r="E275" s="38"/>
      <c r="F275" s="39"/>
      <c r="G275" s="17"/>
      <c r="H275" s="17"/>
      <c r="I275" s="17"/>
      <c r="J275" s="38"/>
      <c r="K275" s="17"/>
      <c r="L275" s="17"/>
      <c r="M275" s="17"/>
      <c r="N275" s="44" t="str">
        <f aca="true">IF(A275="","",IF(N(K275)&gt;Settings!$S$7,"Over revision limit",IF(AND(D275="Free video",J275="",E275&lt;&gt;"",TODAY()&gt;WORKDAY(E275,Settings!$S$5)),"LATE – free video promised in 5 working days",IF(AND(E275&lt;&gt;"",E275=TODAY()),"Shooting today",""))))</f>
        <v/>
      </c>
    </row>
    <row r="276" customFormat="false" ht="15" hidden="false" customHeight="false" outlineLevel="0" collapsed="false">
      <c r="A276" s="17"/>
      <c r="B276" s="17"/>
      <c r="C276" s="44" t="str">
        <f aca="false">IF(B276="","",IFERROR(INDEX(Clients!$C$2:$C$501,MATCH(B276,Clients!$A$2:$A$501,0)),"Client ID not found"))</f>
        <v/>
      </c>
      <c r="D276" s="17"/>
      <c r="E276" s="38"/>
      <c r="F276" s="39"/>
      <c r="G276" s="17"/>
      <c r="H276" s="17"/>
      <c r="I276" s="17"/>
      <c r="J276" s="38"/>
      <c r="K276" s="17"/>
      <c r="L276" s="17"/>
      <c r="M276" s="17"/>
      <c r="N276" s="44" t="str">
        <f aca="true">IF(A276="","",IF(N(K276)&gt;Settings!$S$7,"Over revision limit",IF(AND(D276="Free video",J276="",E276&lt;&gt;"",TODAY()&gt;WORKDAY(E276,Settings!$S$5)),"LATE – free video promised in 5 working days",IF(AND(E276&lt;&gt;"",E276=TODAY()),"Shooting today",""))))</f>
        <v/>
      </c>
    </row>
    <row r="277" customFormat="false" ht="15" hidden="false" customHeight="false" outlineLevel="0" collapsed="false">
      <c r="A277" s="17"/>
      <c r="B277" s="17"/>
      <c r="C277" s="44" t="str">
        <f aca="false">IF(B277="","",IFERROR(INDEX(Clients!$C$2:$C$501,MATCH(B277,Clients!$A$2:$A$501,0)),"Client ID not found"))</f>
        <v/>
      </c>
      <c r="D277" s="17"/>
      <c r="E277" s="38"/>
      <c r="F277" s="39"/>
      <c r="G277" s="17"/>
      <c r="H277" s="17"/>
      <c r="I277" s="17"/>
      <c r="J277" s="38"/>
      <c r="K277" s="17"/>
      <c r="L277" s="17"/>
      <c r="M277" s="17"/>
      <c r="N277" s="44" t="str">
        <f aca="true">IF(A277="","",IF(N(K277)&gt;Settings!$S$7,"Over revision limit",IF(AND(D277="Free video",J277="",E277&lt;&gt;"",TODAY()&gt;WORKDAY(E277,Settings!$S$5)),"LATE – free video promised in 5 working days",IF(AND(E277&lt;&gt;"",E277=TODAY()),"Shooting today",""))))</f>
        <v/>
      </c>
    </row>
    <row r="278" customFormat="false" ht="15" hidden="false" customHeight="false" outlineLevel="0" collapsed="false">
      <c r="A278" s="17"/>
      <c r="B278" s="17"/>
      <c r="C278" s="44" t="str">
        <f aca="false">IF(B278="","",IFERROR(INDEX(Clients!$C$2:$C$501,MATCH(B278,Clients!$A$2:$A$501,0)),"Client ID not found"))</f>
        <v/>
      </c>
      <c r="D278" s="17"/>
      <c r="E278" s="38"/>
      <c r="F278" s="39"/>
      <c r="G278" s="17"/>
      <c r="H278" s="17"/>
      <c r="I278" s="17"/>
      <c r="J278" s="38"/>
      <c r="K278" s="17"/>
      <c r="L278" s="17"/>
      <c r="M278" s="17"/>
      <c r="N278" s="44" t="str">
        <f aca="true">IF(A278="","",IF(N(K278)&gt;Settings!$S$7,"Over revision limit",IF(AND(D278="Free video",J278="",E278&lt;&gt;"",TODAY()&gt;WORKDAY(E278,Settings!$S$5)),"LATE – free video promised in 5 working days",IF(AND(E278&lt;&gt;"",E278=TODAY()),"Shooting today",""))))</f>
        <v/>
      </c>
    </row>
    <row r="279" customFormat="false" ht="15" hidden="false" customHeight="false" outlineLevel="0" collapsed="false">
      <c r="A279" s="17"/>
      <c r="B279" s="17"/>
      <c r="C279" s="44" t="str">
        <f aca="false">IF(B279="","",IFERROR(INDEX(Clients!$C$2:$C$501,MATCH(B279,Clients!$A$2:$A$501,0)),"Client ID not found"))</f>
        <v/>
      </c>
      <c r="D279" s="17"/>
      <c r="E279" s="38"/>
      <c r="F279" s="39"/>
      <c r="G279" s="17"/>
      <c r="H279" s="17"/>
      <c r="I279" s="17"/>
      <c r="J279" s="38"/>
      <c r="K279" s="17"/>
      <c r="L279" s="17"/>
      <c r="M279" s="17"/>
      <c r="N279" s="44" t="str">
        <f aca="true">IF(A279="","",IF(N(K279)&gt;Settings!$S$7,"Over revision limit",IF(AND(D279="Free video",J279="",E279&lt;&gt;"",TODAY()&gt;WORKDAY(E279,Settings!$S$5)),"LATE – free video promised in 5 working days",IF(AND(E279&lt;&gt;"",E279=TODAY()),"Shooting today",""))))</f>
        <v/>
      </c>
    </row>
    <row r="280" customFormat="false" ht="15" hidden="false" customHeight="false" outlineLevel="0" collapsed="false">
      <c r="A280" s="17"/>
      <c r="B280" s="17"/>
      <c r="C280" s="44" t="str">
        <f aca="false">IF(B280="","",IFERROR(INDEX(Clients!$C$2:$C$501,MATCH(B280,Clients!$A$2:$A$501,0)),"Client ID not found"))</f>
        <v/>
      </c>
      <c r="D280" s="17"/>
      <c r="E280" s="38"/>
      <c r="F280" s="39"/>
      <c r="G280" s="17"/>
      <c r="H280" s="17"/>
      <c r="I280" s="17"/>
      <c r="J280" s="38"/>
      <c r="K280" s="17"/>
      <c r="L280" s="17"/>
      <c r="M280" s="17"/>
      <c r="N280" s="44" t="str">
        <f aca="true">IF(A280="","",IF(N(K280)&gt;Settings!$S$7,"Over revision limit",IF(AND(D280="Free video",J280="",E280&lt;&gt;"",TODAY()&gt;WORKDAY(E280,Settings!$S$5)),"LATE – free video promised in 5 working days",IF(AND(E280&lt;&gt;"",E280=TODAY()),"Shooting today",""))))</f>
        <v/>
      </c>
    </row>
    <row r="281" customFormat="false" ht="15" hidden="false" customHeight="false" outlineLevel="0" collapsed="false">
      <c r="A281" s="17"/>
      <c r="B281" s="17"/>
      <c r="C281" s="44" t="str">
        <f aca="false">IF(B281="","",IFERROR(INDEX(Clients!$C$2:$C$501,MATCH(B281,Clients!$A$2:$A$501,0)),"Client ID not found"))</f>
        <v/>
      </c>
      <c r="D281" s="17"/>
      <c r="E281" s="38"/>
      <c r="F281" s="39"/>
      <c r="G281" s="17"/>
      <c r="H281" s="17"/>
      <c r="I281" s="17"/>
      <c r="J281" s="38"/>
      <c r="K281" s="17"/>
      <c r="L281" s="17"/>
      <c r="M281" s="17"/>
      <c r="N281" s="44" t="str">
        <f aca="true">IF(A281="","",IF(N(K281)&gt;Settings!$S$7,"Over revision limit",IF(AND(D281="Free video",J281="",E281&lt;&gt;"",TODAY()&gt;WORKDAY(E281,Settings!$S$5)),"LATE – free video promised in 5 working days",IF(AND(E281&lt;&gt;"",E281=TODAY()),"Shooting today",""))))</f>
        <v/>
      </c>
    </row>
    <row r="282" customFormat="false" ht="15" hidden="false" customHeight="false" outlineLevel="0" collapsed="false">
      <c r="A282" s="17"/>
      <c r="B282" s="17"/>
      <c r="C282" s="44" t="str">
        <f aca="false">IF(B282="","",IFERROR(INDEX(Clients!$C$2:$C$501,MATCH(B282,Clients!$A$2:$A$501,0)),"Client ID not found"))</f>
        <v/>
      </c>
      <c r="D282" s="17"/>
      <c r="E282" s="38"/>
      <c r="F282" s="39"/>
      <c r="G282" s="17"/>
      <c r="H282" s="17"/>
      <c r="I282" s="17"/>
      <c r="J282" s="38"/>
      <c r="K282" s="17"/>
      <c r="L282" s="17"/>
      <c r="M282" s="17"/>
      <c r="N282" s="44" t="str">
        <f aca="true">IF(A282="","",IF(N(K282)&gt;Settings!$S$7,"Over revision limit",IF(AND(D282="Free video",J282="",E282&lt;&gt;"",TODAY()&gt;WORKDAY(E282,Settings!$S$5)),"LATE – free video promised in 5 working days",IF(AND(E282&lt;&gt;"",E282=TODAY()),"Shooting today",""))))</f>
        <v/>
      </c>
    </row>
    <row r="283" customFormat="false" ht="15" hidden="false" customHeight="false" outlineLevel="0" collapsed="false">
      <c r="A283" s="17"/>
      <c r="B283" s="17"/>
      <c r="C283" s="44" t="str">
        <f aca="false">IF(B283="","",IFERROR(INDEX(Clients!$C$2:$C$501,MATCH(B283,Clients!$A$2:$A$501,0)),"Client ID not found"))</f>
        <v/>
      </c>
      <c r="D283" s="17"/>
      <c r="E283" s="38"/>
      <c r="F283" s="39"/>
      <c r="G283" s="17"/>
      <c r="H283" s="17"/>
      <c r="I283" s="17"/>
      <c r="J283" s="38"/>
      <c r="K283" s="17"/>
      <c r="L283" s="17"/>
      <c r="M283" s="17"/>
      <c r="N283" s="44" t="str">
        <f aca="true">IF(A283="","",IF(N(K283)&gt;Settings!$S$7,"Over revision limit",IF(AND(D283="Free video",J283="",E283&lt;&gt;"",TODAY()&gt;WORKDAY(E283,Settings!$S$5)),"LATE – free video promised in 5 working days",IF(AND(E283&lt;&gt;"",E283=TODAY()),"Shooting today",""))))</f>
        <v/>
      </c>
    </row>
    <row r="284" customFormat="false" ht="15" hidden="false" customHeight="false" outlineLevel="0" collapsed="false">
      <c r="A284" s="17"/>
      <c r="B284" s="17"/>
      <c r="C284" s="44" t="str">
        <f aca="false">IF(B284="","",IFERROR(INDEX(Clients!$C$2:$C$501,MATCH(B284,Clients!$A$2:$A$501,0)),"Client ID not found"))</f>
        <v/>
      </c>
      <c r="D284" s="17"/>
      <c r="E284" s="38"/>
      <c r="F284" s="39"/>
      <c r="G284" s="17"/>
      <c r="H284" s="17"/>
      <c r="I284" s="17"/>
      <c r="J284" s="38"/>
      <c r="K284" s="17"/>
      <c r="L284" s="17"/>
      <c r="M284" s="17"/>
      <c r="N284" s="44" t="str">
        <f aca="true">IF(A284="","",IF(N(K284)&gt;Settings!$S$7,"Over revision limit",IF(AND(D284="Free video",J284="",E284&lt;&gt;"",TODAY()&gt;WORKDAY(E284,Settings!$S$5)),"LATE – free video promised in 5 working days",IF(AND(E284&lt;&gt;"",E284=TODAY()),"Shooting today",""))))</f>
        <v/>
      </c>
    </row>
    <row r="285" customFormat="false" ht="15" hidden="false" customHeight="false" outlineLevel="0" collapsed="false">
      <c r="A285" s="17"/>
      <c r="B285" s="17"/>
      <c r="C285" s="44" t="str">
        <f aca="false">IF(B285="","",IFERROR(INDEX(Clients!$C$2:$C$501,MATCH(B285,Clients!$A$2:$A$501,0)),"Client ID not found"))</f>
        <v/>
      </c>
      <c r="D285" s="17"/>
      <c r="E285" s="38"/>
      <c r="F285" s="39"/>
      <c r="G285" s="17"/>
      <c r="H285" s="17"/>
      <c r="I285" s="17"/>
      <c r="J285" s="38"/>
      <c r="K285" s="17"/>
      <c r="L285" s="17"/>
      <c r="M285" s="17"/>
      <c r="N285" s="44" t="str">
        <f aca="true">IF(A285="","",IF(N(K285)&gt;Settings!$S$7,"Over revision limit",IF(AND(D285="Free video",J285="",E285&lt;&gt;"",TODAY()&gt;WORKDAY(E285,Settings!$S$5)),"LATE – free video promised in 5 working days",IF(AND(E285&lt;&gt;"",E285=TODAY()),"Shooting today",""))))</f>
        <v/>
      </c>
    </row>
    <row r="286" customFormat="false" ht="15" hidden="false" customHeight="false" outlineLevel="0" collapsed="false">
      <c r="A286" s="17"/>
      <c r="B286" s="17"/>
      <c r="C286" s="44" t="str">
        <f aca="false">IF(B286="","",IFERROR(INDEX(Clients!$C$2:$C$501,MATCH(B286,Clients!$A$2:$A$501,0)),"Client ID not found"))</f>
        <v/>
      </c>
      <c r="D286" s="17"/>
      <c r="E286" s="38"/>
      <c r="F286" s="39"/>
      <c r="G286" s="17"/>
      <c r="H286" s="17"/>
      <c r="I286" s="17"/>
      <c r="J286" s="38"/>
      <c r="K286" s="17"/>
      <c r="L286" s="17"/>
      <c r="M286" s="17"/>
      <c r="N286" s="44" t="str">
        <f aca="true">IF(A286="","",IF(N(K286)&gt;Settings!$S$7,"Over revision limit",IF(AND(D286="Free video",J286="",E286&lt;&gt;"",TODAY()&gt;WORKDAY(E286,Settings!$S$5)),"LATE – free video promised in 5 working days",IF(AND(E286&lt;&gt;"",E286=TODAY()),"Shooting today",""))))</f>
        <v/>
      </c>
    </row>
    <row r="287" customFormat="false" ht="15" hidden="false" customHeight="false" outlineLevel="0" collapsed="false">
      <c r="A287" s="17"/>
      <c r="B287" s="17"/>
      <c r="C287" s="44" t="str">
        <f aca="false">IF(B287="","",IFERROR(INDEX(Clients!$C$2:$C$501,MATCH(B287,Clients!$A$2:$A$501,0)),"Client ID not found"))</f>
        <v/>
      </c>
      <c r="D287" s="17"/>
      <c r="E287" s="38"/>
      <c r="F287" s="39"/>
      <c r="G287" s="17"/>
      <c r="H287" s="17"/>
      <c r="I287" s="17"/>
      <c r="J287" s="38"/>
      <c r="K287" s="17"/>
      <c r="L287" s="17"/>
      <c r="M287" s="17"/>
      <c r="N287" s="44" t="str">
        <f aca="true">IF(A287="","",IF(N(K287)&gt;Settings!$S$7,"Over revision limit",IF(AND(D287="Free video",J287="",E287&lt;&gt;"",TODAY()&gt;WORKDAY(E287,Settings!$S$5)),"LATE – free video promised in 5 working days",IF(AND(E287&lt;&gt;"",E287=TODAY()),"Shooting today",""))))</f>
        <v/>
      </c>
    </row>
    <row r="288" customFormat="false" ht="15" hidden="false" customHeight="false" outlineLevel="0" collapsed="false">
      <c r="A288" s="17"/>
      <c r="B288" s="17"/>
      <c r="C288" s="44" t="str">
        <f aca="false">IF(B288="","",IFERROR(INDEX(Clients!$C$2:$C$501,MATCH(B288,Clients!$A$2:$A$501,0)),"Client ID not found"))</f>
        <v/>
      </c>
      <c r="D288" s="17"/>
      <c r="E288" s="38"/>
      <c r="F288" s="39"/>
      <c r="G288" s="17"/>
      <c r="H288" s="17"/>
      <c r="I288" s="17"/>
      <c r="J288" s="38"/>
      <c r="K288" s="17"/>
      <c r="L288" s="17"/>
      <c r="M288" s="17"/>
      <c r="N288" s="44" t="str">
        <f aca="true">IF(A288="","",IF(N(K288)&gt;Settings!$S$7,"Over revision limit",IF(AND(D288="Free video",J288="",E288&lt;&gt;"",TODAY()&gt;WORKDAY(E288,Settings!$S$5)),"LATE – free video promised in 5 working days",IF(AND(E288&lt;&gt;"",E288=TODAY()),"Shooting today",""))))</f>
        <v/>
      </c>
    </row>
    <row r="289" customFormat="false" ht="15" hidden="false" customHeight="false" outlineLevel="0" collapsed="false">
      <c r="A289" s="17"/>
      <c r="B289" s="17"/>
      <c r="C289" s="44" t="str">
        <f aca="false">IF(B289="","",IFERROR(INDEX(Clients!$C$2:$C$501,MATCH(B289,Clients!$A$2:$A$501,0)),"Client ID not found"))</f>
        <v/>
      </c>
      <c r="D289" s="17"/>
      <c r="E289" s="38"/>
      <c r="F289" s="39"/>
      <c r="G289" s="17"/>
      <c r="H289" s="17"/>
      <c r="I289" s="17"/>
      <c r="J289" s="38"/>
      <c r="K289" s="17"/>
      <c r="L289" s="17"/>
      <c r="M289" s="17"/>
      <c r="N289" s="44" t="str">
        <f aca="true">IF(A289="","",IF(N(K289)&gt;Settings!$S$7,"Over revision limit",IF(AND(D289="Free video",J289="",E289&lt;&gt;"",TODAY()&gt;WORKDAY(E289,Settings!$S$5)),"LATE – free video promised in 5 working days",IF(AND(E289&lt;&gt;"",E289=TODAY()),"Shooting today",""))))</f>
        <v/>
      </c>
    </row>
    <row r="290" customFormat="false" ht="15" hidden="false" customHeight="false" outlineLevel="0" collapsed="false">
      <c r="A290" s="17"/>
      <c r="B290" s="17"/>
      <c r="C290" s="44" t="str">
        <f aca="false">IF(B290="","",IFERROR(INDEX(Clients!$C$2:$C$501,MATCH(B290,Clients!$A$2:$A$501,0)),"Client ID not found"))</f>
        <v/>
      </c>
      <c r="D290" s="17"/>
      <c r="E290" s="38"/>
      <c r="F290" s="39"/>
      <c r="G290" s="17"/>
      <c r="H290" s="17"/>
      <c r="I290" s="17"/>
      <c r="J290" s="38"/>
      <c r="K290" s="17"/>
      <c r="L290" s="17"/>
      <c r="M290" s="17"/>
      <c r="N290" s="44" t="str">
        <f aca="true">IF(A290="","",IF(N(K290)&gt;Settings!$S$7,"Over revision limit",IF(AND(D290="Free video",J290="",E290&lt;&gt;"",TODAY()&gt;WORKDAY(E290,Settings!$S$5)),"LATE – free video promised in 5 working days",IF(AND(E290&lt;&gt;"",E290=TODAY()),"Shooting today",""))))</f>
        <v/>
      </c>
    </row>
    <row r="291" customFormat="false" ht="15" hidden="false" customHeight="false" outlineLevel="0" collapsed="false">
      <c r="A291" s="17"/>
      <c r="B291" s="17"/>
      <c r="C291" s="44" t="str">
        <f aca="false">IF(B291="","",IFERROR(INDEX(Clients!$C$2:$C$501,MATCH(B291,Clients!$A$2:$A$501,0)),"Client ID not found"))</f>
        <v/>
      </c>
      <c r="D291" s="17"/>
      <c r="E291" s="38"/>
      <c r="F291" s="39"/>
      <c r="G291" s="17"/>
      <c r="H291" s="17"/>
      <c r="I291" s="17"/>
      <c r="J291" s="38"/>
      <c r="K291" s="17"/>
      <c r="L291" s="17"/>
      <c r="M291" s="17"/>
      <c r="N291" s="44" t="str">
        <f aca="true">IF(A291="","",IF(N(K291)&gt;Settings!$S$7,"Over revision limit",IF(AND(D291="Free video",J291="",E291&lt;&gt;"",TODAY()&gt;WORKDAY(E291,Settings!$S$5)),"LATE – free video promised in 5 working days",IF(AND(E291&lt;&gt;"",E291=TODAY()),"Shooting today",""))))</f>
        <v/>
      </c>
    </row>
    <row r="292" customFormat="false" ht="15" hidden="false" customHeight="false" outlineLevel="0" collapsed="false">
      <c r="A292" s="17"/>
      <c r="B292" s="17"/>
      <c r="C292" s="44" t="str">
        <f aca="false">IF(B292="","",IFERROR(INDEX(Clients!$C$2:$C$501,MATCH(B292,Clients!$A$2:$A$501,0)),"Client ID not found"))</f>
        <v/>
      </c>
      <c r="D292" s="17"/>
      <c r="E292" s="38"/>
      <c r="F292" s="39"/>
      <c r="G292" s="17"/>
      <c r="H292" s="17"/>
      <c r="I292" s="17"/>
      <c r="J292" s="38"/>
      <c r="K292" s="17"/>
      <c r="L292" s="17"/>
      <c r="M292" s="17"/>
      <c r="N292" s="44" t="str">
        <f aca="true">IF(A292="","",IF(N(K292)&gt;Settings!$S$7,"Over revision limit",IF(AND(D292="Free video",J292="",E292&lt;&gt;"",TODAY()&gt;WORKDAY(E292,Settings!$S$5)),"LATE – free video promised in 5 working days",IF(AND(E292&lt;&gt;"",E292=TODAY()),"Shooting today",""))))</f>
        <v/>
      </c>
    </row>
    <row r="293" customFormat="false" ht="15" hidden="false" customHeight="false" outlineLevel="0" collapsed="false">
      <c r="A293" s="17"/>
      <c r="B293" s="17"/>
      <c r="C293" s="44" t="str">
        <f aca="false">IF(B293="","",IFERROR(INDEX(Clients!$C$2:$C$501,MATCH(B293,Clients!$A$2:$A$501,0)),"Client ID not found"))</f>
        <v/>
      </c>
      <c r="D293" s="17"/>
      <c r="E293" s="38"/>
      <c r="F293" s="39"/>
      <c r="G293" s="17"/>
      <c r="H293" s="17"/>
      <c r="I293" s="17"/>
      <c r="J293" s="38"/>
      <c r="K293" s="17"/>
      <c r="L293" s="17"/>
      <c r="M293" s="17"/>
      <c r="N293" s="44" t="str">
        <f aca="true">IF(A293="","",IF(N(K293)&gt;Settings!$S$7,"Over revision limit",IF(AND(D293="Free video",J293="",E293&lt;&gt;"",TODAY()&gt;WORKDAY(E293,Settings!$S$5)),"LATE – free video promised in 5 working days",IF(AND(E293&lt;&gt;"",E293=TODAY()),"Shooting today",""))))</f>
        <v/>
      </c>
    </row>
    <row r="294" customFormat="false" ht="15" hidden="false" customHeight="false" outlineLevel="0" collapsed="false">
      <c r="A294" s="17"/>
      <c r="B294" s="17"/>
      <c r="C294" s="44" t="str">
        <f aca="false">IF(B294="","",IFERROR(INDEX(Clients!$C$2:$C$501,MATCH(B294,Clients!$A$2:$A$501,0)),"Client ID not found"))</f>
        <v/>
      </c>
      <c r="D294" s="17"/>
      <c r="E294" s="38"/>
      <c r="F294" s="39"/>
      <c r="G294" s="17"/>
      <c r="H294" s="17"/>
      <c r="I294" s="17"/>
      <c r="J294" s="38"/>
      <c r="K294" s="17"/>
      <c r="L294" s="17"/>
      <c r="M294" s="17"/>
      <c r="N294" s="44" t="str">
        <f aca="true">IF(A294="","",IF(N(K294)&gt;Settings!$S$7,"Over revision limit",IF(AND(D294="Free video",J294="",E294&lt;&gt;"",TODAY()&gt;WORKDAY(E294,Settings!$S$5)),"LATE – free video promised in 5 working days",IF(AND(E294&lt;&gt;"",E294=TODAY()),"Shooting today",""))))</f>
        <v/>
      </c>
    </row>
    <row r="295" customFormat="false" ht="15" hidden="false" customHeight="false" outlineLevel="0" collapsed="false">
      <c r="A295" s="17"/>
      <c r="B295" s="17"/>
      <c r="C295" s="44" t="str">
        <f aca="false">IF(B295="","",IFERROR(INDEX(Clients!$C$2:$C$501,MATCH(B295,Clients!$A$2:$A$501,0)),"Client ID not found"))</f>
        <v/>
      </c>
      <c r="D295" s="17"/>
      <c r="E295" s="38"/>
      <c r="F295" s="39"/>
      <c r="G295" s="17"/>
      <c r="H295" s="17"/>
      <c r="I295" s="17"/>
      <c r="J295" s="38"/>
      <c r="K295" s="17"/>
      <c r="L295" s="17"/>
      <c r="M295" s="17"/>
      <c r="N295" s="44" t="str">
        <f aca="true">IF(A295="","",IF(N(K295)&gt;Settings!$S$7,"Over revision limit",IF(AND(D295="Free video",J295="",E295&lt;&gt;"",TODAY()&gt;WORKDAY(E295,Settings!$S$5)),"LATE – free video promised in 5 working days",IF(AND(E295&lt;&gt;"",E295=TODAY()),"Shooting today",""))))</f>
        <v/>
      </c>
    </row>
    <row r="296" customFormat="false" ht="15" hidden="false" customHeight="false" outlineLevel="0" collapsed="false">
      <c r="A296" s="17"/>
      <c r="B296" s="17"/>
      <c r="C296" s="44" t="str">
        <f aca="false">IF(B296="","",IFERROR(INDEX(Clients!$C$2:$C$501,MATCH(B296,Clients!$A$2:$A$501,0)),"Client ID not found"))</f>
        <v/>
      </c>
      <c r="D296" s="17"/>
      <c r="E296" s="38"/>
      <c r="F296" s="39"/>
      <c r="G296" s="17"/>
      <c r="H296" s="17"/>
      <c r="I296" s="17"/>
      <c r="J296" s="38"/>
      <c r="K296" s="17"/>
      <c r="L296" s="17"/>
      <c r="M296" s="17"/>
      <c r="N296" s="44" t="str">
        <f aca="true">IF(A296="","",IF(N(K296)&gt;Settings!$S$7,"Over revision limit",IF(AND(D296="Free video",J296="",E296&lt;&gt;"",TODAY()&gt;WORKDAY(E296,Settings!$S$5)),"LATE – free video promised in 5 working days",IF(AND(E296&lt;&gt;"",E296=TODAY()),"Shooting today",""))))</f>
        <v/>
      </c>
    </row>
    <row r="297" customFormat="false" ht="15" hidden="false" customHeight="false" outlineLevel="0" collapsed="false">
      <c r="A297" s="17"/>
      <c r="B297" s="17"/>
      <c r="C297" s="44" t="str">
        <f aca="false">IF(B297="","",IFERROR(INDEX(Clients!$C$2:$C$501,MATCH(B297,Clients!$A$2:$A$501,0)),"Client ID not found"))</f>
        <v/>
      </c>
      <c r="D297" s="17"/>
      <c r="E297" s="38"/>
      <c r="F297" s="39"/>
      <c r="G297" s="17"/>
      <c r="H297" s="17"/>
      <c r="I297" s="17"/>
      <c r="J297" s="38"/>
      <c r="K297" s="17"/>
      <c r="L297" s="17"/>
      <c r="M297" s="17"/>
      <c r="N297" s="44" t="str">
        <f aca="true">IF(A297="","",IF(N(K297)&gt;Settings!$S$7,"Over revision limit",IF(AND(D297="Free video",J297="",E297&lt;&gt;"",TODAY()&gt;WORKDAY(E297,Settings!$S$5)),"LATE – free video promised in 5 working days",IF(AND(E297&lt;&gt;"",E297=TODAY()),"Shooting today",""))))</f>
        <v/>
      </c>
    </row>
    <row r="298" customFormat="false" ht="15" hidden="false" customHeight="false" outlineLevel="0" collapsed="false">
      <c r="A298" s="17"/>
      <c r="B298" s="17"/>
      <c r="C298" s="44" t="str">
        <f aca="false">IF(B298="","",IFERROR(INDEX(Clients!$C$2:$C$501,MATCH(B298,Clients!$A$2:$A$501,0)),"Client ID not found"))</f>
        <v/>
      </c>
      <c r="D298" s="17"/>
      <c r="E298" s="38"/>
      <c r="F298" s="39"/>
      <c r="G298" s="17"/>
      <c r="H298" s="17"/>
      <c r="I298" s="17"/>
      <c r="J298" s="38"/>
      <c r="K298" s="17"/>
      <c r="L298" s="17"/>
      <c r="M298" s="17"/>
      <c r="N298" s="44" t="str">
        <f aca="true">IF(A298="","",IF(N(K298)&gt;Settings!$S$7,"Over revision limit",IF(AND(D298="Free video",J298="",E298&lt;&gt;"",TODAY()&gt;WORKDAY(E298,Settings!$S$5)),"LATE – free video promised in 5 working days",IF(AND(E298&lt;&gt;"",E298=TODAY()),"Shooting today",""))))</f>
        <v/>
      </c>
    </row>
    <row r="299" customFormat="false" ht="15" hidden="false" customHeight="false" outlineLevel="0" collapsed="false">
      <c r="A299" s="17"/>
      <c r="B299" s="17"/>
      <c r="C299" s="44" t="str">
        <f aca="false">IF(B299="","",IFERROR(INDEX(Clients!$C$2:$C$501,MATCH(B299,Clients!$A$2:$A$501,0)),"Client ID not found"))</f>
        <v/>
      </c>
      <c r="D299" s="17"/>
      <c r="E299" s="38"/>
      <c r="F299" s="39"/>
      <c r="G299" s="17"/>
      <c r="H299" s="17"/>
      <c r="I299" s="17"/>
      <c r="J299" s="38"/>
      <c r="K299" s="17"/>
      <c r="L299" s="17"/>
      <c r="M299" s="17"/>
      <c r="N299" s="44" t="str">
        <f aca="true">IF(A299="","",IF(N(K299)&gt;Settings!$S$7,"Over revision limit",IF(AND(D299="Free video",J299="",E299&lt;&gt;"",TODAY()&gt;WORKDAY(E299,Settings!$S$5)),"LATE – free video promised in 5 working days",IF(AND(E299&lt;&gt;"",E299=TODAY()),"Shooting today",""))))</f>
        <v/>
      </c>
    </row>
    <row r="300" customFormat="false" ht="15" hidden="false" customHeight="false" outlineLevel="0" collapsed="false">
      <c r="A300" s="17"/>
      <c r="B300" s="17"/>
      <c r="C300" s="44" t="str">
        <f aca="false">IF(B300="","",IFERROR(INDEX(Clients!$C$2:$C$501,MATCH(B300,Clients!$A$2:$A$501,0)),"Client ID not found"))</f>
        <v/>
      </c>
      <c r="D300" s="17"/>
      <c r="E300" s="38"/>
      <c r="F300" s="39"/>
      <c r="G300" s="17"/>
      <c r="H300" s="17"/>
      <c r="I300" s="17"/>
      <c r="J300" s="38"/>
      <c r="K300" s="17"/>
      <c r="L300" s="17"/>
      <c r="M300" s="17"/>
      <c r="N300" s="44" t="str">
        <f aca="true">IF(A300="","",IF(N(K300)&gt;Settings!$S$7,"Over revision limit",IF(AND(D300="Free video",J300="",E300&lt;&gt;"",TODAY()&gt;WORKDAY(E300,Settings!$S$5)),"LATE – free video promised in 5 working days",IF(AND(E300&lt;&gt;"",E300=TODAY()),"Shooting today",""))))</f>
        <v/>
      </c>
    </row>
    <row r="301" customFormat="false" ht="15" hidden="false" customHeight="false" outlineLevel="0" collapsed="false">
      <c r="A301" s="17"/>
      <c r="B301" s="17"/>
      <c r="C301" s="44" t="str">
        <f aca="false">IF(B301="","",IFERROR(INDEX(Clients!$C$2:$C$501,MATCH(B301,Clients!$A$2:$A$501,0)),"Client ID not found"))</f>
        <v/>
      </c>
      <c r="D301" s="17"/>
      <c r="E301" s="38"/>
      <c r="F301" s="39"/>
      <c r="G301" s="17"/>
      <c r="H301" s="17"/>
      <c r="I301" s="17"/>
      <c r="J301" s="38"/>
      <c r="K301" s="17"/>
      <c r="L301" s="17"/>
      <c r="M301" s="17"/>
      <c r="N301" s="44" t="str">
        <f aca="true">IF(A301="","",IF(N(K301)&gt;Settings!$S$7,"Over revision limit",IF(AND(D301="Free video",J301="",E301&lt;&gt;"",TODAY()&gt;WORKDAY(E301,Settings!$S$5)),"LATE – free video promised in 5 working days",IF(AND(E301&lt;&gt;"",E301=TODAY()),"Shooting today",""))))</f>
        <v/>
      </c>
    </row>
    <row r="302" customFormat="false" ht="15" hidden="false" customHeight="false" outlineLevel="0" collapsed="false">
      <c r="A302" s="17"/>
      <c r="B302" s="17"/>
      <c r="C302" s="44" t="str">
        <f aca="false">IF(B302="","",IFERROR(INDEX(Clients!$C$2:$C$501,MATCH(B302,Clients!$A$2:$A$501,0)),"Client ID not found"))</f>
        <v/>
      </c>
      <c r="D302" s="17"/>
      <c r="E302" s="38"/>
      <c r="F302" s="39"/>
      <c r="G302" s="17"/>
      <c r="H302" s="17"/>
      <c r="I302" s="17"/>
      <c r="J302" s="38"/>
      <c r="K302" s="17"/>
      <c r="L302" s="17"/>
      <c r="M302" s="17"/>
      <c r="N302" s="44" t="str">
        <f aca="true">IF(A302="","",IF(N(K302)&gt;Settings!$S$7,"Over revision limit",IF(AND(D302="Free video",J302="",E302&lt;&gt;"",TODAY()&gt;WORKDAY(E302,Settings!$S$5)),"LATE – free video promised in 5 working days",IF(AND(E302&lt;&gt;"",E302=TODAY()),"Shooting today",""))))</f>
        <v/>
      </c>
    </row>
    <row r="303" customFormat="false" ht="15" hidden="false" customHeight="false" outlineLevel="0" collapsed="false">
      <c r="A303" s="17"/>
      <c r="B303" s="17"/>
      <c r="C303" s="44" t="str">
        <f aca="false">IF(B303="","",IFERROR(INDEX(Clients!$C$2:$C$501,MATCH(B303,Clients!$A$2:$A$501,0)),"Client ID not found"))</f>
        <v/>
      </c>
      <c r="D303" s="17"/>
      <c r="E303" s="38"/>
      <c r="F303" s="39"/>
      <c r="G303" s="17"/>
      <c r="H303" s="17"/>
      <c r="I303" s="17"/>
      <c r="J303" s="38"/>
      <c r="K303" s="17"/>
      <c r="L303" s="17"/>
      <c r="M303" s="17"/>
      <c r="N303" s="44" t="str">
        <f aca="true">IF(A303="","",IF(N(K303)&gt;Settings!$S$7,"Over revision limit",IF(AND(D303="Free video",J303="",E303&lt;&gt;"",TODAY()&gt;WORKDAY(E303,Settings!$S$5)),"LATE – free video promised in 5 working days",IF(AND(E303&lt;&gt;"",E303=TODAY()),"Shooting today",""))))</f>
        <v/>
      </c>
    </row>
    <row r="304" customFormat="false" ht="15" hidden="false" customHeight="false" outlineLevel="0" collapsed="false">
      <c r="A304" s="17"/>
      <c r="B304" s="17"/>
      <c r="C304" s="44" t="str">
        <f aca="false">IF(B304="","",IFERROR(INDEX(Clients!$C$2:$C$501,MATCH(B304,Clients!$A$2:$A$501,0)),"Client ID not found"))</f>
        <v/>
      </c>
      <c r="D304" s="17"/>
      <c r="E304" s="38"/>
      <c r="F304" s="39"/>
      <c r="G304" s="17"/>
      <c r="H304" s="17"/>
      <c r="I304" s="17"/>
      <c r="J304" s="38"/>
      <c r="K304" s="17"/>
      <c r="L304" s="17"/>
      <c r="M304" s="17"/>
      <c r="N304" s="44" t="str">
        <f aca="true">IF(A304="","",IF(N(K304)&gt;Settings!$S$7,"Over revision limit",IF(AND(D304="Free video",J304="",E304&lt;&gt;"",TODAY()&gt;WORKDAY(E304,Settings!$S$5)),"LATE – free video promised in 5 working days",IF(AND(E304&lt;&gt;"",E304=TODAY()),"Shooting today",""))))</f>
        <v/>
      </c>
    </row>
    <row r="305" customFormat="false" ht="15" hidden="false" customHeight="false" outlineLevel="0" collapsed="false">
      <c r="A305" s="17"/>
      <c r="B305" s="17"/>
      <c r="C305" s="44" t="str">
        <f aca="false">IF(B305="","",IFERROR(INDEX(Clients!$C$2:$C$501,MATCH(B305,Clients!$A$2:$A$501,0)),"Client ID not found"))</f>
        <v/>
      </c>
      <c r="D305" s="17"/>
      <c r="E305" s="38"/>
      <c r="F305" s="39"/>
      <c r="G305" s="17"/>
      <c r="H305" s="17"/>
      <c r="I305" s="17"/>
      <c r="J305" s="38"/>
      <c r="K305" s="17"/>
      <c r="L305" s="17"/>
      <c r="M305" s="17"/>
      <c r="N305" s="44" t="str">
        <f aca="true">IF(A305="","",IF(N(K305)&gt;Settings!$S$7,"Over revision limit",IF(AND(D305="Free video",J305="",E305&lt;&gt;"",TODAY()&gt;WORKDAY(E305,Settings!$S$5)),"LATE – free video promised in 5 working days",IF(AND(E305&lt;&gt;"",E305=TODAY()),"Shooting today",""))))</f>
        <v/>
      </c>
    </row>
    <row r="306" customFormat="false" ht="15" hidden="false" customHeight="false" outlineLevel="0" collapsed="false">
      <c r="A306" s="17"/>
      <c r="B306" s="17"/>
      <c r="C306" s="44" t="str">
        <f aca="false">IF(B306="","",IFERROR(INDEX(Clients!$C$2:$C$501,MATCH(B306,Clients!$A$2:$A$501,0)),"Client ID not found"))</f>
        <v/>
      </c>
      <c r="D306" s="17"/>
      <c r="E306" s="38"/>
      <c r="F306" s="39"/>
      <c r="G306" s="17"/>
      <c r="H306" s="17"/>
      <c r="I306" s="17"/>
      <c r="J306" s="38"/>
      <c r="K306" s="17"/>
      <c r="L306" s="17"/>
      <c r="M306" s="17"/>
      <c r="N306" s="44" t="str">
        <f aca="true">IF(A306="","",IF(N(K306)&gt;Settings!$S$7,"Over revision limit",IF(AND(D306="Free video",J306="",E306&lt;&gt;"",TODAY()&gt;WORKDAY(E306,Settings!$S$5)),"LATE – free video promised in 5 working days",IF(AND(E306&lt;&gt;"",E306=TODAY()),"Shooting today",""))))</f>
        <v/>
      </c>
    </row>
    <row r="307" customFormat="false" ht="15" hidden="false" customHeight="false" outlineLevel="0" collapsed="false">
      <c r="A307" s="17"/>
      <c r="B307" s="17"/>
      <c r="C307" s="44" t="str">
        <f aca="false">IF(B307="","",IFERROR(INDEX(Clients!$C$2:$C$501,MATCH(B307,Clients!$A$2:$A$501,0)),"Client ID not found"))</f>
        <v/>
      </c>
      <c r="D307" s="17"/>
      <c r="E307" s="38"/>
      <c r="F307" s="39"/>
      <c r="G307" s="17"/>
      <c r="H307" s="17"/>
      <c r="I307" s="17"/>
      <c r="J307" s="38"/>
      <c r="K307" s="17"/>
      <c r="L307" s="17"/>
      <c r="M307" s="17"/>
      <c r="N307" s="44" t="str">
        <f aca="true">IF(A307="","",IF(N(K307)&gt;Settings!$S$7,"Over revision limit",IF(AND(D307="Free video",J307="",E307&lt;&gt;"",TODAY()&gt;WORKDAY(E307,Settings!$S$5)),"LATE – free video promised in 5 working days",IF(AND(E307&lt;&gt;"",E307=TODAY()),"Shooting today",""))))</f>
        <v/>
      </c>
    </row>
    <row r="308" customFormat="false" ht="15" hidden="false" customHeight="false" outlineLevel="0" collapsed="false">
      <c r="A308" s="17"/>
      <c r="B308" s="17"/>
      <c r="C308" s="44" t="str">
        <f aca="false">IF(B308="","",IFERROR(INDEX(Clients!$C$2:$C$501,MATCH(B308,Clients!$A$2:$A$501,0)),"Client ID not found"))</f>
        <v/>
      </c>
      <c r="D308" s="17"/>
      <c r="E308" s="38"/>
      <c r="F308" s="39"/>
      <c r="G308" s="17"/>
      <c r="H308" s="17"/>
      <c r="I308" s="17"/>
      <c r="J308" s="38"/>
      <c r="K308" s="17"/>
      <c r="L308" s="17"/>
      <c r="M308" s="17"/>
      <c r="N308" s="44" t="str">
        <f aca="true">IF(A308="","",IF(N(K308)&gt;Settings!$S$7,"Over revision limit",IF(AND(D308="Free video",J308="",E308&lt;&gt;"",TODAY()&gt;WORKDAY(E308,Settings!$S$5)),"LATE – free video promised in 5 working days",IF(AND(E308&lt;&gt;"",E308=TODAY()),"Shooting today",""))))</f>
        <v/>
      </c>
    </row>
    <row r="309" customFormat="false" ht="15" hidden="false" customHeight="false" outlineLevel="0" collapsed="false">
      <c r="A309" s="17"/>
      <c r="B309" s="17"/>
      <c r="C309" s="44" t="str">
        <f aca="false">IF(B309="","",IFERROR(INDEX(Clients!$C$2:$C$501,MATCH(B309,Clients!$A$2:$A$501,0)),"Client ID not found"))</f>
        <v/>
      </c>
      <c r="D309" s="17"/>
      <c r="E309" s="38"/>
      <c r="F309" s="39"/>
      <c r="G309" s="17"/>
      <c r="H309" s="17"/>
      <c r="I309" s="17"/>
      <c r="J309" s="38"/>
      <c r="K309" s="17"/>
      <c r="L309" s="17"/>
      <c r="M309" s="17"/>
      <c r="N309" s="44" t="str">
        <f aca="true">IF(A309="","",IF(N(K309)&gt;Settings!$S$7,"Over revision limit",IF(AND(D309="Free video",J309="",E309&lt;&gt;"",TODAY()&gt;WORKDAY(E309,Settings!$S$5)),"LATE – free video promised in 5 working days",IF(AND(E309&lt;&gt;"",E309=TODAY()),"Shooting today",""))))</f>
        <v/>
      </c>
    </row>
    <row r="310" customFormat="false" ht="15" hidden="false" customHeight="false" outlineLevel="0" collapsed="false">
      <c r="A310" s="17"/>
      <c r="B310" s="17"/>
      <c r="C310" s="44" t="str">
        <f aca="false">IF(B310="","",IFERROR(INDEX(Clients!$C$2:$C$501,MATCH(B310,Clients!$A$2:$A$501,0)),"Client ID not found"))</f>
        <v/>
      </c>
      <c r="D310" s="17"/>
      <c r="E310" s="38"/>
      <c r="F310" s="39"/>
      <c r="G310" s="17"/>
      <c r="H310" s="17"/>
      <c r="I310" s="17"/>
      <c r="J310" s="38"/>
      <c r="K310" s="17"/>
      <c r="L310" s="17"/>
      <c r="M310" s="17"/>
      <c r="N310" s="44" t="str">
        <f aca="true">IF(A310="","",IF(N(K310)&gt;Settings!$S$7,"Over revision limit",IF(AND(D310="Free video",J310="",E310&lt;&gt;"",TODAY()&gt;WORKDAY(E310,Settings!$S$5)),"LATE – free video promised in 5 working days",IF(AND(E310&lt;&gt;"",E310=TODAY()),"Shooting today",""))))</f>
        <v/>
      </c>
    </row>
    <row r="311" customFormat="false" ht="15" hidden="false" customHeight="false" outlineLevel="0" collapsed="false">
      <c r="A311" s="17"/>
      <c r="B311" s="17"/>
      <c r="C311" s="44" t="str">
        <f aca="false">IF(B311="","",IFERROR(INDEX(Clients!$C$2:$C$501,MATCH(B311,Clients!$A$2:$A$501,0)),"Client ID not found"))</f>
        <v/>
      </c>
      <c r="D311" s="17"/>
      <c r="E311" s="38"/>
      <c r="F311" s="39"/>
      <c r="G311" s="17"/>
      <c r="H311" s="17"/>
      <c r="I311" s="17"/>
      <c r="J311" s="38"/>
      <c r="K311" s="17"/>
      <c r="L311" s="17"/>
      <c r="M311" s="17"/>
      <c r="N311" s="44" t="str">
        <f aca="true">IF(A311="","",IF(N(K311)&gt;Settings!$S$7,"Over revision limit",IF(AND(D311="Free video",J311="",E311&lt;&gt;"",TODAY()&gt;WORKDAY(E311,Settings!$S$5)),"LATE – free video promised in 5 working days",IF(AND(E311&lt;&gt;"",E311=TODAY()),"Shooting today",""))))</f>
        <v/>
      </c>
    </row>
    <row r="312" customFormat="false" ht="15" hidden="false" customHeight="false" outlineLevel="0" collapsed="false">
      <c r="A312" s="17"/>
      <c r="B312" s="17"/>
      <c r="C312" s="44" t="str">
        <f aca="false">IF(B312="","",IFERROR(INDEX(Clients!$C$2:$C$501,MATCH(B312,Clients!$A$2:$A$501,0)),"Client ID not found"))</f>
        <v/>
      </c>
      <c r="D312" s="17"/>
      <c r="E312" s="38"/>
      <c r="F312" s="39"/>
      <c r="G312" s="17"/>
      <c r="H312" s="17"/>
      <c r="I312" s="17"/>
      <c r="J312" s="38"/>
      <c r="K312" s="17"/>
      <c r="L312" s="17"/>
      <c r="M312" s="17"/>
      <c r="N312" s="44" t="str">
        <f aca="true">IF(A312="","",IF(N(K312)&gt;Settings!$S$7,"Over revision limit",IF(AND(D312="Free video",J312="",E312&lt;&gt;"",TODAY()&gt;WORKDAY(E312,Settings!$S$5)),"LATE – free video promised in 5 working days",IF(AND(E312&lt;&gt;"",E312=TODAY()),"Shooting today",""))))</f>
        <v/>
      </c>
    </row>
    <row r="313" customFormat="false" ht="15" hidden="false" customHeight="false" outlineLevel="0" collapsed="false">
      <c r="A313" s="17"/>
      <c r="B313" s="17"/>
      <c r="C313" s="44" t="str">
        <f aca="false">IF(B313="","",IFERROR(INDEX(Clients!$C$2:$C$501,MATCH(B313,Clients!$A$2:$A$501,0)),"Client ID not found"))</f>
        <v/>
      </c>
      <c r="D313" s="17"/>
      <c r="E313" s="38"/>
      <c r="F313" s="39"/>
      <c r="G313" s="17"/>
      <c r="H313" s="17"/>
      <c r="I313" s="17"/>
      <c r="J313" s="38"/>
      <c r="K313" s="17"/>
      <c r="L313" s="17"/>
      <c r="M313" s="17"/>
      <c r="N313" s="44" t="str">
        <f aca="true">IF(A313="","",IF(N(K313)&gt;Settings!$S$7,"Over revision limit",IF(AND(D313="Free video",J313="",E313&lt;&gt;"",TODAY()&gt;WORKDAY(E313,Settings!$S$5)),"LATE – free video promised in 5 working days",IF(AND(E313&lt;&gt;"",E313=TODAY()),"Shooting today",""))))</f>
        <v/>
      </c>
    </row>
    <row r="314" customFormat="false" ht="15" hidden="false" customHeight="false" outlineLevel="0" collapsed="false">
      <c r="A314" s="17"/>
      <c r="B314" s="17"/>
      <c r="C314" s="44" t="str">
        <f aca="false">IF(B314="","",IFERROR(INDEX(Clients!$C$2:$C$501,MATCH(B314,Clients!$A$2:$A$501,0)),"Client ID not found"))</f>
        <v/>
      </c>
      <c r="D314" s="17"/>
      <c r="E314" s="38"/>
      <c r="F314" s="39"/>
      <c r="G314" s="17"/>
      <c r="H314" s="17"/>
      <c r="I314" s="17"/>
      <c r="J314" s="38"/>
      <c r="K314" s="17"/>
      <c r="L314" s="17"/>
      <c r="M314" s="17"/>
      <c r="N314" s="44" t="str">
        <f aca="true">IF(A314="","",IF(N(K314)&gt;Settings!$S$7,"Over revision limit",IF(AND(D314="Free video",J314="",E314&lt;&gt;"",TODAY()&gt;WORKDAY(E314,Settings!$S$5)),"LATE – free video promised in 5 working days",IF(AND(E314&lt;&gt;"",E314=TODAY()),"Shooting today",""))))</f>
        <v/>
      </c>
    </row>
    <row r="315" customFormat="false" ht="15" hidden="false" customHeight="false" outlineLevel="0" collapsed="false">
      <c r="A315" s="17"/>
      <c r="B315" s="17"/>
      <c r="C315" s="44" t="str">
        <f aca="false">IF(B315="","",IFERROR(INDEX(Clients!$C$2:$C$501,MATCH(B315,Clients!$A$2:$A$501,0)),"Client ID not found"))</f>
        <v/>
      </c>
      <c r="D315" s="17"/>
      <c r="E315" s="38"/>
      <c r="F315" s="39"/>
      <c r="G315" s="17"/>
      <c r="H315" s="17"/>
      <c r="I315" s="17"/>
      <c r="J315" s="38"/>
      <c r="K315" s="17"/>
      <c r="L315" s="17"/>
      <c r="M315" s="17"/>
      <c r="N315" s="44" t="str">
        <f aca="true">IF(A315="","",IF(N(K315)&gt;Settings!$S$7,"Over revision limit",IF(AND(D315="Free video",J315="",E315&lt;&gt;"",TODAY()&gt;WORKDAY(E315,Settings!$S$5)),"LATE – free video promised in 5 working days",IF(AND(E315&lt;&gt;"",E315=TODAY()),"Shooting today",""))))</f>
        <v/>
      </c>
    </row>
    <row r="316" customFormat="false" ht="15" hidden="false" customHeight="false" outlineLevel="0" collapsed="false">
      <c r="A316" s="17"/>
      <c r="B316" s="17"/>
      <c r="C316" s="44" t="str">
        <f aca="false">IF(B316="","",IFERROR(INDEX(Clients!$C$2:$C$501,MATCH(B316,Clients!$A$2:$A$501,0)),"Client ID not found"))</f>
        <v/>
      </c>
      <c r="D316" s="17"/>
      <c r="E316" s="38"/>
      <c r="F316" s="39"/>
      <c r="G316" s="17"/>
      <c r="H316" s="17"/>
      <c r="I316" s="17"/>
      <c r="J316" s="38"/>
      <c r="K316" s="17"/>
      <c r="L316" s="17"/>
      <c r="M316" s="17"/>
      <c r="N316" s="44" t="str">
        <f aca="true">IF(A316="","",IF(N(K316)&gt;Settings!$S$7,"Over revision limit",IF(AND(D316="Free video",J316="",E316&lt;&gt;"",TODAY()&gt;WORKDAY(E316,Settings!$S$5)),"LATE – free video promised in 5 working days",IF(AND(E316&lt;&gt;"",E316=TODAY()),"Shooting today",""))))</f>
        <v/>
      </c>
    </row>
    <row r="317" customFormat="false" ht="15" hidden="false" customHeight="false" outlineLevel="0" collapsed="false">
      <c r="A317" s="17"/>
      <c r="B317" s="17"/>
      <c r="C317" s="44" t="str">
        <f aca="false">IF(B317="","",IFERROR(INDEX(Clients!$C$2:$C$501,MATCH(B317,Clients!$A$2:$A$501,0)),"Client ID not found"))</f>
        <v/>
      </c>
      <c r="D317" s="17"/>
      <c r="E317" s="38"/>
      <c r="F317" s="39"/>
      <c r="G317" s="17"/>
      <c r="H317" s="17"/>
      <c r="I317" s="17"/>
      <c r="J317" s="38"/>
      <c r="K317" s="17"/>
      <c r="L317" s="17"/>
      <c r="M317" s="17"/>
      <c r="N317" s="44" t="str">
        <f aca="true">IF(A317="","",IF(N(K317)&gt;Settings!$S$7,"Over revision limit",IF(AND(D317="Free video",J317="",E317&lt;&gt;"",TODAY()&gt;WORKDAY(E317,Settings!$S$5)),"LATE – free video promised in 5 working days",IF(AND(E317&lt;&gt;"",E317=TODAY()),"Shooting today",""))))</f>
        <v/>
      </c>
    </row>
    <row r="318" customFormat="false" ht="15" hidden="false" customHeight="false" outlineLevel="0" collapsed="false">
      <c r="A318" s="17"/>
      <c r="B318" s="17"/>
      <c r="C318" s="44" t="str">
        <f aca="false">IF(B318="","",IFERROR(INDEX(Clients!$C$2:$C$501,MATCH(B318,Clients!$A$2:$A$501,0)),"Client ID not found"))</f>
        <v/>
      </c>
      <c r="D318" s="17"/>
      <c r="E318" s="38"/>
      <c r="F318" s="39"/>
      <c r="G318" s="17"/>
      <c r="H318" s="17"/>
      <c r="I318" s="17"/>
      <c r="J318" s="38"/>
      <c r="K318" s="17"/>
      <c r="L318" s="17"/>
      <c r="M318" s="17"/>
      <c r="N318" s="44" t="str">
        <f aca="true">IF(A318="","",IF(N(K318)&gt;Settings!$S$7,"Over revision limit",IF(AND(D318="Free video",J318="",E318&lt;&gt;"",TODAY()&gt;WORKDAY(E318,Settings!$S$5)),"LATE – free video promised in 5 working days",IF(AND(E318&lt;&gt;"",E318=TODAY()),"Shooting today",""))))</f>
        <v/>
      </c>
    </row>
    <row r="319" customFormat="false" ht="15" hidden="false" customHeight="false" outlineLevel="0" collapsed="false">
      <c r="A319" s="17"/>
      <c r="B319" s="17"/>
      <c r="C319" s="44" t="str">
        <f aca="false">IF(B319="","",IFERROR(INDEX(Clients!$C$2:$C$501,MATCH(B319,Clients!$A$2:$A$501,0)),"Client ID not found"))</f>
        <v/>
      </c>
      <c r="D319" s="17"/>
      <c r="E319" s="38"/>
      <c r="F319" s="39"/>
      <c r="G319" s="17"/>
      <c r="H319" s="17"/>
      <c r="I319" s="17"/>
      <c r="J319" s="38"/>
      <c r="K319" s="17"/>
      <c r="L319" s="17"/>
      <c r="M319" s="17"/>
      <c r="N319" s="44" t="str">
        <f aca="true">IF(A319="","",IF(N(K319)&gt;Settings!$S$7,"Over revision limit",IF(AND(D319="Free video",J319="",E319&lt;&gt;"",TODAY()&gt;WORKDAY(E319,Settings!$S$5)),"LATE – free video promised in 5 working days",IF(AND(E319&lt;&gt;"",E319=TODAY()),"Shooting today",""))))</f>
        <v/>
      </c>
    </row>
    <row r="320" customFormat="false" ht="15" hidden="false" customHeight="false" outlineLevel="0" collapsed="false">
      <c r="A320" s="17"/>
      <c r="B320" s="17"/>
      <c r="C320" s="44" t="str">
        <f aca="false">IF(B320="","",IFERROR(INDEX(Clients!$C$2:$C$501,MATCH(B320,Clients!$A$2:$A$501,0)),"Client ID not found"))</f>
        <v/>
      </c>
      <c r="D320" s="17"/>
      <c r="E320" s="38"/>
      <c r="F320" s="39"/>
      <c r="G320" s="17"/>
      <c r="H320" s="17"/>
      <c r="I320" s="17"/>
      <c r="J320" s="38"/>
      <c r="K320" s="17"/>
      <c r="L320" s="17"/>
      <c r="M320" s="17"/>
      <c r="N320" s="44" t="str">
        <f aca="true">IF(A320="","",IF(N(K320)&gt;Settings!$S$7,"Over revision limit",IF(AND(D320="Free video",J320="",E320&lt;&gt;"",TODAY()&gt;WORKDAY(E320,Settings!$S$5)),"LATE – free video promised in 5 working days",IF(AND(E320&lt;&gt;"",E320=TODAY()),"Shooting today",""))))</f>
        <v/>
      </c>
    </row>
    <row r="321" customFormat="false" ht="15" hidden="false" customHeight="false" outlineLevel="0" collapsed="false">
      <c r="A321" s="17"/>
      <c r="B321" s="17"/>
      <c r="C321" s="44" t="str">
        <f aca="false">IF(B321="","",IFERROR(INDEX(Clients!$C$2:$C$501,MATCH(B321,Clients!$A$2:$A$501,0)),"Client ID not found"))</f>
        <v/>
      </c>
      <c r="D321" s="17"/>
      <c r="E321" s="38"/>
      <c r="F321" s="39"/>
      <c r="G321" s="17"/>
      <c r="H321" s="17"/>
      <c r="I321" s="17"/>
      <c r="J321" s="38"/>
      <c r="K321" s="17"/>
      <c r="L321" s="17"/>
      <c r="M321" s="17"/>
      <c r="N321" s="44" t="str">
        <f aca="true">IF(A321="","",IF(N(K321)&gt;Settings!$S$7,"Over revision limit",IF(AND(D321="Free video",J321="",E321&lt;&gt;"",TODAY()&gt;WORKDAY(E321,Settings!$S$5)),"LATE – free video promised in 5 working days",IF(AND(E321&lt;&gt;"",E321=TODAY()),"Shooting today",""))))</f>
        <v/>
      </c>
    </row>
    <row r="322" customFormat="false" ht="15" hidden="false" customHeight="false" outlineLevel="0" collapsed="false">
      <c r="A322" s="17"/>
      <c r="B322" s="17"/>
      <c r="C322" s="44" t="str">
        <f aca="false">IF(B322="","",IFERROR(INDEX(Clients!$C$2:$C$501,MATCH(B322,Clients!$A$2:$A$501,0)),"Client ID not found"))</f>
        <v/>
      </c>
      <c r="D322" s="17"/>
      <c r="E322" s="38"/>
      <c r="F322" s="39"/>
      <c r="G322" s="17"/>
      <c r="H322" s="17"/>
      <c r="I322" s="17"/>
      <c r="J322" s="38"/>
      <c r="K322" s="17"/>
      <c r="L322" s="17"/>
      <c r="M322" s="17"/>
      <c r="N322" s="44" t="str">
        <f aca="true">IF(A322="","",IF(N(K322)&gt;Settings!$S$7,"Over revision limit",IF(AND(D322="Free video",J322="",E322&lt;&gt;"",TODAY()&gt;WORKDAY(E322,Settings!$S$5)),"LATE – free video promised in 5 working days",IF(AND(E322&lt;&gt;"",E322=TODAY()),"Shooting today",""))))</f>
        <v/>
      </c>
    </row>
    <row r="323" customFormat="false" ht="15" hidden="false" customHeight="false" outlineLevel="0" collapsed="false">
      <c r="A323" s="17"/>
      <c r="B323" s="17"/>
      <c r="C323" s="44" t="str">
        <f aca="false">IF(B323="","",IFERROR(INDEX(Clients!$C$2:$C$501,MATCH(B323,Clients!$A$2:$A$501,0)),"Client ID not found"))</f>
        <v/>
      </c>
      <c r="D323" s="17"/>
      <c r="E323" s="38"/>
      <c r="F323" s="39"/>
      <c r="G323" s="17"/>
      <c r="H323" s="17"/>
      <c r="I323" s="17"/>
      <c r="J323" s="38"/>
      <c r="K323" s="17"/>
      <c r="L323" s="17"/>
      <c r="M323" s="17"/>
      <c r="N323" s="44" t="str">
        <f aca="true">IF(A323="","",IF(N(K323)&gt;Settings!$S$7,"Over revision limit",IF(AND(D323="Free video",J323="",E323&lt;&gt;"",TODAY()&gt;WORKDAY(E323,Settings!$S$5)),"LATE – free video promised in 5 working days",IF(AND(E323&lt;&gt;"",E323=TODAY()),"Shooting today",""))))</f>
        <v/>
      </c>
    </row>
    <row r="324" customFormat="false" ht="15" hidden="false" customHeight="false" outlineLevel="0" collapsed="false">
      <c r="A324" s="17"/>
      <c r="B324" s="17"/>
      <c r="C324" s="44" t="str">
        <f aca="false">IF(B324="","",IFERROR(INDEX(Clients!$C$2:$C$501,MATCH(B324,Clients!$A$2:$A$501,0)),"Client ID not found"))</f>
        <v/>
      </c>
      <c r="D324" s="17"/>
      <c r="E324" s="38"/>
      <c r="F324" s="39"/>
      <c r="G324" s="17"/>
      <c r="H324" s="17"/>
      <c r="I324" s="17"/>
      <c r="J324" s="38"/>
      <c r="K324" s="17"/>
      <c r="L324" s="17"/>
      <c r="M324" s="17"/>
      <c r="N324" s="44" t="str">
        <f aca="true">IF(A324="","",IF(N(K324)&gt;Settings!$S$7,"Over revision limit",IF(AND(D324="Free video",J324="",E324&lt;&gt;"",TODAY()&gt;WORKDAY(E324,Settings!$S$5)),"LATE – free video promised in 5 working days",IF(AND(E324&lt;&gt;"",E324=TODAY()),"Shooting today",""))))</f>
        <v/>
      </c>
    </row>
    <row r="325" customFormat="false" ht="15" hidden="false" customHeight="false" outlineLevel="0" collapsed="false">
      <c r="A325" s="17"/>
      <c r="B325" s="17"/>
      <c r="C325" s="44" t="str">
        <f aca="false">IF(B325="","",IFERROR(INDEX(Clients!$C$2:$C$501,MATCH(B325,Clients!$A$2:$A$501,0)),"Client ID not found"))</f>
        <v/>
      </c>
      <c r="D325" s="17"/>
      <c r="E325" s="38"/>
      <c r="F325" s="39"/>
      <c r="G325" s="17"/>
      <c r="H325" s="17"/>
      <c r="I325" s="17"/>
      <c r="J325" s="38"/>
      <c r="K325" s="17"/>
      <c r="L325" s="17"/>
      <c r="M325" s="17"/>
      <c r="N325" s="44" t="str">
        <f aca="true">IF(A325="","",IF(N(K325)&gt;Settings!$S$7,"Over revision limit",IF(AND(D325="Free video",J325="",E325&lt;&gt;"",TODAY()&gt;WORKDAY(E325,Settings!$S$5)),"LATE – free video promised in 5 working days",IF(AND(E325&lt;&gt;"",E325=TODAY()),"Shooting today",""))))</f>
        <v/>
      </c>
    </row>
    <row r="326" customFormat="false" ht="15" hidden="false" customHeight="false" outlineLevel="0" collapsed="false">
      <c r="A326" s="17"/>
      <c r="B326" s="17"/>
      <c r="C326" s="44" t="str">
        <f aca="false">IF(B326="","",IFERROR(INDEX(Clients!$C$2:$C$501,MATCH(B326,Clients!$A$2:$A$501,0)),"Client ID not found"))</f>
        <v/>
      </c>
      <c r="D326" s="17"/>
      <c r="E326" s="38"/>
      <c r="F326" s="39"/>
      <c r="G326" s="17"/>
      <c r="H326" s="17"/>
      <c r="I326" s="17"/>
      <c r="J326" s="38"/>
      <c r="K326" s="17"/>
      <c r="L326" s="17"/>
      <c r="M326" s="17"/>
      <c r="N326" s="44" t="str">
        <f aca="true">IF(A326="","",IF(N(K326)&gt;Settings!$S$7,"Over revision limit",IF(AND(D326="Free video",J326="",E326&lt;&gt;"",TODAY()&gt;WORKDAY(E326,Settings!$S$5)),"LATE – free video promised in 5 working days",IF(AND(E326&lt;&gt;"",E326=TODAY()),"Shooting today",""))))</f>
        <v/>
      </c>
    </row>
    <row r="327" customFormat="false" ht="15" hidden="false" customHeight="false" outlineLevel="0" collapsed="false">
      <c r="A327" s="17"/>
      <c r="B327" s="17"/>
      <c r="C327" s="44" t="str">
        <f aca="false">IF(B327="","",IFERROR(INDEX(Clients!$C$2:$C$501,MATCH(B327,Clients!$A$2:$A$501,0)),"Client ID not found"))</f>
        <v/>
      </c>
      <c r="D327" s="17"/>
      <c r="E327" s="38"/>
      <c r="F327" s="39"/>
      <c r="G327" s="17"/>
      <c r="H327" s="17"/>
      <c r="I327" s="17"/>
      <c r="J327" s="38"/>
      <c r="K327" s="17"/>
      <c r="L327" s="17"/>
      <c r="M327" s="17"/>
      <c r="N327" s="44" t="str">
        <f aca="true">IF(A327="","",IF(N(K327)&gt;Settings!$S$7,"Over revision limit",IF(AND(D327="Free video",J327="",E327&lt;&gt;"",TODAY()&gt;WORKDAY(E327,Settings!$S$5)),"LATE – free video promised in 5 working days",IF(AND(E327&lt;&gt;"",E327=TODAY()),"Shooting today",""))))</f>
        <v/>
      </c>
    </row>
    <row r="328" customFormat="false" ht="15" hidden="false" customHeight="false" outlineLevel="0" collapsed="false">
      <c r="A328" s="17"/>
      <c r="B328" s="17"/>
      <c r="C328" s="44" t="str">
        <f aca="false">IF(B328="","",IFERROR(INDEX(Clients!$C$2:$C$501,MATCH(B328,Clients!$A$2:$A$501,0)),"Client ID not found"))</f>
        <v/>
      </c>
      <c r="D328" s="17"/>
      <c r="E328" s="38"/>
      <c r="F328" s="39"/>
      <c r="G328" s="17"/>
      <c r="H328" s="17"/>
      <c r="I328" s="17"/>
      <c r="J328" s="38"/>
      <c r="K328" s="17"/>
      <c r="L328" s="17"/>
      <c r="M328" s="17"/>
      <c r="N328" s="44" t="str">
        <f aca="true">IF(A328="","",IF(N(K328)&gt;Settings!$S$7,"Over revision limit",IF(AND(D328="Free video",J328="",E328&lt;&gt;"",TODAY()&gt;WORKDAY(E328,Settings!$S$5)),"LATE – free video promised in 5 working days",IF(AND(E328&lt;&gt;"",E328=TODAY()),"Shooting today",""))))</f>
        <v/>
      </c>
    </row>
    <row r="329" customFormat="false" ht="15" hidden="false" customHeight="false" outlineLevel="0" collapsed="false">
      <c r="A329" s="17"/>
      <c r="B329" s="17"/>
      <c r="C329" s="44" t="str">
        <f aca="false">IF(B329="","",IFERROR(INDEX(Clients!$C$2:$C$501,MATCH(B329,Clients!$A$2:$A$501,0)),"Client ID not found"))</f>
        <v/>
      </c>
      <c r="D329" s="17"/>
      <c r="E329" s="38"/>
      <c r="F329" s="39"/>
      <c r="G329" s="17"/>
      <c r="H329" s="17"/>
      <c r="I329" s="17"/>
      <c r="J329" s="38"/>
      <c r="K329" s="17"/>
      <c r="L329" s="17"/>
      <c r="M329" s="17"/>
      <c r="N329" s="44" t="str">
        <f aca="true">IF(A329="","",IF(N(K329)&gt;Settings!$S$7,"Over revision limit",IF(AND(D329="Free video",J329="",E329&lt;&gt;"",TODAY()&gt;WORKDAY(E329,Settings!$S$5)),"LATE – free video promised in 5 working days",IF(AND(E329&lt;&gt;"",E329=TODAY()),"Shooting today",""))))</f>
        <v/>
      </c>
    </row>
    <row r="330" customFormat="false" ht="15" hidden="false" customHeight="false" outlineLevel="0" collapsed="false">
      <c r="A330" s="17"/>
      <c r="B330" s="17"/>
      <c r="C330" s="44" t="str">
        <f aca="false">IF(B330="","",IFERROR(INDEX(Clients!$C$2:$C$501,MATCH(B330,Clients!$A$2:$A$501,0)),"Client ID not found"))</f>
        <v/>
      </c>
      <c r="D330" s="17"/>
      <c r="E330" s="38"/>
      <c r="F330" s="39"/>
      <c r="G330" s="17"/>
      <c r="H330" s="17"/>
      <c r="I330" s="17"/>
      <c r="J330" s="38"/>
      <c r="K330" s="17"/>
      <c r="L330" s="17"/>
      <c r="M330" s="17"/>
      <c r="N330" s="44" t="str">
        <f aca="true">IF(A330="","",IF(N(K330)&gt;Settings!$S$7,"Over revision limit",IF(AND(D330="Free video",J330="",E330&lt;&gt;"",TODAY()&gt;WORKDAY(E330,Settings!$S$5)),"LATE – free video promised in 5 working days",IF(AND(E330&lt;&gt;"",E330=TODAY()),"Shooting today",""))))</f>
        <v/>
      </c>
    </row>
    <row r="331" customFormat="false" ht="15" hidden="false" customHeight="false" outlineLevel="0" collapsed="false">
      <c r="A331" s="17"/>
      <c r="B331" s="17"/>
      <c r="C331" s="44" t="str">
        <f aca="false">IF(B331="","",IFERROR(INDEX(Clients!$C$2:$C$501,MATCH(B331,Clients!$A$2:$A$501,0)),"Client ID not found"))</f>
        <v/>
      </c>
      <c r="D331" s="17"/>
      <c r="E331" s="38"/>
      <c r="F331" s="39"/>
      <c r="G331" s="17"/>
      <c r="H331" s="17"/>
      <c r="I331" s="17"/>
      <c r="J331" s="38"/>
      <c r="K331" s="17"/>
      <c r="L331" s="17"/>
      <c r="M331" s="17"/>
      <c r="N331" s="44" t="str">
        <f aca="true">IF(A331="","",IF(N(K331)&gt;Settings!$S$7,"Over revision limit",IF(AND(D331="Free video",J331="",E331&lt;&gt;"",TODAY()&gt;WORKDAY(E331,Settings!$S$5)),"LATE – free video promised in 5 working days",IF(AND(E331&lt;&gt;"",E331=TODAY()),"Shooting today",""))))</f>
        <v/>
      </c>
    </row>
    <row r="332" customFormat="false" ht="15" hidden="false" customHeight="false" outlineLevel="0" collapsed="false">
      <c r="A332" s="17"/>
      <c r="B332" s="17"/>
      <c r="C332" s="44" t="str">
        <f aca="false">IF(B332="","",IFERROR(INDEX(Clients!$C$2:$C$501,MATCH(B332,Clients!$A$2:$A$501,0)),"Client ID not found"))</f>
        <v/>
      </c>
      <c r="D332" s="17"/>
      <c r="E332" s="38"/>
      <c r="F332" s="39"/>
      <c r="G332" s="17"/>
      <c r="H332" s="17"/>
      <c r="I332" s="17"/>
      <c r="J332" s="38"/>
      <c r="K332" s="17"/>
      <c r="L332" s="17"/>
      <c r="M332" s="17"/>
      <c r="N332" s="44" t="str">
        <f aca="true">IF(A332="","",IF(N(K332)&gt;Settings!$S$7,"Over revision limit",IF(AND(D332="Free video",J332="",E332&lt;&gt;"",TODAY()&gt;WORKDAY(E332,Settings!$S$5)),"LATE – free video promised in 5 working days",IF(AND(E332&lt;&gt;"",E332=TODAY()),"Shooting today",""))))</f>
        <v/>
      </c>
    </row>
    <row r="333" customFormat="false" ht="15" hidden="false" customHeight="false" outlineLevel="0" collapsed="false">
      <c r="A333" s="17"/>
      <c r="B333" s="17"/>
      <c r="C333" s="44" t="str">
        <f aca="false">IF(B333="","",IFERROR(INDEX(Clients!$C$2:$C$501,MATCH(B333,Clients!$A$2:$A$501,0)),"Client ID not found"))</f>
        <v/>
      </c>
      <c r="D333" s="17"/>
      <c r="E333" s="38"/>
      <c r="F333" s="39"/>
      <c r="G333" s="17"/>
      <c r="H333" s="17"/>
      <c r="I333" s="17"/>
      <c r="J333" s="38"/>
      <c r="K333" s="17"/>
      <c r="L333" s="17"/>
      <c r="M333" s="17"/>
      <c r="N333" s="44" t="str">
        <f aca="true">IF(A333="","",IF(N(K333)&gt;Settings!$S$7,"Over revision limit",IF(AND(D333="Free video",J333="",E333&lt;&gt;"",TODAY()&gt;WORKDAY(E333,Settings!$S$5)),"LATE – free video promised in 5 working days",IF(AND(E333&lt;&gt;"",E333=TODAY()),"Shooting today",""))))</f>
        <v/>
      </c>
    </row>
    <row r="334" customFormat="false" ht="15" hidden="false" customHeight="false" outlineLevel="0" collapsed="false">
      <c r="A334" s="17"/>
      <c r="B334" s="17"/>
      <c r="C334" s="44" t="str">
        <f aca="false">IF(B334="","",IFERROR(INDEX(Clients!$C$2:$C$501,MATCH(B334,Clients!$A$2:$A$501,0)),"Client ID not found"))</f>
        <v/>
      </c>
      <c r="D334" s="17"/>
      <c r="E334" s="38"/>
      <c r="F334" s="39"/>
      <c r="G334" s="17"/>
      <c r="H334" s="17"/>
      <c r="I334" s="17"/>
      <c r="J334" s="38"/>
      <c r="K334" s="17"/>
      <c r="L334" s="17"/>
      <c r="M334" s="17"/>
      <c r="N334" s="44" t="str">
        <f aca="true">IF(A334="","",IF(N(K334)&gt;Settings!$S$7,"Over revision limit",IF(AND(D334="Free video",J334="",E334&lt;&gt;"",TODAY()&gt;WORKDAY(E334,Settings!$S$5)),"LATE – free video promised in 5 working days",IF(AND(E334&lt;&gt;"",E334=TODAY()),"Shooting today",""))))</f>
        <v/>
      </c>
    </row>
    <row r="335" customFormat="false" ht="15" hidden="false" customHeight="false" outlineLevel="0" collapsed="false">
      <c r="A335" s="17"/>
      <c r="B335" s="17"/>
      <c r="C335" s="44" t="str">
        <f aca="false">IF(B335="","",IFERROR(INDEX(Clients!$C$2:$C$501,MATCH(B335,Clients!$A$2:$A$501,0)),"Client ID not found"))</f>
        <v/>
      </c>
      <c r="D335" s="17"/>
      <c r="E335" s="38"/>
      <c r="F335" s="39"/>
      <c r="G335" s="17"/>
      <c r="H335" s="17"/>
      <c r="I335" s="17"/>
      <c r="J335" s="38"/>
      <c r="K335" s="17"/>
      <c r="L335" s="17"/>
      <c r="M335" s="17"/>
      <c r="N335" s="44" t="str">
        <f aca="true">IF(A335="","",IF(N(K335)&gt;Settings!$S$7,"Over revision limit",IF(AND(D335="Free video",J335="",E335&lt;&gt;"",TODAY()&gt;WORKDAY(E335,Settings!$S$5)),"LATE – free video promised in 5 working days",IF(AND(E335&lt;&gt;"",E335=TODAY()),"Shooting today",""))))</f>
        <v/>
      </c>
    </row>
    <row r="336" customFormat="false" ht="15" hidden="false" customHeight="false" outlineLevel="0" collapsed="false">
      <c r="A336" s="17"/>
      <c r="B336" s="17"/>
      <c r="C336" s="44" t="str">
        <f aca="false">IF(B336="","",IFERROR(INDEX(Clients!$C$2:$C$501,MATCH(B336,Clients!$A$2:$A$501,0)),"Client ID not found"))</f>
        <v/>
      </c>
      <c r="D336" s="17"/>
      <c r="E336" s="38"/>
      <c r="F336" s="39"/>
      <c r="G336" s="17"/>
      <c r="H336" s="17"/>
      <c r="I336" s="17"/>
      <c r="J336" s="38"/>
      <c r="K336" s="17"/>
      <c r="L336" s="17"/>
      <c r="M336" s="17"/>
      <c r="N336" s="44" t="str">
        <f aca="true">IF(A336="","",IF(N(K336)&gt;Settings!$S$7,"Over revision limit",IF(AND(D336="Free video",J336="",E336&lt;&gt;"",TODAY()&gt;WORKDAY(E336,Settings!$S$5)),"LATE – free video promised in 5 working days",IF(AND(E336&lt;&gt;"",E336=TODAY()),"Shooting today",""))))</f>
        <v/>
      </c>
    </row>
    <row r="337" customFormat="false" ht="15" hidden="false" customHeight="false" outlineLevel="0" collapsed="false">
      <c r="A337" s="17"/>
      <c r="B337" s="17"/>
      <c r="C337" s="44" t="str">
        <f aca="false">IF(B337="","",IFERROR(INDEX(Clients!$C$2:$C$501,MATCH(B337,Clients!$A$2:$A$501,0)),"Client ID not found"))</f>
        <v/>
      </c>
      <c r="D337" s="17"/>
      <c r="E337" s="38"/>
      <c r="F337" s="39"/>
      <c r="G337" s="17"/>
      <c r="H337" s="17"/>
      <c r="I337" s="17"/>
      <c r="J337" s="38"/>
      <c r="K337" s="17"/>
      <c r="L337" s="17"/>
      <c r="M337" s="17"/>
      <c r="N337" s="44" t="str">
        <f aca="true">IF(A337="","",IF(N(K337)&gt;Settings!$S$7,"Over revision limit",IF(AND(D337="Free video",J337="",E337&lt;&gt;"",TODAY()&gt;WORKDAY(E337,Settings!$S$5)),"LATE – free video promised in 5 working days",IF(AND(E337&lt;&gt;"",E337=TODAY()),"Shooting today",""))))</f>
        <v/>
      </c>
    </row>
    <row r="338" customFormat="false" ht="15" hidden="false" customHeight="false" outlineLevel="0" collapsed="false">
      <c r="A338" s="17"/>
      <c r="B338" s="17"/>
      <c r="C338" s="44" t="str">
        <f aca="false">IF(B338="","",IFERROR(INDEX(Clients!$C$2:$C$501,MATCH(B338,Clients!$A$2:$A$501,0)),"Client ID not found"))</f>
        <v/>
      </c>
      <c r="D338" s="17"/>
      <c r="E338" s="38"/>
      <c r="F338" s="39"/>
      <c r="G338" s="17"/>
      <c r="H338" s="17"/>
      <c r="I338" s="17"/>
      <c r="J338" s="38"/>
      <c r="K338" s="17"/>
      <c r="L338" s="17"/>
      <c r="M338" s="17"/>
      <c r="N338" s="44" t="str">
        <f aca="true">IF(A338="","",IF(N(K338)&gt;Settings!$S$7,"Over revision limit",IF(AND(D338="Free video",J338="",E338&lt;&gt;"",TODAY()&gt;WORKDAY(E338,Settings!$S$5)),"LATE – free video promised in 5 working days",IF(AND(E338&lt;&gt;"",E338=TODAY()),"Shooting today",""))))</f>
        <v/>
      </c>
    </row>
    <row r="339" customFormat="false" ht="15" hidden="false" customHeight="false" outlineLevel="0" collapsed="false">
      <c r="A339" s="17"/>
      <c r="B339" s="17"/>
      <c r="C339" s="44" t="str">
        <f aca="false">IF(B339="","",IFERROR(INDEX(Clients!$C$2:$C$501,MATCH(B339,Clients!$A$2:$A$501,0)),"Client ID not found"))</f>
        <v/>
      </c>
      <c r="D339" s="17"/>
      <c r="E339" s="38"/>
      <c r="F339" s="39"/>
      <c r="G339" s="17"/>
      <c r="H339" s="17"/>
      <c r="I339" s="17"/>
      <c r="J339" s="38"/>
      <c r="K339" s="17"/>
      <c r="L339" s="17"/>
      <c r="M339" s="17"/>
      <c r="N339" s="44" t="str">
        <f aca="true">IF(A339="","",IF(N(K339)&gt;Settings!$S$7,"Over revision limit",IF(AND(D339="Free video",J339="",E339&lt;&gt;"",TODAY()&gt;WORKDAY(E339,Settings!$S$5)),"LATE – free video promised in 5 working days",IF(AND(E339&lt;&gt;"",E339=TODAY()),"Shooting today",""))))</f>
        <v/>
      </c>
    </row>
    <row r="340" customFormat="false" ht="15" hidden="false" customHeight="false" outlineLevel="0" collapsed="false">
      <c r="A340" s="17"/>
      <c r="B340" s="17"/>
      <c r="C340" s="44" t="str">
        <f aca="false">IF(B340="","",IFERROR(INDEX(Clients!$C$2:$C$501,MATCH(B340,Clients!$A$2:$A$501,0)),"Client ID not found"))</f>
        <v/>
      </c>
      <c r="D340" s="17"/>
      <c r="E340" s="38"/>
      <c r="F340" s="39"/>
      <c r="G340" s="17"/>
      <c r="H340" s="17"/>
      <c r="I340" s="17"/>
      <c r="J340" s="38"/>
      <c r="K340" s="17"/>
      <c r="L340" s="17"/>
      <c r="M340" s="17"/>
      <c r="N340" s="44" t="str">
        <f aca="true">IF(A340="","",IF(N(K340)&gt;Settings!$S$7,"Over revision limit",IF(AND(D340="Free video",J340="",E340&lt;&gt;"",TODAY()&gt;WORKDAY(E340,Settings!$S$5)),"LATE – free video promised in 5 working days",IF(AND(E340&lt;&gt;"",E340=TODAY()),"Shooting today",""))))</f>
        <v/>
      </c>
    </row>
    <row r="341" customFormat="false" ht="15" hidden="false" customHeight="false" outlineLevel="0" collapsed="false">
      <c r="A341" s="17"/>
      <c r="B341" s="17"/>
      <c r="C341" s="44" t="str">
        <f aca="false">IF(B341="","",IFERROR(INDEX(Clients!$C$2:$C$501,MATCH(B341,Clients!$A$2:$A$501,0)),"Client ID not found"))</f>
        <v/>
      </c>
      <c r="D341" s="17"/>
      <c r="E341" s="38"/>
      <c r="F341" s="39"/>
      <c r="G341" s="17"/>
      <c r="H341" s="17"/>
      <c r="I341" s="17"/>
      <c r="J341" s="38"/>
      <c r="K341" s="17"/>
      <c r="L341" s="17"/>
      <c r="M341" s="17"/>
      <c r="N341" s="44" t="str">
        <f aca="true">IF(A341="","",IF(N(K341)&gt;Settings!$S$7,"Over revision limit",IF(AND(D341="Free video",J341="",E341&lt;&gt;"",TODAY()&gt;WORKDAY(E341,Settings!$S$5)),"LATE – free video promised in 5 working days",IF(AND(E341&lt;&gt;"",E341=TODAY()),"Shooting today",""))))</f>
        <v/>
      </c>
    </row>
    <row r="342" customFormat="false" ht="15" hidden="false" customHeight="false" outlineLevel="0" collapsed="false">
      <c r="A342" s="17"/>
      <c r="B342" s="17"/>
      <c r="C342" s="44" t="str">
        <f aca="false">IF(B342="","",IFERROR(INDEX(Clients!$C$2:$C$501,MATCH(B342,Clients!$A$2:$A$501,0)),"Client ID not found"))</f>
        <v/>
      </c>
      <c r="D342" s="17"/>
      <c r="E342" s="38"/>
      <c r="F342" s="39"/>
      <c r="G342" s="17"/>
      <c r="H342" s="17"/>
      <c r="I342" s="17"/>
      <c r="J342" s="38"/>
      <c r="K342" s="17"/>
      <c r="L342" s="17"/>
      <c r="M342" s="17"/>
      <c r="N342" s="44" t="str">
        <f aca="true">IF(A342="","",IF(N(K342)&gt;Settings!$S$7,"Over revision limit",IF(AND(D342="Free video",J342="",E342&lt;&gt;"",TODAY()&gt;WORKDAY(E342,Settings!$S$5)),"LATE – free video promised in 5 working days",IF(AND(E342&lt;&gt;"",E342=TODAY()),"Shooting today",""))))</f>
        <v/>
      </c>
    </row>
    <row r="343" customFormat="false" ht="15" hidden="false" customHeight="false" outlineLevel="0" collapsed="false">
      <c r="A343" s="17"/>
      <c r="B343" s="17"/>
      <c r="C343" s="44" t="str">
        <f aca="false">IF(B343="","",IFERROR(INDEX(Clients!$C$2:$C$501,MATCH(B343,Clients!$A$2:$A$501,0)),"Client ID not found"))</f>
        <v/>
      </c>
      <c r="D343" s="17"/>
      <c r="E343" s="38"/>
      <c r="F343" s="39"/>
      <c r="G343" s="17"/>
      <c r="H343" s="17"/>
      <c r="I343" s="17"/>
      <c r="J343" s="38"/>
      <c r="K343" s="17"/>
      <c r="L343" s="17"/>
      <c r="M343" s="17"/>
      <c r="N343" s="44" t="str">
        <f aca="true">IF(A343="","",IF(N(K343)&gt;Settings!$S$7,"Over revision limit",IF(AND(D343="Free video",J343="",E343&lt;&gt;"",TODAY()&gt;WORKDAY(E343,Settings!$S$5)),"LATE – free video promised in 5 working days",IF(AND(E343&lt;&gt;"",E343=TODAY()),"Shooting today",""))))</f>
        <v/>
      </c>
    </row>
    <row r="344" customFormat="false" ht="15" hidden="false" customHeight="false" outlineLevel="0" collapsed="false">
      <c r="A344" s="17"/>
      <c r="B344" s="17"/>
      <c r="C344" s="44" t="str">
        <f aca="false">IF(B344="","",IFERROR(INDEX(Clients!$C$2:$C$501,MATCH(B344,Clients!$A$2:$A$501,0)),"Client ID not found"))</f>
        <v/>
      </c>
      <c r="D344" s="17"/>
      <c r="E344" s="38"/>
      <c r="F344" s="39"/>
      <c r="G344" s="17"/>
      <c r="H344" s="17"/>
      <c r="I344" s="17"/>
      <c r="J344" s="38"/>
      <c r="K344" s="17"/>
      <c r="L344" s="17"/>
      <c r="M344" s="17"/>
      <c r="N344" s="44" t="str">
        <f aca="true">IF(A344="","",IF(N(K344)&gt;Settings!$S$7,"Over revision limit",IF(AND(D344="Free video",J344="",E344&lt;&gt;"",TODAY()&gt;WORKDAY(E344,Settings!$S$5)),"LATE – free video promised in 5 working days",IF(AND(E344&lt;&gt;"",E344=TODAY()),"Shooting today",""))))</f>
        <v/>
      </c>
    </row>
    <row r="345" customFormat="false" ht="15" hidden="false" customHeight="false" outlineLevel="0" collapsed="false">
      <c r="A345" s="17"/>
      <c r="B345" s="17"/>
      <c r="C345" s="44" t="str">
        <f aca="false">IF(B345="","",IFERROR(INDEX(Clients!$C$2:$C$501,MATCH(B345,Clients!$A$2:$A$501,0)),"Client ID not found"))</f>
        <v/>
      </c>
      <c r="D345" s="17"/>
      <c r="E345" s="38"/>
      <c r="F345" s="39"/>
      <c r="G345" s="17"/>
      <c r="H345" s="17"/>
      <c r="I345" s="17"/>
      <c r="J345" s="38"/>
      <c r="K345" s="17"/>
      <c r="L345" s="17"/>
      <c r="M345" s="17"/>
      <c r="N345" s="44" t="str">
        <f aca="true">IF(A345="","",IF(N(K345)&gt;Settings!$S$7,"Over revision limit",IF(AND(D345="Free video",J345="",E345&lt;&gt;"",TODAY()&gt;WORKDAY(E345,Settings!$S$5)),"LATE – free video promised in 5 working days",IF(AND(E345&lt;&gt;"",E345=TODAY()),"Shooting today",""))))</f>
        <v/>
      </c>
    </row>
    <row r="346" customFormat="false" ht="15" hidden="false" customHeight="false" outlineLevel="0" collapsed="false">
      <c r="A346" s="17"/>
      <c r="B346" s="17"/>
      <c r="C346" s="44" t="str">
        <f aca="false">IF(B346="","",IFERROR(INDEX(Clients!$C$2:$C$501,MATCH(B346,Clients!$A$2:$A$501,0)),"Client ID not found"))</f>
        <v/>
      </c>
      <c r="D346" s="17"/>
      <c r="E346" s="38"/>
      <c r="F346" s="39"/>
      <c r="G346" s="17"/>
      <c r="H346" s="17"/>
      <c r="I346" s="17"/>
      <c r="J346" s="38"/>
      <c r="K346" s="17"/>
      <c r="L346" s="17"/>
      <c r="M346" s="17"/>
      <c r="N346" s="44" t="str">
        <f aca="true">IF(A346="","",IF(N(K346)&gt;Settings!$S$7,"Over revision limit",IF(AND(D346="Free video",J346="",E346&lt;&gt;"",TODAY()&gt;WORKDAY(E346,Settings!$S$5)),"LATE – free video promised in 5 working days",IF(AND(E346&lt;&gt;"",E346=TODAY()),"Shooting today",""))))</f>
        <v/>
      </c>
    </row>
    <row r="347" customFormat="false" ht="15" hidden="false" customHeight="false" outlineLevel="0" collapsed="false">
      <c r="A347" s="17"/>
      <c r="B347" s="17"/>
      <c r="C347" s="44" t="str">
        <f aca="false">IF(B347="","",IFERROR(INDEX(Clients!$C$2:$C$501,MATCH(B347,Clients!$A$2:$A$501,0)),"Client ID not found"))</f>
        <v/>
      </c>
      <c r="D347" s="17"/>
      <c r="E347" s="38"/>
      <c r="F347" s="39"/>
      <c r="G347" s="17"/>
      <c r="H347" s="17"/>
      <c r="I347" s="17"/>
      <c r="J347" s="38"/>
      <c r="K347" s="17"/>
      <c r="L347" s="17"/>
      <c r="M347" s="17"/>
      <c r="N347" s="44" t="str">
        <f aca="true">IF(A347="","",IF(N(K347)&gt;Settings!$S$7,"Over revision limit",IF(AND(D347="Free video",J347="",E347&lt;&gt;"",TODAY()&gt;WORKDAY(E347,Settings!$S$5)),"LATE – free video promised in 5 working days",IF(AND(E347&lt;&gt;"",E347=TODAY()),"Shooting today",""))))</f>
        <v/>
      </c>
    </row>
    <row r="348" customFormat="false" ht="15" hidden="false" customHeight="false" outlineLevel="0" collapsed="false">
      <c r="A348" s="17"/>
      <c r="B348" s="17"/>
      <c r="C348" s="44" t="str">
        <f aca="false">IF(B348="","",IFERROR(INDEX(Clients!$C$2:$C$501,MATCH(B348,Clients!$A$2:$A$501,0)),"Client ID not found"))</f>
        <v/>
      </c>
      <c r="D348" s="17"/>
      <c r="E348" s="38"/>
      <c r="F348" s="39"/>
      <c r="G348" s="17"/>
      <c r="H348" s="17"/>
      <c r="I348" s="17"/>
      <c r="J348" s="38"/>
      <c r="K348" s="17"/>
      <c r="L348" s="17"/>
      <c r="M348" s="17"/>
      <c r="N348" s="44" t="str">
        <f aca="true">IF(A348="","",IF(N(K348)&gt;Settings!$S$7,"Over revision limit",IF(AND(D348="Free video",J348="",E348&lt;&gt;"",TODAY()&gt;WORKDAY(E348,Settings!$S$5)),"LATE – free video promised in 5 working days",IF(AND(E348&lt;&gt;"",E348=TODAY()),"Shooting today",""))))</f>
        <v/>
      </c>
    </row>
    <row r="349" customFormat="false" ht="15" hidden="false" customHeight="false" outlineLevel="0" collapsed="false">
      <c r="A349" s="17"/>
      <c r="B349" s="17"/>
      <c r="C349" s="44" t="str">
        <f aca="false">IF(B349="","",IFERROR(INDEX(Clients!$C$2:$C$501,MATCH(B349,Clients!$A$2:$A$501,0)),"Client ID not found"))</f>
        <v/>
      </c>
      <c r="D349" s="17"/>
      <c r="E349" s="38"/>
      <c r="F349" s="39"/>
      <c r="G349" s="17"/>
      <c r="H349" s="17"/>
      <c r="I349" s="17"/>
      <c r="J349" s="38"/>
      <c r="K349" s="17"/>
      <c r="L349" s="17"/>
      <c r="M349" s="17"/>
      <c r="N349" s="44" t="str">
        <f aca="true">IF(A349="","",IF(N(K349)&gt;Settings!$S$7,"Over revision limit",IF(AND(D349="Free video",J349="",E349&lt;&gt;"",TODAY()&gt;WORKDAY(E349,Settings!$S$5)),"LATE – free video promised in 5 working days",IF(AND(E349&lt;&gt;"",E349=TODAY()),"Shooting today",""))))</f>
        <v/>
      </c>
    </row>
    <row r="350" customFormat="false" ht="15" hidden="false" customHeight="false" outlineLevel="0" collapsed="false">
      <c r="A350" s="17"/>
      <c r="B350" s="17"/>
      <c r="C350" s="44" t="str">
        <f aca="false">IF(B350="","",IFERROR(INDEX(Clients!$C$2:$C$501,MATCH(B350,Clients!$A$2:$A$501,0)),"Client ID not found"))</f>
        <v/>
      </c>
      <c r="D350" s="17"/>
      <c r="E350" s="38"/>
      <c r="F350" s="39"/>
      <c r="G350" s="17"/>
      <c r="H350" s="17"/>
      <c r="I350" s="17"/>
      <c r="J350" s="38"/>
      <c r="K350" s="17"/>
      <c r="L350" s="17"/>
      <c r="M350" s="17"/>
      <c r="N350" s="44" t="str">
        <f aca="true">IF(A350="","",IF(N(K350)&gt;Settings!$S$7,"Over revision limit",IF(AND(D350="Free video",J350="",E350&lt;&gt;"",TODAY()&gt;WORKDAY(E350,Settings!$S$5)),"LATE – free video promised in 5 working days",IF(AND(E350&lt;&gt;"",E350=TODAY()),"Shooting today",""))))</f>
        <v/>
      </c>
    </row>
    <row r="351" customFormat="false" ht="15" hidden="false" customHeight="false" outlineLevel="0" collapsed="false">
      <c r="A351" s="17"/>
      <c r="B351" s="17"/>
      <c r="C351" s="44" t="str">
        <f aca="false">IF(B351="","",IFERROR(INDEX(Clients!$C$2:$C$501,MATCH(B351,Clients!$A$2:$A$501,0)),"Client ID not found"))</f>
        <v/>
      </c>
      <c r="D351" s="17"/>
      <c r="E351" s="38"/>
      <c r="F351" s="39"/>
      <c r="G351" s="17"/>
      <c r="H351" s="17"/>
      <c r="I351" s="17"/>
      <c r="J351" s="38"/>
      <c r="K351" s="17"/>
      <c r="L351" s="17"/>
      <c r="M351" s="17"/>
      <c r="N351" s="44" t="str">
        <f aca="true">IF(A351="","",IF(N(K351)&gt;Settings!$S$7,"Over revision limit",IF(AND(D351="Free video",J351="",E351&lt;&gt;"",TODAY()&gt;WORKDAY(E351,Settings!$S$5)),"LATE – free video promised in 5 working days",IF(AND(E351&lt;&gt;"",E351=TODAY()),"Shooting today",""))))</f>
        <v/>
      </c>
    </row>
    <row r="352" customFormat="false" ht="15" hidden="false" customHeight="false" outlineLevel="0" collapsed="false">
      <c r="A352" s="17"/>
      <c r="B352" s="17"/>
      <c r="C352" s="44" t="str">
        <f aca="false">IF(B352="","",IFERROR(INDEX(Clients!$C$2:$C$501,MATCH(B352,Clients!$A$2:$A$501,0)),"Client ID not found"))</f>
        <v/>
      </c>
      <c r="D352" s="17"/>
      <c r="E352" s="38"/>
      <c r="F352" s="39"/>
      <c r="G352" s="17"/>
      <c r="H352" s="17"/>
      <c r="I352" s="17"/>
      <c r="J352" s="38"/>
      <c r="K352" s="17"/>
      <c r="L352" s="17"/>
      <c r="M352" s="17"/>
      <c r="N352" s="44" t="str">
        <f aca="true">IF(A352="","",IF(N(K352)&gt;Settings!$S$7,"Over revision limit",IF(AND(D352="Free video",J352="",E352&lt;&gt;"",TODAY()&gt;WORKDAY(E352,Settings!$S$5)),"LATE – free video promised in 5 working days",IF(AND(E352&lt;&gt;"",E352=TODAY()),"Shooting today",""))))</f>
        <v/>
      </c>
    </row>
    <row r="353" customFormat="false" ht="15" hidden="false" customHeight="false" outlineLevel="0" collapsed="false">
      <c r="A353" s="17"/>
      <c r="B353" s="17"/>
      <c r="C353" s="44" t="str">
        <f aca="false">IF(B353="","",IFERROR(INDEX(Clients!$C$2:$C$501,MATCH(B353,Clients!$A$2:$A$501,0)),"Client ID not found"))</f>
        <v/>
      </c>
      <c r="D353" s="17"/>
      <c r="E353" s="38"/>
      <c r="F353" s="39"/>
      <c r="G353" s="17"/>
      <c r="H353" s="17"/>
      <c r="I353" s="17"/>
      <c r="J353" s="38"/>
      <c r="K353" s="17"/>
      <c r="L353" s="17"/>
      <c r="M353" s="17"/>
      <c r="N353" s="44" t="str">
        <f aca="true">IF(A353="","",IF(N(K353)&gt;Settings!$S$7,"Over revision limit",IF(AND(D353="Free video",J353="",E353&lt;&gt;"",TODAY()&gt;WORKDAY(E353,Settings!$S$5)),"LATE – free video promised in 5 working days",IF(AND(E353&lt;&gt;"",E353=TODAY()),"Shooting today",""))))</f>
        <v/>
      </c>
    </row>
    <row r="354" customFormat="false" ht="15" hidden="false" customHeight="false" outlineLevel="0" collapsed="false">
      <c r="A354" s="17"/>
      <c r="B354" s="17"/>
      <c r="C354" s="44" t="str">
        <f aca="false">IF(B354="","",IFERROR(INDEX(Clients!$C$2:$C$501,MATCH(B354,Clients!$A$2:$A$501,0)),"Client ID not found"))</f>
        <v/>
      </c>
      <c r="D354" s="17"/>
      <c r="E354" s="38"/>
      <c r="F354" s="39"/>
      <c r="G354" s="17"/>
      <c r="H354" s="17"/>
      <c r="I354" s="17"/>
      <c r="J354" s="38"/>
      <c r="K354" s="17"/>
      <c r="L354" s="17"/>
      <c r="M354" s="17"/>
      <c r="N354" s="44" t="str">
        <f aca="true">IF(A354="","",IF(N(K354)&gt;Settings!$S$7,"Over revision limit",IF(AND(D354="Free video",J354="",E354&lt;&gt;"",TODAY()&gt;WORKDAY(E354,Settings!$S$5)),"LATE – free video promised in 5 working days",IF(AND(E354&lt;&gt;"",E354=TODAY()),"Shooting today",""))))</f>
        <v/>
      </c>
    </row>
    <row r="355" customFormat="false" ht="15" hidden="false" customHeight="false" outlineLevel="0" collapsed="false">
      <c r="A355" s="17"/>
      <c r="B355" s="17"/>
      <c r="C355" s="44" t="str">
        <f aca="false">IF(B355="","",IFERROR(INDEX(Clients!$C$2:$C$501,MATCH(B355,Clients!$A$2:$A$501,0)),"Client ID not found"))</f>
        <v/>
      </c>
      <c r="D355" s="17"/>
      <c r="E355" s="38"/>
      <c r="F355" s="39"/>
      <c r="G355" s="17"/>
      <c r="H355" s="17"/>
      <c r="I355" s="17"/>
      <c r="J355" s="38"/>
      <c r="K355" s="17"/>
      <c r="L355" s="17"/>
      <c r="M355" s="17"/>
      <c r="N355" s="44" t="str">
        <f aca="true">IF(A355="","",IF(N(K355)&gt;Settings!$S$7,"Over revision limit",IF(AND(D355="Free video",J355="",E355&lt;&gt;"",TODAY()&gt;WORKDAY(E355,Settings!$S$5)),"LATE – free video promised in 5 working days",IF(AND(E355&lt;&gt;"",E355=TODAY()),"Shooting today",""))))</f>
        <v/>
      </c>
    </row>
    <row r="356" customFormat="false" ht="15" hidden="false" customHeight="false" outlineLevel="0" collapsed="false">
      <c r="A356" s="17"/>
      <c r="B356" s="17"/>
      <c r="C356" s="44" t="str">
        <f aca="false">IF(B356="","",IFERROR(INDEX(Clients!$C$2:$C$501,MATCH(B356,Clients!$A$2:$A$501,0)),"Client ID not found"))</f>
        <v/>
      </c>
      <c r="D356" s="17"/>
      <c r="E356" s="38"/>
      <c r="F356" s="39"/>
      <c r="G356" s="17"/>
      <c r="H356" s="17"/>
      <c r="I356" s="17"/>
      <c r="J356" s="38"/>
      <c r="K356" s="17"/>
      <c r="L356" s="17"/>
      <c r="M356" s="17"/>
      <c r="N356" s="44" t="str">
        <f aca="true">IF(A356="","",IF(N(K356)&gt;Settings!$S$7,"Over revision limit",IF(AND(D356="Free video",J356="",E356&lt;&gt;"",TODAY()&gt;WORKDAY(E356,Settings!$S$5)),"LATE – free video promised in 5 working days",IF(AND(E356&lt;&gt;"",E356=TODAY()),"Shooting today",""))))</f>
        <v/>
      </c>
    </row>
    <row r="357" customFormat="false" ht="15" hidden="false" customHeight="false" outlineLevel="0" collapsed="false">
      <c r="A357" s="17"/>
      <c r="B357" s="17"/>
      <c r="C357" s="44" t="str">
        <f aca="false">IF(B357="","",IFERROR(INDEX(Clients!$C$2:$C$501,MATCH(B357,Clients!$A$2:$A$501,0)),"Client ID not found"))</f>
        <v/>
      </c>
      <c r="D357" s="17"/>
      <c r="E357" s="38"/>
      <c r="F357" s="39"/>
      <c r="G357" s="17"/>
      <c r="H357" s="17"/>
      <c r="I357" s="17"/>
      <c r="J357" s="38"/>
      <c r="K357" s="17"/>
      <c r="L357" s="17"/>
      <c r="M357" s="17"/>
      <c r="N357" s="44" t="str">
        <f aca="true">IF(A357="","",IF(N(K357)&gt;Settings!$S$7,"Over revision limit",IF(AND(D357="Free video",J357="",E357&lt;&gt;"",TODAY()&gt;WORKDAY(E357,Settings!$S$5)),"LATE – free video promised in 5 working days",IF(AND(E357&lt;&gt;"",E357=TODAY()),"Shooting today",""))))</f>
        <v/>
      </c>
    </row>
    <row r="358" customFormat="false" ht="15" hidden="false" customHeight="false" outlineLevel="0" collapsed="false">
      <c r="A358" s="17"/>
      <c r="B358" s="17"/>
      <c r="C358" s="44" t="str">
        <f aca="false">IF(B358="","",IFERROR(INDEX(Clients!$C$2:$C$501,MATCH(B358,Clients!$A$2:$A$501,0)),"Client ID not found"))</f>
        <v/>
      </c>
      <c r="D358" s="17"/>
      <c r="E358" s="38"/>
      <c r="F358" s="39"/>
      <c r="G358" s="17"/>
      <c r="H358" s="17"/>
      <c r="I358" s="17"/>
      <c r="J358" s="38"/>
      <c r="K358" s="17"/>
      <c r="L358" s="17"/>
      <c r="M358" s="17"/>
      <c r="N358" s="44" t="str">
        <f aca="true">IF(A358="","",IF(N(K358)&gt;Settings!$S$7,"Over revision limit",IF(AND(D358="Free video",J358="",E358&lt;&gt;"",TODAY()&gt;WORKDAY(E358,Settings!$S$5)),"LATE – free video promised in 5 working days",IF(AND(E358&lt;&gt;"",E358=TODAY()),"Shooting today",""))))</f>
        <v/>
      </c>
    </row>
    <row r="359" customFormat="false" ht="15" hidden="false" customHeight="false" outlineLevel="0" collapsed="false">
      <c r="A359" s="17"/>
      <c r="B359" s="17"/>
      <c r="C359" s="44" t="str">
        <f aca="false">IF(B359="","",IFERROR(INDEX(Clients!$C$2:$C$501,MATCH(B359,Clients!$A$2:$A$501,0)),"Client ID not found"))</f>
        <v/>
      </c>
      <c r="D359" s="17"/>
      <c r="E359" s="38"/>
      <c r="F359" s="39"/>
      <c r="G359" s="17"/>
      <c r="H359" s="17"/>
      <c r="I359" s="17"/>
      <c r="J359" s="38"/>
      <c r="K359" s="17"/>
      <c r="L359" s="17"/>
      <c r="M359" s="17"/>
      <c r="N359" s="44" t="str">
        <f aca="true">IF(A359="","",IF(N(K359)&gt;Settings!$S$7,"Over revision limit",IF(AND(D359="Free video",J359="",E359&lt;&gt;"",TODAY()&gt;WORKDAY(E359,Settings!$S$5)),"LATE – free video promised in 5 working days",IF(AND(E359&lt;&gt;"",E359=TODAY()),"Shooting today",""))))</f>
        <v/>
      </c>
    </row>
    <row r="360" customFormat="false" ht="15" hidden="false" customHeight="false" outlineLevel="0" collapsed="false">
      <c r="A360" s="17"/>
      <c r="B360" s="17"/>
      <c r="C360" s="44" t="str">
        <f aca="false">IF(B360="","",IFERROR(INDEX(Clients!$C$2:$C$501,MATCH(B360,Clients!$A$2:$A$501,0)),"Client ID not found"))</f>
        <v/>
      </c>
      <c r="D360" s="17"/>
      <c r="E360" s="38"/>
      <c r="F360" s="39"/>
      <c r="G360" s="17"/>
      <c r="H360" s="17"/>
      <c r="I360" s="17"/>
      <c r="J360" s="38"/>
      <c r="K360" s="17"/>
      <c r="L360" s="17"/>
      <c r="M360" s="17"/>
      <c r="N360" s="44" t="str">
        <f aca="true">IF(A360="","",IF(N(K360)&gt;Settings!$S$7,"Over revision limit",IF(AND(D360="Free video",J360="",E360&lt;&gt;"",TODAY()&gt;WORKDAY(E360,Settings!$S$5)),"LATE – free video promised in 5 working days",IF(AND(E360&lt;&gt;"",E360=TODAY()),"Shooting today",""))))</f>
        <v/>
      </c>
    </row>
    <row r="361" customFormat="false" ht="15" hidden="false" customHeight="false" outlineLevel="0" collapsed="false">
      <c r="A361" s="17"/>
      <c r="B361" s="17"/>
      <c r="C361" s="44" t="str">
        <f aca="false">IF(B361="","",IFERROR(INDEX(Clients!$C$2:$C$501,MATCH(B361,Clients!$A$2:$A$501,0)),"Client ID not found"))</f>
        <v/>
      </c>
      <c r="D361" s="17"/>
      <c r="E361" s="38"/>
      <c r="F361" s="39"/>
      <c r="G361" s="17"/>
      <c r="H361" s="17"/>
      <c r="I361" s="17"/>
      <c r="J361" s="38"/>
      <c r="K361" s="17"/>
      <c r="L361" s="17"/>
      <c r="M361" s="17"/>
      <c r="N361" s="44" t="str">
        <f aca="true">IF(A361="","",IF(N(K361)&gt;Settings!$S$7,"Over revision limit",IF(AND(D361="Free video",J361="",E361&lt;&gt;"",TODAY()&gt;WORKDAY(E361,Settings!$S$5)),"LATE – free video promised in 5 working days",IF(AND(E361&lt;&gt;"",E361=TODAY()),"Shooting today",""))))</f>
        <v/>
      </c>
    </row>
    <row r="362" customFormat="false" ht="15" hidden="false" customHeight="false" outlineLevel="0" collapsed="false">
      <c r="A362" s="17"/>
      <c r="B362" s="17"/>
      <c r="C362" s="44" t="str">
        <f aca="false">IF(B362="","",IFERROR(INDEX(Clients!$C$2:$C$501,MATCH(B362,Clients!$A$2:$A$501,0)),"Client ID not found"))</f>
        <v/>
      </c>
      <c r="D362" s="17"/>
      <c r="E362" s="38"/>
      <c r="F362" s="39"/>
      <c r="G362" s="17"/>
      <c r="H362" s="17"/>
      <c r="I362" s="17"/>
      <c r="J362" s="38"/>
      <c r="K362" s="17"/>
      <c r="L362" s="17"/>
      <c r="M362" s="17"/>
      <c r="N362" s="44" t="str">
        <f aca="true">IF(A362="","",IF(N(K362)&gt;Settings!$S$7,"Over revision limit",IF(AND(D362="Free video",J362="",E362&lt;&gt;"",TODAY()&gt;WORKDAY(E362,Settings!$S$5)),"LATE – free video promised in 5 working days",IF(AND(E362&lt;&gt;"",E362=TODAY()),"Shooting today",""))))</f>
        <v/>
      </c>
    </row>
    <row r="363" customFormat="false" ht="15" hidden="false" customHeight="false" outlineLevel="0" collapsed="false">
      <c r="A363" s="17"/>
      <c r="B363" s="17"/>
      <c r="C363" s="44" t="str">
        <f aca="false">IF(B363="","",IFERROR(INDEX(Clients!$C$2:$C$501,MATCH(B363,Clients!$A$2:$A$501,0)),"Client ID not found"))</f>
        <v/>
      </c>
      <c r="D363" s="17"/>
      <c r="E363" s="38"/>
      <c r="F363" s="39"/>
      <c r="G363" s="17"/>
      <c r="H363" s="17"/>
      <c r="I363" s="17"/>
      <c r="J363" s="38"/>
      <c r="K363" s="17"/>
      <c r="L363" s="17"/>
      <c r="M363" s="17"/>
      <c r="N363" s="44" t="str">
        <f aca="true">IF(A363="","",IF(N(K363)&gt;Settings!$S$7,"Over revision limit",IF(AND(D363="Free video",J363="",E363&lt;&gt;"",TODAY()&gt;WORKDAY(E363,Settings!$S$5)),"LATE – free video promised in 5 working days",IF(AND(E363&lt;&gt;"",E363=TODAY()),"Shooting today",""))))</f>
        <v/>
      </c>
    </row>
    <row r="364" customFormat="false" ht="15" hidden="false" customHeight="false" outlineLevel="0" collapsed="false">
      <c r="A364" s="17"/>
      <c r="B364" s="17"/>
      <c r="C364" s="44" t="str">
        <f aca="false">IF(B364="","",IFERROR(INDEX(Clients!$C$2:$C$501,MATCH(B364,Clients!$A$2:$A$501,0)),"Client ID not found"))</f>
        <v/>
      </c>
      <c r="D364" s="17"/>
      <c r="E364" s="38"/>
      <c r="F364" s="39"/>
      <c r="G364" s="17"/>
      <c r="H364" s="17"/>
      <c r="I364" s="17"/>
      <c r="J364" s="38"/>
      <c r="K364" s="17"/>
      <c r="L364" s="17"/>
      <c r="M364" s="17"/>
      <c r="N364" s="44" t="str">
        <f aca="true">IF(A364="","",IF(N(K364)&gt;Settings!$S$7,"Over revision limit",IF(AND(D364="Free video",J364="",E364&lt;&gt;"",TODAY()&gt;WORKDAY(E364,Settings!$S$5)),"LATE – free video promised in 5 working days",IF(AND(E364&lt;&gt;"",E364=TODAY()),"Shooting today",""))))</f>
        <v/>
      </c>
    </row>
    <row r="365" customFormat="false" ht="15" hidden="false" customHeight="false" outlineLevel="0" collapsed="false">
      <c r="A365" s="17"/>
      <c r="B365" s="17"/>
      <c r="C365" s="44" t="str">
        <f aca="false">IF(B365="","",IFERROR(INDEX(Clients!$C$2:$C$501,MATCH(B365,Clients!$A$2:$A$501,0)),"Client ID not found"))</f>
        <v/>
      </c>
      <c r="D365" s="17"/>
      <c r="E365" s="38"/>
      <c r="F365" s="39"/>
      <c r="G365" s="17"/>
      <c r="H365" s="17"/>
      <c r="I365" s="17"/>
      <c r="J365" s="38"/>
      <c r="K365" s="17"/>
      <c r="L365" s="17"/>
      <c r="M365" s="17"/>
      <c r="N365" s="44" t="str">
        <f aca="true">IF(A365="","",IF(N(K365)&gt;Settings!$S$7,"Over revision limit",IF(AND(D365="Free video",J365="",E365&lt;&gt;"",TODAY()&gt;WORKDAY(E365,Settings!$S$5)),"LATE – free video promised in 5 working days",IF(AND(E365&lt;&gt;"",E365=TODAY()),"Shooting today",""))))</f>
        <v/>
      </c>
    </row>
    <row r="366" customFormat="false" ht="15" hidden="false" customHeight="false" outlineLevel="0" collapsed="false">
      <c r="A366" s="17"/>
      <c r="B366" s="17"/>
      <c r="C366" s="44" t="str">
        <f aca="false">IF(B366="","",IFERROR(INDEX(Clients!$C$2:$C$501,MATCH(B366,Clients!$A$2:$A$501,0)),"Client ID not found"))</f>
        <v/>
      </c>
      <c r="D366" s="17"/>
      <c r="E366" s="38"/>
      <c r="F366" s="39"/>
      <c r="G366" s="17"/>
      <c r="H366" s="17"/>
      <c r="I366" s="17"/>
      <c r="J366" s="38"/>
      <c r="K366" s="17"/>
      <c r="L366" s="17"/>
      <c r="M366" s="17"/>
      <c r="N366" s="44" t="str">
        <f aca="true">IF(A366="","",IF(N(K366)&gt;Settings!$S$7,"Over revision limit",IF(AND(D366="Free video",J366="",E366&lt;&gt;"",TODAY()&gt;WORKDAY(E366,Settings!$S$5)),"LATE – free video promised in 5 working days",IF(AND(E366&lt;&gt;"",E366=TODAY()),"Shooting today",""))))</f>
        <v/>
      </c>
    </row>
    <row r="367" customFormat="false" ht="15" hidden="false" customHeight="false" outlineLevel="0" collapsed="false">
      <c r="A367" s="17"/>
      <c r="B367" s="17"/>
      <c r="C367" s="44" t="str">
        <f aca="false">IF(B367="","",IFERROR(INDEX(Clients!$C$2:$C$501,MATCH(B367,Clients!$A$2:$A$501,0)),"Client ID not found"))</f>
        <v/>
      </c>
      <c r="D367" s="17"/>
      <c r="E367" s="38"/>
      <c r="F367" s="39"/>
      <c r="G367" s="17"/>
      <c r="H367" s="17"/>
      <c r="I367" s="17"/>
      <c r="J367" s="38"/>
      <c r="K367" s="17"/>
      <c r="L367" s="17"/>
      <c r="M367" s="17"/>
      <c r="N367" s="44" t="str">
        <f aca="true">IF(A367="","",IF(N(K367)&gt;Settings!$S$7,"Over revision limit",IF(AND(D367="Free video",J367="",E367&lt;&gt;"",TODAY()&gt;WORKDAY(E367,Settings!$S$5)),"LATE – free video promised in 5 working days",IF(AND(E367&lt;&gt;"",E367=TODAY()),"Shooting today",""))))</f>
        <v/>
      </c>
    </row>
    <row r="368" customFormat="false" ht="15" hidden="false" customHeight="false" outlineLevel="0" collapsed="false">
      <c r="A368" s="17"/>
      <c r="B368" s="17"/>
      <c r="C368" s="44" t="str">
        <f aca="false">IF(B368="","",IFERROR(INDEX(Clients!$C$2:$C$501,MATCH(B368,Clients!$A$2:$A$501,0)),"Client ID not found"))</f>
        <v/>
      </c>
      <c r="D368" s="17"/>
      <c r="E368" s="38"/>
      <c r="F368" s="39"/>
      <c r="G368" s="17"/>
      <c r="H368" s="17"/>
      <c r="I368" s="17"/>
      <c r="J368" s="38"/>
      <c r="K368" s="17"/>
      <c r="L368" s="17"/>
      <c r="M368" s="17"/>
      <c r="N368" s="44" t="str">
        <f aca="true">IF(A368="","",IF(N(K368)&gt;Settings!$S$7,"Over revision limit",IF(AND(D368="Free video",J368="",E368&lt;&gt;"",TODAY()&gt;WORKDAY(E368,Settings!$S$5)),"LATE – free video promised in 5 working days",IF(AND(E368&lt;&gt;"",E368=TODAY()),"Shooting today",""))))</f>
        <v/>
      </c>
    </row>
    <row r="369" customFormat="false" ht="15" hidden="false" customHeight="false" outlineLevel="0" collapsed="false">
      <c r="A369" s="17"/>
      <c r="B369" s="17"/>
      <c r="C369" s="44" t="str">
        <f aca="false">IF(B369="","",IFERROR(INDEX(Clients!$C$2:$C$501,MATCH(B369,Clients!$A$2:$A$501,0)),"Client ID not found"))</f>
        <v/>
      </c>
      <c r="D369" s="17"/>
      <c r="E369" s="38"/>
      <c r="F369" s="39"/>
      <c r="G369" s="17"/>
      <c r="H369" s="17"/>
      <c r="I369" s="17"/>
      <c r="J369" s="38"/>
      <c r="K369" s="17"/>
      <c r="L369" s="17"/>
      <c r="M369" s="17"/>
      <c r="N369" s="44" t="str">
        <f aca="true">IF(A369="","",IF(N(K369)&gt;Settings!$S$7,"Over revision limit",IF(AND(D369="Free video",J369="",E369&lt;&gt;"",TODAY()&gt;WORKDAY(E369,Settings!$S$5)),"LATE – free video promised in 5 working days",IF(AND(E369&lt;&gt;"",E369=TODAY()),"Shooting today",""))))</f>
        <v/>
      </c>
    </row>
    <row r="370" customFormat="false" ht="15" hidden="false" customHeight="false" outlineLevel="0" collapsed="false">
      <c r="A370" s="17"/>
      <c r="B370" s="17"/>
      <c r="C370" s="44" t="str">
        <f aca="false">IF(B370="","",IFERROR(INDEX(Clients!$C$2:$C$501,MATCH(B370,Clients!$A$2:$A$501,0)),"Client ID not found"))</f>
        <v/>
      </c>
      <c r="D370" s="17"/>
      <c r="E370" s="38"/>
      <c r="F370" s="39"/>
      <c r="G370" s="17"/>
      <c r="H370" s="17"/>
      <c r="I370" s="17"/>
      <c r="J370" s="38"/>
      <c r="K370" s="17"/>
      <c r="L370" s="17"/>
      <c r="M370" s="17"/>
      <c r="N370" s="44" t="str">
        <f aca="true">IF(A370="","",IF(N(K370)&gt;Settings!$S$7,"Over revision limit",IF(AND(D370="Free video",J370="",E370&lt;&gt;"",TODAY()&gt;WORKDAY(E370,Settings!$S$5)),"LATE – free video promised in 5 working days",IF(AND(E370&lt;&gt;"",E370=TODAY()),"Shooting today",""))))</f>
        <v/>
      </c>
    </row>
    <row r="371" customFormat="false" ht="15" hidden="false" customHeight="false" outlineLevel="0" collapsed="false">
      <c r="A371" s="17"/>
      <c r="B371" s="17"/>
      <c r="C371" s="44" t="str">
        <f aca="false">IF(B371="","",IFERROR(INDEX(Clients!$C$2:$C$501,MATCH(B371,Clients!$A$2:$A$501,0)),"Client ID not found"))</f>
        <v/>
      </c>
      <c r="D371" s="17"/>
      <c r="E371" s="38"/>
      <c r="F371" s="39"/>
      <c r="G371" s="17"/>
      <c r="H371" s="17"/>
      <c r="I371" s="17"/>
      <c r="J371" s="38"/>
      <c r="K371" s="17"/>
      <c r="L371" s="17"/>
      <c r="M371" s="17"/>
      <c r="N371" s="44" t="str">
        <f aca="true">IF(A371="","",IF(N(K371)&gt;Settings!$S$7,"Over revision limit",IF(AND(D371="Free video",J371="",E371&lt;&gt;"",TODAY()&gt;WORKDAY(E371,Settings!$S$5)),"LATE – free video promised in 5 working days",IF(AND(E371&lt;&gt;"",E371=TODAY()),"Shooting today",""))))</f>
        <v/>
      </c>
    </row>
    <row r="372" customFormat="false" ht="15" hidden="false" customHeight="false" outlineLevel="0" collapsed="false">
      <c r="A372" s="17"/>
      <c r="B372" s="17"/>
      <c r="C372" s="44" t="str">
        <f aca="false">IF(B372="","",IFERROR(INDEX(Clients!$C$2:$C$501,MATCH(B372,Clients!$A$2:$A$501,0)),"Client ID not found"))</f>
        <v/>
      </c>
      <c r="D372" s="17"/>
      <c r="E372" s="38"/>
      <c r="F372" s="39"/>
      <c r="G372" s="17"/>
      <c r="H372" s="17"/>
      <c r="I372" s="17"/>
      <c r="J372" s="38"/>
      <c r="K372" s="17"/>
      <c r="L372" s="17"/>
      <c r="M372" s="17"/>
      <c r="N372" s="44" t="str">
        <f aca="true">IF(A372="","",IF(N(K372)&gt;Settings!$S$7,"Over revision limit",IF(AND(D372="Free video",J372="",E372&lt;&gt;"",TODAY()&gt;WORKDAY(E372,Settings!$S$5)),"LATE – free video promised in 5 working days",IF(AND(E372&lt;&gt;"",E372=TODAY()),"Shooting today",""))))</f>
        <v/>
      </c>
    </row>
    <row r="373" customFormat="false" ht="15" hidden="false" customHeight="false" outlineLevel="0" collapsed="false">
      <c r="A373" s="17"/>
      <c r="B373" s="17"/>
      <c r="C373" s="44" t="str">
        <f aca="false">IF(B373="","",IFERROR(INDEX(Clients!$C$2:$C$501,MATCH(B373,Clients!$A$2:$A$501,0)),"Client ID not found"))</f>
        <v/>
      </c>
      <c r="D373" s="17"/>
      <c r="E373" s="38"/>
      <c r="F373" s="39"/>
      <c r="G373" s="17"/>
      <c r="H373" s="17"/>
      <c r="I373" s="17"/>
      <c r="J373" s="38"/>
      <c r="K373" s="17"/>
      <c r="L373" s="17"/>
      <c r="M373" s="17"/>
      <c r="N373" s="44" t="str">
        <f aca="true">IF(A373="","",IF(N(K373)&gt;Settings!$S$7,"Over revision limit",IF(AND(D373="Free video",J373="",E373&lt;&gt;"",TODAY()&gt;WORKDAY(E373,Settings!$S$5)),"LATE – free video promised in 5 working days",IF(AND(E373&lt;&gt;"",E373=TODAY()),"Shooting today",""))))</f>
        <v/>
      </c>
    </row>
    <row r="374" customFormat="false" ht="15" hidden="false" customHeight="false" outlineLevel="0" collapsed="false">
      <c r="A374" s="17"/>
      <c r="B374" s="17"/>
      <c r="C374" s="44" t="str">
        <f aca="false">IF(B374="","",IFERROR(INDEX(Clients!$C$2:$C$501,MATCH(B374,Clients!$A$2:$A$501,0)),"Client ID not found"))</f>
        <v/>
      </c>
      <c r="D374" s="17"/>
      <c r="E374" s="38"/>
      <c r="F374" s="39"/>
      <c r="G374" s="17"/>
      <c r="H374" s="17"/>
      <c r="I374" s="17"/>
      <c r="J374" s="38"/>
      <c r="K374" s="17"/>
      <c r="L374" s="17"/>
      <c r="M374" s="17"/>
      <c r="N374" s="44" t="str">
        <f aca="true">IF(A374="","",IF(N(K374)&gt;Settings!$S$7,"Over revision limit",IF(AND(D374="Free video",J374="",E374&lt;&gt;"",TODAY()&gt;WORKDAY(E374,Settings!$S$5)),"LATE – free video promised in 5 working days",IF(AND(E374&lt;&gt;"",E374=TODAY()),"Shooting today",""))))</f>
        <v/>
      </c>
    </row>
    <row r="375" customFormat="false" ht="15" hidden="false" customHeight="false" outlineLevel="0" collapsed="false">
      <c r="A375" s="17"/>
      <c r="B375" s="17"/>
      <c r="C375" s="44" t="str">
        <f aca="false">IF(B375="","",IFERROR(INDEX(Clients!$C$2:$C$501,MATCH(B375,Clients!$A$2:$A$501,0)),"Client ID not found"))</f>
        <v/>
      </c>
      <c r="D375" s="17"/>
      <c r="E375" s="38"/>
      <c r="F375" s="39"/>
      <c r="G375" s="17"/>
      <c r="H375" s="17"/>
      <c r="I375" s="17"/>
      <c r="J375" s="38"/>
      <c r="K375" s="17"/>
      <c r="L375" s="17"/>
      <c r="M375" s="17"/>
      <c r="N375" s="44" t="str">
        <f aca="true">IF(A375="","",IF(N(K375)&gt;Settings!$S$7,"Over revision limit",IF(AND(D375="Free video",J375="",E375&lt;&gt;"",TODAY()&gt;WORKDAY(E375,Settings!$S$5)),"LATE – free video promised in 5 working days",IF(AND(E375&lt;&gt;"",E375=TODAY()),"Shooting today",""))))</f>
        <v/>
      </c>
    </row>
    <row r="376" customFormat="false" ht="15" hidden="false" customHeight="false" outlineLevel="0" collapsed="false">
      <c r="A376" s="17"/>
      <c r="B376" s="17"/>
      <c r="C376" s="44" t="str">
        <f aca="false">IF(B376="","",IFERROR(INDEX(Clients!$C$2:$C$501,MATCH(B376,Clients!$A$2:$A$501,0)),"Client ID not found"))</f>
        <v/>
      </c>
      <c r="D376" s="17"/>
      <c r="E376" s="38"/>
      <c r="F376" s="39"/>
      <c r="G376" s="17"/>
      <c r="H376" s="17"/>
      <c r="I376" s="17"/>
      <c r="J376" s="38"/>
      <c r="K376" s="17"/>
      <c r="L376" s="17"/>
      <c r="M376" s="17"/>
      <c r="N376" s="44" t="str">
        <f aca="true">IF(A376="","",IF(N(K376)&gt;Settings!$S$7,"Over revision limit",IF(AND(D376="Free video",J376="",E376&lt;&gt;"",TODAY()&gt;WORKDAY(E376,Settings!$S$5)),"LATE – free video promised in 5 working days",IF(AND(E376&lt;&gt;"",E376=TODAY()),"Shooting today",""))))</f>
        <v/>
      </c>
    </row>
    <row r="377" customFormat="false" ht="15" hidden="false" customHeight="false" outlineLevel="0" collapsed="false">
      <c r="A377" s="17"/>
      <c r="B377" s="17"/>
      <c r="C377" s="44" t="str">
        <f aca="false">IF(B377="","",IFERROR(INDEX(Clients!$C$2:$C$501,MATCH(B377,Clients!$A$2:$A$501,0)),"Client ID not found"))</f>
        <v/>
      </c>
      <c r="D377" s="17"/>
      <c r="E377" s="38"/>
      <c r="F377" s="39"/>
      <c r="G377" s="17"/>
      <c r="H377" s="17"/>
      <c r="I377" s="17"/>
      <c r="J377" s="38"/>
      <c r="K377" s="17"/>
      <c r="L377" s="17"/>
      <c r="M377" s="17"/>
      <c r="N377" s="44" t="str">
        <f aca="true">IF(A377="","",IF(N(K377)&gt;Settings!$S$7,"Over revision limit",IF(AND(D377="Free video",J377="",E377&lt;&gt;"",TODAY()&gt;WORKDAY(E377,Settings!$S$5)),"LATE – free video promised in 5 working days",IF(AND(E377&lt;&gt;"",E377=TODAY()),"Shooting today",""))))</f>
        <v/>
      </c>
    </row>
    <row r="378" customFormat="false" ht="15" hidden="false" customHeight="false" outlineLevel="0" collapsed="false">
      <c r="A378" s="17"/>
      <c r="B378" s="17"/>
      <c r="C378" s="44" t="str">
        <f aca="false">IF(B378="","",IFERROR(INDEX(Clients!$C$2:$C$501,MATCH(B378,Clients!$A$2:$A$501,0)),"Client ID not found"))</f>
        <v/>
      </c>
      <c r="D378" s="17"/>
      <c r="E378" s="38"/>
      <c r="F378" s="39"/>
      <c r="G378" s="17"/>
      <c r="H378" s="17"/>
      <c r="I378" s="17"/>
      <c r="J378" s="38"/>
      <c r="K378" s="17"/>
      <c r="L378" s="17"/>
      <c r="M378" s="17"/>
      <c r="N378" s="44" t="str">
        <f aca="true">IF(A378="","",IF(N(K378)&gt;Settings!$S$7,"Over revision limit",IF(AND(D378="Free video",J378="",E378&lt;&gt;"",TODAY()&gt;WORKDAY(E378,Settings!$S$5)),"LATE – free video promised in 5 working days",IF(AND(E378&lt;&gt;"",E378=TODAY()),"Shooting today",""))))</f>
        <v/>
      </c>
    </row>
    <row r="379" customFormat="false" ht="15" hidden="false" customHeight="false" outlineLevel="0" collapsed="false">
      <c r="A379" s="17"/>
      <c r="B379" s="17"/>
      <c r="C379" s="44" t="str">
        <f aca="false">IF(B379="","",IFERROR(INDEX(Clients!$C$2:$C$501,MATCH(B379,Clients!$A$2:$A$501,0)),"Client ID not found"))</f>
        <v/>
      </c>
      <c r="D379" s="17"/>
      <c r="E379" s="38"/>
      <c r="F379" s="39"/>
      <c r="G379" s="17"/>
      <c r="H379" s="17"/>
      <c r="I379" s="17"/>
      <c r="J379" s="38"/>
      <c r="K379" s="17"/>
      <c r="L379" s="17"/>
      <c r="M379" s="17"/>
      <c r="N379" s="44" t="str">
        <f aca="true">IF(A379="","",IF(N(K379)&gt;Settings!$S$7,"Over revision limit",IF(AND(D379="Free video",J379="",E379&lt;&gt;"",TODAY()&gt;WORKDAY(E379,Settings!$S$5)),"LATE – free video promised in 5 working days",IF(AND(E379&lt;&gt;"",E379=TODAY()),"Shooting today",""))))</f>
        <v/>
      </c>
    </row>
    <row r="380" customFormat="false" ht="15" hidden="false" customHeight="false" outlineLevel="0" collapsed="false">
      <c r="A380" s="17"/>
      <c r="B380" s="17"/>
      <c r="C380" s="44" t="str">
        <f aca="false">IF(B380="","",IFERROR(INDEX(Clients!$C$2:$C$501,MATCH(B380,Clients!$A$2:$A$501,0)),"Client ID not found"))</f>
        <v/>
      </c>
      <c r="D380" s="17"/>
      <c r="E380" s="38"/>
      <c r="F380" s="39"/>
      <c r="G380" s="17"/>
      <c r="H380" s="17"/>
      <c r="I380" s="17"/>
      <c r="J380" s="38"/>
      <c r="K380" s="17"/>
      <c r="L380" s="17"/>
      <c r="M380" s="17"/>
      <c r="N380" s="44" t="str">
        <f aca="true">IF(A380="","",IF(N(K380)&gt;Settings!$S$7,"Over revision limit",IF(AND(D380="Free video",J380="",E380&lt;&gt;"",TODAY()&gt;WORKDAY(E380,Settings!$S$5)),"LATE – free video promised in 5 working days",IF(AND(E380&lt;&gt;"",E380=TODAY()),"Shooting today",""))))</f>
        <v/>
      </c>
    </row>
    <row r="381" customFormat="false" ht="15" hidden="false" customHeight="false" outlineLevel="0" collapsed="false">
      <c r="A381" s="17"/>
      <c r="B381" s="17"/>
      <c r="C381" s="44" t="str">
        <f aca="false">IF(B381="","",IFERROR(INDEX(Clients!$C$2:$C$501,MATCH(B381,Clients!$A$2:$A$501,0)),"Client ID not found"))</f>
        <v/>
      </c>
      <c r="D381" s="17"/>
      <c r="E381" s="38"/>
      <c r="F381" s="39"/>
      <c r="G381" s="17"/>
      <c r="H381" s="17"/>
      <c r="I381" s="17"/>
      <c r="J381" s="38"/>
      <c r="K381" s="17"/>
      <c r="L381" s="17"/>
      <c r="M381" s="17"/>
      <c r="N381" s="44" t="str">
        <f aca="true">IF(A381="","",IF(N(K381)&gt;Settings!$S$7,"Over revision limit",IF(AND(D381="Free video",J381="",E381&lt;&gt;"",TODAY()&gt;WORKDAY(E381,Settings!$S$5)),"LATE – free video promised in 5 working days",IF(AND(E381&lt;&gt;"",E381=TODAY()),"Shooting today",""))))</f>
        <v/>
      </c>
    </row>
    <row r="382" customFormat="false" ht="15" hidden="false" customHeight="false" outlineLevel="0" collapsed="false">
      <c r="A382" s="17"/>
      <c r="B382" s="17"/>
      <c r="C382" s="44" t="str">
        <f aca="false">IF(B382="","",IFERROR(INDEX(Clients!$C$2:$C$501,MATCH(B382,Clients!$A$2:$A$501,0)),"Client ID not found"))</f>
        <v/>
      </c>
      <c r="D382" s="17"/>
      <c r="E382" s="38"/>
      <c r="F382" s="39"/>
      <c r="G382" s="17"/>
      <c r="H382" s="17"/>
      <c r="I382" s="17"/>
      <c r="J382" s="38"/>
      <c r="K382" s="17"/>
      <c r="L382" s="17"/>
      <c r="M382" s="17"/>
      <c r="N382" s="44" t="str">
        <f aca="true">IF(A382="","",IF(N(K382)&gt;Settings!$S$7,"Over revision limit",IF(AND(D382="Free video",J382="",E382&lt;&gt;"",TODAY()&gt;WORKDAY(E382,Settings!$S$5)),"LATE – free video promised in 5 working days",IF(AND(E382&lt;&gt;"",E382=TODAY()),"Shooting today",""))))</f>
        <v/>
      </c>
    </row>
    <row r="383" customFormat="false" ht="15" hidden="false" customHeight="false" outlineLevel="0" collapsed="false">
      <c r="A383" s="17"/>
      <c r="B383" s="17"/>
      <c r="C383" s="44" t="str">
        <f aca="false">IF(B383="","",IFERROR(INDEX(Clients!$C$2:$C$501,MATCH(B383,Clients!$A$2:$A$501,0)),"Client ID not found"))</f>
        <v/>
      </c>
      <c r="D383" s="17"/>
      <c r="E383" s="38"/>
      <c r="F383" s="39"/>
      <c r="G383" s="17"/>
      <c r="H383" s="17"/>
      <c r="I383" s="17"/>
      <c r="J383" s="38"/>
      <c r="K383" s="17"/>
      <c r="L383" s="17"/>
      <c r="M383" s="17"/>
      <c r="N383" s="44" t="str">
        <f aca="true">IF(A383="","",IF(N(K383)&gt;Settings!$S$7,"Over revision limit",IF(AND(D383="Free video",J383="",E383&lt;&gt;"",TODAY()&gt;WORKDAY(E383,Settings!$S$5)),"LATE – free video promised in 5 working days",IF(AND(E383&lt;&gt;"",E383=TODAY()),"Shooting today",""))))</f>
        <v/>
      </c>
    </row>
    <row r="384" customFormat="false" ht="15" hidden="false" customHeight="false" outlineLevel="0" collapsed="false">
      <c r="A384" s="17"/>
      <c r="B384" s="17"/>
      <c r="C384" s="44" t="str">
        <f aca="false">IF(B384="","",IFERROR(INDEX(Clients!$C$2:$C$501,MATCH(B384,Clients!$A$2:$A$501,0)),"Client ID not found"))</f>
        <v/>
      </c>
      <c r="D384" s="17"/>
      <c r="E384" s="38"/>
      <c r="F384" s="39"/>
      <c r="G384" s="17"/>
      <c r="H384" s="17"/>
      <c r="I384" s="17"/>
      <c r="J384" s="38"/>
      <c r="K384" s="17"/>
      <c r="L384" s="17"/>
      <c r="M384" s="17"/>
      <c r="N384" s="44" t="str">
        <f aca="true">IF(A384="","",IF(N(K384)&gt;Settings!$S$7,"Over revision limit",IF(AND(D384="Free video",J384="",E384&lt;&gt;"",TODAY()&gt;WORKDAY(E384,Settings!$S$5)),"LATE – free video promised in 5 working days",IF(AND(E384&lt;&gt;"",E384=TODAY()),"Shooting today",""))))</f>
        <v/>
      </c>
    </row>
    <row r="385" customFormat="false" ht="15" hidden="false" customHeight="false" outlineLevel="0" collapsed="false">
      <c r="A385" s="17"/>
      <c r="B385" s="17"/>
      <c r="C385" s="44" t="str">
        <f aca="false">IF(B385="","",IFERROR(INDEX(Clients!$C$2:$C$501,MATCH(B385,Clients!$A$2:$A$501,0)),"Client ID not found"))</f>
        <v/>
      </c>
      <c r="D385" s="17"/>
      <c r="E385" s="38"/>
      <c r="F385" s="39"/>
      <c r="G385" s="17"/>
      <c r="H385" s="17"/>
      <c r="I385" s="17"/>
      <c r="J385" s="38"/>
      <c r="K385" s="17"/>
      <c r="L385" s="17"/>
      <c r="M385" s="17"/>
      <c r="N385" s="44" t="str">
        <f aca="true">IF(A385="","",IF(N(K385)&gt;Settings!$S$7,"Over revision limit",IF(AND(D385="Free video",J385="",E385&lt;&gt;"",TODAY()&gt;WORKDAY(E385,Settings!$S$5)),"LATE – free video promised in 5 working days",IF(AND(E385&lt;&gt;"",E385=TODAY()),"Shooting today",""))))</f>
        <v/>
      </c>
    </row>
    <row r="386" customFormat="false" ht="15" hidden="false" customHeight="false" outlineLevel="0" collapsed="false">
      <c r="A386" s="17"/>
      <c r="B386" s="17"/>
      <c r="C386" s="44" t="str">
        <f aca="false">IF(B386="","",IFERROR(INDEX(Clients!$C$2:$C$501,MATCH(B386,Clients!$A$2:$A$501,0)),"Client ID not found"))</f>
        <v/>
      </c>
      <c r="D386" s="17"/>
      <c r="E386" s="38"/>
      <c r="F386" s="39"/>
      <c r="G386" s="17"/>
      <c r="H386" s="17"/>
      <c r="I386" s="17"/>
      <c r="J386" s="38"/>
      <c r="K386" s="17"/>
      <c r="L386" s="17"/>
      <c r="M386" s="17"/>
      <c r="N386" s="44" t="str">
        <f aca="true">IF(A386="","",IF(N(K386)&gt;Settings!$S$7,"Over revision limit",IF(AND(D386="Free video",J386="",E386&lt;&gt;"",TODAY()&gt;WORKDAY(E386,Settings!$S$5)),"LATE – free video promised in 5 working days",IF(AND(E386&lt;&gt;"",E386=TODAY()),"Shooting today",""))))</f>
        <v/>
      </c>
    </row>
    <row r="387" customFormat="false" ht="15" hidden="false" customHeight="false" outlineLevel="0" collapsed="false">
      <c r="A387" s="17"/>
      <c r="B387" s="17"/>
      <c r="C387" s="44" t="str">
        <f aca="false">IF(B387="","",IFERROR(INDEX(Clients!$C$2:$C$501,MATCH(B387,Clients!$A$2:$A$501,0)),"Client ID not found"))</f>
        <v/>
      </c>
      <c r="D387" s="17"/>
      <c r="E387" s="38"/>
      <c r="F387" s="39"/>
      <c r="G387" s="17"/>
      <c r="H387" s="17"/>
      <c r="I387" s="17"/>
      <c r="J387" s="38"/>
      <c r="K387" s="17"/>
      <c r="L387" s="17"/>
      <c r="M387" s="17"/>
      <c r="N387" s="44" t="str">
        <f aca="true">IF(A387="","",IF(N(K387)&gt;Settings!$S$7,"Over revision limit",IF(AND(D387="Free video",J387="",E387&lt;&gt;"",TODAY()&gt;WORKDAY(E387,Settings!$S$5)),"LATE – free video promised in 5 working days",IF(AND(E387&lt;&gt;"",E387=TODAY()),"Shooting today",""))))</f>
        <v/>
      </c>
    </row>
    <row r="388" customFormat="false" ht="15" hidden="false" customHeight="false" outlineLevel="0" collapsed="false">
      <c r="A388" s="17"/>
      <c r="B388" s="17"/>
      <c r="C388" s="44" t="str">
        <f aca="false">IF(B388="","",IFERROR(INDEX(Clients!$C$2:$C$501,MATCH(B388,Clients!$A$2:$A$501,0)),"Client ID not found"))</f>
        <v/>
      </c>
      <c r="D388" s="17"/>
      <c r="E388" s="38"/>
      <c r="F388" s="39"/>
      <c r="G388" s="17"/>
      <c r="H388" s="17"/>
      <c r="I388" s="17"/>
      <c r="J388" s="38"/>
      <c r="K388" s="17"/>
      <c r="L388" s="17"/>
      <c r="M388" s="17"/>
      <c r="N388" s="44" t="str">
        <f aca="true">IF(A388="","",IF(N(K388)&gt;Settings!$S$7,"Over revision limit",IF(AND(D388="Free video",J388="",E388&lt;&gt;"",TODAY()&gt;WORKDAY(E388,Settings!$S$5)),"LATE – free video promised in 5 working days",IF(AND(E388&lt;&gt;"",E388=TODAY()),"Shooting today",""))))</f>
        <v/>
      </c>
    </row>
    <row r="389" customFormat="false" ht="15" hidden="false" customHeight="false" outlineLevel="0" collapsed="false">
      <c r="A389" s="17"/>
      <c r="B389" s="17"/>
      <c r="C389" s="44" t="str">
        <f aca="false">IF(B389="","",IFERROR(INDEX(Clients!$C$2:$C$501,MATCH(B389,Clients!$A$2:$A$501,0)),"Client ID not found"))</f>
        <v/>
      </c>
      <c r="D389" s="17"/>
      <c r="E389" s="38"/>
      <c r="F389" s="39"/>
      <c r="G389" s="17"/>
      <c r="H389" s="17"/>
      <c r="I389" s="17"/>
      <c r="J389" s="38"/>
      <c r="K389" s="17"/>
      <c r="L389" s="17"/>
      <c r="M389" s="17"/>
      <c r="N389" s="44" t="str">
        <f aca="true">IF(A389="","",IF(N(K389)&gt;Settings!$S$7,"Over revision limit",IF(AND(D389="Free video",J389="",E389&lt;&gt;"",TODAY()&gt;WORKDAY(E389,Settings!$S$5)),"LATE – free video promised in 5 working days",IF(AND(E389&lt;&gt;"",E389=TODAY()),"Shooting today",""))))</f>
        <v/>
      </c>
    </row>
    <row r="390" customFormat="false" ht="15" hidden="false" customHeight="false" outlineLevel="0" collapsed="false">
      <c r="A390" s="17"/>
      <c r="B390" s="17"/>
      <c r="C390" s="44" t="str">
        <f aca="false">IF(B390="","",IFERROR(INDEX(Clients!$C$2:$C$501,MATCH(B390,Clients!$A$2:$A$501,0)),"Client ID not found"))</f>
        <v/>
      </c>
      <c r="D390" s="17"/>
      <c r="E390" s="38"/>
      <c r="F390" s="39"/>
      <c r="G390" s="17"/>
      <c r="H390" s="17"/>
      <c r="I390" s="17"/>
      <c r="J390" s="38"/>
      <c r="K390" s="17"/>
      <c r="L390" s="17"/>
      <c r="M390" s="17"/>
      <c r="N390" s="44" t="str">
        <f aca="true">IF(A390="","",IF(N(K390)&gt;Settings!$S$7,"Over revision limit",IF(AND(D390="Free video",J390="",E390&lt;&gt;"",TODAY()&gt;WORKDAY(E390,Settings!$S$5)),"LATE – free video promised in 5 working days",IF(AND(E390&lt;&gt;"",E390=TODAY()),"Shooting today",""))))</f>
        <v/>
      </c>
    </row>
    <row r="391" customFormat="false" ht="15" hidden="false" customHeight="false" outlineLevel="0" collapsed="false">
      <c r="A391" s="17"/>
      <c r="B391" s="17"/>
      <c r="C391" s="44" t="str">
        <f aca="false">IF(B391="","",IFERROR(INDEX(Clients!$C$2:$C$501,MATCH(B391,Clients!$A$2:$A$501,0)),"Client ID not found"))</f>
        <v/>
      </c>
      <c r="D391" s="17"/>
      <c r="E391" s="38"/>
      <c r="F391" s="39"/>
      <c r="G391" s="17"/>
      <c r="H391" s="17"/>
      <c r="I391" s="17"/>
      <c r="J391" s="38"/>
      <c r="K391" s="17"/>
      <c r="L391" s="17"/>
      <c r="M391" s="17"/>
      <c r="N391" s="44" t="str">
        <f aca="true">IF(A391="","",IF(N(K391)&gt;Settings!$S$7,"Over revision limit",IF(AND(D391="Free video",J391="",E391&lt;&gt;"",TODAY()&gt;WORKDAY(E391,Settings!$S$5)),"LATE – free video promised in 5 working days",IF(AND(E391&lt;&gt;"",E391=TODAY()),"Shooting today",""))))</f>
        <v/>
      </c>
    </row>
    <row r="392" customFormat="false" ht="15" hidden="false" customHeight="false" outlineLevel="0" collapsed="false">
      <c r="A392" s="17"/>
      <c r="B392" s="17"/>
      <c r="C392" s="44" t="str">
        <f aca="false">IF(B392="","",IFERROR(INDEX(Clients!$C$2:$C$501,MATCH(B392,Clients!$A$2:$A$501,0)),"Client ID not found"))</f>
        <v/>
      </c>
      <c r="D392" s="17"/>
      <c r="E392" s="38"/>
      <c r="F392" s="39"/>
      <c r="G392" s="17"/>
      <c r="H392" s="17"/>
      <c r="I392" s="17"/>
      <c r="J392" s="38"/>
      <c r="K392" s="17"/>
      <c r="L392" s="17"/>
      <c r="M392" s="17"/>
      <c r="N392" s="44" t="str">
        <f aca="true">IF(A392="","",IF(N(K392)&gt;Settings!$S$7,"Over revision limit",IF(AND(D392="Free video",J392="",E392&lt;&gt;"",TODAY()&gt;WORKDAY(E392,Settings!$S$5)),"LATE – free video promised in 5 working days",IF(AND(E392&lt;&gt;"",E392=TODAY()),"Shooting today",""))))</f>
        <v/>
      </c>
    </row>
    <row r="393" customFormat="false" ht="15" hidden="false" customHeight="false" outlineLevel="0" collapsed="false">
      <c r="A393" s="17"/>
      <c r="B393" s="17"/>
      <c r="C393" s="44" t="str">
        <f aca="false">IF(B393="","",IFERROR(INDEX(Clients!$C$2:$C$501,MATCH(B393,Clients!$A$2:$A$501,0)),"Client ID not found"))</f>
        <v/>
      </c>
      <c r="D393" s="17"/>
      <c r="E393" s="38"/>
      <c r="F393" s="39"/>
      <c r="G393" s="17"/>
      <c r="H393" s="17"/>
      <c r="I393" s="17"/>
      <c r="J393" s="38"/>
      <c r="K393" s="17"/>
      <c r="L393" s="17"/>
      <c r="M393" s="17"/>
      <c r="N393" s="44" t="str">
        <f aca="true">IF(A393="","",IF(N(K393)&gt;Settings!$S$7,"Over revision limit",IF(AND(D393="Free video",J393="",E393&lt;&gt;"",TODAY()&gt;WORKDAY(E393,Settings!$S$5)),"LATE – free video promised in 5 working days",IF(AND(E393&lt;&gt;"",E393=TODAY()),"Shooting today",""))))</f>
        <v/>
      </c>
    </row>
    <row r="394" customFormat="false" ht="15" hidden="false" customHeight="false" outlineLevel="0" collapsed="false">
      <c r="A394" s="17"/>
      <c r="B394" s="17"/>
      <c r="C394" s="44" t="str">
        <f aca="false">IF(B394="","",IFERROR(INDEX(Clients!$C$2:$C$501,MATCH(B394,Clients!$A$2:$A$501,0)),"Client ID not found"))</f>
        <v/>
      </c>
      <c r="D394" s="17"/>
      <c r="E394" s="38"/>
      <c r="F394" s="39"/>
      <c r="G394" s="17"/>
      <c r="H394" s="17"/>
      <c r="I394" s="17"/>
      <c r="J394" s="38"/>
      <c r="K394" s="17"/>
      <c r="L394" s="17"/>
      <c r="M394" s="17"/>
      <c r="N394" s="44" t="str">
        <f aca="true">IF(A394="","",IF(N(K394)&gt;Settings!$S$7,"Over revision limit",IF(AND(D394="Free video",J394="",E394&lt;&gt;"",TODAY()&gt;WORKDAY(E394,Settings!$S$5)),"LATE – free video promised in 5 working days",IF(AND(E394&lt;&gt;"",E394=TODAY()),"Shooting today",""))))</f>
        <v/>
      </c>
    </row>
    <row r="395" customFormat="false" ht="15" hidden="false" customHeight="false" outlineLevel="0" collapsed="false">
      <c r="A395" s="17"/>
      <c r="B395" s="17"/>
      <c r="C395" s="44" t="str">
        <f aca="false">IF(B395="","",IFERROR(INDEX(Clients!$C$2:$C$501,MATCH(B395,Clients!$A$2:$A$501,0)),"Client ID not found"))</f>
        <v/>
      </c>
      <c r="D395" s="17"/>
      <c r="E395" s="38"/>
      <c r="F395" s="39"/>
      <c r="G395" s="17"/>
      <c r="H395" s="17"/>
      <c r="I395" s="17"/>
      <c r="J395" s="38"/>
      <c r="K395" s="17"/>
      <c r="L395" s="17"/>
      <c r="M395" s="17"/>
      <c r="N395" s="44" t="str">
        <f aca="true">IF(A395="","",IF(N(K395)&gt;Settings!$S$7,"Over revision limit",IF(AND(D395="Free video",J395="",E395&lt;&gt;"",TODAY()&gt;WORKDAY(E395,Settings!$S$5)),"LATE – free video promised in 5 working days",IF(AND(E395&lt;&gt;"",E395=TODAY()),"Shooting today",""))))</f>
        <v/>
      </c>
    </row>
    <row r="396" customFormat="false" ht="15" hidden="false" customHeight="false" outlineLevel="0" collapsed="false">
      <c r="A396" s="17"/>
      <c r="B396" s="17"/>
      <c r="C396" s="44" t="str">
        <f aca="false">IF(B396="","",IFERROR(INDEX(Clients!$C$2:$C$501,MATCH(B396,Clients!$A$2:$A$501,0)),"Client ID not found"))</f>
        <v/>
      </c>
      <c r="D396" s="17"/>
      <c r="E396" s="38"/>
      <c r="F396" s="39"/>
      <c r="G396" s="17"/>
      <c r="H396" s="17"/>
      <c r="I396" s="17"/>
      <c r="J396" s="38"/>
      <c r="K396" s="17"/>
      <c r="L396" s="17"/>
      <c r="M396" s="17"/>
      <c r="N396" s="44" t="str">
        <f aca="true">IF(A396="","",IF(N(K396)&gt;Settings!$S$7,"Over revision limit",IF(AND(D396="Free video",J396="",E396&lt;&gt;"",TODAY()&gt;WORKDAY(E396,Settings!$S$5)),"LATE – free video promised in 5 working days",IF(AND(E396&lt;&gt;"",E396=TODAY()),"Shooting today",""))))</f>
        <v/>
      </c>
    </row>
    <row r="397" customFormat="false" ht="15" hidden="false" customHeight="false" outlineLevel="0" collapsed="false">
      <c r="A397" s="17"/>
      <c r="B397" s="17"/>
      <c r="C397" s="44" t="str">
        <f aca="false">IF(B397="","",IFERROR(INDEX(Clients!$C$2:$C$501,MATCH(B397,Clients!$A$2:$A$501,0)),"Client ID not found"))</f>
        <v/>
      </c>
      <c r="D397" s="17"/>
      <c r="E397" s="38"/>
      <c r="F397" s="39"/>
      <c r="G397" s="17"/>
      <c r="H397" s="17"/>
      <c r="I397" s="17"/>
      <c r="J397" s="38"/>
      <c r="K397" s="17"/>
      <c r="L397" s="17"/>
      <c r="M397" s="17"/>
      <c r="N397" s="44" t="str">
        <f aca="true">IF(A397="","",IF(N(K397)&gt;Settings!$S$7,"Over revision limit",IF(AND(D397="Free video",J397="",E397&lt;&gt;"",TODAY()&gt;WORKDAY(E397,Settings!$S$5)),"LATE – free video promised in 5 working days",IF(AND(E397&lt;&gt;"",E397=TODAY()),"Shooting today",""))))</f>
        <v/>
      </c>
    </row>
    <row r="398" customFormat="false" ht="15" hidden="false" customHeight="false" outlineLevel="0" collapsed="false">
      <c r="A398" s="17"/>
      <c r="B398" s="17"/>
      <c r="C398" s="44" t="str">
        <f aca="false">IF(B398="","",IFERROR(INDEX(Clients!$C$2:$C$501,MATCH(B398,Clients!$A$2:$A$501,0)),"Client ID not found"))</f>
        <v/>
      </c>
      <c r="D398" s="17"/>
      <c r="E398" s="38"/>
      <c r="F398" s="39"/>
      <c r="G398" s="17"/>
      <c r="H398" s="17"/>
      <c r="I398" s="17"/>
      <c r="J398" s="38"/>
      <c r="K398" s="17"/>
      <c r="L398" s="17"/>
      <c r="M398" s="17"/>
      <c r="N398" s="44" t="str">
        <f aca="true">IF(A398="","",IF(N(K398)&gt;Settings!$S$7,"Over revision limit",IF(AND(D398="Free video",J398="",E398&lt;&gt;"",TODAY()&gt;WORKDAY(E398,Settings!$S$5)),"LATE – free video promised in 5 working days",IF(AND(E398&lt;&gt;"",E398=TODAY()),"Shooting today",""))))</f>
        <v/>
      </c>
    </row>
    <row r="399" customFormat="false" ht="15" hidden="false" customHeight="false" outlineLevel="0" collapsed="false">
      <c r="A399" s="17"/>
      <c r="B399" s="17"/>
      <c r="C399" s="44" t="str">
        <f aca="false">IF(B399="","",IFERROR(INDEX(Clients!$C$2:$C$501,MATCH(B399,Clients!$A$2:$A$501,0)),"Client ID not found"))</f>
        <v/>
      </c>
      <c r="D399" s="17"/>
      <c r="E399" s="38"/>
      <c r="F399" s="39"/>
      <c r="G399" s="17"/>
      <c r="H399" s="17"/>
      <c r="I399" s="17"/>
      <c r="J399" s="38"/>
      <c r="K399" s="17"/>
      <c r="L399" s="17"/>
      <c r="M399" s="17"/>
      <c r="N399" s="44" t="str">
        <f aca="true">IF(A399="","",IF(N(K399)&gt;Settings!$S$7,"Over revision limit",IF(AND(D399="Free video",J399="",E399&lt;&gt;"",TODAY()&gt;WORKDAY(E399,Settings!$S$5)),"LATE – free video promised in 5 working days",IF(AND(E399&lt;&gt;"",E399=TODAY()),"Shooting today",""))))</f>
        <v/>
      </c>
    </row>
    <row r="400" customFormat="false" ht="15" hidden="false" customHeight="false" outlineLevel="0" collapsed="false">
      <c r="A400" s="17"/>
      <c r="B400" s="17"/>
      <c r="C400" s="44" t="str">
        <f aca="false">IF(B400="","",IFERROR(INDEX(Clients!$C$2:$C$501,MATCH(B400,Clients!$A$2:$A$501,0)),"Client ID not found"))</f>
        <v/>
      </c>
      <c r="D400" s="17"/>
      <c r="E400" s="38"/>
      <c r="F400" s="39"/>
      <c r="G400" s="17"/>
      <c r="H400" s="17"/>
      <c r="I400" s="17"/>
      <c r="J400" s="38"/>
      <c r="K400" s="17"/>
      <c r="L400" s="17"/>
      <c r="M400" s="17"/>
      <c r="N400" s="44" t="str">
        <f aca="true">IF(A400="","",IF(N(K400)&gt;Settings!$S$7,"Over revision limit",IF(AND(D400="Free video",J400="",E400&lt;&gt;"",TODAY()&gt;WORKDAY(E400,Settings!$S$5)),"LATE – free video promised in 5 working days",IF(AND(E400&lt;&gt;"",E400=TODAY()),"Shooting today",""))))</f>
        <v/>
      </c>
    </row>
    <row r="401" customFormat="false" ht="15" hidden="false" customHeight="false" outlineLevel="0" collapsed="false">
      <c r="A401" s="17"/>
      <c r="B401" s="17"/>
      <c r="C401" s="44" t="str">
        <f aca="false">IF(B401="","",IFERROR(INDEX(Clients!$C$2:$C$501,MATCH(B401,Clients!$A$2:$A$501,0)),"Client ID not found"))</f>
        <v/>
      </c>
      <c r="D401" s="17"/>
      <c r="E401" s="38"/>
      <c r="F401" s="39"/>
      <c r="G401" s="17"/>
      <c r="H401" s="17"/>
      <c r="I401" s="17"/>
      <c r="J401" s="38"/>
      <c r="K401" s="17"/>
      <c r="L401" s="17"/>
      <c r="M401" s="17"/>
      <c r="N401" s="44" t="str">
        <f aca="true">IF(A401="","",IF(N(K401)&gt;Settings!$S$7,"Over revision limit",IF(AND(D401="Free video",J401="",E401&lt;&gt;"",TODAY()&gt;WORKDAY(E401,Settings!$S$5)),"LATE – free video promised in 5 working days",IF(AND(E401&lt;&gt;"",E401=TODAY()),"Shooting today",""))))</f>
        <v/>
      </c>
    </row>
    <row r="402" customFormat="false" ht="15" hidden="false" customHeight="false" outlineLevel="0" collapsed="false">
      <c r="A402" s="17"/>
      <c r="B402" s="17"/>
      <c r="C402" s="44" t="str">
        <f aca="false">IF(B402="","",IFERROR(INDEX(Clients!$C$2:$C$501,MATCH(B402,Clients!$A$2:$A$501,0)),"Client ID not found"))</f>
        <v/>
      </c>
      <c r="D402" s="17"/>
      <c r="E402" s="38"/>
      <c r="F402" s="39"/>
      <c r="G402" s="17"/>
      <c r="H402" s="17"/>
      <c r="I402" s="17"/>
      <c r="J402" s="38"/>
      <c r="K402" s="17"/>
      <c r="L402" s="17"/>
      <c r="M402" s="17"/>
      <c r="N402" s="44" t="str">
        <f aca="true">IF(A402="","",IF(N(K402)&gt;Settings!$S$7,"Over revision limit",IF(AND(D402="Free video",J402="",E402&lt;&gt;"",TODAY()&gt;WORKDAY(E402,Settings!$S$5)),"LATE – free video promised in 5 working days",IF(AND(E402&lt;&gt;"",E402=TODAY()),"Shooting today",""))))</f>
        <v/>
      </c>
    </row>
    <row r="403" customFormat="false" ht="15" hidden="false" customHeight="false" outlineLevel="0" collapsed="false">
      <c r="A403" s="17"/>
      <c r="B403" s="17"/>
      <c r="C403" s="44" t="str">
        <f aca="false">IF(B403="","",IFERROR(INDEX(Clients!$C$2:$C$501,MATCH(B403,Clients!$A$2:$A$501,0)),"Client ID not found"))</f>
        <v/>
      </c>
      <c r="D403" s="17"/>
      <c r="E403" s="38"/>
      <c r="F403" s="39"/>
      <c r="G403" s="17"/>
      <c r="H403" s="17"/>
      <c r="I403" s="17"/>
      <c r="J403" s="38"/>
      <c r="K403" s="17"/>
      <c r="L403" s="17"/>
      <c r="M403" s="17"/>
      <c r="N403" s="44" t="str">
        <f aca="true">IF(A403="","",IF(N(K403)&gt;Settings!$S$7,"Over revision limit",IF(AND(D403="Free video",J403="",E403&lt;&gt;"",TODAY()&gt;WORKDAY(E403,Settings!$S$5)),"LATE – free video promised in 5 working days",IF(AND(E403&lt;&gt;"",E403=TODAY()),"Shooting today",""))))</f>
        <v/>
      </c>
    </row>
    <row r="404" customFormat="false" ht="15" hidden="false" customHeight="false" outlineLevel="0" collapsed="false">
      <c r="A404" s="17"/>
      <c r="B404" s="17"/>
      <c r="C404" s="44" t="str">
        <f aca="false">IF(B404="","",IFERROR(INDEX(Clients!$C$2:$C$501,MATCH(B404,Clients!$A$2:$A$501,0)),"Client ID not found"))</f>
        <v/>
      </c>
      <c r="D404" s="17"/>
      <c r="E404" s="38"/>
      <c r="F404" s="39"/>
      <c r="G404" s="17"/>
      <c r="H404" s="17"/>
      <c r="I404" s="17"/>
      <c r="J404" s="38"/>
      <c r="K404" s="17"/>
      <c r="L404" s="17"/>
      <c r="M404" s="17"/>
      <c r="N404" s="44" t="str">
        <f aca="true">IF(A404="","",IF(N(K404)&gt;Settings!$S$7,"Over revision limit",IF(AND(D404="Free video",J404="",E404&lt;&gt;"",TODAY()&gt;WORKDAY(E404,Settings!$S$5)),"LATE – free video promised in 5 working days",IF(AND(E404&lt;&gt;"",E404=TODAY()),"Shooting today",""))))</f>
        <v/>
      </c>
    </row>
    <row r="405" customFormat="false" ht="15" hidden="false" customHeight="false" outlineLevel="0" collapsed="false">
      <c r="A405" s="17"/>
      <c r="B405" s="17"/>
      <c r="C405" s="44" t="str">
        <f aca="false">IF(B405="","",IFERROR(INDEX(Clients!$C$2:$C$501,MATCH(B405,Clients!$A$2:$A$501,0)),"Client ID not found"))</f>
        <v/>
      </c>
      <c r="D405" s="17"/>
      <c r="E405" s="38"/>
      <c r="F405" s="39"/>
      <c r="G405" s="17"/>
      <c r="H405" s="17"/>
      <c r="I405" s="17"/>
      <c r="J405" s="38"/>
      <c r="K405" s="17"/>
      <c r="L405" s="17"/>
      <c r="M405" s="17"/>
      <c r="N405" s="44" t="str">
        <f aca="true">IF(A405="","",IF(N(K405)&gt;Settings!$S$7,"Over revision limit",IF(AND(D405="Free video",J405="",E405&lt;&gt;"",TODAY()&gt;WORKDAY(E405,Settings!$S$5)),"LATE – free video promised in 5 working days",IF(AND(E405&lt;&gt;"",E405=TODAY()),"Shooting today",""))))</f>
        <v/>
      </c>
    </row>
    <row r="406" customFormat="false" ht="15" hidden="false" customHeight="false" outlineLevel="0" collapsed="false">
      <c r="A406" s="17"/>
      <c r="B406" s="17"/>
      <c r="C406" s="44" t="str">
        <f aca="false">IF(B406="","",IFERROR(INDEX(Clients!$C$2:$C$501,MATCH(B406,Clients!$A$2:$A$501,0)),"Client ID not found"))</f>
        <v/>
      </c>
      <c r="D406" s="17"/>
      <c r="E406" s="38"/>
      <c r="F406" s="39"/>
      <c r="G406" s="17"/>
      <c r="H406" s="17"/>
      <c r="I406" s="17"/>
      <c r="J406" s="38"/>
      <c r="K406" s="17"/>
      <c r="L406" s="17"/>
      <c r="M406" s="17"/>
      <c r="N406" s="44" t="str">
        <f aca="true">IF(A406="","",IF(N(K406)&gt;Settings!$S$7,"Over revision limit",IF(AND(D406="Free video",J406="",E406&lt;&gt;"",TODAY()&gt;WORKDAY(E406,Settings!$S$5)),"LATE – free video promised in 5 working days",IF(AND(E406&lt;&gt;"",E406=TODAY()),"Shooting today",""))))</f>
        <v/>
      </c>
    </row>
    <row r="407" customFormat="false" ht="15" hidden="false" customHeight="false" outlineLevel="0" collapsed="false">
      <c r="A407" s="17"/>
      <c r="B407" s="17"/>
      <c r="C407" s="44" t="str">
        <f aca="false">IF(B407="","",IFERROR(INDEX(Clients!$C$2:$C$501,MATCH(B407,Clients!$A$2:$A$501,0)),"Client ID not found"))</f>
        <v/>
      </c>
      <c r="D407" s="17"/>
      <c r="E407" s="38"/>
      <c r="F407" s="39"/>
      <c r="G407" s="17"/>
      <c r="H407" s="17"/>
      <c r="I407" s="17"/>
      <c r="J407" s="38"/>
      <c r="K407" s="17"/>
      <c r="L407" s="17"/>
      <c r="M407" s="17"/>
      <c r="N407" s="44" t="str">
        <f aca="true">IF(A407="","",IF(N(K407)&gt;Settings!$S$7,"Over revision limit",IF(AND(D407="Free video",J407="",E407&lt;&gt;"",TODAY()&gt;WORKDAY(E407,Settings!$S$5)),"LATE – free video promised in 5 working days",IF(AND(E407&lt;&gt;"",E407=TODAY()),"Shooting today",""))))</f>
        <v/>
      </c>
    </row>
    <row r="408" customFormat="false" ht="15" hidden="false" customHeight="false" outlineLevel="0" collapsed="false">
      <c r="A408" s="17"/>
      <c r="B408" s="17"/>
      <c r="C408" s="44" t="str">
        <f aca="false">IF(B408="","",IFERROR(INDEX(Clients!$C$2:$C$501,MATCH(B408,Clients!$A$2:$A$501,0)),"Client ID not found"))</f>
        <v/>
      </c>
      <c r="D408" s="17"/>
      <c r="E408" s="38"/>
      <c r="F408" s="39"/>
      <c r="G408" s="17"/>
      <c r="H408" s="17"/>
      <c r="I408" s="17"/>
      <c r="J408" s="38"/>
      <c r="K408" s="17"/>
      <c r="L408" s="17"/>
      <c r="M408" s="17"/>
      <c r="N408" s="44" t="str">
        <f aca="true">IF(A408="","",IF(N(K408)&gt;Settings!$S$7,"Over revision limit",IF(AND(D408="Free video",J408="",E408&lt;&gt;"",TODAY()&gt;WORKDAY(E408,Settings!$S$5)),"LATE – free video promised in 5 working days",IF(AND(E408&lt;&gt;"",E408=TODAY()),"Shooting today",""))))</f>
        <v/>
      </c>
    </row>
    <row r="409" customFormat="false" ht="15" hidden="false" customHeight="false" outlineLevel="0" collapsed="false">
      <c r="A409" s="17"/>
      <c r="B409" s="17"/>
      <c r="C409" s="44" t="str">
        <f aca="false">IF(B409="","",IFERROR(INDEX(Clients!$C$2:$C$501,MATCH(B409,Clients!$A$2:$A$501,0)),"Client ID not found"))</f>
        <v/>
      </c>
      <c r="D409" s="17"/>
      <c r="E409" s="38"/>
      <c r="F409" s="39"/>
      <c r="G409" s="17"/>
      <c r="H409" s="17"/>
      <c r="I409" s="17"/>
      <c r="J409" s="38"/>
      <c r="K409" s="17"/>
      <c r="L409" s="17"/>
      <c r="M409" s="17"/>
      <c r="N409" s="44" t="str">
        <f aca="true">IF(A409="","",IF(N(K409)&gt;Settings!$S$7,"Over revision limit",IF(AND(D409="Free video",J409="",E409&lt;&gt;"",TODAY()&gt;WORKDAY(E409,Settings!$S$5)),"LATE – free video promised in 5 working days",IF(AND(E409&lt;&gt;"",E409=TODAY()),"Shooting today",""))))</f>
        <v/>
      </c>
    </row>
    <row r="410" customFormat="false" ht="15" hidden="false" customHeight="false" outlineLevel="0" collapsed="false">
      <c r="A410" s="17"/>
      <c r="B410" s="17"/>
      <c r="C410" s="44" t="str">
        <f aca="false">IF(B410="","",IFERROR(INDEX(Clients!$C$2:$C$501,MATCH(B410,Clients!$A$2:$A$501,0)),"Client ID not found"))</f>
        <v/>
      </c>
      <c r="D410" s="17"/>
      <c r="E410" s="38"/>
      <c r="F410" s="39"/>
      <c r="G410" s="17"/>
      <c r="H410" s="17"/>
      <c r="I410" s="17"/>
      <c r="J410" s="38"/>
      <c r="K410" s="17"/>
      <c r="L410" s="17"/>
      <c r="M410" s="17"/>
      <c r="N410" s="44" t="str">
        <f aca="true">IF(A410="","",IF(N(K410)&gt;Settings!$S$7,"Over revision limit",IF(AND(D410="Free video",J410="",E410&lt;&gt;"",TODAY()&gt;WORKDAY(E410,Settings!$S$5)),"LATE – free video promised in 5 working days",IF(AND(E410&lt;&gt;"",E410=TODAY()),"Shooting today",""))))</f>
        <v/>
      </c>
    </row>
    <row r="411" customFormat="false" ht="15" hidden="false" customHeight="false" outlineLevel="0" collapsed="false">
      <c r="A411" s="17"/>
      <c r="B411" s="17"/>
      <c r="C411" s="44" t="str">
        <f aca="false">IF(B411="","",IFERROR(INDEX(Clients!$C$2:$C$501,MATCH(B411,Clients!$A$2:$A$501,0)),"Client ID not found"))</f>
        <v/>
      </c>
      <c r="D411" s="17"/>
      <c r="E411" s="38"/>
      <c r="F411" s="39"/>
      <c r="G411" s="17"/>
      <c r="H411" s="17"/>
      <c r="I411" s="17"/>
      <c r="J411" s="38"/>
      <c r="K411" s="17"/>
      <c r="L411" s="17"/>
      <c r="M411" s="17"/>
      <c r="N411" s="44" t="str">
        <f aca="true">IF(A411="","",IF(N(K411)&gt;Settings!$S$7,"Over revision limit",IF(AND(D411="Free video",J411="",E411&lt;&gt;"",TODAY()&gt;WORKDAY(E411,Settings!$S$5)),"LATE – free video promised in 5 working days",IF(AND(E411&lt;&gt;"",E411=TODAY()),"Shooting today",""))))</f>
        <v/>
      </c>
    </row>
    <row r="412" customFormat="false" ht="15" hidden="false" customHeight="false" outlineLevel="0" collapsed="false">
      <c r="A412" s="17"/>
      <c r="B412" s="17"/>
      <c r="C412" s="44" t="str">
        <f aca="false">IF(B412="","",IFERROR(INDEX(Clients!$C$2:$C$501,MATCH(B412,Clients!$A$2:$A$501,0)),"Client ID not found"))</f>
        <v/>
      </c>
      <c r="D412" s="17"/>
      <c r="E412" s="38"/>
      <c r="F412" s="39"/>
      <c r="G412" s="17"/>
      <c r="H412" s="17"/>
      <c r="I412" s="17"/>
      <c r="J412" s="38"/>
      <c r="K412" s="17"/>
      <c r="L412" s="17"/>
      <c r="M412" s="17"/>
      <c r="N412" s="44" t="str">
        <f aca="true">IF(A412="","",IF(N(K412)&gt;Settings!$S$7,"Over revision limit",IF(AND(D412="Free video",J412="",E412&lt;&gt;"",TODAY()&gt;WORKDAY(E412,Settings!$S$5)),"LATE – free video promised in 5 working days",IF(AND(E412&lt;&gt;"",E412=TODAY()),"Shooting today",""))))</f>
        <v/>
      </c>
    </row>
    <row r="413" customFormat="false" ht="15" hidden="false" customHeight="false" outlineLevel="0" collapsed="false">
      <c r="A413" s="17"/>
      <c r="B413" s="17"/>
      <c r="C413" s="44" t="str">
        <f aca="false">IF(B413="","",IFERROR(INDEX(Clients!$C$2:$C$501,MATCH(B413,Clients!$A$2:$A$501,0)),"Client ID not found"))</f>
        <v/>
      </c>
      <c r="D413" s="17"/>
      <c r="E413" s="38"/>
      <c r="F413" s="39"/>
      <c r="G413" s="17"/>
      <c r="H413" s="17"/>
      <c r="I413" s="17"/>
      <c r="J413" s="38"/>
      <c r="K413" s="17"/>
      <c r="L413" s="17"/>
      <c r="M413" s="17"/>
      <c r="N413" s="44" t="str">
        <f aca="true">IF(A413="","",IF(N(K413)&gt;Settings!$S$7,"Over revision limit",IF(AND(D413="Free video",J413="",E413&lt;&gt;"",TODAY()&gt;WORKDAY(E413,Settings!$S$5)),"LATE – free video promised in 5 working days",IF(AND(E413&lt;&gt;"",E413=TODAY()),"Shooting today",""))))</f>
        <v/>
      </c>
    </row>
    <row r="414" customFormat="false" ht="15" hidden="false" customHeight="false" outlineLevel="0" collapsed="false">
      <c r="A414" s="17"/>
      <c r="B414" s="17"/>
      <c r="C414" s="44" t="str">
        <f aca="false">IF(B414="","",IFERROR(INDEX(Clients!$C$2:$C$501,MATCH(B414,Clients!$A$2:$A$501,0)),"Client ID not found"))</f>
        <v/>
      </c>
      <c r="D414" s="17"/>
      <c r="E414" s="38"/>
      <c r="F414" s="39"/>
      <c r="G414" s="17"/>
      <c r="H414" s="17"/>
      <c r="I414" s="17"/>
      <c r="J414" s="38"/>
      <c r="K414" s="17"/>
      <c r="L414" s="17"/>
      <c r="M414" s="17"/>
      <c r="N414" s="44" t="str">
        <f aca="true">IF(A414="","",IF(N(K414)&gt;Settings!$S$7,"Over revision limit",IF(AND(D414="Free video",J414="",E414&lt;&gt;"",TODAY()&gt;WORKDAY(E414,Settings!$S$5)),"LATE – free video promised in 5 working days",IF(AND(E414&lt;&gt;"",E414=TODAY()),"Shooting today",""))))</f>
        <v/>
      </c>
    </row>
    <row r="415" customFormat="false" ht="15" hidden="false" customHeight="false" outlineLevel="0" collapsed="false">
      <c r="A415" s="17"/>
      <c r="B415" s="17"/>
      <c r="C415" s="44" t="str">
        <f aca="false">IF(B415="","",IFERROR(INDEX(Clients!$C$2:$C$501,MATCH(B415,Clients!$A$2:$A$501,0)),"Client ID not found"))</f>
        <v/>
      </c>
      <c r="D415" s="17"/>
      <c r="E415" s="38"/>
      <c r="F415" s="39"/>
      <c r="G415" s="17"/>
      <c r="H415" s="17"/>
      <c r="I415" s="17"/>
      <c r="J415" s="38"/>
      <c r="K415" s="17"/>
      <c r="L415" s="17"/>
      <c r="M415" s="17"/>
      <c r="N415" s="44" t="str">
        <f aca="true">IF(A415="","",IF(N(K415)&gt;Settings!$S$7,"Over revision limit",IF(AND(D415="Free video",J415="",E415&lt;&gt;"",TODAY()&gt;WORKDAY(E415,Settings!$S$5)),"LATE – free video promised in 5 working days",IF(AND(E415&lt;&gt;"",E415=TODAY()),"Shooting today",""))))</f>
        <v/>
      </c>
    </row>
    <row r="416" customFormat="false" ht="15" hidden="false" customHeight="false" outlineLevel="0" collapsed="false">
      <c r="A416" s="17"/>
      <c r="B416" s="17"/>
      <c r="C416" s="44" t="str">
        <f aca="false">IF(B416="","",IFERROR(INDEX(Clients!$C$2:$C$501,MATCH(B416,Clients!$A$2:$A$501,0)),"Client ID not found"))</f>
        <v/>
      </c>
      <c r="D416" s="17"/>
      <c r="E416" s="38"/>
      <c r="F416" s="39"/>
      <c r="G416" s="17"/>
      <c r="H416" s="17"/>
      <c r="I416" s="17"/>
      <c r="J416" s="38"/>
      <c r="K416" s="17"/>
      <c r="L416" s="17"/>
      <c r="M416" s="17"/>
      <c r="N416" s="44" t="str">
        <f aca="true">IF(A416="","",IF(N(K416)&gt;Settings!$S$7,"Over revision limit",IF(AND(D416="Free video",J416="",E416&lt;&gt;"",TODAY()&gt;WORKDAY(E416,Settings!$S$5)),"LATE – free video promised in 5 working days",IF(AND(E416&lt;&gt;"",E416=TODAY()),"Shooting today",""))))</f>
        <v/>
      </c>
    </row>
    <row r="417" customFormat="false" ht="15" hidden="false" customHeight="false" outlineLevel="0" collapsed="false">
      <c r="A417" s="17"/>
      <c r="B417" s="17"/>
      <c r="C417" s="44" t="str">
        <f aca="false">IF(B417="","",IFERROR(INDEX(Clients!$C$2:$C$501,MATCH(B417,Clients!$A$2:$A$501,0)),"Client ID not found"))</f>
        <v/>
      </c>
      <c r="D417" s="17"/>
      <c r="E417" s="38"/>
      <c r="F417" s="39"/>
      <c r="G417" s="17"/>
      <c r="H417" s="17"/>
      <c r="I417" s="17"/>
      <c r="J417" s="38"/>
      <c r="K417" s="17"/>
      <c r="L417" s="17"/>
      <c r="M417" s="17"/>
      <c r="N417" s="44" t="str">
        <f aca="true">IF(A417="","",IF(N(K417)&gt;Settings!$S$7,"Over revision limit",IF(AND(D417="Free video",J417="",E417&lt;&gt;"",TODAY()&gt;WORKDAY(E417,Settings!$S$5)),"LATE – free video promised in 5 working days",IF(AND(E417&lt;&gt;"",E417=TODAY()),"Shooting today",""))))</f>
        <v/>
      </c>
    </row>
    <row r="418" customFormat="false" ht="15" hidden="false" customHeight="false" outlineLevel="0" collapsed="false">
      <c r="A418" s="17"/>
      <c r="B418" s="17"/>
      <c r="C418" s="44" t="str">
        <f aca="false">IF(B418="","",IFERROR(INDEX(Clients!$C$2:$C$501,MATCH(B418,Clients!$A$2:$A$501,0)),"Client ID not found"))</f>
        <v/>
      </c>
      <c r="D418" s="17"/>
      <c r="E418" s="38"/>
      <c r="F418" s="39"/>
      <c r="G418" s="17"/>
      <c r="H418" s="17"/>
      <c r="I418" s="17"/>
      <c r="J418" s="38"/>
      <c r="K418" s="17"/>
      <c r="L418" s="17"/>
      <c r="M418" s="17"/>
      <c r="N418" s="44" t="str">
        <f aca="true">IF(A418="","",IF(N(K418)&gt;Settings!$S$7,"Over revision limit",IF(AND(D418="Free video",J418="",E418&lt;&gt;"",TODAY()&gt;WORKDAY(E418,Settings!$S$5)),"LATE – free video promised in 5 working days",IF(AND(E418&lt;&gt;"",E418=TODAY()),"Shooting today",""))))</f>
        <v/>
      </c>
    </row>
    <row r="419" customFormat="false" ht="15" hidden="false" customHeight="false" outlineLevel="0" collapsed="false">
      <c r="A419" s="17"/>
      <c r="B419" s="17"/>
      <c r="C419" s="44" t="str">
        <f aca="false">IF(B419="","",IFERROR(INDEX(Clients!$C$2:$C$501,MATCH(B419,Clients!$A$2:$A$501,0)),"Client ID not found"))</f>
        <v/>
      </c>
      <c r="D419" s="17"/>
      <c r="E419" s="38"/>
      <c r="F419" s="39"/>
      <c r="G419" s="17"/>
      <c r="H419" s="17"/>
      <c r="I419" s="17"/>
      <c r="J419" s="38"/>
      <c r="K419" s="17"/>
      <c r="L419" s="17"/>
      <c r="M419" s="17"/>
      <c r="N419" s="44" t="str">
        <f aca="true">IF(A419="","",IF(N(K419)&gt;Settings!$S$7,"Over revision limit",IF(AND(D419="Free video",J419="",E419&lt;&gt;"",TODAY()&gt;WORKDAY(E419,Settings!$S$5)),"LATE – free video promised in 5 working days",IF(AND(E419&lt;&gt;"",E419=TODAY()),"Shooting today",""))))</f>
        <v/>
      </c>
    </row>
    <row r="420" customFormat="false" ht="15" hidden="false" customHeight="false" outlineLevel="0" collapsed="false">
      <c r="A420" s="17"/>
      <c r="B420" s="17"/>
      <c r="C420" s="44" t="str">
        <f aca="false">IF(B420="","",IFERROR(INDEX(Clients!$C$2:$C$501,MATCH(B420,Clients!$A$2:$A$501,0)),"Client ID not found"))</f>
        <v/>
      </c>
      <c r="D420" s="17"/>
      <c r="E420" s="38"/>
      <c r="F420" s="39"/>
      <c r="G420" s="17"/>
      <c r="H420" s="17"/>
      <c r="I420" s="17"/>
      <c r="J420" s="38"/>
      <c r="K420" s="17"/>
      <c r="L420" s="17"/>
      <c r="M420" s="17"/>
      <c r="N420" s="44" t="str">
        <f aca="true">IF(A420="","",IF(N(K420)&gt;Settings!$S$7,"Over revision limit",IF(AND(D420="Free video",J420="",E420&lt;&gt;"",TODAY()&gt;WORKDAY(E420,Settings!$S$5)),"LATE – free video promised in 5 working days",IF(AND(E420&lt;&gt;"",E420=TODAY()),"Shooting today",""))))</f>
        <v/>
      </c>
    </row>
    <row r="421" customFormat="false" ht="15" hidden="false" customHeight="false" outlineLevel="0" collapsed="false">
      <c r="A421" s="17"/>
      <c r="B421" s="17"/>
      <c r="C421" s="44" t="str">
        <f aca="false">IF(B421="","",IFERROR(INDEX(Clients!$C$2:$C$501,MATCH(B421,Clients!$A$2:$A$501,0)),"Client ID not found"))</f>
        <v/>
      </c>
      <c r="D421" s="17"/>
      <c r="E421" s="38"/>
      <c r="F421" s="39"/>
      <c r="G421" s="17"/>
      <c r="H421" s="17"/>
      <c r="I421" s="17"/>
      <c r="J421" s="38"/>
      <c r="K421" s="17"/>
      <c r="L421" s="17"/>
      <c r="M421" s="17"/>
      <c r="N421" s="44" t="str">
        <f aca="true">IF(A421="","",IF(N(K421)&gt;Settings!$S$7,"Over revision limit",IF(AND(D421="Free video",J421="",E421&lt;&gt;"",TODAY()&gt;WORKDAY(E421,Settings!$S$5)),"LATE – free video promised in 5 working days",IF(AND(E421&lt;&gt;"",E421=TODAY()),"Shooting today",""))))</f>
        <v/>
      </c>
    </row>
    <row r="422" customFormat="false" ht="15" hidden="false" customHeight="false" outlineLevel="0" collapsed="false">
      <c r="A422" s="17"/>
      <c r="B422" s="17"/>
      <c r="C422" s="44" t="str">
        <f aca="false">IF(B422="","",IFERROR(INDEX(Clients!$C$2:$C$501,MATCH(B422,Clients!$A$2:$A$501,0)),"Client ID not found"))</f>
        <v/>
      </c>
      <c r="D422" s="17"/>
      <c r="E422" s="38"/>
      <c r="F422" s="39"/>
      <c r="G422" s="17"/>
      <c r="H422" s="17"/>
      <c r="I422" s="17"/>
      <c r="J422" s="38"/>
      <c r="K422" s="17"/>
      <c r="L422" s="17"/>
      <c r="M422" s="17"/>
      <c r="N422" s="44" t="str">
        <f aca="true">IF(A422="","",IF(N(K422)&gt;Settings!$S$7,"Over revision limit",IF(AND(D422="Free video",J422="",E422&lt;&gt;"",TODAY()&gt;WORKDAY(E422,Settings!$S$5)),"LATE – free video promised in 5 working days",IF(AND(E422&lt;&gt;"",E422=TODAY()),"Shooting today",""))))</f>
        <v/>
      </c>
    </row>
    <row r="423" customFormat="false" ht="15" hidden="false" customHeight="false" outlineLevel="0" collapsed="false">
      <c r="A423" s="17"/>
      <c r="B423" s="17"/>
      <c r="C423" s="44" t="str">
        <f aca="false">IF(B423="","",IFERROR(INDEX(Clients!$C$2:$C$501,MATCH(B423,Clients!$A$2:$A$501,0)),"Client ID not found"))</f>
        <v/>
      </c>
      <c r="D423" s="17"/>
      <c r="E423" s="38"/>
      <c r="F423" s="39"/>
      <c r="G423" s="17"/>
      <c r="H423" s="17"/>
      <c r="I423" s="17"/>
      <c r="J423" s="38"/>
      <c r="K423" s="17"/>
      <c r="L423" s="17"/>
      <c r="M423" s="17"/>
      <c r="N423" s="44" t="str">
        <f aca="true">IF(A423="","",IF(N(K423)&gt;Settings!$S$7,"Over revision limit",IF(AND(D423="Free video",J423="",E423&lt;&gt;"",TODAY()&gt;WORKDAY(E423,Settings!$S$5)),"LATE – free video promised in 5 working days",IF(AND(E423&lt;&gt;"",E423=TODAY()),"Shooting today",""))))</f>
        <v/>
      </c>
    </row>
    <row r="424" customFormat="false" ht="15" hidden="false" customHeight="false" outlineLevel="0" collapsed="false">
      <c r="A424" s="17"/>
      <c r="B424" s="17"/>
      <c r="C424" s="44" t="str">
        <f aca="false">IF(B424="","",IFERROR(INDEX(Clients!$C$2:$C$501,MATCH(B424,Clients!$A$2:$A$501,0)),"Client ID not found"))</f>
        <v/>
      </c>
      <c r="D424" s="17"/>
      <c r="E424" s="38"/>
      <c r="F424" s="39"/>
      <c r="G424" s="17"/>
      <c r="H424" s="17"/>
      <c r="I424" s="17"/>
      <c r="J424" s="38"/>
      <c r="K424" s="17"/>
      <c r="L424" s="17"/>
      <c r="M424" s="17"/>
      <c r="N424" s="44" t="str">
        <f aca="true">IF(A424="","",IF(N(K424)&gt;Settings!$S$7,"Over revision limit",IF(AND(D424="Free video",J424="",E424&lt;&gt;"",TODAY()&gt;WORKDAY(E424,Settings!$S$5)),"LATE – free video promised in 5 working days",IF(AND(E424&lt;&gt;"",E424=TODAY()),"Shooting today",""))))</f>
        <v/>
      </c>
    </row>
    <row r="425" customFormat="false" ht="15" hidden="false" customHeight="false" outlineLevel="0" collapsed="false">
      <c r="A425" s="17"/>
      <c r="B425" s="17"/>
      <c r="C425" s="44" t="str">
        <f aca="false">IF(B425="","",IFERROR(INDEX(Clients!$C$2:$C$501,MATCH(B425,Clients!$A$2:$A$501,0)),"Client ID not found"))</f>
        <v/>
      </c>
      <c r="D425" s="17"/>
      <c r="E425" s="38"/>
      <c r="F425" s="39"/>
      <c r="G425" s="17"/>
      <c r="H425" s="17"/>
      <c r="I425" s="17"/>
      <c r="J425" s="38"/>
      <c r="K425" s="17"/>
      <c r="L425" s="17"/>
      <c r="M425" s="17"/>
      <c r="N425" s="44" t="str">
        <f aca="true">IF(A425="","",IF(N(K425)&gt;Settings!$S$7,"Over revision limit",IF(AND(D425="Free video",J425="",E425&lt;&gt;"",TODAY()&gt;WORKDAY(E425,Settings!$S$5)),"LATE – free video promised in 5 working days",IF(AND(E425&lt;&gt;"",E425=TODAY()),"Shooting today",""))))</f>
        <v/>
      </c>
    </row>
    <row r="426" customFormat="false" ht="15" hidden="false" customHeight="false" outlineLevel="0" collapsed="false">
      <c r="A426" s="17"/>
      <c r="B426" s="17"/>
      <c r="C426" s="44" t="str">
        <f aca="false">IF(B426="","",IFERROR(INDEX(Clients!$C$2:$C$501,MATCH(B426,Clients!$A$2:$A$501,0)),"Client ID not found"))</f>
        <v/>
      </c>
      <c r="D426" s="17"/>
      <c r="E426" s="38"/>
      <c r="F426" s="39"/>
      <c r="G426" s="17"/>
      <c r="H426" s="17"/>
      <c r="I426" s="17"/>
      <c r="J426" s="38"/>
      <c r="K426" s="17"/>
      <c r="L426" s="17"/>
      <c r="M426" s="17"/>
      <c r="N426" s="44" t="str">
        <f aca="true">IF(A426="","",IF(N(K426)&gt;Settings!$S$7,"Over revision limit",IF(AND(D426="Free video",J426="",E426&lt;&gt;"",TODAY()&gt;WORKDAY(E426,Settings!$S$5)),"LATE – free video promised in 5 working days",IF(AND(E426&lt;&gt;"",E426=TODAY()),"Shooting today",""))))</f>
        <v/>
      </c>
    </row>
    <row r="427" customFormat="false" ht="15" hidden="false" customHeight="false" outlineLevel="0" collapsed="false">
      <c r="A427" s="17"/>
      <c r="B427" s="17"/>
      <c r="C427" s="44" t="str">
        <f aca="false">IF(B427="","",IFERROR(INDEX(Clients!$C$2:$C$501,MATCH(B427,Clients!$A$2:$A$501,0)),"Client ID not found"))</f>
        <v/>
      </c>
      <c r="D427" s="17"/>
      <c r="E427" s="38"/>
      <c r="F427" s="39"/>
      <c r="G427" s="17"/>
      <c r="H427" s="17"/>
      <c r="I427" s="17"/>
      <c r="J427" s="38"/>
      <c r="K427" s="17"/>
      <c r="L427" s="17"/>
      <c r="M427" s="17"/>
      <c r="N427" s="44" t="str">
        <f aca="true">IF(A427="","",IF(N(K427)&gt;Settings!$S$7,"Over revision limit",IF(AND(D427="Free video",J427="",E427&lt;&gt;"",TODAY()&gt;WORKDAY(E427,Settings!$S$5)),"LATE – free video promised in 5 working days",IF(AND(E427&lt;&gt;"",E427=TODAY()),"Shooting today",""))))</f>
        <v/>
      </c>
    </row>
    <row r="428" customFormat="false" ht="15" hidden="false" customHeight="false" outlineLevel="0" collapsed="false">
      <c r="A428" s="17"/>
      <c r="B428" s="17"/>
      <c r="C428" s="44" t="str">
        <f aca="false">IF(B428="","",IFERROR(INDEX(Clients!$C$2:$C$501,MATCH(B428,Clients!$A$2:$A$501,0)),"Client ID not found"))</f>
        <v/>
      </c>
      <c r="D428" s="17"/>
      <c r="E428" s="38"/>
      <c r="F428" s="39"/>
      <c r="G428" s="17"/>
      <c r="H428" s="17"/>
      <c r="I428" s="17"/>
      <c r="J428" s="38"/>
      <c r="K428" s="17"/>
      <c r="L428" s="17"/>
      <c r="M428" s="17"/>
      <c r="N428" s="44" t="str">
        <f aca="true">IF(A428="","",IF(N(K428)&gt;Settings!$S$7,"Over revision limit",IF(AND(D428="Free video",J428="",E428&lt;&gt;"",TODAY()&gt;WORKDAY(E428,Settings!$S$5)),"LATE – free video promised in 5 working days",IF(AND(E428&lt;&gt;"",E428=TODAY()),"Shooting today",""))))</f>
        <v/>
      </c>
    </row>
    <row r="429" customFormat="false" ht="15" hidden="false" customHeight="false" outlineLevel="0" collapsed="false">
      <c r="A429" s="17"/>
      <c r="B429" s="17"/>
      <c r="C429" s="44" t="str">
        <f aca="false">IF(B429="","",IFERROR(INDEX(Clients!$C$2:$C$501,MATCH(B429,Clients!$A$2:$A$501,0)),"Client ID not found"))</f>
        <v/>
      </c>
      <c r="D429" s="17"/>
      <c r="E429" s="38"/>
      <c r="F429" s="39"/>
      <c r="G429" s="17"/>
      <c r="H429" s="17"/>
      <c r="I429" s="17"/>
      <c r="J429" s="38"/>
      <c r="K429" s="17"/>
      <c r="L429" s="17"/>
      <c r="M429" s="17"/>
      <c r="N429" s="44" t="str">
        <f aca="true">IF(A429="","",IF(N(K429)&gt;Settings!$S$7,"Over revision limit",IF(AND(D429="Free video",J429="",E429&lt;&gt;"",TODAY()&gt;WORKDAY(E429,Settings!$S$5)),"LATE – free video promised in 5 working days",IF(AND(E429&lt;&gt;"",E429=TODAY()),"Shooting today",""))))</f>
        <v/>
      </c>
    </row>
    <row r="430" customFormat="false" ht="15" hidden="false" customHeight="false" outlineLevel="0" collapsed="false">
      <c r="A430" s="17"/>
      <c r="B430" s="17"/>
      <c r="C430" s="44" t="str">
        <f aca="false">IF(B430="","",IFERROR(INDEX(Clients!$C$2:$C$501,MATCH(B430,Clients!$A$2:$A$501,0)),"Client ID not found"))</f>
        <v/>
      </c>
      <c r="D430" s="17"/>
      <c r="E430" s="38"/>
      <c r="F430" s="39"/>
      <c r="G430" s="17"/>
      <c r="H430" s="17"/>
      <c r="I430" s="17"/>
      <c r="J430" s="38"/>
      <c r="K430" s="17"/>
      <c r="L430" s="17"/>
      <c r="M430" s="17"/>
      <c r="N430" s="44" t="str">
        <f aca="true">IF(A430="","",IF(N(K430)&gt;Settings!$S$7,"Over revision limit",IF(AND(D430="Free video",J430="",E430&lt;&gt;"",TODAY()&gt;WORKDAY(E430,Settings!$S$5)),"LATE – free video promised in 5 working days",IF(AND(E430&lt;&gt;"",E430=TODAY()),"Shooting today",""))))</f>
        <v/>
      </c>
    </row>
    <row r="431" customFormat="false" ht="15" hidden="false" customHeight="false" outlineLevel="0" collapsed="false">
      <c r="A431" s="17"/>
      <c r="B431" s="17"/>
      <c r="C431" s="44" t="str">
        <f aca="false">IF(B431="","",IFERROR(INDEX(Clients!$C$2:$C$501,MATCH(B431,Clients!$A$2:$A$501,0)),"Client ID not found"))</f>
        <v/>
      </c>
      <c r="D431" s="17"/>
      <c r="E431" s="38"/>
      <c r="F431" s="39"/>
      <c r="G431" s="17"/>
      <c r="H431" s="17"/>
      <c r="I431" s="17"/>
      <c r="J431" s="38"/>
      <c r="K431" s="17"/>
      <c r="L431" s="17"/>
      <c r="M431" s="17"/>
      <c r="N431" s="44" t="str">
        <f aca="true">IF(A431="","",IF(N(K431)&gt;Settings!$S$7,"Over revision limit",IF(AND(D431="Free video",J431="",E431&lt;&gt;"",TODAY()&gt;WORKDAY(E431,Settings!$S$5)),"LATE – free video promised in 5 working days",IF(AND(E431&lt;&gt;"",E431=TODAY()),"Shooting today",""))))</f>
        <v/>
      </c>
    </row>
    <row r="432" customFormat="false" ht="15" hidden="false" customHeight="false" outlineLevel="0" collapsed="false">
      <c r="A432" s="17"/>
      <c r="B432" s="17"/>
      <c r="C432" s="44" t="str">
        <f aca="false">IF(B432="","",IFERROR(INDEX(Clients!$C$2:$C$501,MATCH(B432,Clients!$A$2:$A$501,0)),"Client ID not found"))</f>
        <v/>
      </c>
      <c r="D432" s="17"/>
      <c r="E432" s="38"/>
      <c r="F432" s="39"/>
      <c r="G432" s="17"/>
      <c r="H432" s="17"/>
      <c r="I432" s="17"/>
      <c r="J432" s="38"/>
      <c r="K432" s="17"/>
      <c r="L432" s="17"/>
      <c r="M432" s="17"/>
      <c r="N432" s="44" t="str">
        <f aca="true">IF(A432="","",IF(N(K432)&gt;Settings!$S$7,"Over revision limit",IF(AND(D432="Free video",J432="",E432&lt;&gt;"",TODAY()&gt;WORKDAY(E432,Settings!$S$5)),"LATE – free video promised in 5 working days",IF(AND(E432&lt;&gt;"",E432=TODAY()),"Shooting today",""))))</f>
        <v/>
      </c>
    </row>
    <row r="433" customFormat="false" ht="15" hidden="false" customHeight="false" outlineLevel="0" collapsed="false">
      <c r="A433" s="17"/>
      <c r="B433" s="17"/>
      <c r="C433" s="44" t="str">
        <f aca="false">IF(B433="","",IFERROR(INDEX(Clients!$C$2:$C$501,MATCH(B433,Clients!$A$2:$A$501,0)),"Client ID not found"))</f>
        <v/>
      </c>
      <c r="D433" s="17"/>
      <c r="E433" s="38"/>
      <c r="F433" s="39"/>
      <c r="G433" s="17"/>
      <c r="H433" s="17"/>
      <c r="I433" s="17"/>
      <c r="J433" s="38"/>
      <c r="K433" s="17"/>
      <c r="L433" s="17"/>
      <c r="M433" s="17"/>
      <c r="N433" s="44" t="str">
        <f aca="true">IF(A433="","",IF(N(K433)&gt;Settings!$S$7,"Over revision limit",IF(AND(D433="Free video",J433="",E433&lt;&gt;"",TODAY()&gt;WORKDAY(E433,Settings!$S$5)),"LATE – free video promised in 5 working days",IF(AND(E433&lt;&gt;"",E433=TODAY()),"Shooting today",""))))</f>
        <v/>
      </c>
    </row>
    <row r="434" customFormat="false" ht="15" hidden="false" customHeight="false" outlineLevel="0" collapsed="false">
      <c r="A434" s="17"/>
      <c r="B434" s="17"/>
      <c r="C434" s="44" t="str">
        <f aca="false">IF(B434="","",IFERROR(INDEX(Clients!$C$2:$C$501,MATCH(B434,Clients!$A$2:$A$501,0)),"Client ID not found"))</f>
        <v/>
      </c>
      <c r="D434" s="17"/>
      <c r="E434" s="38"/>
      <c r="F434" s="39"/>
      <c r="G434" s="17"/>
      <c r="H434" s="17"/>
      <c r="I434" s="17"/>
      <c r="J434" s="38"/>
      <c r="K434" s="17"/>
      <c r="L434" s="17"/>
      <c r="M434" s="17"/>
      <c r="N434" s="44" t="str">
        <f aca="true">IF(A434="","",IF(N(K434)&gt;Settings!$S$7,"Over revision limit",IF(AND(D434="Free video",J434="",E434&lt;&gt;"",TODAY()&gt;WORKDAY(E434,Settings!$S$5)),"LATE – free video promised in 5 working days",IF(AND(E434&lt;&gt;"",E434=TODAY()),"Shooting today",""))))</f>
        <v/>
      </c>
    </row>
    <row r="435" customFormat="false" ht="15" hidden="false" customHeight="false" outlineLevel="0" collapsed="false">
      <c r="A435" s="17"/>
      <c r="B435" s="17"/>
      <c r="C435" s="44" t="str">
        <f aca="false">IF(B435="","",IFERROR(INDEX(Clients!$C$2:$C$501,MATCH(B435,Clients!$A$2:$A$501,0)),"Client ID not found"))</f>
        <v/>
      </c>
      <c r="D435" s="17"/>
      <c r="E435" s="38"/>
      <c r="F435" s="39"/>
      <c r="G435" s="17"/>
      <c r="H435" s="17"/>
      <c r="I435" s="17"/>
      <c r="J435" s="38"/>
      <c r="K435" s="17"/>
      <c r="L435" s="17"/>
      <c r="M435" s="17"/>
      <c r="N435" s="44" t="str">
        <f aca="true">IF(A435="","",IF(N(K435)&gt;Settings!$S$7,"Over revision limit",IF(AND(D435="Free video",J435="",E435&lt;&gt;"",TODAY()&gt;WORKDAY(E435,Settings!$S$5)),"LATE – free video promised in 5 working days",IF(AND(E435&lt;&gt;"",E435=TODAY()),"Shooting today",""))))</f>
        <v/>
      </c>
    </row>
    <row r="436" customFormat="false" ht="15" hidden="false" customHeight="false" outlineLevel="0" collapsed="false">
      <c r="A436" s="17"/>
      <c r="B436" s="17"/>
      <c r="C436" s="44" t="str">
        <f aca="false">IF(B436="","",IFERROR(INDEX(Clients!$C$2:$C$501,MATCH(B436,Clients!$A$2:$A$501,0)),"Client ID not found"))</f>
        <v/>
      </c>
      <c r="D436" s="17"/>
      <c r="E436" s="38"/>
      <c r="F436" s="39"/>
      <c r="G436" s="17"/>
      <c r="H436" s="17"/>
      <c r="I436" s="17"/>
      <c r="J436" s="38"/>
      <c r="K436" s="17"/>
      <c r="L436" s="17"/>
      <c r="M436" s="17"/>
      <c r="N436" s="44" t="str">
        <f aca="true">IF(A436="","",IF(N(K436)&gt;Settings!$S$7,"Over revision limit",IF(AND(D436="Free video",J436="",E436&lt;&gt;"",TODAY()&gt;WORKDAY(E436,Settings!$S$5)),"LATE – free video promised in 5 working days",IF(AND(E436&lt;&gt;"",E436=TODAY()),"Shooting today",""))))</f>
        <v/>
      </c>
    </row>
    <row r="437" customFormat="false" ht="15" hidden="false" customHeight="false" outlineLevel="0" collapsed="false">
      <c r="A437" s="17"/>
      <c r="B437" s="17"/>
      <c r="C437" s="44" t="str">
        <f aca="false">IF(B437="","",IFERROR(INDEX(Clients!$C$2:$C$501,MATCH(B437,Clients!$A$2:$A$501,0)),"Client ID not found"))</f>
        <v/>
      </c>
      <c r="D437" s="17"/>
      <c r="E437" s="38"/>
      <c r="F437" s="39"/>
      <c r="G437" s="17"/>
      <c r="H437" s="17"/>
      <c r="I437" s="17"/>
      <c r="J437" s="38"/>
      <c r="K437" s="17"/>
      <c r="L437" s="17"/>
      <c r="M437" s="17"/>
      <c r="N437" s="44" t="str">
        <f aca="true">IF(A437="","",IF(N(K437)&gt;Settings!$S$7,"Over revision limit",IF(AND(D437="Free video",J437="",E437&lt;&gt;"",TODAY()&gt;WORKDAY(E437,Settings!$S$5)),"LATE – free video promised in 5 working days",IF(AND(E437&lt;&gt;"",E437=TODAY()),"Shooting today",""))))</f>
        <v/>
      </c>
    </row>
    <row r="438" customFormat="false" ht="15" hidden="false" customHeight="false" outlineLevel="0" collapsed="false">
      <c r="A438" s="17"/>
      <c r="B438" s="17"/>
      <c r="C438" s="44" t="str">
        <f aca="false">IF(B438="","",IFERROR(INDEX(Clients!$C$2:$C$501,MATCH(B438,Clients!$A$2:$A$501,0)),"Client ID not found"))</f>
        <v/>
      </c>
      <c r="D438" s="17"/>
      <c r="E438" s="38"/>
      <c r="F438" s="39"/>
      <c r="G438" s="17"/>
      <c r="H438" s="17"/>
      <c r="I438" s="17"/>
      <c r="J438" s="38"/>
      <c r="K438" s="17"/>
      <c r="L438" s="17"/>
      <c r="M438" s="17"/>
      <c r="N438" s="44" t="str">
        <f aca="true">IF(A438="","",IF(N(K438)&gt;Settings!$S$7,"Over revision limit",IF(AND(D438="Free video",J438="",E438&lt;&gt;"",TODAY()&gt;WORKDAY(E438,Settings!$S$5)),"LATE – free video promised in 5 working days",IF(AND(E438&lt;&gt;"",E438=TODAY()),"Shooting today",""))))</f>
        <v/>
      </c>
    </row>
    <row r="439" customFormat="false" ht="15" hidden="false" customHeight="false" outlineLevel="0" collapsed="false">
      <c r="A439" s="17"/>
      <c r="B439" s="17"/>
      <c r="C439" s="44" t="str">
        <f aca="false">IF(B439="","",IFERROR(INDEX(Clients!$C$2:$C$501,MATCH(B439,Clients!$A$2:$A$501,0)),"Client ID not found"))</f>
        <v/>
      </c>
      <c r="D439" s="17"/>
      <c r="E439" s="38"/>
      <c r="F439" s="39"/>
      <c r="G439" s="17"/>
      <c r="H439" s="17"/>
      <c r="I439" s="17"/>
      <c r="J439" s="38"/>
      <c r="K439" s="17"/>
      <c r="L439" s="17"/>
      <c r="M439" s="17"/>
      <c r="N439" s="44" t="str">
        <f aca="true">IF(A439="","",IF(N(K439)&gt;Settings!$S$7,"Over revision limit",IF(AND(D439="Free video",J439="",E439&lt;&gt;"",TODAY()&gt;WORKDAY(E439,Settings!$S$5)),"LATE – free video promised in 5 working days",IF(AND(E439&lt;&gt;"",E439=TODAY()),"Shooting today",""))))</f>
        <v/>
      </c>
    </row>
    <row r="440" customFormat="false" ht="15" hidden="false" customHeight="false" outlineLevel="0" collapsed="false">
      <c r="A440" s="17"/>
      <c r="B440" s="17"/>
      <c r="C440" s="44" t="str">
        <f aca="false">IF(B440="","",IFERROR(INDEX(Clients!$C$2:$C$501,MATCH(B440,Clients!$A$2:$A$501,0)),"Client ID not found"))</f>
        <v/>
      </c>
      <c r="D440" s="17"/>
      <c r="E440" s="38"/>
      <c r="F440" s="39"/>
      <c r="G440" s="17"/>
      <c r="H440" s="17"/>
      <c r="I440" s="17"/>
      <c r="J440" s="38"/>
      <c r="K440" s="17"/>
      <c r="L440" s="17"/>
      <c r="M440" s="17"/>
      <c r="N440" s="44" t="str">
        <f aca="true">IF(A440="","",IF(N(K440)&gt;Settings!$S$7,"Over revision limit",IF(AND(D440="Free video",J440="",E440&lt;&gt;"",TODAY()&gt;WORKDAY(E440,Settings!$S$5)),"LATE – free video promised in 5 working days",IF(AND(E440&lt;&gt;"",E440=TODAY()),"Shooting today",""))))</f>
        <v/>
      </c>
    </row>
    <row r="441" customFormat="false" ht="15" hidden="false" customHeight="false" outlineLevel="0" collapsed="false">
      <c r="A441" s="17"/>
      <c r="B441" s="17"/>
      <c r="C441" s="44" t="str">
        <f aca="false">IF(B441="","",IFERROR(INDEX(Clients!$C$2:$C$501,MATCH(B441,Clients!$A$2:$A$501,0)),"Client ID not found"))</f>
        <v/>
      </c>
      <c r="D441" s="17"/>
      <c r="E441" s="38"/>
      <c r="F441" s="39"/>
      <c r="G441" s="17"/>
      <c r="H441" s="17"/>
      <c r="I441" s="17"/>
      <c r="J441" s="38"/>
      <c r="K441" s="17"/>
      <c r="L441" s="17"/>
      <c r="M441" s="17"/>
      <c r="N441" s="44" t="str">
        <f aca="true">IF(A441="","",IF(N(K441)&gt;Settings!$S$7,"Over revision limit",IF(AND(D441="Free video",J441="",E441&lt;&gt;"",TODAY()&gt;WORKDAY(E441,Settings!$S$5)),"LATE – free video promised in 5 working days",IF(AND(E441&lt;&gt;"",E441=TODAY()),"Shooting today",""))))</f>
        <v/>
      </c>
    </row>
    <row r="442" customFormat="false" ht="15" hidden="false" customHeight="false" outlineLevel="0" collapsed="false">
      <c r="A442" s="17"/>
      <c r="B442" s="17"/>
      <c r="C442" s="44" t="str">
        <f aca="false">IF(B442="","",IFERROR(INDEX(Clients!$C$2:$C$501,MATCH(B442,Clients!$A$2:$A$501,0)),"Client ID not found"))</f>
        <v/>
      </c>
      <c r="D442" s="17"/>
      <c r="E442" s="38"/>
      <c r="F442" s="39"/>
      <c r="G442" s="17"/>
      <c r="H442" s="17"/>
      <c r="I442" s="17"/>
      <c r="J442" s="38"/>
      <c r="K442" s="17"/>
      <c r="L442" s="17"/>
      <c r="M442" s="17"/>
      <c r="N442" s="44" t="str">
        <f aca="true">IF(A442="","",IF(N(K442)&gt;Settings!$S$7,"Over revision limit",IF(AND(D442="Free video",J442="",E442&lt;&gt;"",TODAY()&gt;WORKDAY(E442,Settings!$S$5)),"LATE – free video promised in 5 working days",IF(AND(E442&lt;&gt;"",E442=TODAY()),"Shooting today",""))))</f>
        <v/>
      </c>
    </row>
    <row r="443" customFormat="false" ht="15" hidden="false" customHeight="false" outlineLevel="0" collapsed="false">
      <c r="A443" s="17"/>
      <c r="B443" s="17"/>
      <c r="C443" s="44" t="str">
        <f aca="false">IF(B443="","",IFERROR(INDEX(Clients!$C$2:$C$501,MATCH(B443,Clients!$A$2:$A$501,0)),"Client ID not found"))</f>
        <v/>
      </c>
      <c r="D443" s="17"/>
      <c r="E443" s="38"/>
      <c r="F443" s="39"/>
      <c r="G443" s="17"/>
      <c r="H443" s="17"/>
      <c r="I443" s="17"/>
      <c r="J443" s="38"/>
      <c r="K443" s="17"/>
      <c r="L443" s="17"/>
      <c r="M443" s="17"/>
      <c r="N443" s="44" t="str">
        <f aca="true">IF(A443="","",IF(N(K443)&gt;Settings!$S$7,"Over revision limit",IF(AND(D443="Free video",J443="",E443&lt;&gt;"",TODAY()&gt;WORKDAY(E443,Settings!$S$5)),"LATE – free video promised in 5 working days",IF(AND(E443&lt;&gt;"",E443=TODAY()),"Shooting today",""))))</f>
        <v/>
      </c>
    </row>
    <row r="444" customFormat="false" ht="15" hidden="false" customHeight="false" outlineLevel="0" collapsed="false">
      <c r="A444" s="17"/>
      <c r="B444" s="17"/>
      <c r="C444" s="44" t="str">
        <f aca="false">IF(B444="","",IFERROR(INDEX(Clients!$C$2:$C$501,MATCH(B444,Clients!$A$2:$A$501,0)),"Client ID not found"))</f>
        <v/>
      </c>
      <c r="D444" s="17"/>
      <c r="E444" s="38"/>
      <c r="F444" s="39"/>
      <c r="G444" s="17"/>
      <c r="H444" s="17"/>
      <c r="I444" s="17"/>
      <c r="J444" s="38"/>
      <c r="K444" s="17"/>
      <c r="L444" s="17"/>
      <c r="M444" s="17"/>
      <c r="N444" s="44" t="str">
        <f aca="true">IF(A444="","",IF(N(K444)&gt;Settings!$S$7,"Over revision limit",IF(AND(D444="Free video",J444="",E444&lt;&gt;"",TODAY()&gt;WORKDAY(E444,Settings!$S$5)),"LATE – free video promised in 5 working days",IF(AND(E444&lt;&gt;"",E444=TODAY()),"Shooting today",""))))</f>
        <v/>
      </c>
    </row>
    <row r="445" customFormat="false" ht="15" hidden="false" customHeight="false" outlineLevel="0" collapsed="false">
      <c r="A445" s="17"/>
      <c r="B445" s="17"/>
      <c r="C445" s="44" t="str">
        <f aca="false">IF(B445="","",IFERROR(INDEX(Clients!$C$2:$C$501,MATCH(B445,Clients!$A$2:$A$501,0)),"Client ID not found"))</f>
        <v/>
      </c>
      <c r="D445" s="17"/>
      <c r="E445" s="38"/>
      <c r="F445" s="39"/>
      <c r="G445" s="17"/>
      <c r="H445" s="17"/>
      <c r="I445" s="17"/>
      <c r="J445" s="38"/>
      <c r="K445" s="17"/>
      <c r="L445" s="17"/>
      <c r="M445" s="17"/>
      <c r="N445" s="44" t="str">
        <f aca="true">IF(A445="","",IF(N(K445)&gt;Settings!$S$7,"Over revision limit",IF(AND(D445="Free video",J445="",E445&lt;&gt;"",TODAY()&gt;WORKDAY(E445,Settings!$S$5)),"LATE – free video promised in 5 working days",IF(AND(E445&lt;&gt;"",E445=TODAY()),"Shooting today",""))))</f>
        <v/>
      </c>
    </row>
    <row r="446" customFormat="false" ht="15" hidden="false" customHeight="false" outlineLevel="0" collapsed="false">
      <c r="A446" s="17"/>
      <c r="B446" s="17"/>
      <c r="C446" s="44" t="str">
        <f aca="false">IF(B446="","",IFERROR(INDEX(Clients!$C$2:$C$501,MATCH(B446,Clients!$A$2:$A$501,0)),"Client ID not found"))</f>
        <v/>
      </c>
      <c r="D446" s="17"/>
      <c r="E446" s="38"/>
      <c r="F446" s="39"/>
      <c r="G446" s="17"/>
      <c r="H446" s="17"/>
      <c r="I446" s="17"/>
      <c r="J446" s="38"/>
      <c r="K446" s="17"/>
      <c r="L446" s="17"/>
      <c r="M446" s="17"/>
      <c r="N446" s="44" t="str">
        <f aca="true">IF(A446="","",IF(N(K446)&gt;Settings!$S$7,"Over revision limit",IF(AND(D446="Free video",J446="",E446&lt;&gt;"",TODAY()&gt;WORKDAY(E446,Settings!$S$5)),"LATE – free video promised in 5 working days",IF(AND(E446&lt;&gt;"",E446=TODAY()),"Shooting today",""))))</f>
        <v/>
      </c>
    </row>
    <row r="447" customFormat="false" ht="15" hidden="false" customHeight="false" outlineLevel="0" collapsed="false">
      <c r="A447" s="17"/>
      <c r="B447" s="17"/>
      <c r="C447" s="44" t="str">
        <f aca="false">IF(B447="","",IFERROR(INDEX(Clients!$C$2:$C$501,MATCH(B447,Clients!$A$2:$A$501,0)),"Client ID not found"))</f>
        <v/>
      </c>
      <c r="D447" s="17"/>
      <c r="E447" s="38"/>
      <c r="F447" s="39"/>
      <c r="G447" s="17"/>
      <c r="H447" s="17"/>
      <c r="I447" s="17"/>
      <c r="J447" s="38"/>
      <c r="K447" s="17"/>
      <c r="L447" s="17"/>
      <c r="M447" s="17"/>
      <c r="N447" s="44" t="str">
        <f aca="true">IF(A447="","",IF(N(K447)&gt;Settings!$S$7,"Over revision limit",IF(AND(D447="Free video",J447="",E447&lt;&gt;"",TODAY()&gt;WORKDAY(E447,Settings!$S$5)),"LATE – free video promised in 5 working days",IF(AND(E447&lt;&gt;"",E447=TODAY()),"Shooting today",""))))</f>
        <v/>
      </c>
    </row>
    <row r="448" customFormat="false" ht="15" hidden="false" customHeight="false" outlineLevel="0" collapsed="false">
      <c r="A448" s="17"/>
      <c r="B448" s="17"/>
      <c r="C448" s="44" t="str">
        <f aca="false">IF(B448="","",IFERROR(INDEX(Clients!$C$2:$C$501,MATCH(B448,Clients!$A$2:$A$501,0)),"Client ID not found"))</f>
        <v/>
      </c>
      <c r="D448" s="17"/>
      <c r="E448" s="38"/>
      <c r="F448" s="39"/>
      <c r="G448" s="17"/>
      <c r="H448" s="17"/>
      <c r="I448" s="17"/>
      <c r="J448" s="38"/>
      <c r="K448" s="17"/>
      <c r="L448" s="17"/>
      <c r="M448" s="17"/>
      <c r="N448" s="44" t="str">
        <f aca="true">IF(A448="","",IF(N(K448)&gt;Settings!$S$7,"Over revision limit",IF(AND(D448="Free video",J448="",E448&lt;&gt;"",TODAY()&gt;WORKDAY(E448,Settings!$S$5)),"LATE – free video promised in 5 working days",IF(AND(E448&lt;&gt;"",E448=TODAY()),"Shooting today",""))))</f>
        <v/>
      </c>
    </row>
    <row r="449" customFormat="false" ht="15" hidden="false" customHeight="false" outlineLevel="0" collapsed="false">
      <c r="A449" s="17"/>
      <c r="B449" s="17"/>
      <c r="C449" s="44" t="str">
        <f aca="false">IF(B449="","",IFERROR(INDEX(Clients!$C$2:$C$501,MATCH(B449,Clients!$A$2:$A$501,0)),"Client ID not found"))</f>
        <v/>
      </c>
      <c r="D449" s="17"/>
      <c r="E449" s="38"/>
      <c r="F449" s="39"/>
      <c r="G449" s="17"/>
      <c r="H449" s="17"/>
      <c r="I449" s="17"/>
      <c r="J449" s="38"/>
      <c r="K449" s="17"/>
      <c r="L449" s="17"/>
      <c r="M449" s="17"/>
      <c r="N449" s="44" t="str">
        <f aca="true">IF(A449="","",IF(N(K449)&gt;Settings!$S$7,"Over revision limit",IF(AND(D449="Free video",J449="",E449&lt;&gt;"",TODAY()&gt;WORKDAY(E449,Settings!$S$5)),"LATE – free video promised in 5 working days",IF(AND(E449&lt;&gt;"",E449=TODAY()),"Shooting today",""))))</f>
        <v/>
      </c>
    </row>
    <row r="450" customFormat="false" ht="15" hidden="false" customHeight="false" outlineLevel="0" collapsed="false">
      <c r="A450" s="17"/>
      <c r="B450" s="17"/>
      <c r="C450" s="44" t="str">
        <f aca="false">IF(B450="","",IFERROR(INDEX(Clients!$C$2:$C$501,MATCH(B450,Clients!$A$2:$A$501,0)),"Client ID not found"))</f>
        <v/>
      </c>
      <c r="D450" s="17"/>
      <c r="E450" s="38"/>
      <c r="F450" s="39"/>
      <c r="G450" s="17"/>
      <c r="H450" s="17"/>
      <c r="I450" s="17"/>
      <c r="J450" s="38"/>
      <c r="K450" s="17"/>
      <c r="L450" s="17"/>
      <c r="M450" s="17"/>
      <c r="N450" s="44" t="str">
        <f aca="true">IF(A450="","",IF(N(K450)&gt;Settings!$S$7,"Over revision limit",IF(AND(D450="Free video",J450="",E450&lt;&gt;"",TODAY()&gt;WORKDAY(E450,Settings!$S$5)),"LATE – free video promised in 5 working days",IF(AND(E450&lt;&gt;"",E450=TODAY()),"Shooting today",""))))</f>
        <v/>
      </c>
    </row>
    <row r="451" customFormat="false" ht="15" hidden="false" customHeight="false" outlineLevel="0" collapsed="false">
      <c r="A451" s="17"/>
      <c r="B451" s="17"/>
      <c r="C451" s="44" t="str">
        <f aca="false">IF(B451="","",IFERROR(INDEX(Clients!$C$2:$C$501,MATCH(B451,Clients!$A$2:$A$501,0)),"Client ID not found"))</f>
        <v/>
      </c>
      <c r="D451" s="17"/>
      <c r="E451" s="38"/>
      <c r="F451" s="39"/>
      <c r="G451" s="17"/>
      <c r="H451" s="17"/>
      <c r="I451" s="17"/>
      <c r="J451" s="38"/>
      <c r="K451" s="17"/>
      <c r="L451" s="17"/>
      <c r="M451" s="17"/>
      <c r="N451" s="44" t="str">
        <f aca="true">IF(A451="","",IF(N(K451)&gt;Settings!$S$7,"Over revision limit",IF(AND(D451="Free video",J451="",E451&lt;&gt;"",TODAY()&gt;WORKDAY(E451,Settings!$S$5)),"LATE – free video promised in 5 working days",IF(AND(E451&lt;&gt;"",E451=TODAY()),"Shooting today",""))))</f>
        <v/>
      </c>
    </row>
    <row r="452" customFormat="false" ht="15" hidden="false" customHeight="false" outlineLevel="0" collapsed="false">
      <c r="A452" s="17"/>
      <c r="B452" s="17"/>
      <c r="C452" s="44" t="str">
        <f aca="false">IF(B452="","",IFERROR(INDEX(Clients!$C$2:$C$501,MATCH(B452,Clients!$A$2:$A$501,0)),"Client ID not found"))</f>
        <v/>
      </c>
      <c r="D452" s="17"/>
      <c r="E452" s="38"/>
      <c r="F452" s="39"/>
      <c r="G452" s="17"/>
      <c r="H452" s="17"/>
      <c r="I452" s="17"/>
      <c r="J452" s="38"/>
      <c r="K452" s="17"/>
      <c r="L452" s="17"/>
      <c r="M452" s="17"/>
      <c r="N452" s="44" t="str">
        <f aca="true">IF(A452="","",IF(N(K452)&gt;Settings!$S$7,"Over revision limit",IF(AND(D452="Free video",J452="",E452&lt;&gt;"",TODAY()&gt;WORKDAY(E452,Settings!$S$5)),"LATE – free video promised in 5 working days",IF(AND(E452&lt;&gt;"",E452=TODAY()),"Shooting today",""))))</f>
        <v/>
      </c>
    </row>
    <row r="453" customFormat="false" ht="15" hidden="false" customHeight="false" outlineLevel="0" collapsed="false">
      <c r="A453" s="17"/>
      <c r="B453" s="17"/>
      <c r="C453" s="44" t="str">
        <f aca="false">IF(B453="","",IFERROR(INDEX(Clients!$C$2:$C$501,MATCH(B453,Clients!$A$2:$A$501,0)),"Client ID not found"))</f>
        <v/>
      </c>
      <c r="D453" s="17"/>
      <c r="E453" s="38"/>
      <c r="F453" s="39"/>
      <c r="G453" s="17"/>
      <c r="H453" s="17"/>
      <c r="I453" s="17"/>
      <c r="J453" s="38"/>
      <c r="K453" s="17"/>
      <c r="L453" s="17"/>
      <c r="M453" s="17"/>
      <c r="N453" s="44" t="str">
        <f aca="true">IF(A453="","",IF(N(K453)&gt;Settings!$S$7,"Over revision limit",IF(AND(D453="Free video",J453="",E453&lt;&gt;"",TODAY()&gt;WORKDAY(E453,Settings!$S$5)),"LATE – free video promised in 5 working days",IF(AND(E453&lt;&gt;"",E453=TODAY()),"Shooting today",""))))</f>
        <v/>
      </c>
    </row>
    <row r="454" customFormat="false" ht="15" hidden="false" customHeight="false" outlineLevel="0" collapsed="false">
      <c r="A454" s="17"/>
      <c r="B454" s="17"/>
      <c r="C454" s="44" t="str">
        <f aca="false">IF(B454="","",IFERROR(INDEX(Clients!$C$2:$C$501,MATCH(B454,Clients!$A$2:$A$501,0)),"Client ID not found"))</f>
        <v/>
      </c>
      <c r="D454" s="17"/>
      <c r="E454" s="38"/>
      <c r="F454" s="39"/>
      <c r="G454" s="17"/>
      <c r="H454" s="17"/>
      <c r="I454" s="17"/>
      <c r="J454" s="38"/>
      <c r="K454" s="17"/>
      <c r="L454" s="17"/>
      <c r="M454" s="17"/>
      <c r="N454" s="44" t="str">
        <f aca="true">IF(A454="","",IF(N(K454)&gt;Settings!$S$7,"Over revision limit",IF(AND(D454="Free video",J454="",E454&lt;&gt;"",TODAY()&gt;WORKDAY(E454,Settings!$S$5)),"LATE – free video promised in 5 working days",IF(AND(E454&lt;&gt;"",E454=TODAY()),"Shooting today",""))))</f>
        <v/>
      </c>
    </row>
    <row r="455" customFormat="false" ht="15" hidden="false" customHeight="false" outlineLevel="0" collapsed="false">
      <c r="A455" s="17"/>
      <c r="B455" s="17"/>
      <c r="C455" s="44" t="str">
        <f aca="false">IF(B455="","",IFERROR(INDEX(Clients!$C$2:$C$501,MATCH(B455,Clients!$A$2:$A$501,0)),"Client ID not found"))</f>
        <v/>
      </c>
      <c r="D455" s="17"/>
      <c r="E455" s="38"/>
      <c r="F455" s="39"/>
      <c r="G455" s="17"/>
      <c r="H455" s="17"/>
      <c r="I455" s="17"/>
      <c r="J455" s="38"/>
      <c r="K455" s="17"/>
      <c r="L455" s="17"/>
      <c r="M455" s="17"/>
      <c r="N455" s="44" t="str">
        <f aca="true">IF(A455="","",IF(N(K455)&gt;Settings!$S$7,"Over revision limit",IF(AND(D455="Free video",J455="",E455&lt;&gt;"",TODAY()&gt;WORKDAY(E455,Settings!$S$5)),"LATE – free video promised in 5 working days",IF(AND(E455&lt;&gt;"",E455=TODAY()),"Shooting today",""))))</f>
        <v/>
      </c>
    </row>
    <row r="456" customFormat="false" ht="15" hidden="false" customHeight="false" outlineLevel="0" collapsed="false">
      <c r="A456" s="17"/>
      <c r="B456" s="17"/>
      <c r="C456" s="44" t="str">
        <f aca="false">IF(B456="","",IFERROR(INDEX(Clients!$C$2:$C$501,MATCH(B456,Clients!$A$2:$A$501,0)),"Client ID not found"))</f>
        <v/>
      </c>
      <c r="D456" s="17"/>
      <c r="E456" s="38"/>
      <c r="F456" s="39"/>
      <c r="G456" s="17"/>
      <c r="H456" s="17"/>
      <c r="I456" s="17"/>
      <c r="J456" s="38"/>
      <c r="K456" s="17"/>
      <c r="L456" s="17"/>
      <c r="M456" s="17"/>
      <c r="N456" s="44" t="str">
        <f aca="true">IF(A456="","",IF(N(K456)&gt;Settings!$S$7,"Over revision limit",IF(AND(D456="Free video",J456="",E456&lt;&gt;"",TODAY()&gt;WORKDAY(E456,Settings!$S$5)),"LATE – free video promised in 5 working days",IF(AND(E456&lt;&gt;"",E456=TODAY()),"Shooting today",""))))</f>
        <v/>
      </c>
    </row>
    <row r="457" customFormat="false" ht="15" hidden="false" customHeight="false" outlineLevel="0" collapsed="false">
      <c r="A457" s="17"/>
      <c r="B457" s="17"/>
      <c r="C457" s="44" t="str">
        <f aca="false">IF(B457="","",IFERROR(INDEX(Clients!$C$2:$C$501,MATCH(B457,Clients!$A$2:$A$501,0)),"Client ID not found"))</f>
        <v/>
      </c>
      <c r="D457" s="17"/>
      <c r="E457" s="38"/>
      <c r="F457" s="39"/>
      <c r="G457" s="17"/>
      <c r="H457" s="17"/>
      <c r="I457" s="17"/>
      <c r="J457" s="38"/>
      <c r="K457" s="17"/>
      <c r="L457" s="17"/>
      <c r="M457" s="17"/>
      <c r="N457" s="44" t="str">
        <f aca="true">IF(A457="","",IF(N(K457)&gt;Settings!$S$7,"Over revision limit",IF(AND(D457="Free video",J457="",E457&lt;&gt;"",TODAY()&gt;WORKDAY(E457,Settings!$S$5)),"LATE – free video promised in 5 working days",IF(AND(E457&lt;&gt;"",E457=TODAY()),"Shooting today",""))))</f>
        <v/>
      </c>
    </row>
    <row r="458" customFormat="false" ht="15" hidden="false" customHeight="false" outlineLevel="0" collapsed="false">
      <c r="A458" s="17"/>
      <c r="B458" s="17"/>
      <c r="C458" s="44" t="str">
        <f aca="false">IF(B458="","",IFERROR(INDEX(Clients!$C$2:$C$501,MATCH(B458,Clients!$A$2:$A$501,0)),"Client ID not found"))</f>
        <v/>
      </c>
      <c r="D458" s="17"/>
      <c r="E458" s="38"/>
      <c r="F458" s="39"/>
      <c r="G458" s="17"/>
      <c r="H458" s="17"/>
      <c r="I458" s="17"/>
      <c r="J458" s="38"/>
      <c r="K458" s="17"/>
      <c r="L458" s="17"/>
      <c r="M458" s="17"/>
      <c r="N458" s="44" t="str">
        <f aca="true">IF(A458="","",IF(N(K458)&gt;Settings!$S$7,"Over revision limit",IF(AND(D458="Free video",J458="",E458&lt;&gt;"",TODAY()&gt;WORKDAY(E458,Settings!$S$5)),"LATE – free video promised in 5 working days",IF(AND(E458&lt;&gt;"",E458=TODAY()),"Shooting today",""))))</f>
        <v/>
      </c>
    </row>
    <row r="459" customFormat="false" ht="15" hidden="false" customHeight="false" outlineLevel="0" collapsed="false">
      <c r="A459" s="17"/>
      <c r="B459" s="17"/>
      <c r="C459" s="44" t="str">
        <f aca="false">IF(B459="","",IFERROR(INDEX(Clients!$C$2:$C$501,MATCH(B459,Clients!$A$2:$A$501,0)),"Client ID not found"))</f>
        <v/>
      </c>
      <c r="D459" s="17"/>
      <c r="E459" s="38"/>
      <c r="F459" s="39"/>
      <c r="G459" s="17"/>
      <c r="H459" s="17"/>
      <c r="I459" s="17"/>
      <c r="J459" s="38"/>
      <c r="K459" s="17"/>
      <c r="L459" s="17"/>
      <c r="M459" s="17"/>
      <c r="N459" s="44" t="str">
        <f aca="true">IF(A459="","",IF(N(K459)&gt;Settings!$S$7,"Over revision limit",IF(AND(D459="Free video",J459="",E459&lt;&gt;"",TODAY()&gt;WORKDAY(E459,Settings!$S$5)),"LATE – free video promised in 5 working days",IF(AND(E459&lt;&gt;"",E459=TODAY()),"Shooting today",""))))</f>
        <v/>
      </c>
    </row>
    <row r="460" customFormat="false" ht="15" hidden="false" customHeight="false" outlineLevel="0" collapsed="false">
      <c r="A460" s="17"/>
      <c r="B460" s="17"/>
      <c r="C460" s="44" t="str">
        <f aca="false">IF(B460="","",IFERROR(INDEX(Clients!$C$2:$C$501,MATCH(B460,Clients!$A$2:$A$501,0)),"Client ID not found"))</f>
        <v/>
      </c>
      <c r="D460" s="17"/>
      <c r="E460" s="38"/>
      <c r="F460" s="39"/>
      <c r="G460" s="17"/>
      <c r="H460" s="17"/>
      <c r="I460" s="17"/>
      <c r="J460" s="38"/>
      <c r="K460" s="17"/>
      <c r="L460" s="17"/>
      <c r="M460" s="17"/>
      <c r="N460" s="44" t="str">
        <f aca="true">IF(A460="","",IF(N(K460)&gt;Settings!$S$7,"Over revision limit",IF(AND(D460="Free video",J460="",E460&lt;&gt;"",TODAY()&gt;WORKDAY(E460,Settings!$S$5)),"LATE – free video promised in 5 working days",IF(AND(E460&lt;&gt;"",E460=TODAY()),"Shooting today",""))))</f>
        <v/>
      </c>
    </row>
    <row r="461" customFormat="false" ht="15" hidden="false" customHeight="false" outlineLevel="0" collapsed="false">
      <c r="A461" s="17"/>
      <c r="B461" s="17"/>
      <c r="C461" s="44" t="str">
        <f aca="false">IF(B461="","",IFERROR(INDEX(Clients!$C$2:$C$501,MATCH(B461,Clients!$A$2:$A$501,0)),"Client ID not found"))</f>
        <v/>
      </c>
      <c r="D461" s="17"/>
      <c r="E461" s="38"/>
      <c r="F461" s="39"/>
      <c r="G461" s="17"/>
      <c r="H461" s="17"/>
      <c r="I461" s="17"/>
      <c r="J461" s="38"/>
      <c r="K461" s="17"/>
      <c r="L461" s="17"/>
      <c r="M461" s="17"/>
      <c r="N461" s="44" t="str">
        <f aca="true">IF(A461="","",IF(N(K461)&gt;Settings!$S$7,"Over revision limit",IF(AND(D461="Free video",J461="",E461&lt;&gt;"",TODAY()&gt;WORKDAY(E461,Settings!$S$5)),"LATE – free video promised in 5 working days",IF(AND(E461&lt;&gt;"",E461=TODAY()),"Shooting today",""))))</f>
        <v/>
      </c>
    </row>
    <row r="462" customFormat="false" ht="15" hidden="false" customHeight="false" outlineLevel="0" collapsed="false">
      <c r="A462" s="17"/>
      <c r="B462" s="17"/>
      <c r="C462" s="44" t="str">
        <f aca="false">IF(B462="","",IFERROR(INDEX(Clients!$C$2:$C$501,MATCH(B462,Clients!$A$2:$A$501,0)),"Client ID not found"))</f>
        <v/>
      </c>
      <c r="D462" s="17"/>
      <c r="E462" s="38"/>
      <c r="F462" s="39"/>
      <c r="G462" s="17"/>
      <c r="H462" s="17"/>
      <c r="I462" s="17"/>
      <c r="J462" s="38"/>
      <c r="K462" s="17"/>
      <c r="L462" s="17"/>
      <c r="M462" s="17"/>
      <c r="N462" s="44" t="str">
        <f aca="true">IF(A462="","",IF(N(K462)&gt;Settings!$S$7,"Over revision limit",IF(AND(D462="Free video",J462="",E462&lt;&gt;"",TODAY()&gt;WORKDAY(E462,Settings!$S$5)),"LATE – free video promised in 5 working days",IF(AND(E462&lt;&gt;"",E462=TODAY()),"Shooting today",""))))</f>
        <v/>
      </c>
    </row>
    <row r="463" customFormat="false" ht="15" hidden="false" customHeight="false" outlineLevel="0" collapsed="false">
      <c r="A463" s="17"/>
      <c r="B463" s="17"/>
      <c r="C463" s="44" t="str">
        <f aca="false">IF(B463="","",IFERROR(INDEX(Clients!$C$2:$C$501,MATCH(B463,Clients!$A$2:$A$501,0)),"Client ID not found"))</f>
        <v/>
      </c>
      <c r="D463" s="17"/>
      <c r="E463" s="38"/>
      <c r="F463" s="39"/>
      <c r="G463" s="17"/>
      <c r="H463" s="17"/>
      <c r="I463" s="17"/>
      <c r="J463" s="38"/>
      <c r="K463" s="17"/>
      <c r="L463" s="17"/>
      <c r="M463" s="17"/>
      <c r="N463" s="44" t="str">
        <f aca="true">IF(A463="","",IF(N(K463)&gt;Settings!$S$7,"Over revision limit",IF(AND(D463="Free video",J463="",E463&lt;&gt;"",TODAY()&gt;WORKDAY(E463,Settings!$S$5)),"LATE – free video promised in 5 working days",IF(AND(E463&lt;&gt;"",E463=TODAY()),"Shooting today",""))))</f>
        <v/>
      </c>
    </row>
    <row r="464" customFormat="false" ht="15" hidden="false" customHeight="false" outlineLevel="0" collapsed="false">
      <c r="A464" s="17"/>
      <c r="B464" s="17"/>
      <c r="C464" s="44" t="str">
        <f aca="false">IF(B464="","",IFERROR(INDEX(Clients!$C$2:$C$501,MATCH(B464,Clients!$A$2:$A$501,0)),"Client ID not found"))</f>
        <v/>
      </c>
      <c r="D464" s="17"/>
      <c r="E464" s="38"/>
      <c r="F464" s="39"/>
      <c r="G464" s="17"/>
      <c r="H464" s="17"/>
      <c r="I464" s="17"/>
      <c r="J464" s="38"/>
      <c r="K464" s="17"/>
      <c r="L464" s="17"/>
      <c r="M464" s="17"/>
      <c r="N464" s="44" t="str">
        <f aca="true">IF(A464="","",IF(N(K464)&gt;Settings!$S$7,"Over revision limit",IF(AND(D464="Free video",J464="",E464&lt;&gt;"",TODAY()&gt;WORKDAY(E464,Settings!$S$5)),"LATE – free video promised in 5 working days",IF(AND(E464&lt;&gt;"",E464=TODAY()),"Shooting today",""))))</f>
        <v/>
      </c>
    </row>
    <row r="465" customFormat="false" ht="15" hidden="false" customHeight="false" outlineLevel="0" collapsed="false">
      <c r="A465" s="17"/>
      <c r="B465" s="17"/>
      <c r="C465" s="44" t="str">
        <f aca="false">IF(B465="","",IFERROR(INDEX(Clients!$C$2:$C$501,MATCH(B465,Clients!$A$2:$A$501,0)),"Client ID not found"))</f>
        <v/>
      </c>
      <c r="D465" s="17"/>
      <c r="E465" s="38"/>
      <c r="F465" s="39"/>
      <c r="G465" s="17"/>
      <c r="H465" s="17"/>
      <c r="I465" s="17"/>
      <c r="J465" s="38"/>
      <c r="K465" s="17"/>
      <c r="L465" s="17"/>
      <c r="M465" s="17"/>
      <c r="N465" s="44" t="str">
        <f aca="true">IF(A465="","",IF(N(K465)&gt;Settings!$S$7,"Over revision limit",IF(AND(D465="Free video",J465="",E465&lt;&gt;"",TODAY()&gt;WORKDAY(E465,Settings!$S$5)),"LATE – free video promised in 5 working days",IF(AND(E465&lt;&gt;"",E465=TODAY()),"Shooting today",""))))</f>
        <v/>
      </c>
    </row>
    <row r="466" customFormat="false" ht="15" hidden="false" customHeight="false" outlineLevel="0" collapsed="false">
      <c r="A466" s="17"/>
      <c r="B466" s="17"/>
      <c r="C466" s="44" t="str">
        <f aca="false">IF(B466="","",IFERROR(INDEX(Clients!$C$2:$C$501,MATCH(B466,Clients!$A$2:$A$501,0)),"Client ID not found"))</f>
        <v/>
      </c>
      <c r="D466" s="17"/>
      <c r="E466" s="38"/>
      <c r="F466" s="39"/>
      <c r="G466" s="17"/>
      <c r="H466" s="17"/>
      <c r="I466" s="17"/>
      <c r="J466" s="38"/>
      <c r="K466" s="17"/>
      <c r="L466" s="17"/>
      <c r="M466" s="17"/>
      <c r="N466" s="44" t="str">
        <f aca="true">IF(A466="","",IF(N(K466)&gt;Settings!$S$7,"Over revision limit",IF(AND(D466="Free video",J466="",E466&lt;&gt;"",TODAY()&gt;WORKDAY(E466,Settings!$S$5)),"LATE – free video promised in 5 working days",IF(AND(E466&lt;&gt;"",E466=TODAY()),"Shooting today",""))))</f>
        <v/>
      </c>
    </row>
    <row r="467" customFormat="false" ht="15" hidden="false" customHeight="false" outlineLevel="0" collapsed="false">
      <c r="A467" s="17"/>
      <c r="B467" s="17"/>
      <c r="C467" s="44" t="str">
        <f aca="false">IF(B467="","",IFERROR(INDEX(Clients!$C$2:$C$501,MATCH(B467,Clients!$A$2:$A$501,0)),"Client ID not found"))</f>
        <v/>
      </c>
      <c r="D467" s="17"/>
      <c r="E467" s="38"/>
      <c r="F467" s="39"/>
      <c r="G467" s="17"/>
      <c r="H467" s="17"/>
      <c r="I467" s="17"/>
      <c r="J467" s="38"/>
      <c r="K467" s="17"/>
      <c r="L467" s="17"/>
      <c r="M467" s="17"/>
      <c r="N467" s="44" t="str">
        <f aca="true">IF(A467="","",IF(N(K467)&gt;Settings!$S$7,"Over revision limit",IF(AND(D467="Free video",J467="",E467&lt;&gt;"",TODAY()&gt;WORKDAY(E467,Settings!$S$5)),"LATE – free video promised in 5 working days",IF(AND(E467&lt;&gt;"",E467=TODAY()),"Shooting today",""))))</f>
        <v/>
      </c>
    </row>
    <row r="468" customFormat="false" ht="15" hidden="false" customHeight="false" outlineLevel="0" collapsed="false">
      <c r="A468" s="17"/>
      <c r="B468" s="17"/>
      <c r="C468" s="44" t="str">
        <f aca="false">IF(B468="","",IFERROR(INDEX(Clients!$C$2:$C$501,MATCH(B468,Clients!$A$2:$A$501,0)),"Client ID not found"))</f>
        <v/>
      </c>
      <c r="D468" s="17"/>
      <c r="E468" s="38"/>
      <c r="F468" s="39"/>
      <c r="G468" s="17"/>
      <c r="H468" s="17"/>
      <c r="I468" s="17"/>
      <c r="J468" s="38"/>
      <c r="K468" s="17"/>
      <c r="L468" s="17"/>
      <c r="M468" s="17"/>
      <c r="N468" s="44" t="str">
        <f aca="true">IF(A468="","",IF(N(K468)&gt;Settings!$S$7,"Over revision limit",IF(AND(D468="Free video",J468="",E468&lt;&gt;"",TODAY()&gt;WORKDAY(E468,Settings!$S$5)),"LATE – free video promised in 5 working days",IF(AND(E468&lt;&gt;"",E468=TODAY()),"Shooting today",""))))</f>
        <v/>
      </c>
    </row>
    <row r="469" customFormat="false" ht="15" hidden="false" customHeight="false" outlineLevel="0" collapsed="false">
      <c r="A469" s="17"/>
      <c r="B469" s="17"/>
      <c r="C469" s="44" t="str">
        <f aca="false">IF(B469="","",IFERROR(INDEX(Clients!$C$2:$C$501,MATCH(B469,Clients!$A$2:$A$501,0)),"Client ID not found"))</f>
        <v/>
      </c>
      <c r="D469" s="17"/>
      <c r="E469" s="38"/>
      <c r="F469" s="39"/>
      <c r="G469" s="17"/>
      <c r="H469" s="17"/>
      <c r="I469" s="17"/>
      <c r="J469" s="38"/>
      <c r="K469" s="17"/>
      <c r="L469" s="17"/>
      <c r="M469" s="17"/>
      <c r="N469" s="44" t="str">
        <f aca="true">IF(A469="","",IF(N(K469)&gt;Settings!$S$7,"Over revision limit",IF(AND(D469="Free video",J469="",E469&lt;&gt;"",TODAY()&gt;WORKDAY(E469,Settings!$S$5)),"LATE – free video promised in 5 working days",IF(AND(E469&lt;&gt;"",E469=TODAY()),"Shooting today",""))))</f>
        <v/>
      </c>
    </row>
    <row r="470" customFormat="false" ht="15" hidden="false" customHeight="false" outlineLevel="0" collapsed="false">
      <c r="A470" s="17"/>
      <c r="B470" s="17"/>
      <c r="C470" s="44" t="str">
        <f aca="false">IF(B470="","",IFERROR(INDEX(Clients!$C$2:$C$501,MATCH(B470,Clients!$A$2:$A$501,0)),"Client ID not found"))</f>
        <v/>
      </c>
      <c r="D470" s="17"/>
      <c r="E470" s="38"/>
      <c r="F470" s="39"/>
      <c r="G470" s="17"/>
      <c r="H470" s="17"/>
      <c r="I470" s="17"/>
      <c r="J470" s="38"/>
      <c r="K470" s="17"/>
      <c r="L470" s="17"/>
      <c r="M470" s="17"/>
      <c r="N470" s="44" t="str">
        <f aca="true">IF(A470="","",IF(N(K470)&gt;Settings!$S$7,"Over revision limit",IF(AND(D470="Free video",J470="",E470&lt;&gt;"",TODAY()&gt;WORKDAY(E470,Settings!$S$5)),"LATE – free video promised in 5 working days",IF(AND(E470&lt;&gt;"",E470=TODAY()),"Shooting today",""))))</f>
        <v/>
      </c>
    </row>
    <row r="471" customFormat="false" ht="15" hidden="false" customHeight="false" outlineLevel="0" collapsed="false">
      <c r="A471" s="17"/>
      <c r="B471" s="17"/>
      <c r="C471" s="44" t="str">
        <f aca="false">IF(B471="","",IFERROR(INDEX(Clients!$C$2:$C$501,MATCH(B471,Clients!$A$2:$A$501,0)),"Client ID not found"))</f>
        <v/>
      </c>
      <c r="D471" s="17"/>
      <c r="E471" s="38"/>
      <c r="F471" s="39"/>
      <c r="G471" s="17"/>
      <c r="H471" s="17"/>
      <c r="I471" s="17"/>
      <c r="J471" s="38"/>
      <c r="K471" s="17"/>
      <c r="L471" s="17"/>
      <c r="M471" s="17"/>
      <c r="N471" s="44" t="str">
        <f aca="true">IF(A471="","",IF(N(K471)&gt;Settings!$S$7,"Over revision limit",IF(AND(D471="Free video",J471="",E471&lt;&gt;"",TODAY()&gt;WORKDAY(E471,Settings!$S$5)),"LATE – free video promised in 5 working days",IF(AND(E471&lt;&gt;"",E471=TODAY()),"Shooting today",""))))</f>
        <v/>
      </c>
    </row>
    <row r="472" customFormat="false" ht="15" hidden="false" customHeight="false" outlineLevel="0" collapsed="false">
      <c r="A472" s="17"/>
      <c r="B472" s="17"/>
      <c r="C472" s="44" t="str">
        <f aca="false">IF(B472="","",IFERROR(INDEX(Clients!$C$2:$C$501,MATCH(B472,Clients!$A$2:$A$501,0)),"Client ID not found"))</f>
        <v/>
      </c>
      <c r="D472" s="17"/>
      <c r="E472" s="38"/>
      <c r="F472" s="39"/>
      <c r="G472" s="17"/>
      <c r="H472" s="17"/>
      <c r="I472" s="17"/>
      <c r="J472" s="38"/>
      <c r="K472" s="17"/>
      <c r="L472" s="17"/>
      <c r="M472" s="17"/>
      <c r="N472" s="44" t="str">
        <f aca="true">IF(A472="","",IF(N(K472)&gt;Settings!$S$7,"Over revision limit",IF(AND(D472="Free video",J472="",E472&lt;&gt;"",TODAY()&gt;WORKDAY(E472,Settings!$S$5)),"LATE – free video promised in 5 working days",IF(AND(E472&lt;&gt;"",E472=TODAY()),"Shooting today",""))))</f>
        <v/>
      </c>
    </row>
    <row r="473" customFormat="false" ht="15" hidden="false" customHeight="false" outlineLevel="0" collapsed="false">
      <c r="A473" s="17"/>
      <c r="B473" s="17"/>
      <c r="C473" s="44" t="str">
        <f aca="false">IF(B473="","",IFERROR(INDEX(Clients!$C$2:$C$501,MATCH(B473,Clients!$A$2:$A$501,0)),"Client ID not found"))</f>
        <v/>
      </c>
      <c r="D473" s="17"/>
      <c r="E473" s="38"/>
      <c r="F473" s="39"/>
      <c r="G473" s="17"/>
      <c r="H473" s="17"/>
      <c r="I473" s="17"/>
      <c r="J473" s="38"/>
      <c r="K473" s="17"/>
      <c r="L473" s="17"/>
      <c r="M473" s="17"/>
      <c r="N473" s="44" t="str">
        <f aca="true">IF(A473="","",IF(N(K473)&gt;Settings!$S$7,"Over revision limit",IF(AND(D473="Free video",J473="",E473&lt;&gt;"",TODAY()&gt;WORKDAY(E473,Settings!$S$5)),"LATE – free video promised in 5 working days",IF(AND(E473&lt;&gt;"",E473=TODAY()),"Shooting today",""))))</f>
        <v/>
      </c>
    </row>
    <row r="474" customFormat="false" ht="15" hidden="false" customHeight="false" outlineLevel="0" collapsed="false">
      <c r="A474" s="17"/>
      <c r="B474" s="17"/>
      <c r="C474" s="44" t="str">
        <f aca="false">IF(B474="","",IFERROR(INDEX(Clients!$C$2:$C$501,MATCH(B474,Clients!$A$2:$A$501,0)),"Client ID not found"))</f>
        <v/>
      </c>
      <c r="D474" s="17"/>
      <c r="E474" s="38"/>
      <c r="F474" s="39"/>
      <c r="G474" s="17"/>
      <c r="H474" s="17"/>
      <c r="I474" s="17"/>
      <c r="J474" s="38"/>
      <c r="K474" s="17"/>
      <c r="L474" s="17"/>
      <c r="M474" s="17"/>
      <c r="N474" s="44" t="str">
        <f aca="true">IF(A474="","",IF(N(K474)&gt;Settings!$S$7,"Over revision limit",IF(AND(D474="Free video",J474="",E474&lt;&gt;"",TODAY()&gt;WORKDAY(E474,Settings!$S$5)),"LATE – free video promised in 5 working days",IF(AND(E474&lt;&gt;"",E474=TODAY()),"Shooting today",""))))</f>
        <v/>
      </c>
    </row>
    <row r="475" customFormat="false" ht="15" hidden="false" customHeight="false" outlineLevel="0" collapsed="false">
      <c r="A475" s="17"/>
      <c r="B475" s="17"/>
      <c r="C475" s="44" t="str">
        <f aca="false">IF(B475="","",IFERROR(INDEX(Clients!$C$2:$C$501,MATCH(B475,Clients!$A$2:$A$501,0)),"Client ID not found"))</f>
        <v/>
      </c>
      <c r="D475" s="17"/>
      <c r="E475" s="38"/>
      <c r="F475" s="39"/>
      <c r="G475" s="17"/>
      <c r="H475" s="17"/>
      <c r="I475" s="17"/>
      <c r="J475" s="38"/>
      <c r="K475" s="17"/>
      <c r="L475" s="17"/>
      <c r="M475" s="17"/>
      <c r="N475" s="44" t="str">
        <f aca="true">IF(A475="","",IF(N(K475)&gt;Settings!$S$7,"Over revision limit",IF(AND(D475="Free video",J475="",E475&lt;&gt;"",TODAY()&gt;WORKDAY(E475,Settings!$S$5)),"LATE – free video promised in 5 working days",IF(AND(E475&lt;&gt;"",E475=TODAY()),"Shooting today",""))))</f>
        <v/>
      </c>
    </row>
    <row r="476" customFormat="false" ht="15" hidden="false" customHeight="false" outlineLevel="0" collapsed="false">
      <c r="A476" s="17"/>
      <c r="B476" s="17"/>
      <c r="C476" s="44" t="str">
        <f aca="false">IF(B476="","",IFERROR(INDEX(Clients!$C$2:$C$501,MATCH(B476,Clients!$A$2:$A$501,0)),"Client ID not found"))</f>
        <v/>
      </c>
      <c r="D476" s="17"/>
      <c r="E476" s="38"/>
      <c r="F476" s="39"/>
      <c r="G476" s="17"/>
      <c r="H476" s="17"/>
      <c r="I476" s="17"/>
      <c r="J476" s="38"/>
      <c r="K476" s="17"/>
      <c r="L476" s="17"/>
      <c r="M476" s="17"/>
      <c r="N476" s="44" t="str">
        <f aca="true">IF(A476="","",IF(N(K476)&gt;Settings!$S$7,"Over revision limit",IF(AND(D476="Free video",J476="",E476&lt;&gt;"",TODAY()&gt;WORKDAY(E476,Settings!$S$5)),"LATE – free video promised in 5 working days",IF(AND(E476&lt;&gt;"",E476=TODAY()),"Shooting today",""))))</f>
        <v/>
      </c>
    </row>
    <row r="477" customFormat="false" ht="15" hidden="false" customHeight="false" outlineLevel="0" collapsed="false">
      <c r="A477" s="17"/>
      <c r="B477" s="17"/>
      <c r="C477" s="44" t="str">
        <f aca="false">IF(B477="","",IFERROR(INDEX(Clients!$C$2:$C$501,MATCH(B477,Clients!$A$2:$A$501,0)),"Client ID not found"))</f>
        <v/>
      </c>
      <c r="D477" s="17"/>
      <c r="E477" s="38"/>
      <c r="F477" s="39"/>
      <c r="G477" s="17"/>
      <c r="H477" s="17"/>
      <c r="I477" s="17"/>
      <c r="J477" s="38"/>
      <c r="K477" s="17"/>
      <c r="L477" s="17"/>
      <c r="M477" s="17"/>
      <c r="N477" s="44" t="str">
        <f aca="true">IF(A477="","",IF(N(K477)&gt;Settings!$S$7,"Over revision limit",IF(AND(D477="Free video",J477="",E477&lt;&gt;"",TODAY()&gt;WORKDAY(E477,Settings!$S$5)),"LATE – free video promised in 5 working days",IF(AND(E477&lt;&gt;"",E477=TODAY()),"Shooting today",""))))</f>
        <v/>
      </c>
    </row>
    <row r="478" customFormat="false" ht="15" hidden="false" customHeight="false" outlineLevel="0" collapsed="false">
      <c r="A478" s="17"/>
      <c r="B478" s="17"/>
      <c r="C478" s="44" t="str">
        <f aca="false">IF(B478="","",IFERROR(INDEX(Clients!$C$2:$C$501,MATCH(B478,Clients!$A$2:$A$501,0)),"Client ID not found"))</f>
        <v/>
      </c>
      <c r="D478" s="17"/>
      <c r="E478" s="38"/>
      <c r="F478" s="39"/>
      <c r="G478" s="17"/>
      <c r="H478" s="17"/>
      <c r="I478" s="17"/>
      <c r="J478" s="38"/>
      <c r="K478" s="17"/>
      <c r="L478" s="17"/>
      <c r="M478" s="17"/>
      <c r="N478" s="44" t="str">
        <f aca="true">IF(A478="","",IF(N(K478)&gt;Settings!$S$7,"Over revision limit",IF(AND(D478="Free video",J478="",E478&lt;&gt;"",TODAY()&gt;WORKDAY(E478,Settings!$S$5)),"LATE – free video promised in 5 working days",IF(AND(E478&lt;&gt;"",E478=TODAY()),"Shooting today",""))))</f>
        <v/>
      </c>
    </row>
    <row r="479" customFormat="false" ht="15" hidden="false" customHeight="false" outlineLevel="0" collapsed="false">
      <c r="A479" s="17"/>
      <c r="B479" s="17"/>
      <c r="C479" s="44" t="str">
        <f aca="false">IF(B479="","",IFERROR(INDEX(Clients!$C$2:$C$501,MATCH(B479,Clients!$A$2:$A$501,0)),"Client ID not found"))</f>
        <v/>
      </c>
      <c r="D479" s="17"/>
      <c r="E479" s="38"/>
      <c r="F479" s="39"/>
      <c r="G479" s="17"/>
      <c r="H479" s="17"/>
      <c r="I479" s="17"/>
      <c r="J479" s="38"/>
      <c r="K479" s="17"/>
      <c r="L479" s="17"/>
      <c r="M479" s="17"/>
      <c r="N479" s="44" t="str">
        <f aca="true">IF(A479="","",IF(N(K479)&gt;Settings!$S$7,"Over revision limit",IF(AND(D479="Free video",J479="",E479&lt;&gt;"",TODAY()&gt;WORKDAY(E479,Settings!$S$5)),"LATE – free video promised in 5 working days",IF(AND(E479&lt;&gt;"",E479=TODAY()),"Shooting today",""))))</f>
        <v/>
      </c>
    </row>
    <row r="480" customFormat="false" ht="15" hidden="false" customHeight="false" outlineLevel="0" collapsed="false">
      <c r="A480" s="17"/>
      <c r="B480" s="17"/>
      <c r="C480" s="44" t="str">
        <f aca="false">IF(B480="","",IFERROR(INDEX(Clients!$C$2:$C$501,MATCH(B480,Clients!$A$2:$A$501,0)),"Client ID not found"))</f>
        <v/>
      </c>
      <c r="D480" s="17"/>
      <c r="E480" s="38"/>
      <c r="F480" s="39"/>
      <c r="G480" s="17"/>
      <c r="H480" s="17"/>
      <c r="I480" s="17"/>
      <c r="J480" s="38"/>
      <c r="K480" s="17"/>
      <c r="L480" s="17"/>
      <c r="M480" s="17"/>
      <c r="N480" s="44" t="str">
        <f aca="true">IF(A480="","",IF(N(K480)&gt;Settings!$S$7,"Over revision limit",IF(AND(D480="Free video",J480="",E480&lt;&gt;"",TODAY()&gt;WORKDAY(E480,Settings!$S$5)),"LATE – free video promised in 5 working days",IF(AND(E480&lt;&gt;"",E480=TODAY()),"Shooting today",""))))</f>
        <v/>
      </c>
    </row>
    <row r="481" customFormat="false" ht="15" hidden="false" customHeight="false" outlineLevel="0" collapsed="false">
      <c r="A481" s="17"/>
      <c r="B481" s="17"/>
      <c r="C481" s="44" t="str">
        <f aca="false">IF(B481="","",IFERROR(INDEX(Clients!$C$2:$C$501,MATCH(B481,Clients!$A$2:$A$501,0)),"Client ID not found"))</f>
        <v/>
      </c>
      <c r="D481" s="17"/>
      <c r="E481" s="38"/>
      <c r="F481" s="39"/>
      <c r="G481" s="17"/>
      <c r="H481" s="17"/>
      <c r="I481" s="17"/>
      <c r="J481" s="38"/>
      <c r="K481" s="17"/>
      <c r="L481" s="17"/>
      <c r="M481" s="17"/>
      <c r="N481" s="44" t="str">
        <f aca="true">IF(A481="","",IF(N(K481)&gt;Settings!$S$7,"Over revision limit",IF(AND(D481="Free video",J481="",E481&lt;&gt;"",TODAY()&gt;WORKDAY(E481,Settings!$S$5)),"LATE – free video promised in 5 working days",IF(AND(E481&lt;&gt;"",E481=TODAY()),"Shooting today",""))))</f>
        <v/>
      </c>
    </row>
    <row r="482" customFormat="false" ht="15" hidden="false" customHeight="false" outlineLevel="0" collapsed="false">
      <c r="A482" s="17"/>
      <c r="B482" s="17"/>
      <c r="C482" s="44" t="str">
        <f aca="false">IF(B482="","",IFERROR(INDEX(Clients!$C$2:$C$501,MATCH(B482,Clients!$A$2:$A$501,0)),"Client ID not found"))</f>
        <v/>
      </c>
      <c r="D482" s="17"/>
      <c r="E482" s="38"/>
      <c r="F482" s="39"/>
      <c r="G482" s="17"/>
      <c r="H482" s="17"/>
      <c r="I482" s="17"/>
      <c r="J482" s="38"/>
      <c r="K482" s="17"/>
      <c r="L482" s="17"/>
      <c r="M482" s="17"/>
      <c r="N482" s="44" t="str">
        <f aca="true">IF(A482="","",IF(N(K482)&gt;Settings!$S$7,"Over revision limit",IF(AND(D482="Free video",J482="",E482&lt;&gt;"",TODAY()&gt;WORKDAY(E482,Settings!$S$5)),"LATE – free video promised in 5 working days",IF(AND(E482&lt;&gt;"",E482=TODAY()),"Shooting today",""))))</f>
        <v/>
      </c>
    </row>
    <row r="483" customFormat="false" ht="15" hidden="false" customHeight="false" outlineLevel="0" collapsed="false">
      <c r="A483" s="17"/>
      <c r="B483" s="17"/>
      <c r="C483" s="44" t="str">
        <f aca="false">IF(B483="","",IFERROR(INDEX(Clients!$C$2:$C$501,MATCH(B483,Clients!$A$2:$A$501,0)),"Client ID not found"))</f>
        <v/>
      </c>
      <c r="D483" s="17"/>
      <c r="E483" s="38"/>
      <c r="F483" s="39"/>
      <c r="G483" s="17"/>
      <c r="H483" s="17"/>
      <c r="I483" s="17"/>
      <c r="J483" s="38"/>
      <c r="K483" s="17"/>
      <c r="L483" s="17"/>
      <c r="M483" s="17"/>
      <c r="N483" s="44" t="str">
        <f aca="true">IF(A483="","",IF(N(K483)&gt;Settings!$S$7,"Over revision limit",IF(AND(D483="Free video",J483="",E483&lt;&gt;"",TODAY()&gt;WORKDAY(E483,Settings!$S$5)),"LATE – free video promised in 5 working days",IF(AND(E483&lt;&gt;"",E483=TODAY()),"Shooting today",""))))</f>
        <v/>
      </c>
    </row>
    <row r="484" customFormat="false" ht="15" hidden="false" customHeight="false" outlineLevel="0" collapsed="false">
      <c r="A484" s="17"/>
      <c r="B484" s="17"/>
      <c r="C484" s="44" t="str">
        <f aca="false">IF(B484="","",IFERROR(INDEX(Clients!$C$2:$C$501,MATCH(B484,Clients!$A$2:$A$501,0)),"Client ID not found"))</f>
        <v/>
      </c>
      <c r="D484" s="17"/>
      <c r="E484" s="38"/>
      <c r="F484" s="39"/>
      <c r="G484" s="17"/>
      <c r="H484" s="17"/>
      <c r="I484" s="17"/>
      <c r="J484" s="38"/>
      <c r="K484" s="17"/>
      <c r="L484" s="17"/>
      <c r="M484" s="17"/>
      <c r="N484" s="44" t="str">
        <f aca="true">IF(A484="","",IF(N(K484)&gt;Settings!$S$7,"Over revision limit",IF(AND(D484="Free video",J484="",E484&lt;&gt;"",TODAY()&gt;WORKDAY(E484,Settings!$S$5)),"LATE – free video promised in 5 working days",IF(AND(E484&lt;&gt;"",E484=TODAY()),"Shooting today",""))))</f>
        <v/>
      </c>
    </row>
    <row r="485" customFormat="false" ht="15" hidden="false" customHeight="false" outlineLevel="0" collapsed="false">
      <c r="A485" s="17"/>
      <c r="B485" s="17"/>
      <c r="C485" s="44" t="str">
        <f aca="false">IF(B485="","",IFERROR(INDEX(Clients!$C$2:$C$501,MATCH(B485,Clients!$A$2:$A$501,0)),"Client ID not found"))</f>
        <v/>
      </c>
      <c r="D485" s="17"/>
      <c r="E485" s="38"/>
      <c r="F485" s="39"/>
      <c r="G485" s="17"/>
      <c r="H485" s="17"/>
      <c r="I485" s="17"/>
      <c r="J485" s="38"/>
      <c r="K485" s="17"/>
      <c r="L485" s="17"/>
      <c r="M485" s="17"/>
      <c r="N485" s="44" t="str">
        <f aca="true">IF(A485="","",IF(N(K485)&gt;Settings!$S$7,"Over revision limit",IF(AND(D485="Free video",J485="",E485&lt;&gt;"",TODAY()&gt;WORKDAY(E485,Settings!$S$5)),"LATE – free video promised in 5 working days",IF(AND(E485&lt;&gt;"",E485=TODAY()),"Shooting today",""))))</f>
        <v/>
      </c>
    </row>
    <row r="486" customFormat="false" ht="15" hidden="false" customHeight="false" outlineLevel="0" collapsed="false">
      <c r="A486" s="17"/>
      <c r="B486" s="17"/>
      <c r="C486" s="44" t="str">
        <f aca="false">IF(B486="","",IFERROR(INDEX(Clients!$C$2:$C$501,MATCH(B486,Clients!$A$2:$A$501,0)),"Client ID not found"))</f>
        <v/>
      </c>
      <c r="D486" s="17"/>
      <c r="E486" s="38"/>
      <c r="F486" s="39"/>
      <c r="G486" s="17"/>
      <c r="H486" s="17"/>
      <c r="I486" s="17"/>
      <c r="J486" s="38"/>
      <c r="K486" s="17"/>
      <c r="L486" s="17"/>
      <c r="M486" s="17"/>
      <c r="N486" s="44" t="str">
        <f aca="true">IF(A486="","",IF(N(K486)&gt;Settings!$S$7,"Over revision limit",IF(AND(D486="Free video",J486="",E486&lt;&gt;"",TODAY()&gt;WORKDAY(E486,Settings!$S$5)),"LATE – free video promised in 5 working days",IF(AND(E486&lt;&gt;"",E486=TODAY()),"Shooting today",""))))</f>
        <v/>
      </c>
    </row>
    <row r="487" customFormat="false" ht="15" hidden="false" customHeight="false" outlineLevel="0" collapsed="false">
      <c r="A487" s="17"/>
      <c r="B487" s="17"/>
      <c r="C487" s="44" t="str">
        <f aca="false">IF(B487="","",IFERROR(INDEX(Clients!$C$2:$C$501,MATCH(B487,Clients!$A$2:$A$501,0)),"Client ID not found"))</f>
        <v/>
      </c>
      <c r="D487" s="17"/>
      <c r="E487" s="38"/>
      <c r="F487" s="39"/>
      <c r="G487" s="17"/>
      <c r="H487" s="17"/>
      <c r="I487" s="17"/>
      <c r="J487" s="38"/>
      <c r="K487" s="17"/>
      <c r="L487" s="17"/>
      <c r="M487" s="17"/>
      <c r="N487" s="44" t="str">
        <f aca="true">IF(A487="","",IF(N(K487)&gt;Settings!$S$7,"Over revision limit",IF(AND(D487="Free video",J487="",E487&lt;&gt;"",TODAY()&gt;WORKDAY(E487,Settings!$S$5)),"LATE – free video promised in 5 working days",IF(AND(E487&lt;&gt;"",E487=TODAY()),"Shooting today",""))))</f>
        <v/>
      </c>
    </row>
    <row r="488" customFormat="false" ht="15" hidden="false" customHeight="false" outlineLevel="0" collapsed="false">
      <c r="A488" s="17"/>
      <c r="B488" s="17"/>
      <c r="C488" s="44" t="str">
        <f aca="false">IF(B488="","",IFERROR(INDEX(Clients!$C$2:$C$501,MATCH(B488,Clients!$A$2:$A$501,0)),"Client ID not found"))</f>
        <v/>
      </c>
      <c r="D488" s="17"/>
      <c r="E488" s="38"/>
      <c r="F488" s="39"/>
      <c r="G488" s="17"/>
      <c r="H488" s="17"/>
      <c r="I488" s="17"/>
      <c r="J488" s="38"/>
      <c r="K488" s="17"/>
      <c r="L488" s="17"/>
      <c r="M488" s="17"/>
      <c r="N488" s="44" t="str">
        <f aca="true">IF(A488="","",IF(N(K488)&gt;Settings!$S$7,"Over revision limit",IF(AND(D488="Free video",J488="",E488&lt;&gt;"",TODAY()&gt;WORKDAY(E488,Settings!$S$5)),"LATE – free video promised in 5 working days",IF(AND(E488&lt;&gt;"",E488=TODAY()),"Shooting today",""))))</f>
        <v/>
      </c>
    </row>
    <row r="489" customFormat="false" ht="15" hidden="false" customHeight="false" outlineLevel="0" collapsed="false">
      <c r="A489" s="17"/>
      <c r="B489" s="17"/>
      <c r="C489" s="44" t="str">
        <f aca="false">IF(B489="","",IFERROR(INDEX(Clients!$C$2:$C$501,MATCH(B489,Clients!$A$2:$A$501,0)),"Client ID not found"))</f>
        <v/>
      </c>
      <c r="D489" s="17"/>
      <c r="E489" s="38"/>
      <c r="F489" s="39"/>
      <c r="G489" s="17"/>
      <c r="H489" s="17"/>
      <c r="I489" s="17"/>
      <c r="J489" s="38"/>
      <c r="K489" s="17"/>
      <c r="L489" s="17"/>
      <c r="M489" s="17"/>
      <c r="N489" s="44" t="str">
        <f aca="true">IF(A489="","",IF(N(K489)&gt;Settings!$S$7,"Over revision limit",IF(AND(D489="Free video",J489="",E489&lt;&gt;"",TODAY()&gt;WORKDAY(E489,Settings!$S$5)),"LATE – free video promised in 5 working days",IF(AND(E489&lt;&gt;"",E489=TODAY()),"Shooting today",""))))</f>
        <v/>
      </c>
    </row>
    <row r="490" customFormat="false" ht="15" hidden="false" customHeight="false" outlineLevel="0" collapsed="false">
      <c r="A490" s="17"/>
      <c r="B490" s="17"/>
      <c r="C490" s="44" t="str">
        <f aca="false">IF(B490="","",IFERROR(INDEX(Clients!$C$2:$C$501,MATCH(B490,Clients!$A$2:$A$501,0)),"Client ID not found"))</f>
        <v/>
      </c>
      <c r="D490" s="17"/>
      <c r="E490" s="38"/>
      <c r="F490" s="39"/>
      <c r="G490" s="17"/>
      <c r="H490" s="17"/>
      <c r="I490" s="17"/>
      <c r="J490" s="38"/>
      <c r="K490" s="17"/>
      <c r="L490" s="17"/>
      <c r="M490" s="17"/>
      <c r="N490" s="44" t="str">
        <f aca="true">IF(A490="","",IF(N(K490)&gt;Settings!$S$7,"Over revision limit",IF(AND(D490="Free video",J490="",E490&lt;&gt;"",TODAY()&gt;WORKDAY(E490,Settings!$S$5)),"LATE – free video promised in 5 working days",IF(AND(E490&lt;&gt;"",E490=TODAY()),"Shooting today",""))))</f>
        <v/>
      </c>
    </row>
    <row r="491" customFormat="false" ht="15" hidden="false" customHeight="false" outlineLevel="0" collapsed="false">
      <c r="A491" s="17"/>
      <c r="B491" s="17"/>
      <c r="C491" s="44" t="str">
        <f aca="false">IF(B491="","",IFERROR(INDEX(Clients!$C$2:$C$501,MATCH(B491,Clients!$A$2:$A$501,0)),"Client ID not found"))</f>
        <v/>
      </c>
      <c r="D491" s="17"/>
      <c r="E491" s="38"/>
      <c r="F491" s="39"/>
      <c r="G491" s="17"/>
      <c r="H491" s="17"/>
      <c r="I491" s="17"/>
      <c r="J491" s="38"/>
      <c r="K491" s="17"/>
      <c r="L491" s="17"/>
      <c r="M491" s="17"/>
      <c r="N491" s="44" t="str">
        <f aca="true">IF(A491="","",IF(N(K491)&gt;Settings!$S$7,"Over revision limit",IF(AND(D491="Free video",J491="",E491&lt;&gt;"",TODAY()&gt;WORKDAY(E491,Settings!$S$5)),"LATE – free video promised in 5 working days",IF(AND(E491&lt;&gt;"",E491=TODAY()),"Shooting today",""))))</f>
        <v/>
      </c>
    </row>
    <row r="492" customFormat="false" ht="15" hidden="false" customHeight="false" outlineLevel="0" collapsed="false">
      <c r="A492" s="17"/>
      <c r="B492" s="17"/>
      <c r="C492" s="44" t="str">
        <f aca="false">IF(B492="","",IFERROR(INDEX(Clients!$C$2:$C$501,MATCH(B492,Clients!$A$2:$A$501,0)),"Client ID not found"))</f>
        <v/>
      </c>
      <c r="D492" s="17"/>
      <c r="E492" s="38"/>
      <c r="F492" s="39"/>
      <c r="G492" s="17"/>
      <c r="H492" s="17"/>
      <c r="I492" s="17"/>
      <c r="J492" s="38"/>
      <c r="K492" s="17"/>
      <c r="L492" s="17"/>
      <c r="M492" s="17"/>
      <c r="N492" s="44" t="str">
        <f aca="true">IF(A492="","",IF(N(K492)&gt;Settings!$S$7,"Over revision limit",IF(AND(D492="Free video",J492="",E492&lt;&gt;"",TODAY()&gt;WORKDAY(E492,Settings!$S$5)),"LATE – free video promised in 5 working days",IF(AND(E492&lt;&gt;"",E492=TODAY()),"Shooting today",""))))</f>
        <v/>
      </c>
    </row>
    <row r="493" customFormat="false" ht="15" hidden="false" customHeight="false" outlineLevel="0" collapsed="false">
      <c r="A493" s="17"/>
      <c r="B493" s="17"/>
      <c r="C493" s="44" t="str">
        <f aca="false">IF(B493="","",IFERROR(INDEX(Clients!$C$2:$C$501,MATCH(B493,Clients!$A$2:$A$501,0)),"Client ID not found"))</f>
        <v/>
      </c>
      <c r="D493" s="17"/>
      <c r="E493" s="38"/>
      <c r="F493" s="39"/>
      <c r="G493" s="17"/>
      <c r="H493" s="17"/>
      <c r="I493" s="17"/>
      <c r="J493" s="38"/>
      <c r="K493" s="17"/>
      <c r="L493" s="17"/>
      <c r="M493" s="17"/>
      <c r="N493" s="44" t="str">
        <f aca="true">IF(A493="","",IF(N(K493)&gt;Settings!$S$7,"Over revision limit",IF(AND(D493="Free video",J493="",E493&lt;&gt;"",TODAY()&gt;WORKDAY(E493,Settings!$S$5)),"LATE – free video promised in 5 working days",IF(AND(E493&lt;&gt;"",E493=TODAY()),"Shooting today",""))))</f>
        <v/>
      </c>
    </row>
    <row r="494" customFormat="false" ht="15" hidden="false" customHeight="false" outlineLevel="0" collapsed="false">
      <c r="A494" s="17"/>
      <c r="B494" s="17"/>
      <c r="C494" s="44" t="str">
        <f aca="false">IF(B494="","",IFERROR(INDEX(Clients!$C$2:$C$501,MATCH(B494,Clients!$A$2:$A$501,0)),"Client ID not found"))</f>
        <v/>
      </c>
      <c r="D494" s="17"/>
      <c r="E494" s="38"/>
      <c r="F494" s="39"/>
      <c r="G494" s="17"/>
      <c r="H494" s="17"/>
      <c r="I494" s="17"/>
      <c r="J494" s="38"/>
      <c r="K494" s="17"/>
      <c r="L494" s="17"/>
      <c r="M494" s="17"/>
      <c r="N494" s="44" t="str">
        <f aca="true">IF(A494="","",IF(N(K494)&gt;Settings!$S$7,"Over revision limit",IF(AND(D494="Free video",J494="",E494&lt;&gt;"",TODAY()&gt;WORKDAY(E494,Settings!$S$5)),"LATE – free video promised in 5 working days",IF(AND(E494&lt;&gt;"",E494=TODAY()),"Shooting today",""))))</f>
        <v/>
      </c>
    </row>
    <row r="495" customFormat="false" ht="15" hidden="false" customHeight="false" outlineLevel="0" collapsed="false">
      <c r="A495" s="17"/>
      <c r="B495" s="17"/>
      <c r="C495" s="44" t="str">
        <f aca="false">IF(B495="","",IFERROR(INDEX(Clients!$C$2:$C$501,MATCH(B495,Clients!$A$2:$A$501,0)),"Client ID not found"))</f>
        <v/>
      </c>
      <c r="D495" s="17"/>
      <c r="E495" s="38"/>
      <c r="F495" s="39"/>
      <c r="G495" s="17"/>
      <c r="H495" s="17"/>
      <c r="I495" s="17"/>
      <c r="J495" s="38"/>
      <c r="K495" s="17"/>
      <c r="L495" s="17"/>
      <c r="M495" s="17"/>
      <c r="N495" s="44" t="str">
        <f aca="true">IF(A495="","",IF(N(K495)&gt;Settings!$S$7,"Over revision limit",IF(AND(D495="Free video",J495="",E495&lt;&gt;"",TODAY()&gt;WORKDAY(E495,Settings!$S$5)),"LATE – free video promised in 5 working days",IF(AND(E495&lt;&gt;"",E495=TODAY()),"Shooting today",""))))</f>
        <v/>
      </c>
    </row>
    <row r="496" customFormat="false" ht="15" hidden="false" customHeight="false" outlineLevel="0" collapsed="false">
      <c r="A496" s="17"/>
      <c r="B496" s="17"/>
      <c r="C496" s="44" t="str">
        <f aca="false">IF(B496="","",IFERROR(INDEX(Clients!$C$2:$C$501,MATCH(B496,Clients!$A$2:$A$501,0)),"Client ID not found"))</f>
        <v/>
      </c>
      <c r="D496" s="17"/>
      <c r="E496" s="38"/>
      <c r="F496" s="39"/>
      <c r="G496" s="17"/>
      <c r="H496" s="17"/>
      <c r="I496" s="17"/>
      <c r="J496" s="38"/>
      <c r="K496" s="17"/>
      <c r="L496" s="17"/>
      <c r="M496" s="17"/>
      <c r="N496" s="44" t="str">
        <f aca="true">IF(A496="","",IF(N(K496)&gt;Settings!$S$7,"Over revision limit",IF(AND(D496="Free video",J496="",E496&lt;&gt;"",TODAY()&gt;WORKDAY(E496,Settings!$S$5)),"LATE – free video promised in 5 working days",IF(AND(E496&lt;&gt;"",E496=TODAY()),"Shooting today",""))))</f>
        <v/>
      </c>
    </row>
    <row r="497" customFormat="false" ht="15" hidden="false" customHeight="false" outlineLevel="0" collapsed="false">
      <c r="A497" s="17"/>
      <c r="B497" s="17"/>
      <c r="C497" s="44" t="str">
        <f aca="false">IF(B497="","",IFERROR(INDEX(Clients!$C$2:$C$501,MATCH(B497,Clients!$A$2:$A$501,0)),"Client ID not found"))</f>
        <v/>
      </c>
      <c r="D497" s="17"/>
      <c r="E497" s="38"/>
      <c r="F497" s="39"/>
      <c r="G497" s="17"/>
      <c r="H497" s="17"/>
      <c r="I497" s="17"/>
      <c r="J497" s="38"/>
      <c r="K497" s="17"/>
      <c r="L497" s="17"/>
      <c r="M497" s="17"/>
      <c r="N497" s="44" t="str">
        <f aca="true">IF(A497="","",IF(N(K497)&gt;Settings!$S$7,"Over revision limit",IF(AND(D497="Free video",J497="",E497&lt;&gt;"",TODAY()&gt;WORKDAY(E497,Settings!$S$5)),"LATE – free video promised in 5 working days",IF(AND(E497&lt;&gt;"",E497=TODAY()),"Shooting today",""))))</f>
        <v/>
      </c>
    </row>
    <row r="498" customFormat="false" ht="15" hidden="false" customHeight="false" outlineLevel="0" collapsed="false">
      <c r="A498" s="17"/>
      <c r="B498" s="17"/>
      <c r="C498" s="44" t="str">
        <f aca="false">IF(B498="","",IFERROR(INDEX(Clients!$C$2:$C$501,MATCH(B498,Clients!$A$2:$A$501,0)),"Client ID not found"))</f>
        <v/>
      </c>
      <c r="D498" s="17"/>
      <c r="E498" s="38"/>
      <c r="F498" s="39"/>
      <c r="G498" s="17"/>
      <c r="H498" s="17"/>
      <c r="I498" s="17"/>
      <c r="J498" s="38"/>
      <c r="K498" s="17"/>
      <c r="L498" s="17"/>
      <c r="M498" s="17"/>
      <c r="N498" s="44" t="str">
        <f aca="true">IF(A498="","",IF(N(K498)&gt;Settings!$S$7,"Over revision limit",IF(AND(D498="Free video",J498="",E498&lt;&gt;"",TODAY()&gt;WORKDAY(E498,Settings!$S$5)),"LATE – free video promised in 5 working days",IF(AND(E498&lt;&gt;"",E498=TODAY()),"Shooting today",""))))</f>
        <v/>
      </c>
    </row>
    <row r="499" customFormat="false" ht="15" hidden="false" customHeight="false" outlineLevel="0" collapsed="false">
      <c r="A499" s="17"/>
      <c r="B499" s="17"/>
      <c r="C499" s="44" t="str">
        <f aca="false">IF(B499="","",IFERROR(INDEX(Clients!$C$2:$C$501,MATCH(B499,Clients!$A$2:$A$501,0)),"Client ID not found"))</f>
        <v/>
      </c>
      <c r="D499" s="17"/>
      <c r="E499" s="38"/>
      <c r="F499" s="39"/>
      <c r="G499" s="17"/>
      <c r="H499" s="17"/>
      <c r="I499" s="17"/>
      <c r="J499" s="38"/>
      <c r="K499" s="17"/>
      <c r="L499" s="17"/>
      <c r="M499" s="17"/>
      <c r="N499" s="44" t="str">
        <f aca="true">IF(A499="","",IF(N(K499)&gt;Settings!$S$7,"Over revision limit",IF(AND(D499="Free video",J499="",E499&lt;&gt;"",TODAY()&gt;WORKDAY(E499,Settings!$S$5)),"LATE – free video promised in 5 working days",IF(AND(E499&lt;&gt;"",E499=TODAY()),"Shooting today",""))))</f>
        <v/>
      </c>
    </row>
    <row r="500" customFormat="false" ht="15" hidden="false" customHeight="false" outlineLevel="0" collapsed="false">
      <c r="A500" s="17"/>
      <c r="B500" s="17"/>
      <c r="C500" s="44" t="str">
        <f aca="false">IF(B500="","",IFERROR(INDEX(Clients!$C$2:$C$501,MATCH(B500,Clients!$A$2:$A$501,0)),"Client ID not found"))</f>
        <v/>
      </c>
      <c r="D500" s="17"/>
      <c r="E500" s="38"/>
      <c r="F500" s="39"/>
      <c r="G500" s="17"/>
      <c r="H500" s="17"/>
      <c r="I500" s="17"/>
      <c r="J500" s="38"/>
      <c r="K500" s="17"/>
      <c r="L500" s="17"/>
      <c r="M500" s="17"/>
      <c r="N500" s="44" t="str">
        <f aca="true">IF(A500="","",IF(N(K500)&gt;Settings!$S$7,"Over revision limit",IF(AND(D500="Free video",J500="",E500&lt;&gt;"",TODAY()&gt;WORKDAY(E500,Settings!$S$5)),"LATE – free video promised in 5 working days",IF(AND(E500&lt;&gt;"",E500=TODAY()),"Shooting today",""))))</f>
        <v/>
      </c>
    </row>
    <row r="501" customFormat="false" ht="15" hidden="false" customHeight="false" outlineLevel="0" collapsed="false">
      <c r="A501" s="17"/>
      <c r="B501" s="17"/>
      <c r="C501" s="44" t="str">
        <f aca="false">IF(B501="","",IFERROR(INDEX(Clients!$C$2:$C$501,MATCH(B501,Clients!$A$2:$A$501,0)),"Client ID not found"))</f>
        <v/>
      </c>
      <c r="D501" s="17"/>
      <c r="E501" s="38"/>
      <c r="F501" s="39"/>
      <c r="G501" s="17"/>
      <c r="H501" s="17"/>
      <c r="I501" s="17"/>
      <c r="J501" s="38"/>
      <c r="K501" s="17"/>
      <c r="L501" s="17"/>
      <c r="M501" s="17"/>
      <c r="N501" s="44" t="str">
        <f aca="true">IF(A501="","",IF(N(K501)&gt;Settings!$S$7,"Over revision limit",IF(AND(D501="Free video",J501="",E501&lt;&gt;"",TODAY()&gt;WORKDAY(E501,Settings!$S$5)),"LATE – free video promised in 5 working days",IF(AND(E501&lt;&gt;"",E501=TODAY()),"Shooting today",""))))</f>
        <v/>
      </c>
    </row>
  </sheetData>
  <autoFilter ref="A1:N501"/>
  <conditionalFormatting sqref="N2:N501">
    <cfRule type="expression" priority="2" aboveAverage="0" equalAverage="0" bottom="0" percent="0" rank="0" text="" dxfId="10">
      <formula>LEFT(N2,4)="LATE"</formula>
    </cfRule>
    <cfRule type="expression" priority="3" aboveAverage="0" equalAverage="0" bottom="0" percent="0" rank="0" text="" dxfId="9">
      <formula>N2="Over revision limit"</formula>
    </cfRule>
    <cfRule type="expression" priority="4" aboveAverage="0" equalAverage="0" bottom="0" percent="0" rank="0" text="" dxfId="11">
      <formula>N2="Shooting today"</formula>
    </cfRule>
  </conditionalFormatting>
  <dataValidations count="7">
    <dataValidation allowBlank="true" error="Enter a date - double-click the cell for a calendar." errorStyle="stop" errorTitle="Not a date" operator="between" showDropDown="false" showErrorMessage="false" showInputMessage="false" sqref="J2:J501" type="date">
      <formula1>DATE(2020,1,1)</formula1>
      <formula2>DATE(2100,12,31)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D2:D501" type="list">
      <formula1>Settings!$M$2:$M$5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H2:H501" type="list">
      <formula1>Settings!$E$2:$E$5</formula1>
      <formula2>0</formula2>
    </dataValidation>
    <dataValidation allowBlank="true" error="Pick a value from the list (edit lists on the Settings tab)." errorStyle="stop" errorTitle="Not on the list" operator="between" showDropDown="false" showErrorMessage="false" showInputMessage="false" sqref="I2:I501" type="list">
      <formula1>Settings!$N$2:$N$7</formula1>
      <formula2>0</formula2>
    </dataValidation>
    <dataValidation allowBlank="true" error="Enter a whole number from 0 to 9." errorStyle="stop" operator="between" showDropDown="false" showErrorMessage="false" showInputMessage="false" sqref="K2:K501" type="whole">
      <formula1>0</formula1>
      <formula2>9</formula2>
    </dataValidation>
    <dataValidation allowBlank="true" error="Enter a date - double-click the cell for a calendar." errorStyle="stop" errorTitle="Not a date" operator="between" showDropDown="false" showErrorMessage="false" showInputMessage="false" sqref="E2:E501" type="date">
      <formula1>DATE(2020,1,1)</formula1>
      <formula2>DATE(2100,12,31)</formula2>
    </dataValidation>
    <dataValidation allowBlank="true" error="That time isn't in the list - keep it if it's correct." errorStyle="warning" errorTitle="Check the time" operator="between" showDropDown="false" showErrorMessage="false" showInputMessage="false" sqref="F2:F501" type="list">
      <formula1>Settings!$Q$2:$Q$26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5" min="4" style="0" width="52"/>
    <col collapsed="false" customWidth="true" hidden="false" outlineLevel="0" max="6" min="6" style="0" width="7"/>
  </cols>
  <sheetData>
    <row r="1" customFormat="false" ht="15" hidden="false" customHeight="false" outlineLevel="0" collapsed="false">
      <c r="A1" s="28" t="s">
        <v>224</v>
      </c>
      <c r="B1" s="28" t="s">
        <v>225</v>
      </c>
      <c r="C1" s="28" t="s">
        <v>226</v>
      </c>
      <c r="D1" s="28" t="s">
        <v>227</v>
      </c>
      <c r="E1" s="28" t="s">
        <v>228</v>
      </c>
      <c r="F1" s="28" t="s">
        <v>229</v>
      </c>
    </row>
    <row r="2" customFormat="false" ht="23.85" hidden="false" customHeight="false" outlineLevel="0" collapsed="false">
      <c r="A2" s="6" t="n">
        <v>1</v>
      </c>
      <c r="B2" s="6" t="s">
        <v>230</v>
      </c>
      <c r="C2" s="6" t="s">
        <v>231</v>
      </c>
      <c r="D2" s="6" t="s">
        <v>232</v>
      </c>
      <c r="E2" s="6" t="s">
        <v>233</v>
      </c>
      <c r="F2" s="6" t="s">
        <v>59</v>
      </c>
    </row>
    <row r="3" customFormat="false" ht="23.85" hidden="false" customHeight="false" outlineLevel="0" collapsed="false">
      <c r="A3" s="6" t="n">
        <v>2</v>
      </c>
      <c r="B3" s="6" t="s">
        <v>234</v>
      </c>
      <c r="C3" s="6" t="s">
        <v>235</v>
      </c>
      <c r="D3" s="6" t="s">
        <v>236</v>
      </c>
      <c r="E3" s="6" t="s">
        <v>237</v>
      </c>
      <c r="F3" s="6" t="s">
        <v>59</v>
      </c>
    </row>
    <row r="4" customFormat="false" ht="23.85" hidden="false" customHeight="false" outlineLevel="0" collapsed="false">
      <c r="A4" s="6" t="n">
        <v>3</v>
      </c>
      <c r="B4" s="6" t="s">
        <v>238</v>
      </c>
      <c r="C4" s="6" t="s">
        <v>239</v>
      </c>
      <c r="D4" s="6" t="s">
        <v>240</v>
      </c>
      <c r="E4" s="6" t="s">
        <v>241</v>
      </c>
      <c r="F4" s="6" t="s">
        <v>59</v>
      </c>
    </row>
    <row r="5" customFormat="false" ht="15" hidden="false" customHeight="false" outlineLevel="0" collapsed="false">
      <c r="A5" s="6" t="n">
        <v>4</v>
      </c>
      <c r="B5" s="6" t="s">
        <v>242</v>
      </c>
      <c r="C5" s="6" t="s">
        <v>239</v>
      </c>
      <c r="D5" s="6" t="s">
        <v>243</v>
      </c>
      <c r="E5" s="6" t="s">
        <v>244</v>
      </c>
      <c r="F5" s="6" t="s">
        <v>59</v>
      </c>
    </row>
    <row r="6" customFormat="false" ht="23.85" hidden="false" customHeight="false" outlineLevel="0" collapsed="false">
      <c r="A6" s="6" t="n">
        <v>5</v>
      </c>
      <c r="B6" s="6" t="s">
        <v>245</v>
      </c>
      <c r="C6" s="6" t="s">
        <v>246</v>
      </c>
      <c r="D6" s="6" t="s">
        <v>247</v>
      </c>
      <c r="E6" s="6" t="s">
        <v>248</v>
      </c>
      <c r="F6" s="6" t="s">
        <v>59</v>
      </c>
    </row>
    <row r="7" customFormat="false" ht="23.85" hidden="false" customHeight="false" outlineLevel="0" collapsed="false">
      <c r="A7" s="6" t="n">
        <v>6</v>
      </c>
      <c r="B7" s="6" t="s">
        <v>249</v>
      </c>
      <c r="C7" s="6" t="s">
        <v>250</v>
      </c>
      <c r="D7" s="6" t="s">
        <v>251</v>
      </c>
      <c r="E7" s="6" t="s">
        <v>252</v>
      </c>
      <c r="F7" s="6" t="s">
        <v>59</v>
      </c>
    </row>
    <row r="8" customFormat="false" ht="23.85" hidden="false" customHeight="false" outlineLevel="0" collapsed="false">
      <c r="A8" s="6" t="n">
        <v>7</v>
      </c>
      <c r="B8" s="6" t="s">
        <v>253</v>
      </c>
      <c r="C8" s="6" t="s">
        <v>246</v>
      </c>
      <c r="D8" s="6" t="s">
        <v>254</v>
      </c>
      <c r="E8" s="6" t="s">
        <v>255</v>
      </c>
      <c r="F8" s="6" t="s">
        <v>61</v>
      </c>
    </row>
    <row r="9" customFormat="false" ht="23.85" hidden="false" customHeight="false" outlineLevel="0" collapsed="false">
      <c r="A9" s="6" t="n">
        <v>8</v>
      </c>
      <c r="B9" s="6" t="s">
        <v>256</v>
      </c>
      <c r="C9" s="6" t="s">
        <v>257</v>
      </c>
      <c r="D9" s="6" t="s">
        <v>258</v>
      </c>
      <c r="E9" s="6" t="s">
        <v>259</v>
      </c>
      <c r="F9" s="6" t="s">
        <v>61</v>
      </c>
    </row>
    <row r="10" customFormat="false" ht="15" hidden="false" customHeight="false" outlineLevel="0" collapsed="false">
      <c r="A10" s="6" t="n">
        <v>9</v>
      </c>
      <c r="B10" s="6" t="s">
        <v>260</v>
      </c>
      <c r="C10" s="6" t="s">
        <v>261</v>
      </c>
      <c r="D10" s="6" t="s">
        <v>262</v>
      </c>
      <c r="E10" s="6" t="s">
        <v>263</v>
      </c>
      <c r="F10" s="6" t="s">
        <v>63</v>
      </c>
    </row>
    <row r="11" customFormat="false" ht="23.85" hidden="false" customHeight="false" outlineLevel="0" collapsed="false">
      <c r="A11" s="6" t="n">
        <v>10</v>
      </c>
      <c r="B11" s="6" t="s">
        <v>264</v>
      </c>
      <c r="C11" s="6" t="s">
        <v>265</v>
      </c>
      <c r="D11" s="6" t="s">
        <v>266</v>
      </c>
      <c r="E11" s="6" t="s">
        <v>267</v>
      </c>
      <c r="F11" s="6" t="s">
        <v>61</v>
      </c>
    </row>
    <row r="13" customFormat="false" ht="15" hidden="false" customHeight="false" outlineLevel="0" collapsed="false">
      <c r="A13" s="23" t="s">
        <v>268</v>
      </c>
    </row>
    <row r="14" customFormat="false" ht="15" hidden="false" customHeight="false" outlineLevel="0" collapsed="false">
      <c r="A14" s="10" t="s">
        <v>269</v>
      </c>
    </row>
    <row r="15" customFormat="false" ht="15" hidden="false" customHeight="false" outlineLevel="0" collapsed="false">
      <c r="A15" s="10" t="s">
        <v>270</v>
      </c>
    </row>
    <row r="16" customFormat="false" ht="15" hidden="false" customHeight="false" outlineLevel="0" collapsed="false">
      <c r="A16" s="10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E9E"/>
    <pageSetUpPr fitToPage="false"/>
  </sheetPr>
  <dimension ref="A1:W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2"/>
    <col collapsed="false" customWidth="true" hidden="false" outlineLevel="0" max="17" min="17" style="0" width="14"/>
    <col collapsed="false" customWidth="true" hidden="false" outlineLevel="0" max="18" min="18" style="0" width="44"/>
    <col collapsed="false" customWidth="true" hidden="false" outlineLevel="0" max="19" min="19" style="0" width="8"/>
    <col collapsed="false" customWidth="true" hidden="false" outlineLevel="0" max="20" min="20" style="0" width="80"/>
    <col collapsed="false" customWidth="true" hidden="false" outlineLevel="0" max="23" min="23" style="0" width="16"/>
  </cols>
  <sheetData>
    <row r="1" customFormat="false" ht="15" hidden="false" customHeight="false" outlineLevel="0" collapsed="false">
      <c r="A1" s="49" t="s">
        <v>272</v>
      </c>
      <c r="B1" s="49" t="s">
        <v>273</v>
      </c>
      <c r="C1" s="49" t="s">
        <v>274</v>
      </c>
      <c r="D1" s="49" t="s">
        <v>275</v>
      </c>
      <c r="E1" s="49" t="s">
        <v>276</v>
      </c>
      <c r="F1" s="49" t="s">
        <v>185</v>
      </c>
      <c r="G1" s="49" t="s">
        <v>277</v>
      </c>
      <c r="H1" s="49" t="s">
        <v>278</v>
      </c>
      <c r="I1" s="49" t="s">
        <v>279</v>
      </c>
      <c r="J1" s="49" t="s">
        <v>193</v>
      </c>
      <c r="K1" s="49" t="s">
        <v>280</v>
      </c>
      <c r="L1" s="49" t="s">
        <v>196</v>
      </c>
      <c r="M1" s="49" t="s">
        <v>281</v>
      </c>
      <c r="N1" s="49" t="s">
        <v>282</v>
      </c>
      <c r="O1" s="49" t="s">
        <v>283</v>
      </c>
      <c r="P1" s="49" t="s">
        <v>139</v>
      </c>
      <c r="Q1" s="49" t="s">
        <v>284</v>
      </c>
      <c r="R1" s="49" t="s">
        <v>285</v>
      </c>
      <c r="S1" s="49" t="s">
        <v>286</v>
      </c>
      <c r="W1" s="49" t="s">
        <v>287</v>
      </c>
    </row>
    <row r="2" customFormat="false" ht="15" hidden="false" customHeight="false" outlineLevel="0" collapsed="false">
      <c r="A2" s="50" t="s">
        <v>288</v>
      </c>
      <c r="B2" s="50" t="s">
        <v>155</v>
      </c>
      <c r="C2" s="50" t="s">
        <v>171</v>
      </c>
      <c r="D2" s="50" t="s">
        <v>173</v>
      </c>
      <c r="E2" s="50" t="s">
        <v>50</v>
      </c>
      <c r="F2" s="50" t="s">
        <v>183</v>
      </c>
      <c r="G2" s="51" t="n">
        <v>5000</v>
      </c>
      <c r="H2" s="52" t="n">
        <v>10</v>
      </c>
      <c r="I2" s="50" t="s">
        <v>209</v>
      </c>
      <c r="J2" s="50" t="s">
        <v>210</v>
      </c>
      <c r="K2" s="50" t="s">
        <v>289</v>
      </c>
      <c r="L2" s="50" t="s">
        <v>290</v>
      </c>
      <c r="M2" s="50" t="s">
        <v>35</v>
      </c>
      <c r="N2" s="50" t="s">
        <v>291</v>
      </c>
      <c r="O2" s="50" t="s">
        <v>292</v>
      </c>
      <c r="P2" s="50" t="s">
        <v>293</v>
      </c>
      <c r="Q2" s="53" t="n">
        <v>0.333333333333333</v>
      </c>
      <c r="R2" s="50" t="s">
        <v>294</v>
      </c>
      <c r="S2" s="54" t="n">
        <v>3</v>
      </c>
      <c r="T2" s="50" t="s">
        <v>295</v>
      </c>
      <c r="U2" s="50"/>
      <c r="V2" s="50"/>
      <c r="W2" s="53" t="n">
        <v>0</v>
      </c>
    </row>
    <row r="3" customFormat="false" ht="15" hidden="false" customHeight="false" outlineLevel="0" collapsed="false">
      <c r="A3" s="50" t="s">
        <v>296</v>
      </c>
      <c r="B3" s="50" t="s">
        <v>297</v>
      </c>
      <c r="C3" s="50" t="s">
        <v>168</v>
      </c>
      <c r="D3" s="50" t="s">
        <v>298</v>
      </c>
      <c r="E3" s="50" t="s">
        <v>54</v>
      </c>
      <c r="F3" s="50" t="s">
        <v>165</v>
      </c>
      <c r="G3" s="51" t="n">
        <v>7500</v>
      </c>
      <c r="H3" s="52" t="n">
        <v>15</v>
      </c>
      <c r="I3" s="50" t="s">
        <v>299</v>
      </c>
      <c r="J3" s="50" t="s">
        <v>300</v>
      </c>
      <c r="K3" s="50" t="s">
        <v>301</v>
      </c>
      <c r="L3" s="50" t="s">
        <v>300</v>
      </c>
      <c r="M3" s="50" t="s">
        <v>302</v>
      </c>
      <c r="N3" s="50" t="s">
        <v>303</v>
      </c>
      <c r="O3" s="50" t="s">
        <v>301</v>
      </c>
      <c r="P3" s="50" t="s">
        <v>163</v>
      </c>
      <c r="Q3" s="53" t="n">
        <v>0.354166666666667</v>
      </c>
      <c r="R3" s="50" t="s">
        <v>304</v>
      </c>
      <c r="S3" s="54" t="n">
        <v>4</v>
      </c>
      <c r="T3" s="50" t="s">
        <v>305</v>
      </c>
      <c r="U3" s="50"/>
      <c r="V3" s="50"/>
      <c r="W3" s="53" t="n">
        <v>0.0208333333333333</v>
      </c>
    </row>
    <row r="4" customFormat="false" ht="15" hidden="false" customHeight="false" outlineLevel="0" collapsed="false">
      <c r="A4" s="50" t="s">
        <v>182</v>
      </c>
      <c r="B4" s="50" t="s">
        <v>306</v>
      </c>
      <c r="C4" s="50" t="s">
        <v>307</v>
      </c>
      <c r="D4" s="50" t="s">
        <v>308</v>
      </c>
      <c r="E4" s="50" t="s">
        <v>52</v>
      </c>
      <c r="F4" s="50" t="s">
        <v>309</v>
      </c>
      <c r="G4" s="51" t="n">
        <v>10000</v>
      </c>
      <c r="H4" s="52" t="n">
        <v>20</v>
      </c>
      <c r="I4" s="50" t="s">
        <v>310</v>
      </c>
      <c r="J4" s="50" t="s">
        <v>311</v>
      </c>
      <c r="K4" s="50" t="s">
        <v>312</v>
      </c>
      <c r="L4" s="50" t="s">
        <v>313</v>
      </c>
      <c r="M4" s="50" t="s">
        <v>314</v>
      </c>
      <c r="N4" s="50" t="s">
        <v>315</v>
      </c>
      <c r="O4" s="50" t="s">
        <v>316</v>
      </c>
      <c r="P4" s="50" t="s">
        <v>317</v>
      </c>
      <c r="Q4" s="53" t="n">
        <v>0.375</v>
      </c>
      <c r="R4" s="50" t="s">
        <v>318</v>
      </c>
      <c r="S4" s="55" t="n">
        <v>3</v>
      </c>
      <c r="T4" s="50" t="s">
        <v>319</v>
      </c>
      <c r="U4" s="50"/>
      <c r="V4" s="50"/>
      <c r="W4" s="53" t="n">
        <v>0.0416666666666667</v>
      </c>
    </row>
    <row r="5" customFormat="false" ht="15" hidden="false" customHeight="false" outlineLevel="0" collapsed="false">
      <c r="A5" s="50" t="s">
        <v>320</v>
      </c>
      <c r="B5" s="50" t="s">
        <v>321</v>
      </c>
      <c r="C5" s="50" t="s">
        <v>322</v>
      </c>
      <c r="D5" s="50" t="s">
        <v>323</v>
      </c>
      <c r="E5" s="50" t="s">
        <v>56</v>
      </c>
      <c r="F5" s="50"/>
      <c r="G5" s="50"/>
      <c r="H5" s="50"/>
      <c r="I5" s="50" t="s">
        <v>324</v>
      </c>
      <c r="J5" s="50"/>
      <c r="K5" s="50" t="s">
        <v>325</v>
      </c>
      <c r="L5" s="50"/>
      <c r="M5" s="50" t="s">
        <v>326</v>
      </c>
      <c r="N5" s="50" t="s">
        <v>327</v>
      </c>
      <c r="O5" s="50" t="s">
        <v>328</v>
      </c>
      <c r="P5" s="50" t="s">
        <v>329</v>
      </c>
      <c r="Q5" s="53" t="n">
        <v>0.395833333333333</v>
      </c>
      <c r="R5" s="50" t="s">
        <v>330</v>
      </c>
      <c r="S5" s="54" t="n">
        <v>5</v>
      </c>
      <c r="T5" s="50" t="s">
        <v>331</v>
      </c>
      <c r="U5" s="50"/>
      <c r="V5" s="50"/>
      <c r="W5" s="53" t="n">
        <v>0.0625</v>
      </c>
    </row>
    <row r="6" customFormat="false" ht="15" hidden="false" customHeight="false" outlineLevel="0" collapsed="false">
      <c r="A6" s="50" t="s">
        <v>332</v>
      </c>
      <c r="B6" s="50" t="s">
        <v>333</v>
      </c>
      <c r="C6" s="50" t="s">
        <v>334</v>
      </c>
      <c r="D6" s="50" t="s">
        <v>157</v>
      </c>
      <c r="E6" s="50"/>
      <c r="F6" s="50" t="s">
        <v>335</v>
      </c>
      <c r="G6" s="50"/>
      <c r="H6" s="50"/>
      <c r="I6" s="50" t="s">
        <v>336</v>
      </c>
      <c r="J6" s="50"/>
      <c r="K6" s="50" t="s">
        <v>337</v>
      </c>
      <c r="L6" s="50"/>
      <c r="M6" s="50"/>
      <c r="N6" s="50" t="s">
        <v>223</v>
      </c>
      <c r="O6" s="50" t="s">
        <v>338</v>
      </c>
      <c r="P6" s="50" t="s">
        <v>339</v>
      </c>
      <c r="Q6" s="53" t="n">
        <v>0.416666666666667</v>
      </c>
      <c r="R6" s="50" t="s">
        <v>340</v>
      </c>
      <c r="S6" s="54" t="n">
        <v>3</v>
      </c>
      <c r="T6" s="50" t="s">
        <v>341</v>
      </c>
      <c r="U6" s="50"/>
      <c r="V6" s="50"/>
      <c r="W6" s="53" t="n">
        <v>0.0833333333333333</v>
      </c>
    </row>
    <row r="7" customFormat="false" ht="15" hidden="false" customHeight="false" outlineLevel="0" collapsed="false">
      <c r="A7" s="50" t="s">
        <v>164</v>
      </c>
      <c r="B7" s="50" t="s">
        <v>342</v>
      </c>
      <c r="C7" s="50" t="s">
        <v>343</v>
      </c>
      <c r="D7" s="50" t="s">
        <v>344</v>
      </c>
      <c r="E7" s="50"/>
      <c r="F7" s="50"/>
      <c r="G7" s="50"/>
      <c r="H7" s="50"/>
      <c r="I7" s="50"/>
      <c r="J7" s="50"/>
      <c r="K7" s="50" t="s">
        <v>343</v>
      </c>
      <c r="L7" s="50"/>
      <c r="M7" s="50"/>
      <c r="N7" s="50" t="s">
        <v>345</v>
      </c>
      <c r="O7" s="50" t="s">
        <v>346</v>
      </c>
      <c r="P7" s="50"/>
      <c r="Q7" s="53" t="n">
        <v>0.4375</v>
      </c>
      <c r="R7" s="50" t="s">
        <v>347</v>
      </c>
      <c r="S7" s="54" t="n">
        <v>2</v>
      </c>
      <c r="T7" s="50" t="s">
        <v>348</v>
      </c>
      <c r="U7" s="50"/>
      <c r="V7" s="50"/>
      <c r="W7" s="53" t="n">
        <v>0.104166666666667</v>
      </c>
    </row>
    <row r="8" customFormat="false" ht="15" hidden="false" customHeight="false" outlineLevel="0" collapsed="false">
      <c r="A8" s="50" t="s">
        <v>349</v>
      </c>
      <c r="B8" s="50" t="s">
        <v>343</v>
      </c>
      <c r="C8" s="50"/>
      <c r="D8" s="50" t="s">
        <v>350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 t="s">
        <v>343</v>
      </c>
      <c r="P8" s="50"/>
      <c r="Q8" s="53" t="n">
        <v>0.458333333333333</v>
      </c>
      <c r="R8" s="50"/>
      <c r="S8" s="50"/>
      <c r="T8" s="50"/>
      <c r="U8" s="50"/>
      <c r="V8" s="50"/>
      <c r="W8" s="53" t="n">
        <v>0.125</v>
      </c>
    </row>
    <row r="9" customFormat="false" ht="15" hidden="false" customHeight="false" outlineLevel="0" collapsed="false">
      <c r="A9" s="50" t="s">
        <v>351</v>
      </c>
      <c r="B9" s="50"/>
      <c r="C9" s="50"/>
      <c r="D9" s="50" t="s">
        <v>352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3" t="n">
        <v>0.479166666666667</v>
      </c>
      <c r="R9" s="50"/>
      <c r="S9" s="50"/>
      <c r="T9" s="50"/>
      <c r="U9" s="50"/>
      <c r="V9" s="50"/>
      <c r="W9" s="53" t="n">
        <v>0.145833333333333</v>
      </c>
    </row>
    <row r="10" customFormat="false" ht="15" hidden="false" customHeight="false" outlineLevel="0" collapsed="false">
      <c r="A10" s="50" t="s">
        <v>353</v>
      </c>
      <c r="B10" s="50"/>
      <c r="C10" s="50"/>
      <c r="D10" s="50" t="s">
        <v>354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n">
        <v>0.5</v>
      </c>
      <c r="R10" s="50"/>
      <c r="S10" s="50"/>
      <c r="T10" s="50"/>
      <c r="U10" s="50"/>
      <c r="V10" s="50"/>
      <c r="W10" s="53" t="n">
        <v>0.166666666666667</v>
      </c>
    </row>
    <row r="11" customFormat="false" ht="15" hidden="false" customHeight="false" outlineLevel="0" collapsed="false">
      <c r="A11" s="50"/>
      <c r="B11" s="50"/>
      <c r="C11" s="50"/>
      <c r="D11" s="50" t="s">
        <v>343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3" t="n">
        <v>0.520833333333333</v>
      </c>
      <c r="R11" s="50"/>
      <c r="S11" s="50"/>
      <c r="T11" s="50"/>
      <c r="U11" s="50"/>
      <c r="V11" s="50"/>
      <c r="W11" s="53" t="n">
        <v>0.1875</v>
      </c>
    </row>
    <row r="12" customFormat="false" ht="15" hidden="false" customHeight="false" outlineLevel="0" collapsed="false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3" t="n">
        <v>0.541666666666667</v>
      </c>
      <c r="R12" s="50"/>
      <c r="S12" s="50"/>
      <c r="T12" s="50"/>
      <c r="U12" s="50"/>
      <c r="V12" s="50"/>
      <c r="W12" s="53" t="n">
        <v>0.208333333333333</v>
      </c>
    </row>
    <row r="13" customFormat="false" ht="15" hidden="false" customHeight="false" outlineLevel="0" collapsed="false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3" t="n">
        <v>0.5625</v>
      </c>
      <c r="R13" s="50"/>
      <c r="S13" s="50"/>
      <c r="T13" s="50"/>
      <c r="U13" s="50"/>
      <c r="V13" s="50"/>
      <c r="W13" s="53" t="n">
        <v>0.229166666666667</v>
      </c>
    </row>
    <row r="14" customFormat="false" ht="15" hidden="false" customHeight="false" outlineLevel="0" collapsed="false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3" t="n">
        <v>0.583333333333333</v>
      </c>
      <c r="R14" s="50"/>
      <c r="S14" s="50"/>
      <c r="T14" s="50"/>
      <c r="U14" s="50"/>
      <c r="V14" s="50"/>
      <c r="W14" s="53" t="n">
        <v>0.25</v>
      </c>
    </row>
    <row r="15" customFormat="false" ht="15" hidden="false" customHeight="fals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3" t="n">
        <v>0.604166666666667</v>
      </c>
      <c r="R15" s="50"/>
      <c r="S15" s="50"/>
      <c r="T15" s="50"/>
      <c r="U15" s="50"/>
      <c r="V15" s="50"/>
      <c r="W15" s="53" t="n">
        <v>0.270833333333333</v>
      </c>
    </row>
    <row r="16" customFormat="false" ht="15" hidden="false" customHeight="fals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3" t="n">
        <v>0.625</v>
      </c>
      <c r="R16" s="50"/>
      <c r="S16" s="50"/>
      <c r="T16" s="50"/>
      <c r="U16" s="50"/>
      <c r="V16" s="50"/>
      <c r="W16" s="53" t="n">
        <v>0.291666666666667</v>
      </c>
    </row>
    <row r="17" customFormat="false" ht="15" hidden="false" customHeight="false" outlineLevel="0" collapsed="false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3" t="n">
        <v>0.645833333333333</v>
      </c>
      <c r="R17" s="50"/>
      <c r="S17" s="50"/>
      <c r="T17" s="50"/>
      <c r="U17" s="50"/>
      <c r="V17" s="50"/>
      <c r="W17" s="53" t="n">
        <v>0.3125</v>
      </c>
    </row>
    <row r="18" customFormat="false" ht="15" hidden="false" customHeight="false" outlineLevel="0" collapsed="false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3" t="n">
        <v>0.666666666666667</v>
      </c>
      <c r="R18" s="50"/>
      <c r="S18" s="50"/>
      <c r="T18" s="50"/>
      <c r="U18" s="50"/>
      <c r="V18" s="50"/>
      <c r="W18" s="53" t="n">
        <v>0.333333333333333</v>
      </c>
    </row>
    <row r="19" customFormat="false" ht="15" hidden="false" customHeight="false" outlineLevel="0" collapsed="false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3" t="n">
        <v>0.6875</v>
      </c>
      <c r="R19" s="50"/>
      <c r="S19" s="50"/>
      <c r="T19" s="50"/>
      <c r="U19" s="50"/>
      <c r="V19" s="50"/>
      <c r="W19" s="53" t="n">
        <v>0.354166666666667</v>
      </c>
    </row>
    <row r="20" customFormat="false" ht="15" hidden="false" customHeight="fals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3" t="n">
        <v>0.708333333333333</v>
      </c>
      <c r="R20" s="50"/>
      <c r="S20" s="50"/>
      <c r="T20" s="50"/>
      <c r="U20" s="50"/>
      <c r="V20" s="50"/>
      <c r="W20" s="53" t="n">
        <v>0.375</v>
      </c>
    </row>
    <row r="21" customFormat="false" ht="15" hidden="false" customHeight="fals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3" t="n">
        <v>0.729166666666667</v>
      </c>
      <c r="R21" s="50"/>
      <c r="S21" s="50"/>
      <c r="T21" s="50"/>
      <c r="U21" s="50"/>
      <c r="V21" s="50"/>
      <c r="W21" s="53" t="n">
        <v>0.395833333333333</v>
      </c>
    </row>
    <row r="22" customFormat="false" ht="15" hidden="false" customHeight="fals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3" t="n">
        <v>0.75</v>
      </c>
      <c r="R22" s="50"/>
      <c r="S22" s="50"/>
      <c r="T22" s="50"/>
      <c r="U22" s="50"/>
      <c r="V22" s="50"/>
      <c r="W22" s="53" t="n">
        <v>0.416666666666667</v>
      </c>
    </row>
    <row r="23" customFormat="false" ht="15" hidden="false" customHeight="fals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3" t="n">
        <v>0.770833333333333</v>
      </c>
      <c r="R23" s="50"/>
      <c r="S23" s="50"/>
      <c r="T23" s="50"/>
      <c r="U23" s="50"/>
      <c r="V23" s="50"/>
      <c r="W23" s="53" t="n">
        <v>0.4375</v>
      </c>
    </row>
    <row r="24" customFormat="false" ht="15" hidden="false" customHeight="fals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3" t="n">
        <v>0.791666666666667</v>
      </c>
      <c r="R24" s="50"/>
      <c r="S24" s="50"/>
      <c r="T24" s="50"/>
      <c r="U24" s="50"/>
      <c r="V24" s="50"/>
      <c r="W24" s="53" t="n">
        <v>0.458333333333333</v>
      </c>
    </row>
    <row r="25" customFormat="false" ht="15" hidden="false" customHeight="false" outlineLevel="0" collapsed="false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3" t="n">
        <v>0.8125</v>
      </c>
      <c r="R25" s="50"/>
      <c r="S25" s="50"/>
      <c r="T25" s="50"/>
      <c r="U25" s="50"/>
      <c r="V25" s="50"/>
      <c r="W25" s="53" t="n">
        <v>0.479166666666667</v>
      </c>
    </row>
    <row r="26" customFormat="false" ht="15" hidden="false" customHeight="fals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3" t="n">
        <v>0.833333333333333</v>
      </c>
      <c r="R26" s="50"/>
      <c r="S26" s="50"/>
      <c r="T26" s="50"/>
      <c r="U26" s="50"/>
      <c r="V26" s="50"/>
      <c r="W26" s="53" t="n">
        <v>0.5</v>
      </c>
    </row>
    <row r="27" customFormat="false" ht="15" hidden="false" customHeight="fals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3" t="n">
        <v>0.520833333333333</v>
      </c>
    </row>
    <row r="28" customFormat="false" ht="15" hidden="false" customHeight="fals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3" t="n">
        <v>0.541666666666667</v>
      </c>
    </row>
    <row r="29" customFormat="false" ht="15" hidden="false" customHeight="fals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3" t="n">
        <v>0.5625</v>
      </c>
    </row>
    <row r="30" customFormat="false" ht="15" hidden="false" customHeight="fals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3" t="n">
        <v>0.583333333333333</v>
      </c>
    </row>
    <row r="31" customFormat="false" ht="15" hidden="false" customHeight="fals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3" t="n">
        <v>0.604166666666667</v>
      </c>
    </row>
    <row r="32" customFormat="false" ht="15" hidden="false" customHeight="fals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3" t="n">
        <v>0.625</v>
      </c>
    </row>
    <row r="33" customFormat="false" ht="15" hidden="false" customHeight="fals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3" t="n">
        <v>0.645833333333333</v>
      </c>
    </row>
    <row r="34" customFormat="false" ht="15" hidden="false" customHeight="fals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3" t="n">
        <v>0.666666666666667</v>
      </c>
    </row>
    <row r="35" customFormat="false" ht="15" hidden="false" customHeight="fals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3" t="n">
        <v>0.6875</v>
      </c>
    </row>
    <row r="36" customFormat="false" ht="15" hidden="false" customHeight="fals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3" t="n">
        <v>0.708333333333333</v>
      </c>
    </row>
    <row r="37" customFormat="false" ht="15" hidden="false" customHeight="fals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3" t="n">
        <v>0.729166666666667</v>
      </c>
    </row>
    <row r="38" customFormat="false" ht="15" hidden="false" customHeight="fals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3" t="n">
        <v>0.75</v>
      </c>
    </row>
    <row r="39" customFormat="false" ht="15" hidden="false" customHeight="fals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3" t="n">
        <v>0.770833333333333</v>
      </c>
    </row>
    <row r="40" customFormat="false" ht="15" hidden="false" customHeight="fals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3" t="n">
        <v>0.791666666666667</v>
      </c>
    </row>
    <row r="41" customFormat="false" ht="15" hidden="false" customHeight="fals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3" t="n">
        <v>0.8125</v>
      </c>
    </row>
    <row r="42" customFormat="false" ht="15" hidden="false" customHeight="fals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3" t="n">
        <v>0.833333333333333</v>
      </c>
    </row>
    <row r="43" customFormat="false" ht="15" hidden="false" customHeight="fals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3" t="n">
        <v>0.854166666666667</v>
      </c>
    </row>
    <row r="44" customFormat="false" ht="15" hidden="false" customHeight="fals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3" t="n">
        <v>0.875</v>
      </c>
    </row>
    <row r="45" customFormat="false" ht="15" hidden="false" customHeight="fals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3" t="n">
        <v>0.895833333333333</v>
      </c>
    </row>
    <row r="46" customFormat="false" ht="15" hidden="false" customHeight="fals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3" t="n">
        <v>0.916666666666667</v>
      </c>
    </row>
    <row r="47" customFormat="false" ht="15" hidden="false" customHeight="fals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3" t="n">
        <v>0.9375</v>
      </c>
    </row>
    <row r="48" customFormat="false" ht="15" hidden="false" customHeight="fals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3" t="n">
        <v>0.958333333333333</v>
      </c>
    </row>
    <row r="49" customFormat="false" ht="15" hidden="false" customHeight="fals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3" t="n">
        <v>0.979166666666667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2026-10-20T09:09:00Z</dcterms:created>
  <dc:creator>openpyxl</dc:creator>
  <dc:description/>
  <dc:language>en-US</dc:language>
  <cp:lastModifiedBy/>
  <dcterms:modified xsi:type="dcterms:W3CDTF">2026-10-20T09:09:01Z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